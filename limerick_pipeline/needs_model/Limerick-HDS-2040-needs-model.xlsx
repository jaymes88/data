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Pipeline &amp; permissions needed" sheetId="7" state="visible" r:id="rId9"/>
    <sheet name="Ballinacurra" sheetId="8" state="visible" r:id="rId10"/>
    <sheet name="Caherdavin" sheetId="9" state="visible" r:id="rId11"/>
    <sheet name="Castletroy-Annacotty" sheetId="10" state="visible" r:id="rId12"/>
    <sheet name="City Centre" sheetId="11" state="visible" r:id="rId13"/>
    <sheet name="Corbally-Grove Island" sheetId="12" state="visible" r:id="rId14"/>
    <sheet name="Dooradoyle" sheetId="13" state="visible" r:id="rId15"/>
    <sheet name="Kings Island" sheetId="14" state="visible" r:id="rId16"/>
    <sheet name="Singland-Garryowen" sheetId="15" state="visible" r:id="rId17"/>
    <sheet name="Southhill" sheetId="16" state="visible" r:id="rId18"/>
    <sheet name="Abbeyfeale" sheetId="17" state="visible" r:id="rId19"/>
    <sheet name="Caherconlish" sheetId="18" state="visible" r:id="rId20"/>
    <sheet name="Castleconnell" sheetId="19" state="visible" r:id="rId21"/>
    <sheet name="Kilmallock" sheetId="20" state="visible" r:id="rId22"/>
    <sheet name="Newcastle West" sheetId="21" state="visible" r:id="rId23"/>
    <sheet name="Rathkeale" sheetId="22" state="visible" r:id="rId24"/>
    <sheet name="Adare" sheetId="23" state="visible" r:id="rId25"/>
    <sheet name="Askeaton" sheetId="24" state="visible" r:id="rId26"/>
    <sheet name="Bruff" sheetId="25" state="visible" r:id="rId27"/>
    <sheet name="Cappamore" sheetId="26" state="visible" r:id="rId28"/>
    <sheet name="Croom" sheetId="27" state="visible" r:id="rId29"/>
    <sheet name="Hospital" sheetId="28" state="visible" r:id="rId30"/>
    <sheet name="Kilfinnane" sheetId="29" state="visible" r:id="rId31"/>
    <sheet name="Moroe" sheetId="30" state="visible" r:id="rId32"/>
    <sheet name="Patrickswell" sheetId="31" state="visible" r:id="rId33"/>
    <sheet name="Rest of county" sheetId="32" state="visible" r:id="rId34"/>
    <sheet name="Validation" sheetId="33" state="visible" r:id="rId35"/>
    <sheet name="Model" sheetId="34" state="visible" r:id="rId36"/>
    <sheet name="Data" sheetId="35" state="visible" r:id="rId37"/>
    <sheet name="Pipeline calc" sheetId="36" state="visible" r:id="rId3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<sst xmlns="http://schemas.openxmlformats.org/spreadsheetml/2006/main" count="3387" uniqueCount="1111">
  <si>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</si>
  <si>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</si>
  <si>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</si>
  <si>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</si>
  <si>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</si>
  <si>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</si>
  <si>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</si>
  <si>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</si>
  <si>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</si>
  <si>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</si>
  <si>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</si>
  <si>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</si>
  <si>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</si>
  <si>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</si>
  <si>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</si>
  <si>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</si>
  <si>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</si>
  <si>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</si>
  <si>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</si>
  <si>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</si>
  <si>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</si>
  <si>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</si>
  <si>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</si>
  <si>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</si>
  <si>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</si>
  <si>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</si>
  <si>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</si>
  <si>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</si>
  <si>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</si>
  <si>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</si>
  <si>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</si>
  <si>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</si>
  <si>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</si>
  <si>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</si>
  <si>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</si>
  <si>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</si>
  <si>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</si>
  <si>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</si>
  <si>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</si>
  <si>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</si>
  <si>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</si>
  <si>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</si>
  <si>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</si>
  <si>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</si>
  <si>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</si>
  <si>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</si>
  <si>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</si>
  <si>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</si>
  <si>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</si>
  <si>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</si>
  <si>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</si>
  <si>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</si>
  <si>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</si>
  <si>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</si>
  <si>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</si>
  <si>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</si>
  <si>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</si>
  <si>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</si>
  <si>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</si>
  <si>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</si>
  <si>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</si>
  <si>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</si>
  <si>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</si>
  <si>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</si>
  <si>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</si>
  <si>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</si>
  <si>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</si>
  <si>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</si>
  <si>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</si>
  <si>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</si>
  <si>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</si>
  <si>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Pipeline &amp; permissions needed</t>
  </si>
  <si>
    <t xml:space="preserve">The planning pipeline, its expected completions, and how many homes need permission each year to meet the target (yellow levers for the timings).</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</si>
  <si>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</si>
  <si>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</si>
  <si>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</si>
  <si>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</si>
  <si>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</si>
  <si>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</si>
  <si>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</si>
  <si>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Pipeline calc</t>
  </si>
  <si>
    <t xml:space="preserve">Month-by-month working for the pipeline tab.</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</si>
  <si>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</si>
  <si>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</si>
  <si>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</si>
  <si>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</si>
  <si>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</si>
  <si>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</si>
  <si>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</si>
  <si>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</si>
  <si>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</si>
  <si>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</si>
  <si>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</si>
  <si>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</si>
  <si>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</si>
  <si>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</si>
  <si>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</si>
  <si>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</si>
  <si>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</si>
  <si>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</si>
  <si>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</si>
  <si>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</si>
  <si>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</si>
  <si>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</si>
  <si>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</si>
  <si>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</si>
  <si>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</si>
  <si>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</si>
  <si>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</si>
  <si>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</si>
  <si>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</si>
  <si>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</si>
  <si>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</si>
  <si>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</si>
  <si>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</si>
  <si>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</si>
  <si>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</si>
  <si>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</si>
  <si>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</si>
  <si>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</si>
  <si>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</si>
  <si>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</si>
  <si>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</si>
  <si>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</si>
  <si>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</si>
  <si>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</si>
  <si>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</si>
  <si>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</si>
  <si>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</si>
  <si>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</si>
  <si>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</si>
  <si>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</si>
  <si>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</si>
  <si>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</si>
  <si>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</si>
  <si>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</si>
  <si>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</si>
  <si>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</si>
  <si>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</si>
  <si>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</si>
  <si>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</si>
  <si>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</si>
  <si>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</si>
  <si>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</si>
  <si>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</si>
  <si>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</si>
  <si>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</si>
  <si>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</si>
  <si>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</si>
  <si>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</si>
  <si>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</si>
  <si>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</si>
  <si>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</si>
  <si>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</si>
  <si>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</si>
  <si>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</si>
  <si>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</si>
  <si>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</si>
  <si>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</si>
  <si>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</si>
  <si>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</si>
  <si>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</si>
  <si>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</si>
  <si>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</si>
  <si>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</si>
  <si>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</si>
  <si>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</si>
  <si>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</si>
  <si>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</si>
  <si>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</si>
  <si>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</si>
  <si>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</si>
  <si>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</si>
  <si>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</si>
  <si>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</si>
  <si>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</si>
  <si>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</si>
  <si>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</si>
  <si>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</si>
  <si>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</si>
  <si>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</si>
  <si>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</si>
  <si>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</si>
  <si>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</si>
  <si>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</si>
  <si>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</si>
  <si>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</si>
  <si>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</si>
  <si>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</si>
  <si>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</si>
  <si>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</si>
  <si>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</si>
  <si>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</si>
  <si>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</si>
  <si>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</si>
  <si>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</si>
  <si>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</si>
  <si>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</si>
  <si>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</si>
  <si>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</si>
  <si>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</si>
  <si>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</si>
  <si>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</si>
  <si>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</si>
  <si>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</si>
  <si>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</si>
  <si>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</si>
  <si>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</si>
  <si>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</si>
  <si>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</si>
  <si>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</si>
  <si>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</si>
  <si>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</si>
  <si>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</si>
  <si>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</si>
  <si>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</si>
  <si>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</si>
  <si>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</si>
  <si>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</si>
  <si>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</si>
  <si>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</si>
  <si>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</si>
  <si>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</si>
  <si>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</si>
  <si>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</si>
  <si>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</si>
  <si>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</si>
  <si>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</si>
  <si>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</si>
  <si>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</si>
  <si>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</si>
  <si>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</si>
  <si>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</si>
  <si>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</si>
  <si>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</si>
  <si>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</si>
  <si>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</si>
  <si>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</si>
  <si>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</si>
  <si>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</si>
  <si>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</si>
  <si>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</si>
  <si>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</si>
  <si>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</si>
  <si>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</si>
  <si>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</si>
  <si>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</si>
  <si>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</si>
  <si>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</si>
  <si>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</si>
  <si>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</si>
  <si>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</si>
  <si>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</si>
  <si>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</si>
  <si>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</si>
  <si>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</si>
  <si>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</si>
  <si>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</si>
  <si>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</si>
  <si>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</si>
  <si>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</si>
  <si>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</si>
  <si>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</si>
  <si>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</si>
  <si>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</si>
  <si>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</si>
  <si>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</si>
  <si>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</si>
  <si>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</si>
  <si>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</si>
  <si>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</si>
  <si>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</si>
  <si>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</si>
  <si>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</si>
  <si>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</si>
  <si>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</si>
  <si>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</si>
  <si>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</si>
  <si>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</si>
  <si>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</si>
  <si>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</si>
  <si>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</si>
  <si>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</si>
  <si>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</si>
  <si>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</si>
  <si>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</si>
  <si>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</si>
  <si>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</si>
  <si>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</si>
  <si>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</si>
  <si>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</si>
  <si>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</si>
  <si>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</si>
  <si>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</si>
  <si>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</si>
  <si>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</si>
  <si>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</si>
  <si>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</si>
  <si>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</si>
  <si>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</si>
  <si>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</si>
  <si>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</si>
  <si>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</si>
  <si>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</si>
  <si>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</si>
  <si>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</si>
  <si>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</si>
  <si>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</si>
  <si>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</si>
  <si>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</si>
  <si>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</si>
  <si>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</si>
  <si>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</si>
  <si>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</si>
  <si>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</si>
  <si>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</si>
  <si>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</si>
  <si>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</si>
  <si>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</si>
  <si>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</si>
  <si>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</si>
  <si>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</si>
  <si>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</si>
  <si>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</si>
  <si>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</si>
  <si>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</si>
  <si>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</si>
  <si>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</si>
  <si>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</si>
  <si>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</si>
  <si>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</si>
  <si>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</si>
  <si>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</si>
  <si>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</si>
  <si>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</si>
  <si>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</si>
  <si>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</si>
  <si>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Planning pipeline and permissions needed</t>
  </si>
  <si>
    <t xml:space="preserve">What is in the planning pipeline, what it is expected to complete, and how many homes need planning permission each year to meet the target. Works back from the target: each home completed needs a start, a permission and an application earlier. The same method as the tracker's forecasting tool.</t>
  </si>
  <si>
    <t xml:space="preserve">Place</t>
  </si>
  <si>
    <t xml:space="preserve">Limerick or any catchment.</t>
  </si>
  <si>
    <t xml:space="preserve">Planning status at</t>
  </si>
  <si>
    <t xml:space="preserve">Date the register's permission statuses refer to. Targets before this date are treated as past.</t>
  </si>
  <si>
    <t xml:space="preserve">Take off the register's expected completions</t>
  </si>
  <si>
    <t xml:space="preserve">Yes</t>
  </si>
  <si>
    <t xml:space="preserve">Yes: only homes the register does not already expect need new permissions. No: the whole target from the status date.</t>
  </si>
  <si>
    <t xml:space="preserve">Application to decision (months)</t>
  </si>
  <si>
    <t xml:space="preserve">Default 4.5: the Central Bank's median council decision time for schemes not appealed (Quarterly Bulletin, September 2026, as reported by the Irish Times). No Limerick figure in the register.</t>
  </si>
  <si>
    <t xml:space="preserve">Permission to start on site (months)</t>
  </si>
  <si>
    <t xml:space="preserve">Default 16: median for Limerick permissions with a start date in the register (136; middle half 8.1 to 24.8 months). National average 14, apartments 18 (Central Bank, 2024).</t>
  </si>
  <si>
    <t xml:space="preserve">Start to completion (months)</t>
  </si>
  <si>
    <t xml:space="preserve">Default 15: midpoint of the 12 to 18 months the Central Bank assumes (Quarterly Bulletin 2, 2024). No Limerick figure in the register.</t>
  </si>
  <si>
    <t xml:space="preserve">Permitted homes never started</t>
  </si>
  <si>
    <t xml:space="preserve">Default 18%: of 1,582 homes in Limerick permissions past their expiry date, 278 never started. Counting primary permissions only, 31%. Small sample.</t>
  </si>
  <si>
    <t xml:space="preserve">Applications refused or withdrawn</t>
  </si>
  <si>
    <t xml:space="preserve">Default 0%: no Limerick refusal or withdrawal rate in hand. Set it if known.</t>
  </si>
  <si>
    <t xml:space="preserve">Pipeline now (land register)</t>
  </si>
  <si>
    <t xml:space="preserve">Complete</t>
  </si>
  <si>
    <t xml:space="preserve">Under construction</t>
  </si>
  <si>
    <t xml:space="preserve">Permitted, not started</t>
  </si>
  <si>
    <t xml:space="preserve">Stalled</t>
  </si>
  <si>
    <t xml:space="preserve">Expired, not started</t>
  </si>
  <si>
    <t xml:space="preserve">In planning</t>
  </si>
  <si>
    <t xml:space="preserve">Consented (first four)</t>
  </si>
  <si>
    <t xml:space="preserve">Q4 2026</t>
  </si>
  <si>
    <t xml:space="preserve">2031+</t>
  </si>
  <si>
    <t xml:space="preserve">Expected completions</t>
  </si>
  <si>
    <t xml:space="preserve">The register's own delivery estimates for its permissions. Expired and in-planning homes are not expected.</t>
  </si>
  <si>
    <t xml:space="preserve">Results</t>
  </si>
  <si>
    <t xml:space="preserve">Homes still to deliver</t>
  </si>
  <si>
    <t xml:space="preserve">Permissions needed from now</t>
  </si>
  <si>
    <t xml:space="preserve">Permissions a year</t>
  </si>
  <si>
    <t xml:space="preserve">Applications needed from now</t>
  </si>
  <si>
    <t xml:space="preserve">Needed before now</t>
  </si>
  <si>
    <t xml:space="preserve">By year</t>
  </si>
  <si>
    <t xml:space="preserve">Target completions</t>
  </si>
  <si>
    <t xml:space="preserve">Register expected</t>
  </si>
  <si>
    <t xml:space="preserve">New completions needed</t>
  </si>
  <si>
    <t xml:space="preserve">Starts needed</t>
  </si>
  <si>
    <t xml:space="preserve">Permissions needed</t>
  </si>
  <si>
    <t xml:space="preserve">Applications needed</t>
  </si>
  <si>
    <t xml:space="preserve">Homes granted per year in the register (Limerick, for comparison)</t>
  </si>
  <si>
    <t xml:space="preserve">Homes granted</t>
  </si>
  <si>
    <t xml:space="preserve">The schemes the register records, not every permission in Limerick, so this is a floor.</t>
  </si>
  <si>
    <t xml:space="preserve">Permissions needed from now, by bedrooms and tenure</t>
  </si>
  <si>
    <t xml:space="preserve">Private</t>
  </si>
  <si>
    <t xml:space="preserve">Affordable</t>
  </si>
  <si>
    <t xml:space="preserve">Social</t>
  </si>
  <si>
    <t xml:space="preserve">Share</t>
  </si>
  <si>
    <t xml:space="preserve">Homes to permit</t>
  </si>
  <si>
    <t xml:space="preserve">All places compared (same settings)</t>
  </si>
  <si>
    <t xml:space="preserve">Permissions needed before now</t>
  </si>
  <si>
    <t xml:space="preserve">Method: the target is spread evenly within each year from the status date; the 2026 target is cut to the part of the year after the status date. Each month's new completions are moved back by the build time to give starts, by the time to start to give permissions (divided by 1 − never started) and by the decision time to give applications (divided by 1 − refused). Anything that lands before the status date is "needed before now".</t>
  </si>
  <si>
    <t xml:space="preserve">Expected completions: the register's Q4 2026 figure is spread from the status date to December, 2027–2030 within each year, and the 2031+ tail within 2031. Years where the register already covers the target need no new homes; any surplus carries forward.</t>
  </si>
  <si>
    <t xml:space="preserve">Each step uses an average time, so the timing is approximate: real schemes spread around these averages.</t>
  </si>
  <si>
    <t xml:space="preserve">Targets come live from the catchment tabs, so they follow the Intro levers. Pipeline figures are values from the land register (Limerick_Developable_Land.gpkg); rebuild the tab to refresh them.</t>
  </si>
  <si>
    <t xml:space="preserve">Small schemes and one-off houses are not in the register, so they are inside the homes still to deliver here; they need permission too.</t>
  </si>
  <si>
    <t xml:space="preserve">Permissions needed are homes, not applications or schemes. Student bedspaces in the register count as homes in its expected completions, as in the tracker.</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</si>
  <si>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</si>
  <si>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</si>
  <si>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</si>
  <si>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</si>
  <si>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</si>
  <si>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</si>
  <si>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</si>
  <si>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</si>
  <si>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</si>
  <si>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</si>
  <si>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</si>
  <si>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</si>
  <si>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</si>
  <si>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</si>
  <si>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</si>
  <si>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</si>
  <si>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</si>
  <si>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</si>
  <si>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</si>
  <si>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</si>
  <si>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</si>
  <si>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</si>
  <si>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</si>
  <si>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</si>
  <si>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</si>
  <si>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</si>
  <si>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</si>
  <si>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</si>
  <si>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</si>
  <si>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</si>
  <si>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</si>
  <si>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</si>
  <si>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</si>
  <si>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</si>
  <si>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</si>
  <si>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</si>
  <si>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</si>
  <si>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</si>
  <si>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</si>
  <si>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</si>
  <si>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</si>
  <si>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</si>
  <si>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</si>
  <si>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</si>
  <si>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</si>
  <si>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</si>
  <si>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</si>
  <si>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</si>
  <si>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</si>
  <si>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</si>
  <si>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</si>
  <si>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</si>
  <si>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</si>
  <si>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</si>
  <si>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</si>
  <si>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</si>
  <si>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</si>
  <si>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</si>
  <si>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</si>
  <si>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</si>
  <si>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</si>
  <si>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</si>
  <si>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</si>
  <si>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</si>
  <si>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</si>
  <si>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</si>
  <si>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</si>
  <si>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</si>
  <si>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</si>
  <si>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</si>
  <si>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</si>
  <si>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</si>
  <si>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</si>
  <si>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</si>
  <si>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</si>
  <si>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</si>
  <si>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</si>
  <si>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</si>
  <si>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</si>
  <si>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</si>
  <si>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</si>
  <si>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</si>
  <si>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</si>
  <si>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</si>
  <si>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</si>
  <si>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</si>
  <si>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</si>
  <si>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</si>
  <si>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</si>
  <si>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</si>
  <si>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</si>
  <si>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</si>
  <si>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</si>
  <si>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</si>
  <si>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</si>
  <si>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</si>
  <si>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</si>
  <si>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</si>
  <si>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</si>
  <si>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</si>
  <si>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</si>
  <si>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</si>
  <si>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</si>
  <si>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</si>
  <si>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</si>
  <si>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</si>
  <si>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</si>
  <si>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</si>
  <si>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</si>
  <si>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</si>
  <si>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</si>
  <si>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</si>
  <si>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</si>
  <si>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</si>
  <si>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</si>
  <si>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</si>
  <si>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</si>
  <si>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</si>
  <si>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</si>
  <si>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</si>
  <si>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</si>
  <si>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</si>
  <si>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</si>
  <si>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</si>
  <si>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</si>
  <si>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</si>
  <si>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</si>
  <si>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</si>
  <si>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</si>
  <si>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</si>
  <si>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</si>
  <si>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</si>
  <si>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</si>
  <si>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</si>
  <si>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</si>
  <si>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</si>
  <si>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</si>
  <si>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</si>
  <si>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</si>
  <si>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</si>
  <si>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</si>
  <si>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</si>
  <si>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</si>
  <si>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</si>
  <si>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</si>
  <si>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</si>
  <si>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</si>
  <si>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</si>
  <si>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</si>
  <si>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</si>
  <si>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</si>
  <si>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</si>
  <si>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</si>
  <si>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</si>
  <si>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</si>
  <si>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</si>
  <si>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</si>
  <si>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</si>
  <si>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</si>
  <si>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</si>
  <si>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</si>
  <si>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</si>
  <si>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</si>
  <si>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</si>
  <si>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</si>
  <si>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</si>
  <si>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</si>
  <si>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</si>
  <si>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</si>
  <si>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</si>
  <si>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</si>
  <si>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</si>
  <si>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</si>
  <si>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</si>
  <si>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</si>
  <si>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</si>
  <si>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</si>
  <si>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</si>
  <si>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</si>
  <si>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</si>
  <si>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</si>
  <si>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</si>
  <si>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</si>
  <si>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</si>
  <si>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</si>
  <si>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</si>
  <si>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</si>
  <si>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</si>
  <si>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</si>
  <si>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</si>
  <si>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</si>
  <si>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</si>
  <si>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</si>
  <si>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</si>
  <si>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</si>
  <si>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</si>
  <si>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</si>
  <si>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</si>
  <si>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</si>
  <si>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</si>
  <si>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</si>
  <si>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</si>
  <si>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</si>
  <si>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</si>
  <si>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</si>
  <si>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</si>
  <si>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</si>
  <si>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</si>
  <si>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</si>
  <si>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</si>
  <si>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</si>
  <si>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</si>
  <si>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</si>
  <si>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</si>
  <si>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</si>
  <si>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</si>
  <si>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</si>
  <si>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</si>
  <si>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</si>
  <si>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</si>
  <si>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</si>
  <si>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</si>
  <si>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</si>
  <si>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</si>
  <si>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</si>
  <si>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</si>
  <si>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</si>
  <si>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</si>
  <si>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</si>
  <si>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</si>
  <si>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</si>
  <si>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</si>
  <si>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</si>
  <si>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</si>
  <si>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</si>
  <si>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</si>
  <si>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</si>
  <si>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</si>
  <si>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</si>
  <si>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</si>
  <si>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</si>
  <si>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</si>
  <si>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</si>
  <si>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</si>
  <si>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</si>
  <si>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</si>
  <si>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</si>
  <si>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</si>
  <si>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</si>
  <si>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</si>
  <si>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</si>
  <si>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</si>
  <si>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</si>
  <si>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</si>
  <si>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</si>
  <si>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</si>
  <si>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</si>
  <si>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</si>
  <si>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</si>
  <si>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</si>
  <si>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</si>
  <si>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</si>
  <si>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</si>
  <si>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</si>
  <si>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</si>
  <si>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</si>
  <si>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</si>
  <si>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</si>
  <si>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</si>
  <si>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</si>
  <si>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</si>
  <si>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</si>
  <si>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</si>
  <si>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</si>
  <si>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</si>
  <si>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</si>
  <si>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</si>
  <si>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</si>
  <si>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</si>
  <si>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</si>
  <si>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</si>
  <si>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</si>
  <si>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</si>
  <si>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</si>
  <si>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</si>
  <si>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</si>
  <si>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</si>
  <si>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</si>
  <si>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</si>
  <si>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</si>
  <si>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</si>
  <si>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</si>
  <si>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</si>
  <si>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</si>
  <si>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</si>
  <si>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</si>
  <si>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</si>
  <si>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</si>
  <si>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</si>
  <si>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</si>
  <si>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</si>
  <si>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</si>
  <si>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</si>
  <si>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</si>
  <si>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</si>
  <si>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</si>
  <si>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</si>
  <si>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</si>
  <si>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</si>
  <si>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</si>
  <si>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</si>
  <si>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</si>
  <si>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</si>
  <si>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</si>
  <si>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</si>
  <si>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</si>
  <si>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</si>
  <si>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</si>
  <si>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</si>
  <si>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</si>
  <si>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</si>
  <si>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</si>
  <si>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</si>
  <si>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</si>
  <si>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</si>
  <si>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</si>
  <si>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</si>
  <si>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</si>
  <si>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</si>
  <si>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</si>
  <si>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</si>
  <si>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</si>
  <si>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</si>
  <si>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</si>
  <si>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</si>
  <si>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</si>
  <si>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</si>
  <si>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</si>
  <si>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</si>
  <si>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</si>
  <si>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</si>
  <si>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</si>
  <si>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</si>
  <si>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</si>
  <si>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</si>
  <si>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</si>
  <si>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</si>
  <si>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</si>
  <si>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</si>
  <si>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</si>
  <si>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</si>
  <si>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</si>
  <si>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</si>
  <si>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</si>
  <si>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</si>
  <si>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</si>
  <si>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</si>
  <si>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</si>
  <si>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</si>
  <si>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</si>
  <si>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</si>
  <si>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</si>
  <si>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</si>
  <si>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</si>
  <si>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</si>
  <si>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</si>
  <si>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</si>
  <si>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</si>
  <si>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</si>
  <si>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</si>
  <si>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</si>
  <si>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</si>
  <si>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</si>
  <si>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</si>
  <si>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</si>
  <si>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</si>
  <si>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</si>
  <si>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</si>
  <si>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</si>
  <si>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</si>
  <si>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</si>
  <si>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</si>
  <si>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</si>
  <si>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</si>
  <si>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</si>
  <si>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</si>
  <si>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</si>
  <si>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</si>
  <si>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</si>
  <si>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</si>
  <si>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</si>
  <si>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</si>
  <si>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</si>
  <si>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</si>
  <si>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</si>
  <si>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</si>
  <si>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</si>
  <si>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</si>
  <si>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</si>
  <si>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</si>
  <si>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</si>
  <si>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</si>
  <si>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</si>
  <si>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</si>
  <si>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</si>
  <si>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</si>
  <si>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</si>
  <si>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</si>
  <si>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</si>
  <si>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</si>
  <si>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</si>
  <si>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</si>
  <si>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</si>
  <si>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</si>
  <si>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</si>
  <si>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</si>
  <si>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</si>
  <si>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</si>
  <si>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</si>
  <si>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</si>
  <si>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</si>
  <si>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</si>
  <si>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</si>
  <si>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</si>
  <si>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</si>
  <si>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</si>
  <si>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</si>
  <si>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</si>
  <si>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</si>
  <si>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</si>
  <si>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</si>
  <si>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</si>
  <si>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</si>
  <si>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</si>
  <si>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</si>
  <si>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</si>
  <si>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</si>
  <si>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</si>
  <si>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</si>
  <si>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</si>
  <si>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</si>
  <si>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</si>
  <si>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</si>
  <si>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</si>
  <si>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</si>
  <si>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</si>
  <si>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</si>
  <si>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</si>
  <si>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</si>
  <si>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</si>
  <si>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</si>
  <si>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</si>
  <si>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</si>
  <si>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</si>
  <si>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</si>
  <si>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</si>
  <si>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</si>
  <si>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</si>
  <si>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</si>
  <si>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</si>
  <si>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</si>
  <si>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</si>
  <si>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</si>
  <si>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</si>
  <si>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</si>
  <si>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</si>
  <si>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</si>
  <si>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</si>
  <si>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</si>
  <si>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</si>
  <si>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</si>
  <si>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</si>
  <si>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</si>
  <si>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</si>
  <si>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</si>
  <si>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</si>
  <si>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</si>
  <si>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</si>
  <si>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</si>
  <si>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</si>
  <si>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</si>
  <si>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</si>
  <si>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</si>
  <si>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</si>
  <si>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</si>
  <si>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</si>
  <si>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</si>
  <si>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</si>
  <si>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</si>
  <si>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</si>
  <si>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</si>
  <si>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</si>
  <si>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</si>
  <si>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</si>
  <si>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</si>
  <si>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</si>
  <si>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</si>
  <si>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</si>
  <si>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</si>
  <si>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</si>
  <si>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</si>
  <si>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</si>
  <si>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</si>
  <si>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</si>
  <si>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</si>
  <si>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</si>
  <si>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</si>
  <si>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</si>
  <si>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</si>
  <si>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</si>
  <si>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</si>
  <si>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</si>
  <si>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</si>
  <si>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</si>
  <si>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</si>
  <si>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</si>
  <si>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</si>
  <si>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</si>
  <si>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</si>
  <si>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</si>
  <si>
    <t xml:space="preserve">Working sheet for the Pipeline &amp; permissions needed tab. Do not edit; change the yellow cells on that tab.</t>
  </si>
  <si>
    <t xml:space="preserve">Tab</t>
  </si>
  <si>
    <t xml:space="preserve">Not started</t>
  </si>
  <si>
    <t xml:space="preserve">Expired</t>
  </si>
  <si>
    <t xml:space="preserve">Exp Q4 2026</t>
  </si>
  <si>
    <t xml:space="preserve">Exp 2027</t>
  </si>
  <si>
    <t xml:space="preserve">Exp 2028</t>
  </si>
  <si>
    <t xml:space="preserve">Exp 2029</t>
  </si>
  <si>
    <t xml:space="preserve">Exp 2030</t>
  </si>
  <si>
    <t xml:space="preserve">Exp 2031+</t>
  </si>
  <si>
    <t xml:space="preserve">NOWM</t>
  </si>
  <si>
    <t xml:space="preserve">REM</t>
  </si>
  <si>
    <t xml:space="preserve">WMON</t>
  </si>
  <si>
    <t xml:space="preserve">Castletroy-Annacotty</t>
  </si>
  <si>
    <t xml:space="preserve">PIPE</t>
  </si>
  <si>
    <t xml:space="preserve">LD</t>
  </si>
  <si>
    <t xml:space="preserve">Corbally-Grove Island</t>
  </si>
  <si>
    <t xml:space="preserve">LS</t>
  </si>
  <si>
    <t xml:space="preserve">LB</t>
  </si>
  <si>
    <t xml:space="preserve">KQ</t>
  </si>
  <si>
    <t xml:space="preserve">Singland-Garryowen</t>
  </si>
  <si>
    <t xml:space="preserve">KR</t>
  </si>
  <si>
    <t xml:space="preserve">LASTGRANT</t>
  </si>
  <si>
    <t xml:space="preserve">LASTAPP</t>
  </si>
  <si>
    <t xml:space="preserve">SPAN</t>
  </si>
  <si>
    <t xml:space="preserve">Month</t>
  </si>
  <si>
    <t xml:space="preserve">Share after status date</t>
  </si>
  <si>
    <t xml:space="preserve">Bucket: completion</t>
  </si>
  <si>
    <t xml:space="preserve">Bucket: start</t>
  </si>
  <si>
    <t xml:space="preserve">Bucket: permission</t>
  </si>
  <si>
    <t xml:space="preserve">Bucket: application</t>
  </si>
  <si>
    <t xml:space="preserve">Limerick: target</t>
  </si>
  <si>
    <t xml:space="preserve">Limerick: register expected</t>
  </si>
  <si>
    <t xml:space="preserve">Limerick: cum target</t>
  </si>
  <si>
    <t xml:space="preserve">Limerick: cum expected</t>
  </si>
  <si>
    <t xml:space="preserve">Limerick: still to deliver</t>
  </si>
  <si>
    <t xml:space="preserve">Limerick: new completions</t>
  </si>
  <si>
    <t xml:space="preserve">Ballinacurra: target</t>
  </si>
  <si>
    <t xml:space="preserve">Ballinacurra: register expected</t>
  </si>
  <si>
    <t xml:space="preserve">Ballinacurra: cum target</t>
  </si>
  <si>
    <t xml:space="preserve">Ballinacurra: cum expected</t>
  </si>
  <si>
    <t xml:space="preserve">Ballinacurra: still to deliver</t>
  </si>
  <si>
    <t xml:space="preserve">Ballinacurra: new completions</t>
  </si>
  <si>
    <t xml:space="preserve">Caherdavin: target</t>
  </si>
  <si>
    <t xml:space="preserve">Caherdavin: register expected</t>
  </si>
  <si>
    <t xml:space="preserve">Caherdavin: cum target</t>
  </si>
  <si>
    <t xml:space="preserve">Caherdavin: cum expected</t>
  </si>
  <si>
    <t xml:space="preserve">Caherdavin: still to deliver</t>
  </si>
  <si>
    <t xml:space="preserve">Caherdavin: new completions</t>
  </si>
  <si>
    <t xml:space="preserve">Castletroy/Annacotty: target</t>
  </si>
  <si>
    <t xml:space="preserve">Castletroy/Annacotty: register expected</t>
  </si>
  <si>
    <t xml:space="preserve">Castletroy/Annacotty: cum target</t>
  </si>
  <si>
    <t xml:space="preserve">Castletroy/Annacotty: cum expected</t>
  </si>
  <si>
    <t xml:space="preserve">Castletroy/Annacotty: still to deliver</t>
  </si>
  <si>
    <t xml:space="preserve">Castletroy/Annacotty: new completions</t>
  </si>
  <si>
    <t xml:space="preserve">City Centre: target</t>
  </si>
  <si>
    <t xml:space="preserve">City Centre: register expected</t>
  </si>
  <si>
    <t xml:space="preserve">City Centre: cum target</t>
  </si>
  <si>
    <t xml:space="preserve">City Centre: cum expected</t>
  </si>
  <si>
    <t xml:space="preserve">City Centre: still to deliver</t>
  </si>
  <si>
    <t xml:space="preserve">City Centre: new completions</t>
  </si>
  <si>
    <t xml:space="preserve">Corbally/Grove Island: target</t>
  </si>
  <si>
    <t xml:space="preserve">Corbally/Grove Island: register expected</t>
  </si>
  <si>
    <t xml:space="preserve">Corbally/Grove Island: cum target</t>
  </si>
  <si>
    <t xml:space="preserve">Corbally/Grove Island: cum expected</t>
  </si>
  <si>
    <t xml:space="preserve">Corbally/Grove Island: still to deliver</t>
  </si>
  <si>
    <t xml:space="preserve">Corbally/Grove Island: new completions</t>
  </si>
  <si>
    <t xml:space="preserve">Dooradoyle: target</t>
  </si>
  <si>
    <t xml:space="preserve">Dooradoyle: register expected</t>
  </si>
  <si>
    <t xml:space="preserve">Dooradoyle: cum target</t>
  </si>
  <si>
    <t xml:space="preserve">Dooradoyle: cum expected</t>
  </si>
  <si>
    <t xml:space="preserve">Dooradoyle: still to deliver</t>
  </si>
  <si>
    <t xml:space="preserve">Dooradoyle: new completions</t>
  </si>
  <si>
    <t xml:space="preserve">Kings Island: target</t>
  </si>
  <si>
    <t xml:space="preserve">Kings Island: register expected</t>
  </si>
  <si>
    <t xml:space="preserve">Kings Island: cum target</t>
  </si>
  <si>
    <t xml:space="preserve">Kings Island: cum expected</t>
  </si>
  <si>
    <t xml:space="preserve">Kings Island: still to deliver</t>
  </si>
  <si>
    <t xml:space="preserve">Kings Island: new completions</t>
  </si>
  <si>
    <t xml:space="preserve">Singland/Garryowen: target</t>
  </si>
  <si>
    <t xml:space="preserve">Singland/Garryowen: register expected</t>
  </si>
  <si>
    <t xml:space="preserve">Singland/Garryowen: cum target</t>
  </si>
  <si>
    <t xml:space="preserve">Singland/Garryowen: cum expected</t>
  </si>
  <si>
    <t xml:space="preserve">Singland/Garryowen: still to deliver</t>
  </si>
  <si>
    <t xml:space="preserve">Singland/Garryowen: new completions</t>
  </si>
  <si>
    <t xml:space="preserve">Southhill: target</t>
  </si>
  <si>
    <t xml:space="preserve">Southhill: register expected</t>
  </si>
  <si>
    <t xml:space="preserve">Southhill: cum target</t>
  </si>
  <si>
    <t xml:space="preserve">Southhill: cum expected</t>
  </si>
  <si>
    <t xml:space="preserve">Southhill: still to deliver</t>
  </si>
  <si>
    <t xml:space="preserve">Southhill: new completions</t>
  </si>
  <si>
    <t xml:space="preserve">Abbeyfeale: target</t>
  </si>
  <si>
    <t xml:space="preserve">Abbeyfeale: register expected</t>
  </si>
  <si>
    <t xml:space="preserve">Abbeyfeale: cum target</t>
  </si>
  <si>
    <t xml:space="preserve">Abbeyfeale: cum expected</t>
  </si>
  <si>
    <t xml:space="preserve">Abbeyfeale: still to deliver</t>
  </si>
  <si>
    <t xml:space="preserve">Abbeyfeale: new completions</t>
  </si>
  <si>
    <t xml:space="preserve">Caherconlish: target</t>
  </si>
  <si>
    <t xml:space="preserve">Caherconlish: register expected</t>
  </si>
  <si>
    <t xml:space="preserve">Caherconlish: cum target</t>
  </si>
  <si>
    <t xml:space="preserve">Caherconlish: cum expected</t>
  </si>
  <si>
    <t xml:space="preserve">Caherconlish: still to deliver</t>
  </si>
  <si>
    <t xml:space="preserve">Caherconlish: new completions</t>
  </si>
  <si>
    <t xml:space="preserve">Castleconnell: target</t>
  </si>
  <si>
    <t xml:space="preserve">Castleconnell: register expected</t>
  </si>
  <si>
    <t xml:space="preserve">Castleconnell: cum target</t>
  </si>
  <si>
    <t xml:space="preserve">Castleconnell: cum expected</t>
  </si>
  <si>
    <t xml:space="preserve">Castleconnell: still to deliver</t>
  </si>
  <si>
    <t xml:space="preserve">Castleconnell: new completions</t>
  </si>
  <si>
    <t xml:space="preserve">Kilmallock: target</t>
  </si>
  <si>
    <t xml:space="preserve">Kilmallock: register expected</t>
  </si>
  <si>
    <t xml:space="preserve">Kilmallock: cum target</t>
  </si>
  <si>
    <t xml:space="preserve">Kilmallock: cum expected</t>
  </si>
  <si>
    <t xml:space="preserve">Kilmallock: still to deliver</t>
  </si>
  <si>
    <t xml:space="preserve">Kilmallock: new completions</t>
  </si>
  <si>
    <t xml:space="preserve">Newcastle West: target</t>
  </si>
  <si>
    <t xml:space="preserve">Newcastle West: register expected</t>
  </si>
  <si>
    <t xml:space="preserve">Newcastle West: cum target</t>
  </si>
  <si>
    <t xml:space="preserve">Newcastle West: cum expected</t>
  </si>
  <si>
    <t xml:space="preserve">Newcastle West: still to deliver</t>
  </si>
  <si>
    <t xml:space="preserve">Newcastle West: new completions</t>
  </si>
  <si>
    <t xml:space="preserve">Rathkeale: target</t>
  </si>
  <si>
    <t xml:space="preserve">Rathkeale: register expected</t>
  </si>
  <si>
    <t xml:space="preserve">Rathkeale: cum target</t>
  </si>
  <si>
    <t xml:space="preserve">Rathkeale: cum expected</t>
  </si>
  <si>
    <t xml:space="preserve">Rathkeale: still to deliver</t>
  </si>
  <si>
    <t xml:space="preserve">Rathkeale: new completions</t>
  </si>
  <si>
    <t xml:space="preserve">Adare: target</t>
  </si>
  <si>
    <t xml:space="preserve">Adare: register expected</t>
  </si>
  <si>
    <t xml:space="preserve">Adare: cum target</t>
  </si>
  <si>
    <t xml:space="preserve">Adare: cum expected</t>
  </si>
  <si>
    <t xml:space="preserve">Adare: still to deliver</t>
  </si>
  <si>
    <t xml:space="preserve">Adare: new completions</t>
  </si>
  <si>
    <t xml:space="preserve">Askeaton: target</t>
  </si>
  <si>
    <t xml:space="preserve">Askeaton: register expected</t>
  </si>
  <si>
    <t xml:space="preserve">Askeaton: cum target</t>
  </si>
  <si>
    <t xml:space="preserve">Askeaton: cum expected</t>
  </si>
  <si>
    <t xml:space="preserve">Askeaton: still to deliver</t>
  </si>
  <si>
    <t xml:space="preserve">Askeaton: new completions</t>
  </si>
  <si>
    <t xml:space="preserve">Bruff: target</t>
  </si>
  <si>
    <t xml:space="preserve">Bruff: register expected</t>
  </si>
  <si>
    <t xml:space="preserve">Bruff: cum target</t>
  </si>
  <si>
    <t xml:space="preserve">Bruff: cum expected</t>
  </si>
  <si>
    <t xml:space="preserve">Bruff: still to deliver</t>
  </si>
  <si>
    <t xml:space="preserve">Bruff: new completions</t>
  </si>
  <si>
    <t xml:space="preserve">Cappamore: target</t>
  </si>
  <si>
    <t xml:space="preserve">Cappamore: register expected</t>
  </si>
  <si>
    <t xml:space="preserve">Cappamore: cum target</t>
  </si>
  <si>
    <t xml:space="preserve">Cappamore: cum expected</t>
  </si>
  <si>
    <t xml:space="preserve">Cappamore: still to deliver</t>
  </si>
  <si>
    <t xml:space="preserve">Cappamore: new completions</t>
  </si>
  <si>
    <t xml:space="preserve">Croom: target</t>
  </si>
  <si>
    <t xml:space="preserve">Croom: register expected</t>
  </si>
  <si>
    <t xml:space="preserve">Croom: cum target</t>
  </si>
  <si>
    <t xml:space="preserve">Croom: cum expected</t>
  </si>
  <si>
    <t xml:space="preserve">Croom: still to deliver</t>
  </si>
  <si>
    <t xml:space="preserve">Croom: new completions</t>
  </si>
  <si>
    <t xml:space="preserve">Hospital: target</t>
  </si>
  <si>
    <t xml:space="preserve">Hospital: register expected</t>
  </si>
  <si>
    <t xml:space="preserve">Hospital: cum target</t>
  </si>
  <si>
    <t xml:space="preserve">Hospital: cum expected</t>
  </si>
  <si>
    <t xml:space="preserve">Hospital: still to deliver</t>
  </si>
  <si>
    <t xml:space="preserve">Hospital: new completions</t>
  </si>
  <si>
    <t xml:space="preserve">Kilfinnane: target</t>
  </si>
  <si>
    <t xml:space="preserve">Kilfinnane: register expected</t>
  </si>
  <si>
    <t xml:space="preserve">Kilfinnane: cum target</t>
  </si>
  <si>
    <t xml:space="preserve">Kilfinnane: cum expected</t>
  </si>
  <si>
    <t xml:space="preserve">Kilfinnane: still to deliver</t>
  </si>
  <si>
    <t xml:space="preserve">Kilfinnane: new completions</t>
  </si>
  <si>
    <t xml:space="preserve">Moroe: target</t>
  </si>
  <si>
    <t xml:space="preserve">Moroe: register expected</t>
  </si>
  <si>
    <t xml:space="preserve">Moroe: cum target</t>
  </si>
  <si>
    <t xml:space="preserve">Moroe: cum expected</t>
  </si>
  <si>
    <t xml:space="preserve">Moroe: still to deliver</t>
  </si>
  <si>
    <t xml:space="preserve">Moroe: new completions</t>
  </si>
  <si>
    <t xml:space="preserve">Patrickswell: target</t>
  </si>
  <si>
    <t xml:space="preserve">Patrickswell: register expected</t>
  </si>
  <si>
    <t xml:space="preserve">Patrickswell: cum target</t>
  </si>
  <si>
    <t xml:space="preserve">Patrickswell: cum expected</t>
  </si>
  <si>
    <t xml:space="preserve">Patrickswell: still to deliver</t>
  </si>
  <si>
    <t xml:space="preserve">Patrickswell: new completions</t>
  </si>
  <si>
    <t xml:space="preserve">Rest of county: target</t>
  </si>
  <si>
    <t xml:space="preserve">Rest of county: register expected</t>
  </si>
  <si>
    <t xml:space="preserve">Rest of county: cum target</t>
  </si>
  <si>
    <t xml:space="preserve">Rest of county: cum expected</t>
  </si>
  <si>
    <t xml:space="preserve">Rest of county: still to deliver</t>
  </si>
  <si>
    <t xml:space="preserve">Rest of county: new completions</t>
  </si>
  <si>
    <t xml:space="preserve">Before</t>
  </si>
  <si>
    <t xml:space="preserve">Still to deliver</t>
  </si>
  <si>
    <t xml:space="preserve">Permissions before now</t>
  </si>
  <si>
    <t xml:space="preserve">Permissions from now</t>
  </si>
  <si>
    <t xml:space="preserve">Per year</t>
  </si>
  <si>
    <t xml:space="preserve">Applications from now</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</si>
</sst>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dd/mm/yyyy"/>
    <numFmt numFmtId="173" formatCode="#,##0"/>
    <numFmt numFmtId="174" formatCode="0.00%"/>
    <numFmt numFmtId="175" formatCode="0.000000"/>
    <numFmt numFmtId="176" formatCode="0.0000"/>
    <numFmt numFmtId="177" formatCode="#,##0.0"/>
  </numFmts>
  <fonts count="17">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
      <b val="true"/>
      <sz val="18"/>
      <color rgb="FF000000"/>
      <name val="Calibri"/>
      <family val="2"/>
    </font>
    <font>
      <sz val="10"/>
      <color rgb="FF000000"/>
      <name val="Calibri"/>
      <family val="2"/>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9"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2" fontId="9" fillId="3"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76"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7"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D9D9D9"/>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B3B3B3"/>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Homes needing permission each year</a:t>
            </a:r>
          </a:p>
        </c:rich>
      </c:tx>
      <c:overlay val="0"/>
      <c:spPr>
        <a:noFill/>
        <a:ln w="0">
          <a:noFill/>
        </a:ln>
      </c:spPr>
    </c:title>
    <c:autoTitleDeleted val="0"/>
    <c:plotArea>
      <c:barChart>
        <c:barDir val="col"/>
        <c:grouping val="clustered"/>
        <c:varyColors val="0"/>
        <c:ser>
          <c:idx val="0"/>
          <c:order val="0"/>
          <c:tx>
            <c:strRef>
              <c:f>'Pipeline &amp; permissions needed'!F30</c:f>
              <c:strCache>
                <c:ptCount val="1"/>
                <c:pt idx="0">
                  <c:v>Permissions needed</c:v>
                </c:pt>
              </c:strCache>
            </c:strRef>
          </c:tx>
          <c:spPr>
            <a:solidFill>
              <a:srgbClr val="3f9b7e"/>
            </a:solidFill>
            <a:ln w="0">
              <a:solidFill>
                <a:srgbClr val="000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'Pipeline &amp; permissions needed'!$A$31:$A$46</c:f>
              <c:strCache>
                <c:ptCount val="16"/>
                <c:pt idx="0">
                  <c:v>Before 8 Oct 2026</c:v>
                </c:pt>
                <c:pt idx="1">
                  <c:v>2026 (from 8 Oct)</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strCache>
            </c:strRef>
          </c:cat>
          <c:val>
            <c:numRef>
              <c:f>'Pipeline &amp; permissions needed'!$F$31:$F$46</c:f>
              <c:numCache>
                <c:formatCode>#,##0;\(#,##0\);\-</c:formatCode>
                <c:ptCount val="16"/>
                <c:pt idx="0">
                  <c:v>7283.03263169618</c:v>
                </c:pt>
                <c:pt idx="1">
                  <c:v>703.750000000001</c:v>
                </c:pt>
                <c:pt idx="2">
                  <c:v>3600.15243902439</c:v>
                </c:pt>
                <c:pt idx="3">
                  <c:v>2156.86991869919</c:v>
                </c:pt>
                <c:pt idx="4">
                  <c:v>1844.51219512197</c:v>
                </c:pt>
                <c:pt idx="5">
                  <c:v>2643.90243902441</c:v>
                </c:pt>
                <c:pt idx="6">
                  <c:v>2643.90243902441</c:v>
                </c:pt>
                <c:pt idx="7">
                  <c:v>2591.97154471544</c:v>
                </c:pt>
                <c:pt idx="8">
                  <c:v>2193.49593495935</c:v>
                </c:pt>
                <c:pt idx="9">
                  <c:v>1926.11788617887</c:v>
                </c:pt>
                <c:pt idx="10">
                  <c:v>1905.99593495935</c:v>
                </c:pt>
                <c:pt idx="11">
                  <c:v>1886.38211382113</c:v>
                </c:pt>
                <c:pt idx="12">
                  <c:v>1867.88617886179</c:v>
                </c:pt>
                <c:pt idx="13">
                  <c:v>774.898373983755</c:v>
                </c:pt>
                <c:pt idx="14">
                  <c:v>0</c:v>
                </c:pt>
                <c:pt idx="15">
                  <c:v>0</c:v>
                </c:pt>
              </c:numCache>
            </c:numRef>
          </c:val>
        </c:ser>
        <c:gapWidth val="150"/>
        <c:overlap val="0"/>
        <c:axId val="32343780"/>
        <c:axId val="7499580"/>
      </c:barChart>
      <c:catAx>
        <c:axId val="3234378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499580"/>
        <c:crosses val="autoZero"/>
        <c:auto val="1"/>
        <c:lblAlgn val="ctr"/>
        <c:lblOffset val="100"/>
        <c:noMultiLvlLbl val="0"/>
      </c:catAx>
      <c:valAx>
        <c:axId val="7499580"/>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234378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27</xdr:row>
      <xdr:rowOff>18360</xdr:rowOff>
    </xdr:from>
    <xdr:to>
      <xdr:col>16</xdr:col>
      <xdr:colOff>447840</xdr:colOff>
      <xdr:row>40</xdr:row>
      <xdr:rowOff>51120</xdr:rowOff>
    </xdr:to>
    <xdr:graphicFrame>
      <xdr:nvGraphicFramePr>
        <xdr:cNvPr id="0" name="Chart 1"/>
        <xdr:cNvGraphicFramePr/>
      </xdr:nvGraphicFramePr>
      <xdr:xfrm>
        <a:off x="11871360" y="56484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8" t="s">
        <v>67</v>
      </c>
      <c r="D35" s="19" t="s">
        <v>68</v>
      </c>
    </row>
    <row r="36" customFormat="false" ht="15" hidden="false" customHeight="true" outlineLevel="0" collapsed="false">
      <c r="B36" s="18" t="s">
        <v>69</v>
      </c>
      <c r="D36" s="19" t="s">
        <v>70</v>
      </c>
    </row>
    <row r="37" customFormat="false" ht="15" hidden="false" customHeight="true" outlineLevel="0" collapsed="false">
      <c r="B37" s="18" t="s">
        <v>71</v>
      </c>
      <c r="D37" s="19" t="s">
        <v>72</v>
      </c>
    </row>
    <row r="38" customFormat="false" ht="15" hidden="false" customHeight="true" outlineLevel="0" collapsed="false">
      <c r="B38" s="12" t="s">
        <v>73</v>
      </c>
      <c r="D38" s="17" t="s">
        <v>74</v>
      </c>
    </row>
    <row r="39" customFormat="false" ht="15" hidden="false" customHeight="false" outlineLevel="0" collapsed="false">
      <c r="B39" s="12" t="s">
        <v>59</v>
      </c>
      <c r="D39" s="17" t="s">
        <v>75</v>
      </c>
    </row>
    <row r="40" customFormat="false" ht="15" hidden="false" customHeight="true" outlineLevel="0" collapsed="false">
      <c r="B40" s="12" t="s">
        <v>76</v>
      </c>
      <c r="D40" s="17" t="s">
        <v>77</v>
      </c>
    </row>
    <row r="41" customFormat="false" ht="54" hidden="false" customHeight="true" outlineLevel="0" collapsed="false">
      <c r="B41" s="12" t="s">
        <v>78</v>
      </c>
      <c r="D41" s="17" t="s">
        <v>79</v>
      </c>
    </row>
    <row r="42" customFormat="false" ht="54" hidden="false" customHeight="true" outlineLevel="0" collapsed="false">
      <c r="B42" s="18" t="s">
        <v>80</v>
      </c>
      <c r="D42" s="19" t="s">
        <v>81</v>
      </c>
    </row>
    <row r="43" customFormat="false" ht="54" hidden="false" customHeight="true" outlineLevel="0" collapsed="false"/>
    <row r="44" customFormat="false" ht="54" hidden="false" customHeight="true" outlineLevel="0" collapsed="false">
      <c r="A44" s="12"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15" hidden="false" customHeight="false" outlineLevel="0" collapsed="false">
      <c r="B50" s="6" t="s">
        <v>93</v>
      </c>
      <c r="D50" s="7" t="s">
        <v>94</v>
      </c>
    </row>
    <row r="51" customFormat="false" ht="35.05" hidden="false" customHeight="false" outlineLevel="0" collapsed="false">
      <c r="B51" s="6" t="s">
        <v>95</v>
      </c>
      <c r="D51" s="7" t="s">
        <v>96</v>
      </c>
    </row>
    <row r="52" customFormat="false" ht="23.85" hidden="false" customHeight="false" outlineLevel="0" collapsed="false">
      <c r="B52" s="6" t="s">
        <v>97</v>
      </c>
      <c r="D52" s="7" t="s">
        <v>98</v>
      </c>
    </row>
    <row r="53" customFormat="false" ht="23.85" hidden="false" customHeight="false" outlineLevel="0" collapsed="false">
      <c r="B53" s="6" t="s">
        <v>99</v>
      </c>
      <c r="D53" s="7" t="s">
        <v>100</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101</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102</v>
      </c>
      <c r="C4" s="20" t="n">
        <v>25</v>
      </c>
    </row>
    <row r="5" customFormat="false" ht="15" hidden="false" customHeight="true" outlineLevel="0" collapsed="false">
      <c r="A5" s="13" t="s">
        <v>53</v>
      </c>
      <c r="C5" s="21" t="n">
        <f aca="false">B28</f>
        <v>39864</v>
      </c>
    </row>
    <row r="6" customFormat="false" ht="15" hidden="false" customHeight="true" outlineLevel="0" collapsed="false">
      <c r="A6" s="13" t="s">
        <v>103</v>
      </c>
      <c r="C6" s="22" t="n">
        <f aca="false">IF(B28&gt;0,SUM(K28:O28)/B28,0)</f>
        <v>0.209772493541024</v>
      </c>
    </row>
    <row r="7" customFormat="false" ht="15" hidden="false" customHeight="true" outlineLevel="0" collapsed="false">
      <c r="A7" s="13" t="s">
        <v>104</v>
      </c>
      <c r="C7" s="22" t="n">
        <f aca="false">SUMPRODUCT(Data!$E$23:$E$47,Data!$F$23:$F$47)/SUM(Data!$E$23:$E$47)</f>
        <v>0.0991397552919588</v>
      </c>
    </row>
    <row r="8" customFormat="false" ht="15" hidden="false" customHeight="true" outlineLevel="0" collapsed="false">
      <c r="A8" s="13" t="s">
        <v>105</v>
      </c>
      <c r="C8" s="22" t="n">
        <f aca="false">(SUMPRODUCT(Data!$E$23:$E$47,Data!$F$23:$F$47)+SUM(K28:O28))/(SUM(Data!$E$23:$E$47)+B28)</f>
        <v>0.137107226409657</v>
      </c>
    </row>
    <row r="9" customFormat="false" ht="15" hidden="false" customHeight="true" outlineLevel="0" collapsed="false">
      <c r="A9" s="13" t="s">
        <v>106</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21"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21"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21"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21"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21"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21"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21"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21"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21"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21"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21"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21"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21"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3" t="n">
        <v>2027</v>
      </c>
      <c r="B14" s="21"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21"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21"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21"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21"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21"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21"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21"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21"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21"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21"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21"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21"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21"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3" t="n">
        <v>2028</v>
      </c>
      <c r="B15" s="21"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21"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21"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21"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21"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21"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21"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21"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21"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21"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21"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21"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21"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21"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3" t="n">
        <v>2029</v>
      </c>
      <c r="B16" s="21"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21"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21"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21"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21"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21"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21"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21"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21"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21"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21"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21"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21"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21"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3" t="n">
        <v>2030</v>
      </c>
      <c r="B17" s="21"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21"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21"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21"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21"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21"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21"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21"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21"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21"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21"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21"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21"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21"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3" t="n">
        <v>2031</v>
      </c>
      <c r="B18" s="21"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21"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21"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21"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21"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21"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21"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21"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21"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21"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21"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21"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21"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21"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3" t="n">
        <v>2032</v>
      </c>
      <c r="B19" s="21"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21"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21"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21"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21"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21"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21"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21"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21"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21"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21"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21"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21"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21"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3" t="n">
        <v>2033</v>
      </c>
      <c r="B20" s="21"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21"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21"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21"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21"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21"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21"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21"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21"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21"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21"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21"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21"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21"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3" t="n">
        <v>2034</v>
      </c>
      <c r="B21" s="21"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21"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21"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21"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21"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21"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21"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21"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21"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21"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21"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21"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21"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21"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3" t="n">
        <v>2035</v>
      </c>
      <c r="B22" s="21"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21"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21"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21"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21"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21"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21"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21"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21"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21"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21"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21"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21"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21"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3" t="n">
        <v>2036</v>
      </c>
      <c r="B23" s="21"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21"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21"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21"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21"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21"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21"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21"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21"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21"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21"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21"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21"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21"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3" t="n">
        <v>2037</v>
      </c>
      <c r="B24" s="21"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21"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21"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21"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21"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21"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21"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21"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21"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21"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21"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21"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21"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21"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3" t="n">
        <v>2038</v>
      </c>
      <c r="B25" s="21"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21"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21"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21"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21"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21"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21"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21"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21"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21"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21"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21"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21"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21"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3" t="n">
        <v>2039</v>
      </c>
      <c r="B26" s="21"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21"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21"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21"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21"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21"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21"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21"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21"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21"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21"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21"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21"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21"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3" t="n">
        <v>2040</v>
      </c>
      <c r="B27" s="21"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21"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21"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21"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21"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21"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21"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21"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21"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21"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21"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21"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21"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21"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4" t="s">
        <v>122</v>
      </c>
      <c r="B28" s="25" t="n">
        <f aca="false">SUM(B13:B27)</f>
        <v>39864</v>
      </c>
      <c r="C28" s="25" t="n">
        <f aca="false">SUM(C13:C27)</f>
        <v>9616.484827069</v>
      </c>
      <c r="D28" s="25" t="n">
        <f aca="false">SUM(D13:D27)</f>
        <v>12368.8704102618</v>
      </c>
      <c r="E28" s="25" t="n">
        <f aca="false">SUM(E13:E27)</f>
        <v>7454.39046221882</v>
      </c>
      <c r="F28" s="25" t="n">
        <f aca="false">SUM(F13:F27)</f>
        <v>10424.2543004504</v>
      </c>
      <c r="G28" s="25" t="n">
        <f aca="false">SUM(G13:G27)</f>
        <v>21191.4052223644</v>
      </c>
      <c r="H28" s="25" t="n">
        <f aca="false">SUM(H13:H27)</f>
        <v>5291.60177590489</v>
      </c>
      <c r="I28" s="25" t="n">
        <f aca="false">SUM(I13:I27)</f>
        <v>2509.31115960569</v>
      </c>
      <c r="J28" s="25" t="n">
        <f aca="false">SUM(J13:J27)</f>
        <v>2509.31115960569</v>
      </c>
      <c r="K28" s="25" t="n">
        <f aca="false">SUM(K13:K27)</f>
        <v>5670.04883592895</v>
      </c>
      <c r="L28" s="25" t="n">
        <f aca="false">SUM(L13:L27)</f>
        <v>1553.87244385078</v>
      </c>
      <c r="M28" s="25" t="n">
        <f aca="false">SUM(M13:M27)</f>
        <v>891.098279024629</v>
      </c>
      <c r="N28" s="25" t="n">
        <f aca="false">SUM(N13:N27)</f>
        <v>91.9638793299439</v>
      </c>
      <c r="O28" s="25" t="n">
        <f aca="false">SUM(O13:O27)</f>
        <v>155.387244385078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0.531592545212833</v>
      </c>
      <c r="H29" s="26" t="n">
        <f aca="false">IF($B$28&gt;0,H28/$B$28,0)</f>
        <v>0.132741365038754</v>
      </c>
      <c r="I29" s="26" t="n">
        <f aca="false">IF($B$28&gt;0,I28/$B$28,0)</f>
        <v>0.0629467981036948</v>
      </c>
      <c r="J29" s="26" t="n">
        <f aca="false">IF($B$28&gt;0,J28/$B$28,0)</f>
        <v>0.0629467981036948</v>
      </c>
      <c r="K29" s="26" t="n">
        <f aca="false">IF($B$28&gt;0,K28/$B$28,0)</f>
        <v>0.142234819283789</v>
      </c>
      <c r="L29" s="26" t="n">
        <f aca="false">IF($B$28&gt;0,L28/$B$28,0)</f>
        <v>0.038979340855177</v>
      </c>
      <c r="M29" s="26" t="n">
        <f aca="false">IF($B$28&gt;0,M28/$B$28,0)</f>
        <v>0.0223534587353158</v>
      </c>
      <c r="N29" s="26" t="n">
        <f aca="false">IF($B$28&gt;0,N28/$B$28,0)</f>
        <v>0.00230694058122476</v>
      </c>
      <c r="O29" s="26" t="n">
        <f aca="false">IF($B$28&gt;0,O28/$B$28,0)</f>
        <v>0.0038979340855177</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2" t="n">
        <f aca="false">IF($B$38&gt;0,B34/$B$38,0)</f>
        <v>0.0462343965379333</v>
      </c>
      <c r="D34" s="21" t="n">
        <f aca="false">C28</f>
        <v>9616.484827069</v>
      </c>
      <c r="E34" s="22" t="n">
        <f aca="false">IF($D$38&gt;0,D34/$D$38,0)</f>
        <v>0.241232310532536</v>
      </c>
      <c r="F34" s="21" t="n">
        <f aca="false">B34+D34</f>
        <v>13143.9381109306</v>
      </c>
      <c r="G34" s="22" t="n">
        <f aca="false">IF($F$38&gt;0,F34/$F$38,0)</f>
        <v>0.113154711308901</v>
      </c>
    </row>
    <row r="35" customFormat="false" ht="15" hidden="false" customHeight="true" outlineLevel="0" collapsed="false">
      <c r="A35" s="13" t="s">
        <v>110</v>
      </c>
      <c r="B35" s="21"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2" t="n">
        <f aca="false">IF($B$38&gt;0,B35/$B$38,0)</f>
        <v>0.170497234566451</v>
      </c>
      <c r="D35" s="21" t="n">
        <f aca="false">D28</f>
        <v>12368.8704102618</v>
      </c>
      <c r="E35" s="22" t="n">
        <f aca="false">IF($D$38&gt;0,D35/$D$38,0)</f>
        <v>0.310276701040081</v>
      </c>
      <c r="F35" s="21" t="n">
        <f aca="false">B35+D35</f>
        <v>25376.9569215091</v>
      </c>
      <c r="G35" s="22" t="n">
        <f aca="false">IF($F$38&gt;0,F35/$F$38,0)</f>
        <v>0.218467418981819</v>
      </c>
    </row>
    <row r="36" customFormat="false" ht="15" hidden="false" customHeight="true" outlineLevel="0" collapsed="false">
      <c r="A36" s="13" t="s">
        <v>111</v>
      </c>
      <c r="B36" s="21"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2" t="n">
        <f aca="false">IF($B$38&gt;0,B36/$B$38,0)</f>
        <v>0.40609449099506</v>
      </c>
      <c r="D36" s="21" t="n">
        <f aca="false">E28</f>
        <v>7454.39046221882</v>
      </c>
      <c r="E36" s="22" t="n">
        <f aca="false">IF($D$38&gt;0,D36/$D$38,0)</f>
        <v>0.186995546413275</v>
      </c>
      <c r="F36" s="21" t="n">
        <f aca="false">B36+D36</f>
        <v>38437.3696526869</v>
      </c>
      <c r="G36" s="22" t="n">
        <f aca="false">IF($F$38&gt;0,F36/$F$38,0)</f>
        <v>0.330903069522696</v>
      </c>
    </row>
    <row r="37" customFormat="false" ht="15" hidden="false" customHeight="true" outlineLevel="0" collapsed="false">
      <c r="A37" s="13" t="s">
        <v>112</v>
      </c>
      <c r="B37" s="21"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2" t="n">
        <f aca="false">IF($B$38&gt;0,B37/$B$38,0)</f>
        <v>0.377173877900557</v>
      </c>
      <c r="D37" s="21" t="n">
        <f aca="false">F28</f>
        <v>10424.2543004504</v>
      </c>
      <c r="E37" s="22" t="n">
        <f aca="false">IF($D$38&gt;0,D37/$D$38,0)</f>
        <v>0.261495442014108</v>
      </c>
      <c r="F37" s="21" t="n">
        <f aca="false">B37+D37</f>
        <v>39200.7353148734</v>
      </c>
      <c r="G37" s="22" t="n">
        <f aca="false">IF($F$38&gt;0,F37/$F$38,0)</f>
        <v>0.337474800186584</v>
      </c>
    </row>
    <row r="38" customFormat="false" ht="15" hidden="false" customHeight="true" outlineLevel="0" collapsed="false">
      <c r="A38" s="24" t="s">
        <v>61</v>
      </c>
      <c r="B38" s="25" t="n">
        <f aca="false">SUM(B34:B37)</f>
        <v>76295</v>
      </c>
      <c r="C38" s="27" t="n">
        <f aca="false">SUM(C34:C37)</f>
        <v>1</v>
      </c>
      <c r="D38" s="25" t="n">
        <f aca="false">SUM(D34:D37)</f>
        <v>39864</v>
      </c>
      <c r="E38" s="27" t="n">
        <f aca="false">SUM(E34:E37)</f>
        <v>1</v>
      </c>
      <c r="F38" s="25" t="n">
        <f aca="false">SUM(F34:F37)</f>
        <v>116159</v>
      </c>
      <c r="G38" s="27" t="n">
        <f aca="false">SUM(G34:G37)</f>
        <v>1</v>
      </c>
    </row>
    <row r="39" customFormat="false" ht="15" hidden="false" customHeight="true" outlineLevel="0" collapsed="false">
      <c r="A39" s="3" t="s">
        <v>130</v>
      </c>
    </row>
    <row r="40" customFormat="false" ht="15" hidden="false" customHeight="true" outlineLevel="0" collapsed="false">
      <c r="A40" s="3" t="s">
        <v>131</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1" min="20" style="1" width="11"/>
  </cols>
  <sheetData>
    <row r="1" customFormat="false" ht="19.5" hidden="false" customHeight="true" outlineLevel="0" collapsed="false">
      <c r="A1" s="2" t="s">
        <v>133</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134</v>
      </c>
    </row>
    <row r="5" customFormat="false" ht="15" hidden="false" customHeight="true" outlineLevel="0" collapsed="false">
      <c r="E5" s="12" t="s">
        <v>135</v>
      </c>
    </row>
    <row r="6" customFormat="false" ht="42" hidden="false" customHeight="true" outlineLevel="0" collapsed="false">
      <c r="A6" s="4" t="s">
        <v>136</v>
      </c>
      <c r="B6" s="5" t="s">
        <v>137</v>
      </c>
      <c r="C6" s="5" t="s">
        <v>138</v>
      </c>
      <c r="D6" s="5" t="s">
        <v>139</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row>
    <row r="7" customFormat="false" ht="30" hidden="false" customHeight="true" outlineLevel="0" collapsed="false">
      <c r="A7" s="28" t="s">
        <v>157</v>
      </c>
      <c r="B7" s="28" t="s">
        <v>158</v>
      </c>
      <c r="C7" s="29" t="n">
        <v>31</v>
      </c>
      <c r="D7" s="30" t="s">
        <v>159</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38.9855214829235</v>
      </c>
    </row>
    <row r="8" customFormat="false" ht="30" hidden="false" customHeight="true" outlineLevel="0" collapsed="false">
      <c r="A8" s="28" t="s">
        <v>160</v>
      </c>
      <c r="B8" s="28" t="s">
        <v>158</v>
      </c>
      <c r="C8" s="29" t="n">
        <v>25</v>
      </c>
      <c r="D8" s="30" t="s">
        <v>161</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196.479527623901</v>
      </c>
    </row>
    <row r="9" customFormat="false" ht="30" hidden="false" customHeight="true" outlineLevel="0" collapsed="false">
      <c r="A9" s="28" t="s">
        <v>162</v>
      </c>
      <c r="B9" s="28" t="s">
        <v>158</v>
      </c>
      <c r="C9" s="29" t="n">
        <v>24.4</v>
      </c>
      <c r="D9" s="30" t="s">
        <v>163</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238.839126645349</v>
      </c>
    </row>
    <row r="10" customFormat="false" ht="30" hidden="false" customHeight="true" outlineLevel="0" collapsed="false">
      <c r="A10" s="28" t="s">
        <v>164</v>
      </c>
      <c r="B10" s="28" t="s">
        <v>158</v>
      </c>
      <c r="C10" s="29" t="n">
        <v>35.4</v>
      </c>
      <c r="D10" s="30" t="s">
        <v>165</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143.00270789997</v>
      </c>
    </row>
    <row r="11" customFormat="false" ht="30" hidden="false" customHeight="true" outlineLevel="0" collapsed="false">
      <c r="A11" s="28" t="s">
        <v>166</v>
      </c>
      <c r="B11" s="28" t="s">
        <v>158</v>
      </c>
      <c r="C11" s="29" t="n">
        <v>24.1</v>
      </c>
      <c r="D11" s="30" t="s">
        <v>167</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53.1336800377505</v>
      </c>
    </row>
    <row r="12" customFormat="false" ht="30" hidden="false" customHeight="true" outlineLevel="0" collapsed="false">
      <c r="A12" s="28" t="s">
        <v>168</v>
      </c>
      <c r="B12" s="28" t="s">
        <v>158</v>
      </c>
      <c r="C12" s="29" t="n">
        <v>22.5</v>
      </c>
      <c r="D12" s="30" t="s">
        <v>169</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242.669840166648</v>
      </c>
    </row>
    <row r="13" customFormat="false" ht="30" hidden="false" customHeight="true" outlineLevel="0" collapsed="false">
      <c r="A13" s="28" t="s">
        <v>170</v>
      </c>
      <c r="B13" s="28" t="s">
        <v>158</v>
      </c>
      <c r="C13" s="29" t="n">
        <v>46.1</v>
      </c>
      <c r="D13" s="30" t="s">
        <v>171</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13.7384078495573</v>
      </c>
    </row>
    <row r="14" customFormat="false" ht="30" hidden="false" customHeight="true" outlineLevel="0" collapsed="false">
      <c r="A14" s="28" t="s">
        <v>172</v>
      </c>
      <c r="B14" s="28" t="s">
        <v>158</v>
      </c>
      <c r="C14" s="29" t="n">
        <v>35.3</v>
      </c>
      <c r="D14" s="30" t="s">
        <v>173</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89.1593861209661</v>
      </c>
    </row>
    <row r="15" customFormat="false" ht="30" hidden="false" customHeight="true" outlineLevel="0" collapsed="false">
      <c r="A15" s="28" t="s">
        <v>174</v>
      </c>
      <c r="B15" s="28" t="s">
        <v>158</v>
      </c>
      <c r="C15" s="29" t="n">
        <v>24.4</v>
      </c>
      <c r="D15" s="30" t="s">
        <v>175</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70.7226103409064</v>
      </c>
    </row>
    <row r="16" customFormat="false" ht="30" hidden="false" customHeight="true" outlineLevel="0" collapsed="false">
      <c r="A16" s="28" t="s">
        <v>176</v>
      </c>
      <c r="B16" s="28" t="s">
        <v>177</v>
      </c>
      <c r="C16" s="29" t="n">
        <v>18.1</v>
      </c>
      <c r="D16" s="30" t="s">
        <v>178</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29.7931230700481</v>
      </c>
    </row>
    <row r="17" customFormat="false" ht="30" hidden="false" customHeight="true" outlineLevel="0" collapsed="false">
      <c r="A17" s="28" t="s">
        <v>179</v>
      </c>
      <c r="B17" s="28" t="s">
        <v>177</v>
      </c>
      <c r="C17" s="29" t="n">
        <v>20.3</v>
      </c>
      <c r="D17" s="30" t="s">
        <v>180</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15.7553848720356</v>
      </c>
    </row>
    <row r="18" customFormat="false" ht="30" hidden="false" customHeight="true" outlineLevel="0" collapsed="false">
      <c r="A18" s="28" t="s">
        <v>181</v>
      </c>
      <c r="B18" s="28" t="s">
        <v>177</v>
      </c>
      <c r="C18" s="29" t="n">
        <v>18.4</v>
      </c>
      <c r="D18" s="30" t="s">
        <v>182</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28.4988865768627</v>
      </c>
    </row>
    <row r="19" customFormat="false" ht="30" hidden="false" customHeight="true" outlineLevel="0" collapsed="false">
      <c r="A19" s="28" t="s">
        <v>183</v>
      </c>
      <c r="B19" s="28" t="s">
        <v>177</v>
      </c>
      <c r="C19" s="29" t="n">
        <v>17.2</v>
      </c>
      <c r="D19" s="30" t="s">
        <v>184</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24.108657307064</v>
      </c>
    </row>
    <row r="20" customFormat="false" ht="30" hidden="false" customHeight="true" outlineLevel="0" collapsed="false">
      <c r="A20" s="28" t="s">
        <v>185</v>
      </c>
      <c r="B20" s="28" t="s">
        <v>177</v>
      </c>
      <c r="C20" s="29" t="n">
        <v>22.9</v>
      </c>
      <c r="D20" s="30" t="s">
        <v>186</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78.8461251721732</v>
      </c>
    </row>
    <row r="21" customFormat="false" ht="30" hidden="false" customHeight="true" outlineLevel="0" collapsed="false">
      <c r="A21" s="28" t="s">
        <v>187</v>
      </c>
      <c r="B21" s="28" t="s">
        <v>177</v>
      </c>
      <c r="C21" s="29" t="n">
        <v>16.5</v>
      </c>
      <c r="D21" s="30" t="s">
        <v>188</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22.7648101502006</v>
      </c>
    </row>
    <row r="22" customFormat="false" ht="30" hidden="false" customHeight="true" outlineLevel="0" collapsed="false">
      <c r="A22" s="28" t="s">
        <v>189</v>
      </c>
      <c r="B22" s="28" t="s">
        <v>190</v>
      </c>
      <c r="C22" s="29" t="n">
        <v>12.9</v>
      </c>
      <c r="D22" s="30" t="s">
        <v>191</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28.8294855689853</v>
      </c>
    </row>
    <row r="23" customFormat="false" ht="30" hidden="false" customHeight="true" outlineLevel="0" collapsed="false">
      <c r="A23" s="28" t="s">
        <v>192</v>
      </c>
      <c r="B23" s="28" t="s">
        <v>190</v>
      </c>
      <c r="C23" s="29" t="n">
        <v>17.6</v>
      </c>
      <c r="D23" s="30" t="s">
        <v>193</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17.2215225300868</v>
      </c>
    </row>
    <row r="24" customFormat="false" ht="30" hidden="false" customHeight="true" outlineLevel="0" collapsed="false">
      <c r="A24" s="28" t="s">
        <v>194</v>
      </c>
      <c r="B24" s="28" t="s">
        <v>190</v>
      </c>
      <c r="C24" s="29" t="n">
        <v>14.2</v>
      </c>
      <c r="D24" s="30" t="s">
        <v>195</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14.9283948865316</v>
      </c>
    </row>
    <row r="25" customFormat="false" ht="30" hidden="false" customHeight="true" outlineLevel="0" collapsed="false">
      <c r="A25" s="28" t="s">
        <v>196</v>
      </c>
      <c r="B25" s="28" t="s">
        <v>190</v>
      </c>
      <c r="C25" s="29" t="n">
        <v>21.6</v>
      </c>
      <c r="D25" s="30" t="s">
        <v>197</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7.66183619947964</v>
      </c>
    </row>
    <row r="26" customFormat="false" ht="30" hidden="false" customHeight="true" outlineLevel="0" collapsed="false">
      <c r="A26" s="28" t="s">
        <v>198</v>
      </c>
      <c r="B26" s="28" t="s">
        <v>190</v>
      </c>
      <c r="C26" s="29" t="n">
        <v>16</v>
      </c>
      <c r="D26" s="30" t="s">
        <v>199</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16.619297509096</v>
      </c>
    </row>
    <row r="27" customFormat="false" ht="30" hidden="false" customHeight="true" outlineLevel="0" collapsed="false">
      <c r="A27" s="28" t="s">
        <v>200</v>
      </c>
      <c r="B27" s="28" t="s">
        <v>190</v>
      </c>
      <c r="C27" s="29" t="n">
        <v>16.6</v>
      </c>
      <c r="D27" s="30" t="s">
        <v>201</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9.85760000539522</v>
      </c>
    </row>
    <row r="28" customFormat="false" ht="30" hidden="false" customHeight="true" outlineLevel="0" collapsed="false">
      <c r="A28" s="28" t="s">
        <v>202</v>
      </c>
      <c r="B28" s="28" t="s">
        <v>190</v>
      </c>
      <c r="C28" s="29" t="n">
        <v>19.3</v>
      </c>
      <c r="D28" s="30" t="s">
        <v>203</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10.7908913860285</v>
      </c>
    </row>
    <row r="29" customFormat="false" ht="30" hidden="false" customHeight="true" outlineLevel="0" collapsed="false">
      <c r="A29" s="28" t="s">
        <v>204</v>
      </c>
      <c r="B29" s="28" t="s">
        <v>190</v>
      </c>
      <c r="C29" s="29" t="n">
        <v>25.8</v>
      </c>
      <c r="D29" s="30" t="s">
        <v>205</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11.6038679415166</v>
      </c>
    </row>
    <row r="30" customFormat="false" ht="30" hidden="false" customHeight="true" outlineLevel="0" collapsed="false">
      <c r="A30" s="28" t="s">
        <v>206</v>
      </c>
      <c r="B30" s="28" t="s">
        <v>190</v>
      </c>
      <c r="C30" s="29" t="n">
        <v>21.5</v>
      </c>
      <c r="D30" s="30" t="s">
        <v>207</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34.5953826827824</v>
      </c>
    </row>
    <row r="31" customFormat="false" ht="43.5" hidden="false" customHeight="true" outlineLevel="0" collapsed="false">
      <c r="A31" s="28" t="s">
        <v>208</v>
      </c>
      <c r="B31" s="28" t="s">
        <v>208</v>
      </c>
      <c r="C31" s="29" t="n">
        <v>10.1</v>
      </c>
      <c r="D31" s="30" t="s">
        <v>209</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row>
    <row r="32" customFormat="false" ht="15" hidden="false" customHeight="true" outlineLevel="0" collapsed="false">
      <c r="A32" s="24" t="s">
        <v>210</v>
      </c>
      <c r="B32" s="34"/>
      <c r="C32" s="35" t="n">
        <f aca="false">IF(U32&gt;0,T32/U32,0)</f>
        <v>21.8536994849498</v>
      </c>
      <c r="D32" s="36" t="s">
        <v>211</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1824.1305106009</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row>
    <row r="36" customFormat="false" ht="15" hidden="false" customHeight="true" outlineLevel="0" collapsed="false">
      <c r="A36" s="13" t="s">
        <v>214</v>
      </c>
      <c r="C36" s="38" t="n">
        <f aca="false">IF(U36&gt;0,T36/U36,0)</f>
        <v>26.9224001044089</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1086.73080816797</v>
      </c>
    </row>
    <row r="37" customFormat="false" ht="15" hidden="false" customHeight="true" outlineLevel="0" collapsed="false">
      <c r="A37" s="13" t="s">
        <v>215</v>
      </c>
      <c r="C37" s="38" t="n">
        <f aca="false">IF(U37&gt;0,T37/U37,0)</f>
        <v>19.9198774026223</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199.766987148384</v>
      </c>
    </row>
    <row r="38" customFormat="false" ht="15" hidden="false" customHeight="true" outlineLevel="0" collapsed="false">
      <c r="A38" s="13" t="s">
        <v>216</v>
      </c>
      <c r="C38" s="38" t="n">
        <f aca="false">IF(U38&gt;0,T38/U38,0)</f>
        <v>17.9705384704048</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152.108278709902</v>
      </c>
    </row>
    <row r="39" customFormat="false" ht="15" hidden="false" customHeight="true" outlineLevel="0" collapsed="false">
      <c r="A39" s="13" t="s">
        <v>208</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row>
    <row r="44" customFormat="false" ht="15" hidden="false" customHeight="true" outlineLevel="0" collapsed="false">
      <c r="A44" s="13" t="str">
        <f aca="false">A7</f>
        <v>Ballinacurra</v>
      </c>
      <c r="B44" s="13" t="str">
        <f aca="false">B7</f>
        <v>City neighbourhood</v>
      </c>
      <c r="C44" s="38" t="n">
        <f aca="false">C7</f>
        <v>31</v>
      </c>
      <c r="E44" s="39" t="n">
        <f aca="false">IF($C44&gt;0,E7/$C44,0)</f>
        <v>4.16905674497549</v>
      </c>
      <c r="F44" s="39" t="n">
        <f aca="false">IF($C44&gt;0,F7/$C44,0)</f>
        <v>4.16905674497549</v>
      </c>
      <c r="G44" s="39" t="n">
        <f aca="false">IF($C44&gt;0,G7/$C44,0)</f>
        <v>4.16905674497549</v>
      </c>
      <c r="H44" s="39" t="n">
        <f aca="false">IF($C44&gt;0,H7/$C44,0)</f>
        <v>4.16905674497549</v>
      </c>
      <c r="I44" s="39" t="n">
        <f aca="false">IF($C44&gt;0,I7/$C44,0)</f>
        <v>4.16905674497549</v>
      </c>
      <c r="J44" s="39" t="n">
        <f aca="false">IF($C44&gt;0,J7/$C44,0)</f>
        <v>2.12022402606307</v>
      </c>
      <c r="K44" s="39" t="n">
        <f aca="false">IF($C44&gt;0,K7/$C44,0)</f>
        <v>2.12022402606307</v>
      </c>
      <c r="L44" s="39" t="n">
        <f aca="false">IF($C44&gt;0,L7/$C44,0)</f>
        <v>2.12022402606307</v>
      </c>
      <c r="M44" s="39" t="n">
        <f aca="false">IF($C44&gt;0,M7/$C44,0)</f>
        <v>2.12022402606307</v>
      </c>
      <c r="N44" s="39" t="n">
        <f aca="false">IF($C44&gt;0,N7/$C44,0)</f>
        <v>2.04883271891242</v>
      </c>
      <c r="O44" s="39" t="n">
        <f aca="false">IF($C44&gt;0,O7/$C44,0)</f>
        <v>1.55202745819285</v>
      </c>
      <c r="P44" s="39" t="n">
        <f aca="false">IF($C44&gt;0,P7/$C44,0)</f>
        <v>1.53931393774136</v>
      </c>
      <c r="Q44" s="39" t="n">
        <f aca="false">IF($C44&gt;0,Q7/$C44,0)</f>
        <v>1.52073263861996</v>
      </c>
      <c r="R44" s="39" t="n">
        <f aca="false">IF($C44&gt;0,R7/$C44,0)</f>
        <v>1.50704115505682</v>
      </c>
      <c r="S44" s="39" t="n">
        <f aca="false">IF($C44&gt;0,S7/$C44,0)</f>
        <v>1.49139374527038</v>
      </c>
      <c r="T44" s="40" t="n">
        <f aca="false">SUM(E44:S44)</f>
        <v>38.9855214829235</v>
      </c>
    </row>
    <row r="45" customFormat="false" ht="15" hidden="false" customHeight="true" outlineLevel="0" collapsed="false">
      <c r="A45" s="13" t="str">
        <f aca="false">A8</f>
        <v>Caherdavin</v>
      </c>
      <c r="B45" s="13" t="str">
        <f aca="false">B8</f>
        <v>City neighbourhood</v>
      </c>
      <c r="C45" s="38" t="n">
        <f aca="false">C8</f>
        <v>25</v>
      </c>
      <c r="E45" s="39" t="n">
        <f aca="false">IF($C45&gt;0,E8/$C45,0)</f>
        <v>21.0112438857287</v>
      </c>
      <c r="F45" s="39" t="n">
        <f aca="false">IF($C45&gt;0,F8/$C45,0)</f>
        <v>21.0112438857287</v>
      </c>
      <c r="G45" s="39" t="n">
        <f aca="false">IF($C45&gt;0,G8/$C45,0)</f>
        <v>21.0112438857287</v>
      </c>
      <c r="H45" s="39" t="n">
        <f aca="false">IF($C45&gt;0,H8/$C45,0)</f>
        <v>21.0112438857287</v>
      </c>
      <c r="I45" s="39" t="n">
        <f aca="false">IF($C45&gt;0,I8/$C45,0)</f>
        <v>21.0112438857287</v>
      </c>
      <c r="J45" s="39" t="n">
        <f aca="false">IF($C45&gt;0,J8/$C45,0)</f>
        <v>10.6855211691907</v>
      </c>
      <c r="K45" s="39" t="n">
        <f aca="false">IF($C45&gt;0,K8/$C45,0)</f>
        <v>10.6855211691907</v>
      </c>
      <c r="L45" s="39" t="n">
        <f aca="false">IF($C45&gt;0,L8/$C45,0)</f>
        <v>10.6855211691907</v>
      </c>
      <c r="M45" s="39" t="n">
        <f aca="false">IF($C45&gt;0,M8/$C45,0)</f>
        <v>10.6855211691907</v>
      </c>
      <c r="N45" s="39" t="n">
        <f aca="false">IF($C45&gt;0,N8/$C45,0)</f>
        <v>10.325722716538</v>
      </c>
      <c r="O45" s="39" t="n">
        <f aca="false">IF($C45&gt;0,O8/$C45,0)</f>
        <v>7.82191978574981</v>
      </c>
      <c r="P45" s="39" t="n">
        <f aca="false">IF($C45&gt;0,P8/$C45,0)</f>
        <v>7.75784608870209</v>
      </c>
      <c r="Q45" s="39" t="n">
        <f aca="false">IF($C45&gt;0,Q8/$C45,0)</f>
        <v>7.66419991609386</v>
      </c>
      <c r="R45" s="39" t="n">
        <f aca="false">IF($C45&gt;0,R8/$C45,0)</f>
        <v>7.59519747311938</v>
      </c>
      <c r="S45" s="39" t="n">
        <f aca="false">IF($C45&gt;0,S8/$C45,0)</f>
        <v>7.51633753829141</v>
      </c>
      <c r="T45" s="40" t="n">
        <f aca="false">SUM(E45:S45)</f>
        <v>196.479527623901</v>
      </c>
    </row>
    <row r="46" customFormat="false" ht="15" hidden="false" customHeight="true" outlineLevel="0" collapsed="false">
      <c r="A46" s="13" t="str">
        <f aca="false">A9</f>
        <v>Castletroy/Annacotty</v>
      </c>
      <c r="B46" s="13" t="str">
        <f aca="false">B9</f>
        <v>City neighbourhood</v>
      </c>
      <c r="C46" s="38" t="n">
        <f aca="false">C9</f>
        <v>24.4</v>
      </c>
      <c r="E46" s="39" t="n">
        <f aca="false">IF($C46&gt;0,E9/$C46,0)</f>
        <v>25.5411197293077</v>
      </c>
      <c r="F46" s="39" t="n">
        <f aca="false">IF($C46&gt;0,F9/$C46,0)</f>
        <v>25.5411197293077</v>
      </c>
      <c r="G46" s="39" t="n">
        <f aca="false">IF($C46&gt;0,G9/$C46,0)</f>
        <v>25.5411197293077</v>
      </c>
      <c r="H46" s="39" t="n">
        <f aca="false">IF($C46&gt;0,H9/$C46,0)</f>
        <v>25.5411197293077</v>
      </c>
      <c r="I46" s="39" t="n">
        <f aca="false">IF($C46&gt;0,I9/$C46,0)</f>
        <v>25.5411197293077</v>
      </c>
      <c r="J46" s="39" t="n">
        <f aca="false">IF($C46&gt;0,J9/$C46,0)</f>
        <v>12.9892440940978</v>
      </c>
      <c r="K46" s="39" t="n">
        <f aca="false">IF($C46&gt;0,K9/$C46,0)</f>
        <v>12.9892440940978</v>
      </c>
      <c r="L46" s="39" t="n">
        <f aca="false">IF($C46&gt;0,L9/$C46,0)</f>
        <v>12.9892440940978</v>
      </c>
      <c r="M46" s="39" t="n">
        <f aca="false">IF($C46&gt;0,M9/$C46,0)</f>
        <v>12.9892440940978</v>
      </c>
      <c r="N46" s="39" t="n">
        <f aca="false">IF($C46&gt;0,N9/$C46,0)</f>
        <v>12.5518756352099</v>
      </c>
      <c r="O46" s="39" t="n">
        <f aca="false">IF($C46&gt;0,O9/$C46,0)</f>
        <v>9.50827046924966</v>
      </c>
      <c r="P46" s="39" t="n">
        <f aca="false">IF($C46&gt;0,P9/$C46,0)</f>
        <v>9.43038293547509</v>
      </c>
      <c r="Q46" s="39" t="n">
        <f aca="false">IF($C46&gt;0,Q9/$C46,0)</f>
        <v>9.31654730918917</v>
      </c>
      <c r="R46" s="39" t="n">
        <f aca="false">IF($C46&gt;0,R9/$C46,0)</f>
        <v>9.23266842666271</v>
      </c>
      <c r="S46" s="39" t="n">
        <f aca="false">IF($C46&gt;0,S9/$C46,0)</f>
        <v>9.13680684663247</v>
      </c>
      <c r="T46" s="40" t="n">
        <f aca="false">SUM(E46:S46)</f>
        <v>238.839126645349</v>
      </c>
    </row>
    <row r="47" customFormat="false" ht="15" hidden="false" customHeight="true" outlineLevel="0" collapsed="false">
      <c r="A47" s="13" t="str">
        <f aca="false">A10</f>
        <v>City Centre</v>
      </c>
      <c r="B47" s="13" t="str">
        <f aca="false">B10</f>
        <v>City neighbourhood</v>
      </c>
      <c r="C47" s="38" t="n">
        <f aca="false">C10</f>
        <v>35.4</v>
      </c>
      <c r="E47" s="39" t="n">
        <f aca="false">IF($C47&gt;0,E10/$C47,0)</f>
        <v>15.2925081220542</v>
      </c>
      <c r="F47" s="39" t="n">
        <f aca="false">IF($C47&gt;0,F10/$C47,0)</f>
        <v>15.2925081220542</v>
      </c>
      <c r="G47" s="39" t="n">
        <f aca="false">IF($C47&gt;0,G10/$C47,0)</f>
        <v>15.2925081220542</v>
      </c>
      <c r="H47" s="39" t="n">
        <f aca="false">IF($C47&gt;0,H10/$C47,0)</f>
        <v>15.2925081220542</v>
      </c>
      <c r="I47" s="39" t="n">
        <f aca="false">IF($C47&gt;0,I10/$C47,0)</f>
        <v>15.2925081220542</v>
      </c>
      <c r="J47" s="39" t="n">
        <f aca="false">IF($C47&gt;0,J10/$C47,0)</f>
        <v>7.77718921149744</v>
      </c>
      <c r="K47" s="39" t="n">
        <f aca="false">IF($C47&gt;0,K10/$C47,0)</f>
        <v>7.77718921149744</v>
      </c>
      <c r="L47" s="39" t="n">
        <f aca="false">IF($C47&gt;0,L10/$C47,0)</f>
        <v>7.77718921149744</v>
      </c>
      <c r="M47" s="39" t="n">
        <f aca="false">IF($C47&gt;0,M10/$C47,0)</f>
        <v>7.77718921149744</v>
      </c>
      <c r="N47" s="39" t="n">
        <f aca="false">IF($C47&gt;0,N10/$C47,0)</f>
        <v>7.5153189105568</v>
      </c>
      <c r="O47" s="39" t="n">
        <f aca="false">IF($C47&gt;0,O10/$C47,0)</f>
        <v>5.69298859716164</v>
      </c>
      <c r="P47" s="39" t="n">
        <f aca="false">IF($C47&gt;0,P10/$C47,0)</f>
        <v>5.64635416000783</v>
      </c>
      <c r="Q47" s="39" t="n">
        <f aca="false">IF($C47&gt;0,Q10/$C47,0)</f>
        <v>5.57819613647533</v>
      </c>
      <c r="R47" s="39" t="n">
        <f aca="false">IF($C47&gt;0,R10/$C47,0)</f>
        <v>5.52797443492507</v>
      </c>
      <c r="S47" s="39" t="n">
        <f aca="false">IF($C47&gt;0,S10/$C47,0)</f>
        <v>5.47057820458192</v>
      </c>
      <c r="T47" s="40" t="n">
        <f aca="false">SUM(E47:S47)</f>
        <v>143.00270789997</v>
      </c>
    </row>
    <row r="48" customFormat="false" ht="15" hidden="false" customHeight="true" outlineLevel="0" collapsed="false">
      <c r="A48" s="13" t="str">
        <f aca="false">A11</f>
        <v>Corbally/Grove Island</v>
      </c>
      <c r="B48" s="13" t="str">
        <f aca="false">B11</f>
        <v>City neighbourhood</v>
      </c>
      <c r="C48" s="38" t="n">
        <f aca="false">C11</f>
        <v>24.1</v>
      </c>
      <c r="E48" s="39" t="n">
        <f aca="false">IF($C48&gt;0,E11/$C48,0)</f>
        <v>5.68204088904602</v>
      </c>
      <c r="F48" s="39" t="n">
        <f aca="false">IF($C48&gt;0,F11/$C48,0)</f>
        <v>5.68204088904602</v>
      </c>
      <c r="G48" s="39" t="n">
        <f aca="false">IF($C48&gt;0,G11/$C48,0)</f>
        <v>5.68204088904602</v>
      </c>
      <c r="H48" s="39" t="n">
        <f aca="false">IF($C48&gt;0,H11/$C48,0)</f>
        <v>5.68204088904602</v>
      </c>
      <c r="I48" s="39" t="n">
        <f aca="false">IF($C48&gt;0,I11/$C48,0)</f>
        <v>5.68204088904602</v>
      </c>
      <c r="J48" s="39" t="n">
        <f aca="false">IF($C48&gt;0,J11/$C48,0)</f>
        <v>2.88967033719253</v>
      </c>
      <c r="K48" s="39" t="n">
        <f aca="false">IF($C48&gt;0,K11/$C48,0)</f>
        <v>2.88967033719253</v>
      </c>
      <c r="L48" s="39" t="n">
        <f aca="false">IF($C48&gt;0,L11/$C48,0)</f>
        <v>2.88967033719253</v>
      </c>
      <c r="M48" s="39" t="n">
        <f aca="false">IF($C48&gt;0,M11/$C48,0)</f>
        <v>2.88967033719253</v>
      </c>
      <c r="N48" s="39" t="n">
        <f aca="false">IF($C48&gt;0,N11/$C48,0)</f>
        <v>2.79237055185348</v>
      </c>
      <c r="O48" s="39" t="n">
        <f aca="false">IF($C48&gt;0,O11/$C48,0)</f>
        <v>2.11527067579546</v>
      </c>
      <c r="P48" s="39" t="n">
        <f aca="false">IF($C48&gt;0,P11/$C48,0)</f>
        <v>2.09794331676247</v>
      </c>
      <c r="Q48" s="39" t="n">
        <f aca="false">IF($C48&gt;0,Q11/$C48,0)</f>
        <v>2.07261871509889</v>
      </c>
      <c r="R48" s="39" t="n">
        <f aca="false">IF($C48&gt;0,R11/$C48,0)</f>
        <v>2.05395848229414</v>
      </c>
      <c r="S48" s="39" t="n">
        <f aca="false">IF($C48&gt;0,S11/$C48,0)</f>
        <v>2.03263250194585</v>
      </c>
      <c r="T48" s="40" t="n">
        <f aca="false">SUM(E48:S48)</f>
        <v>53.1336800377505</v>
      </c>
    </row>
    <row r="49" customFormat="false" ht="15" hidden="false" customHeight="true" outlineLevel="0" collapsed="false">
      <c r="A49" s="13" t="str">
        <f aca="false">A12</f>
        <v>Dooradoyle</v>
      </c>
      <c r="B49" s="13" t="str">
        <f aca="false">B12</f>
        <v>City neighbourhood</v>
      </c>
      <c r="C49" s="38" t="n">
        <f aca="false">C12</f>
        <v>22.5</v>
      </c>
      <c r="E49" s="39" t="n">
        <f aca="false">IF($C49&gt;0,E12/$C49,0)</f>
        <v>25.950770836605</v>
      </c>
      <c r="F49" s="39" t="n">
        <f aca="false">IF($C49&gt;0,F12/$C49,0)</f>
        <v>25.950770836605</v>
      </c>
      <c r="G49" s="39" t="n">
        <f aca="false">IF($C49&gt;0,G12/$C49,0)</f>
        <v>25.950770836605</v>
      </c>
      <c r="H49" s="39" t="n">
        <f aca="false">IF($C49&gt;0,H12/$C49,0)</f>
        <v>25.950770836605</v>
      </c>
      <c r="I49" s="39" t="n">
        <f aca="false">IF($C49&gt;0,I12/$C49,0)</f>
        <v>25.950770836605</v>
      </c>
      <c r="J49" s="39" t="n">
        <f aca="false">IF($C49&gt;0,J12/$C49,0)</f>
        <v>13.1975770991695</v>
      </c>
      <c r="K49" s="39" t="n">
        <f aca="false">IF($C49&gt;0,K12/$C49,0)</f>
        <v>13.1975770991695</v>
      </c>
      <c r="L49" s="39" t="n">
        <f aca="false">IF($C49&gt;0,L12/$C49,0)</f>
        <v>13.1975770991695</v>
      </c>
      <c r="M49" s="39" t="n">
        <f aca="false">IF($C49&gt;0,M12/$C49,0)</f>
        <v>13.1975770991695</v>
      </c>
      <c r="N49" s="39" t="n">
        <f aca="false">IF($C49&gt;0,N12/$C49,0)</f>
        <v>12.7531937374355</v>
      </c>
      <c r="O49" s="39" t="n">
        <f aca="false">IF($C49&gt;0,O12/$C49,0)</f>
        <v>9.66077253523156</v>
      </c>
      <c r="P49" s="39" t="n">
        <f aca="false">IF($C49&gt;0,P12/$C49,0)</f>
        <v>9.58163577218303</v>
      </c>
      <c r="Q49" s="39" t="n">
        <f aca="false">IF($C49&gt;0,Q12/$C49,0)</f>
        <v>9.46597434926595</v>
      </c>
      <c r="R49" s="39" t="n">
        <f aca="false">IF($C49&gt;0,R12/$C49,0)</f>
        <v>9.380750142906</v>
      </c>
      <c r="S49" s="39" t="n">
        <f aca="false">IF($C49&gt;0,S12/$C49,0)</f>
        <v>9.2833510499232</v>
      </c>
      <c r="T49" s="40" t="n">
        <f aca="false">SUM(E49:S49)</f>
        <v>242.669840166648</v>
      </c>
    </row>
    <row r="50" customFormat="false" ht="15" hidden="false" customHeight="true" outlineLevel="0" collapsed="false">
      <c r="A50" s="13" t="str">
        <f aca="false">A13</f>
        <v>Kings Island</v>
      </c>
      <c r="B50" s="13" t="str">
        <f aca="false">B13</f>
        <v>City neighbourhood</v>
      </c>
      <c r="C50" s="38" t="n">
        <f aca="false">C13</f>
        <v>46.1</v>
      </c>
      <c r="E50" s="39" t="n">
        <f aca="false">IF($C50&gt;0,E13/$C50,0)</f>
        <v>1.46916598090163</v>
      </c>
      <c r="F50" s="39" t="n">
        <f aca="false">IF($C50&gt;0,F13/$C50,0)</f>
        <v>1.46916598090163</v>
      </c>
      <c r="G50" s="39" t="n">
        <f aca="false">IF($C50&gt;0,G13/$C50,0)</f>
        <v>1.46916598090163</v>
      </c>
      <c r="H50" s="39" t="n">
        <f aca="false">IF($C50&gt;0,H13/$C50,0)</f>
        <v>1.46916598090163</v>
      </c>
      <c r="I50" s="39" t="n">
        <f aca="false">IF($C50&gt;0,I13/$C50,0)</f>
        <v>1.46916598090163</v>
      </c>
      <c r="J50" s="39" t="n">
        <f aca="false">IF($C50&gt;0,J13/$C50,0)</f>
        <v>0.747162056437893</v>
      </c>
      <c r="K50" s="39" t="n">
        <f aca="false">IF($C50&gt;0,K13/$C50,0)</f>
        <v>0.747162056437893</v>
      </c>
      <c r="L50" s="39" t="n">
        <f aca="false">IF($C50&gt;0,L13/$C50,0)</f>
        <v>0.747162056437893</v>
      </c>
      <c r="M50" s="39" t="n">
        <f aca="false">IF($C50&gt;0,M13/$C50,0)</f>
        <v>0.747162056437893</v>
      </c>
      <c r="N50" s="39" t="n">
        <f aca="false">IF($C50&gt;0,N13/$C50,0)</f>
        <v>0.722003924463738</v>
      </c>
      <c r="O50" s="39" t="n">
        <f aca="false">IF($C50&gt;0,O13/$C50,0)</f>
        <v>0.546930896479214</v>
      </c>
      <c r="P50" s="39" t="n">
        <f aca="false">IF($C50&gt;0,P13/$C50,0)</f>
        <v>0.542450681196145</v>
      </c>
      <c r="Q50" s="39" t="n">
        <f aca="false">IF($C50&gt;0,Q13/$C50,0)</f>
        <v>0.535902674243968</v>
      </c>
      <c r="R50" s="39" t="n">
        <f aca="false">IF($C50&gt;0,R13/$C50,0)</f>
        <v>0.531077827016048</v>
      </c>
      <c r="S50" s="39" t="n">
        <f aca="false">IF($C50&gt;0,S13/$C50,0)</f>
        <v>0.525563715898425</v>
      </c>
      <c r="T50" s="40" t="n">
        <f aca="false">SUM(E50:S50)</f>
        <v>13.7384078495573</v>
      </c>
    </row>
    <row r="51" customFormat="false" ht="15" hidden="false" customHeight="true" outlineLevel="0" collapsed="false">
      <c r="A51" s="13" t="str">
        <f aca="false">A14</f>
        <v>Singland/Garryowen</v>
      </c>
      <c r="B51" s="13" t="str">
        <f aca="false">B14</f>
        <v>City neighbourhood</v>
      </c>
      <c r="C51" s="38" t="n">
        <f aca="false">C14</f>
        <v>35.3</v>
      </c>
      <c r="E51" s="39" t="n">
        <f aca="false">IF($C51&gt;0,E14/$C51,0)</f>
        <v>9.53457914493474</v>
      </c>
      <c r="F51" s="39" t="n">
        <f aca="false">IF($C51&gt;0,F14/$C51,0)</f>
        <v>9.53457914493474</v>
      </c>
      <c r="G51" s="39" t="n">
        <f aca="false">IF($C51&gt;0,G14/$C51,0)</f>
        <v>9.53457914493474</v>
      </c>
      <c r="H51" s="39" t="n">
        <f aca="false">IF($C51&gt;0,H14/$C51,0)</f>
        <v>9.53457914493474</v>
      </c>
      <c r="I51" s="39" t="n">
        <f aca="false">IF($C51&gt;0,I14/$C51,0)</f>
        <v>9.53457914493474</v>
      </c>
      <c r="J51" s="39" t="n">
        <f aca="false">IF($C51&gt;0,J14/$C51,0)</f>
        <v>4.84892507300458</v>
      </c>
      <c r="K51" s="39" t="n">
        <f aca="false">IF($C51&gt;0,K14/$C51,0)</f>
        <v>4.84892507300458</v>
      </c>
      <c r="L51" s="39" t="n">
        <f aca="false">IF($C51&gt;0,L14/$C51,0)</f>
        <v>4.84892507300458</v>
      </c>
      <c r="M51" s="39" t="n">
        <f aca="false">IF($C51&gt;0,M14/$C51,0)</f>
        <v>4.84892507300458</v>
      </c>
      <c r="N51" s="39" t="n">
        <f aca="false">IF($C51&gt;0,N14/$C51,0)</f>
        <v>4.68565407193016</v>
      </c>
      <c r="O51" s="39" t="n">
        <f aca="false">IF($C51&gt;0,O14/$C51,0)</f>
        <v>3.54946683157669</v>
      </c>
      <c r="P51" s="39" t="n">
        <f aca="false">IF($C51&gt;0,P14/$C51,0)</f>
        <v>3.52039117385111</v>
      </c>
      <c r="Q51" s="39" t="n">
        <f aca="false">IF($C51&gt;0,Q14/$C51,0)</f>
        <v>3.47789598179065</v>
      </c>
      <c r="R51" s="39" t="n">
        <f aca="false">IF($C51&gt;0,R14/$C51,0)</f>
        <v>3.44658373500925</v>
      </c>
      <c r="S51" s="39" t="n">
        <f aca="false">IF($C51&gt;0,S14/$C51,0)</f>
        <v>3.41079831011623</v>
      </c>
      <c r="T51" s="40" t="n">
        <f aca="false">SUM(E51:S51)</f>
        <v>89.1593861209661</v>
      </c>
    </row>
    <row r="52" customFormat="false" ht="15" hidden="false" customHeight="true" outlineLevel="0" collapsed="false">
      <c r="A52" s="13" t="str">
        <f aca="false">A15</f>
        <v>Southhill</v>
      </c>
      <c r="B52" s="13" t="str">
        <f aca="false">B15</f>
        <v>City neighbourhood</v>
      </c>
      <c r="C52" s="38" t="n">
        <f aca="false">C15</f>
        <v>24.4</v>
      </c>
      <c r="E52" s="39" t="n">
        <f aca="false">IF($C52&gt;0,E15/$C52,0)</f>
        <v>7.5629763165584</v>
      </c>
      <c r="F52" s="39" t="n">
        <f aca="false">IF($C52&gt;0,F15/$C52,0)</f>
        <v>7.5629763165584</v>
      </c>
      <c r="G52" s="39" t="n">
        <f aca="false">IF($C52&gt;0,G15/$C52,0)</f>
        <v>7.5629763165584</v>
      </c>
      <c r="H52" s="39" t="n">
        <f aca="false">IF($C52&gt;0,H15/$C52,0)</f>
        <v>7.5629763165584</v>
      </c>
      <c r="I52" s="39" t="n">
        <f aca="false">IF($C52&gt;0,I15/$C52,0)</f>
        <v>7.5629763165584</v>
      </c>
      <c r="J52" s="39" t="n">
        <f aca="false">IF($C52&gt;0,J15/$C52,0)</f>
        <v>3.84624270567643</v>
      </c>
      <c r="K52" s="39" t="n">
        <f aca="false">IF($C52&gt;0,K15/$C52,0)</f>
        <v>3.84624270567643</v>
      </c>
      <c r="L52" s="39" t="n">
        <f aca="false">IF($C52&gt;0,L15/$C52,0)</f>
        <v>3.84624270567643</v>
      </c>
      <c r="M52" s="39" t="n">
        <f aca="false">IF($C52&gt;0,M15/$C52,0)</f>
        <v>3.84624270567643</v>
      </c>
      <c r="N52" s="39" t="n">
        <f aca="false">IF($C52&gt;0,N15/$C52,0)</f>
        <v>3.71673361088197</v>
      </c>
      <c r="O52" s="39" t="n">
        <f aca="false">IF($C52&gt;0,O15/$C52,0)</f>
        <v>2.81549223888768</v>
      </c>
      <c r="P52" s="39" t="n">
        <f aca="false">IF($C52&gt;0,P15/$C52,0)</f>
        <v>2.79242897543113</v>
      </c>
      <c r="Q52" s="39" t="n">
        <f aca="false">IF($C52&gt;0,Q15/$C52,0)</f>
        <v>2.7587211288408</v>
      </c>
      <c r="R52" s="39" t="n">
        <f aca="false">IF($C52&gt;0,R15/$C52,0)</f>
        <v>2.73388376819528</v>
      </c>
      <c r="S52" s="39" t="n">
        <f aca="false">IF($C52&gt;0,S15/$C52,0)</f>
        <v>2.70549821317184</v>
      </c>
      <c r="T52" s="40" t="n">
        <f aca="false">SUM(E52:S52)</f>
        <v>70.7226103409064</v>
      </c>
    </row>
    <row r="53" customFormat="false" ht="15" hidden="false" customHeight="true" outlineLevel="0" collapsed="false">
      <c r="A53" s="13" t="str">
        <f aca="false">A16</f>
        <v>Abbeyfeale</v>
      </c>
      <c r="B53" s="13" t="str">
        <f aca="false">B16</f>
        <v>Key town</v>
      </c>
      <c r="C53" s="38" t="n">
        <f aca="false">C16</f>
        <v>18.1</v>
      </c>
      <c r="E53" s="39" t="n">
        <f aca="false">IF($C53&gt;0,E16/$C53,0)</f>
        <v>3.1860346088605</v>
      </c>
      <c r="F53" s="39" t="n">
        <f aca="false">IF($C53&gt;0,F16/$C53,0)</f>
        <v>3.1860346088605</v>
      </c>
      <c r="G53" s="39" t="n">
        <f aca="false">IF($C53&gt;0,G16/$C53,0)</f>
        <v>3.1860346088605</v>
      </c>
      <c r="H53" s="39" t="n">
        <f aca="false">IF($C53&gt;0,H16/$C53,0)</f>
        <v>3.1860346088605</v>
      </c>
      <c r="I53" s="39" t="n">
        <f aca="false">IF($C53&gt;0,I16/$C53,0)</f>
        <v>3.1860346088605</v>
      </c>
      <c r="J53" s="39" t="n">
        <f aca="false">IF($C53&gt;0,J16/$C53,0)</f>
        <v>1.62029627774092</v>
      </c>
      <c r="K53" s="39" t="n">
        <f aca="false">IF($C53&gt;0,K16/$C53,0)</f>
        <v>1.62029627774092</v>
      </c>
      <c r="L53" s="39" t="n">
        <f aca="false">IF($C53&gt;0,L16/$C53,0)</f>
        <v>1.62029627774092</v>
      </c>
      <c r="M53" s="39" t="n">
        <f aca="false">IF($C53&gt;0,M16/$C53,0)</f>
        <v>1.62029627774092</v>
      </c>
      <c r="N53" s="39" t="n">
        <f aca="false">IF($C53&gt;0,N16/$C53,0)</f>
        <v>1.56573833111957</v>
      </c>
      <c r="O53" s="39" t="n">
        <f aca="false">IF($C53&gt;0,O16/$C53,0)</f>
        <v>1.18607481216552</v>
      </c>
      <c r="P53" s="39" t="n">
        <f aca="false">IF($C53&gt;0,P16/$C53,0)</f>
        <v>1.17635901345213</v>
      </c>
      <c r="Q53" s="39" t="n">
        <f aca="false">IF($C53&gt;0,Q16/$C53,0)</f>
        <v>1.16215899994794</v>
      </c>
      <c r="R53" s="39" t="n">
        <f aca="false">IF($C53&gt;0,R16/$C53,0)</f>
        <v>1.15169583210275</v>
      </c>
      <c r="S53" s="39" t="n">
        <f aca="false">IF($C53&gt;0,S16/$C53,0)</f>
        <v>1.13973792599396</v>
      </c>
      <c r="T53" s="40" t="n">
        <f aca="false">SUM(E53:S53)</f>
        <v>29.7931230700481</v>
      </c>
    </row>
    <row r="54" customFormat="false" ht="15" hidden="false" customHeight="true" outlineLevel="0" collapsed="false">
      <c r="A54" s="13" t="str">
        <f aca="false">A17</f>
        <v>Caherconlish</v>
      </c>
      <c r="B54" s="13" t="str">
        <f aca="false">B17</f>
        <v>Key town</v>
      </c>
      <c r="C54" s="38" t="n">
        <f aca="false">C17</f>
        <v>20.3</v>
      </c>
      <c r="E54" s="39" t="n">
        <f aca="false">IF($C54&gt;0,E17/$C54,0)</f>
        <v>1.68485866218864</v>
      </c>
      <c r="F54" s="39" t="n">
        <f aca="false">IF($C54&gt;0,F17/$C54,0)</f>
        <v>1.68485866218864</v>
      </c>
      <c r="G54" s="39" t="n">
        <f aca="false">IF($C54&gt;0,G17/$C54,0)</f>
        <v>1.68485866218864</v>
      </c>
      <c r="H54" s="39" t="n">
        <f aca="false">IF($C54&gt;0,H17/$C54,0)</f>
        <v>1.68485866218864</v>
      </c>
      <c r="I54" s="39" t="n">
        <f aca="false">IF($C54&gt;0,I17/$C54,0)</f>
        <v>1.68485866218864</v>
      </c>
      <c r="J54" s="39" t="n">
        <f aca="false">IF($C54&gt;0,J17/$C54,0)</f>
        <v>0.856855167634287</v>
      </c>
      <c r="K54" s="39" t="n">
        <f aca="false">IF($C54&gt;0,K17/$C54,0)</f>
        <v>0.856855167634287</v>
      </c>
      <c r="L54" s="39" t="n">
        <f aca="false">IF($C54&gt;0,L17/$C54,0)</f>
        <v>0.856855167634287</v>
      </c>
      <c r="M54" s="39" t="n">
        <f aca="false">IF($C54&gt;0,M17/$C54,0)</f>
        <v>0.856855167634287</v>
      </c>
      <c r="N54" s="39" t="n">
        <f aca="false">IF($C54&gt;0,N17/$C54,0)</f>
        <v>0.82800349455435</v>
      </c>
      <c r="O54" s="39" t="n">
        <f aca="false">IF($C54&gt;0,O17/$C54,0)</f>
        <v>0.627227468189859</v>
      </c>
      <c r="P54" s="39" t="n">
        <f aca="false">IF($C54&gt;0,P17/$C54,0)</f>
        <v>0.62208949901124</v>
      </c>
      <c r="Q54" s="39" t="n">
        <f aca="false">IF($C54&gt;0,Q17/$C54,0)</f>
        <v>0.614580159442489</v>
      </c>
      <c r="R54" s="39" t="n">
        <f aca="false">IF($C54&gt;0,R17/$C54,0)</f>
        <v>0.609046961865515</v>
      </c>
      <c r="S54" s="39" t="n">
        <f aca="false">IF($C54&gt;0,S17/$C54,0)</f>
        <v>0.60272330749183</v>
      </c>
      <c r="T54" s="40" t="n">
        <f aca="false">SUM(E54:S54)</f>
        <v>15.7553848720356</v>
      </c>
    </row>
    <row r="55" customFormat="false" ht="15" hidden="false" customHeight="true" outlineLevel="0" collapsed="false">
      <c r="A55" s="13" t="str">
        <f aca="false">A18</f>
        <v>Castleconnell</v>
      </c>
      <c r="B55" s="13" t="str">
        <f aca="false">B18</f>
        <v>Key town</v>
      </c>
      <c r="C55" s="38" t="n">
        <f aca="false">C18</f>
        <v>18.4</v>
      </c>
      <c r="E55" s="39" t="n">
        <f aca="false">IF($C55&gt;0,E18/$C55,0)</f>
        <v>3.04763078158654</v>
      </c>
      <c r="F55" s="39" t="n">
        <f aca="false">IF($C55&gt;0,F18/$C55,0)</f>
        <v>3.04763078158654</v>
      </c>
      <c r="G55" s="39" t="n">
        <f aca="false">IF($C55&gt;0,G18/$C55,0)</f>
        <v>3.04763078158654</v>
      </c>
      <c r="H55" s="39" t="n">
        <f aca="false">IF($C55&gt;0,H18/$C55,0)</f>
        <v>3.04763078158654</v>
      </c>
      <c r="I55" s="39" t="n">
        <f aca="false">IF($C55&gt;0,I18/$C55,0)</f>
        <v>3.04763078158654</v>
      </c>
      <c r="J55" s="39" t="n">
        <f aca="false">IF($C55&gt;0,J18/$C55,0)</f>
        <v>1.54990934423636</v>
      </c>
      <c r="K55" s="39" t="n">
        <f aca="false">IF($C55&gt;0,K18/$C55,0)</f>
        <v>1.54990934423636</v>
      </c>
      <c r="L55" s="39" t="n">
        <f aca="false">IF($C55&gt;0,L18/$C55,0)</f>
        <v>1.54990934423636</v>
      </c>
      <c r="M55" s="39" t="n">
        <f aca="false">IF($C55&gt;0,M18/$C55,0)</f>
        <v>1.54990934423636</v>
      </c>
      <c r="N55" s="39" t="n">
        <f aca="false">IF($C55&gt;0,N18/$C55,0)</f>
        <v>1.49772143735017</v>
      </c>
      <c r="O55" s="39" t="n">
        <f aca="false">IF($C55&gt;0,O18/$C55,0)</f>
        <v>1.13455079764903</v>
      </c>
      <c r="P55" s="39" t="n">
        <f aca="false">IF($C55&gt;0,P18/$C55,0)</f>
        <v>1.12525706080629</v>
      </c>
      <c r="Q55" s="39" t="n">
        <f aca="false">IF($C55&gt;0,Q18/$C55,0)</f>
        <v>1.1116739069592</v>
      </c>
      <c r="R55" s="39" t="n">
        <f aca="false">IF($C55&gt;0,R18/$C55,0)</f>
        <v>1.1016652672824</v>
      </c>
      <c r="S55" s="39" t="n">
        <f aca="false">IF($C55&gt;0,S18/$C55,0)</f>
        <v>1.09022682193748</v>
      </c>
      <c r="T55" s="40" t="n">
        <f aca="false">SUM(E55:S55)</f>
        <v>28.4988865768627</v>
      </c>
    </row>
    <row r="56" customFormat="false" ht="15" hidden="false" customHeight="true" outlineLevel="0" collapsed="false">
      <c r="A56" s="13" t="str">
        <f aca="false">A19</f>
        <v>Kilmallock</v>
      </c>
      <c r="B56" s="13" t="str">
        <f aca="false">B19</f>
        <v>Key town</v>
      </c>
      <c r="C56" s="38" t="n">
        <f aca="false">C19</f>
        <v>17.2</v>
      </c>
      <c r="E56" s="39" t="n">
        <f aca="false">IF($C56&gt;0,E19/$C56,0)</f>
        <v>2.57814584838485</v>
      </c>
      <c r="F56" s="39" t="n">
        <f aca="false">IF($C56&gt;0,F19/$C56,0)</f>
        <v>2.57814584838485</v>
      </c>
      <c r="G56" s="39" t="n">
        <f aca="false">IF($C56&gt;0,G19/$C56,0)</f>
        <v>2.57814584838485</v>
      </c>
      <c r="H56" s="39" t="n">
        <f aca="false">IF($C56&gt;0,H19/$C56,0)</f>
        <v>2.57814584838485</v>
      </c>
      <c r="I56" s="39" t="n">
        <f aca="false">IF($C56&gt;0,I19/$C56,0)</f>
        <v>2.57814584838485</v>
      </c>
      <c r="J56" s="39" t="n">
        <f aca="false">IF($C56&gt;0,J19/$C56,0)</f>
        <v>1.31114712627219</v>
      </c>
      <c r="K56" s="39" t="n">
        <f aca="false">IF($C56&gt;0,K19/$C56,0)</f>
        <v>1.31114712627219</v>
      </c>
      <c r="L56" s="39" t="n">
        <f aca="false">IF($C56&gt;0,L19/$C56,0)</f>
        <v>1.31114712627219</v>
      </c>
      <c r="M56" s="39" t="n">
        <f aca="false">IF($C56&gt;0,M19/$C56,0)</f>
        <v>1.31114712627219</v>
      </c>
      <c r="N56" s="39" t="n">
        <f aca="false">IF($C56&gt;0,N19/$C56,0)</f>
        <v>1.26699872211266</v>
      </c>
      <c r="O56" s="39" t="n">
        <f aca="false">IF($C56&gt;0,O19/$C56,0)</f>
        <v>0.959774210975078</v>
      </c>
      <c r="P56" s="39" t="n">
        <f aca="false">IF($C56&gt;0,P19/$C56,0)</f>
        <v>0.951912166398723</v>
      </c>
      <c r="Q56" s="39" t="n">
        <f aca="false">IF($C56&gt;0,Q19/$C56,0)</f>
        <v>0.940421485864049</v>
      </c>
      <c r="R56" s="39" t="n">
        <f aca="false">IF($C56&gt;0,R19/$C56,0)</f>
        <v>0.931954668627974</v>
      </c>
      <c r="S56" s="39" t="n">
        <f aca="false">IF($C56&gt;0,S19/$C56,0)</f>
        <v>0.92227830607246</v>
      </c>
      <c r="T56" s="40" t="n">
        <f aca="false">SUM(E56:S56)</f>
        <v>24.108657307064</v>
      </c>
    </row>
    <row r="57" customFormat="false" ht="15" hidden="false" customHeight="true" outlineLevel="0" collapsed="false">
      <c r="A57" s="13" t="str">
        <f aca="false">A20</f>
        <v>Newcastle West</v>
      </c>
      <c r="B57" s="13" t="str">
        <f aca="false">B20</f>
        <v>Key town</v>
      </c>
      <c r="C57" s="38" t="n">
        <f aca="false">C20</f>
        <v>22.9</v>
      </c>
      <c r="E57" s="39" t="n">
        <f aca="false">IF($C57&gt;0,E20/$C57,0)</f>
        <v>8.43169354828854</v>
      </c>
      <c r="F57" s="39" t="n">
        <f aca="false">IF($C57&gt;0,F20/$C57,0)</f>
        <v>8.43169354828854</v>
      </c>
      <c r="G57" s="39" t="n">
        <f aca="false">IF($C57&gt;0,G20/$C57,0)</f>
        <v>8.43169354828854</v>
      </c>
      <c r="H57" s="39" t="n">
        <f aca="false">IF($C57&gt;0,H20/$C57,0)</f>
        <v>8.43169354828854</v>
      </c>
      <c r="I57" s="39" t="n">
        <f aca="false">IF($C57&gt;0,I20/$C57,0)</f>
        <v>8.43169354828854</v>
      </c>
      <c r="J57" s="39" t="n">
        <f aca="false">IF($C57&gt;0,J20/$C57,0)</f>
        <v>4.28803931801303</v>
      </c>
      <c r="K57" s="39" t="n">
        <f aca="false">IF($C57&gt;0,K20/$C57,0)</f>
        <v>4.28803931801303</v>
      </c>
      <c r="L57" s="39" t="n">
        <f aca="false">IF($C57&gt;0,L20/$C57,0)</f>
        <v>4.28803931801303</v>
      </c>
      <c r="M57" s="39" t="n">
        <f aca="false">IF($C57&gt;0,M20/$C57,0)</f>
        <v>4.28803931801303</v>
      </c>
      <c r="N57" s="39" t="n">
        <f aca="false">IF($C57&gt;0,N20/$C57,0)</f>
        <v>4.14365423027551</v>
      </c>
      <c r="O57" s="39" t="n">
        <f aca="false">IF($C57&gt;0,O20/$C57,0)</f>
        <v>3.13889224985548</v>
      </c>
      <c r="P57" s="39" t="n">
        <f aca="false">IF($C57&gt;0,P20/$C57,0)</f>
        <v>3.11317983697071</v>
      </c>
      <c r="Q57" s="39" t="n">
        <f aca="false">IF($C57&gt;0,Q20/$C57,0)</f>
        <v>3.07560015660067</v>
      </c>
      <c r="R57" s="39" t="n">
        <f aca="false">IF($C57&gt;0,R20/$C57,0)</f>
        <v>3.0479098658017</v>
      </c>
      <c r="S57" s="39" t="n">
        <f aca="false">IF($C57&gt;0,S20/$C57,0)</f>
        <v>3.01626381917429</v>
      </c>
      <c r="T57" s="40" t="n">
        <f aca="false">SUM(E57:S57)</f>
        <v>78.8461251721732</v>
      </c>
    </row>
    <row r="58" customFormat="false" ht="15" hidden="false" customHeight="true" outlineLevel="0" collapsed="false">
      <c r="A58" s="13" t="str">
        <f aca="false">A21</f>
        <v>Rathkeale</v>
      </c>
      <c r="B58" s="13" t="str">
        <f aca="false">B21</f>
        <v>Key town</v>
      </c>
      <c r="C58" s="38" t="n">
        <f aca="false">C21</f>
        <v>16.5</v>
      </c>
      <c r="E58" s="39" t="n">
        <f aca="false">IF($C58&gt;0,E21/$C58,0)</f>
        <v>2.43443672662816</v>
      </c>
      <c r="F58" s="39" t="n">
        <f aca="false">IF($C58&gt;0,F21/$C58,0)</f>
        <v>2.43443672662816</v>
      </c>
      <c r="G58" s="39" t="n">
        <f aca="false">IF($C58&gt;0,G21/$C58,0)</f>
        <v>2.43443672662816</v>
      </c>
      <c r="H58" s="39" t="n">
        <f aca="false">IF($C58&gt;0,H21/$C58,0)</f>
        <v>2.43443672662816</v>
      </c>
      <c r="I58" s="39" t="n">
        <f aca="false">IF($C58&gt;0,I21/$C58,0)</f>
        <v>2.43443672662816</v>
      </c>
      <c r="J58" s="39" t="n">
        <f aca="false">IF($C58&gt;0,J21/$C58,0)</f>
        <v>1.23806212135347</v>
      </c>
      <c r="K58" s="39" t="n">
        <f aca="false">IF($C58&gt;0,K21/$C58,0)</f>
        <v>1.23806212135347</v>
      </c>
      <c r="L58" s="39" t="n">
        <f aca="false">IF($C58&gt;0,L21/$C58,0)</f>
        <v>1.23806212135347</v>
      </c>
      <c r="M58" s="39" t="n">
        <f aca="false">IF($C58&gt;0,M21/$C58,0)</f>
        <v>1.23806212135347</v>
      </c>
      <c r="N58" s="39" t="n">
        <f aca="false">IF($C58&gt;0,N21/$C58,0)</f>
        <v>1.19637460527469</v>
      </c>
      <c r="O58" s="39" t="n">
        <f aca="false">IF($C58&gt;0,O21/$C58,0)</f>
        <v>0.906275178315481</v>
      </c>
      <c r="P58" s="39" t="n">
        <f aca="false">IF($C58&gt;0,P21/$C58,0)</f>
        <v>0.898851374082272</v>
      </c>
      <c r="Q58" s="39" t="n">
        <f aca="false">IF($C58&gt;0,Q21/$C58,0)</f>
        <v>0.888001198664507</v>
      </c>
      <c r="R58" s="39" t="n">
        <f aca="false">IF($C58&gt;0,R21/$C58,0)</f>
        <v>0.880006332567206</v>
      </c>
      <c r="S58" s="39" t="n">
        <f aca="false">IF($C58&gt;0,S21/$C58,0)</f>
        <v>0.870869342741719</v>
      </c>
      <c r="T58" s="40" t="n">
        <f aca="false">SUM(E58:S58)</f>
        <v>22.7648101502006</v>
      </c>
    </row>
    <row r="59" customFormat="false" ht="15" hidden="false" customHeight="true" outlineLevel="0" collapsed="false">
      <c r="A59" s="13" t="str">
        <f aca="false">A22</f>
        <v>Adare</v>
      </c>
      <c r="B59" s="13" t="str">
        <f aca="false">B22</f>
        <v>Village</v>
      </c>
      <c r="C59" s="38" t="n">
        <f aca="false">C22</f>
        <v>12.9</v>
      </c>
      <c r="E59" s="39" t="n">
        <f aca="false">IF($C59&gt;0,E22/$C59,0)</f>
        <v>3.08298457205961</v>
      </c>
      <c r="F59" s="39" t="n">
        <f aca="false">IF($C59&gt;0,F22/$C59,0)</f>
        <v>3.08298457205961</v>
      </c>
      <c r="G59" s="39" t="n">
        <f aca="false">IF($C59&gt;0,G22/$C59,0)</f>
        <v>3.08298457205961</v>
      </c>
      <c r="H59" s="39" t="n">
        <f aca="false">IF($C59&gt;0,H22/$C59,0)</f>
        <v>3.08298457205961</v>
      </c>
      <c r="I59" s="39" t="n">
        <f aca="false">IF($C59&gt;0,I22/$C59,0)</f>
        <v>3.08298457205961</v>
      </c>
      <c r="J59" s="39" t="n">
        <f aca="false">IF($C59&gt;0,J22/$C59,0)</f>
        <v>1.56788894023581</v>
      </c>
      <c r="K59" s="39" t="n">
        <f aca="false">IF($C59&gt;0,K22/$C59,0)</f>
        <v>1.56788894023581</v>
      </c>
      <c r="L59" s="39" t="n">
        <f aca="false">IF($C59&gt;0,L22/$C59,0)</f>
        <v>1.56788894023581</v>
      </c>
      <c r="M59" s="39" t="n">
        <f aca="false">IF($C59&gt;0,M22/$C59,0)</f>
        <v>1.56788894023581</v>
      </c>
      <c r="N59" s="39" t="n">
        <f aca="false">IF($C59&gt;0,N22/$C59,0)</f>
        <v>1.51509563182381</v>
      </c>
      <c r="O59" s="39" t="n">
        <f aca="false">IF($C59&gt;0,O22/$C59,0)</f>
        <v>1.14771206095674</v>
      </c>
      <c r="P59" s="39" t="n">
        <f aca="false">IF($C59&gt;0,P22/$C59,0)</f>
        <v>1.13831051288338</v>
      </c>
      <c r="Q59" s="39" t="n">
        <f aca="false">IF($C59&gt;0,Q22/$C59,0)</f>
        <v>1.12456978877614</v>
      </c>
      <c r="R59" s="39" t="n">
        <f aca="false">IF($C59&gt;0,R22/$C59,0)</f>
        <v>1.11444504469713</v>
      </c>
      <c r="S59" s="39" t="n">
        <f aca="false">IF($C59&gt;0,S22/$C59,0)</f>
        <v>1.10287390860683</v>
      </c>
      <c r="T59" s="40" t="n">
        <f aca="false">SUM(E59:S59)</f>
        <v>28.8294855689853</v>
      </c>
    </row>
    <row r="60" customFormat="false" ht="15" hidden="false" customHeight="true" outlineLevel="0" collapsed="false">
      <c r="A60" s="13" t="str">
        <f aca="false">A23</f>
        <v>Askeaton</v>
      </c>
      <c r="B60" s="13" t="str">
        <f aca="false">B23</f>
        <v>Village</v>
      </c>
      <c r="C60" s="38" t="n">
        <f aca="false">C23</f>
        <v>17.6</v>
      </c>
      <c r="E60" s="39" t="n">
        <f aca="false">IF($C60&gt;0,E23/$C60,0)</f>
        <v>1.84164535786072</v>
      </c>
      <c r="F60" s="39" t="n">
        <f aca="false">IF($C60&gt;0,F23/$C60,0)</f>
        <v>1.84164535786072</v>
      </c>
      <c r="G60" s="39" t="n">
        <f aca="false">IF($C60&gt;0,G23/$C60,0)</f>
        <v>1.84164535786072</v>
      </c>
      <c r="H60" s="39" t="n">
        <f aca="false">IF($C60&gt;0,H23/$C60,0)</f>
        <v>1.84164535786072</v>
      </c>
      <c r="I60" s="39" t="n">
        <f aca="false">IF($C60&gt;0,I23/$C60,0)</f>
        <v>1.84164535786072</v>
      </c>
      <c r="J60" s="39" t="n">
        <f aca="false">IF($C60&gt;0,J23/$C60,0)</f>
        <v>0.936590930293701</v>
      </c>
      <c r="K60" s="39" t="n">
        <f aca="false">IF($C60&gt;0,K23/$C60,0)</f>
        <v>0.936590930293701</v>
      </c>
      <c r="L60" s="39" t="n">
        <f aca="false">IF($C60&gt;0,L23/$C60,0)</f>
        <v>0.936590930293701</v>
      </c>
      <c r="M60" s="39" t="n">
        <f aca="false">IF($C60&gt;0,M23/$C60,0)</f>
        <v>0.936590930293701</v>
      </c>
      <c r="N60" s="39" t="n">
        <f aca="false">IF($C60&gt;0,N23/$C60,0)</f>
        <v>0.905054427567022</v>
      </c>
      <c r="O60" s="39" t="n">
        <f aca="false">IF($C60&gt;0,O23/$C60,0)</f>
        <v>0.685594929140269</v>
      </c>
      <c r="P60" s="39" t="n">
        <f aca="false">IF($C60&gt;0,P23/$C60,0)</f>
        <v>0.6799788396136</v>
      </c>
      <c r="Q60" s="39" t="n">
        <f aca="false">IF($C60&gt;0,Q23/$C60,0)</f>
        <v>0.67177070876693</v>
      </c>
      <c r="R60" s="39" t="n">
        <f aca="false">IF($C60&gt;0,R23/$C60,0)</f>
        <v>0.665722612353595</v>
      </c>
      <c r="S60" s="39" t="n">
        <f aca="false">IF($C60&gt;0,S23/$C60,0)</f>
        <v>0.658810502166925</v>
      </c>
      <c r="T60" s="40" t="n">
        <f aca="false">SUM(E60:S60)</f>
        <v>17.2215225300868</v>
      </c>
    </row>
    <row r="61" customFormat="false" ht="15" hidden="false" customHeight="true" outlineLevel="0" collapsed="false">
      <c r="A61" s="13" t="str">
        <f aca="false">A24</f>
        <v>Bruff</v>
      </c>
      <c r="B61" s="13" t="str">
        <f aca="false">B24</f>
        <v>Village</v>
      </c>
      <c r="C61" s="38" t="n">
        <f aca="false">C24</f>
        <v>14.2</v>
      </c>
      <c r="E61" s="39" t="n">
        <f aca="false">IF($C61&gt;0,E24/$C61,0)</f>
        <v>1.59642151819397</v>
      </c>
      <c r="F61" s="39" t="n">
        <f aca="false">IF($C61&gt;0,F24/$C61,0)</f>
        <v>1.59642151819397</v>
      </c>
      <c r="G61" s="39" t="n">
        <f aca="false">IF($C61&gt;0,G24/$C61,0)</f>
        <v>1.59642151819397</v>
      </c>
      <c r="H61" s="39" t="n">
        <f aca="false">IF($C61&gt;0,H24/$C61,0)</f>
        <v>1.59642151819397</v>
      </c>
      <c r="I61" s="39" t="n">
        <f aca="false">IF($C61&gt;0,I24/$C61,0)</f>
        <v>1.59642151819397</v>
      </c>
      <c r="J61" s="39" t="n">
        <f aca="false">IF($C61&gt;0,J24/$C61,0)</f>
        <v>0.811879392785484</v>
      </c>
      <c r="K61" s="39" t="n">
        <f aca="false">IF($C61&gt;0,K24/$C61,0)</f>
        <v>0.811879392785484</v>
      </c>
      <c r="L61" s="39" t="n">
        <f aca="false">IF($C61&gt;0,L24/$C61,0)</f>
        <v>0.811879392785484</v>
      </c>
      <c r="M61" s="39" t="n">
        <f aca="false">IF($C61&gt;0,M24/$C61,0)</f>
        <v>0.811879392785484</v>
      </c>
      <c r="N61" s="39" t="n">
        <f aca="false">IF($C61&gt;0,N24/$C61,0)</f>
        <v>0.784542125408482</v>
      </c>
      <c r="O61" s="39" t="n">
        <f aca="false">IF($C61&gt;0,O24/$C61,0)</f>
        <v>0.594304703113729</v>
      </c>
      <c r="P61" s="39" t="n">
        <f aca="false">IF($C61&gt;0,P24/$C61,0)</f>
        <v>0.589436422621934</v>
      </c>
      <c r="Q61" s="39" t="n">
        <f aca="false">IF($C61&gt;0,Q24/$C61,0)</f>
        <v>0.582321243441618</v>
      </c>
      <c r="R61" s="39" t="n">
        <f aca="false">IF($C61&gt;0,R24/$C61,0)</f>
        <v>0.57707847983507</v>
      </c>
      <c r="S61" s="39" t="n">
        <f aca="false">IF($C61&gt;0,S24/$C61,0)</f>
        <v>0.571086749999015</v>
      </c>
      <c r="T61" s="40" t="n">
        <f aca="false">SUM(E61:S61)</f>
        <v>14.9283948865316</v>
      </c>
    </row>
    <row r="62" customFormat="false" ht="15" hidden="false" customHeight="true" outlineLevel="0" collapsed="false">
      <c r="A62" s="13" t="str">
        <f aca="false">A25</f>
        <v>Cappamore</v>
      </c>
      <c r="B62" s="13" t="str">
        <f aca="false">B25</f>
        <v>Village</v>
      </c>
      <c r="C62" s="38" t="n">
        <f aca="false">C25</f>
        <v>21.6</v>
      </c>
      <c r="E62" s="39" t="n">
        <f aca="false">IF($C62&gt;0,E25/$C62,0)</f>
        <v>0.819345969255009</v>
      </c>
      <c r="F62" s="39" t="n">
        <f aca="false">IF($C62&gt;0,F25/$C62,0)</f>
        <v>0.819345969255009</v>
      </c>
      <c r="G62" s="39" t="n">
        <f aca="false">IF($C62&gt;0,G25/$C62,0)</f>
        <v>0.819345969255009</v>
      </c>
      <c r="H62" s="39" t="n">
        <f aca="false">IF($C62&gt;0,H25/$C62,0)</f>
        <v>0.819345969255009</v>
      </c>
      <c r="I62" s="39" t="n">
        <f aca="false">IF($C62&gt;0,I25/$C62,0)</f>
        <v>0.819345969255009</v>
      </c>
      <c r="J62" s="39" t="n">
        <f aca="false">IF($C62&gt;0,J25/$C62,0)</f>
        <v>0.416688262102946</v>
      </c>
      <c r="K62" s="39" t="n">
        <f aca="false">IF($C62&gt;0,K25/$C62,0)</f>
        <v>0.416688262102946</v>
      </c>
      <c r="L62" s="39" t="n">
        <f aca="false">IF($C62&gt;0,L25/$C62,0)</f>
        <v>0.416688262102946</v>
      </c>
      <c r="M62" s="39" t="n">
        <f aca="false">IF($C62&gt;0,M25/$C62,0)</f>
        <v>0.416688262102946</v>
      </c>
      <c r="N62" s="39" t="n">
        <f aca="false">IF($C62&gt;0,N25/$C62,0)</f>
        <v>0.402657707152063</v>
      </c>
      <c r="O62" s="39" t="n">
        <f aca="false">IF($C62&gt;0,O25/$C62,0)</f>
        <v>0.305020420644546</v>
      </c>
      <c r="P62" s="39" t="n">
        <f aca="false">IF($C62&gt;0,P25/$C62,0)</f>
        <v>0.302521828666991</v>
      </c>
      <c r="Q62" s="39" t="n">
        <f aca="false">IF($C62&gt;0,Q25/$C62,0)</f>
        <v>0.298870040392104</v>
      </c>
      <c r="R62" s="39" t="n">
        <f aca="false">IF($C62&gt;0,R25/$C62,0)</f>
        <v>0.296179249031661</v>
      </c>
      <c r="S62" s="39" t="n">
        <f aca="false">IF($C62&gt;0,S25/$C62,0)</f>
        <v>0.29310405890544</v>
      </c>
      <c r="T62" s="40" t="n">
        <f aca="false">SUM(E62:S62)</f>
        <v>7.66183619947964</v>
      </c>
    </row>
    <row r="63" customFormat="false" ht="15" hidden="false" customHeight="true" outlineLevel="0" collapsed="false">
      <c r="A63" s="13" t="str">
        <f aca="false">A26</f>
        <v>Croom</v>
      </c>
      <c r="B63" s="13" t="str">
        <f aca="false">B26</f>
        <v>Village</v>
      </c>
      <c r="C63" s="38" t="n">
        <f aca="false">C26</f>
        <v>16</v>
      </c>
      <c r="E63" s="39" t="n">
        <f aca="false">IF($C63&gt;0,E26/$C63,0)</f>
        <v>1.77724426252449</v>
      </c>
      <c r="F63" s="39" t="n">
        <f aca="false">IF($C63&gt;0,F26/$C63,0)</f>
        <v>1.77724426252449</v>
      </c>
      <c r="G63" s="39" t="n">
        <f aca="false">IF($C63&gt;0,G26/$C63,0)</f>
        <v>1.77724426252449</v>
      </c>
      <c r="H63" s="39" t="n">
        <f aca="false">IF($C63&gt;0,H26/$C63,0)</f>
        <v>1.77724426252449</v>
      </c>
      <c r="I63" s="39" t="n">
        <f aca="false">IF($C63&gt;0,I26/$C63,0)</f>
        <v>1.77724426252449</v>
      </c>
      <c r="J63" s="39" t="n">
        <f aca="false">IF($C63&gt;0,J26/$C63,0)</f>
        <v>0.903838977516559</v>
      </c>
      <c r="K63" s="39" t="n">
        <f aca="false">IF($C63&gt;0,K26/$C63,0)</f>
        <v>0.903838977516559</v>
      </c>
      <c r="L63" s="39" t="n">
        <f aca="false">IF($C63&gt;0,L26/$C63,0)</f>
        <v>0.903838977516559</v>
      </c>
      <c r="M63" s="39" t="n">
        <f aca="false">IF($C63&gt;0,M26/$C63,0)</f>
        <v>0.903838977516559</v>
      </c>
      <c r="N63" s="39" t="n">
        <f aca="false">IF($C63&gt;0,N26/$C63,0)</f>
        <v>0.87340528500793</v>
      </c>
      <c r="O63" s="39" t="n">
        <f aca="false">IF($C63&gt;0,O26/$C63,0)</f>
        <v>0.661620137139659</v>
      </c>
      <c r="P63" s="39" t="n">
        <f aca="false">IF($C63&gt;0,P26/$C63,0)</f>
        <v>0.656200438473738</v>
      </c>
      <c r="Q63" s="39" t="n">
        <f aca="false">IF($C63&gt;0,Q26/$C63,0)</f>
        <v>0.648279340423547</v>
      </c>
      <c r="R63" s="39" t="n">
        <f aca="false">IF($C63&gt;0,R26/$C63,0)</f>
        <v>0.642442741860248</v>
      </c>
      <c r="S63" s="39" t="n">
        <f aca="false">IF($C63&gt;0,S26/$C63,0)</f>
        <v>0.635772343502192</v>
      </c>
      <c r="T63" s="40" t="n">
        <f aca="false">SUM(E63:S63)</f>
        <v>16.619297509096</v>
      </c>
    </row>
    <row r="64" customFormat="false" ht="15" hidden="false" customHeight="true" outlineLevel="0" collapsed="false">
      <c r="A64" s="13" t="str">
        <f aca="false">A27</f>
        <v>Hospital</v>
      </c>
      <c r="B64" s="13" t="str">
        <f aca="false">B27</f>
        <v>Village</v>
      </c>
      <c r="C64" s="38" t="n">
        <f aca="false">C27</f>
        <v>16.6</v>
      </c>
      <c r="E64" s="39" t="n">
        <f aca="false">IF($C64&gt;0,E27/$C64,0)</f>
        <v>1.05415785728978</v>
      </c>
      <c r="F64" s="39" t="n">
        <f aca="false">IF($C64&gt;0,F27/$C64,0)</f>
        <v>1.05415785728978</v>
      </c>
      <c r="G64" s="39" t="n">
        <f aca="false">IF($C64&gt;0,G27/$C64,0)</f>
        <v>1.05415785728978</v>
      </c>
      <c r="H64" s="39" t="n">
        <f aca="false">IF($C64&gt;0,H27/$C64,0)</f>
        <v>1.05415785728978</v>
      </c>
      <c r="I64" s="39" t="n">
        <f aca="false">IF($C64&gt;0,I27/$C64,0)</f>
        <v>1.05415785728978</v>
      </c>
      <c r="J64" s="39" t="n">
        <f aca="false">IF($C64&gt;0,J27/$C64,0)</f>
        <v>0.536104676191472</v>
      </c>
      <c r="K64" s="39" t="n">
        <f aca="false">IF($C64&gt;0,K27/$C64,0)</f>
        <v>0.536104676191472</v>
      </c>
      <c r="L64" s="39" t="n">
        <f aca="false">IF($C64&gt;0,L27/$C64,0)</f>
        <v>0.536104676191472</v>
      </c>
      <c r="M64" s="39" t="n">
        <f aca="false">IF($C64&gt;0,M27/$C64,0)</f>
        <v>0.536104676191472</v>
      </c>
      <c r="N64" s="39" t="n">
        <f aca="false">IF($C64&gt;0,N27/$C64,0)</f>
        <v>0.518053181098309</v>
      </c>
      <c r="O64" s="39" t="n">
        <f aca="false">IF($C64&gt;0,O27/$C64,0)</f>
        <v>0.39243455771027</v>
      </c>
      <c r="P64" s="39" t="n">
        <f aca="false">IF($C64&gt;0,P27/$C64,0)</f>
        <v>0.389219907899159</v>
      </c>
      <c r="Q64" s="39" t="n">
        <f aca="false">IF($C64&gt;0,Q27/$C64,0)</f>
        <v>0.384521573559843</v>
      </c>
      <c r="R64" s="39" t="n">
        <f aca="false">IF($C64&gt;0,R27/$C64,0)</f>
        <v>0.38105964299403</v>
      </c>
      <c r="S64" s="39" t="n">
        <f aca="false">IF($C64&gt;0,S27/$C64,0)</f>
        <v>0.377103150918817</v>
      </c>
      <c r="T64" s="40" t="n">
        <f aca="false">SUM(E64:S64)</f>
        <v>9.85760000539522</v>
      </c>
    </row>
    <row r="65" customFormat="false" ht="15" hidden="false" customHeight="true" outlineLevel="0" collapsed="false">
      <c r="A65" s="13" t="str">
        <f aca="false">A28</f>
        <v>Kilfinnane</v>
      </c>
      <c r="B65" s="13" t="str">
        <f aca="false">B28</f>
        <v>Village</v>
      </c>
      <c r="C65" s="38" t="n">
        <f aca="false">C28</f>
        <v>19.3</v>
      </c>
      <c r="E65" s="39" t="n">
        <f aca="false">IF($C65&gt;0,E28/$C65,0)</f>
        <v>1.15396272272325</v>
      </c>
      <c r="F65" s="39" t="n">
        <f aca="false">IF($C65&gt;0,F28/$C65,0)</f>
        <v>1.15396272272325</v>
      </c>
      <c r="G65" s="39" t="n">
        <f aca="false">IF($C65&gt;0,G28/$C65,0)</f>
        <v>1.15396272272325</v>
      </c>
      <c r="H65" s="39" t="n">
        <f aca="false">IF($C65&gt;0,H28/$C65,0)</f>
        <v>1.15396272272325</v>
      </c>
      <c r="I65" s="39" t="n">
        <f aca="false">IF($C65&gt;0,I28/$C65,0)</f>
        <v>1.15396272272325</v>
      </c>
      <c r="J65" s="39" t="n">
        <f aca="false">IF($C65&gt;0,J28/$C65,0)</f>
        <v>0.586861642707951</v>
      </c>
      <c r="K65" s="39" t="n">
        <f aca="false">IF($C65&gt;0,K28/$C65,0)</f>
        <v>0.586861642707951</v>
      </c>
      <c r="L65" s="39" t="n">
        <f aca="false">IF($C65&gt;0,L28/$C65,0)</f>
        <v>0.586861642707951</v>
      </c>
      <c r="M65" s="39" t="n">
        <f aca="false">IF($C65&gt;0,M28/$C65,0)</f>
        <v>0.586861642707951</v>
      </c>
      <c r="N65" s="39" t="n">
        <f aca="false">IF($C65&gt;0,N28/$C65,0)</f>
        <v>0.567101080015294</v>
      </c>
      <c r="O65" s="39" t="n">
        <f aca="false">IF($C65&gt;0,O28/$C65,0)</f>
        <v>0.429589219085571</v>
      </c>
      <c r="P65" s="39" t="n">
        <f aca="false">IF($C65&gt;0,P28/$C65,0)</f>
        <v>0.426070214770441</v>
      </c>
      <c r="Q65" s="39" t="n">
        <f aca="false">IF($C65&gt;0,Q28/$C65,0)</f>
        <v>0.420927054617557</v>
      </c>
      <c r="R65" s="39" t="n">
        <f aca="false">IF($C65&gt;0,R28/$C65,0)</f>
        <v>0.417137357662801</v>
      </c>
      <c r="S65" s="39" t="n">
        <f aca="false">IF($C65&gt;0,S28/$C65,0)</f>
        <v>0.412806275428794</v>
      </c>
      <c r="T65" s="40" t="n">
        <f aca="false">SUM(E65:S65)</f>
        <v>10.7908913860285</v>
      </c>
    </row>
    <row r="66" customFormat="false" ht="15" hidden="false" customHeight="true" outlineLevel="0" collapsed="false">
      <c r="A66" s="13" t="str">
        <f aca="false">A29</f>
        <v>Moroe</v>
      </c>
      <c r="B66" s="13" t="str">
        <f aca="false">B29</f>
        <v>Village</v>
      </c>
      <c r="C66" s="38" t="n">
        <f aca="false">C29</f>
        <v>25.8</v>
      </c>
      <c r="E66" s="39" t="n">
        <f aca="false">IF($C66&gt;0,E29/$C66,0)</f>
        <v>1.24090129025399</v>
      </c>
      <c r="F66" s="39" t="n">
        <f aca="false">IF($C66&gt;0,F29/$C66,0)</f>
        <v>1.24090129025399</v>
      </c>
      <c r="G66" s="39" t="n">
        <f aca="false">IF($C66&gt;0,G29/$C66,0)</f>
        <v>1.24090129025399</v>
      </c>
      <c r="H66" s="39" t="n">
        <f aca="false">IF($C66&gt;0,H29/$C66,0)</f>
        <v>1.24090129025399</v>
      </c>
      <c r="I66" s="39" t="n">
        <f aca="false">IF($C66&gt;0,I29/$C66,0)</f>
        <v>1.24090129025399</v>
      </c>
      <c r="J66" s="39" t="n">
        <f aca="false">IF($C66&gt;0,J29/$C66,0)</f>
        <v>0.631075298444912</v>
      </c>
      <c r="K66" s="39" t="n">
        <f aca="false">IF($C66&gt;0,K29/$C66,0)</f>
        <v>0.631075298444912</v>
      </c>
      <c r="L66" s="39" t="n">
        <f aca="false">IF($C66&gt;0,L29/$C66,0)</f>
        <v>0.631075298444912</v>
      </c>
      <c r="M66" s="39" t="n">
        <f aca="false">IF($C66&gt;0,M29/$C66,0)</f>
        <v>0.631075298444912</v>
      </c>
      <c r="N66" s="39" t="n">
        <f aca="false">IF($C66&gt;0,N29/$C66,0)</f>
        <v>0.609825991809082</v>
      </c>
      <c r="O66" s="39" t="n">
        <f aca="false">IF($C66&gt;0,O29/$C66,0)</f>
        <v>0.46195410453509</v>
      </c>
      <c r="P66" s="39" t="n">
        <f aca="false">IF($C66&gt;0,P29/$C66,0)</f>
        <v>0.458169981435559</v>
      </c>
      <c r="Q66" s="39" t="n">
        <f aca="false">IF($C66&gt;0,Q29/$C66,0)</f>
        <v>0.452639339982397</v>
      </c>
      <c r="R66" s="39" t="n">
        <f aca="false">IF($C66&gt;0,R29/$C66,0)</f>
        <v>0.448564130490594</v>
      </c>
      <c r="S66" s="39" t="n">
        <f aca="false">IF($C66&gt;0,S29/$C66,0)</f>
        <v>0.443906748214248</v>
      </c>
      <c r="T66" s="40" t="n">
        <f aca="false">SUM(E66:S66)</f>
        <v>11.6038679415166</v>
      </c>
    </row>
    <row r="67" customFormat="false" ht="15" hidden="false" customHeight="true" outlineLevel="0" collapsed="false">
      <c r="A67" s="13" t="str">
        <f aca="false">A30</f>
        <v>Patrickswell</v>
      </c>
      <c r="B67" s="13" t="str">
        <f aca="false">B30</f>
        <v>Village</v>
      </c>
      <c r="C67" s="38" t="n">
        <f aca="false">C30</f>
        <v>21.5</v>
      </c>
      <c r="E67" s="39" t="n">
        <f aca="false">IF($C67&gt;0,E30/$C67,0)</f>
        <v>3.69958148647153</v>
      </c>
      <c r="F67" s="39" t="n">
        <f aca="false">IF($C67&gt;0,F30/$C67,0)</f>
        <v>3.69958148647153</v>
      </c>
      <c r="G67" s="39" t="n">
        <f aca="false">IF($C67&gt;0,G30/$C67,0)</f>
        <v>3.69958148647153</v>
      </c>
      <c r="H67" s="39" t="n">
        <f aca="false">IF($C67&gt;0,H30/$C67,0)</f>
        <v>3.69958148647153</v>
      </c>
      <c r="I67" s="39" t="n">
        <f aca="false">IF($C67&gt;0,I30/$C67,0)</f>
        <v>3.69958148647153</v>
      </c>
      <c r="J67" s="39" t="n">
        <f aca="false">IF($C67&gt;0,J30/$C67,0)</f>
        <v>1.88146672828297</v>
      </c>
      <c r="K67" s="39" t="n">
        <f aca="false">IF($C67&gt;0,K30/$C67,0)</f>
        <v>1.88146672828297</v>
      </c>
      <c r="L67" s="39" t="n">
        <f aca="false">IF($C67&gt;0,L30/$C67,0)</f>
        <v>1.88146672828297</v>
      </c>
      <c r="M67" s="39" t="n">
        <f aca="false">IF($C67&gt;0,M30/$C67,0)</f>
        <v>1.88146672828297</v>
      </c>
      <c r="N67" s="39" t="n">
        <f aca="false">IF($C67&gt;0,N30/$C67,0)</f>
        <v>1.81811475818857</v>
      </c>
      <c r="O67" s="39" t="n">
        <f aca="false">IF($C67&gt;0,O30/$C67,0)</f>
        <v>1.37725447314809</v>
      </c>
      <c r="P67" s="39" t="n">
        <f aca="false">IF($C67&gt;0,P30/$C67,0)</f>
        <v>1.36597261546005</v>
      </c>
      <c r="Q67" s="39" t="n">
        <f aca="false">IF($C67&gt;0,Q30/$C67,0)</f>
        <v>1.34948374653137</v>
      </c>
      <c r="R67" s="39" t="n">
        <f aca="false">IF($C67&gt;0,R30/$C67,0)</f>
        <v>1.33733405363655</v>
      </c>
      <c r="S67" s="39" t="n">
        <f aca="false">IF($C67&gt;0,S30/$C67,0)</f>
        <v>1.32344869032819</v>
      </c>
      <c r="T67" s="40" t="n">
        <f aca="false">SUM(E67:S67)</f>
        <v>34.5953826827824</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210</v>
      </c>
      <c r="E69" s="37" t="n">
        <f aca="false">SUM(E44:E68)</f>
        <v>195.069946987047</v>
      </c>
      <c r="F69" s="37" t="n">
        <f aca="false">SUM(F44:F68)</f>
        <v>195.069946987047</v>
      </c>
      <c r="G69" s="37" t="n">
        <f aca="false">SUM(G44:G68)</f>
        <v>195.069946987047</v>
      </c>
      <c r="H69" s="37" t="n">
        <f aca="false">SUM(H44:H68)</f>
        <v>195.069946987047</v>
      </c>
      <c r="I69" s="37" t="n">
        <f aca="false">SUM(I44:I68)</f>
        <v>195.069946987047</v>
      </c>
      <c r="J69" s="37" t="n">
        <f aca="false">SUM(J44:J68)</f>
        <v>99.2051712568419</v>
      </c>
      <c r="K69" s="37" t="n">
        <f aca="false">SUM(K44:K68)</f>
        <v>99.2051712568419</v>
      </c>
      <c r="L69" s="37" t="n">
        <f aca="false">SUM(L44:L68)</f>
        <v>99.2051712568419</v>
      </c>
      <c r="M69" s="37" t="n">
        <f aca="false">SUM(M44:M68)</f>
        <v>99.2051712568419</v>
      </c>
      <c r="N69" s="37" t="n">
        <f aca="false">SUM(N44:N68)</f>
        <v>95.8647757302047</v>
      </c>
      <c r="O69" s="37" t="n">
        <f aca="false">SUM(O44:O68)</f>
        <v>72.6192835722362</v>
      </c>
      <c r="P69" s="37" t="n">
        <f aca="false">SUM(P44:P68)</f>
        <v>72.0244186154378</v>
      </c>
      <c r="Q69" s="37" t="n">
        <f aca="false">SUM(Q44:Q68)</f>
        <v>71.1550006016555</v>
      </c>
      <c r="R69" s="37" t="n">
        <f aca="false">SUM(R44:R68)</f>
        <v>70.5143768020265</v>
      </c>
      <c r="S69" s="37" t="n">
        <f aca="false">SUM(S44:S68)</f>
        <v>69.7822353167361</v>
      </c>
      <c r="T69" s="37" t="n">
        <f aca="false">SUM(T44:T68)</f>
        <v>1824.1305106009</v>
      </c>
    </row>
    <row r="71" customFormat="false" ht="15" hidden="false" customHeight="true" outlineLevel="0" collapsed="false">
      <c r="A71" s="3" t="s">
        <v>220</v>
      </c>
    </row>
    <row r="72" customFormat="false" ht="15" hidden="false" customHeight="true" outlineLevel="0" collapsed="false">
      <c r="A72" s="3" t="s">
        <v>221</v>
      </c>
    </row>
    <row r="73" customFormat="false" ht="15" hidden="false" customHeight="true" outlineLevel="0" collapsed="false">
      <c r="A73" s="3" t="s">
        <v>222</v>
      </c>
    </row>
    <row r="74" customFormat="false" ht="15" hidden="false" customHeight="true" outlineLevel="0" collapsed="false">
      <c r="A74" s="3"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3" min="20" style="1" width="11"/>
  </cols>
  <sheetData>
    <row r="1" customFormat="false" ht="19.5" hidden="false" customHeight="true" outlineLevel="0" collapsed="false">
      <c r="A1" s="2" t="s">
        <v>224</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225</v>
      </c>
    </row>
    <row r="5" customFormat="false" ht="15" hidden="false" customHeight="true" outlineLevel="0" collapsed="false">
      <c r="E5" s="12" t="s">
        <v>135</v>
      </c>
    </row>
    <row r="6" customFormat="false" ht="54" hidden="false" customHeight="true" outlineLevel="0" collapsed="false">
      <c r="A6" s="4" t="s">
        <v>136</v>
      </c>
      <c r="B6" s="5" t="s">
        <v>137</v>
      </c>
      <c r="C6" s="5" t="s">
        <v>226</v>
      </c>
      <c r="D6" s="5" t="s">
        <v>227</v>
      </c>
      <c r="E6" s="5" t="s">
        <v>140</v>
      </c>
      <c r="F6" s="5" t="s">
        <v>141</v>
      </c>
      <c r="G6" s="5" t="s">
        <v>142</v>
      </c>
      <c r="H6" s="5" t="s">
        <v>143</v>
      </c>
      <c r="I6" s="5" t="s">
        <v>144</v>
      </c>
      <c r="J6" s="5" t="s">
        <v>145</v>
      </c>
      <c r="K6" s="5" t="s">
        <v>146</v>
      </c>
      <c r="L6" s="5" t="s">
        <v>147</v>
      </c>
      <c r="M6" s="5" t="s">
        <v>148</v>
      </c>
      <c r="N6" s="5" t="s">
        <v>149</v>
      </c>
      <c r="O6" s="5" t="s">
        <v>150</v>
      </c>
      <c r="P6" s="5" t="s">
        <v>151</v>
      </c>
      <c r="Q6" s="5" t="s">
        <v>152</v>
      </c>
      <c r="R6" s="5" t="s">
        <v>153</v>
      </c>
      <c r="S6" s="5" t="s">
        <v>154</v>
      </c>
      <c r="T6" s="5" t="s">
        <v>155</v>
      </c>
      <c r="U6" s="5" t="s">
        <v>156</v>
      </c>
      <c r="V6" s="5" t="s">
        <v>228</v>
      </c>
      <c r="W6" s="5" t="s">
        <v>229</v>
      </c>
    </row>
    <row r="7" customFormat="false" ht="30" hidden="false" customHeight="true" outlineLevel="0" collapsed="false">
      <c r="A7" s="28" t="s">
        <v>157</v>
      </c>
      <c r="B7" s="28" t="s">
        <v>158</v>
      </c>
      <c r="C7" s="41" t="n">
        <f aca="false">Data!$H$298*CHOOSE(Model!$B$16,Data!$C$298,(Data!$C$298+Data!$D$298)/2,Data!$D$298)+(1-Data!$H$298)*CHOOSE(Model!$B$16,Data!$F$298,(Data!$F$298+Data!$G$298)/2,Data!$G$298)</f>
        <v>47.9989212513484</v>
      </c>
      <c r="D7" s="30" t="str">
        <f aca="false">IF(Data!$H$298&gt;=0.9999,Data!$B$298,IF(Data!$H$298&lt;=0.0001,Data!$E$298,TEXT(Data!$H$298,"0%")&amp;" "&amp;LEFT(Data!$B$298,FIND(",",Data!$B$298)-1)&amp;", "&amp;TEXT(1-Data!$H$298,"0%")&amp;" "&amp;LEFT(Data!$E$298,FIND(",",Data!$E$298)-1)))</f>
        <v>87% City Zone 2, 13% City Zone 3</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25.1787151557427</v>
      </c>
      <c r="V7" s="42" t="n">
        <f aca="false">Land!U7</f>
        <v>38.9855214829235</v>
      </c>
      <c r="W7" s="43" t="n">
        <f aca="false">U7-V7</f>
        <v>-13.8068063271808</v>
      </c>
    </row>
    <row r="8" customFormat="false" ht="30" hidden="false" customHeight="true" outlineLevel="0" collapsed="false">
      <c r="A8" s="28" t="s">
        <v>160</v>
      </c>
      <c r="B8" s="28" t="s">
        <v>158</v>
      </c>
      <c r="C8" s="41" t="n">
        <f aca="false">Data!$H$299*CHOOSE(Model!$B$16,Data!$C$299,(Data!$C$299+Data!$D$299)/2,Data!$D$299)+(1-Data!$H$299)*CHOOSE(Model!$B$16,Data!$F$299,(Data!$F$299+Data!$G$299)/2,Data!$G$299)</f>
        <v>43.1187621666718</v>
      </c>
      <c r="D8" s="30" t="str">
        <f aca="false">IF(Data!$H$299&gt;=0.9999,Data!$B$299,IF(Data!$H$299&lt;=0.0001,Data!$E$299,TEXT(Data!$H$299,"0%")&amp;" "&amp;LEFT(Data!$B$299,FIND(",",Data!$B$299)-1)&amp;", "&amp;TEXT(1-Data!$H$299,"0%")&amp;" "&amp;LEFT(Data!$E$299,FIND(",",Data!$E$299)-1)))</f>
        <v>54% City Zone 2, 46% City Zone 3</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113.917653099842</v>
      </c>
      <c r="V8" s="42" t="n">
        <f aca="false">Land!U8</f>
        <v>196.479527623901</v>
      </c>
      <c r="W8" s="43" t="n">
        <f aca="false">U8-V8</f>
        <v>-82.5618745240586</v>
      </c>
    </row>
    <row r="9" customFormat="false" ht="30" hidden="false" customHeight="true" outlineLevel="0" collapsed="false">
      <c r="A9" s="28" t="s">
        <v>162</v>
      </c>
      <c r="B9" s="28" t="s">
        <v>158</v>
      </c>
      <c r="C9" s="41" t="n">
        <f aca="false">Data!$H$300*CHOOSE(Model!$B$16,Data!$C$300,(Data!$C$300+Data!$D$300)/2,Data!$D$300)+(1-Data!$H$300)*CHOOSE(Model!$B$16,Data!$F$300,(Data!$F$300+Data!$G$300)/2,Data!$G$300)</f>
        <v>38.6847099222845</v>
      </c>
      <c r="D9" s="30" t="str">
        <f aca="false">IF(Data!$H$300&gt;=0.9999,Data!$B$300,IF(Data!$H$300&lt;=0.0001,Data!$E$300,TEXT(Data!$H$300,"0%")&amp;" "&amp;LEFT(Data!$B$300,FIND(",",Data!$B$300)-1)&amp;", "&amp;TEXT(1-Data!$H$300,"0%")&amp;" "&amp;LEFT(Data!$E$300,FIND(",",Data!$E$300)-1)))</f>
        <v>25% City Zone 2, 75% City Zone 3</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150.645428177024</v>
      </c>
      <c r="V9" s="42" t="n">
        <f aca="false">Land!U9</f>
        <v>238.839126645349</v>
      </c>
      <c r="W9" s="43" t="n">
        <f aca="false">U9-V9</f>
        <v>-88.1936984683248</v>
      </c>
    </row>
    <row r="10" customFormat="false" ht="30" hidden="false" customHeight="true" outlineLevel="0" collapsed="false">
      <c r="A10" s="28" t="s">
        <v>164</v>
      </c>
      <c r="B10" s="28" t="s">
        <v>158</v>
      </c>
      <c r="C10" s="41" t="n">
        <f aca="false">Data!$H$301*CHOOSE(Model!$B$16,Data!$C$301,(Data!$C$301+Data!$D$301)/2,Data!$D$301)+(1-Data!$H$301)*CHOOSE(Model!$B$16,Data!$F$301,(Data!$F$301+Data!$G$301)/2,Data!$G$301)</f>
        <v>99.993621353745</v>
      </c>
      <c r="D10" s="30" t="str">
        <f aca="false">IF(Data!$H$301&gt;=0.9999,Data!$B$301,IF(Data!$H$301&lt;=0.0001,Data!$E$301,TEXT(Data!$H$301,"0%")&amp;" "&amp;LEFT(Data!$B$301,FIND(",",Data!$B$301)-1)&amp;", "&amp;TEXT(1-Data!$H$301,"0%")&amp;" "&amp;LEFT(Data!$E$301,FIND(",",Data!$E$301)-1)))</f>
        <v>City Zone 1, city centre (100–250)</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50.6261878620253</v>
      </c>
      <c r="V10" s="42" t="n">
        <f aca="false">Land!U10</f>
        <v>143.00270789997</v>
      </c>
      <c r="W10" s="43" t="n">
        <f aca="false">U10-V10</f>
        <v>-92.3765200379442</v>
      </c>
    </row>
    <row r="11" customFormat="false" ht="30" hidden="false" customHeight="true" outlineLevel="0" collapsed="false">
      <c r="A11" s="28" t="s">
        <v>166</v>
      </c>
      <c r="B11" s="28" t="s">
        <v>158</v>
      </c>
      <c r="C11" s="41" t="n">
        <f aca="false">Data!$H$302*CHOOSE(Model!$B$16,Data!$C$302,(Data!$C$302+Data!$D$302)/2,Data!$D$302)+(1-Data!$H$302)*CHOOSE(Model!$B$16,Data!$F$302,(Data!$F$302+Data!$G$302)/2,Data!$G$302)</f>
        <v>42.0121983279878</v>
      </c>
      <c r="D11" s="30" t="str">
        <f aca="false">IF(Data!$H$302&gt;=0.9999,Data!$B$302,IF(Data!$H$302&lt;=0.0001,Data!$E$302,TEXT(Data!$H$302,"0%")&amp;" "&amp;LEFT(Data!$B$302,FIND(",",Data!$B$302)-1)&amp;", "&amp;TEXT(1-Data!$H$302,"0%")&amp;" "&amp;LEFT(Data!$E$302,FIND(",",Data!$E$302)-1)))</f>
        <v>47% City Zone 2, 53% City Zone 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30.4797592097609</v>
      </c>
      <c r="V11" s="42" t="n">
        <f aca="false">Land!U11</f>
        <v>53.1336800377505</v>
      </c>
      <c r="W11" s="43" t="n">
        <f aca="false">U11-V11</f>
        <v>-22.6539208279896</v>
      </c>
    </row>
    <row r="12" customFormat="false" ht="30" hidden="false" customHeight="true" outlineLevel="0" collapsed="false">
      <c r="A12" s="28" t="s">
        <v>168</v>
      </c>
      <c r="B12" s="28" t="s">
        <v>158</v>
      </c>
      <c r="C12" s="41" t="n">
        <f aca="false">Data!$H$303*CHOOSE(Model!$B$16,Data!$C$303,(Data!$C$303+Data!$D$303)/2,Data!$D$303)+(1-Data!$H$303)*CHOOSE(Model!$B$16,Data!$F$303,(Data!$F$303+Data!$G$303)/2,Data!$G$303)</f>
        <v>35.7875115598027</v>
      </c>
      <c r="D12" s="30" t="str">
        <f aca="false">IF(Data!$H$303&gt;=0.9999,Data!$B$303,IF(Data!$H$303&lt;=0.0001,Data!$E$303,TEXT(Data!$H$303,"0%")&amp;" "&amp;LEFT(Data!$B$303,FIND(",",Data!$B$303)-1)&amp;", "&amp;TEXT(1-Data!$H$303,"0%")&amp;" "&amp;LEFT(Data!$E$303,FIND(",",Data!$E$303)-1)))</f>
        <v>5% City Zone 2, 95% City Zone 3</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152.569183096889</v>
      </c>
      <c r="V12" s="42" t="n">
        <f aca="false">Land!U12</f>
        <v>242.669840166648</v>
      </c>
      <c r="W12" s="43" t="n">
        <f aca="false">U12-V12</f>
        <v>-90.1006570697589</v>
      </c>
    </row>
    <row r="13" customFormat="false" ht="30" hidden="false" customHeight="true" outlineLevel="0" collapsed="false">
      <c r="A13" s="28" t="s">
        <v>170</v>
      </c>
      <c r="B13" s="28" t="s">
        <v>158</v>
      </c>
      <c r="C13" s="41" t="n">
        <f aca="false">Data!$H$304*CHOOSE(Model!$B$16,Data!$C$304,(Data!$C$304+Data!$D$304)/2,Data!$D$304)+(1-Data!$H$304)*CHOOSE(Model!$B$16,Data!$F$304,(Data!$F$304+Data!$G$304)/2,Data!$G$304)</f>
        <v>50</v>
      </c>
      <c r="D13" s="30" t="str">
        <f aca="false">IF(Data!$H$304&gt;=0.9999,Data!$B$304,IF(Data!$H$304&lt;=0.0001,Data!$E$304,TEXT(Data!$H$304,"0%")&amp;" "&amp;LEFT(Data!$B$304,FIND(",",Data!$B$304)-1)&amp;", "&amp;TEXT(1-Data!$H$304,"0%")&amp;" "&amp;LEFT(Data!$E$304,FIND(",",Data!$E$304)-1)))</f>
        <v>City Zone 2, urban neighbourhoods (50–200)</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12.6668120372918</v>
      </c>
      <c r="V13" s="42" t="n">
        <f aca="false">Land!U13</f>
        <v>13.7384078495573</v>
      </c>
      <c r="W13" s="43" t="n">
        <f aca="false">U13-V13</f>
        <v>-1.07159581226547</v>
      </c>
    </row>
    <row r="14" customFormat="false" ht="30" hidden="false" customHeight="true" outlineLevel="0" collapsed="false">
      <c r="A14" s="28" t="s">
        <v>172</v>
      </c>
      <c r="B14" s="28" t="s">
        <v>158</v>
      </c>
      <c r="C14" s="41" t="n">
        <f aca="false">Data!$H$305*CHOOSE(Model!$B$16,Data!$C$305,(Data!$C$305+Data!$D$305)/2,Data!$D$305)+(1-Data!$H$305)*CHOOSE(Model!$B$16,Data!$F$305,(Data!$F$305+Data!$G$305)/2,Data!$G$305)</f>
        <v>48.9511823035851</v>
      </c>
      <c r="D14" s="30" t="str">
        <f aca="false">IF(Data!$H$305&gt;=0.9999,Data!$B$305,IF(Data!$H$305&lt;=0.0001,Data!$E$305,TEXT(Data!$H$305,"0%")&amp;" "&amp;LEFT(Data!$B$305,FIND(",",Data!$B$305)-1)&amp;", "&amp;TEXT(1-Data!$H$305,"0%")&amp;" "&amp;LEFT(Data!$E$305,FIND(",",Data!$E$305)-1)))</f>
        <v>93% City Zone 2, 7% City Zone 3</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64.2952055897453</v>
      </c>
      <c r="V14" s="42" t="n">
        <f aca="false">Land!U14</f>
        <v>89.1593861209661</v>
      </c>
      <c r="W14" s="43" t="n">
        <f aca="false">U14-V14</f>
        <v>-24.8641805312208</v>
      </c>
    </row>
    <row r="15" customFormat="false" ht="30" hidden="false" customHeight="true" outlineLevel="0" collapsed="false">
      <c r="A15" s="28" t="s">
        <v>174</v>
      </c>
      <c r="B15" s="28" t="s">
        <v>158</v>
      </c>
      <c r="C15" s="41" t="n">
        <f aca="false">Data!$H$306*CHOOSE(Model!$B$16,Data!$C$306,(Data!$C$306+Data!$D$306)/2,Data!$D$306)+(1-Data!$H$306)*CHOOSE(Model!$B$16,Data!$F$306,(Data!$F$306+Data!$G$306)/2,Data!$G$306)</f>
        <v>48.9505676680398</v>
      </c>
      <c r="D15" s="30" t="str">
        <f aca="false">IF(Data!$H$306&gt;=0.9999,Data!$B$306,IF(Data!$H$306&lt;=0.0001,Data!$E$306,TEXT(Data!$H$306,"0%")&amp;" "&amp;LEFT(Data!$B$306,FIND(",",Data!$B$306)-1)&amp;", "&amp;TEXT(1-Data!$H$306,"0%")&amp;" "&amp;LEFT(Data!$E$306,FIND(",",Data!$E$306)-1)))</f>
        <v>93% City Zone 2, 7% City Zone 3</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35.2525368862024</v>
      </c>
      <c r="V15" s="42" t="n">
        <f aca="false">Land!U15</f>
        <v>70.7226103409064</v>
      </c>
      <c r="W15" s="43" t="n">
        <f aca="false">U15-V15</f>
        <v>-35.4700734547041</v>
      </c>
    </row>
    <row r="16" customFormat="false" ht="30" hidden="false" customHeight="true" outlineLevel="0" collapsed="false">
      <c r="A16" s="28" t="s">
        <v>176</v>
      </c>
      <c r="B16" s="28" t="s">
        <v>177</v>
      </c>
      <c r="C16" s="41" t="n">
        <f aca="false">Data!$H$307*CHOOSE(Model!$B$16,Data!$C$307,(Data!$C$307+Data!$D$307)/2,Data!$D$307)+(1-Data!$H$307)*CHOOSE(Model!$B$16,Data!$F$307,(Data!$F$307+Data!$G$307)/2,Data!$G$307)</f>
        <v>25</v>
      </c>
      <c r="D16" s="30" t="str">
        <f aca="false">IF(Data!$H$307&gt;=0.9999,Data!$B$307,IF(Data!$H$307&lt;=0.0001,Data!$E$307,TEXT(Data!$H$307,"0%")&amp;" "&amp;LEFT(Data!$B$307,FIND(",",Data!$B$307)-1)&amp;", "&amp;TEXT(1-Data!$H$307,"0%")&amp;" "&amp;LEFT(Data!$E$307,FIND(",",Data!$E$307)-1)))</f>
        <v>Level 3 town Zone 2, town edge (25–40)</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21.5702211027148</v>
      </c>
      <c r="V16" s="42" t="n">
        <f aca="false">Land!U16</f>
        <v>29.7931230700481</v>
      </c>
      <c r="W16" s="43" t="n">
        <f aca="false">U16-V16</f>
        <v>-8.22290196733327</v>
      </c>
    </row>
    <row r="17" customFormat="false" ht="30" hidden="false" customHeight="true" outlineLevel="0" collapsed="false">
      <c r="A17" s="28" t="s">
        <v>179</v>
      </c>
      <c r="B17" s="28" t="s">
        <v>177</v>
      </c>
      <c r="C17" s="41" t="n">
        <f aca="false">Data!$H$308*CHOOSE(Model!$B$16,Data!$C$308,(Data!$C$308+Data!$D$308)/2,Data!$D$308)+(1-Data!$H$308)*CHOOSE(Model!$B$16,Data!$F$308,(Data!$F$308+Data!$G$308)/2,Data!$G$308)</f>
        <v>25</v>
      </c>
      <c r="D17" s="30" t="str">
        <f aca="false">IF(Data!$H$308&gt;=0.9999,Data!$B$308,IF(Data!$H$308&lt;=0.0001,Data!$E$308,TEXT(Data!$H$308,"0%")&amp;" "&amp;LEFT(Data!$B$308,FIND(",",Data!$B$308)-1)&amp;", "&amp;TEXT(1-Data!$H$308,"0%")&amp;" "&amp;LEFT(Data!$E$308,FIND(",",Data!$E$308)-1)))</f>
        <v>Level 3 town Zone 2, town edge (25–40)</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12.7933725160929</v>
      </c>
      <c r="V17" s="42" t="n">
        <f aca="false">Land!U17</f>
        <v>15.7553848720356</v>
      </c>
      <c r="W17" s="43" t="n">
        <f aca="false">U17-V17</f>
        <v>-2.96201235594269</v>
      </c>
    </row>
    <row r="18" customFormat="false" ht="30" hidden="false" customHeight="true" outlineLevel="0" collapsed="false">
      <c r="A18" s="28" t="s">
        <v>181</v>
      </c>
      <c r="B18" s="28" t="s">
        <v>177</v>
      </c>
      <c r="C18" s="41" t="n">
        <f aca="false">Data!$H$309*CHOOSE(Model!$B$16,Data!$C$309,(Data!$C$309+Data!$D$309)/2,Data!$D$309)+(1-Data!$H$309)*CHOOSE(Model!$B$16,Data!$F$309,(Data!$F$309+Data!$G$309)/2,Data!$G$309)</f>
        <v>35</v>
      </c>
      <c r="D18" s="30" t="str">
        <f aca="false">IF(Data!$H$309&gt;=0.9999,Data!$B$309,IF(Data!$H$309&lt;=0.0001,Data!$E$309,TEXT(Data!$H$309,"0%")&amp;" "&amp;LEFT(Data!$B$309,FIND(",",Data!$B$309)-1)&amp;", "&amp;TEXT(1-Data!$H$309,"0%")&amp;" "&amp;LEFT(Data!$E$309,FIND(",",Data!$E$309)-1)))</f>
        <v>Metropolitan town Zone 2, suburban / urban extension (35–50)</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14.9822718004078</v>
      </c>
      <c r="V18" s="42" t="n">
        <f aca="false">Land!U18</f>
        <v>28.4988865768627</v>
      </c>
      <c r="W18" s="43" t="n">
        <f aca="false">U18-V18</f>
        <v>-13.5166147764549</v>
      </c>
    </row>
    <row r="19" customFormat="false" ht="30" hidden="false" customHeight="true" outlineLevel="0" collapsed="false">
      <c r="A19" s="28" t="s">
        <v>183</v>
      </c>
      <c r="B19" s="28" t="s">
        <v>177</v>
      </c>
      <c r="C19" s="41" t="n">
        <f aca="false">Data!$H$310*CHOOSE(Model!$B$16,Data!$C$310,(Data!$C$310+Data!$D$310)/2,Data!$D$310)+(1-Data!$H$310)*CHOOSE(Model!$B$16,Data!$F$310,(Data!$F$310+Data!$G$310)/2,Data!$G$310)</f>
        <v>25</v>
      </c>
      <c r="D19" s="30" t="str">
        <f aca="false">IF(Data!$H$310&gt;=0.9999,Data!$B$310,IF(Data!$H$310&lt;=0.0001,Data!$E$310,TEXT(Data!$H$310,"0%")&amp;" "&amp;LEFT(Data!$B$310,FIND(",",Data!$B$310)-1)&amp;", "&amp;TEXT(1-Data!$H$310,"0%")&amp;" "&amp;LEFT(Data!$E$310,FIND(",",Data!$E$310)-1)))</f>
        <v>Level 3 town Zone 2, town edge (25–40)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16.58675622726</v>
      </c>
      <c r="V19" s="42" t="n">
        <f aca="false">Land!U19</f>
        <v>24.108657307064</v>
      </c>
      <c r="W19" s="43" t="n">
        <f aca="false">U19-V19</f>
        <v>-7.52190107980396</v>
      </c>
    </row>
    <row r="20" customFormat="false" ht="30" hidden="false" customHeight="true" outlineLevel="0" collapsed="false">
      <c r="A20" s="28" t="s">
        <v>185</v>
      </c>
      <c r="B20" s="28" t="s">
        <v>177</v>
      </c>
      <c r="C20" s="41" t="n">
        <f aca="false">Data!$H$311*CHOOSE(Model!$B$16,Data!$C$311,(Data!$C$311+Data!$D$311)/2,Data!$D$311)+(1-Data!$H$311)*CHOOSE(Model!$B$16,Data!$F$311,(Data!$F$311+Data!$G$311)/2,Data!$G$311)</f>
        <v>30</v>
      </c>
      <c r="D20" s="30" t="str">
        <f aca="false">IF(Data!$H$311&gt;=0.9999,Data!$B$311,IF(Data!$H$311&lt;=0.0001,Data!$E$311,TEXT(Data!$H$311,"0%")&amp;" "&amp;LEFT(Data!$B$311,FIND(",",Data!$B$311)-1)&amp;", "&amp;TEXT(1-Data!$H$311,"0%")&amp;" "&amp;LEFT(Data!$E$311,FIND(",",Data!$E$311)-1)))</f>
        <v>Key town Zone 2, suburban / urban extension (30–50)</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60.1858755480922</v>
      </c>
      <c r="V20" s="42" t="n">
        <f aca="false">Land!U20</f>
        <v>78.8461251721732</v>
      </c>
      <c r="W20" s="43" t="n">
        <f aca="false">U20-V20</f>
        <v>-18.660249624081</v>
      </c>
    </row>
    <row r="21" customFormat="false" ht="30" hidden="false" customHeight="true" outlineLevel="0" collapsed="false">
      <c r="A21" s="28" t="s">
        <v>187</v>
      </c>
      <c r="B21" s="28" t="s">
        <v>177</v>
      </c>
      <c r="C21" s="41" t="n">
        <f aca="false">Data!$H$312*CHOOSE(Model!$B$16,Data!$C$312,(Data!$C$312+Data!$D$312)/2,Data!$D$312)+(1-Data!$H$312)*CHOOSE(Model!$B$16,Data!$F$312,(Data!$F$312+Data!$G$312)/2,Data!$G$312)</f>
        <v>25</v>
      </c>
      <c r="D21" s="30" t="str">
        <f aca="false">IF(Data!$H$312&gt;=0.9999,Data!$B$312,IF(Data!$H$312&lt;=0.0001,Data!$E$312,TEXT(Data!$H$312,"0%")&amp;" "&amp;LEFT(Data!$B$312,FIND(",",Data!$B$312)-1)&amp;", "&amp;TEXT(1-Data!$H$312,"0%")&amp;" "&amp;LEFT(Data!$E$312,FIND(",",Data!$E$312)-1)))</f>
        <v>Level 3 town Zone 2, town edge (25–40)</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15.0247746991324</v>
      </c>
      <c r="V21" s="42" t="n">
        <f aca="false">Land!U21</f>
        <v>22.7648101502006</v>
      </c>
      <c r="W21" s="43" t="n">
        <f aca="false">U21-V21</f>
        <v>-7.7400354510682</v>
      </c>
    </row>
    <row r="22" customFormat="false" ht="30" hidden="false" customHeight="true" outlineLevel="0" collapsed="false">
      <c r="A22" s="28" t="s">
        <v>189</v>
      </c>
      <c r="B22" s="28" t="s">
        <v>190</v>
      </c>
      <c r="C22" s="41" t="n">
        <f aca="false">Data!$H$313*CHOOSE(Model!$B$16,Data!$C$313,(Data!$C$313+Data!$D$313)/2,Data!$D$313)+(1-Data!$H$313)*CHOOSE(Model!$B$16,Data!$F$313,(Data!$F$313+Data!$G$313)/2,Data!$G$313)</f>
        <v>22</v>
      </c>
      <c r="D22" s="30" t="str">
        <f aca="false">IF(Data!$H$313&gt;=0.9999,Data!$B$313,IF(Data!$H$313&lt;=0.0001,Data!$E$313,TEXT(Data!$H$313,"0%")&amp;" "&amp;LEFT(Data!$B$313,FIND(",",Data!$B$313)-1)&amp;", "&amp;TEXT(1-Data!$H$313,"0%")&amp;" "&amp;LEFT(Data!$E$313,FIND(",",Data!$E$313)-1)))</f>
        <v>Level 4 large village (22)</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16.9045619927232</v>
      </c>
      <c r="V22" s="42" t="n">
        <f aca="false">Land!U22</f>
        <v>28.8294855689853</v>
      </c>
      <c r="W22" s="43" t="n">
        <f aca="false">U22-V22</f>
        <v>-11.9249235762621</v>
      </c>
    </row>
    <row r="23" customFormat="false" ht="30" hidden="false" customHeight="true" outlineLevel="0" collapsed="false">
      <c r="A23" s="28" t="s">
        <v>192</v>
      </c>
      <c r="B23" s="28" t="s">
        <v>190</v>
      </c>
      <c r="C23" s="41" t="n">
        <f aca="false">Data!$H$314*CHOOSE(Model!$B$16,Data!$C$314,(Data!$C$314+Data!$D$314)/2,Data!$D$314)+(1-Data!$H$314)*CHOOSE(Model!$B$16,Data!$F$314,(Data!$F$314+Data!$G$314)/2,Data!$G$314)</f>
        <v>22</v>
      </c>
      <c r="D23" s="30" t="str">
        <f aca="false">IF(Data!$H$314&gt;=0.9999,Data!$B$314,IF(Data!$H$314&lt;=0.0001,Data!$E$314,TEXT(Data!$H$314,"0%")&amp;" "&amp;LEFT(Data!$B$314,FIND(",",Data!$B$314)-1)&amp;", "&amp;TEXT(1-Data!$H$314,"0%")&amp;" "&amp;LEFT(Data!$E$314,FIND(",",Data!$E$314)-1)))</f>
        <v>Level 4 large village (22)</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13.7772180240694</v>
      </c>
      <c r="V23" s="42" t="n">
        <f aca="false">Land!U23</f>
        <v>17.2215225300868</v>
      </c>
      <c r="W23" s="43" t="n">
        <f aca="false">U23-V23</f>
        <v>-3.44430450601735</v>
      </c>
    </row>
    <row r="24" customFormat="false" ht="30" hidden="false" customHeight="true" outlineLevel="0" collapsed="false">
      <c r="A24" s="28" t="s">
        <v>194</v>
      </c>
      <c r="B24" s="28" t="s">
        <v>190</v>
      </c>
      <c r="C24" s="41" t="n">
        <f aca="false">Data!$H$315*CHOOSE(Model!$B$16,Data!$C$315,(Data!$C$315+Data!$D$315)/2,Data!$D$315)+(1-Data!$H$315)*CHOOSE(Model!$B$16,Data!$F$315,(Data!$F$315+Data!$G$315)/2,Data!$G$315)</f>
        <v>22</v>
      </c>
      <c r="D24" s="30" t="str">
        <f aca="false">IF(Data!$H$315&gt;=0.9999,Data!$B$315,IF(Data!$H$315&lt;=0.0001,Data!$E$315,TEXT(Data!$H$315,"0%")&amp;" "&amp;LEFT(Data!$B$315,FIND(",",Data!$B$315)-1)&amp;", "&amp;TEXT(1-Data!$H$315,"0%")&amp;" "&amp;LEFT(Data!$E$315,FIND(",",Data!$E$315)-1)))</f>
        <v>Level 4 large village (22)</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9.63560033585222</v>
      </c>
      <c r="V24" s="42" t="n">
        <f aca="false">Land!U24</f>
        <v>14.9283948865316</v>
      </c>
      <c r="W24" s="43" t="n">
        <f aca="false">U24-V24</f>
        <v>-5.29279455067939</v>
      </c>
    </row>
    <row r="25" customFormat="false" ht="30" hidden="false" customHeight="true" outlineLevel="0" collapsed="false">
      <c r="A25" s="28" t="s">
        <v>196</v>
      </c>
      <c r="B25" s="28" t="s">
        <v>190</v>
      </c>
      <c r="C25" s="41" t="n">
        <f aca="false">Data!$H$316*CHOOSE(Model!$B$16,Data!$C$316,(Data!$C$316+Data!$D$316)/2,Data!$D$316)+(1-Data!$H$316)*CHOOSE(Model!$B$16,Data!$F$316,(Data!$F$316+Data!$G$316)/2,Data!$G$316)</f>
        <v>22</v>
      </c>
      <c r="D25" s="30" t="str">
        <f aca="false">IF(Data!$H$316&gt;=0.9999,Data!$B$316,IF(Data!$H$316&lt;=0.0001,Data!$E$316,TEXT(Data!$H$316,"0%")&amp;" "&amp;LEFT(Data!$B$316,FIND(",",Data!$B$316)-1)&amp;", "&amp;TEXT(1-Data!$H$316,"0%")&amp;" "&amp;LEFT(Data!$E$316,FIND(",",Data!$E$316)-1)))</f>
        <v>Level 4 large village (22)</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7.52253008676183</v>
      </c>
      <c r="V25" s="42" t="n">
        <f aca="false">Land!U25</f>
        <v>7.66183619947964</v>
      </c>
      <c r="W25" s="43" t="n">
        <f aca="false">U25-V25</f>
        <v>-0.139306112717811</v>
      </c>
    </row>
    <row r="26" customFormat="false" ht="30" hidden="false" customHeight="true" outlineLevel="0" collapsed="false">
      <c r="A26" s="28" t="s">
        <v>198</v>
      </c>
      <c r="B26" s="28" t="s">
        <v>190</v>
      </c>
      <c r="C26" s="41" t="n">
        <f aca="false">Data!$H$317*CHOOSE(Model!$B$16,Data!$C$317,(Data!$C$317+Data!$D$317)/2,Data!$D$317)+(1-Data!$H$317)*CHOOSE(Model!$B$16,Data!$F$317,(Data!$F$317+Data!$G$317)/2,Data!$G$317)</f>
        <v>22</v>
      </c>
      <c r="D26" s="30" t="str">
        <f aca="false">IF(Data!$H$317&gt;=0.9999,Data!$B$317,IF(Data!$H$317&lt;=0.0001,Data!$E$317,TEXT(Data!$H$317,"0%")&amp;" "&amp;LEFT(Data!$B$317,FIND(",",Data!$B$317)-1)&amp;", "&amp;TEXT(1-Data!$H$317,"0%")&amp;" "&amp;LEFT(Data!$E$317,FIND(",",Data!$E$317)-1)))</f>
        <v>Level 4 large village (22)</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12.0867618247971</v>
      </c>
      <c r="V26" s="42" t="n">
        <f aca="false">Land!U26</f>
        <v>16.619297509096</v>
      </c>
      <c r="W26" s="43" t="n">
        <f aca="false">U26-V26</f>
        <v>-4.53253568429891</v>
      </c>
    </row>
    <row r="27" customFormat="false" ht="30" hidden="false" customHeight="true" outlineLevel="0" collapsed="false">
      <c r="A27" s="28" t="s">
        <v>200</v>
      </c>
      <c r="B27" s="28" t="s">
        <v>190</v>
      </c>
      <c r="C27" s="41" t="n">
        <f aca="false">Data!$H$318*CHOOSE(Model!$B$16,Data!$C$318,(Data!$C$318+Data!$D$318)/2,Data!$D$318)+(1-Data!$H$318)*CHOOSE(Model!$B$16,Data!$F$318,(Data!$F$318+Data!$G$318)/2,Data!$G$318)</f>
        <v>22</v>
      </c>
      <c r="D27" s="30" t="str">
        <f aca="false">IF(Data!$H$318&gt;=0.9999,Data!$B$318,IF(Data!$H$318&lt;=0.0001,Data!$E$318,TEXT(Data!$H$318,"0%")&amp;" "&amp;LEFT(Data!$B$318,FIND(",",Data!$B$318)-1)&amp;", "&amp;TEXT(1-Data!$H$318,"0%")&amp;" "&amp;LEFT(Data!$E$318,FIND(",",Data!$E$318)-1)))</f>
        <v>Level 4 large village (22)</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7.43800727679821</v>
      </c>
      <c r="V27" s="42" t="n">
        <f aca="false">Land!U27</f>
        <v>9.85760000539522</v>
      </c>
      <c r="W27" s="43" t="n">
        <f aca="false">U27-V27</f>
        <v>-2.41959272859701</v>
      </c>
    </row>
    <row r="28" customFormat="false" ht="30" hidden="false" customHeight="true" outlineLevel="0" collapsed="false">
      <c r="A28" s="28" t="s">
        <v>202</v>
      </c>
      <c r="B28" s="28" t="s">
        <v>190</v>
      </c>
      <c r="C28" s="41" t="n">
        <f aca="false">Data!$H$319*CHOOSE(Model!$B$16,Data!$C$319,(Data!$C$319+Data!$D$319)/2,Data!$D$319)+(1-Data!$H$319)*CHOOSE(Model!$B$16,Data!$F$319,(Data!$F$319+Data!$G$319)/2,Data!$G$319)</f>
        <v>22</v>
      </c>
      <c r="D28" s="30" t="str">
        <f aca="false">IF(Data!$H$319&gt;=0.9999,Data!$B$319,IF(Data!$H$319&lt;=0.0001,Data!$E$319,TEXT(Data!$H$319,"0%")&amp;" "&amp;LEFT(Data!$B$319,FIND(",",Data!$B$319)-1)&amp;", "&amp;TEXT(1-Data!$H$319,"0%")&amp;" "&amp;LEFT(Data!$E$319,FIND(",",Data!$E$319)-1)))</f>
        <v>Level 4 large village (22)</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9.46655471592499</v>
      </c>
      <c r="V28" s="42" t="n">
        <f aca="false">Land!U28</f>
        <v>10.7908913860285</v>
      </c>
      <c r="W28" s="43" t="n">
        <f aca="false">U28-V28</f>
        <v>-1.3243366701035</v>
      </c>
    </row>
    <row r="29" customFormat="false" ht="30" hidden="false" customHeight="true" outlineLevel="0" collapsed="false">
      <c r="A29" s="28" t="s">
        <v>204</v>
      </c>
      <c r="B29" s="28" t="s">
        <v>190</v>
      </c>
      <c r="C29" s="41" t="n">
        <f aca="false">Data!$H$320*CHOOSE(Model!$B$16,Data!$C$320,(Data!$C$320+Data!$D$320)/2,Data!$D$320)+(1-Data!$H$320)*CHOOSE(Model!$B$16,Data!$F$320,(Data!$F$320+Data!$G$320)/2,Data!$G$320)</f>
        <v>22</v>
      </c>
      <c r="D29" s="30" t="str">
        <f aca="false">IF(Data!$H$320&gt;=0.9999,Data!$B$320,IF(Data!$H$320&lt;=0.0001,Data!$E$320,TEXT(Data!$H$320,"0%")&amp;" "&amp;LEFT(Data!$B$320,FIND(",",Data!$B$320)-1)&amp;", "&amp;TEXT(1-Data!$H$320,"0%")&amp;" "&amp;LEFT(Data!$E$320,FIND(",",Data!$E$320)-1)))</f>
        <v>Level 4 large village (22)</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13.6081724041422</v>
      </c>
      <c r="V29" s="42" t="n">
        <f aca="false">Land!U29</f>
        <v>11.6038679415166</v>
      </c>
      <c r="W29" s="43" t="n">
        <f aca="false">U29-V29</f>
        <v>2.00430446262559</v>
      </c>
    </row>
    <row r="30" customFormat="false" ht="30" hidden="false" customHeight="true" outlineLevel="0" collapsed="false">
      <c r="A30" s="28" t="s">
        <v>206</v>
      </c>
      <c r="B30" s="28" t="s">
        <v>190</v>
      </c>
      <c r="C30" s="41" t="n">
        <f aca="false">Data!$H$321*CHOOSE(Model!$B$16,Data!$C$321,(Data!$C$321+Data!$D$321)/2,Data!$D$321)+(1-Data!$H$321)*CHOOSE(Model!$B$16,Data!$F$321,(Data!$F$321+Data!$G$321)/2,Data!$G$321)</f>
        <v>25</v>
      </c>
      <c r="D30" s="30" t="str">
        <f aca="false">IF(Data!$H$321&gt;=0.9999,Data!$B$321,IF(Data!$H$321&lt;=0.0001,Data!$E$321,TEXT(Data!$H$321,"0%")&amp;" "&amp;LEFT(Data!$B$321,FIND(",",Data!$B$321)-1)&amp;", "&amp;TEXT(1-Data!$H$321,"0%")&amp;" "&amp;LEFT(Data!$E$321,FIND(",",Data!$E$321)-1)))</f>
        <v>Metropolitan village: not below 25</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29.7520291071928</v>
      </c>
      <c r="V30" s="42" t="n">
        <f aca="false">Land!U30</f>
        <v>34.5953826827824</v>
      </c>
      <c r="W30" s="43" t="n">
        <f aca="false">U30-V30</f>
        <v>-4.84335357558953</v>
      </c>
    </row>
    <row r="31" customFormat="false" ht="30" hidden="false" customHeight="true" outlineLevel="0" collapsed="false">
      <c r="A31" s="28" t="s">
        <v>208</v>
      </c>
      <c r="B31" s="28" t="s">
        <v>208</v>
      </c>
      <c r="C31" s="41" t="n">
        <f aca="false">Data!$H$322*CHOOSE(Model!$B$16,Data!$C$322,(Data!$C$322+Data!$D$322)/2,Data!$D$322)+(1-Data!$H$322)*CHOOSE(Model!$B$16,Data!$F$322,(Data!$F$322+Data!$G$322)/2,Data!$G$322)</f>
        <v>10.1</v>
      </c>
      <c r="D31" s="30" t="str">
        <f aca="false">IF(Data!$H$322&gt;=0.9999,Data!$B$322,IF(Data!$H$322&lt;=0.0001,Data!$E$322,TEXT(Data!$H$322,"0%")&amp;" "&amp;LEFT(Data!$B$322,FIND(",",Data!$B$322)-1)&amp;", "&amp;TEXT(1-Data!$H$322,"0%")&amp;" "&amp;LEFT(Data!$E$322,FIND(",",Data!$E$322)-1)))</f>
        <v>No Council figure: existing density kept</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c r="V31" s="42" t="n">
        <f aca="false">Land!U31</f>
        <v>385.52443657464</v>
      </c>
      <c r="W31" s="43" t="n">
        <f aca="false">U31-V31</f>
        <v>0</v>
      </c>
    </row>
    <row r="32" customFormat="false" ht="15" hidden="false" customHeight="true" outlineLevel="0" collapsed="false">
      <c r="A32" s="24" t="s">
        <v>210</v>
      </c>
      <c r="B32" s="34"/>
      <c r="C32" s="35" t="n">
        <f aca="false">IF(U32&gt;0,T32/U32,0)</f>
        <v>31.0832681440349</v>
      </c>
      <c r="D32" s="36" t="s">
        <v>211</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1282.49062535113</v>
      </c>
      <c r="V32" s="37" t="n">
        <f aca="false">SUM(V7:V31)</f>
        <v>1824.1305106009</v>
      </c>
      <c r="W32" s="37" t="n">
        <f aca="false">SUM(W7:W31)</f>
        <v>-541.639885249771</v>
      </c>
    </row>
    <row r="34" customFormat="false" ht="15" hidden="false" customHeight="true" outlineLevel="0" collapsed="false">
      <c r="A34" s="12" t="s">
        <v>212</v>
      </c>
    </row>
    <row r="35" customFormat="false" ht="34.5" hidden="false" customHeight="true" outlineLevel="0" collapsed="false">
      <c r="A35" s="4" t="s">
        <v>137</v>
      </c>
      <c r="B35" s="5"/>
      <c r="C35" s="5" t="s">
        <v>213</v>
      </c>
      <c r="D35" s="5"/>
      <c r="E35" s="5" t="s">
        <v>140</v>
      </c>
      <c r="F35" s="5" t="s">
        <v>141</v>
      </c>
      <c r="G35" s="5" t="s">
        <v>142</v>
      </c>
      <c r="H35" s="5" t="s">
        <v>143</v>
      </c>
      <c r="I35" s="5" t="s">
        <v>144</v>
      </c>
      <c r="J35" s="5" t="s">
        <v>145</v>
      </c>
      <c r="K35" s="5" t="s">
        <v>146</v>
      </c>
      <c r="L35" s="5" t="s">
        <v>147</v>
      </c>
      <c r="M35" s="5" t="s">
        <v>148</v>
      </c>
      <c r="N35" s="5" t="s">
        <v>149</v>
      </c>
      <c r="O35" s="5" t="s">
        <v>150</v>
      </c>
      <c r="P35" s="5" t="s">
        <v>151</v>
      </c>
      <c r="Q35" s="5" t="s">
        <v>152</v>
      </c>
      <c r="R35" s="5" t="s">
        <v>153</v>
      </c>
      <c r="S35" s="5" t="s">
        <v>154</v>
      </c>
      <c r="T35" s="5" t="s">
        <v>155</v>
      </c>
      <c r="U35" s="5" t="s">
        <v>156</v>
      </c>
      <c r="V35" s="5" t="s">
        <v>228</v>
      </c>
      <c r="W35" s="5" t="s">
        <v>229</v>
      </c>
    </row>
    <row r="36" customFormat="false" ht="15" hidden="false" customHeight="true" outlineLevel="0" collapsed="false">
      <c r="A36" s="13" t="s">
        <v>214</v>
      </c>
      <c r="C36" s="38" t="n">
        <f aca="false">IF(U36&gt;0,T36/U36,0)</f>
        <v>46.0288744226222</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635.631481114524</v>
      </c>
      <c r="V36" s="39" t="n">
        <f aca="false">SUMIFS(V$7:V$31,$B$7:$B$31,"City neighbourhood")</f>
        <v>1086.73080816797</v>
      </c>
      <c r="W36" s="39" t="n">
        <f aca="false">SUMIFS(W$7:W$31,$B$7:$B$31,"City neighbourhood")</f>
        <v>-451.099327053447</v>
      </c>
    </row>
    <row r="37" customFormat="false" ht="15" hidden="false" customHeight="true" outlineLevel="0" collapsed="false">
      <c r="A37" s="13" t="s">
        <v>215</v>
      </c>
      <c r="C37" s="38" t="n">
        <f aca="false">IF(U37&gt;0,T37/U37,0)</f>
        <v>28.1935783384986</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141.1432718937</v>
      </c>
      <c r="V37" s="39" t="n">
        <f aca="false">SUMIFS(V$7:V$31,$B$7:$B$31,"Key town")</f>
        <v>199.766987148384</v>
      </c>
      <c r="W37" s="39" t="n">
        <f aca="false">SUMIFS(W$7:W$31,$B$7:$B$31,"Key town")</f>
        <v>-58.623715254684</v>
      </c>
    </row>
    <row r="38" customFormat="false" ht="15" hidden="false" customHeight="true" outlineLevel="0" collapsed="false">
      <c r="A38" s="13" t="s">
        <v>216</v>
      </c>
      <c r="C38" s="38" t="n">
        <f aca="false">IF(U38&gt;0,T38/U38,0)</f>
        <v>22.7426160337553</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120.191435768262</v>
      </c>
      <c r="V38" s="39" t="n">
        <f aca="false">SUMIFS(V$7:V$31,$B$7:$B$31,"Village")</f>
        <v>152.108278709902</v>
      </c>
      <c r="W38" s="39" t="n">
        <f aca="false">SUMIFS(W$7:W$31,$B$7:$B$31,"Village")</f>
        <v>-31.91684294164</v>
      </c>
    </row>
    <row r="39" customFormat="false" ht="15" hidden="false" customHeight="true" outlineLevel="0" collapsed="false">
      <c r="A39" s="13" t="s">
        <v>208</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c r="V39" s="39" t="n">
        <f aca="false">SUMIFS(V$7:V$31,$B$7:$B$31,"Rest of county")</f>
        <v>385.52443657464</v>
      </c>
      <c r="W39" s="39" t="n">
        <f aca="false">SUMIFS(W$7:W$31,$B$7:$B$31,"Rest of county")</f>
        <v>0</v>
      </c>
    </row>
    <row r="42" customFormat="false" ht="15" hidden="false" customHeight="true" outlineLevel="0" collapsed="false">
      <c r="A42" s="12" t="s">
        <v>217</v>
      </c>
    </row>
    <row r="43" customFormat="false" ht="23.25" hidden="false" customHeight="true" outlineLevel="0" collapsed="false">
      <c r="A43" s="4" t="s">
        <v>136</v>
      </c>
      <c r="B43" s="5" t="s">
        <v>137</v>
      </c>
      <c r="C43" s="5" t="s">
        <v>218</v>
      </c>
      <c r="D43" s="5"/>
      <c r="E43" s="5" t="s">
        <v>140</v>
      </c>
      <c r="F43" s="5" t="s">
        <v>141</v>
      </c>
      <c r="G43" s="5" t="s">
        <v>142</v>
      </c>
      <c r="H43" s="5" t="s">
        <v>143</v>
      </c>
      <c r="I43" s="5" t="s">
        <v>144</v>
      </c>
      <c r="J43" s="5" t="s">
        <v>145</v>
      </c>
      <c r="K43" s="5" t="s">
        <v>146</v>
      </c>
      <c r="L43" s="5" t="s">
        <v>147</v>
      </c>
      <c r="M43" s="5" t="s">
        <v>148</v>
      </c>
      <c r="N43" s="5" t="s">
        <v>149</v>
      </c>
      <c r="O43" s="5" t="s">
        <v>150</v>
      </c>
      <c r="P43" s="5" t="s">
        <v>151</v>
      </c>
      <c r="Q43" s="5" t="s">
        <v>152</v>
      </c>
      <c r="R43" s="5" t="s">
        <v>153</v>
      </c>
      <c r="S43" s="5" t="s">
        <v>154</v>
      </c>
      <c r="T43" s="5" t="s">
        <v>219</v>
      </c>
      <c r="U43" s="5"/>
      <c r="V43" s="5"/>
      <c r="W43" s="5"/>
    </row>
    <row r="44" customFormat="false" ht="15" hidden="false" customHeight="true" outlineLevel="0" collapsed="false">
      <c r="A44" s="13" t="str">
        <f aca="false">A7</f>
        <v>Ballinacurra</v>
      </c>
      <c r="B44" s="13" t="str">
        <f aca="false">B7</f>
        <v>City neighbourhood</v>
      </c>
      <c r="C44" s="38" t="n">
        <f aca="false">C7</f>
        <v>47.9989212513484</v>
      </c>
      <c r="E44" s="39" t="n">
        <f aca="false">IF($C44&gt;0,E7/$C44,0)</f>
        <v>2.69257632723589</v>
      </c>
      <c r="F44" s="39" t="n">
        <f aca="false">IF($C44&gt;0,F7/$C44,0)</f>
        <v>2.69257632723589</v>
      </c>
      <c r="G44" s="39" t="n">
        <f aca="false">IF($C44&gt;0,G7/$C44,0)</f>
        <v>2.69257632723589</v>
      </c>
      <c r="H44" s="39" t="n">
        <f aca="false">IF($C44&gt;0,H7/$C44,0)</f>
        <v>2.69257632723589</v>
      </c>
      <c r="I44" s="39" t="n">
        <f aca="false">IF($C44&gt;0,I7/$C44,0)</f>
        <v>2.69257632723589</v>
      </c>
      <c r="J44" s="39" t="n">
        <f aca="false">IF($C44&gt;0,J7/$C44,0)</f>
        <v>1.36934212466512</v>
      </c>
      <c r="K44" s="39" t="n">
        <f aca="false">IF($C44&gt;0,K7/$C44,0)</f>
        <v>1.36934212466512</v>
      </c>
      <c r="L44" s="39" t="n">
        <f aca="false">IF($C44&gt;0,L7/$C44,0)</f>
        <v>1.36934212466512</v>
      </c>
      <c r="M44" s="39" t="n">
        <f aca="false">IF($C44&gt;0,M7/$C44,0)</f>
        <v>1.36934212466512</v>
      </c>
      <c r="N44" s="39" t="n">
        <f aca="false">IF($C44&gt;0,N7/$C44,0)</f>
        <v>1.32323420257077</v>
      </c>
      <c r="O44" s="39" t="n">
        <f aca="false">IF($C44&gt;0,O7/$C44,0)</f>
        <v>1.00237359402377</v>
      </c>
      <c r="P44" s="39" t="n">
        <f aca="false">IF($C44&gt;0,P7/$C44,0)</f>
        <v>0.994162594198753</v>
      </c>
      <c r="Q44" s="39" t="n">
        <f aca="false">IF($C44&gt;0,Q7/$C44,0)</f>
        <v>0.982161902146798</v>
      </c>
      <c r="R44" s="39" t="n">
        <f aca="false">IF($C44&gt;0,R7/$C44,0)</f>
        <v>0.973319286950621</v>
      </c>
      <c r="S44" s="39" t="n">
        <f aca="false">IF($C44&gt;0,S7/$C44,0)</f>
        <v>0.963213441012133</v>
      </c>
      <c r="T44" s="40" t="n">
        <f aca="false">SUM(E44:S44)</f>
        <v>25.1787151557427</v>
      </c>
    </row>
    <row r="45" customFormat="false" ht="15" hidden="false" customHeight="true" outlineLevel="0" collapsed="false">
      <c r="A45" s="13" t="str">
        <f aca="false">A8</f>
        <v>Caherdavin</v>
      </c>
      <c r="B45" s="13" t="str">
        <f aca="false">B8</f>
        <v>City neighbourhood</v>
      </c>
      <c r="C45" s="38" t="n">
        <f aca="false">C8</f>
        <v>43.1187621666718</v>
      </c>
      <c r="E45" s="39" t="n">
        <f aca="false">IF($C45&gt;0,E8/$C45,0)</f>
        <v>12.1821933364596</v>
      </c>
      <c r="F45" s="39" t="n">
        <f aca="false">IF($C45&gt;0,F8/$C45,0)</f>
        <v>12.1821933364596</v>
      </c>
      <c r="G45" s="39" t="n">
        <f aca="false">IF($C45&gt;0,G8/$C45,0)</f>
        <v>12.1821933364596</v>
      </c>
      <c r="H45" s="39" t="n">
        <f aca="false">IF($C45&gt;0,H8/$C45,0)</f>
        <v>12.1821933364596</v>
      </c>
      <c r="I45" s="39" t="n">
        <f aca="false">IF($C45&gt;0,I8/$C45,0)</f>
        <v>12.1821933364596</v>
      </c>
      <c r="J45" s="39" t="n">
        <f aca="false">IF($C45&gt;0,J8/$C45,0)</f>
        <v>6.19540116196212</v>
      </c>
      <c r="K45" s="39" t="n">
        <f aca="false">IF($C45&gt;0,K8/$C45,0)</f>
        <v>6.19540116196212</v>
      </c>
      <c r="L45" s="39" t="n">
        <f aca="false">IF($C45&gt;0,L8/$C45,0)</f>
        <v>6.19540116196212</v>
      </c>
      <c r="M45" s="39" t="n">
        <f aca="false">IF($C45&gt;0,M8/$C45,0)</f>
        <v>6.19540116196212</v>
      </c>
      <c r="N45" s="39" t="n">
        <f aca="false">IF($C45&gt;0,N8/$C45,0)</f>
        <v>5.98679217449753</v>
      </c>
      <c r="O45" s="39" t="n">
        <f aca="false">IF($C45&gt;0,O8/$C45,0)</f>
        <v>4.53510223433297</v>
      </c>
      <c r="P45" s="39" t="n">
        <f aca="false">IF($C45&gt;0,P8/$C45,0)</f>
        <v>4.4979526886201</v>
      </c>
      <c r="Q45" s="39" t="n">
        <f aca="false">IF($C45&gt;0,Q8/$C45,0)</f>
        <v>4.44365719873205</v>
      </c>
      <c r="R45" s="39" t="n">
        <f aca="false">IF($C45&gt;0,R8/$C45,0)</f>
        <v>4.40364999565665</v>
      </c>
      <c r="S45" s="39" t="n">
        <f aca="false">IF($C45&gt;0,S8/$C45,0)</f>
        <v>4.35792747785619</v>
      </c>
      <c r="T45" s="40" t="n">
        <f aca="false">SUM(E45:S45)</f>
        <v>113.917653099842</v>
      </c>
    </row>
    <row r="46" customFormat="false" ht="15" hidden="false" customHeight="true" outlineLevel="0" collapsed="false">
      <c r="A46" s="13" t="str">
        <f aca="false">A9</f>
        <v>Castletroy/Annacotty</v>
      </c>
      <c r="B46" s="13" t="str">
        <f aca="false">B9</f>
        <v>City neighbourhood</v>
      </c>
      <c r="C46" s="38" t="n">
        <f aca="false">C9</f>
        <v>38.6847099222845</v>
      </c>
      <c r="E46" s="39" t="n">
        <f aca="false">IF($C46&gt;0,E9/$C46,0)</f>
        <v>16.1098098614954</v>
      </c>
      <c r="F46" s="39" t="n">
        <f aca="false">IF($C46&gt;0,F9/$C46,0)</f>
        <v>16.1098098614954</v>
      </c>
      <c r="G46" s="39" t="n">
        <f aca="false">IF($C46&gt;0,G9/$C46,0)</f>
        <v>16.1098098614954</v>
      </c>
      <c r="H46" s="39" t="n">
        <f aca="false">IF($C46&gt;0,H9/$C46,0)</f>
        <v>16.1098098614954</v>
      </c>
      <c r="I46" s="39" t="n">
        <f aca="false">IF($C46&gt;0,I9/$C46,0)</f>
        <v>16.1098098614954</v>
      </c>
      <c r="J46" s="39" t="n">
        <f aca="false">IF($C46&gt;0,J9/$C46,0)</f>
        <v>8.19283785590477</v>
      </c>
      <c r="K46" s="39" t="n">
        <f aca="false">IF($C46&gt;0,K9/$C46,0)</f>
        <v>8.19283785590477</v>
      </c>
      <c r="L46" s="39" t="n">
        <f aca="false">IF($C46&gt;0,L9/$C46,0)</f>
        <v>8.19283785590477</v>
      </c>
      <c r="M46" s="39" t="n">
        <f aca="false">IF($C46&gt;0,M9/$C46,0)</f>
        <v>8.19283785590477</v>
      </c>
      <c r="N46" s="39" t="n">
        <f aca="false">IF($C46&gt;0,N9/$C46,0)</f>
        <v>7.91697200559063</v>
      </c>
      <c r="O46" s="39" t="n">
        <f aca="false">IF($C46&gt;0,O9/$C46,0)</f>
        <v>5.99724800614431</v>
      </c>
      <c r="P46" s="39" t="n">
        <f aca="false">IF($C46&gt;0,P9/$C46,0)</f>
        <v>5.94812121088289</v>
      </c>
      <c r="Q46" s="39" t="n">
        <f aca="false">IF($C46&gt;0,Q9/$C46,0)</f>
        <v>5.8763205101162</v>
      </c>
      <c r="R46" s="39" t="n">
        <f aca="false">IF($C46&gt;0,R9/$C46,0)</f>
        <v>5.8234147306039</v>
      </c>
      <c r="S46" s="39" t="n">
        <f aca="false">IF($C46&gt;0,S9/$C46,0)</f>
        <v>5.76295098258984</v>
      </c>
      <c r="T46" s="40" t="n">
        <f aca="false">SUM(E46:S46)</f>
        <v>150.645428177024</v>
      </c>
    </row>
    <row r="47" customFormat="false" ht="15" hidden="false" customHeight="true" outlineLevel="0" collapsed="false">
      <c r="A47" s="13" t="str">
        <f aca="false">A10</f>
        <v>City Centre</v>
      </c>
      <c r="B47" s="13" t="str">
        <f aca="false">B10</f>
        <v>City neighbourhood</v>
      </c>
      <c r="C47" s="38" t="n">
        <f aca="false">C10</f>
        <v>99.993621353745</v>
      </c>
      <c r="E47" s="39" t="n">
        <f aca="false">IF($C47&gt;0,E10/$C47,0)</f>
        <v>5.41389320830358</v>
      </c>
      <c r="F47" s="39" t="n">
        <f aca="false">IF($C47&gt;0,F10/$C47,0)</f>
        <v>5.41389320830358</v>
      </c>
      <c r="G47" s="39" t="n">
        <f aca="false">IF($C47&gt;0,G10/$C47,0)</f>
        <v>5.41389320830358</v>
      </c>
      <c r="H47" s="39" t="n">
        <f aca="false">IF($C47&gt;0,H10/$C47,0)</f>
        <v>5.41389320830358</v>
      </c>
      <c r="I47" s="39" t="n">
        <f aca="false">IF($C47&gt;0,I10/$C47,0)</f>
        <v>5.41389320830358</v>
      </c>
      <c r="J47" s="39" t="n">
        <f aca="false">IF($C47&gt;0,J10/$C47,0)</f>
        <v>2.75330060417597</v>
      </c>
      <c r="K47" s="39" t="n">
        <f aca="false">IF($C47&gt;0,K10/$C47,0)</f>
        <v>2.75330060417597</v>
      </c>
      <c r="L47" s="39" t="n">
        <f aca="false">IF($C47&gt;0,L10/$C47,0)</f>
        <v>2.75330060417597</v>
      </c>
      <c r="M47" s="39" t="n">
        <f aca="false">IF($C47&gt;0,M10/$C47,0)</f>
        <v>2.75330060417597</v>
      </c>
      <c r="N47" s="39" t="n">
        <f aca="false">IF($C47&gt;0,N10/$C47,0)</f>
        <v>2.66059260412761</v>
      </c>
      <c r="O47" s="39" t="n">
        <f aca="false">IF($C47&gt;0,O10/$C47,0)</f>
        <v>2.01544652159929</v>
      </c>
      <c r="P47" s="39" t="n">
        <f aca="false">IF($C47&gt;0,P10/$C47,0)</f>
        <v>1.99893687775506</v>
      </c>
      <c r="Q47" s="39" t="n">
        <f aca="false">IF($C47&gt;0,Q10/$C47,0)</f>
        <v>1.97480739829042</v>
      </c>
      <c r="R47" s="39" t="n">
        <f aca="false">IF($C47&gt;0,R10/$C47,0)</f>
        <v>1.95702778184279</v>
      </c>
      <c r="S47" s="39" t="n">
        <f aca="false">IF($C47&gt;0,S10/$C47,0)</f>
        <v>1.93670822018836</v>
      </c>
      <c r="T47" s="40" t="n">
        <f aca="false">SUM(E47:S47)</f>
        <v>50.6261878620253</v>
      </c>
    </row>
    <row r="48" customFormat="false" ht="15" hidden="false" customHeight="true" outlineLevel="0" collapsed="false">
      <c r="A48" s="13" t="str">
        <f aca="false">A11</f>
        <v>Corbally/Grove Island</v>
      </c>
      <c r="B48" s="13" t="str">
        <f aca="false">B11</f>
        <v>City neighbourhood</v>
      </c>
      <c r="C48" s="38" t="n">
        <f aca="false">C11</f>
        <v>42.0121983279878</v>
      </c>
      <c r="E48" s="39" t="n">
        <f aca="false">IF($C48&gt;0,E11/$C48,0)</f>
        <v>3.25946251031534</v>
      </c>
      <c r="F48" s="39" t="n">
        <f aca="false">IF($C48&gt;0,F11/$C48,0)</f>
        <v>3.25946251031534</v>
      </c>
      <c r="G48" s="39" t="n">
        <f aca="false">IF($C48&gt;0,G11/$C48,0)</f>
        <v>3.25946251031534</v>
      </c>
      <c r="H48" s="39" t="n">
        <f aca="false">IF($C48&gt;0,H11/$C48,0)</f>
        <v>3.25946251031534</v>
      </c>
      <c r="I48" s="39" t="n">
        <f aca="false">IF($C48&gt;0,I11/$C48,0)</f>
        <v>3.25946251031534</v>
      </c>
      <c r="J48" s="39" t="n">
        <f aca="false">IF($C48&gt;0,J11/$C48,0)</f>
        <v>1.65763892150215</v>
      </c>
      <c r="K48" s="39" t="n">
        <f aca="false">IF($C48&gt;0,K11/$C48,0)</f>
        <v>1.65763892150215</v>
      </c>
      <c r="L48" s="39" t="n">
        <f aca="false">IF($C48&gt;0,L11/$C48,0)</f>
        <v>1.65763892150215</v>
      </c>
      <c r="M48" s="39" t="n">
        <f aca="false">IF($C48&gt;0,M11/$C48,0)</f>
        <v>1.65763892150215</v>
      </c>
      <c r="N48" s="39" t="n">
        <f aca="false">IF($C48&gt;0,N11/$C48,0)</f>
        <v>1.60182358881319</v>
      </c>
      <c r="O48" s="39" t="n">
        <f aca="false">IF($C48&gt;0,O11/$C48,0)</f>
        <v>1.21341004078594</v>
      </c>
      <c r="P48" s="39" t="n">
        <f aca="false">IF($C48&gt;0,P11/$C48,0)</f>
        <v>1.20347032400571</v>
      </c>
      <c r="Q48" s="39" t="n">
        <f aca="false">IF($C48&gt;0,Q11/$C48,0)</f>
        <v>1.18894304563461</v>
      </c>
      <c r="R48" s="39" t="n">
        <f aca="false">IF($C48&gt;0,R11/$C48,0)</f>
        <v>1.17823873525591</v>
      </c>
      <c r="S48" s="39" t="n">
        <f aca="false">IF($C48&gt;0,S11/$C48,0)</f>
        <v>1.16600523768025</v>
      </c>
      <c r="T48" s="40" t="n">
        <f aca="false">SUM(E48:S48)</f>
        <v>30.4797592097609</v>
      </c>
    </row>
    <row r="49" customFormat="false" ht="15" hidden="false" customHeight="true" outlineLevel="0" collapsed="false">
      <c r="A49" s="13" t="str">
        <f aca="false">A12</f>
        <v>Dooradoyle</v>
      </c>
      <c r="B49" s="13" t="str">
        <f aca="false">B12</f>
        <v>City neighbourhood</v>
      </c>
      <c r="C49" s="38" t="n">
        <f aca="false">C12</f>
        <v>35.7875115598027</v>
      </c>
      <c r="E49" s="39" t="n">
        <f aca="false">IF($C49&gt;0,E12/$C49,0)</f>
        <v>16.3155335024593</v>
      </c>
      <c r="F49" s="39" t="n">
        <f aca="false">IF($C49&gt;0,F12/$C49,0)</f>
        <v>16.3155335024593</v>
      </c>
      <c r="G49" s="39" t="n">
        <f aca="false">IF($C49&gt;0,G12/$C49,0)</f>
        <v>16.3155335024593</v>
      </c>
      <c r="H49" s="39" t="n">
        <f aca="false">IF($C49&gt;0,H12/$C49,0)</f>
        <v>16.3155335024593</v>
      </c>
      <c r="I49" s="39" t="n">
        <f aca="false">IF($C49&gt;0,I12/$C49,0)</f>
        <v>16.3155335024593</v>
      </c>
      <c r="J49" s="39" t="n">
        <f aca="false">IF($C49&gt;0,J12/$C49,0)</f>
        <v>8.29746109156272</v>
      </c>
      <c r="K49" s="39" t="n">
        <f aca="false">IF($C49&gt;0,K12/$C49,0)</f>
        <v>8.29746109156272</v>
      </c>
      <c r="L49" s="39" t="n">
        <f aca="false">IF($C49&gt;0,L12/$C49,0)</f>
        <v>8.29746109156272</v>
      </c>
      <c r="M49" s="39" t="n">
        <f aca="false">IF($C49&gt;0,M12/$C49,0)</f>
        <v>8.29746109156272</v>
      </c>
      <c r="N49" s="39" t="n">
        <f aca="false">IF($C49&gt;0,N12/$C49,0)</f>
        <v>8.01807241089663</v>
      </c>
      <c r="O49" s="39" t="n">
        <f aca="false">IF($C49&gt;0,O12/$C49,0)</f>
        <v>6.07383337283673</v>
      </c>
      <c r="P49" s="39" t="n">
        <f aca="false">IF($C49&gt;0,P12/$C49,0)</f>
        <v>6.02407922422496</v>
      </c>
      <c r="Q49" s="39" t="n">
        <f aca="false">IF($C49&gt;0,Q12/$C49,0)</f>
        <v>5.95136162240776</v>
      </c>
      <c r="R49" s="39" t="n">
        <f aca="false">IF($C49&gt;0,R12/$C49,0)</f>
        <v>5.89778023159509</v>
      </c>
      <c r="S49" s="39" t="n">
        <f aca="false">IF($C49&gt;0,S12/$C49,0)</f>
        <v>5.8365443563806</v>
      </c>
      <c r="T49" s="40" t="n">
        <f aca="false">SUM(E49:S49)</f>
        <v>152.569183096889</v>
      </c>
    </row>
    <row r="50" customFormat="false" ht="15" hidden="false" customHeight="true" outlineLevel="0" collapsed="false">
      <c r="A50" s="13" t="str">
        <f aca="false">A13</f>
        <v>Kings Island</v>
      </c>
      <c r="B50" s="13" t="str">
        <f aca="false">B13</f>
        <v>City neighbourhood</v>
      </c>
      <c r="C50" s="38" t="n">
        <f aca="false">C13</f>
        <v>50</v>
      </c>
      <c r="E50" s="39" t="n">
        <f aca="false">IF($C50&gt;0,E13/$C50,0)</f>
        <v>1.3545710343913</v>
      </c>
      <c r="F50" s="39" t="n">
        <f aca="false">IF($C50&gt;0,F13/$C50,0)</f>
        <v>1.3545710343913</v>
      </c>
      <c r="G50" s="39" t="n">
        <f aca="false">IF($C50&gt;0,G13/$C50,0)</f>
        <v>1.3545710343913</v>
      </c>
      <c r="H50" s="39" t="n">
        <f aca="false">IF($C50&gt;0,H13/$C50,0)</f>
        <v>1.3545710343913</v>
      </c>
      <c r="I50" s="39" t="n">
        <f aca="false">IF($C50&gt;0,I13/$C50,0)</f>
        <v>1.3545710343913</v>
      </c>
      <c r="J50" s="39" t="n">
        <f aca="false">IF($C50&gt;0,J13/$C50,0)</f>
        <v>0.688883416035737</v>
      </c>
      <c r="K50" s="39" t="n">
        <f aca="false">IF($C50&gt;0,K13/$C50,0)</f>
        <v>0.688883416035737</v>
      </c>
      <c r="L50" s="39" t="n">
        <f aca="false">IF($C50&gt;0,L13/$C50,0)</f>
        <v>0.688883416035737</v>
      </c>
      <c r="M50" s="39" t="n">
        <f aca="false">IF($C50&gt;0,M13/$C50,0)</f>
        <v>0.688883416035737</v>
      </c>
      <c r="N50" s="39" t="n">
        <f aca="false">IF($C50&gt;0,N13/$C50,0)</f>
        <v>0.665687618355567</v>
      </c>
      <c r="O50" s="39" t="n">
        <f aca="false">IF($C50&gt;0,O13/$C50,0)</f>
        <v>0.504270286553835</v>
      </c>
      <c r="P50" s="39" t="n">
        <f aca="false">IF($C50&gt;0,P13/$C50,0)</f>
        <v>0.500139528062846</v>
      </c>
      <c r="Q50" s="39" t="n">
        <f aca="false">IF($C50&gt;0,Q13/$C50,0)</f>
        <v>0.494102265652939</v>
      </c>
      <c r="R50" s="39" t="n">
        <f aca="false">IF($C50&gt;0,R13/$C50,0)</f>
        <v>0.489653756508796</v>
      </c>
      <c r="S50" s="39" t="n">
        <f aca="false">IF($C50&gt;0,S13/$C50,0)</f>
        <v>0.484569746058348</v>
      </c>
      <c r="T50" s="40" t="n">
        <f aca="false">SUM(E50:S50)</f>
        <v>12.6668120372918</v>
      </c>
    </row>
    <row r="51" customFormat="false" ht="15" hidden="false" customHeight="true" outlineLevel="0" collapsed="false">
      <c r="A51" s="13" t="str">
        <f aca="false">A14</f>
        <v>Singland/Garryowen</v>
      </c>
      <c r="B51" s="13" t="str">
        <f aca="false">B14</f>
        <v>City neighbourhood</v>
      </c>
      <c r="C51" s="38" t="n">
        <f aca="false">C14</f>
        <v>48.9511823035851</v>
      </c>
      <c r="E51" s="39" t="n">
        <f aca="false">IF($C51&gt;0,E14/$C51,0)</f>
        <v>6.87563870733204</v>
      </c>
      <c r="F51" s="39" t="n">
        <f aca="false">IF($C51&gt;0,F14/$C51,0)</f>
        <v>6.87563870733204</v>
      </c>
      <c r="G51" s="39" t="n">
        <f aca="false">IF($C51&gt;0,G14/$C51,0)</f>
        <v>6.87563870733204</v>
      </c>
      <c r="H51" s="39" t="n">
        <f aca="false">IF($C51&gt;0,H14/$C51,0)</f>
        <v>6.87563870733204</v>
      </c>
      <c r="I51" s="39" t="n">
        <f aca="false">IF($C51&gt;0,I14/$C51,0)</f>
        <v>6.87563870733204</v>
      </c>
      <c r="J51" s="39" t="n">
        <f aca="false">IF($C51&gt;0,J14/$C51,0)</f>
        <v>3.49668888517379</v>
      </c>
      <c r="K51" s="39" t="n">
        <f aca="false">IF($C51&gt;0,K14/$C51,0)</f>
        <v>3.49668888517379</v>
      </c>
      <c r="L51" s="39" t="n">
        <f aca="false">IF($C51&gt;0,L14/$C51,0)</f>
        <v>3.49668888517379</v>
      </c>
      <c r="M51" s="39" t="n">
        <f aca="false">IF($C51&gt;0,M14/$C51,0)</f>
        <v>3.49668888517379</v>
      </c>
      <c r="N51" s="39" t="n">
        <f aca="false">IF($C51&gt;0,N14/$C51,0)</f>
        <v>3.37894982215825</v>
      </c>
      <c r="O51" s="39" t="n">
        <f aca="false">IF($C51&gt;0,O14/$C51,0)</f>
        <v>2.55961497268026</v>
      </c>
      <c r="P51" s="39" t="n">
        <f aca="false">IF($C51&gt;0,P14/$C51,0)</f>
        <v>2.53864774228023</v>
      </c>
      <c r="Q51" s="39" t="n">
        <f aca="false">IF($C51&gt;0,Q14/$C51,0)</f>
        <v>2.50800332861865</v>
      </c>
      <c r="R51" s="39" t="n">
        <f aca="false">IF($C51&gt;0,R14/$C51,0)</f>
        <v>2.4854232343417</v>
      </c>
      <c r="S51" s="39" t="n">
        <f aca="false">IF($C51&gt;0,S14/$C51,0)</f>
        <v>2.4596174123109</v>
      </c>
      <c r="T51" s="40" t="n">
        <f aca="false">SUM(E51:S51)</f>
        <v>64.2952055897453</v>
      </c>
    </row>
    <row r="52" customFormat="false" ht="15" hidden="false" customHeight="true" outlineLevel="0" collapsed="false">
      <c r="A52" s="13" t="str">
        <f aca="false">A15</f>
        <v>Southhill</v>
      </c>
      <c r="B52" s="13" t="str">
        <f aca="false">B15</f>
        <v>City neighbourhood</v>
      </c>
      <c r="C52" s="38" t="n">
        <f aca="false">C15</f>
        <v>48.9505676680398</v>
      </c>
      <c r="E52" s="39" t="n">
        <f aca="false">IF($C52&gt;0,E15/$C52,0)</f>
        <v>3.76985663119307</v>
      </c>
      <c r="F52" s="39" t="n">
        <f aca="false">IF($C52&gt;0,F15/$C52,0)</f>
        <v>3.76985663119307</v>
      </c>
      <c r="G52" s="39" t="n">
        <f aca="false">IF($C52&gt;0,G15/$C52,0)</f>
        <v>3.76985663119307</v>
      </c>
      <c r="H52" s="39" t="n">
        <f aca="false">IF($C52&gt;0,H15/$C52,0)</f>
        <v>3.76985663119307</v>
      </c>
      <c r="I52" s="39" t="n">
        <f aca="false">IF($C52&gt;0,I15/$C52,0)</f>
        <v>3.76985663119307</v>
      </c>
      <c r="J52" s="39" t="n">
        <f aca="false">IF($C52&gt;0,J15/$C52,0)</f>
        <v>1.91720599963091</v>
      </c>
      <c r="K52" s="39" t="n">
        <f aca="false">IF($C52&gt;0,K15/$C52,0)</f>
        <v>1.91720599963091</v>
      </c>
      <c r="L52" s="39" t="n">
        <f aca="false">IF($C52&gt;0,L15/$C52,0)</f>
        <v>1.91720599963091</v>
      </c>
      <c r="M52" s="39" t="n">
        <f aca="false">IF($C52&gt;0,M15/$C52,0)</f>
        <v>1.91720599963091</v>
      </c>
      <c r="N52" s="39" t="n">
        <f aca="false">IF($C52&gt;0,N15/$C52,0)</f>
        <v>1.85265063156216</v>
      </c>
      <c r="O52" s="39" t="n">
        <f aca="false">IF($C52&gt;0,O15/$C52,0)</f>
        <v>1.40341601541248</v>
      </c>
      <c r="P52" s="39" t="n">
        <f aca="false">IF($C52&gt;0,P15/$C52,0)</f>
        <v>1.39191985397558</v>
      </c>
      <c r="Q52" s="39" t="n">
        <f aca="false">IF($C52&gt;0,Q15/$C52,0)</f>
        <v>1.37511777187549</v>
      </c>
      <c r="R52" s="39" t="n">
        <f aca="false">IF($C52&gt;0,R15/$C52,0)</f>
        <v>1.36273729032806</v>
      </c>
      <c r="S52" s="39" t="n">
        <f aca="false">IF($C52&gt;0,S15/$C52,0)</f>
        <v>1.34858816855957</v>
      </c>
      <c r="T52" s="40" t="n">
        <f aca="false">SUM(E52:S52)</f>
        <v>35.2525368862024</v>
      </c>
    </row>
    <row r="53" customFormat="false" ht="15" hidden="false" customHeight="true" outlineLevel="0" collapsed="false">
      <c r="A53" s="13" t="str">
        <f aca="false">A16</f>
        <v>Abbeyfeale</v>
      </c>
      <c r="B53" s="13" t="str">
        <f aca="false">B16</f>
        <v>Key town</v>
      </c>
      <c r="C53" s="38" t="n">
        <f aca="false">C16</f>
        <v>25</v>
      </c>
      <c r="E53" s="39" t="n">
        <f aca="false">IF($C53&gt;0,E16/$C53,0)</f>
        <v>2.306689056815</v>
      </c>
      <c r="F53" s="39" t="n">
        <f aca="false">IF($C53&gt;0,F16/$C53,0)</f>
        <v>2.306689056815</v>
      </c>
      <c r="G53" s="39" t="n">
        <f aca="false">IF($C53&gt;0,G16/$C53,0)</f>
        <v>2.306689056815</v>
      </c>
      <c r="H53" s="39" t="n">
        <f aca="false">IF($C53&gt;0,H16/$C53,0)</f>
        <v>2.306689056815</v>
      </c>
      <c r="I53" s="39" t="n">
        <f aca="false">IF($C53&gt;0,I16/$C53,0)</f>
        <v>2.306689056815</v>
      </c>
      <c r="J53" s="39" t="n">
        <f aca="false">IF($C53&gt;0,J16/$C53,0)</f>
        <v>1.17309450508443</v>
      </c>
      <c r="K53" s="39" t="n">
        <f aca="false">IF($C53&gt;0,K16/$C53,0)</f>
        <v>1.17309450508443</v>
      </c>
      <c r="L53" s="39" t="n">
        <f aca="false">IF($C53&gt;0,L16/$C53,0)</f>
        <v>1.17309450508443</v>
      </c>
      <c r="M53" s="39" t="n">
        <f aca="false">IF($C53&gt;0,M16/$C53,0)</f>
        <v>1.17309450508443</v>
      </c>
      <c r="N53" s="39" t="n">
        <f aca="false">IF($C53&gt;0,N16/$C53,0)</f>
        <v>1.13359455173057</v>
      </c>
      <c r="O53" s="39" t="n">
        <f aca="false">IF($C53&gt;0,O16/$C53,0)</f>
        <v>0.858718164007837</v>
      </c>
      <c r="P53" s="39" t="n">
        <f aca="false">IF($C53&gt;0,P16/$C53,0)</f>
        <v>0.851683925739341</v>
      </c>
      <c r="Q53" s="39" t="n">
        <f aca="false">IF($C53&gt;0,Q16/$C53,0)</f>
        <v>0.84140311596231</v>
      </c>
      <c r="R53" s="39" t="n">
        <f aca="false">IF($C53&gt;0,R16/$C53,0)</f>
        <v>0.833827782442392</v>
      </c>
      <c r="S53" s="39" t="n">
        <f aca="false">IF($C53&gt;0,S16/$C53,0)</f>
        <v>0.825170258419629</v>
      </c>
      <c r="T53" s="40" t="n">
        <f aca="false">SUM(E53:S53)</f>
        <v>21.5702211027148</v>
      </c>
    </row>
    <row r="54" customFormat="false" ht="15" hidden="false" customHeight="true" outlineLevel="0" collapsed="false">
      <c r="A54" s="13" t="str">
        <f aca="false">A17</f>
        <v>Caherconlish</v>
      </c>
      <c r="B54" s="13" t="str">
        <f aca="false">B17</f>
        <v>Key town</v>
      </c>
      <c r="C54" s="38" t="n">
        <f aca="false">C17</f>
        <v>25</v>
      </c>
      <c r="E54" s="39" t="n">
        <f aca="false">IF($C54&gt;0,E17/$C54,0)</f>
        <v>1.36810523369717</v>
      </c>
      <c r="F54" s="39" t="n">
        <f aca="false">IF($C54&gt;0,F17/$C54,0)</f>
        <v>1.36810523369717</v>
      </c>
      <c r="G54" s="39" t="n">
        <f aca="false">IF($C54&gt;0,G17/$C54,0)</f>
        <v>1.36810523369717</v>
      </c>
      <c r="H54" s="39" t="n">
        <f aca="false">IF($C54&gt;0,H17/$C54,0)</f>
        <v>1.36810523369717</v>
      </c>
      <c r="I54" s="39" t="n">
        <f aca="false">IF($C54&gt;0,I17/$C54,0)</f>
        <v>1.36810523369717</v>
      </c>
      <c r="J54" s="39" t="n">
        <f aca="false">IF($C54&gt;0,J17/$C54,0)</f>
        <v>0.695766396119041</v>
      </c>
      <c r="K54" s="39" t="n">
        <f aca="false">IF($C54&gt;0,K17/$C54,0)</f>
        <v>0.695766396119041</v>
      </c>
      <c r="L54" s="39" t="n">
        <f aca="false">IF($C54&gt;0,L17/$C54,0)</f>
        <v>0.695766396119041</v>
      </c>
      <c r="M54" s="39" t="n">
        <f aca="false">IF($C54&gt;0,M17/$C54,0)</f>
        <v>0.695766396119041</v>
      </c>
      <c r="N54" s="39" t="n">
        <f aca="false">IF($C54&gt;0,N17/$C54,0)</f>
        <v>0.672338837578132</v>
      </c>
      <c r="O54" s="39" t="n">
        <f aca="false">IF($C54&gt;0,O17/$C54,0)</f>
        <v>0.509308704170165</v>
      </c>
      <c r="P54" s="39" t="n">
        <f aca="false">IF($C54&gt;0,P17/$C54,0)</f>
        <v>0.505136673197127</v>
      </c>
      <c r="Q54" s="39" t="n">
        <f aca="false">IF($C54&gt;0,Q17/$C54,0)</f>
        <v>0.499039089467301</v>
      </c>
      <c r="R54" s="39" t="n">
        <f aca="false">IF($C54&gt;0,R17/$C54,0)</f>
        <v>0.494546133034798</v>
      </c>
      <c r="S54" s="39" t="n">
        <f aca="false">IF($C54&gt;0,S17/$C54,0)</f>
        <v>0.489411325683366</v>
      </c>
      <c r="T54" s="40" t="n">
        <f aca="false">SUM(E54:S54)</f>
        <v>12.7933725160929</v>
      </c>
    </row>
    <row r="55" customFormat="false" ht="15" hidden="false" customHeight="true" outlineLevel="0" collapsed="false">
      <c r="A55" s="13" t="str">
        <f aca="false">A18</f>
        <v>Castleconnell</v>
      </c>
      <c r="B55" s="13" t="str">
        <f aca="false">B18</f>
        <v>Key town</v>
      </c>
      <c r="C55" s="38" t="n">
        <f aca="false">C18</f>
        <v>35</v>
      </c>
      <c r="E55" s="39" t="n">
        <f aca="false">IF($C55&gt;0,E18/$C55,0)</f>
        <v>1.60218303946264</v>
      </c>
      <c r="F55" s="39" t="n">
        <f aca="false">IF($C55&gt;0,F18/$C55,0)</f>
        <v>1.60218303946264</v>
      </c>
      <c r="G55" s="39" t="n">
        <f aca="false">IF($C55&gt;0,G18/$C55,0)</f>
        <v>1.60218303946264</v>
      </c>
      <c r="H55" s="39" t="n">
        <f aca="false">IF($C55&gt;0,H18/$C55,0)</f>
        <v>1.60218303946264</v>
      </c>
      <c r="I55" s="39" t="n">
        <f aca="false">IF($C55&gt;0,I18/$C55,0)</f>
        <v>1.60218303946264</v>
      </c>
      <c r="J55" s="39" t="n">
        <f aca="false">IF($C55&gt;0,J18/$C55,0)</f>
        <v>0.814809483827116</v>
      </c>
      <c r="K55" s="39" t="n">
        <f aca="false">IF($C55&gt;0,K18/$C55,0)</f>
        <v>0.814809483827116</v>
      </c>
      <c r="L55" s="39" t="n">
        <f aca="false">IF($C55&gt;0,L18/$C55,0)</f>
        <v>0.814809483827116</v>
      </c>
      <c r="M55" s="39" t="n">
        <f aca="false">IF($C55&gt;0,M18/$C55,0)</f>
        <v>0.814809483827116</v>
      </c>
      <c r="N55" s="39" t="n">
        <f aca="false">IF($C55&gt;0,N18/$C55,0)</f>
        <v>0.78737355563552</v>
      </c>
      <c r="O55" s="39" t="n">
        <f aca="false">IF($C55&gt;0,O18/$C55,0)</f>
        <v>0.596449562192635</v>
      </c>
      <c r="P55" s="39" t="n">
        <f aca="false">IF($C55&gt;0,P18/$C55,0)</f>
        <v>0.591563711966735</v>
      </c>
      <c r="Q55" s="39" t="n">
        <f aca="false">IF($C55&gt;0,Q18/$C55,0)</f>
        <v>0.584422853944265</v>
      </c>
      <c r="R55" s="39" t="n">
        <f aca="false">IF($C55&gt;0,R18/$C55,0)</f>
        <v>0.579161169085602</v>
      </c>
      <c r="S55" s="39" t="n">
        <f aca="false">IF($C55&gt;0,S18/$C55,0)</f>
        <v>0.573147814961417</v>
      </c>
      <c r="T55" s="40" t="n">
        <f aca="false">SUM(E55:S55)</f>
        <v>14.9822718004078</v>
      </c>
    </row>
    <row r="56" customFormat="false" ht="15" hidden="false" customHeight="true" outlineLevel="0" collapsed="false">
      <c r="A56" s="13" t="str">
        <f aca="false">A19</f>
        <v>Kilmallock</v>
      </c>
      <c r="B56" s="13" t="str">
        <f aca="false">B19</f>
        <v>Key town</v>
      </c>
      <c r="C56" s="38" t="n">
        <f aca="false">C19</f>
        <v>25</v>
      </c>
      <c r="E56" s="39" t="n">
        <f aca="false">IF($C56&gt;0,E19/$C56,0)</f>
        <v>1.77376434368878</v>
      </c>
      <c r="F56" s="39" t="n">
        <f aca="false">IF($C56&gt;0,F19/$C56,0)</f>
        <v>1.77376434368878</v>
      </c>
      <c r="G56" s="39" t="n">
        <f aca="false">IF($C56&gt;0,G19/$C56,0)</f>
        <v>1.77376434368878</v>
      </c>
      <c r="H56" s="39" t="n">
        <f aca="false">IF($C56&gt;0,H19/$C56,0)</f>
        <v>1.77376434368878</v>
      </c>
      <c r="I56" s="39" t="n">
        <f aca="false">IF($C56&gt;0,I19/$C56,0)</f>
        <v>1.77376434368878</v>
      </c>
      <c r="J56" s="39" t="n">
        <f aca="false">IF($C56&gt;0,J19/$C56,0)</f>
        <v>0.902069222875268</v>
      </c>
      <c r="K56" s="39" t="n">
        <f aca="false">IF($C56&gt;0,K19/$C56,0)</f>
        <v>0.902069222875268</v>
      </c>
      <c r="L56" s="39" t="n">
        <f aca="false">IF($C56&gt;0,L19/$C56,0)</f>
        <v>0.902069222875268</v>
      </c>
      <c r="M56" s="39" t="n">
        <f aca="false">IF($C56&gt;0,M19/$C56,0)</f>
        <v>0.902069222875268</v>
      </c>
      <c r="N56" s="39" t="n">
        <f aca="false">IF($C56&gt;0,N19/$C56,0)</f>
        <v>0.871695120813509</v>
      </c>
      <c r="O56" s="39" t="n">
        <f aca="false">IF($C56&gt;0,O19/$C56,0)</f>
        <v>0.660324657150854</v>
      </c>
      <c r="P56" s="39" t="n">
        <f aca="false">IF($C56&gt;0,P19/$C56,0)</f>
        <v>0.654915570482321</v>
      </c>
      <c r="Q56" s="39" t="n">
        <f aca="false">IF($C56&gt;0,Q19/$C56,0)</f>
        <v>0.647009982274466</v>
      </c>
      <c r="R56" s="39" t="n">
        <f aca="false">IF($C56&gt;0,R19/$C56,0)</f>
        <v>0.641184812016046</v>
      </c>
      <c r="S56" s="39" t="n">
        <f aca="false">IF($C56&gt;0,S19/$C56,0)</f>
        <v>0.634527474577852</v>
      </c>
      <c r="T56" s="40" t="n">
        <f aca="false">SUM(E56:S56)</f>
        <v>16.58675622726</v>
      </c>
    </row>
    <row r="57" customFormat="false" ht="15" hidden="false" customHeight="true" outlineLevel="0" collapsed="false">
      <c r="A57" s="13" t="str">
        <f aca="false">A20</f>
        <v>Newcastle West</v>
      </c>
      <c r="B57" s="13" t="str">
        <f aca="false">B20</f>
        <v>Key town</v>
      </c>
      <c r="C57" s="38" t="n">
        <f aca="false">C20</f>
        <v>30</v>
      </c>
      <c r="E57" s="39" t="n">
        <f aca="false">IF($C57&gt;0,E20/$C57,0)</f>
        <v>6.43619274186025</v>
      </c>
      <c r="F57" s="39" t="n">
        <f aca="false">IF($C57&gt;0,F20/$C57,0)</f>
        <v>6.43619274186025</v>
      </c>
      <c r="G57" s="39" t="n">
        <f aca="false">IF($C57&gt;0,G20/$C57,0)</f>
        <v>6.43619274186025</v>
      </c>
      <c r="H57" s="39" t="n">
        <f aca="false">IF($C57&gt;0,H20/$C57,0)</f>
        <v>6.43619274186025</v>
      </c>
      <c r="I57" s="39" t="n">
        <f aca="false">IF($C57&gt;0,I20/$C57,0)</f>
        <v>6.43619274186025</v>
      </c>
      <c r="J57" s="39" t="n">
        <f aca="false">IF($C57&gt;0,J20/$C57,0)</f>
        <v>3.27320334608328</v>
      </c>
      <c r="K57" s="39" t="n">
        <f aca="false">IF($C57&gt;0,K20/$C57,0)</f>
        <v>3.27320334608328</v>
      </c>
      <c r="L57" s="39" t="n">
        <f aca="false">IF($C57&gt;0,L20/$C57,0)</f>
        <v>3.27320334608328</v>
      </c>
      <c r="M57" s="39" t="n">
        <f aca="false">IF($C57&gt;0,M20/$C57,0)</f>
        <v>3.27320334608328</v>
      </c>
      <c r="N57" s="39" t="n">
        <f aca="false">IF($C57&gt;0,N20/$C57,0)</f>
        <v>3.16298939577697</v>
      </c>
      <c r="O57" s="39" t="n">
        <f aca="false">IF($C57&gt;0,O20/$C57,0)</f>
        <v>2.39602108405635</v>
      </c>
      <c r="P57" s="39" t="n">
        <f aca="false">IF($C57&gt;0,P20/$C57,0)</f>
        <v>2.37639394222098</v>
      </c>
      <c r="Q57" s="39" t="n">
        <f aca="false">IF($C57&gt;0,Q20/$C57,0)</f>
        <v>2.34770811953851</v>
      </c>
      <c r="R57" s="39" t="n">
        <f aca="false">IF($C57&gt;0,R20/$C57,0)</f>
        <v>2.32657119756196</v>
      </c>
      <c r="S57" s="39" t="n">
        <f aca="false">IF($C57&gt;0,S20/$C57,0)</f>
        <v>2.30241471530304</v>
      </c>
      <c r="T57" s="40" t="n">
        <f aca="false">SUM(E57:S57)</f>
        <v>60.1858755480922</v>
      </c>
    </row>
    <row r="58" customFormat="false" ht="15" hidden="false" customHeight="true" outlineLevel="0" collapsed="false">
      <c r="A58" s="13" t="str">
        <f aca="false">A21</f>
        <v>Rathkeale</v>
      </c>
      <c r="B58" s="13" t="str">
        <f aca="false">B21</f>
        <v>Key town</v>
      </c>
      <c r="C58" s="38" t="n">
        <f aca="false">C21</f>
        <v>25</v>
      </c>
      <c r="E58" s="39" t="n">
        <f aca="false">IF($C58&gt;0,E21/$C58,0)</f>
        <v>1.60672823957459</v>
      </c>
      <c r="F58" s="39" t="n">
        <f aca="false">IF($C58&gt;0,F21/$C58,0)</f>
        <v>1.60672823957459</v>
      </c>
      <c r="G58" s="39" t="n">
        <f aca="false">IF($C58&gt;0,G21/$C58,0)</f>
        <v>1.60672823957459</v>
      </c>
      <c r="H58" s="39" t="n">
        <f aca="false">IF($C58&gt;0,H21/$C58,0)</f>
        <v>1.60672823957459</v>
      </c>
      <c r="I58" s="39" t="n">
        <f aca="false">IF($C58&gt;0,I21/$C58,0)</f>
        <v>1.60672823957459</v>
      </c>
      <c r="J58" s="39" t="n">
        <f aca="false">IF($C58&gt;0,J21/$C58,0)</f>
        <v>0.817121000093292</v>
      </c>
      <c r="K58" s="39" t="n">
        <f aca="false">IF($C58&gt;0,K21/$C58,0)</f>
        <v>0.817121000093292</v>
      </c>
      <c r="L58" s="39" t="n">
        <f aca="false">IF($C58&gt;0,L21/$C58,0)</f>
        <v>0.817121000093292</v>
      </c>
      <c r="M58" s="39" t="n">
        <f aca="false">IF($C58&gt;0,M21/$C58,0)</f>
        <v>0.817121000093292</v>
      </c>
      <c r="N58" s="39" t="n">
        <f aca="false">IF($C58&gt;0,N21/$C58,0)</f>
        <v>0.789607239481295</v>
      </c>
      <c r="O58" s="39" t="n">
        <f aca="false">IF($C58&gt;0,O21/$C58,0)</f>
        <v>0.598141617688217</v>
      </c>
      <c r="P58" s="39" t="n">
        <f aca="false">IF($C58&gt;0,P21/$C58,0)</f>
        <v>0.5932419068943</v>
      </c>
      <c r="Q58" s="39" t="n">
        <f aca="false">IF($C58&gt;0,Q21/$C58,0)</f>
        <v>0.586080791118575</v>
      </c>
      <c r="R58" s="39" t="n">
        <f aca="false">IF($C58&gt;0,R21/$C58,0)</f>
        <v>0.580804179494356</v>
      </c>
      <c r="S58" s="39" t="n">
        <f aca="false">IF($C58&gt;0,S21/$C58,0)</f>
        <v>0.574773766209535</v>
      </c>
      <c r="T58" s="40" t="n">
        <f aca="false">SUM(E58:S58)</f>
        <v>15.0247746991324</v>
      </c>
    </row>
    <row r="59" customFormat="false" ht="15" hidden="false" customHeight="true" outlineLevel="0" collapsed="false">
      <c r="A59" s="13" t="str">
        <f aca="false">A22</f>
        <v>Adare</v>
      </c>
      <c r="B59" s="13" t="str">
        <f aca="false">B22</f>
        <v>Village</v>
      </c>
      <c r="C59" s="38" t="n">
        <f aca="false">C22</f>
        <v>22</v>
      </c>
      <c r="E59" s="39" t="n">
        <f aca="false">IF($C59&gt;0,E22/$C59,0)</f>
        <v>1.80775004452586</v>
      </c>
      <c r="F59" s="39" t="n">
        <f aca="false">IF($C59&gt;0,F22/$C59,0)</f>
        <v>1.80775004452586</v>
      </c>
      <c r="G59" s="39" t="n">
        <f aca="false">IF($C59&gt;0,G22/$C59,0)</f>
        <v>1.80775004452586</v>
      </c>
      <c r="H59" s="39" t="n">
        <f aca="false">IF($C59&gt;0,H22/$C59,0)</f>
        <v>1.80775004452586</v>
      </c>
      <c r="I59" s="39" t="n">
        <f aca="false">IF($C59&gt;0,I22/$C59,0)</f>
        <v>1.80775004452586</v>
      </c>
      <c r="J59" s="39" t="n">
        <f aca="false">IF($C59&gt;0,J22/$C59,0)</f>
        <v>0.919353060410995</v>
      </c>
      <c r="K59" s="39" t="n">
        <f aca="false">IF($C59&gt;0,K22/$C59,0)</f>
        <v>0.919353060410995</v>
      </c>
      <c r="L59" s="39" t="n">
        <f aca="false">IF($C59&gt;0,L22/$C59,0)</f>
        <v>0.919353060410995</v>
      </c>
      <c r="M59" s="39" t="n">
        <f aca="false">IF($C59&gt;0,M22/$C59,0)</f>
        <v>0.919353060410995</v>
      </c>
      <c r="N59" s="39" t="n">
        <f aca="false">IF($C59&gt;0,N22/$C59,0)</f>
        <v>0.888396984114868</v>
      </c>
      <c r="O59" s="39" t="n">
        <f aca="false">IF($C59&gt;0,O22/$C59,0)</f>
        <v>0.672976617561</v>
      </c>
      <c r="P59" s="39" t="n">
        <f aca="false">IF($C59&gt;0,P22/$C59,0)</f>
        <v>0.667463891645252</v>
      </c>
      <c r="Q59" s="39" t="n">
        <f aca="false">IF($C59&gt;0,Q22/$C59,0)</f>
        <v>0.659406830691465</v>
      </c>
      <c r="R59" s="39" t="n">
        <f aca="false">IF($C59&gt;0,R22/$C59,0)</f>
        <v>0.653470048936044</v>
      </c>
      <c r="S59" s="39" t="n">
        <f aca="false">IF($C59&gt;0,S22/$C59,0)</f>
        <v>0.646685155501276</v>
      </c>
      <c r="T59" s="40" t="n">
        <f aca="false">SUM(E59:S59)</f>
        <v>16.9045619927232</v>
      </c>
    </row>
    <row r="60" customFormat="false" ht="15" hidden="false" customHeight="true" outlineLevel="0" collapsed="false">
      <c r="A60" s="13" t="str">
        <f aca="false">A23</f>
        <v>Askeaton</v>
      </c>
      <c r="B60" s="13" t="str">
        <f aca="false">B23</f>
        <v>Village</v>
      </c>
      <c r="C60" s="38" t="n">
        <f aca="false">C23</f>
        <v>22</v>
      </c>
      <c r="E60" s="39" t="n">
        <f aca="false">IF($C60&gt;0,E23/$C60,0)</f>
        <v>1.47331628628858</v>
      </c>
      <c r="F60" s="39" t="n">
        <f aca="false">IF($C60&gt;0,F23/$C60,0)</f>
        <v>1.47331628628858</v>
      </c>
      <c r="G60" s="39" t="n">
        <f aca="false">IF($C60&gt;0,G23/$C60,0)</f>
        <v>1.47331628628858</v>
      </c>
      <c r="H60" s="39" t="n">
        <f aca="false">IF($C60&gt;0,H23/$C60,0)</f>
        <v>1.47331628628858</v>
      </c>
      <c r="I60" s="39" t="n">
        <f aca="false">IF($C60&gt;0,I23/$C60,0)</f>
        <v>1.47331628628858</v>
      </c>
      <c r="J60" s="39" t="n">
        <f aca="false">IF($C60&gt;0,J23/$C60,0)</f>
        <v>0.749272744234961</v>
      </c>
      <c r="K60" s="39" t="n">
        <f aca="false">IF($C60&gt;0,K23/$C60,0)</f>
        <v>0.749272744234961</v>
      </c>
      <c r="L60" s="39" t="n">
        <f aca="false">IF($C60&gt;0,L23/$C60,0)</f>
        <v>0.749272744234961</v>
      </c>
      <c r="M60" s="39" t="n">
        <f aca="false">IF($C60&gt;0,M23/$C60,0)</f>
        <v>0.749272744234961</v>
      </c>
      <c r="N60" s="39" t="n">
        <f aca="false">IF($C60&gt;0,N23/$C60,0)</f>
        <v>0.724043542053618</v>
      </c>
      <c r="O60" s="39" t="n">
        <f aca="false">IF($C60&gt;0,O23/$C60,0)</f>
        <v>0.548475943312215</v>
      </c>
      <c r="P60" s="39" t="n">
        <f aca="false">IF($C60&gt;0,P23/$C60,0)</f>
        <v>0.54398307169088</v>
      </c>
      <c r="Q60" s="39" t="n">
        <f aca="false">IF($C60&gt;0,Q23/$C60,0)</f>
        <v>0.537416567013544</v>
      </c>
      <c r="R60" s="39" t="n">
        <f aca="false">IF($C60&gt;0,R23/$C60,0)</f>
        <v>0.532578089882876</v>
      </c>
      <c r="S60" s="39" t="n">
        <f aca="false">IF($C60&gt;0,S23/$C60,0)</f>
        <v>0.52704840173354</v>
      </c>
      <c r="T60" s="40" t="n">
        <f aca="false">SUM(E60:S60)</f>
        <v>13.7772180240694</v>
      </c>
    </row>
    <row r="61" customFormat="false" ht="15" hidden="false" customHeight="true" outlineLevel="0" collapsed="false">
      <c r="A61" s="13" t="str">
        <f aca="false">A24</f>
        <v>Bruff</v>
      </c>
      <c r="B61" s="13" t="str">
        <f aca="false">B24</f>
        <v>Village</v>
      </c>
      <c r="C61" s="38" t="n">
        <f aca="false">C24</f>
        <v>22</v>
      </c>
      <c r="E61" s="39" t="n">
        <f aca="false">IF($C61&gt;0,E24/$C61,0)</f>
        <v>1.03041752537974</v>
      </c>
      <c r="F61" s="39" t="n">
        <f aca="false">IF($C61&gt;0,F24/$C61,0)</f>
        <v>1.03041752537974</v>
      </c>
      <c r="G61" s="39" t="n">
        <f aca="false">IF($C61&gt;0,G24/$C61,0)</f>
        <v>1.03041752537974</v>
      </c>
      <c r="H61" s="39" t="n">
        <f aca="false">IF($C61&gt;0,H24/$C61,0)</f>
        <v>1.03041752537974</v>
      </c>
      <c r="I61" s="39" t="n">
        <f aca="false">IF($C61&gt;0,I24/$C61,0)</f>
        <v>1.03041752537974</v>
      </c>
      <c r="J61" s="39" t="n">
        <f aca="false">IF($C61&gt;0,J24/$C61,0)</f>
        <v>0.524031244434267</v>
      </c>
      <c r="K61" s="39" t="n">
        <f aca="false">IF($C61&gt;0,K24/$C61,0)</f>
        <v>0.524031244434267</v>
      </c>
      <c r="L61" s="39" t="n">
        <f aca="false">IF($C61&gt;0,L24/$C61,0)</f>
        <v>0.524031244434267</v>
      </c>
      <c r="M61" s="39" t="n">
        <f aca="false">IF($C61&gt;0,M24/$C61,0)</f>
        <v>0.524031244434267</v>
      </c>
      <c r="N61" s="39" t="n">
        <f aca="false">IF($C61&gt;0,N24/$C61,0)</f>
        <v>0.506386280945475</v>
      </c>
      <c r="O61" s="39" t="n">
        <f aca="false">IF($C61&gt;0,O24/$C61,0)</f>
        <v>0.38359667200977</v>
      </c>
      <c r="P61" s="39" t="n">
        <f aca="false">IF($C61&gt;0,P24/$C61,0)</f>
        <v>0.380454418237794</v>
      </c>
      <c r="Q61" s="39" t="n">
        <f aca="false">IF($C61&gt;0,Q24/$C61,0)</f>
        <v>0.375861893494135</v>
      </c>
      <c r="R61" s="39" t="n">
        <f aca="false">IF($C61&gt;0,R24/$C61,0)</f>
        <v>0.372477927893545</v>
      </c>
      <c r="S61" s="39" t="n">
        <f aca="false">IF($C61&gt;0,S24/$C61,0)</f>
        <v>0.368610538635728</v>
      </c>
      <c r="T61" s="40" t="n">
        <f aca="false">SUM(E61:S61)</f>
        <v>9.63560033585223</v>
      </c>
    </row>
    <row r="62" customFormat="false" ht="15" hidden="false" customHeight="true" outlineLevel="0" collapsed="false">
      <c r="A62" s="13" t="str">
        <f aca="false">A25</f>
        <v>Cappamore</v>
      </c>
      <c r="B62" s="13" t="str">
        <f aca="false">B25</f>
        <v>Village</v>
      </c>
      <c r="C62" s="38" t="n">
        <f aca="false">C25</f>
        <v>22</v>
      </c>
      <c r="E62" s="39" t="n">
        <f aca="false">IF($C62&gt;0,E25/$C62,0)</f>
        <v>0.804448769814009</v>
      </c>
      <c r="F62" s="39" t="n">
        <f aca="false">IF($C62&gt;0,F25/$C62,0)</f>
        <v>0.804448769814009</v>
      </c>
      <c r="G62" s="39" t="n">
        <f aca="false">IF($C62&gt;0,G25/$C62,0)</f>
        <v>0.804448769814009</v>
      </c>
      <c r="H62" s="39" t="n">
        <f aca="false">IF($C62&gt;0,H25/$C62,0)</f>
        <v>0.804448769814009</v>
      </c>
      <c r="I62" s="39" t="n">
        <f aca="false">IF($C62&gt;0,I25/$C62,0)</f>
        <v>0.804448769814009</v>
      </c>
      <c r="J62" s="39" t="n">
        <f aca="false">IF($C62&gt;0,J25/$C62,0)</f>
        <v>0.409112111882893</v>
      </c>
      <c r="K62" s="39" t="n">
        <f aca="false">IF($C62&gt;0,K25/$C62,0)</f>
        <v>0.409112111882893</v>
      </c>
      <c r="L62" s="39" t="n">
        <f aca="false">IF($C62&gt;0,L25/$C62,0)</f>
        <v>0.409112111882893</v>
      </c>
      <c r="M62" s="39" t="n">
        <f aca="false">IF($C62&gt;0,M25/$C62,0)</f>
        <v>0.409112111882893</v>
      </c>
      <c r="N62" s="39" t="n">
        <f aca="false">IF($C62&gt;0,N25/$C62,0)</f>
        <v>0.395336657931116</v>
      </c>
      <c r="O62" s="39" t="n">
        <f aca="false">IF($C62&gt;0,O25/$C62,0)</f>
        <v>0.299474594814645</v>
      </c>
      <c r="P62" s="39" t="n">
        <f aca="false">IF($C62&gt;0,P25/$C62,0)</f>
        <v>0.297021431782137</v>
      </c>
      <c r="Q62" s="39" t="n">
        <f aca="false">IF($C62&gt;0,Q25/$C62,0)</f>
        <v>0.293436039657702</v>
      </c>
      <c r="R62" s="39" t="n">
        <f aca="false">IF($C62&gt;0,R25/$C62,0)</f>
        <v>0.29079417177654</v>
      </c>
      <c r="S62" s="39" t="n">
        <f aca="false">IF($C62&gt;0,S25/$C62,0)</f>
        <v>0.287774894198068</v>
      </c>
      <c r="T62" s="40" t="n">
        <f aca="false">SUM(E62:S62)</f>
        <v>7.52253008676183</v>
      </c>
    </row>
    <row r="63" customFormat="false" ht="15" hidden="false" customHeight="true" outlineLevel="0" collapsed="false">
      <c r="A63" s="13" t="str">
        <f aca="false">A26</f>
        <v>Croom</v>
      </c>
      <c r="B63" s="13" t="str">
        <f aca="false">B26</f>
        <v>Village</v>
      </c>
      <c r="C63" s="38" t="n">
        <f aca="false">C26</f>
        <v>22</v>
      </c>
      <c r="E63" s="39" t="n">
        <f aca="false">IF($C63&gt;0,E26/$C63,0)</f>
        <v>1.29254128183599</v>
      </c>
      <c r="F63" s="39" t="n">
        <f aca="false">IF($C63&gt;0,F26/$C63,0)</f>
        <v>1.29254128183599</v>
      </c>
      <c r="G63" s="39" t="n">
        <f aca="false">IF($C63&gt;0,G26/$C63,0)</f>
        <v>1.29254128183599</v>
      </c>
      <c r="H63" s="39" t="n">
        <f aca="false">IF($C63&gt;0,H26/$C63,0)</f>
        <v>1.29254128183599</v>
      </c>
      <c r="I63" s="39" t="n">
        <f aca="false">IF($C63&gt;0,I26/$C63,0)</f>
        <v>1.29254128183599</v>
      </c>
      <c r="J63" s="39" t="n">
        <f aca="false">IF($C63&gt;0,J26/$C63,0)</f>
        <v>0.657337438193861</v>
      </c>
      <c r="K63" s="39" t="n">
        <f aca="false">IF($C63&gt;0,K26/$C63,0)</f>
        <v>0.657337438193861</v>
      </c>
      <c r="L63" s="39" t="n">
        <f aca="false">IF($C63&gt;0,L26/$C63,0)</f>
        <v>0.657337438193861</v>
      </c>
      <c r="M63" s="39" t="n">
        <f aca="false">IF($C63&gt;0,M26/$C63,0)</f>
        <v>0.657337438193861</v>
      </c>
      <c r="N63" s="39" t="n">
        <f aca="false">IF($C63&gt;0,N26/$C63,0)</f>
        <v>0.635203843642131</v>
      </c>
      <c r="O63" s="39" t="n">
        <f aca="false">IF($C63&gt;0,O26/$C63,0)</f>
        <v>0.481178281556115</v>
      </c>
      <c r="P63" s="39" t="n">
        <f aca="false">IF($C63&gt;0,P26/$C63,0)</f>
        <v>0.477236682526355</v>
      </c>
      <c r="Q63" s="39" t="n">
        <f aca="false">IF($C63&gt;0,Q26/$C63,0)</f>
        <v>0.471475883944398</v>
      </c>
      <c r="R63" s="39" t="n">
        <f aca="false">IF($C63&gt;0,R26/$C63,0)</f>
        <v>0.467231084989271</v>
      </c>
      <c r="S63" s="39" t="n">
        <f aca="false">IF($C63&gt;0,S26/$C63,0)</f>
        <v>0.462379886183413</v>
      </c>
      <c r="T63" s="40" t="n">
        <f aca="false">SUM(E63:S63)</f>
        <v>12.0867618247971</v>
      </c>
    </row>
    <row r="64" customFormat="false" ht="15" hidden="false" customHeight="true" outlineLevel="0" collapsed="false">
      <c r="A64" s="13" t="str">
        <f aca="false">A27</f>
        <v>Hospital</v>
      </c>
      <c r="B64" s="13" t="str">
        <f aca="false">B27</f>
        <v>Village</v>
      </c>
      <c r="C64" s="38" t="n">
        <f aca="false">C27</f>
        <v>22</v>
      </c>
      <c r="E64" s="39" t="n">
        <f aca="false">IF($C64&gt;0,E27/$C64,0)</f>
        <v>0.79541001959138</v>
      </c>
      <c r="F64" s="39" t="n">
        <f aca="false">IF($C64&gt;0,F27/$C64,0)</f>
        <v>0.79541001959138</v>
      </c>
      <c r="G64" s="39" t="n">
        <f aca="false">IF($C64&gt;0,G27/$C64,0)</f>
        <v>0.79541001959138</v>
      </c>
      <c r="H64" s="39" t="n">
        <f aca="false">IF($C64&gt;0,H27/$C64,0)</f>
        <v>0.79541001959138</v>
      </c>
      <c r="I64" s="39" t="n">
        <f aca="false">IF($C64&gt;0,I27/$C64,0)</f>
        <v>0.79541001959138</v>
      </c>
      <c r="J64" s="39" t="n">
        <f aca="false">IF($C64&gt;0,J27/$C64,0)</f>
        <v>0.404515346580838</v>
      </c>
      <c r="K64" s="39" t="n">
        <f aca="false">IF($C64&gt;0,K27/$C64,0)</f>
        <v>0.404515346580838</v>
      </c>
      <c r="L64" s="39" t="n">
        <f aca="false">IF($C64&gt;0,L27/$C64,0)</f>
        <v>0.404515346580838</v>
      </c>
      <c r="M64" s="39" t="n">
        <f aca="false">IF($C64&gt;0,M27/$C64,0)</f>
        <v>0.404515346580838</v>
      </c>
      <c r="N64" s="39" t="n">
        <f aca="false">IF($C64&gt;0,N27/$C64,0)</f>
        <v>0.390894673010542</v>
      </c>
      <c r="O64" s="39" t="n">
        <f aca="false">IF($C64&gt;0,O27/$C64,0)</f>
        <v>0.29610971172684</v>
      </c>
      <c r="P64" s="39" t="n">
        <f aca="false">IF($C64&gt;0,P27/$C64,0)</f>
        <v>0.293684112323911</v>
      </c>
      <c r="Q64" s="39" t="n">
        <f aca="false">IF($C64&gt;0,Q27/$C64,0)</f>
        <v>0.290139005504245</v>
      </c>
      <c r="R64" s="39" t="n">
        <f aca="false">IF($C64&gt;0,R27/$C64,0)</f>
        <v>0.287526821531859</v>
      </c>
      <c r="S64" s="39" t="n">
        <f aca="false">IF($C64&gt;0,S27/$C64,0)</f>
        <v>0.284541468420562</v>
      </c>
      <c r="T64" s="40" t="n">
        <f aca="false">SUM(E64:S64)</f>
        <v>7.43800727679821</v>
      </c>
    </row>
    <row r="65" customFormat="false" ht="15" hidden="false" customHeight="true" outlineLevel="0" collapsed="false">
      <c r="A65" s="13" t="str">
        <f aca="false">A28</f>
        <v>Kilfinnane</v>
      </c>
      <c r="B65" s="13" t="str">
        <f aca="false">B28</f>
        <v>Village</v>
      </c>
      <c r="C65" s="38" t="n">
        <f aca="false">C28</f>
        <v>22</v>
      </c>
      <c r="E65" s="39" t="n">
        <f aca="false">IF($C65&gt;0,E28/$C65,0)</f>
        <v>1.01234002493448</v>
      </c>
      <c r="F65" s="39" t="n">
        <f aca="false">IF($C65&gt;0,F28/$C65,0)</f>
        <v>1.01234002493448</v>
      </c>
      <c r="G65" s="39" t="n">
        <f aca="false">IF($C65&gt;0,G28/$C65,0)</f>
        <v>1.01234002493448</v>
      </c>
      <c r="H65" s="39" t="n">
        <f aca="false">IF($C65&gt;0,H28/$C65,0)</f>
        <v>1.01234002493448</v>
      </c>
      <c r="I65" s="39" t="n">
        <f aca="false">IF($C65&gt;0,I28/$C65,0)</f>
        <v>1.01234002493448</v>
      </c>
      <c r="J65" s="39" t="n">
        <f aca="false">IF($C65&gt;0,J28/$C65,0)</f>
        <v>0.514837713830157</v>
      </c>
      <c r="K65" s="39" t="n">
        <f aca="false">IF($C65&gt;0,K28/$C65,0)</f>
        <v>0.514837713830157</v>
      </c>
      <c r="L65" s="39" t="n">
        <f aca="false">IF($C65&gt;0,L28/$C65,0)</f>
        <v>0.514837713830157</v>
      </c>
      <c r="M65" s="39" t="n">
        <f aca="false">IF($C65&gt;0,M28/$C65,0)</f>
        <v>0.514837713830157</v>
      </c>
      <c r="N65" s="39" t="n">
        <f aca="false">IF($C65&gt;0,N28/$C65,0)</f>
        <v>0.497502311104326</v>
      </c>
      <c r="O65" s="39" t="n">
        <f aca="false">IF($C65&gt;0,O28/$C65,0)</f>
        <v>0.37686690583416</v>
      </c>
      <c r="P65" s="39" t="n">
        <f aca="false">IF($C65&gt;0,P28/$C65,0)</f>
        <v>0.373779779321341</v>
      </c>
      <c r="Q65" s="39" t="n">
        <f aca="false">IF($C65&gt;0,Q28/$C65,0)</f>
        <v>0.369267825187221</v>
      </c>
      <c r="R65" s="39" t="n">
        <f aca="false">IF($C65&gt;0,R28/$C65,0)</f>
        <v>0.365943227404185</v>
      </c>
      <c r="S65" s="39" t="n">
        <f aca="false">IF($C65&gt;0,S28/$C65,0)</f>
        <v>0.362143687080715</v>
      </c>
      <c r="T65" s="40" t="n">
        <f aca="false">SUM(E65:S65)</f>
        <v>9.46655471592499</v>
      </c>
    </row>
    <row r="66" customFormat="false" ht="15" hidden="false" customHeight="true" outlineLevel="0" collapsed="false">
      <c r="A66" s="13" t="str">
        <f aca="false">A29</f>
        <v>Moroe</v>
      </c>
      <c r="B66" s="13" t="str">
        <f aca="false">B29</f>
        <v>Village</v>
      </c>
      <c r="C66" s="38" t="n">
        <f aca="false">C29</f>
        <v>22</v>
      </c>
      <c r="E66" s="39" t="n">
        <f aca="false">IF($C66&gt;0,E29/$C66,0)</f>
        <v>1.45523878584332</v>
      </c>
      <c r="F66" s="39" t="n">
        <f aca="false">IF($C66&gt;0,F29/$C66,0)</f>
        <v>1.45523878584332</v>
      </c>
      <c r="G66" s="39" t="n">
        <f aca="false">IF($C66&gt;0,G29/$C66,0)</f>
        <v>1.45523878584332</v>
      </c>
      <c r="H66" s="39" t="n">
        <f aca="false">IF($C66&gt;0,H29/$C66,0)</f>
        <v>1.45523878584332</v>
      </c>
      <c r="I66" s="39" t="n">
        <f aca="false">IF($C66&gt;0,I29/$C66,0)</f>
        <v>1.45523878584332</v>
      </c>
      <c r="J66" s="39" t="n">
        <f aca="false">IF($C66&gt;0,J29/$C66,0)</f>
        <v>0.740079213630851</v>
      </c>
      <c r="K66" s="39" t="n">
        <f aca="false">IF($C66&gt;0,K29/$C66,0)</f>
        <v>0.740079213630851</v>
      </c>
      <c r="L66" s="39" t="n">
        <f aca="false">IF($C66&gt;0,L29/$C66,0)</f>
        <v>0.740079213630851</v>
      </c>
      <c r="M66" s="39" t="n">
        <f aca="false">IF($C66&gt;0,M29/$C66,0)</f>
        <v>0.740079213630851</v>
      </c>
      <c r="N66" s="39" t="n">
        <f aca="false">IF($C66&gt;0,N29/$C66,0)</f>
        <v>0.715159572212469</v>
      </c>
      <c r="O66" s="39" t="n">
        <f aca="false">IF($C66&gt;0,O29/$C66,0)</f>
        <v>0.541746177136605</v>
      </c>
      <c r="P66" s="39" t="n">
        <f aca="false">IF($C66&gt;0,P29/$C66,0)</f>
        <v>0.537308432774428</v>
      </c>
      <c r="Q66" s="39" t="n">
        <f aca="false">IF($C66&gt;0,Q29/$C66,0)</f>
        <v>0.53082249870663</v>
      </c>
      <c r="R66" s="39" t="n">
        <f aca="false">IF($C66&gt;0,R29/$C66,0)</f>
        <v>0.526043389393515</v>
      </c>
      <c r="S66" s="39" t="n">
        <f aca="false">IF($C66&gt;0,S29/$C66,0)</f>
        <v>0.520581550178528</v>
      </c>
      <c r="T66" s="40" t="n">
        <f aca="false">SUM(E66:S66)</f>
        <v>13.6081724041422</v>
      </c>
    </row>
    <row r="67" customFormat="false" ht="15" hidden="false" customHeight="true" outlineLevel="0" collapsed="false">
      <c r="A67" s="13" t="str">
        <f aca="false">A30</f>
        <v>Patrickswell</v>
      </c>
      <c r="B67" s="13" t="str">
        <f aca="false">B30</f>
        <v>Village</v>
      </c>
      <c r="C67" s="38" t="n">
        <f aca="false">C30</f>
        <v>25</v>
      </c>
      <c r="E67" s="39" t="n">
        <f aca="false">IF($C67&gt;0,E30/$C67,0)</f>
        <v>3.18164007836552</v>
      </c>
      <c r="F67" s="39" t="n">
        <f aca="false">IF($C67&gt;0,F30/$C67,0)</f>
        <v>3.18164007836552</v>
      </c>
      <c r="G67" s="39" t="n">
        <f aca="false">IF($C67&gt;0,G30/$C67,0)</f>
        <v>3.18164007836552</v>
      </c>
      <c r="H67" s="39" t="n">
        <f aca="false">IF($C67&gt;0,H30/$C67,0)</f>
        <v>3.18164007836552</v>
      </c>
      <c r="I67" s="39" t="n">
        <f aca="false">IF($C67&gt;0,I30/$C67,0)</f>
        <v>3.18164007836552</v>
      </c>
      <c r="J67" s="39" t="n">
        <f aca="false">IF($C67&gt;0,J30/$C67,0)</f>
        <v>1.61806138632335</v>
      </c>
      <c r="K67" s="39" t="n">
        <f aca="false">IF($C67&gt;0,K30/$C67,0)</f>
        <v>1.61806138632335</v>
      </c>
      <c r="L67" s="39" t="n">
        <f aca="false">IF($C67&gt;0,L30/$C67,0)</f>
        <v>1.61806138632335</v>
      </c>
      <c r="M67" s="39" t="n">
        <f aca="false">IF($C67&gt;0,M30/$C67,0)</f>
        <v>1.61806138632335</v>
      </c>
      <c r="N67" s="39" t="n">
        <f aca="false">IF($C67&gt;0,N30/$C67,0)</f>
        <v>1.56357869204217</v>
      </c>
      <c r="O67" s="39" t="n">
        <f aca="false">IF($C67&gt;0,O30/$C67,0)</f>
        <v>1.18443884690736</v>
      </c>
      <c r="P67" s="39" t="n">
        <f aca="false">IF($C67&gt;0,P30/$C67,0)</f>
        <v>1.17473644929564</v>
      </c>
      <c r="Q67" s="39" t="n">
        <f aca="false">IF($C67&gt;0,Q30/$C67,0)</f>
        <v>1.16055602201698</v>
      </c>
      <c r="R67" s="39" t="n">
        <f aca="false">IF($C67&gt;0,R30/$C67,0)</f>
        <v>1.15010728612744</v>
      </c>
      <c r="S67" s="39" t="n">
        <f aca="false">IF($C67&gt;0,S30/$C67,0)</f>
        <v>1.13816587368225</v>
      </c>
      <c r="T67" s="40" t="n">
        <f aca="false">SUM(E67:S67)</f>
        <v>29.7520291071928</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210</v>
      </c>
      <c r="E69" s="37" t="n">
        <f aca="false">SUM(E44:E68)</f>
        <v>137.147740715228</v>
      </c>
      <c r="F69" s="37" t="n">
        <f aca="false">SUM(F44:F68)</f>
        <v>137.147740715228</v>
      </c>
      <c r="G69" s="37" t="n">
        <f aca="false">SUM(G44:G68)</f>
        <v>137.147740715228</v>
      </c>
      <c r="H69" s="37" t="n">
        <f aca="false">SUM(H44:H68)</f>
        <v>137.147740715228</v>
      </c>
      <c r="I69" s="37" t="n">
        <f aca="false">SUM(I44:I68)</f>
        <v>137.147740715228</v>
      </c>
      <c r="J69" s="37" t="n">
        <f aca="false">SUM(J44:J68)</f>
        <v>69.7481355549177</v>
      </c>
      <c r="K69" s="37" t="n">
        <f aca="false">SUM(K44:K68)</f>
        <v>69.7481355549177</v>
      </c>
      <c r="L69" s="37" t="n">
        <f aca="false">SUM(L44:L68)</f>
        <v>69.7481355549177</v>
      </c>
      <c r="M69" s="37" t="n">
        <f aca="false">SUM(M44:M68)</f>
        <v>69.7481355549177</v>
      </c>
      <c r="N69" s="37" t="n">
        <f aca="false">SUM(N44:N68)</f>
        <v>67.3996051603103</v>
      </c>
      <c r="O69" s="37" t="n">
        <f aca="false">SUM(O44:O68)</f>
        <v>51.0564073457816</v>
      </c>
      <c r="P69" s="37" t="n">
        <f aca="false">SUM(P44:P68)</f>
        <v>50.638175905646</v>
      </c>
      <c r="Q69" s="37" t="n">
        <f aca="false">SUM(Q44:Q68)</f>
        <v>50.0269145700632</v>
      </c>
      <c r="R69" s="37" t="n">
        <f aca="false">SUM(R44:R68)</f>
        <v>49.5765114806865</v>
      </c>
      <c r="S69" s="37" t="n">
        <f aca="false">SUM(S44:S68)</f>
        <v>49.0617650928273</v>
      </c>
      <c r="T69" s="37" t="n">
        <f aca="false">SUM(T44:T68)</f>
        <v>1282.49062535113</v>
      </c>
    </row>
    <row r="71" customFormat="false" ht="15" hidden="false" customHeight="true" outlineLevel="0" collapsed="false">
      <c r="A71" s="3" t="s">
        <v>230</v>
      </c>
    </row>
    <row r="72" customFormat="false" ht="15" hidden="false" customHeight="true" outlineLevel="0" collapsed="false">
      <c r="A72" s="3" t="s">
        <v>231</v>
      </c>
    </row>
    <row r="73" customFormat="false" ht="15" hidden="false" customHeight="true" outlineLevel="0" collapsed="false">
      <c r="A73" s="3" t="s">
        <v>232</v>
      </c>
    </row>
    <row r="74" customFormat="false" ht="15" hidden="false" customHeight="true" outlineLevel="0" collapsed="false">
      <c r="A74" s="3"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4" min="3" style="0" width="11"/>
    <col collapsed="false" customWidth="true" hidden="false" outlineLevel="0" max="10" min="5" style="0" width="12"/>
    <col collapsed="false" customWidth="true" hidden="false" outlineLevel="0" max="11" min="11" style="0" width="13"/>
    <col collapsed="false" customWidth="true" hidden="false" outlineLevel="0" max="12" min="12" style="0" width="10"/>
    <col collapsed="false" customWidth="true" hidden="false" outlineLevel="0" max="13" min="13" style="0" width="13"/>
    <col collapsed="false" customWidth="true" hidden="false" outlineLevel="0" max="14" min="14" style="0" width="12"/>
    <col collapsed="false" customWidth="true" hidden="false" outlineLevel="0" max="17" min="15" style="0" width="13"/>
  </cols>
  <sheetData>
    <row r="1" customFormat="false" ht="19.7" hidden="false" customHeight="false" outlineLevel="0" collapsed="false">
      <c r="A1" s="44" t="s">
        <v>234</v>
      </c>
    </row>
    <row r="2" customFormat="false" ht="15" hidden="false" customHeight="false" outlineLevel="0" collapsed="false">
      <c r="A2" s="45" t="s">
        <v>235</v>
      </c>
    </row>
    <row r="4" customFormat="false" ht="15" hidden="false" customHeight="false" outlineLevel="0" collapsed="false">
      <c r="A4" s="18" t="s">
        <v>236</v>
      </c>
      <c r="C4" s="46" t="n">
        <v>0.4</v>
      </c>
      <c r="D4" s="45" t="s">
        <v>237</v>
      </c>
    </row>
    <row r="5" customFormat="false" ht="15" hidden="false" customHeight="false" outlineLevel="0" collapsed="false">
      <c r="D5" s="18" t="s">
        <v>238</v>
      </c>
      <c r="F5" s="18" t="s">
        <v>239</v>
      </c>
    </row>
    <row r="6" customFormat="false" ht="54" hidden="false" customHeight="true" outlineLevel="0" collapsed="false">
      <c r="A6" s="47" t="s">
        <v>136</v>
      </c>
      <c r="B6" s="47" t="s">
        <v>137</v>
      </c>
      <c r="C6" s="47" t="s">
        <v>240</v>
      </c>
      <c r="D6" s="47" t="s">
        <v>241</v>
      </c>
      <c r="E6" s="47" t="s">
        <v>242</v>
      </c>
      <c r="F6" s="47" t="s">
        <v>243</v>
      </c>
      <c r="G6" s="47" t="s">
        <v>244</v>
      </c>
      <c r="H6" s="47" t="s">
        <v>245</v>
      </c>
      <c r="I6" s="47" t="s">
        <v>246</v>
      </c>
      <c r="J6" s="47" t="s">
        <v>247</v>
      </c>
      <c r="K6" s="47" t="s">
        <v>248</v>
      </c>
      <c r="L6" s="47" t="s">
        <v>249</v>
      </c>
      <c r="M6" s="47" t="s">
        <v>250</v>
      </c>
      <c r="N6" s="47" t="s">
        <v>251</v>
      </c>
      <c r="O6" s="47" t="s">
        <v>252</v>
      </c>
      <c r="P6" s="47" t="s">
        <v>253</v>
      </c>
      <c r="Q6" s="47" t="s">
        <v>254</v>
      </c>
    </row>
    <row r="7" customFormat="false" ht="15" hidden="false" customHeight="false" outlineLevel="0" collapsed="false">
      <c r="A7" s="19" t="str">
        <f aca="false">'Land at Council density'!A7</f>
        <v>Ballinacurra</v>
      </c>
      <c r="B7" s="19" t="str">
        <f aca="false">'Land at Council density'!B7</f>
        <v>City neighbourhood</v>
      </c>
      <c r="C7" s="48" t="n">
        <f aca="false">'Land at Council density'!C7</f>
        <v>47.9989212513484</v>
      </c>
      <c r="D7" s="49" t="n">
        <f aca="false">'Land at Council density'!T7</f>
        <v>1208.55116597063</v>
      </c>
      <c r="E7" s="50" t="n">
        <f aca="false">'Land at Council density'!U7</f>
        <v>25.1787151557427</v>
      </c>
      <c r="F7" s="51" t="n">
        <v>277</v>
      </c>
      <c r="G7" s="52" t="n">
        <v>3.46</v>
      </c>
      <c r="H7" s="49" t="n">
        <f aca="false">G7*C7+Q7</f>
        <v>166.076267529666</v>
      </c>
      <c r="I7" s="49" t="n">
        <f aca="false">F7+H7</f>
        <v>443.076267529666</v>
      </c>
      <c r="J7" s="50" t="n">
        <f aca="false">IF(C7&gt;0,G7+F7/C7,0)</f>
        <v>9.23096302955388</v>
      </c>
      <c r="K7" s="53" t="n">
        <f aca="false">I7-D7</f>
        <v>-765.474898440964</v>
      </c>
      <c r="L7" s="19" t="str">
        <f aca="false">IF(K7&gt;=0,"Yes","No")</f>
        <v>No</v>
      </c>
      <c r="M7" s="54" t="n">
        <f aca="false">IF(C7&gt;0,MAX(D7-I7,0)/C7,0)</f>
        <v>15.9477521261889</v>
      </c>
      <c r="N7" s="49" t="n">
        <f aca="false">D7*(1+$C$4)</f>
        <v>1691.97163235888</v>
      </c>
      <c r="O7" s="54" t="n">
        <f aca="false">IF(C7&gt;0,MAX(N7-I7,0)/C7,0)</f>
        <v>26.019238188486</v>
      </c>
      <c r="P7" s="51" t="n">
        <v>153</v>
      </c>
      <c r="Q7" s="51" t="n">
        <v>0</v>
      </c>
    </row>
    <row r="8" customFormat="false" ht="15" hidden="false" customHeight="false" outlineLevel="0" collapsed="false">
      <c r="A8" s="19" t="str">
        <f aca="false">'Land at Council density'!A8</f>
        <v>Caherdavin</v>
      </c>
      <c r="B8" s="19" t="str">
        <f aca="false">'Land at Council density'!B8</f>
        <v>City neighbourhood</v>
      </c>
      <c r="C8" s="48" t="n">
        <f aca="false">'Land at Council density'!C8</f>
        <v>43.1187621666718</v>
      </c>
      <c r="D8" s="49" t="n">
        <f aca="false">'Land at Council density'!T8</f>
        <v>4911.98819059752</v>
      </c>
      <c r="E8" s="50" t="n">
        <f aca="false">'Land at Council density'!U8</f>
        <v>113.917653099842</v>
      </c>
      <c r="F8" s="51" t="n">
        <v>1098</v>
      </c>
      <c r="G8" s="52" t="n">
        <v>22.76</v>
      </c>
      <c r="H8" s="49" t="n">
        <f aca="false">G8*C8+Q8</f>
        <v>981.383026913451</v>
      </c>
      <c r="I8" s="49" t="n">
        <f aca="false">F8+H8</f>
        <v>2079.38302691345</v>
      </c>
      <c r="J8" s="50" t="n">
        <f aca="false">IF(C8&gt;0,G8+F8/C8,0)</f>
        <v>48.2245528959244</v>
      </c>
      <c r="K8" s="53" t="n">
        <f aca="false">I8-D8</f>
        <v>-2832.60516368407</v>
      </c>
      <c r="L8" s="19" t="str">
        <f aca="false">IF(K8&gt;=0,"Yes","No")</f>
        <v>No</v>
      </c>
      <c r="M8" s="54" t="n">
        <f aca="false">IF(C8&gt;0,MAX(D8-I8,0)/C8,0)</f>
        <v>65.6931002039177</v>
      </c>
      <c r="N8" s="49" t="n">
        <f aca="false">D8*(1+$C$4)</f>
        <v>6876.78346683653</v>
      </c>
      <c r="O8" s="54" t="n">
        <f aca="false">IF(C8&gt;0,MAX(N8-I8,0)/C8,0)</f>
        <v>111.260161443855</v>
      </c>
      <c r="P8" s="51" t="n">
        <v>985</v>
      </c>
      <c r="Q8" s="51" t="n">
        <v>0</v>
      </c>
    </row>
    <row r="9" customFormat="false" ht="15" hidden="false" customHeight="false" outlineLevel="0" collapsed="false">
      <c r="A9" s="19" t="str">
        <f aca="false">'Land at Council density'!A9</f>
        <v>Castletroy/Annacotty</v>
      </c>
      <c r="B9" s="19" t="str">
        <f aca="false">'Land at Council density'!B9</f>
        <v>City neighbourhood</v>
      </c>
      <c r="C9" s="48" t="n">
        <f aca="false">'Land at Council density'!C9</f>
        <v>38.6847099222845</v>
      </c>
      <c r="D9" s="49" t="n">
        <f aca="false">'Land at Council density'!T9</f>
        <v>5827.67469014651</v>
      </c>
      <c r="E9" s="50" t="n">
        <f aca="false">'Land at Council density'!U9</f>
        <v>150.645428177024</v>
      </c>
      <c r="F9" s="51" t="n">
        <v>2026</v>
      </c>
      <c r="G9" s="52" t="n">
        <v>29.11</v>
      </c>
      <c r="H9" s="49" t="n">
        <f aca="false">G9*C9+Q9</f>
        <v>1126.1119058377</v>
      </c>
      <c r="I9" s="49" t="n">
        <f aca="false">F9+H9</f>
        <v>3152.1119058377</v>
      </c>
      <c r="J9" s="50" t="n">
        <f aca="false">IF(C9&gt;0,G9+F9/C9,0)</f>
        <v>81.4821130149386</v>
      </c>
      <c r="K9" s="53" t="n">
        <f aca="false">I9-D9</f>
        <v>-2675.56278430881</v>
      </c>
      <c r="L9" s="19" t="str">
        <f aca="false">IF(K9&gt;=0,"Yes","No")</f>
        <v>No</v>
      </c>
      <c r="M9" s="54" t="n">
        <f aca="false">IF(C9&gt;0,MAX(D9-I9,0)/C9,0)</f>
        <v>69.1633151620853</v>
      </c>
      <c r="N9" s="49" t="n">
        <f aca="false">D9*(1+$C$4)</f>
        <v>8158.74456620511</v>
      </c>
      <c r="O9" s="54" t="n">
        <f aca="false">IF(C9&gt;0,MAX(N9-I9,0)/C9,0)</f>
        <v>129.421486432895</v>
      </c>
      <c r="P9" s="51" t="n">
        <v>1193</v>
      </c>
      <c r="Q9" s="51" t="n">
        <v>0</v>
      </c>
    </row>
    <row r="10" customFormat="false" ht="15" hidden="false" customHeight="false" outlineLevel="0" collapsed="false">
      <c r="A10" s="19" t="str">
        <f aca="false">'Land at Council density'!A10</f>
        <v>City Centre</v>
      </c>
      <c r="B10" s="19" t="str">
        <f aca="false">'Land at Council density'!B10</f>
        <v>City neighbourhood</v>
      </c>
      <c r="C10" s="48" t="n">
        <f aca="false">'Land at Council density'!C10</f>
        <v>99.993621353745</v>
      </c>
      <c r="D10" s="49" t="n">
        <f aca="false">'Land at Council density'!T10</f>
        <v>5062.29585965892</v>
      </c>
      <c r="E10" s="50" t="n">
        <f aca="false">'Land at Council density'!U10</f>
        <v>50.6261878620253</v>
      </c>
      <c r="F10" s="51" t="n">
        <v>826</v>
      </c>
      <c r="G10" s="52" t="n">
        <v>8.71</v>
      </c>
      <c r="H10" s="49" t="n">
        <f aca="false">G10*C10+Q10</f>
        <v>2114.94444199112</v>
      </c>
      <c r="I10" s="49" t="n">
        <f aca="false">F10+H10</f>
        <v>2940.94444199112</v>
      </c>
      <c r="J10" s="50" t="n">
        <f aca="false">IF(C10&gt;0,G10+F10/C10,0)</f>
        <v>16.9705269097904</v>
      </c>
      <c r="K10" s="53" t="n">
        <f aca="false">I10-D10</f>
        <v>-2121.3514176678</v>
      </c>
      <c r="L10" s="19" t="str">
        <f aca="false">IF(K10&gt;=0,"Yes","No")</f>
        <v>No</v>
      </c>
      <c r="M10" s="54" t="n">
        <f aca="false">IF(C10&gt;0,MAX(D10-I10,0)/C10,0)</f>
        <v>21.2148673980228</v>
      </c>
      <c r="N10" s="49" t="n">
        <f aca="false">D10*(1+$C$4)</f>
        <v>7087.21420352249</v>
      </c>
      <c r="O10" s="54" t="n">
        <f aca="false">IF(C10&gt;0,MAX(N10-I10,0)/C10,0)</f>
        <v>41.4653425428329</v>
      </c>
      <c r="P10" s="51" t="n">
        <v>2168</v>
      </c>
      <c r="Q10" s="51" t="n">
        <v>1244</v>
      </c>
    </row>
    <row r="11" customFormat="false" ht="15" hidden="false" customHeight="false" outlineLevel="0" collapsed="false">
      <c r="A11" s="19" t="str">
        <f aca="false">'Land at Council density'!A11</f>
        <v>Corbally/Grove Island</v>
      </c>
      <c r="B11" s="19" t="str">
        <f aca="false">'Land at Council density'!B11</f>
        <v>City neighbourhood</v>
      </c>
      <c r="C11" s="48" t="n">
        <f aca="false">'Land at Council density'!C11</f>
        <v>42.0121983279878</v>
      </c>
      <c r="D11" s="49" t="n">
        <f aca="false">'Land at Council density'!T11</f>
        <v>1280.52168890979</v>
      </c>
      <c r="E11" s="50" t="n">
        <f aca="false">'Land at Council density'!U11</f>
        <v>30.4797592097609</v>
      </c>
      <c r="F11" s="51" t="n">
        <v>66</v>
      </c>
      <c r="G11" s="52" t="n">
        <v>15.68</v>
      </c>
      <c r="H11" s="49" t="n">
        <f aca="false">G11*C11+Q11</f>
        <v>658.751269782849</v>
      </c>
      <c r="I11" s="49" t="n">
        <f aca="false">F11+H11</f>
        <v>724.751269782849</v>
      </c>
      <c r="J11" s="50" t="n">
        <f aca="false">IF(C11&gt;0,G11+F11/C11,0)</f>
        <v>17.2509723039185</v>
      </c>
      <c r="K11" s="53" t="n">
        <f aca="false">I11-D11</f>
        <v>-555.770419126938</v>
      </c>
      <c r="L11" s="19" t="str">
        <f aca="false">IF(K11&gt;=0,"Yes","No")</f>
        <v>No</v>
      </c>
      <c r="M11" s="54" t="n">
        <f aca="false">IF(C11&gt;0,MAX(D11-I11,0)/C11,0)</f>
        <v>13.2287869058424</v>
      </c>
      <c r="N11" s="49" t="n">
        <f aca="false">D11*(1+$C$4)</f>
        <v>1792.7303644737</v>
      </c>
      <c r="O11" s="54" t="n">
        <f aca="false">IF(C11&gt;0,MAX(N11-I11,0)/C11,0)</f>
        <v>25.4206905897467</v>
      </c>
      <c r="P11" s="51" t="n">
        <v>605</v>
      </c>
      <c r="Q11" s="51" t="n">
        <v>0</v>
      </c>
    </row>
    <row r="12" customFormat="false" ht="15" hidden="false" customHeight="false" outlineLevel="0" collapsed="false">
      <c r="A12" s="19" t="str">
        <f aca="false">'Land at Council density'!A12</f>
        <v>Dooradoyle</v>
      </c>
      <c r="B12" s="19" t="str">
        <f aca="false">'Land at Council density'!B12</f>
        <v>City neighbourhood</v>
      </c>
      <c r="C12" s="48" t="n">
        <f aca="false">'Land at Council density'!C12</f>
        <v>35.7875115598027</v>
      </c>
      <c r="D12" s="49" t="n">
        <f aca="false">'Land at Council density'!T12</f>
        <v>5460.07140374958</v>
      </c>
      <c r="E12" s="50" t="n">
        <f aca="false">'Land at Council density'!U12</f>
        <v>152.569183096889</v>
      </c>
      <c r="F12" s="51" t="n">
        <v>1643</v>
      </c>
      <c r="G12" s="52" t="n">
        <v>60.92</v>
      </c>
      <c r="H12" s="49" t="n">
        <f aca="false">G12*C12+Q12</f>
        <v>2180.17520422318</v>
      </c>
      <c r="I12" s="49" t="n">
        <f aca="false">F12+H12</f>
        <v>3823.17520422318</v>
      </c>
      <c r="J12" s="50" t="n">
        <f aca="false">IF(C12&gt;0,G12+F12/C12,0)</f>
        <v>106.829869906838</v>
      </c>
      <c r="K12" s="53" t="n">
        <f aca="false">I12-D12</f>
        <v>-1636.8961995264</v>
      </c>
      <c r="L12" s="19" t="str">
        <f aca="false">IF(K12&gt;=0,"Yes","No")</f>
        <v>No</v>
      </c>
      <c r="M12" s="54" t="n">
        <f aca="false">IF(C12&gt;0,MAX(D12-I12,0)/C12,0)</f>
        <v>45.7393131900515</v>
      </c>
      <c r="N12" s="49" t="n">
        <f aca="false">D12*(1+$C$4)</f>
        <v>7644.09996524942</v>
      </c>
      <c r="O12" s="54" t="n">
        <f aca="false">IF(C12&gt;0,MAX(N12-I12,0)/C12,0)</f>
        <v>106.766986428807</v>
      </c>
      <c r="P12" s="51" t="n">
        <v>2811</v>
      </c>
      <c r="Q12" s="51" t="n">
        <v>0</v>
      </c>
    </row>
    <row r="13" customFormat="false" ht="15" hidden="false" customHeight="false" outlineLevel="0" collapsed="false">
      <c r="A13" s="19" t="str">
        <f aca="false">'Land at Council density'!A13</f>
        <v>Kings Island</v>
      </c>
      <c r="B13" s="19" t="str">
        <f aca="false">'Land at Council density'!B13</f>
        <v>City neighbourhood</v>
      </c>
      <c r="C13" s="48" t="n">
        <f aca="false">'Land at Council density'!C13</f>
        <v>50</v>
      </c>
      <c r="D13" s="49" t="n">
        <f aca="false">'Land at Council density'!T13</f>
        <v>633.34060186459</v>
      </c>
      <c r="E13" s="50" t="n">
        <f aca="false">'Land at Council density'!U13</f>
        <v>12.6668120372918</v>
      </c>
      <c r="F13" s="51" t="n">
        <v>50</v>
      </c>
      <c r="G13" s="52" t="n">
        <v>0.28</v>
      </c>
      <c r="H13" s="49" t="n">
        <f aca="false">G13*C13+Q13</f>
        <v>14</v>
      </c>
      <c r="I13" s="49" t="n">
        <f aca="false">F13+H13</f>
        <v>64</v>
      </c>
      <c r="J13" s="50" t="n">
        <f aca="false">IF(C13&gt;0,G13+F13/C13,0)</f>
        <v>1.28</v>
      </c>
      <c r="K13" s="53" t="n">
        <f aca="false">I13-D13</f>
        <v>-569.34060186459</v>
      </c>
      <c r="L13" s="19" t="str">
        <f aca="false">IF(K13&gt;=0,"Yes","No")</f>
        <v>No</v>
      </c>
      <c r="M13" s="54" t="n">
        <f aca="false">IF(C13&gt;0,MAX(D13-I13,0)/C13,0)</f>
        <v>11.3868120372918</v>
      </c>
      <c r="N13" s="49" t="n">
        <f aca="false">D13*(1+$C$4)</f>
        <v>886.676842610426</v>
      </c>
      <c r="O13" s="54" t="n">
        <f aca="false">IF(C13&gt;0,MAX(N13-I13,0)/C13,0)</f>
        <v>16.4535368522085</v>
      </c>
      <c r="P13" s="51" t="n">
        <v>25</v>
      </c>
      <c r="Q13" s="51" t="n">
        <v>0</v>
      </c>
    </row>
    <row r="14" customFormat="false" ht="15" hidden="false" customHeight="false" outlineLevel="0" collapsed="false">
      <c r="A14" s="19" t="str">
        <f aca="false">'Land at Council density'!A14</f>
        <v>Singland/Garryowen</v>
      </c>
      <c r="B14" s="19" t="str">
        <f aca="false">'Land at Council density'!B14</f>
        <v>City neighbourhood</v>
      </c>
      <c r="C14" s="48" t="n">
        <f aca="false">'Land at Council density'!C14</f>
        <v>48.9511823035851</v>
      </c>
      <c r="D14" s="49" t="n">
        <f aca="false">'Land at Council density'!T14</f>
        <v>3147.3263300701</v>
      </c>
      <c r="E14" s="50" t="n">
        <f aca="false">'Land at Council density'!U14</f>
        <v>64.2952055897453</v>
      </c>
      <c r="F14" s="51" t="n">
        <v>217</v>
      </c>
      <c r="G14" s="52" t="n">
        <v>11.75</v>
      </c>
      <c r="H14" s="49" t="n">
        <f aca="false">G14*C14+Q14</f>
        <v>1819.17639206712</v>
      </c>
      <c r="I14" s="49" t="n">
        <f aca="false">F14+H14</f>
        <v>2036.17639206712</v>
      </c>
      <c r="J14" s="50" t="n">
        <f aca="false">IF(C14&gt;0,G14+F14/C14,0)</f>
        <v>16.1829879236463</v>
      </c>
      <c r="K14" s="53" t="n">
        <f aca="false">I14-D14</f>
        <v>-1111.14993800298</v>
      </c>
      <c r="L14" s="19" t="str">
        <f aca="false">IF(K14&gt;=0,"Yes","No")</f>
        <v>No</v>
      </c>
      <c r="M14" s="54" t="n">
        <f aca="false">IF(C14&gt;0,MAX(D14-I14,0)/C14,0)</f>
        <v>22.6991440392973</v>
      </c>
      <c r="N14" s="49" t="n">
        <f aca="false">D14*(1+$C$4)</f>
        <v>4406.25686209815</v>
      </c>
      <c r="O14" s="54" t="n">
        <f aca="false">IF(C14&gt;0,MAX(N14-I14,0)/C14,0)</f>
        <v>48.4172262751954</v>
      </c>
      <c r="P14" s="51" t="n">
        <v>1762</v>
      </c>
      <c r="Q14" s="51" t="n">
        <v>1244</v>
      </c>
    </row>
    <row r="15" customFormat="false" ht="15" hidden="false" customHeight="false" outlineLevel="0" collapsed="false">
      <c r="A15" s="19" t="str">
        <f aca="false">'Land at Council density'!A15</f>
        <v>Southhill</v>
      </c>
      <c r="B15" s="19" t="str">
        <f aca="false">'Land at Council density'!B15</f>
        <v>City neighbourhood</v>
      </c>
      <c r="C15" s="48" t="n">
        <f aca="false">'Land at Council density'!C15</f>
        <v>48.9505676680398</v>
      </c>
      <c r="D15" s="49" t="n">
        <f aca="false">'Land at Council density'!T15</f>
        <v>1725.63169231812</v>
      </c>
      <c r="E15" s="50" t="n">
        <f aca="false">'Land at Council density'!U15</f>
        <v>35.2525368862024</v>
      </c>
      <c r="F15" s="51" t="n">
        <v>462</v>
      </c>
      <c r="G15" s="52" t="n">
        <v>15.11</v>
      </c>
      <c r="H15" s="49" t="n">
        <f aca="false">G15*C15+Q15</f>
        <v>739.643077464081</v>
      </c>
      <c r="I15" s="49" t="n">
        <f aca="false">F15+H15</f>
        <v>1201.64307746408</v>
      </c>
      <c r="J15" s="50" t="n">
        <f aca="false">IF(C15&gt;0,G15+F15/C15,0)</f>
        <v>24.5480927946142</v>
      </c>
      <c r="K15" s="53" t="n">
        <f aca="false">I15-D15</f>
        <v>-523.988614854035</v>
      </c>
      <c r="L15" s="19" t="str">
        <f aca="false">IF(K15&gt;=0,"Yes","No")</f>
        <v>No</v>
      </c>
      <c r="M15" s="54" t="n">
        <f aca="false">IF(C15&gt;0,MAX(D15-I15,0)/C15,0)</f>
        <v>10.7044440915882</v>
      </c>
      <c r="N15" s="49" t="n">
        <f aca="false">D15*(1+$C$4)</f>
        <v>2415.88436924536</v>
      </c>
      <c r="O15" s="54" t="n">
        <f aca="false">IF(C15&gt;0,MAX(N15-I15,0)/C15,0)</f>
        <v>24.8054588460691</v>
      </c>
      <c r="P15" s="51" t="n">
        <v>699</v>
      </c>
      <c r="Q15" s="51" t="n">
        <v>0</v>
      </c>
    </row>
    <row r="16" customFormat="false" ht="15" hidden="false" customHeight="false" outlineLevel="0" collapsed="false">
      <c r="A16" s="19" t="str">
        <f aca="false">'Land at Council density'!A16</f>
        <v>Abbeyfeale</v>
      </c>
      <c r="B16" s="19" t="str">
        <f aca="false">'Land at Council density'!B16</f>
        <v>Key town</v>
      </c>
      <c r="C16" s="48" t="n">
        <f aca="false">'Land at Council density'!C16</f>
        <v>25</v>
      </c>
      <c r="D16" s="49" t="n">
        <f aca="false">'Land at Council density'!T16</f>
        <v>539.25552756787</v>
      </c>
      <c r="E16" s="50" t="n">
        <f aca="false">'Land at Council density'!U16</f>
        <v>21.5702211027148</v>
      </c>
      <c r="F16" s="51" t="n">
        <v>87</v>
      </c>
      <c r="G16" s="52" t="n">
        <v>10.8</v>
      </c>
      <c r="H16" s="49" t="n">
        <f aca="false">G16*C16+Q16</f>
        <v>270</v>
      </c>
      <c r="I16" s="49" t="n">
        <f aca="false">F16+H16</f>
        <v>357</v>
      </c>
      <c r="J16" s="50" t="n">
        <f aca="false">IF(C16&gt;0,G16+F16/C16,0)</f>
        <v>14.28</v>
      </c>
      <c r="K16" s="53" t="n">
        <f aca="false">I16-D16</f>
        <v>-182.25552756787</v>
      </c>
      <c r="L16" s="19" t="str">
        <f aca="false">IF(K16&gt;=0,"Yes","No")</f>
        <v>No</v>
      </c>
      <c r="M16" s="54" t="n">
        <f aca="false">IF(C16&gt;0,MAX(D16-I16,0)/C16,0)</f>
        <v>7.29022110271481</v>
      </c>
      <c r="N16" s="49" t="n">
        <f aca="false">D16*(1+$C$4)</f>
        <v>754.957738595018</v>
      </c>
      <c r="O16" s="54" t="n">
        <f aca="false">IF(C16&gt;0,MAX(N16-I16,0)/C16,0)</f>
        <v>15.9183095438007</v>
      </c>
      <c r="P16" s="51" t="n">
        <v>215</v>
      </c>
      <c r="Q16" s="51" t="n">
        <v>0</v>
      </c>
    </row>
    <row r="17" customFormat="false" ht="15" hidden="false" customHeight="false" outlineLevel="0" collapsed="false">
      <c r="A17" s="19" t="str">
        <f aca="false">'Land at Council density'!A17</f>
        <v>Caherconlish</v>
      </c>
      <c r="B17" s="19" t="str">
        <f aca="false">'Land at Council density'!B17</f>
        <v>Key town</v>
      </c>
      <c r="C17" s="48" t="n">
        <f aca="false">'Land at Council density'!C17</f>
        <v>25</v>
      </c>
      <c r="D17" s="49" t="n">
        <f aca="false">'Land at Council density'!T17</f>
        <v>319.834312902323</v>
      </c>
      <c r="E17" s="50" t="n">
        <f aca="false">'Land at Council density'!U17</f>
        <v>12.7933725160929</v>
      </c>
      <c r="F17" s="51" t="n">
        <v>0</v>
      </c>
      <c r="G17" s="52" t="n">
        <v>14.82</v>
      </c>
      <c r="H17" s="49" t="n">
        <f aca="false">G17*C17+Q17</f>
        <v>370.5</v>
      </c>
      <c r="I17" s="49" t="n">
        <f aca="false">F17+H17</f>
        <v>370.5</v>
      </c>
      <c r="J17" s="50" t="n">
        <f aca="false">IF(C17&gt;0,G17+F17/C17,0)</f>
        <v>14.82</v>
      </c>
      <c r="K17" s="53" t="n">
        <f aca="false">I17-D17</f>
        <v>50.665687097677</v>
      </c>
      <c r="L17" s="19" t="str">
        <f aca="false">IF(K17&gt;=0,"Yes","No")</f>
        <v>Yes</v>
      </c>
      <c r="M17" s="54" t="n">
        <f aca="false">IF(C17&gt;0,MAX(D17-I17,0)/C17,0)</f>
        <v>0</v>
      </c>
      <c r="N17" s="49" t="n">
        <f aca="false">D17*(1+$C$4)</f>
        <v>447.768038063252</v>
      </c>
      <c r="O17" s="54" t="n">
        <f aca="false">IF(C17&gt;0,MAX(N17-I17,0)/C17,0)</f>
        <v>3.09072152253009</v>
      </c>
      <c r="P17" s="51" t="n">
        <v>291</v>
      </c>
      <c r="Q17" s="51" t="n">
        <v>0</v>
      </c>
    </row>
    <row r="18" customFormat="false" ht="15" hidden="false" customHeight="false" outlineLevel="0" collapsed="false">
      <c r="A18" s="19" t="str">
        <f aca="false">'Land at Council density'!A18</f>
        <v>Castleconnell</v>
      </c>
      <c r="B18" s="19" t="str">
        <f aca="false">'Land at Council density'!B18</f>
        <v>Key town</v>
      </c>
      <c r="C18" s="48" t="n">
        <f aca="false">'Land at Council density'!C18</f>
        <v>35</v>
      </c>
      <c r="D18" s="49" t="n">
        <f aca="false">'Land at Council density'!T18</f>
        <v>524.379513014274</v>
      </c>
      <c r="E18" s="50" t="n">
        <f aca="false">'Land at Council density'!U18</f>
        <v>14.9822718004078</v>
      </c>
      <c r="F18" s="51" t="n">
        <v>88</v>
      </c>
      <c r="G18" s="52" t="n">
        <v>21.11</v>
      </c>
      <c r="H18" s="49" t="n">
        <f aca="false">G18*C18+Q18</f>
        <v>738.85</v>
      </c>
      <c r="I18" s="49" t="n">
        <f aca="false">F18+H18</f>
        <v>826.85</v>
      </c>
      <c r="J18" s="50" t="n">
        <f aca="false">IF(C18&gt;0,G18+F18/C18,0)</f>
        <v>23.6242857142857</v>
      </c>
      <c r="K18" s="53" t="n">
        <f aca="false">I18-D18</f>
        <v>302.470486985726</v>
      </c>
      <c r="L18" s="19" t="str">
        <f aca="false">IF(K18&gt;=0,"Yes","No")</f>
        <v>Yes</v>
      </c>
      <c r="M18" s="54" t="n">
        <f aca="false">IF(C18&gt;0,MAX(D18-I18,0)/C18,0)</f>
        <v>0</v>
      </c>
      <c r="N18" s="49" t="n">
        <f aca="false">D18*(1+$C$4)</f>
        <v>734.131318219983</v>
      </c>
      <c r="O18" s="54" t="n">
        <f aca="false">IF(C18&gt;0,MAX(N18-I18,0)/C18,0)</f>
        <v>0</v>
      </c>
      <c r="P18" s="51" t="n">
        <v>382</v>
      </c>
      <c r="Q18" s="51" t="n">
        <v>0</v>
      </c>
    </row>
    <row r="19" customFormat="false" ht="15" hidden="false" customHeight="false" outlineLevel="0" collapsed="false">
      <c r="A19" s="19" t="str">
        <f aca="false">'Land at Council density'!A19</f>
        <v>Kilmallock</v>
      </c>
      <c r="B19" s="19" t="str">
        <f aca="false">'Land at Council density'!B19</f>
        <v>Key town</v>
      </c>
      <c r="C19" s="48" t="n">
        <f aca="false">'Land at Council density'!C19</f>
        <v>25</v>
      </c>
      <c r="D19" s="49" t="n">
        <f aca="false">'Land at Council density'!T19</f>
        <v>414.6689056815</v>
      </c>
      <c r="E19" s="50" t="n">
        <f aca="false">'Land at Council density'!U19</f>
        <v>16.58675622726</v>
      </c>
      <c r="F19" s="51" t="n">
        <v>70</v>
      </c>
      <c r="G19" s="52" t="n">
        <v>38.51</v>
      </c>
      <c r="H19" s="49" t="n">
        <f aca="false">G19*C19+Q19</f>
        <v>962.75</v>
      </c>
      <c r="I19" s="49" t="n">
        <f aca="false">F19+H19</f>
        <v>1032.75</v>
      </c>
      <c r="J19" s="50" t="n">
        <f aca="false">IF(C19&gt;0,G19+F19/C19,0)</f>
        <v>41.31</v>
      </c>
      <c r="K19" s="53" t="n">
        <f aca="false">I19-D19</f>
        <v>618.0810943185</v>
      </c>
      <c r="L19" s="19" t="str">
        <f aca="false">IF(K19&gt;=0,"Yes","No")</f>
        <v>Yes</v>
      </c>
      <c r="M19" s="54" t="n">
        <f aca="false">IF(C19&gt;0,MAX(D19-I19,0)/C19,0)</f>
        <v>0</v>
      </c>
      <c r="N19" s="49" t="n">
        <f aca="false">D19*(1+$C$4)</f>
        <v>580.5364679541</v>
      </c>
      <c r="O19" s="54" t="n">
        <f aca="false">IF(C19&gt;0,MAX(N19-I19,0)/C19,0)</f>
        <v>0</v>
      </c>
      <c r="P19" s="51" t="n">
        <v>757</v>
      </c>
      <c r="Q19" s="51" t="n">
        <v>0</v>
      </c>
    </row>
    <row r="20" customFormat="false" ht="15" hidden="false" customHeight="false" outlineLevel="0" collapsed="false">
      <c r="A20" s="19" t="str">
        <f aca="false">'Land at Council density'!A20</f>
        <v>Newcastle West</v>
      </c>
      <c r="B20" s="19" t="str">
        <f aca="false">'Land at Council density'!B20</f>
        <v>Key town</v>
      </c>
      <c r="C20" s="48" t="n">
        <f aca="false">'Land at Council density'!C20</f>
        <v>30</v>
      </c>
      <c r="D20" s="49" t="n">
        <f aca="false">'Land at Council density'!T20</f>
        <v>1805.57626644277</v>
      </c>
      <c r="E20" s="50" t="n">
        <f aca="false">'Land at Council density'!U20</f>
        <v>60.1858755480922</v>
      </c>
      <c r="F20" s="51" t="n">
        <v>244</v>
      </c>
      <c r="G20" s="52" t="n">
        <v>88.22</v>
      </c>
      <c r="H20" s="49" t="n">
        <f aca="false">G20*C20+Q20</f>
        <v>2646.6</v>
      </c>
      <c r="I20" s="49" t="n">
        <f aca="false">F20+H20</f>
        <v>2890.6</v>
      </c>
      <c r="J20" s="50" t="n">
        <f aca="false">IF(C20&gt;0,G20+F20/C20,0)</f>
        <v>96.3533333333333</v>
      </c>
      <c r="K20" s="53" t="n">
        <f aca="false">I20-D20</f>
        <v>1085.02373355723</v>
      </c>
      <c r="L20" s="19" t="str">
        <f aca="false">IF(K20&gt;=0,"Yes","No")</f>
        <v>Yes</v>
      </c>
      <c r="M20" s="54" t="n">
        <f aca="false">IF(C20&gt;0,MAX(D20-I20,0)/C20,0)</f>
        <v>0</v>
      </c>
      <c r="N20" s="49" t="n">
        <f aca="false">D20*(1+$C$4)</f>
        <v>2527.80677301987</v>
      </c>
      <c r="O20" s="54" t="n">
        <f aca="false">IF(C20&gt;0,MAX(N20-I20,0)/C20,0)</f>
        <v>0</v>
      </c>
      <c r="P20" s="51" t="n">
        <v>2900</v>
      </c>
      <c r="Q20" s="51" t="n">
        <v>0</v>
      </c>
    </row>
    <row r="21" customFormat="false" ht="15" hidden="false" customHeight="false" outlineLevel="0" collapsed="false">
      <c r="A21" s="19" t="str">
        <f aca="false">'Land at Council density'!A21</f>
        <v>Rathkeale</v>
      </c>
      <c r="B21" s="19" t="str">
        <f aca="false">'Land at Council density'!B21</f>
        <v>Key town</v>
      </c>
      <c r="C21" s="48" t="n">
        <f aca="false">'Land at Council density'!C21</f>
        <v>25</v>
      </c>
      <c r="D21" s="49" t="n">
        <f aca="false">'Land at Council density'!T21</f>
        <v>375.61936747831</v>
      </c>
      <c r="E21" s="50" t="n">
        <f aca="false">'Land at Council density'!U21</f>
        <v>15.0247746991324</v>
      </c>
      <c r="F21" s="51" t="n">
        <v>11</v>
      </c>
      <c r="G21" s="52" t="n">
        <v>54.67</v>
      </c>
      <c r="H21" s="49" t="n">
        <f aca="false">G21*C21+Q21</f>
        <v>1366.75</v>
      </c>
      <c r="I21" s="49" t="n">
        <f aca="false">F21+H21</f>
        <v>1377.75</v>
      </c>
      <c r="J21" s="50" t="n">
        <f aca="false">IF(C21&gt;0,G21+F21/C21,0)</f>
        <v>55.11</v>
      </c>
      <c r="K21" s="53" t="n">
        <f aca="false">I21-D21</f>
        <v>1002.13063252169</v>
      </c>
      <c r="L21" s="19" t="str">
        <f aca="false">IF(K21&gt;=0,"Yes","No")</f>
        <v>Yes</v>
      </c>
      <c r="M21" s="54" t="n">
        <f aca="false">IF(C21&gt;0,MAX(D21-I21,0)/C21,0)</f>
        <v>0</v>
      </c>
      <c r="N21" s="49" t="n">
        <f aca="false">D21*(1+$C$4)</f>
        <v>525.867114469633</v>
      </c>
      <c r="O21" s="54" t="n">
        <f aca="false">IF(C21&gt;0,MAX(N21-I21,0)/C21,0)</f>
        <v>0</v>
      </c>
      <c r="P21" s="51" t="n">
        <v>1184</v>
      </c>
      <c r="Q21" s="51" t="n">
        <v>0</v>
      </c>
    </row>
    <row r="22" customFormat="false" ht="15" hidden="false" customHeight="false" outlineLevel="0" collapsed="false">
      <c r="A22" s="19" t="str">
        <f aca="false">'Land at Council density'!A22</f>
        <v>Adare</v>
      </c>
      <c r="B22" s="19" t="str">
        <f aca="false">'Land at Council density'!B22</f>
        <v>Village</v>
      </c>
      <c r="C22" s="48" t="n">
        <f aca="false">'Land at Council density'!C22</f>
        <v>22</v>
      </c>
      <c r="D22" s="49" t="n">
        <f aca="false">'Land at Council density'!T22</f>
        <v>371.90036383991</v>
      </c>
      <c r="E22" s="50" t="n">
        <f aca="false">'Land at Council density'!U22</f>
        <v>16.9045619927232</v>
      </c>
      <c r="F22" s="51" t="n">
        <v>224</v>
      </c>
      <c r="G22" s="52" t="n">
        <v>9.71</v>
      </c>
      <c r="H22" s="49" t="n">
        <f aca="false">G22*C22+Q22</f>
        <v>213.62</v>
      </c>
      <c r="I22" s="49" t="n">
        <f aca="false">F22+H22</f>
        <v>437.62</v>
      </c>
      <c r="J22" s="50" t="n">
        <f aca="false">IF(C22&gt;0,G22+F22/C22,0)</f>
        <v>19.8918181818182</v>
      </c>
      <c r="K22" s="53" t="n">
        <f aca="false">I22-D22</f>
        <v>65.7196361600896</v>
      </c>
      <c r="L22" s="19" t="str">
        <f aca="false">IF(K22&gt;=0,"Yes","No")</f>
        <v>Yes</v>
      </c>
      <c r="M22" s="54" t="n">
        <f aca="false">IF(C22&gt;0,MAX(D22-I22,0)/C22,0)</f>
        <v>0</v>
      </c>
      <c r="N22" s="49" t="n">
        <f aca="false">D22*(1+$C$4)</f>
        <v>520.660509375875</v>
      </c>
      <c r="O22" s="54" t="n">
        <f aca="false">IF(C22&gt;0,MAX(N22-I22,0)/C22,0)</f>
        <v>3.7745686079943</v>
      </c>
      <c r="P22" s="51" t="n">
        <v>203</v>
      </c>
      <c r="Q22" s="51" t="n">
        <v>0</v>
      </c>
    </row>
    <row r="23" customFormat="false" ht="15" hidden="false" customHeight="false" outlineLevel="0" collapsed="false">
      <c r="A23" s="19" t="str">
        <f aca="false">'Land at Council density'!A23</f>
        <v>Askeaton</v>
      </c>
      <c r="B23" s="19" t="str">
        <f aca="false">'Land at Council density'!B23</f>
        <v>Village</v>
      </c>
      <c r="C23" s="48" t="n">
        <f aca="false">'Land at Council density'!C23</f>
        <v>22</v>
      </c>
      <c r="D23" s="49" t="n">
        <f aca="false">'Land at Council density'!T23</f>
        <v>303.098796529527</v>
      </c>
      <c r="E23" s="50" t="n">
        <f aca="false">'Land at Council density'!U23</f>
        <v>13.7772180240694</v>
      </c>
      <c r="F23" s="51" t="n">
        <v>0</v>
      </c>
      <c r="G23" s="52" t="n">
        <v>23.62</v>
      </c>
      <c r="H23" s="49" t="n">
        <f aca="false">G23*C23+Q23</f>
        <v>519.64</v>
      </c>
      <c r="I23" s="49" t="n">
        <f aca="false">F23+H23</f>
        <v>519.64</v>
      </c>
      <c r="J23" s="50" t="n">
        <f aca="false">IF(C23&gt;0,G23+F23/C23,0)</f>
        <v>23.62</v>
      </c>
      <c r="K23" s="53" t="n">
        <f aca="false">I23-D23</f>
        <v>216.541203470473</v>
      </c>
      <c r="L23" s="19" t="str">
        <f aca="false">IF(K23&gt;=0,"Yes","No")</f>
        <v>Yes</v>
      </c>
      <c r="M23" s="54" t="n">
        <f aca="false">IF(C23&gt;0,MAX(D23-I23,0)/C23,0)</f>
        <v>0</v>
      </c>
      <c r="N23" s="49" t="n">
        <f aca="false">D23*(1+$C$4)</f>
        <v>424.338315141338</v>
      </c>
      <c r="O23" s="54" t="n">
        <f aca="false">IF(C23&gt;0,MAX(N23-I23,0)/C23,0)</f>
        <v>0</v>
      </c>
      <c r="P23" s="51" t="n">
        <v>385</v>
      </c>
      <c r="Q23" s="51" t="n">
        <v>0</v>
      </c>
    </row>
    <row r="24" customFormat="false" ht="15" hidden="false" customHeight="false" outlineLevel="0" collapsed="false">
      <c r="A24" s="19" t="str">
        <f aca="false">'Land at Council density'!A24</f>
        <v>Bruff</v>
      </c>
      <c r="B24" s="19" t="str">
        <f aca="false">'Land at Council density'!B24</f>
        <v>Village</v>
      </c>
      <c r="C24" s="48" t="n">
        <f aca="false">'Land at Council density'!C24</f>
        <v>22</v>
      </c>
      <c r="D24" s="49" t="n">
        <f aca="false">'Land at Council density'!T24</f>
        <v>211.983207388749</v>
      </c>
      <c r="E24" s="50" t="n">
        <f aca="false">'Land at Council density'!U24</f>
        <v>9.63560033585222</v>
      </c>
      <c r="F24" s="51" t="n">
        <v>100</v>
      </c>
      <c r="G24" s="52" t="n">
        <v>2.32</v>
      </c>
      <c r="H24" s="49" t="n">
        <f aca="false">G24*C24+Q24</f>
        <v>51.04</v>
      </c>
      <c r="I24" s="49" t="n">
        <f aca="false">F24+H24</f>
        <v>151.04</v>
      </c>
      <c r="J24" s="50" t="n">
        <f aca="false">IF(C24&gt;0,G24+F24/C24,0)</f>
        <v>6.86545454545455</v>
      </c>
      <c r="K24" s="53" t="n">
        <f aca="false">I24-D24</f>
        <v>-60.943207388749</v>
      </c>
      <c r="L24" s="19" t="str">
        <f aca="false">IF(K24&gt;=0,"Yes","No")</f>
        <v>No</v>
      </c>
      <c r="M24" s="54" t="n">
        <f aca="false">IF(C24&gt;0,MAX(D24-I24,0)/C24,0)</f>
        <v>2.77014579039768</v>
      </c>
      <c r="N24" s="49" t="n">
        <f aca="false">D24*(1+$C$4)</f>
        <v>296.776490344249</v>
      </c>
      <c r="O24" s="54" t="n">
        <f aca="false">IF(C24&gt;0,MAX(N24-I24,0)/C24,0)</f>
        <v>6.62438592473857</v>
      </c>
      <c r="P24" s="51" t="n">
        <v>34</v>
      </c>
      <c r="Q24" s="51" t="n">
        <v>0</v>
      </c>
    </row>
    <row r="25" customFormat="false" ht="15" hidden="false" customHeight="false" outlineLevel="0" collapsed="false">
      <c r="A25" s="19" t="str">
        <f aca="false">'Land at Council density'!A25</f>
        <v>Cappamore</v>
      </c>
      <c r="B25" s="19" t="str">
        <f aca="false">'Land at Council density'!B25</f>
        <v>Village</v>
      </c>
      <c r="C25" s="48" t="n">
        <f aca="false">'Land at Council density'!C25</f>
        <v>22</v>
      </c>
      <c r="D25" s="49" t="n">
        <f aca="false">'Land at Council density'!T25</f>
        <v>165.49566190876</v>
      </c>
      <c r="E25" s="50" t="n">
        <f aca="false">'Land at Council density'!U25</f>
        <v>7.52253008676183</v>
      </c>
      <c r="F25" s="51" t="n">
        <v>29</v>
      </c>
      <c r="G25" s="52" t="n">
        <v>1.33</v>
      </c>
      <c r="H25" s="49" t="n">
        <f aca="false">G25*C25+Q25</f>
        <v>29.26</v>
      </c>
      <c r="I25" s="49" t="n">
        <f aca="false">F25+H25</f>
        <v>58.26</v>
      </c>
      <c r="J25" s="50" t="n">
        <f aca="false">IF(C25&gt;0,G25+F25/C25,0)</f>
        <v>2.64818181818182</v>
      </c>
      <c r="K25" s="53" t="n">
        <f aca="false">I25-D25</f>
        <v>-107.23566190876</v>
      </c>
      <c r="L25" s="19" t="str">
        <f aca="false">IF(K25&gt;=0,"Yes","No")</f>
        <v>No</v>
      </c>
      <c r="M25" s="54" t="n">
        <f aca="false">IF(C25&gt;0,MAX(D25-I25,0)/C25,0)</f>
        <v>4.87434826858001</v>
      </c>
      <c r="N25" s="49" t="n">
        <f aca="false">D25*(1+$C$4)</f>
        <v>231.693926672264</v>
      </c>
      <c r="O25" s="54" t="n">
        <f aca="false">IF(C25&gt;0,MAX(N25-I25,0)/C25,0)</f>
        <v>7.88336030328474</v>
      </c>
      <c r="P25" s="51" t="n">
        <v>22</v>
      </c>
      <c r="Q25" s="51" t="n">
        <v>0</v>
      </c>
    </row>
    <row r="26" customFormat="false" ht="15" hidden="false" customHeight="false" outlineLevel="0" collapsed="false">
      <c r="A26" s="19" t="str">
        <f aca="false">'Land at Council density'!A26</f>
        <v>Croom</v>
      </c>
      <c r="B26" s="19" t="str">
        <f aca="false">'Land at Council density'!B26</f>
        <v>Village</v>
      </c>
      <c r="C26" s="48" t="n">
        <f aca="false">'Land at Council density'!C26</f>
        <v>22</v>
      </c>
      <c r="D26" s="49" t="n">
        <f aca="false">'Land at Council density'!T26</f>
        <v>265.908760145536</v>
      </c>
      <c r="E26" s="50" t="n">
        <f aca="false">'Land at Council density'!U26</f>
        <v>12.0867618247971</v>
      </c>
      <c r="F26" s="51" t="n">
        <v>121</v>
      </c>
      <c r="G26" s="52" t="n">
        <v>10.31</v>
      </c>
      <c r="H26" s="49" t="n">
        <f aca="false">G26*C26+Q26</f>
        <v>226.82</v>
      </c>
      <c r="I26" s="49" t="n">
        <f aca="false">F26+H26</f>
        <v>347.82</v>
      </c>
      <c r="J26" s="50" t="n">
        <f aca="false">IF(C26&gt;0,G26+F26/C26,0)</f>
        <v>15.81</v>
      </c>
      <c r="K26" s="53" t="n">
        <f aca="false">I26-D26</f>
        <v>81.9112398544641</v>
      </c>
      <c r="L26" s="19" t="str">
        <f aca="false">IF(K26&gt;=0,"Yes","No")</f>
        <v>Yes</v>
      </c>
      <c r="M26" s="54" t="n">
        <f aca="false">IF(C26&gt;0,MAX(D26-I26,0)/C26,0)</f>
        <v>0</v>
      </c>
      <c r="N26" s="49" t="n">
        <f aca="false">D26*(1+$C$4)</f>
        <v>372.27226420375</v>
      </c>
      <c r="O26" s="54" t="n">
        <f aca="false">IF(C26&gt;0,MAX(N26-I26,0)/C26,0)</f>
        <v>1.11146655471592</v>
      </c>
      <c r="P26" s="51" t="n">
        <v>189</v>
      </c>
      <c r="Q26" s="51" t="n">
        <v>0</v>
      </c>
    </row>
    <row r="27" customFormat="false" ht="15" hidden="false" customHeight="false" outlineLevel="0" collapsed="false">
      <c r="A27" s="19" t="str">
        <f aca="false">'Land at Council density'!A27</f>
        <v>Hospital</v>
      </c>
      <c r="B27" s="19" t="str">
        <f aca="false">'Land at Council density'!B27</f>
        <v>Village</v>
      </c>
      <c r="C27" s="48" t="n">
        <f aca="false">'Land at Council density'!C27</f>
        <v>22</v>
      </c>
      <c r="D27" s="49" t="n">
        <f aca="false">'Land at Council density'!T27</f>
        <v>163.636160089561</v>
      </c>
      <c r="E27" s="50" t="n">
        <f aca="false">'Land at Council density'!U27</f>
        <v>7.43800727679821</v>
      </c>
      <c r="F27" s="51" t="n">
        <v>0</v>
      </c>
      <c r="G27" s="52" t="n">
        <v>6</v>
      </c>
      <c r="H27" s="49" t="n">
        <f aca="false">G27*C27+Q27</f>
        <v>132</v>
      </c>
      <c r="I27" s="49" t="n">
        <f aca="false">F27+H27</f>
        <v>132</v>
      </c>
      <c r="J27" s="50" t="n">
        <f aca="false">IF(C27&gt;0,G27+F27/C27,0)</f>
        <v>6</v>
      </c>
      <c r="K27" s="53" t="n">
        <f aca="false">I27-D27</f>
        <v>-31.6361600895606</v>
      </c>
      <c r="L27" s="19" t="str">
        <f aca="false">IF(K27&gt;=0,"Yes","No")</f>
        <v>No</v>
      </c>
      <c r="M27" s="54" t="n">
        <f aca="false">IF(C27&gt;0,MAX(D27-I27,0)/C27,0)</f>
        <v>1.43800727679821</v>
      </c>
      <c r="N27" s="49" t="n">
        <f aca="false">D27*(1+$C$4)</f>
        <v>229.090624125385</v>
      </c>
      <c r="O27" s="54" t="n">
        <f aca="false">IF(C27&gt;0,MAX(N27-I27,0)/C27,0)</f>
        <v>4.41321018751749</v>
      </c>
      <c r="P27" s="51" t="n">
        <v>120</v>
      </c>
      <c r="Q27" s="51" t="n">
        <v>0</v>
      </c>
    </row>
    <row r="28" customFormat="false" ht="15" hidden="false" customHeight="false" outlineLevel="0" collapsed="false">
      <c r="A28" s="19" t="str">
        <f aca="false">'Land at Council density'!A28</f>
        <v>Kilfinnane</v>
      </c>
      <c r="B28" s="19" t="str">
        <f aca="false">'Land at Council density'!B28</f>
        <v>Village</v>
      </c>
      <c r="C28" s="48" t="n">
        <f aca="false">'Land at Council density'!C28</f>
        <v>22</v>
      </c>
      <c r="D28" s="49" t="n">
        <f aca="false">'Land at Council density'!T28</f>
        <v>208.26420375035</v>
      </c>
      <c r="E28" s="50" t="n">
        <f aca="false">'Land at Council density'!U28</f>
        <v>9.46655471592499</v>
      </c>
      <c r="F28" s="51" t="n">
        <v>14</v>
      </c>
      <c r="G28" s="52" t="n">
        <v>3.4</v>
      </c>
      <c r="H28" s="49" t="n">
        <f aca="false">G28*C28+Q28</f>
        <v>74.8</v>
      </c>
      <c r="I28" s="49" t="n">
        <f aca="false">F28+H28</f>
        <v>88.8</v>
      </c>
      <c r="J28" s="50" t="n">
        <f aca="false">IF(C28&gt;0,G28+F28/C28,0)</f>
        <v>4.03636363636364</v>
      </c>
      <c r="K28" s="53" t="n">
        <f aca="false">I28-D28</f>
        <v>-119.46420375035</v>
      </c>
      <c r="L28" s="19" t="str">
        <f aca="false">IF(K28&gt;=0,"Yes","No")</f>
        <v>No</v>
      </c>
      <c r="M28" s="54" t="n">
        <f aca="false">IF(C28&gt;0,MAX(D28-I28,0)/C28,0)</f>
        <v>5.43019107956136</v>
      </c>
      <c r="N28" s="49" t="n">
        <f aca="false">D28*(1+$C$4)</f>
        <v>291.56988525049</v>
      </c>
      <c r="O28" s="54" t="n">
        <f aca="false">IF(C28&gt;0,MAX(N28-I28,0)/C28,0)</f>
        <v>9.21681296593135</v>
      </c>
      <c r="P28" s="51" t="n">
        <v>56</v>
      </c>
      <c r="Q28" s="51" t="n">
        <v>0</v>
      </c>
    </row>
    <row r="29" customFormat="false" ht="15" hidden="false" customHeight="false" outlineLevel="0" collapsed="false">
      <c r="A29" s="19" t="str">
        <f aca="false">'Land at Council density'!A29</f>
        <v>Moroe</v>
      </c>
      <c r="B29" s="19" t="str">
        <f aca="false">'Land at Council density'!B29</f>
        <v>Village</v>
      </c>
      <c r="C29" s="48" t="n">
        <f aca="false">'Land at Council density'!C29</f>
        <v>22</v>
      </c>
      <c r="D29" s="49" t="n">
        <f aca="false">'Land at Council density'!T29</f>
        <v>299.379792891128</v>
      </c>
      <c r="E29" s="50" t="n">
        <f aca="false">'Land at Council density'!U29</f>
        <v>13.6081724041422</v>
      </c>
      <c r="F29" s="51" t="n">
        <v>36</v>
      </c>
      <c r="G29" s="52" t="n">
        <v>4.74</v>
      </c>
      <c r="H29" s="49" t="n">
        <f aca="false">G29*C29+Q29</f>
        <v>104.28</v>
      </c>
      <c r="I29" s="49" t="n">
        <f aca="false">F29+H29</f>
        <v>140.28</v>
      </c>
      <c r="J29" s="50" t="n">
        <f aca="false">IF(C29&gt;0,G29+F29/C29,0)</f>
        <v>6.37636363636364</v>
      </c>
      <c r="K29" s="53" t="n">
        <f aca="false">I29-D29</f>
        <v>-159.099792891128</v>
      </c>
      <c r="L29" s="19" t="str">
        <f aca="false">IF(K29&gt;=0,"Yes","No")</f>
        <v>No</v>
      </c>
      <c r="M29" s="54" t="n">
        <f aca="false">IF(C29&gt;0,MAX(D29-I29,0)/C29,0)</f>
        <v>7.23180876777854</v>
      </c>
      <c r="N29" s="49" t="n">
        <f aca="false">D29*(1+$C$4)</f>
        <v>419.131710047579</v>
      </c>
      <c r="O29" s="54" t="n">
        <f aca="false">IF(C29&gt;0,MAX(N29-I29,0)/C29,0)</f>
        <v>12.6750777294354</v>
      </c>
      <c r="P29" s="51" t="n">
        <v>81</v>
      </c>
      <c r="Q29" s="51" t="n">
        <v>0</v>
      </c>
    </row>
    <row r="30" customFormat="false" ht="15" hidden="false" customHeight="false" outlineLevel="0" collapsed="false">
      <c r="A30" s="19" t="str">
        <f aca="false">'Land at Council density'!A30</f>
        <v>Patrickswell</v>
      </c>
      <c r="B30" s="19" t="str">
        <f aca="false">'Land at Council density'!B30</f>
        <v>Village</v>
      </c>
      <c r="C30" s="48" t="n">
        <f aca="false">'Land at Council density'!C30</f>
        <v>25</v>
      </c>
      <c r="D30" s="49" t="n">
        <f aca="false">'Land at Council density'!T30</f>
        <v>743.800727679821</v>
      </c>
      <c r="E30" s="50" t="n">
        <f aca="false">'Land at Council density'!U30</f>
        <v>29.7520291071928</v>
      </c>
      <c r="F30" s="51" t="n">
        <v>407</v>
      </c>
      <c r="G30" s="52" t="n">
        <v>5.24</v>
      </c>
      <c r="H30" s="49" t="n">
        <f aca="false">G30*C30+Q30</f>
        <v>131</v>
      </c>
      <c r="I30" s="49" t="n">
        <f aca="false">F30+H30</f>
        <v>538</v>
      </c>
      <c r="J30" s="50" t="n">
        <f aca="false">IF(C30&gt;0,G30+F30/C30,0)</f>
        <v>21.52</v>
      </c>
      <c r="K30" s="53" t="n">
        <f aca="false">I30-D30</f>
        <v>-205.800727679821</v>
      </c>
      <c r="L30" s="19" t="str">
        <f aca="false">IF(K30&gt;=0,"Yes","No")</f>
        <v>No</v>
      </c>
      <c r="M30" s="54" t="n">
        <f aca="false">IF(C30&gt;0,MAX(D30-I30,0)/C30,0)</f>
        <v>8.23202910719284</v>
      </c>
      <c r="N30" s="49" t="n">
        <f aca="false">D30*(1+$C$4)</f>
        <v>1041.32101875175</v>
      </c>
      <c r="O30" s="54" t="n">
        <f aca="false">IF(C30&gt;0,MAX(N30-I30,0)/C30,0)</f>
        <v>20.13284075007</v>
      </c>
      <c r="P30" s="51" t="n">
        <v>112</v>
      </c>
      <c r="Q30" s="51" t="n">
        <v>0</v>
      </c>
    </row>
    <row r="31" customFormat="false" ht="15" hidden="false" customHeight="false" outlineLevel="0" collapsed="false">
      <c r="A31" s="55" t="s">
        <v>255</v>
      </c>
      <c r="B31" s="55"/>
      <c r="C31" s="56" t="n">
        <f aca="false">IF(E31&gt;0,D31/E31,0)</f>
        <v>40.102072564922</v>
      </c>
      <c r="D31" s="57" t="n">
        <f aca="false">SUM(D7:D30)</f>
        <v>35970.2031905962</v>
      </c>
      <c r="E31" s="58" t="n">
        <f aca="false">SUM(E7:E30)</f>
        <v>896.966188776486</v>
      </c>
      <c r="F31" s="57" t="n">
        <f aca="false">SUM(F7:F30)</f>
        <v>8096</v>
      </c>
      <c r="G31" s="58" t="n">
        <f aca="false">SUM(G7:G30)</f>
        <v>462.58</v>
      </c>
      <c r="H31" s="57" t="n">
        <f aca="false">SUM(H7:H30)</f>
        <v>17638.1715858092</v>
      </c>
      <c r="I31" s="57" t="n">
        <f aca="false">SUM(I7:I30)</f>
        <v>25734.1715858092</v>
      </c>
      <c r="J31" s="58" t="n">
        <f aca="false">SUM(J7:J30)</f>
        <v>674.265879645025</v>
      </c>
      <c r="K31" s="59" t="n">
        <f aca="false">SUM(K7:K30)</f>
        <v>-10236.031604787</v>
      </c>
      <c r="L31" s="55" t="str">
        <f aca="false">COUNTIF(L7:L30,"No")&amp;" of 24 short"</f>
        <v>16 of 24 short</v>
      </c>
      <c r="M31" s="58" t="n">
        <f aca="false">SUM(M7:M30)</f>
        <v>313.044286547309</v>
      </c>
      <c r="N31" s="57" t="n">
        <f aca="false">SUM(N7:N30)</f>
        <v>50358.2844668346</v>
      </c>
      <c r="O31" s="58" t="n">
        <f aca="false">SUM(O7:O30)</f>
        <v>614.870881690114</v>
      </c>
      <c r="P31" s="57" t="n">
        <f aca="false">SUM(P7:P30)</f>
        <v>17332</v>
      </c>
      <c r="Q31" s="57" t="n">
        <f aca="false">SUM(Q7:Q30)</f>
        <v>2488</v>
      </c>
    </row>
    <row r="32" customFormat="false" ht="15" hidden="false" customHeight="false" outlineLevel="0" collapsed="false">
      <c r="A32" s="45" t="s">
        <v>256</v>
      </c>
      <c r="B32" s="45" t="str">
        <f aca="false">'Land at Council density'!B31</f>
        <v>Rest of county</v>
      </c>
      <c r="D32" s="60" t="n">
        <f aca="false">'Land at Council density'!T31</f>
        <v>3893.79680940386</v>
      </c>
      <c r="E32" s="45" t="s">
        <v>257</v>
      </c>
    </row>
    <row r="34" customFormat="false" ht="15" hidden="false" customHeight="false" outlineLevel="0" collapsed="false">
      <c r="A34" s="61" t="s">
        <v>212</v>
      </c>
    </row>
    <row r="35" customFormat="false" ht="42" hidden="false" customHeight="true" outlineLevel="0" collapsed="false">
      <c r="A35" s="47" t="s">
        <v>137</v>
      </c>
      <c r="B35" s="47"/>
      <c r="C35" s="47"/>
      <c r="D35" s="47" t="s">
        <v>258</v>
      </c>
      <c r="E35" s="47" t="s">
        <v>156</v>
      </c>
      <c r="F35" s="47" t="s">
        <v>259</v>
      </c>
      <c r="G35" s="47" t="s">
        <v>244</v>
      </c>
      <c r="H35" s="47" t="s">
        <v>260</v>
      </c>
      <c r="I35" s="47" t="s">
        <v>261</v>
      </c>
      <c r="J35" s="47" t="s">
        <v>262</v>
      </c>
      <c r="K35" s="47" t="s">
        <v>263</v>
      </c>
      <c r="L35" s="47" t="s">
        <v>264</v>
      </c>
      <c r="M35" s="47" t="s">
        <v>265</v>
      </c>
      <c r="N35" s="47" t="s">
        <v>266</v>
      </c>
      <c r="O35" s="47" t="s">
        <v>267</v>
      </c>
      <c r="P35" s="47" t="s">
        <v>268</v>
      </c>
      <c r="Q35" s="47" t="s">
        <v>269</v>
      </c>
    </row>
    <row r="36" customFormat="false" ht="15" hidden="false" customHeight="false" outlineLevel="0" collapsed="false">
      <c r="A36" s="19" t="s">
        <v>158</v>
      </c>
      <c r="D36" s="49" t="n">
        <f aca="false">SUMIFS(D$7:D$30,$B$7:$B$30,$A36)</f>
        <v>29257.4016232858</v>
      </c>
      <c r="E36" s="50" t="n">
        <f aca="false">SUMIFS(E$7:E$30,$B$7:$B$30,$A36)</f>
        <v>635.631481114524</v>
      </c>
      <c r="F36" s="49" t="n">
        <f aca="false">SUMIFS(F$7:F$30,$B$7:$B$30,$A36)</f>
        <v>6665</v>
      </c>
      <c r="G36" s="50" t="n">
        <f aca="false">SUMIFS(G$7:G$30,$B$7:$B$30,$A36)</f>
        <v>167.78</v>
      </c>
      <c r="H36" s="49" t="n">
        <f aca="false">SUMIFS(H$7:H$30,$B$7:$B$30,$A36)</f>
        <v>9800.26158580917</v>
      </c>
      <c r="I36" s="49" t="n">
        <f aca="false">SUMIFS(I$7:I$30,$B$7:$B$30,$A36)</f>
        <v>16465.2615858092</v>
      </c>
      <c r="J36" s="50" t="n">
        <f aca="false">SUMIFS(J$7:J$30,$B$7:$B$30,$A36)</f>
        <v>322.000078779224</v>
      </c>
      <c r="K36" s="62" t="n">
        <f aca="false">SUMIFS(K$7:K$30,$B$7:$B$30,$A36)</f>
        <v>-12792.1400374766</v>
      </c>
      <c r="L36" s="19" t="n">
        <f aca="false">COUNTIFS($B$7:$B$30,$A36,$L$7:$L$30,"No")</f>
        <v>9</v>
      </c>
      <c r="M36" s="50" t="n">
        <f aca="false">SUMIFS(M$7:M$30,$B$7:$B$30,$A36)</f>
        <v>275.777535154286</v>
      </c>
      <c r="N36" s="49" t="n">
        <f aca="false">SUMIFS(N$7:N$30,$B$7:$B$30,$A36)</f>
        <v>40960.3622726001</v>
      </c>
      <c r="O36" s="50" t="n">
        <f aca="false">SUMIFS(O$7:O$30,$B$7:$B$30,$A36)</f>
        <v>530.030127600095</v>
      </c>
      <c r="P36" s="49" t="n">
        <f aca="false">SUMIFS(P$7:P$30,$B$7:$B$30,$A36)</f>
        <v>10401</v>
      </c>
      <c r="Q36" s="49" t="n">
        <f aca="false">SUMIFS(Q$7:Q$30,$B$7:$B$30,$A36)</f>
        <v>2488</v>
      </c>
    </row>
    <row r="37" customFormat="false" ht="15" hidden="false" customHeight="false" outlineLevel="0" collapsed="false">
      <c r="A37" s="19" t="s">
        <v>177</v>
      </c>
      <c r="D37" s="49" t="n">
        <f aca="false">SUMIFS(D$7:D$30,$B$7:$B$30,$A37)</f>
        <v>3979.33389308704</v>
      </c>
      <c r="E37" s="50" t="n">
        <f aca="false">SUMIFS(E$7:E$30,$B$7:$B$30,$A37)</f>
        <v>141.1432718937</v>
      </c>
      <c r="F37" s="49" t="n">
        <f aca="false">SUMIFS(F$7:F$30,$B$7:$B$30,$A37)</f>
        <v>500</v>
      </c>
      <c r="G37" s="50" t="n">
        <f aca="false">SUMIFS(G$7:G$30,$B$7:$B$30,$A37)</f>
        <v>228.13</v>
      </c>
      <c r="H37" s="49" t="n">
        <f aca="false">SUMIFS(H$7:H$30,$B$7:$B$30,$A37)</f>
        <v>6355.45</v>
      </c>
      <c r="I37" s="49" t="n">
        <f aca="false">SUMIFS(I$7:I$30,$B$7:$B$30,$A37)</f>
        <v>6855.45</v>
      </c>
      <c r="J37" s="50" t="n">
        <f aca="false">SUMIFS(J$7:J$30,$B$7:$B$30,$A37)</f>
        <v>245.497619047619</v>
      </c>
      <c r="K37" s="62" t="n">
        <f aca="false">SUMIFS(K$7:K$30,$B$7:$B$30,$A37)</f>
        <v>2876.11610691296</v>
      </c>
      <c r="L37" s="19" t="n">
        <f aca="false">COUNTIFS($B$7:$B$30,$A37,$L$7:$L$30,"No")</f>
        <v>1</v>
      </c>
      <c r="M37" s="50" t="n">
        <f aca="false">SUMIFS(M$7:M$30,$B$7:$B$30,$A37)</f>
        <v>7.29022110271481</v>
      </c>
      <c r="N37" s="49" t="n">
        <f aca="false">SUMIFS(N$7:N$30,$B$7:$B$30,$A37)</f>
        <v>5571.06745032186</v>
      </c>
      <c r="O37" s="50" t="n">
        <f aca="false">SUMIFS(O$7:O$30,$B$7:$B$30,$A37)</f>
        <v>19.0090310663308</v>
      </c>
      <c r="P37" s="49" t="n">
        <f aca="false">SUMIFS(P$7:P$30,$B$7:$B$30,$A37)</f>
        <v>5729</v>
      </c>
      <c r="Q37" s="49" t="n">
        <f aca="false">SUMIFS(Q$7:Q$30,$B$7:$B$30,$A37)</f>
        <v>0</v>
      </c>
    </row>
    <row r="38" customFormat="false" ht="15" hidden="false" customHeight="false" outlineLevel="0" collapsed="false">
      <c r="A38" s="19" t="s">
        <v>190</v>
      </c>
      <c r="D38" s="49" t="n">
        <f aca="false">SUMIFS(D$7:D$30,$B$7:$B$30,$A38)</f>
        <v>2733.46767422334</v>
      </c>
      <c r="E38" s="50" t="n">
        <f aca="false">SUMIFS(E$7:E$30,$B$7:$B$30,$A38)</f>
        <v>120.191435768262</v>
      </c>
      <c r="F38" s="49" t="n">
        <f aca="false">SUMIFS(F$7:F$30,$B$7:$B$30,$A38)</f>
        <v>931</v>
      </c>
      <c r="G38" s="50" t="n">
        <f aca="false">SUMIFS(G$7:G$30,$B$7:$B$30,$A38)</f>
        <v>66.67</v>
      </c>
      <c r="H38" s="49" t="n">
        <f aca="false">SUMIFS(H$7:H$30,$B$7:$B$30,$A38)</f>
        <v>1482.46</v>
      </c>
      <c r="I38" s="49" t="n">
        <f aca="false">SUMIFS(I$7:I$30,$B$7:$B$30,$A38)</f>
        <v>2413.46</v>
      </c>
      <c r="J38" s="50" t="n">
        <f aca="false">SUMIFS(J$7:J$30,$B$7:$B$30,$A38)</f>
        <v>106.768181818182</v>
      </c>
      <c r="K38" s="62" t="n">
        <f aca="false">SUMIFS(K$7:K$30,$B$7:$B$30,$A38)</f>
        <v>-320.007674223342</v>
      </c>
      <c r="L38" s="19" t="n">
        <f aca="false">COUNTIFS($B$7:$B$30,$A38,$L$7:$L$30,"No")</f>
        <v>6</v>
      </c>
      <c r="M38" s="50" t="n">
        <f aca="false">SUMIFS(M$7:M$30,$B$7:$B$30,$A38)</f>
        <v>29.9765302903086</v>
      </c>
      <c r="N38" s="49" t="n">
        <f aca="false">SUMIFS(N$7:N$30,$B$7:$B$30,$A38)</f>
        <v>3826.85474391268</v>
      </c>
      <c r="O38" s="50" t="n">
        <f aca="false">SUMIFS(O$7:O$30,$B$7:$B$30,$A38)</f>
        <v>65.8317230236877</v>
      </c>
      <c r="P38" s="49" t="n">
        <f aca="false">SUMIFS(P$7:P$30,$B$7:$B$30,$A38)</f>
        <v>1202</v>
      </c>
      <c r="Q38" s="49" t="n">
        <f aca="false">SUMIFS(Q$7:Q$30,$B$7:$B$30,$A38)</f>
        <v>0</v>
      </c>
    </row>
    <row r="41" customFormat="false" ht="15" hidden="false" customHeight="false" outlineLevel="0" collapsed="false">
      <c r="A41" s="61" t="s">
        <v>270</v>
      </c>
    </row>
    <row r="42" customFormat="false" ht="15" hidden="false" customHeight="false" outlineLevel="0" collapsed="false">
      <c r="A42" s="45" t="s">
        <v>271</v>
      </c>
    </row>
    <row r="43" customFormat="false" ht="15" hidden="false" customHeight="false" outlineLevel="0" collapsed="false">
      <c r="A43" s="45" t="s">
        <v>272</v>
      </c>
    </row>
    <row r="44" customFormat="false" ht="15" hidden="false" customHeight="false" outlineLevel="0" collapsed="false">
      <c r="A44" s="45" t="s">
        <v>273</v>
      </c>
    </row>
    <row r="45" customFormat="false" ht="15" hidden="false" customHeight="false" outlineLevel="0" collapsed="false">
      <c r="A45" s="45" t="s">
        <v>274</v>
      </c>
    </row>
    <row r="46" customFormat="false" ht="15" hidden="false" customHeight="false" outlineLevel="0" collapsed="false">
      <c r="A46" s="45" t="s">
        <v>275</v>
      </c>
    </row>
    <row r="47" customFormat="false" ht="15" hidden="false" customHeight="false" outlineLevel="0" collapsed="false">
      <c r="A47" s="45" t="s">
        <v>276</v>
      </c>
    </row>
    <row r="48" customFormat="false" ht="15" hidden="false" customHeight="false" outlineLevel="0" collapsed="false">
      <c r="A48" s="45" t="s">
        <v>277</v>
      </c>
    </row>
    <row r="49" customFormat="false" ht="15" hidden="false" customHeight="false" outlineLevel="0" collapsed="false">
      <c r="A49" s="45" t="s">
        <v>278</v>
      </c>
    </row>
    <row r="50" customFormat="false" ht="15" hidden="false" customHeight="false" outlineLevel="0" collapsed="false">
      <c r="A50" s="45" t="s">
        <v>279</v>
      </c>
    </row>
    <row r="51" customFormat="false" ht="15" hidden="false" customHeight="false" outlineLevel="0" collapsed="false">
      <c r="A51" s="45"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6" min="3" style="0" width="11"/>
    <col collapsed="false" customWidth="true" hidden="false" outlineLevel="0" max="7" min="7" style="0" width="10"/>
    <col collapsed="false" customWidth="true" hidden="false" outlineLevel="0" max="11" min="8" style="0" width="12"/>
    <col collapsed="false" customWidth="true" hidden="false" outlineLevel="0" max="12" min="12" style="0" width="26"/>
    <col collapsed="false" customWidth="true" hidden="false" outlineLevel="0" max="13" min="13" style="0" width="12"/>
    <col collapsed="false" customWidth="true" hidden="false" outlineLevel="0" max="14" min="14" style="0" width="13"/>
    <col collapsed="false" customWidth="true" hidden="false" outlineLevel="0" max="17" min="15" style="0" width="12"/>
  </cols>
  <sheetData>
    <row r="1" customFormat="false" ht="19.7" hidden="false" customHeight="false" outlineLevel="0" collapsed="false">
      <c r="A1" s="44" t="s">
        <v>281</v>
      </c>
    </row>
    <row r="2" customFormat="false" ht="15" hidden="false" customHeight="false" outlineLevel="0" collapsed="false">
      <c r="A2" s="45" t="s">
        <v>282</v>
      </c>
    </row>
    <row r="4" customFormat="false" ht="15" hidden="false" customHeight="false" outlineLevel="0" collapsed="false">
      <c r="A4" s="18" t="s">
        <v>283</v>
      </c>
      <c r="C4" s="63" t="n">
        <v>100</v>
      </c>
      <c r="D4" s="45" t="s">
        <v>284</v>
      </c>
    </row>
    <row r="5" customFormat="false" ht="15" hidden="false" customHeight="false" outlineLevel="0" collapsed="false">
      <c r="A5" s="18" t="s">
        <v>285</v>
      </c>
      <c r="C5" s="64" t="n">
        <f aca="false">'Zoned land vs need'!C4</f>
        <v>0.4</v>
      </c>
      <c r="D5" s="45" t="s">
        <v>286</v>
      </c>
    </row>
    <row r="6" customFormat="false" ht="15" hidden="false" customHeight="false" outlineLevel="0" collapsed="false">
      <c r="D6" s="18" t="s">
        <v>287</v>
      </c>
      <c r="G6" s="18" t="s">
        <v>288</v>
      </c>
      <c r="L6" s="18" t="s">
        <v>289</v>
      </c>
    </row>
    <row r="7" customFormat="false" ht="66" hidden="false" customHeight="true" outlineLevel="0" collapsed="false">
      <c r="A7" s="47" t="s">
        <v>136</v>
      </c>
      <c r="B7" s="47" t="s">
        <v>137</v>
      </c>
      <c r="C7" s="47" t="s">
        <v>240</v>
      </c>
      <c r="D7" s="47" t="s">
        <v>241</v>
      </c>
      <c r="E7" s="47" t="s">
        <v>246</v>
      </c>
      <c r="F7" s="47" t="s">
        <v>290</v>
      </c>
      <c r="G7" s="47" t="s">
        <v>291</v>
      </c>
      <c r="H7" s="47" t="s">
        <v>292</v>
      </c>
      <c r="I7" s="47" t="s">
        <v>293</v>
      </c>
      <c r="J7" s="47" t="s">
        <v>294</v>
      </c>
      <c r="K7" s="47" t="s">
        <v>295</v>
      </c>
      <c r="L7" s="47" t="s">
        <v>296</v>
      </c>
      <c r="M7" s="47" t="s">
        <v>297</v>
      </c>
      <c r="N7" s="47" t="s">
        <v>298</v>
      </c>
      <c r="O7" s="47" t="s">
        <v>299</v>
      </c>
      <c r="P7" s="47" t="s">
        <v>300</v>
      </c>
      <c r="Q7" s="47" t="s">
        <v>301</v>
      </c>
    </row>
    <row r="8" customFormat="false" ht="15" hidden="false" customHeight="false" outlineLevel="0" collapsed="false">
      <c r="A8" s="19" t="str">
        <f aca="false">'Zoned land vs need'!A7</f>
        <v>Ballinacurra</v>
      </c>
      <c r="B8" s="19" t="str">
        <f aca="false">'Zoned land vs need'!B7</f>
        <v>City neighbourhood</v>
      </c>
      <c r="C8" s="48" t="n">
        <f aca="false">'Zoned land vs need'!C7</f>
        <v>47.9989212513484</v>
      </c>
      <c r="D8" s="49" t="n">
        <f aca="false">'Zoned land vs need'!D7</f>
        <v>1208.55116597063</v>
      </c>
      <c r="E8" s="49" t="n">
        <f aca="false">'Zoned land vs need'!I7</f>
        <v>443.076267529666</v>
      </c>
      <c r="F8" s="49" t="n">
        <f aca="false">MAX(D8-E8,0)</f>
        <v>765.474898440964</v>
      </c>
      <c r="G8" s="49" t="n">
        <v>7</v>
      </c>
      <c r="H8" s="49" t="n">
        <v>51</v>
      </c>
      <c r="I8" s="49" t="n">
        <v>141</v>
      </c>
      <c r="J8" s="49" t="n">
        <f aca="false">MAX(F8-H8,0)</f>
        <v>714.474898440964</v>
      </c>
      <c r="K8" s="65" t="n">
        <f aca="false">MAX(J8-I8,0)</f>
        <v>573.474898440964</v>
      </c>
      <c r="L8" s="66"/>
      <c r="M8" s="49" t="n">
        <f aca="false">IF(L8="",K8,0)</f>
        <v>573.474898440964</v>
      </c>
      <c r="N8" s="49" t="n">
        <f aca="false">IF(L8="",0,K8)</f>
        <v>0</v>
      </c>
      <c r="O8" s="50" t="n">
        <f aca="false">IF(C8&gt;0,K8/C8,0)</f>
        <v>11.9476622284475</v>
      </c>
      <c r="P8" s="54" t="n">
        <f aca="false">IF(B8="City neighbourhood",IF($C$4&gt;0,K8/MAX($C$4,C8),0),IF(C8&gt;0,K8/C8,0))</f>
        <v>5.73474898440964</v>
      </c>
      <c r="Q8" s="49" t="n">
        <f aca="false">MAX(D8*(1+$C$5)-E8-H8-I8,0)</f>
        <v>1056.89536482922</v>
      </c>
    </row>
    <row r="9" customFormat="false" ht="15" hidden="false" customHeight="false" outlineLevel="0" collapsed="false">
      <c r="A9" s="19" t="str">
        <f aca="false">'Zoned land vs need'!A8</f>
        <v>Caherdavin</v>
      </c>
      <c r="B9" s="19" t="str">
        <f aca="false">'Zoned land vs need'!B8</f>
        <v>City neighbourhood</v>
      </c>
      <c r="C9" s="48" t="n">
        <f aca="false">'Zoned land vs need'!C8</f>
        <v>43.1187621666718</v>
      </c>
      <c r="D9" s="49" t="n">
        <f aca="false">'Zoned land vs need'!D8</f>
        <v>4911.98819059752</v>
      </c>
      <c r="E9" s="49" t="n">
        <f aca="false">'Zoned land vs need'!I8</f>
        <v>2079.38302691345</v>
      </c>
      <c r="F9" s="49" t="n">
        <f aca="false">MAX(D9-E9,0)</f>
        <v>2832.60516368407</v>
      </c>
      <c r="G9" s="49" t="n">
        <v>14</v>
      </c>
      <c r="H9" s="49" t="n">
        <v>0</v>
      </c>
      <c r="I9" s="49" t="n">
        <v>4658</v>
      </c>
      <c r="J9" s="49" t="n">
        <f aca="false">MAX(F9-H9,0)</f>
        <v>2832.60516368407</v>
      </c>
      <c r="K9" s="65" t="n">
        <f aca="false">MAX(J9-I9,0)</f>
        <v>0</v>
      </c>
      <c r="L9" s="66"/>
      <c r="M9" s="49" t="n">
        <f aca="false">IF(L9="",K9,0)</f>
        <v>0</v>
      </c>
      <c r="N9" s="49" t="n">
        <f aca="false">IF(L9="",0,K9)</f>
        <v>0</v>
      </c>
      <c r="O9" s="50" t="n">
        <f aca="false">IF(C9&gt;0,K9/C9,0)</f>
        <v>0</v>
      </c>
      <c r="P9" s="54" t="n">
        <f aca="false">IF(B9="City neighbourhood",IF($C$4&gt;0,K9/MAX($C$4,C9),0),IF(C9&gt;0,K9/C9,0))</f>
        <v>0</v>
      </c>
      <c r="Q9" s="49" t="n">
        <f aca="false">MAX(D9*(1+$C$5)-E9-H9-I9,0)</f>
        <v>139.400439923078</v>
      </c>
    </row>
    <row r="10" customFormat="false" ht="15" hidden="false" customHeight="false" outlineLevel="0" collapsed="false">
      <c r="A10" s="19" t="str">
        <f aca="false">'Zoned land vs need'!A9</f>
        <v>Castletroy/Annacotty</v>
      </c>
      <c r="B10" s="19" t="str">
        <f aca="false">'Zoned land vs need'!B9</f>
        <v>City neighbourhood</v>
      </c>
      <c r="C10" s="48" t="n">
        <f aca="false">'Zoned land vs need'!C9</f>
        <v>38.6847099222845</v>
      </c>
      <c r="D10" s="49" t="n">
        <f aca="false">'Zoned land vs need'!D9</f>
        <v>5827.67469014651</v>
      </c>
      <c r="E10" s="49" t="n">
        <f aca="false">'Zoned land vs need'!I9</f>
        <v>3152.1119058377</v>
      </c>
      <c r="F10" s="49" t="n">
        <f aca="false">MAX(D10-E10,0)</f>
        <v>2675.56278430881</v>
      </c>
      <c r="G10" s="49" t="n">
        <v>10</v>
      </c>
      <c r="H10" s="49" t="n">
        <v>92</v>
      </c>
      <c r="I10" s="49" t="n">
        <v>1104</v>
      </c>
      <c r="J10" s="49" t="n">
        <f aca="false">MAX(F10-H10,0)</f>
        <v>2583.56278430881</v>
      </c>
      <c r="K10" s="65" t="n">
        <f aca="false">MAX(J10-I10,0)</f>
        <v>1479.56278430881</v>
      </c>
      <c r="L10" s="66"/>
      <c r="M10" s="49" t="n">
        <f aca="false">IF(L10="",K10,0)</f>
        <v>1479.56278430881</v>
      </c>
      <c r="N10" s="49" t="n">
        <f aca="false">IF(L10="",0,K10)</f>
        <v>0</v>
      </c>
      <c r="O10" s="50" t="n">
        <f aca="false">IF(C10&gt;0,K10/C10,0)</f>
        <v>38.2467074790317</v>
      </c>
      <c r="P10" s="54" t="n">
        <f aca="false">IF(B10="City neighbourhood",IF($C$4&gt;0,K10/MAX($C$4,C10),0),IF(C10&gt;0,K10/C10,0))</f>
        <v>14.7956278430881</v>
      </c>
      <c r="Q10" s="49" t="n">
        <f aca="false">MAX(D10*(1+$C$5)-E10-H10-I10,0)</f>
        <v>3810.63266036741</v>
      </c>
    </row>
    <row r="11" customFormat="false" ht="15" hidden="false" customHeight="false" outlineLevel="0" collapsed="false">
      <c r="A11" s="19" t="str">
        <f aca="false">'Zoned land vs need'!A10</f>
        <v>City Centre</v>
      </c>
      <c r="B11" s="19" t="str">
        <f aca="false">'Zoned land vs need'!B10</f>
        <v>City neighbourhood</v>
      </c>
      <c r="C11" s="48" t="n">
        <f aca="false">'Zoned land vs need'!C10</f>
        <v>99.993621353745</v>
      </c>
      <c r="D11" s="49" t="n">
        <f aca="false">'Zoned land vs need'!D10</f>
        <v>5062.29585965892</v>
      </c>
      <c r="E11" s="49" t="n">
        <f aca="false">'Zoned land vs need'!I10</f>
        <v>2940.94444199112</v>
      </c>
      <c r="F11" s="49" t="n">
        <f aca="false">MAX(D11-E11,0)</f>
        <v>2121.3514176678</v>
      </c>
      <c r="G11" s="49" t="n">
        <v>15</v>
      </c>
      <c r="H11" s="49" t="n">
        <v>532</v>
      </c>
      <c r="I11" s="49" t="n">
        <v>116</v>
      </c>
      <c r="J11" s="49" t="n">
        <f aca="false">MAX(F11-H11,0)</f>
        <v>1589.3514176678</v>
      </c>
      <c r="K11" s="65" t="n">
        <f aca="false">MAX(J11-I11,0)</f>
        <v>1473.3514176678</v>
      </c>
      <c r="L11" s="66"/>
      <c r="M11" s="49" t="n">
        <f aca="false">IF(L11="",K11,0)</f>
        <v>1473.3514176678</v>
      </c>
      <c r="N11" s="49" t="n">
        <f aca="false">IF(L11="",0,K11)</f>
        <v>0</v>
      </c>
      <c r="O11" s="50" t="n">
        <f aca="false">IF(C11&gt;0,K11/C11,0)</f>
        <v>14.7344540353785</v>
      </c>
      <c r="P11" s="54" t="n">
        <f aca="false">IF(B11="City neighbourhood",IF($C$4&gt;0,K11/MAX($C$4,C11),0),IF(C11&gt;0,K11/C11,0))</f>
        <v>14.733514176678</v>
      </c>
      <c r="Q11" s="49" t="n">
        <f aca="false">MAX(D11*(1+$C$5)-E11-H11-I11,0)</f>
        <v>3498.26976153137</v>
      </c>
    </row>
    <row r="12" customFormat="false" ht="15" hidden="false" customHeight="false" outlineLevel="0" collapsed="false">
      <c r="A12" s="19" t="str">
        <f aca="false">'Zoned land vs need'!A11</f>
        <v>Corbally/Grove Island</v>
      </c>
      <c r="B12" s="19" t="str">
        <f aca="false">'Zoned land vs need'!B11</f>
        <v>City neighbourhood</v>
      </c>
      <c r="C12" s="48" t="n">
        <f aca="false">'Zoned land vs need'!C11</f>
        <v>42.0121983279878</v>
      </c>
      <c r="D12" s="49" t="n">
        <f aca="false">'Zoned land vs need'!D11</f>
        <v>1280.52168890979</v>
      </c>
      <c r="E12" s="49" t="n">
        <f aca="false">'Zoned land vs need'!I11</f>
        <v>724.751269782849</v>
      </c>
      <c r="F12" s="49" t="n">
        <f aca="false">MAX(D12-E12,0)</f>
        <v>555.770419126938</v>
      </c>
      <c r="G12" s="49" t="n">
        <v>4</v>
      </c>
      <c r="H12" s="49" t="n">
        <v>43</v>
      </c>
      <c r="I12" s="49" t="n">
        <v>330</v>
      </c>
      <c r="J12" s="49" t="n">
        <f aca="false">MAX(F12-H12,0)</f>
        <v>512.770419126938</v>
      </c>
      <c r="K12" s="65" t="n">
        <f aca="false">MAX(J12-I12,0)</f>
        <v>182.770419126938</v>
      </c>
      <c r="L12" s="66"/>
      <c r="M12" s="49" t="n">
        <f aca="false">IF(L12="",K12,0)</f>
        <v>182.770419126938</v>
      </c>
      <c r="N12" s="49" t="n">
        <f aca="false">IF(L12="",0,K12)</f>
        <v>0</v>
      </c>
      <c r="O12" s="50" t="n">
        <f aca="false">IF(C12&gt;0,K12/C12,0)</f>
        <v>4.3504131276363</v>
      </c>
      <c r="P12" s="54" t="n">
        <f aca="false">IF(B12="City neighbourhood",IF($C$4&gt;0,K12/MAX($C$4,C12),0),IF(C12&gt;0,K12/C12,0))</f>
        <v>1.82770419126938</v>
      </c>
      <c r="Q12" s="49" t="n">
        <f aca="false">MAX(D12*(1+$C$5)-E12-H12-I12,0)</f>
        <v>694.979094690853</v>
      </c>
    </row>
    <row r="13" customFormat="false" ht="15" hidden="false" customHeight="false" outlineLevel="0" collapsed="false">
      <c r="A13" s="19" t="str">
        <f aca="false">'Zoned land vs need'!A12</f>
        <v>Dooradoyle</v>
      </c>
      <c r="B13" s="19" t="str">
        <f aca="false">'Zoned land vs need'!B12</f>
        <v>City neighbourhood</v>
      </c>
      <c r="C13" s="48" t="n">
        <f aca="false">'Zoned land vs need'!C12</f>
        <v>35.7875115598027</v>
      </c>
      <c r="D13" s="49" t="n">
        <f aca="false">'Zoned land vs need'!D12</f>
        <v>5460.07140374958</v>
      </c>
      <c r="E13" s="49" t="n">
        <f aca="false">'Zoned land vs need'!I12</f>
        <v>3823.17520422318</v>
      </c>
      <c r="F13" s="49" t="n">
        <f aca="false">MAX(D13-E13,0)</f>
        <v>1636.8961995264</v>
      </c>
      <c r="G13" s="49" t="n">
        <v>5</v>
      </c>
      <c r="H13" s="49" t="n">
        <v>6</v>
      </c>
      <c r="I13" s="49" t="n">
        <v>1013</v>
      </c>
      <c r="J13" s="49" t="n">
        <f aca="false">MAX(F13-H13,0)</f>
        <v>1630.8961995264</v>
      </c>
      <c r="K13" s="65" t="n">
        <f aca="false">MAX(J13-I13,0)</f>
        <v>617.896199526404</v>
      </c>
      <c r="L13" s="66"/>
      <c r="M13" s="49" t="n">
        <f aca="false">IF(L13="",K13,0)</f>
        <v>617.896199526404</v>
      </c>
      <c r="N13" s="49" t="n">
        <f aca="false">IF(L13="",0,K13)</f>
        <v>0</v>
      </c>
      <c r="O13" s="50" t="n">
        <f aca="false">IF(C13&gt;0,K13/C13,0)</f>
        <v>17.2656933269548</v>
      </c>
      <c r="P13" s="54" t="n">
        <f aca="false">IF(B13="City neighbourhood",IF($C$4&gt;0,K13/MAX($C$4,C13),0),IF(C13&gt;0,K13/C13,0))</f>
        <v>6.17896199526404</v>
      </c>
      <c r="Q13" s="49" t="n">
        <f aca="false">MAX(D13*(1+$C$5)-E13-H13-I13,0)</f>
        <v>2801.92476102624</v>
      </c>
    </row>
    <row r="14" customFormat="false" ht="15" hidden="false" customHeight="false" outlineLevel="0" collapsed="false">
      <c r="A14" s="19" t="str">
        <f aca="false">'Zoned land vs need'!A13</f>
        <v>Kings Island</v>
      </c>
      <c r="B14" s="19" t="str">
        <f aca="false">'Zoned land vs need'!B13</f>
        <v>City neighbourhood</v>
      </c>
      <c r="C14" s="48" t="n">
        <f aca="false">'Zoned land vs need'!C13</f>
        <v>50</v>
      </c>
      <c r="D14" s="49" t="n">
        <f aca="false">'Zoned land vs need'!D13</f>
        <v>633.34060186459</v>
      </c>
      <c r="E14" s="49" t="n">
        <f aca="false">'Zoned land vs need'!I13</f>
        <v>64</v>
      </c>
      <c r="F14" s="49" t="n">
        <f aca="false">MAX(D14-E14,0)</f>
        <v>569.34060186459</v>
      </c>
      <c r="G14" s="49" t="n">
        <v>4</v>
      </c>
      <c r="H14" s="49" t="n">
        <v>25</v>
      </c>
      <c r="I14" s="49" t="n">
        <v>9</v>
      </c>
      <c r="J14" s="49" t="n">
        <f aca="false">MAX(F14-H14,0)</f>
        <v>544.34060186459</v>
      </c>
      <c r="K14" s="65" t="n">
        <f aca="false">MAX(J14-I14,0)</f>
        <v>535.34060186459</v>
      </c>
      <c r="L14" s="66" t="s">
        <v>302</v>
      </c>
      <c r="M14" s="49" t="n">
        <f aca="false">IF(L14="",K14,0)</f>
        <v>0</v>
      </c>
      <c r="N14" s="49" t="n">
        <f aca="false">IF(L14="",0,K14)</f>
        <v>535.34060186459</v>
      </c>
      <c r="O14" s="50" t="n">
        <f aca="false">IF(C14&gt;0,K14/C14,0)</f>
        <v>10.7068120372918</v>
      </c>
      <c r="P14" s="54" t="n">
        <f aca="false">IF(B14="City neighbourhood",IF($C$4&gt;0,K14/MAX($C$4,C14),0),IF(C14&gt;0,K14/C14,0))</f>
        <v>5.3534060186459</v>
      </c>
      <c r="Q14" s="49" t="n">
        <f aca="false">MAX(D14*(1+$C$5)-E14-H14-I14,0)</f>
        <v>788.676842610426</v>
      </c>
    </row>
    <row r="15" customFormat="false" ht="15" hidden="false" customHeight="false" outlineLevel="0" collapsed="false">
      <c r="A15" s="19" t="str">
        <f aca="false">'Zoned land vs need'!A14</f>
        <v>Singland/Garryowen</v>
      </c>
      <c r="B15" s="19" t="str">
        <f aca="false">'Zoned land vs need'!B14</f>
        <v>City neighbourhood</v>
      </c>
      <c r="C15" s="48" t="n">
        <f aca="false">'Zoned land vs need'!C14</f>
        <v>48.9511823035851</v>
      </c>
      <c r="D15" s="49" t="n">
        <f aca="false">'Zoned land vs need'!D14</f>
        <v>3147.3263300701</v>
      </c>
      <c r="E15" s="49" t="n">
        <f aca="false">'Zoned land vs need'!I14</f>
        <v>2036.17639206712</v>
      </c>
      <c r="F15" s="49" t="n">
        <f aca="false">MAX(D15-E15,0)</f>
        <v>1111.14993800298</v>
      </c>
      <c r="G15" s="49" t="n">
        <v>10</v>
      </c>
      <c r="H15" s="49" t="n">
        <v>83</v>
      </c>
      <c r="I15" s="49" t="n">
        <v>399</v>
      </c>
      <c r="J15" s="49" t="n">
        <f aca="false">MAX(F15-H15,0)</f>
        <v>1028.14993800298</v>
      </c>
      <c r="K15" s="65" t="n">
        <f aca="false">MAX(J15-I15,0)</f>
        <v>629.149938002979</v>
      </c>
      <c r="L15" s="66"/>
      <c r="M15" s="49" t="n">
        <f aca="false">IF(L15="",K15,0)</f>
        <v>629.149938002979</v>
      </c>
      <c r="N15" s="49" t="n">
        <f aca="false">IF(L15="",0,K15)</f>
        <v>0</v>
      </c>
      <c r="O15" s="50" t="n">
        <f aca="false">IF(C15&gt;0,K15/C15,0)</f>
        <v>12.8525994347005</v>
      </c>
      <c r="P15" s="54" t="n">
        <f aca="false">IF(B15="City neighbourhood",IF($C$4&gt;0,K15/MAX($C$4,C15),0),IF(C15&gt;0,K15/C15,0))</f>
        <v>6.29149938002979</v>
      </c>
      <c r="Q15" s="49" t="n">
        <f aca="false">MAX(D15*(1+$C$5)-E15-H15-I15,0)</f>
        <v>1888.08047003102</v>
      </c>
    </row>
    <row r="16" customFormat="false" ht="15" hidden="false" customHeight="false" outlineLevel="0" collapsed="false">
      <c r="A16" s="19" t="str">
        <f aca="false">'Zoned land vs need'!A15</f>
        <v>Southhill</v>
      </c>
      <c r="B16" s="19" t="str">
        <f aca="false">'Zoned land vs need'!B15</f>
        <v>City neighbourhood</v>
      </c>
      <c r="C16" s="48" t="n">
        <f aca="false">'Zoned land vs need'!C15</f>
        <v>48.9505676680398</v>
      </c>
      <c r="D16" s="49" t="n">
        <f aca="false">'Zoned land vs need'!D15</f>
        <v>1725.63169231812</v>
      </c>
      <c r="E16" s="49" t="n">
        <f aca="false">'Zoned land vs need'!I15</f>
        <v>1201.64307746408</v>
      </c>
      <c r="F16" s="49" t="n">
        <f aca="false">MAX(D16-E16,0)</f>
        <v>523.988614854035</v>
      </c>
      <c r="G16" s="49" t="n">
        <v>10</v>
      </c>
      <c r="H16" s="49" t="n">
        <v>0</v>
      </c>
      <c r="I16" s="49" t="n">
        <v>3914</v>
      </c>
      <c r="J16" s="49" t="n">
        <f aca="false">MAX(F16-H16,0)</f>
        <v>523.988614854035</v>
      </c>
      <c r="K16" s="65" t="n">
        <f aca="false">MAX(J16-I16,0)</f>
        <v>0</v>
      </c>
      <c r="L16" s="66"/>
      <c r="M16" s="49" t="n">
        <f aca="false">IF(L16="",K16,0)</f>
        <v>0</v>
      </c>
      <c r="N16" s="49" t="n">
        <f aca="false">IF(L16="",0,K16)</f>
        <v>0</v>
      </c>
      <c r="O16" s="50" t="n">
        <f aca="false">IF(C16&gt;0,K16/C16,0)</f>
        <v>0</v>
      </c>
      <c r="P16" s="54" t="n">
        <f aca="false">IF(B16="City neighbourhood",IF($C$4&gt;0,K16/MAX($C$4,C16),0),IF(C16&gt;0,K16/C16,0))</f>
        <v>0</v>
      </c>
      <c r="Q16" s="49" t="n">
        <f aca="false">MAX(D16*(1+$C$5)-E16-H16-I16,0)</f>
        <v>0</v>
      </c>
    </row>
    <row r="17" customFormat="false" ht="15" hidden="false" customHeight="false" outlineLevel="0" collapsed="false">
      <c r="A17" s="19" t="str">
        <f aca="false">'Zoned land vs need'!A16</f>
        <v>Abbeyfeale</v>
      </c>
      <c r="B17" s="19" t="str">
        <f aca="false">'Zoned land vs need'!B16</f>
        <v>Key town</v>
      </c>
      <c r="C17" s="48" t="n">
        <f aca="false">'Zoned land vs need'!C16</f>
        <v>25</v>
      </c>
      <c r="D17" s="49" t="n">
        <f aca="false">'Zoned land vs need'!D16</f>
        <v>539.25552756787</v>
      </c>
      <c r="E17" s="49" t="n">
        <f aca="false">'Zoned land vs need'!I16</f>
        <v>357</v>
      </c>
      <c r="F17" s="49" t="n">
        <f aca="false">MAX(D17-E17,0)</f>
        <v>182.25552756787</v>
      </c>
      <c r="G17" s="49" t="n">
        <v>4</v>
      </c>
      <c r="H17" s="49" t="n">
        <v>0</v>
      </c>
      <c r="I17" s="49" t="n">
        <v>460</v>
      </c>
      <c r="J17" s="49" t="n">
        <f aca="false">MAX(F17-H17,0)</f>
        <v>182.25552756787</v>
      </c>
      <c r="K17" s="65" t="n">
        <f aca="false">MAX(J17-I17,0)</f>
        <v>0</v>
      </c>
      <c r="L17" s="66"/>
      <c r="M17" s="49" t="n">
        <f aca="false">IF(L17="",K17,0)</f>
        <v>0</v>
      </c>
      <c r="N17" s="49" t="n">
        <f aca="false">IF(L17="",0,K17)</f>
        <v>0</v>
      </c>
      <c r="O17" s="50" t="n">
        <f aca="false">IF(C17&gt;0,K17/C17,0)</f>
        <v>0</v>
      </c>
      <c r="P17" s="54" t="n">
        <f aca="false">IF(B17="City neighbourhood",IF($C$4&gt;0,K17/MAX($C$4,C17),0),IF(C17&gt;0,K17/C17,0))</f>
        <v>0</v>
      </c>
      <c r="Q17" s="49" t="n">
        <f aca="false">MAX(D17*(1+$C$5)-E17-H17-I17,0)</f>
        <v>0</v>
      </c>
    </row>
    <row r="18" customFormat="false" ht="15" hidden="false" customHeight="false" outlineLevel="0" collapsed="false">
      <c r="A18" s="19" t="str">
        <f aca="false">'Zoned land vs need'!A17</f>
        <v>Caherconlish</v>
      </c>
      <c r="B18" s="19" t="str">
        <f aca="false">'Zoned land vs need'!B17</f>
        <v>Key town</v>
      </c>
      <c r="C18" s="48" t="n">
        <f aca="false">'Zoned land vs need'!C17</f>
        <v>25</v>
      </c>
      <c r="D18" s="49" t="n">
        <f aca="false">'Zoned land vs need'!D17</f>
        <v>319.834312902323</v>
      </c>
      <c r="E18" s="49" t="n">
        <f aca="false">'Zoned land vs need'!I17</f>
        <v>370.5</v>
      </c>
      <c r="F18" s="49" t="n">
        <f aca="false">MAX(D18-E18,0)</f>
        <v>0</v>
      </c>
      <c r="G18" s="49" t="n">
        <v>2</v>
      </c>
      <c r="H18" s="49" t="n">
        <v>0</v>
      </c>
      <c r="I18" s="49" t="n">
        <v>87</v>
      </c>
      <c r="J18" s="49" t="n">
        <f aca="false">MAX(F18-H18,0)</f>
        <v>0</v>
      </c>
      <c r="K18" s="65" t="n">
        <f aca="false">MAX(J18-I18,0)</f>
        <v>0</v>
      </c>
      <c r="L18" s="66"/>
      <c r="M18" s="49" t="n">
        <f aca="false">IF(L18="",K18,0)</f>
        <v>0</v>
      </c>
      <c r="N18" s="49" t="n">
        <f aca="false">IF(L18="",0,K18)</f>
        <v>0</v>
      </c>
      <c r="O18" s="50" t="n">
        <f aca="false">IF(C18&gt;0,K18/C18,0)</f>
        <v>0</v>
      </c>
      <c r="P18" s="54" t="n">
        <f aca="false">IF(B18="City neighbourhood",IF($C$4&gt;0,K18/MAX($C$4,C18),0),IF(C18&gt;0,K18/C18,0))</f>
        <v>0</v>
      </c>
      <c r="Q18" s="49" t="n">
        <f aca="false">MAX(D18*(1+$C$5)-E18-H18-I18,0)</f>
        <v>0</v>
      </c>
    </row>
    <row r="19" customFormat="false" ht="15" hidden="false" customHeight="false" outlineLevel="0" collapsed="false">
      <c r="A19" s="19" t="str">
        <f aca="false">'Zoned land vs need'!A18</f>
        <v>Castleconnell</v>
      </c>
      <c r="B19" s="19" t="str">
        <f aca="false">'Zoned land vs need'!B18</f>
        <v>Key town</v>
      </c>
      <c r="C19" s="48" t="n">
        <f aca="false">'Zoned land vs need'!C18</f>
        <v>35</v>
      </c>
      <c r="D19" s="49" t="n">
        <f aca="false">'Zoned land vs need'!D18</f>
        <v>524.379513014274</v>
      </c>
      <c r="E19" s="49" t="n">
        <f aca="false">'Zoned land vs need'!I18</f>
        <v>826.85</v>
      </c>
      <c r="F19" s="49" t="n">
        <f aca="false">MAX(D19-E19,0)</f>
        <v>0</v>
      </c>
      <c r="G19" s="49" t="n">
        <v>0</v>
      </c>
      <c r="H19" s="49" t="n">
        <v>0</v>
      </c>
      <c r="I19" s="49" t="n">
        <v>0</v>
      </c>
      <c r="J19" s="49" t="n">
        <f aca="false">MAX(F19-H19,0)</f>
        <v>0</v>
      </c>
      <c r="K19" s="65" t="n">
        <f aca="false">MAX(J19-I19,0)</f>
        <v>0</v>
      </c>
      <c r="L19" s="66"/>
      <c r="M19" s="49" t="n">
        <f aca="false">IF(L19="",K19,0)</f>
        <v>0</v>
      </c>
      <c r="N19" s="49" t="n">
        <f aca="false">IF(L19="",0,K19)</f>
        <v>0</v>
      </c>
      <c r="O19" s="50" t="n">
        <f aca="false">IF(C19&gt;0,K19/C19,0)</f>
        <v>0</v>
      </c>
      <c r="P19" s="54" t="n">
        <f aca="false">IF(B19="City neighbourhood",IF($C$4&gt;0,K19/MAX($C$4,C19),0),IF(C19&gt;0,K19/C19,0))</f>
        <v>0</v>
      </c>
      <c r="Q19" s="49" t="n">
        <f aca="false">MAX(D19*(1+$C$5)-E19-H19-I19,0)</f>
        <v>0</v>
      </c>
    </row>
    <row r="20" customFormat="false" ht="15" hidden="false" customHeight="false" outlineLevel="0" collapsed="false">
      <c r="A20" s="19" t="str">
        <f aca="false">'Zoned land vs need'!A19</f>
        <v>Kilmallock</v>
      </c>
      <c r="B20" s="19" t="str">
        <f aca="false">'Zoned land vs need'!B19</f>
        <v>Key town</v>
      </c>
      <c r="C20" s="48" t="n">
        <f aca="false">'Zoned land vs need'!C19</f>
        <v>25</v>
      </c>
      <c r="D20" s="49" t="n">
        <f aca="false">'Zoned land vs need'!D19</f>
        <v>414.6689056815</v>
      </c>
      <c r="E20" s="49" t="n">
        <f aca="false">'Zoned land vs need'!I19</f>
        <v>1032.75</v>
      </c>
      <c r="F20" s="49" t="n">
        <f aca="false">MAX(D20-E20,0)</f>
        <v>0</v>
      </c>
      <c r="G20" s="49" t="n">
        <v>0</v>
      </c>
      <c r="H20" s="49" t="n">
        <v>0</v>
      </c>
      <c r="I20" s="49" t="n">
        <v>0</v>
      </c>
      <c r="J20" s="49" t="n">
        <f aca="false">MAX(F20-H20,0)</f>
        <v>0</v>
      </c>
      <c r="K20" s="65" t="n">
        <f aca="false">MAX(J20-I20,0)</f>
        <v>0</v>
      </c>
      <c r="L20" s="66"/>
      <c r="M20" s="49" t="n">
        <f aca="false">IF(L20="",K20,0)</f>
        <v>0</v>
      </c>
      <c r="N20" s="49" t="n">
        <f aca="false">IF(L20="",0,K20)</f>
        <v>0</v>
      </c>
      <c r="O20" s="50" t="n">
        <f aca="false">IF(C20&gt;0,K20/C20,0)</f>
        <v>0</v>
      </c>
      <c r="P20" s="54" t="n">
        <f aca="false">IF(B20="City neighbourhood",IF($C$4&gt;0,K20/MAX($C$4,C20),0),IF(C20&gt;0,K20/C20,0))</f>
        <v>0</v>
      </c>
      <c r="Q20" s="49" t="n">
        <f aca="false">MAX(D20*(1+$C$5)-E20-H20-I20,0)</f>
        <v>0</v>
      </c>
    </row>
    <row r="21" customFormat="false" ht="15" hidden="false" customHeight="false" outlineLevel="0" collapsed="false">
      <c r="A21" s="19" t="str">
        <f aca="false">'Zoned land vs need'!A20</f>
        <v>Newcastle West</v>
      </c>
      <c r="B21" s="19" t="str">
        <f aca="false">'Zoned land vs need'!B20</f>
        <v>Key town</v>
      </c>
      <c r="C21" s="48" t="n">
        <f aca="false">'Zoned land vs need'!C20</f>
        <v>30</v>
      </c>
      <c r="D21" s="49" t="n">
        <f aca="false">'Zoned land vs need'!D20</f>
        <v>1805.57626644277</v>
      </c>
      <c r="E21" s="49" t="n">
        <f aca="false">'Zoned land vs need'!I20</f>
        <v>2890.6</v>
      </c>
      <c r="F21" s="49" t="n">
        <f aca="false">MAX(D21-E21,0)</f>
        <v>0</v>
      </c>
      <c r="G21" s="49" t="n">
        <v>0</v>
      </c>
      <c r="H21" s="49" t="n">
        <v>0</v>
      </c>
      <c r="I21" s="49" t="n">
        <v>0</v>
      </c>
      <c r="J21" s="49" t="n">
        <f aca="false">MAX(F21-H21,0)</f>
        <v>0</v>
      </c>
      <c r="K21" s="65" t="n">
        <f aca="false">MAX(J21-I21,0)</f>
        <v>0</v>
      </c>
      <c r="L21" s="66"/>
      <c r="M21" s="49" t="n">
        <f aca="false">IF(L21="",K21,0)</f>
        <v>0</v>
      </c>
      <c r="N21" s="49" t="n">
        <f aca="false">IF(L21="",0,K21)</f>
        <v>0</v>
      </c>
      <c r="O21" s="50" t="n">
        <f aca="false">IF(C21&gt;0,K21/C21,0)</f>
        <v>0</v>
      </c>
      <c r="P21" s="54" t="n">
        <f aca="false">IF(B21="City neighbourhood",IF($C$4&gt;0,K21/MAX($C$4,C21),0),IF(C21&gt;0,K21/C21,0))</f>
        <v>0</v>
      </c>
      <c r="Q21" s="49" t="n">
        <f aca="false">MAX(D21*(1+$C$5)-E21-H21-I21,0)</f>
        <v>0</v>
      </c>
    </row>
    <row r="22" customFormat="false" ht="15" hidden="false" customHeight="false" outlineLevel="0" collapsed="false">
      <c r="A22" s="19" t="str">
        <f aca="false">'Zoned land vs need'!A21</f>
        <v>Rathkeale</v>
      </c>
      <c r="B22" s="19" t="str">
        <f aca="false">'Zoned land vs need'!B21</f>
        <v>Key town</v>
      </c>
      <c r="C22" s="48" t="n">
        <f aca="false">'Zoned land vs need'!C21</f>
        <v>25</v>
      </c>
      <c r="D22" s="49" t="n">
        <f aca="false">'Zoned land vs need'!D21</f>
        <v>375.61936747831</v>
      </c>
      <c r="E22" s="49" t="n">
        <f aca="false">'Zoned land vs need'!I21</f>
        <v>1377.75</v>
      </c>
      <c r="F22" s="49" t="n">
        <f aca="false">MAX(D22-E22,0)</f>
        <v>0</v>
      </c>
      <c r="G22" s="49" t="n">
        <v>4</v>
      </c>
      <c r="H22" s="49" t="n">
        <v>64</v>
      </c>
      <c r="I22" s="49" t="n">
        <v>0</v>
      </c>
      <c r="J22" s="49" t="n">
        <f aca="false">MAX(F22-H22,0)</f>
        <v>0</v>
      </c>
      <c r="K22" s="65" t="n">
        <f aca="false">MAX(J22-I22,0)</f>
        <v>0</v>
      </c>
      <c r="L22" s="66"/>
      <c r="M22" s="49" t="n">
        <f aca="false">IF(L22="",K22,0)</f>
        <v>0</v>
      </c>
      <c r="N22" s="49" t="n">
        <f aca="false">IF(L22="",0,K22)</f>
        <v>0</v>
      </c>
      <c r="O22" s="50" t="n">
        <f aca="false">IF(C22&gt;0,K22/C22,0)</f>
        <v>0</v>
      </c>
      <c r="P22" s="54" t="n">
        <f aca="false">IF(B22="City neighbourhood",IF($C$4&gt;0,K22/MAX($C$4,C22),0),IF(C22&gt;0,K22/C22,0))</f>
        <v>0</v>
      </c>
      <c r="Q22" s="49" t="n">
        <f aca="false">MAX(D22*(1+$C$5)-E22-H22-I22,0)</f>
        <v>0</v>
      </c>
    </row>
    <row r="23" customFormat="false" ht="15" hidden="false" customHeight="false" outlineLevel="0" collapsed="false">
      <c r="A23" s="19" t="str">
        <f aca="false">'Zoned land vs need'!A22</f>
        <v>Adare</v>
      </c>
      <c r="B23" s="19" t="str">
        <f aca="false">'Zoned land vs need'!B22</f>
        <v>Village</v>
      </c>
      <c r="C23" s="48" t="n">
        <f aca="false">'Zoned land vs need'!C22</f>
        <v>22</v>
      </c>
      <c r="D23" s="49" t="n">
        <f aca="false">'Zoned land vs need'!D22</f>
        <v>371.90036383991</v>
      </c>
      <c r="E23" s="49" t="n">
        <f aca="false">'Zoned land vs need'!I22</f>
        <v>437.62</v>
      </c>
      <c r="F23" s="49" t="n">
        <f aca="false">MAX(D23-E23,0)</f>
        <v>0</v>
      </c>
      <c r="G23" s="49" t="n">
        <v>6</v>
      </c>
      <c r="H23" s="49" t="n">
        <v>50</v>
      </c>
      <c r="I23" s="49" t="n">
        <v>120</v>
      </c>
      <c r="J23" s="49" t="n">
        <f aca="false">MAX(F23-H23,0)</f>
        <v>0</v>
      </c>
      <c r="K23" s="65" t="n">
        <f aca="false">MAX(J23-I23,0)</f>
        <v>0</v>
      </c>
      <c r="L23" s="66"/>
      <c r="M23" s="49" t="n">
        <f aca="false">IF(L23="",K23,0)</f>
        <v>0</v>
      </c>
      <c r="N23" s="49" t="n">
        <f aca="false">IF(L23="",0,K23)</f>
        <v>0</v>
      </c>
      <c r="O23" s="50" t="n">
        <f aca="false">IF(C23&gt;0,K23/C23,0)</f>
        <v>0</v>
      </c>
      <c r="P23" s="54" t="n">
        <f aca="false">IF(B23="City neighbourhood",IF($C$4&gt;0,K23/MAX($C$4,C23),0),IF(C23&gt;0,K23/C23,0))</f>
        <v>0</v>
      </c>
      <c r="Q23" s="49" t="n">
        <f aca="false">MAX(D23*(1+$C$5)-E23-H23-I23,0)</f>
        <v>0</v>
      </c>
    </row>
    <row r="24" customFormat="false" ht="15" hidden="false" customHeight="false" outlineLevel="0" collapsed="false">
      <c r="A24" s="19" t="str">
        <f aca="false">'Zoned land vs need'!A23</f>
        <v>Askeaton</v>
      </c>
      <c r="B24" s="19" t="str">
        <f aca="false">'Zoned land vs need'!B23</f>
        <v>Village</v>
      </c>
      <c r="C24" s="48" t="n">
        <f aca="false">'Zoned land vs need'!C23</f>
        <v>22</v>
      </c>
      <c r="D24" s="49" t="n">
        <f aca="false">'Zoned land vs need'!D23</f>
        <v>303.098796529527</v>
      </c>
      <c r="E24" s="49" t="n">
        <f aca="false">'Zoned land vs need'!I23</f>
        <v>519.64</v>
      </c>
      <c r="F24" s="49" t="n">
        <f aca="false">MAX(D24-E24,0)</f>
        <v>0</v>
      </c>
      <c r="G24" s="49" t="n">
        <v>0</v>
      </c>
      <c r="H24" s="49" t="n">
        <v>0</v>
      </c>
      <c r="I24" s="49" t="n">
        <v>0</v>
      </c>
      <c r="J24" s="49" t="n">
        <f aca="false">MAX(F24-H24,0)</f>
        <v>0</v>
      </c>
      <c r="K24" s="65" t="n">
        <f aca="false">MAX(J24-I24,0)</f>
        <v>0</v>
      </c>
      <c r="L24" s="66"/>
      <c r="M24" s="49" t="n">
        <f aca="false">IF(L24="",K24,0)</f>
        <v>0</v>
      </c>
      <c r="N24" s="49" t="n">
        <f aca="false">IF(L24="",0,K24)</f>
        <v>0</v>
      </c>
      <c r="O24" s="50" t="n">
        <f aca="false">IF(C24&gt;0,K24/C24,0)</f>
        <v>0</v>
      </c>
      <c r="P24" s="54" t="n">
        <f aca="false">IF(B24="City neighbourhood",IF($C$4&gt;0,K24/MAX($C$4,C24),0),IF(C24&gt;0,K24/C24,0))</f>
        <v>0</v>
      </c>
      <c r="Q24" s="49" t="n">
        <f aca="false">MAX(D24*(1+$C$5)-E24-H24-I24,0)</f>
        <v>0</v>
      </c>
    </row>
    <row r="25" customFormat="false" ht="15" hidden="false" customHeight="false" outlineLevel="0" collapsed="false">
      <c r="A25" s="19" t="str">
        <f aca="false">'Zoned land vs need'!A24</f>
        <v>Bruff</v>
      </c>
      <c r="B25" s="19" t="str">
        <f aca="false">'Zoned land vs need'!B24</f>
        <v>Village</v>
      </c>
      <c r="C25" s="48" t="n">
        <f aca="false">'Zoned land vs need'!C24</f>
        <v>22</v>
      </c>
      <c r="D25" s="49" t="n">
        <f aca="false">'Zoned land vs need'!D24</f>
        <v>211.983207388749</v>
      </c>
      <c r="E25" s="49" t="n">
        <f aca="false">'Zoned land vs need'!I24</f>
        <v>151.04</v>
      </c>
      <c r="F25" s="49" t="n">
        <f aca="false">MAX(D25-E25,0)</f>
        <v>60.943207388749</v>
      </c>
      <c r="G25" s="49" t="n">
        <v>15</v>
      </c>
      <c r="H25" s="49" t="n">
        <v>45</v>
      </c>
      <c r="I25" s="49" t="n">
        <v>145</v>
      </c>
      <c r="J25" s="49" t="n">
        <f aca="false">MAX(F25-H25,0)</f>
        <v>15.943207388749</v>
      </c>
      <c r="K25" s="65" t="n">
        <f aca="false">MAX(J25-I25,0)</f>
        <v>0</v>
      </c>
      <c r="L25" s="66"/>
      <c r="M25" s="49" t="n">
        <f aca="false">IF(L25="",K25,0)</f>
        <v>0</v>
      </c>
      <c r="N25" s="49" t="n">
        <f aca="false">IF(L25="",0,K25)</f>
        <v>0</v>
      </c>
      <c r="O25" s="50" t="n">
        <f aca="false">IF(C25&gt;0,K25/C25,0)</f>
        <v>0</v>
      </c>
      <c r="P25" s="54" t="n">
        <f aca="false">IF(B25="City neighbourhood",IF($C$4&gt;0,K25/MAX($C$4,C25),0),IF(C25&gt;0,K25/C25,0))</f>
        <v>0</v>
      </c>
      <c r="Q25" s="49" t="n">
        <f aca="false">MAX(D25*(1+$C$5)-E25-H25-I25,0)</f>
        <v>0</v>
      </c>
    </row>
    <row r="26" customFormat="false" ht="15" hidden="false" customHeight="false" outlineLevel="0" collapsed="false">
      <c r="A26" s="19" t="str">
        <f aca="false">'Zoned land vs need'!A25</f>
        <v>Cappamore</v>
      </c>
      <c r="B26" s="19" t="str">
        <f aca="false">'Zoned land vs need'!B25</f>
        <v>Village</v>
      </c>
      <c r="C26" s="48" t="n">
        <f aca="false">'Zoned land vs need'!C25</f>
        <v>22</v>
      </c>
      <c r="D26" s="49" t="n">
        <f aca="false">'Zoned land vs need'!D25</f>
        <v>165.49566190876</v>
      </c>
      <c r="E26" s="49" t="n">
        <f aca="false">'Zoned land vs need'!I25</f>
        <v>58.26</v>
      </c>
      <c r="F26" s="49" t="n">
        <f aca="false">MAX(D26-E26,0)</f>
        <v>107.23566190876</v>
      </c>
      <c r="G26" s="49" t="n">
        <v>7</v>
      </c>
      <c r="H26" s="49" t="n">
        <v>33</v>
      </c>
      <c r="I26" s="49" t="n">
        <v>202</v>
      </c>
      <c r="J26" s="49" t="n">
        <f aca="false">MAX(F26-H26,0)</f>
        <v>74.2356619087602</v>
      </c>
      <c r="K26" s="65" t="n">
        <f aca="false">MAX(J26-I26,0)</f>
        <v>0</v>
      </c>
      <c r="L26" s="66"/>
      <c r="M26" s="49" t="n">
        <f aca="false">IF(L26="",K26,0)</f>
        <v>0</v>
      </c>
      <c r="N26" s="49" t="n">
        <f aca="false">IF(L26="",0,K26)</f>
        <v>0</v>
      </c>
      <c r="O26" s="50" t="n">
        <f aca="false">IF(C26&gt;0,K26/C26,0)</f>
        <v>0</v>
      </c>
      <c r="P26" s="54" t="n">
        <f aca="false">IF(B26="City neighbourhood",IF($C$4&gt;0,K26/MAX($C$4,C26),0),IF(C26&gt;0,K26/C26,0))</f>
        <v>0</v>
      </c>
      <c r="Q26" s="49" t="n">
        <f aca="false">MAX(D26*(1+$C$5)-E26-H26-I26,0)</f>
        <v>0</v>
      </c>
    </row>
    <row r="27" customFormat="false" ht="15" hidden="false" customHeight="false" outlineLevel="0" collapsed="false">
      <c r="A27" s="19" t="str">
        <f aca="false">'Zoned land vs need'!A26</f>
        <v>Croom</v>
      </c>
      <c r="B27" s="19" t="str">
        <f aca="false">'Zoned land vs need'!B26</f>
        <v>Village</v>
      </c>
      <c r="C27" s="48" t="n">
        <f aca="false">'Zoned land vs need'!C26</f>
        <v>22</v>
      </c>
      <c r="D27" s="49" t="n">
        <f aca="false">'Zoned land vs need'!D26</f>
        <v>265.908760145536</v>
      </c>
      <c r="E27" s="49" t="n">
        <f aca="false">'Zoned land vs need'!I26</f>
        <v>347.82</v>
      </c>
      <c r="F27" s="49" t="n">
        <f aca="false">MAX(D27-E27,0)</f>
        <v>0</v>
      </c>
      <c r="G27" s="49" t="n">
        <v>5</v>
      </c>
      <c r="H27" s="49" t="n">
        <v>50</v>
      </c>
      <c r="I27" s="49" t="n">
        <v>12</v>
      </c>
      <c r="J27" s="49" t="n">
        <f aca="false">MAX(F27-H27,0)</f>
        <v>0</v>
      </c>
      <c r="K27" s="65" t="n">
        <f aca="false">MAX(J27-I27,0)</f>
        <v>0</v>
      </c>
      <c r="L27" s="66"/>
      <c r="M27" s="49" t="n">
        <f aca="false">IF(L27="",K27,0)</f>
        <v>0</v>
      </c>
      <c r="N27" s="49" t="n">
        <f aca="false">IF(L27="",0,K27)</f>
        <v>0</v>
      </c>
      <c r="O27" s="50" t="n">
        <f aca="false">IF(C27&gt;0,K27/C27,0)</f>
        <v>0</v>
      </c>
      <c r="P27" s="54" t="n">
        <f aca="false">IF(B27="City neighbourhood",IF($C$4&gt;0,K27/MAX($C$4,C27),0),IF(C27&gt;0,K27/C27,0))</f>
        <v>0</v>
      </c>
      <c r="Q27" s="49" t="n">
        <f aca="false">MAX(D27*(1+$C$5)-E27-H27-I27,0)</f>
        <v>0</v>
      </c>
    </row>
    <row r="28" customFormat="false" ht="15" hidden="false" customHeight="false" outlineLevel="0" collapsed="false">
      <c r="A28" s="19" t="str">
        <f aca="false">'Zoned land vs need'!A27</f>
        <v>Hospital</v>
      </c>
      <c r="B28" s="19" t="str">
        <f aca="false">'Zoned land vs need'!B27</f>
        <v>Village</v>
      </c>
      <c r="C28" s="48" t="n">
        <f aca="false">'Zoned land vs need'!C27</f>
        <v>22</v>
      </c>
      <c r="D28" s="49" t="n">
        <f aca="false">'Zoned land vs need'!D27</f>
        <v>163.636160089561</v>
      </c>
      <c r="E28" s="49" t="n">
        <f aca="false">'Zoned land vs need'!I27</f>
        <v>132</v>
      </c>
      <c r="F28" s="49" t="n">
        <f aca="false">MAX(D28-E28,0)</f>
        <v>31.6361600895606</v>
      </c>
      <c r="G28" s="49" t="n">
        <v>8</v>
      </c>
      <c r="H28" s="49" t="n">
        <v>26</v>
      </c>
      <c r="I28" s="49" t="n">
        <v>122</v>
      </c>
      <c r="J28" s="49" t="n">
        <f aca="false">MAX(F28-H28,0)</f>
        <v>5.6361600895606</v>
      </c>
      <c r="K28" s="65" t="n">
        <f aca="false">MAX(J28-I28,0)</f>
        <v>0</v>
      </c>
      <c r="L28" s="66"/>
      <c r="M28" s="49" t="n">
        <f aca="false">IF(L28="",K28,0)</f>
        <v>0</v>
      </c>
      <c r="N28" s="49" t="n">
        <f aca="false">IF(L28="",0,K28)</f>
        <v>0</v>
      </c>
      <c r="O28" s="50" t="n">
        <f aca="false">IF(C28&gt;0,K28/C28,0)</f>
        <v>0</v>
      </c>
      <c r="P28" s="54" t="n">
        <f aca="false">IF(B28="City neighbourhood",IF($C$4&gt;0,K28/MAX($C$4,C28),0),IF(C28&gt;0,K28/C28,0))</f>
        <v>0</v>
      </c>
      <c r="Q28" s="49" t="n">
        <f aca="false">MAX(D28*(1+$C$5)-E28-H28-I28,0)</f>
        <v>0</v>
      </c>
    </row>
    <row r="29" customFormat="false" ht="15" hidden="false" customHeight="false" outlineLevel="0" collapsed="false">
      <c r="A29" s="19" t="str">
        <f aca="false">'Zoned land vs need'!A28</f>
        <v>Kilfinnane</v>
      </c>
      <c r="B29" s="19" t="str">
        <f aca="false">'Zoned land vs need'!B28</f>
        <v>Village</v>
      </c>
      <c r="C29" s="48" t="n">
        <f aca="false">'Zoned land vs need'!C28</f>
        <v>22</v>
      </c>
      <c r="D29" s="49" t="n">
        <f aca="false">'Zoned land vs need'!D28</f>
        <v>208.26420375035</v>
      </c>
      <c r="E29" s="49" t="n">
        <f aca="false">'Zoned land vs need'!I28</f>
        <v>88.8</v>
      </c>
      <c r="F29" s="49" t="n">
        <f aca="false">MAX(D29-E29,0)</f>
        <v>119.46420375035</v>
      </c>
      <c r="G29" s="49" t="n">
        <v>11</v>
      </c>
      <c r="H29" s="49" t="n">
        <v>3</v>
      </c>
      <c r="I29" s="49" t="n">
        <v>211</v>
      </c>
      <c r="J29" s="49" t="n">
        <f aca="false">MAX(F29-H29,0)</f>
        <v>116.46420375035</v>
      </c>
      <c r="K29" s="65" t="n">
        <f aca="false">MAX(J29-I29,0)</f>
        <v>0</v>
      </c>
      <c r="L29" s="66"/>
      <c r="M29" s="49" t="n">
        <f aca="false">IF(L29="",K29,0)</f>
        <v>0</v>
      </c>
      <c r="N29" s="49" t="n">
        <f aca="false">IF(L29="",0,K29)</f>
        <v>0</v>
      </c>
      <c r="O29" s="50" t="n">
        <f aca="false">IF(C29&gt;0,K29/C29,0)</f>
        <v>0</v>
      </c>
      <c r="P29" s="54" t="n">
        <f aca="false">IF(B29="City neighbourhood",IF($C$4&gt;0,K29/MAX($C$4,C29),0),IF(C29&gt;0,K29/C29,0))</f>
        <v>0</v>
      </c>
      <c r="Q29" s="49" t="n">
        <f aca="false">MAX(D29*(1+$C$5)-E29-H29-I29,0)</f>
        <v>0</v>
      </c>
    </row>
    <row r="30" customFormat="false" ht="15" hidden="false" customHeight="false" outlineLevel="0" collapsed="false">
      <c r="A30" s="19" t="str">
        <f aca="false">'Zoned land vs need'!A29</f>
        <v>Moroe</v>
      </c>
      <c r="B30" s="19" t="str">
        <f aca="false">'Zoned land vs need'!B29</f>
        <v>Village</v>
      </c>
      <c r="C30" s="48" t="n">
        <f aca="false">'Zoned land vs need'!C29</f>
        <v>22</v>
      </c>
      <c r="D30" s="49" t="n">
        <f aca="false">'Zoned land vs need'!D29</f>
        <v>299.379792891128</v>
      </c>
      <c r="E30" s="49" t="n">
        <f aca="false">'Zoned land vs need'!I29</f>
        <v>140.28</v>
      </c>
      <c r="F30" s="49" t="n">
        <f aca="false">MAX(D30-E30,0)</f>
        <v>159.099792891128</v>
      </c>
      <c r="G30" s="49" t="n">
        <v>13</v>
      </c>
      <c r="H30" s="49" t="n">
        <v>44</v>
      </c>
      <c r="I30" s="49" t="n">
        <v>253</v>
      </c>
      <c r="J30" s="49" t="n">
        <f aca="false">MAX(F30-H30,0)</f>
        <v>115.099792891128</v>
      </c>
      <c r="K30" s="65" t="n">
        <f aca="false">MAX(J30-I30,0)</f>
        <v>0</v>
      </c>
      <c r="L30" s="66"/>
      <c r="M30" s="49" t="n">
        <f aca="false">IF(L30="",K30,0)</f>
        <v>0</v>
      </c>
      <c r="N30" s="49" t="n">
        <f aca="false">IF(L30="",0,K30)</f>
        <v>0</v>
      </c>
      <c r="O30" s="50" t="n">
        <f aca="false">IF(C30&gt;0,K30/C30,0)</f>
        <v>0</v>
      </c>
      <c r="P30" s="54" t="n">
        <f aca="false">IF(B30="City neighbourhood",IF($C$4&gt;0,K30/MAX($C$4,C30),0),IF(C30&gt;0,K30/C30,0))</f>
        <v>0</v>
      </c>
      <c r="Q30" s="49" t="n">
        <f aca="false">MAX(D30*(1+$C$5)-E30-H30-I30,0)</f>
        <v>0</v>
      </c>
    </row>
    <row r="31" customFormat="false" ht="15" hidden="false" customHeight="false" outlineLevel="0" collapsed="false">
      <c r="A31" s="19" t="str">
        <f aca="false">'Zoned land vs need'!A30</f>
        <v>Patrickswell</v>
      </c>
      <c r="B31" s="19" t="str">
        <f aca="false">'Zoned land vs need'!B30</f>
        <v>Village</v>
      </c>
      <c r="C31" s="48" t="n">
        <f aca="false">'Zoned land vs need'!C30</f>
        <v>25</v>
      </c>
      <c r="D31" s="49" t="n">
        <f aca="false">'Zoned land vs need'!D30</f>
        <v>743.800727679821</v>
      </c>
      <c r="E31" s="49" t="n">
        <f aca="false">'Zoned land vs need'!I30</f>
        <v>538</v>
      </c>
      <c r="F31" s="49" t="n">
        <f aca="false">MAX(D31-E31,0)</f>
        <v>205.800727679821</v>
      </c>
      <c r="G31" s="49" t="n">
        <v>5</v>
      </c>
      <c r="H31" s="49" t="n">
        <v>83</v>
      </c>
      <c r="I31" s="49" t="n">
        <v>956</v>
      </c>
      <c r="J31" s="49" t="n">
        <f aca="false">MAX(F31-H31,0)</f>
        <v>122.800727679821</v>
      </c>
      <c r="K31" s="65" t="n">
        <f aca="false">MAX(J31-I31,0)</f>
        <v>0</v>
      </c>
      <c r="L31" s="66"/>
      <c r="M31" s="49" t="n">
        <f aca="false">IF(L31="",K31,0)</f>
        <v>0</v>
      </c>
      <c r="N31" s="49" t="n">
        <f aca="false">IF(L31="",0,K31)</f>
        <v>0</v>
      </c>
      <c r="O31" s="50" t="n">
        <f aca="false">IF(C31&gt;0,K31/C31,0)</f>
        <v>0</v>
      </c>
      <c r="P31" s="54" t="n">
        <f aca="false">IF(B31="City neighbourhood",IF($C$4&gt;0,K31/MAX($C$4,C31),0),IF(C31&gt;0,K31/C31,0))</f>
        <v>0</v>
      </c>
      <c r="Q31" s="49" t="n">
        <f aca="false">MAX(D31*(1+$C$5)-E31-H31-I31,0)</f>
        <v>0</v>
      </c>
    </row>
    <row r="32" customFormat="false" ht="15" hidden="false" customHeight="false" outlineLevel="0" collapsed="false">
      <c r="A32" s="55" t="s">
        <v>255</v>
      </c>
      <c r="B32" s="55"/>
      <c r="C32" s="55"/>
      <c r="D32" s="57" t="n">
        <f aca="false">SUM(D8:D31)</f>
        <v>35970.2031905962</v>
      </c>
      <c r="E32" s="57" t="n">
        <f aca="false">SUM(E8:E31)</f>
        <v>25734.1715858092</v>
      </c>
      <c r="F32" s="57" t="n">
        <f aca="false">SUM(F8:F31)</f>
        <v>13658.5753187528</v>
      </c>
      <c r="G32" s="57" t="n">
        <f aca="false">SUM(G8:G31)</f>
        <v>159</v>
      </c>
      <c r="H32" s="57" t="n">
        <f aca="false">SUM(H8:H31)</f>
        <v>1230</v>
      </c>
      <c r="I32" s="57" t="n">
        <f aca="false">SUM(I8:I31)</f>
        <v>14252</v>
      </c>
      <c r="J32" s="57" t="n">
        <f aca="false">SUM(J8:J31)</f>
        <v>12592.5753187528</v>
      </c>
      <c r="K32" s="57" t="n">
        <f aca="false">SUM(K8:K31)</f>
        <v>5491.54625893848</v>
      </c>
      <c r="L32" s="55"/>
      <c r="M32" s="57" t="n">
        <f aca="false">SUM(M8:M31)</f>
        <v>4956.20565707389</v>
      </c>
      <c r="N32" s="57" t="n">
        <f aca="false">SUM(N8:N31)</f>
        <v>535.34060186459</v>
      </c>
      <c r="O32" s="58" t="n">
        <f aca="false">SUM(O8:O31)</f>
        <v>110.104341669441</v>
      </c>
      <c r="P32" s="58" t="n">
        <f aca="false">SUM(P8:P31)</f>
        <v>54.9154625893848</v>
      </c>
      <c r="Q32" s="57" t="n">
        <f aca="false">SUM(Q8:Q31)</f>
        <v>14678.8593950096</v>
      </c>
    </row>
    <row r="33" customFormat="false" ht="15" hidden="false" customHeight="false" outlineLevel="0" collapsed="false">
      <c r="A33" s="45" t="s">
        <v>303</v>
      </c>
      <c r="G33" s="60" t="n">
        <v>29</v>
      </c>
      <c r="I33" s="60" t="n">
        <v>6665</v>
      </c>
      <c r="J33" s="45" t="s">
        <v>304</v>
      </c>
    </row>
    <row r="35" customFormat="false" ht="15" hidden="false" customHeight="false" outlineLevel="0" collapsed="false">
      <c r="A35" s="61" t="s">
        <v>212</v>
      </c>
    </row>
    <row r="36" customFormat="false" ht="42" hidden="false" customHeight="true" outlineLevel="0" collapsed="false">
      <c r="A36" s="47" t="s">
        <v>137</v>
      </c>
      <c r="B36" s="47"/>
      <c r="C36" s="47"/>
      <c r="D36" s="47" t="s">
        <v>258</v>
      </c>
      <c r="E36" s="47" t="s">
        <v>261</v>
      </c>
      <c r="F36" s="47" t="s">
        <v>305</v>
      </c>
      <c r="G36" s="47" t="s">
        <v>291</v>
      </c>
      <c r="H36" s="47" t="s">
        <v>306</v>
      </c>
      <c r="I36" s="47" t="s">
        <v>307</v>
      </c>
      <c r="J36" s="47" t="s">
        <v>308</v>
      </c>
      <c r="K36" s="47" t="s">
        <v>309</v>
      </c>
      <c r="L36" s="47" t="s">
        <v>310</v>
      </c>
      <c r="M36" s="47" t="s">
        <v>311</v>
      </c>
      <c r="N36" s="47" t="s">
        <v>312</v>
      </c>
      <c r="O36" s="47" t="s">
        <v>313</v>
      </c>
      <c r="P36" s="47" t="s">
        <v>314</v>
      </c>
      <c r="Q36" s="47" t="s">
        <v>315</v>
      </c>
    </row>
    <row r="37" customFormat="false" ht="15" hidden="false" customHeight="false" outlineLevel="0" collapsed="false">
      <c r="A37" s="19" t="s">
        <v>158</v>
      </c>
      <c r="D37" s="49" t="n">
        <f aca="false">SUMIFS(D$8:D$31,$B$8:$B$31,$A37)</f>
        <v>29257.4016232858</v>
      </c>
      <c r="E37" s="49" t="n">
        <f aca="false">SUMIFS(E$8:E$31,$B$8:$B$31,$A37)</f>
        <v>16465.2615858092</v>
      </c>
      <c r="F37" s="49" t="n">
        <f aca="false">SUMIFS(F$8:F$31,$B$8:$B$31,$A37)</f>
        <v>12792.1400374766</v>
      </c>
      <c r="G37" s="49" t="n">
        <f aca="false">SUMIFS(G$8:G$31,$B$8:$B$31,$A37)</f>
        <v>79</v>
      </c>
      <c r="H37" s="49" t="n">
        <f aca="false">SUMIFS(H$8:H$31,$B$8:$B$31,$A37)</f>
        <v>832</v>
      </c>
      <c r="I37" s="49" t="n">
        <f aca="false">SUMIFS(I$8:I$31,$B$8:$B$31,$A37)</f>
        <v>11684</v>
      </c>
      <c r="J37" s="49" t="n">
        <f aca="false">SUMIFS(J$8:J$31,$B$8:$B$31,$A37)</f>
        <v>11960.1400374766</v>
      </c>
      <c r="K37" s="49" t="n">
        <f aca="false">SUMIFS(K$8:K$31,$B$8:$B$31,$A37)</f>
        <v>5491.54625893848</v>
      </c>
      <c r="L37" s="19" t="n">
        <f aca="false">COUNTIFS($B$8:$B$31,$A37,$K$8:$K$31,"&gt;0")</f>
        <v>7</v>
      </c>
      <c r="M37" s="49" t="n">
        <f aca="false">SUMIFS(M$8:M$31,$B$8:$B$31,$A37)</f>
        <v>4956.20565707389</v>
      </c>
      <c r="N37" s="49" t="n">
        <f aca="false">SUMIFS(N$8:N$31,$B$8:$B$31,$A37)</f>
        <v>535.34060186459</v>
      </c>
      <c r="O37" s="50" t="n">
        <f aca="false">SUMIFS(O$8:O$31,$B$8:$B$31,$A37)</f>
        <v>110.104341669441</v>
      </c>
      <c r="P37" s="50" t="n">
        <f aca="false">SUMIFS(P$8:P$31,$B$8:$B$31,$A37)</f>
        <v>54.9154625893848</v>
      </c>
      <c r="Q37" s="49" t="n">
        <f aca="false">SUMIFS(Q$8:Q$31,$B$8:$B$31,$A37)</f>
        <v>14678.8593950096</v>
      </c>
    </row>
    <row r="38" customFormat="false" ht="15" hidden="false" customHeight="false" outlineLevel="0" collapsed="false">
      <c r="A38" s="19" t="s">
        <v>177</v>
      </c>
      <c r="D38" s="49" t="n">
        <f aca="false">SUMIFS(D$8:D$31,$B$8:$B$31,$A38)</f>
        <v>3979.33389308704</v>
      </c>
      <c r="E38" s="49" t="n">
        <f aca="false">SUMIFS(E$8:E$31,$B$8:$B$31,$A38)</f>
        <v>6855.45</v>
      </c>
      <c r="F38" s="49" t="n">
        <f aca="false">SUMIFS(F$8:F$31,$B$8:$B$31,$A38)</f>
        <v>182.25552756787</v>
      </c>
      <c r="G38" s="49" t="n">
        <f aca="false">SUMIFS(G$8:G$31,$B$8:$B$31,$A38)</f>
        <v>10</v>
      </c>
      <c r="H38" s="49" t="n">
        <f aca="false">SUMIFS(H$8:H$31,$B$8:$B$31,$A38)</f>
        <v>64</v>
      </c>
      <c r="I38" s="49" t="n">
        <f aca="false">SUMIFS(I$8:I$31,$B$8:$B$31,$A38)</f>
        <v>547</v>
      </c>
      <c r="J38" s="49" t="n">
        <f aca="false">SUMIFS(J$8:J$31,$B$8:$B$31,$A38)</f>
        <v>182.25552756787</v>
      </c>
      <c r="K38" s="49" t="n">
        <f aca="false">SUMIFS(K$8:K$31,$B$8:$B$31,$A38)</f>
        <v>0</v>
      </c>
      <c r="L38" s="19" t="n">
        <f aca="false">COUNTIFS($B$8:$B$31,$A38,$K$8:$K$31,"&gt;0")</f>
        <v>0</v>
      </c>
      <c r="M38" s="49" t="n">
        <f aca="false">SUMIFS(M$8:M$31,$B$8:$B$31,$A38)</f>
        <v>0</v>
      </c>
      <c r="N38" s="49" t="n">
        <f aca="false">SUMIFS(N$8:N$31,$B$8:$B$31,$A38)</f>
        <v>0</v>
      </c>
      <c r="O38" s="50" t="n">
        <f aca="false">SUMIFS(O$8:O$31,$B$8:$B$31,$A38)</f>
        <v>0</v>
      </c>
      <c r="P38" s="50" t="n">
        <f aca="false">SUMIFS(P$8:P$31,$B$8:$B$31,$A38)</f>
        <v>0</v>
      </c>
      <c r="Q38" s="49" t="n">
        <f aca="false">SUMIFS(Q$8:Q$31,$B$8:$B$31,$A38)</f>
        <v>0</v>
      </c>
    </row>
    <row r="39" customFormat="false" ht="15" hidden="false" customHeight="false" outlineLevel="0" collapsed="false">
      <c r="A39" s="19" t="s">
        <v>190</v>
      </c>
      <c r="D39" s="49" t="n">
        <f aca="false">SUMIFS(D$8:D$31,$B$8:$B$31,$A39)</f>
        <v>2733.46767422334</v>
      </c>
      <c r="E39" s="49" t="n">
        <f aca="false">SUMIFS(E$8:E$31,$B$8:$B$31,$A39)</f>
        <v>2413.46</v>
      </c>
      <c r="F39" s="49" t="n">
        <f aca="false">SUMIFS(F$8:F$31,$B$8:$B$31,$A39)</f>
        <v>684.179753708368</v>
      </c>
      <c r="G39" s="49" t="n">
        <f aca="false">SUMIFS(G$8:G$31,$B$8:$B$31,$A39)</f>
        <v>70</v>
      </c>
      <c r="H39" s="49" t="n">
        <f aca="false">SUMIFS(H$8:H$31,$B$8:$B$31,$A39)</f>
        <v>334</v>
      </c>
      <c r="I39" s="49" t="n">
        <f aca="false">SUMIFS(I$8:I$31,$B$8:$B$31,$A39)</f>
        <v>2021</v>
      </c>
      <c r="J39" s="49" t="n">
        <f aca="false">SUMIFS(J$8:J$31,$B$8:$B$31,$A39)</f>
        <v>450.179753708368</v>
      </c>
      <c r="K39" s="49" t="n">
        <f aca="false">SUMIFS(K$8:K$31,$B$8:$B$31,$A39)</f>
        <v>0</v>
      </c>
      <c r="L39" s="19" t="n">
        <f aca="false">COUNTIFS($B$8:$B$31,$A39,$K$8:$K$31,"&gt;0")</f>
        <v>0</v>
      </c>
      <c r="M39" s="49" t="n">
        <f aca="false">SUMIFS(M$8:M$31,$B$8:$B$31,$A39)</f>
        <v>0</v>
      </c>
      <c r="N39" s="49" t="n">
        <f aca="false">SUMIFS(N$8:N$31,$B$8:$B$31,$A39)</f>
        <v>0</v>
      </c>
      <c r="O39" s="50" t="n">
        <f aca="false">SUMIFS(O$8:O$31,$B$8:$B$31,$A39)</f>
        <v>0</v>
      </c>
      <c r="P39" s="50" t="n">
        <f aca="false">SUMIFS(P$8:P$31,$B$8:$B$31,$A39)</f>
        <v>0</v>
      </c>
      <c r="Q39" s="49" t="n">
        <f aca="false">SUMIFS(Q$8:Q$31,$B$8:$B$31,$A39)</f>
        <v>0</v>
      </c>
    </row>
    <row r="42" customFormat="false" ht="15" hidden="false" customHeight="false" outlineLevel="0" collapsed="false">
      <c r="A42" s="61" t="s">
        <v>316</v>
      </c>
    </row>
    <row r="43" customFormat="false" ht="15" hidden="false" customHeight="false" outlineLevel="0" collapsed="false">
      <c r="A43" s="19"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false" outlineLevel="0" collapsed="false">
      <c r="A44" s="19"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450; after all opportunity sites, 0.</v>
      </c>
    </row>
    <row r="45" customFormat="false" ht="15" hidden="false" customHeight="false" outlineLevel="0" collapsed="false">
      <c r="A45" s="19"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false" outlineLevel="0" collapsed="false">
      <c r="A46" s="19"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false" outlineLevel="0" collapsed="false">
      <c r="A47" s="19"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false" outlineLevel="0" collapsed="false">
      <c r="A50" s="61" t="s">
        <v>317</v>
      </c>
    </row>
    <row r="51" customFormat="false" ht="15" hidden="false" customHeight="false" outlineLevel="0" collapsed="false">
      <c r="A51" s="18" t="s">
        <v>318</v>
      </c>
      <c r="D51" s="45" t="s">
        <v>319</v>
      </c>
    </row>
    <row r="52" customFormat="false" ht="15" hidden="false" customHeight="false" outlineLevel="0" collapsed="false">
      <c r="A52" s="18" t="s">
        <v>320</v>
      </c>
      <c r="D52" s="45" t="s">
        <v>321</v>
      </c>
    </row>
    <row r="53" customFormat="false" ht="15" hidden="false" customHeight="false" outlineLevel="0" collapsed="false">
      <c r="A53" s="18" t="s">
        <v>322</v>
      </c>
      <c r="D53" s="45" t="s">
        <v>323</v>
      </c>
    </row>
    <row r="54" customFormat="false" ht="15" hidden="false" customHeight="false" outlineLevel="0" collapsed="false">
      <c r="A54" s="18" t="s">
        <v>324</v>
      </c>
      <c r="D54" s="45" t="s">
        <v>325</v>
      </c>
    </row>
    <row r="55" customFormat="false" ht="15" hidden="false" customHeight="false" outlineLevel="0" collapsed="false">
      <c r="A55" s="18" t="s">
        <v>326</v>
      </c>
      <c r="D55" s="45" t="s">
        <v>327</v>
      </c>
    </row>
    <row r="56" customFormat="false" ht="15" hidden="false" customHeight="false" outlineLevel="0" collapsed="false">
      <c r="A56" s="18" t="s">
        <v>328</v>
      </c>
      <c r="D56" s="45" t="s">
        <v>329</v>
      </c>
    </row>
    <row r="57" customFormat="false" ht="15" hidden="false" customHeight="false" outlineLevel="0" collapsed="false">
      <c r="A57" s="18" t="s">
        <v>330</v>
      </c>
      <c r="D57" s="45" t="s">
        <v>331</v>
      </c>
    </row>
    <row r="60" customFormat="false" ht="15" hidden="false" customHeight="false" outlineLevel="0" collapsed="false">
      <c r="A60" s="61" t="s">
        <v>332</v>
      </c>
    </row>
    <row r="61" customFormat="false" ht="15" hidden="false" customHeight="false" outlineLevel="0" collapsed="false">
      <c r="A61" s="45" t="s">
        <v>333</v>
      </c>
    </row>
    <row r="62" customFormat="false" ht="15" hidden="false" customHeight="false" outlineLevel="0" collapsed="false">
      <c r="A62" s="45" t="s">
        <v>334</v>
      </c>
    </row>
    <row r="63" customFormat="false" ht="15" hidden="false" customHeight="false" outlineLevel="0" collapsed="false">
      <c r="A63" s="45" t="s">
        <v>335</v>
      </c>
    </row>
    <row r="64" customFormat="false" ht="15" hidden="false" customHeight="false" outlineLevel="0" collapsed="false">
      <c r="A64" s="45"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8" min="2" style="0" width="13"/>
  </cols>
  <sheetData>
    <row r="1" customFormat="false" ht="19.7" hidden="false" customHeight="false" outlineLevel="0" collapsed="false">
      <c r="A1" s="44" t="s">
        <v>337</v>
      </c>
    </row>
    <row r="2" customFormat="false" ht="39.75" hidden="false" customHeight="true" outlineLevel="0" collapsed="false">
      <c r="A2" s="67" t="s">
        <v>338</v>
      </c>
      <c r="B2" s="67"/>
      <c r="C2" s="67"/>
      <c r="D2" s="67"/>
      <c r="E2" s="67"/>
      <c r="F2" s="67"/>
      <c r="G2" s="67"/>
      <c r="H2" s="67"/>
    </row>
    <row r="4" customFormat="false" ht="15" hidden="false" customHeight="false" outlineLevel="0" collapsed="false">
      <c r="A4" s="18" t="s">
        <v>339</v>
      </c>
      <c r="C4" s="63" t="s">
        <v>210</v>
      </c>
      <c r="D4" s="68" t="s">
        <v>340</v>
      </c>
    </row>
    <row r="5" customFormat="false" ht="15" hidden="false" customHeight="false" outlineLevel="0" collapsed="false">
      <c r="A5" s="18" t="s">
        <v>341</v>
      </c>
      <c r="C5" s="69" t="n">
        <v>46303</v>
      </c>
      <c r="D5" s="68" t="s">
        <v>342</v>
      </c>
    </row>
    <row r="6" customFormat="false" ht="15" hidden="false" customHeight="false" outlineLevel="0" collapsed="false">
      <c r="A6" s="18" t="s">
        <v>343</v>
      </c>
      <c r="C6" s="63" t="s">
        <v>344</v>
      </c>
      <c r="D6" s="68" t="s">
        <v>345</v>
      </c>
    </row>
    <row r="7" customFormat="false" ht="15" hidden="false" customHeight="false" outlineLevel="0" collapsed="false">
      <c r="A7" s="18" t="s">
        <v>346</v>
      </c>
      <c r="C7" s="70" t="n">
        <v>4.5</v>
      </c>
      <c r="D7" s="68" t="s">
        <v>347</v>
      </c>
    </row>
    <row r="8" customFormat="false" ht="15" hidden="false" customHeight="false" outlineLevel="0" collapsed="false">
      <c r="A8" s="18" t="s">
        <v>348</v>
      </c>
      <c r="C8" s="70" t="n">
        <v>16</v>
      </c>
      <c r="D8" s="68" t="s">
        <v>349</v>
      </c>
    </row>
    <row r="9" customFormat="false" ht="15" hidden="false" customHeight="false" outlineLevel="0" collapsed="false">
      <c r="A9" s="18" t="s">
        <v>350</v>
      </c>
      <c r="C9" s="70" t="n">
        <v>15</v>
      </c>
      <c r="D9" s="68" t="s">
        <v>351</v>
      </c>
    </row>
    <row r="10" customFormat="false" ht="15" hidden="false" customHeight="false" outlineLevel="0" collapsed="false">
      <c r="A10" s="18" t="s">
        <v>352</v>
      </c>
      <c r="C10" s="46" t="n">
        <v>0.18</v>
      </c>
      <c r="D10" s="68" t="s">
        <v>353</v>
      </c>
    </row>
    <row r="11" customFormat="false" ht="15" hidden="false" customHeight="false" outlineLevel="0" collapsed="false">
      <c r="A11" s="18" t="s">
        <v>354</v>
      </c>
      <c r="C11" s="46" t="n">
        <v>0</v>
      </c>
      <c r="D11" s="68" t="s">
        <v>355</v>
      </c>
    </row>
    <row r="13" customFormat="false" ht="15" hidden="false" customHeight="false" outlineLevel="0" collapsed="false">
      <c r="A13" s="61" t="s">
        <v>356</v>
      </c>
    </row>
    <row r="14" customFormat="false" ht="15" hidden="false" customHeight="false" outlineLevel="0" collapsed="false">
      <c r="A14" s="45" t="str">
        <f aca="false">"Homes in permissions in "&amp;$C$4&amp;", by status at "&amp;TEXT($C$5,"d mmmm yyyy")</f>
        <v>Homes in permissions in Limerick, by status at 8 October 2026</v>
      </c>
    </row>
    <row r="15" customFormat="false" ht="23.85" hidden="false" customHeight="false" outlineLevel="0" collapsed="false">
      <c r="B15" s="47" t="s">
        <v>357</v>
      </c>
      <c r="C15" s="47" t="s">
        <v>358</v>
      </c>
      <c r="D15" s="47" t="s">
        <v>359</v>
      </c>
      <c r="E15" s="47" t="s">
        <v>360</v>
      </c>
      <c r="F15" s="47" t="s">
        <v>361</v>
      </c>
      <c r="G15" s="47" t="s">
        <v>362</v>
      </c>
      <c r="H15" s="47" t="s">
        <v>363</v>
      </c>
    </row>
    <row r="16" customFormat="false" ht="15" hidden="false" customHeight="false" outlineLevel="0" collapsed="false">
      <c r="A16" s="18" t="s">
        <v>108</v>
      </c>
      <c r="B16" s="71" t="n">
        <f aca="false">INDEX('Pipeline calc'!$R$3:$R$28,MATCH($C$4,'Pipeline calc'!$A$3:$A$28,0))</f>
        <v>1643</v>
      </c>
      <c r="C16" s="71" t="n">
        <f aca="false">INDEX('Pipeline calc'!$S$3:$S$28,MATCH($C$4,'Pipeline calc'!$A$3:$A$28,0))</f>
        <v>3711</v>
      </c>
      <c r="D16" s="71" t="n">
        <f aca="false">INDEX('Pipeline calc'!$T$3:$T$28,MATCH($C$4,'Pipeline calc'!$A$3:$A$28,0))</f>
        <v>4984</v>
      </c>
      <c r="E16" s="71" t="n">
        <f aca="false">INDEX('Pipeline calc'!$U$3:$U$28,MATCH($C$4,'Pipeline calc'!$A$3:$A$28,0))</f>
        <v>156</v>
      </c>
      <c r="F16" s="71" t="n">
        <f aca="false">INDEX('Pipeline calc'!$V$3:$V$28,MATCH($C$4,'Pipeline calc'!$A$3:$A$28,0))</f>
        <v>278</v>
      </c>
      <c r="G16" s="71" t="n">
        <f aca="false">INDEX('Pipeline calc'!$W$3:$W$28,MATCH($C$4,'Pipeline calc'!$A$3:$A$28,0))</f>
        <v>250</v>
      </c>
      <c r="H16" s="65" t="n">
        <f aca="false">SUM(B16:E16)</f>
        <v>10494</v>
      </c>
    </row>
    <row r="18" customFormat="false" ht="15" hidden="false" customHeight="false" outlineLevel="0" collapsed="false">
      <c r="B18" s="72" t="s">
        <v>364</v>
      </c>
      <c r="C18" s="72" t="s">
        <v>141</v>
      </c>
      <c r="D18" s="72" t="s">
        <v>142</v>
      </c>
      <c r="E18" s="72" t="s">
        <v>143</v>
      </c>
      <c r="F18" s="72" t="s">
        <v>144</v>
      </c>
      <c r="G18" s="72" t="s">
        <v>365</v>
      </c>
      <c r="H18" s="72" t="s">
        <v>61</v>
      </c>
    </row>
    <row r="19" customFormat="false" ht="15" hidden="false" customHeight="false" outlineLevel="0" collapsed="false">
      <c r="A19" s="18" t="s">
        <v>366</v>
      </c>
      <c r="B19" s="71" t="n">
        <f aca="false">INDEX('Pipeline calc'!$X$3:$X$28,MATCH($C$4,'Pipeline calc'!$A$3:$A$28,0))</f>
        <v>506.2</v>
      </c>
      <c r="C19" s="71" t="n">
        <f aca="false">INDEX('Pipeline calc'!$Y$3:$Y$28,MATCH($C$4,'Pipeline calc'!$A$3:$A$28,0))</f>
        <v>2084.7</v>
      </c>
      <c r="D19" s="71" t="n">
        <f aca="false">INDEX('Pipeline calc'!$Z$3:$Z$28,MATCH($C$4,'Pipeline calc'!$A$3:$A$28,0))</f>
        <v>1725.2</v>
      </c>
      <c r="E19" s="71" t="n">
        <f aca="false">INDEX('Pipeline calc'!$AA$3:$AA$28,MATCH($C$4,'Pipeline calc'!$A$3:$A$28,0))</f>
        <v>1954.7</v>
      </c>
      <c r="F19" s="71" t="n">
        <f aca="false">INDEX('Pipeline calc'!$AB$3:$AB$28,MATCH($C$4,'Pipeline calc'!$A$3:$A$28,0))</f>
        <v>851</v>
      </c>
      <c r="G19" s="71" t="n">
        <f aca="false">INDEX('Pipeline calc'!$AC$3:$AC$28,MATCH($C$4,'Pipeline calc'!$A$3:$A$28,0))</f>
        <v>1573.2</v>
      </c>
      <c r="H19" s="65" t="n">
        <f aca="false">SUM(B19:G19)</f>
        <v>8695</v>
      </c>
    </row>
    <row r="20" customFormat="false" ht="15" hidden="false" customHeight="false" outlineLevel="0" collapsed="false">
      <c r="A20" s="45" t="s">
        <v>367</v>
      </c>
    </row>
    <row r="22" customFormat="false" ht="15" hidden="false" customHeight="false" outlineLevel="0" collapsed="false">
      <c r="A22" s="61" t="s">
        <v>368</v>
      </c>
    </row>
    <row r="23" customFormat="false" ht="15" hidden="false" customHeight="false" outlineLevel="0" collapsed="false">
      <c r="A23" s="18" t="s">
        <v>369</v>
      </c>
      <c r="C23" s="73" t="n">
        <f aca="false">INDEX('Pipeline calc'!$B$399:$B$424,MATCH($C$4,'Pipeline calc'!$A$399:$A$424,0))</f>
        <v>27898.7534246576</v>
      </c>
      <c r="D23" s="45" t="str">
        <f aca="false">IF($C$6="Yes","Target from the status date, less the register's expected completions","The whole target from the status date")</f>
        <v>Target from the status date, less the register's expected completions</v>
      </c>
    </row>
    <row r="24" customFormat="false" ht="15" hidden="false" customHeight="false" outlineLevel="0" collapsed="false">
      <c r="A24" s="18" t="s">
        <v>370</v>
      </c>
      <c r="C24" s="73" t="n">
        <f aca="false">INDEX('Pipeline calc'!$D$399:$D$424,MATCH($C$4,'Pipeline calc'!$A$399:$A$424,0))</f>
        <v>26739.8373983741</v>
      </c>
      <c r="D24" s="45" t="str">
        <f aca="false">"About "&amp;TEXT(INDEX('Pipeline calc'!$E$399:$E$424,MATCH($C$4,'Pipeline calc'!$A$399:$A$424,0)),"#,##0")&amp;" homes a year, to "&amp;TEXT(DATE(INT('Pipeline calc'!$AO$12),1+INT(MOD('Pipeline calc'!$AO$12,1)*12),1),"mmmm yyyy")</f>
        <v>About 2,304 homes a year, to May 2038</v>
      </c>
    </row>
    <row r="25" customFormat="false" ht="15" hidden="false" customHeight="false" outlineLevel="0" collapsed="false">
      <c r="A25" s="18" t="s">
        <v>371</v>
      </c>
      <c r="C25" s="73" t="n">
        <f aca="false">INDEX('Pipeline calc'!$E$399:$E$424,MATCH($C$4,'Pipeline calc'!$A$399:$A$424,0))</f>
        <v>2303.99912366384</v>
      </c>
      <c r="D25" s="45" t="str">
        <f aca="false">IF($C$4="Limerick","The register shows "&amp;TEXT(AVERAGE($C$49:$J$49),"#,##0")&amp;" homes a year granted in 2018–2025 (row 49)","Spread evenly from the status date to the last useful permission date")</f>
        <v>The register shows 985 homes a year granted in 2018–2025 (row 49)</v>
      </c>
    </row>
    <row r="26" customFormat="false" ht="15" hidden="false" customHeight="false" outlineLevel="0" collapsed="false">
      <c r="A26" s="18" t="s">
        <v>372</v>
      </c>
      <c r="C26" s="73" t="n">
        <f aca="false">INDEX('Pipeline calc'!$F$399:$F$424,MATCH($C$4,'Pipeline calc'!$A$399:$A$424,0))</f>
        <v>25566.9207317074</v>
      </c>
      <c r="D26" s="45" t="str">
        <f aca="false">"Lodged by "&amp;TEXT(DATE(INT('Pipeline calc'!$AO$13),1+INT(MOD('Pipeline calc'!$AO$13,1)*12),1),"mmmm yyyy")</f>
        <v>Lodged by January 2038</v>
      </c>
    </row>
    <row r="27" customFormat="false" ht="15" hidden="false" customHeight="false" outlineLevel="0" collapsed="false">
      <c r="A27" s="18" t="s">
        <v>373</v>
      </c>
      <c r="C27" s="73" t="n">
        <f aca="false">INDEX('Pipeline calc'!$C$399:$C$424,MATCH($C$4,'Pipeline calc'!$A$399:$A$424,0))</f>
        <v>7283.03263169618</v>
      </c>
      <c r="D27" s="45" t="str">
        <f aca="false">IF(C27&gt;0.5,"Homes that would already need permission to complete in time: new permissions cannot deliver these by their target year","None: new permissions can still meet every year")</f>
        <v>Homes that would already need permission to complete in time: new permissions cannot deliver these by their target year</v>
      </c>
    </row>
    <row r="29" customFormat="false" ht="15" hidden="false" customHeight="false" outlineLevel="0" collapsed="false">
      <c r="A29" s="61" t="s">
        <v>374</v>
      </c>
    </row>
    <row r="30" customFormat="false" ht="30" hidden="false" customHeight="true" outlineLevel="0" collapsed="false">
      <c r="A30" s="47" t="s">
        <v>107</v>
      </c>
      <c r="B30" s="47" t="s">
        <v>375</v>
      </c>
      <c r="C30" s="47" t="s">
        <v>376</v>
      </c>
      <c r="D30" s="47" t="s">
        <v>377</v>
      </c>
      <c r="E30" s="47" t="s">
        <v>378</v>
      </c>
      <c r="F30" s="47" t="s">
        <v>379</v>
      </c>
      <c r="G30" s="47" t="s">
        <v>380</v>
      </c>
    </row>
    <row r="31" customFormat="false" ht="15" hidden="false" customHeight="false" outlineLevel="0" collapsed="false">
      <c r="A31" s="74" t="str">
        <f aca="false">"Before "&amp;TEXT($C$5,"d mmm yyyy")</f>
        <v>Before 8 Oct 2026</v>
      </c>
      <c r="B31" s="75" t="n">
        <f aca="false">INDEX('Pipeline calc'!$C$224:$C$249,MATCH($C$4,'Pipeline calc'!$A$3:$A$28,0))</f>
        <v>0</v>
      </c>
      <c r="C31" s="75" t="n">
        <f aca="false">INDEX('Pipeline calc'!$C$253:$C$278,MATCH($C$4,'Pipeline calc'!$A$3:$A$28,0))</f>
        <v>0</v>
      </c>
      <c r="D31" s="75" t="n">
        <f aca="false">INDEX('Pipeline calc'!$C$282:$C$307,MATCH($C$4,'Pipeline calc'!$A$3:$A$28,0))</f>
        <v>0</v>
      </c>
      <c r="E31" s="75" t="n">
        <f aca="false">INDEX('Pipeline calc'!$C$311:$C$336,MATCH($C$4,'Pipeline calc'!$A$3:$A$28,0))</f>
        <v>2664.85342465754</v>
      </c>
      <c r="F31" s="75" t="n">
        <f aca="false">INDEX('Pipeline calc'!$C$340:$C$365,MATCH($C$4,'Pipeline calc'!$A$3:$A$28,0))</f>
        <v>7283.03263169618</v>
      </c>
      <c r="G31" s="75" t="n">
        <f aca="false">INDEX('Pipeline calc'!$C$369:$C$394,MATCH($C$4,'Pipeline calc'!$A$3:$A$28,0))</f>
        <v>8455.94929836285</v>
      </c>
    </row>
    <row r="32" customFormat="false" ht="15" hidden="false" customHeight="false" outlineLevel="0" collapsed="false">
      <c r="A32" s="0" t="str">
        <f aca="false">"2026 (from "&amp;TEXT($C$5,"d mmm")&amp;")"</f>
        <v>2026 (from 8 Oct)</v>
      </c>
      <c r="B32" s="71" t="n">
        <f aca="false">INDEX('Pipeline calc'!$D$224:$D$249,MATCH($C$4,'Pipeline calc'!$A$3:$A$28,0))</f>
        <v>992.753424657534</v>
      </c>
      <c r="C32" s="71" t="n">
        <f aca="false">INDEX('Pipeline calc'!$D$253:$D$278,MATCH($C$4,'Pipeline calc'!$A$3:$A$28,0))</f>
        <v>506.2</v>
      </c>
      <c r="D32" s="71" t="n">
        <f aca="false">INDEX('Pipeline calc'!$D$282:$D$307,MATCH($C$4,'Pipeline calc'!$A$3:$A$28,0))</f>
        <v>486.553424657534</v>
      </c>
      <c r="E32" s="71" t="n">
        <f aca="false">INDEX('Pipeline calc'!$D$311:$D$336,MATCH($C$4,'Pipeline calc'!$A$3:$A$28,0))</f>
        <v>634.449999999999</v>
      </c>
      <c r="F32" s="71" t="n">
        <f aca="false">INDEX('Pipeline calc'!$D$340:$D$365,MATCH($C$4,'Pipeline calc'!$A$3:$A$28,0))</f>
        <v>703.750000000001</v>
      </c>
      <c r="G32" s="71" t="n">
        <f aca="false">INDEX('Pipeline calc'!$D$369:$D$394,MATCH($C$4,'Pipeline calc'!$A$3:$A$28,0))</f>
        <v>469.166666666667</v>
      </c>
    </row>
    <row r="33" customFormat="false" ht="15" hidden="false" customHeight="false" outlineLevel="0" collapsed="false">
      <c r="A33" s="0" t="n">
        <v>2027</v>
      </c>
      <c r="B33" s="71" t="n">
        <f aca="false">INDEX('Pipeline calc'!$E$224:$E$249,MATCH($C$4,'Pipeline calc'!$A$3:$A$28,0))</f>
        <v>4263</v>
      </c>
      <c r="C33" s="71" t="n">
        <f aca="false">INDEX('Pipeline calc'!$E$253:$E$278,MATCH($C$4,'Pipeline calc'!$A$3:$A$28,0))</f>
        <v>2084.7</v>
      </c>
      <c r="D33" s="71" t="n">
        <f aca="false">INDEX('Pipeline calc'!$E$282:$E$307,MATCH($C$4,'Pipeline calc'!$A$3:$A$28,0))</f>
        <v>2178.3</v>
      </c>
      <c r="E33" s="71" t="n">
        <f aca="false">INDEX('Pipeline calc'!$E$311:$E$336,MATCH($C$4,'Pipeline calc'!$A$3:$A$28,0))</f>
        <v>2480.425</v>
      </c>
      <c r="F33" s="71" t="n">
        <f aca="false">INDEX('Pipeline calc'!$E$340:$E$365,MATCH($C$4,'Pipeline calc'!$A$3:$A$28,0))</f>
        <v>3600.15243902439</v>
      </c>
      <c r="G33" s="71" t="n">
        <f aca="false">INDEX('Pipeline calc'!$E$369:$E$394,MATCH($C$4,'Pipeline calc'!$A$3:$A$28,0))</f>
        <v>4048.81097560975</v>
      </c>
    </row>
    <row r="34" customFormat="false" ht="15" hidden="false" customHeight="false" outlineLevel="0" collapsed="false">
      <c r="A34" s="0" t="n">
        <v>2028</v>
      </c>
      <c r="B34" s="71" t="n">
        <f aca="false">INDEX('Pipeline calc'!$F$224:$F$249,MATCH($C$4,'Pipeline calc'!$A$3:$A$28,0))</f>
        <v>4263</v>
      </c>
      <c r="C34" s="71" t="n">
        <f aca="false">INDEX('Pipeline calc'!$F$253:$F$278,MATCH($C$4,'Pipeline calc'!$A$3:$A$28,0))</f>
        <v>1725.2</v>
      </c>
      <c r="D34" s="71" t="n">
        <f aca="false">INDEX('Pipeline calc'!$F$282:$F$307,MATCH($C$4,'Pipeline calc'!$A$3:$A$28,0))</f>
        <v>2537.8</v>
      </c>
      <c r="E34" s="71" t="n">
        <f aca="false">INDEX('Pipeline calc'!$F$311:$F$336,MATCH($C$4,'Pipeline calc'!$A$3:$A$28,0))</f>
        <v>2584.225</v>
      </c>
      <c r="F34" s="71" t="n">
        <f aca="false">INDEX('Pipeline calc'!$F$340:$F$365,MATCH($C$4,'Pipeline calc'!$A$3:$A$28,0))</f>
        <v>2156.86991869919</v>
      </c>
      <c r="G34" s="71" t="n">
        <f aca="false">INDEX('Pipeline calc'!$F$369:$F$394,MATCH($C$4,'Pipeline calc'!$A$3:$A$28,0))</f>
        <v>1011.66666666668</v>
      </c>
    </row>
    <row r="35" customFormat="false" ht="15" hidden="false" customHeight="false" outlineLevel="0" collapsed="false">
      <c r="A35" s="0" t="n">
        <v>2029</v>
      </c>
      <c r="B35" s="71" t="n">
        <f aca="false">INDEX('Pipeline calc'!$G$224:$G$249,MATCH($C$4,'Pipeline calc'!$A$3:$A$28,0))</f>
        <v>4263</v>
      </c>
      <c r="C35" s="71" t="n">
        <f aca="false">INDEX('Pipeline calc'!$G$253:$G$278,MATCH($C$4,'Pipeline calc'!$A$3:$A$28,0))</f>
        <v>1954.7</v>
      </c>
      <c r="D35" s="71" t="n">
        <f aca="false">INDEX('Pipeline calc'!$G$282:$G$307,MATCH($C$4,'Pipeline calc'!$A$3:$A$28,0))</f>
        <v>2308.3</v>
      </c>
      <c r="E35" s="71" t="n">
        <f aca="false">INDEX('Pipeline calc'!$G$311:$G$336,MATCH($C$4,'Pipeline calc'!$A$3:$A$28,0))</f>
        <v>2707.7</v>
      </c>
      <c r="F35" s="71" t="n">
        <f aca="false">INDEX('Pipeline calc'!$G$340:$G$365,MATCH($C$4,'Pipeline calc'!$A$3:$A$28,0))</f>
        <v>1844.51219512197</v>
      </c>
      <c r="G35" s="71" t="n">
        <f aca="false">INDEX('Pipeline calc'!$G$369:$G$394,MATCH($C$4,'Pipeline calc'!$A$3:$A$28,0))</f>
        <v>2484.02439024392</v>
      </c>
    </row>
    <row r="36" customFormat="false" ht="15" hidden="false" customHeight="false" outlineLevel="0" collapsed="false">
      <c r="A36" s="0" t="n">
        <v>2030</v>
      </c>
      <c r="B36" s="71" t="n">
        <f aca="false">INDEX('Pipeline calc'!$H$224:$H$249,MATCH($C$4,'Pipeline calc'!$A$3:$A$28,0))</f>
        <v>4263</v>
      </c>
      <c r="C36" s="71" t="n">
        <f aca="false">INDEX('Pipeline calc'!$H$253:$H$278,MATCH($C$4,'Pipeline calc'!$A$3:$A$28,0))</f>
        <v>851</v>
      </c>
      <c r="D36" s="71" t="n">
        <f aca="false">INDEX('Pipeline calc'!$H$282:$H$307,MATCH($C$4,'Pipeline calc'!$A$3:$A$28,0))</f>
        <v>3412</v>
      </c>
      <c r="E36" s="71" t="n">
        <f aca="false">INDEX('Pipeline calc'!$H$311:$H$336,MATCH($C$4,'Pipeline calc'!$A$3:$A$28,0))</f>
        <v>988.100000000011</v>
      </c>
      <c r="F36" s="71" t="n">
        <f aca="false">INDEX('Pipeline calc'!$H$340:$H$365,MATCH($C$4,'Pipeline calc'!$A$3:$A$28,0))</f>
        <v>2643.90243902441</v>
      </c>
      <c r="G36" s="71" t="n">
        <f aca="false">INDEX('Pipeline calc'!$H$369:$H$394,MATCH($C$4,'Pipeline calc'!$A$3:$A$28,0))</f>
        <v>2643.90243902441</v>
      </c>
    </row>
    <row r="37" customFormat="false" ht="15" hidden="false" customHeight="false" outlineLevel="0" collapsed="false">
      <c r="A37" s="0" t="n">
        <v>2031</v>
      </c>
      <c r="B37" s="71" t="n">
        <f aca="false">INDEX('Pipeline calc'!$I$224:$I$249,MATCH($C$4,'Pipeline calc'!$A$3:$A$28,0))</f>
        <v>2168</v>
      </c>
      <c r="C37" s="71" t="n">
        <f aca="false">INDEX('Pipeline calc'!$I$253:$I$278,MATCH($C$4,'Pipeline calc'!$A$3:$A$28,0))</f>
        <v>1573.2</v>
      </c>
      <c r="D37" s="71" t="n">
        <f aca="false">INDEX('Pipeline calc'!$I$282:$I$307,MATCH($C$4,'Pipeline calc'!$A$3:$A$28,0))</f>
        <v>594.800000000012</v>
      </c>
      <c r="E37" s="71" t="n">
        <f aca="false">INDEX('Pipeline calc'!$I$311:$I$336,MATCH($C$4,'Pipeline calc'!$A$3:$A$28,0))</f>
        <v>2168.00000000001</v>
      </c>
      <c r="F37" s="71" t="n">
        <f aca="false">INDEX('Pipeline calc'!$I$340:$I$365,MATCH($C$4,'Pipeline calc'!$A$3:$A$28,0))</f>
        <v>2643.90243902441</v>
      </c>
      <c r="G37" s="71" t="n">
        <f aca="false">INDEX('Pipeline calc'!$I$369:$I$394,MATCH($C$4,'Pipeline calc'!$A$3:$A$28,0))</f>
        <v>2643.90243902441</v>
      </c>
    </row>
    <row r="38" customFormat="false" ht="15" hidden="false" customHeight="false" outlineLevel="0" collapsed="false">
      <c r="A38" s="0" t="n">
        <v>2032</v>
      </c>
      <c r="B38" s="71" t="n">
        <f aca="false">INDEX('Pipeline calc'!$J$224:$J$249,MATCH($C$4,'Pipeline calc'!$A$3:$A$28,0))</f>
        <v>2168</v>
      </c>
      <c r="C38" s="71" t="n">
        <f aca="false">INDEX('Pipeline calc'!$J$253:$J$278,MATCH($C$4,'Pipeline calc'!$A$3:$A$28,0))</f>
        <v>0</v>
      </c>
      <c r="D38" s="71" t="n">
        <f aca="false">INDEX('Pipeline calc'!$J$282:$J$307,MATCH($C$4,'Pipeline calc'!$A$3:$A$28,0))</f>
        <v>2168.00000000001</v>
      </c>
      <c r="E38" s="71" t="n">
        <f aca="false">INDEX('Pipeline calc'!$J$311:$J$336,MATCH($C$4,'Pipeline calc'!$A$3:$A$28,0))</f>
        <v>2168.00000000001</v>
      </c>
      <c r="F38" s="71" t="n">
        <f aca="false">INDEX('Pipeline calc'!$J$340:$J$365,MATCH($C$4,'Pipeline calc'!$A$3:$A$28,0))</f>
        <v>2591.97154471544</v>
      </c>
      <c r="G38" s="71" t="n">
        <f aca="false">INDEX('Pipeline calc'!$J$369:$J$394,MATCH($C$4,'Pipeline calc'!$A$3:$A$28,0))</f>
        <v>2562.29674796747</v>
      </c>
    </row>
    <row r="39" customFormat="false" ht="15" hidden="false" customHeight="false" outlineLevel="0" collapsed="false">
      <c r="A39" s="0" t="n">
        <v>2033</v>
      </c>
      <c r="B39" s="71" t="n">
        <f aca="false">INDEX('Pipeline calc'!$K$224:$K$249,MATCH($C$4,'Pipeline calc'!$A$3:$A$28,0))</f>
        <v>2168</v>
      </c>
      <c r="C39" s="71" t="n">
        <f aca="false">INDEX('Pipeline calc'!$K$253:$K$278,MATCH($C$4,'Pipeline calc'!$A$3:$A$28,0))</f>
        <v>0</v>
      </c>
      <c r="D39" s="71" t="n">
        <f aca="false">INDEX('Pipeline calc'!$K$282:$K$307,MATCH($C$4,'Pipeline calc'!$A$3:$A$28,0))</f>
        <v>2168.00000000001</v>
      </c>
      <c r="E39" s="71" t="n">
        <f aca="false">INDEX('Pipeline calc'!$K$311:$K$336,MATCH($C$4,'Pipeline calc'!$A$3:$A$28,0))</f>
        <v>2149.75000000001</v>
      </c>
      <c r="F39" s="71" t="n">
        <f aca="false">INDEX('Pipeline calc'!$K$340:$K$365,MATCH($C$4,'Pipeline calc'!$A$3:$A$28,0))</f>
        <v>2193.49593495935</v>
      </c>
      <c r="G39" s="71" t="n">
        <f aca="false">INDEX('Pipeline calc'!$K$369:$K$394,MATCH($C$4,'Pipeline calc'!$A$3:$A$28,0))</f>
        <v>1986.9918699187</v>
      </c>
    </row>
    <row r="40" customFormat="false" ht="15" hidden="false" customHeight="false" outlineLevel="0" collapsed="false">
      <c r="A40" s="0" t="n">
        <v>2034</v>
      </c>
      <c r="B40" s="71" t="n">
        <f aca="false">INDEX('Pipeline calc'!$L$224:$L$249,MATCH($C$4,'Pipeline calc'!$A$3:$A$28,0))</f>
        <v>2168</v>
      </c>
      <c r="C40" s="71" t="n">
        <f aca="false">INDEX('Pipeline calc'!$L$253:$L$278,MATCH($C$4,'Pipeline calc'!$A$3:$A$28,0))</f>
        <v>0</v>
      </c>
      <c r="D40" s="71" t="n">
        <f aca="false">INDEX('Pipeline calc'!$L$282:$L$307,MATCH($C$4,'Pipeline calc'!$A$3:$A$28,0))</f>
        <v>2168.00000000002</v>
      </c>
      <c r="E40" s="71" t="n">
        <f aca="false">INDEX('Pipeline calc'!$L$311:$L$336,MATCH($C$4,'Pipeline calc'!$A$3:$A$28,0))</f>
        <v>1967.99999999999</v>
      </c>
      <c r="F40" s="71" t="n">
        <f aca="false">INDEX('Pipeline calc'!$L$340:$L$365,MATCH($C$4,'Pipeline calc'!$A$3:$A$28,0))</f>
        <v>1926.11788617887</v>
      </c>
      <c r="G40" s="71" t="n">
        <f aca="false">INDEX('Pipeline calc'!$L$369:$L$394,MATCH($C$4,'Pipeline calc'!$A$3:$A$28,0))</f>
        <v>1920.83333333335</v>
      </c>
    </row>
    <row r="41" customFormat="false" ht="15" hidden="false" customHeight="false" outlineLevel="0" collapsed="false">
      <c r="A41" s="0" t="n">
        <v>2035</v>
      </c>
      <c r="B41" s="71" t="n">
        <f aca="false">INDEX('Pipeline calc'!$M$224:$M$249,MATCH($C$4,'Pipeline calc'!$A$3:$A$28,0))</f>
        <v>2095</v>
      </c>
      <c r="C41" s="71" t="n">
        <f aca="false">INDEX('Pipeline calc'!$M$253:$M$278,MATCH($C$4,'Pipeline calc'!$A$3:$A$28,0))</f>
        <v>0</v>
      </c>
      <c r="D41" s="71" t="n">
        <f aca="false">INDEX('Pipeline calc'!$M$282:$M$307,MATCH($C$4,'Pipeline calc'!$A$3:$A$28,0))</f>
        <v>2094.99999999999</v>
      </c>
      <c r="E41" s="71" t="n">
        <f aca="false">INDEX('Pipeline calc'!$M$311:$M$336,MATCH($C$4,'Pipeline calc'!$A$3:$A$28,0))</f>
        <v>1583.75</v>
      </c>
      <c r="F41" s="71" t="n">
        <f aca="false">INDEX('Pipeline calc'!$M$340:$M$365,MATCH($C$4,'Pipeline calc'!$A$3:$A$28,0))</f>
        <v>1905.99593495935</v>
      </c>
      <c r="G41" s="71" t="n">
        <f aca="false">INDEX('Pipeline calc'!$M$369:$M$394,MATCH($C$4,'Pipeline calc'!$A$3:$A$28,0))</f>
        <v>1898.27235772358</v>
      </c>
    </row>
    <row r="42" customFormat="false" ht="15" hidden="false" customHeight="false" outlineLevel="0" collapsed="false">
      <c r="A42" s="0" t="n">
        <v>2036</v>
      </c>
      <c r="B42" s="71" t="n">
        <f aca="false">INDEX('Pipeline calc'!$N$224:$N$249,MATCH($C$4,'Pipeline calc'!$A$3:$A$28,0))</f>
        <v>1587</v>
      </c>
      <c r="C42" s="71" t="n">
        <f aca="false">INDEX('Pipeline calc'!$N$253:$N$278,MATCH($C$4,'Pipeline calc'!$A$3:$A$28,0))</f>
        <v>0</v>
      </c>
      <c r="D42" s="71" t="n">
        <f aca="false">INDEX('Pipeline calc'!$N$282:$N$307,MATCH($C$4,'Pipeline calc'!$A$3:$A$28,0))</f>
        <v>1587</v>
      </c>
      <c r="E42" s="71" t="n">
        <f aca="false">INDEX('Pipeline calc'!$N$311:$N$336,MATCH($C$4,'Pipeline calc'!$A$3:$A$28,0))</f>
        <v>1569.25000000001</v>
      </c>
      <c r="F42" s="71" t="n">
        <f aca="false">INDEX('Pipeline calc'!$N$340:$N$365,MATCH($C$4,'Pipeline calc'!$A$3:$A$28,0))</f>
        <v>1886.38211382113</v>
      </c>
      <c r="G42" s="71" t="n">
        <f aca="false">INDEX('Pipeline calc'!$N$369:$N$394,MATCH($C$4,'Pipeline calc'!$A$3:$A$28,0))</f>
        <v>1880.69105691054</v>
      </c>
    </row>
    <row r="43" customFormat="false" ht="15" hidden="false" customHeight="false" outlineLevel="0" collapsed="false">
      <c r="A43" s="0" t="n">
        <v>2037</v>
      </c>
      <c r="B43" s="71" t="n">
        <f aca="false">INDEX('Pipeline calc'!$O$224:$O$249,MATCH($C$4,'Pipeline calc'!$A$3:$A$28,0))</f>
        <v>1574</v>
      </c>
      <c r="C43" s="71" t="n">
        <f aca="false">INDEX('Pipeline calc'!$O$253:$O$278,MATCH($C$4,'Pipeline calc'!$A$3:$A$28,0))</f>
        <v>0</v>
      </c>
      <c r="D43" s="71" t="n">
        <f aca="false">INDEX('Pipeline calc'!$O$282:$O$307,MATCH($C$4,'Pipeline calc'!$A$3:$A$28,0))</f>
        <v>1574.00000000001</v>
      </c>
      <c r="E43" s="71" t="n">
        <f aca="false">INDEX('Pipeline calc'!$O$311:$O$336,MATCH($C$4,'Pipeline calc'!$A$3:$A$28,0))</f>
        <v>1551.5</v>
      </c>
      <c r="F43" s="71" t="n">
        <f aca="false">INDEX('Pipeline calc'!$O$340:$O$365,MATCH($C$4,'Pipeline calc'!$A$3:$A$28,0))</f>
        <v>1867.88617886179</v>
      </c>
      <c r="G43" s="71" t="n">
        <f aca="false">INDEX('Pipeline calc'!$O$369:$O$394,MATCH($C$4,'Pipeline calc'!$A$3:$A$28,0))</f>
        <v>1861.38211382117</v>
      </c>
    </row>
    <row r="44" customFormat="false" ht="15" hidden="false" customHeight="false" outlineLevel="0" collapsed="false">
      <c r="A44" s="0" t="n">
        <v>2038</v>
      </c>
      <c r="B44" s="71" t="n">
        <f aca="false">INDEX('Pipeline calc'!$P$224:$P$249,MATCH($C$4,'Pipeline calc'!$A$3:$A$28,0))</f>
        <v>1555</v>
      </c>
      <c r="C44" s="71" t="n">
        <f aca="false">INDEX('Pipeline calc'!$P$253:$P$278,MATCH($C$4,'Pipeline calc'!$A$3:$A$28,0))</f>
        <v>0</v>
      </c>
      <c r="D44" s="71" t="n">
        <f aca="false">INDEX('Pipeline calc'!$P$282:$P$307,MATCH($C$4,'Pipeline calc'!$A$3:$A$28,0))</f>
        <v>1555</v>
      </c>
      <c r="E44" s="71" t="n">
        <f aca="false">INDEX('Pipeline calc'!$P$311:$P$336,MATCH($C$4,'Pipeline calc'!$A$3:$A$28,0))</f>
        <v>1536.99999999999</v>
      </c>
      <c r="F44" s="71" t="n">
        <f aca="false">INDEX('Pipeline calc'!$P$340:$P$365,MATCH($C$4,'Pipeline calc'!$A$3:$A$28,0))</f>
        <v>774.898373983755</v>
      </c>
      <c r="G44" s="71" t="n">
        <f aca="false">INDEX('Pipeline calc'!$P$369:$P$394,MATCH($C$4,'Pipeline calc'!$A$3:$A$28,0))</f>
        <v>154.979674796751</v>
      </c>
    </row>
    <row r="45" customFormat="false" ht="15" hidden="false" customHeight="false" outlineLevel="0" collapsed="false">
      <c r="A45" s="0" t="n">
        <v>2039</v>
      </c>
      <c r="B45" s="71" t="n">
        <f aca="false">INDEX('Pipeline calc'!$Q$224:$Q$249,MATCH($C$4,'Pipeline calc'!$A$3:$A$28,0))</f>
        <v>1541</v>
      </c>
      <c r="C45" s="71" t="n">
        <f aca="false">INDEX('Pipeline calc'!$Q$253:$Q$278,MATCH($C$4,'Pipeline calc'!$A$3:$A$28,0))</f>
        <v>0</v>
      </c>
      <c r="D45" s="71" t="n">
        <f aca="false">INDEX('Pipeline calc'!$Q$282:$Q$307,MATCH($C$4,'Pipeline calc'!$A$3:$A$28,0))</f>
        <v>1540.99999999997</v>
      </c>
      <c r="E45" s="71" t="n">
        <f aca="false">INDEX('Pipeline calc'!$Q$311:$Q$336,MATCH($C$4,'Pipeline calc'!$A$3:$A$28,0))</f>
        <v>1143.75000000002</v>
      </c>
      <c r="F45" s="71" t="n">
        <f aca="false">INDEX('Pipeline calc'!$Q$340:$Q$365,MATCH($C$4,'Pipeline calc'!$A$3:$A$28,0))</f>
        <v>0</v>
      </c>
      <c r="G45" s="71" t="n">
        <f aca="false">INDEX('Pipeline calc'!$Q$369:$Q$394,MATCH($C$4,'Pipeline calc'!$A$3:$A$28,0))</f>
        <v>0</v>
      </c>
    </row>
    <row r="46" customFormat="false" ht="15" hidden="false" customHeight="false" outlineLevel="0" collapsed="false">
      <c r="A46" s="0" t="n">
        <v>2040</v>
      </c>
      <c r="B46" s="71" t="n">
        <f aca="false">INDEX('Pipeline calc'!$R$224:$R$249,MATCH($C$4,'Pipeline calc'!$A$3:$A$28,0))</f>
        <v>1525</v>
      </c>
      <c r="C46" s="71" t="n">
        <f aca="false">INDEX('Pipeline calc'!$R$253:$R$278,MATCH($C$4,'Pipeline calc'!$A$3:$A$28,0))</f>
        <v>0</v>
      </c>
      <c r="D46" s="71" t="n">
        <f aca="false">INDEX('Pipeline calc'!$R$282:$R$307,MATCH($C$4,'Pipeline calc'!$A$3:$A$28,0))</f>
        <v>1525.00000000003</v>
      </c>
      <c r="E46" s="71" t="n">
        <f aca="false">INDEX('Pipeline calc'!$R$311:$R$336,MATCH($C$4,'Pipeline calc'!$A$3:$A$28,0))</f>
        <v>0</v>
      </c>
      <c r="F46" s="71" t="n">
        <f aca="false">INDEX('Pipeline calc'!$R$340:$R$365,MATCH($C$4,'Pipeline calc'!$A$3:$A$28,0))</f>
        <v>0</v>
      </c>
      <c r="G46" s="71" t="n">
        <f aca="false">INDEX('Pipeline calc'!$R$369:$R$394,MATCH($C$4,'Pipeline calc'!$A$3:$A$28,0))</f>
        <v>0</v>
      </c>
    </row>
    <row r="47" customFormat="false" ht="15" hidden="false" customHeight="false" outlineLevel="0" collapsed="false">
      <c r="A47" s="18" t="s">
        <v>61</v>
      </c>
      <c r="B47" s="65" t="n">
        <f aca="false">SUM(B31:B46)</f>
        <v>36593.7534246575</v>
      </c>
      <c r="C47" s="65" t="n">
        <f aca="false">SUM(C31:C46)</f>
        <v>8695</v>
      </c>
      <c r="D47" s="65" t="n">
        <f aca="false">SUM(D31:D46)</f>
        <v>27898.7534246576</v>
      </c>
      <c r="E47" s="65" t="n">
        <f aca="false">SUM(E31:E46)</f>
        <v>27898.7534246576</v>
      </c>
      <c r="F47" s="65" t="n">
        <f aca="false">SUM(F31:F46)</f>
        <v>34022.8700300702</v>
      </c>
      <c r="G47" s="65" t="n">
        <f aca="false">SUM(G31:G46)</f>
        <v>34022.8700300702</v>
      </c>
    </row>
    <row r="48" customFormat="false" ht="15" hidden="false" customHeight="false" outlineLevel="0" collapsed="false">
      <c r="A48" s="18" t="s">
        <v>381</v>
      </c>
      <c r="C48" s="18" t="n">
        <v>2018</v>
      </c>
      <c r="D48" s="18" t="n">
        <v>2019</v>
      </c>
      <c r="E48" s="18" t="n">
        <v>2020</v>
      </c>
      <c r="F48" s="18" t="n">
        <v>2021</v>
      </c>
      <c r="G48" s="18" t="n">
        <v>2022</v>
      </c>
      <c r="H48" s="18" t="n">
        <v>2023</v>
      </c>
      <c r="I48" s="18" t="n">
        <v>2024</v>
      </c>
      <c r="J48" s="18" t="n">
        <v>2025</v>
      </c>
    </row>
    <row r="49" customFormat="false" ht="15" hidden="false" customHeight="false" outlineLevel="0" collapsed="false">
      <c r="A49" s="19" t="s">
        <v>382</v>
      </c>
      <c r="C49" s="71" t="n">
        <v>655</v>
      </c>
      <c r="D49" s="71" t="n">
        <v>460</v>
      </c>
      <c r="E49" s="71" t="n">
        <v>622</v>
      </c>
      <c r="F49" s="71" t="n">
        <v>1132</v>
      </c>
      <c r="G49" s="71" t="n">
        <v>1616</v>
      </c>
      <c r="H49" s="71" t="n">
        <v>880</v>
      </c>
      <c r="I49" s="71" t="n">
        <v>1402</v>
      </c>
      <c r="J49" s="71" t="n">
        <v>1113</v>
      </c>
    </row>
    <row r="50" customFormat="false" ht="15" hidden="false" customHeight="false" outlineLevel="0" collapsed="false">
      <c r="A50" s="45" t="s">
        <v>383</v>
      </c>
    </row>
    <row r="52" customFormat="false" ht="15" hidden="false" customHeight="false" outlineLevel="0" collapsed="false">
      <c r="A52" s="61" t="s">
        <v>384</v>
      </c>
    </row>
    <row r="53" customFormat="false" ht="15" hidden="false" customHeight="false" outlineLevel="0" collapsed="false">
      <c r="A53" s="45" t="str">
        <f aca="false">"Using "&amp;$C$4&amp;"'s own mix from its tab (set by the Intro levers), applied to every year."</f>
        <v>Using Limerick's own mix from its tab (set by the Intro levers), applied to every year.</v>
      </c>
    </row>
    <row r="54" customFormat="false" ht="15" hidden="false" customHeight="false" outlineLevel="0" collapsed="false">
      <c r="B54" s="72" t="s">
        <v>109</v>
      </c>
      <c r="C54" s="72" t="s">
        <v>110</v>
      </c>
      <c r="D54" s="72" t="s">
        <v>111</v>
      </c>
      <c r="E54" s="72" t="s">
        <v>112</v>
      </c>
      <c r="F54" s="72" t="s">
        <v>385</v>
      </c>
      <c r="G54" s="72" t="s">
        <v>386</v>
      </c>
      <c r="H54" s="72" t="s">
        <v>387</v>
      </c>
    </row>
    <row r="55" customFormat="false" ht="15" hidden="false" customHeight="false" outlineLevel="0" collapsed="false">
      <c r="A55" s="18" t="s">
        <v>388</v>
      </c>
      <c r="B55" s="76" t="n">
        <f aca="false">INDEX('Pipeline calc'!$AD$3:$AD$28,MATCH($C$4,'Pipeline calc'!$A$3:$A$28,0))</f>
        <v>0.241232310532536</v>
      </c>
      <c r="C55" s="76" t="n">
        <f aca="false">INDEX('Pipeline calc'!$AE$3:$AE$28,MATCH($C$4,'Pipeline calc'!$A$3:$A$28,0))</f>
        <v>0.310276701040081</v>
      </c>
      <c r="D55" s="76" t="n">
        <f aca="false">INDEX('Pipeline calc'!$AF$3:$AF$28,MATCH($C$4,'Pipeline calc'!$A$3:$A$28,0))</f>
        <v>0.186995546413276</v>
      </c>
      <c r="E55" s="76" t="n">
        <f aca="false">INDEX('Pipeline calc'!$AG$3:$AG$28,MATCH($C$4,'Pipeline calc'!$A$3:$A$28,0))</f>
        <v>0.261495442014109</v>
      </c>
      <c r="F55" s="76" t="n">
        <f aca="false">INDEX('Pipeline calc'!$AH$3:$AH$28,MATCH($C$4,'Pipeline calc'!$A$3:$A$28,0))</f>
        <v>0.664333910251587</v>
      </c>
      <c r="G55" s="76" t="n">
        <f aca="false">INDEX('Pipeline calc'!$AI$3:$AI$28,MATCH($C$4,'Pipeline calc'!$A$3:$A$28,0))</f>
        <v>0.12589359620739</v>
      </c>
      <c r="H55" s="76" t="n">
        <f aca="false">INDEX('Pipeline calc'!$AJ$3:$AJ$28,MATCH($C$4,'Pipeline calc'!$A$3:$A$28,0))</f>
        <v>0.209772493541024</v>
      </c>
    </row>
    <row r="56" customFormat="false" ht="15" hidden="false" customHeight="false" outlineLevel="0" collapsed="false">
      <c r="A56" s="18" t="s">
        <v>389</v>
      </c>
      <c r="B56" s="71" t="n">
        <f aca="false">B55*$C$24</f>
        <v>6450.51275887408</v>
      </c>
      <c r="C56" s="71" t="n">
        <f aca="false">C55*$C$24</f>
        <v>8296.74853431567</v>
      </c>
      <c r="D56" s="71" t="n">
        <f aca="false">D55*$C$24</f>
        <v>5000.2305053111</v>
      </c>
      <c r="E56" s="71" t="n">
        <f aca="false">E55*$C$24</f>
        <v>6992.34559987321</v>
      </c>
      <c r="F56" s="71" t="n">
        <f aca="false">F55*$C$24</f>
        <v>17764.1807383534</v>
      </c>
      <c r="G56" s="71" t="n">
        <f aca="false">G55*$C$24</f>
        <v>3366.37429208216</v>
      </c>
      <c r="H56" s="71" t="n">
        <f aca="false">H55*$C$24</f>
        <v>5609.28236793845</v>
      </c>
    </row>
    <row r="59" customFormat="false" ht="15" hidden="false" customHeight="false" outlineLevel="0" collapsed="false">
      <c r="A59" s="61" t="s">
        <v>390</v>
      </c>
    </row>
    <row r="60" customFormat="false" ht="30" hidden="false" customHeight="true" outlineLevel="0" collapsed="false">
      <c r="A60" s="47" t="s">
        <v>339</v>
      </c>
      <c r="B60" s="47" t="s">
        <v>369</v>
      </c>
      <c r="C60" s="47" t="s">
        <v>391</v>
      </c>
      <c r="D60" s="47" t="s">
        <v>370</v>
      </c>
      <c r="E60" s="47" t="s">
        <v>371</v>
      </c>
      <c r="F60" s="47" t="s">
        <v>372</v>
      </c>
    </row>
    <row r="61" customFormat="false" ht="15" hidden="false" customHeight="false" outlineLevel="0" collapsed="false">
      <c r="A61" s="55" t="str">
        <f aca="false">'Pipeline calc'!A399</f>
        <v>Limerick</v>
      </c>
      <c r="B61" s="57" t="n">
        <f aca="false">'Pipeline calc'!B399</f>
        <v>27898.7534246576</v>
      </c>
      <c r="C61" s="57" t="n">
        <f aca="false">'Pipeline calc'!C399</f>
        <v>7283.03263169618</v>
      </c>
      <c r="D61" s="57" t="n">
        <f aca="false">'Pipeline calc'!D399</f>
        <v>26739.8373983741</v>
      </c>
      <c r="E61" s="57" t="n">
        <f aca="false">'Pipeline calc'!E399</f>
        <v>2303.99912366384</v>
      </c>
      <c r="F61" s="57" t="n">
        <f aca="false">'Pipeline calc'!F399</f>
        <v>25566.9207317074</v>
      </c>
    </row>
    <row r="62" customFormat="false" ht="15" hidden="false" customHeight="false" outlineLevel="0" collapsed="false">
      <c r="A62" s="0" t="str">
        <f aca="false">'Pipeline calc'!A400</f>
        <v>Ballinacurra</v>
      </c>
      <c r="B62" s="71" t="n">
        <f aca="false">'Pipeline calc'!B400</f>
        <v>711.40756995313</v>
      </c>
      <c r="C62" s="71" t="n">
        <f aca="false">'Pipeline calc'!C400</f>
        <v>94.462114995896</v>
      </c>
      <c r="D62" s="71" t="n">
        <f aca="false">'Pipeline calc'!D400</f>
        <v>773.108092264019</v>
      </c>
      <c r="E62" s="71" t="n">
        <f aca="false">'Pipeline calc'!E400</f>
        <v>66.6137321830547</v>
      </c>
      <c r="F62" s="71" t="n">
        <f aca="false">'Pipeline calc'!F400</f>
        <v>752.406487033206</v>
      </c>
    </row>
    <row r="63" customFormat="false" ht="15" hidden="false" customHeight="false" outlineLevel="0" collapsed="false">
      <c r="A63" s="0" t="str">
        <f aca="false">'Pipeline calc'!A401</f>
        <v>Caherdavin</v>
      </c>
      <c r="B63" s="71" t="n">
        <f aca="false">'Pipeline calc'!B401</f>
        <v>3394.03282840545</v>
      </c>
      <c r="C63" s="71" t="n">
        <f aca="false">'Pipeline calc'!C401</f>
        <v>656.847514169108</v>
      </c>
      <c r="D63" s="71" t="n">
        <f aca="false">'Pipeline calc'!D401</f>
        <v>3482.21691071559</v>
      </c>
      <c r="E63" s="71" t="n">
        <f aca="false">'Pipeline calc'!E401</f>
        <v>300.040145763338</v>
      </c>
      <c r="F63" s="71" t="n">
        <f aca="false">'Pipeline calc'!F401</f>
        <v>3369.828141842</v>
      </c>
    </row>
    <row r="64" customFormat="false" ht="15" hidden="false" customHeight="false" outlineLevel="0" collapsed="false">
      <c r="A64" s="0" t="str">
        <f aca="false">'Pipeline calc'!A402</f>
        <v>Castletroy/Annacotty</v>
      </c>
      <c r="B64" s="71" t="n">
        <f aca="false">'Pipeline calc'!B402</f>
        <v>3155.60090935027</v>
      </c>
      <c r="C64" s="71" t="n">
        <f aca="false">'Pipeline calc'!C402</f>
        <v>994.273118521272</v>
      </c>
      <c r="D64" s="71" t="n">
        <f aca="false">'Pipeline calc'!D402</f>
        <v>2854.02067336931</v>
      </c>
      <c r="E64" s="71" t="n">
        <f aca="false">'Pipeline calc'!E402</f>
        <v>245.912532391135</v>
      </c>
      <c r="F64" s="71" t="n">
        <f aca="false">'Pipeline calc'!F402</f>
        <v>2778.00272550594</v>
      </c>
    </row>
    <row r="65" customFormat="false" ht="15" hidden="false" customHeight="false" outlineLevel="0" collapsed="false">
      <c r="A65" s="0" t="str">
        <f aca="false">'Pipeline calc'!A403</f>
        <v>City Centre</v>
      </c>
      <c r="B65" s="71" t="n">
        <f aca="false">'Pipeline calc'!B403</f>
        <v>3821.00999525946</v>
      </c>
      <c r="C65" s="71" t="n">
        <f aca="false">'Pipeline calc'!C403</f>
        <v>1172.23182195481</v>
      </c>
      <c r="D65" s="71" t="n">
        <f aca="false">'Pipeline calc'!D403</f>
        <v>3487.53646494697</v>
      </c>
      <c r="E65" s="71" t="n">
        <f aca="false">'Pipeline calc'!E403</f>
        <v>300.498497401936</v>
      </c>
      <c r="F65" s="71" t="n">
        <f aca="false">'Pipeline calc'!F403</f>
        <v>3344.01269080026</v>
      </c>
    </row>
    <row r="66" customFormat="false" ht="15" hidden="false" customHeight="false" outlineLevel="0" collapsed="false">
      <c r="A66" s="0" t="str">
        <f aca="false">'Pipeline calc'!A404</f>
        <v>Corbally/Grove Island</v>
      </c>
      <c r="B66" s="71" t="n">
        <f aca="false">'Pipeline calc'!B404</f>
        <v>1109.47398502134</v>
      </c>
      <c r="C66" s="71" t="n">
        <f aca="false">'Pipeline calc'!C404</f>
        <v>361.475098615754</v>
      </c>
      <c r="D66" s="71" t="n">
        <f aca="false">'Pipeline calc'!D404</f>
        <v>991.541956288323</v>
      </c>
      <c r="E66" s="71" t="n">
        <f aca="false">'Pipeline calc'!E404</f>
        <v>85.4347677709938</v>
      </c>
      <c r="F66" s="71" t="n">
        <f aca="false">'Pipeline calc'!F404</f>
        <v>930.344199466164</v>
      </c>
    </row>
    <row r="67" customFormat="false" ht="15" hidden="false" customHeight="false" outlineLevel="0" collapsed="false">
      <c r="A67" s="0" t="str">
        <f aca="false">'Pipeline calc'!A405</f>
        <v>Dooradoyle</v>
      </c>
      <c r="B67" s="71" t="n">
        <f aca="false">'Pipeline calc'!B405</f>
        <v>3202.15398930957</v>
      </c>
      <c r="C67" s="71" t="n">
        <f aca="false">'Pipeline calc'!C405</f>
        <v>580.88259955936</v>
      </c>
      <c r="D67" s="71" t="n">
        <f aca="false">'Pipeline calc'!D405</f>
        <v>3324.18324106207</v>
      </c>
      <c r="E67" s="71" t="n">
        <f aca="false">'Pipeline calc'!E405</f>
        <v>286.423404907119</v>
      </c>
      <c r="F67" s="71" t="n">
        <f aca="false">'Pipeline calc'!F405</f>
        <v>3226.21965172081</v>
      </c>
    </row>
    <row r="68" customFormat="false" ht="15" hidden="false" customHeight="false" outlineLevel="0" collapsed="false">
      <c r="A68" s="0" t="str">
        <f aca="false">'Pipeline calc'!A406</f>
        <v>Kings Island</v>
      </c>
      <c r="B68" s="71" t="n">
        <f aca="false">'Pipeline calc'!B406</f>
        <v>531.384452600265</v>
      </c>
      <c r="C68" s="71" t="n">
        <f aca="false">'Pipeline calc'!C406</f>
        <v>167.283361545805</v>
      </c>
      <c r="D68" s="71" t="n">
        <f aca="false">'Pipeline calc'!D406</f>
        <v>480.74645869842</v>
      </c>
      <c r="E68" s="71" t="n">
        <f aca="false">'Pipeline calc'!E406</f>
        <v>41.4228180614518</v>
      </c>
      <c r="F68" s="71" t="n">
        <f aca="false">'Pipeline calc'!F406</f>
        <v>456.290893800267</v>
      </c>
    </row>
    <row r="69" customFormat="false" ht="15" hidden="false" customHeight="false" outlineLevel="0" collapsed="false">
      <c r="A69" s="0" t="str">
        <f aca="false">'Pipeline calc'!A407</f>
        <v>Singland/Garryowen</v>
      </c>
      <c r="B69" s="71" t="n">
        <f aca="false">'Pipeline calc'!B407</f>
        <v>2649.13515125219</v>
      </c>
      <c r="C69" s="71" t="n">
        <f aca="false">'Pipeline calc'!C407</f>
        <v>781.842642970834</v>
      </c>
      <c r="D69" s="71" t="n">
        <f aca="false">'Pipeline calc'!D407</f>
        <v>2448.80998050745</v>
      </c>
      <c r="E69" s="71" t="n">
        <f aca="false">'Pipeline calc'!E407</f>
        <v>210.998143520928</v>
      </c>
      <c r="F69" s="71" t="n">
        <f aca="false">'Pipeline calc'!F407</f>
        <v>2291.05050702361</v>
      </c>
    </row>
    <row r="70" customFormat="false" ht="15" hidden="false" customHeight="false" outlineLevel="0" collapsed="false">
      <c r="A70" s="0" t="str">
        <f aca="false">'Pipeline calc'!A408</f>
        <v>Southhill</v>
      </c>
      <c r="B70" s="71" t="n">
        <f aca="false">'Pipeline calc'!B408</f>
        <v>1119.06935205859</v>
      </c>
      <c r="C70" s="71" t="n">
        <f aca="false">'Pipeline calc'!C408</f>
        <v>486.780162789297</v>
      </c>
      <c r="D70" s="71" t="n">
        <f aca="false">'Pipeline calc'!D408</f>
        <v>877.938559233378</v>
      </c>
      <c r="E70" s="71" t="n">
        <f aca="false">'Pipeline calc'!E408</f>
        <v>75.6462966086469</v>
      </c>
      <c r="F70" s="71" t="n">
        <f aca="false">'Pipeline calc'!F408</f>
        <v>806.426047991495</v>
      </c>
    </row>
    <row r="71" customFormat="false" ht="15" hidden="false" customHeight="false" outlineLevel="0" collapsed="false">
      <c r="A71" s="0" t="str">
        <f aca="false">'Pipeline calc'!A409</f>
        <v>Abbeyfeale</v>
      </c>
      <c r="B71" s="71" t="n">
        <f aca="false">'Pipeline calc'!B409</f>
        <v>408.01765524539</v>
      </c>
      <c r="C71" s="71" t="n">
        <f aca="false">'Pipeline calc'!C409</f>
        <v>98.7230273318342</v>
      </c>
      <c r="D71" s="71" t="n">
        <f aca="false">'Pipeline calc'!D409</f>
        <v>398.859479064983</v>
      </c>
      <c r="E71" s="71" t="n">
        <f aca="false">'Pipeline calc'!E409</f>
        <v>34.3671457885011</v>
      </c>
      <c r="F71" s="71" t="n">
        <f aca="false">'Pipeline calc'!F409</f>
        <v>384.241985965198</v>
      </c>
    </row>
    <row r="72" customFormat="false" ht="15" hidden="false" customHeight="false" outlineLevel="0" collapsed="false">
      <c r="A72" s="0" t="str">
        <f aca="false">'Pipeline calc'!A410</f>
        <v>Caherconlish</v>
      </c>
      <c r="B72" s="71" t="n">
        <f aca="false">'Pipeline calc'!B410</f>
        <v>293.596678283474</v>
      </c>
      <c r="C72" s="71" t="n">
        <f aca="false">'Pipeline calc'!C410</f>
        <v>107.037969336481</v>
      </c>
      <c r="D72" s="71" t="n">
        <f aca="false">'Pipeline calc'!D410</f>
        <v>251.006760277511</v>
      </c>
      <c r="E72" s="71" t="n">
        <f aca="false">'Pipeline calc'!E410</f>
        <v>21.6276317277924</v>
      </c>
      <c r="F72" s="71" t="n">
        <f aca="false">'Pipeline calc'!F410</f>
        <v>233.627374686846</v>
      </c>
    </row>
    <row r="73" customFormat="false" ht="15" hidden="false" customHeight="false" outlineLevel="0" collapsed="false">
      <c r="A73" s="0" t="str">
        <f aca="false">'Pipeline calc'!A411</f>
        <v>Castleconnell</v>
      </c>
      <c r="B73" s="71" t="n">
        <f aca="false">'Pipeline calc'!B411</f>
        <v>393.361995790345</v>
      </c>
      <c r="C73" s="71" t="n">
        <f aca="false">'Pipeline calc'!C411</f>
        <v>72.8908585935519</v>
      </c>
      <c r="D73" s="71" t="n">
        <f aca="false">'Pipeline calc'!D411</f>
        <v>406.818892370283</v>
      </c>
      <c r="E73" s="71" t="n">
        <f aca="false">'Pipeline calc'!E411</f>
        <v>35.0529570373536</v>
      </c>
      <c r="F73" s="71" t="n">
        <f aca="false">'Pipeline calc'!F411</f>
        <v>381.271937908296</v>
      </c>
    </row>
    <row r="74" customFormat="false" ht="15" hidden="false" customHeight="false" outlineLevel="0" collapsed="false">
      <c r="A74" s="0" t="str">
        <f aca="false">'Pipeline calc'!A412</f>
        <v>Kilmallock</v>
      </c>
      <c r="B74" s="71" t="n">
        <f aca="false">'Pipeline calc'!B412</f>
        <v>310.651507309386</v>
      </c>
      <c r="C74" s="71" t="n">
        <f aca="false">'Pipeline calc'!C412</f>
        <v>53.4101182137617</v>
      </c>
      <c r="D74" s="71" t="n">
        <f aca="false">'Pipeline calc'!D412</f>
        <v>325.433183383051</v>
      </c>
      <c r="E74" s="71" t="n">
        <f aca="false">'Pipeline calc'!E412</f>
        <v>28.0404760191726</v>
      </c>
      <c r="F74" s="71" t="n">
        <f aca="false">'Pipeline calc'!F412</f>
        <v>302.900607878874</v>
      </c>
    </row>
    <row r="75" customFormat="false" ht="15" hidden="false" customHeight="false" outlineLevel="0" collapsed="false">
      <c r="A75" s="0" t="str">
        <f aca="false">'Pipeline calc'!A413</f>
        <v>Newcastle West</v>
      </c>
      <c r="B75" s="71" t="n">
        <f aca="false">'Pipeline calc'!B413</f>
        <v>1436.45566635612</v>
      </c>
      <c r="C75" s="71" t="n">
        <f aca="false">'Pipeline calc'!C413</f>
        <v>346.787000934201</v>
      </c>
      <c r="D75" s="71" t="n">
        <f aca="false">'Pipeline calc'!D413</f>
        <v>1404.98820193912</v>
      </c>
      <c r="E75" s="71" t="n">
        <f aca="false">'Pipeline calc'!E413</f>
        <v>121.058761046266</v>
      </c>
      <c r="F75" s="71" t="n">
        <f aca="false">'Pipeline calc'!F413</f>
        <v>1314.3958329067</v>
      </c>
    </row>
    <row r="76" customFormat="false" ht="15" hidden="false" customHeight="false" outlineLevel="0" collapsed="false">
      <c r="A76" s="0" t="str">
        <f aca="false">'Pipeline calc'!A414</f>
        <v>Rathkeale</v>
      </c>
      <c r="B76" s="71" t="n">
        <f aca="false">'Pipeline calc'!B414</f>
        <v>333.805401239893</v>
      </c>
      <c r="C76" s="71" t="n">
        <f aca="false">'Pipeline calc'!C414</f>
        <v>112.292748446503</v>
      </c>
      <c r="D76" s="71" t="n">
        <f aca="false">'Pipeline calc'!D414</f>
        <v>294.787009163123</v>
      </c>
      <c r="E76" s="71" t="n">
        <f aca="false">'Pipeline calc'!E414</f>
        <v>25.3998930756631</v>
      </c>
      <c r="F76" s="71" t="n">
        <f aca="false">'Pipeline calc'!F414</f>
        <v>274.376335388039</v>
      </c>
    </row>
    <row r="77" customFormat="false" ht="15" hidden="false" customHeight="false" outlineLevel="0" collapsed="false">
      <c r="A77" s="0" t="str">
        <f aca="false">'Pipeline calc'!A415</f>
        <v>Adare</v>
      </c>
      <c r="B77" s="71" t="n">
        <f aca="false">'Pipeline calc'!B415</f>
        <v>115.391486376132</v>
      </c>
      <c r="C77" s="71" t="n">
        <f aca="false">'Pipeline calc'!C415</f>
        <v>45.2830786528769</v>
      </c>
      <c r="D77" s="71" t="n">
        <f aca="false">'Pipeline calc'!D415</f>
        <v>95.4382461960645</v>
      </c>
      <c r="E77" s="71" t="n">
        <f aca="false">'Pipeline calc'!E415</f>
        <v>8.22329740917261</v>
      </c>
      <c r="F77" s="71" t="n">
        <f aca="false">'Pipeline calc'!F415</f>
        <v>95.4382461960645</v>
      </c>
    </row>
    <row r="78" customFormat="false" ht="15" hidden="false" customHeight="false" outlineLevel="0" collapsed="false">
      <c r="A78" s="0" t="str">
        <f aca="false">'Pipeline calc'!A416</f>
        <v>Askeaton</v>
      </c>
      <c r="B78" s="71" t="n">
        <f aca="false">'Pipeline calc'!B416</f>
        <v>278.234061396547</v>
      </c>
      <c r="C78" s="71" t="n">
        <f aca="false">'Pipeline calc'!C416</f>
        <v>101.437145359572</v>
      </c>
      <c r="D78" s="71" t="n">
        <f aca="false">'Pipeline calc'!D416</f>
        <v>237.872685611827</v>
      </c>
      <c r="E78" s="71" t="n">
        <f aca="false">'Pipeline calc'!E416</f>
        <v>20.4959533234311</v>
      </c>
      <c r="F78" s="71" t="n">
        <f aca="false">'Pipeline calc'!F416</f>
        <v>221.402686476487</v>
      </c>
    </row>
    <row r="79" customFormat="false" ht="15" hidden="false" customHeight="false" outlineLevel="0" collapsed="false">
      <c r="A79" s="0" t="str">
        <f aca="false">'Pipeline calc'!A417</f>
        <v>Bruff</v>
      </c>
      <c r="B79" s="71" t="n">
        <f aca="false">'Pipeline calc'!B417</f>
        <v>94.5931472343948</v>
      </c>
      <c r="C79" s="71" t="n">
        <f aca="false">'Pipeline calc'!C417</f>
        <v>21.6442816614081</v>
      </c>
      <c r="D79" s="71" t="n">
        <f aca="false">'Pipeline calc'!D417</f>
        <v>93.7132149659026</v>
      </c>
      <c r="E79" s="71" t="n">
        <f aca="false">'Pipeline calc'!E417</f>
        <v>8.07466260697192</v>
      </c>
      <c r="F79" s="71" t="n">
        <f aca="false">'Pipeline calc'!F417</f>
        <v>93.7132149659026</v>
      </c>
    </row>
    <row r="80" customFormat="false" ht="15" hidden="false" customHeight="false" outlineLevel="0" collapsed="false">
      <c r="A80" s="0" t="str">
        <f aca="false">'Pipeline calc'!A418</f>
        <v>Cappamore</v>
      </c>
      <c r="B80" s="71" t="n">
        <f aca="false">'Pipeline calc'!B418</f>
        <v>122.919211437379</v>
      </c>
      <c r="C80" s="71" t="n">
        <f aca="false">'Pipeline calc'!C418</f>
        <v>22.1338934735516</v>
      </c>
      <c r="D80" s="71" t="n">
        <f aca="false">'Pipeline calc'!D418</f>
        <v>127.767583889105</v>
      </c>
      <c r="E80" s="71" t="n">
        <f aca="false">'Pipeline calc'!E418</f>
        <v>11.0089076806071</v>
      </c>
      <c r="F80" s="71" t="n">
        <f aca="false">'Pipeline calc'!F418</f>
        <v>120.095900486713</v>
      </c>
    </row>
    <row r="81" customFormat="false" ht="15" hidden="false" customHeight="false" outlineLevel="0" collapsed="false">
      <c r="A81" s="0" t="str">
        <f aca="false">'Pipeline calc'!A419</f>
        <v>Croom</v>
      </c>
      <c r="B81" s="71" t="n">
        <f aca="false">'Pipeline calc'!B419</f>
        <v>123.094912758935</v>
      </c>
      <c r="C81" s="71" t="n">
        <f aca="false">'Pipeline calc'!C419</f>
        <v>42.7536207490021</v>
      </c>
      <c r="D81" s="71" t="n">
        <f aca="false">'Pipeline calc'!D419</f>
        <v>107.362126517991</v>
      </c>
      <c r="E81" s="71" t="n">
        <f aca="false">'Pipeline calc'!E419</f>
        <v>9.25070118142077</v>
      </c>
      <c r="F81" s="71" t="n">
        <f aca="false">'Pipeline calc'!F419</f>
        <v>107.362126517991</v>
      </c>
    </row>
    <row r="82" customFormat="false" ht="15" hidden="false" customHeight="false" outlineLevel="0" collapsed="false">
      <c r="A82" s="0" t="str">
        <f aca="false">'Pipeline calc'!A420</f>
        <v>Hospital</v>
      </c>
      <c r="B82" s="71" t="n">
        <f aca="false">'Pipeline calc'!B420</f>
        <v>150.212254005498</v>
      </c>
      <c r="C82" s="71" t="n">
        <f aca="false">'Pipeline calc'!C420</f>
        <v>54.7636122186648</v>
      </c>
      <c r="D82" s="71" t="n">
        <f aca="false">'Pipeline calc'!D420</f>
        <v>128.422063397796</v>
      </c>
      <c r="E82" s="71" t="n">
        <f aca="false">'Pipeline calc'!E420</f>
        <v>11.0652999537542</v>
      </c>
      <c r="F82" s="71" t="n">
        <f aca="false">'Pipeline calc'!F420</f>
        <v>119.530284723502</v>
      </c>
    </row>
    <row r="83" customFormat="false" ht="15" hidden="false" customHeight="false" outlineLevel="0" collapsed="false">
      <c r="A83" s="0" t="str">
        <f aca="false">'Pipeline calc'!A421</f>
        <v>Kilfinnane</v>
      </c>
      <c r="B83" s="71" t="n">
        <f aca="false">'Pipeline calc'!B421</f>
        <v>177.179232370634</v>
      </c>
      <c r="C83" s="71" t="n">
        <f aca="false">'Pipeline calc'!C421</f>
        <v>52.6259720920478</v>
      </c>
      <c r="D83" s="71" t="n">
        <f aca="false">'Pipeline calc'!D421</f>
        <v>163.446262506286</v>
      </c>
      <c r="E83" s="71" t="n">
        <f aca="false">'Pipeline calc'!E421</f>
        <v>14.0831090320508</v>
      </c>
      <c r="F83" s="71" t="n">
        <f aca="false">'Pipeline calc'!F421</f>
        <v>152.129453284457</v>
      </c>
    </row>
    <row r="84" customFormat="false" ht="15" hidden="false" customHeight="false" outlineLevel="0" collapsed="false">
      <c r="A84" s="0" t="str">
        <f aca="false">'Pipeline calc'!A422</f>
        <v>Moroe</v>
      </c>
      <c r="B84" s="71" t="n">
        <f aca="false">'Pipeline calc'!B422</f>
        <v>270.820146532785</v>
      </c>
      <c r="C84" s="71" t="n">
        <f aca="false">'Pipeline calc'!C422</f>
        <v>95.3144690286602</v>
      </c>
      <c r="D84" s="71" t="n">
        <f aca="false">'Pipeline calc'!D422</f>
        <v>234.954002352785</v>
      </c>
      <c r="E84" s="71" t="n">
        <f aca="false">'Pipeline calc'!E422</f>
        <v>20.244469233573</v>
      </c>
      <c r="F84" s="71" t="n">
        <f aca="false">'Pipeline calc'!F422</f>
        <v>218.686089096406</v>
      </c>
    </row>
    <row r="85" customFormat="false" ht="15" hidden="false" customHeight="false" outlineLevel="0" collapsed="false">
      <c r="A85" s="0" t="str">
        <f aca="false">'Pipeline calc'!A423</f>
        <v>Patrickswell</v>
      </c>
      <c r="B85" s="71" t="n">
        <f aca="false">'Pipeline calc'!B423</f>
        <v>291.782972752263</v>
      </c>
      <c r="C85" s="71" t="n">
        <f aca="false">'Pipeline calc'!C423</f>
        <v>0</v>
      </c>
      <c r="D85" s="71" t="n">
        <f aca="false">'Pipeline calc'!D423</f>
        <v>355.832893600321</v>
      </c>
      <c r="E85" s="71" t="n">
        <f aca="false">'Pipeline calc'!E423</f>
        <v>30.6598227510448</v>
      </c>
      <c r="F85" s="71" t="n">
        <f aca="false">'Pipeline calc'!F423</f>
        <v>355.832893600321</v>
      </c>
    </row>
    <row r="86" customFormat="false" ht="15" hidden="false" customHeight="false" outlineLevel="0" collapsed="false">
      <c r="A86" s="0" t="str">
        <f aca="false">'Pipeline calc'!A424</f>
        <v>Rest of county</v>
      </c>
      <c r="B86" s="71" t="n">
        <f aca="false">'Pipeline calc'!B424</f>
        <v>3405.3688623581</v>
      </c>
      <c r="C86" s="71" t="n">
        <f aca="false">'Pipeline calc'!C424</f>
        <v>1117.10878513154</v>
      </c>
      <c r="D86" s="71" t="n">
        <f aca="false">'Pipeline calc'!D424</f>
        <v>3035.78007140273</v>
      </c>
      <c r="E86" s="71" t="n">
        <f aca="false">'Pipeline calc'!E424</f>
        <v>261.573566059655</v>
      </c>
      <c r="F86" s="71" t="n">
        <f aca="false">'Pipeline calc'!F424</f>
        <v>2836.74696913846</v>
      </c>
    </row>
    <row r="88" customFormat="false" ht="15" hidden="false" customHeight="false" outlineLevel="0" collapsed="false">
      <c r="A88" s="61" t="s">
        <v>332</v>
      </c>
    </row>
    <row r="89" customFormat="false" ht="42" hidden="false" customHeight="true" outlineLevel="0" collapsed="false">
      <c r="A89" s="67" t="s">
        <v>392</v>
      </c>
      <c r="B89" s="67"/>
      <c r="C89" s="67"/>
      <c r="D89" s="67"/>
      <c r="E89" s="67"/>
      <c r="F89" s="67"/>
      <c r="G89" s="67"/>
      <c r="H89" s="67"/>
    </row>
    <row r="90" customFormat="false" ht="42" hidden="false" customHeight="true" outlineLevel="0" collapsed="false">
      <c r="A90" s="67" t="s">
        <v>393</v>
      </c>
      <c r="B90" s="67"/>
      <c r="C90" s="67"/>
      <c r="D90" s="67"/>
      <c r="E90" s="67"/>
      <c r="F90" s="67"/>
      <c r="G90" s="67"/>
      <c r="H90" s="67"/>
    </row>
    <row r="91" customFormat="false" ht="42" hidden="false" customHeight="true" outlineLevel="0" collapsed="false">
      <c r="A91" s="67" t="s">
        <v>394</v>
      </c>
      <c r="B91" s="67"/>
      <c r="C91" s="67"/>
      <c r="D91" s="67"/>
      <c r="E91" s="67"/>
      <c r="F91" s="67"/>
      <c r="G91" s="67"/>
      <c r="H91" s="67"/>
    </row>
    <row r="92" customFormat="false" ht="42" hidden="false" customHeight="true" outlineLevel="0" collapsed="false">
      <c r="A92" s="67" t="s">
        <v>395</v>
      </c>
      <c r="B92" s="67"/>
      <c r="C92" s="67"/>
      <c r="D92" s="67"/>
      <c r="E92" s="67"/>
      <c r="F92" s="67"/>
      <c r="G92" s="67"/>
      <c r="H92" s="67"/>
    </row>
    <row r="93" customFormat="false" ht="42" hidden="false" customHeight="true" outlineLevel="0" collapsed="false">
      <c r="A93" s="67" t="s">
        <v>396</v>
      </c>
      <c r="B93" s="67"/>
      <c r="C93" s="67"/>
      <c r="D93" s="67"/>
      <c r="E93" s="67"/>
      <c r="F93" s="67"/>
      <c r="G93" s="67"/>
      <c r="H93" s="67"/>
    </row>
    <row r="94" customFormat="false" ht="42" hidden="false" customHeight="true" outlineLevel="0" collapsed="false">
      <c r="A94" s="67" t="s">
        <v>397</v>
      </c>
      <c r="B94" s="67"/>
      <c r="C94" s="67"/>
      <c r="D94" s="67"/>
      <c r="E94" s="67"/>
      <c r="F94" s="67"/>
      <c r="G94" s="67"/>
      <c r="H94" s="67"/>
    </row>
  </sheetData>
  <mergeCells count="7">
    <mergeCell ref="A2:H2"/>
    <mergeCell ref="A89:H89"/>
    <mergeCell ref="A90:H90"/>
    <mergeCell ref="A91:H91"/>
    <mergeCell ref="A92:H92"/>
    <mergeCell ref="A93:H93"/>
    <mergeCell ref="A94:H94"/>
  </mergeCells>
  <dataValidations count="5">
    <dataValidation allowBlank="false" errorStyle="stop" operator="between" showDropDown="false" showErrorMessage="false" showInputMessage="false" sqref="C4" type="list">
      <formula1>'Pipeline calc'!$A$3:$A$28</formula1>
      <formula2>0</formula2>
    </dataValidation>
    <dataValidation allowBlank="false" errorStyle="stop" operator="between" showDropDown="false" showErrorMessage="false" showInputMessage="false" sqref="C6" type="list">
      <formula1>"Yes,No"</formula1>
      <formula2>0</formula2>
    </dataValidation>
    <dataValidation allowBlank="false" errorStyle="stop" operator="between" showDropDown="false" showErrorMessage="false" showInputMessage="false" sqref="C7" type="decimal">
      <formula1>0</formula1>
      <formula2>36</formula2>
    </dataValidation>
    <dataValidation allowBlank="false" errorStyle="stop" operator="between" showDropDown="false" showErrorMessage="false" showInputMessage="false" sqref="C8:C9" type="decimal">
      <formula1>0</formula1>
      <formula2>60</formula2>
    </dataValidation>
    <dataValidation allowBlank="false" errorStyle="stop" operator="between" showDropDown="false" showErrorMessage="false" showInputMessage="false" sqref="C10:C11" type="decimal">
      <formula1>0</formula1>
      <formula2>0.95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157</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103</v>
      </c>
      <c r="C6" s="15" t="n">
        <f aca="false">Model!$Q$46</f>
        <v>0.276027861874792</v>
      </c>
    </row>
    <row r="7" customFormat="false" ht="15" hidden="false" customHeight="true" outlineLevel="0" collapsed="false">
      <c r="A7" s="13" t="s">
        <v>104</v>
      </c>
      <c r="C7" s="15" t="n">
        <f aca="false">Model!$G$46</f>
        <v>0.0841</v>
      </c>
    </row>
    <row r="8" customFormat="false" ht="15" hidden="false" customHeight="true" outlineLevel="0" collapsed="false">
      <c r="A8" s="13" t="s">
        <v>105</v>
      </c>
      <c r="C8" s="15" t="n">
        <f aca="false">Model!$R$46</f>
        <v>0.162237322984355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IF($A13&lt;=Model!$B$3,Data!$B$4*Model!$D$46,0)</f>
        <v>129.24075909424</v>
      </c>
      <c r="C13" s="21" t="n">
        <f aca="false">$B13*IF(Model!$B$5=1,Data!$D$4,Model!$AC$46)</f>
        <v>33.4316503942184</v>
      </c>
      <c r="D13" s="21" t="n">
        <f aca="false">$B13*IF(Model!$B$5=1,Data!$E$4,Model!$AD$46)</f>
        <v>40.9181577807749</v>
      </c>
      <c r="E13" s="21" t="n">
        <f aca="false">$B13*IF(Model!$B$5=1,Data!$F$4,Model!$AE$46)</f>
        <v>23.9143899918752</v>
      </c>
      <c r="F13" s="21" t="n">
        <f aca="false">$B13*IF(Model!$B$5=1,Data!$G$4,Model!$AF$46)</f>
        <v>30.9765609273718</v>
      </c>
      <c r="G13" s="21" t="n">
        <f aca="false">$B13*Model!$S$46</f>
        <v>62.9430947613013</v>
      </c>
      <c r="H13" s="21" t="n">
        <f aca="false">$B13*Model!$T$46</f>
        <v>15.7172112243102</v>
      </c>
      <c r="I13" s="21" t="n">
        <f aca="false">$B13*Model!$U$46</f>
        <v>7.45320135438521</v>
      </c>
      <c r="J13" s="21" t="n">
        <f aca="false">$B13*Model!$V$46</f>
        <v>7.45320135438521</v>
      </c>
      <c r="K13" s="21" t="n">
        <f aca="false">$B13*Model!$W$46</f>
        <v>24.1885483939881</v>
      </c>
      <c r="L13" s="21" t="n">
        <f aca="false">$B13*Model!$X$46</f>
        <v>6.62885274779316</v>
      </c>
      <c r="M13" s="21" t="n">
        <f aca="false">$B13*Model!$Y$46</f>
        <v>3.80144412679567</v>
      </c>
      <c r="N13" s="21" t="n">
        <f aca="false">$B13*Model!$Z$46</f>
        <v>0.392319856502044</v>
      </c>
      <c r="O13" s="21" t="n">
        <f aca="false">$B13*Model!$AA$46</f>
        <v>0.662885274779316</v>
      </c>
    </row>
    <row r="14" customFormat="false" ht="15" hidden="false" customHeight="true" outlineLevel="0" collapsed="false">
      <c r="A14" s="23" t="n">
        <v>2027</v>
      </c>
      <c r="B14" s="21" t="n">
        <f aca="false">IF($A14&lt;=Model!$B$3,Data!$B$5*Model!$D$46,0)</f>
        <v>129.24075909424</v>
      </c>
      <c r="C14" s="21" t="n">
        <f aca="false">$B14*IF(Model!$B$5=1,Data!$D$5,Model!$AC$46)</f>
        <v>32.4920482525857</v>
      </c>
      <c r="D14" s="21" t="n">
        <f aca="false">$B14*IF(Model!$B$5=1,Data!$E$5,Model!$AD$46)</f>
        <v>41.039396766792</v>
      </c>
      <c r="E14" s="21" t="n">
        <f aca="false">$B14*IF(Model!$B$5=1,Data!$F$5,Model!$AE$46)</f>
        <v>23.8537704988666</v>
      </c>
      <c r="F14" s="21" t="n">
        <f aca="false">$B14*IF(Model!$B$5=1,Data!$G$5,Model!$AF$46)</f>
        <v>31.8555435759959</v>
      </c>
      <c r="G14" s="21" t="n">
        <f aca="false">$B14*Model!$S$46</f>
        <v>62.9430947613013</v>
      </c>
      <c r="H14" s="21" t="n">
        <f aca="false">$B14*Model!$T$46</f>
        <v>15.7172112243102</v>
      </c>
      <c r="I14" s="21" t="n">
        <f aca="false">$B14*Model!$U$46</f>
        <v>7.45320135438521</v>
      </c>
      <c r="J14" s="21" t="n">
        <f aca="false">$B14*Model!$V$46</f>
        <v>7.45320135438521</v>
      </c>
      <c r="K14" s="21" t="n">
        <f aca="false">$B14*Model!$W$46</f>
        <v>24.1885483939881</v>
      </c>
      <c r="L14" s="21" t="n">
        <f aca="false">$B14*Model!$X$46</f>
        <v>6.62885274779316</v>
      </c>
      <c r="M14" s="21" t="n">
        <f aca="false">$B14*Model!$Y$46</f>
        <v>3.80144412679567</v>
      </c>
      <c r="N14" s="21" t="n">
        <f aca="false">$B14*Model!$Z$46</f>
        <v>0.392319856502044</v>
      </c>
      <c r="O14" s="21" t="n">
        <f aca="false">$B14*Model!$AA$46</f>
        <v>0.662885274779316</v>
      </c>
    </row>
    <row r="15" customFormat="false" ht="15" hidden="false" customHeight="true" outlineLevel="0" collapsed="false">
      <c r="A15" s="23" t="n">
        <v>2028</v>
      </c>
      <c r="B15" s="21" t="n">
        <f aca="false">IF($A15&lt;=Model!$B$3,Data!$B$6*Model!$D$46,0)</f>
        <v>129.24075909424</v>
      </c>
      <c r="C15" s="21" t="n">
        <f aca="false">$B15*IF(Model!$B$5=1,Data!$D$6,Model!$AC$46)</f>
        <v>32.3859996979467</v>
      </c>
      <c r="D15" s="21" t="n">
        <f aca="false">$B15*IF(Model!$B$5=1,Data!$E$6,Model!$AD$46)</f>
        <v>41.0586550477713</v>
      </c>
      <c r="E15" s="21" t="n">
        <f aca="false">$B15*IF(Model!$B$5=1,Data!$F$6,Model!$AE$46)</f>
        <v>23.8649641968951</v>
      </c>
      <c r="F15" s="21" t="n">
        <f aca="false">$B15*IF(Model!$B$5=1,Data!$G$6,Model!$AF$46)</f>
        <v>31.9311401516271</v>
      </c>
      <c r="G15" s="21" t="n">
        <f aca="false">$B15*Model!$S$46</f>
        <v>62.9430947613013</v>
      </c>
      <c r="H15" s="21" t="n">
        <f aca="false">$B15*Model!$T$46</f>
        <v>15.7172112243102</v>
      </c>
      <c r="I15" s="21" t="n">
        <f aca="false">$B15*Model!$U$46</f>
        <v>7.45320135438521</v>
      </c>
      <c r="J15" s="21" t="n">
        <f aca="false">$B15*Model!$V$46</f>
        <v>7.45320135438521</v>
      </c>
      <c r="K15" s="21" t="n">
        <f aca="false">$B15*Model!$W$46</f>
        <v>24.1885483939881</v>
      </c>
      <c r="L15" s="21" t="n">
        <f aca="false">$B15*Model!$X$46</f>
        <v>6.62885274779316</v>
      </c>
      <c r="M15" s="21" t="n">
        <f aca="false">$B15*Model!$Y$46</f>
        <v>3.80144412679567</v>
      </c>
      <c r="N15" s="21" t="n">
        <f aca="false">$B15*Model!$Z$46</f>
        <v>0.392319856502044</v>
      </c>
      <c r="O15" s="21" t="n">
        <f aca="false">$B15*Model!$AA$46</f>
        <v>0.662885274779316</v>
      </c>
    </row>
    <row r="16" customFormat="false" ht="15" hidden="false" customHeight="true" outlineLevel="0" collapsed="false">
      <c r="A16" s="23" t="n">
        <v>2029</v>
      </c>
      <c r="B16" s="21" t="n">
        <f aca="false">IF($A16&lt;=Model!$B$3,Data!$B$7*Model!$D$46,0)</f>
        <v>129.24075909424</v>
      </c>
      <c r="C16" s="21" t="n">
        <f aca="false">$B16*IF(Model!$B$5=1,Data!$D$7,Model!$AC$46)</f>
        <v>32.0449172795243</v>
      </c>
      <c r="D16" s="21" t="n">
        <f aca="false">$B16*IF(Model!$B$5=1,Data!$E$7,Model!$AD$46)</f>
        <v>40.8368056532821</v>
      </c>
      <c r="E16" s="21" t="n">
        <f aca="false">$B16*IF(Model!$B$5=1,Data!$F$7,Model!$AE$46)</f>
        <v>23.707781752685</v>
      </c>
      <c r="F16" s="21" t="n">
        <f aca="false">$B16*IF(Model!$B$5=1,Data!$G$7,Model!$AF$46)</f>
        <v>32.6512544087489</v>
      </c>
      <c r="G16" s="21" t="n">
        <f aca="false">$B16*Model!$S$46</f>
        <v>62.9430947613013</v>
      </c>
      <c r="H16" s="21" t="n">
        <f aca="false">$B16*Model!$T$46</f>
        <v>15.7172112243102</v>
      </c>
      <c r="I16" s="21" t="n">
        <f aca="false">$B16*Model!$U$46</f>
        <v>7.45320135438521</v>
      </c>
      <c r="J16" s="21" t="n">
        <f aca="false">$B16*Model!$V$46</f>
        <v>7.45320135438521</v>
      </c>
      <c r="K16" s="21" t="n">
        <f aca="false">$B16*Model!$W$46</f>
        <v>24.1885483939881</v>
      </c>
      <c r="L16" s="21" t="n">
        <f aca="false">$B16*Model!$X$46</f>
        <v>6.62885274779316</v>
      </c>
      <c r="M16" s="21" t="n">
        <f aca="false">$B16*Model!$Y$46</f>
        <v>3.80144412679567</v>
      </c>
      <c r="N16" s="21" t="n">
        <f aca="false">$B16*Model!$Z$46</f>
        <v>0.392319856502044</v>
      </c>
      <c r="O16" s="21" t="n">
        <f aca="false">$B16*Model!$AA$46</f>
        <v>0.662885274779316</v>
      </c>
    </row>
    <row r="17" customFormat="false" ht="15" hidden="false" customHeight="true" outlineLevel="0" collapsed="false">
      <c r="A17" s="23" t="n">
        <v>2030</v>
      </c>
      <c r="B17" s="21" t="n">
        <f aca="false">IF($A17&lt;=Model!$B$3,Data!$B$8*Model!$D$46,0)</f>
        <v>129.24075909424</v>
      </c>
      <c r="C17" s="21" t="n">
        <f aca="false">$B17*IF(Model!$B$5=1,Data!$D$8,Model!$AC$46)</f>
        <v>31.9917880911364</v>
      </c>
      <c r="D17" s="21" t="n">
        <f aca="false">$B17*IF(Model!$B$5=1,Data!$E$8,Model!$AD$46)</f>
        <v>40.2399078643962</v>
      </c>
      <c r="E17" s="21" t="n">
        <f aca="false">$B17*IF(Model!$B$5=1,Data!$F$8,Model!$AE$46)</f>
        <v>23.7436683178766</v>
      </c>
      <c r="F17" s="21" t="n">
        <f aca="false">$B17*IF(Model!$B$5=1,Data!$G$8,Model!$AF$46)</f>
        <v>33.2653948208309</v>
      </c>
      <c r="G17" s="21" t="n">
        <f aca="false">$B17*Model!$S$46</f>
        <v>62.9430947613013</v>
      </c>
      <c r="H17" s="21" t="n">
        <f aca="false">$B17*Model!$T$46</f>
        <v>15.7172112243102</v>
      </c>
      <c r="I17" s="21" t="n">
        <f aca="false">$B17*Model!$U$46</f>
        <v>7.45320135438521</v>
      </c>
      <c r="J17" s="21" t="n">
        <f aca="false">$B17*Model!$V$46</f>
        <v>7.45320135438521</v>
      </c>
      <c r="K17" s="21" t="n">
        <f aca="false">$B17*Model!$W$46</f>
        <v>24.1885483939881</v>
      </c>
      <c r="L17" s="21" t="n">
        <f aca="false">$B17*Model!$X$46</f>
        <v>6.62885274779316</v>
      </c>
      <c r="M17" s="21" t="n">
        <f aca="false">$B17*Model!$Y$46</f>
        <v>3.80144412679567</v>
      </c>
      <c r="N17" s="21" t="n">
        <f aca="false">$B17*Model!$Z$46</f>
        <v>0.392319856502044</v>
      </c>
      <c r="O17" s="21" t="n">
        <f aca="false">$B17*Model!$AA$46</f>
        <v>0.662885274779316</v>
      </c>
    </row>
    <row r="18" customFormat="false" ht="15" hidden="false" customHeight="true" outlineLevel="0" collapsed="false">
      <c r="A18" s="23" t="n">
        <v>2031</v>
      </c>
      <c r="B18" s="21" t="n">
        <f aca="false">IF($A18&lt;=Model!$B$3,Data!$B$9*Model!$D$46,0)</f>
        <v>65.7269448079552</v>
      </c>
      <c r="C18" s="21" t="n">
        <f aca="false">$B18*IF(Model!$B$5=1,Data!$D$9,Model!$AC$46)</f>
        <v>15.1887450870782</v>
      </c>
      <c r="D18" s="21" t="n">
        <f aca="false">$B18*IF(Model!$B$5=1,Data!$E$9,Model!$AD$46)</f>
        <v>19.9788084079532</v>
      </c>
      <c r="E18" s="21" t="n">
        <f aca="false">$B18*IF(Model!$B$5=1,Data!$F$9,Model!$AE$46)</f>
        <v>12.4905448620284</v>
      </c>
      <c r="F18" s="21" t="n">
        <f aca="false">$B18*IF(Model!$B$5=1,Data!$G$9,Model!$AF$46)</f>
        <v>18.0688464508954</v>
      </c>
      <c r="G18" s="21" t="n">
        <f aca="false">$B18*Model!$S$46</f>
        <v>32.0104690224024</v>
      </c>
      <c r="H18" s="21" t="n">
        <f aca="false">$B18*Model!$T$46</f>
        <v>7.99317708991428</v>
      </c>
      <c r="I18" s="21" t="n">
        <f aca="false">$B18*Model!$U$46</f>
        <v>3.79041532636808</v>
      </c>
      <c r="J18" s="21" t="n">
        <f aca="false">$B18*Model!$V$46</f>
        <v>3.79041532636808</v>
      </c>
      <c r="K18" s="21" t="n">
        <f aca="false">$B18*Model!$W$46</f>
        <v>12.3013776491124</v>
      </c>
      <c r="L18" s="21" t="n">
        <f aca="false">$B18*Model!$X$46</f>
        <v>3.37118291278808</v>
      </c>
      <c r="M18" s="21" t="n">
        <f aca="false">$B18*Model!$Y$46</f>
        <v>1.93327020100704</v>
      </c>
      <c r="N18" s="21" t="n">
        <f aca="false">$B18*Model!$Z$46</f>
        <v>0.199518988716029</v>
      </c>
      <c r="O18" s="21" t="n">
        <f aca="false">$B18*Model!$AA$46</f>
        <v>0.337118291278808</v>
      </c>
    </row>
    <row r="19" customFormat="false" ht="15" hidden="false" customHeight="true" outlineLevel="0" collapsed="false">
      <c r="A19" s="23" t="n">
        <v>2032</v>
      </c>
      <c r="B19" s="21" t="n">
        <f aca="false">IF($A19&lt;=Model!$B$3,Data!$B$10*Model!$D$46,0)</f>
        <v>65.7269448079552</v>
      </c>
      <c r="C19" s="21" t="n">
        <f aca="false">$B19*IF(Model!$B$5=1,Data!$D$10,Model!$AC$46)</f>
        <v>14.6127248143148</v>
      </c>
      <c r="D19" s="21" t="n">
        <f aca="false">$B19*IF(Model!$B$5=1,Data!$E$10,Model!$AD$46)</f>
        <v>19.5846892739571</v>
      </c>
      <c r="E19" s="21" t="n">
        <f aca="false">$B19*IF(Model!$B$5=1,Data!$F$10,Model!$AE$46)</f>
        <v>12.702762857257</v>
      </c>
      <c r="F19" s="21" t="n">
        <f aca="false">$B19*IF(Model!$B$5=1,Data!$G$10,Model!$AF$46)</f>
        <v>18.8267678624263</v>
      </c>
      <c r="G19" s="21" t="n">
        <f aca="false">$B19*Model!$S$46</f>
        <v>32.0104690224024</v>
      </c>
      <c r="H19" s="21" t="n">
        <f aca="false">$B19*Model!$T$46</f>
        <v>7.99317708991428</v>
      </c>
      <c r="I19" s="21" t="n">
        <f aca="false">$B19*Model!$U$46</f>
        <v>3.79041532636808</v>
      </c>
      <c r="J19" s="21" t="n">
        <f aca="false">$B19*Model!$V$46</f>
        <v>3.79041532636808</v>
      </c>
      <c r="K19" s="21" t="n">
        <f aca="false">$B19*Model!$W$46</f>
        <v>12.3013776491124</v>
      </c>
      <c r="L19" s="21" t="n">
        <f aca="false">$B19*Model!$X$46</f>
        <v>3.37118291278808</v>
      </c>
      <c r="M19" s="21" t="n">
        <f aca="false">$B19*Model!$Y$46</f>
        <v>1.93327020100704</v>
      </c>
      <c r="N19" s="21" t="n">
        <f aca="false">$B19*Model!$Z$46</f>
        <v>0.199518988716029</v>
      </c>
      <c r="O19" s="21" t="n">
        <f aca="false">$B19*Model!$AA$46</f>
        <v>0.337118291278808</v>
      </c>
    </row>
    <row r="20" customFormat="false" ht="15" hidden="false" customHeight="true" outlineLevel="0" collapsed="false">
      <c r="A20" s="23" t="n">
        <v>2033</v>
      </c>
      <c r="B20" s="21" t="n">
        <f aca="false">IF($A20&lt;=Model!$B$3,Data!$B$11*Model!$D$46,0)</f>
        <v>65.7269448079552</v>
      </c>
      <c r="C20" s="21" t="n">
        <f aca="false">$B20*IF(Model!$B$5=1,Data!$D$11,Model!$AC$46)</f>
        <v>14.4981447245974</v>
      </c>
      <c r="D20" s="21" t="n">
        <f aca="false">$B20*IF(Model!$B$5=1,Data!$E$11,Model!$AD$46)</f>
        <v>19.6543886643078</v>
      </c>
      <c r="E20" s="21" t="n">
        <f aca="false">$B20*IF(Model!$B$5=1,Data!$F$11,Model!$AE$46)</f>
        <v>12.7086247690509</v>
      </c>
      <c r="F20" s="21" t="n">
        <f aca="false">$B20*IF(Model!$B$5=1,Data!$G$11,Model!$AF$46)</f>
        <v>18.8657866499992</v>
      </c>
      <c r="G20" s="21" t="n">
        <f aca="false">$B20*Model!$S$46</f>
        <v>32.0104690224024</v>
      </c>
      <c r="H20" s="21" t="n">
        <f aca="false">$B20*Model!$T$46</f>
        <v>7.99317708991428</v>
      </c>
      <c r="I20" s="21" t="n">
        <f aca="false">$B20*Model!$U$46</f>
        <v>3.79041532636808</v>
      </c>
      <c r="J20" s="21" t="n">
        <f aca="false">$B20*Model!$V$46</f>
        <v>3.79041532636808</v>
      </c>
      <c r="K20" s="21" t="n">
        <f aca="false">$B20*Model!$W$46</f>
        <v>12.3013776491124</v>
      </c>
      <c r="L20" s="21" t="n">
        <f aca="false">$B20*Model!$X$46</f>
        <v>3.37118291278808</v>
      </c>
      <c r="M20" s="21" t="n">
        <f aca="false">$B20*Model!$Y$46</f>
        <v>1.93327020100704</v>
      </c>
      <c r="N20" s="21" t="n">
        <f aca="false">$B20*Model!$Z$46</f>
        <v>0.199518988716029</v>
      </c>
      <c r="O20" s="21" t="n">
        <f aca="false">$B20*Model!$AA$46</f>
        <v>0.337118291278808</v>
      </c>
    </row>
    <row r="21" customFormat="false" ht="15" hidden="false" customHeight="true" outlineLevel="0" collapsed="false">
      <c r="A21" s="23" t="n">
        <v>2034</v>
      </c>
      <c r="B21" s="21" t="n">
        <f aca="false">IF($A21&lt;=Model!$B$3,Data!$B$12*Model!$D$46,0)</f>
        <v>65.7269448079552</v>
      </c>
      <c r="C21" s="21" t="n">
        <f aca="false">$B21*IF(Model!$B$5=1,Data!$D$12,Model!$AC$46)</f>
        <v>14.3701899626249</v>
      </c>
      <c r="D21" s="21" t="n">
        <f aca="false">$B21*IF(Model!$B$5=1,Data!$E$12,Model!$AD$46)</f>
        <v>19.7059566998021</v>
      </c>
      <c r="E21" s="21" t="n">
        <f aca="false">$B21*IF(Model!$B$5=1,Data!$F$12,Model!$AE$46)</f>
        <v>12.702762857257</v>
      </c>
      <c r="F21" s="21" t="n">
        <f aca="false">$B21*IF(Model!$B$5=1,Data!$G$12,Model!$AF$46)</f>
        <v>18.9480352882712</v>
      </c>
      <c r="G21" s="21" t="n">
        <f aca="false">$B21*Model!$S$46</f>
        <v>32.0104690224024</v>
      </c>
      <c r="H21" s="21" t="n">
        <f aca="false">$B21*Model!$T$46</f>
        <v>7.99317708991428</v>
      </c>
      <c r="I21" s="21" t="n">
        <f aca="false">$B21*Model!$U$46</f>
        <v>3.79041532636808</v>
      </c>
      <c r="J21" s="21" t="n">
        <f aca="false">$B21*Model!$V$46</f>
        <v>3.79041532636808</v>
      </c>
      <c r="K21" s="21" t="n">
        <f aca="false">$B21*Model!$W$46</f>
        <v>12.3013776491124</v>
      </c>
      <c r="L21" s="21" t="n">
        <f aca="false">$B21*Model!$X$46</f>
        <v>3.37118291278808</v>
      </c>
      <c r="M21" s="21" t="n">
        <f aca="false">$B21*Model!$Y$46</f>
        <v>1.93327020100704</v>
      </c>
      <c r="N21" s="21" t="n">
        <f aca="false">$B21*Model!$Z$46</f>
        <v>0.199518988716029</v>
      </c>
      <c r="O21" s="21" t="n">
        <f aca="false">$B21*Model!$AA$46</f>
        <v>0.337118291278808</v>
      </c>
    </row>
    <row r="22" customFormat="false" ht="15" hidden="false" customHeight="true" outlineLevel="0" collapsed="false">
      <c r="A22" s="23" t="n">
        <v>2035</v>
      </c>
      <c r="B22" s="21" t="n">
        <f aca="false">IF($A22&lt;=Model!$B$3,Data!$B$13*Model!$D$46,0)</f>
        <v>63.5138142862851</v>
      </c>
      <c r="C22" s="21" t="n">
        <f aca="false">$B22*IF(Model!$B$5=1,Data!$D$13,Model!$AC$46)</f>
        <v>13.612268551094</v>
      </c>
      <c r="D22" s="21" t="n">
        <f aca="false">$B22*IF(Model!$B$5=1,Data!$E$13,Model!$AD$46)</f>
        <v>18.7661341495038</v>
      </c>
      <c r="E22" s="21" t="n">
        <f aca="false">$B22*IF(Model!$B$5=1,Data!$F$13,Model!$AE$46)</f>
        <v>12.187376297416</v>
      </c>
      <c r="F22" s="21" t="n">
        <f aca="false">$B22*IF(Model!$B$5=1,Data!$G$13,Model!$AF$46)</f>
        <v>18.9480352882712</v>
      </c>
      <c r="G22" s="21" t="n">
        <f aca="false">$B22*Model!$S$46</f>
        <v>30.932625738899</v>
      </c>
      <c r="H22" s="21" t="n">
        <f aca="false">$B22*Model!$T$46</f>
        <v>7.72403413439595</v>
      </c>
      <c r="I22" s="21" t="n">
        <f aca="false">$B22*Model!$U$46</f>
        <v>3.66278602801713</v>
      </c>
      <c r="J22" s="21" t="n">
        <f aca="false">$B22*Model!$V$46</f>
        <v>3.66278602801713</v>
      </c>
      <c r="K22" s="21" t="n">
        <f aca="false">$B22*Model!$W$46</f>
        <v>11.8871707448757</v>
      </c>
      <c r="L22" s="21" t="n">
        <f aca="false">$B22*Model!$X$46</f>
        <v>3.25766983500508</v>
      </c>
      <c r="M22" s="21" t="n">
        <f aca="false">$B22*Model!$Y$46</f>
        <v>1.86817392578863</v>
      </c>
      <c r="N22" s="21" t="n">
        <f aca="false">$B22*Model!$Z$46</f>
        <v>0.192800867786015</v>
      </c>
      <c r="O22" s="21" t="n">
        <f aca="false">$B22*Model!$AA$46</f>
        <v>0.325766983500508</v>
      </c>
    </row>
    <row r="23" customFormat="false" ht="15" hidden="false" customHeight="true" outlineLevel="0" collapsed="false">
      <c r="A23" s="23" t="n">
        <v>2036</v>
      </c>
      <c r="B23" s="21" t="n">
        <f aca="false">IF($A23&lt;=Model!$B$3,Data!$B$14*Model!$D$46,0)</f>
        <v>48.1128512039782</v>
      </c>
      <c r="C23" s="21" t="n">
        <f aca="false">$B23*IF(Model!$B$5=1,Data!$D$14,Model!$AC$46)</f>
        <v>11.6064136238767</v>
      </c>
      <c r="D23" s="21" t="n">
        <f aca="false">$B23*IF(Model!$B$5=1,Data!$E$14,Model!$AD$46)</f>
        <v>14.9283164765562</v>
      </c>
      <c r="E23" s="21" t="n">
        <f aca="false">$B23*IF(Model!$B$5=1,Data!$F$14,Model!$AE$46)</f>
        <v>8.99688271477403</v>
      </c>
      <c r="F23" s="21" t="n">
        <f aca="false">$B23*IF(Model!$B$5=1,Data!$G$14,Model!$AF$46)</f>
        <v>12.5812383887713</v>
      </c>
      <c r="G23" s="21" t="n">
        <f aca="false">$B23*Model!$S$46</f>
        <v>23.4320176838342</v>
      </c>
      <c r="H23" s="21" t="n">
        <f aca="false">$B23*Model!$T$46</f>
        <v>5.85109411517249</v>
      </c>
      <c r="I23" s="21" t="n">
        <f aca="false">$B23*Model!$U$46</f>
        <v>2.7746259792187</v>
      </c>
      <c r="J23" s="21" t="n">
        <f aca="false">$B23*Model!$V$46</f>
        <v>2.7746259792187</v>
      </c>
      <c r="K23" s="21" t="n">
        <f aca="false">$B23*Model!$W$46</f>
        <v>9.00474461676263</v>
      </c>
      <c r="L23" s="21" t="n">
        <f aca="false">$B23*Model!$X$46</f>
        <v>2.46774321152891</v>
      </c>
      <c r="M23" s="21" t="n">
        <f aca="false">$B23*Model!$Y$46</f>
        <v>1.41517518865229</v>
      </c>
      <c r="N23" s="21" t="n">
        <f aca="false">$B23*Model!$Z$46</f>
        <v>0.146050108437425</v>
      </c>
      <c r="O23" s="21" t="n">
        <f aca="false">$B23*Model!$AA$46</f>
        <v>0.246774321152891</v>
      </c>
    </row>
    <row r="24" customFormat="false" ht="15" hidden="false" customHeight="true" outlineLevel="0" collapsed="false">
      <c r="A24" s="23" t="n">
        <v>2037</v>
      </c>
      <c r="B24" s="21" t="n">
        <f aca="false">IF($A24&lt;=Model!$B$3,Data!$B$15*Model!$D$46,0)</f>
        <v>47.7187320699822</v>
      </c>
      <c r="C24" s="21" t="n">
        <f aca="false">$B24*IF(Model!$B$5=1,Data!$D$15,Model!$AC$46)</f>
        <v>11.5113390321247</v>
      </c>
      <c r="D24" s="21" t="n">
        <f aca="false">$B24*IF(Model!$B$5=1,Data!$E$15,Model!$AD$46)</f>
        <v>14.8060303302454</v>
      </c>
      <c r="E24" s="21" t="n">
        <f aca="false">$B24*IF(Model!$B$5=1,Data!$F$15,Model!$AE$46)</f>
        <v>8.92318424263033</v>
      </c>
      <c r="F24" s="21" t="n">
        <f aca="false">$B24*IF(Model!$B$5=1,Data!$G$15,Model!$AF$46)</f>
        <v>12.4781784649818</v>
      </c>
      <c r="G24" s="21" t="n">
        <f aca="false">$B24*Model!$S$46</f>
        <v>23.2400729895117</v>
      </c>
      <c r="H24" s="21" t="n">
        <f aca="false">$B24*Model!$T$46</f>
        <v>5.80316454775142</v>
      </c>
      <c r="I24" s="21" t="n">
        <f aca="false">$B24*Model!$U$46</f>
        <v>2.75189747403291</v>
      </c>
      <c r="J24" s="21" t="n">
        <f aca="false">$B24*Model!$V$46</f>
        <v>2.75189747403291</v>
      </c>
      <c r="K24" s="21" t="n">
        <f aca="false">$B24*Model!$W$46</f>
        <v>8.93098174340541</v>
      </c>
      <c r="L24" s="21" t="n">
        <f aca="false">$B24*Model!$X$46</f>
        <v>2.44752855384153</v>
      </c>
      <c r="M24" s="21" t="n">
        <f aca="false">$B24*Model!$Y$46</f>
        <v>1.40358270128463</v>
      </c>
      <c r="N24" s="21" t="n">
        <f aca="false">$B24*Model!$Z$46</f>
        <v>0.14485373073756</v>
      </c>
      <c r="O24" s="21" t="n">
        <f aca="false">$B24*Model!$AA$46</f>
        <v>0.244752855384153</v>
      </c>
    </row>
    <row r="25" customFormat="false" ht="15" hidden="false" customHeight="true" outlineLevel="0" collapsed="false">
      <c r="A25" s="23" t="n">
        <v>2038</v>
      </c>
      <c r="B25" s="21" t="n">
        <f aca="false">IF($A25&lt;=Model!$B$3,Data!$B$16*Model!$D$46,0)</f>
        <v>47.1427117972188</v>
      </c>
      <c r="C25" s="21" t="n">
        <f aca="false">$B25*IF(Model!$B$5=1,Data!$D$16,Model!$AC$46)</f>
        <v>11.3723838595641</v>
      </c>
      <c r="D25" s="21" t="n">
        <f aca="false">$B25*IF(Model!$B$5=1,Data!$E$16,Model!$AD$46)</f>
        <v>14.6273044240989</v>
      </c>
      <c r="E25" s="21" t="n">
        <f aca="false">$B25*IF(Model!$B$5=1,Data!$F$16,Model!$AE$46)</f>
        <v>8.81547109103568</v>
      </c>
      <c r="F25" s="21" t="n">
        <f aca="false">$B25*IF(Model!$B$5=1,Data!$G$16,Model!$AF$46)</f>
        <v>12.3275524225201</v>
      </c>
      <c r="G25" s="21" t="n">
        <f aca="false">$B25*Model!$S$46</f>
        <v>22.9595384362711</v>
      </c>
      <c r="H25" s="21" t="n">
        <f aca="false">$B25*Model!$T$46</f>
        <v>5.73311364152062</v>
      </c>
      <c r="I25" s="21" t="n">
        <f aca="false">$B25*Model!$U$46</f>
        <v>2.71867888953061</v>
      </c>
      <c r="J25" s="21" t="n">
        <f aca="false">$B25*Model!$V$46</f>
        <v>2.71867888953061</v>
      </c>
      <c r="K25" s="21" t="n">
        <f aca="false">$B25*Model!$W$46</f>
        <v>8.82317446696023</v>
      </c>
      <c r="L25" s="21" t="n">
        <f aca="false">$B25*Model!$X$46</f>
        <v>2.41798405414458</v>
      </c>
      <c r="M25" s="21" t="n">
        <f aca="false">$B25*Model!$Y$46</f>
        <v>1.38663983513189</v>
      </c>
      <c r="N25" s="21" t="n">
        <f aca="false">$B25*Model!$Z$46</f>
        <v>0.143105178714679</v>
      </c>
      <c r="O25" s="21" t="n">
        <f aca="false">$B25*Model!$AA$46</f>
        <v>0.241798405414458</v>
      </c>
    </row>
    <row r="26" customFormat="false" ht="15" hidden="false" customHeight="true" outlineLevel="0" collapsed="false">
      <c r="A26" s="23" t="n">
        <v>2039</v>
      </c>
      <c r="B26" s="21" t="n">
        <f aca="false">IF($A26&lt;=Model!$B$3,Data!$B$17*Model!$D$46,0)</f>
        <v>46.7182758067615</v>
      </c>
      <c r="C26" s="21" t="n">
        <f aca="false">$B26*IF(Model!$B$5=1,Data!$D$17,Model!$AC$46)</f>
        <v>11.2699958376773</v>
      </c>
      <c r="D26" s="21" t="n">
        <f aca="false">$B26*IF(Model!$B$5=1,Data!$E$17,Model!$AD$46)</f>
        <v>14.4956116511487</v>
      </c>
      <c r="E26" s="21" t="n">
        <f aca="false">$B26*IF(Model!$B$5=1,Data!$F$17,Model!$AE$46)</f>
        <v>8.73610350565015</v>
      </c>
      <c r="F26" s="21" t="n">
        <f aca="false">$B26*IF(Model!$B$5=1,Data!$G$17,Model!$AF$46)</f>
        <v>12.2165648122852</v>
      </c>
      <c r="G26" s="21" t="n">
        <f aca="false">$B26*Model!$S$46</f>
        <v>22.7528287654622</v>
      </c>
      <c r="H26" s="21" t="n">
        <f aca="false">$B26*Model!$T$46</f>
        <v>5.68149718429793</v>
      </c>
      <c r="I26" s="21" t="n">
        <f aca="false">$B26*Model!$U$46</f>
        <v>2.69420203779207</v>
      </c>
      <c r="J26" s="21" t="n">
        <f aca="false">$B26*Model!$V$46</f>
        <v>2.69420203779207</v>
      </c>
      <c r="K26" s="21" t="n">
        <f aca="false">$B26*Model!$W$46</f>
        <v>8.74373752642168</v>
      </c>
      <c r="L26" s="21" t="n">
        <f aca="false">$B26*Model!$X$46</f>
        <v>2.39621442278894</v>
      </c>
      <c r="M26" s="21" t="n">
        <f aca="false">$B26*Model!$Y$46</f>
        <v>1.37415561796672</v>
      </c>
      <c r="N26" s="21" t="n">
        <f aca="false">$B26*Model!$Z$46</f>
        <v>0.141816771960978</v>
      </c>
      <c r="O26" s="21" t="n">
        <f aca="false">$B26*Model!$AA$46</f>
        <v>0.239621442278894</v>
      </c>
    </row>
    <row r="27" customFormat="false" ht="15" hidden="false" customHeight="true" outlineLevel="0" collapsed="false">
      <c r="A27" s="23" t="n">
        <v>2040</v>
      </c>
      <c r="B27" s="21" t="n">
        <f aca="false">IF($A27&lt;=Model!$B$3,Data!$B$18*Model!$D$46,0)</f>
        <v>46.2332061033817</v>
      </c>
      <c r="C27" s="21" t="n">
        <f aca="false">$B27*IF(Model!$B$5=1,Data!$D$18,Model!$AC$46)</f>
        <v>11.1529809555211</v>
      </c>
      <c r="D27" s="21" t="n">
        <f aca="false">$B27*IF(Model!$B$5=1,Data!$E$18,Model!$AD$46)</f>
        <v>14.3451056249201</v>
      </c>
      <c r="E27" s="21" t="n">
        <f aca="false">$B27*IF(Model!$B$5=1,Data!$F$18,Model!$AE$46)</f>
        <v>8.64539769378097</v>
      </c>
      <c r="F27" s="21" t="n">
        <f aca="false">$B27*IF(Model!$B$5=1,Data!$G$18,Model!$AF$46)</f>
        <v>12.0897218291596</v>
      </c>
      <c r="G27" s="21" t="n">
        <f aca="false">$B27*Model!$S$46</f>
        <v>22.5165891416806</v>
      </c>
      <c r="H27" s="21" t="n">
        <f aca="false">$B27*Model!$T$46</f>
        <v>5.62250694747199</v>
      </c>
      <c r="I27" s="21" t="n">
        <f aca="false">$B27*Model!$U$46</f>
        <v>2.66622849294803</v>
      </c>
      <c r="J27" s="21" t="n">
        <f aca="false">$B27*Model!$V$46</f>
        <v>2.66622849294803</v>
      </c>
      <c r="K27" s="21" t="n">
        <f aca="false">$B27*Model!$W$46</f>
        <v>8.65295245152049</v>
      </c>
      <c r="L27" s="21" t="n">
        <f aca="false">$B27*Model!$X$46</f>
        <v>2.37133484409678</v>
      </c>
      <c r="M27" s="21" t="n">
        <f aca="false">$B27*Model!$Y$46</f>
        <v>1.35988794120652</v>
      </c>
      <c r="N27" s="21" t="n">
        <f aca="false">$B27*Model!$Z$46</f>
        <v>0.140344307099605</v>
      </c>
      <c r="O27" s="21" t="n">
        <f aca="false">$B27*Model!$AA$46</f>
        <v>0.237133484409678</v>
      </c>
    </row>
    <row r="28" customFormat="false" ht="15" hidden="false" customHeight="true" outlineLevel="0" collapsed="false">
      <c r="A28" s="24" t="s">
        <v>122</v>
      </c>
      <c r="B28" s="25" t="n">
        <f aca="false">SUM(B13:B27)</f>
        <v>1208.55116597063</v>
      </c>
      <c r="C28" s="25" t="n">
        <f aca="false">SUM(C13:C27)</f>
        <v>291.541590163885</v>
      </c>
      <c r="D28" s="25" t="n">
        <f aca="false">SUM(D13:D27)</f>
        <v>374.98526881551</v>
      </c>
      <c r="E28" s="25" t="n">
        <f aca="false">SUM(E13:E27)</f>
        <v>225.993685649079</v>
      </c>
      <c r="F28" s="25" t="n">
        <f aca="false">SUM(F13:F27)</f>
        <v>316.030621342156</v>
      </c>
      <c r="G28" s="25" t="n">
        <f aca="false">SUM(G13:G27)</f>
        <v>588.591022651775</v>
      </c>
      <c r="H28" s="25" t="n">
        <f aca="false">SUM(H13:H27)</f>
        <v>146.974175051819</v>
      </c>
      <c r="I28" s="25" t="n">
        <f aca="false">SUM(I13:I27)</f>
        <v>69.6960869789378</v>
      </c>
      <c r="J28" s="25" t="n">
        <f aca="false">SUM(J13:J27)</f>
        <v>69.6960869789378</v>
      </c>
      <c r="K28" s="25" t="n">
        <f aca="false">SUM(K13:K27)</f>
        <v>226.191014116336</v>
      </c>
      <c r="L28" s="25" t="n">
        <f aca="false">SUM(L13:L27)</f>
        <v>61.9874703115239</v>
      </c>
      <c r="M28" s="25" t="n">
        <f aca="false">SUM(M13:M27)</f>
        <v>35.5479166480372</v>
      </c>
      <c r="N28" s="25" t="n">
        <f aca="false">SUM(N13:N27)</f>
        <v>3.6686462021106</v>
      </c>
      <c r="O28" s="25" t="n">
        <f aca="false">SUM(O13:O27)</f>
        <v>6.19874703115239</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Data!$H$23*Data!$M$23/SUM(Data!$H$23:$K$23)</f>
        <v>38.2860909690178</v>
      </c>
      <c r="C34" s="22" t="n">
        <f aca="false">IF($B$38&gt;0,B34/$B$38,0)</f>
        <v>0.021753460777851</v>
      </c>
      <c r="D34" s="21" t="n">
        <f aca="false">C28</f>
        <v>291.541590163885</v>
      </c>
      <c r="E34" s="22" t="n">
        <f aca="false">IF($D$38&gt;0,D34/$D$38,0)</f>
        <v>0.241232310532536</v>
      </c>
      <c r="F34" s="21" t="n">
        <f aca="false">B34+D34</f>
        <v>329.827681132903</v>
      </c>
      <c r="G34" s="22" t="n">
        <f aca="false">IF($F$38&gt;0,F34/$F$38,0)</f>
        <v>0.111107291972533</v>
      </c>
    </row>
    <row r="35" customFormat="false" ht="15" hidden="false" customHeight="true" outlineLevel="0" collapsed="false">
      <c r="A35" s="13" t="s">
        <v>110</v>
      </c>
      <c r="B35" s="21" t="n">
        <f aca="false">Data!$I$23*Data!$M$23/SUM(Data!$H$23:$K$23)</f>
        <v>316.730388925511</v>
      </c>
      <c r="C35" s="22" t="n">
        <f aca="false">IF($B$38&gt;0,B35/$B$38,0)</f>
        <v>0.179960448253131</v>
      </c>
      <c r="D35" s="21" t="n">
        <f aca="false">D28</f>
        <v>374.98526881551</v>
      </c>
      <c r="E35" s="22" t="n">
        <f aca="false">IF($D$38&gt;0,D35/$D$38,0)</f>
        <v>0.310276701040081</v>
      </c>
      <c r="F35" s="21" t="n">
        <f aca="false">B35+D35</f>
        <v>691.715657741021</v>
      </c>
      <c r="G35" s="22" t="n">
        <f aca="false">IF($F$38&gt;0,F35/$F$38,0)</f>
        <v>0.233014564704277</v>
      </c>
    </row>
    <row r="36" customFormat="false" ht="15" hidden="false" customHeight="true" outlineLevel="0" collapsed="false">
      <c r="A36" s="13" t="s">
        <v>111</v>
      </c>
      <c r="B36" s="21" t="n">
        <f aca="false">Data!$J$23*Data!$M$23/SUM(Data!$H$23:$K$23)</f>
        <v>885.220830586684</v>
      </c>
      <c r="C36" s="22" t="n">
        <f aca="false">IF($B$38&gt;0,B36/$B$38,0)</f>
        <v>0.502966381015161</v>
      </c>
      <c r="D36" s="21" t="n">
        <f aca="false">E28</f>
        <v>225.993685649079</v>
      </c>
      <c r="E36" s="22" t="n">
        <f aca="false">IF($D$38&gt;0,D36/$D$38,0)</f>
        <v>0.186995546413276</v>
      </c>
      <c r="F36" s="21" t="n">
        <f aca="false">B36+D36</f>
        <v>1111.21451623576</v>
      </c>
      <c r="G36" s="22" t="n">
        <f aca="false">IF($F$38&gt;0,F36/$F$38,0)</f>
        <v>0.37432890797839</v>
      </c>
    </row>
    <row r="37" customFormat="false" ht="15" hidden="false" customHeight="true" outlineLevel="0" collapsed="false">
      <c r="A37" s="13" t="s">
        <v>112</v>
      </c>
      <c r="B37" s="21" t="n">
        <f aca="false">Data!$K$23*Data!$M$23/SUM(Data!$H$23:$K$23)</f>
        <v>519.762689518787</v>
      </c>
      <c r="C37" s="22" t="n">
        <f aca="false">IF($B$38&gt;0,B37/$B$38,0)</f>
        <v>0.295319709953856</v>
      </c>
      <c r="D37" s="21" t="n">
        <f aca="false">F28</f>
        <v>316.030621342156</v>
      </c>
      <c r="E37" s="22" t="n">
        <f aca="false">IF($D$38&gt;0,D37/$D$38,0)</f>
        <v>0.261495442014109</v>
      </c>
      <c r="F37" s="21" t="n">
        <f aca="false">B37+D37</f>
        <v>835.793310860943</v>
      </c>
      <c r="G37" s="22" t="n">
        <f aca="false">IF($F$38&gt;0,F37/$F$38,0)</f>
        <v>0.281549235344799</v>
      </c>
    </row>
    <row r="38" customFormat="false" ht="15" hidden="false" customHeight="true" outlineLevel="0" collapsed="false">
      <c r="A38" s="24" t="s">
        <v>61</v>
      </c>
      <c r="B38" s="25" t="n">
        <f aca="false">SUM(B34:B37)</f>
        <v>1760</v>
      </c>
      <c r="C38" s="27" t="n">
        <f aca="false">SUM(C34:C37)</f>
        <v>1</v>
      </c>
      <c r="D38" s="25" t="n">
        <f aca="false">SUM(D34:D37)</f>
        <v>1208.55116597063</v>
      </c>
      <c r="E38" s="27" t="n">
        <f aca="false">SUM(E34:E37)</f>
        <v>1</v>
      </c>
      <c r="F38" s="25" t="n">
        <f aca="false">SUM(F34:F37)</f>
        <v>2968.55116597063</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103</v>
      </c>
      <c r="C6" s="15" t="n">
        <f aca="false">Model!$Q$47</f>
        <v>0.236417369720557</v>
      </c>
    </row>
    <row r="7" customFormat="false" ht="15" hidden="false" customHeight="true" outlineLevel="0" collapsed="false">
      <c r="A7" s="13" t="s">
        <v>104</v>
      </c>
      <c r="C7" s="15" t="n">
        <f aca="false">Model!$G$47</f>
        <v>0.17369</v>
      </c>
    </row>
    <row r="8" customFormat="false" ht="15" hidden="false" customHeight="true" outlineLevel="0" collapsed="false">
      <c r="A8" s="13" t="s">
        <v>105</v>
      </c>
      <c r="C8" s="15" t="n">
        <f aca="false">Model!$R$47</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IF($A13&lt;=Model!$B$3,Data!$B$4*Model!$D$47,0)</f>
        <v>525.281097143218</v>
      </c>
      <c r="C13" s="21" t="n">
        <f aca="false">$B13*IF(Model!$B$5=1,Data!$D$4,Model!$AC$47)</f>
        <v>135.878295063079</v>
      </c>
      <c r="D13" s="21" t="n">
        <f aca="false">$B13*IF(Model!$B$5=1,Data!$E$4,Model!$AD$47)</f>
        <v>166.306163495156</v>
      </c>
      <c r="E13" s="21" t="n">
        <f aca="false">$B13*IF(Model!$B$5=1,Data!$F$4,Model!$AE$47)</f>
        <v>97.1967133316134</v>
      </c>
      <c r="F13" s="21" t="n">
        <f aca="false">$B13*IF(Model!$B$5=1,Data!$G$4,Model!$AF$47)</f>
        <v>125.89992525337</v>
      </c>
      <c r="G13" s="21" t="n">
        <f aca="false">$B13*Model!$S$47</f>
        <v>269.820257534042</v>
      </c>
      <c r="H13" s="21" t="n">
        <f aca="false">$B13*Model!$T$47</f>
        <v>67.3754920431347</v>
      </c>
      <c r="I13" s="21" t="n">
        <f aca="false">$B13*Model!$U$47</f>
        <v>31.9498861077563</v>
      </c>
      <c r="J13" s="21" t="n">
        <f aca="false">$B13*Model!$V$47</f>
        <v>31.9498861077563</v>
      </c>
      <c r="K13" s="21" t="n">
        <f aca="false">$B13*Model!$W$47</f>
        <v>84.2031887473432</v>
      </c>
      <c r="L13" s="21" t="n">
        <f aca="false">$B13*Model!$X$47</f>
        <v>23.075817945301</v>
      </c>
      <c r="M13" s="21" t="n">
        <f aca="false">$B13*Model!$Y$47</f>
        <v>13.23327518904</v>
      </c>
      <c r="N13" s="21" t="n">
        <f aca="false">$B13*Model!$Z$47</f>
        <v>1.36571167431373</v>
      </c>
      <c r="O13" s="21" t="n">
        <f aca="false">$B13*Model!$AA$47</f>
        <v>2.3075817945301</v>
      </c>
    </row>
    <row r="14" customFormat="false" ht="15" hidden="false" customHeight="true" outlineLevel="0" collapsed="false">
      <c r="A14" s="23" t="n">
        <v>2027</v>
      </c>
      <c r="B14" s="21" t="n">
        <f aca="false">IF($A14&lt;=Model!$B$3,Data!$B$5*Model!$D$47,0)</f>
        <v>525.281097143218</v>
      </c>
      <c r="C14" s="21" t="n">
        <f aca="false">$B14*IF(Model!$B$5=1,Data!$D$5,Model!$AC$47)</f>
        <v>132.059412790227</v>
      </c>
      <c r="D14" s="21" t="n">
        <f aca="false">$B14*IF(Model!$B$5=1,Data!$E$5,Model!$AD$47)</f>
        <v>166.798922498104</v>
      </c>
      <c r="E14" s="21" t="n">
        <f aca="false">$B14*IF(Model!$B$5=1,Data!$F$5,Model!$AE$47)</f>
        <v>96.9503338301391</v>
      </c>
      <c r="F14" s="21" t="n">
        <f aca="false">$B14*IF(Model!$B$5=1,Data!$G$5,Model!$AF$47)</f>
        <v>129.472428024747</v>
      </c>
      <c r="G14" s="21" t="n">
        <f aca="false">$B14*Model!$S$47</f>
        <v>269.820257534042</v>
      </c>
      <c r="H14" s="21" t="n">
        <f aca="false">$B14*Model!$T$47</f>
        <v>67.3754920431347</v>
      </c>
      <c r="I14" s="21" t="n">
        <f aca="false">$B14*Model!$U$47</f>
        <v>31.9498861077563</v>
      </c>
      <c r="J14" s="21" t="n">
        <f aca="false">$B14*Model!$V$47</f>
        <v>31.9498861077563</v>
      </c>
      <c r="K14" s="21" t="n">
        <f aca="false">$B14*Model!$W$47</f>
        <v>84.2031887473432</v>
      </c>
      <c r="L14" s="21" t="n">
        <f aca="false">$B14*Model!$X$47</f>
        <v>23.075817945301</v>
      </c>
      <c r="M14" s="21" t="n">
        <f aca="false">$B14*Model!$Y$47</f>
        <v>13.23327518904</v>
      </c>
      <c r="N14" s="21" t="n">
        <f aca="false">$B14*Model!$Z$47</f>
        <v>1.36571167431373</v>
      </c>
      <c r="O14" s="21" t="n">
        <f aca="false">$B14*Model!$AA$47</f>
        <v>2.3075817945301</v>
      </c>
    </row>
    <row r="15" customFormat="false" ht="15" hidden="false" customHeight="true" outlineLevel="0" collapsed="false">
      <c r="A15" s="23" t="n">
        <v>2028</v>
      </c>
      <c r="B15" s="21" t="n">
        <f aca="false">IF($A15&lt;=Model!$B$3,Data!$B$6*Model!$D$47,0)</f>
        <v>525.281097143218</v>
      </c>
      <c r="C15" s="21" t="n">
        <f aca="false">$B15*IF(Model!$B$5=1,Data!$D$6,Model!$AC$47)</f>
        <v>131.628393183707</v>
      </c>
      <c r="D15" s="21" t="n">
        <f aca="false">$B15*IF(Model!$B$5=1,Data!$E$6,Model!$AD$47)</f>
        <v>166.877195103688</v>
      </c>
      <c r="E15" s="21" t="n">
        <f aca="false">$B15*IF(Model!$B$5=1,Data!$F$6,Model!$AE$47)</f>
        <v>96.9958290595289</v>
      </c>
      <c r="F15" s="21" t="n">
        <f aca="false">$B15*IF(Model!$B$5=1,Data!$G$6,Model!$AF$47)</f>
        <v>129.779679796295</v>
      </c>
      <c r="G15" s="21" t="n">
        <f aca="false">$B15*Model!$S$47</f>
        <v>269.820257534042</v>
      </c>
      <c r="H15" s="21" t="n">
        <f aca="false">$B15*Model!$T$47</f>
        <v>67.3754920431347</v>
      </c>
      <c r="I15" s="21" t="n">
        <f aca="false">$B15*Model!$U$47</f>
        <v>31.9498861077563</v>
      </c>
      <c r="J15" s="21" t="n">
        <f aca="false">$B15*Model!$V$47</f>
        <v>31.9498861077563</v>
      </c>
      <c r="K15" s="21" t="n">
        <f aca="false">$B15*Model!$W$47</f>
        <v>84.2031887473432</v>
      </c>
      <c r="L15" s="21" t="n">
        <f aca="false">$B15*Model!$X$47</f>
        <v>23.075817945301</v>
      </c>
      <c r="M15" s="21" t="n">
        <f aca="false">$B15*Model!$Y$47</f>
        <v>13.23327518904</v>
      </c>
      <c r="N15" s="21" t="n">
        <f aca="false">$B15*Model!$Z$47</f>
        <v>1.36571167431373</v>
      </c>
      <c r="O15" s="21" t="n">
        <f aca="false">$B15*Model!$AA$47</f>
        <v>2.3075817945301</v>
      </c>
    </row>
    <row r="16" customFormat="false" ht="15" hidden="false" customHeight="true" outlineLevel="0" collapsed="false">
      <c r="A16" s="23" t="n">
        <v>2029</v>
      </c>
      <c r="B16" s="21" t="n">
        <f aca="false">IF($A16&lt;=Model!$B$3,Data!$B$7*Model!$D$47,0)</f>
        <v>525.281097143218</v>
      </c>
      <c r="C16" s="21" t="n">
        <f aca="false">$B16*IF(Model!$B$5=1,Data!$D$7,Model!$AC$47)</f>
        <v>130.242111114328</v>
      </c>
      <c r="D16" s="21" t="n">
        <f aca="false">$B16*IF(Model!$B$5=1,Data!$E$7,Model!$AD$47)</f>
        <v>165.975519083254</v>
      </c>
      <c r="E16" s="21" t="n">
        <f aca="false">$B16*IF(Model!$B$5=1,Data!$F$7,Model!$AE$47)</f>
        <v>96.3569828679327</v>
      </c>
      <c r="F16" s="21" t="n">
        <f aca="false">$B16*IF(Model!$B$5=1,Data!$G$7,Model!$AF$47)</f>
        <v>132.706484077702</v>
      </c>
      <c r="G16" s="21" t="n">
        <f aca="false">$B16*Model!$S$47</f>
        <v>269.820257534042</v>
      </c>
      <c r="H16" s="21" t="n">
        <f aca="false">$B16*Model!$T$47</f>
        <v>67.3754920431347</v>
      </c>
      <c r="I16" s="21" t="n">
        <f aca="false">$B16*Model!$U$47</f>
        <v>31.9498861077563</v>
      </c>
      <c r="J16" s="21" t="n">
        <f aca="false">$B16*Model!$V$47</f>
        <v>31.9498861077563</v>
      </c>
      <c r="K16" s="21" t="n">
        <f aca="false">$B16*Model!$W$47</f>
        <v>84.2031887473432</v>
      </c>
      <c r="L16" s="21" t="n">
        <f aca="false">$B16*Model!$X$47</f>
        <v>23.075817945301</v>
      </c>
      <c r="M16" s="21" t="n">
        <f aca="false">$B16*Model!$Y$47</f>
        <v>13.23327518904</v>
      </c>
      <c r="N16" s="21" t="n">
        <f aca="false">$B16*Model!$Z$47</f>
        <v>1.36571167431373</v>
      </c>
      <c r="O16" s="21" t="n">
        <f aca="false">$B16*Model!$AA$47</f>
        <v>2.3075817945301</v>
      </c>
    </row>
    <row r="17" customFormat="false" ht="15" hidden="false" customHeight="true" outlineLevel="0" collapsed="false">
      <c r="A17" s="23" t="n">
        <v>2030</v>
      </c>
      <c r="B17" s="21" t="n">
        <f aca="false">IF($A17&lt;=Model!$B$3,Data!$B$8*Model!$D$47,0)</f>
        <v>525.281097143218</v>
      </c>
      <c r="C17" s="21" t="n">
        <f aca="false">$B17*IF(Model!$B$5=1,Data!$D$8,Model!$AC$47)</f>
        <v>130.026174914616</v>
      </c>
      <c r="D17" s="21" t="n">
        <f aca="false">$B17*IF(Model!$B$5=1,Data!$E$8,Model!$AD$47)</f>
        <v>163.549511006347</v>
      </c>
      <c r="E17" s="21" t="n">
        <f aca="false">$B17*IF(Model!$B$5=1,Data!$F$8,Model!$AE$47)</f>
        <v>96.5028388228858</v>
      </c>
      <c r="F17" s="21" t="n">
        <f aca="false">$B17*IF(Model!$B$5=1,Data!$G$8,Model!$AF$47)</f>
        <v>135.202572399369</v>
      </c>
      <c r="G17" s="21" t="n">
        <f aca="false">$B17*Model!$S$47</f>
        <v>269.820257534042</v>
      </c>
      <c r="H17" s="21" t="n">
        <f aca="false">$B17*Model!$T$47</f>
        <v>67.3754920431347</v>
      </c>
      <c r="I17" s="21" t="n">
        <f aca="false">$B17*Model!$U$47</f>
        <v>31.9498861077563</v>
      </c>
      <c r="J17" s="21" t="n">
        <f aca="false">$B17*Model!$V$47</f>
        <v>31.9498861077563</v>
      </c>
      <c r="K17" s="21" t="n">
        <f aca="false">$B17*Model!$W$47</f>
        <v>84.2031887473432</v>
      </c>
      <c r="L17" s="21" t="n">
        <f aca="false">$B17*Model!$X$47</f>
        <v>23.075817945301</v>
      </c>
      <c r="M17" s="21" t="n">
        <f aca="false">$B17*Model!$Y$47</f>
        <v>13.23327518904</v>
      </c>
      <c r="N17" s="21" t="n">
        <f aca="false">$B17*Model!$Z$47</f>
        <v>1.36571167431373</v>
      </c>
      <c r="O17" s="21" t="n">
        <f aca="false">$B17*Model!$AA$47</f>
        <v>2.3075817945301</v>
      </c>
    </row>
    <row r="18" customFormat="false" ht="15" hidden="false" customHeight="true" outlineLevel="0" collapsed="false">
      <c r="A18" s="23" t="n">
        <v>2031</v>
      </c>
      <c r="B18" s="21" t="n">
        <f aca="false">IF($A18&lt;=Model!$B$3,Data!$B$9*Model!$D$47,0)</f>
        <v>267.138029229767</v>
      </c>
      <c r="C18" s="21" t="n">
        <f aca="false">$B18*IF(Model!$B$5=1,Data!$D$9,Model!$AC$47)</f>
        <v>61.7325427325246</v>
      </c>
      <c r="D18" s="21" t="n">
        <f aca="false">$B18*IF(Model!$B$5=1,Data!$E$9,Model!$AD$47)</f>
        <v>81.201089143181</v>
      </c>
      <c r="E18" s="21" t="n">
        <f aca="false">$B18*IF(Model!$B$5=1,Data!$F$9,Model!$AE$47)</f>
        <v>50.7660830455093</v>
      </c>
      <c r="F18" s="21" t="n">
        <f aca="false">$B18*IF(Model!$B$5=1,Data!$G$9,Model!$AF$47)</f>
        <v>73.4383143085522</v>
      </c>
      <c r="G18" s="21" t="n">
        <f aca="false">$B18*Model!$S$47</f>
        <v>137.22034209097</v>
      </c>
      <c r="H18" s="21" t="n">
        <f aca="false">$B18*Model!$T$47</f>
        <v>34.264618050555</v>
      </c>
      <c r="I18" s="21" t="n">
        <f aca="false">$B18*Model!$U$47</f>
        <v>16.2484994327037</v>
      </c>
      <c r="J18" s="21" t="n">
        <f aca="false">$B18*Model!$V$47</f>
        <v>16.2484994327037</v>
      </c>
      <c r="K18" s="21" t="n">
        <f aca="false">$B18*Model!$W$47</f>
        <v>42.8225459076331</v>
      </c>
      <c r="L18" s="21" t="n">
        <f aca="false">$B18*Model!$X$47</f>
        <v>11.7354851760292</v>
      </c>
      <c r="M18" s="21" t="n">
        <f aca="false">$B18*Model!$Y$47</f>
        <v>6.72994149890655</v>
      </c>
      <c r="N18" s="21" t="n">
        <f aca="false">$B18*Model!$Z$47</f>
        <v>0.694549122662953</v>
      </c>
      <c r="O18" s="21" t="n">
        <f aca="false">$B18*Model!$AA$47</f>
        <v>1.17354851760292</v>
      </c>
    </row>
    <row r="19" customFormat="false" ht="15" hidden="false" customHeight="true" outlineLevel="0" collapsed="false">
      <c r="A19" s="23" t="n">
        <v>2032</v>
      </c>
      <c r="B19" s="21" t="n">
        <f aca="false">IF($A19&lt;=Model!$B$3,Data!$B$10*Model!$D$47,0)</f>
        <v>267.138029229767</v>
      </c>
      <c r="C19" s="21" t="n">
        <f aca="false">$B19*IF(Model!$B$5=1,Data!$D$10,Model!$AC$47)</f>
        <v>59.3913884173192</v>
      </c>
      <c r="D19" s="21" t="n">
        <f aca="false">$B19*IF(Model!$B$5=1,Data!$E$10,Model!$AD$47)</f>
        <v>79.5992467169877</v>
      </c>
      <c r="E19" s="21" t="n">
        <f aca="false">$B19*IF(Model!$B$5=1,Data!$F$10,Model!$AE$47)</f>
        <v>51.6286135826903</v>
      </c>
      <c r="F19" s="21" t="n">
        <f aca="false">$B19*IF(Model!$B$5=1,Data!$G$10,Model!$AF$47)</f>
        <v>76.5187805127699</v>
      </c>
      <c r="G19" s="21" t="n">
        <f aca="false">$B19*Model!$S$47</f>
        <v>137.22034209097</v>
      </c>
      <c r="H19" s="21" t="n">
        <f aca="false">$B19*Model!$T$47</f>
        <v>34.264618050555</v>
      </c>
      <c r="I19" s="21" t="n">
        <f aca="false">$B19*Model!$U$47</f>
        <v>16.2484994327037</v>
      </c>
      <c r="J19" s="21" t="n">
        <f aca="false">$B19*Model!$V$47</f>
        <v>16.2484994327037</v>
      </c>
      <c r="K19" s="21" t="n">
        <f aca="false">$B19*Model!$W$47</f>
        <v>42.8225459076331</v>
      </c>
      <c r="L19" s="21" t="n">
        <f aca="false">$B19*Model!$X$47</f>
        <v>11.7354851760292</v>
      </c>
      <c r="M19" s="21" t="n">
        <f aca="false">$B19*Model!$Y$47</f>
        <v>6.72994149890655</v>
      </c>
      <c r="N19" s="21" t="n">
        <f aca="false">$B19*Model!$Z$47</f>
        <v>0.694549122662953</v>
      </c>
      <c r="O19" s="21" t="n">
        <f aca="false">$B19*Model!$AA$47</f>
        <v>1.17354851760292</v>
      </c>
    </row>
    <row r="20" customFormat="false" ht="15" hidden="false" customHeight="true" outlineLevel="0" collapsed="false">
      <c r="A20" s="23" t="n">
        <v>2033</v>
      </c>
      <c r="B20" s="21" t="n">
        <f aca="false">IF($A20&lt;=Model!$B$3,Data!$B$11*Model!$D$47,0)</f>
        <v>267.138029229767</v>
      </c>
      <c r="C20" s="21" t="n">
        <f aca="false">$B20*IF(Model!$B$5=1,Data!$D$11,Model!$AC$47)</f>
        <v>58.925693572602</v>
      </c>
      <c r="D20" s="21" t="n">
        <f aca="false">$B20*IF(Model!$B$5=1,Data!$E$11,Model!$AD$47)</f>
        <v>79.8825301988411</v>
      </c>
      <c r="E20" s="21" t="n">
        <f aca="false">$B20*IF(Model!$B$5=1,Data!$F$11,Model!$AE$47)</f>
        <v>51.6524385082013</v>
      </c>
      <c r="F20" s="21" t="n">
        <f aca="false">$B20*IF(Model!$B$5=1,Data!$G$11,Model!$AF$47)</f>
        <v>76.6773669501224</v>
      </c>
      <c r="G20" s="21" t="n">
        <f aca="false">$B20*Model!$S$47</f>
        <v>137.22034209097</v>
      </c>
      <c r="H20" s="21" t="n">
        <f aca="false">$B20*Model!$T$47</f>
        <v>34.264618050555</v>
      </c>
      <c r="I20" s="21" t="n">
        <f aca="false">$B20*Model!$U$47</f>
        <v>16.2484994327037</v>
      </c>
      <c r="J20" s="21" t="n">
        <f aca="false">$B20*Model!$V$47</f>
        <v>16.2484994327037</v>
      </c>
      <c r="K20" s="21" t="n">
        <f aca="false">$B20*Model!$W$47</f>
        <v>42.8225459076331</v>
      </c>
      <c r="L20" s="21" t="n">
        <f aca="false">$B20*Model!$X$47</f>
        <v>11.7354851760292</v>
      </c>
      <c r="M20" s="21" t="n">
        <f aca="false">$B20*Model!$Y$47</f>
        <v>6.72994149890655</v>
      </c>
      <c r="N20" s="21" t="n">
        <f aca="false">$B20*Model!$Z$47</f>
        <v>0.694549122662953</v>
      </c>
      <c r="O20" s="21" t="n">
        <f aca="false">$B20*Model!$AA$47</f>
        <v>1.17354851760292</v>
      </c>
    </row>
    <row r="21" customFormat="false" ht="15" hidden="false" customHeight="true" outlineLevel="0" collapsed="false">
      <c r="A21" s="23" t="n">
        <v>2034</v>
      </c>
      <c r="B21" s="21" t="n">
        <f aca="false">IF($A21&lt;=Model!$B$3,Data!$B$12*Model!$D$47,0)</f>
        <v>267.138029229767</v>
      </c>
      <c r="C21" s="21" t="n">
        <f aca="false">$B21*IF(Model!$B$5=1,Data!$D$12,Model!$AC$47)</f>
        <v>58.4056392319695</v>
      </c>
      <c r="D21" s="21" t="n">
        <f aca="false">$B21*IF(Model!$B$5=1,Data!$E$12,Model!$AD$47)</f>
        <v>80.0921213096627</v>
      </c>
      <c r="E21" s="21" t="n">
        <f aca="false">$B21*IF(Model!$B$5=1,Data!$F$12,Model!$AE$47)</f>
        <v>51.6286135826903</v>
      </c>
      <c r="F21" s="21" t="n">
        <f aca="false">$B21*IF(Model!$B$5=1,Data!$G$12,Model!$AF$47)</f>
        <v>77.0116551054447</v>
      </c>
      <c r="G21" s="21" t="n">
        <f aca="false">$B21*Model!$S$47</f>
        <v>137.22034209097</v>
      </c>
      <c r="H21" s="21" t="n">
        <f aca="false">$B21*Model!$T$47</f>
        <v>34.264618050555</v>
      </c>
      <c r="I21" s="21" t="n">
        <f aca="false">$B21*Model!$U$47</f>
        <v>16.2484994327037</v>
      </c>
      <c r="J21" s="21" t="n">
        <f aca="false">$B21*Model!$V$47</f>
        <v>16.2484994327037</v>
      </c>
      <c r="K21" s="21" t="n">
        <f aca="false">$B21*Model!$W$47</f>
        <v>42.8225459076331</v>
      </c>
      <c r="L21" s="21" t="n">
        <f aca="false">$B21*Model!$X$47</f>
        <v>11.7354851760292</v>
      </c>
      <c r="M21" s="21" t="n">
        <f aca="false">$B21*Model!$Y$47</f>
        <v>6.72994149890655</v>
      </c>
      <c r="N21" s="21" t="n">
        <f aca="false">$B21*Model!$Z$47</f>
        <v>0.694549122662953</v>
      </c>
      <c r="O21" s="21" t="n">
        <f aca="false">$B21*Model!$AA$47</f>
        <v>1.17354851760292</v>
      </c>
    </row>
    <row r="22" customFormat="false" ht="15" hidden="false" customHeight="true" outlineLevel="0" collapsed="false">
      <c r="A22" s="23" t="n">
        <v>2035</v>
      </c>
      <c r="B22" s="21" t="n">
        <f aca="false">IF($A22&lt;=Model!$B$3,Data!$B$13*Model!$D$47,0)</f>
        <v>258.143067913451</v>
      </c>
      <c r="C22" s="21" t="n">
        <f aca="false">$B22*IF(Model!$B$5=1,Data!$D$13,Model!$AC$47)</f>
        <v>55.3251730277514</v>
      </c>
      <c r="D22" s="21" t="n">
        <f aca="false">$B22*IF(Model!$B$5=1,Data!$E$13,Model!$AD$47)</f>
        <v>76.2723432164324</v>
      </c>
      <c r="E22" s="21" t="n">
        <f aca="false">$B22*IF(Model!$B$5=1,Data!$F$13,Model!$AE$47)</f>
        <v>49.533896563822</v>
      </c>
      <c r="F22" s="21" t="n">
        <f aca="false">$B22*IF(Model!$B$5=1,Data!$G$13,Model!$AF$47)</f>
        <v>77.0116551054448</v>
      </c>
      <c r="G22" s="21" t="n">
        <f aca="false">$B22*Model!$S$47</f>
        <v>132.599915443073</v>
      </c>
      <c r="H22" s="21" t="n">
        <f aca="false">$B22*Model!$T$47</f>
        <v>33.1108739925797</v>
      </c>
      <c r="I22" s="21" t="n">
        <f aca="false">$B22*Model!$U$47</f>
        <v>15.7013866750527</v>
      </c>
      <c r="J22" s="21" t="n">
        <f aca="false">$B22*Model!$V$47</f>
        <v>15.7013866750527</v>
      </c>
      <c r="K22" s="21" t="n">
        <f aca="false">$B22*Model!$W$47</f>
        <v>41.3806428397101</v>
      </c>
      <c r="L22" s="21" t="n">
        <f aca="false">$B22*Model!$X$47</f>
        <v>11.3403327692718</v>
      </c>
      <c r="M22" s="21" t="n">
        <f aca="false">$B22*Model!$Y$47</f>
        <v>6.5033336901334</v>
      </c>
      <c r="N22" s="21" t="n">
        <f aca="false">$B22*Model!$Z$47</f>
        <v>0.671162551650778</v>
      </c>
      <c r="O22" s="21" t="n">
        <f aca="false">$B22*Model!$AA$47</f>
        <v>1.13403327692718</v>
      </c>
    </row>
    <row r="23" customFormat="false" ht="15" hidden="false" customHeight="true" outlineLevel="0" collapsed="false">
      <c r="A23" s="23" t="n">
        <v>2036</v>
      </c>
      <c r="B23" s="21" t="n">
        <f aca="false">IF($A23&lt;=Model!$B$3,Data!$B$14*Model!$D$47,0)</f>
        <v>195.547994643745</v>
      </c>
      <c r="C23" s="21" t="n">
        <f aca="false">$B23*IF(Model!$B$5=1,Data!$D$14,Model!$AC$47)</f>
        <v>47.1726545477992</v>
      </c>
      <c r="D23" s="21" t="n">
        <f aca="false">$B23*IF(Model!$B$5=1,Data!$E$14,Model!$AD$47)</f>
        <v>60.6740668521506</v>
      </c>
      <c r="E23" s="21" t="n">
        <f aca="false">$B23*IF(Model!$B$5=1,Data!$F$14,Model!$AE$47)</f>
        <v>36.5665789678573</v>
      </c>
      <c r="F23" s="21" t="n">
        <f aca="false">$B23*IF(Model!$B$5=1,Data!$G$14,Model!$AF$47)</f>
        <v>51.1346942759383</v>
      </c>
      <c r="G23" s="21" t="n">
        <f aca="false">$B23*Model!$S$47</f>
        <v>100.446809454967</v>
      </c>
      <c r="H23" s="21" t="n">
        <f aca="false">$B23*Model!$T$47</f>
        <v>25.0820797261212</v>
      </c>
      <c r="I23" s="21" t="n">
        <f aca="false">$B23*Model!$U$47</f>
        <v>11.8940814574265</v>
      </c>
      <c r="J23" s="21" t="n">
        <f aca="false">$B23*Model!$V$47</f>
        <v>11.8940814574265</v>
      </c>
      <c r="K23" s="21" t="n">
        <f aca="false">$B23*Model!$W$47</f>
        <v>31.3465776547111</v>
      </c>
      <c r="L23" s="21" t="n">
        <f aca="false">$B23*Model!$X$47</f>
        <v>8.59050506197341</v>
      </c>
      <c r="M23" s="21" t="n">
        <f aca="false">$B23*Model!$Y$47</f>
        <v>4.926391678397</v>
      </c>
      <c r="N23" s="21" t="n">
        <f aca="false">$B23*Model!$Z$47</f>
        <v>0.508417646524957</v>
      </c>
      <c r="O23" s="21" t="n">
        <f aca="false">$B23*Model!$AA$47</f>
        <v>0.859050506197341</v>
      </c>
    </row>
    <row r="24" customFormat="false" ht="15" hidden="false" customHeight="true" outlineLevel="0" collapsed="false">
      <c r="A24" s="23" t="n">
        <v>2037</v>
      </c>
      <c r="B24" s="21" t="n">
        <f aca="false">IF($A24&lt;=Model!$B$3,Data!$B$15*Model!$D$47,0)</f>
        <v>193.946152217552</v>
      </c>
      <c r="C24" s="21" t="n">
        <f aca="false">$B24*IF(Model!$B$5=1,Data!$D$15,Model!$AC$47)</f>
        <v>46.7862370877353</v>
      </c>
      <c r="D24" s="21" t="n">
        <f aca="false">$B24*IF(Model!$B$5=1,Data!$E$15,Model!$AD$47)</f>
        <v>60.1770518117738</v>
      </c>
      <c r="E24" s="21" t="n">
        <f aca="false">$B24*IF(Model!$B$5=1,Data!$F$15,Model!$AE$47)</f>
        <v>36.2670417740437</v>
      </c>
      <c r="F24" s="21" t="n">
        <f aca="false">$B24*IF(Model!$B$5=1,Data!$G$15,Model!$AF$47)</f>
        <v>50.7158215439995</v>
      </c>
      <c r="G24" s="21" t="n">
        <f aca="false">$B24*Model!$S$47</f>
        <v>99.6239937505472</v>
      </c>
      <c r="H24" s="21" t="n">
        <f aca="false">$B24*Model!$T$47</f>
        <v>24.8766184555229</v>
      </c>
      <c r="I24" s="21" t="n">
        <f aca="false">$B24*Model!$U$47</f>
        <v>11.7966504183928</v>
      </c>
      <c r="J24" s="21" t="n">
        <f aca="false">$B24*Model!$V$47</f>
        <v>11.7966504183928</v>
      </c>
      <c r="K24" s="21" t="n">
        <f aca="false">$B24*Model!$W$47</f>
        <v>31.0898003960399</v>
      </c>
      <c r="L24" s="21" t="n">
        <f aca="false">$B24*Model!$X$47</f>
        <v>8.52013545529058</v>
      </c>
      <c r="M24" s="21" t="n">
        <f aca="false">$B24*Model!$Y$47</f>
        <v>4.88603686313603</v>
      </c>
      <c r="N24" s="21" t="n">
        <f aca="false">$B24*Model!$Z$47</f>
        <v>0.504252914700871</v>
      </c>
      <c r="O24" s="21" t="n">
        <f aca="false">$B24*Model!$AA$47</f>
        <v>0.852013545529058</v>
      </c>
    </row>
    <row r="25" customFormat="false" ht="15" hidden="false" customHeight="true" outlineLevel="0" collapsed="false">
      <c r="A25" s="23" t="n">
        <v>2038</v>
      </c>
      <c r="B25" s="21" t="n">
        <f aca="false">IF($A25&lt;=Model!$B$3,Data!$B$16*Model!$D$47,0)</f>
        <v>191.604997902347</v>
      </c>
      <c r="C25" s="21" t="n">
        <f aca="false">$B25*IF(Model!$B$5=1,Data!$D$16,Model!$AC$47)</f>
        <v>46.2214731076421</v>
      </c>
      <c r="D25" s="21" t="n">
        <f aca="false">$B25*IF(Model!$B$5=1,Data!$E$16,Model!$AD$47)</f>
        <v>59.4506452143</v>
      </c>
      <c r="E25" s="21" t="n">
        <f aca="false">$B25*IF(Model!$B$5=1,Data!$F$16,Model!$AE$47)</f>
        <v>35.8292566446239</v>
      </c>
      <c r="F25" s="21" t="n">
        <f aca="false">$B25*IF(Model!$B$5=1,Data!$G$16,Model!$AF$47)</f>
        <v>50.1036229357808</v>
      </c>
      <c r="G25" s="21" t="n">
        <f aca="false">$B25*Model!$S$47</f>
        <v>98.4214169517795</v>
      </c>
      <c r="H25" s="21" t="n">
        <f aca="false">$B25*Model!$T$47</f>
        <v>24.5763289061868</v>
      </c>
      <c r="I25" s="21" t="n">
        <f aca="false">$B25*Model!$U$47</f>
        <v>11.6542512074973</v>
      </c>
      <c r="J25" s="21" t="n">
        <f aca="false">$B25*Model!$V$47</f>
        <v>11.6542512074973</v>
      </c>
      <c r="K25" s="21" t="n">
        <f aca="false">$B25*Model!$W$47</f>
        <v>30.7145105564435</v>
      </c>
      <c r="L25" s="21" t="n">
        <f aca="false">$B25*Model!$X$47</f>
        <v>8.41728756860029</v>
      </c>
      <c r="M25" s="21" t="n">
        <f aca="false">$B25*Model!$Y$47</f>
        <v>4.82705674852384</v>
      </c>
      <c r="N25" s="21" t="n">
        <f aca="false">$B25*Model!$Z$47</f>
        <v>0.498165998957976</v>
      </c>
      <c r="O25" s="21" t="n">
        <f aca="false">$B25*Model!$AA$47</f>
        <v>0.841728756860029</v>
      </c>
    </row>
    <row r="26" customFormat="false" ht="15" hidden="false" customHeight="true" outlineLevel="0" collapsed="false">
      <c r="A26" s="23" t="n">
        <v>2039</v>
      </c>
      <c r="B26" s="21" t="n">
        <f aca="false">IF($A26&lt;=Model!$B$3,Data!$B$17*Model!$D$47,0)</f>
        <v>189.879936827985</v>
      </c>
      <c r="C26" s="21" t="n">
        <f aca="false">$B26*IF(Model!$B$5=1,Data!$D$17,Model!$AC$47)</f>
        <v>45.8053312275731</v>
      </c>
      <c r="D26" s="21" t="n">
        <f aca="false">$B26*IF(Model!$B$5=1,Data!$E$17,Model!$AD$47)</f>
        <v>58.9153982477402</v>
      </c>
      <c r="E26" s="21" t="n">
        <f aca="false">$B26*IF(Model!$B$5=1,Data!$F$17,Model!$AE$47)</f>
        <v>35.5066781282092</v>
      </c>
      <c r="F26" s="21" t="n">
        <f aca="false">$B26*IF(Model!$B$5=1,Data!$G$17,Model!$AF$47)</f>
        <v>49.652529224462</v>
      </c>
      <c r="G26" s="21" t="n">
        <f aca="false">$B26*Model!$S$47</f>
        <v>97.5353077316349</v>
      </c>
      <c r="H26" s="21" t="n">
        <f aca="false">$B26*Model!$T$47</f>
        <v>24.3550629224655</v>
      </c>
      <c r="I26" s="21" t="n">
        <f aca="false">$B26*Model!$U$47</f>
        <v>11.5493254731533</v>
      </c>
      <c r="J26" s="21" t="n">
        <f aca="false">$B26*Model!$V$47</f>
        <v>11.5493254731533</v>
      </c>
      <c r="K26" s="21" t="n">
        <f aca="false">$B26*Model!$W$47</f>
        <v>30.4379812009514</v>
      </c>
      <c r="L26" s="21" t="n">
        <f aca="false">$B26*Model!$X$47</f>
        <v>8.34150491524955</v>
      </c>
      <c r="M26" s="21" t="n">
        <f aca="false">$B26*Model!$Y$47</f>
        <v>4.78359771670433</v>
      </c>
      <c r="N26" s="21" t="n">
        <f aca="false">$B26*Model!$Z$47</f>
        <v>0.493680903147422</v>
      </c>
      <c r="O26" s="21" t="n">
        <f aca="false">$B26*Model!$AA$47</f>
        <v>0.834150491524955</v>
      </c>
    </row>
    <row r="27" customFormat="false" ht="15" hidden="false" customHeight="true" outlineLevel="0" collapsed="false">
      <c r="A27" s="23" t="n">
        <v>2040</v>
      </c>
      <c r="B27" s="21" t="n">
        <f aca="false">IF($A27&lt;=Model!$B$3,Data!$B$18*Model!$D$47,0)</f>
        <v>187.908438457285</v>
      </c>
      <c r="C27" s="21" t="n">
        <f aca="false">$B27*IF(Model!$B$5=1,Data!$D$18,Model!$AC$47)</f>
        <v>45.3297405074945</v>
      </c>
      <c r="D27" s="21" t="n">
        <f aca="false">$B27*IF(Model!$B$5=1,Data!$E$18,Model!$AD$47)</f>
        <v>58.3036874288152</v>
      </c>
      <c r="E27" s="21" t="n">
        <f aca="false">$B27*IF(Model!$B$5=1,Data!$F$18,Model!$AE$47)</f>
        <v>35.1380169665925</v>
      </c>
      <c r="F27" s="21" t="n">
        <f aca="false">$B27*IF(Model!$B$5=1,Data!$G$18,Model!$AF$47)</f>
        <v>49.1369935543831</v>
      </c>
      <c r="G27" s="21" t="n">
        <f aca="false">$B27*Model!$S$47</f>
        <v>96.522611480041</v>
      </c>
      <c r="H27" s="21" t="n">
        <f aca="false">$B27*Model!$T$47</f>
        <v>24.1021875124983</v>
      </c>
      <c r="I27" s="21" t="n">
        <f aca="false">$B27*Model!$U$47</f>
        <v>11.4294103481887</v>
      </c>
      <c r="J27" s="21" t="n">
        <f aca="false">$B27*Model!$V$47</f>
        <v>11.4294103481887</v>
      </c>
      <c r="K27" s="21" t="n">
        <f aca="false">$B27*Model!$W$47</f>
        <v>30.1219476518176</v>
      </c>
      <c r="L27" s="21" t="n">
        <f aca="false">$B27*Model!$X$47</f>
        <v>8.25489616856298</v>
      </c>
      <c r="M27" s="21" t="n">
        <f aca="false">$B27*Model!$Y$47</f>
        <v>4.73393025176775</v>
      </c>
      <c r="N27" s="21" t="n">
        <f aca="false">$B27*Model!$Z$47</f>
        <v>0.488555079363932</v>
      </c>
      <c r="O27" s="21" t="n">
        <f aca="false">$B27*Model!$AA$47</f>
        <v>0.825489616856298</v>
      </c>
    </row>
    <row r="28" customFormat="false" ht="15" hidden="false" customHeight="true" outlineLevel="0" collapsed="false">
      <c r="A28" s="24" t="s">
        <v>122</v>
      </c>
      <c r="B28" s="25" t="n">
        <f aca="false">SUM(B13:B27)</f>
        <v>4911.98819059752</v>
      </c>
      <c r="C28" s="25" t="n">
        <f aca="false">SUM(C13:C27)</f>
        <v>1184.93026052637</v>
      </c>
      <c r="D28" s="25" t="n">
        <f aca="false">SUM(D13:D27)</f>
        <v>1524.07549132643</v>
      </c>
      <c r="E28" s="25" t="n">
        <f aca="false">SUM(E13:E27)</f>
        <v>918.51991567634</v>
      </c>
      <c r="F28" s="25" t="n">
        <f aca="false">SUM(F13:F27)</f>
        <v>1284.46252306838</v>
      </c>
      <c r="G28" s="25" t="n">
        <f aca="false">SUM(G13:G27)</f>
        <v>2523.13271084613</v>
      </c>
      <c r="H28" s="25" t="n">
        <f aca="false">SUM(H13:H27)</f>
        <v>630.039083933268</v>
      </c>
      <c r="I28" s="25" t="n">
        <f aca="false">SUM(I13:I27)</f>
        <v>298.768533849307</v>
      </c>
      <c r="J28" s="25" t="n">
        <f aca="false">SUM(J13:J27)</f>
        <v>298.768533849307</v>
      </c>
      <c r="K28" s="25" t="n">
        <f aca="false">SUM(K13:K27)</f>
        <v>787.397587666922</v>
      </c>
      <c r="L28" s="25" t="n">
        <f aca="false">SUM(L13:L27)</f>
        <v>215.78569236957</v>
      </c>
      <c r="M28" s="25" t="n">
        <f aca="false">SUM(M13:M27)</f>
        <v>123.746488889488</v>
      </c>
      <c r="N28" s="25" t="n">
        <f aca="false">SUM(N13:N27)</f>
        <v>12.7709899565664</v>
      </c>
      <c r="O28" s="25" t="n">
        <f aca="false">SUM(O13:O27)</f>
        <v>21.578569236957</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0.513668317785432</v>
      </c>
      <c r="H29" s="26" t="n">
        <f aca="false">IF($B$28&gt;0,H28/$B$28,0)</f>
        <v>0.128265594192446</v>
      </c>
      <c r="I29" s="26" t="n">
        <f aca="false">IF($B$28&gt;0,I28/$B$28,0)</f>
        <v>0.0608243591507828</v>
      </c>
      <c r="J29" s="26" t="n">
        <f aca="false">IF($B$28&gt;0,J28/$B$28,0)</f>
        <v>0.0608243591507828</v>
      </c>
      <c r="K29" s="26" t="n">
        <f aca="false">IF($B$28&gt;0,K28/$B$28,0)</f>
        <v>0.160301197216669</v>
      </c>
      <c r="L29" s="26" t="n">
        <f aca="false">IF($B$28&gt;0,L28/$B$28,0)</f>
        <v>0.0439304175817493</v>
      </c>
      <c r="M29" s="26" t="n">
        <f aca="false">IF($B$28&gt;0,M28/$B$28,0)</f>
        <v>0.0251927496744317</v>
      </c>
      <c r="N29" s="26" t="n">
        <f aca="false">IF($B$28&gt;0,N28/$B$28,0)</f>
        <v>0.0025999634895321</v>
      </c>
      <c r="O29" s="26" t="n">
        <f aca="false">IF($B$28&gt;0,O28/$B$28,0)</f>
        <v>0.00439304175817493</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Data!$H$24*Data!$M$24/SUM(Data!$H$24:$K$24)</f>
        <v>206.677019659673</v>
      </c>
      <c r="C34" s="22" t="n">
        <f aca="false">IF($B$38&gt;0,B34/$B$38,0)</f>
        <v>0.0303981496778457</v>
      </c>
      <c r="D34" s="21" t="n">
        <f aca="false">C28</f>
        <v>1184.93026052637</v>
      </c>
      <c r="E34" s="22" t="n">
        <f aca="false">IF($D$38&gt;0,D34/$D$38,0)</f>
        <v>0.241232310532536</v>
      </c>
      <c r="F34" s="21" t="n">
        <f aca="false">B34+D34</f>
        <v>1391.60728018604</v>
      </c>
      <c r="G34" s="22" t="n">
        <f aca="false">IF($F$38&gt;0,F34/$F$38,0)</f>
        <v>0.118829193364171</v>
      </c>
    </row>
    <row r="35" customFormat="false" ht="15" hidden="false" customHeight="true" outlineLevel="0" collapsed="false">
      <c r="A35" s="13" t="s">
        <v>110</v>
      </c>
      <c r="B35" s="21" t="n">
        <f aca="false">Data!$I$24*Data!$M$24/SUM(Data!$H$24:$K$24)</f>
        <v>903.088716339006</v>
      </c>
      <c r="C35" s="22" t="n">
        <f aca="false">IF($B$38&gt;0,B35/$B$38,0)</f>
        <v>0.132826697505369</v>
      </c>
      <c r="D35" s="21" t="n">
        <f aca="false">D28</f>
        <v>1524.07549132643</v>
      </c>
      <c r="E35" s="22" t="n">
        <f aca="false">IF($D$38&gt;0,D35/$D$38,0)</f>
        <v>0.310276701040081</v>
      </c>
      <c r="F35" s="21" t="n">
        <f aca="false">B35+D35</f>
        <v>2427.16420766544</v>
      </c>
      <c r="G35" s="22" t="n">
        <f aca="false">IF($F$38&gt;0,F35/$F$38,0)</f>
        <v>0.207255286075188</v>
      </c>
    </row>
    <row r="36" customFormat="false" ht="15" hidden="false" customHeight="true" outlineLevel="0" collapsed="false">
      <c r="A36" s="13" t="s">
        <v>111</v>
      </c>
      <c r="B36" s="21" t="n">
        <f aca="false">Data!$J$24*Data!$M$24/SUM(Data!$H$24:$K$24)</f>
        <v>3894.28927804395</v>
      </c>
      <c r="C36" s="22" t="n">
        <f aca="false">IF($B$38&gt;0,B36/$B$38,0)</f>
        <v>0.572773831158103</v>
      </c>
      <c r="D36" s="21" t="n">
        <f aca="false">E28</f>
        <v>918.51991567634</v>
      </c>
      <c r="E36" s="22" t="n">
        <f aca="false">IF($D$38&gt;0,D36/$D$38,0)</f>
        <v>0.186995546413275</v>
      </c>
      <c r="F36" s="21" t="n">
        <f aca="false">B36+D36</f>
        <v>4812.80919372029</v>
      </c>
      <c r="G36" s="22" t="n">
        <f aca="false">IF($F$38&gt;0,F36/$F$38,0)</f>
        <v>0.410965250360715</v>
      </c>
    </row>
    <row r="37" customFormat="false" ht="15" hidden="false" customHeight="true" outlineLevel="0" collapsed="false">
      <c r="A37" s="13" t="s">
        <v>112</v>
      </c>
      <c r="B37" s="21" t="n">
        <f aca="false">Data!$K$24*Data!$M$24/SUM(Data!$H$24:$K$24)</f>
        <v>1794.94498595738</v>
      </c>
      <c r="C37" s="22" t="n">
        <f aca="false">IF($B$38&gt;0,B37/$B$38,0)</f>
        <v>0.264001321658682</v>
      </c>
      <c r="D37" s="21" t="n">
        <f aca="false">F28</f>
        <v>1284.46252306838</v>
      </c>
      <c r="E37" s="22" t="n">
        <f aca="false">IF($D$38&gt;0,D37/$D$38,0)</f>
        <v>0.261495442014109</v>
      </c>
      <c r="F37" s="21" t="n">
        <f aca="false">B37+D37</f>
        <v>3079.40750902576</v>
      </c>
      <c r="G37" s="22" t="n">
        <f aca="false">IF($F$38&gt;0,F37/$F$38,0)</f>
        <v>0.262950270199926</v>
      </c>
    </row>
    <row r="38" customFormat="false" ht="15" hidden="false" customHeight="true" outlineLevel="0" collapsed="false">
      <c r="A38" s="24" t="s">
        <v>61</v>
      </c>
      <c r="B38" s="25" t="n">
        <f aca="false">SUM(B34:B37)</f>
        <v>6799</v>
      </c>
      <c r="C38" s="27" t="n">
        <f aca="false">SUM(C34:C37)</f>
        <v>1</v>
      </c>
      <c r="D38" s="25" t="n">
        <f aca="false">SUM(D34:D37)</f>
        <v>4911.98819059752</v>
      </c>
      <c r="E38" s="27" t="n">
        <f aca="false">SUM(E34:E37)</f>
        <v>1</v>
      </c>
      <c r="F38" s="25" t="n">
        <f aca="false">SUM(F34:F37)</f>
        <v>11710.9881905975</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103</v>
      </c>
      <c r="C6" s="15" t="n">
        <f aca="false">Model!$Q$48</f>
        <v>0.276027861874792</v>
      </c>
    </row>
    <row r="7" customFormat="false" ht="15" hidden="false" customHeight="true" outlineLevel="0" collapsed="false">
      <c r="A7" s="13" t="s">
        <v>104</v>
      </c>
      <c r="C7" s="15" t="n">
        <f aca="false">Model!$G$48</f>
        <v>0.03637</v>
      </c>
    </row>
    <row r="8" customFormat="false" ht="15" hidden="false" customHeight="true" outlineLevel="0" collapsed="false">
      <c r="A8" s="13" t="s">
        <v>105</v>
      </c>
      <c r="C8" s="15" t="n">
        <f aca="false">Model!$R$48</f>
        <v>0.144943023617597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IF($A13&lt;=Model!$B$3,Data!$B$4*Model!$D$48,0)</f>
        <v>623.203321395108</v>
      </c>
      <c r="C13" s="21" t="n">
        <f aca="false">$B13*IF(Model!$B$5=1,Data!$D$4,Model!$AC$48)</f>
        <v>161.208551477206</v>
      </c>
      <c r="D13" s="21" t="n">
        <f aca="false">$B13*IF(Model!$B$5=1,Data!$E$4,Model!$AD$48)</f>
        <v>197.308743875092</v>
      </c>
      <c r="E13" s="21" t="n">
        <f aca="false">$B13*IF(Model!$B$5=1,Data!$F$4,Model!$AE$48)</f>
        <v>115.31599919811</v>
      </c>
      <c r="F13" s="21" t="n">
        <f aca="false">$B13*IF(Model!$B$5=1,Data!$G$4,Model!$AF$48)</f>
        <v>149.3700268447</v>
      </c>
      <c r="G13" s="21" t="n">
        <f aca="false">$B13*Model!$S$48</f>
        <v>303.513736603224</v>
      </c>
      <c r="H13" s="21" t="n">
        <f aca="false">$B13*Model!$T$48</f>
        <v>75.7889253104451</v>
      </c>
      <c r="I13" s="21" t="n">
        <f aca="false">$B13*Model!$U$48</f>
        <v>35.9395895817388</v>
      </c>
      <c r="J13" s="21" t="n">
        <f aca="false">$B13*Model!$V$48</f>
        <v>35.9395895817388</v>
      </c>
      <c r="K13" s="21" t="n">
        <f aca="false">$B13*Model!$W$48</f>
        <v>116.638000306604</v>
      </c>
      <c r="L13" s="21" t="n">
        <f aca="false">$B13*Model!$X$48</f>
        <v>31.9645526567314</v>
      </c>
      <c r="M13" s="21" t="n">
        <f aca="false">$B13*Model!$Y$48</f>
        <v>18.3306924419215</v>
      </c>
      <c r="N13" s="21" t="n">
        <f aca="false">$B13*Model!$Z$48</f>
        <v>1.89177964703104</v>
      </c>
      <c r="O13" s="21" t="n">
        <f aca="false">$B13*Model!$AA$48</f>
        <v>3.19645526567314</v>
      </c>
    </row>
    <row r="14" customFormat="false" ht="15" hidden="false" customHeight="true" outlineLevel="0" collapsed="false">
      <c r="A14" s="23" t="n">
        <v>2027</v>
      </c>
      <c r="B14" s="21" t="n">
        <f aca="false">IF($A14&lt;=Model!$B$3,Data!$B$5*Model!$D$48,0)</f>
        <v>623.203321395108</v>
      </c>
      <c r="C14" s="21" t="n">
        <f aca="false">$B14*IF(Model!$B$5=1,Data!$D$5,Model!$AC$48)</f>
        <v>156.677758099333</v>
      </c>
      <c r="D14" s="21" t="n">
        <f aca="false">$B14*IF(Model!$B$5=1,Data!$E$5,Model!$AD$48)</f>
        <v>197.893362375463</v>
      </c>
      <c r="E14" s="21" t="n">
        <f aca="false">$B14*IF(Model!$B$5=1,Data!$F$5,Model!$AE$48)</f>
        <v>115.023689947925</v>
      </c>
      <c r="F14" s="21" t="n">
        <f aca="false">$B14*IF(Model!$B$5=1,Data!$G$5,Model!$AF$48)</f>
        <v>153.608510972387</v>
      </c>
      <c r="G14" s="21" t="n">
        <f aca="false">$B14*Model!$S$48</f>
        <v>303.513736603224</v>
      </c>
      <c r="H14" s="21" t="n">
        <f aca="false">$B14*Model!$T$48</f>
        <v>75.7889253104451</v>
      </c>
      <c r="I14" s="21" t="n">
        <f aca="false">$B14*Model!$U$48</f>
        <v>35.9395895817388</v>
      </c>
      <c r="J14" s="21" t="n">
        <f aca="false">$B14*Model!$V$48</f>
        <v>35.9395895817388</v>
      </c>
      <c r="K14" s="21" t="n">
        <f aca="false">$B14*Model!$W$48</f>
        <v>116.638000306604</v>
      </c>
      <c r="L14" s="21" t="n">
        <f aca="false">$B14*Model!$X$48</f>
        <v>31.9645526567314</v>
      </c>
      <c r="M14" s="21" t="n">
        <f aca="false">$B14*Model!$Y$48</f>
        <v>18.3306924419215</v>
      </c>
      <c r="N14" s="21" t="n">
        <f aca="false">$B14*Model!$Z$48</f>
        <v>1.89177964703104</v>
      </c>
      <c r="O14" s="21" t="n">
        <f aca="false">$B14*Model!$AA$48</f>
        <v>3.19645526567314</v>
      </c>
    </row>
    <row r="15" customFormat="false" ht="15" hidden="false" customHeight="true" outlineLevel="0" collapsed="false">
      <c r="A15" s="23" t="n">
        <v>2028</v>
      </c>
      <c r="B15" s="21" t="n">
        <f aca="false">IF($A15&lt;=Model!$B$3,Data!$B$6*Model!$D$48,0)</f>
        <v>623.203321395108</v>
      </c>
      <c r="C15" s="21" t="n">
        <f aca="false">$B15*IF(Model!$B$5=1,Data!$D$6,Model!$AC$48)</f>
        <v>156.166388373997</v>
      </c>
      <c r="D15" s="21" t="n">
        <f aca="false">$B15*IF(Model!$B$5=1,Data!$E$6,Model!$AD$48)</f>
        <v>197.986226459168</v>
      </c>
      <c r="E15" s="21" t="n">
        <f aca="false">$B15*IF(Model!$B$5=1,Data!$F$6,Model!$AE$48)</f>
        <v>115.077666339265</v>
      </c>
      <c r="F15" s="21" t="n">
        <f aca="false">$B15*IF(Model!$B$5=1,Data!$G$6,Model!$AF$48)</f>
        <v>153.973040222677</v>
      </c>
      <c r="G15" s="21" t="n">
        <f aca="false">$B15*Model!$S$48</f>
        <v>303.513736603224</v>
      </c>
      <c r="H15" s="21" t="n">
        <f aca="false">$B15*Model!$T$48</f>
        <v>75.7889253104451</v>
      </c>
      <c r="I15" s="21" t="n">
        <f aca="false">$B15*Model!$U$48</f>
        <v>35.9395895817388</v>
      </c>
      <c r="J15" s="21" t="n">
        <f aca="false">$B15*Model!$V$48</f>
        <v>35.9395895817388</v>
      </c>
      <c r="K15" s="21" t="n">
        <f aca="false">$B15*Model!$W$48</f>
        <v>116.638000306604</v>
      </c>
      <c r="L15" s="21" t="n">
        <f aca="false">$B15*Model!$X$48</f>
        <v>31.9645526567314</v>
      </c>
      <c r="M15" s="21" t="n">
        <f aca="false">$B15*Model!$Y$48</f>
        <v>18.3306924419215</v>
      </c>
      <c r="N15" s="21" t="n">
        <f aca="false">$B15*Model!$Z$48</f>
        <v>1.89177964703104</v>
      </c>
      <c r="O15" s="21" t="n">
        <f aca="false">$B15*Model!$AA$48</f>
        <v>3.19645526567314</v>
      </c>
    </row>
    <row r="16" customFormat="false" ht="15" hidden="false" customHeight="true" outlineLevel="0" collapsed="false">
      <c r="A16" s="23" t="n">
        <v>2029</v>
      </c>
      <c r="B16" s="21" t="n">
        <f aca="false">IF($A16&lt;=Model!$B$3,Data!$B$7*Model!$D$48,0)</f>
        <v>623.203321395108</v>
      </c>
      <c r="C16" s="21" t="n">
        <f aca="false">$B16*IF(Model!$B$5=1,Data!$D$7,Model!$AC$48)</f>
        <v>154.521677390249</v>
      </c>
      <c r="D16" s="21" t="n">
        <f aca="false">$B16*IF(Model!$B$5=1,Data!$E$7,Model!$AD$48)</f>
        <v>196.916461158623</v>
      </c>
      <c r="E16" s="21" t="n">
        <f aca="false">$B16*IF(Model!$B$5=1,Data!$F$7,Model!$AE$48)</f>
        <v>114.319727265066</v>
      </c>
      <c r="F16" s="21" t="n">
        <f aca="false">$B16*IF(Model!$B$5=1,Data!$G$7,Model!$AF$48)</f>
        <v>157.44545558117</v>
      </c>
      <c r="G16" s="21" t="n">
        <f aca="false">$B16*Model!$S$48</f>
        <v>303.513736603224</v>
      </c>
      <c r="H16" s="21" t="n">
        <f aca="false">$B16*Model!$T$48</f>
        <v>75.7889253104451</v>
      </c>
      <c r="I16" s="21" t="n">
        <f aca="false">$B16*Model!$U$48</f>
        <v>35.9395895817388</v>
      </c>
      <c r="J16" s="21" t="n">
        <f aca="false">$B16*Model!$V$48</f>
        <v>35.9395895817388</v>
      </c>
      <c r="K16" s="21" t="n">
        <f aca="false">$B16*Model!$W$48</f>
        <v>116.638000306604</v>
      </c>
      <c r="L16" s="21" t="n">
        <f aca="false">$B16*Model!$X$48</f>
        <v>31.9645526567314</v>
      </c>
      <c r="M16" s="21" t="n">
        <f aca="false">$B16*Model!$Y$48</f>
        <v>18.3306924419215</v>
      </c>
      <c r="N16" s="21" t="n">
        <f aca="false">$B16*Model!$Z$48</f>
        <v>1.89177964703104</v>
      </c>
      <c r="O16" s="21" t="n">
        <f aca="false">$B16*Model!$AA$48</f>
        <v>3.19645526567314</v>
      </c>
    </row>
    <row r="17" customFormat="false" ht="15" hidden="false" customHeight="true" outlineLevel="0" collapsed="false">
      <c r="A17" s="23" t="n">
        <v>2030</v>
      </c>
      <c r="B17" s="21" t="n">
        <f aca="false">IF($A17&lt;=Model!$B$3,Data!$B$8*Model!$D$48,0)</f>
        <v>623.203321395108</v>
      </c>
      <c r="C17" s="21" t="n">
        <f aca="false">$B17*IF(Model!$B$5=1,Data!$D$8,Model!$AC$48)</f>
        <v>154.265486642853</v>
      </c>
      <c r="D17" s="21" t="n">
        <f aca="false">$B17*IF(Model!$B$5=1,Data!$E$8,Model!$AD$48)</f>
        <v>194.038199786792</v>
      </c>
      <c r="E17" s="21" t="n">
        <f aca="false">$B17*IF(Model!$B$5=1,Data!$F$8,Model!$AE$48)</f>
        <v>114.492773498913</v>
      </c>
      <c r="F17" s="21" t="n">
        <f aca="false">$B17*IF(Model!$B$5=1,Data!$G$8,Model!$AF$48)</f>
        <v>160.406861466549</v>
      </c>
      <c r="G17" s="21" t="n">
        <f aca="false">$B17*Model!$S$48</f>
        <v>303.513736603224</v>
      </c>
      <c r="H17" s="21" t="n">
        <f aca="false">$B17*Model!$T$48</f>
        <v>75.7889253104451</v>
      </c>
      <c r="I17" s="21" t="n">
        <f aca="false">$B17*Model!$U$48</f>
        <v>35.9395895817388</v>
      </c>
      <c r="J17" s="21" t="n">
        <f aca="false">$B17*Model!$V$48</f>
        <v>35.9395895817388</v>
      </c>
      <c r="K17" s="21" t="n">
        <f aca="false">$B17*Model!$W$48</f>
        <v>116.638000306604</v>
      </c>
      <c r="L17" s="21" t="n">
        <f aca="false">$B17*Model!$X$48</f>
        <v>31.9645526567314</v>
      </c>
      <c r="M17" s="21" t="n">
        <f aca="false">$B17*Model!$Y$48</f>
        <v>18.3306924419215</v>
      </c>
      <c r="N17" s="21" t="n">
        <f aca="false">$B17*Model!$Z$48</f>
        <v>1.89177964703104</v>
      </c>
      <c r="O17" s="21" t="n">
        <f aca="false">$B17*Model!$AA$48</f>
        <v>3.19645526567314</v>
      </c>
    </row>
    <row r="18" customFormat="false" ht="15" hidden="false" customHeight="true" outlineLevel="0" collapsed="false">
      <c r="A18" s="23" t="n">
        <v>2031</v>
      </c>
      <c r="B18" s="21" t="n">
        <f aca="false">IF($A18&lt;=Model!$B$3,Data!$B$9*Model!$D$48,0)</f>
        <v>316.937555895987</v>
      </c>
      <c r="C18" s="21" t="n">
        <f aca="false">$B18*IF(Model!$B$5=1,Data!$D$9,Model!$AC$48)</f>
        <v>73.2406436826059</v>
      </c>
      <c r="D18" s="21" t="n">
        <f aca="false">$B18*IF(Model!$B$5=1,Data!$E$9,Model!$AD$48)</f>
        <v>96.3384913908928</v>
      </c>
      <c r="E18" s="21" t="n">
        <f aca="false">$B18*IF(Model!$B$5=1,Data!$F$9,Model!$AE$48)</f>
        <v>60.2298307330013</v>
      </c>
      <c r="F18" s="21" t="n">
        <f aca="false">$B18*IF(Model!$B$5=1,Data!$G$9,Model!$AF$48)</f>
        <v>87.1285900894873</v>
      </c>
      <c r="G18" s="21" t="n">
        <f aca="false">$B18*Model!$S$48</f>
        <v>154.355566726669</v>
      </c>
      <c r="H18" s="21" t="n">
        <f aca="false">$B18*Model!$T$48</f>
        <v>38.5433708827222</v>
      </c>
      <c r="I18" s="21" t="n">
        <f aca="false">$B18*Model!$U$48</f>
        <v>18.277511192402</v>
      </c>
      <c r="J18" s="21" t="n">
        <f aca="false">$B18*Model!$V$48</f>
        <v>18.277511192402</v>
      </c>
      <c r="K18" s="21" t="n">
        <f aca="false">$B18*Model!$W$48</f>
        <v>59.3176600198725</v>
      </c>
      <c r="L18" s="21" t="n">
        <f aca="false">$B18*Model!$X$48</f>
        <v>16.255958282851</v>
      </c>
      <c r="M18" s="21" t="n">
        <f aca="false">$B18*Model!$Y$48</f>
        <v>9.32229444383902</v>
      </c>
      <c r="N18" s="21" t="n">
        <f aca="false">$B18*Model!$Z$48</f>
        <v>0.962087326944241</v>
      </c>
      <c r="O18" s="21" t="n">
        <f aca="false">$B18*Model!$AA$48</f>
        <v>1.6255958282851</v>
      </c>
    </row>
    <row r="19" customFormat="false" ht="15" hidden="false" customHeight="true" outlineLevel="0" collapsed="false">
      <c r="A19" s="23" t="n">
        <v>2032</v>
      </c>
      <c r="B19" s="21" t="n">
        <f aca="false">IF($A19&lt;=Model!$B$3,Data!$B$10*Model!$D$48,0)</f>
        <v>316.937555895987</v>
      </c>
      <c r="C19" s="21" t="n">
        <f aca="false">$B19*IF(Model!$B$5=1,Data!$D$10,Model!$AC$48)</f>
        <v>70.4630544012298</v>
      </c>
      <c r="D19" s="21" t="n">
        <f aca="false">$B19*IF(Model!$B$5=1,Data!$E$10,Model!$AD$48)</f>
        <v>94.4380355667932</v>
      </c>
      <c r="E19" s="21" t="n">
        <f aca="false">$B19*IF(Model!$B$5=1,Data!$F$10,Model!$AE$48)</f>
        <v>61.2531530998242</v>
      </c>
      <c r="F19" s="21" t="n">
        <f aca="false">$B19*IF(Model!$B$5=1,Data!$G$10,Model!$AF$48)</f>
        <v>90.7833128281402</v>
      </c>
      <c r="G19" s="21" t="n">
        <f aca="false">$B19*Model!$S$48</f>
        <v>154.355566726669</v>
      </c>
      <c r="H19" s="21" t="n">
        <f aca="false">$B19*Model!$T$48</f>
        <v>38.5433708827222</v>
      </c>
      <c r="I19" s="21" t="n">
        <f aca="false">$B19*Model!$U$48</f>
        <v>18.277511192402</v>
      </c>
      <c r="J19" s="21" t="n">
        <f aca="false">$B19*Model!$V$48</f>
        <v>18.277511192402</v>
      </c>
      <c r="K19" s="21" t="n">
        <f aca="false">$B19*Model!$W$48</f>
        <v>59.3176600198725</v>
      </c>
      <c r="L19" s="21" t="n">
        <f aca="false">$B19*Model!$X$48</f>
        <v>16.255958282851</v>
      </c>
      <c r="M19" s="21" t="n">
        <f aca="false">$B19*Model!$Y$48</f>
        <v>9.32229444383902</v>
      </c>
      <c r="N19" s="21" t="n">
        <f aca="false">$B19*Model!$Z$48</f>
        <v>0.962087326944241</v>
      </c>
      <c r="O19" s="21" t="n">
        <f aca="false">$B19*Model!$AA$48</f>
        <v>1.6255958282851</v>
      </c>
    </row>
    <row r="20" customFormat="false" ht="15" hidden="false" customHeight="true" outlineLevel="0" collapsed="false">
      <c r="A20" s="23" t="n">
        <v>2033</v>
      </c>
      <c r="B20" s="21" t="n">
        <f aca="false">IF($A20&lt;=Model!$B$3,Data!$B$11*Model!$D$48,0)</f>
        <v>316.937555895987</v>
      </c>
      <c r="C20" s="21" t="n">
        <f aca="false">$B20*IF(Model!$B$5=1,Data!$D$11,Model!$AC$48)</f>
        <v>69.9105453245417</v>
      </c>
      <c r="D20" s="21" t="n">
        <f aca="false">$B20*IF(Model!$B$5=1,Data!$E$11,Model!$AD$48)</f>
        <v>94.7741283897551</v>
      </c>
      <c r="E20" s="21" t="n">
        <f aca="false">$B20*IF(Model!$B$5=1,Data!$F$11,Model!$AE$48)</f>
        <v>61.2814194372028</v>
      </c>
      <c r="F20" s="21" t="n">
        <f aca="false">$B20*IF(Model!$B$5=1,Data!$G$11,Model!$AF$48)</f>
        <v>90.9714627444874</v>
      </c>
      <c r="G20" s="21" t="n">
        <f aca="false">$B20*Model!$S$48</f>
        <v>154.355566726669</v>
      </c>
      <c r="H20" s="21" t="n">
        <f aca="false">$B20*Model!$T$48</f>
        <v>38.5433708827222</v>
      </c>
      <c r="I20" s="21" t="n">
        <f aca="false">$B20*Model!$U$48</f>
        <v>18.277511192402</v>
      </c>
      <c r="J20" s="21" t="n">
        <f aca="false">$B20*Model!$V$48</f>
        <v>18.277511192402</v>
      </c>
      <c r="K20" s="21" t="n">
        <f aca="false">$B20*Model!$W$48</f>
        <v>59.3176600198725</v>
      </c>
      <c r="L20" s="21" t="n">
        <f aca="false">$B20*Model!$X$48</f>
        <v>16.255958282851</v>
      </c>
      <c r="M20" s="21" t="n">
        <f aca="false">$B20*Model!$Y$48</f>
        <v>9.32229444383902</v>
      </c>
      <c r="N20" s="21" t="n">
        <f aca="false">$B20*Model!$Z$48</f>
        <v>0.962087326944241</v>
      </c>
      <c r="O20" s="21" t="n">
        <f aca="false">$B20*Model!$AA$48</f>
        <v>1.6255958282851</v>
      </c>
    </row>
    <row r="21" customFormat="false" ht="15" hidden="false" customHeight="true" outlineLevel="0" collapsed="false">
      <c r="A21" s="23" t="n">
        <v>2034</v>
      </c>
      <c r="B21" s="21" t="n">
        <f aca="false">IF($A21&lt;=Model!$B$3,Data!$B$12*Model!$D$48,0)</f>
        <v>316.937555895987</v>
      </c>
      <c r="C21" s="21" t="n">
        <f aca="false">$B21*IF(Model!$B$5=1,Data!$D$12,Model!$AC$48)</f>
        <v>69.2935431248608</v>
      </c>
      <c r="D21" s="21" t="n">
        <f aca="false">$B21*IF(Model!$B$5=1,Data!$E$12,Model!$AD$48)</f>
        <v>95.0227912049778</v>
      </c>
      <c r="E21" s="21" t="n">
        <f aca="false">$B21*IF(Model!$B$5=1,Data!$F$12,Model!$AE$48)</f>
        <v>61.2531530998242</v>
      </c>
      <c r="F21" s="21" t="n">
        <f aca="false">$B21*IF(Model!$B$5=1,Data!$G$12,Model!$AF$48)</f>
        <v>91.3680684663246</v>
      </c>
      <c r="G21" s="21" t="n">
        <f aca="false">$B21*Model!$S$48</f>
        <v>154.355566726669</v>
      </c>
      <c r="H21" s="21" t="n">
        <f aca="false">$B21*Model!$T$48</f>
        <v>38.5433708827222</v>
      </c>
      <c r="I21" s="21" t="n">
        <f aca="false">$B21*Model!$U$48</f>
        <v>18.277511192402</v>
      </c>
      <c r="J21" s="21" t="n">
        <f aca="false">$B21*Model!$V$48</f>
        <v>18.277511192402</v>
      </c>
      <c r="K21" s="21" t="n">
        <f aca="false">$B21*Model!$W$48</f>
        <v>59.3176600198725</v>
      </c>
      <c r="L21" s="21" t="n">
        <f aca="false">$B21*Model!$X$48</f>
        <v>16.255958282851</v>
      </c>
      <c r="M21" s="21" t="n">
        <f aca="false">$B21*Model!$Y$48</f>
        <v>9.32229444383902</v>
      </c>
      <c r="N21" s="21" t="n">
        <f aca="false">$B21*Model!$Z$48</f>
        <v>0.962087326944241</v>
      </c>
      <c r="O21" s="21" t="n">
        <f aca="false">$B21*Model!$AA$48</f>
        <v>1.6255958282851</v>
      </c>
    </row>
    <row r="22" customFormat="false" ht="15" hidden="false" customHeight="true" outlineLevel="0" collapsed="false">
      <c r="A22" s="23" t="n">
        <v>2035</v>
      </c>
      <c r="B22" s="21" t="n">
        <f aca="false">IF($A22&lt;=Model!$B$3,Data!$B$13*Model!$D$48,0)</f>
        <v>306.26576549912</v>
      </c>
      <c r="C22" s="21" t="n">
        <f aca="false">$B22*IF(Model!$B$5=1,Data!$D$13,Model!$AC$48)</f>
        <v>65.6388203862075</v>
      </c>
      <c r="D22" s="21" t="n">
        <f aca="false">$B22*IF(Model!$B$5=1,Data!$E$13,Model!$AD$48)</f>
        <v>90.4909350090479</v>
      </c>
      <c r="E22" s="21" t="n">
        <f aca="false">$B22*IF(Model!$B$5=1,Data!$F$13,Model!$AE$48)</f>
        <v>58.76794163754</v>
      </c>
      <c r="F22" s="21" t="n">
        <f aca="false">$B22*IF(Model!$B$5=1,Data!$G$13,Model!$AF$48)</f>
        <v>91.3680684663247</v>
      </c>
      <c r="G22" s="21" t="n">
        <f aca="false">$B22*Model!$S$48</f>
        <v>149.158169876555</v>
      </c>
      <c r="H22" s="21" t="n">
        <f aca="false">$B22*Model!$T$48</f>
        <v>37.2455544277228</v>
      </c>
      <c r="I22" s="21" t="n">
        <f aca="false">$B22*Model!$U$48</f>
        <v>17.6620783893368</v>
      </c>
      <c r="J22" s="21" t="n">
        <f aca="false">$B22*Model!$V$48</f>
        <v>17.6620783893368</v>
      </c>
      <c r="K22" s="21" t="n">
        <f aca="false">$B22*Model!$W$48</f>
        <v>57.320340286731</v>
      </c>
      <c r="L22" s="21" t="n">
        <f aca="false">$B22*Model!$X$48</f>
        <v>15.7085943738804</v>
      </c>
      <c r="M22" s="21" t="n">
        <f aca="false">$B22*Model!$Y$48</f>
        <v>9.00839799808245</v>
      </c>
      <c r="N22" s="21" t="n">
        <f aca="false">$B22*Model!$Z$48</f>
        <v>0.929692320086801</v>
      </c>
      <c r="O22" s="21" t="n">
        <f aca="false">$B22*Model!$AA$48</f>
        <v>1.57085943738804</v>
      </c>
    </row>
    <row r="23" customFormat="false" ht="15" hidden="false" customHeight="true" outlineLevel="0" collapsed="false">
      <c r="A23" s="23" t="n">
        <v>2036</v>
      </c>
      <c r="B23" s="21" t="n">
        <f aca="false">IF($A23&lt;=Model!$B$3,Data!$B$14*Model!$D$48,0)</f>
        <v>232.001799449692</v>
      </c>
      <c r="C23" s="21" t="n">
        <f aca="false">$B23*IF(Model!$B$5=1,Data!$D$14,Model!$AC$48)</f>
        <v>55.9665199320833</v>
      </c>
      <c r="D23" s="21" t="n">
        <f aca="false">$B23*IF(Model!$B$5=1,Data!$E$14,Model!$AD$48)</f>
        <v>71.9848480945804</v>
      </c>
      <c r="E23" s="21" t="n">
        <f aca="false">$B23*IF(Model!$B$5=1,Data!$F$14,Model!$AE$48)</f>
        <v>43.3832734297155</v>
      </c>
      <c r="F23" s="21" t="n">
        <f aca="false">$B23*IF(Model!$B$5=1,Data!$G$14,Model!$AF$48)</f>
        <v>60.6671579933126</v>
      </c>
      <c r="G23" s="21" t="n">
        <f aca="false">$B23*Model!$S$48</f>
        <v>112.989983577133</v>
      </c>
      <c r="H23" s="21" t="n">
        <f aca="false">$B23*Model!$T$48</f>
        <v>28.2141741655351</v>
      </c>
      <c r="I23" s="21" t="n">
        <f aca="false">$B23*Model!$U$48</f>
        <v>13.3793405269105</v>
      </c>
      <c r="J23" s="21" t="n">
        <f aca="false">$B23*Model!$V$48</f>
        <v>13.3793405269105</v>
      </c>
      <c r="K23" s="21" t="n">
        <f aca="false">$B23*Model!$W$48</f>
        <v>43.4211837876096</v>
      </c>
      <c r="L23" s="21" t="n">
        <f aca="false">$B23*Model!$X$48</f>
        <v>11.8995414183047</v>
      </c>
      <c r="M23" s="21" t="n">
        <f aca="false">$B23*Model!$Y$48</f>
        <v>6.82402273172165</v>
      </c>
      <c r="N23" s="21" t="n">
        <f aca="false">$B23*Model!$Z$48</f>
        <v>0.704258573736398</v>
      </c>
      <c r="O23" s="21" t="n">
        <f aca="false">$B23*Model!$AA$48</f>
        <v>1.18995414183047</v>
      </c>
    </row>
    <row r="24" customFormat="false" ht="15" hidden="false" customHeight="true" outlineLevel="0" collapsed="false">
      <c r="A24" s="23" t="n">
        <v>2037</v>
      </c>
      <c r="B24" s="21" t="n">
        <f aca="false">IF($A24&lt;=Model!$B$3,Data!$B$15*Model!$D$48,0)</f>
        <v>230.101343625592</v>
      </c>
      <c r="C24" s="21" t="n">
        <f aca="false">$B24*IF(Model!$B$5=1,Data!$D$15,Model!$AC$48)</f>
        <v>55.5080670277877</v>
      </c>
      <c r="D24" s="21" t="n">
        <f aca="false">$B24*IF(Model!$B$5=1,Data!$E$15,Model!$AD$48)</f>
        <v>71.3951801517766</v>
      </c>
      <c r="E24" s="21" t="n">
        <f aca="false">$B24*IF(Model!$B$5=1,Data!$F$15,Model!$AE$48)</f>
        <v>43.0278968987852</v>
      </c>
      <c r="F24" s="21" t="n">
        <f aca="false">$B24*IF(Model!$B$5=1,Data!$G$15,Model!$AF$48)</f>
        <v>60.1701995472428</v>
      </c>
      <c r="G24" s="21" t="n">
        <f aca="false">$B24*Model!$S$48</f>
        <v>112.06441975451</v>
      </c>
      <c r="H24" s="21" t="n">
        <f aca="false">$B24*Model!$T$48</f>
        <v>27.9830561666996</v>
      </c>
      <c r="I24" s="21" t="n">
        <f aca="false">$B24*Model!$U$48</f>
        <v>13.2697429044468</v>
      </c>
      <c r="J24" s="21" t="n">
        <f aca="false">$B24*Model!$V$48</f>
        <v>13.2697429044468</v>
      </c>
      <c r="K24" s="21" t="n">
        <f aca="false">$B24*Model!$W$48</f>
        <v>43.0654967118447</v>
      </c>
      <c r="L24" s="21" t="n">
        <f aca="false">$B24*Model!$X$48</f>
        <v>11.8020656536935</v>
      </c>
      <c r="M24" s="21" t="n">
        <f aca="false">$B24*Model!$Y$48</f>
        <v>6.76812336466911</v>
      </c>
      <c r="N24" s="21" t="n">
        <f aca="false">$B24*Model!$Z$48</f>
        <v>0.69848959991247</v>
      </c>
      <c r="O24" s="21" t="n">
        <f aca="false">$B24*Model!$AA$48</f>
        <v>1.18020656536935</v>
      </c>
    </row>
    <row r="25" customFormat="false" ht="15" hidden="false" customHeight="true" outlineLevel="0" collapsed="false">
      <c r="A25" s="23" t="n">
        <v>2038</v>
      </c>
      <c r="B25" s="21" t="n">
        <f aca="false">IF($A25&lt;=Model!$B$3,Data!$B$16*Model!$D$48,0)</f>
        <v>227.323754344216</v>
      </c>
      <c r="C25" s="21" t="n">
        <f aca="false">$B25*IF(Model!$B$5=1,Data!$D$16,Model!$AC$48)</f>
        <v>54.8380204753559</v>
      </c>
      <c r="D25" s="21" t="n">
        <f aca="false">$B25*IF(Model!$B$5=1,Data!$E$16,Model!$AD$48)</f>
        <v>70.5333577738327</v>
      </c>
      <c r="E25" s="21" t="n">
        <f aca="false">$B25*IF(Model!$B$5=1,Data!$F$16,Model!$AE$48)</f>
        <v>42.5085004305025</v>
      </c>
      <c r="F25" s="21" t="n">
        <f aca="false">$B25*IF(Model!$B$5=1,Data!$G$16,Model!$AF$48)</f>
        <v>59.4438756645249</v>
      </c>
      <c r="G25" s="21" t="n">
        <f aca="false">$B25*Model!$S$48</f>
        <v>110.711672629138</v>
      </c>
      <c r="H25" s="21" t="n">
        <f aca="false">$B25*Model!$T$48</f>
        <v>27.6452683222477</v>
      </c>
      <c r="I25" s="21" t="n">
        <f aca="false">$B25*Model!$U$48</f>
        <v>13.109561763923</v>
      </c>
      <c r="J25" s="21" t="n">
        <f aca="false">$B25*Model!$V$48</f>
        <v>13.109561763923</v>
      </c>
      <c r="K25" s="21" t="n">
        <f aca="false">$B25*Model!$W$48</f>
        <v>42.5456463703421</v>
      </c>
      <c r="L25" s="21" t="n">
        <f aca="false">$B25*Model!$X$48</f>
        <v>11.6596010746463</v>
      </c>
      <c r="M25" s="21" t="n">
        <f aca="false">$B25*Model!$Y$48</f>
        <v>6.68642428974616</v>
      </c>
      <c r="N25" s="21" t="n">
        <f aca="false">$B25*Model!$Z$48</f>
        <v>0.690058022785191</v>
      </c>
      <c r="O25" s="21" t="n">
        <f aca="false">$B25*Model!$AA$48</f>
        <v>1.16596010746463</v>
      </c>
    </row>
    <row r="26" customFormat="false" ht="15" hidden="false" customHeight="true" outlineLevel="0" collapsed="false">
      <c r="A26" s="23" t="n">
        <v>2039</v>
      </c>
      <c r="B26" s="21" t="n">
        <f aca="false">IF($A26&lt;=Model!$B$3,Data!$B$17*Model!$D$48,0)</f>
        <v>225.27710961057</v>
      </c>
      <c r="C26" s="21" t="n">
        <f aca="false">$B26*IF(Model!$B$5=1,Data!$D$17,Model!$AC$48)</f>
        <v>54.3443019630374</v>
      </c>
      <c r="D26" s="21" t="n">
        <f aca="false">$B26*IF(Model!$B$5=1,Data!$E$17,Model!$AD$48)</f>
        <v>69.8983307585054</v>
      </c>
      <c r="E26" s="21" t="n">
        <f aca="false">$B26*IF(Model!$B$5=1,Data!$F$17,Model!$AE$48)</f>
        <v>42.1257872433469</v>
      </c>
      <c r="F26" s="21" t="n">
        <f aca="false">$B26*IF(Model!$B$5=1,Data!$G$17,Model!$AF$48)</f>
        <v>58.9086896456805</v>
      </c>
      <c r="G26" s="21" t="n">
        <f aca="false">$B26*Model!$S$48</f>
        <v>109.71491158939</v>
      </c>
      <c r="H26" s="21" t="n">
        <f aca="false">$B26*Model!$T$48</f>
        <v>27.3963720158095</v>
      </c>
      <c r="I26" s="21" t="n">
        <f aca="false">$B26*Model!$U$48</f>
        <v>12.991533555116</v>
      </c>
      <c r="J26" s="21" t="n">
        <f aca="false">$B26*Model!$V$48</f>
        <v>12.991533555116</v>
      </c>
      <c r="K26" s="21" t="n">
        <f aca="false">$B26*Model!$W$48</f>
        <v>42.1625987502876</v>
      </c>
      <c r="L26" s="21" t="n">
        <f aca="false">$B26*Model!$X$48</f>
        <v>11.5546271742958</v>
      </c>
      <c r="M26" s="21" t="n">
        <f aca="false">$B26*Model!$Y$48</f>
        <v>6.62622497138189</v>
      </c>
      <c r="N26" s="21" t="n">
        <f aca="false">$B26*Model!$Z$48</f>
        <v>0.683845281744038</v>
      </c>
      <c r="O26" s="21" t="n">
        <f aca="false">$B26*Model!$AA$48</f>
        <v>1.15546271742958</v>
      </c>
    </row>
    <row r="27" customFormat="false" ht="15" hidden="false" customHeight="true" outlineLevel="0" collapsed="false">
      <c r="A27" s="23" t="n">
        <v>2040</v>
      </c>
      <c r="B27" s="21" t="n">
        <f aca="false">IF($A27&lt;=Model!$B$3,Data!$B$18*Model!$D$48,0)</f>
        <v>222.938087057832</v>
      </c>
      <c r="C27" s="21" t="n">
        <f aca="false">$B27*IF(Model!$B$5=1,Data!$D$18,Model!$AC$48)</f>
        <v>53.7800522346736</v>
      </c>
      <c r="D27" s="21" t="n">
        <f aca="false">$B27*IF(Model!$B$5=1,Data!$E$18,Model!$AD$48)</f>
        <v>69.1725855981317</v>
      </c>
      <c r="E27" s="21" t="n">
        <f aca="false">$B27*IF(Model!$B$5=1,Data!$F$18,Model!$AE$48)</f>
        <v>41.6884007437404</v>
      </c>
      <c r="F27" s="21" t="n">
        <f aca="false">$B27*IF(Model!$B$5=1,Data!$G$18,Model!$AF$48)</f>
        <v>58.2970484812865</v>
      </c>
      <c r="G27" s="21" t="n">
        <f aca="false">$B27*Model!$S$48</f>
        <v>108.575756115392</v>
      </c>
      <c r="H27" s="21" t="n">
        <f aca="false">$B27*Model!$T$48</f>
        <v>27.1119190941658</v>
      </c>
      <c r="I27" s="21" t="n">
        <f aca="false">$B27*Model!$U$48</f>
        <v>12.8566441736223</v>
      </c>
      <c r="J27" s="21" t="n">
        <f aca="false">$B27*Model!$V$48</f>
        <v>12.8566441736223</v>
      </c>
      <c r="K27" s="21" t="n">
        <f aca="false">$B27*Model!$W$48</f>
        <v>41.7248300416539</v>
      </c>
      <c r="L27" s="21" t="n">
        <f aca="false">$B27*Model!$X$48</f>
        <v>11.4346570024667</v>
      </c>
      <c r="M27" s="21" t="n">
        <f aca="false">$B27*Model!$Y$48</f>
        <v>6.55742575039415</v>
      </c>
      <c r="N27" s="21" t="n">
        <f aca="false">$B27*Model!$Z$48</f>
        <v>0.676745006268435</v>
      </c>
      <c r="O27" s="21" t="n">
        <f aca="false">$B27*Model!$AA$48</f>
        <v>1.14346570024667</v>
      </c>
    </row>
    <row r="28" customFormat="false" ht="15" hidden="false" customHeight="true" outlineLevel="0" collapsed="false">
      <c r="A28" s="24" t="s">
        <v>122</v>
      </c>
      <c r="B28" s="25" t="n">
        <f aca="false">SUM(B13:B27)</f>
        <v>5827.67469014651</v>
      </c>
      <c r="C28" s="25" t="n">
        <f aca="false">SUM(C13:C27)</f>
        <v>1405.82343053602</v>
      </c>
      <c r="D28" s="25" t="n">
        <f aca="false">SUM(D13:D27)</f>
        <v>1808.19167759343</v>
      </c>
      <c r="E28" s="25" t="n">
        <f aca="false">SUM(E13:E27)</f>
        <v>1089.74921300276</v>
      </c>
      <c r="F28" s="25" t="n">
        <f aca="false">SUM(F13:F27)</f>
        <v>1523.91036901429</v>
      </c>
      <c r="G28" s="25" t="n">
        <f aca="false">SUM(G13:G27)</f>
        <v>2838.20586346491</v>
      </c>
      <c r="H28" s="25" t="n">
        <f aca="false">SUM(H13:H27)</f>
        <v>708.714454275295</v>
      </c>
      <c r="I28" s="25" t="n">
        <f aca="false">SUM(I13:I27)</f>
        <v>336.076893991658</v>
      </c>
      <c r="J28" s="25" t="n">
        <f aca="false">SUM(J13:J27)</f>
        <v>336.076893991658</v>
      </c>
      <c r="K28" s="25" t="n">
        <f aca="false">SUM(K13:K27)</f>
        <v>1090.70073756098</v>
      </c>
      <c r="L28" s="25" t="n">
        <f aca="false">SUM(L13:L27)</f>
        <v>298.905683112348</v>
      </c>
      <c r="M28" s="25" t="n">
        <f aca="false">SUM(M13:M27)</f>
        <v>171.413259090959</v>
      </c>
      <c r="N28" s="25" t="n">
        <f aca="false">SUM(N13:N27)</f>
        <v>17.6903363474655</v>
      </c>
      <c r="O28" s="25" t="n">
        <f aca="false">SUM(O13:O27)</f>
        <v>29.8905683112348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Data!$H$25*Data!$M$25/SUM(Data!$H$25:$K$25)</f>
        <v>133.221849865952</v>
      </c>
      <c r="C34" s="22" t="n">
        <f aca="false">IF($B$38&gt;0,B34/$B$38,0)</f>
        <v>0.0189343163538874</v>
      </c>
      <c r="D34" s="21" t="n">
        <f aca="false">C28</f>
        <v>1405.82343053602</v>
      </c>
      <c r="E34" s="22" t="n">
        <f aca="false">IF($D$38&gt;0,D34/$D$38,0)</f>
        <v>0.241232310532536</v>
      </c>
      <c r="F34" s="21" t="n">
        <f aca="false">B34+D34</f>
        <v>1539.04528040197</v>
      </c>
      <c r="G34" s="22" t="n">
        <f aca="false">IF($F$38&gt;0,F34/$F$38,0)</f>
        <v>0.119642739533896</v>
      </c>
    </row>
    <row r="35" customFormat="false" ht="15" hidden="false" customHeight="true" outlineLevel="0" collapsed="false">
      <c r="A35" s="13" t="s">
        <v>110</v>
      </c>
      <c r="B35" s="21" t="n">
        <f aca="false">Data!$I$25*Data!$M$25/SUM(Data!$H$25:$K$25)</f>
        <v>716.804289544236</v>
      </c>
      <c r="C35" s="22" t="n">
        <f aca="false">IF($B$38&gt;0,B35/$B$38,0)</f>
        <v>0.101876675603217</v>
      </c>
      <c r="D35" s="21" t="n">
        <f aca="false">D28</f>
        <v>1808.19167759343</v>
      </c>
      <c r="E35" s="22" t="n">
        <f aca="false">IF($D$38&gt;0,D35/$D$38,0)</f>
        <v>0.310276701040081</v>
      </c>
      <c r="F35" s="21" t="n">
        <f aca="false">B35+D35</f>
        <v>2524.99596713767</v>
      </c>
      <c r="G35" s="22" t="n">
        <f aca="false">IF($F$38&gt;0,F35/$F$38,0)</f>
        <v>0.196288854309399</v>
      </c>
    </row>
    <row r="36" customFormat="false" ht="15" hidden="false" customHeight="true" outlineLevel="0" collapsed="false">
      <c r="A36" s="13" t="s">
        <v>111</v>
      </c>
      <c r="B36" s="21" t="n">
        <f aca="false">Data!$J$25*Data!$M$25/SUM(Data!$H$25:$K$25)</f>
        <v>1927.59048257373</v>
      </c>
      <c r="C36" s="22" t="n">
        <f aca="false">IF($B$38&gt;0,B36/$B$38,0)</f>
        <v>0.273961126005362</v>
      </c>
      <c r="D36" s="21" t="n">
        <f aca="false">E28</f>
        <v>1089.74921300276</v>
      </c>
      <c r="E36" s="22" t="n">
        <f aca="false">IF($D$38&gt;0,D36/$D$38,0)</f>
        <v>0.186995546413275</v>
      </c>
      <c r="F36" s="21" t="n">
        <f aca="false">B36+D36</f>
        <v>3017.33969557649</v>
      </c>
      <c r="G36" s="22" t="n">
        <f aca="false">IF($F$38&gt;0,F36/$F$38,0)</f>
        <v>0.234562811036239</v>
      </c>
    </row>
    <row r="37" customFormat="false" ht="15" hidden="false" customHeight="true" outlineLevel="0" collapsed="false">
      <c r="A37" s="13" t="s">
        <v>112</v>
      </c>
      <c r="B37" s="21" t="n">
        <f aca="false">Data!$K$25*Data!$M$25/SUM(Data!$H$25:$K$25)</f>
        <v>4258.38337801609</v>
      </c>
      <c r="C37" s="22" t="n">
        <f aca="false">IF($B$38&gt;0,B37/$B$38,0)</f>
        <v>0.605227882037534</v>
      </c>
      <c r="D37" s="21" t="n">
        <f aca="false">F28</f>
        <v>1523.91036901429</v>
      </c>
      <c r="E37" s="22" t="n">
        <f aca="false">IF($D$38&gt;0,D37/$D$38,0)</f>
        <v>0.261495442014109</v>
      </c>
      <c r="F37" s="21" t="n">
        <f aca="false">B37+D37</f>
        <v>5782.29374703038</v>
      </c>
      <c r="G37" s="22" t="n">
        <f aca="false">IF($F$38&gt;0,F37/$F$38,0)</f>
        <v>0.449505595120466</v>
      </c>
    </row>
    <row r="38" customFormat="false" ht="15" hidden="false" customHeight="true" outlineLevel="0" collapsed="false">
      <c r="A38" s="24" t="s">
        <v>61</v>
      </c>
      <c r="B38" s="25" t="n">
        <f aca="false">SUM(B34:B37)</f>
        <v>7036</v>
      </c>
      <c r="C38" s="27" t="n">
        <f aca="false">SUM(C34:C37)</f>
        <v>1</v>
      </c>
      <c r="D38" s="25" t="n">
        <f aca="false">SUM(D34:D37)</f>
        <v>5827.67469014651</v>
      </c>
      <c r="E38" s="27" t="n">
        <f aca="false">SUM(E34:E37)</f>
        <v>1</v>
      </c>
      <c r="F38" s="25" t="n">
        <f aca="false">SUM(F34:F37)</f>
        <v>12863.6746901465</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103</v>
      </c>
      <c r="C6" s="15" t="n">
        <f aca="false">Model!$Q$49</f>
        <v>0.243565110794386</v>
      </c>
    </row>
    <row r="7" customFormat="false" ht="15" hidden="false" customHeight="true" outlineLevel="0" collapsed="false">
      <c r="A7" s="13" t="s">
        <v>104</v>
      </c>
      <c r="C7" s="15" t="n">
        <f aca="false">Model!$G$49</f>
        <v>0.17116</v>
      </c>
    </row>
    <row r="8" customFormat="false" ht="15" hidden="false" customHeight="true" outlineLevel="0" collapsed="false">
      <c r="A8" s="13" t="s">
        <v>105</v>
      </c>
      <c r="C8" s="15" t="n">
        <f aca="false">Model!$R$49</f>
        <v>0.2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IF($A13&lt;=Model!$B$3,Data!$B$4*Model!$D$49,0)</f>
        <v>541.35478752072</v>
      </c>
      <c r="C13" s="21" t="n">
        <f aca="false">$B13*IF(Model!$B$5=1,Data!$D$4,Model!$AC$49)</f>
        <v>140.036193863826</v>
      </c>
      <c r="D13" s="21" t="n">
        <f aca="false">$B13*IF(Model!$B$5=1,Data!$E$4,Model!$AD$49)</f>
        <v>171.395160214111</v>
      </c>
      <c r="E13" s="21" t="n">
        <f aca="false">$B13*IF(Model!$B$5=1,Data!$F$4,Model!$AE$49)</f>
        <v>100.170949191803</v>
      </c>
      <c r="F13" s="21" t="n">
        <f aca="false">$B13*IF(Model!$B$5=1,Data!$G$4,Model!$AF$49)</f>
        <v>129.752484250979</v>
      </c>
      <c r="G13" s="21" t="n">
        <f aca="false">$B13*Model!$S$49</f>
        <v>275.473782862661</v>
      </c>
      <c r="H13" s="21" t="n">
        <f aca="false">$B13*Model!$T$49</f>
        <v>68.7872061015052</v>
      </c>
      <c r="I13" s="21" t="n">
        <f aca="false">$B13*Model!$U$49</f>
        <v>32.6193298774995</v>
      </c>
      <c r="J13" s="21" t="n">
        <f aca="false">$B13*Model!$V$49</f>
        <v>32.6193298774995</v>
      </c>
      <c r="K13" s="21" t="n">
        <f aca="false">$B13*Model!$W$49</f>
        <v>89.4034843296097</v>
      </c>
      <c r="L13" s="21" t="n">
        <f aca="false">$B13*Model!$X$49</f>
        <v>24.5009548778013</v>
      </c>
      <c r="M13" s="21" t="n">
        <f aca="false">$B13*Model!$Y$49</f>
        <v>14.0505475931881</v>
      </c>
      <c r="N13" s="21" t="n">
        <f aca="false">$B13*Model!$Z$49</f>
        <v>1.450056513176</v>
      </c>
      <c r="O13" s="21" t="n">
        <f aca="false">$B13*Model!$AA$49</f>
        <v>2.45009548778013</v>
      </c>
    </row>
    <row r="14" customFormat="false" ht="15" hidden="false" customHeight="true" outlineLevel="0" collapsed="false">
      <c r="A14" s="23" t="n">
        <v>2027</v>
      </c>
      <c r="B14" s="21" t="n">
        <f aca="false">IF($A14&lt;=Model!$B$3,Data!$B$5*Model!$D$49,0)</f>
        <v>541.35478752072</v>
      </c>
      <c r="C14" s="21" t="n">
        <f aca="false">$B14*IF(Model!$B$5=1,Data!$D$5,Model!$AC$49)</f>
        <v>136.100453147798</v>
      </c>
      <c r="D14" s="21" t="n">
        <f aca="false">$B14*IF(Model!$B$5=1,Data!$E$5,Model!$AD$49)</f>
        <v>171.902997725857</v>
      </c>
      <c r="E14" s="21" t="n">
        <f aca="false">$B14*IF(Model!$B$5=1,Data!$F$5,Model!$AE$49)</f>
        <v>99.9170304359305</v>
      </c>
      <c r="F14" s="21" t="n">
        <f aca="false">$B14*IF(Model!$B$5=1,Data!$G$5,Model!$AF$49)</f>
        <v>133.434306211134</v>
      </c>
      <c r="G14" s="21" t="n">
        <f aca="false">$B14*Model!$S$49</f>
        <v>275.473782862661</v>
      </c>
      <c r="H14" s="21" t="n">
        <f aca="false">$B14*Model!$T$49</f>
        <v>68.7872061015052</v>
      </c>
      <c r="I14" s="21" t="n">
        <f aca="false">$B14*Model!$U$49</f>
        <v>32.6193298774995</v>
      </c>
      <c r="J14" s="21" t="n">
        <f aca="false">$B14*Model!$V$49</f>
        <v>32.6193298774995</v>
      </c>
      <c r="K14" s="21" t="n">
        <f aca="false">$B14*Model!$W$49</f>
        <v>89.4034843296097</v>
      </c>
      <c r="L14" s="21" t="n">
        <f aca="false">$B14*Model!$X$49</f>
        <v>24.5009548778013</v>
      </c>
      <c r="M14" s="21" t="n">
        <f aca="false">$B14*Model!$Y$49</f>
        <v>14.0505475931881</v>
      </c>
      <c r="N14" s="21" t="n">
        <f aca="false">$B14*Model!$Z$49</f>
        <v>1.450056513176</v>
      </c>
      <c r="O14" s="21" t="n">
        <f aca="false">$B14*Model!$AA$49</f>
        <v>2.45009548778013</v>
      </c>
    </row>
    <row r="15" customFormat="false" ht="15" hidden="false" customHeight="true" outlineLevel="0" collapsed="false">
      <c r="A15" s="23" t="n">
        <v>2028</v>
      </c>
      <c r="B15" s="21" t="n">
        <f aca="false">IF($A15&lt;=Model!$B$3,Data!$B$6*Model!$D$49,0)</f>
        <v>541.35478752072</v>
      </c>
      <c r="C15" s="21" t="n">
        <f aca="false">$B15*IF(Model!$B$5=1,Data!$D$6,Model!$AC$49)</f>
        <v>135.656244268449</v>
      </c>
      <c r="D15" s="21" t="n">
        <f aca="false">$B15*IF(Model!$B$5=1,Data!$E$6,Model!$AD$49)</f>
        <v>171.983665486404</v>
      </c>
      <c r="E15" s="21" t="n">
        <f aca="false">$B15*IF(Model!$B$5=1,Data!$F$6,Model!$AE$49)</f>
        <v>99.9639178270311</v>
      </c>
      <c r="F15" s="21" t="n">
        <f aca="false">$B15*IF(Model!$B$5=1,Data!$G$6,Model!$AF$49)</f>
        <v>133.750959938836</v>
      </c>
      <c r="G15" s="21" t="n">
        <f aca="false">$B15*Model!$S$49</f>
        <v>275.473782862661</v>
      </c>
      <c r="H15" s="21" t="n">
        <f aca="false">$B15*Model!$T$49</f>
        <v>68.7872061015052</v>
      </c>
      <c r="I15" s="21" t="n">
        <f aca="false">$B15*Model!$U$49</f>
        <v>32.6193298774995</v>
      </c>
      <c r="J15" s="21" t="n">
        <f aca="false">$B15*Model!$V$49</f>
        <v>32.6193298774995</v>
      </c>
      <c r="K15" s="21" t="n">
        <f aca="false">$B15*Model!$W$49</f>
        <v>89.4034843296097</v>
      </c>
      <c r="L15" s="21" t="n">
        <f aca="false">$B15*Model!$X$49</f>
        <v>24.5009548778013</v>
      </c>
      <c r="M15" s="21" t="n">
        <f aca="false">$B15*Model!$Y$49</f>
        <v>14.0505475931881</v>
      </c>
      <c r="N15" s="21" t="n">
        <f aca="false">$B15*Model!$Z$49</f>
        <v>1.450056513176</v>
      </c>
      <c r="O15" s="21" t="n">
        <f aca="false">$B15*Model!$AA$49</f>
        <v>2.45009548778013</v>
      </c>
    </row>
    <row r="16" customFormat="false" ht="15" hidden="false" customHeight="true" outlineLevel="0" collapsed="false">
      <c r="A16" s="23" t="n">
        <v>2029</v>
      </c>
      <c r="B16" s="21" t="n">
        <f aca="false">IF($A16&lt;=Model!$B$3,Data!$B$7*Model!$D$49,0)</f>
        <v>541.35478752072</v>
      </c>
      <c r="C16" s="21" t="n">
        <f aca="false">$B16*IF(Model!$B$5=1,Data!$D$7,Model!$AC$49)</f>
        <v>134.227541733381</v>
      </c>
      <c r="D16" s="21" t="n">
        <f aca="false">$B16*IF(Model!$B$5=1,Data!$E$7,Model!$AD$49)</f>
        <v>171.054398027307</v>
      </c>
      <c r="E16" s="21" t="n">
        <f aca="false">$B16*IF(Model!$B$5=1,Data!$F$7,Model!$AE$49)</f>
        <v>99.3055228339676</v>
      </c>
      <c r="F16" s="21" t="n">
        <f aca="false">$B16*IF(Model!$B$5=1,Data!$G$7,Model!$AF$49)</f>
        <v>136.767324926065</v>
      </c>
      <c r="G16" s="21" t="n">
        <f aca="false">$B16*Model!$S$49</f>
        <v>275.473782862661</v>
      </c>
      <c r="H16" s="21" t="n">
        <f aca="false">$B16*Model!$T$49</f>
        <v>68.7872061015052</v>
      </c>
      <c r="I16" s="21" t="n">
        <f aca="false">$B16*Model!$U$49</f>
        <v>32.6193298774995</v>
      </c>
      <c r="J16" s="21" t="n">
        <f aca="false">$B16*Model!$V$49</f>
        <v>32.6193298774995</v>
      </c>
      <c r="K16" s="21" t="n">
        <f aca="false">$B16*Model!$W$49</f>
        <v>89.4034843296097</v>
      </c>
      <c r="L16" s="21" t="n">
        <f aca="false">$B16*Model!$X$49</f>
        <v>24.5009548778013</v>
      </c>
      <c r="M16" s="21" t="n">
        <f aca="false">$B16*Model!$Y$49</f>
        <v>14.0505475931881</v>
      </c>
      <c r="N16" s="21" t="n">
        <f aca="false">$B16*Model!$Z$49</f>
        <v>1.450056513176</v>
      </c>
      <c r="O16" s="21" t="n">
        <f aca="false">$B16*Model!$AA$49</f>
        <v>2.45009548778013</v>
      </c>
    </row>
    <row r="17" customFormat="false" ht="15" hidden="false" customHeight="true" outlineLevel="0" collapsed="false">
      <c r="A17" s="23" t="n">
        <v>2030</v>
      </c>
      <c r="B17" s="21" t="n">
        <f aca="false">IF($A17&lt;=Model!$B$3,Data!$B$8*Model!$D$49,0)</f>
        <v>541.35478752072</v>
      </c>
      <c r="C17" s="21" t="n">
        <f aca="false">$B17*IF(Model!$B$5=1,Data!$D$8,Model!$AC$49)</f>
        <v>134.004997849451</v>
      </c>
      <c r="D17" s="21" t="n">
        <f aca="false">$B17*IF(Model!$B$5=1,Data!$E$8,Model!$AD$49)</f>
        <v>168.554153693101</v>
      </c>
      <c r="E17" s="21" t="n">
        <f aca="false">$B17*IF(Model!$B$5=1,Data!$F$8,Model!$AE$49)</f>
        <v>99.4558420058009</v>
      </c>
      <c r="F17" s="21" t="n">
        <f aca="false">$B17*IF(Model!$B$5=1,Data!$G$8,Model!$AF$49)</f>
        <v>139.339793972367</v>
      </c>
      <c r="G17" s="21" t="n">
        <f aca="false">$B17*Model!$S$49</f>
        <v>275.473782862661</v>
      </c>
      <c r="H17" s="21" t="n">
        <f aca="false">$B17*Model!$T$49</f>
        <v>68.7872061015052</v>
      </c>
      <c r="I17" s="21" t="n">
        <f aca="false">$B17*Model!$U$49</f>
        <v>32.6193298774995</v>
      </c>
      <c r="J17" s="21" t="n">
        <f aca="false">$B17*Model!$V$49</f>
        <v>32.6193298774995</v>
      </c>
      <c r="K17" s="21" t="n">
        <f aca="false">$B17*Model!$W$49</f>
        <v>89.4034843296097</v>
      </c>
      <c r="L17" s="21" t="n">
        <f aca="false">$B17*Model!$X$49</f>
        <v>24.5009548778013</v>
      </c>
      <c r="M17" s="21" t="n">
        <f aca="false">$B17*Model!$Y$49</f>
        <v>14.0505475931881</v>
      </c>
      <c r="N17" s="21" t="n">
        <f aca="false">$B17*Model!$Z$49</f>
        <v>1.450056513176</v>
      </c>
      <c r="O17" s="21" t="n">
        <f aca="false">$B17*Model!$AA$49</f>
        <v>2.45009548778013</v>
      </c>
    </row>
    <row r="18" customFormat="false" ht="15" hidden="false" customHeight="true" outlineLevel="0" collapsed="false">
      <c r="A18" s="23" t="n">
        <v>2031</v>
      </c>
      <c r="B18" s="21" t="n">
        <f aca="false">IF($A18&lt;=Model!$B$3,Data!$B$9*Model!$D$49,0)</f>
        <v>275.312498087009</v>
      </c>
      <c r="C18" s="21" t="n">
        <f aca="false">$B18*IF(Model!$B$5=1,Data!$D$9,Model!$AC$49)</f>
        <v>63.621568976749</v>
      </c>
      <c r="D18" s="21" t="n">
        <f aca="false">$B18*IF(Model!$B$5=1,Data!$E$9,Model!$AD$49)</f>
        <v>83.6858561989573</v>
      </c>
      <c r="E18" s="21" t="n">
        <f aca="false">$B18*IF(Model!$B$5=1,Data!$F$9,Model!$AE$49)</f>
        <v>52.3195337693026</v>
      </c>
      <c r="F18" s="21" t="n">
        <f aca="false">$B18*IF(Model!$B$5=1,Data!$G$9,Model!$AF$49)</f>
        <v>75.6855391420008</v>
      </c>
      <c r="G18" s="21" t="n">
        <f aca="false">$B18*Model!$S$49</f>
        <v>140.095510496422</v>
      </c>
      <c r="H18" s="21" t="n">
        <f aca="false">$B18*Model!$T$49</f>
        <v>34.9825622397521</v>
      </c>
      <c r="I18" s="21" t="n">
        <f aca="false">$B18*Model!$U$49</f>
        <v>16.5889531255967</v>
      </c>
      <c r="J18" s="21" t="n">
        <f aca="false">$B18*Model!$V$49</f>
        <v>16.5889531255967</v>
      </c>
      <c r="K18" s="21" t="n">
        <f aca="false">$B18*Model!$W$49</f>
        <v>45.4672188661961</v>
      </c>
      <c r="L18" s="21" t="n">
        <f aca="false">$B18*Model!$X$49</f>
        <v>12.4602557295504</v>
      </c>
      <c r="M18" s="21" t="n">
        <f aca="false">$B18*Model!$Y$49</f>
        <v>7.14557522449726</v>
      </c>
      <c r="N18" s="21" t="n">
        <f aca="false">$B18*Model!$Z$49</f>
        <v>0.737443706442777</v>
      </c>
      <c r="O18" s="21" t="n">
        <f aca="false">$B18*Model!$AA$49</f>
        <v>1.24602557295504</v>
      </c>
    </row>
    <row r="19" customFormat="false" ht="15" hidden="false" customHeight="true" outlineLevel="0" collapsed="false">
      <c r="A19" s="23" t="n">
        <v>2032</v>
      </c>
      <c r="B19" s="21" t="n">
        <f aca="false">IF($A19&lt;=Model!$B$3,Data!$B$10*Model!$D$49,0)</f>
        <v>275.312498087009</v>
      </c>
      <c r="C19" s="21" t="n">
        <f aca="false">$B19*IF(Model!$B$5=1,Data!$D$10,Model!$AC$49)</f>
        <v>61.2087749436987</v>
      </c>
      <c r="D19" s="21" t="n">
        <f aca="false">$B19*IF(Model!$B$5=1,Data!$E$10,Model!$AD$49)</f>
        <v>82.0349971237122</v>
      </c>
      <c r="E19" s="21" t="n">
        <f aca="false">$B19*IF(Model!$B$5=1,Data!$F$10,Model!$AE$49)</f>
        <v>53.2084578867422</v>
      </c>
      <c r="F19" s="21" t="n">
        <f aca="false">$B19*IF(Model!$B$5=1,Data!$G$10,Model!$AF$49)</f>
        <v>78.8602681328565</v>
      </c>
      <c r="G19" s="21" t="n">
        <f aca="false">$B19*Model!$S$49</f>
        <v>140.095510496422</v>
      </c>
      <c r="H19" s="21" t="n">
        <f aca="false">$B19*Model!$T$49</f>
        <v>34.9825622397521</v>
      </c>
      <c r="I19" s="21" t="n">
        <f aca="false">$B19*Model!$U$49</f>
        <v>16.5889531255967</v>
      </c>
      <c r="J19" s="21" t="n">
        <f aca="false">$B19*Model!$V$49</f>
        <v>16.5889531255967</v>
      </c>
      <c r="K19" s="21" t="n">
        <f aca="false">$B19*Model!$W$49</f>
        <v>45.4672188661961</v>
      </c>
      <c r="L19" s="21" t="n">
        <f aca="false">$B19*Model!$X$49</f>
        <v>12.4602557295504</v>
      </c>
      <c r="M19" s="21" t="n">
        <f aca="false">$B19*Model!$Y$49</f>
        <v>7.14557522449726</v>
      </c>
      <c r="N19" s="21" t="n">
        <f aca="false">$B19*Model!$Z$49</f>
        <v>0.737443706442777</v>
      </c>
      <c r="O19" s="21" t="n">
        <f aca="false">$B19*Model!$AA$49</f>
        <v>1.24602557295504</v>
      </c>
    </row>
    <row r="20" customFormat="false" ht="15" hidden="false" customHeight="true" outlineLevel="0" collapsed="false">
      <c r="A20" s="23" t="n">
        <v>2033</v>
      </c>
      <c r="B20" s="21" t="n">
        <f aca="false">IF($A20&lt;=Model!$B$3,Data!$B$11*Model!$D$49,0)</f>
        <v>275.312498087009</v>
      </c>
      <c r="C20" s="21" t="n">
        <f aca="false">$B20*IF(Model!$B$5=1,Data!$D$11,Model!$AC$49)</f>
        <v>60.7288297580021</v>
      </c>
      <c r="D20" s="21" t="n">
        <f aca="false">$B20*IF(Model!$B$5=1,Data!$E$11,Model!$AD$49)</f>
        <v>82.3269491280027</v>
      </c>
      <c r="E20" s="21" t="n">
        <f aca="false">$B20*IF(Model!$B$5=1,Data!$F$11,Model!$AE$49)</f>
        <v>53.2330118590018</v>
      </c>
      <c r="F20" s="21" t="n">
        <f aca="false">$B20*IF(Model!$B$5=1,Data!$G$11,Model!$AF$49)</f>
        <v>79.0237073420028</v>
      </c>
      <c r="G20" s="21" t="n">
        <f aca="false">$B20*Model!$S$49</f>
        <v>140.095510496422</v>
      </c>
      <c r="H20" s="21" t="n">
        <f aca="false">$B20*Model!$T$49</f>
        <v>34.9825622397521</v>
      </c>
      <c r="I20" s="21" t="n">
        <f aca="false">$B20*Model!$U$49</f>
        <v>16.5889531255967</v>
      </c>
      <c r="J20" s="21" t="n">
        <f aca="false">$B20*Model!$V$49</f>
        <v>16.5889531255967</v>
      </c>
      <c r="K20" s="21" t="n">
        <f aca="false">$B20*Model!$W$49</f>
        <v>45.4672188661961</v>
      </c>
      <c r="L20" s="21" t="n">
        <f aca="false">$B20*Model!$X$49</f>
        <v>12.4602557295504</v>
      </c>
      <c r="M20" s="21" t="n">
        <f aca="false">$B20*Model!$Y$49</f>
        <v>7.14557522449726</v>
      </c>
      <c r="N20" s="21" t="n">
        <f aca="false">$B20*Model!$Z$49</f>
        <v>0.737443706442777</v>
      </c>
      <c r="O20" s="21" t="n">
        <f aca="false">$B20*Model!$AA$49</f>
        <v>1.24602557295504</v>
      </c>
    </row>
    <row r="21" customFormat="false" ht="15" hidden="false" customHeight="true" outlineLevel="0" collapsed="false">
      <c r="A21" s="23" t="n">
        <v>2034</v>
      </c>
      <c r="B21" s="21" t="n">
        <f aca="false">IF($A21&lt;=Model!$B$3,Data!$B$12*Model!$D$49,0)</f>
        <v>275.312498087009</v>
      </c>
      <c r="C21" s="21" t="n">
        <f aca="false">$B21*IF(Model!$B$5=1,Data!$D$12,Model!$AC$49)</f>
        <v>60.1928616666249</v>
      </c>
      <c r="D21" s="21" t="n">
        <f aca="false">$B21*IF(Model!$B$5=1,Data!$E$12,Model!$AD$49)</f>
        <v>82.5429537622492</v>
      </c>
      <c r="E21" s="21" t="n">
        <f aca="false">$B21*IF(Model!$B$5=1,Data!$F$12,Model!$AE$49)</f>
        <v>53.2084578867422</v>
      </c>
      <c r="F21" s="21" t="n">
        <f aca="false">$B21*IF(Model!$B$5=1,Data!$G$12,Model!$AF$49)</f>
        <v>79.3682247713933</v>
      </c>
      <c r="G21" s="21" t="n">
        <f aca="false">$B21*Model!$S$49</f>
        <v>140.095510496422</v>
      </c>
      <c r="H21" s="21" t="n">
        <f aca="false">$B21*Model!$T$49</f>
        <v>34.9825622397521</v>
      </c>
      <c r="I21" s="21" t="n">
        <f aca="false">$B21*Model!$U$49</f>
        <v>16.5889531255967</v>
      </c>
      <c r="J21" s="21" t="n">
        <f aca="false">$B21*Model!$V$49</f>
        <v>16.5889531255967</v>
      </c>
      <c r="K21" s="21" t="n">
        <f aca="false">$B21*Model!$W$49</f>
        <v>45.4672188661961</v>
      </c>
      <c r="L21" s="21" t="n">
        <f aca="false">$B21*Model!$X$49</f>
        <v>12.4602557295504</v>
      </c>
      <c r="M21" s="21" t="n">
        <f aca="false">$B21*Model!$Y$49</f>
        <v>7.14557522449726</v>
      </c>
      <c r="N21" s="21" t="n">
        <f aca="false">$B21*Model!$Z$49</f>
        <v>0.737443706442777</v>
      </c>
      <c r="O21" s="21" t="n">
        <f aca="false">$B21*Model!$AA$49</f>
        <v>1.24602557295504</v>
      </c>
    </row>
    <row r="22" customFormat="false" ht="15" hidden="false" customHeight="true" outlineLevel="0" collapsed="false">
      <c r="A22" s="23" t="n">
        <v>2035</v>
      </c>
      <c r="B22" s="21" t="n">
        <f aca="false">IF($A22&lt;=Model!$B$3,Data!$B$13*Model!$D$49,0)</f>
        <v>266.042289433711</v>
      </c>
      <c r="C22" s="21" t="n">
        <f aca="false">$B22*IF(Model!$B$5=1,Data!$D$13,Model!$AC$49)</f>
        <v>57.0181326757689</v>
      </c>
      <c r="D22" s="21" t="n">
        <f aca="false">$B22*IF(Model!$B$5=1,Data!$E$13,Model!$AD$49)</f>
        <v>78.6062898135879</v>
      </c>
      <c r="E22" s="21" t="n">
        <f aca="false">$B22*IF(Model!$B$5=1,Data!$F$13,Model!$AE$49)</f>
        <v>51.0496421729601</v>
      </c>
      <c r="F22" s="21" t="n">
        <f aca="false">$B22*IF(Model!$B$5=1,Data!$G$13,Model!$AF$49)</f>
        <v>79.3682247713934</v>
      </c>
      <c r="G22" s="21" t="n">
        <f aca="false">$B22*Model!$S$49</f>
        <v>135.378272366238</v>
      </c>
      <c r="H22" s="21" t="n">
        <f aca="false">$B22*Model!$T$49</f>
        <v>33.8046438617531</v>
      </c>
      <c r="I22" s="21" t="n">
        <f aca="false">$B22*Model!$U$49</f>
        <v>16.0303767519028</v>
      </c>
      <c r="J22" s="21" t="n">
        <f aca="false">$B22*Model!$V$49</f>
        <v>16.0303767519028</v>
      </c>
      <c r="K22" s="21" t="n">
        <f aca="false">$B22*Model!$W$49</f>
        <v>43.9362654634136</v>
      </c>
      <c r="L22" s="21" t="n">
        <f aca="false">$B22*Model!$X$49</f>
        <v>12.0406991482509</v>
      </c>
      <c r="M22" s="21" t="n">
        <f aca="false">$B22*Model!$Y$49</f>
        <v>6.90497236869085</v>
      </c>
      <c r="N22" s="21" t="n">
        <f aca="false">$B22*Model!$Z$49</f>
        <v>0.712612806733219</v>
      </c>
      <c r="O22" s="21" t="n">
        <f aca="false">$B22*Model!$AA$49</f>
        <v>1.20406991482509</v>
      </c>
    </row>
    <row r="23" customFormat="false" ht="15" hidden="false" customHeight="true" outlineLevel="0" collapsed="false">
      <c r="A23" s="23" t="n">
        <v>2036</v>
      </c>
      <c r="B23" s="21" t="n">
        <f aca="false">IF($A23&lt;=Model!$B$3,Data!$B$14*Model!$D$49,0)</f>
        <v>201.531796339522</v>
      </c>
      <c r="C23" s="21" t="n">
        <f aca="false">$B23*IF(Model!$B$5=1,Data!$D$14,Model!$AC$49)</f>
        <v>48.6161457520514</v>
      </c>
      <c r="D23" s="21" t="n">
        <f aca="false">$B23*IF(Model!$B$5=1,Data!$E$14,Model!$AD$49)</f>
        <v>62.5307035554878</v>
      </c>
      <c r="E23" s="21" t="n">
        <f aca="false">$B23*IF(Model!$B$5=1,Data!$F$14,Model!$AE$49)</f>
        <v>37.685522466282</v>
      </c>
      <c r="F23" s="21" t="n">
        <f aca="false">$B23*IF(Model!$B$5=1,Data!$G$14,Model!$AF$49)</f>
        <v>52.6994245657008</v>
      </c>
      <c r="G23" s="21" t="n">
        <f aca="false">$B23*Model!$S$49</f>
        <v>102.551464556191</v>
      </c>
      <c r="H23" s="21" t="n">
        <f aca="false">$B23*Model!$T$49</f>
        <v>25.6076228203352</v>
      </c>
      <c r="I23" s="21" t="n">
        <f aca="false">$B23*Model!$U$49</f>
        <v>12.1432973294843</v>
      </c>
      <c r="J23" s="21" t="n">
        <f aca="false">$B23*Model!$V$49</f>
        <v>12.1432973294843</v>
      </c>
      <c r="K23" s="21" t="n">
        <f aca="false">$B23*Model!$W$49</f>
        <v>33.2825075372016</v>
      </c>
      <c r="L23" s="21" t="n">
        <f aca="false">$B23*Model!$X$49</f>
        <v>9.12104513044117</v>
      </c>
      <c r="M23" s="21" t="n">
        <f aca="false">$B23*Model!$Y$49</f>
        <v>5.23064016664075</v>
      </c>
      <c r="N23" s="21" t="n">
        <f aca="false">$B23*Model!$Z$49</f>
        <v>0.539816956699579</v>
      </c>
      <c r="O23" s="21" t="n">
        <f aca="false">$B23*Model!$AA$49</f>
        <v>0.912104513044116</v>
      </c>
    </row>
    <row r="24" customFormat="false" ht="15" hidden="false" customHeight="true" outlineLevel="0" collapsed="false">
      <c r="A24" s="23" t="n">
        <v>2037</v>
      </c>
      <c r="B24" s="21" t="n">
        <f aca="false">IF($A24&lt;=Model!$B$3,Data!$B$15*Model!$D$49,0)</f>
        <v>199.880937264277</v>
      </c>
      <c r="C24" s="21" t="n">
        <f aca="false">$B24*IF(Model!$B$5=1,Data!$D$15,Model!$AC$49)</f>
        <v>48.2179038523812</v>
      </c>
      <c r="D24" s="21" t="n">
        <f aca="false">$B24*IF(Model!$B$5=1,Data!$E$15,Model!$AD$49)</f>
        <v>62.0184797708493</v>
      </c>
      <c r="E24" s="21" t="n">
        <f aca="false">$B24*IF(Model!$B$5=1,Data!$F$15,Model!$AE$49)</f>
        <v>37.3768193836975</v>
      </c>
      <c r="F24" s="21" t="n">
        <f aca="false">$B24*IF(Model!$B$5=1,Data!$G$15,Model!$AF$49)</f>
        <v>52.2677342573494</v>
      </c>
      <c r="G24" s="21" t="n">
        <f aca="false">$B24*Model!$S$49</f>
        <v>101.711408450816</v>
      </c>
      <c r="H24" s="21" t="n">
        <f aca="false">$B24*Model!$T$49</f>
        <v>25.3978565338422</v>
      </c>
      <c r="I24" s="21" t="n">
        <f aca="false">$B24*Model!$U$49</f>
        <v>12.0438248245799</v>
      </c>
      <c r="J24" s="21" t="n">
        <f aca="false">$B24*Model!$V$49</f>
        <v>12.0438248245799</v>
      </c>
      <c r="K24" s="21" t="n">
        <f aca="false">$B24*Model!$W$49</f>
        <v>33.0098719997198</v>
      </c>
      <c r="L24" s="21" t="n">
        <f aca="false">$B24*Model!$X$49</f>
        <v>9.04632957486729</v>
      </c>
      <c r="M24" s="21" t="n">
        <f aca="false">$B24*Model!$Y$49</f>
        <v>5.18779308273002</v>
      </c>
      <c r="N24" s="21" t="n">
        <f aca="false">$B24*Model!$Z$49</f>
        <v>0.535395015655411</v>
      </c>
      <c r="O24" s="21" t="n">
        <f aca="false">$B24*Model!$AA$49</f>
        <v>0.904632957486729</v>
      </c>
    </row>
    <row r="25" customFormat="false" ht="15" hidden="false" customHeight="true" outlineLevel="0" collapsed="false">
      <c r="A25" s="23" t="n">
        <v>2038</v>
      </c>
      <c r="B25" s="21" t="n">
        <f aca="false">IF($A25&lt;=Model!$B$3,Data!$B$16*Model!$D$49,0)</f>
        <v>197.468143231227</v>
      </c>
      <c r="C25" s="21" t="n">
        <f aca="false">$B25*IF(Model!$B$5=1,Data!$D$16,Model!$AC$49)</f>
        <v>47.6358579990172</v>
      </c>
      <c r="D25" s="21" t="n">
        <f aca="false">$B25*IF(Model!$B$5=1,Data!$E$16,Model!$AD$49)</f>
        <v>61.2698450086853</v>
      </c>
      <c r="E25" s="21" t="n">
        <f aca="false">$B25*IF(Model!$B$5=1,Data!$F$16,Model!$AE$49)</f>
        <v>36.9256379553047</v>
      </c>
      <c r="F25" s="21" t="n">
        <f aca="false">$B25*IF(Model!$B$5=1,Data!$G$16,Model!$AF$49)</f>
        <v>51.6368022682198</v>
      </c>
      <c r="G25" s="21" t="n">
        <f aca="false">$B25*Model!$S$49</f>
        <v>100.48363414296</v>
      </c>
      <c r="H25" s="21" t="n">
        <f aca="false">$B25*Model!$T$49</f>
        <v>25.0912750381986</v>
      </c>
      <c r="I25" s="21" t="n">
        <f aca="false">$B25*Model!$U$49</f>
        <v>11.8984419327966</v>
      </c>
      <c r="J25" s="21" t="n">
        <f aca="false">$B25*Model!$V$49</f>
        <v>11.8984419327966</v>
      </c>
      <c r="K25" s="21" t="n">
        <f aca="false">$B25*Model!$W$49</f>
        <v>32.611404675708</v>
      </c>
      <c r="L25" s="21" t="n">
        <f aca="false">$B25*Model!$X$49</f>
        <v>8.93712991672087</v>
      </c>
      <c r="M25" s="21" t="n">
        <f aca="false">$B25*Model!$Y$49</f>
        <v>5.12517042162972</v>
      </c>
      <c r="N25" s="21" t="n">
        <f aca="false">$B25*Model!$Z$49</f>
        <v>0.528932178744704</v>
      </c>
      <c r="O25" s="21" t="n">
        <f aca="false">$B25*Model!$AA$49</f>
        <v>0.893712991672086</v>
      </c>
    </row>
    <row r="26" customFormat="false" ht="15" hidden="false" customHeight="true" outlineLevel="0" collapsed="false">
      <c r="A26" s="23" t="n">
        <v>2039</v>
      </c>
      <c r="B26" s="21" t="n">
        <f aca="false">IF($A26&lt;=Model!$B$3,Data!$B$17*Model!$D$49,0)</f>
        <v>195.690294996348</v>
      </c>
      <c r="C26" s="21" t="n">
        <f aca="false">$B26*IF(Model!$B$5=1,Data!$D$17,Model!$AC$49)</f>
        <v>47.2069821070644</v>
      </c>
      <c r="D26" s="21" t="n">
        <f aca="false">$B26*IF(Model!$B$5=1,Data!$E$17,Model!$AD$49)</f>
        <v>60.718219394459</v>
      </c>
      <c r="E26" s="21" t="n">
        <f aca="false">$B26*IF(Model!$B$5=1,Data!$F$17,Model!$AE$49)</f>
        <v>36.5931884817521</v>
      </c>
      <c r="F26" s="21" t="n">
        <f aca="false">$B26*IF(Model!$B$5=1,Data!$G$17,Model!$AF$49)</f>
        <v>51.171905013072</v>
      </c>
      <c r="G26" s="21" t="n">
        <f aca="false">$B26*Model!$S$49</f>
        <v>99.578958337171</v>
      </c>
      <c r="H26" s="21" t="n">
        <f aca="false">$B26*Model!$T$49</f>
        <v>24.8653728835138</v>
      </c>
      <c r="I26" s="21" t="n">
        <f aca="false">$B26*Model!$U$49</f>
        <v>11.7913176967457</v>
      </c>
      <c r="J26" s="21" t="n">
        <f aca="false">$B26*Model!$V$49</f>
        <v>11.7913176967457</v>
      </c>
      <c r="K26" s="21" t="n">
        <f aca="false">$B26*Model!$W$49</f>
        <v>32.3177971738045</v>
      </c>
      <c r="L26" s="21" t="n">
        <f aca="false">$B26*Model!$X$49</f>
        <v>8.85666701071823</v>
      </c>
      <c r="M26" s="21" t="n">
        <f aca="false">$B26*Model!$Y$49</f>
        <v>5.0790274081874</v>
      </c>
      <c r="N26" s="21" t="n">
        <f aca="false">$B26*Model!$Z$49</f>
        <v>0.524170088389447</v>
      </c>
      <c r="O26" s="21" t="n">
        <f aca="false">$B26*Model!$AA$49</f>
        <v>0.885666701071823</v>
      </c>
    </row>
    <row r="27" customFormat="false" ht="15" hidden="false" customHeight="true" outlineLevel="0" collapsed="false">
      <c r="A27" s="23" t="n">
        <v>2040</v>
      </c>
      <c r="B27" s="21" t="n">
        <f aca="false">IF($A27&lt;=Model!$B$3,Data!$B$18*Model!$D$49,0)</f>
        <v>193.6584684422</v>
      </c>
      <c r="C27" s="21" t="n">
        <f aca="false">$B27*IF(Model!$B$5=1,Data!$D$18,Model!$AC$49)</f>
        <v>46.7168382305472</v>
      </c>
      <c r="D27" s="21" t="n">
        <f aca="false">$B27*IF(Model!$B$5=1,Data!$E$18,Model!$AD$49)</f>
        <v>60.0877901210579</v>
      </c>
      <c r="E27" s="21" t="n">
        <f aca="false">$B27*IF(Model!$B$5=1,Data!$F$18,Model!$AE$49)</f>
        <v>36.2132462262635</v>
      </c>
      <c r="F27" s="21" t="n">
        <f aca="false">$B27*IF(Model!$B$5=1,Data!$G$18,Model!$AF$49)</f>
        <v>50.6405938643313</v>
      </c>
      <c r="G27" s="21" t="n">
        <f aca="false">$B27*Model!$S$49</f>
        <v>98.5450431305553</v>
      </c>
      <c r="H27" s="21" t="n">
        <f aca="false">$B27*Model!$T$49</f>
        <v>24.6071989924456</v>
      </c>
      <c r="I27" s="21" t="n">
        <f aca="false">$B27*Model!$U$49</f>
        <v>11.6688899984018</v>
      </c>
      <c r="J27" s="21" t="n">
        <f aca="false">$B27*Model!$V$49</f>
        <v>11.6688899984018</v>
      </c>
      <c r="K27" s="21" t="n">
        <f aca="false">$B27*Model!$W$49</f>
        <v>31.9822457430577</v>
      </c>
      <c r="L27" s="21" t="n">
        <f aca="false">$B27*Model!$X$49</f>
        <v>8.76470940385808</v>
      </c>
      <c r="M27" s="21" t="n">
        <f aca="false">$B27*Model!$Y$49</f>
        <v>5.02629253568188</v>
      </c>
      <c r="N27" s="21" t="n">
        <f aca="false">$B27*Model!$Z$49</f>
        <v>0.518727699412009</v>
      </c>
      <c r="O27" s="21" t="n">
        <f aca="false">$B27*Model!$AA$49</f>
        <v>0.876470940385808</v>
      </c>
    </row>
    <row r="28" customFormat="false" ht="15" hidden="false" customHeight="true" outlineLevel="0" collapsed="false">
      <c r="A28" s="24" t="s">
        <v>122</v>
      </c>
      <c r="B28" s="25" t="n">
        <f aca="false">SUM(B13:B27)</f>
        <v>5062.29585965892</v>
      </c>
      <c r="C28" s="25" t="n">
        <f aca="false">SUM(C13:C27)</f>
        <v>1221.18932682481</v>
      </c>
      <c r="D28" s="25" t="n">
        <f aca="false">SUM(D13:D27)</f>
        <v>1570.71245902383</v>
      </c>
      <c r="E28" s="25" t="n">
        <f aca="false">SUM(E13:E27)</f>
        <v>946.626780382582</v>
      </c>
      <c r="F28" s="25" t="n">
        <f aca="false">SUM(F13:F27)</f>
        <v>1323.7672934277</v>
      </c>
      <c r="G28" s="25" t="n">
        <f aca="false">SUM(G13:G27)</f>
        <v>2575.99973728292</v>
      </c>
      <c r="H28" s="25" t="n">
        <f aca="false">SUM(H13:H27)</f>
        <v>643.240249596623</v>
      </c>
      <c r="I28" s="25" t="n">
        <f aca="false">SUM(I13:I27)</f>
        <v>305.028610423795</v>
      </c>
      <c r="J28" s="25" t="n">
        <f aca="false">SUM(J13:J27)</f>
        <v>305.028610423795</v>
      </c>
      <c r="K28" s="25" t="n">
        <f aca="false">SUM(K13:K27)</f>
        <v>836.026389705738</v>
      </c>
      <c r="L28" s="25" t="n">
        <f aca="false">SUM(L13:L27)</f>
        <v>229.112377492065</v>
      </c>
      <c r="M28" s="25" t="n">
        <f aca="false">SUM(M13:M27)</f>
        <v>131.38893484749</v>
      </c>
      <c r="N28" s="25" t="n">
        <f aca="false">SUM(N13:N27)</f>
        <v>13.5597121372855</v>
      </c>
      <c r="O28" s="25" t="n">
        <f aca="false">SUM(O13:O27)</f>
        <v>22.9112377492065</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0.508859973556837</v>
      </c>
      <c r="H29" s="26" t="n">
        <f aca="false">IF($B$28&gt;0,H28/$B$28,0)</f>
        <v>0.127064926157825</v>
      </c>
      <c r="I29" s="26" t="n">
        <f aca="false">IF($B$28&gt;0,I28/$B$28,0)</f>
        <v>0.0602549947454764</v>
      </c>
      <c r="J29" s="26" t="n">
        <f aca="false">IF($B$28&gt;0,J28/$B$28,0)</f>
        <v>0.0602549947454764</v>
      </c>
      <c r="K29" s="26" t="n">
        <f aca="false">IF($B$28&gt;0,K28/$B$28,0)</f>
        <v>0.165147674668321</v>
      </c>
      <c r="L29" s="26" t="n">
        <f aca="false">IF($B$28&gt;0,L28/$B$28,0)</f>
        <v>0.0452585909325935</v>
      </c>
      <c r="M29" s="26" t="n">
        <f aca="false">IF($B$28&gt;0,M28/$B$28,0)</f>
        <v>0.025954416432773</v>
      </c>
      <c r="N29" s="26" t="n">
        <f aca="false">IF($B$28&gt;0,N28/$B$28,0)</f>
        <v>0.00267856966743921</v>
      </c>
      <c r="O29" s="26" t="n">
        <f aca="false">IF($B$28&gt;0,O28/$B$28,0)</f>
        <v>0.00452585909325935</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Data!$H$26*Data!$M$26/SUM(Data!$H$26:$K$26)</f>
        <v>1377.09991631799</v>
      </c>
      <c r="C34" s="22" t="n">
        <f aca="false">IF($B$38&gt;0,B34/$B$38,0)</f>
        <v>0.180083682008368</v>
      </c>
      <c r="D34" s="21" t="n">
        <f aca="false">C28</f>
        <v>1221.18932682481</v>
      </c>
      <c r="E34" s="22" t="n">
        <f aca="false">IF($D$38&gt;0,D34/$D$38,0)</f>
        <v>0.241232310532536</v>
      </c>
      <c r="F34" s="21" t="n">
        <f aca="false">B34+D34</f>
        <v>2598.2892431428</v>
      </c>
      <c r="G34" s="22" t="n">
        <f aca="false">IF($F$38&gt;0,F34/$F$38,0)</f>
        <v>0.204440062756752</v>
      </c>
    </row>
    <row r="35" customFormat="false" ht="15" hidden="false" customHeight="true" outlineLevel="0" collapsed="false">
      <c r="A35" s="13" t="s">
        <v>110</v>
      </c>
      <c r="B35" s="21" t="n">
        <f aca="false">Data!$I$26*Data!$M$26/SUM(Data!$H$26:$K$26)</f>
        <v>3532.33807531381</v>
      </c>
      <c r="C35" s="22" t="n">
        <f aca="false">IF($B$38&gt;0,B35/$B$38,0)</f>
        <v>0.461924686192469</v>
      </c>
      <c r="D35" s="21" t="n">
        <f aca="false">D28</f>
        <v>1570.71245902383</v>
      </c>
      <c r="E35" s="22" t="n">
        <f aca="false">IF($D$38&gt;0,D35/$D$38,0)</f>
        <v>0.310276701040081</v>
      </c>
      <c r="F35" s="21" t="n">
        <f aca="false">B35+D35</f>
        <v>5103.05053433764</v>
      </c>
      <c r="G35" s="22" t="n">
        <f aca="false">IF($F$38&gt;0,F35/$F$38,0)</f>
        <v>0.401521106337246</v>
      </c>
    </row>
    <row r="36" customFormat="false" ht="15" hidden="false" customHeight="true" outlineLevel="0" collapsed="false">
      <c r="A36" s="13" t="s">
        <v>111</v>
      </c>
      <c r="B36" s="21" t="n">
        <f aca="false">Data!$J$26*Data!$M$26/SUM(Data!$H$26:$K$26)</f>
        <v>1880.07414225941</v>
      </c>
      <c r="C36" s="22" t="n">
        <f aca="false">IF($B$38&gt;0,B36/$B$38,0)</f>
        <v>0.245857740585774</v>
      </c>
      <c r="D36" s="21" t="n">
        <f aca="false">E28</f>
        <v>946.626780382582</v>
      </c>
      <c r="E36" s="22" t="n">
        <f aca="false">IF($D$38&gt;0,D36/$D$38,0)</f>
        <v>0.186995546413275</v>
      </c>
      <c r="F36" s="21" t="n">
        <f aca="false">B36+D36</f>
        <v>2826.700922642</v>
      </c>
      <c r="G36" s="22" t="n">
        <f aca="false">IF($F$38&gt;0,F36/$F$38,0)</f>
        <v>0.222412079619166</v>
      </c>
    </row>
    <row r="37" customFormat="false" ht="15" hidden="false" customHeight="true" outlineLevel="0" collapsed="false">
      <c r="A37" s="13" t="s">
        <v>112</v>
      </c>
      <c r="B37" s="21" t="n">
        <f aca="false">Data!$K$26*Data!$M$26/SUM(Data!$H$26:$K$26)</f>
        <v>857.487866108787</v>
      </c>
      <c r="C37" s="22" t="n">
        <f aca="false">IF($B$38&gt;0,B37/$B$38,0)</f>
        <v>0.112133891213389</v>
      </c>
      <c r="D37" s="21" t="n">
        <f aca="false">F28</f>
        <v>1323.7672934277</v>
      </c>
      <c r="E37" s="22" t="n">
        <f aca="false">IF($D$38&gt;0,D37/$D$38,0)</f>
        <v>0.261495442014109</v>
      </c>
      <c r="F37" s="21" t="n">
        <f aca="false">B37+D37</f>
        <v>2181.25515953649</v>
      </c>
      <c r="G37" s="22" t="n">
        <f aca="false">IF($F$38&gt;0,F37/$F$38,0)</f>
        <v>0.171626751286835</v>
      </c>
    </row>
    <row r="38" customFormat="false" ht="15" hidden="false" customHeight="true" outlineLevel="0" collapsed="false">
      <c r="A38" s="24" t="s">
        <v>61</v>
      </c>
      <c r="B38" s="25" t="n">
        <f aca="false">SUM(B34:B37)</f>
        <v>7647</v>
      </c>
      <c r="C38" s="27" t="n">
        <f aca="false">SUM(C34:C37)</f>
        <v>1</v>
      </c>
      <c r="D38" s="25" t="n">
        <f aca="false">SUM(D34:D37)</f>
        <v>5062.29585965892</v>
      </c>
      <c r="E38" s="27" t="n">
        <f aca="false">SUM(E34:E37)</f>
        <v>1</v>
      </c>
      <c r="F38" s="25" t="n">
        <f aca="false">SUM(F34:F37)</f>
        <v>12709.2958596589</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103</v>
      </c>
      <c r="C6" s="15" t="n">
        <f aca="false">Model!$Q$50</f>
        <v>0.276027861874792</v>
      </c>
    </row>
    <row r="7" customFormat="false" ht="15" hidden="false" customHeight="true" outlineLevel="0" collapsed="false">
      <c r="A7" s="13" t="s">
        <v>104</v>
      </c>
      <c r="C7" s="15" t="n">
        <f aca="false">Model!$G$50</f>
        <v>0.03802</v>
      </c>
    </row>
    <row r="8" customFormat="false" ht="15" hidden="false" customHeight="true" outlineLevel="0" collapsed="false">
      <c r="A8" s="13" t="s">
        <v>105</v>
      </c>
      <c r="C8" s="15" t="n">
        <f aca="false">Model!$R$50</f>
        <v>0.13935733378734</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IF($A13&lt;=Model!$B$3,Data!$B$4*Model!$D$50,0)</f>
        <v>136.937185426009</v>
      </c>
      <c r="C13" s="21" t="n">
        <f aca="false">$B13*IF(Model!$B$5=1,Data!$D$4,Model!$AC$50)</f>
        <v>35.4225411643734</v>
      </c>
      <c r="D13" s="21" t="n">
        <f aca="false">$B13*IF(Model!$B$5=1,Data!$E$4,Model!$AD$50)</f>
        <v>43.3548781250263</v>
      </c>
      <c r="E13" s="21" t="n">
        <f aca="false">$B13*IF(Model!$B$5=1,Data!$F$4,Model!$AE$50)</f>
        <v>25.3385176597376</v>
      </c>
      <c r="F13" s="21" t="n">
        <f aca="false">$B13*IF(Model!$B$5=1,Data!$G$4,Model!$AF$50)</f>
        <v>32.8212484768717</v>
      </c>
      <c r="G13" s="21" t="n">
        <f aca="false">$B13*Model!$S$50</f>
        <v>66.6914238125927</v>
      </c>
      <c r="H13" s="21" t="n">
        <f aca="false">$B13*Model!$T$50</f>
        <v>16.6531880722994</v>
      </c>
      <c r="I13" s="21" t="n">
        <f aca="false">$B13*Model!$U$50</f>
        <v>7.89704751841181</v>
      </c>
      <c r="J13" s="21" t="n">
        <f aca="false">$B13*Model!$V$50</f>
        <v>7.89704751841181</v>
      </c>
      <c r="K13" s="21" t="n">
        <f aca="false">$B13*Model!$W$50</f>
        <v>25.629002489828</v>
      </c>
      <c r="L13" s="21" t="n">
        <f aca="false">$B13*Model!$X$50</f>
        <v>7.02360806488574</v>
      </c>
      <c r="M13" s="21" t="n">
        <f aca="false">$B13*Model!$Y$50</f>
        <v>4.02782421680182</v>
      </c>
      <c r="N13" s="21" t="n">
        <f aca="false">$B13*Model!$Z$50</f>
        <v>0.415682926289156</v>
      </c>
      <c r="O13" s="21" t="n">
        <f aca="false">$B13*Model!$AA$50</f>
        <v>0.702360806488574</v>
      </c>
    </row>
    <row r="14" customFormat="false" ht="15" hidden="false" customHeight="true" outlineLevel="0" collapsed="false">
      <c r="A14" s="23" t="n">
        <v>2027</v>
      </c>
      <c r="B14" s="21" t="n">
        <f aca="false">IF($A14&lt;=Model!$B$3,Data!$B$5*Model!$D$50,0)</f>
        <v>136.937185426009</v>
      </c>
      <c r="C14" s="21" t="n">
        <f aca="false">$B14*IF(Model!$B$5=1,Data!$D$5,Model!$AC$50)</f>
        <v>34.4269847037246</v>
      </c>
      <c r="D14" s="21" t="n">
        <f aca="false">$B14*IF(Model!$B$5=1,Data!$E$5,Model!$AD$50)</f>
        <v>43.4833370231745</v>
      </c>
      <c r="E14" s="21" t="n">
        <f aca="false">$B14*IF(Model!$B$5=1,Data!$F$5,Model!$AE$50)</f>
        <v>25.2742882106635</v>
      </c>
      <c r="F14" s="21" t="n">
        <f aca="false">$B14*IF(Model!$B$5=1,Data!$G$5,Model!$AF$50)</f>
        <v>33.7525754884464</v>
      </c>
      <c r="G14" s="21" t="n">
        <f aca="false">$B14*Model!$S$50</f>
        <v>66.6914238125927</v>
      </c>
      <c r="H14" s="21" t="n">
        <f aca="false">$B14*Model!$T$50</f>
        <v>16.6531880722994</v>
      </c>
      <c r="I14" s="21" t="n">
        <f aca="false">$B14*Model!$U$50</f>
        <v>7.89704751841181</v>
      </c>
      <c r="J14" s="21" t="n">
        <f aca="false">$B14*Model!$V$50</f>
        <v>7.89704751841181</v>
      </c>
      <c r="K14" s="21" t="n">
        <f aca="false">$B14*Model!$W$50</f>
        <v>25.629002489828</v>
      </c>
      <c r="L14" s="21" t="n">
        <f aca="false">$B14*Model!$X$50</f>
        <v>7.02360806488574</v>
      </c>
      <c r="M14" s="21" t="n">
        <f aca="false">$B14*Model!$Y$50</f>
        <v>4.02782421680182</v>
      </c>
      <c r="N14" s="21" t="n">
        <f aca="false">$B14*Model!$Z$50</f>
        <v>0.415682926289156</v>
      </c>
      <c r="O14" s="21" t="n">
        <f aca="false">$B14*Model!$AA$50</f>
        <v>0.702360806488574</v>
      </c>
    </row>
    <row r="15" customFormat="false" ht="15" hidden="false" customHeight="true" outlineLevel="0" collapsed="false">
      <c r="A15" s="23" t="n">
        <v>2028</v>
      </c>
      <c r="B15" s="21" t="n">
        <f aca="false">IF($A15&lt;=Model!$B$3,Data!$B$6*Model!$D$50,0)</f>
        <v>136.937185426009</v>
      </c>
      <c r="C15" s="21" t="n">
        <f aca="false">$B15*IF(Model!$B$5=1,Data!$D$6,Model!$AC$50)</f>
        <v>34.3146208434955</v>
      </c>
      <c r="D15" s="21" t="n">
        <f aca="false">$B15*IF(Model!$B$5=1,Data!$E$6,Model!$AD$50)</f>
        <v>43.5037421555176</v>
      </c>
      <c r="E15" s="21" t="n">
        <f aca="false">$B15*IF(Model!$B$5=1,Data!$F$6,Model!$AE$50)</f>
        <v>25.2861485054597</v>
      </c>
      <c r="F15" s="21" t="n">
        <f aca="false">$B15*IF(Model!$B$5=1,Data!$G$6,Model!$AF$50)</f>
        <v>33.8326739215362</v>
      </c>
      <c r="G15" s="21" t="n">
        <f aca="false">$B15*Model!$S$50</f>
        <v>66.6914238125927</v>
      </c>
      <c r="H15" s="21" t="n">
        <f aca="false">$B15*Model!$T$50</f>
        <v>16.6531880722994</v>
      </c>
      <c r="I15" s="21" t="n">
        <f aca="false">$B15*Model!$U$50</f>
        <v>7.89704751841181</v>
      </c>
      <c r="J15" s="21" t="n">
        <f aca="false">$B15*Model!$V$50</f>
        <v>7.89704751841181</v>
      </c>
      <c r="K15" s="21" t="n">
        <f aca="false">$B15*Model!$W$50</f>
        <v>25.629002489828</v>
      </c>
      <c r="L15" s="21" t="n">
        <f aca="false">$B15*Model!$X$50</f>
        <v>7.02360806488574</v>
      </c>
      <c r="M15" s="21" t="n">
        <f aca="false">$B15*Model!$Y$50</f>
        <v>4.02782421680182</v>
      </c>
      <c r="N15" s="21" t="n">
        <f aca="false">$B15*Model!$Z$50</f>
        <v>0.415682926289156</v>
      </c>
      <c r="O15" s="21" t="n">
        <f aca="false">$B15*Model!$AA$50</f>
        <v>0.702360806488574</v>
      </c>
    </row>
    <row r="16" customFormat="false" ht="15" hidden="false" customHeight="true" outlineLevel="0" collapsed="false">
      <c r="A16" s="23" t="n">
        <v>2029</v>
      </c>
      <c r="B16" s="21" t="n">
        <f aca="false">IF($A16&lt;=Model!$B$3,Data!$B$7*Model!$D$50,0)</f>
        <v>136.937185426009</v>
      </c>
      <c r="C16" s="21" t="n">
        <f aca="false">$B16*IF(Model!$B$5=1,Data!$D$7,Model!$AC$50)</f>
        <v>33.9532265998808</v>
      </c>
      <c r="D16" s="21" t="n">
        <f aca="false">$B16*IF(Model!$B$5=1,Data!$E$7,Model!$AD$50)</f>
        <v>43.2686813907656</v>
      </c>
      <c r="E16" s="21" t="n">
        <f aca="false">$B16*IF(Model!$B$5=1,Data!$F$7,Model!$AE$50)</f>
        <v>25.1196056774898</v>
      </c>
      <c r="F16" s="21" t="n">
        <f aca="false">$B16*IF(Model!$B$5=1,Data!$G$7,Model!$AF$50)</f>
        <v>34.5956717578727</v>
      </c>
      <c r="G16" s="21" t="n">
        <f aca="false">$B16*Model!$S$50</f>
        <v>66.6914238125927</v>
      </c>
      <c r="H16" s="21" t="n">
        <f aca="false">$B16*Model!$T$50</f>
        <v>16.6531880722994</v>
      </c>
      <c r="I16" s="21" t="n">
        <f aca="false">$B16*Model!$U$50</f>
        <v>7.89704751841181</v>
      </c>
      <c r="J16" s="21" t="n">
        <f aca="false">$B16*Model!$V$50</f>
        <v>7.89704751841181</v>
      </c>
      <c r="K16" s="21" t="n">
        <f aca="false">$B16*Model!$W$50</f>
        <v>25.629002489828</v>
      </c>
      <c r="L16" s="21" t="n">
        <f aca="false">$B16*Model!$X$50</f>
        <v>7.02360806488574</v>
      </c>
      <c r="M16" s="21" t="n">
        <f aca="false">$B16*Model!$Y$50</f>
        <v>4.02782421680182</v>
      </c>
      <c r="N16" s="21" t="n">
        <f aca="false">$B16*Model!$Z$50</f>
        <v>0.415682926289156</v>
      </c>
      <c r="O16" s="21" t="n">
        <f aca="false">$B16*Model!$AA$50</f>
        <v>0.702360806488574</v>
      </c>
    </row>
    <row r="17" customFormat="false" ht="15" hidden="false" customHeight="true" outlineLevel="0" collapsed="false">
      <c r="A17" s="23" t="n">
        <v>2030</v>
      </c>
      <c r="B17" s="21" t="n">
        <f aca="false">IF($A17&lt;=Model!$B$3,Data!$B$8*Model!$D$50,0)</f>
        <v>136.937185426009</v>
      </c>
      <c r="C17" s="21" t="n">
        <f aca="false">$B17*IF(Model!$B$5=1,Data!$D$8,Model!$AC$50)</f>
        <v>33.8969335111308</v>
      </c>
      <c r="D17" s="21" t="n">
        <f aca="false">$B17*IF(Model!$B$5=1,Data!$E$8,Model!$AD$50)</f>
        <v>42.636237695991</v>
      </c>
      <c r="E17" s="21" t="n">
        <f aca="false">$B17*IF(Model!$B$5=1,Data!$F$8,Model!$AE$50)</f>
        <v>25.1576293262705</v>
      </c>
      <c r="F17" s="21" t="n">
        <f aca="false">$B17*IF(Model!$B$5=1,Data!$G$8,Model!$AF$50)</f>
        <v>35.2463848926165</v>
      </c>
      <c r="G17" s="21" t="n">
        <f aca="false">$B17*Model!$S$50</f>
        <v>66.6914238125927</v>
      </c>
      <c r="H17" s="21" t="n">
        <f aca="false">$B17*Model!$T$50</f>
        <v>16.6531880722994</v>
      </c>
      <c r="I17" s="21" t="n">
        <f aca="false">$B17*Model!$U$50</f>
        <v>7.89704751841181</v>
      </c>
      <c r="J17" s="21" t="n">
        <f aca="false">$B17*Model!$V$50</f>
        <v>7.89704751841181</v>
      </c>
      <c r="K17" s="21" t="n">
        <f aca="false">$B17*Model!$W$50</f>
        <v>25.629002489828</v>
      </c>
      <c r="L17" s="21" t="n">
        <f aca="false">$B17*Model!$X$50</f>
        <v>7.02360806488574</v>
      </c>
      <c r="M17" s="21" t="n">
        <f aca="false">$B17*Model!$Y$50</f>
        <v>4.02782421680182</v>
      </c>
      <c r="N17" s="21" t="n">
        <f aca="false">$B17*Model!$Z$50</f>
        <v>0.415682926289156</v>
      </c>
      <c r="O17" s="21" t="n">
        <f aca="false">$B17*Model!$AA$50</f>
        <v>0.702360806488574</v>
      </c>
    </row>
    <row r="18" customFormat="false" ht="15" hidden="false" customHeight="true" outlineLevel="0" collapsed="false">
      <c r="A18" s="23" t="n">
        <v>2031</v>
      </c>
      <c r="B18" s="21" t="n">
        <f aca="false">IF($A18&lt;=Model!$B$3,Data!$B$9*Model!$D$50,0)</f>
        <v>69.64105512634</v>
      </c>
      <c r="C18" s="21" t="n">
        <f aca="false">$B18*IF(Model!$B$5=1,Data!$D$9,Model!$AC$50)</f>
        <v>16.0932512077013</v>
      </c>
      <c r="D18" s="21" t="n">
        <f aca="false">$B18*IF(Model!$B$5=1,Data!$E$9,Model!$AD$50)</f>
        <v>21.1685679558386</v>
      </c>
      <c r="E18" s="21" t="n">
        <f aca="false">$B18*IF(Model!$B$5=1,Data!$F$9,Model!$AE$50)</f>
        <v>13.2343702546366</v>
      </c>
      <c r="F18" s="21" t="n">
        <f aca="false">$B18*IF(Model!$B$5=1,Data!$G$9,Model!$AF$50)</f>
        <v>19.1448657081636</v>
      </c>
      <c r="G18" s="21" t="n">
        <f aca="false">$B18*Model!$S$50</f>
        <v>33.9167269119637</v>
      </c>
      <c r="H18" s="21" t="n">
        <f aca="false">$B18*Model!$T$50</f>
        <v>8.46917939027564</v>
      </c>
      <c r="I18" s="21" t="n">
        <f aca="false">$B18*Model!$U$50</f>
        <v>4.01613863943627</v>
      </c>
      <c r="J18" s="21" t="n">
        <f aca="false">$B18*Model!$V$50</f>
        <v>4.01613863943627</v>
      </c>
      <c r="K18" s="21" t="n">
        <f aca="false">$B18*Model!$W$50</f>
        <v>13.0339379305529</v>
      </c>
      <c r="L18" s="21" t="n">
        <f aca="false">$B18*Model!$X$50</f>
        <v>3.57194048432378</v>
      </c>
      <c r="M18" s="21" t="n">
        <f aca="false">$B18*Model!$Y$50</f>
        <v>2.04839852264282</v>
      </c>
      <c r="N18" s="21" t="n">
        <f aca="false">$B18*Model!$Z$50</f>
        <v>0.211400559276305</v>
      </c>
      <c r="O18" s="21" t="n">
        <f aca="false">$B18*Model!$AA$50</f>
        <v>0.357194048432378</v>
      </c>
    </row>
    <row r="19" customFormat="false" ht="15" hidden="false" customHeight="true" outlineLevel="0" collapsed="false">
      <c r="A19" s="23" t="n">
        <v>2032</v>
      </c>
      <c r="B19" s="21" t="n">
        <f aca="false">IF($A19&lt;=Model!$B$3,Data!$B$10*Model!$D$50,0)</f>
        <v>69.64105512634</v>
      </c>
      <c r="C19" s="21" t="n">
        <f aca="false">$B19*IF(Model!$B$5=1,Data!$D$10,Model!$AC$50)</f>
        <v>15.4829283076088</v>
      </c>
      <c r="D19" s="21" t="n">
        <f aca="false">$B19*IF(Model!$B$5=1,Data!$E$10,Model!$AD$50)</f>
        <v>20.7509786031437</v>
      </c>
      <c r="E19" s="21" t="n">
        <f aca="false">$B19*IF(Model!$B$5=1,Data!$F$10,Model!$AE$50)</f>
        <v>13.4592260599338</v>
      </c>
      <c r="F19" s="21" t="n">
        <f aca="false">$B19*IF(Model!$B$5=1,Data!$G$10,Model!$AF$50)</f>
        <v>19.9479221556537</v>
      </c>
      <c r="G19" s="21" t="n">
        <f aca="false">$B19*Model!$S$50</f>
        <v>33.9167269119637</v>
      </c>
      <c r="H19" s="21" t="n">
        <f aca="false">$B19*Model!$T$50</f>
        <v>8.46917939027564</v>
      </c>
      <c r="I19" s="21" t="n">
        <f aca="false">$B19*Model!$U$50</f>
        <v>4.01613863943627</v>
      </c>
      <c r="J19" s="21" t="n">
        <f aca="false">$B19*Model!$V$50</f>
        <v>4.01613863943627</v>
      </c>
      <c r="K19" s="21" t="n">
        <f aca="false">$B19*Model!$W$50</f>
        <v>13.0339379305529</v>
      </c>
      <c r="L19" s="21" t="n">
        <f aca="false">$B19*Model!$X$50</f>
        <v>3.57194048432378</v>
      </c>
      <c r="M19" s="21" t="n">
        <f aca="false">$B19*Model!$Y$50</f>
        <v>2.04839852264282</v>
      </c>
      <c r="N19" s="21" t="n">
        <f aca="false">$B19*Model!$Z$50</f>
        <v>0.211400559276305</v>
      </c>
      <c r="O19" s="21" t="n">
        <f aca="false">$B19*Model!$AA$50</f>
        <v>0.357194048432378</v>
      </c>
    </row>
    <row r="20" customFormat="false" ht="15" hidden="false" customHeight="true" outlineLevel="0" collapsed="false">
      <c r="A20" s="23" t="n">
        <v>2033</v>
      </c>
      <c r="B20" s="21" t="n">
        <f aca="false">IF($A20&lt;=Model!$B$3,Data!$B$11*Model!$D$50,0)</f>
        <v>69.64105512634</v>
      </c>
      <c r="C20" s="21" t="n">
        <f aca="false">$B20*IF(Model!$B$5=1,Data!$D$11,Model!$AC$50)</f>
        <v>15.3615248502033</v>
      </c>
      <c r="D20" s="21" t="n">
        <f aca="false">$B20*IF(Model!$B$5=1,Data!$E$11,Model!$AD$50)</f>
        <v>20.8248286672212</v>
      </c>
      <c r="E20" s="21" t="n">
        <f aca="false">$B20*IF(Model!$B$5=1,Data!$F$11,Model!$AE$50)</f>
        <v>13.4654370548853</v>
      </c>
      <c r="F20" s="21" t="n">
        <f aca="false">$B20*IF(Model!$B$5=1,Data!$G$11,Model!$AF$50)</f>
        <v>19.9892645540303</v>
      </c>
      <c r="G20" s="21" t="n">
        <f aca="false">$B20*Model!$S$50</f>
        <v>33.9167269119637</v>
      </c>
      <c r="H20" s="21" t="n">
        <f aca="false">$B20*Model!$T$50</f>
        <v>8.46917939027564</v>
      </c>
      <c r="I20" s="21" t="n">
        <f aca="false">$B20*Model!$U$50</f>
        <v>4.01613863943627</v>
      </c>
      <c r="J20" s="21" t="n">
        <f aca="false">$B20*Model!$V$50</f>
        <v>4.01613863943627</v>
      </c>
      <c r="K20" s="21" t="n">
        <f aca="false">$B20*Model!$W$50</f>
        <v>13.0339379305529</v>
      </c>
      <c r="L20" s="21" t="n">
        <f aca="false">$B20*Model!$X$50</f>
        <v>3.57194048432378</v>
      </c>
      <c r="M20" s="21" t="n">
        <f aca="false">$B20*Model!$Y$50</f>
        <v>2.04839852264282</v>
      </c>
      <c r="N20" s="21" t="n">
        <f aca="false">$B20*Model!$Z$50</f>
        <v>0.211400559276305</v>
      </c>
      <c r="O20" s="21" t="n">
        <f aca="false">$B20*Model!$AA$50</f>
        <v>0.357194048432378</v>
      </c>
    </row>
    <row r="21" customFormat="false" ht="15" hidden="false" customHeight="true" outlineLevel="0" collapsed="false">
      <c r="A21" s="23" t="n">
        <v>2034</v>
      </c>
      <c r="B21" s="21" t="n">
        <f aca="false">IF($A21&lt;=Model!$B$3,Data!$B$12*Model!$D$50,0)</f>
        <v>69.64105512634</v>
      </c>
      <c r="C21" s="21" t="n">
        <f aca="false">$B21*IF(Model!$B$5=1,Data!$D$12,Model!$AC$50)</f>
        <v>15.225950244412</v>
      </c>
      <c r="D21" s="21" t="n">
        <f aca="false">$B21*IF(Model!$B$5=1,Data!$E$12,Model!$AD$50)</f>
        <v>20.8794676347422</v>
      </c>
      <c r="E21" s="21" t="n">
        <f aca="false">$B21*IF(Model!$B$5=1,Data!$F$12,Model!$AE$50)</f>
        <v>13.4592260599338</v>
      </c>
      <c r="F21" s="21" t="n">
        <f aca="false">$B21*IF(Model!$B$5=1,Data!$G$12,Model!$AF$50)</f>
        <v>20.0764111872521</v>
      </c>
      <c r="G21" s="21" t="n">
        <f aca="false">$B21*Model!$S$50</f>
        <v>33.9167269119637</v>
      </c>
      <c r="H21" s="21" t="n">
        <f aca="false">$B21*Model!$T$50</f>
        <v>8.46917939027564</v>
      </c>
      <c r="I21" s="21" t="n">
        <f aca="false">$B21*Model!$U$50</f>
        <v>4.01613863943627</v>
      </c>
      <c r="J21" s="21" t="n">
        <f aca="false">$B21*Model!$V$50</f>
        <v>4.01613863943627</v>
      </c>
      <c r="K21" s="21" t="n">
        <f aca="false">$B21*Model!$W$50</f>
        <v>13.0339379305529</v>
      </c>
      <c r="L21" s="21" t="n">
        <f aca="false">$B21*Model!$X$50</f>
        <v>3.57194048432378</v>
      </c>
      <c r="M21" s="21" t="n">
        <f aca="false">$B21*Model!$Y$50</f>
        <v>2.04839852264282</v>
      </c>
      <c r="N21" s="21" t="n">
        <f aca="false">$B21*Model!$Z$50</f>
        <v>0.211400559276305</v>
      </c>
      <c r="O21" s="21" t="n">
        <f aca="false">$B21*Model!$AA$50</f>
        <v>0.357194048432378</v>
      </c>
    </row>
    <row r="22" customFormat="false" ht="15" hidden="false" customHeight="true" outlineLevel="0" collapsed="false">
      <c r="A22" s="23" t="n">
        <v>2035</v>
      </c>
      <c r="B22" s="21" t="n">
        <f aca="false">IF($A22&lt;=Model!$B$3,Data!$B$13*Model!$D$50,0)</f>
        <v>67.296130299669</v>
      </c>
      <c r="C22" s="21" t="n">
        <f aca="false">$B22*IF(Model!$B$5=1,Data!$D$13,Model!$AC$50)</f>
        <v>14.4228937969219</v>
      </c>
      <c r="D22" s="21" t="n">
        <f aca="false">$B22*IF(Model!$B$5=1,Data!$E$13,Model!$AD$50)</f>
        <v>19.8836776398544</v>
      </c>
      <c r="E22" s="21" t="n">
        <f aca="false">$B22*IF(Model!$B$5=1,Data!$F$13,Model!$AE$50)</f>
        <v>12.9131476756405</v>
      </c>
      <c r="F22" s="21" t="n">
        <f aca="false">$B22*IF(Model!$B$5=1,Data!$G$13,Model!$AF$50)</f>
        <v>20.0764111872521</v>
      </c>
      <c r="G22" s="21" t="n">
        <f aca="false">$B22*Model!$S$50</f>
        <v>32.7746969006291</v>
      </c>
      <c r="H22" s="21" t="n">
        <f aca="false">$B22*Model!$T$50</f>
        <v>8.18400868202374</v>
      </c>
      <c r="I22" s="21" t="n">
        <f aca="false">$B22*Model!$U$50</f>
        <v>3.88090887897554</v>
      </c>
      <c r="J22" s="21" t="n">
        <f aca="false">$B22*Model!$V$50</f>
        <v>3.88090887897554</v>
      </c>
      <c r="K22" s="21" t="n">
        <f aca="false">$B22*Model!$W$50</f>
        <v>12.5950645592751</v>
      </c>
      <c r="L22" s="21" t="n">
        <f aca="false">$B22*Model!$X$50</f>
        <v>3.45166758056196</v>
      </c>
      <c r="M22" s="21" t="n">
        <f aca="false">$B22*Model!$Y$50</f>
        <v>1.979425694159</v>
      </c>
      <c r="N22" s="21" t="n">
        <f aca="false">$B22*Model!$Z$50</f>
        <v>0.20428236701285</v>
      </c>
      <c r="O22" s="21" t="n">
        <f aca="false">$B22*Model!$AA$50</f>
        <v>0.345166758056196</v>
      </c>
    </row>
    <row r="23" customFormat="false" ht="15" hidden="false" customHeight="true" outlineLevel="0" collapsed="false">
      <c r="A23" s="23" t="n">
        <v>2036</v>
      </c>
      <c r="B23" s="21" t="n">
        <f aca="false">IF($A23&lt;=Model!$B$3,Data!$B$14*Model!$D$50,0)</f>
        <v>50.9780232866705</v>
      </c>
      <c r="C23" s="21" t="n">
        <f aca="false">$B23*IF(Model!$B$5=1,Data!$D$14,Model!$AC$50)</f>
        <v>12.2975880494854</v>
      </c>
      <c r="D23" s="21" t="n">
        <f aca="false">$B23*IF(Model!$B$5=1,Data!$E$14,Model!$AD$50)</f>
        <v>15.8173137930712</v>
      </c>
      <c r="E23" s="21" t="n">
        <f aca="false">$B23*IF(Model!$B$5=1,Data!$F$14,Model!$AE$50)</f>
        <v>9.53265676558513</v>
      </c>
      <c r="F23" s="21" t="n">
        <f aca="false">$B23*IF(Model!$B$5=1,Data!$G$14,Model!$AF$50)</f>
        <v>13.3304646785287</v>
      </c>
      <c r="G23" s="21" t="n">
        <f aca="false">$B23*Model!$S$50</f>
        <v>24.8274195614789</v>
      </c>
      <c r="H23" s="21" t="n">
        <f aca="false">$B23*Model!$T$50</f>
        <v>6.19953306843517</v>
      </c>
      <c r="I23" s="21" t="n">
        <f aca="false">$B23*Model!$U$50</f>
        <v>2.93985794316668</v>
      </c>
      <c r="J23" s="21" t="n">
        <f aca="false">$B23*Model!$V$50</f>
        <v>2.93985794316668</v>
      </c>
      <c r="K23" s="21" t="n">
        <f aca="false">$B23*Model!$W$50</f>
        <v>9.54098685230048</v>
      </c>
      <c r="L23" s="21" t="n">
        <f aca="false">$B23*Model!$X$50</f>
        <v>2.61469997630159</v>
      </c>
      <c r="M23" s="21" t="n">
        <f aca="false">$B23*Model!$Y$50</f>
        <v>1.49945039457295</v>
      </c>
      <c r="N23" s="21" t="n">
        <f aca="false">$B23*Model!$Z$50</f>
        <v>0.154747549617849</v>
      </c>
      <c r="O23" s="21" t="n">
        <f aca="false">$B23*Model!$AA$50</f>
        <v>0.261469997630159</v>
      </c>
    </row>
    <row r="24" customFormat="false" ht="15" hidden="false" customHeight="true" outlineLevel="0" collapsed="false">
      <c r="A24" s="23" t="n">
        <v>2037</v>
      </c>
      <c r="B24" s="21" t="n">
        <f aca="false">IF($A24&lt;=Model!$B$3,Data!$B$15*Model!$D$50,0)</f>
        <v>50.5604339339756</v>
      </c>
      <c r="C24" s="21" t="n">
        <f aca="false">$B24*IF(Model!$B$5=1,Data!$D$15,Model!$AC$50)</f>
        <v>12.1968516634468</v>
      </c>
      <c r="D24" s="21" t="n">
        <f aca="false">$B24*IF(Model!$B$5=1,Data!$E$15,Model!$AD$50)</f>
        <v>15.6877453751066</v>
      </c>
      <c r="E24" s="21" t="n">
        <f aca="false">$B24*IF(Model!$B$5=1,Data!$F$15,Model!$AE$50)</f>
        <v>9.45456947008884</v>
      </c>
      <c r="F24" s="21" t="n">
        <f aca="false">$B24*IF(Model!$B$5=1,Data!$G$15,Model!$AF$50)</f>
        <v>13.2212674253335</v>
      </c>
      <c r="G24" s="21" t="n">
        <f aca="false">$B24*Model!$S$50</f>
        <v>24.624044353981</v>
      </c>
      <c r="H24" s="21" t="n">
        <f aca="false">$B24*Model!$T$50</f>
        <v>6.14874924367798</v>
      </c>
      <c r="I24" s="21" t="n">
        <f aca="false">$B24*Model!$U$50</f>
        <v>2.91577593102984</v>
      </c>
      <c r="J24" s="21" t="n">
        <f aca="false">$B24*Model!$V$50</f>
        <v>2.91577593102984</v>
      </c>
      <c r="K24" s="21" t="n">
        <f aca="false">$B24*Model!$W$50</f>
        <v>9.46283132042909</v>
      </c>
      <c r="L24" s="21" t="n">
        <f aca="false">$B24*Model!$X$50</f>
        <v>2.59328151398784</v>
      </c>
      <c r="M24" s="21" t="n">
        <f aca="false">$B24*Model!$Y$50</f>
        <v>1.48716756210323</v>
      </c>
      <c r="N24" s="21" t="n">
        <f aca="false">$B24*Model!$Z$50</f>
        <v>0.153479926338056</v>
      </c>
      <c r="O24" s="21" t="n">
        <f aca="false">$B24*Model!$AA$50</f>
        <v>0.259328151398784</v>
      </c>
    </row>
    <row r="25" customFormat="false" ht="15" hidden="false" customHeight="true" outlineLevel="0" collapsed="false">
      <c r="A25" s="23" t="n">
        <v>2038</v>
      </c>
      <c r="B25" s="21" t="n">
        <f aca="false">IF($A25&lt;=Model!$B$3,Data!$B$16*Model!$D$50,0)</f>
        <v>49.9501110338832</v>
      </c>
      <c r="C25" s="21" t="n">
        <f aca="false">$B25*IF(Model!$B$5=1,Data!$D$16,Model!$AC$50)</f>
        <v>12.049621560775</v>
      </c>
      <c r="D25" s="21" t="n">
        <f aca="false">$B25*IF(Model!$B$5=1,Data!$E$16,Model!$AD$50)</f>
        <v>15.4983761488505</v>
      </c>
      <c r="E25" s="21" t="n">
        <f aca="false">$B25*IF(Model!$B$5=1,Data!$F$16,Model!$AE$50)</f>
        <v>9.3404418843635</v>
      </c>
      <c r="F25" s="21" t="n">
        <f aca="false">$B25*IF(Model!$B$5=1,Data!$G$16,Model!$AF$50)</f>
        <v>13.0616714398942</v>
      </c>
      <c r="G25" s="21" t="n">
        <f aca="false">$B25*Model!$S$50</f>
        <v>24.3268036660994</v>
      </c>
      <c r="H25" s="21" t="n">
        <f aca="false">$B25*Model!$T$50</f>
        <v>6.07452673057132</v>
      </c>
      <c r="I25" s="21" t="n">
        <f aca="false">$B25*Model!$U$50</f>
        <v>2.88057914406061</v>
      </c>
      <c r="J25" s="21" t="n">
        <f aca="false">$B25*Model!$V$50</f>
        <v>2.88057914406061</v>
      </c>
      <c r="K25" s="21" t="n">
        <f aca="false">$B25*Model!$W$50</f>
        <v>9.34860400461704</v>
      </c>
      <c r="L25" s="21" t="n">
        <f aca="false">$B25*Model!$X$50</f>
        <v>2.56197760752928</v>
      </c>
      <c r="M25" s="21" t="n">
        <f aca="false">$B25*Model!$Y$50</f>
        <v>1.4692157300321</v>
      </c>
      <c r="N25" s="21" t="n">
        <f aca="false">$B25*Model!$Z$50</f>
        <v>0.151627246159896</v>
      </c>
      <c r="O25" s="21" t="n">
        <f aca="false">$B25*Model!$AA$50</f>
        <v>0.256197760752928</v>
      </c>
    </row>
    <row r="26" customFormat="false" ht="15" hidden="false" customHeight="true" outlineLevel="0" collapsed="false">
      <c r="A26" s="23" t="n">
        <v>2039</v>
      </c>
      <c r="B26" s="21" t="n">
        <f aca="false">IF($A26&lt;=Model!$B$3,Data!$B$17*Model!$D$50,0)</f>
        <v>49.5003994232887</v>
      </c>
      <c r="C26" s="21" t="n">
        <f aca="false">$B26*IF(Model!$B$5=1,Data!$D$17,Model!$AC$50)</f>
        <v>11.9411362219641</v>
      </c>
      <c r="D26" s="21" t="n">
        <f aca="false">$B26*IF(Model!$B$5=1,Data!$E$17,Model!$AD$50)</f>
        <v>15.3588409295039</v>
      </c>
      <c r="E26" s="21" t="n">
        <f aca="false">$B26*IF(Model!$B$5=1,Data!$F$17,Model!$AE$50)</f>
        <v>9.25634787382904</v>
      </c>
      <c r="F26" s="21" t="n">
        <f aca="false">$B26*IF(Model!$B$5=1,Data!$G$17,Model!$AF$50)</f>
        <v>12.9440743979916</v>
      </c>
      <c r="G26" s="21" t="n">
        <f aca="false">$B26*Model!$S$50</f>
        <v>24.1077842118708</v>
      </c>
      <c r="H26" s="21" t="n">
        <f aca="false">$B26*Model!$T$50</f>
        <v>6.01983645775589</v>
      </c>
      <c r="I26" s="21" t="n">
        <f aca="false">$B26*Model!$U$50</f>
        <v>2.8546446694517</v>
      </c>
      <c r="J26" s="21" t="n">
        <f aca="false">$B26*Model!$V$50</f>
        <v>2.8546446694517</v>
      </c>
      <c r="K26" s="21" t="n">
        <f aca="false">$B26*Model!$W$50</f>
        <v>9.26443650875554</v>
      </c>
      <c r="L26" s="21" t="n">
        <f aca="false">$B26*Model!$X$50</f>
        <v>2.5389115711914</v>
      </c>
      <c r="M26" s="21" t="n">
        <f aca="false">$B26*Model!$Y$50</f>
        <v>1.45598806429547</v>
      </c>
      <c r="N26" s="21" t="n">
        <f aca="false">$B26*Model!$Z$50</f>
        <v>0.150262113397042</v>
      </c>
      <c r="O26" s="21" t="n">
        <f aca="false">$B26*Model!$AA$50</f>
        <v>0.25389115711914</v>
      </c>
    </row>
    <row r="27" customFormat="false" ht="15" hidden="false" customHeight="true" outlineLevel="0" collapsed="false">
      <c r="A27" s="23" t="n">
        <v>2040</v>
      </c>
      <c r="B27" s="21" t="n">
        <f aca="false">IF($A27&lt;=Model!$B$3,Data!$B$18*Model!$D$50,0)</f>
        <v>48.9864432968951</v>
      </c>
      <c r="C27" s="21" t="n">
        <f aca="false">$B27*IF(Model!$B$5=1,Data!$D$18,Model!$AC$50)</f>
        <v>11.8171529776089</v>
      </c>
      <c r="D27" s="21" t="n">
        <f aca="false">$B27*IF(Model!$B$5=1,Data!$E$18,Model!$AD$50)</f>
        <v>15.1993721073936</v>
      </c>
      <c r="E27" s="21" t="n">
        <f aca="false">$B27*IF(Model!$B$5=1,Data!$F$18,Model!$AE$50)</f>
        <v>9.16024043321822</v>
      </c>
      <c r="F27" s="21" t="n">
        <f aca="false">$B27*IF(Model!$B$5=1,Data!$G$18,Model!$AF$50)</f>
        <v>12.8096777786744</v>
      </c>
      <c r="G27" s="21" t="n">
        <f aca="false">$B27*Model!$S$50</f>
        <v>23.8574762641811</v>
      </c>
      <c r="H27" s="21" t="n">
        <f aca="false">$B27*Model!$T$50</f>
        <v>5.95733328882396</v>
      </c>
      <c r="I27" s="21" t="n">
        <f aca="false">$B27*Model!$U$50</f>
        <v>2.82500526989866</v>
      </c>
      <c r="J27" s="21" t="n">
        <f aca="false">$B27*Model!$V$50</f>
        <v>2.82500526989866</v>
      </c>
      <c r="K27" s="21" t="n">
        <f aca="false">$B27*Model!$W$50</f>
        <v>9.16824508491382</v>
      </c>
      <c r="L27" s="21" t="n">
        <f aca="false">$B27*Model!$X$50</f>
        <v>2.51255038680524</v>
      </c>
      <c r="M27" s="21" t="n">
        <f aca="false">$B27*Model!$Y$50</f>
        <v>1.44087073202505</v>
      </c>
      <c r="N27" s="21" t="n">
        <f aca="false">$B27*Model!$Z$50</f>
        <v>0.148701961668065</v>
      </c>
      <c r="O27" s="21" t="n">
        <f aca="false">$B27*Model!$AA$50</f>
        <v>0.251255038680524</v>
      </c>
    </row>
    <row r="28" customFormat="false" ht="15" hidden="false" customHeight="true" outlineLevel="0" collapsed="false">
      <c r="A28" s="24" t="s">
        <v>122</v>
      </c>
      <c r="B28" s="25" t="n">
        <f aca="false">SUM(B13:B27)</f>
        <v>1280.52168890979</v>
      </c>
      <c r="C28" s="25" t="n">
        <f aca="false">SUM(C13:C27)</f>
        <v>308.903205702733</v>
      </c>
      <c r="D28" s="25" t="n">
        <f aca="false">SUM(D13:D27)</f>
        <v>397.316045245201</v>
      </c>
      <c r="E28" s="25" t="n">
        <f aca="false">SUM(E13:E27)</f>
        <v>239.451852911736</v>
      </c>
      <c r="F28" s="25" t="n">
        <f aca="false">SUM(F13:F27)</f>
        <v>334.850585050118</v>
      </c>
      <c r="G28" s="25" t="n">
        <f aca="false">SUM(G13:G27)</f>
        <v>623.642251669059</v>
      </c>
      <c r="H28" s="25" t="n">
        <f aca="false">SUM(H13:H27)</f>
        <v>155.726645393888</v>
      </c>
      <c r="I28" s="25" t="n">
        <f aca="false">SUM(I13:I27)</f>
        <v>73.8465639863871</v>
      </c>
      <c r="J28" s="25" t="n">
        <f aca="false">SUM(J13:J27)</f>
        <v>73.8465639863871</v>
      </c>
      <c r="K28" s="25" t="n">
        <f aca="false">SUM(K13:K27)</f>
        <v>239.660932501642</v>
      </c>
      <c r="L28" s="25" t="n">
        <f aca="false">SUM(L13:L27)</f>
        <v>65.6788908981011</v>
      </c>
      <c r="M28" s="25" t="n">
        <f aca="false">SUM(M13:M27)</f>
        <v>37.6648333517682</v>
      </c>
      <c r="N28" s="25" t="n">
        <f aca="false">SUM(N13:N27)</f>
        <v>3.88711803274476</v>
      </c>
      <c r="O28" s="25" t="n">
        <f aca="false">SUM(O13:O27)</f>
        <v>6.56788908981011</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Data!$H$27*Data!$M$27/SUM(Data!$H$27:$K$27)</f>
        <v>18.3968042609854</v>
      </c>
      <c r="C34" s="22" t="n">
        <f aca="false">IF($B$38&gt;0,B34/$B$38,0)</f>
        <v>0.0106524633821571</v>
      </c>
      <c r="D34" s="21" t="n">
        <f aca="false">C28</f>
        <v>308.903205702733</v>
      </c>
      <c r="E34" s="22" t="n">
        <f aca="false">IF($D$38&gt;0,D34/$D$38,0)</f>
        <v>0.241232310532536</v>
      </c>
      <c r="F34" s="21" t="n">
        <f aca="false">B34+D34</f>
        <v>327.300009963718</v>
      </c>
      <c r="G34" s="22" t="n">
        <f aca="false">IF($F$38&gt;0,F34/$F$38,0)</f>
        <v>0.108827148668831</v>
      </c>
    </row>
    <row r="35" customFormat="false" ht="15" hidden="false" customHeight="true" outlineLevel="0" collapsed="false">
      <c r="A35" s="13" t="s">
        <v>110</v>
      </c>
      <c r="B35" s="21" t="n">
        <f aca="false">Data!$I$27*Data!$M$27/SUM(Data!$H$27:$K$27)</f>
        <v>194.316245006658</v>
      </c>
      <c r="C35" s="22" t="n">
        <f aca="false">IF($B$38&gt;0,B35/$B$38,0)</f>
        <v>0.112516644474035</v>
      </c>
      <c r="D35" s="21" t="n">
        <f aca="false">D28</f>
        <v>397.316045245201</v>
      </c>
      <c r="E35" s="22" t="n">
        <f aca="false">IF($D$38&gt;0,D35/$D$38,0)</f>
        <v>0.310276701040081</v>
      </c>
      <c r="F35" s="21" t="n">
        <f aca="false">B35+D35</f>
        <v>591.632290251859</v>
      </c>
      <c r="G35" s="22" t="n">
        <f aca="false">IF($F$38&gt;0,F35/$F$38,0)</f>
        <v>0.196717547352526</v>
      </c>
    </row>
    <row r="36" customFormat="false" ht="15" hidden="false" customHeight="true" outlineLevel="0" collapsed="false">
      <c r="A36" s="13" t="s">
        <v>111</v>
      </c>
      <c r="B36" s="21" t="n">
        <f aca="false">Data!$J$27*Data!$M$27/SUM(Data!$H$27:$K$27)</f>
        <v>831.305592543276</v>
      </c>
      <c r="C36" s="22" t="n">
        <f aca="false">IF($B$38&gt;0,B36/$B$38,0)</f>
        <v>0.481358189081225</v>
      </c>
      <c r="D36" s="21" t="n">
        <f aca="false">E28</f>
        <v>239.451852911736</v>
      </c>
      <c r="E36" s="22" t="n">
        <f aca="false">IF($D$38&gt;0,D36/$D$38,0)</f>
        <v>0.186995546413275</v>
      </c>
      <c r="F36" s="21" t="n">
        <f aca="false">B36+D36</f>
        <v>1070.75744545501</v>
      </c>
      <c r="G36" s="22" t="n">
        <f aca="false">IF($F$38&gt;0,F36/$F$38,0)</f>
        <v>0.356026508272051</v>
      </c>
    </row>
    <row r="37" customFormat="false" ht="15" hidden="false" customHeight="true" outlineLevel="0" collapsed="false">
      <c r="A37" s="13" t="s">
        <v>112</v>
      </c>
      <c r="B37" s="21" t="n">
        <f aca="false">Data!$K$27*Data!$M$27/SUM(Data!$H$27:$K$27)</f>
        <v>682.981358189081</v>
      </c>
      <c r="C37" s="22" t="n">
        <f aca="false">IF($B$38&gt;0,B37/$B$38,0)</f>
        <v>0.395472703062583</v>
      </c>
      <c r="D37" s="21" t="n">
        <f aca="false">F28</f>
        <v>334.850585050118</v>
      </c>
      <c r="E37" s="22" t="n">
        <f aca="false">IF($D$38&gt;0,D37/$D$38,0)</f>
        <v>0.261495442014109</v>
      </c>
      <c r="F37" s="21" t="n">
        <f aca="false">B37+D37</f>
        <v>1017.8319432392</v>
      </c>
      <c r="G37" s="22" t="n">
        <f aca="false">IF($F$38&gt;0,F37/$F$38,0)</f>
        <v>0.338428795706593</v>
      </c>
    </row>
    <row r="38" customFormat="false" ht="15" hidden="false" customHeight="true" outlineLevel="0" collapsed="false">
      <c r="A38" s="24" t="s">
        <v>61</v>
      </c>
      <c r="B38" s="25" t="n">
        <f aca="false">SUM(B34:B37)</f>
        <v>1727</v>
      </c>
      <c r="C38" s="27" t="n">
        <f aca="false">SUM(C34:C37)</f>
        <v>1</v>
      </c>
      <c r="D38" s="25" t="n">
        <f aca="false">SUM(D34:D37)</f>
        <v>1280.52168890979</v>
      </c>
      <c r="E38" s="27" t="n">
        <f aca="false">SUM(E34:E37)</f>
        <v>1</v>
      </c>
      <c r="F38" s="25" t="n">
        <f aca="false">SUM(F34:F37)</f>
        <v>3007.52168890979</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103</v>
      </c>
      <c r="C6" s="15" t="n">
        <f aca="false">Model!$Q$51</f>
        <v>0.276027861874792</v>
      </c>
    </row>
    <row r="7" customFormat="false" ht="15" hidden="false" customHeight="true" outlineLevel="0" collapsed="false">
      <c r="A7" s="13" t="s">
        <v>104</v>
      </c>
      <c r="C7" s="15" t="n">
        <f aca="false">Model!$G$51</f>
        <v>0.04887</v>
      </c>
    </row>
    <row r="8" customFormat="false" ht="15" hidden="false" customHeight="true" outlineLevel="0" collapsed="false">
      <c r="A8" s="13" t="s">
        <v>105</v>
      </c>
      <c r="C8" s="15" t="n">
        <f aca="false">Model!$R$51</f>
        <v>0.149788709502457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IF($A13&lt;=Model!$B$3,Data!$B$4*Model!$D$51,0)</f>
        <v>583.892343823612</v>
      </c>
      <c r="C13" s="21" t="n">
        <f aca="false">$B13*IF(Model!$B$5=1,Data!$D$4,Model!$AC$51)</f>
        <v>151.039694005029</v>
      </c>
      <c r="D13" s="21" t="n">
        <f aca="false">$B13*IF(Model!$B$5=1,Data!$E$4,Model!$AD$51)</f>
        <v>184.862726116763</v>
      </c>
      <c r="E13" s="21" t="n">
        <f aca="false">$B13*IF(Model!$B$5=1,Data!$F$4,Model!$AE$51)</f>
        <v>108.041993263797</v>
      </c>
      <c r="F13" s="21" t="n">
        <f aca="false">$B13*IF(Model!$B$5=1,Data!$G$4,Model!$AF$51)</f>
        <v>139.947930438023</v>
      </c>
      <c r="G13" s="21" t="n">
        <f aca="false">$B13*Model!$S$51</f>
        <v>284.368425141244</v>
      </c>
      <c r="H13" s="21" t="n">
        <f aca="false">$B13*Model!$T$51</f>
        <v>71.0082435637928</v>
      </c>
      <c r="I13" s="21" t="n">
        <f aca="false">$B13*Model!$U$51</f>
        <v>33.6725599439414</v>
      </c>
      <c r="J13" s="21" t="n">
        <f aca="false">$B13*Model!$V$51</f>
        <v>33.6725599439414</v>
      </c>
      <c r="K13" s="21" t="n">
        <f aca="false">$B13*Model!$W$51</f>
        <v>109.280604001698</v>
      </c>
      <c r="L13" s="21" t="n">
        <f aca="false">$B13*Model!$X$51</f>
        <v>29.948263960197</v>
      </c>
      <c r="M13" s="21" t="n">
        <f aca="false">$B13*Model!$Y$51</f>
        <v>17.1744125975824</v>
      </c>
      <c r="N13" s="21" t="n">
        <f aca="false">$B13*Model!$Z$51</f>
        <v>1.77244827519533</v>
      </c>
      <c r="O13" s="21" t="n">
        <f aca="false">$B13*Model!$AA$51</f>
        <v>2.9948263960197</v>
      </c>
    </row>
    <row r="14" customFormat="false" ht="15" hidden="false" customHeight="true" outlineLevel="0" collapsed="false">
      <c r="A14" s="23" t="n">
        <v>2027</v>
      </c>
      <c r="B14" s="21" t="n">
        <f aca="false">IF($A14&lt;=Model!$B$3,Data!$B$5*Model!$D$51,0)</f>
        <v>583.892343823612</v>
      </c>
      <c r="C14" s="21" t="n">
        <f aca="false">$B14*IF(Model!$B$5=1,Data!$D$5,Model!$AC$51)</f>
        <v>146.794698071978</v>
      </c>
      <c r="D14" s="21" t="n">
        <f aca="false">$B14*IF(Model!$B$5=1,Data!$E$5,Model!$AD$51)</f>
        <v>185.410467527479</v>
      </c>
      <c r="E14" s="21" t="n">
        <f aca="false">$B14*IF(Model!$B$5=1,Data!$F$5,Model!$AE$51)</f>
        <v>107.768122558439</v>
      </c>
      <c r="F14" s="21" t="n">
        <f aca="false">$B14*IF(Model!$B$5=1,Data!$G$5,Model!$AF$51)</f>
        <v>143.919055665717</v>
      </c>
      <c r="G14" s="21" t="n">
        <f aca="false">$B14*Model!$S$51</f>
        <v>284.368425141244</v>
      </c>
      <c r="H14" s="21" t="n">
        <f aca="false">$B14*Model!$T$51</f>
        <v>71.0082435637928</v>
      </c>
      <c r="I14" s="21" t="n">
        <f aca="false">$B14*Model!$U$51</f>
        <v>33.6725599439414</v>
      </c>
      <c r="J14" s="21" t="n">
        <f aca="false">$B14*Model!$V$51</f>
        <v>33.6725599439414</v>
      </c>
      <c r="K14" s="21" t="n">
        <f aca="false">$B14*Model!$W$51</f>
        <v>109.280604001698</v>
      </c>
      <c r="L14" s="21" t="n">
        <f aca="false">$B14*Model!$X$51</f>
        <v>29.948263960197</v>
      </c>
      <c r="M14" s="21" t="n">
        <f aca="false">$B14*Model!$Y$51</f>
        <v>17.1744125975824</v>
      </c>
      <c r="N14" s="21" t="n">
        <f aca="false">$B14*Model!$Z$51</f>
        <v>1.77244827519533</v>
      </c>
      <c r="O14" s="21" t="n">
        <f aca="false">$B14*Model!$AA$51</f>
        <v>2.9948263960197</v>
      </c>
    </row>
    <row r="15" customFormat="false" ht="15" hidden="false" customHeight="true" outlineLevel="0" collapsed="false">
      <c r="A15" s="23" t="n">
        <v>2028</v>
      </c>
      <c r="B15" s="21" t="n">
        <f aca="false">IF($A15&lt;=Model!$B$3,Data!$B$6*Model!$D$51,0)</f>
        <v>583.892343823612</v>
      </c>
      <c r="C15" s="21" t="n">
        <f aca="false">$B15*IF(Model!$B$5=1,Data!$D$6,Model!$AC$51)</f>
        <v>146.315584984425</v>
      </c>
      <c r="D15" s="21" t="n">
        <f aca="false">$B15*IF(Model!$B$5=1,Data!$E$6,Model!$AD$51)</f>
        <v>185.497473847295</v>
      </c>
      <c r="E15" s="21" t="n">
        <f aca="false">$B15*IF(Model!$B$5=1,Data!$F$6,Model!$AE$51)</f>
        <v>107.818694178598</v>
      </c>
      <c r="F15" s="21" t="n">
        <f aca="false">$B15*IF(Model!$B$5=1,Data!$G$6,Model!$AF$51)</f>
        <v>144.260590813295</v>
      </c>
      <c r="G15" s="21" t="n">
        <f aca="false">$B15*Model!$S$51</f>
        <v>284.368425141244</v>
      </c>
      <c r="H15" s="21" t="n">
        <f aca="false">$B15*Model!$T$51</f>
        <v>71.0082435637928</v>
      </c>
      <c r="I15" s="21" t="n">
        <f aca="false">$B15*Model!$U$51</f>
        <v>33.6725599439414</v>
      </c>
      <c r="J15" s="21" t="n">
        <f aca="false">$B15*Model!$V$51</f>
        <v>33.6725599439414</v>
      </c>
      <c r="K15" s="21" t="n">
        <f aca="false">$B15*Model!$W$51</f>
        <v>109.280604001698</v>
      </c>
      <c r="L15" s="21" t="n">
        <f aca="false">$B15*Model!$X$51</f>
        <v>29.948263960197</v>
      </c>
      <c r="M15" s="21" t="n">
        <f aca="false">$B15*Model!$Y$51</f>
        <v>17.1744125975824</v>
      </c>
      <c r="N15" s="21" t="n">
        <f aca="false">$B15*Model!$Z$51</f>
        <v>1.77244827519533</v>
      </c>
      <c r="O15" s="21" t="n">
        <f aca="false">$B15*Model!$AA$51</f>
        <v>2.9948263960197</v>
      </c>
    </row>
    <row r="16" customFormat="false" ht="15" hidden="false" customHeight="true" outlineLevel="0" collapsed="false">
      <c r="A16" s="23" t="n">
        <v>2029</v>
      </c>
      <c r="B16" s="21" t="n">
        <f aca="false">IF($A16&lt;=Model!$B$3,Data!$B$7*Model!$D$51,0)</f>
        <v>583.892343823612</v>
      </c>
      <c r="C16" s="21" t="n">
        <f aca="false">$B16*IF(Model!$B$5=1,Data!$D$7,Model!$AC$51)</f>
        <v>144.774620553966</v>
      </c>
      <c r="D16" s="21" t="n">
        <f aca="false">$B16*IF(Model!$B$5=1,Data!$E$7,Model!$AD$51)</f>
        <v>184.495188161015</v>
      </c>
      <c r="E16" s="21" t="n">
        <f aca="false">$B16*IF(Model!$B$5=1,Data!$F$7,Model!$AE$51)</f>
        <v>107.108565064524</v>
      </c>
      <c r="F16" s="21" t="n">
        <f aca="false">$B16*IF(Model!$B$5=1,Data!$G$7,Model!$AF$51)</f>
        <v>147.513970044107</v>
      </c>
      <c r="G16" s="21" t="n">
        <f aca="false">$B16*Model!$S$51</f>
        <v>284.368425141244</v>
      </c>
      <c r="H16" s="21" t="n">
        <f aca="false">$B16*Model!$T$51</f>
        <v>71.0082435637928</v>
      </c>
      <c r="I16" s="21" t="n">
        <f aca="false">$B16*Model!$U$51</f>
        <v>33.6725599439414</v>
      </c>
      <c r="J16" s="21" t="n">
        <f aca="false">$B16*Model!$V$51</f>
        <v>33.6725599439414</v>
      </c>
      <c r="K16" s="21" t="n">
        <f aca="false">$B16*Model!$W$51</f>
        <v>109.280604001698</v>
      </c>
      <c r="L16" s="21" t="n">
        <f aca="false">$B16*Model!$X$51</f>
        <v>29.948263960197</v>
      </c>
      <c r="M16" s="21" t="n">
        <f aca="false">$B16*Model!$Y$51</f>
        <v>17.1744125975824</v>
      </c>
      <c r="N16" s="21" t="n">
        <f aca="false">$B16*Model!$Z$51</f>
        <v>1.77244827519533</v>
      </c>
      <c r="O16" s="21" t="n">
        <f aca="false">$B16*Model!$AA$51</f>
        <v>2.9948263960197</v>
      </c>
    </row>
    <row r="17" customFormat="false" ht="15" hidden="false" customHeight="true" outlineLevel="0" collapsed="false">
      <c r="A17" s="23" t="n">
        <v>2030</v>
      </c>
      <c r="B17" s="21" t="n">
        <f aca="false">IF($A17&lt;=Model!$B$3,Data!$B$8*Model!$D$51,0)</f>
        <v>583.892343823612</v>
      </c>
      <c r="C17" s="21" t="n">
        <f aca="false">$B17*IF(Model!$B$5=1,Data!$D$8,Model!$AC$51)</f>
        <v>144.534590036112</v>
      </c>
      <c r="D17" s="21" t="n">
        <f aca="false">$B17*IF(Model!$B$5=1,Data!$E$8,Model!$AD$51)</f>
        <v>181.798484339261</v>
      </c>
      <c r="E17" s="21" t="n">
        <f aca="false">$B17*IF(Model!$B$5=1,Data!$F$8,Model!$AE$51)</f>
        <v>107.270695732963</v>
      </c>
      <c r="F17" s="21" t="n">
        <f aca="false">$B17*IF(Model!$B$5=1,Data!$G$8,Model!$AF$51)</f>
        <v>150.288573715275</v>
      </c>
      <c r="G17" s="21" t="n">
        <f aca="false">$B17*Model!$S$51</f>
        <v>284.368425141244</v>
      </c>
      <c r="H17" s="21" t="n">
        <f aca="false">$B17*Model!$T$51</f>
        <v>71.0082435637928</v>
      </c>
      <c r="I17" s="21" t="n">
        <f aca="false">$B17*Model!$U$51</f>
        <v>33.6725599439414</v>
      </c>
      <c r="J17" s="21" t="n">
        <f aca="false">$B17*Model!$V$51</f>
        <v>33.6725599439414</v>
      </c>
      <c r="K17" s="21" t="n">
        <f aca="false">$B17*Model!$W$51</f>
        <v>109.280604001698</v>
      </c>
      <c r="L17" s="21" t="n">
        <f aca="false">$B17*Model!$X$51</f>
        <v>29.948263960197</v>
      </c>
      <c r="M17" s="21" t="n">
        <f aca="false">$B17*Model!$Y$51</f>
        <v>17.1744125975824</v>
      </c>
      <c r="N17" s="21" t="n">
        <f aca="false">$B17*Model!$Z$51</f>
        <v>1.77244827519533</v>
      </c>
      <c r="O17" s="21" t="n">
        <f aca="false">$B17*Model!$AA$51</f>
        <v>2.9948263960197</v>
      </c>
    </row>
    <row r="18" customFormat="false" ht="15" hidden="false" customHeight="true" outlineLevel="0" collapsed="false">
      <c r="A18" s="23" t="n">
        <v>2031</v>
      </c>
      <c r="B18" s="21" t="n">
        <f aca="false">IF($A18&lt;=Model!$B$3,Data!$B$9*Model!$D$51,0)</f>
        <v>296.945484731314</v>
      </c>
      <c r="C18" s="21" t="n">
        <f aca="false">$B18*IF(Model!$B$5=1,Data!$D$9,Model!$AC$51)</f>
        <v>68.6207047280389</v>
      </c>
      <c r="D18" s="21" t="n">
        <f aca="false">$B18*IF(Model!$B$5=1,Data!$E$9,Model!$AD$51)</f>
        <v>90.261565700155</v>
      </c>
      <c r="E18" s="21" t="n">
        <f aca="false">$B18*IF(Model!$B$5=1,Data!$F$9,Model!$AE$51)</f>
        <v>56.4305994969103</v>
      </c>
      <c r="F18" s="21" t="n">
        <f aca="false">$B18*IF(Model!$B$5=1,Data!$G$9,Model!$AF$51)</f>
        <v>81.63261480621</v>
      </c>
      <c r="G18" s="21" t="n">
        <f aca="false">$B18*Model!$S$51</f>
        <v>144.618987967679</v>
      </c>
      <c r="H18" s="21" t="n">
        <f aca="false">$B18*Model!$T$51</f>
        <v>36.1120975947227</v>
      </c>
      <c r="I18" s="21" t="n">
        <f aca="false">$B18*Model!$U$51</f>
        <v>17.1245859625768</v>
      </c>
      <c r="J18" s="21" t="n">
        <f aca="false">$B18*Model!$V$51</f>
        <v>17.1245859625768</v>
      </c>
      <c r="K18" s="21" t="n">
        <f aca="false">$B18*Model!$W$51</f>
        <v>55.575967505438</v>
      </c>
      <c r="L18" s="21" t="n">
        <f aca="false">$B18*Model!$X$51</f>
        <v>15.2305503790071</v>
      </c>
      <c r="M18" s="21" t="n">
        <f aca="false">$B18*Model!$Y$51</f>
        <v>8.73425440102242</v>
      </c>
      <c r="N18" s="21" t="n">
        <f aca="false">$B18*Model!$Z$51</f>
        <v>0.901399920390214</v>
      </c>
      <c r="O18" s="21" t="n">
        <f aca="false">$B18*Model!$AA$51</f>
        <v>1.52305503790071</v>
      </c>
    </row>
    <row r="19" customFormat="false" ht="15" hidden="false" customHeight="true" outlineLevel="0" collapsed="false">
      <c r="A19" s="23" t="n">
        <v>2032</v>
      </c>
      <c r="B19" s="21" t="n">
        <f aca="false">IF($A19&lt;=Model!$B$3,Data!$B$10*Model!$D$51,0)</f>
        <v>296.945484731314</v>
      </c>
      <c r="C19" s="21" t="n">
        <f aca="false">$B19*IF(Model!$B$5=1,Data!$D$10,Model!$AC$51)</f>
        <v>66.0183227124048</v>
      </c>
      <c r="D19" s="21" t="n">
        <f aca="false">$B19*IF(Model!$B$5=1,Data!$E$10,Model!$AD$51)</f>
        <v>88.4809885315631</v>
      </c>
      <c r="E19" s="21" t="n">
        <f aca="false">$B19*IF(Model!$B$5=1,Data!$F$10,Model!$AE$51)</f>
        <v>57.3893718184598</v>
      </c>
      <c r="F19" s="21" t="n">
        <f aca="false">$B19*IF(Model!$B$5=1,Data!$G$10,Model!$AF$51)</f>
        <v>85.0568016688865</v>
      </c>
      <c r="G19" s="21" t="n">
        <f aca="false">$B19*Model!$S$51</f>
        <v>144.618987967679</v>
      </c>
      <c r="H19" s="21" t="n">
        <f aca="false">$B19*Model!$T$51</f>
        <v>36.1120975947227</v>
      </c>
      <c r="I19" s="21" t="n">
        <f aca="false">$B19*Model!$U$51</f>
        <v>17.1245859625768</v>
      </c>
      <c r="J19" s="21" t="n">
        <f aca="false">$B19*Model!$V$51</f>
        <v>17.1245859625768</v>
      </c>
      <c r="K19" s="21" t="n">
        <f aca="false">$B19*Model!$W$51</f>
        <v>55.575967505438</v>
      </c>
      <c r="L19" s="21" t="n">
        <f aca="false">$B19*Model!$X$51</f>
        <v>15.2305503790071</v>
      </c>
      <c r="M19" s="21" t="n">
        <f aca="false">$B19*Model!$Y$51</f>
        <v>8.73425440102242</v>
      </c>
      <c r="N19" s="21" t="n">
        <f aca="false">$B19*Model!$Z$51</f>
        <v>0.901399920390214</v>
      </c>
      <c r="O19" s="21" t="n">
        <f aca="false">$B19*Model!$AA$51</f>
        <v>1.52305503790071</v>
      </c>
    </row>
    <row r="20" customFormat="false" ht="15" hidden="false" customHeight="true" outlineLevel="0" collapsed="false">
      <c r="A20" s="23" t="n">
        <v>2033</v>
      </c>
      <c r="B20" s="21" t="n">
        <f aca="false">IF($A20&lt;=Model!$B$3,Data!$B$11*Model!$D$51,0)</f>
        <v>296.945484731314</v>
      </c>
      <c r="C20" s="21" t="n">
        <f aca="false">$B20*IF(Model!$B$5=1,Data!$D$11,Model!$AC$51)</f>
        <v>65.5006652983701</v>
      </c>
      <c r="D20" s="21" t="n">
        <f aca="false">$B20*IF(Model!$B$5=1,Data!$E$11,Model!$AD$51)</f>
        <v>88.795880990259</v>
      </c>
      <c r="E20" s="21" t="n">
        <f aca="false">$B20*IF(Model!$B$5=1,Data!$F$11,Model!$AE$51)</f>
        <v>57.4158551464792</v>
      </c>
      <c r="F20" s="21" t="n">
        <f aca="false">$B20*IF(Model!$B$5=1,Data!$G$11,Model!$AF$51)</f>
        <v>85.2330832962056</v>
      </c>
      <c r="G20" s="21" t="n">
        <f aca="false">$B20*Model!$S$51</f>
        <v>144.618987967679</v>
      </c>
      <c r="H20" s="21" t="n">
        <f aca="false">$B20*Model!$T$51</f>
        <v>36.1120975947227</v>
      </c>
      <c r="I20" s="21" t="n">
        <f aca="false">$B20*Model!$U$51</f>
        <v>17.1245859625768</v>
      </c>
      <c r="J20" s="21" t="n">
        <f aca="false">$B20*Model!$V$51</f>
        <v>17.1245859625768</v>
      </c>
      <c r="K20" s="21" t="n">
        <f aca="false">$B20*Model!$W$51</f>
        <v>55.575967505438</v>
      </c>
      <c r="L20" s="21" t="n">
        <f aca="false">$B20*Model!$X$51</f>
        <v>15.2305503790071</v>
      </c>
      <c r="M20" s="21" t="n">
        <f aca="false">$B20*Model!$Y$51</f>
        <v>8.73425440102242</v>
      </c>
      <c r="N20" s="21" t="n">
        <f aca="false">$B20*Model!$Z$51</f>
        <v>0.901399920390214</v>
      </c>
      <c r="O20" s="21" t="n">
        <f aca="false">$B20*Model!$AA$51</f>
        <v>1.52305503790071</v>
      </c>
    </row>
    <row r="21" customFormat="false" ht="15" hidden="false" customHeight="true" outlineLevel="0" collapsed="false">
      <c r="A21" s="23" t="n">
        <v>2034</v>
      </c>
      <c r="B21" s="21" t="n">
        <f aca="false">IF($A21&lt;=Model!$B$3,Data!$B$12*Model!$D$51,0)</f>
        <v>296.945484731314</v>
      </c>
      <c r="C21" s="21" t="n">
        <f aca="false">$B21*IF(Model!$B$5=1,Data!$D$12,Model!$AC$51)</f>
        <v>64.9225829163483</v>
      </c>
      <c r="D21" s="21" t="n">
        <f aca="false">$B21*IF(Model!$B$5=1,Data!$E$12,Model!$AD$51)</f>
        <v>89.0288584295915</v>
      </c>
      <c r="E21" s="21" t="n">
        <f aca="false">$B21*IF(Model!$B$5=1,Data!$F$12,Model!$AE$51)</f>
        <v>57.3893718184598</v>
      </c>
      <c r="F21" s="21" t="n">
        <f aca="false">$B21*IF(Model!$B$5=1,Data!$G$12,Model!$AF$51)</f>
        <v>85.6046715669146</v>
      </c>
      <c r="G21" s="21" t="n">
        <f aca="false">$B21*Model!$S$51</f>
        <v>144.618987967679</v>
      </c>
      <c r="H21" s="21" t="n">
        <f aca="false">$B21*Model!$T$51</f>
        <v>36.1120975947227</v>
      </c>
      <c r="I21" s="21" t="n">
        <f aca="false">$B21*Model!$U$51</f>
        <v>17.1245859625768</v>
      </c>
      <c r="J21" s="21" t="n">
        <f aca="false">$B21*Model!$V$51</f>
        <v>17.1245859625768</v>
      </c>
      <c r="K21" s="21" t="n">
        <f aca="false">$B21*Model!$W$51</f>
        <v>55.575967505438</v>
      </c>
      <c r="L21" s="21" t="n">
        <f aca="false">$B21*Model!$X$51</f>
        <v>15.2305503790071</v>
      </c>
      <c r="M21" s="21" t="n">
        <f aca="false">$B21*Model!$Y$51</f>
        <v>8.73425440102242</v>
      </c>
      <c r="N21" s="21" t="n">
        <f aca="false">$B21*Model!$Z$51</f>
        <v>0.901399920390214</v>
      </c>
      <c r="O21" s="21" t="n">
        <f aca="false">$B21*Model!$AA$51</f>
        <v>1.52305503790071</v>
      </c>
    </row>
    <row r="22" customFormat="false" ht="15" hidden="false" customHeight="true" outlineLevel="0" collapsed="false">
      <c r="A22" s="23" t="n">
        <v>2035</v>
      </c>
      <c r="B22" s="21" t="n">
        <f aca="false">IF($A22&lt;=Model!$B$3,Data!$B$13*Model!$D$51,0)</f>
        <v>286.946859092298</v>
      </c>
      <c r="C22" s="21" t="n">
        <f aca="false">$B22*IF(Model!$B$5=1,Data!$D$13,Model!$AC$51)</f>
        <v>61.4983960536714</v>
      </c>
      <c r="D22" s="21" t="n">
        <f aca="false">$B22*IF(Model!$B$5=1,Data!$E$13,Model!$AD$51)</f>
        <v>84.7828667198723</v>
      </c>
      <c r="E22" s="21" t="n">
        <f aca="false">$B22*IF(Model!$B$5=1,Data!$F$13,Model!$AE$51)</f>
        <v>55.0609247518395</v>
      </c>
      <c r="F22" s="21" t="n">
        <f aca="false">$B22*IF(Model!$B$5=1,Data!$G$13,Model!$AF$51)</f>
        <v>85.6046715669148</v>
      </c>
      <c r="G22" s="21" t="n">
        <f aca="false">$B22*Model!$S$51</f>
        <v>139.749437173565</v>
      </c>
      <c r="H22" s="21" t="n">
        <f aca="false">$B22*Model!$T$51</f>
        <v>34.8961459690701</v>
      </c>
      <c r="I22" s="21" t="n">
        <f aca="false">$B22*Model!$U$51</f>
        <v>16.5479739813646</v>
      </c>
      <c r="J22" s="21" t="n">
        <f aca="false">$B22*Model!$V$51</f>
        <v>16.5479739813646</v>
      </c>
      <c r="K22" s="21" t="n">
        <f aca="false">$B22*Model!$W$51</f>
        <v>53.7046364962604</v>
      </c>
      <c r="L22" s="21" t="n">
        <f aca="false">$B22*Model!$X$51</f>
        <v>14.7177135811899</v>
      </c>
      <c r="M22" s="21" t="n">
        <f aca="false">$B22*Model!$Y$51</f>
        <v>8.44015819655995</v>
      </c>
      <c r="N22" s="21" t="n">
        <f aca="false">$B22*Model!$Z$51</f>
        <v>0.871048354805119</v>
      </c>
      <c r="O22" s="21" t="n">
        <f aca="false">$B22*Model!$AA$51</f>
        <v>1.47177135811899</v>
      </c>
    </row>
    <row r="23" customFormat="false" ht="15" hidden="false" customHeight="true" outlineLevel="0" collapsed="false">
      <c r="A23" s="23" t="n">
        <v>2036</v>
      </c>
      <c r="B23" s="21" t="n">
        <f aca="false">IF($A23&lt;=Model!$B$3,Data!$B$14*Model!$D$51,0)</f>
        <v>217.36738204271</v>
      </c>
      <c r="C23" s="21" t="n">
        <f aca="false">$B23*IF(Model!$B$5=1,Data!$D$14,Model!$AC$51)</f>
        <v>52.4362136351277</v>
      </c>
      <c r="D23" s="21" t="n">
        <f aca="false">$B23*IF(Model!$B$5=1,Data!$E$14,Model!$AD$51)</f>
        <v>67.4441233394575</v>
      </c>
      <c r="E23" s="21" t="n">
        <f aca="false">$B23*IF(Model!$B$5=1,Data!$F$14,Model!$AE$51)</f>
        <v>40.6467044317265</v>
      </c>
      <c r="F23" s="21" t="n">
        <f aca="false">$B23*IF(Model!$B$5=1,Data!$G$14,Model!$AF$51)</f>
        <v>56.8403406363982</v>
      </c>
      <c r="G23" s="21" t="n">
        <f aca="false">$B23*Model!$S$51</f>
        <v>105.862700140547</v>
      </c>
      <c r="H23" s="21" t="n">
        <f aca="false">$B23*Model!$T$51</f>
        <v>26.434455204255</v>
      </c>
      <c r="I23" s="21" t="n">
        <f aca="false">$B23*Model!$U$51</f>
        <v>12.5353864956686</v>
      </c>
      <c r="J23" s="21" t="n">
        <f aca="false">$B23*Model!$V$51</f>
        <v>12.5353864956686</v>
      </c>
      <c r="K23" s="21" t="n">
        <f aca="false">$B23*Model!$W$51</f>
        <v>40.6822234460932</v>
      </c>
      <c r="L23" s="21" t="n">
        <f aca="false">$B23*Model!$X$51</f>
        <v>11.1489314813119</v>
      </c>
      <c r="M23" s="21" t="n">
        <f aca="false">$B23*Model!$Y$51</f>
        <v>6.39357091071152</v>
      </c>
      <c r="N23" s="21" t="n">
        <f aca="false">$B23*Model!$Z$51</f>
        <v>0.659834720322541</v>
      </c>
      <c r="O23" s="21" t="n">
        <f aca="false">$B23*Model!$AA$51</f>
        <v>1.11489314813119</v>
      </c>
    </row>
    <row r="24" customFormat="false" ht="15" hidden="false" customHeight="true" outlineLevel="0" collapsed="false">
      <c r="A24" s="23" t="n">
        <v>2037</v>
      </c>
      <c r="B24" s="21" t="n">
        <f aca="false">IF($A24&lt;=Model!$B$3,Data!$B$15*Model!$D$51,0)</f>
        <v>215.586804874118</v>
      </c>
      <c r="C24" s="21" t="n">
        <f aca="false">$B24*IF(Model!$B$5=1,Data!$D$15,Model!$AC$51)</f>
        <v>52.0066794339578</v>
      </c>
      <c r="D24" s="21" t="n">
        <f aca="false">$B24*IF(Model!$B$5=1,Data!$E$15,Model!$AD$51)</f>
        <v>66.8916509995628</v>
      </c>
      <c r="E24" s="21" t="n">
        <f aca="false">$B24*IF(Model!$B$5=1,Data!$F$15,Model!$AE$51)</f>
        <v>40.3137446600741</v>
      </c>
      <c r="F24" s="21" t="n">
        <f aca="false">$B24*IF(Model!$B$5=1,Data!$G$15,Model!$AF$51)</f>
        <v>56.3747297805237</v>
      </c>
      <c r="G24" s="21" t="n">
        <f aca="false">$B24*Model!$S$51</f>
        <v>104.995519862143</v>
      </c>
      <c r="H24" s="21" t="n">
        <f aca="false">$B24*Model!$T$51</f>
        <v>26.2179158736594</v>
      </c>
      <c r="I24" s="21" t="n">
        <f aca="false">$B24*Model!$U$51</f>
        <v>12.4327021702472</v>
      </c>
      <c r="J24" s="21" t="n">
        <f aca="false">$B24*Model!$V$51</f>
        <v>12.4327021702472</v>
      </c>
      <c r="K24" s="21" t="n">
        <f aca="false">$B24*Model!$W$51</f>
        <v>40.3489727184315</v>
      </c>
      <c r="L24" s="21" t="n">
        <f aca="false">$B24*Model!$X$51</f>
        <v>11.0576043803308</v>
      </c>
      <c r="M24" s="21" t="n">
        <f aca="false">$B24*Model!$Y$51</f>
        <v>6.34119761402642</v>
      </c>
      <c r="N24" s="21" t="n">
        <f aca="false">$B24*Model!$Z$51</f>
        <v>0.654429646999168</v>
      </c>
      <c r="O24" s="21" t="n">
        <f aca="false">$B24*Model!$AA$51</f>
        <v>1.10576043803308</v>
      </c>
    </row>
    <row r="25" customFormat="false" ht="15" hidden="false" customHeight="true" outlineLevel="0" collapsed="false">
      <c r="A25" s="23" t="n">
        <v>2038</v>
      </c>
      <c r="B25" s="21" t="n">
        <f aca="false">IF($A25&lt;=Model!$B$3,Data!$B$16*Model!$D$51,0)</f>
        <v>212.984422858484</v>
      </c>
      <c r="C25" s="21" t="n">
        <f aca="false">$B25*IF(Model!$B$5=1,Data!$D$16,Model!$AC$51)</f>
        <v>51.378898678402</v>
      </c>
      <c r="D25" s="21" t="n">
        <f aca="false">$B25*IF(Model!$B$5=1,Data!$E$16,Model!$AD$51)</f>
        <v>66.0841914258705</v>
      </c>
      <c r="E25" s="21" t="n">
        <f aca="false">$B25*IF(Model!$B$5=1,Data!$F$16,Model!$AE$51)</f>
        <v>39.8271111476589</v>
      </c>
      <c r="F25" s="21" t="n">
        <f aca="false">$B25*IF(Model!$B$5=1,Data!$G$16,Model!$AF$51)</f>
        <v>55.6942216065528</v>
      </c>
      <c r="G25" s="21" t="n">
        <f aca="false">$B25*Model!$S$51</f>
        <v>103.728102532168</v>
      </c>
      <c r="H25" s="21" t="n">
        <f aca="false">$B25*Model!$T$51</f>
        <v>25.901435313558</v>
      </c>
      <c r="I25" s="21" t="n">
        <f aca="false">$B25*Model!$U$51</f>
        <v>12.2826250792468</v>
      </c>
      <c r="J25" s="21" t="n">
        <f aca="false">$B25*Model!$V$51</f>
        <v>12.2826250792468</v>
      </c>
      <c r="K25" s="21" t="n">
        <f aca="false">$B25*Model!$W$51</f>
        <v>39.8619139626181</v>
      </c>
      <c r="L25" s="21" t="n">
        <f aca="false">$B25*Model!$X$51</f>
        <v>10.924126309666</v>
      </c>
      <c r="M25" s="21" t="n">
        <f aca="false">$B25*Model!$Y$51</f>
        <v>6.26465202656359</v>
      </c>
      <c r="N25" s="21" t="n">
        <f aca="false">$B25*Model!$Z$51</f>
        <v>0.646529924449623</v>
      </c>
      <c r="O25" s="21" t="n">
        <f aca="false">$B25*Model!$AA$51</f>
        <v>1.0924126309666</v>
      </c>
    </row>
    <row r="26" customFormat="false" ht="15" hidden="false" customHeight="true" outlineLevel="0" collapsed="false">
      <c r="A26" s="23" t="n">
        <v>2039</v>
      </c>
      <c r="B26" s="21" t="n">
        <f aca="false">IF($A26&lt;=Model!$B$3,Data!$B$17*Model!$D$51,0)</f>
        <v>211.066878215385</v>
      </c>
      <c r="C26" s="21" t="n">
        <f aca="false">$B26*IF(Model!$B$5=1,Data!$D$17,Model!$AC$51)</f>
        <v>50.9163233848341</v>
      </c>
      <c r="D26" s="21" t="n">
        <f aca="false">$B26*IF(Model!$B$5=1,Data!$E$17,Model!$AD$51)</f>
        <v>65.4892212136759</v>
      </c>
      <c r="E26" s="21" t="n">
        <f aca="false">$B26*IF(Model!$B$5=1,Data!$F$17,Model!$AE$51)</f>
        <v>39.4685390858794</v>
      </c>
      <c r="F26" s="21" t="n">
        <f aca="false">$B26*IF(Model!$B$5=1,Data!$G$17,Model!$AF$51)</f>
        <v>55.1927945309956</v>
      </c>
      <c r="G26" s="21" t="n">
        <f aca="false">$B26*Model!$S$51</f>
        <v>102.794216078503</v>
      </c>
      <c r="H26" s="21" t="n">
        <f aca="false">$B26*Model!$T$51</f>
        <v>25.6682391113781</v>
      </c>
      <c r="I26" s="21" t="n">
        <f aca="false">$B26*Model!$U$51</f>
        <v>12.1720419595622</v>
      </c>
      <c r="J26" s="21" t="n">
        <f aca="false">$B26*Model!$V$51</f>
        <v>12.1720419595622</v>
      </c>
      <c r="K26" s="21" t="n">
        <f aca="false">$B26*Model!$W$51</f>
        <v>39.5030285635978</v>
      </c>
      <c r="L26" s="21" t="n">
        <f aca="false">$B26*Model!$X$51</f>
        <v>10.825774047071</v>
      </c>
      <c r="M26" s="21" t="n">
        <f aca="false">$B26*Model!$Y$51</f>
        <v>6.20825001474887</v>
      </c>
      <c r="N26" s="21" t="n">
        <f aca="false">$B26*Model!$Z$51</f>
        <v>0.640709076255221</v>
      </c>
      <c r="O26" s="21" t="n">
        <f aca="false">$B26*Model!$AA$51</f>
        <v>1.0825774047071</v>
      </c>
    </row>
    <row r="27" customFormat="false" ht="15" hidden="false" customHeight="true" outlineLevel="0" collapsed="false">
      <c r="A27" s="23" t="n">
        <v>2040</v>
      </c>
      <c r="B27" s="21" t="n">
        <f aca="false">IF($A27&lt;=Model!$B$3,Data!$B$18*Model!$D$51,0)</f>
        <v>208.875398623272</v>
      </c>
      <c r="C27" s="21" t="n">
        <f aca="false">$B27*IF(Model!$B$5=1,Data!$D$18,Model!$AC$51)</f>
        <v>50.3876659064712</v>
      </c>
      <c r="D27" s="21" t="n">
        <f aca="false">$B27*IF(Model!$B$5=1,Data!$E$18,Model!$AD$51)</f>
        <v>64.8092552568826</v>
      </c>
      <c r="E27" s="21" t="n">
        <f aca="false">$B27*IF(Model!$B$5=1,Data!$F$18,Model!$AE$51)</f>
        <v>39.0587424438456</v>
      </c>
      <c r="F27" s="21" t="n">
        <f aca="false">$B27*IF(Model!$B$5=1,Data!$G$18,Model!$AF$51)</f>
        <v>54.6197350160726</v>
      </c>
      <c r="G27" s="21" t="n">
        <f aca="false">$B27*Model!$S$51</f>
        <v>101.726917274313</v>
      </c>
      <c r="H27" s="21" t="n">
        <f aca="false">$B27*Model!$T$51</f>
        <v>25.4017291660296</v>
      </c>
      <c r="I27" s="21" t="n">
        <f aca="false">$B27*Model!$U$51</f>
        <v>12.0456612513513</v>
      </c>
      <c r="J27" s="21" t="n">
        <f aca="false">$B27*Model!$V$51</f>
        <v>12.0456612513513</v>
      </c>
      <c r="K27" s="21" t="n">
        <f aca="false">$B27*Model!$W$51</f>
        <v>39.0928738218602</v>
      </c>
      <c r="L27" s="21" t="n">
        <f aca="false">$B27*Model!$X$51</f>
        <v>10.713371461248</v>
      </c>
      <c r="M27" s="21" t="n">
        <f aca="false">$B27*Model!$Y$51</f>
        <v>6.1437905726749</v>
      </c>
      <c r="N27" s="21" t="n">
        <f aca="false">$B27*Model!$Z$51</f>
        <v>0.634056678318762</v>
      </c>
      <c r="O27" s="21" t="n">
        <f aca="false">$B27*Model!$AA$51</f>
        <v>1.07133714612481</v>
      </c>
    </row>
    <row r="28" customFormat="false" ht="15" hidden="false" customHeight="true" outlineLevel="0" collapsed="false">
      <c r="A28" s="24" t="s">
        <v>122</v>
      </c>
      <c r="B28" s="25" t="n">
        <f aca="false">SUM(B13:B27)</f>
        <v>5460.07140374958</v>
      </c>
      <c r="C28" s="25" t="n">
        <f aca="false">SUM(C13:C27)</f>
        <v>1317.14564039914</v>
      </c>
      <c r="D28" s="25" t="n">
        <f aca="false">SUM(D13:D27)</f>
        <v>1694.1329425987</v>
      </c>
      <c r="E28" s="25" t="n">
        <f aca="false">SUM(E13:E27)</f>
        <v>1021.00903559965</v>
      </c>
      <c r="F28" s="25" t="n">
        <f aca="false">SUM(F13:F27)</f>
        <v>1427.78378515209</v>
      </c>
      <c r="G28" s="25" t="n">
        <f aca="false">SUM(G13:G27)</f>
        <v>2659.17497063817</v>
      </c>
      <c r="H28" s="25" t="n">
        <f aca="false">SUM(H13:H27)</f>
        <v>664.009528835805</v>
      </c>
      <c r="I28" s="25" t="n">
        <f aca="false">SUM(I13:I27)</f>
        <v>314.877534507455</v>
      </c>
      <c r="J28" s="25" t="n">
        <f aca="false">SUM(J13:J27)</f>
        <v>314.877534507455</v>
      </c>
      <c r="K28" s="25" t="n">
        <f aca="false">SUM(K13:K27)</f>
        <v>1021.90053903911</v>
      </c>
      <c r="L28" s="25" t="n">
        <f aca="false">SUM(L13:L27)</f>
        <v>280.051042577831</v>
      </c>
      <c r="M28" s="25" t="n">
        <f aca="false">SUM(M13:M27)</f>
        <v>160.600699927287</v>
      </c>
      <c r="N28" s="25" t="n">
        <f aca="false">SUM(N13:N27)</f>
        <v>16.574449458688</v>
      </c>
      <c r="O28" s="25" t="n">
        <f aca="false">SUM(O13:O27)</f>
        <v>28.0051042577831</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Data!$H$28*Data!$M$28/SUM(Data!$H$28:$K$28)</f>
        <v>117.085714285714</v>
      </c>
      <c r="C34" s="22" t="n">
        <f aca="false">IF($B$38&gt;0,B34/$B$38,0)</f>
        <v>0.0171428571428571</v>
      </c>
      <c r="D34" s="21" t="n">
        <f aca="false">C28</f>
        <v>1317.14564039914</v>
      </c>
      <c r="E34" s="22" t="n">
        <f aca="false">IF($D$38&gt;0,D34/$D$38,0)</f>
        <v>0.241232310532536</v>
      </c>
      <c r="F34" s="21" t="n">
        <f aca="false">B34+D34</f>
        <v>1434.23135468485</v>
      </c>
      <c r="G34" s="22" t="n">
        <f aca="false">IF($F$38&gt;0,F34/$F$38,0)</f>
        <v>0.116698374449418</v>
      </c>
    </row>
    <row r="35" customFormat="false" ht="15" hidden="false" customHeight="true" outlineLevel="0" collapsed="false">
      <c r="A35" s="13" t="s">
        <v>110</v>
      </c>
      <c r="B35" s="21" t="n">
        <f aca="false">Data!$I$28*Data!$M$28/SUM(Data!$H$28:$K$28)</f>
        <v>864.049206349206</v>
      </c>
      <c r="C35" s="22" t="n">
        <f aca="false">IF($B$38&gt;0,B35/$B$38,0)</f>
        <v>0.126507936507937</v>
      </c>
      <c r="D35" s="21" t="n">
        <f aca="false">D28</f>
        <v>1694.1329425987</v>
      </c>
      <c r="E35" s="22" t="n">
        <f aca="false">IF($D$38&gt;0,D35/$D$38,0)</f>
        <v>0.310276701040081</v>
      </c>
      <c r="F35" s="21" t="n">
        <f aca="false">B35+D35</f>
        <v>2558.18214894791</v>
      </c>
      <c r="G35" s="22" t="n">
        <f aca="false">IF($F$38&gt;0,F35/$F$38,0)</f>
        <v>0.208150308074486</v>
      </c>
    </row>
    <row r="36" customFormat="false" ht="15" hidden="false" customHeight="true" outlineLevel="0" collapsed="false">
      <c r="A36" s="13" t="s">
        <v>111</v>
      </c>
      <c r="B36" s="21" t="n">
        <f aca="false">Data!$J$28*Data!$M$28/SUM(Data!$H$28:$K$28)</f>
        <v>3301.16666666667</v>
      </c>
      <c r="C36" s="22" t="n">
        <f aca="false">IF($B$38&gt;0,B36/$B$38,0)</f>
        <v>0.483333333333333</v>
      </c>
      <c r="D36" s="21" t="n">
        <f aca="false">E28</f>
        <v>1021.00903559965</v>
      </c>
      <c r="E36" s="22" t="n">
        <f aca="false">IF($D$38&gt;0,D36/$D$38,0)</f>
        <v>0.186995546413275</v>
      </c>
      <c r="F36" s="21" t="n">
        <f aca="false">B36+D36</f>
        <v>4322.17570226632</v>
      </c>
      <c r="G36" s="22" t="n">
        <f aca="false">IF($F$38&gt;0,F36/$F$38,0)</f>
        <v>0.351680275913423</v>
      </c>
    </row>
    <row r="37" customFormat="false" ht="15" hidden="false" customHeight="true" outlineLevel="0" collapsed="false">
      <c r="A37" s="13" t="s">
        <v>112</v>
      </c>
      <c r="B37" s="21" t="n">
        <f aca="false">Data!$K$28*Data!$M$28/SUM(Data!$H$28:$K$28)</f>
        <v>2547.69841269841</v>
      </c>
      <c r="C37" s="22" t="n">
        <f aca="false">IF($B$38&gt;0,B37/$B$38,0)</f>
        <v>0.373015873015873</v>
      </c>
      <c r="D37" s="21" t="n">
        <f aca="false">F28</f>
        <v>1427.78378515209</v>
      </c>
      <c r="E37" s="22" t="n">
        <f aca="false">IF($D$38&gt;0,D37/$D$38,0)</f>
        <v>0.261495442014109</v>
      </c>
      <c r="F37" s="21" t="n">
        <f aca="false">B37+D37</f>
        <v>3975.4821978505</v>
      </c>
      <c r="G37" s="22" t="n">
        <f aca="false">IF($F$38&gt;0,F37/$F$38,0)</f>
        <v>0.323471041562673</v>
      </c>
    </row>
    <row r="38" customFormat="false" ht="15" hidden="false" customHeight="true" outlineLevel="0" collapsed="false">
      <c r="A38" s="24" t="s">
        <v>61</v>
      </c>
      <c r="B38" s="25" t="n">
        <f aca="false">SUM(B34:B37)</f>
        <v>6830</v>
      </c>
      <c r="C38" s="27" t="n">
        <f aca="false">SUM(C34:C37)</f>
        <v>1</v>
      </c>
      <c r="D38" s="25" t="n">
        <f aca="false">SUM(D34:D37)</f>
        <v>5460.07140374958</v>
      </c>
      <c r="E38" s="27" t="n">
        <f aca="false">SUM(E34:E37)</f>
        <v>1</v>
      </c>
      <c r="F38" s="25" t="n">
        <f aca="false">SUM(F34:F37)</f>
        <v>12290.0714037496</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103</v>
      </c>
      <c r="C6" s="15" t="n">
        <f aca="false">Model!$Q$52</f>
        <v>0.1</v>
      </c>
    </row>
    <row r="7" customFormat="false" ht="15" hidden="false" customHeight="true" outlineLevel="0" collapsed="false">
      <c r="A7" s="13" t="s">
        <v>104</v>
      </c>
      <c r="C7" s="15" t="n">
        <f aca="false">Model!$G$52</f>
        <v>0.35414</v>
      </c>
    </row>
    <row r="8" customFormat="false" ht="15" hidden="false" customHeight="true" outlineLevel="0" collapsed="false">
      <c r="A8" s="13" t="s">
        <v>105</v>
      </c>
      <c r="C8" s="15" t="n">
        <f aca="false">Model!$R$52</f>
        <v>0.254125633636919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IF($A13&lt;=Model!$B$3,Data!$B$4*Model!$D$52,0)</f>
        <v>67.7285517195652</v>
      </c>
      <c r="C13" s="21" t="n">
        <f aca="false">$B13*IF(Model!$B$5=1,Data!$D$4,Model!$AC$52)</f>
        <v>17.5198387773641</v>
      </c>
      <c r="D13" s="21" t="n">
        <f aca="false">$B13*IF(Model!$B$5=1,Data!$E$4,Model!$AD$52)</f>
        <v>21.443139029412</v>
      </c>
      <c r="E13" s="21" t="n">
        <f aca="false">$B13*IF(Model!$B$5=1,Data!$F$4,Model!$AE$52)</f>
        <v>12.5323234771897</v>
      </c>
      <c r="F13" s="21" t="n">
        <f aca="false">$B13*IF(Model!$B$5=1,Data!$G$4,Model!$AF$52)</f>
        <v>16.2332504355993</v>
      </c>
      <c r="G13" s="21" t="n">
        <f aca="false">$B13*Model!$S$52</f>
        <v>41.005398582195</v>
      </c>
      <c r="H13" s="21" t="n">
        <f aca="false">$B13*Model!$T$52</f>
        <v>10.2392567969129</v>
      </c>
      <c r="I13" s="21" t="n">
        <f aca="false">$B13*Model!$U$52</f>
        <v>4.85552058425038</v>
      </c>
      <c r="J13" s="21" t="n">
        <f aca="false">$B13*Model!$V$52</f>
        <v>4.85552058425038</v>
      </c>
      <c r="K13" s="21" t="n">
        <f aca="false">$B13*Model!$W$52</f>
        <v>4.5922886035109</v>
      </c>
      <c r="L13" s="21" t="n">
        <f aca="false">$B13*Model!$X$52</f>
        <v>1.25851309604046</v>
      </c>
      <c r="M13" s="21" t="n">
        <f aca="false">$B13*Model!$Y$52</f>
        <v>0.721718734668101</v>
      </c>
      <c r="N13" s="21" t="n">
        <f aca="false">$B13*Model!$Z$52</f>
        <v>0.0744834281330069</v>
      </c>
      <c r="O13" s="21" t="n">
        <f aca="false">$B13*Model!$AA$52</f>
        <v>0.125851309604046</v>
      </c>
    </row>
    <row r="14" customFormat="false" ht="15" hidden="false" customHeight="true" outlineLevel="0" collapsed="false">
      <c r="A14" s="23" t="n">
        <v>2027</v>
      </c>
      <c r="B14" s="21" t="n">
        <f aca="false">IF($A14&lt;=Model!$B$3,Data!$B$5*Model!$D$52,0)</f>
        <v>67.7285517195652</v>
      </c>
      <c r="C14" s="21" t="n">
        <f aca="false">$B14*IF(Model!$B$5=1,Data!$D$5,Model!$AC$52)</f>
        <v>17.027440770022</v>
      </c>
      <c r="D14" s="21" t="n">
        <f aca="false">$B14*IF(Model!$B$5=1,Data!$E$5,Model!$AD$52)</f>
        <v>21.5066742561658</v>
      </c>
      <c r="E14" s="21" t="n">
        <f aca="false">$B14*IF(Model!$B$5=1,Data!$F$5,Model!$AE$52)</f>
        <v>12.5005558638128</v>
      </c>
      <c r="F14" s="21" t="n">
        <f aca="false">$B14*IF(Model!$B$5=1,Data!$G$5,Model!$AF$52)</f>
        <v>16.6938808295645</v>
      </c>
      <c r="G14" s="21" t="n">
        <f aca="false">$B14*Model!$S$52</f>
        <v>41.005398582195</v>
      </c>
      <c r="H14" s="21" t="n">
        <f aca="false">$B14*Model!$T$52</f>
        <v>10.2392567969129</v>
      </c>
      <c r="I14" s="21" t="n">
        <f aca="false">$B14*Model!$U$52</f>
        <v>4.85552058425038</v>
      </c>
      <c r="J14" s="21" t="n">
        <f aca="false">$B14*Model!$V$52</f>
        <v>4.85552058425038</v>
      </c>
      <c r="K14" s="21" t="n">
        <f aca="false">$B14*Model!$W$52</f>
        <v>4.5922886035109</v>
      </c>
      <c r="L14" s="21" t="n">
        <f aca="false">$B14*Model!$X$52</f>
        <v>1.25851309604046</v>
      </c>
      <c r="M14" s="21" t="n">
        <f aca="false">$B14*Model!$Y$52</f>
        <v>0.721718734668101</v>
      </c>
      <c r="N14" s="21" t="n">
        <f aca="false">$B14*Model!$Z$52</f>
        <v>0.0744834281330069</v>
      </c>
      <c r="O14" s="21" t="n">
        <f aca="false">$B14*Model!$AA$52</f>
        <v>0.125851309604046</v>
      </c>
    </row>
    <row r="15" customFormat="false" ht="15" hidden="false" customHeight="true" outlineLevel="0" collapsed="false">
      <c r="A15" s="23" t="n">
        <v>2028</v>
      </c>
      <c r="B15" s="21" t="n">
        <f aca="false">IF($A15&lt;=Model!$B$3,Data!$B$6*Model!$D$52,0)</f>
        <v>67.7285517195652</v>
      </c>
      <c r="C15" s="21" t="n">
        <f aca="false">$B15*IF(Model!$B$5=1,Data!$D$6,Model!$AC$52)</f>
        <v>16.9718660808296</v>
      </c>
      <c r="D15" s="21" t="n">
        <f aca="false">$B15*IF(Model!$B$5=1,Data!$E$6,Model!$AD$52)</f>
        <v>21.5167665481678</v>
      </c>
      <c r="E15" s="21" t="n">
        <f aca="false">$B15*IF(Model!$B$5=1,Data!$F$6,Model!$AE$52)</f>
        <v>12.5064219153679</v>
      </c>
      <c r="F15" s="21" t="n">
        <f aca="false">$B15*IF(Model!$B$5=1,Data!$G$6,Model!$AF$52)</f>
        <v>16.7334971751999</v>
      </c>
      <c r="G15" s="21" t="n">
        <f aca="false">$B15*Model!$S$52</f>
        <v>41.005398582195</v>
      </c>
      <c r="H15" s="21" t="n">
        <f aca="false">$B15*Model!$T$52</f>
        <v>10.2392567969129</v>
      </c>
      <c r="I15" s="21" t="n">
        <f aca="false">$B15*Model!$U$52</f>
        <v>4.85552058425038</v>
      </c>
      <c r="J15" s="21" t="n">
        <f aca="false">$B15*Model!$V$52</f>
        <v>4.85552058425038</v>
      </c>
      <c r="K15" s="21" t="n">
        <f aca="false">$B15*Model!$W$52</f>
        <v>4.5922886035109</v>
      </c>
      <c r="L15" s="21" t="n">
        <f aca="false">$B15*Model!$X$52</f>
        <v>1.25851309604046</v>
      </c>
      <c r="M15" s="21" t="n">
        <f aca="false">$B15*Model!$Y$52</f>
        <v>0.721718734668101</v>
      </c>
      <c r="N15" s="21" t="n">
        <f aca="false">$B15*Model!$Z$52</f>
        <v>0.0744834281330069</v>
      </c>
      <c r="O15" s="21" t="n">
        <f aca="false">$B15*Model!$AA$52</f>
        <v>0.125851309604046</v>
      </c>
    </row>
    <row r="16" customFormat="false" ht="15" hidden="false" customHeight="true" outlineLevel="0" collapsed="false">
      <c r="A16" s="23" t="n">
        <v>2029</v>
      </c>
      <c r="B16" s="21" t="n">
        <f aca="false">IF($A16&lt;=Model!$B$3,Data!$B$7*Model!$D$52,0)</f>
        <v>67.7285517195652</v>
      </c>
      <c r="C16" s="21" t="n">
        <f aca="false">$B16*IF(Model!$B$5=1,Data!$D$7,Model!$AC$52)</f>
        <v>16.7931220191369</v>
      </c>
      <c r="D16" s="21" t="n">
        <f aca="false">$B16*IF(Model!$B$5=1,Data!$E$7,Model!$AD$52)</f>
        <v>21.4005064898556</v>
      </c>
      <c r="E16" s="21" t="n">
        <f aca="false">$B16*IF(Model!$B$5=1,Data!$F$7,Model!$AE$52)</f>
        <v>12.4240505382829</v>
      </c>
      <c r="F16" s="21" t="n">
        <f aca="false">$B16*IF(Model!$B$5=1,Data!$G$7,Model!$AF$52)</f>
        <v>17.1108726722898</v>
      </c>
      <c r="G16" s="21" t="n">
        <f aca="false">$B16*Model!$S$52</f>
        <v>41.005398582195</v>
      </c>
      <c r="H16" s="21" t="n">
        <f aca="false">$B16*Model!$T$52</f>
        <v>10.2392567969129</v>
      </c>
      <c r="I16" s="21" t="n">
        <f aca="false">$B16*Model!$U$52</f>
        <v>4.85552058425038</v>
      </c>
      <c r="J16" s="21" t="n">
        <f aca="false">$B16*Model!$V$52</f>
        <v>4.85552058425038</v>
      </c>
      <c r="K16" s="21" t="n">
        <f aca="false">$B16*Model!$W$52</f>
        <v>4.5922886035109</v>
      </c>
      <c r="L16" s="21" t="n">
        <f aca="false">$B16*Model!$X$52</f>
        <v>1.25851309604046</v>
      </c>
      <c r="M16" s="21" t="n">
        <f aca="false">$B16*Model!$Y$52</f>
        <v>0.721718734668101</v>
      </c>
      <c r="N16" s="21" t="n">
        <f aca="false">$B16*Model!$Z$52</f>
        <v>0.0744834281330069</v>
      </c>
      <c r="O16" s="21" t="n">
        <f aca="false">$B16*Model!$AA$52</f>
        <v>0.125851309604046</v>
      </c>
    </row>
    <row r="17" customFormat="false" ht="15" hidden="false" customHeight="true" outlineLevel="0" collapsed="false">
      <c r="A17" s="23" t="n">
        <v>2030</v>
      </c>
      <c r="B17" s="21" t="n">
        <f aca="false">IF($A17&lt;=Model!$B$3,Data!$B$8*Model!$D$52,0)</f>
        <v>67.7285517195652</v>
      </c>
      <c r="C17" s="21" t="n">
        <f aca="false">$B17*IF(Model!$B$5=1,Data!$D$8,Model!$AC$52)</f>
        <v>16.7652796959505</v>
      </c>
      <c r="D17" s="21" t="n">
        <f aca="false">$B17*IF(Model!$B$5=1,Data!$E$8,Model!$AD$52)</f>
        <v>21.0877025180345</v>
      </c>
      <c r="E17" s="21" t="n">
        <f aca="false">$B17*IF(Model!$B$5=1,Data!$F$8,Model!$AE$52)</f>
        <v>12.4428568738666</v>
      </c>
      <c r="F17" s="21" t="n">
        <f aca="false">$B17*IF(Model!$B$5=1,Data!$G$8,Model!$AF$52)</f>
        <v>17.4327126317135</v>
      </c>
      <c r="G17" s="21" t="n">
        <f aca="false">$B17*Model!$S$52</f>
        <v>41.005398582195</v>
      </c>
      <c r="H17" s="21" t="n">
        <f aca="false">$B17*Model!$T$52</f>
        <v>10.2392567969129</v>
      </c>
      <c r="I17" s="21" t="n">
        <f aca="false">$B17*Model!$U$52</f>
        <v>4.85552058425038</v>
      </c>
      <c r="J17" s="21" t="n">
        <f aca="false">$B17*Model!$V$52</f>
        <v>4.85552058425038</v>
      </c>
      <c r="K17" s="21" t="n">
        <f aca="false">$B17*Model!$W$52</f>
        <v>4.5922886035109</v>
      </c>
      <c r="L17" s="21" t="n">
        <f aca="false">$B17*Model!$X$52</f>
        <v>1.25851309604046</v>
      </c>
      <c r="M17" s="21" t="n">
        <f aca="false">$B17*Model!$Y$52</f>
        <v>0.721718734668101</v>
      </c>
      <c r="N17" s="21" t="n">
        <f aca="false">$B17*Model!$Z$52</f>
        <v>0.0744834281330069</v>
      </c>
      <c r="O17" s="21" t="n">
        <f aca="false">$B17*Model!$AA$52</f>
        <v>0.125851309604046</v>
      </c>
    </row>
    <row r="18" customFormat="false" ht="15" hidden="false" customHeight="true" outlineLevel="0" collapsed="false">
      <c r="A18" s="23" t="n">
        <v>2031</v>
      </c>
      <c r="B18" s="21" t="n">
        <f aca="false">IF($A18&lt;=Model!$B$3,Data!$B$9*Model!$D$52,0)</f>
        <v>34.4441708017868</v>
      </c>
      <c r="C18" s="21" t="n">
        <f aca="false">$B18*IF(Model!$B$5=1,Data!$D$9,Model!$AC$52)</f>
        <v>7.95965386148304</v>
      </c>
      <c r="D18" s="21" t="n">
        <f aca="false">$B18*IF(Model!$B$5=1,Data!$E$9,Model!$AD$52)</f>
        <v>10.4698840213919</v>
      </c>
      <c r="E18" s="21" t="n">
        <f aca="false">$B18*IF(Model!$B$5=1,Data!$F$9,Model!$AE$52)</f>
        <v>6.54566345495212</v>
      </c>
      <c r="F18" s="21" t="n">
        <f aca="false">$B18*IF(Model!$B$5=1,Data!$G$9,Model!$AF$52)</f>
        <v>9.46896946395986</v>
      </c>
      <c r="G18" s="21" t="n">
        <f aca="false">$B18*Model!$S$52</f>
        <v>20.8537893798261</v>
      </c>
      <c r="H18" s="21" t="n">
        <f aca="false">$B18*Model!$T$52</f>
        <v>5.20729738111828</v>
      </c>
      <c r="I18" s="21" t="n">
        <f aca="false">$B18*Model!$U$52</f>
        <v>2.46933348033188</v>
      </c>
      <c r="J18" s="21" t="n">
        <f aca="false">$B18*Model!$V$52</f>
        <v>2.46933348033188</v>
      </c>
      <c r="K18" s="21" t="n">
        <f aca="false">$B18*Model!$W$52</f>
        <v>2.33546368576393</v>
      </c>
      <c r="L18" s="21" t="n">
        <f aca="false">$B18*Model!$X$52</f>
        <v>0.640031994420764</v>
      </c>
      <c r="M18" s="21" t="n">
        <f aca="false">$B18*Model!$Y$52</f>
        <v>0.367038755984153</v>
      </c>
      <c r="N18" s="21" t="n">
        <f aca="false">$B18*Model!$Z$52</f>
        <v>0.0378794445677595</v>
      </c>
      <c r="O18" s="21" t="n">
        <f aca="false">$B18*Model!$AA$52</f>
        <v>0.0640031994420764</v>
      </c>
    </row>
    <row r="19" customFormat="false" ht="15" hidden="false" customHeight="true" outlineLevel="0" collapsed="false">
      <c r="A19" s="23" t="n">
        <v>2032</v>
      </c>
      <c r="B19" s="21" t="n">
        <f aca="false">IF($A19&lt;=Model!$B$3,Data!$B$10*Model!$D$52,0)</f>
        <v>34.4441708017868</v>
      </c>
      <c r="C19" s="21" t="n">
        <f aca="false">$B19*IF(Model!$B$5=1,Data!$D$10,Model!$AC$52)</f>
        <v>7.65779074098769</v>
      </c>
      <c r="D19" s="21" t="n">
        <f aca="false">$B19*IF(Model!$B$5=1,Data!$E$10,Model!$AD$52)</f>
        <v>10.2633460968424</v>
      </c>
      <c r="E19" s="21" t="n">
        <f aca="false">$B19*IF(Model!$B$5=1,Data!$F$10,Model!$AE$52)</f>
        <v>6.65687618355568</v>
      </c>
      <c r="F19" s="21" t="n">
        <f aca="false">$B19*IF(Model!$B$5=1,Data!$G$10,Model!$AF$52)</f>
        <v>9.86615778040112</v>
      </c>
      <c r="G19" s="21" t="n">
        <f aca="false">$B19*Model!$S$52</f>
        <v>20.8537893798261</v>
      </c>
      <c r="H19" s="21" t="n">
        <f aca="false">$B19*Model!$T$52</f>
        <v>5.20729738111828</v>
      </c>
      <c r="I19" s="21" t="n">
        <f aca="false">$B19*Model!$U$52</f>
        <v>2.46933348033188</v>
      </c>
      <c r="J19" s="21" t="n">
        <f aca="false">$B19*Model!$V$52</f>
        <v>2.46933348033188</v>
      </c>
      <c r="K19" s="21" t="n">
        <f aca="false">$B19*Model!$W$52</f>
        <v>2.33546368576393</v>
      </c>
      <c r="L19" s="21" t="n">
        <f aca="false">$B19*Model!$X$52</f>
        <v>0.640031994420764</v>
      </c>
      <c r="M19" s="21" t="n">
        <f aca="false">$B19*Model!$Y$52</f>
        <v>0.367038755984153</v>
      </c>
      <c r="N19" s="21" t="n">
        <f aca="false">$B19*Model!$Z$52</f>
        <v>0.0378794445677595</v>
      </c>
      <c r="O19" s="21" t="n">
        <f aca="false">$B19*Model!$AA$52</f>
        <v>0.0640031994420764</v>
      </c>
    </row>
    <row r="20" customFormat="false" ht="15" hidden="false" customHeight="true" outlineLevel="0" collapsed="false">
      <c r="A20" s="23" t="n">
        <v>2033</v>
      </c>
      <c r="B20" s="21" t="n">
        <f aca="false">IF($A20&lt;=Model!$B$3,Data!$B$11*Model!$D$52,0)</f>
        <v>34.4441708017868</v>
      </c>
      <c r="C20" s="21" t="n">
        <f aca="false">$B20*IF(Model!$B$5=1,Data!$D$11,Model!$AC$52)</f>
        <v>7.59774510533185</v>
      </c>
      <c r="D20" s="21" t="n">
        <f aca="false">$B20*IF(Model!$B$5=1,Data!$E$11,Model!$AD$52)</f>
        <v>10.2998720256381</v>
      </c>
      <c r="E20" s="21" t="n">
        <f aca="false">$B20*IF(Model!$B$5=1,Data!$F$11,Model!$AE$52)</f>
        <v>6.65994811534319</v>
      </c>
      <c r="F20" s="21" t="n">
        <f aca="false">$B20*IF(Model!$B$5=1,Data!$G$11,Model!$AF$52)</f>
        <v>9.88660555547367</v>
      </c>
      <c r="G20" s="21" t="n">
        <f aca="false">$B20*Model!$S$52</f>
        <v>20.8537893798261</v>
      </c>
      <c r="H20" s="21" t="n">
        <f aca="false">$B20*Model!$T$52</f>
        <v>5.20729738111828</v>
      </c>
      <c r="I20" s="21" t="n">
        <f aca="false">$B20*Model!$U$52</f>
        <v>2.46933348033188</v>
      </c>
      <c r="J20" s="21" t="n">
        <f aca="false">$B20*Model!$V$52</f>
        <v>2.46933348033188</v>
      </c>
      <c r="K20" s="21" t="n">
        <f aca="false">$B20*Model!$W$52</f>
        <v>2.33546368576393</v>
      </c>
      <c r="L20" s="21" t="n">
        <f aca="false">$B20*Model!$X$52</f>
        <v>0.640031994420764</v>
      </c>
      <c r="M20" s="21" t="n">
        <f aca="false">$B20*Model!$Y$52</f>
        <v>0.367038755984153</v>
      </c>
      <c r="N20" s="21" t="n">
        <f aca="false">$B20*Model!$Z$52</f>
        <v>0.0378794445677595</v>
      </c>
      <c r="O20" s="21" t="n">
        <f aca="false">$B20*Model!$AA$52</f>
        <v>0.0640031994420764</v>
      </c>
    </row>
    <row r="21" customFormat="false" ht="15" hidden="false" customHeight="true" outlineLevel="0" collapsed="false">
      <c r="A21" s="23" t="n">
        <v>2034</v>
      </c>
      <c r="B21" s="21" t="n">
        <f aca="false">IF($A21&lt;=Model!$B$3,Data!$B$12*Model!$D$52,0)</f>
        <v>34.4441708017868</v>
      </c>
      <c r="C21" s="21" t="n">
        <f aca="false">$B21*IF(Model!$B$5=1,Data!$D$12,Model!$AC$52)</f>
        <v>7.53069047972648</v>
      </c>
      <c r="D21" s="21" t="n">
        <f aca="false">$B21*IF(Model!$B$5=1,Data!$E$12,Model!$AD$52)</f>
        <v>10.326896227473</v>
      </c>
      <c r="E21" s="21" t="n">
        <f aca="false">$B21*IF(Model!$B$5=1,Data!$F$12,Model!$AE$52)</f>
        <v>6.65687618355568</v>
      </c>
      <c r="F21" s="21" t="n">
        <f aca="false">$B21*IF(Model!$B$5=1,Data!$G$12,Model!$AF$52)</f>
        <v>9.92970791103171</v>
      </c>
      <c r="G21" s="21" t="n">
        <f aca="false">$B21*Model!$S$52</f>
        <v>20.8537893798261</v>
      </c>
      <c r="H21" s="21" t="n">
        <f aca="false">$B21*Model!$T$52</f>
        <v>5.20729738111828</v>
      </c>
      <c r="I21" s="21" t="n">
        <f aca="false">$B21*Model!$U$52</f>
        <v>2.46933348033188</v>
      </c>
      <c r="J21" s="21" t="n">
        <f aca="false">$B21*Model!$V$52</f>
        <v>2.46933348033188</v>
      </c>
      <c r="K21" s="21" t="n">
        <f aca="false">$B21*Model!$W$52</f>
        <v>2.33546368576393</v>
      </c>
      <c r="L21" s="21" t="n">
        <f aca="false">$B21*Model!$X$52</f>
        <v>0.640031994420764</v>
      </c>
      <c r="M21" s="21" t="n">
        <f aca="false">$B21*Model!$Y$52</f>
        <v>0.367038755984153</v>
      </c>
      <c r="N21" s="21" t="n">
        <f aca="false">$B21*Model!$Z$52</f>
        <v>0.0378794445677595</v>
      </c>
      <c r="O21" s="21" t="n">
        <f aca="false">$B21*Model!$AA$52</f>
        <v>0.0640031994420764</v>
      </c>
    </row>
    <row r="22" customFormat="false" ht="15" hidden="false" customHeight="true" outlineLevel="0" collapsed="false">
      <c r="A22" s="23" t="n">
        <v>2035</v>
      </c>
      <c r="B22" s="21" t="n">
        <f aca="false">IF($A22&lt;=Model!$B$3,Data!$B$13*Model!$D$52,0)</f>
        <v>33.2843809177783</v>
      </c>
      <c r="C22" s="21" t="n">
        <f aca="false">$B22*IF(Model!$B$5=1,Data!$D$13,Model!$AC$52)</f>
        <v>7.13350216328518</v>
      </c>
      <c r="D22" s="21" t="n">
        <f aca="false">$B22*IF(Model!$B$5=1,Data!$E$13,Model!$AD$52)</f>
        <v>9.83438271508581</v>
      </c>
      <c r="E22" s="21" t="n">
        <f aca="false">$B22*IF(Model!$B$5=1,Data!$F$13,Model!$AE$52)</f>
        <v>6.3867881283756</v>
      </c>
      <c r="F22" s="21" t="n">
        <f aca="false">$B22*IF(Model!$B$5=1,Data!$G$13,Model!$AF$52)</f>
        <v>9.92970791103173</v>
      </c>
      <c r="G22" s="21" t="n">
        <f aca="false">$B22*Model!$S$52</f>
        <v>20.1516092023689</v>
      </c>
      <c r="H22" s="21" t="n">
        <f aca="false">$B22*Model!$T$52</f>
        <v>5.03195941579465</v>
      </c>
      <c r="I22" s="21" t="n">
        <f aca="false">$B22*Model!$U$52</f>
        <v>2.3861871039185</v>
      </c>
      <c r="J22" s="21" t="n">
        <f aca="false">$B22*Model!$V$52</f>
        <v>2.3861871039185</v>
      </c>
      <c r="K22" s="21" t="n">
        <f aca="false">$B22*Model!$W$52</f>
        <v>2.25682491774697</v>
      </c>
      <c r="L22" s="21" t="n">
        <f aca="false">$B22*Model!$X$52</f>
        <v>0.618481101619696</v>
      </c>
      <c r="M22" s="21" t="n">
        <f aca="false">$B22*Model!$Y$52</f>
        <v>0.354679978683948</v>
      </c>
      <c r="N22" s="21" t="n">
        <f aca="false">$B22*Model!$Z$52</f>
        <v>0.0366039835652473</v>
      </c>
      <c r="O22" s="21" t="n">
        <f aca="false">$B22*Model!$AA$52</f>
        <v>0.0618481101619696</v>
      </c>
    </row>
    <row r="23" customFormat="false" ht="15" hidden="false" customHeight="true" outlineLevel="0" collapsed="false">
      <c r="A23" s="23" t="n">
        <v>2036</v>
      </c>
      <c r="B23" s="21" t="n">
        <f aca="false">IF($A23&lt;=Model!$B$3,Data!$B$14*Model!$D$52,0)</f>
        <v>25.2135143276918</v>
      </c>
      <c r="C23" s="21" t="n">
        <f aca="false">$B23*IF(Model!$B$5=1,Data!$D$14,Model!$AC$52)</f>
        <v>6.08233494535727</v>
      </c>
      <c r="D23" s="21" t="n">
        <f aca="false">$B23*IF(Model!$B$5=1,Data!$E$14,Model!$AD$52)</f>
        <v>7.82317638533225</v>
      </c>
      <c r="E23" s="21" t="n">
        <f aca="false">$B23*IF(Model!$B$5=1,Data!$F$14,Model!$AE$52)</f>
        <v>4.71481164713765</v>
      </c>
      <c r="F23" s="21" t="n">
        <f aca="false">$B23*IF(Model!$B$5=1,Data!$G$14,Model!$AF$52)</f>
        <v>6.59319134986459</v>
      </c>
      <c r="G23" s="21" t="n">
        <f aca="false">$B23*Model!$S$52</f>
        <v>15.2652046797897</v>
      </c>
      <c r="H23" s="21" t="n">
        <f aca="false">$B23*Model!$T$52</f>
        <v>3.81179932833705</v>
      </c>
      <c r="I23" s="21" t="n">
        <f aca="false">$B23*Model!$U$52</f>
        <v>1.80757944339792</v>
      </c>
      <c r="J23" s="21" t="n">
        <f aca="false">$B23*Model!$V$52</f>
        <v>1.80757944339792</v>
      </c>
      <c r="K23" s="21" t="n">
        <f aca="false">$B23*Model!$W$52</f>
        <v>1.70958527182074</v>
      </c>
      <c r="L23" s="21" t="n">
        <f aca="false">$B23*Model!$X$52</f>
        <v>0.46851050514103</v>
      </c>
      <c r="M23" s="21" t="n">
        <f aca="false">$B23*Model!$Y$52</f>
        <v>0.26867643254006</v>
      </c>
      <c r="N23" s="21" t="n">
        <f aca="false">$B23*Model!$Z$52</f>
        <v>0.0277281727532446</v>
      </c>
      <c r="O23" s="21" t="n">
        <f aca="false">$B23*Model!$AA$52</f>
        <v>0.046851050514103</v>
      </c>
    </row>
    <row r="24" customFormat="false" ht="15" hidden="false" customHeight="true" outlineLevel="0" collapsed="false">
      <c r="A24" s="23" t="n">
        <v>2037</v>
      </c>
      <c r="B24" s="21" t="n">
        <f aca="false">IF($A24&lt;=Model!$B$3,Data!$B$15*Model!$D$52,0)</f>
        <v>25.0069764031423</v>
      </c>
      <c r="C24" s="21" t="n">
        <f aca="false">$B24*IF(Model!$B$5=1,Data!$D$15,Model!$AC$52)</f>
        <v>6.03251115563474</v>
      </c>
      <c r="D24" s="21" t="n">
        <f aca="false">$B24*IF(Model!$B$5=1,Data!$E$15,Model!$AD$52)</f>
        <v>7.75909239477818</v>
      </c>
      <c r="E24" s="21" t="n">
        <f aca="false">$B24*IF(Model!$B$5=1,Data!$F$15,Model!$AE$52)</f>
        <v>4.67619000163495</v>
      </c>
      <c r="F24" s="21" t="n">
        <f aca="false">$B24*IF(Model!$B$5=1,Data!$G$15,Model!$AF$52)</f>
        <v>6.53918285109446</v>
      </c>
      <c r="G24" s="21" t="n">
        <f aca="false">$B24*Model!$S$52</f>
        <v>15.1401588947631</v>
      </c>
      <c r="H24" s="21" t="n">
        <f aca="false">$B24*Model!$T$52</f>
        <v>3.78057475916982</v>
      </c>
      <c r="I24" s="21" t="n">
        <f aca="false">$B24*Model!$U$52</f>
        <v>1.7927725544476</v>
      </c>
      <c r="J24" s="21" t="n">
        <f aca="false">$B24*Model!$V$52</f>
        <v>1.7927725544476</v>
      </c>
      <c r="K24" s="21" t="n">
        <f aca="false">$B24*Model!$W$52</f>
        <v>1.69558110765333</v>
      </c>
      <c r="L24" s="21" t="n">
        <f aca="false">$B24*Model!$X$52</f>
        <v>0.464672674916182</v>
      </c>
      <c r="M24" s="21" t="n">
        <f aca="false">$B24*Model!$Y$52</f>
        <v>0.266475554390709</v>
      </c>
      <c r="N24" s="21" t="n">
        <f aca="false">$B24*Model!$Z$52</f>
        <v>0.0275010358623863</v>
      </c>
      <c r="O24" s="21" t="n">
        <f aca="false">$B24*Model!$AA$52</f>
        <v>0.0464672674916182</v>
      </c>
    </row>
    <row r="25" customFormat="false" ht="15" hidden="false" customHeight="true" outlineLevel="0" collapsed="false">
      <c r="A25" s="23" t="n">
        <v>2038</v>
      </c>
      <c r="B25" s="21" t="n">
        <f aca="false">IF($A25&lt;=Model!$B$3,Data!$B$16*Model!$D$52,0)</f>
        <v>24.7051132826469</v>
      </c>
      <c r="C25" s="21" t="n">
        <f aca="false">$B25*IF(Model!$B$5=1,Data!$D$16,Model!$AC$52)</f>
        <v>5.95969177065569</v>
      </c>
      <c r="D25" s="21" t="n">
        <f aca="false">$B25*IF(Model!$B$5=1,Data!$E$16,Model!$AD$52)</f>
        <v>7.66543117781453</v>
      </c>
      <c r="E25" s="21" t="n">
        <f aca="false">$B25*IF(Model!$B$5=1,Data!$F$16,Model!$AE$52)</f>
        <v>4.61974298128484</v>
      </c>
      <c r="F25" s="21" t="n">
        <f aca="false">$B25*IF(Model!$B$5=1,Data!$G$16,Model!$AF$52)</f>
        <v>6.46024735289189</v>
      </c>
      <c r="G25" s="21" t="n">
        <f aca="false">$B25*Model!$S$52</f>
        <v>14.9573996704934</v>
      </c>
      <c r="H25" s="21" t="n">
        <f aca="false">$B25*Model!$T$52</f>
        <v>3.73493885038696</v>
      </c>
      <c r="I25" s="21" t="n">
        <f aca="false">$B25*Model!$U$52</f>
        <v>1.77113171675096</v>
      </c>
      <c r="J25" s="21" t="n">
        <f aca="false">$B25*Model!$V$52</f>
        <v>1.77113171675096</v>
      </c>
      <c r="K25" s="21" t="n">
        <f aca="false">$B25*Model!$W$52</f>
        <v>1.67511348310098</v>
      </c>
      <c r="L25" s="21" t="n">
        <f aca="false">$B25*Model!$X$52</f>
        <v>0.459063538433713</v>
      </c>
      <c r="M25" s="21" t="n">
        <f aca="false">$B25*Model!$Y$52</f>
        <v>0.263258886326272</v>
      </c>
      <c r="N25" s="21" t="n">
        <f aca="false">$B25*Model!$Z$52</f>
        <v>0.0271690665603626</v>
      </c>
      <c r="O25" s="21" t="n">
        <f aca="false">$B25*Model!$AA$52</f>
        <v>0.0459063538433712</v>
      </c>
    </row>
    <row r="26" customFormat="false" ht="15" hidden="false" customHeight="true" outlineLevel="0" collapsed="false">
      <c r="A26" s="23" t="n">
        <v>2039</v>
      </c>
      <c r="B26" s="21" t="n">
        <f aca="false">IF($A26&lt;=Model!$B$3,Data!$B$17*Model!$D$52,0)</f>
        <v>24.4826878254398</v>
      </c>
      <c r="C26" s="21" t="n">
        <f aca="false">$B26*IF(Model!$B$5=1,Data!$D$17,Model!$AC$52)</f>
        <v>5.90603538172372</v>
      </c>
      <c r="D26" s="21" t="n">
        <f aca="false">$B26*IF(Model!$B$5=1,Data!$E$17,Model!$AD$52)</f>
        <v>7.5964176495255</v>
      </c>
      <c r="E26" s="21" t="n">
        <f aca="false">$B26*IF(Model!$B$5=1,Data!$F$17,Model!$AE$52)</f>
        <v>4.57815043997424</v>
      </c>
      <c r="F26" s="21" t="n">
        <f aca="false">$B26*IF(Model!$B$5=1,Data!$G$17,Model!$AF$52)</f>
        <v>6.40208435421636</v>
      </c>
      <c r="G26" s="21" t="n">
        <f aca="false">$B26*Model!$S$52</f>
        <v>14.8227349789262</v>
      </c>
      <c r="H26" s="21" t="n">
        <f aca="false">$B26*Model!$T$52</f>
        <v>3.7013123912838</v>
      </c>
      <c r="I26" s="21" t="n">
        <f aca="false">$B26*Model!$U$52</f>
        <v>1.75518583634291</v>
      </c>
      <c r="J26" s="21" t="n">
        <f aca="false">$B26*Model!$V$52</f>
        <v>1.75518583634291</v>
      </c>
      <c r="K26" s="21" t="n">
        <f aca="false">$B26*Model!$W$52</f>
        <v>1.66003207553608</v>
      </c>
      <c r="L26" s="21" t="n">
        <f aca="false">$B26*Model!$X$52</f>
        <v>0.454930490499261</v>
      </c>
      <c r="M26" s="21" t="n">
        <f aca="false">$B26*Model!$Y$52</f>
        <v>0.26088870985774</v>
      </c>
      <c r="N26" s="21" t="n">
        <f aca="false">$B26*Model!$Z$52</f>
        <v>0.0269244576009767</v>
      </c>
      <c r="O26" s="21" t="n">
        <f aca="false">$B26*Model!$AA$52</f>
        <v>0.0454930490499261</v>
      </c>
    </row>
    <row r="27" customFormat="false" ht="15" hidden="false" customHeight="true" outlineLevel="0" collapsed="false">
      <c r="A27" s="23" t="n">
        <v>2040</v>
      </c>
      <c r="B27" s="21" t="n">
        <f aca="false">IF($A27&lt;=Model!$B$3,Data!$B$18*Model!$D$52,0)</f>
        <v>24.2284873029174</v>
      </c>
      <c r="C27" s="21" t="n">
        <f aca="false">$B27*IF(Model!$B$5=1,Data!$D$18,Model!$AC$52)</f>
        <v>5.84471379437292</v>
      </c>
      <c r="D27" s="21" t="n">
        <f aca="false">$B27*IF(Model!$B$5=1,Data!$E$18,Model!$AD$52)</f>
        <v>7.51754504576666</v>
      </c>
      <c r="E27" s="21" t="n">
        <f aca="false">$B27*IF(Model!$B$5=1,Data!$F$18,Model!$AE$52)</f>
        <v>4.53061610704784</v>
      </c>
      <c r="F27" s="21" t="n">
        <f aca="false">$B27*IF(Model!$B$5=1,Data!$G$18,Model!$AF$52)</f>
        <v>6.33561235572999</v>
      </c>
      <c r="G27" s="21" t="n">
        <f aca="false">$B27*Model!$S$52</f>
        <v>14.6688324742781</v>
      </c>
      <c r="H27" s="21" t="n">
        <f aca="false">$B27*Model!$T$52</f>
        <v>3.66288215230876</v>
      </c>
      <c r="I27" s="21" t="n">
        <f aca="false">$B27*Model!$U$52</f>
        <v>1.73696197301943</v>
      </c>
      <c r="J27" s="21" t="n">
        <f aca="false">$B27*Model!$V$52</f>
        <v>1.73696197301943</v>
      </c>
      <c r="K27" s="21" t="n">
        <f aca="false">$B27*Model!$W$52</f>
        <v>1.6427961811762</v>
      </c>
      <c r="L27" s="21" t="n">
        <f aca="false">$B27*Model!$X$52</f>
        <v>0.450207007145602</v>
      </c>
      <c r="M27" s="21" t="n">
        <f aca="false">$B27*Model!$Y$52</f>
        <v>0.258179936750845</v>
      </c>
      <c r="N27" s="21" t="n">
        <f aca="false">$B27*Model!$Z$52</f>
        <v>0.0266449045045356</v>
      </c>
      <c r="O27" s="21" t="n">
        <f aca="false">$B27*Model!$AA$52</f>
        <v>0.0450207007145602</v>
      </c>
    </row>
    <row r="28" customFormat="false" ht="15" hidden="false" customHeight="true" outlineLevel="0" collapsed="false">
      <c r="A28" s="24" t="s">
        <v>122</v>
      </c>
      <c r="B28" s="25" t="n">
        <f aca="false">SUM(B13:B27)</f>
        <v>633.34060186459</v>
      </c>
      <c r="C28" s="25" t="n">
        <f aca="false">SUM(C13:C27)</f>
        <v>152.782216741862</v>
      </c>
      <c r="D28" s="25" t="n">
        <f aca="false">SUM(D13:D27)</f>
        <v>196.510832581284</v>
      </c>
      <c r="E28" s="25" t="n">
        <f aca="false">SUM(E13:E27)</f>
        <v>118.431871911382</v>
      </c>
      <c r="F28" s="25" t="n">
        <f aca="false">SUM(F13:F27)</f>
        <v>165.615680630062</v>
      </c>
      <c r="G28" s="25" t="n">
        <f aca="false">SUM(G13:G27)</f>
        <v>383.448090330899</v>
      </c>
      <c r="H28" s="25" t="n">
        <f aca="false">SUM(H13:H27)</f>
        <v>95.7489404063188</v>
      </c>
      <c r="I28" s="25" t="n">
        <f aca="false">SUM(I13:I27)</f>
        <v>45.4047554704568</v>
      </c>
      <c r="J28" s="25" t="n">
        <f aca="false">SUM(J13:J27)</f>
        <v>45.4047554704568</v>
      </c>
      <c r="K28" s="25" t="n">
        <f aca="false">SUM(K13:K27)</f>
        <v>42.9432307976445</v>
      </c>
      <c r="L28" s="25" t="n">
        <f aca="false">SUM(L13:L27)</f>
        <v>11.7685587756408</v>
      </c>
      <c r="M28" s="25" t="n">
        <f aca="false">SUM(M13:M27)</f>
        <v>6.74890819582669</v>
      </c>
      <c r="N28" s="25" t="n">
        <f aca="false">SUM(N13:N27)</f>
        <v>0.696506539782825</v>
      </c>
      <c r="O28" s="25" t="n">
        <f aca="false">SUM(O13:O27)</f>
        <v>1.17685587756408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Data!$H$29*Data!$M$29/SUM(Data!$H$29:$K$29)</f>
        <v>76.9401459854015</v>
      </c>
      <c r="C34" s="22" t="n">
        <f aca="false">IF($B$38&gt;0,B34/$B$38,0)</f>
        <v>0.0788321167883212</v>
      </c>
      <c r="D34" s="21" t="n">
        <f aca="false">C28</f>
        <v>152.782216741862</v>
      </c>
      <c r="E34" s="22" t="n">
        <f aca="false">IF($D$38&gt;0,D34/$D$38,0)</f>
        <v>0.241232310532536</v>
      </c>
      <c r="F34" s="21" t="n">
        <f aca="false">B34+D34</f>
        <v>229.722362727263</v>
      </c>
      <c r="G34" s="22" t="n">
        <f aca="false">IF($F$38&gt;0,F34/$F$38,0)</f>
        <v>0.142743159814091</v>
      </c>
    </row>
    <row r="35" customFormat="false" ht="15" hidden="false" customHeight="true" outlineLevel="0" collapsed="false">
      <c r="A35" s="13" t="s">
        <v>110</v>
      </c>
      <c r="B35" s="21" t="n">
        <f aca="false">Data!$I$29*Data!$M$29/SUM(Data!$H$29:$K$29)</f>
        <v>504.385401459854</v>
      </c>
      <c r="C35" s="22" t="n">
        <f aca="false">IF($B$38&gt;0,B35/$B$38,0)</f>
        <v>0.516788321167883</v>
      </c>
      <c r="D35" s="21" t="n">
        <f aca="false">D28</f>
        <v>196.510832581284</v>
      </c>
      <c r="E35" s="22" t="n">
        <f aca="false">IF($D$38&gt;0,D35/$D$38,0)</f>
        <v>0.310276701040081</v>
      </c>
      <c r="F35" s="21" t="n">
        <f aca="false">B35+D35</f>
        <v>700.896234041138</v>
      </c>
      <c r="G35" s="22" t="n">
        <f aca="false">IF($F$38&gt;0,F35/$F$38,0)</f>
        <v>0.435517648177817</v>
      </c>
    </row>
    <row r="36" customFormat="false" ht="15" hidden="false" customHeight="true" outlineLevel="0" collapsed="false">
      <c r="A36" s="13" t="s">
        <v>111</v>
      </c>
      <c r="B36" s="21" t="n">
        <f aca="false">Data!$J$29*Data!$M$29/SUM(Data!$H$29:$K$29)</f>
        <v>331.982481751825</v>
      </c>
      <c r="C36" s="22" t="n">
        <f aca="false">IF($B$38&gt;0,B36/$B$38,0)</f>
        <v>0.34014598540146</v>
      </c>
      <c r="D36" s="21" t="n">
        <f aca="false">E28</f>
        <v>118.431871911382</v>
      </c>
      <c r="E36" s="22" t="n">
        <f aca="false">IF($D$38&gt;0,D36/$D$38,0)</f>
        <v>0.186995546413275</v>
      </c>
      <c r="F36" s="21" t="n">
        <f aca="false">B36+D36</f>
        <v>450.414353663207</v>
      </c>
      <c r="G36" s="22" t="n">
        <f aca="false">IF($F$38&gt;0,F36/$F$38,0)</f>
        <v>0.279875094893744</v>
      </c>
    </row>
    <row r="37" customFormat="false" ht="15" hidden="false" customHeight="true" outlineLevel="0" collapsed="false">
      <c r="A37" s="13" t="s">
        <v>112</v>
      </c>
      <c r="B37" s="21" t="n">
        <f aca="false">Data!$K$29*Data!$M$29/SUM(Data!$H$29:$K$29)</f>
        <v>62.6919708029197</v>
      </c>
      <c r="C37" s="22" t="n">
        <f aca="false">IF($B$38&gt;0,B37/$B$38,0)</f>
        <v>0.0642335766423358</v>
      </c>
      <c r="D37" s="21" t="n">
        <f aca="false">F28</f>
        <v>165.615680630062</v>
      </c>
      <c r="E37" s="22" t="n">
        <f aca="false">IF($D$38&gt;0,D37/$D$38,0)</f>
        <v>0.261495442014109</v>
      </c>
      <c r="F37" s="21" t="n">
        <f aca="false">B37+D37</f>
        <v>228.307651432982</v>
      </c>
      <c r="G37" s="22" t="n">
        <f aca="false">IF($F$38&gt;0,F37/$F$38,0)</f>
        <v>0.141864097114348</v>
      </c>
    </row>
    <row r="38" customFormat="false" ht="15" hidden="false" customHeight="true" outlineLevel="0" collapsed="false">
      <c r="A38" s="24" t="s">
        <v>61</v>
      </c>
      <c r="B38" s="25" t="n">
        <f aca="false">SUM(B34:B37)</f>
        <v>976</v>
      </c>
      <c r="C38" s="27" t="n">
        <f aca="false">SUM(C34:C37)</f>
        <v>1</v>
      </c>
      <c r="D38" s="25" t="n">
        <f aca="false">SUM(D34:D37)</f>
        <v>633.34060186459</v>
      </c>
      <c r="E38" s="27" t="n">
        <f aca="false">SUM(E34:E37)</f>
        <v>1</v>
      </c>
      <c r="F38" s="25" t="n">
        <f aca="false">SUM(F34:F37)</f>
        <v>1609.34060186459</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103</v>
      </c>
      <c r="C6" s="15" t="n">
        <f aca="false">Model!$Q$53</f>
        <v>0.276027861874792</v>
      </c>
    </row>
    <row r="7" customFormat="false" ht="15" hidden="false" customHeight="true" outlineLevel="0" collapsed="false">
      <c r="A7" s="13" t="s">
        <v>104</v>
      </c>
      <c r="C7" s="15" t="n">
        <f aca="false">Model!$G$53</f>
        <v>0.13674</v>
      </c>
    </row>
    <row r="8" customFormat="false" ht="15" hidden="false" customHeight="true" outlineLevel="0" collapsed="false">
      <c r="A8" s="13" t="s">
        <v>105</v>
      </c>
      <c r="C8" s="15" t="n">
        <f aca="false">Model!$R$53</f>
        <v>0.196446465693621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IF($A13&lt;=Model!$B$3,Data!$B$4*Model!$D$53,0)</f>
        <v>336.570643816196</v>
      </c>
      <c r="C13" s="21" t="n">
        <f aca="false">$B13*IF(Model!$B$5=1,Data!$D$4,Model!$AC$53)</f>
        <v>87.0631848333173</v>
      </c>
      <c r="D13" s="21" t="n">
        <f aca="false">$B13*IF(Model!$B$5=1,Data!$E$4,Model!$AD$53)</f>
        <v>106.559655054377</v>
      </c>
      <c r="E13" s="21" t="n">
        <f aca="false">$B13*IF(Model!$B$5=1,Data!$F$4,Model!$AE$53)</f>
        <v>62.2781983984473</v>
      </c>
      <c r="F13" s="21" t="n">
        <f aca="false">$B13*IF(Model!$B$5=1,Data!$G$4,Model!$AF$53)</f>
        <v>80.6696055300544</v>
      </c>
      <c r="G13" s="21" t="n">
        <f aca="false">$B13*Model!$S$53</f>
        <v>163.917312743014</v>
      </c>
      <c r="H13" s="21" t="n">
        <f aca="false">$B13*Model!$T$53</f>
        <v>40.9309875447566</v>
      </c>
      <c r="I13" s="21" t="n">
        <f aca="false">$B13*Model!$U$53</f>
        <v>19.4097341730096</v>
      </c>
      <c r="J13" s="21" t="n">
        <f aca="false">$B13*Model!$V$53</f>
        <v>19.4097341730096</v>
      </c>
      <c r="K13" s="21" t="n">
        <f aca="false">$B13*Model!$W$53</f>
        <v>62.9921656526901</v>
      </c>
      <c r="L13" s="21" t="n">
        <f aca="false">$B13*Model!$X$53</f>
        <v>17.2629536743949</v>
      </c>
      <c r="M13" s="21" t="n">
        <f aca="false">$B13*Model!$Y$53</f>
        <v>9.89977547449995</v>
      </c>
      <c r="N13" s="21" t="n">
        <f aca="false">$B13*Model!$Z$53</f>
        <v>1.02168501338256</v>
      </c>
      <c r="O13" s="21" t="n">
        <f aca="false">$B13*Model!$AA$53</f>
        <v>1.72629536743949</v>
      </c>
    </row>
    <row r="14" customFormat="false" ht="15" hidden="false" customHeight="true" outlineLevel="0" collapsed="false">
      <c r="A14" s="23" t="n">
        <v>2027</v>
      </c>
      <c r="B14" s="21" t="n">
        <f aca="false">IF($A14&lt;=Model!$B$3,Data!$B$5*Model!$D$53,0)</f>
        <v>336.570643816196</v>
      </c>
      <c r="C14" s="21" t="n">
        <f aca="false">$B14*IF(Model!$B$5=1,Data!$D$5,Model!$AC$53)</f>
        <v>84.6162594209574</v>
      </c>
      <c r="D14" s="21" t="n">
        <f aca="false">$B14*IF(Model!$B$5=1,Data!$E$5,Model!$AD$53)</f>
        <v>106.875387365649</v>
      </c>
      <c r="E14" s="21" t="n">
        <f aca="false">$B14*IF(Model!$B$5=1,Data!$F$5,Model!$AE$53)</f>
        <v>62.1203322428112</v>
      </c>
      <c r="F14" s="21" t="n">
        <f aca="false">$B14*IF(Model!$B$5=1,Data!$G$5,Model!$AF$53)</f>
        <v>82.9586647867782</v>
      </c>
      <c r="G14" s="21" t="n">
        <f aca="false">$B14*Model!$S$53</f>
        <v>163.917312743014</v>
      </c>
      <c r="H14" s="21" t="n">
        <f aca="false">$B14*Model!$T$53</f>
        <v>40.9309875447566</v>
      </c>
      <c r="I14" s="21" t="n">
        <f aca="false">$B14*Model!$U$53</f>
        <v>19.4097341730096</v>
      </c>
      <c r="J14" s="21" t="n">
        <f aca="false">$B14*Model!$V$53</f>
        <v>19.4097341730096</v>
      </c>
      <c r="K14" s="21" t="n">
        <f aca="false">$B14*Model!$W$53</f>
        <v>62.9921656526901</v>
      </c>
      <c r="L14" s="21" t="n">
        <f aca="false">$B14*Model!$X$53</f>
        <v>17.2629536743949</v>
      </c>
      <c r="M14" s="21" t="n">
        <f aca="false">$B14*Model!$Y$53</f>
        <v>9.89977547449995</v>
      </c>
      <c r="N14" s="21" t="n">
        <f aca="false">$B14*Model!$Z$53</f>
        <v>1.02168501338256</v>
      </c>
      <c r="O14" s="21" t="n">
        <f aca="false">$B14*Model!$AA$53</f>
        <v>1.72629536743949</v>
      </c>
    </row>
    <row r="15" customFormat="false" ht="15" hidden="false" customHeight="true" outlineLevel="0" collapsed="false">
      <c r="A15" s="23" t="n">
        <v>2028</v>
      </c>
      <c r="B15" s="21" t="n">
        <f aca="false">IF($A15&lt;=Model!$B$3,Data!$B$6*Model!$D$53,0)</f>
        <v>336.570643816196</v>
      </c>
      <c r="C15" s="21" t="n">
        <f aca="false">$B15*IF(Model!$B$5=1,Data!$D$6,Model!$AC$53)</f>
        <v>84.3400862495772</v>
      </c>
      <c r="D15" s="21" t="n">
        <f aca="false">$B15*IF(Model!$B$5=1,Data!$E$6,Model!$AD$53)</f>
        <v>106.925540057984</v>
      </c>
      <c r="E15" s="21" t="n">
        <f aca="false">$B15*IF(Model!$B$5=1,Data!$F$6,Model!$AE$53)</f>
        <v>62.1494830322258</v>
      </c>
      <c r="F15" s="21" t="n">
        <f aca="false">$B15*IF(Model!$B$5=1,Data!$G$6,Model!$AF$53)</f>
        <v>83.1555344764088</v>
      </c>
      <c r="G15" s="21" t="n">
        <f aca="false">$B15*Model!$S$53</f>
        <v>163.917312743014</v>
      </c>
      <c r="H15" s="21" t="n">
        <f aca="false">$B15*Model!$T$53</f>
        <v>40.9309875447566</v>
      </c>
      <c r="I15" s="21" t="n">
        <f aca="false">$B15*Model!$U$53</f>
        <v>19.4097341730096</v>
      </c>
      <c r="J15" s="21" t="n">
        <f aca="false">$B15*Model!$V$53</f>
        <v>19.4097341730096</v>
      </c>
      <c r="K15" s="21" t="n">
        <f aca="false">$B15*Model!$W$53</f>
        <v>62.9921656526901</v>
      </c>
      <c r="L15" s="21" t="n">
        <f aca="false">$B15*Model!$X$53</f>
        <v>17.2629536743949</v>
      </c>
      <c r="M15" s="21" t="n">
        <f aca="false">$B15*Model!$Y$53</f>
        <v>9.89977547449995</v>
      </c>
      <c r="N15" s="21" t="n">
        <f aca="false">$B15*Model!$Z$53</f>
        <v>1.02168501338256</v>
      </c>
      <c r="O15" s="21" t="n">
        <f aca="false">$B15*Model!$AA$53</f>
        <v>1.72629536743949</v>
      </c>
    </row>
    <row r="16" customFormat="false" ht="15" hidden="false" customHeight="true" outlineLevel="0" collapsed="false">
      <c r="A16" s="23" t="n">
        <v>2029</v>
      </c>
      <c r="B16" s="21" t="n">
        <f aca="false">IF($A16&lt;=Model!$B$3,Data!$B$7*Model!$D$53,0)</f>
        <v>336.570643816196</v>
      </c>
      <c r="C16" s="21" t="n">
        <f aca="false">$B16*IF(Model!$B$5=1,Data!$D$7,Model!$AC$53)</f>
        <v>83.4518345094347</v>
      </c>
      <c r="D16" s="21" t="n">
        <f aca="false">$B16*IF(Model!$B$5=1,Data!$E$7,Model!$AD$53)</f>
        <v>106.347796673802</v>
      </c>
      <c r="E16" s="21" t="n">
        <f aca="false">$B16*IF(Model!$B$5=1,Data!$F$7,Model!$AE$53)</f>
        <v>61.740146250121</v>
      </c>
      <c r="F16" s="21" t="n">
        <f aca="false">$B16*IF(Model!$B$5=1,Data!$G$7,Model!$AF$53)</f>
        <v>85.030866382839</v>
      </c>
      <c r="G16" s="21" t="n">
        <f aca="false">$B16*Model!$S$53</f>
        <v>163.917312743014</v>
      </c>
      <c r="H16" s="21" t="n">
        <f aca="false">$B16*Model!$T$53</f>
        <v>40.9309875447566</v>
      </c>
      <c r="I16" s="21" t="n">
        <f aca="false">$B16*Model!$U$53</f>
        <v>19.4097341730096</v>
      </c>
      <c r="J16" s="21" t="n">
        <f aca="false">$B16*Model!$V$53</f>
        <v>19.4097341730096</v>
      </c>
      <c r="K16" s="21" t="n">
        <f aca="false">$B16*Model!$W$53</f>
        <v>62.9921656526901</v>
      </c>
      <c r="L16" s="21" t="n">
        <f aca="false">$B16*Model!$X$53</f>
        <v>17.2629536743949</v>
      </c>
      <c r="M16" s="21" t="n">
        <f aca="false">$B16*Model!$Y$53</f>
        <v>9.89977547449995</v>
      </c>
      <c r="N16" s="21" t="n">
        <f aca="false">$B16*Model!$Z$53</f>
        <v>1.02168501338256</v>
      </c>
      <c r="O16" s="21" t="n">
        <f aca="false">$B16*Model!$AA$53</f>
        <v>1.72629536743949</v>
      </c>
    </row>
    <row r="17" customFormat="false" ht="15" hidden="false" customHeight="true" outlineLevel="0" collapsed="false">
      <c r="A17" s="23" t="n">
        <v>2030</v>
      </c>
      <c r="B17" s="21" t="n">
        <f aca="false">IF($A17&lt;=Model!$B$3,Data!$B$8*Model!$D$53,0)</f>
        <v>336.570643816196</v>
      </c>
      <c r="C17" s="21" t="n">
        <f aca="false">$B17*IF(Model!$B$5=1,Data!$D$8,Model!$AC$53)</f>
        <v>83.3134747128312</v>
      </c>
      <c r="D17" s="21" t="n">
        <f aca="false">$B17*IF(Model!$B$5=1,Data!$E$8,Model!$AD$53)</f>
        <v>104.793346866282</v>
      </c>
      <c r="E17" s="21" t="n">
        <f aca="false">$B17*IF(Model!$B$5=1,Data!$F$8,Model!$AE$53)</f>
        <v>61.833602559381</v>
      </c>
      <c r="F17" s="21" t="n">
        <f aca="false">$B17*IF(Model!$B$5=1,Data!$G$8,Model!$AF$53)</f>
        <v>86.6302196777023</v>
      </c>
      <c r="G17" s="21" t="n">
        <f aca="false">$B17*Model!$S$53</f>
        <v>163.917312743014</v>
      </c>
      <c r="H17" s="21" t="n">
        <f aca="false">$B17*Model!$T$53</f>
        <v>40.9309875447566</v>
      </c>
      <c r="I17" s="21" t="n">
        <f aca="false">$B17*Model!$U$53</f>
        <v>19.4097341730096</v>
      </c>
      <c r="J17" s="21" t="n">
        <f aca="false">$B17*Model!$V$53</f>
        <v>19.4097341730096</v>
      </c>
      <c r="K17" s="21" t="n">
        <f aca="false">$B17*Model!$W$53</f>
        <v>62.9921656526901</v>
      </c>
      <c r="L17" s="21" t="n">
        <f aca="false">$B17*Model!$X$53</f>
        <v>17.2629536743949</v>
      </c>
      <c r="M17" s="21" t="n">
        <f aca="false">$B17*Model!$Y$53</f>
        <v>9.89977547449995</v>
      </c>
      <c r="N17" s="21" t="n">
        <f aca="false">$B17*Model!$Z$53</f>
        <v>1.02168501338256</v>
      </c>
      <c r="O17" s="21" t="n">
        <f aca="false">$B17*Model!$AA$53</f>
        <v>1.72629536743949</v>
      </c>
    </row>
    <row r="18" customFormat="false" ht="15" hidden="false" customHeight="true" outlineLevel="0" collapsed="false">
      <c r="A18" s="23" t="n">
        <v>2031</v>
      </c>
      <c r="B18" s="21" t="n">
        <f aca="false">IF($A18&lt;=Model!$B$3,Data!$B$9*Model!$D$53,0)</f>
        <v>171.167055077062</v>
      </c>
      <c r="C18" s="21" t="n">
        <f aca="false">$B18*IF(Model!$B$5=1,Data!$D$9,Model!$AC$53)</f>
        <v>39.5547484287859</v>
      </c>
      <c r="D18" s="21" t="n">
        <f aca="false">$B18*IF(Model!$B$5=1,Data!$E$9,Model!$AD$53)</f>
        <v>52.0291002286825</v>
      </c>
      <c r="E18" s="21" t="n">
        <f aca="false">$B18*IF(Model!$B$5=1,Data!$F$9,Model!$AE$53)</f>
        <v>32.5280565921354</v>
      </c>
      <c r="F18" s="21" t="n">
        <f aca="false">$B18*IF(Model!$B$5=1,Data!$G$9,Model!$AF$53)</f>
        <v>47.0551498274579</v>
      </c>
      <c r="G18" s="21" t="n">
        <f aca="false">$B18*Model!$S$53</f>
        <v>83.3621238627383</v>
      </c>
      <c r="H18" s="21" t="n">
        <f aca="false">$B18*Model!$T$53</f>
        <v>20.8159467504181</v>
      </c>
      <c r="I18" s="21" t="n">
        <f aca="false">$B18*Model!$U$53</f>
        <v>9.87105411378954</v>
      </c>
      <c r="J18" s="21" t="n">
        <f aca="false">$B18*Model!$V$53</f>
        <v>9.87105411378954</v>
      </c>
      <c r="K18" s="21" t="n">
        <f aca="false">$B18*Model!$W$53</f>
        <v>32.0354246153019</v>
      </c>
      <c r="L18" s="21" t="n">
        <f aca="false">$B18*Model!$X$53</f>
        <v>8.77928303215768</v>
      </c>
      <c r="M18" s="21" t="n">
        <f aca="false">$B18*Model!$Y$53</f>
        <v>5.03465006538022</v>
      </c>
      <c r="N18" s="21" t="n">
        <f aca="false">$B18*Model!$Z$53</f>
        <v>0.519590220270557</v>
      </c>
      <c r="O18" s="21" t="n">
        <f aca="false">$B18*Model!$AA$53</f>
        <v>0.877928303215769</v>
      </c>
    </row>
    <row r="19" customFormat="false" ht="15" hidden="false" customHeight="true" outlineLevel="0" collapsed="false">
      <c r="A19" s="23" t="n">
        <v>2032</v>
      </c>
      <c r="B19" s="21" t="n">
        <f aca="false">IF($A19&lt;=Model!$B$3,Data!$B$10*Model!$D$53,0)</f>
        <v>171.167055077062</v>
      </c>
      <c r="C19" s="21" t="n">
        <f aca="false">$B19*IF(Model!$B$5=1,Data!$D$10,Model!$AC$53)</f>
        <v>38.0546681490516</v>
      </c>
      <c r="D19" s="21" t="n">
        <f aca="false">$B19*IF(Model!$B$5=1,Data!$E$10,Model!$AD$53)</f>
        <v>51.0027295109695</v>
      </c>
      <c r="E19" s="21" t="n">
        <f aca="false">$B19*IF(Model!$B$5=1,Data!$F$10,Model!$AE$53)</f>
        <v>33.080717747827</v>
      </c>
      <c r="F19" s="21" t="n">
        <f aca="false">$B19*IF(Model!$B$5=1,Data!$G$10,Model!$AF$53)</f>
        <v>49.0289396692137</v>
      </c>
      <c r="G19" s="21" t="n">
        <f aca="false">$B19*Model!$S$53</f>
        <v>83.3621238627383</v>
      </c>
      <c r="H19" s="21" t="n">
        <f aca="false">$B19*Model!$T$53</f>
        <v>20.8159467504181</v>
      </c>
      <c r="I19" s="21" t="n">
        <f aca="false">$B19*Model!$U$53</f>
        <v>9.87105411378954</v>
      </c>
      <c r="J19" s="21" t="n">
        <f aca="false">$B19*Model!$V$53</f>
        <v>9.87105411378954</v>
      </c>
      <c r="K19" s="21" t="n">
        <f aca="false">$B19*Model!$W$53</f>
        <v>32.0354246153019</v>
      </c>
      <c r="L19" s="21" t="n">
        <f aca="false">$B19*Model!$X$53</f>
        <v>8.77928303215768</v>
      </c>
      <c r="M19" s="21" t="n">
        <f aca="false">$B19*Model!$Y$53</f>
        <v>5.03465006538022</v>
      </c>
      <c r="N19" s="21" t="n">
        <f aca="false">$B19*Model!$Z$53</f>
        <v>0.519590220270557</v>
      </c>
      <c r="O19" s="21" t="n">
        <f aca="false">$B19*Model!$AA$53</f>
        <v>0.877928303215769</v>
      </c>
    </row>
    <row r="20" customFormat="false" ht="15" hidden="false" customHeight="true" outlineLevel="0" collapsed="false">
      <c r="A20" s="23" t="n">
        <v>2033</v>
      </c>
      <c r="B20" s="21" t="n">
        <f aca="false">IF($A20&lt;=Model!$B$3,Data!$B$11*Model!$D$53,0)</f>
        <v>171.167055077062</v>
      </c>
      <c r="C20" s="21" t="n">
        <f aca="false">$B20*IF(Model!$B$5=1,Data!$D$11,Model!$AC$53)</f>
        <v>37.7562770313039</v>
      </c>
      <c r="D20" s="21" t="n">
        <f aca="false">$B20*IF(Model!$B$5=1,Data!$E$11,Model!$AD$53)</f>
        <v>51.1842416658679</v>
      </c>
      <c r="E20" s="21" t="n">
        <f aca="false">$B20*IF(Model!$B$5=1,Data!$F$11,Model!$AE$53)</f>
        <v>33.0959834228375</v>
      </c>
      <c r="F20" s="21" t="n">
        <f aca="false">$B20*IF(Model!$B$5=1,Data!$G$11,Model!$AF$53)</f>
        <v>49.1305529570524</v>
      </c>
      <c r="G20" s="21" t="n">
        <f aca="false">$B20*Model!$S$53</f>
        <v>83.3621238627383</v>
      </c>
      <c r="H20" s="21" t="n">
        <f aca="false">$B20*Model!$T$53</f>
        <v>20.8159467504181</v>
      </c>
      <c r="I20" s="21" t="n">
        <f aca="false">$B20*Model!$U$53</f>
        <v>9.87105411378954</v>
      </c>
      <c r="J20" s="21" t="n">
        <f aca="false">$B20*Model!$V$53</f>
        <v>9.87105411378954</v>
      </c>
      <c r="K20" s="21" t="n">
        <f aca="false">$B20*Model!$W$53</f>
        <v>32.0354246153019</v>
      </c>
      <c r="L20" s="21" t="n">
        <f aca="false">$B20*Model!$X$53</f>
        <v>8.77928303215768</v>
      </c>
      <c r="M20" s="21" t="n">
        <f aca="false">$B20*Model!$Y$53</f>
        <v>5.03465006538022</v>
      </c>
      <c r="N20" s="21" t="n">
        <f aca="false">$B20*Model!$Z$53</f>
        <v>0.519590220270557</v>
      </c>
      <c r="O20" s="21" t="n">
        <f aca="false">$B20*Model!$AA$53</f>
        <v>0.877928303215769</v>
      </c>
    </row>
    <row r="21" customFormat="false" ht="15" hidden="false" customHeight="true" outlineLevel="0" collapsed="false">
      <c r="A21" s="23" t="n">
        <v>2034</v>
      </c>
      <c r="B21" s="21" t="n">
        <f aca="false">IF($A21&lt;=Model!$B$3,Data!$B$12*Model!$D$53,0)</f>
        <v>171.167055077062</v>
      </c>
      <c r="C21" s="21" t="n">
        <f aca="false">$B21*IF(Model!$B$5=1,Data!$D$12,Model!$AC$53)</f>
        <v>37.4230553996898</v>
      </c>
      <c r="D21" s="21" t="n">
        <f aca="false">$B21*IF(Model!$B$5=1,Data!$E$12,Model!$AD$53)</f>
        <v>51.3185358856505</v>
      </c>
      <c r="E21" s="21" t="n">
        <f aca="false">$B21*IF(Model!$B$5=1,Data!$F$12,Model!$AE$53)</f>
        <v>33.080717747827</v>
      </c>
      <c r="F21" s="21" t="n">
        <f aca="false">$B21*IF(Model!$B$5=1,Data!$G$12,Model!$AF$53)</f>
        <v>49.3447460438945</v>
      </c>
      <c r="G21" s="21" t="n">
        <f aca="false">$B21*Model!$S$53</f>
        <v>83.3621238627383</v>
      </c>
      <c r="H21" s="21" t="n">
        <f aca="false">$B21*Model!$T$53</f>
        <v>20.8159467504181</v>
      </c>
      <c r="I21" s="21" t="n">
        <f aca="false">$B21*Model!$U$53</f>
        <v>9.87105411378954</v>
      </c>
      <c r="J21" s="21" t="n">
        <f aca="false">$B21*Model!$V$53</f>
        <v>9.87105411378954</v>
      </c>
      <c r="K21" s="21" t="n">
        <f aca="false">$B21*Model!$W$53</f>
        <v>32.0354246153019</v>
      </c>
      <c r="L21" s="21" t="n">
        <f aca="false">$B21*Model!$X$53</f>
        <v>8.77928303215768</v>
      </c>
      <c r="M21" s="21" t="n">
        <f aca="false">$B21*Model!$Y$53</f>
        <v>5.03465006538022</v>
      </c>
      <c r="N21" s="21" t="n">
        <f aca="false">$B21*Model!$Z$53</f>
        <v>0.519590220270557</v>
      </c>
      <c r="O21" s="21" t="n">
        <f aca="false">$B21*Model!$AA$53</f>
        <v>0.877928303215769</v>
      </c>
    </row>
    <row r="22" customFormat="false" ht="15" hidden="false" customHeight="true" outlineLevel="0" collapsed="false">
      <c r="A22" s="23" t="n">
        <v>2035</v>
      </c>
      <c r="B22" s="21" t="n">
        <f aca="false">IF($A22&lt;=Model!$B$3,Data!$B$13*Model!$D$53,0)</f>
        <v>165.403588739135</v>
      </c>
      <c r="C22" s="21" t="n">
        <f aca="false">$B22*IF(Model!$B$5=1,Data!$D$13,Model!$AC$53)</f>
        <v>35.4492655579338</v>
      </c>
      <c r="D22" s="21" t="n">
        <f aca="false">$B22*IF(Model!$B$5=1,Data!$E$13,Model!$AD$53)</f>
        <v>48.8710364818732</v>
      </c>
      <c r="E22" s="21" t="n">
        <f aca="false">$B22*IF(Model!$B$5=1,Data!$F$13,Model!$AE$53)</f>
        <v>31.738540655433</v>
      </c>
      <c r="F22" s="21" t="n">
        <f aca="false">$B22*IF(Model!$B$5=1,Data!$G$13,Model!$AF$53)</f>
        <v>49.3447460438946</v>
      </c>
      <c r="G22" s="21" t="n">
        <f aca="false">$B22*Model!$S$53</f>
        <v>80.5551888802752</v>
      </c>
      <c r="H22" s="21" t="n">
        <f aca="false">$B22*Model!$T$53</f>
        <v>20.1150407943385</v>
      </c>
      <c r="I22" s="21" t="n">
        <f aca="false">$B22*Model!$U$53</f>
        <v>9.53868005922006</v>
      </c>
      <c r="J22" s="21" t="n">
        <f aca="false">$B22*Model!$V$53</f>
        <v>9.53868005922006</v>
      </c>
      <c r="K22" s="21" t="n">
        <f aca="false">$B22*Model!$W$53</f>
        <v>30.9567410373882</v>
      </c>
      <c r="L22" s="21" t="n">
        <f aca="false">$B22*Model!$X$53</f>
        <v>8.48367064223725</v>
      </c>
      <c r="M22" s="21" t="n">
        <f aca="false">$B22*Model!$Y$53</f>
        <v>4.86512540911973</v>
      </c>
      <c r="N22" s="21" t="n">
        <f aca="false">$B22*Model!$Z$53</f>
        <v>0.502094793112</v>
      </c>
      <c r="O22" s="21" t="n">
        <f aca="false">$B22*Model!$AA$53</f>
        <v>0.848367064223725</v>
      </c>
    </row>
    <row r="23" customFormat="false" ht="15" hidden="false" customHeight="true" outlineLevel="0" collapsed="false">
      <c r="A23" s="23" t="n">
        <v>2036</v>
      </c>
      <c r="B23" s="21" t="n">
        <f aca="false">IF($A23&lt;=Model!$B$3,Data!$B$14*Model!$D$53,0)</f>
        <v>125.296179154657</v>
      </c>
      <c r="C23" s="21" t="n">
        <f aca="false">$B23*IF(Model!$B$5=1,Data!$D$14,Model!$AC$53)</f>
        <v>30.2255893045071</v>
      </c>
      <c r="D23" s="21" t="n">
        <f aca="false">$B23*IF(Model!$B$5=1,Data!$E$14,Model!$AD$53)</f>
        <v>38.8765364952919</v>
      </c>
      <c r="E23" s="21" t="n">
        <f aca="false">$B23*IF(Model!$B$5=1,Data!$F$14,Model!$AE$53)</f>
        <v>23.4298113758545</v>
      </c>
      <c r="F23" s="21" t="n">
        <f aca="false">$B23*IF(Model!$B$5=1,Data!$G$14,Model!$AF$53)</f>
        <v>32.7642419790037</v>
      </c>
      <c r="G23" s="21" t="n">
        <f aca="false">$B23*Model!$S$53</f>
        <v>61.0219974954639</v>
      </c>
      <c r="H23" s="21" t="n">
        <f aca="false">$B23*Model!$T$53</f>
        <v>15.2375034561409</v>
      </c>
      <c r="I23" s="21" t="n">
        <f aca="false">$B23*Model!$U$53</f>
        <v>7.22572088495572</v>
      </c>
      <c r="J23" s="21" t="n">
        <f aca="false">$B23*Model!$V$53</f>
        <v>7.22572088495572</v>
      </c>
      <c r="K23" s="21" t="n">
        <f aca="false">$B23*Model!$W$53</f>
        <v>23.4502854540979</v>
      </c>
      <c r="L23" s="21" t="n">
        <f aca="false">$B23*Model!$X$53</f>
        <v>6.42653236717447</v>
      </c>
      <c r="M23" s="21" t="n">
        <f aca="false">$B23*Model!$Y$53</f>
        <v>3.68541958199189</v>
      </c>
      <c r="N23" s="21" t="n">
        <f aca="false">$B23*Model!$Z$53</f>
        <v>0.380345793159305</v>
      </c>
      <c r="O23" s="21" t="n">
        <f aca="false">$B23*Model!$AA$53</f>
        <v>0.642653236717447</v>
      </c>
    </row>
    <row r="24" customFormat="false" ht="15" hidden="false" customHeight="true" outlineLevel="0" collapsed="false">
      <c r="A24" s="23" t="n">
        <v>2037</v>
      </c>
      <c r="B24" s="21" t="n">
        <f aca="false">IF($A24&lt;=Model!$B$3,Data!$B$15*Model!$D$53,0)</f>
        <v>124.269808436944</v>
      </c>
      <c r="C24" s="21" t="n">
        <f aca="false">$B24*IF(Model!$B$5=1,Data!$D$15,Model!$AC$53)</f>
        <v>29.9779946851255</v>
      </c>
      <c r="D24" s="21" t="n">
        <f aca="false">$B24*IF(Model!$B$5=1,Data!$E$15,Model!$AD$53)</f>
        <v>38.5580771541206</v>
      </c>
      <c r="E24" s="21" t="n">
        <f aca="false">$B24*IF(Model!$B$5=1,Data!$F$15,Model!$AE$53)</f>
        <v>23.2378847546282</v>
      </c>
      <c r="F24" s="21" t="n">
        <f aca="false">$B24*IF(Model!$B$5=1,Data!$G$15,Model!$AF$53)</f>
        <v>32.49585184307</v>
      </c>
      <c r="G24" s="21" t="n">
        <f aca="false">$B24*Model!$S$53</f>
        <v>60.5221323616006</v>
      </c>
      <c r="H24" s="21" t="n">
        <f aca="false">$B24*Model!$T$53</f>
        <v>15.11268458725</v>
      </c>
      <c r="I24" s="21" t="n">
        <f aca="false">$B24*Model!$U$53</f>
        <v>7.16653098482691</v>
      </c>
      <c r="J24" s="21" t="n">
        <f aca="false">$B24*Model!$V$53</f>
        <v>7.16653098482691</v>
      </c>
      <c r="K24" s="21" t="n">
        <f aca="false">$B24*Model!$W$53</f>
        <v>23.258191118305</v>
      </c>
      <c r="L24" s="21" t="n">
        <f aca="false">$B24*Model!$X$53</f>
        <v>6.37388906485987</v>
      </c>
      <c r="M24" s="21" t="n">
        <f aca="false">$B24*Model!$Y$53</f>
        <v>3.65523025964413</v>
      </c>
      <c r="N24" s="21" t="n">
        <f aca="false">$B24*Model!$Z$53</f>
        <v>0.377230169144768</v>
      </c>
      <c r="O24" s="21" t="n">
        <f aca="false">$B24*Model!$AA$53</f>
        <v>0.637388906485987</v>
      </c>
    </row>
    <row r="25" customFormat="false" ht="15" hidden="false" customHeight="true" outlineLevel="0" collapsed="false">
      <c r="A25" s="23" t="n">
        <v>2038</v>
      </c>
      <c r="B25" s="21" t="n">
        <f aca="false">IF($A25&lt;=Model!$B$3,Data!$B$16*Model!$D$53,0)</f>
        <v>122.76972815721</v>
      </c>
      <c r="C25" s="21" t="n">
        <f aca="false">$B25*IF(Model!$B$5=1,Data!$D$16,Model!$AC$53)</f>
        <v>29.6161256260294</v>
      </c>
      <c r="D25" s="21" t="n">
        <f aca="false">$B25*IF(Model!$B$5=1,Data!$E$16,Model!$AD$53)</f>
        <v>38.0926365785626</v>
      </c>
      <c r="E25" s="21" t="n">
        <f aca="false">$B25*IF(Model!$B$5=1,Data!$F$16,Model!$AE$53)</f>
        <v>22.9573766159129</v>
      </c>
      <c r="F25" s="21" t="n">
        <f aca="false">$B25*IF(Model!$B$5=1,Data!$G$16,Model!$AF$53)</f>
        <v>32.1035893367049</v>
      </c>
      <c r="G25" s="21" t="n">
        <f aca="false">$B25*Model!$S$53</f>
        <v>59.7915602428773</v>
      </c>
      <c r="H25" s="21" t="n">
        <f aca="false">$B25*Model!$T$53</f>
        <v>14.9302570096403</v>
      </c>
      <c r="I25" s="21" t="n">
        <f aca="false">$B25*Model!$U$53</f>
        <v>7.08002266925403</v>
      </c>
      <c r="J25" s="21" t="n">
        <f aca="false">$B25*Model!$V$53</f>
        <v>7.08002266925403</v>
      </c>
      <c r="K25" s="21" t="n">
        <f aca="false">$B25*Model!$W$53</f>
        <v>22.9774378583</v>
      </c>
      <c r="L25" s="21" t="n">
        <f aca="false">$B25*Model!$X$53</f>
        <v>6.29694885378469</v>
      </c>
      <c r="M25" s="21" t="n">
        <f aca="false">$B25*Model!$Y$53</f>
        <v>3.6111074039051</v>
      </c>
      <c r="N25" s="21" t="n">
        <f aca="false">$B25*Model!$Z$53</f>
        <v>0.372676564815828</v>
      </c>
      <c r="O25" s="21" t="n">
        <f aca="false">$B25*Model!$AA$53</f>
        <v>0.629694885378469</v>
      </c>
    </row>
    <row r="26" customFormat="false" ht="15" hidden="false" customHeight="true" outlineLevel="0" collapsed="false">
      <c r="A26" s="23" t="n">
        <v>2039</v>
      </c>
      <c r="B26" s="21" t="n">
        <f aca="false">IF($A26&lt;=Model!$B$3,Data!$B$17*Model!$D$53,0)</f>
        <v>121.664405845827</v>
      </c>
      <c r="C26" s="21" t="n">
        <f aca="false">$B26*IF(Model!$B$5=1,Data!$D$17,Model!$AC$53)</f>
        <v>29.3494852666953</v>
      </c>
      <c r="D26" s="21" t="n">
        <f aca="false">$B26*IF(Model!$B$5=1,Data!$E$17,Model!$AD$53)</f>
        <v>37.7496803649934</v>
      </c>
      <c r="E26" s="21" t="n">
        <f aca="false">$B26*IF(Model!$B$5=1,Data!$F$17,Model!$AE$53)</f>
        <v>22.7506864084385</v>
      </c>
      <c r="F26" s="21" t="n">
        <f aca="false">$B26*IF(Model!$B$5=1,Data!$G$17,Model!$AF$53)</f>
        <v>31.8145538056994</v>
      </c>
      <c r="G26" s="21" t="n">
        <f aca="false">$B26*Model!$S$53</f>
        <v>59.2532439448707</v>
      </c>
      <c r="H26" s="21" t="n">
        <f aca="false">$B26*Model!$T$53</f>
        <v>14.7958366892963</v>
      </c>
      <c r="I26" s="21" t="n">
        <f aca="false">$B26*Model!$U$53</f>
        <v>7.01627969988454</v>
      </c>
      <c r="J26" s="21" t="n">
        <f aca="false">$B26*Model!$V$53</f>
        <v>7.01627969988454</v>
      </c>
      <c r="K26" s="21" t="n">
        <f aca="false">$B26*Model!$W$53</f>
        <v>22.7705670351385</v>
      </c>
      <c r="L26" s="21" t="n">
        <f aca="false">$B26*Model!$X$53</f>
        <v>6.24025606667666</v>
      </c>
      <c r="M26" s="21" t="n">
        <f aca="false">$B26*Model!$Y$53</f>
        <v>3.57859582599212</v>
      </c>
      <c r="N26" s="21" t="n">
        <f aca="false">$B26*Model!$Z$53</f>
        <v>0.369321277415557</v>
      </c>
      <c r="O26" s="21" t="n">
        <f aca="false">$B26*Model!$AA$53</f>
        <v>0.624025606667666</v>
      </c>
    </row>
    <row r="27" customFormat="false" ht="15" hidden="false" customHeight="true" outlineLevel="0" collapsed="false">
      <c r="A27" s="23" t="n">
        <v>2040</v>
      </c>
      <c r="B27" s="21" t="n">
        <f aca="false">IF($A27&lt;=Model!$B$3,Data!$B$18*Model!$D$53,0)</f>
        <v>120.401180347103</v>
      </c>
      <c r="C27" s="21" t="n">
        <f aca="false">$B27*IF(Model!$B$5=1,Data!$D$18,Model!$AC$53)</f>
        <v>29.0447534274564</v>
      </c>
      <c r="D27" s="21" t="n">
        <f aca="false">$B27*IF(Model!$B$5=1,Data!$E$18,Model!$AD$53)</f>
        <v>37.3577304066289</v>
      </c>
      <c r="E27" s="21" t="n">
        <f aca="false">$B27*IF(Model!$B$5=1,Data!$F$18,Model!$AE$53)</f>
        <v>22.5144690284676</v>
      </c>
      <c r="F27" s="21" t="n">
        <f aca="false">$B27*IF(Model!$B$5=1,Data!$G$18,Model!$AF$53)</f>
        <v>31.4842274845499</v>
      </c>
      <c r="G27" s="21" t="n">
        <f aca="false">$B27*Model!$S$53</f>
        <v>58.6380253185774</v>
      </c>
      <c r="H27" s="21" t="n">
        <f aca="false">$B27*Model!$T$53</f>
        <v>14.6422134660459</v>
      </c>
      <c r="I27" s="21" t="n">
        <f aca="false">$B27*Model!$U$53</f>
        <v>6.94343059203369</v>
      </c>
      <c r="J27" s="21" t="n">
        <f aca="false">$B27*Model!$V$53</f>
        <v>6.94343059203369</v>
      </c>
      <c r="K27" s="21" t="n">
        <f aca="false">$B27*Model!$W$53</f>
        <v>22.5341432372396</v>
      </c>
      <c r="L27" s="21" t="n">
        <f aca="false">$B27*Model!$X$53</f>
        <v>6.17546430998177</v>
      </c>
      <c r="M27" s="21" t="n">
        <f aca="false">$B27*Model!$Y$53</f>
        <v>3.54143973694873</v>
      </c>
      <c r="N27" s="21" t="n">
        <f aca="false">$B27*Model!$Z$53</f>
        <v>0.365486663243819</v>
      </c>
      <c r="O27" s="21" t="n">
        <f aca="false">$B27*Model!$AA$53</f>
        <v>0.617546430998177</v>
      </c>
    </row>
    <row r="28" customFormat="false" ht="15" hidden="false" customHeight="true" outlineLevel="0" collapsed="false">
      <c r="A28" s="24" t="s">
        <v>122</v>
      </c>
      <c r="B28" s="25" t="n">
        <f aca="false">SUM(B13:B27)</f>
        <v>3147.3263300701</v>
      </c>
      <c r="C28" s="25" t="n">
        <f aca="false">SUM(C13:C27)</f>
        <v>759.236802602697</v>
      </c>
      <c r="D28" s="25" t="n">
        <f aca="false">SUM(D13:D27)</f>
        <v>976.542030790735</v>
      </c>
      <c r="E28" s="25" t="n">
        <f aca="false">SUM(E13:E27)</f>
        <v>588.536006832348</v>
      </c>
      <c r="F28" s="25" t="n">
        <f aca="false">SUM(F13:F27)</f>
        <v>823.011489844324</v>
      </c>
      <c r="G28" s="25" t="n">
        <f aca="false">SUM(G13:G27)</f>
        <v>1532.81720740969</v>
      </c>
      <c r="H28" s="25" t="n">
        <f aca="false">SUM(H13:H27)</f>
        <v>382.752260728168</v>
      </c>
      <c r="I28" s="25" t="n">
        <f aca="false">SUM(I13:I27)</f>
        <v>181.503552210381</v>
      </c>
      <c r="J28" s="25" t="n">
        <f aca="false">SUM(J13:J27)</f>
        <v>181.503552210381</v>
      </c>
      <c r="K28" s="25" t="n">
        <f aca="false">SUM(K13:K27)</f>
        <v>589.049892465127</v>
      </c>
      <c r="L28" s="25" t="n">
        <f aca="false">SUM(L13:L27)</f>
        <v>161.42866180532</v>
      </c>
      <c r="M28" s="25" t="n">
        <f aca="false">SUM(M13:M27)</f>
        <v>92.5743958516223</v>
      </c>
      <c r="N28" s="25" t="n">
        <f aca="false">SUM(N13:N27)</f>
        <v>9.55394120888629</v>
      </c>
      <c r="O28" s="25" t="n">
        <f aca="false">SUM(O13:O27)</f>
        <v>16.142866180532</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Data!$H$30*Data!$M$30/SUM(Data!$H$30:$K$30)</f>
        <v>205.518731988473</v>
      </c>
      <c r="C34" s="22" t="n">
        <f aca="false">IF($B$38&gt;0,B34/$B$38,0)</f>
        <v>0.0489913544668588</v>
      </c>
      <c r="D34" s="21" t="n">
        <f aca="false">C28</f>
        <v>759.236802602697</v>
      </c>
      <c r="E34" s="22" t="n">
        <f aca="false">IF($D$38&gt;0,D34/$D$38,0)</f>
        <v>0.241232310532536</v>
      </c>
      <c r="F34" s="21" t="n">
        <f aca="false">B34+D34</f>
        <v>964.755534591169</v>
      </c>
      <c r="G34" s="22" t="n">
        <f aca="false">IF($F$38&gt;0,F34/$F$38,0)</f>
        <v>0.131396439114953</v>
      </c>
    </row>
    <row r="35" customFormat="false" ht="15" hidden="false" customHeight="true" outlineLevel="0" collapsed="false">
      <c r="A35" s="13" t="s">
        <v>110</v>
      </c>
      <c r="B35" s="21" t="n">
        <f aca="false">Data!$I$30*Data!$M$30/SUM(Data!$H$30:$K$30)</f>
        <v>795.478386167147</v>
      </c>
      <c r="C35" s="22" t="n">
        <f aca="false">IF($B$38&gt;0,B35/$B$38,0)</f>
        <v>0.189625360230548</v>
      </c>
      <c r="D35" s="21" t="n">
        <f aca="false">D28</f>
        <v>976.542030790735</v>
      </c>
      <c r="E35" s="22" t="n">
        <f aca="false">IF($D$38&gt;0,D35/$D$38,0)</f>
        <v>0.310276701040081</v>
      </c>
      <c r="F35" s="21" t="n">
        <f aca="false">B35+D35</f>
        <v>1772.02041695788</v>
      </c>
      <c r="G35" s="22" t="n">
        <f aca="false">IF($F$38&gt;0,F35/$F$38,0)</f>
        <v>0.241343184339365</v>
      </c>
    </row>
    <row r="36" customFormat="false" ht="15" hidden="false" customHeight="true" outlineLevel="0" collapsed="false">
      <c r="A36" s="13" t="s">
        <v>111</v>
      </c>
      <c r="B36" s="21" t="n">
        <f aca="false">Data!$J$30*Data!$M$30/SUM(Data!$H$30:$K$30)</f>
        <v>2571.40201729107</v>
      </c>
      <c r="C36" s="22" t="n">
        <f aca="false">IF($B$38&gt;0,B36/$B$38,0)</f>
        <v>0.612968299711816</v>
      </c>
      <c r="D36" s="21" t="n">
        <f aca="false">E28</f>
        <v>588.536006832348</v>
      </c>
      <c r="E36" s="22" t="n">
        <f aca="false">IF($D$38&gt;0,D36/$D$38,0)</f>
        <v>0.186995546413275</v>
      </c>
      <c r="F36" s="21" t="n">
        <f aca="false">B36+D36</f>
        <v>3159.93802412341</v>
      </c>
      <c r="G36" s="22" t="n">
        <f aca="false">IF($F$38&gt;0,F36/$F$38,0)</f>
        <v>0.430372865774442</v>
      </c>
    </row>
    <row r="37" customFormat="false" ht="15" hidden="false" customHeight="true" outlineLevel="0" collapsed="false">
      <c r="A37" s="13" t="s">
        <v>112</v>
      </c>
      <c r="B37" s="21" t="n">
        <f aca="false">Data!$K$30*Data!$M$30/SUM(Data!$H$30:$K$30)</f>
        <v>622.600864553314</v>
      </c>
      <c r="C37" s="22" t="n">
        <f aca="false">IF($B$38&gt;0,B37/$B$38,0)</f>
        <v>0.148414985590778</v>
      </c>
      <c r="D37" s="21" t="n">
        <f aca="false">F28</f>
        <v>823.011489844324</v>
      </c>
      <c r="E37" s="22" t="n">
        <f aca="false">IF($D$38&gt;0,D37/$D$38,0)</f>
        <v>0.261495442014109</v>
      </c>
      <c r="F37" s="21" t="n">
        <f aca="false">B37+D37</f>
        <v>1445.61235439764</v>
      </c>
      <c r="G37" s="22" t="n">
        <f aca="false">IF($F$38&gt;0,F37/$F$38,0)</f>
        <v>0.19688751077124</v>
      </c>
    </row>
    <row r="38" customFormat="false" ht="15" hidden="false" customHeight="true" outlineLevel="0" collapsed="false">
      <c r="A38" s="24" t="s">
        <v>61</v>
      </c>
      <c r="B38" s="25" t="n">
        <f aca="false">SUM(B34:B37)</f>
        <v>4195</v>
      </c>
      <c r="C38" s="27" t="n">
        <f aca="false">SUM(C34:C37)</f>
        <v>1</v>
      </c>
      <c r="D38" s="25" t="n">
        <f aca="false">SUM(D34:D37)</f>
        <v>3147.3263300701</v>
      </c>
      <c r="E38" s="27" t="n">
        <f aca="false">SUM(E34:E37)</f>
        <v>1</v>
      </c>
      <c r="F38" s="25" t="n">
        <f aca="false">SUM(F34:F37)</f>
        <v>7342.3263300701</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174</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398</v>
      </c>
      <c r="C4" s="77"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103</v>
      </c>
      <c r="C6" s="15" t="n">
        <f aca="false">Model!$Q$54</f>
        <v>0.1</v>
      </c>
    </row>
    <row r="7" customFormat="false" ht="15" hidden="false" customHeight="true" outlineLevel="0" collapsed="false">
      <c r="A7" s="13" t="s">
        <v>104</v>
      </c>
      <c r="C7" s="15" t="n">
        <f aca="false">Model!$G$54</f>
        <v>0.29598</v>
      </c>
    </row>
    <row r="8" customFormat="false" ht="15" hidden="false" customHeight="true" outlineLevel="0" collapsed="false">
      <c r="A8" s="13" t="s">
        <v>105</v>
      </c>
      <c r="C8" s="15" t="n">
        <f aca="false">Model!$R$54</f>
        <v>0.209500544590065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IF($A13&lt;=Model!$B$3,Data!$B$4*Model!$D$54,0)</f>
        <v>184.536622124025</v>
      </c>
      <c r="C13" s="21" t="n">
        <f aca="false">$B13*IF(Model!$B$5=1,Data!$D$4,Model!$AC$54)</f>
        <v>47.7354348505628</v>
      </c>
      <c r="D13" s="21" t="n">
        <f aca="false">$B13*IF(Model!$B$5=1,Data!$E$4,Model!$AD$54)</f>
        <v>58.4250562540885</v>
      </c>
      <c r="E13" s="21" t="n">
        <f aca="false">$B13*IF(Model!$B$5=1,Data!$F$4,Model!$AE$54)</f>
        <v>34.1461995440563</v>
      </c>
      <c r="F13" s="21" t="n">
        <f aca="false">$B13*IF(Model!$B$5=1,Data!$G$4,Model!$AF$54)</f>
        <v>44.2299314753174</v>
      </c>
      <c r="G13" s="21" t="n">
        <f aca="false">$B13*Model!$S$54</f>
        <v>111.725373584529</v>
      </c>
      <c r="H13" s="21" t="n">
        <f aca="false">$B13*Model!$T$54</f>
        <v>27.8983946118685</v>
      </c>
      <c r="I13" s="21" t="n">
        <f aca="false">$B13*Model!$U$54</f>
        <v>13.2295958576123</v>
      </c>
      <c r="J13" s="21" t="n">
        <f aca="false">$B13*Model!$V$54</f>
        <v>13.2295958576123</v>
      </c>
      <c r="K13" s="21" t="n">
        <f aca="false">$B13*Model!$W$54</f>
        <v>12.5123807492513</v>
      </c>
      <c r="L13" s="21" t="n">
        <f aca="false">$B13*Model!$X$54</f>
        <v>3.42900814716618</v>
      </c>
      <c r="M13" s="21" t="n">
        <f aca="false">$B13*Model!$Y$54</f>
        <v>1.96643120276265</v>
      </c>
      <c r="N13" s="21" t="n">
        <f aca="false">$B13*Model!$Z$54</f>
        <v>0.202941298505754</v>
      </c>
      <c r="O13" s="21" t="n">
        <f aca="false">$B13*Model!$AA$54</f>
        <v>0.342900814716618</v>
      </c>
    </row>
    <row r="14" customFormat="false" ht="15" hidden="false" customHeight="true" outlineLevel="0" collapsed="false">
      <c r="A14" s="23" t="n">
        <v>2027</v>
      </c>
      <c r="B14" s="21" t="n">
        <f aca="false">IF($A14&lt;=Model!$B$3,Data!$B$5*Model!$D$54,0)</f>
        <v>184.536622124025</v>
      </c>
      <c r="C14" s="21" t="n">
        <f aca="false">$B14*IF(Model!$B$5=1,Data!$D$5,Model!$AC$54)</f>
        <v>46.3938224476911</v>
      </c>
      <c r="D14" s="21" t="n">
        <f aca="false">$B14*IF(Model!$B$5=1,Data!$E$5,Model!$AD$54)</f>
        <v>58.5981675318784</v>
      </c>
      <c r="E14" s="21" t="n">
        <f aca="false">$B14*IF(Model!$B$5=1,Data!$F$5,Model!$AE$54)</f>
        <v>34.0596439051613</v>
      </c>
      <c r="F14" s="21" t="n">
        <f aca="false">$B14*IF(Model!$B$5=1,Data!$G$5,Model!$AF$54)</f>
        <v>45.4849882392941</v>
      </c>
      <c r="G14" s="21" t="n">
        <f aca="false">$B14*Model!$S$54</f>
        <v>111.725373584529</v>
      </c>
      <c r="H14" s="21" t="n">
        <f aca="false">$B14*Model!$T$54</f>
        <v>27.8983946118685</v>
      </c>
      <c r="I14" s="21" t="n">
        <f aca="false">$B14*Model!$U$54</f>
        <v>13.2295958576123</v>
      </c>
      <c r="J14" s="21" t="n">
        <f aca="false">$B14*Model!$V$54</f>
        <v>13.2295958576123</v>
      </c>
      <c r="K14" s="21" t="n">
        <f aca="false">$B14*Model!$W$54</f>
        <v>12.5123807492513</v>
      </c>
      <c r="L14" s="21" t="n">
        <f aca="false">$B14*Model!$X$54</f>
        <v>3.42900814716618</v>
      </c>
      <c r="M14" s="21" t="n">
        <f aca="false">$B14*Model!$Y$54</f>
        <v>1.96643120276265</v>
      </c>
      <c r="N14" s="21" t="n">
        <f aca="false">$B14*Model!$Z$54</f>
        <v>0.202941298505754</v>
      </c>
      <c r="O14" s="21" t="n">
        <f aca="false">$B14*Model!$AA$54</f>
        <v>0.342900814716618</v>
      </c>
    </row>
    <row r="15" customFormat="false" ht="15" hidden="false" customHeight="true" outlineLevel="0" collapsed="false">
      <c r="A15" s="23" t="n">
        <v>2028</v>
      </c>
      <c r="B15" s="21" t="n">
        <f aca="false">IF($A15&lt;=Model!$B$3,Data!$B$6*Model!$D$54,0)</f>
        <v>184.536622124025</v>
      </c>
      <c r="C15" s="21" t="n">
        <f aca="false">$B15*IF(Model!$B$5=1,Data!$D$6,Model!$AC$54)</f>
        <v>46.2424008513512</v>
      </c>
      <c r="D15" s="21" t="n">
        <f aca="false">$B15*IF(Model!$B$5=1,Data!$E$6,Model!$AD$54)</f>
        <v>58.6256654988104</v>
      </c>
      <c r="E15" s="21" t="n">
        <f aca="false">$B15*IF(Model!$B$5=1,Data!$F$6,Model!$AE$54)</f>
        <v>34.0756268445818</v>
      </c>
      <c r="F15" s="21" t="n">
        <f aca="false">$B15*IF(Model!$B$5=1,Data!$G$6,Model!$AF$54)</f>
        <v>45.5929289292816</v>
      </c>
      <c r="G15" s="21" t="n">
        <f aca="false">$B15*Model!$S$54</f>
        <v>111.725373584529</v>
      </c>
      <c r="H15" s="21" t="n">
        <f aca="false">$B15*Model!$T$54</f>
        <v>27.8983946118685</v>
      </c>
      <c r="I15" s="21" t="n">
        <f aca="false">$B15*Model!$U$54</f>
        <v>13.2295958576123</v>
      </c>
      <c r="J15" s="21" t="n">
        <f aca="false">$B15*Model!$V$54</f>
        <v>13.2295958576123</v>
      </c>
      <c r="K15" s="21" t="n">
        <f aca="false">$B15*Model!$W$54</f>
        <v>12.5123807492513</v>
      </c>
      <c r="L15" s="21" t="n">
        <f aca="false">$B15*Model!$X$54</f>
        <v>3.42900814716618</v>
      </c>
      <c r="M15" s="21" t="n">
        <f aca="false">$B15*Model!$Y$54</f>
        <v>1.96643120276265</v>
      </c>
      <c r="N15" s="21" t="n">
        <f aca="false">$B15*Model!$Z$54</f>
        <v>0.202941298505754</v>
      </c>
      <c r="O15" s="21" t="n">
        <f aca="false">$B15*Model!$AA$54</f>
        <v>0.342900814716618</v>
      </c>
    </row>
    <row r="16" customFormat="false" ht="15" hidden="false" customHeight="true" outlineLevel="0" collapsed="false">
      <c r="A16" s="23" t="n">
        <v>2029</v>
      </c>
      <c r="B16" s="21" t="n">
        <f aca="false">IF($A16&lt;=Model!$B$3,Data!$B$7*Model!$D$54,0)</f>
        <v>184.536622124025</v>
      </c>
      <c r="C16" s="21" t="n">
        <f aca="false">$B16*IF(Model!$B$5=1,Data!$D$7,Model!$AC$54)</f>
        <v>45.7553857811623</v>
      </c>
      <c r="D16" s="21" t="n">
        <f aca="false">$B16*IF(Model!$B$5=1,Data!$E$7,Model!$AD$54)</f>
        <v>58.3088974902795</v>
      </c>
      <c r="E16" s="21" t="n">
        <f aca="false">$B16*IF(Model!$B$5=1,Data!$F$7,Model!$AE$54)</f>
        <v>33.8511936432061</v>
      </c>
      <c r="F16" s="21" t="n">
        <f aca="false">$B16*IF(Model!$B$5=1,Data!$G$7,Model!$AF$54)</f>
        <v>46.6211452093771</v>
      </c>
      <c r="G16" s="21" t="n">
        <f aca="false">$B16*Model!$S$54</f>
        <v>111.725373584529</v>
      </c>
      <c r="H16" s="21" t="n">
        <f aca="false">$B16*Model!$T$54</f>
        <v>27.8983946118685</v>
      </c>
      <c r="I16" s="21" t="n">
        <f aca="false">$B16*Model!$U$54</f>
        <v>13.2295958576123</v>
      </c>
      <c r="J16" s="21" t="n">
        <f aca="false">$B16*Model!$V$54</f>
        <v>13.2295958576123</v>
      </c>
      <c r="K16" s="21" t="n">
        <f aca="false">$B16*Model!$W$54</f>
        <v>12.5123807492513</v>
      </c>
      <c r="L16" s="21" t="n">
        <f aca="false">$B16*Model!$X$54</f>
        <v>3.42900814716618</v>
      </c>
      <c r="M16" s="21" t="n">
        <f aca="false">$B16*Model!$Y$54</f>
        <v>1.96643120276265</v>
      </c>
      <c r="N16" s="21" t="n">
        <f aca="false">$B16*Model!$Z$54</f>
        <v>0.202941298505754</v>
      </c>
      <c r="O16" s="21" t="n">
        <f aca="false">$B16*Model!$AA$54</f>
        <v>0.342900814716618</v>
      </c>
    </row>
    <row r="17" customFormat="false" ht="15" hidden="false" customHeight="true" outlineLevel="0" collapsed="false">
      <c r="A17" s="23" t="n">
        <v>2030</v>
      </c>
      <c r="B17" s="21" t="n">
        <f aca="false">IF($A17&lt;=Model!$B$3,Data!$B$8*Model!$D$54,0)</f>
        <v>184.536622124025</v>
      </c>
      <c r="C17" s="21" t="n">
        <f aca="false">$B17*IF(Model!$B$5=1,Data!$D$8,Model!$AC$54)</f>
        <v>45.6795251855575</v>
      </c>
      <c r="D17" s="21" t="n">
        <f aca="false">$B17*IF(Model!$B$5=1,Data!$E$8,Model!$AD$54)</f>
        <v>57.4566160390851</v>
      </c>
      <c r="E17" s="21" t="n">
        <f aca="false">$B17*IF(Model!$B$5=1,Data!$F$8,Model!$AE$54)</f>
        <v>33.9024343320299</v>
      </c>
      <c r="F17" s="21" t="n">
        <f aca="false">$B17*IF(Model!$B$5=1,Data!$G$8,Model!$AF$54)</f>
        <v>47.4980465673522</v>
      </c>
      <c r="G17" s="21" t="n">
        <f aca="false">$B17*Model!$S$54</f>
        <v>111.725373584529</v>
      </c>
      <c r="H17" s="21" t="n">
        <f aca="false">$B17*Model!$T$54</f>
        <v>27.8983946118685</v>
      </c>
      <c r="I17" s="21" t="n">
        <f aca="false">$B17*Model!$U$54</f>
        <v>13.2295958576123</v>
      </c>
      <c r="J17" s="21" t="n">
        <f aca="false">$B17*Model!$V$54</f>
        <v>13.2295958576123</v>
      </c>
      <c r="K17" s="21" t="n">
        <f aca="false">$B17*Model!$W$54</f>
        <v>12.5123807492513</v>
      </c>
      <c r="L17" s="21" t="n">
        <f aca="false">$B17*Model!$X$54</f>
        <v>3.42900814716618</v>
      </c>
      <c r="M17" s="21" t="n">
        <f aca="false">$B17*Model!$Y$54</f>
        <v>1.96643120276265</v>
      </c>
      <c r="N17" s="21" t="n">
        <f aca="false">$B17*Model!$Z$54</f>
        <v>0.202941298505754</v>
      </c>
      <c r="O17" s="21" t="n">
        <f aca="false">$B17*Model!$AA$54</f>
        <v>0.342900814716618</v>
      </c>
    </row>
    <row r="18" customFormat="false" ht="15" hidden="false" customHeight="true" outlineLevel="0" collapsed="false">
      <c r="A18" s="23" t="n">
        <v>2031</v>
      </c>
      <c r="B18" s="21" t="n">
        <f aca="false">IF($A18&lt;=Model!$B$3,Data!$B$9*Model!$D$54,0)</f>
        <v>93.8483220185048</v>
      </c>
      <c r="C18" s="21" t="n">
        <f aca="false">$B18*IF(Model!$B$5=1,Data!$D$9,Model!$AC$54)</f>
        <v>21.6872736767855</v>
      </c>
      <c r="D18" s="21" t="n">
        <f aca="false">$B18*IF(Model!$B$5=1,Data!$E$9,Model!$AD$54)</f>
        <v>28.5267731596839</v>
      </c>
      <c r="E18" s="21" t="n">
        <f aca="false">$B18*IF(Model!$B$5=1,Data!$F$9,Model!$AE$54)</f>
        <v>17.8346442212288</v>
      </c>
      <c r="F18" s="21" t="n">
        <f aca="false">$B18*IF(Model!$B$5=1,Data!$G$9,Model!$AF$54)</f>
        <v>25.7996309608067</v>
      </c>
      <c r="G18" s="21" t="n">
        <f aca="false">$B18*Model!$S$54</f>
        <v>56.8192845252779</v>
      </c>
      <c r="H18" s="21" t="n">
        <f aca="false">$B18*Model!$T$54</f>
        <v>14.1880646301973</v>
      </c>
      <c r="I18" s="21" t="n">
        <f aca="false">$B18*Model!$U$54</f>
        <v>6.72807033058958</v>
      </c>
      <c r="J18" s="21" t="n">
        <f aca="false">$B18*Model!$V$54</f>
        <v>6.72807033058958</v>
      </c>
      <c r="K18" s="21" t="n">
        <f aca="false">$B18*Model!$W$54</f>
        <v>6.36332194801239</v>
      </c>
      <c r="L18" s="21" t="n">
        <f aca="false">$B18*Model!$X$54</f>
        <v>1.74386339738595</v>
      </c>
      <c r="M18" s="21" t="n">
        <f aca="false">$B18*Model!$Y$54</f>
        <v>1.00005227482745</v>
      </c>
      <c r="N18" s="21" t="n">
        <f aca="false">$B18*Model!$Z$54</f>
        <v>0.103208241886107</v>
      </c>
      <c r="O18" s="21" t="n">
        <f aca="false">$B18*Model!$AA$54</f>
        <v>0.174386339738595</v>
      </c>
    </row>
    <row r="19" customFormat="false" ht="15" hidden="false" customHeight="true" outlineLevel="0" collapsed="false">
      <c r="A19" s="23" t="n">
        <v>2032</v>
      </c>
      <c r="B19" s="21" t="n">
        <f aca="false">IF($A19&lt;=Model!$B$3,Data!$B$10*Model!$D$54,0)</f>
        <v>93.8483220185048</v>
      </c>
      <c r="C19" s="21" t="n">
        <f aca="false">$B19*IF(Model!$B$5=1,Data!$D$10,Model!$AC$54)</f>
        <v>20.8648022199813</v>
      </c>
      <c r="D19" s="21" t="n">
        <f aca="false">$B19*IF(Model!$B$5=1,Data!$E$10,Model!$AD$54)</f>
        <v>27.9640295313442</v>
      </c>
      <c r="E19" s="21" t="n">
        <f aca="false">$B19*IF(Model!$B$5=1,Data!$F$10,Model!$AE$54)</f>
        <v>18.1376600211041</v>
      </c>
      <c r="F19" s="21" t="n">
        <f aca="false">$B19*IF(Model!$B$5=1,Data!$G$10,Model!$AF$54)</f>
        <v>26.8818302460754</v>
      </c>
      <c r="G19" s="21" t="n">
        <f aca="false">$B19*Model!$S$54</f>
        <v>56.8192845252779</v>
      </c>
      <c r="H19" s="21" t="n">
        <f aca="false">$B19*Model!$T$54</f>
        <v>14.1880646301973</v>
      </c>
      <c r="I19" s="21" t="n">
        <f aca="false">$B19*Model!$U$54</f>
        <v>6.72807033058958</v>
      </c>
      <c r="J19" s="21" t="n">
        <f aca="false">$B19*Model!$V$54</f>
        <v>6.72807033058958</v>
      </c>
      <c r="K19" s="21" t="n">
        <f aca="false">$B19*Model!$W$54</f>
        <v>6.36332194801239</v>
      </c>
      <c r="L19" s="21" t="n">
        <f aca="false">$B19*Model!$X$54</f>
        <v>1.74386339738595</v>
      </c>
      <c r="M19" s="21" t="n">
        <f aca="false">$B19*Model!$Y$54</f>
        <v>1.00005227482745</v>
      </c>
      <c r="N19" s="21" t="n">
        <f aca="false">$B19*Model!$Z$54</f>
        <v>0.103208241886107</v>
      </c>
      <c r="O19" s="21" t="n">
        <f aca="false">$B19*Model!$AA$54</f>
        <v>0.174386339738595</v>
      </c>
    </row>
    <row r="20" customFormat="false" ht="15" hidden="false" customHeight="true" outlineLevel="0" collapsed="false">
      <c r="A20" s="23" t="n">
        <v>2033</v>
      </c>
      <c r="B20" s="21" t="n">
        <f aca="false">IF($A20&lt;=Model!$B$3,Data!$B$11*Model!$D$54,0)</f>
        <v>93.8483220185048</v>
      </c>
      <c r="C20" s="21" t="n">
        <f aca="false">$B20*IF(Model!$B$5=1,Data!$D$11,Model!$AC$54)</f>
        <v>20.7011988577966</v>
      </c>
      <c r="D20" s="21" t="n">
        <f aca="false">$B20*IF(Model!$B$5=1,Data!$E$11,Model!$AD$54)</f>
        <v>28.0635499160088</v>
      </c>
      <c r="E20" s="21" t="n">
        <f aca="false">$B20*IF(Model!$B$5=1,Data!$F$11,Model!$AE$54)</f>
        <v>18.146029961123</v>
      </c>
      <c r="F20" s="21" t="n">
        <f aca="false">$B20*IF(Model!$B$5=1,Data!$G$11,Model!$AF$54)</f>
        <v>26.9375432835764</v>
      </c>
      <c r="G20" s="21" t="n">
        <f aca="false">$B20*Model!$S$54</f>
        <v>56.8192845252779</v>
      </c>
      <c r="H20" s="21" t="n">
        <f aca="false">$B20*Model!$T$54</f>
        <v>14.1880646301973</v>
      </c>
      <c r="I20" s="21" t="n">
        <f aca="false">$B20*Model!$U$54</f>
        <v>6.72807033058958</v>
      </c>
      <c r="J20" s="21" t="n">
        <f aca="false">$B20*Model!$V$54</f>
        <v>6.72807033058958</v>
      </c>
      <c r="K20" s="21" t="n">
        <f aca="false">$B20*Model!$W$54</f>
        <v>6.36332194801239</v>
      </c>
      <c r="L20" s="21" t="n">
        <f aca="false">$B20*Model!$X$54</f>
        <v>1.74386339738595</v>
      </c>
      <c r="M20" s="21" t="n">
        <f aca="false">$B20*Model!$Y$54</f>
        <v>1.00005227482745</v>
      </c>
      <c r="N20" s="21" t="n">
        <f aca="false">$B20*Model!$Z$54</f>
        <v>0.103208241886107</v>
      </c>
      <c r="O20" s="21" t="n">
        <f aca="false">$B20*Model!$AA$54</f>
        <v>0.174386339738595</v>
      </c>
    </row>
    <row r="21" customFormat="false" ht="15" hidden="false" customHeight="true" outlineLevel="0" collapsed="false">
      <c r="A21" s="23" t="n">
        <v>2034</v>
      </c>
      <c r="B21" s="21" t="n">
        <f aca="false">IF($A21&lt;=Model!$B$3,Data!$B$12*Model!$D$54,0)</f>
        <v>93.8483220185048</v>
      </c>
      <c r="C21" s="21" t="n">
        <f aca="false">$B21*IF(Model!$B$5=1,Data!$D$12,Model!$AC$54)</f>
        <v>20.5184984486953</v>
      </c>
      <c r="D21" s="21" t="n">
        <f aca="false">$B21*IF(Model!$B$5=1,Data!$E$12,Model!$AD$54)</f>
        <v>28.1371814169872</v>
      </c>
      <c r="E21" s="21" t="n">
        <f aca="false">$B21*IF(Model!$B$5=1,Data!$F$12,Model!$AE$54)</f>
        <v>18.1376600211041</v>
      </c>
      <c r="F21" s="21" t="n">
        <f aca="false">$B21*IF(Model!$B$5=1,Data!$G$12,Model!$AF$54)</f>
        <v>27.0549821317184</v>
      </c>
      <c r="G21" s="21" t="n">
        <f aca="false">$B21*Model!$S$54</f>
        <v>56.8192845252779</v>
      </c>
      <c r="H21" s="21" t="n">
        <f aca="false">$B21*Model!$T$54</f>
        <v>14.1880646301973</v>
      </c>
      <c r="I21" s="21" t="n">
        <f aca="false">$B21*Model!$U$54</f>
        <v>6.72807033058958</v>
      </c>
      <c r="J21" s="21" t="n">
        <f aca="false">$B21*Model!$V$54</f>
        <v>6.72807033058958</v>
      </c>
      <c r="K21" s="21" t="n">
        <f aca="false">$B21*Model!$W$54</f>
        <v>6.36332194801239</v>
      </c>
      <c r="L21" s="21" t="n">
        <f aca="false">$B21*Model!$X$54</f>
        <v>1.74386339738595</v>
      </c>
      <c r="M21" s="21" t="n">
        <f aca="false">$B21*Model!$Y$54</f>
        <v>1.00005227482745</v>
      </c>
      <c r="N21" s="21" t="n">
        <f aca="false">$B21*Model!$Z$54</f>
        <v>0.103208241886107</v>
      </c>
      <c r="O21" s="21" t="n">
        <f aca="false">$B21*Model!$AA$54</f>
        <v>0.174386339738595</v>
      </c>
    </row>
    <row r="22" customFormat="false" ht="15" hidden="false" customHeight="true" outlineLevel="0" collapsed="false">
      <c r="A22" s="23" t="n">
        <v>2035</v>
      </c>
      <c r="B22" s="21" t="n">
        <f aca="false">IF($A22&lt;=Model!$B$3,Data!$B$13*Model!$D$54,0)</f>
        <v>90.6883001055201</v>
      </c>
      <c r="C22" s="21" t="n">
        <f aca="false">$B22*IF(Model!$B$5=1,Data!$D$13,Model!$AC$54)</f>
        <v>19.4362991634265</v>
      </c>
      <c r="D22" s="21" t="n">
        <f aca="false">$B22*IF(Model!$B$5=1,Data!$E$13,Model!$AD$54)</f>
        <v>26.7952543032539</v>
      </c>
      <c r="E22" s="21" t="n">
        <f aca="false">$B22*IF(Model!$B$5=1,Data!$F$13,Model!$AE$54)</f>
        <v>17.4017645071213</v>
      </c>
      <c r="F22" s="21" t="n">
        <f aca="false">$B22*IF(Model!$B$5=1,Data!$G$13,Model!$AF$54)</f>
        <v>27.0549821317184</v>
      </c>
      <c r="G22" s="21" t="n">
        <f aca="false">$B22*Model!$S$54</f>
        <v>54.9060890592515</v>
      </c>
      <c r="H22" s="21" t="n">
        <f aca="false">$B22*Model!$T$54</f>
        <v>13.7103299816713</v>
      </c>
      <c r="I22" s="21" t="n">
        <f aca="false">$B22*Model!$U$54</f>
        <v>6.50152552702268</v>
      </c>
      <c r="J22" s="21" t="n">
        <f aca="false">$B22*Model!$V$54</f>
        <v>6.50152552702268</v>
      </c>
      <c r="K22" s="21" t="n">
        <f aca="false">$B22*Model!$W$54</f>
        <v>6.14905880123891</v>
      </c>
      <c r="L22" s="21" t="n">
        <f aca="false">$B22*Model!$X$54</f>
        <v>1.68514474978024</v>
      </c>
      <c r="M22" s="21" t="n">
        <f aca="false">$B22*Model!$Y$54</f>
        <v>0.966378927935198</v>
      </c>
      <c r="N22" s="21" t="n">
        <f aca="false">$B22*Model!$Z$54</f>
        <v>0.0997330566196467</v>
      </c>
      <c r="O22" s="21" t="n">
        <f aca="false">$B22*Model!$AA$54</f>
        <v>0.168514474978024</v>
      </c>
    </row>
    <row r="23" customFormat="false" ht="15" hidden="false" customHeight="true" outlineLevel="0" collapsed="false">
      <c r="A23" s="23" t="n">
        <v>2036</v>
      </c>
      <c r="B23" s="21" t="n">
        <f aca="false">IF($A23&lt;=Model!$B$3,Data!$B$14*Model!$D$54,0)</f>
        <v>68.6980106288594</v>
      </c>
      <c r="C23" s="21" t="n">
        <f aca="false">$B23*IF(Model!$B$5=1,Data!$D$14,Model!$AC$54)</f>
        <v>16.5722360355582</v>
      </c>
      <c r="D23" s="21" t="n">
        <f aca="false">$B23*IF(Model!$B$5=1,Data!$E$14,Model!$AD$54)</f>
        <v>21.3154202736719</v>
      </c>
      <c r="E23" s="21" t="n">
        <f aca="false">$B23*IF(Model!$B$5=1,Data!$F$14,Model!$AE$54)</f>
        <v>12.8462132029091</v>
      </c>
      <c r="F23" s="21" t="n">
        <f aca="false">$B23*IF(Model!$B$5=1,Data!$G$14,Model!$AF$54)</f>
        <v>17.9641411167202</v>
      </c>
      <c r="G23" s="21" t="n">
        <f aca="false">$B23*Model!$S$54</f>
        <v>41.5923452682731</v>
      </c>
      <c r="H23" s="21" t="n">
        <f aca="false">$B23*Model!$T$54</f>
        <v>10.3858203727505</v>
      </c>
      <c r="I23" s="21" t="n">
        <f aca="false">$B23*Model!$U$54</f>
        <v>4.92502196247494</v>
      </c>
      <c r="J23" s="21" t="n">
        <f aca="false">$B23*Model!$V$54</f>
        <v>4.92502196247494</v>
      </c>
      <c r="K23" s="21" t="n">
        <f aca="false">$B23*Model!$W$54</f>
        <v>4.65802210862346</v>
      </c>
      <c r="L23" s="21" t="n">
        <f aca="false">$B23*Model!$X$54</f>
        <v>1.27652731164737</v>
      </c>
      <c r="M23" s="21" t="n">
        <f aca="false">$B23*Model!$Y$54</f>
        <v>0.732049335863083</v>
      </c>
      <c r="N23" s="21" t="n">
        <f aca="false">$B23*Model!$Z$54</f>
        <v>0.0755495755872932</v>
      </c>
      <c r="O23" s="21" t="n">
        <f aca="false">$B23*Model!$AA$54</f>
        <v>0.127652731164737</v>
      </c>
    </row>
    <row r="24" customFormat="false" ht="15" hidden="false" customHeight="true" outlineLevel="0" collapsed="false">
      <c r="A24" s="23" t="n">
        <v>2037</v>
      </c>
      <c r="B24" s="21" t="n">
        <f aca="false">IF($A24&lt;=Model!$B$3,Data!$B$15*Model!$D$54,0)</f>
        <v>68.1352670005197</v>
      </c>
      <c r="C24" s="21" t="n">
        <f aca="false">$B24*IF(Model!$B$5=1,Data!$D$15,Model!$AC$54)</f>
        <v>16.4364836294698</v>
      </c>
      <c r="D24" s="21" t="n">
        <f aca="false">$B24*IF(Model!$B$5=1,Data!$E$15,Model!$AD$54)</f>
        <v>21.1408138064017</v>
      </c>
      <c r="E24" s="21" t="n">
        <f aca="false">$B24*IF(Model!$B$5=1,Data!$F$15,Model!$AE$54)</f>
        <v>12.7409827229861</v>
      </c>
      <c r="F24" s="21" t="n">
        <f aca="false">$B24*IF(Model!$B$5=1,Data!$G$15,Model!$AF$54)</f>
        <v>17.8169868416621</v>
      </c>
      <c r="G24" s="21" t="n">
        <f aca="false">$B24*Model!$S$54</f>
        <v>41.251639226378</v>
      </c>
      <c r="H24" s="21" t="n">
        <f aca="false">$B24*Model!$T$54</f>
        <v>10.3007443394513</v>
      </c>
      <c r="I24" s="21" t="n">
        <f aca="false">$B24*Model!$U$54</f>
        <v>4.88467836731919</v>
      </c>
      <c r="J24" s="21" t="n">
        <f aca="false">$B24*Model!$V$54</f>
        <v>4.88467836731919</v>
      </c>
      <c r="K24" s="21" t="n">
        <f aca="false">$B24*Model!$W$54</f>
        <v>4.61986565782818</v>
      </c>
      <c r="L24" s="21" t="n">
        <f aca="false">$B24*Model!$X$54</f>
        <v>1.26607056618334</v>
      </c>
      <c r="M24" s="21" t="n">
        <f aca="false">$B24*Model!$Y$54</f>
        <v>0.726052712443915</v>
      </c>
      <c r="N24" s="21" t="n">
        <f aca="false">$B24*Model!$Z$54</f>
        <v>0.0749307069781976</v>
      </c>
      <c r="O24" s="21" t="n">
        <f aca="false">$B24*Model!$AA$54</f>
        <v>0.126607056618334</v>
      </c>
    </row>
    <row r="25" customFormat="false" ht="15" hidden="false" customHeight="true" outlineLevel="0" collapsed="false">
      <c r="A25" s="23" t="n">
        <v>2038</v>
      </c>
      <c r="B25" s="21" t="n">
        <f aca="false">IF($A25&lt;=Model!$B$3,Data!$B$16*Model!$D$54,0)</f>
        <v>67.3127955437154</v>
      </c>
      <c r="C25" s="21" t="n">
        <f aca="false">$B25*IF(Model!$B$5=1,Data!$D$16,Model!$AC$54)</f>
        <v>16.2380762667253</v>
      </c>
      <c r="D25" s="21" t="n">
        <f aca="false">$B25*IF(Model!$B$5=1,Data!$E$16,Model!$AD$54)</f>
        <v>20.885619738853</v>
      </c>
      <c r="E25" s="21" t="n">
        <f aca="false">$B25*IF(Model!$B$5=1,Data!$F$16,Model!$AE$54)</f>
        <v>12.5871843292525</v>
      </c>
      <c r="F25" s="21" t="n">
        <f aca="false">$B25*IF(Model!$B$5=1,Data!$G$16,Model!$AF$54)</f>
        <v>17.6019152088846</v>
      </c>
      <c r="G25" s="21" t="n">
        <f aca="false">$B25*Model!$S$54</f>
        <v>40.7536842420697</v>
      </c>
      <c r="H25" s="21" t="n">
        <f aca="false">$B25*Model!$T$54</f>
        <v>10.1764024446295</v>
      </c>
      <c r="I25" s="21" t="n">
        <f aca="false">$B25*Model!$U$54</f>
        <v>4.82571465132232</v>
      </c>
      <c r="J25" s="21" t="n">
        <f aca="false">$B25*Model!$V$54</f>
        <v>4.82571465132232</v>
      </c>
      <c r="K25" s="21" t="n">
        <f aca="false">$B25*Model!$W$54</f>
        <v>4.56409853743508</v>
      </c>
      <c r="L25" s="21" t="n">
        <f aca="false">$B25*Model!$X$54</f>
        <v>1.25078763050514</v>
      </c>
      <c r="M25" s="21" t="n">
        <f aca="false">$B25*Model!$Y$54</f>
        <v>0.717288416677438</v>
      </c>
      <c r="N25" s="21" t="n">
        <f aca="false">$B25*Model!$Z$54</f>
        <v>0.0740262067033655</v>
      </c>
      <c r="O25" s="21" t="n">
        <f aca="false">$B25*Model!$AA$54</f>
        <v>0.125078763050514</v>
      </c>
    </row>
    <row r="26" customFormat="false" ht="15" hidden="false" customHeight="true" outlineLevel="0" collapsed="false">
      <c r="A26" s="23" t="n">
        <v>2039</v>
      </c>
      <c r="B26" s="21" t="n">
        <f aca="false">IF($A26&lt;=Model!$B$3,Data!$B$17*Model!$D$54,0)</f>
        <v>66.7067639439649</v>
      </c>
      <c r="C26" s="21" t="n">
        <f aca="false">$B26*IF(Model!$B$5=1,Data!$D$17,Model!$AC$54)</f>
        <v>16.0918813678609</v>
      </c>
      <c r="D26" s="21" t="n">
        <f aca="false">$B26*IF(Model!$B$5=1,Data!$E$17,Model!$AD$54)</f>
        <v>20.6975820048697</v>
      </c>
      <c r="E26" s="21" t="n">
        <f aca="false">$B26*IF(Model!$B$5=1,Data!$F$17,Model!$AE$54)</f>
        <v>12.4738591970277</v>
      </c>
      <c r="F26" s="21" t="n">
        <f aca="false">$B26*IF(Model!$B$5=1,Data!$G$17,Model!$AF$54)</f>
        <v>17.4434413742066</v>
      </c>
      <c r="G26" s="21" t="n">
        <f aca="false">$B26*Model!$S$54</f>
        <v>40.3867700431058</v>
      </c>
      <c r="H26" s="21" t="n">
        <f aca="false">$B26*Model!$T$54</f>
        <v>10.0847821010766</v>
      </c>
      <c r="I26" s="21" t="n">
        <f aca="false">$B26*Model!$U$54</f>
        <v>4.78226770269306</v>
      </c>
      <c r="J26" s="21" t="n">
        <f aca="false">$B26*Model!$V$54</f>
        <v>4.78226770269306</v>
      </c>
      <c r="K26" s="21" t="n">
        <f aca="false">$B26*Model!$W$54</f>
        <v>4.52300697504017</v>
      </c>
      <c r="L26" s="21" t="n">
        <f aca="false">$B26*Model!$X$54</f>
        <v>1.23952652000542</v>
      </c>
      <c r="M26" s="21" t="n">
        <f aca="false">$B26*Model!$Y$54</f>
        <v>0.710830514533718</v>
      </c>
      <c r="N26" s="21" t="n">
        <f aca="false">$B26*Model!$Z$54</f>
        <v>0.0733597328166471</v>
      </c>
      <c r="O26" s="21" t="n">
        <f aca="false">$B26*Model!$AA$54</f>
        <v>0.123952652000542</v>
      </c>
    </row>
    <row r="27" customFormat="false" ht="15" hidden="false" customHeight="true" outlineLevel="0" collapsed="false">
      <c r="A27" s="23" t="n">
        <v>2040</v>
      </c>
      <c r="B27" s="21" t="n">
        <f aca="false">IF($A27&lt;=Model!$B$3,Data!$B$18*Model!$D$54,0)</f>
        <v>66.0141564013929</v>
      </c>
      <c r="C27" s="21" t="n">
        <f aca="false">$B27*IF(Model!$B$5=1,Data!$D$18,Model!$AC$54)</f>
        <v>15.9248014834444</v>
      </c>
      <c r="D27" s="21" t="n">
        <f aca="false">$B27*IF(Model!$B$5=1,Data!$E$18,Model!$AD$54)</f>
        <v>20.4826817374604</v>
      </c>
      <c r="E27" s="21" t="n">
        <f aca="false">$B27*IF(Model!$B$5=1,Data!$F$18,Model!$AE$54)</f>
        <v>12.3443447601994</v>
      </c>
      <c r="F27" s="21" t="n">
        <f aca="false">$B27*IF(Model!$B$5=1,Data!$G$18,Model!$AF$54)</f>
        <v>17.2623284202888</v>
      </c>
      <c r="G27" s="21" t="n">
        <f aca="false">$B27*Model!$S$54</f>
        <v>39.9674395300041</v>
      </c>
      <c r="H27" s="21" t="n">
        <f aca="false">$B27*Model!$T$54</f>
        <v>9.98007313701607</v>
      </c>
      <c r="I27" s="21" t="n">
        <f aca="false">$B27*Model!$U$54</f>
        <v>4.73261404711675</v>
      </c>
      <c r="J27" s="21" t="n">
        <f aca="false">$B27*Model!$V$54</f>
        <v>4.73261404711675</v>
      </c>
      <c r="K27" s="21" t="n">
        <f aca="false">$B27*Model!$W$54</f>
        <v>4.47604518944598</v>
      </c>
      <c r="L27" s="21" t="n">
        <f aca="false">$B27*Model!$X$54</f>
        <v>1.2266566794343</v>
      </c>
      <c r="M27" s="21" t="n">
        <f aca="false">$B27*Model!$Y$54</f>
        <v>0.703450054940896</v>
      </c>
      <c r="N27" s="21" t="n">
        <f aca="false">$B27*Model!$Z$54</f>
        <v>0.0725980483746832</v>
      </c>
      <c r="O27" s="21" t="n">
        <f aca="false">$B27*Model!$AA$54</f>
        <v>0.12266566794343</v>
      </c>
    </row>
    <row r="28" customFormat="false" ht="15" hidden="false" customHeight="true" outlineLevel="0" collapsed="false">
      <c r="A28" s="24" t="s">
        <v>122</v>
      </c>
      <c r="B28" s="25" t="n">
        <f aca="false">SUM(B13:B27)</f>
        <v>1725.63169231812</v>
      </c>
      <c r="C28" s="25" t="n">
        <f aca="false">SUM(C13:C27)</f>
        <v>416.278120266069</v>
      </c>
      <c r="D28" s="25" t="n">
        <f aca="false">SUM(D13:D27)</f>
        <v>535.423308702677</v>
      </c>
      <c r="E28" s="25" t="n">
        <f aca="false">SUM(E13:E27)</f>
        <v>322.685441213091</v>
      </c>
      <c r="F28" s="25" t="n">
        <f aca="false">SUM(F13:F27)</f>
        <v>451.24482213628</v>
      </c>
      <c r="G28" s="25" t="n">
        <f aca="false">SUM(G13:G27)</f>
        <v>1044.76197339284</v>
      </c>
      <c r="H28" s="25" t="n">
        <f aca="false">SUM(H13:H27)</f>
        <v>260.882383956727</v>
      </c>
      <c r="I28" s="25" t="n">
        <f aca="false">SUM(I13:I27)</f>
        <v>123.712082868369</v>
      </c>
      <c r="J28" s="25" t="n">
        <f aca="false">SUM(J13:J27)</f>
        <v>123.712082868369</v>
      </c>
      <c r="K28" s="25" t="n">
        <f aca="false">SUM(K13:K27)</f>
        <v>117.005288807918</v>
      </c>
      <c r="L28" s="25" t="n">
        <f aca="false">SUM(L13:L27)</f>
        <v>32.0652077829305</v>
      </c>
      <c r="M28" s="25" t="n">
        <f aca="false">SUM(M13:M27)</f>
        <v>18.3884150755173</v>
      </c>
      <c r="N28" s="25" t="n">
        <f aca="false">SUM(N13:N27)</f>
        <v>1.89773678715303</v>
      </c>
      <c r="O28" s="25" t="n">
        <f aca="false">SUM(O13:O27)</f>
        <v>3.20652077829305</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Data!$H$31*Data!$M$31/SUM(Data!$H$31:$K$31)</f>
        <v>88.6809470124014</v>
      </c>
      <c r="C34" s="22" t="n">
        <f aca="false">IF($B$38&gt;0,B34/$B$38,0)</f>
        <v>0.0405862457722661</v>
      </c>
      <c r="D34" s="21" t="n">
        <f aca="false">C28</f>
        <v>416.278120266069</v>
      </c>
      <c r="E34" s="22" t="n">
        <f aca="false">IF($D$38&gt;0,D34/$D$38,0)</f>
        <v>0.241232310532536</v>
      </c>
      <c r="F34" s="21" t="n">
        <f aca="false">B34+D34</f>
        <v>504.95906727847</v>
      </c>
      <c r="G34" s="22" t="n">
        <f aca="false">IF($F$38&gt;0,F34/$F$38,0)</f>
        <v>0.129124680360564</v>
      </c>
    </row>
    <row r="35" customFormat="false" ht="15" hidden="false" customHeight="true" outlineLevel="0" collapsed="false">
      <c r="A35" s="13" t="s">
        <v>110</v>
      </c>
      <c r="B35" s="21" t="n">
        <f aca="false">Data!$I$31*Data!$M$31/SUM(Data!$H$31:$K$31)</f>
        <v>549.329199549042</v>
      </c>
      <c r="C35" s="22" t="n">
        <f aca="false">IF($B$38&gt;0,B35/$B$38,0)</f>
        <v>0.25140924464487</v>
      </c>
      <c r="D35" s="21" t="n">
        <f aca="false">D28</f>
        <v>535.423308702677</v>
      </c>
      <c r="E35" s="22" t="n">
        <f aca="false">IF($D$38&gt;0,D35/$D$38,0)</f>
        <v>0.310276701040081</v>
      </c>
      <c r="F35" s="21" t="n">
        <f aca="false">B35+D35</f>
        <v>1084.75250825172</v>
      </c>
      <c r="G35" s="22" t="n">
        <f aca="false">IF($F$38&gt;0,F35/$F$38,0)</f>
        <v>0.277385495131787</v>
      </c>
    </row>
    <row r="36" customFormat="false" ht="15" hidden="false" customHeight="true" outlineLevel="0" collapsed="false">
      <c r="A36" s="13" t="s">
        <v>111</v>
      </c>
      <c r="B36" s="21" t="n">
        <f aca="false">Data!$J$31*Data!$M$31/SUM(Data!$H$31:$K$31)</f>
        <v>1189.80270574972</v>
      </c>
      <c r="C36" s="22" t="n">
        <f aca="false">IF($B$38&gt;0,B36/$B$38,0)</f>
        <v>0.544532130777903</v>
      </c>
      <c r="D36" s="21" t="n">
        <f aca="false">E28</f>
        <v>322.685441213091</v>
      </c>
      <c r="E36" s="22" t="n">
        <f aca="false">IF($D$38&gt;0,D36/$D$38,0)</f>
        <v>0.186995546413275</v>
      </c>
      <c r="F36" s="21" t="n">
        <f aca="false">B36+D36</f>
        <v>1512.48814696281</v>
      </c>
      <c r="G36" s="22" t="n">
        <f aca="false">IF($F$38&gt;0,F36/$F$38,0)</f>
        <v>0.386763128303256</v>
      </c>
    </row>
    <row r="37" customFormat="false" ht="15" hidden="false" customHeight="true" outlineLevel="0" collapsed="false">
      <c r="A37" s="13" t="s">
        <v>112</v>
      </c>
      <c r="B37" s="21" t="n">
        <f aca="false">Data!$K$31*Data!$M$31/SUM(Data!$H$31:$K$31)</f>
        <v>357.187147688839</v>
      </c>
      <c r="C37" s="22" t="n">
        <f aca="false">IF($B$38&gt;0,B37/$B$38,0)</f>
        <v>0.163472378804961</v>
      </c>
      <c r="D37" s="21" t="n">
        <f aca="false">F28</f>
        <v>451.24482213628</v>
      </c>
      <c r="E37" s="22" t="n">
        <f aca="false">IF($D$38&gt;0,D37/$D$38,0)</f>
        <v>0.261495442014109</v>
      </c>
      <c r="F37" s="21" t="n">
        <f aca="false">B37+D37</f>
        <v>808.431969825119</v>
      </c>
      <c r="G37" s="22" t="n">
        <f aca="false">IF($F$38&gt;0,F37/$F$38,0)</f>
        <v>0.206726696204393</v>
      </c>
    </row>
    <row r="38" customFormat="false" ht="15" hidden="false" customHeight="true" outlineLevel="0" collapsed="false">
      <c r="A38" s="24" t="s">
        <v>61</v>
      </c>
      <c r="B38" s="25" t="n">
        <f aca="false">SUM(B34:B37)</f>
        <v>2185</v>
      </c>
      <c r="C38" s="27" t="n">
        <f aca="false">SUM(C34:C37)</f>
        <v>1</v>
      </c>
      <c r="D38" s="25" t="n">
        <f aca="false">SUM(D34:D37)</f>
        <v>1725.63169231812</v>
      </c>
      <c r="E38" s="27" t="n">
        <f aca="false">SUM(E34:E37)</f>
        <v>1</v>
      </c>
      <c r="F38" s="25" t="n">
        <f aca="false">SUM(F34:F37)</f>
        <v>3910.63169231812</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176</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103</v>
      </c>
      <c r="C6" s="15" t="n">
        <f aca="false">Model!$Q$55</f>
        <v>0.1</v>
      </c>
    </row>
    <row r="7" customFormat="false" ht="15" hidden="false" customHeight="true" outlineLevel="0" collapsed="false">
      <c r="A7" s="13" t="s">
        <v>104</v>
      </c>
      <c r="C7" s="15" t="n">
        <f aca="false">Model!$G$55</f>
        <v>0.21444</v>
      </c>
    </row>
    <row r="8" customFormat="false" ht="15" hidden="false" customHeight="true" outlineLevel="0" collapsed="false">
      <c r="A8" s="13" t="s">
        <v>105</v>
      </c>
      <c r="C8" s="15" t="n">
        <f aca="false">Model!$R$55</f>
        <v>0.172265272884879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IF($A13&lt;=Model!$B$3,Data!$B$4*Model!$D$55,0)</f>
        <v>57.667226420375</v>
      </c>
      <c r="C13" s="21" t="n">
        <f aca="false">$B13*IF(Model!$B$5=1,Data!$D$4,Model!$AC$55)</f>
        <v>14.917202331537</v>
      </c>
      <c r="D13" s="21" t="n">
        <f aca="false">$B13*IF(Model!$B$5=1,Data!$E$4,Model!$AD$55)</f>
        <v>18.257681910766</v>
      </c>
      <c r="E13" s="21" t="n">
        <f aca="false">$B13*IF(Model!$B$5=1,Data!$F$4,Model!$AE$55)</f>
        <v>10.6706007611811</v>
      </c>
      <c r="F13" s="21" t="n">
        <f aca="false">$B13*IF(Model!$B$5=1,Data!$G$4,Model!$AF$55)</f>
        <v>13.821741416891</v>
      </c>
      <c r="G13" s="21" t="n">
        <f aca="false">$B13*Model!$S$55</f>
        <v>34.9138959044663</v>
      </c>
      <c r="H13" s="21" t="n">
        <f aca="false">$B13*Model!$T$55</f>
        <v>8.71817756459377</v>
      </c>
      <c r="I13" s="21" t="n">
        <f aca="false">$B13*Model!$U$55</f>
        <v>4.13421515463871</v>
      </c>
      <c r="J13" s="21" t="n">
        <f aca="false">$B13*Model!$V$55</f>
        <v>4.13421515463871</v>
      </c>
      <c r="K13" s="21" t="n">
        <f aca="false">$B13*Model!$W$55</f>
        <v>3.9100872521665</v>
      </c>
      <c r="L13" s="21" t="n">
        <f aca="false">$B13*Model!$X$55</f>
        <v>1.07155634986666</v>
      </c>
      <c r="M13" s="21" t="n">
        <f aca="false">$B13*Model!$Y$55</f>
        <v>0.614504763903124</v>
      </c>
      <c r="N13" s="21" t="n">
        <f aca="false">$B13*Model!$Z$55</f>
        <v>0.0634186411145573</v>
      </c>
      <c r="O13" s="21" t="n">
        <f aca="false">$B13*Model!$AA$55</f>
        <v>0.107155634986666</v>
      </c>
    </row>
    <row r="14" customFormat="false" ht="15" hidden="false" customHeight="true" outlineLevel="0" collapsed="false">
      <c r="A14" s="23" t="n">
        <v>2027</v>
      </c>
      <c r="B14" s="21" t="n">
        <f aca="false">IF($A14&lt;=Model!$B$3,Data!$B$5*Model!$D$55,0)</f>
        <v>57.667226420375</v>
      </c>
      <c r="C14" s="21" t="n">
        <f aca="false">$B14*IF(Model!$B$5=1,Data!$D$5,Model!$AC$55)</f>
        <v>14.4979518580305</v>
      </c>
      <c r="D14" s="21" t="n">
        <f aca="false">$B14*IF(Model!$B$5=1,Data!$E$5,Model!$AD$55)</f>
        <v>18.3117787460572</v>
      </c>
      <c r="E14" s="21" t="n">
        <f aca="false">$B14*IF(Model!$B$5=1,Data!$F$5,Model!$AE$55)</f>
        <v>10.6435523435355</v>
      </c>
      <c r="F14" s="21" t="n">
        <f aca="false">$B14*IF(Model!$B$5=1,Data!$G$5,Model!$AF$55)</f>
        <v>14.2139434727519</v>
      </c>
      <c r="G14" s="21" t="n">
        <f aca="false">$B14*Model!$S$55</f>
        <v>34.9138959044663</v>
      </c>
      <c r="H14" s="21" t="n">
        <f aca="false">$B14*Model!$T$55</f>
        <v>8.71817756459377</v>
      </c>
      <c r="I14" s="21" t="n">
        <f aca="false">$B14*Model!$U$55</f>
        <v>4.13421515463871</v>
      </c>
      <c r="J14" s="21" t="n">
        <f aca="false">$B14*Model!$V$55</f>
        <v>4.13421515463871</v>
      </c>
      <c r="K14" s="21" t="n">
        <f aca="false">$B14*Model!$W$55</f>
        <v>3.9100872521665</v>
      </c>
      <c r="L14" s="21" t="n">
        <f aca="false">$B14*Model!$X$55</f>
        <v>1.07155634986666</v>
      </c>
      <c r="M14" s="21" t="n">
        <f aca="false">$B14*Model!$Y$55</f>
        <v>0.614504763903124</v>
      </c>
      <c r="N14" s="21" t="n">
        <f aca="false">$B14*Model!$Z$55</f>
        <v>0.0634186411145573</v>
      </c>
      <c r="O14" s="21" t="n">
        <f aca="false">$B14*Model!$AA$55</f>
        <v>0.107155634986666</v>
      </c>
    </row>
    <row r="15" customFormat="false" ht="15" hidden="false" customHeight="true" outlineLevel="0" collapsed="false">
      <c r="A15" s="23" t="n">
        <v>2028</v>
      </c>
      <c r="B15" s="21" t="n">
        <f aca="false">IF($A15&lt;=Model!$B$3,Data!$B$6*Model!$D$55,0)</f>
        <v>57.667226420375</v>
      </c>
      <c r="C15" s="21" t="n">
        <f aca="false">$B15*IF(Model!$B$5=1,Data!$D$6,Model!$AC$55)</f>
        <v>14.4506329931864</v>
      </c>
      <c r="D15" s="21" t="n">
        <f aca="false">$B15*IF(Model!$B$5=1,Data!$E$6,Model!$AD$55)</f>
        <v>18.3203717909873</v>
      </c>
      <c r="E15" s="21" t="n">
        <f aca="false">$B15*IF(Model!$B$5=1,Data!$F$6,Model!$AE$55)</f>
        <v>10.6485469715709</v>
      </c>
      <c r="F15" s="21" t="n">
        <f aca="false">$B15*IF(Model!$B$5=1,Data!$G$6,Model!$AF$55)</f>
        <v>14.2476746646304</v>
      </c>
      <c r="G15" s="21" t="n">
        <f aca="false">$B15*Model!$S$55</f>
        <v>34.9138959044663</v>
      </c>
      <c r="H15" s="21" t="n">
        <f aca="false">$B15*Model!$T$55</f>
        <v>8.71817756459377</v>
      </c>
      <c r="I15" s="21" t="n">
        <f aca="false">$B15*Model!$U$55</f>
        <v>4.13421515463871</v>
      </c>
      <c r="J15" s="21" t="n">
        <f aca="false">$B15*Model!$V$55</f>
        <v>4.13421515463871</v>
      </c>
      <c r="K15" s="21" t="n">
        <f aca="false">$B15*Model!$W$55</f>
        <v>3.9100872521665</v>
      </c>
      <c r="L15" s="21" t="n">
        <f aca="false">$B15*Model!$X$55</f>
        <v>1.07155634986666</v>
      </c>
      <c r="M15" s="21" t="n">
        <f aca="false">$B15*Model!$Y$55</f>
        <v>0.614504763903124</v>
      </c>
      <c r="N15" s="21" t="n">
        <f aca="false">$B15*Model!$Z$55</f>
        <v>0.0634186411145573</v>
      </c>
      <c r="O15" s="21" t="n">
        <f aca="false">$B15*Model!$AA$55</f>
        <v>0.107155634986666</v>
      </c>
    </row>
    <row r="16" customFormat="false" ht="15" hidden="false" customHeight="true" outlineLevel="0" collapsed="false">
      <c r="A16" s="23" t="n">
        <v>2029</v>
      </c>
      <c r="B16" s="21" t="n">
        <f aca="false">IF($A16&lt;=Model!$B$3,Data!$B$7*Model!$D$55,0)</f>
        <v>57.667226420375</v>
      </c>
      <c r="C16" s="21" t="n">
        <f aca="false">$B16*IF(Model!$B$5=1,Data!$D$7,Model!$AC$55)</f>
        <v>14.2984420188451</v>
      </c>
      <c r="D16" s="21" t="n">
        <f aca="false">$B16*IF(Model!$B$5=1,Data!$E$7,Model!$AD$55)</f>
        <v>18.2213825916597</v>
      </c>
      <c r="E16" s="21" t="n">
        <f aca="false">$B16*IF(Model!$B$5=1,Data!$F$7,Model!$AE$55)</f>
        <v>10.5784121653139</v>
      </c>
      <c r="F16" s="21" t="n">
        <f aca="false">$B16*IF(Model!$B$5=1,Data!$G$7,Model!$AF$55)</f>
        <v>14.5689896445564</v>
      </c>
      <c r="G16" s="21" t="n">
        <f aca="false">$B16*Model!$S$55</f>
        <v>34.9138959044663</v>
      </c>
      <c r="H16" s="21" t="n">
        <f aca="false">$B16*Model!$T$55</f>
        <v>8.71817756459377</v>
      </c>
      <c r="I16" s="21" t="n">
        <f aca="false">$B16*Model!$U$55</f>
        <v>4.13421515463871</v>
      </c>
      <c r="J16" s="21" t="n">
        <f aca="false">$B16*Model!$V$55</f>
        <v>4.13421515463871</v>
      </c>
      <c r="K16" s="21" t="n">
        <f aca="false">$B16*Model!$W$55</f>
        <v>3.9100872521665</v>
      </c>
      <c r="L16" s="21" t="n">
        <f aca="false">$B16*Model!$X$55</f>
        <v>1.07155634986666</v>
      </c>
      <c r="M16" s="21" t="n">
        <f aca="false">$B16*Model!$Y$55</f>
        <v>0.614504763903124</v>
      </c>
      <c r="N16" s="21" t="n">
        <f aca="false">$B16*Model!$Z$55</f>
        <v>0.0634186411145573</v>
      </c>
      <c r="O16" s="21" t="n">
        <f aca="false">$B16*Model!$AA$55</f>
        <v>0.107155634986666</v>
      </c>
    </row>
    <row r="17" customFormat="false" ht="15" hidden="false" customHeight="true" outlineLevel="0" collapsed="false">
      <c r="A17" s="23" t="n">
        <v>2030</v>
      </c>
      <c r="B17" s="21" t="n">
        <f aca="false">IF($A17&lt;=Model!$B$3,Data!$B$8*Model!$D$55,0)</f>
        <v>57.667226420375</v>
      </c>
      <c r="C17" s="21" t="n">
        <f aca="false">$B17*IF(Model!$B$5=1,Data!$D$8,Model!$AC$55)</f>
        <v>14.2747357751046</v>
      </c>
      <c r="D17" s="21" t="n">
        <f aca="false">$B17*IF(Model!$B$5=1,Data!$E$8,Model!$AD$55)</f>
        <v>17.9550467995865</v>
      </c>
      <c r="E17" s="21" t="n">
        <f aca="false">$B17*IF(Model!$B$5=1,Data!$F$8,Model!$AE$55)</f>
        <v>10.5944247506226</v>
      </c>
      <c r="F17" s="21" t="n">
        <f aca="false">$B17*IF(Model!$B$5=1,Data!$G$8,Model!$AF$55)</f>
        <v>14.8430190950613</v>
      </c>
      <c r="G17" s="21" t="n">
        <f aca="false">$B17*Model!$S$55</f>
        <v>34.9138959044663</v>
      </c>
      <c r="H17" s="21" t="n">
        <f aca="false">$B17*Model!$T$55</f>
        <v>8.71817756459377</v>
      </c>
      <c r="I17" s="21" t="n">
        <f aca="false">$B17*Model!$U$55</f>
        <v>4.13421515463871</v>
      </c>
      <c r="J17" s="21" t="n">
        <f aca="false">$B17*Model!$V$55</f>
        <v>4.13421515463871</v>
      </c>
      <c r="K17" s="21" t="n">
        <f aca="false">$B17*Model!$W$55</f>
        <v>3.9100872521665</v>
      </c>
      <c r="L17" s="21" t="n">
        <f aca="false">$B17*Model!$X$55</f>
        <v>1.07155634986666</v>
      </c>
      <c r="M17" s="21" t="n">
        <f aca="false">$B17*Model!$Y$55</f>
        <v>0.614504763903124</v>
      </c>
      <c r="N17" s="21" t="n">
        <f aca="false">$B17*Model!$Z$55</f>
        <v>0.0634186411145573</v>
      </c>
      <c r="O17" s="21" t="n">
        <f aca="false">$B17*Model!$AA$55</f>
        <v>0.107155634986666</v>
      </c>
    </row>
    <row r="18" customFormat="false" ht="15" hidden="false" customHeight="true" outlineLevel="0" collapsed="false">
      <c r="A18" s="23" t="n">
        <v>2031</v>
      </c>
      <c r="B18" s="21" t="n">
        <f aca="false">IF($A18&lt;=Model!$B$3,Data!$B$9*Model!$D$55,0)</f>
        <v>29.3273626271107</v>
      </c>
      <c r="C18" s="21" t="n">
        <f aca="false">$B18*IF(Model!$B$5=1,Data!$D$9,Model!$AC$55)</f>
        <v>6.77721802406941</v>
      </c>
      <c r="D18" s="21" t="n">
        <f aca="false">$B18*IF(Model!$B$5=1,Data!$E$9,Model!$AD$55)</f>
        <v>8.91454426718911</v>
      </c>
      <c r="E18" s="21" t="n">
        <f aca="false">$B18*IF(Model!$B$5=1,Data!$F$9,Model!$AE$55)</f>
        <v>5.5732810896539</v>
      </c>
      <c r="F18" s="21" t="n">
        <f aca="false">$B18*IF(Model!$B$5=1,Data!$G$9,Model!$AF$55)</f>
        <v>8.06231924619835</v>
      </c>
      <c r="G18" s="21" t="n">
        <f aca="false">$B18*Model!$S$55</f>
        <v>17.7558823178238</v>
      </c>
      <c r="H18" s="21" t="n">
        <f aca="false">$B18*Model!$T$55</f>
        <v>4.43373421535053</v>
      </c>
      <c r="I18" s="21" t="n">
        <f aca="false">$B18*Model!$U$55</f>
        <v>2.10250491561265</v>
      </c>
      <c r="J18" s="21" t="n">
        <f aca="false">$B18*Model!$V$55</f>
        <v>2.10250491561265</v>
      </c>
      <c r="K18" s="21" t="n">
        <f aca="false">$B18*Model!$W$55</f>
        <v>1.988521971076</v>
      </c>
      <c r="L18" s="21" t="n">
        <f aca="false">$B18*Model!$X$55</f>
        <v>0.544952889165122</v>
      </c>
      <c r="M18" s="21" t="n">
        <f aca="false">$B18*Model!$Y$55</f>
        <v>0.312513799704896</v>
      </c>
      <c r="N18" s="21" t="n">
        <f aca="false">$B18*Model!$Z$55</f>
        <v>0.032252313848548</v>
      </c>
      <c r="O18" s="21" t="n">
        <f aca="false">$B18*Model!$AA$55</f>
        <v>0.0544952889165122</v>
      </c>
    </row>
    <row r="19" customFormat="false" ht="15" hidden="false" customHeight="true" outlineLevel="0" collapsed="false">
      <c r="A19" s="23" t="n">
        <v>2032</v>
      </c>
      <c r="B19" s="21" t="n">
        <f aca="false">IF($A19&lt;=Model!$B$3,Data!$B$10*Model!$D$55,0)</f>
        <v>29.3273626271107</v>
      </c>
      <c r="C19" s="21" t="n">
        <f aca="false">$B19*IF(Model!$B$5=1,Data!$D$10,Model!$AC$55)</f>
        <v>6.52019777964364</v>
      </c>
      <c r="D19" s="21" t="n">
        <f aca="false">$B19*IF(Model!$B$5=1,Data!$E$10,Model!$AD$55)</f>
        <v>8.73868831047672</v>
      </c>
      <c r="E19" s="21" t="n">
        <f aca="false">$B19*IF(Model!$B$5=1,Data!$F$10,Model!$AE$55)</f>
        <v>5.66797275865287</v>
      </c>
      <c r="F19" s="21" t="n">
        <f aca="false">$B19*IF(Model!$B$5=1,Data!$G$10,Model!$AF$55)</f>
        <v>8.40050377833753</v>
      </c>
      <c r="G19" s="21" t="n">
        <f aca="false">$B19*Model!$S$55</f>
        <v>17.7558823178238</v>
      </c>
      <c r="H19" s="21" t="n">
        <f aca="false">$B19*Model!$T$55</f>
        <v>4.43373421535053</v>
      </c>
      <c r="I19" s="21" t="n">
        <f aca="false">$B19*Model!$U$55</f>
        <v>2.10250491561265</v>
      </c>
      <c r="J19" s="21" t="n">
        <f aca="false">$B19*Model!$V$55</f>
        <v>2.10250491561265</v>
      </c>
      <c r="K19" s="21" t="n">
        <f aca="false">$B19*Model!$W$55</f>
        <v>1.988521971076</v>
      </c>
      <c r="L19" s="21" t="n">
        <f aca="false">$B19*Model!$X$55</f>
        <v>0.544952889165122</v>
      </c>
      <c r="M19" s="21" t="n">
        <f aca="false">$B19*Model!$Y$55</f>
        <v>0.312513799704896</v>
      </c>
      <c r="N19" s="21" t="n">
        <f aca="false">$B19*Model!$Z$55</f>
        <v>0.032252313848548</v>
      </c>
      <c r="O19" s="21" t="n">
        <f aca="false">$B19*Model!$AA$55</f>
        <v>0.0544952889165122</v>
      </c>
    </row>
    <row r="20" customFormat="false" ht="15" hidden="false" customHeight="true" outlineLevel="0" collapsed="false">
      <c r="A20" s="23" t="n">
        <v>2033</v>
      </c>
      <c r="B20" s="21" t="n">
        <f aca="false">IF($A20&lt;=Model!$B$3,Data!$B$11*Model!$D$55,0)</f>
        <v>29.3273626271107</v>
      </c>
      <c r="C20" s="21" t="n">
        <f aca="false">$B20*IF(Model!$B$5=1,Data!$D$11,Model!$AC$55)</f>
        <v>6.46907214386661</v>
      </c>
      <c r="D20" s="21" t="n">
        <f aca="false">$B20*IF(Model!$B$5=1,Data!$E$11,Model!$AD$55)</f>
        <v>8.76978817829614</v>
      </c>
      <c r="E20" s="21" t="n">
        <f aca="false">$B20*IF(Model!$B$5=1,Data!$F$11,Model!$AE$55)</f>
        <v>5.67058834368223</v>
      </c>
      <c r="F20" s="21" t="n">
        <f aca="false">$B20*IF(Model!$B$5=1,Data!$G$11,Model!$AF$55)</f>
        <v>8.41791396126576</v>
      </c>
      <c r="G20" s="21" t="n">
        <f aca="false">$B20*Model!$S$55</f>
        <v>17.7558823178238</v>
      </c>
      <c r="H20" s="21" t="n">
        <f aca="false">$B20*Model!$T$55</f>
        <v>4.43373421535053</v>
      </c>
      <c r="I20" s="21" t="n">
        <f aca="false">$B20*Model!$U$55</f>
        <v>2.10250491561265</v>
      </c>
      <c r="J20" s="21" t="n">
        <f aca="false">$B20*Model!$V$55</f>
        <v>2.10250491561265</v>
      </c>
      <c r="K20" s="21" t="n">
        <f aca="false">$B20*Model!$W$55</f>
        <v>1.988521971076</v>
      </c>
      <c r="L20" s="21" t="n">
        <f aca="false">$B20*Model!$X$55</f>
        <v>0.544952889165122</v>
      </c>
      <c r="M20" s="21" t="n">
        <f aca="false">$B20*Model!$Y$55</f>
        <v>0.312513799704896</v>
      </c>
      <c r="N20" s="21" t="n">
        <f aca="false">$B20*Model!$Z$55</f>
        <v>0.032252313848548</v>
      </c>
      <c r="O20" s="21" t="n">
        <f aca="false">$B20*Model!$AA$55</f>
        <v>0.0544952889165122</v>
      </c>
    </row>
    <row r="21" customFormat="false" ht="15" hidden="false" customHeight="true" outlineLevel="0" collapsed="false">
      <c r="A21" s="23" t="n">
        <v>2034</v>
      </c>
      <c r="B21" s="21" t="n">
        <f aca="false">IF($A21&lt;=Model!$B$3,Data!$B$12*Model!$D$55,0)</f>
        <v>29.3273626271107</v>
      </c>
      <c r="C21" s="21" t="n">
        <f aca="false">$B21*IF(Model!$B$5=1,Data!$D$12,Model!$AC$55)</f>
        <v>6.4119787293591</v>
      </c>
      <c r="D21" s="21" t="n">
        <f aca="false">$B21*IF(Model!$B$5=1,Data!$E$12,Model!$AD$55)</f>
        <v>8.79279783561901</v>
      </c>
      <c r="E21" s="21" t="n">
        <f aca="false">$B21*IF(Model!$B$5=1,Data!$F$12,Model!$AE$55)</f>
        <v>5.66797275865287</v>
      </c>
      <c r="F21" s="21" t="n">
        <f aca="false">$B21*IF(Model!$B$5=1,Data!$G$12,Model!$AF$55)</f>
        <v>8.45461330347979</v>
      </c>
      <c r="G21" s="21" t="n">
        <f aca="false">$B21*Model!$S$55</f>
        <v>17.7558823178238</v>
      </c>
      <c r="H21" s="21" t="n">
        <f aca="false">$B21*Model!$T$55</f>
        <v>4.43373421535053</v>
      </c>
      <c r="I21" s="21" t="n">
        <f aca="false">$B21*Model!$U$55</f>
        <v>2.10250491561265</v>
      </c>
      <c r="J21" s="21" t="n">
        <f aca="false">$B21*Model!$V$55</f>
        <v>2.10250491561265</v>
      </c>
      <c r="K21" s="21" t="n">
        <f aca="false">$B21*Model!$W$55</f>
        <v>1.988521971076</v>
      </c>
      <c r="L21" s="21" t="n">
        <f aca="false">$B21*Model!$X$55</f>
        <v>0.544952889165122</v>
      </c>
      <c r="M21" s="21" t="n">
        <f aca="false">$B21*Model!$Y$55</f>
        <v>0.312513799704896</v>
      </c>
      <c r="N21" s="21" t="n">
        <f aca="false">$B21*Model!$Z$55</f>
        <v>0.032252313848548</v>
      </c>
      <c r="O21" s="21" t="n">
        <f aca="false">$B21*Model!$AA$55</f>
        <v>0.0544952889165122</v>
      </c>
    </row>
    <row r="22" customFormat="false" ht="15" hidden="false" customHeight="true" outlineLevel="0" collapsed="false">
      <c r="A22" s="23" t="n">
        <v>2035</v>
      </c>
      <c r="B22" s="21" t="n">
        <f aca="false">IF($A22&lt;=Model!$B$3,Data!$B$13*Model!$D$55,0)</f>
        <v>28.3398637932643</v>
      </c>
      <c r="C22" s="21" t="n">
        <f aca="false">$B22*IF(Model!$B$5=1,Data!$D$13,Model!$AC$55)</f>
        <v>6.07379419721988</v>
      </c>
      <c r="D22" s="21" t="n">
        <f aca="false">$B22*IF(Model!$B$5=1,Data!$E$13,Model!$AD$55)</f>
        <v>8.37344901576639</v>
      </c>
      <c r="E22" s="21" t="n">
        <f aca="false">$B22*IF(Model!$B$5=1,Data!$F$13,Model!$AE$55)</f>
        <v>5.4380072767982</v>
      </c>
      <c r="F22" s="21" t="n">
        <f aca="false">$B22*IF(Model!$B$5=1,Data!$G$13,Model!$AF$55)</f>
        <v>8.45461330347981</v>
      </c>
      <c r="G22" s="21" t="n">
        <f aca="false">$B22*Model!$S$55</f>
        <v>17.1580135866425</v>
      </c>
      <c r="H22" s="21" t="n">
        <f aca="false">$B22*Model!$T$55</f>
        <v>4.28444334924324</v>
      </c>
      <c r="I22" s="21" t="n">
        <f aca="false">$B22*Model!$U$55</f>
        <v>2.03171023902606</v>
      </c>
      <c r="J22" s="21" t="n">
        <f aca="false">$B22*Model!$V$55</f>
        <v>2.03171023902606</v>
      </c>
      <c r="K22" s="21" t="n">
        <f aca="false">$B22*Model!$W$55</f>
        <v>1.9215652810905</v>
      </c>
      <c r="L22" s="21" t="n">
        <f aca="false">$B22*Model!$X$55</f>
        <v>0.526603460701536</v>
      </c>
      <c r="M22" s="21" t="n">
        <f aca="false">$B22*Model!$Y$55</f>
        <v>0.301990964198228</v>
      </c>
      <c r="N22" s="21" t="n">
        <f aca="false">$B22*Model!$Z$55</f>
        <v>0.0311663272660093</v>
      </c>
      <c r="O22" s="21" t="n">
        <f aca="false">$B22*Model!$AA$55</f>
        <v>0.0526603460701536</v>
      </c>
    </row>
    <row r="23" customFormat="false" ht="15" hidden="false" customHeight="true" outlineLevel="0" collapsed="false">
      <c r="A23" s="23" t="n">
        <v>2036</v>
      </c>
      <c r="B23" s="21" t="n">
        <f aca="false">IF($A23&lt;=Model!$B$3,Data!$B$14*Model!$D$55,0)</f>
        <v>21.4679541001959</v>
      </c>
      <c r="C23" s="21" t="n">
        <f aca="false">$B23*IF(Model!$B$5=1,Data!$D$14,Model!$AC$55)</f>
        <v>5.1787817331572</v>
      </c>
      <c r="D23" s="21" t="n">
        <f aca="false">$B23*IF(Model!$B$5=1,Data!$E$14,Model!$AD$55)</f>
        <v>6.66101477863378</v>
      </c>
      <c r="E23" s="21" t="n">
        <f aca="false">$B23*IF(Model!$B$5=1,Data!$F$14,Model!$AE$55)</f>
        <v>4.01440904732008</v>
      </c>
      <c r="F23" s="21" t="n">
        <f aca="false">$B23*IF(Model!$B$5=1,Data!$G$14,Model!$AF$55)</f>
        <v>5.61374854108486</v>
      </c>
      <c r="G23" s="21" t="n">
        <f aca="false">$B23*Model!$S$55</f>
        <v>12.9975024162299</v>
      </c>
      <c r="H23" s="21" t="n">
        <f aca="false">$B23*Model!$T$55</f>
        <v>3.24554252756517</v>
      </c>
      <c r="I23" s="21" t="n">
        <f aca="false">$B23*Model!$U$55</f>
        <v>1.53905687319063</v>
      </c>
      <c r="J23" s="21" t="n">
        <f aca="false">$B23*Model!$V$55</f>
        <v>1.53905687319063</v>
      </c>
      <c r="K23" s="21" t="n">
        <f aca="false">$B23*Model!$W$55</f>
        <v>1.45562009598598</v>
      </c>
      <c r="L23" s="21" t="n">
        <f aca="false">$B23*Model!$X$55</f>
        <v>0.398911547557679</v>
      </c>
      <c r="M23" s="21" t="n">
        <f aca="false">$B23*Model!$Y$55</f>
        <v>0.228763560946343</v>
      </c>
      <c r="N23" s="21" t="n">
        <f aca="false">$B23*Model!$Z$55</f>
        <v>0.0236090507738218</v>
      </c>
      <c r="O23" s="21" t="n">
        <f aca="false">$B23*Model!$AA$55</f>
        <v>0.0398911547557679</v>
      </c>
    </row>
    <row r="24" customFormat="false" ht="15" hidden="false" customHeight="true" outlineLevel="0" collapsed="false">
      <c r="A24" s="23" t="n">
        <v>2037</v>
      </c>
      <c r="B24" s="21" t="n">
        <f aca="false">IF($A24&lt;=Model!$B$3,Data!$B$15*Model!$D$55,0)</f>
        <v>21.2920981434835</v>
      </c>
      <c r="C24" s="21" t="n">
        <f aca="false">$B24*IF(Model!$B$5=1,Data!$D$15,Model!$AC$55)</f>
        <v>5.13635945052894</v>
      </c>
      <c r="D24" s="21" t="n">
        <f aca="false">$B24*IF(Model!$B$5=1,Data!$E$15,Model!$AD$55)</f>
        <v>6.60645070042191</v>
      </c>
      <c r="E24" s="21" t="n">
        <f aca="false">$B24*IF(Model!$B$5=1,Data!$F$15,Model!$AE$55)</f>
        <v>3.98152478921349</v>
      </c>
      <c r="F24" s="21" t="n">
        <f aca="false">$B24*IF(Model!$B$5=1,Data!$G$15,Model!$AF$55)</f>
        <v>5.56776320331922</v>
      </c>
      <c r="G24" s="21" t="n">
        <f aca="false">$B24*Model!$S$55</f>
        <v>12.8910326421839</v>
      </c>
      <c r="H24" s="21" t="n">
        <f aca="false">$B24*Model!$T$55</f>
        <v>3.21895648291593</v>
      </c>
      <c r="I24" s="21" t="n">
        <f aca="false">$B24*Model!$U$55</f>
        <v>1.52644960201767</v>
      </c>
      <c r="J24" s="21" t="n">
        <f aca="false">$B24*Model!$V$55</f>
        <v>1.52644960201767</v>
      </c>
      <c r="K24" s="21" t="n">
        <f aca="false">$B24*Model!$W$55</f>
        <v>1.44369630187897</v>
      </c>
      <c r="L24" s="21" t="n">
        <f aca="false">$B24*Model!$X$55</f>
        <v>0.395643841118958</v>
      </c>
      <c r="M24" s="21" t="n">
        <f aca="false">$B24*Model!$Y$55</f>
        <v>0.226889631335566</v>
      </c>
      <c r="N24" s="21" t="n">
        <f aca="false">$B24*Model!$Z$55</f>
        <v>0.0234156559029588</v>
      </c>
      <c r="O24" s="21" t="n">
        <f aca="false">$B24*Model!$AA$55</f>
        <v>0.0395643841118958</v>
      </c>
    </row>
    <row r="25" customFormat="false" ht="15" hidden="false" customHeight="true" outlineLevel="0" collapsed="false">
      <c r="A25" s="23" t="n">
        <v>2038</v>
      </c>
      <c r="B25" s="21" t="n">
        <f aca="false">IF($A25&lt;=Model!$B$3,Data!$B$16*Model!$D$55,0)</f>
        <v>21.0350778990577</v>
      </c>
      <c r="C25" s="21" t="n">
        <f aca="false">$B25*IF(Model!$B$5=1,Data!$D$16,Model!$AC$55)</f>
        <v>5.07435765284151</v>
      </c>
      <c r="D25" s="21" t="n">
        <f aca="false">$B25*IF(Model!$B$5=1,Data!$E$16,Model!$AD$55)</f>
        <v>6.52670320149687</v>
      </c>
      <c r="E25" s="21" t="n">
        <f aca="false">$B25*IF(Model!$B$5=1,Data!$F$16,Model!$AE$55)</f>
        <v>3.93346318121154</v>
      </c>
      <c r="F25" s="21" t="n">
        <f aca="false">$B25*IF(Model!$B$5=1,Data!$G$16,Model!$AF$55)</f>
        <v>5.50055386350785</v>
      </c>
      <c r="G25" s="21" t="n">
        <f aca="false">$B25*Model!$S$55</f>
        <v>12.7354229724244</v>
      </c>
      <c r="H25" s="21" t="n">
        <f aca="false">$B25*Model!$T$55</f>
        <v>3.18009995612088</v>
      </c>
      <c r="I25" s="21" t="n">
        <f aca="false">$B25*Model!$U$55</f>
        <v>1.50802359030335</v>
      </c>
      <c r="J25" s="21" t="n">
        <f aca="false">$B25*Model!$V$55</f>
        <v>1.50802359030335</v>
      </c>
      <c r="K25" s="21" t="n">
        <f aca="false">$B25*Model!$W$55</f>
        <v>1.42626921818412</v>
      </c>
      <c r="L25" s="21" t="n">
        <f aca="false">$B25*Model!$X$55</f>
        <v>0.390867962477751</v>
      </c>
      <c r="M25" s="21" t="n">
        <f aca="false">$B25*Model!$Y$55</f>
        <v>0.2241508111352</v>
      </c>
      <c r="N25" s="21" t="n">
        <f aca="false">$B25*Model!$Z$55</f>
        <v>0.0231330018609281</v>
      </c>
      <c r="O25" s="21" t="n">
        <f aca="false">$B25*Model!$AA$55</f>
        <v>0.0390867962477751</v>
      </c>
    </row>
    <row r="26" customFormat="false" ht="15" hidden="false" customHeight="true" outlineLevel="0" collapsed="false">
      <c r="A26" s="23" t="n">
        <v>2039</v>
      </c>
      <c r="B26" s="21" t="n">
        <f aca="false">IF($A26&lt;=Model!$B$3,Data!$B$17*Model!$D$55,0)</f>
        <v>20.8456945610598</v>
      </c>
      <c r="C26" s="21" t="n">
        <f aca="false">$B26*IF(Model!$B$5=1,Data!$D$17,Model!$AC$55)</f>
        <v>5.02867211770337</v>
      </c>
      <c r="D26" s="21" t="n">
        <f aca="false">$B26*IF(Model!$B$5=1,Data!$E$17,Model!$AD$55)</f>
        <v>6.46794188649945</v>
      </c>
      <c r="E26" s="21" t="n">
        <f aca="false">$B26*IF(Model!$B$5=1,Data!$F$17,Model!$AE$55)</f>
        <v>3.89804936478906</v>
      </c>
      <c r="F26" s="21" t="n">
        <f aca="false">$B26*IF(Model!$B$5=1,Data!$G$17,Model!$AF$55)</f>
        <v>5.45103119206793</v>
      </c>
      <c r="G26" s="21" t="n">
        <f aca="false">$B26*Model!$S$55</f>
        <v>12.6207632157595</v>
      </c>
      <c r="H26" s="21" t="n">
        <f aca="false">$B26*Model!$T$55</f>
        <v>3.15146883111401</v>
      </c>
      <c r="I26" s="21" t="n">
        <f aca="false">$B26*Model!$U$55</f>
        <v>1.49444652904017</v>
      </c>
      <c r="J26" s="21" t="n">
        <f aca="false">$B26*Model!$V$55</f>
        <v>1.49444652904017</v>
      </c>
      <c r="K26" s="21" t="n">
        <f aca="false">$B26*Model!$W$55</f>
        <v>1.41342820914581</v>
      </c>
      <c r="L26" s="21" t="n">
        <f aca="false">$B26*Model!$X$55</f>
        <v>0.387348894005283</v>
      </c>
      <c r="M26" s="21" t="n">
        <f aca="false">$B26*Model!$Y$55</f>
        <v>0.222132733092825</v>
      </c>
      <c r="N26" s="21" t="n">
        <f aca="false">$B26*Model!$Z$55</f>
        <v>0.0229247304615371</v>
      </c>
      <c r="O26" s="21" t="n">
        <f aca="false">$B26*Model!$AA$55</f>
        <v>0.0387348894005283</v>
      </c>
    </row>
    <row r="27" customFormat="false" ht="15" hidden="false" customHeight="true" outlineLevel="0" collapsed="false">
      <c r="A27" s="23" t="n">
        <v>2040</v>
      </c>
      <c r="B27" s="21" t="n">
        <f aca="false">IF($A27&lt;=Model!$B$3,Data!$B$18*Model!$D$55,0)</f>
        <v>20.6292564604907</v>
      </c>
      <c r="C27" s="21" t="n">
        <f aca="false">$B27*IF(Model!$B$5=1,Data!$D$18,Model!$AC$55)</f>
        <v>4.97646007754551</v>
      </c>
      <c r="D27" s="21" t="n">
        <f aca="false">$B27*IF(Model!$B$5=1,Data!$E$18,Model!$AD$55)</f>
        <v>6.40078609793101</v>
      </c>
      <c r="E27" s="21" t="n">
        <f aca="false">$B27*IF(Model!$B$5=1,Data!$F$18,Model!$AE$55)</f>
        <v>3.85757643173479</v>
      </c>
      <c r="F27" s="21" t="n">
        <f aca="false">$B27*IF(Model!$B$5=1,Data!$G$18,Model!$AF$55)</f>
        <v>5.3944338532794</v>
      </c>
      <c r="G27" s="21" t="n">
        <f aca="false">$B27*Model!$S$55</f>
        <v>12.4897234938567</v>
      </c>
      <c r="H27" s="21" t="n">
        <f aca="false">$B27*Model!$T$55</f>
        <v>3.11874754539186</v>
      </c>
      <c r="I27" s="21" t="n">
        <f aca="false">$B27*Model!$U$55</f>
        <v>1.47892988759654</v>
      </c>
      <c r="J27" s="21" t="n">
        <f aca="false">$B27*Model!$V$55</f>
        <v>1.47892988759654</v>
      </c>
      <c r="K27" s="21" t="n">
        <f aca="false">$B27*Model!$W$55</f>
        <v>1.39875277024488</v>
      </c>
      <c r="L27" s="21" t="n">
        <f aca="false">$B27*Model!$X$55</f>
        <v>0.383327101465319</v>
      </c>
      <c r="M27" s="21" t="n">
        <f aca="false">$B27*Model!$Y$55</f>
        <v>0.219826358187254</v>
      </c>
      <c r="N27" s="21" t="n">
        <f aca="false">$B27*Model!$Z$55</f>
        <v>0.0226867060050903</v>
      </c>
      <c r="O27" s="21" t="n">
        <f aca="false">$B27*Model!$AA$55</f>
        <v>0.0383327101465319</v>
      </c>
    </row>
    <row r="28" customFormat="false" ht="15" hidden="false" customHeight="true" outlineLevel="0" collapsed="false">
      <c r="A28" s="24" t="s">
        <v>122</v>
      </c>
      <c r="B28" s="25" t="n">
        <f aca="false">SUM(B13:B27)</f>
        <v>539.25552756787</v>
      </c>
      <c r="C28" s="25" t="n">
        <f aca="false">SUM(C13:C27)</f>
        <v>130.085856882639</v>
      </c>
      <c r="D28" s="25" t="n">
        <f aca="false">SUM(D13:D27)</f>
        <v>167.318426111387</v>
      </c>
      <c r="E28" s="25" t="n">
        <f aca="false">SUM(E13:E27)</f>
        <v>100.838382033933</v>
      </c>
      <c r="F28" s="25" t="n">
        <f aca="false">SUM(F13:F27)</f>
        <v>141.012862539911</v>
      </c>
      <c r="G28" s="25" t="n">
        <f aca="false">SUM(G13:G27)</f>
        <v>326.485467120724</v>
      </c>
      <c r="H28" s="25" t="n">
        <f aca="false">SUM(H13:H27)</f>
        <v>81.5250833767221</v>
      </c>
      <c r="I28" s="25" t="n">
        <f aca="false">SUM(I13:I27)</f>
        <v>38.6597121568186</v>
      </c>
      <c r="J28" s="25" t="n">
        <f aca="false">SUM(J13:J27)</f>
        <v>38.6597121568186</v>
      </c>
      <c r="K28" s="25" t="n">
        <f aca="false">SUM(K13:K27)</f>
        <v>36.5638560216667</v>
      </c>
      <c r="L28" s="25" t="n">
        <f aca="false">SUM(L13:L27)</f>
        <v>10.0202961133203</v>
      </c>
      <c r="M28" s="25" t="n">
        <f aca="false">SUM(M13:M27)</f>
        <v>5.74633307723062</v>
      </c>
      <c r="N28" s="25" t="n">
        <f aca="false">SUM(N13:N27)</f>
        <v>0.593037933237324</v>
      </c>
      <c r="O28" s="25" t="n">
        <f aca="false">SUM(O13:O27)</f>
        <v>1.00202961133203</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Data!$H$32*Data!$M$32/SUM(Data!$H$32:$K$32)</f>
        <v>46.2</v>
      </c>
      <c r="C34" s="22" t="n">
        <f aca="false">IF($B$38&gt;0,B34/$B$38,0)</f>
        <v>0.05</v>
      </c>
      <c r="D34" s="21" t="n">
        <f aca="false">C28</f>
        <v>130.085856882639</v>
      </c>
      <c r="E34" s="22" t="n">
        <f aca="false">IF($D$38&gt;0,D34/$D$38,0)</f>
        <v>0.241232310532536</v>
      </c>
      <c r="F34" s="21" t="n">
        <f aca="false">B34+D34</f>
        <v>176.285856882639</v>
      </c>
      <c r="G34" s="22" t="n">
        <f aca="false">IF($F$38&gt;0,F34/$F$38,0)</f>
        <v>0.120475100596852</v>
      </c>
    </row>
    <row r="35" customFormat="false" ht="15" hidden="false" customHeight="true" outlineLevel="0" collapsed="false">
      <c r="A35" s="13" t="s">
        <v>110</v>
      </c>
      <c r="B35" s="21" t="n">
        <f aca="false">Data!$I$32*Data!$M$32/SUM(Data!$H$32:$K$32)</f>
        <v>165.460465116279</v>
      </c>
      <c r="C35" s="22" t="n">
        <f aca="false">IF($B$38&gt;0,B35/$B$38,0)</f>
        <v>0.17906976744186</v>
      </c>
      <c r="D35" s="21" t="n">
        <f aca="false">D28</f>
        <v>167.318426111387</v>
      </c>
      <c r="E35" s="22" t="n">
        <f aca="false">IF($D$38&gt;0,D35/$D$38,0)</f>
        <v>0.310276701040081</v>
      </c>
      <c r="F35" s="21" t="n">
        <f aca="false">B35+D35</f>
        <v>332.778891227666</v>
      </c>
      <c r="G35" s="22" t="n">
        <f aca="false">IF($F$38&gt;0,F35/$F$38,0)</f>
        <v>0.22742363514648</v>
      </c>
    </row>
    <row r="36" customFormat="false" ht="15" hidden="false" customHeight="true" outlineLevel="0" collapsed="false">
      <c r="A36" s="13" t="s">
        <v>111</v>
      </c>
      <c r="B36" s="21" t="n">
        <f aca="false">Data!$J$32*Data!$M$32/SUM(Data!$H$32:$K$32)</f>
        <v>466.297674418605</v>
      </c>
      <c r="C36" s="22" t="n">
        <f aca="false">IF($B$38&gt;0,B36/$B$38,0)</f>
        <v>0.504651162790698</v>
      </c>
      <c r="D36" s="21" t="n">
        <f aca="false">E28</f>
        <v>100.838382033933</v>
      </c>
      <c r="E36" s="22" t="n">
        <f aca="false">IF($D$38&gt;0,D36/$D$38,0)</f>
        <v>0.186995546413275</v>
      </c>
      <c r="F36" s="21" t="n">
        <f aca="false">B36+D36</f>
        <v>567.136056452538</v>
      </c>
      <c r="G36" s="22" t="n">
        <f aca="false">IF($F$38&gt;0,F36/$F$38,0)</f>
        <v>0.387585111258862</v>
      </c>
    </row>
    <row r="37" customFormat="false" ht="15" hidden="false" customHeight="true" outlineLevel="0" collapsed="false">
      <c r="A37" s="13" t="s">
        <v>112</v>
      </c>
      <c r="B37" s="21" t="n">
        <f aca="false">Data!$K$32*Data!$M$32/SUM(Data!$H$32:$K$32)</f>
        <v>246.041860465116</v>
      </c>
      <c r="C37" s="22" t="n">
        <f aca="false">IF($B$38&gt;0,B37/$B$38,0)</f>
        <v>0.266279069767442</v>
      </c>
      <c r="D37" s="21" t="n">
        <f aca="false">F28</f>
        <v>141.012862539911</v>
      </c>
      <c r="E37" s="22" t="n">
        <f aca="false">IF($D$38&gt;0,D37/$D$38,0)</f>
        <v>0.261495442014108</v>
      </c>
      <c r="F37" s="21" t="n">
        <f aca="false">B37+D37</f>
        <v>387.054723005028</v>
      </c>
      <c r="G37" s="22" t="n">
        <f aca="false">IF($F$38&gt;0,F37/$F$38,0)</f>
        <v>0.264516152997806</v>
      </c>
    </row>
    <row r="38" customFormat="false" ht="15" hidden="false" customHeight="true" outlineLevel="0" collapsed="false">
      <c r="A38" s="24" t="s">
        <v>61</v>
      </c>
      <c r="B38" s="25" t="n">
        <f aca="false">SUM(B34:B37)</f>
        <v>924</v>
      </c>
      <c r="C38" s="27" t="n">
        <f aca="false">SUM(C34:C37)</f>
        <v>1</v>
      </c>
      <c r="D38" s="25" t="n">
        <f aca="false">SUM(D34:D37)</f>
        <v>539.25552756787</v>
      </c>
      <c r="E38" s="27" t="n">
        <f aca="false">SUM(E34:E37)</f>
        <v>1</v>
      </c>
      <c r="F38" s="25" t="n">
        <f aca="false">SUM(F34:F37)</f>
        <v>1463.25552756787</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103</v>
      </c>
      <c r="C6" s="15" t="n">
        <f aca="false">Model!$Q$56</f>
        <v>0.1</v>
      </c>
    </row>
    <row r="7" customFormat="false" ht="15" hidden="false" customHeight="true" outlineLevel="0" collapsed="false">
      <c r="A7" s="13" t="s">
        <v>104</v>
      </c>
      <c r="C7" s="15" t="n">
        <f aca="false">Model!$G$56</f>
        <v>0.16367</v>
      </c>
    </row>
    <row r="8" customFormat="false" ht="15" hidden="false" customHeight="true" outlineLevel="0" collapsed="false">
      <c r="A8" s="13" t="s">
        <v>105</v>
      </c>
      <c r="C8" s="15" t="n">
        <f aca="false">Model!$R$56</f>
        <v>0.139451375248352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IF($A13&lt;=Model!$B$3,Data!$B$4*Model!$D$56,0)</f>
        <v>34.2026308424293</v>
      </c>
      <c r="C13" s="21" t="n">
        <f aca="false">$B13*IF(Model!$B$5=1,Data!$D$4,Model!$AC$56)</f>
        <v>8.84744414146332</v>
      </c>
      <c r="D13" s="21" t="n">
        <f aca="false">$B13*IF(Model!$B$5=1,Data!$E$4,Model!$AD$56)</f>
        <v>10.8286940987991</v>
      </c>
      <c r="E13" s="21" t="n">
        <f aca="false">$B13*IF(Model!$B$5=1,Data!$F$4,Model!$AE$56)</f>
        <v>6.32877010663152</v>
      </c>
      <c r="F13" s="21" t="n">
        <f aca="false">$B13*IF(Model!$B$5=1,Data!$G$4,Model!$AF$56)</f>
        <v>8.19772249553535</v>
      </c>
      <c r="G13" s="21" t="n">
        <f aca="false">$B13*Model!$S$56</f>
        <v>20.7075520536835</v>
      </c>
      <c r="H13" s="21" t="n">
        <f aca="false">$B13*Model!$T$56</f>
        <v>5.17078117624182</v>
      </c>
      <c r="I13" s="21" t="n">
        <f aca="false">$B13*Model!$U$56</f>
        <v>2.45201726413055</v>
      </c>
      <c r="J13" s="21" t="n">
        <f aca="false">$B13*Model!$V$56</f>
        <v>2.45201726413055</v>
      </c>
      <c r="K13" s="21" t="n">
        <f aca="false">$B13*Model!$W$56</f>
        <v>2.31908623231944</v>
      </c>
      <c r="L13" s="21" t="n">
        <f aca="false">$B13*Model!$X$56</f>
        <v>0.635543766127811</v>
      </c>
      <c r="M13" s="21" t="n">
        <f aca="false">$B13*Model!$Y$56</f>
        <v>0.364464894452888</v>
      </c>
      <c r="N13" s="21" t="n">
        <f aca="false">$B13*Model!$Z$56</f>
        <v>0.0376138147300133</v>
      </c>
      <c r="O13" s="21" t="n">
        <f aca="false">$B13*Model!$AA$56</f>
        <v>0.0635543766127811</v>
      </c>
    </row>
    <row r="14" customFormat="false" ht="15" hidden="false" customHeight="true" outlineLevel="0" collapsed="false">
      <c r="A14" s="23" t="n">
        <v>2027</v>
      </c>
      <c r="B14" s="21" t="n">
        <f aca="false">IF($A14&lt;=Model!$B$3,Data!$B$5*Model!$D$56,0)</f>
        <v>34.2026308424293</v>
      </c>
      <c r="C14" s="21" t="n">
        <f aca="false">$B14*IF(Model!$B$5=1,Data!$D$5,Model!$AC$56)</f>
        <v>8.59878523993533</v>
      </c>
      <c r="D14" s="21" t="n">
        <f aca="false">$B14*IF(Model!$B$5=1,Data!$E$5,Model!$AD$56)</f>
        <v>10.8607791183511</v>
      </c>
      <c r="E14" s="21" t="n">
        <f aca="false">$B14*IF(Model!$B$5=1,Data!$F$5,Model!$AE$56)</f>
        <v>6.31272759685552</v>
      </c>
      <c r="F14" s="21" t="n">
        <f aca="false">$B14*IF(Model!$B$5=1,Data!$G$5,Model!$AF$56)</f>
        <v>8.43033888728734</v>
      </c>
      <c r="G14" s="21" t="n">
        <f aca="false">$B14*Model!$S$56</f>
        <v>20.7075520536835</v>
      </c>
      <c r="H14" s="21" t="n">
        <f aca="false">$B14*Model!$T$56</f>
        <v>5.17078117624182</v>
      </c>
      <c r="I14" s="21" t="n">
        <f aca="false">$B14*Model!$U$56</f>
        <v>2.45201726413055</v>
      </c>
      <c r="J14" s="21" t="n">
        <f aca="false">$B14*Model!$V$56</f>
        <v>2.45201726413055</v>
      </c>
      <c r="K14" s="21" t="n">
        <f aca="false">$B14*Model!$W$56</f>
        <v>2.31908623231944</v>
      </c>
      <c r="L14" s="21" t="n">
        <f aca="false">$B14*Model!$X$56</f>
        <v>0.635543766127811</v>
      </c>
      <c r="M14" s="21" t="n">
        <f aca="false">$B14*Model!$Y$56</f>
        <v>0.364464894452888</v>
      </c>
      <c r="N14" s="21" t="n">
        <f aca="false">$B14*Model!$Z$56</f>
        <v>0.0376138147300133</v>
      </c>
      <c r="O14" s="21" t="n">
        <f aca="false">$B14*Model!$AA$56</f>
        <v>0.0635543766127811</v>
      </c>
    </row>
    <row r="15" customFormat="false" ht="15" hidden="false" customHeight="true" outlineLevel="0" collapsed="false">
      <c r="A15" s="23" t="n">
        <v>2028</v>
      </c>
      <c r="B15" s="21" t="n">
        <f aca="false">IF($A15&lt;=Model!$B$3,Data!$B$6*Model!$D$56,0)</f>
        <v>34.2026308424293</v>
      </c>
      <c r="C15" s="21" t="n">
        <f aca="false">$B15*IF(Model!$B$5=1,Data!$D$6,Model!$AC$56)</f>
        <v>8.57072025802782</v>
      </c>
      <c r="D15" s="21" t="n">
        <f aca="false">$B15*IF(Model!$B$5=1,Data!$E$6,Model!$AD$56)</f>
        <v>10.8658756829304</v>
      </c>
      <c r="E15" s="21" t="n">
        <f aca="false">$B15*IF(Model!$B$5=1,Data!$F$6,Model!$AE$56)</f>
        <v>6.31568992796619</v>
      </c>
      <c r="F15" s="21" t="n">
        <f aca="false">$B15*IF(Model!$B$5=1,Data!$G$6,Model!$AF$56)</f>
        <v>8.45034497350494</v>
      </c>
      <c r="G15" s="21" t="n">
        <f aca="false">$B15*Model!$S$56</f>
        <v>20.7075520536835</v>
      </c>
      <c r="H15" s="21" t="n">
        <f aca="false">$B15*Model!$T$56</f>
        <v>5.17078117624182</v>
      </c>
      <c r="I15" s="21" t="n">
        <f aca="false">$B15*Model!$U$56</f>
        <v>2.45201726413055</v>
      </c>
      <c r="J15" s="21" t="n">
        <f aca="false">$B15*Model!$V$56</f>
        <v>2.45201726413055</v>
      </c>
      <c r="K15" s="21" t="n">
        <f aca="false">$B15*Model!$W$56</f>
        <v>2.31908623231944</v>
      </c>
      <c r="L15" s="21" t="n">
        <f aca="false">$B15*Model!$X$56</f>
        <v>0.635543766127811</v>
      </c>
      <c r="M15" s="21" t="n">
        <f aca="false">$B15*Model!$Y$56</f>
        <v>0.364464894452888</v>
      </c>
      <c r="N15" s="21" t="n">
        <f aca="false">$B15*Model!$Z$56</f>
        <v>0.0376138147300133</v>
      </c>
      <c r="O15" s="21" t="n">
        <f aca="false">$B15*Model!$AA$56</f>
        <v>0.0635543766127811</v>
      </c>
    </row>
    <row r="16" customFormat="false" ht="15" hidden="false" customHeight="true" outlineLevel="0" collapsed="false">
      <c r="A16" s="23" t="n">
        <v>2029</v>
      </c>
      <c r="B16" s="21" t="n">
        <f aca="false">IF($A16&lt;=Model!$B$3,Data!$B$7*Model!$D$56,0)</f>
        <v>34.2026308424293</v>
      </c>
      <c r="C16" s="21" t="n">
        <f aca="false">$B16*IF(Model!$B$5=1,Data!$D$7,Model!$AC$56)</f>
        <v>8.48045526634949</v>
      </c>
      <c r="D16" s="21" t="n">
        <f aca="false">$B16*IF(Model!$B$5=1,Data!$E$7,Model!$AD$56)</f>
        <v>10.8071648474671</v>
      </c>
      <c r="E16" s="21" t="n">
        <f aca="false">$B16*IF(Model!$B$5=1,Data!$F$7,Model!$AE$56)</f>
        <v>6.27409273253103</v>
      </c>
      <c r="F16" s="21" t="n">
        <f aca="false">$B16*IF(Model!$B$5=1,Data!$G$7,Model!$AF$56)</f>
        <v>8.64091799608171</v>
      </c>
      <c r="G16" s="21" t="n">
        <f aca="false">$B16*Model!$S$56</f>
        <v>20.7075520536835</v>
      </c>
      <c r="H16" s="21" t="n">
        <f aca="false">$B16*Model!$T$56</f>
        <v>5.17078117624182</v>
      </c>
      <c r="I16" s="21" t="n">
        <f aca="false">$B16*Model!$U$56</f>
        <v>2.45201726413055</v>
      </c>
      <c r="J16" s="21" t="n">
        <f aca="false">$B16*Model!$V$56</f>
        <v>2.45201726413055</v>
      </c>
      <c r="K16" s="21" t="n">
        <f aca="false">$B16*Model!$W$56</f>
        <v>2.31908623231944</v>
      </c>
      <c r="L16" s="21" t="n">
        <f aca="false">$B16*Model!$X$56</f>
        <v>0.635543766127811</v>
      </c>
      <c r="M16" s="21" t="n">
        <f aca="false">$B16*Model!$Y$56</f>
        <v>0.364464894452888</v>
      </c>
      <c r="N16" s="21" t="n">
        <f aca="false">$B16*Model!$Z$56</f>
        <v>0.0376138147300133</v>
      </c>
      <c r="O16" s="21" t="n">
        <f aca="false">$B16*Model!$AA$56</f>
        <v>0.0635543766127811</v>
      </c>
    </row>
    <row r="17" customFormat="false" ht="15" hidden="false" customHeight="true" outlineLevel="0" collapsed="false">
      <c r="A17" s="23" t="n">
        <v>2030</v>
      </c>
      <c r="B17" s="21" t="n">
        <f aca="false">IF($A17&lt;=Model!$B$3,Data!$B$8*Model!$D$56,0)</f>
        <v>34.2026308424293</v>
      </c>
      <c r="C17" s="21" t="n">
        <f aca="false">$B17*IF(Model!$B$5=1,Data!$D$8,Model!$AC$56)</f>
        <v>8.46639501144132</v>
      </c>
      <c r="D17" s="21" t="n">
        <f aca="false">$B17*IF(Model!$B$5=1,Data!$E$8,Model!$AD$56)</f>
        <v>10.6492001707892</v>
      </c>
      <c r="E17" s="21" t="n">
        <f aca="false">$B17*IF(Model!$B$5=1,Data!$F$8,Model!$AE$56)</f>
        <v>6.28358985209342</v>
      </c>
      <c r="F17" s="21" t="n">
        <f aca="false">$B17*IF(Model!$B$5=1,Data!$G$8,Model!$AF$56)</f>
        <v>8.80344580810534</v>
      </c>
      <c r="G17" s="21" t="n">
        <f aca="false">$B17*Model!$S$56</f>
        <v>20.7075520536835</v>
      </c>
      <c r="H17" s="21" t="n">
        <f aca="false">$B17*Model!$T$56</f>
        <v>5.17078117624182</v>
      </c>
      <c r="I17" s="21" t="n">
        <f aca="false">$B17*Model!$U$56</f>
        <v>2.45201726413055</v>
      </c>
      <c r="J17" s="21" t="n">
        <f aca="false">$B17*Model!$V$56</f>
        <v>2.45201726413055</v>
      </c>
      <c r="K17" s="21" t="n">
        <f aca="false">$B17*Model!$W$56</f>
        <v>2.31908623231944</v>
      </c>
      <c r="L17" s="21" t="n">
        <f aca="false">$B17*Model!$X$56</f>
        <v>0.635543766127811</v>
      </c>
      <c r="M17" s="21" t="n">
        <f aca="false">$B17*Model!$Y$56</f>
        <v>0.364464894452888</v>
      </c>
      <c r="N17" s="21" t="n">
        <f aca="false">$B17*Model!$Z$56</f>
        <v>0.0376138147300133</v>
      </c>
      <c r="O17" s="21" t="n">
        <f aca="false">$B17*Model!$AA$56</f>
        <v>0.0635543766127811</v>
      </c>
    </row>
    <row r="18" customFormat="false" ht="15" hidden="false" customHeight="true" outlineLevel="0" collapsed="false">
      <c r="A18" s="23" t="n">
        <v>2031</v>
      </c>
      <c r="B18" s="21" t="n">
        <f aca="false">IF($A18&lt;=Model!$B$3,Data!$B$9*Model!$D$56,0)</f>
        <v>17.394159902976</v>
      </c>
      <c r="C18" s="21" t="n">
        <f aca="false">$B18*IF(Model!$B$5=1,Data!$D$9,Model!$AC$56)</f>
        <v>4.01959137979289</v>
      </c>
      <c r="D18" s="21" t="n">
        <f aca="false">$B18*IF(Model!$B$5=1,Data!$E$9,Model!$AD$56)</f>
        <v>5.28724694467768</v>
      </c>
      <c r="E18" s="21" t="n">
        <f aca="false">$B18*IF(Model!$B$5=1,Data!$F$9,Model!$AE$56)</f>
        <v>3.30553223248438</v>
      </c>
      <c r="F18" s="21" t="n">
        <f aca="false">$B18*IF(Model!$B$5=1,Data!$G$9,Model!$AF$56)</f>
        <v>4.78178934602109</v>
      </c>
      <c r="G18" s="21" t="n">
        <f aca="false">$B18*Model!$S$56</f>
        <v>10.5310750298817</v>
      </c>
      <c r="H18" s="21" t="n">
        <f aca="false">$B18*Model!$T$56</f>
        <v>2.62966305186307</v>
      </c>
      <c r="I18" s="21" t="n">
        <f aca="false">$B18*Model!$U$56</f>
        <v>1.24700291546681</v>
      </c>
      <c r="J18" s="21" t="n">
        <f aca="false">$B18*Model!$V$56</f>
        <v>1.24700291546681</v>
      </c>
      <c r="K18" s="21" t="n">
        <f aca="false">$B18*Model!$W$56</f>
        <v>1.17939923801749</v>
      </c>
      <c r="L18" s="21" t="n">
        <f aca="false">$B18*Model!$X$56</f>
        <v>0.323213437711728</v>
      </c>
      <c r="M18" s="21" t="n">
        <f aca="false">$B18*Model!$Y$56</f>
        <v>0.185353012238766</v>
      </c>
      <c r="N18" s="21" t="n">
        <f aca="false">$B18*Model!$Z$56</f>
        <v>0.0191289585584492</v>
      </c>
      <c r="O18" s="21" t="n">
        <f aca="false">$B18*Model!$AA$56</f>
        <v>0.0323213437711727</v>
      </c>
    </row>
    <row r="19" customFormat="false" ht="15" hidden="false" customHeight="true" outlineLevel="0" collapsed="false">
      <c r="A19" s="23" t="n">
        <v>2032</v>
      </c>
      <c r="B19" s="21" t="n">
        <f aca="false">IF($A19&lt;=Model!$B$3,Data!$B$10*Model!$D$56,0)</f>
        <v>17.394159902976</v>
      </c>
      <c r="C19" s="21" t="n">
        <f aca="false">$B19*IF(Model!$B$5=1,Data!$D$10,Model!$AC$56)</f>
        <v>3.86715178654726</v>
      </c>
      <c r="D19" s="21" t="n">
        <f aca="false">$B19*IF(Model!$B$5=1,Data!$E$10,Model!$AD$56)</f>
        <v>5.18294617035171</v>
      </c>
      <c r="E19" s="21" t="n">
        <f aca="false">$B19*IF(Model!$B$5=1,Data!$F$10,Model!$AE$56)</f>
        <v>3.36169418789067</v>
      </c>
      <c r="F19" s="21" t="n">
        <f aca="false">$B19*IF(Model!$B$5=1,Data!$G$10,Model!$AF$56)</f>
        <v>4.9823677581864</v>
      </c>
      <c r="G19" s="21" t="n">
        <f aca="false">$B19*Model!$S$56</f>
        <v>10.5310750298817</v>
      </c>
      <c r="H19" s="21" t="n">
        <f aca="false">$B19*Model!$T$56</f>
        <v>2.62966305186307</v>
      </c>
      <c r="I19" s="21" t="n">
        <f aca="false">$B19*Model!$U$56</f>
        <v>1.24700291546681</v>
      </c>
      <c r="J19" s="21" t="n">
        <f aca="false">$B19*Model!$V$56</f>
        <v>1.24700291546681</v>
      </c>
      <c r="K19" s="21" t="n">
        <f aca="false">$B19*Model!$W$56</f>
        <v>1.17939923801749</v>
      </c>
      <c r="L19" s="21" t="n">
        <f aca="false">$B19*Model!$X$56</f>
        <v>0.323213437711728</v>
      </c>
      <c r="M19" s="21" t="n">
        <f aca="false">$B19*Model!$Y$56</f>
        <v>0.185353012238766</v>
      </c>
      <c r="N19" s="21" t="n">
        <f aca="false">$B19*Model!$Z$56</f>
        <v>0.0191289585584492</v>
      </c>
      <c r="O19" s="21" t="n">
        <f aca="false">$B19*Model!$AA$56</f>
        <v>0.0323213437711727</v>
      </c>
    </row>
    <row r="20" customFormat="false" ht="15" hidden="false" customHeight="true" outlineLevel="0" collapsed="false">
      <c r="A20" s="23" t="n">
        <v>2033</v>
      </c>
      <c r="B20" s="21" t="n">
        <f aca="false">IF($A20&lt;=Model!$B$3,Data!$B$11*Model!$D$56,0)</f>
        <v>17.394159902976</v>
      </c>
      <c r="C20" s="21" t="n">
        <f aca="false">$B20*IF(Model!$B$5=1,Data!$D$11,Model!$AC$56)</f>
        <v>3.83682899567261</v>
      </c>
      <c r="D20" s="21" t="n">
        <f aca="false">$B20*IF(Model!$B$5=1,Data!$E$11,Model!$AD$56)</f>
        <v>5.20139160919633</v>
      </c>
      <c r="E20" s="21" t="n">
        <f aca="false">$B20*IF(Model!$B$5=1,Data!$F$11,Model!$AE$56)</f>
        <v>3.36324550039084</v>
      </c>
      <c r="F20" s="21" t="n">
        <f aca="false">$B20*IF(Model!$B$5=1,Data!$G$11,Model!$AF$56)</f>
        <v>4.99269379771625</v>
      </c>
      <c r="G20" s="21" t="n">
        <f aca="false">$B20*Model!$S$56</f>
        <v>10.5310750298817</v>
      </c>
      <c r="H20" s="21" t="n">
        <f aca="false">$B20*Model!$T$56</f>
        <v>2.62966305186307</v>
      </c>
      <c r="I20" s="21" t="n">
        <f aca="false">$B20*Model!$U$56</f>
        <v>1.24700291546681</v>
      </c>
      <c r="J20" s="21" t="n">
        <f aca="false">$B20*Model!$V$56</f>
        <v>1.24700291546681</v>
      </c>
      <c r="K20" s="21" t="n">
        <f aca="false">$B20*Model!$W$56</f>
        <v>1.17939923801749</v>
      </c>
      <c r="L20" s="21" t="n">
        <f aca="false">$B20*Model!$X$56</f>
        <v>0.323213437711728</v>
      </c>
      <c r="M20" s="21" t="n">
        <f aca="false">$B20*Model!$Y$56</f>
        <v>0.185353012238766</v>
      </c>
      <c r="N20" s="21" t="n">
        <f aca="false">$B20*Model!$Z$56</f>
        <v>0.0191289585584492</v>
      </c>
      <c r="O20" s="21" t="n">
        <f aca="false">$B20*Model!$AA$56</f>
        <v>0.0323213437711727</v>
      </c>
    </row>
    <row r="21" customFormat="false" ht="15" hidden="false" customHeight="true" outlineLevel="0" collapsed="false">
      <c r="A21" s="23" t="n">
        <v>2034</v>
      </c>
      <c r="B21" s="21" t="n">
        <f aca="false">IF($A21&lt;=Model!$B$3,Data!$B$12*Model!$D$56,0)</f>
        <v>17.394159902976</v>
      </c>
      <c r="C21" s="21" t="n">
        <f aca="false">$B21*IF(Model!$B$5=1,Data!$D$12,Model!$AC$56)</f>
        <v>3.80296669465436</v>
      </c>
      <c r="D21" s="21" t="n">
        <f aca="false">$B21*IF(Model!$B$5=1,Data!$E$12,Model!$AD$56)</f>
        <v>5.21503871629817</v>
      </c>
      <c r="E21" s="21" t="n">
        <f aca="false">$B21*IF(Model!$B$5=1,Data!$F$12,Model!$AE$56)</f>
        <v>3.36169418789067</v>
      </c>
      <c r="F21" s="21" t="n">
        <f aca="false">$B21*IF(Model!$B$5=1,Data!$G$12,Model!$AF$56)</f>
        <v>5.01446030413284</v>
      </c>
      <c r="G21" s="21" t="n">
        <f aca="false">$B21*Model!$S$56</f>
        <v>10.5310750298817</v>
      </c>
      <c r="H21" s="21" t="n">
        <f aca="false">$B21*Model!$T$56</f>
        <v>2.62966305186307</v>
      </c>
      <c r="I21" s="21" t="n">
        <f aca="false">$B21*Model!$U$56</f>
        <v>1.24700291546681</v>
      </c>
      <c r="J21" s="21" t="n">
        <f aca="false">$B21*Model!$V$56</f>
        <v>1.24700291546681</v>
      </c>
      <c r="K21" s="21" t="n">
        <f aca="false">$B21*Model!$W$56</f>
        <v>1.17939923801749</v>
      </c>
      <c r="L21" s="21" t="n">
        <f aca="false">$B21*Model!$X$56</f>
        <v>0.323213437711728</v>
      </c>
      <c r="M21" s="21" t="n">
        <f aca="false">$B21*Model!$Y$56</f>
        <v>0.185353012238766</v>
      </c>
      <c r="N21" s="21" t="n">
        <f aca="false">$B21*Model!$Z$56</f>
        <v>0.0191289585584492</v>
      </c>
      <c r="O21" s="21" t="n">
        <f aca="false">$B21*Model!$AA$56</f>
        <v>0.0323213437711727</v>
      </c>
    </row>
    <row r="22" customFormat="false" ht="15" hidden="false" customHeight="true" outlineLevel="0" collapsed="false">
      <c r="A22" s="23" t="n">
        <v>2035</v>
      </c>
      <c r="B22" s="21" t="n">
        <f aca="false">IF($A22&lt;=Model!$B$3,Data!$B$13*Model!$D$56,0)</f>
        <v>16.8084709394533</v>
      </c>
      <c r="C22" s="21" t="n">
        <f aca="false">$B22*IF(Model!$B$5=1,Data!$D$13,Model!$AC$56)</f>
        <v>3.60238828248903</v>
      </c>
      <c r="D22" s="21" t="n">
        <f aca="false">$B22*IF(Model!$B$5=1,Data!$E$13,Model!$AD$56)</f>
        <v>4.96632148521317</v>
      </c>
      <c r="E22" s="21" t="n">
        <f aca="false">$B22*IF(Model!$B$5=1,Data!$F$13,Model!$AE$56)</f>
        <v>3.22530086761824</v>
      </c>
      <c r="F22" s="21" t="n">
        <f aca="false">$B22*IF(Model!$B$5=1,Data!$G$13,Model!$AF$56)</f>
        <v>5.01446030413285</v>
      </c>
      <c r="G22" s="21" t="n">
        <f aca="false">$B22*Model!$S$56</f>
        <v>10.1764770238018</v>
      </c>
      <c r="H22" s="21" t="n">
        <f aca="false">$B22*Model!$T$56</f>
        <v>2.54111812437875</v>
      </c>
      <c r="I22" s="21" t="n">
        <f aca="false">$B22*Model!$U$56</f>
        <v>1.20501434866373</v>
      </c>
      <c r="J22" s="21" t="n">
        <f aca="false">$B22*Model!$V$56</f>
        <v>1.20501434866373</v>
      </c>
      <c r="K22" s="21" t="n">
        <f aca="false">$B22*Model!$W$56</f>
        <v>1.13968699430195</v>
      </c>
      <c r="L22" s="21" t="n">
        <f aca="false">$B22*Model!$X$56</f>
        <v>0.312330328416084</v>
      </c>
      <c r="M22" s="21" t="n">
        <f aca="false">$B22*Model!$Y$56</f>
        <v>0.179111882214121</v>
      </c>
      <c r="N22" s="21" t="n">
        <f aca="false">$B22*Model!$Z$56</f>
        <v>0.0184848561715641</v>
      </c>
      <c r="O22" s="21" t="n">
        <f aca="false">$B22*Model!$AA$56</f>
        <v>0.0312330328416084</v>
      </c>
    </row>
    <row r="23" customFormat="false" ht="15" hidden="false" customHeight="true" outlineLevel="0" collapsed="false">
      <c r="A23" s="23" t="n">
        <v>2036</v>
      </c>
      <c r="B23" s="21" t="n">
        <f aca="false">IF($A23&lt;=Model!$B$3,Data!$B$14*Model!$D$56,0)</f>
        <v>12.7327176042541</v>
      </c>
      <c r="C23" s="21" t="n">
        <f aca="false">$B23*IF(Model!$B$5=1,Data!$D$14,Model!$AC$56)</f>
        <v>3.07155330380358</v>
      </c>
      <c r="D23" s="21" t="n">
        <f aca="false">$B23*IF(Model!$B$5=1,Data!$E$14,Model!$AD$56)</f>
        <v>3.95067083422417</v>
      </c>
      <c r="E23" s="21" t="n">
        <f aca="false">$B23*IF(Model!$B$5=1,Data!$F$14,Model!$AE$56)</f>
        <v>2.38095984875536</v>
      </c>
      <c r="F23" s="21" t="n">
        <f aca="false">$B23*IF(Model!$B$5=1,Data!$G$14,Model!$AF$56)</f>
        <v>3.32953361747102</v>
      </c>
      <c r="G23" s="21" t="n">
        <f aca="false">$B23*Model!$S$56</f>
        <v>7.7088635020398</v>
      </c>
      <c r="H23" s="21" t="n">
        <f aca="false">$B23*Model!$T$56</f>
        <v>1.92494246462486</v>
      </c>
      <c r="I23" s="21" t="n">
        <f aca="false">$B23*Model!$U$56</f>
        <v>0.912819938582027</v>
      </c>
      <c r="J23" s="21" t="n">
        <f aca="false">$B23*Model!$V$56</f>
        <v>0.912819938582027</v>
      </c>
      <c r="K23" s="21" t="n">
        <f aca="false">$B23*Model!$W$56</f>
        <v>0.863333298308926</v>
      </c>
      <c r="L23" s="21" t="n">
        <f aca="false">$B23*Model!$X$56</f>
        <v>0.23659581441352</v>
      </c>
      <c r="M23" s="21" t="n">
        <f aca="false">$B23*Model!$Y$56</f>
        <v>0.135680456837141</v>
      </c>
      <c r="N23" s="21" t="n">
        <f aca="false">$B23*Model!$Z$56</f>
        <v>0.0140026094244736</v>
      </c>
      <c r="O23" s="21" t="n">
        <f aca="false">$B23*Model!$AA$56</f>
        <v>0.023659581441352</v>
      </c>
    </row>
    <row r="24" customFormat="false" ht="15" hidden="false" customHeight="true" outlineLevel="0" collapsed="false">
      <c r="A24" s="23" t="n">
        <v>2037</v>
      </c>
      <c r="B24" s="21" t="n">
        <f aca="false">IF($A24&lt;=Model!$B$3,Data!$B$15*Model!$D$56,0)</f>
        <v>12.6284168299282</v>
      </c>
      <c r="C24" s="21" t="n">
        <f aca="false">$B24*IF(Model!$B$5=1,Data!$D$15,Model!$AC$56)</f>
        <v>3.04639250169303</v>
      </c>
      <c r="D24" s="21" t="n">
        <f aca="false">$B24*IF(Model!$B$5=1,Data!$E$15,Model!$AD$56)</f>
        <v>3.91830869128472</v>
      </c>
      <c r="E24" s="21" t="n">
        <f aca="false">$B24*IF(Model!$B$5=1,Data!$F$15,Model!$AE$56)</f>
        <v>2.36145608187834</v>
      </c>
      <c r="F24" s="21" t="n">
        <f aca="false">$B24*IF(Model!$B$5=1,Data!$G$15,Model!$AF$56)</f>
        <v>3.30225955507209</v>
      </c>
      <c r="G24" s="21" t="n">
        <f aca="false">$B24*Model!$S$56</f>
        <v>7.64571591191597</v>
      </c>
      <c r="H24" s="21" t="n">
        <f aca="false">$B24*Model!$T$56</f>
        <v>1.90917418986738</v>
      </c>
      <c r="I24" s="21" t="n">
        <f aca="false">$B24*Model!$U$56</f>
        <v>0.905342522575999</v>
      </c>
      <c r="J24" s="21" t="n">
        <f aca="false">$B24*Model!$V$56</f>
        <v>0.905342522575999</v>
      </c>
      <c r="K24" s="21" t="n">
        <f aca="false">$B24*Model!$W$56</f>
        <v>0.85626125490753</v>
      </c>
      <c r="L24" s="21" t="n">
        <f aca="false">$B24*Model!$X$56</f>
        <v>0.234657726456762</v>
      </c>
      <c r="M24" s="21" t="n">
        <f aca="false">$B24*Model!$Y$56</f>
        <v>0.134569022723163</v>
      </c>
      <c r="N24" s="21" t="n">
        <f aca="false">$B24*Model!$Z$56</f>
        <v>0.0138879062596859</v>
      </c>
      <c r="O24" s="21" t="n">
        <f aca="false">$B24*Model!$AA$56</f>
        <v>0.0234657726456762</v>
      </c>
    </row>
    <row r="25" customFormat="false" ht="15" hidden="false" customHeight="true" outlineLevel="0" collapsed="false">
      <c r="A25" s="23" t="n">
        <v>2038</v>
      </c>
      <c r="B25" s="21" t="n">
        <f aca="false">IF($A25&lt;=Model!$B$3,Data!$B$16*Model!$D$56,0)</f>
        <v>12.4759772366825</v>
      </c>
      <c r="C25" s="21" t="n">
        <f aca="false">$B25*IF(Model!$B$5=1,Data!$D$16,Model!$AC$56)</f>
        <v>3.00961902168531</v>
      </c>
      <c r="D25" s="21" t="n">
        <f aca="false">$B25*IF(Model!$B$5=1,Data!$E$16,Model!$AD$56)</f>
        <v>3.8710101746809</v>
      </c>
      <c r="E25" s="21" t="n">
        <f aca="false">$B25*IF(Model!$B$5=1,Data!$F$16,Model!$AE$56)</f>
        <v>2.33295057644271</v>
      </c>
      <c r="F25" s="21" t="n">
        <f aca="false">$B25*IF(Model!$B$5=1,Data!$G$16,Model!$AF$56)</f>
        <v>3.26239746387362</v>
      </c>
      <c r="G25" s="21" t="n">
        <f aca="false">$B25*Model!$S$56</f>
        <v>7.55342328019653</v>
      </c>
      <c r="H25" s="21" t="n">
        <f aca="false">$B25*Model!$T$56</f>
        <v>1.88612824983721</v>
      </c>
      <c r="I25" s="21" t="n">
        <f aca="false">$B25*Model!$U$56</f>
        <v>0.894413991490266</v>
      </c>
      <c r="J25" s="21" t="n">
        <f aca="false">$B25*Model!$V$56</f>
        <v>0.894413991490266</v>
      </c>
      <c r="K25" s="21" t="n">
        <f aca="false">$B25*Model!$W$56</f>
        <v>0.84592519147472</v>
      </c>
      <c r="L25" s="21" t="n">
        <f aca="false">$B25*Model!$X$56</f>
        <v>0.231825136366115</v>
      </c>
      <c r="M25" s="21" t="n">
        <f aca="false">$B25*Model!$Y$56</f>
        <v>0.132944619018119</v>
      </c>
      <c r="N25" s="21" t="n">
        <f aca="false">$B25*Model!$Z$56</f>
        <v>0.0137202631726884</v>
      </c>
      <c r="O25" s="21" t="n">
        <f aca="false">$B25*Model!$AA$56</f>
        <v>0.0231825136366114</v>
      </c>
    </row>
    <row r="26" customFormat="false" ht="15" hidden="false" customHeight="true" outlineLevel="0" collapsed="false">
      <c r="A26" s="23" t="n">
        <v>2039</v>
      </c>
      <c r="B26" s="21" t="n">
        <f aca="false">IF($A26&lt;=Model!$B$3,Data!$B$17*Model!$D$56,0)</f>
        <v>12.36365332587</v>
      </c>
      <c r="C26" s="21" t="n">
        <f aca="false">$B26*IF(Model!$B$5=1,Data!$D$17,Model!$AC$56)</f>
        <v>2.98252277325855</v>
      </c>
      <c r="D26" s="21" t="n">
        <f aca="false">$B26*IF(Model!$B$5=1,Data!$E$17,Model!$AD$56)</f>
        <v>3.83615863613071</v>
      </c>
      <c r="E26" s="21" t="n">
        <f aca="false">$B26*IF(Model!$B$5=1,Data!$F$17,Model!$AE$56)</f>
        <v>2.31194651980593</v>
      </c>
      <c r="F26" s="21" t="n">
        <f aca="false">$B26*IF(Model!$B$5=1,Data!$G$17,Model!$AF$56)</f>
        <v>3.23302539667477</v>
      </c>
      <c r="G26" s="21" t="n">
        <f aca="false">$B26*Model!$S$56</f>
        <v>7.4854181831401</v>
      </c>
      <c r="H26" s="21" t="n">
        <f aca="false">$B26*Model!$T$56</f>
        <v>1.86914703086762</v>
      </c>
      <c r="I26" s="21" t="n">
        <f aca="false">$B26*Model!$U$56</f>
        <v>0.88636138963762</v>
      </c>
      <c r="J26" s="21" t="n">
        <f aca="false">$B26*Model!$V$56</f>
        <v>0.88636138963762</v>
      </c>
      <c r="K26" s="21" t="n">
        <f aca="false">$B26*Model!$W$56</f>
        <v>0.838309144734754</v>
      </c>
      <c r="L26" s="21" t="n">
        <f aca="false">$B26*Model!$X$56</f>
        <v>0.229737964720375</v>
      </c>
      <c r="M26" s="21" t="n">
        <f aca="false">$B26*Model!$Y$56</f>
        <v>0.131747689972296</v>
      </c>
      <c r="N26" s="21" t="n">
        <f aca="false">$B26*Model!$Z$56</f>
        <v>0.0135967366875324</v>
      </c>
      <c r="O26" s="21" t="n">
        <f aca="false">$B26*Model!$AA$56</f>
        <v>0.0229737964720375</v>
      </c>
    </row>
    <row r="27" customFormat="false" ht="15" hidden="false" customHeight="true" outlineLevel="0" collapsed="false">
      <c r="A27" s="23" t="n">
        <v>2040</v>
      </c>
      <c r="B27" s="21" t="n">
        <f aca="false">IF($A27&lt;=Model!$B$3,Data!$B$18*Model!$D$56,0)</f>
        <v>12.2352831420842</v>
      </c>
      <c r="C27" s="21" t="n">
        <f aca="false">$B27*IF(Model!$B$5=1,Data!$D$18,Model!$AC$56)</f>
        <v>2.95155563219941</v>
      </c>
      <c r="D27" s="21" t="n">
        <f aca="false">$B27*IF(Model!$B$5=1,Data!$E$18,Model!$AD$56)</f>
        <v>3.79632830635908</v>
      </c>
      <c r="E27" s="21" t="n">
        <f aca="false">$B27*IF(Model!$B$5=1,Data!$F$18,Model!$AE$56)</f>
        <v>2.2879418836496</v>
      </c>
      <c r="F27" s="21" t="n">
        <f aca="false">$B27*IF(Model!$B$5=1,Data!$G$18,Model!$AF$56)</f>
        <v>3.19945731987606</v>
      </c>
      <c r="G27" s="21" t="n">
        <f aca="false">$B27*Model!$S$56</f>
        <v>7.40769807221846</v>
      </c>
      <c r="H27" s="21" t="n">
        <f aca="false">$B27*Model!$T$56</f>
        <v>1.84973992347379</v>
      </c>
      <c r="I27" s="21" t="n">
        <f aca="false">$B27*Model!$U$56</f>
        <v>0.87715841609174</v>
      </c>
      <c r="J27" s="21" t="n">
        <f aca="false">$B27*Model!$V$56</f>
        <v>0.87715841609174</v>
      </c>
      <c r="K27" s="21" t="n">
        <f aca="false">$B27*Model!$W$56</f>
        <v>0.829605091317651</v>
      </c>
      <c r="L27" s="21" t="n">
        <f aca="false">$B27*Model!$X$56</f>
        <v>0.227352625696672</v>
      </c>
      <c r="M27" s="21" t="n">
        <f aca="false">$B27*Model!$Y$56</f>
        <v>0.130379771062785</v>
      </c>
      <c r="N27" s="21" t="n">
        <f aca="false">$B27*Model!$Z$56</f>
        <v>0.0134555635616398</v>
      </c>
      <c r="O27" s="21" t="n">
        <f aca="false">$B27*Model!$AA$56</f>
        <v>0.0227352625696672</v>
      </c>
    </row>
    <row r="28" customFormat="false" ht="15" hidden="false" customHeight="true" outlineLevel="0" collapsed="false">
      <c r="A28" s="24" t="s">
        <v>122</v>
      </c>
      <c r="B28" s="25" t="n">
        <f aca="false">SUM(B13:B27)</f>
        <v>319.834312902323</v>
      </c>
      <c r="C28" s="25" t="n">
        <f aca="false">SUM(C13:C27)</f>
        <v>77.1543702890133</v>
      </c>
      <c r="D28" s="25" t="n">
        <f aca="false">SUM(D13:D27)</f>
        <v>99.2371354867537</v>
      </c>
      <c r="E28" s="25" t="n">
        <f aca="false">SUM(E13:E27)</f>
        <v>59.8075921028844</v>
      </c>
      <c r="F28" s="25" t="n">
        <f aca="false">SUM(F13:F27)</f>
        <v>83.6352150236717</v>
      </c>
      <c r="G28" s="25" t="n">
        <f aca="false">SUM(G13:G27)</f>
        <v>193.639656361257</v>
      </c>
      <c r="H28" s="25" t="n">
        <f aca="false">SUM(H13:H27)</f>
        <v>48.352808071711</v>
      </c>
      <c r="I28" s="25" t="n">
        <f aca="false">SUM(I13:I27)</f>
        <v>22.9292085895614</v>
      </c>
      <c r="J28" s="25" t="n">
        <f aca="false">SUM(J13:J27)</f>
        <v>22.9292085895614</v>
      </c>
      <c r="K28" s="25" t="n">
        <f aca="false">SUM(K13:K27)</f>
        <v>21.6861490887127</v>
      </c>
      <c r="L28" s="25" t="n">
        <f aca="false">SUM(L13:L27)</f>
        <v>5.94307217755549</v>
      </c>
      <c r="M28" s="25" t="n">
        <f aca="false">SUM(M13:M27)</f>
        <v>3.40816996304713</v>
      </c>
      <c r="N28" s="25" t="n">
        <f aca="false">SUM(N13:N27)</f>
        <v>0.351732843161447</v>
      </c>
      <c r="O28" s="25" t="n">
        <f aca="false">SUM(O13:O27)</f>
        <v>0.594307217755549</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Data!$H$33*Data!$M$33/SUM(Data!$H$33:$K$33)</f>
        <v>14.4722222222222</v>
      </c>
      <c r="C34" s="22" t="n">
        <f aca="false">IF($B$38&gt;0,B34/$B$38,0)</f>
        <v>0.0277777777777778</v>
      </c>
      <c r="D34" s="21" t="n">
        <f aca="false">C28</f>
        <v>77.1543702890133</v>
      </c>
      <c r="E34" s="22" t="n">
        <f aca="false">IF($D$38&gt;0,D34/$D$38,0)</f>
        <v>0.241232310532535</v>
      </c>
      <c r="F34" s="21" t="n">
        <f aca="false">B34+D34</f>
        <v>91.6265925112355</v>
      </c>
      <c r="G34" s="22" t="n">
        <f aca="false">IF($F$38&gt;0,F34/$F$38,0)</f>
        <v>0.108971043528143</v>
      </c>
    </row>
    <row r="35" customFormat="false" ht="15" hidden="false" customHeight="true" outlineLevel="0" collapsed="false">
      <c r="A35" s="13" t="s">
        <v>110</v>
      </c>
      <c r="B35" s="21" t="n">
        <f aca="false">Data!$I$33*Data!$M$33/SUM(Data!$H$33:$K$33)</f>
        <v>63.4551282051282</v>
      </c>
      <c r="C35" s="22" t="n">
        <f aca="false">IF($B$38&gt;0,B35/$B$38,0)</f>
        <v>0.121794871794872</v>
      </c>
      <c r="D35" s="21" t="n">
        <f aca="false">D28</f>
        <v>99.2371354867537</v>
      </c>
      <c r="E35" s="22" t="n">
        <f aca="false">IF($D$38&gt;0,D35/$D$38,0)</f>
        <v>0.310276701040081</v>
      </c>
      <c r="F35" s="21" t="n">
        <f aca="false">B35+D35</f>
        <v>162.692263691882</v>
      </c>
      <c r="G35" s="22" t="n">
        <f aca="false">IF($F$38&gt;0,F35/$F$38,0)</f>
        <v>0.193489087202346</v>
      </c>
    </row>
    <row r="36" customFormat="false" ht="15" hidden="false" customHeight="true" outlineLevel="0" collapsed="false">
      <c r="A36" s="13" t="s">
        <v>111</v>
      </c>
      <c r="B36" s="21" t="n">
        <f aca="false">Data!$J$33*Data!$M$33/SUM(Data!$H$33:$K$33)</f>
        <v>215.970085470085</v>
      </c>
      <c r="C36" s="22" t="n">
        <f aca="false">IF($B$38&gt;0,B36/$B$38,0)</f>
        <v>0.414529914529915</v>
      </c>
      <c r="D36" s="21" t="n">
        <f aca="false">E28</f>
        <v>59.8075921028844</v>
      </c>
      <c r="E36" s="22" t="n">
        <f aca="false">IF($D$38&gt;0,D36/$D$38,0)</f>
        <v>0.186995546413275</v>
      </c>
      <c r="F36" s="21" t="n">
        <f aca="false">B36+D36</f>
        <v>275.77767757297</v>
      </c>
      <c r="G36" s="22" t="n">
        <f aca="false">IF($F$38&gt;0,F36/$F$38,0)</f>
        <v>0.327980998564465</v>
      </c>
    </row>
    <row r="37" customFormat="false" ht="15" hidden="false" customHeight="true" outlineLevel="0" collapsed="false">
      <c r="A37" s="13" t="s">
        <v>112</v>
      </c>
      <c r="B37" s="21" t="n">
        <f aca="false">Data!$K$33*Data!$M$33/SUM(Data!$H$33:$K$33)</f>
        <v>227.102564102564</v>
      </c>
      <c r="C37" s="22" t="n">
        <f aca="false">IF($B$38&gt;0,B37/$B$38,0)</f>
        <v>0.435897435897436</v>
      </c>
      <c r="D37" s="21" t="n">
        <f aca="false">F28</f>
        <v>83.6352150236717</v>
      </c>
      <c r="E37" s="22" t="n">
        <f aca="false">IF($D$38&gt;0,D37/$D$38,0)</f>
        <v>0.261495442014108</v>
      </c>
      <c r="F37" s="21" t="n">
        <f aca="false">B37+D37</f>
        <v>310.737779126236</v>
      </c>
      <c r="G37" s="22" t="n">
        <f aca="false">IF($F$38&gt;0,F37/$F$38,0)</f>
        <v>0.369558870705046</v>
      </c>
    </row>
    <row r="38" customFormat="false" ht="15" hidden="false" customHeight="true" outlineLevel="0" collapsed="false">
      <c r="A38" s="24" t="s">
        <v>61</v>
      </c>
      <c r="B38" s="25" t="n">
        <f aca="false">SUM(B34:B37)</f>
        <v>521</v>
      </c>
      <c r="C38" s="27" t="n">
        <f aca="false">SUM(C34:C37)</f>
        <v>1</v>
      </c>
      <c r="D38" s="25" t="n">
        <f aca="false">SUM(D34:D37)</f>
        <v>319.834312902323</v>
      </c>
      <c r="E38" s="27" t="n">
        <f aca="false">SUM(E34:E37)</f>
        <v>1</v>
      </c>
      <c r="F38" s="25" t="n">
        <f aca="false">SUM(F34:F37)</f>
        <v>840.834312902323</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103</v>
      </c>
      <c r="C6" s="15" t="n">
        <f aca="false">Model!$Q$57</f>
        <v>0.1</v>
      </c>
    </row>
    <row r="7" customFormat="false" ht="15" hidden="false" customHeight="true" outlineLevel="0" collapsed="false">
      <c r="A7" s="13" t="s">
        <v>104</v>
      </c>
      <c r="C7" s="15" t="n">
        <f aca="false">Model!$G$57</f>
        <v>0.11251</v>
      </c>
    </row>
    <row r="8" customFormat="false" ht="15" hidden="false" customHeight="true" outlineLevel="0" collapsed="false">
      <c r="A8" s="13" t="s">
        <v>105</v>
      </c>
      <c r="C8" s="15" t="n">
        <f aca="false">Model!$R$57</f>
        <v>0.10792060463783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IF($A13&lt;=Model!$B$3,Data!$B$4*Model!$D$57,0)</f>
        <v>56.0764063811923</v>
      </c>
      <c r="C13" s="21" t="n">
        <f aca="false">$B13*IF(Model!$B$5=1,Data!$D$4,Model!$AC$57)</f>
        <v>14.5056933017015</v>
      </c>
      <c r="D13" s="21" t="n">
        <f aca="false">$B13*IF(Model!$B$5=1,Data!$E$4,Model!$AD$57)</f>
        <v>17.7540217201242</v>
      </c>
      <c r="E13" s="21" t="n">
        <f aca="false">$B13*IF(Model!$B$5=1,Data!$F$4,Model!$AE$57)</f>
        <v>10.3762393608726</v>
      </c>
      <c r="F13" s="21" t="n">
        <f aca="false">$B13*IF(Model!$B$5=1,Data!$G$4,Model!$AF$57)</f>
        <v>13.440451998494</v>
      </c>
      <c r="G13" s="21" t="n">
        <f aca="false">$B13*Model!$S$57</f>
        <v>33.9507539484811</v>
      </c>
      <c r="H13" s="21" t="n">
        <f aca="false">$B13*Model!$T$57</f>
        <v>8.47767611453601</v>
      </c>
      <c r="I13" s="21" t="n">
        <f aca="false">$B13*Model!$U$57</f>
        <v>4.02016784002799</v>
      </c>
      <c r="J13" s="21" t="n">
        <f aca="false">$B13*Model!$V$57</f>
        <v>4.02016784002799</v>
      </c>
      <c r="K13" s="21" t="n">
        <f aca="false">$B13*Model!$W$57</f>
        <v>3.80222277624466</v>
      </c>
      <c r="L13" s="21" t="n">
        <f aca="false">$B13*Model!$X$57</f>
        <v>1.04199617469792</v>
      </c>
      <c r="M13" s="21" t="n">
        <f aca="false">$B13*Model!$Y$57</f>
        <v>0.597552908347176</v>
      </c>
      <c r="N13" s="21" t="n">
        <f aca="false">$B13*Model!$Z$57</f>
        <v>0.061669161359673</v>
      </c>
      <c r="O13" s="21" t="n">
        <f aca="false">$B13*Model!$AA$57</f>
        <v>0.104199617469792</v>
      </c>
    </row>
    <row r="14" customFormat="false" ht="15" hidden="false" customHeight="true" outlineLevel="0" collapsed="false">
      <c r="A14" s="23" t="n">
        <v>2027</v>
      </c>
      <c r="B14" s="21" t="n">
        <f aca="false">IF($A14&lt;=Model!$B$3,Data!$B$5*Model!$D$57,0)</f>
        <v>56.0764063811923</v>
      </c>
      <c r="C14" s="21" t="n">
        <f aca="false">$B14*IF(Model!$B$5=1,Data!$D$5,Model!$AC$57)</f>
        <v>14.0980083584986</v>
      </c>
      <c r="D14" s="21" t="n">
        <f aca="false">$B14*IF(Model!$B$5=1,Data!$E$5,Model!$AD$57)</f>
        <v>17.8066262289245</v>
      </c>
      <c r="E14" s="21" t="n">
        <f aca="false">$B14*IF(Model!$B$5=1,Data!$F$5,Model!$AE$57)</f>
        <v>10.3499371064724</v>
      </c>
      <c r="F14" s="21" t="n">
        <f aca="false">$B14*IF(Model!$B$5=1,Data!$G$5,Model!$AF$57)</f>
        <v>13.8218346872967</v>
      </c>
      <c r="G14" s="21" t="n">
        <f aca="false">$B14*Model!$S$57</f>
        <v>33.9507539484811</v>
      </c>
      <c r="H14" s="21" t="n">
        <f aca="false">$B14*Model!$T$57</f>
        <v>8.47767611453601</v>
      </c>
      <c r="I14" s="21" t="n">
        <f aca="false">$B14*Model!$U$57</f>
        <v>4.02016784002799</v>
      </c>
      <c r="J14" s="21" t="n">
        <f aca="false">$B14*Model!$V$57</f>
        <v>4.02016784002799</v>
      </c>
      <c r="K14" s="21" t="n">
        <f aca="false">$B14*Model!$W$57</f>
        <v>3.80222277624466</v>
      </c>
      <c r="L14" s="21" t="n">
        <f aca="false">$B14*Model!$X$57</f>
        <v>1.04199617469792</v>
      </c>
      <c r="M14" s="21" t="n">
        <f aca="false">$B14*Model!$Y$57</f>
        <v>0.597552908347176</v>
      </c>
      <c r="N14" s="21" t="n">
        <f aca="false">$B14*Model!$Z$57</f>
        <v>0.061669161359673</v>
      </c>
      <c r="O14" s="21" t="n">
        <f aca="false">$B14*Model!$AA$57</f>
        <v>0.104199617469792</v>
      </c>
    </row>
    <row r="15" customFormat="false" ht="15" hidden="false" customHeight="true" outlineLevel="0" collapsed="false">
      <c r="A15" s="23" t="n">
        <v>2028</v>
      </c>
      <c r="B15" s="21" t="n">
        <f aca="false">IF($A15&lt;=Model!$B$3,Data!$B$6*Model!$D$57,0)</f>
        <v>56.0764063811923</v>
      </c>
      <c r="C15" s="21" t="n">
        <f aca="false">$B15*IF(Model!$B$5=1,Data!$D$6,Model!$AC$57)</f>
        <v>14.0519948416503</v>
      </c>
      <c r="D15" s="21" t="n">
        <f aca="false">$B15*IF(Model!$B$5=1,Data!$E$6,Model!$AD$57)</f>
        <v>17.8149822243394</v>
      </c>
      <c r="E15" s="21" t="n">
        <f aca="false">$B15*IF(Model!$B$5=1,Data!$F$6,Model!$AE$57)</f>
        <v>10.3547939516655</v>
      </c>
      <c r="F15" s="21" t="n">
        <f aca="false">$B15*IF(Model!$B$5=1,Data!$G$6,Model!$AF$57)</f>
        <v>13.8546353635372</v>
      </c>
      <c r="G15" s="21" t="n">
        <f aca="false">$B15*Model!$S$57</f>
        <v>33.9507539484811</v>
      </c>
      <c r="H15" s="21" t="n">
        <f aca="false">$B15*Model!$T$57</f>
        <v>8.47767611453601</v>
      </c>
      <c r="I15" s="21" t="n">
        <f aca="false">$B15*Model!$U$57</f>
        <v>4.02016784002799</v>
      </c>
      <c r="J15" s="21" t="n">
        <f aca="false">$B15*Model!$V$57</f>
        <v>4.02016784002799</v>
      </c>
      <c r="K15" s="21" t="n">
        <f aca="false">$B15*Model!$W$57</f>
        <v>3.80222277624466</v>
      </c>
      <c r="L15" s="21" t="n">
        <f aca="false">$B15*Model!$X$57</f>
        <v>1.04199617469792</v>
      </c>
      <c r="M15" s="21" t="n">
        <f aca="false">$B15*Model!$Y$57</f>
        <v>0.597552908347176</v>
      </c>
      <c r="N15" s="21" t="n">
        <f aca="false">$B15*Model!$Z$57</f>
        <v>0.061669161359673</v>
      </c>
      <c r="O15" s="21" t="n">
        <f aca="false">$B15*Model!$AA$57</f>
        <v>0.104199617469792</v>
      </c>
    </row>
    <row r="16" customFormat="false" ht="15" hidden="false" customHeight="true" outlineLevel="0" collapsed="false">
      <c r="A16" s="23" t="n">
        <v>2029</v>
      </c>
      <c r="B16" s="21" t="n">
        <f aca="false">IF($A16&lt;=Model!$B$3,Data!$B$7*Model!$D$57,0)</f>
        <v>56.0764063811923</v>
      </c>
      <c r="C16" s="21" t="n">
        <f aca="false">$B16*IF(Model!$B$5=1,Data!$D$7,Model!$AC$57)</f>
        <v>13.9040022390149</v>
      </c>
      <c r="D16" s="21" t="n">
        <f aca="false">$B16*IF(Model!$B$5=1,Data!$E$7,Model!$AD$57)</f>
        <v>17.7187237615449</v>
      </c>
      <c r="E16" s="21" t="n">
        <f aca="false">$B16*IF(Model!$B$5=1,Data!$F$7,Model!$AE$57)</f>
        <v>10.2865938986846</v>
      </c>
      <c r="F16" s="21" t="n">
        <f aca="false">$B16*IF(Model!$B$5=1,Data!$G$7,Model!$AF$57)</f>
        <v>14.1670864819479</v>
      </c>
      <c r="G16" s="21" t="n">
        <f aca="false">$B16*Model!$S$57</f>
        <v>33.9507539484811</v>
      </c>
      <c r="H16" s="21" t="n">
        <f aca="false">$B16*Model!$T$57</f>
        <v>8.47767611453601</v>
      </c>
      <c r="I16" s="21" t="n">
        <f aca="false">$B16*Model!$U$57</f>
        <v>4.02016784002799</v>
      </c>
      <c r="J16" s="21" t="n">
        <f aca="false">$B16*Model!$V$57</f>
        <v>4.02016784002799</v>
      </c>
      <c r="K16" s="21" t="n">
        <f aca="false">$B16*Model!$W$57</f>
        <v>3.80222277624466</v>
      </c>
      <c r="L16" s="21" t="n">
        <f aca="false">$B16*Model!$X$57</f>
        <v>1.04199617469792</v>
      </c>
      <c r="M16" s="21" t="n">
        <f aca="false">$B16*Model!$Y$57</f>
        <v>0.597552908347176</v>
      </c>
      <c r="N16" s="21" t="n">
        <f aca="false">$B16*Model!$Z$57</f>
        <v>0.061669161359673</v>
      </c>
      <c r="O16" s="21" t="n">
        <f aca="false">$B16*Model!$AA$57</f>
        <v>0.104199617469792</v>
      </c>
    </row>
    <row r="17" customFormat="false" ht="15" hidden="false" customHeight="true" outlineLevel="0" collapsed="false">
      <c r="A17" s="23" t="n">
        <v>2030</v>
      </c>
      <c r="B17" s="21" t="n">
        <f aca="false">IF($A17&lt;=Model!$B$3,Data!$B$8*Model!$D$57,0)</f>
        <v>56.0764063811923</v>
      </c>
      <c r="C17" s="21" t="n">
        <f aca="false">$B17*IF(Model!$B$5=1,Data!$D$8,Model!$AC$57)</f>
        <v>13.8809499606189</v>
      </c>
      <c r="D17" s="21" t="n">
        <f aca="false">$B17*IF(Model!$B$5=1,Data!$E$8,Model!$AD$57)</f>
        <v>17.4597351637358</v>
      </c>
      <c r="E17" s="21" t="n">
        <f aca="false">$B17*IF(Model!$B$5=1,Data!$F$8,Model!$AE$57)</f>
        <v>10.302164757502</v>
      </c>
      <c r="F17" s="21" t="n">
        <f aca="false">$B17*IF(Model!$B$5=1,Data!$G$8,Model!$AF$57)</f>
        <v>14.4335564993355</v>
      </c>
      <c r="G17" s="21" t="n">
        <f aca="false">$B17*Model!$S$57</f>
        <v>33.9507539484811</v>
      </c>
      <c r="H17" s="21" t="n">
        <f aca="false">$B17*Model!$T$57</f>
        <v>8.47767611453601</v>
      </c>
      <c r="I17" s="21" t="n">
        <f aca="false">$B17*Model!$U$57</f>
        <v>4.02016784002799</v>
      </c>
      <c r="J17" s="21" t="n">
        <f aca="false">$B17*Model!$V$57</f>
        <v>4.02016784002799</v>
      </c>
      <c r="K17" s="21" t="n">
        <f aca="false">$B17*Model!$W$57</f>
        <v>3.80222277624466</v>
      </c>
      <c r="L17" s="21" t="n">
        <f aca="false">$B17*Model!$X$57</f>
        <v>1.04199617469792</v>
      </c>
      <c r="M17" s="21" t="n">
        <f aca="false">$B17*Model!$Y$57</f>
        <v>0.597552908347176</v>
      </c>
      <c r="N17" s="21" t="n">
        <f aca="false">$B17*Model!$Z$57</f>
        <v>0.061669161359673</v>
      </c>
      <c r="O17" s="21" t="n">
        <f aca="false">$B17*Model!$AA$57</f>
        <v>0.104199617469792</v>
      </c>
    </row>
    <row r="18" customFormat="false" ht="15" hidden="false" customHeight="true" outlineLevel="0" collapsed="false">
      <c r="A18" s="23" t="n">
        <v>2031</v>
      </c>
      <c r="B18" s="21" t="n">
        <f aca="false">IF($A18&lt;=Model!$B$3,Data!$B$9*Model!$D$57,0)</f>
        <v>28.5183319339491</v>
      </c>
      <c r="C18" s="21" t="n">
        <f aca="false">$B18*IF(Model!$B$5=1,Data!$D$9,Model!$AC$57)</f>
        <v>6.5902602854744</v>
      </c>
      <c r="D18" s="21" t="n">
        <f aca="false">$B18*IF(Model!$B$5=1,Data!$E$9,Model!$AD$57)</f>
        <v>8.66862580464596</v>
      </c>
      <c r="E18" s="21" t="n">
        <f aca="false">$B18*IF(Model!$B$5=1,Data!$F$9,Model!$AE$57)</f>
        <v>5.41953540442206</v>
      </c>
      <c r="F18" s="21" t="n">
        <f aca="false">$B18*IF(Model!$B$5=1,Data!$G$9,Model!$AF$57)</f>
        <v>7.83991043940667</v>
      </c>
      <c r="G18" s="21" t="n">
        <f aca="false">$B18*Model!$S$57</f>
        <v>17.2660648745735</v>
      </c>
      <c r="H18" s="21" t="n">
        <f aca="false">$B18*Model!$T$57</f>
        <v>4.31142430596155</v>
      </c>
      <c r="I18" s="21" t="n">
        <f aca="false">$B18*Model!$U$57</f>
        <v>2.04450478000954</v>
      </c>
      <c r="J18" s="21" t="n">
        <f aca="false">$B18*Model!$V$57</f>
        <v>2.04450478000954</v>
      </c>
      <c r="K18" s="21" t="n">
        <f aca="false">$B18*Model!$W$57</f>
        <v>1.93366619256355</v>
      </c>
      <c r="L18" s="21" t="n">
        <f aca="false">$B18*Model!$X$57</f>
        <v>0.529919706015739</v>
      </c>
      <c r="M18" s="21" t="n">
        <f aca="false">$B18*Model!$Y$57</f>
        <v>0.30389272936821</v>
      </c>
      <c r="N18" s="21" t="n">
        <f aca="false">$B18*Model!$Z$57</f>
        <v>0.0313625948458295</v>
      </c>
      <c r="O18" s="21" t="n">
        <f aca="false">$B18*Model!$AA$57</f>
        <v>0.0529919706015739</v>
      </c>
    </row>
    <row r="19" customFormat="false" ht="15" hidden="false" customHeight="true" outlineLevel="0" collapsed="false">
      <c r="A19" s="23" t="n">
        <v>2032</v>
      </c>
      <c r="B19" s="21" t="n">
        <f aca="false">IF($A19&lt;=Model!$B$3,Data!$B$10*Model!$D$57,0)</f>
        <v>28.5183319339491</v>
      </c>
      <c r="C19" s="21" t="n">
        <f aca="false">$B19*IF(Model!$B$5=1,Data!$D$10,Model!$AC$57)</f>
        <v>6.34033025468795</v>
      </c>
      <c r="D19" s="21" t="n">
        <f aca="false">$B19*IF(Model!$B$5=1,Data!$E$10,Model!$AD$57)</f>
        <v>8.49762104673943</v>
      </c>
      <c r="E19" s="21" t="n">
        <f aca="false">$B19*IF(Model!$B$5=1,Data!$F$10,Model!$AE$57)</f>
        <v>5.51161488944866</v>
      </c>
      <c r="F19" s="21" t="n">
        <f aca="false">$B19*IF(Model!$B$5=1,Data!$G$10,Model!$AF$57)</f>
        <v>8.16876574307305</v>
      </c>
      <c r="G19" s="21" t="n">
        <f aca="false">$B19*Model!$S$57</f>
        <v>17.2660648745735</v>
      </c>
      <c r="H19" s="21" t="n">
        <f aca="false">$B19*Model!$T$57</f>
        <v>4.31142430596155</v>
      </c>
      <c r="I19" s="21" t="n">
        <f aca="false">$B19*Model!$U$57</f>
        <v>2.04450478000954</v>
      </c>
      <c r="J19" s="21" t="n">
        <f aca="false">$B19*Model!$V$57</f>
        <v>2.04450478000954</v>
      </c>
      <c r="K19" s="21" t="n">
        <f aca="false">$B19*Model!$W$57</f>
        <v>1.93366619256355</v>
      </c>
      <c r="L19" s="21" t="n">
        <f aca="false">$B19*Model!$X$57</f>
        <v>0.529919706015739</v>
      </c>
      <c r="M19" s="21" t="n">
        <f aca="false">$B19*Model!$Y$57</f>
        <v>0.30389272936821</v>
      </c>
      <c r="N19" s="21" t="n">
        <f aca="false">$B19*Model!$Z$57</f>
        <v>0.0313625948458295</v>
      </c>
      <c r="O19" s="21" t="n">
        <f aca="false">$B19*Model!$AA$57</f>
        <v>0.0529919706015739</v>
      </c>
    </row>
    <row r="20" customFormat="false" ht="15" hidden="false" customHeight="true" outlineLevel="0" collapsed="false">
      <c r="A20" s="23" t="n">
        <v>2033</v>
      </c>
      <c r="B20" s="21" t="n">
        <f aca="false">IF($A20&lt;=Model!$B$3,Data!$B$11*Model!$D$57,0)</f>
        <v>28.5183319339491</v>
      </c>
      <c r="C20" s="21" t="n">
        <f aca="false">$B20*IF(Model!$B$5=1,Data!$D$11,Model!$AC$57)</f>
        <v>6.29061498127718</v>
      </c>
      <c r="D20" s="21" t="n">
        <f aca="false">$B20*IF(Model!$B$5=1,Data!$E$11,Model!$AD$57)</f>
        <v>8.52786298717073</v>
      </c>
      <c r="E20" s="21" t="n">
        <f aca="false">$B20*IF(Model!$B$5=1,Data!$F$11,Model!$AE$57)</f>
        <v>5.51415832040824</v>
      </c>
      <c r="F20" s="21" t="n">
        <f aca="false">$B20*IF(Model!$B$5=1,Data!$G$11,Model!$AF$57)</f>
        <v>8.18569564509291</v>
      </c>
      <c r="G20" s="21" t="n">
        <f aca="false">$B20*Model!$S$57</f>
        <v>17.2660648745735</v>
      </c>
      <c r="H20" s="21" t="n">
        <f aca="false">$B20*Model!$T$57</f>
        <v>4.31142430596155</v>
      </c>
      <c r="I20" s="21" t="n">
        <f aca="false">$B20*Model!$U$57</f>
        <v>2.04450478000954</v>
      </c>
      <c r="J20" s="21" t="n">
        <f aca="false">$B20*Model!$V$57</f>
        <v>2.04450478000954</v>
      </c>
      <c r="K20" s="21" t="n">
        <f aca="false">$B20*Model!$W$57</f>
        <v>1.93366619256355</v>
      </c>
      <c r="L20" s="21" t="n">
        <f aca="false">$B20*Model!$X$57</f>
        <v>0.529919706015739</v>
      </c>
      <c r="M20" s="21" t="n">
        <f aca="false">$B20*Model!$Y$57</f>
        <v>0.30389272936821</v>
      </c>
      <c r="N20" s="21" t="n">
        <f aca="false">$B20*Model!$Z$57</f>
        <v>0.0313625948458295</v>
      </c>
      <c r="O20" s="21" t="n">
        <f aca="false">$B20*Model!$AA$57</f>
        <v>0.0529919706015739</v>
      </c>
    </row>
    <row r="21" customFormat="false" ht="15" hidden="false" customHeight="true" outlineLevel="0" collapsed="false">
      <c r="A21" s="23" t="n">
        <v>2034</v>
      </c>
      <c r="B21" s="21" t="n">
        <f aca="false">IF($A21&lt;=Model!$B$3,Data!$B$12*Model!$D$57,0)</f>
        <v>28.5183319339491</v>
      </c>
      <c r="C21" s="21" t="n">
        <f aca="false">$B21*IF(Model!$B$5=1,Data!$D$12,Model!$AC$57)</f>
        <v>6.23509655751471</v>
      </c>
      <c r="D21" s="21" t="n">
        <f aca="false">$B21*IF(Model!$B$5=1,Data!$E$12,Model!$AD$57)</f>
        <v>8.55023789532607</v>
      </c>
      <c r="E21" s="21" t="n">
        <f aca="false">$B21*IF(Model!$B$5=1,Data!$F$12,Model!$AE$57)</f>
        <v>5.51161488944866</v>
      </c>
      <c r="F21" s="21" t="n">
        <f aca="false">$B21*IF(Model!$B$5=1,Data!$G$12,Model!$AF$57)</f>
        <v>8.22138259165966</v>
      </c>
      <c r="G21" s="21" t="n">
        <f aca="false">$B21*Model!$S$57</f>
        <v>17.2660648745735</v>
      </c>
      <c r="H21" s="21" t="n">
        <f aca="false">$B21*Model!$T$57</f>
        <v>4.31142430596155</v>
      </c>
      <c r="I21" s="21" t="n">
        <f aca="false">$B21*Model!$U$57</f>
        <v>2.04450478000954</v>
      </c>
      <c r="J21" s="21" t="n">
        <f aca="false">$B21*Model!$V$57</f>
        <v>2.04450478000954</v>
      </c>
      <c r="K21" s="21" t="n">
        <f aca="false">$B21*Model!$W$57</f>
        <v>1.93366619256355</v>
      </c>
      <c r="L21" s="21" t="n">
        <f aca="false">$B21*Model!$X$57</f>
        <v>0.529919706015739</v>
      </c>
      <c r="M21" s="21" t="n">
        <f aca="false">$B21*Model!$Y$57</f>
        <v>0.30389272936821</v>
      </c>
      <c r="N21" s="21" t="n">
        <f aca="false">$B21*Model!$Z$57</f>
        <v>0.0313625948458295</v>
      </c>
      <c r="O21" s="21" t="n">
        <f aca="false">$B21*Model!$AA$57</f>
        <v>0.0529919706015739</v>
      </c>
    </row>
    <row r="22" customFormat="false" ht="15" hidden="false" customHeight="true" outlineLevel="0" collapsed="false">
      <c r="A22" s="23" t="n">
        <v>2035</v>
      </c>
      <c r="B22" s="21" t="n">
        <f aca="false">IF($A22&lt;=Model!$B$3,Data!$B$13*Model!$D$57,0)</f>
        <v>27.5580744472432</v>
      </c>
      <c r="C22" s="21" t="n">
        <f aca="false">$B22*IF(Model!$B$5=1,Data!$D$13,Model!$AC$57)</f>
        <v>5.9062412538483</v>
      </c>
      <c r="D22" s="21" t="n">
        <f aca="false">$B22*IF(Model!$B$5=1,Data!$E$13,Model!$AD$57)</f>
        <v>8.14245731877973</v>
      </c>
      <c r="E22" s="21" t="n">
        <f aca="false">$B22*IF(Model!$B$5=1,Data!$F$13,Model!$AE$57)</f>
        <v>5.28799328295549</v>
      </c>
      <c r="F22" s="21" t="n">
        <f aca="false">$B22*IF(Model!$B$5=1,Data!$G$13,Model!$AF$57)</f>
        <v>8.22138259165967</v>
      </c>
      <c r="G22" s="21" t="n">
        <f aca="false">$B22*Model!$S$57</f>
        <v>16.6846890739075</v>
      </c>
      <c r="H22" s="21" t="n">
        <f aca="false">$B22*Model!$T$57</f>
        <v>4.16625180857447</v>
      </c>
      <c r="I22" s="21" t="n">
        <f aca="false">$B22*Model!$U$57</f>
        <v>1.97566306001845</v>
      </c>
      <c r="J22" s="21" t="n">
        <f aca="false">$B22*Model!$V$57</f>
        <v>1.97566306001845</v>
      </c>
      <c r="K22" s="21" t="n">
        <f aca="false">$B22*Model!$W$57</f>
        <v>1.86855658368111</v>
      </c>
      <c r="L22" s="21" t="n">
        <f aca="false">$B22*Model!$X$57</f>
        <v>0.512076468682183</v>
      </c>
      <c r="M22" s="21" t="n">
        <f aca="false">$B22*Model!$Y$57</f>
        <v>0.293660178978966</v>
      </c>
      <c r="N22" s="21" t="n">
        <f aca="false">$B22*Model!$Z$57</f>
        <v>0.0303065665138435</v>
      </c>
      <c r="O22" s="21" t="n">
        <f aca="false">$B22*Model!$AA$57</f>
        <v>0.0512076468682183</v>
      </c>
    </row>
    <row r="23" customFormat="false" ht="15" hidden="false" customHeight="true" outlineLevel="0" collapsed="false">
      <c r="A23" s="23" t="n">
        <v>2036</v>
      </c>
      <c r="B23" s="21" t="n">
        <f aca="false">IF($A23&lt;=Model!$B$3,Data!$B$14*Model!$D$57,0)</f>
        <v>20.8757346767422</v>
      </c>
      <c r="C23" s="21" t="n">
        <f aca="false">$B23*IF(Model!$B$5=1,Data!$D$14,Model!$AC$57)</f>
        <v>5.03591878879424</v>
      </c>
      <c r="D23" s="21" t="n">
        <f aca="false">$B23*IF(Model!$B$5=1,Data!$E$14,Model!$AD$57)</f>
        <v>6.4772626468094</v>
      </c>
      <c r="E23" s="21" t="n">
        <f aca="false">$B23*IF(Model!$B$5=1,Data!$F$14,Model!$AE$57)</f>
        <v>3.90366672877332</v>
      </c>
      <c r="F23" s="21" t="n">
        <f aca="false">$B23*IF(Model!$B$5=1,Data!$G$14,Model!$AF$57)</f>
        <v>5.45888651236527</v>
      </c>
      <c r="G23" s="21" t="n">
        <f aca="false">$B23*Model!$S$57</f>
        <v>12.6389506254374</v>
      </c>
      <c r="H23" s="21" t="n">
        <f aca="false">$B23*Model!$T$57</f>
        <v>3.1560103199082</v>
      </c>
      <c r="I23" s="21" t="n">
        <f aca="false">$B23*Model!$U$57</f>
        <v>1.49660013186123</v>
      </c>
      <c r="J23" s="21" t="n">
        <f aca="false">$B23*Model!$V$57</f>
        <v>1.49660013186123</v>
      </c>
      <c r="K23" s="21" t="n">
        <f aca="false">$B23*Model!$W$57</f>
        <v>1.41546505885533</v>
      </c>
      <c r="L23" s="21" t="n">
        <f aca="false">$B23*Model!$X$57</f>
        <v>0.387907091073329</v>
      </c>
      <c r="M23" s="21" t="n">
        <f aca="false">$B23*Model!$Y$57</f>
        <v>0.222452842023685</v>
      </c>
      <c r="N23" s="21" t="n">
        <f aca="false">$B23*Model!$Z$57</f>
        <v>0.022957766614544</v>
      </c>
      <c r="O23" s="21" t="n">
        <f aca="false">$B23*Model!$AA$57</f>
        <v>0.0387907091073329</v>
      </c>
    </row>
    <row r="24" customFormat="false" ht="15" hidden="false" customHeight="true" outlineLevel="0" collapsed="false">
      <c r="A24" s="23" t="n">
        <v>2037</v>
      </c>
      <c r="B24" s="21" t="n">
        <f aca="false">IF($A24&lt;=Model!$B$3,Data!$B$15*Model!$D$57,0)</f>
        <v>20.7047299188357</v>
      </c>
      <c r="C24" s="21" t="n">
        <f aca="false">$B24*IF(Model!$B$5=1,Data!$D$15,Model!$AC$57)</f>
        <v>4.99466677603159</v>
      </c>
      <c r="D24" s="21" t="n">
        <f aca="false">$B24*IF(Model!$B$5=1,Data!$E$15,Model!$AD$57)</f>
        <v>6.4242037845482</v>
      </c>
      <c r="E24" s="21" t="n">
        <f aca="false">$B24*IF(Model!$B$5=1,Data!$F$15,Model!$AE$57)</f>
        <v>3.87168962261449</v>
      </c>
      <c r="F24" s="21" t="n">
        <f aca="false">$B24*IF(Model!$B$5=1,Data!$G$15,Model!$AF$57)</f>
        <v>5.41416973564145</v>
      </c>
      <c r="G24" s="21" t="n">
        <f aca="false">$B24*Model!$S$57</f>
        <v>12.5354179486064</v>
      </c>
      <c r="H24" s="21" t="n">
        <f aca="false">$B24*Model!$T$57</f>
        <v>3.13015768338721</v>
      </c>
      <c r="I24" s="21" t="n">
        <f aca="false">$B24*Model!$U$57</f>
        <v>1.48434064747925</v>
      </c>
      <c r="J24" s="21" t="n">
        <f aca="false">$B24*Model!$V$57</f>
        <v>1.48434064747925</v>
      </c>
      <c r="K24" s="21" t="n">
        <f aca="false">$B24*Model!$W$57</f>
        <v>1.40387019699955</v>
      </c>
      <c r="L24" s="21" t="n">
        <f aca="false">$B24*Model!$X$57</f>
        <v>0.384729528260504</v>
      </c>
      <c r="M24" s="21" t="n">
        <f aca="false">$B24*Model!$Y$57</f>
        <v>0.220630607022861</v>
      </c>
      <c r="N24" s="21" t="n">
        <f aca="false">$B24*Model!$Z$57</f>
        <v>0.0227697067746013</v>
      </c>
      <c r="O24" s="21" t="n">
        <f aca="false">$B24*Model!$AA$57</f>
        <v>0.0384729528260504</v>
      </c>
    </row>
    <row r="25" customFormat="false" ht="15" hidden="false" customHeight="true" outlineLevel="0" collapsed="false">
      <c r="A25" s="23" t="n">
        <v>2038</v>
      </c>
      <c r="B25" s="21" t="n">
        <f aca="false">IF($A25&lt;=Model!$B$3,Data!$B$16*Model!$D$57,0)</f>
        <v>20.4547998880493</v>
      </c>
      <c r="C25" s="21" t="n">
        <f aca="false">$B25*IF(Model!$B$5=1,Data!$D$16,Model!$AC$57)</f>
        <v>4.93437537276312</v>
      </c>
      <c r="D25" s="21" t="n">
        <f aca="false">$B25*IF(Model!$B$5=1,Data!$E$16,Model!$AD$57)</f>
        <v>6.34665621662799</v>
      </c>
      <c r="E25" s="21" t="n">
        <f aca="false">$B25*IF(Model!$B$5=1,Data!$F$16,Model!$AE$57)</f>
        <v>3.82495385207467</v>
      </c>
      <c r="F25" s="21" t="n">
        <f aca="false">$B25*IF(Model!$B$5=1,Data!$G$16,Model!$AF$57)</f>
        <v>5.34881444658349</v>
      </c>
      <c r="G25" s="21" t="n">
        <f aca="false">$B25*Model!$S$57</f>
        <v>12.384100959392</v>
      </c>
      <c r="H25" s="21" t="n">
        <f aca="false">$B25*Model!$T$57</f>
        <v>3.09237306077962</v>
      </c>
      <c r="I25" s="21" t="n">
        <f aca="false">$B25*Model!$U$57</f>
        <v>1.46642293953637</v>
      </c>
      <c r="J25" s="21" t="n">
        <f aca="false">$B25*Model!$V$57</f>
        <v>1.46642293953637</v>
      </c>
      <c r="K25" s="21" t="n">
        <f aca="false">$B25*Model!$W$57</f>
        <v>1.38692386044111</v>
      </c>
      <c r="L25" s="21" t="n">
        <f aca="false">$B25*Model!$X$57</f>
        <v>0.380085397995606</v>
      </c>
      <c r="M25" s="21" t="n">
        <f aca="false">$B25*Model!$Y$57</f>
        <v>0.217967340483195</v>
      </c>
      <c r="N25" s="21" t="n">
        <f aca="false">$B25*Model!$Z$57</f>
        <v>0.0224948500854542</v>
      </c>
      <c r="O25" s="21" t="n">
        <f aca="false">$B25*Model!$AA$57</f>
        <v>0.0380085397995606</v>
      </c>
    </row>
    <row r="26" customFormat="false" ht="15" hidden="false" customHeight="true" outlineLevel="0" collapsed="false">
      <c r="A26" s="23" t="n">
        <v>2039</v>
      </c>
      <c r="B26" s="21" t="n">
        <f aca="false">IF($A26&lt;=Model!$B$3,Data!$B$17*Model!$D$57,0)</f>
        <v>20.2706409179961</v>
      </c>
      <c r="C26" s="21" t="n">
        <f aca="false">$B26*IF(Model!$B$5=1,Data!$D$17,Model!$AC$57)</f>
        <v>4.88995012824948</v>
      </c>
      <c r="D26" s="21" t="n">
        <f aca="false">$B26*IF(Model!$B$5=1,Data!$E$17,Model!$AD$57)</f>
        <v>6.2895159034236</v>
      </c>
      <c r="E26" s="21" t="n">
        <f aca="false">$B26*IF(Model!$B$5=1,Data!$F$17,Model!$AE$57)</f>
        <v>3.79051696851902</v>
      </c>
      <c r="F26" s="21" t="n">
        <f aca="false">$B26*IF(Model!$B$5=1,Data!$G$17,Model!$AF$57)</f>
        <v>5.30065791780398</v>
      </c>
      <c r="G26" s="21" t="n">
        <f aca="false">$B26*Model!$S$57</f>
        <v>12.2726042304971</v>
      </c>
      <c r="H26" s="21" t="n">
        <f aca="false">$B26*Model!$T$57</f>
        <v>3.06453175991086</v>
      </c>
      <c r="I26" s="21" t="n">
        <f aca="false">$B26*Model!$U$57</f>
        <v>1.45322041789424</v>
      </c>
      <c r="J26" s="21" t="n">
        <f aca="false">$B26*Model!$V$57</f>
        <v>1.45322041789424</v>
      </c>
      <c r="K26" s="21" t="n">
        <f aca="false">$B26*Model!$W$57</f>
        <v>1.37443708613489</v>
      </c>
      <c r="L26" s="21" t="n">
        <f aca="false">$B26*Model!$X$57</f>
        <v>0.376663407274102</v>
      </c>
      <c r="M26" s="21" t="n">
        <f aca="false">$B26*Model!$Y$57</f>
        <v>0.21600493355923</v>
      </c>
      <c r="N26" s="21" t="n">
        <f aca="false">$B26*Model!$Z$57</f>
        <v>0.0222923241039775</v>
      </c>
      <c r="O26" s="21" t="n">
        <f aca="false">$B26*Model!$AA$57</f>
        <v>0.0376663407274102</v>
      </c>
    </row>
    <row r="27" customFormat="false" ht="15" hidden="false" customHeight="true" outlineLevel="0" collapsed="false">
      <c r="A27" s="23" t="n">
        <v>2040</v>
      </c>
      <c r="B27" s="21" t="n">
        <f aca="false">IF($A27&lt;=Model!$B$3,Data!$B$18*Model!$D$57,0)</f>
        <v>20.0601735236496</v>
      </c>
      <c r="C27" s="21" t="n">
        <f aca="false">$B27*IF(Model!$B$5=1,Data!$D$18,Model!$AC$57)</f>
        <v>4.83917842023391</v>
      </c>
      <c r="D27" s="21" t="n">
        <f aca="false">$B27*IF(Model!$B$5=1,Data!$E$18,Model!$AD$57)</f>
        <v>6.22421268833291</v>
      </c>
      <c r="E27" s="21" t="n">
        <f aca="false">$B27*IF(Model!$B$5=1,Data!$F$18,Model!$AE$57)</f>
        <v>3.7511605301697</v>
      </c>
      <c r="F27" s="21" t="n">
        <f aca="false">$B27*IF(Model!$B$5=1,Data!$G$18,Model!$AF$57)</f>
        <v>5.24562188491307</v>
      </c>
      <c r="G27" s="21" t="n">
        <f aca="false">$B27*Model!$S$57</f>
        <v>12.1451793974745</v>
      </c>
      <c r="H27" s="21" t="n">
        <f aca="false">$B27*Model!$T$57</f>
        <v>3.03271313034657</v>
      </c>
      <c r="I27" s="21" t="n">
        <f aca="false">$B27*Model!$U$57</f>
        <v>1.43813182173181</v>
      </c>
      <c r="J27" s="21" t="n">
        <f aca="false">$B27*Model!$V$57</f>
        <v>1.43813182173181</v>
      </c>
      <c r="K27" s="21" t="n">
        <f aca="false">$B27*Model!$W$57</f>
        <v>1.36016648692778</v>
      </c>
      <c r="L27" s="21" t="n">
        <f aca="false">$B27*Model!$X$57</f>
        <v>0.372752560735241</v>
      </c>
      <c r="M27" s="21" t="n">
        <f aca="false">$B27*Model!$Y$57</f>
        <v>0.213762182788985</v>
      </c>
      <c r="N27" s="21" t="n">
        <f aca="false">$B27*Model!$Z$57</f>
        <v>0.0220608658394326</v>
      </c>
      <c r="O27" s="21" t="n">
        <f aca="false">$B27*Model!$AA$57</f>
        <v>0.0372752560735241</v>
      </c>
    </row>
    <row r="28" customFormat="false" ht="15" hidden="false" customHeight="true" outlineLevel="0" collapsed="false">
      <c r="A28" s="24" t="s">
        <v>122</v>
      </c>
      <c r="B28" s="25" t="n">
        <f aca="false">SUM(B13:B27)</f>
        <v>524.379513014274</v>
      </c>
      <c r="C28" s="25" t="n">
        <f aca="false">SUM(C13:C27)</f>
        <v>126.497281520359</v>
      </c>
      <c r="D28" s="25" t="n">
        <f aca="false">SUM(D13:D27)</f>
        <v>162.702745391073</v>
      </c>
      <c r="E28" s="25" t="n">
        <f aca="false">SUM(E13:E27)</f>
        <v>98.0566335640314</v>
      </c>
      <c r="F28" s="25" t="n">
        <f aca="false">SUM(F13:F27)</f>
        <v>137.122852538811</v>
      </c>
      <c r="G28" s="25" t="n">
        <f aca="false">SUM(G13:G27)</f>
        <v>317.478971476014</v>
      </c>
      <c r="H28" s="25" t="n">
        <f aca="false">SUM(H13:H27)</f>
        <v>79.2761155594332</v>
      </c>
      <c r="I28" s="25" t="n">
        <f aca="false">SUM(I13:I27)</f>
        <v>37.5932373386995</v>
      </c>
      <c r="J28" s="25" t="n">
        <f aca="false">SUM(J13:J27)</f>
        <v>37.5932373386995</v>
      </c>
      <c r="K28" s="25" t="n">
        <f aca="false">SUM(K13:K27)</f>
        <v>35.5551979245173</v>
      </c>
      <c r="L28" s="25" t="n">
        <f aca="false">SUM(L13:L27)</f>
        <v>9.74387415157354</v>
      </c>
      <c r="M28" s="25" t="n">
        <f aca="false">SUM(M13:M27)</f>
        <v>5.58781354406564</v>
      </c>
      <c r="N28" s="25" t="n">
        <f aca="false">SUM(N13:N27)</f>
        <v>0.576678266113536</v>
      </c>
      <c r="O28" s="25" t="n">
        <f aca="false">SUM(O13:O27)</f>
        <v>0.974387415157354</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Data!$H$34*Data!$M$34/SUM(Data!$H$34:$K$34)</f>
        <v>29.9881656804734</v>
      </c>
      <c r="C34" s="22" t="n">
        <f aca="false">IF($B$38&gt;0,B34/$B$38,0)</f>
        <v>0.0331360946745562</v>
      </c>
      <c r="D34" s="21" t="n">
        <f aca="false">C28</f>
        <v>126.497281520359</v>
      </c>
      <c r="E34" s="22" t="n">
        <f aca="false">IF($D$38&gt;0,D34/$D$38,0)</f>
        <v>0.241232310532536</v>
      </c>
      <c r="F34" s="21" t="n">
        <f aca="false">B34+D34</f>
        <v>156.485447200832</v>
      </c>
      <c r="G34" s="22" t="n">
        <f aca="false">IF($F$38&gt;0,F34/$F$38,0)</f>
        <v>0.109477885877094</v>
      </c>
    </row>
    <row r="35" customFormat="false" ht="15" hidden="false" customHeight="true" outlineLevel="0" collapsed="false">
      <c r="A35" s="13" t="s">
        <v>110</v>
      </c>
      <c r="B35" s="21" t="n">
        <f aca="false">Data!$I$34*Data!$M$34/SUM(Data!$H$34:$K$34)</f>
        <v>126.378698224852</v>
      </c>
      <c r="C35" s="22" t="n">
        <f aca="false">IF($B$38&gt;0,B35/$B$38,0)</f>
        <v>0.139644970414201</v>
      </c>
      <c r="D35" s="21" t="n">
        <f aca="false">D28</f>
        <v>162.702745391073</v>
      </c>
      <c r="E35" s="22" t="n">
        <f aca="false">IF($D$38&gt;0,D35/$D$38,0)</f>
        <v>0.310276701040081</v>
      </c>
      <c r="F35" s="21" t="n">
        <f aca="false">B35+D35</f>
        <v>289.081443615925</v>
      </c>
      <c r="G35" s="22" t="n">
        <f aca="false">IF($F$38&gt;0,F35/$F$38,0)</f>
        <v>0.202242610156284</v>
      </c>
    </row>
    <row r="36" customFormat="false" ht="15" hidden="false" customHeight="true" outlineLevel="0" collapsed="false">
      <c r="A36" s="13" t="s">
        <v>111</v>
      </c>
      <c r="B36" s="21" t="n">
        <f aca="false">Data!$J$34*Data!$M$34/SUM(Data!$H$34:$K$34)</f>
        <v>423.047337278107</v>
      </c>
      <c r="C36" s="22" t="n">
        <f aca="false">IF($B$38&gt;0,B36/$B$38,0)</f>
        <v>0.467455621301775</v>
      </c>
      <c r="D36" s="21" t="n">
        <f aca="false">E28</f>
        <v>98.0566335640314</v>
      </c>
      <c r="E36" s="22" t="n">
        <f aca="false">IF($D$38&gt;0,D36/$D$38,0)</f>
        <v>0.186995546413275</v>
      </c>
      <c r="F36" s="21" t="n">
        <f aca="false">B36+D36</f>
        <v>521.103970842138</v>
      </c>
      <c r="G36" s="22" t="n">
        <f aca="false">IF($F$38&gt;0,F36/$F$38,0)</f>
        <v>0.36456655919409</v>
      </c>
    </row>
    <row r="37" customFormat="false" ht="15" hidden="false" customHeight="true" outlineLevel="0" collapsed="false">
      <c r="A37" s="13" t="s">
        <v>112</v>
      </c>
      <c r="B37" s="21" t="n">
        <f aca="false">Data!$K$34*Data!$M$34/SUM(Data!$H$34:$K$34)</f>
        <v>325.585798816568</v>
      </c>
      <c r="C37" s="22" t="n">
        <f aca="false">IF($B$38&gt;0,B37/$B$38,0)</f>
        <v>0.359763313609467</v>
      </c>
      <c r="D37" s="21" t="n">
        <f aca="false">F28</f>
        <v>137.122852538811</v>
      </c>
      <c r="E37" s="22" t="n">
        <f aca="false">IF($D$38&gt;0,D37/$D$38,0)</f>
        <v>0.261495442014109</v>
      </c>
      <c r="F37" s="21" t="n">
        <f aca="false">B37+D37</f>
        <v>462.708651355379</v>
      </c>
      <c r="G37" s="22" t="n">
        <f aca="false">IF($F$38&gt;0,F37/$F$38,0)</f>
        <v>0.323712944772532</v>
      </c>
    </row>
    <row r="38" customFormat="false" ht="15" hidden="false" customHeight="true" outlineLevel="0" collapsed="false">
      <c r="A38" s="24" t="s">
        <v>61</v>
      </c>
      <c r="B38" s="25" t="n">
        <f aca="false">SUM(B34:B37)</f>
        <v>905</v>
      </c>
      <c r="C38" s="27" t="n">
        <f aca="false">SUM(C34:C37)</f>
        <v>1</v>
      </c>
      <c r="D38" s="25" t="n">
        <f aca="false">SUM(D34:D37)</f>
        <v>524.379513014274</v>
      </c>
      <c r="E38" s="27" t="n">
        <f aca="false">SUM(E34:E37)</f>
        <v>1</v>
      </c>
      <c r="F38" s="25" t="n">
        <f aca="false">SUM(F34:F37)</f>
        <v>1429.37951301427</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103</v>
      </c>
      <c r="C6" s="15" t="n">
        <f aca="false">Model!$Q$58</f>
        <v>0.1</v>
      </c>
    </row>
    <row r="7" customFormat="false" ht="15" hidden="false" customHeight="true" outlineLevel="0" collapsed="false">
      <c r="A7" s="13" t="s">
        <v>104</v>
      </c>
      <c r="C7" s="15" t="n">
        <f aca="false">Model!$G$58</f>
        <v>0.20437</v>
      </c>
    </row>
    <row r="8" customFormat="false" ht="15" hidden="false" customHeight="true" outlineLevel="0" collapsed="false">
      <c r="A8" s="13" t="s">
        <v>105</v>
      </c>
      <c r="C8" s="15" t="n">
        <f aca="false">Model!$R$58</f>
        <v>0.166160251794775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IF($A13&lt;=Model!$B$3,Data!$B$4*Model!$D$58,0)</f>
        <v>44.3441085922194</v>
      </c>
      <c r="C13" s="21" t="n">
        <f aca="false">$B13*IF(Model!$B$5=1,Data!$D$4,Model!$AC$58)</f>
        <v>11.4708142066647</v>
      </c>
      <c r="D13" s="21" t="n">
        <f aca="false">$B13*IF(Model!$B$5=1,Data!$E$4,Model!$AD$58)</f>
        <v>14.0395278141408</v>
      </c>
      <c r="E13" s="21" t="n">
        <f aca="false">$B13*IF(Model!$B$5=1,Data!$F$4,Model!$AE$58)</f>
        <v>8.20532403359784</v>
      </c>
      <c r="F13" s="21" t="n">
        <f aca="false">$B13*IF(Model!$B$5=1,Data!$G$4,Model!$AF$58)</f>
        <v>10.6284425378162</v>
      </c>
      <c r="G13" s="21" t="n">
        <f aca="false">$B13*Model!$S$58</f>
        <v>26.8475820230896</v>
      </c>
      <c r="H13" s="21" t="n">
        <f aca="false">$B13*Model!$T$58</f>
        <v>6.70397792036004</v>
      </c>
      <c r="I13" s="21" t="n">
        <f aca="false">$B13*Model!$U$58</f>
        <v>3.17906889477391</v>
      </c>
      <c r="J13" s="21" t="n">
        <f aca="false">$B13*Model!$V$58</f>
        <v>3.17906889477391</v>
      </c>
      <c r="K13" s="21" t="n">
        <f aca="false">$B13*Model!$W$58</f>
        <v>3.00672226632114</v>
      </c>
      <c r="L13" s="21" t="n">
        <f aca="false">$B13*Model!$X$58</f>
        <v>0.823989882828499</v>
      </c>
      <c r="M13" s="21" t="n">
        <f aca="false">$B13*Model!$Y$58</f>
        <v>0.472532973622058</v>
      </c>
      <c r="N13" s="21" t="n">
        <f aca="false">$B13*Model!$Z$58</f>
        <v>0.048766748167401</v>
      </c>
      <c r="O13" s="21" t="n">
        <f aca="false">$B13*Model!$AA$58</f>
        <v>0.0823989882828499</v>
      </c>
    </row>
    <row r="14" customFormat="false" ht="15" hidden="false" customHeight="true" outlineLevel="0" collapsed="false">
      <c r="A14" s="23" t="n">
        <v>2027</v>
      </c>
      <c r="B14" s="21" t="n">
        <f aca="false">IF($A14&lt;=Model!$B$3,Data!$B$5*Model!$D$58,0)</f>
        <v>44.3441085922194</v>
      </c>
      <c r="C14" s="21" t="n">
        <f aca="false">$B14*IF(Model!$B$5=1,Data!$D$5,Model!$AC$58)</f>
        <v>11.148425049451</v>
      </c>
      <c r="D14" s="21" t="n">
        <f aca="false">$B14*IF(Model!$B$5=1,Data!$E$5,Model!$AD$58)</f>
        <v>14.0811264150715</v>
      </c>
      <c r="E14" s="21" t="n">
        <f aca="false">$B14*IF(Model!$B$5=1,Data!$F$5,Model!$AE$58)</f>
        <v>8.18452473313245</v>
      </c>
      <c r="F14" s="21" t="n">
        <f aca="false">$B14*IF(Model!$B$5=1,Data!$G$5,Model!$AF$58)</f>
        <v>10.9300323945644</v>
      </c>
      <c r="G14" s="21" t="n">
        <f aca="false">$B14*Model!$S$58</f>
        <v>26.8475820230896</v>
      </c>
      <c r="H14" s="21" t="n">
        <f aca="false">$B14*Model!$T$58</f>
        <v>6.70397792036004</v>
      </c>
      <c r="I14" s="21" t="n">
        <f aca="false">$B14*Model!$U$58</f>
        <v>3.17906889477391</v>
      </c>
      <c r="J14" s="21" t="n">
        <f aca="false">$B14*Model!$V$58</f>
        <v>3.17906889477391</v>
      </c>
      <c r="K14" s="21" t="n">
        <f aca="false">$B14*Model!$W$58</f>
        <v>3.00672226632114</v>
      </c>
      <c r="L14" s="21" t="n">
        <f aca="false">$B14*Model!$X$58</f>
        <v>0.823989882828499</v>
      </c>
      <c r="M14" s="21" t="n">
        <f aca="false">$B14*Model!$Y$58</f>
        <v>0.472532973622058</v>
      </c>
      <c r="N14" s="21" t="n">
        <f aca="false">$B14*Model!$Z$58</f>
        <v>0.048766748167401</v>
      </c>
      <c r="O14" s="21" t="n">
        <f aca="false">$B14*Model!$AA$58</f>
        <v>0.0823989882828499</v>
      </c>
    </row>
    <row r="15" customFormat="false" ht="15" hidden="false" customHeight="true" outlineLevel="0" collapsed="false">
      <c r="A15" s="23" t="n">
        <v>2028</v>
      </c>
      <c r="B15" s="21" t="n">
        <f aca="false">IF($A15&lt;=Model!$B$3,Data!$B$6*Model!$D$58,0)</f>
        <v>44.3441085922194</v>
      </c>
      <c r="C15" s="21" t="n">
        <f aca="false">$B15*IF(Model!$B$5=1,Data!$D$6,Model!$AC$58)</f>
        <v>11.112038474071</v>
      </c>
      <c r="D15" s="21" t="n">
        <f aca="false">$B15*IF(Model!$B$5=1,Data!$E$6,Model!$AD$58)</f>
        <v>14.0877341703109</v>
      </c>
      <c r="E15" s="21" t="n">
        <f aca="false">$B15*IF(Model!$B$5=1,Data!$F$6,Model!$AE$58)</f>
        <v>8.18836542986313</v>
      </c>
      <c r="F15" s="21" t="n">
        <f aca="false">$B15*IF(Model!$B$5=1,Data!$G$6,Model!$AF$58)</f>
        <v>10.9559705179744</v>
      </c>
      <c r="G15" s="21" t="n">
        <f aca="false">$B15*Model!$S$58</f>
        <v>26.8475820230896</v>
      </c>
      <c r="H15" s="21" t="n">
        <f aca="false">$B15*Model!$T$58</f>
        <v>6.70397792036004</v>
      </c>
      <c r="I15" s="21" t="n">
        <f aca="false">$B15*Model!$U$58</f>
        <v>3.17906889477391</v>
      </c>
      <c r="J15" s="21" t="n">
        <f aca="false">$B15*Model!$V$58</f>
        <v>3.17906889477391</v>
      </c>
      <c r="K15" s="21" t="n">
        <f aca="false">$B15*Model!$W$58</f>
        <v>3.00672226632114</v>
      </c>
      <c r="L15" s="21" t="n">
        <f aca="false">$B15*Model!$X$58</f>
        <v>0.823989882828499</v>
      </c>
      <c r="M15" s="21" t="n">
        <f aca="false">$B15*Model!$Y$58</f>
        <v>0.472532973622058</v>
      </c>
      <c r="N15" s="21" t="n">
        <f aca="false">$B15*Model!$Z$58</f>
        <v>0.048766748167401</v>
      </c>
      <c r="O15" s="21" t="n">
        <f aca="false">$B15*Model!$AA$58</f>
        <v>0.0823989882828499</v>
      </c>
    </row>
    <row r="16" customFormat="false" ht="15" hidden="false" customHeight="true" outlineLevel="0" collapsed="false">
      <c r="A16" s="23" t="n">
        <v>2029</v>
      </c>
      <c r="B16" s="21" t="n">
        <f aca="false">IF($A16&lt;=Model!$B$3,Data!$B$7*Model!$D$58,0)</f>
        <v>44.3441085922194</v>
      </c>
      <c r="C16" s="21" t="n">
        <f aca="false">$B16*IF(Model!$B$5=1,Data!$D$7,Model!$AC$58)</f>
        <v>10.9950088627671</v>
      </c>
      <c r="D16" s="21" t="n">
        <f aca="false">$B16*IF(Model!$B$5=1,Data!$E$7,Model!$AD$58)</f>
        <v>14.0116148894486</v>
      </c>
      <c r="E16" s="21" t="n">
        <f aca="false">$B16*IF(Model!$B$5=1,Data!$F$7,Model!$AE$58)</f>
        <v>8.13443418229314</v>
      </c>
      <c r="F16" s="21" t="n">
        <f aca="false">$B16*IF(Model!$B$5=1,Data!$G$7,Model!$AF$58)</f>
        <v>11.2030506577106</v>
      </c>
      <c r="G16" s="21" t="n">
        <f aca="false">$B16*Model!$S$58</f>
        <v>26.8475820230896</v>
      </c>
      <c r="H16" s="21" t="n">
        <f aca="false">$B16*Model!$T$58</f>
        <v>6.70397792036004</v>
      </c>
      <c r="I16" s="21" t="n">
        <f aca="false">$B16*Model!$U$58</f>
        <v>3.17906889477391</v>
      </c>
      <c r="J16" s="21" t="n">
        <f aca="false">$B16*Model!$V$58</f>
        <v>3.17906889477391</v>
      </c>
      <c r="K16" s="21" t="n">
        <f aca="false">$B16*Model!$W$58</f>
        <v>3.00672226632114</v>
      </c>
      <c r="L16" s="21" t="n">
        <f aca="false">$B16*Model!$X$58</f>
        <v>0.823989882828499</v>
      </c>
      <c r="M16" s="21" t="n">
        <f aca="false">$B16*Model!$Y$58</f>
        <v>0.472532973622058</v>
      </c>
      <c r="N16" s="21" t="n">
        <f aca="false">$B16*Model!$Z$58</f>
        <v>0.048766748167401</v>
      </c>
      <c r="O16" s="21" t="n">
        <f aca="false">$B16*Model!$AA$58</f>
        <v>0.0823989882828499</v>
      </c>
    </row>
    <row r="17" customFormat="false" ht="15" hidden="false" customHeight="true" outlineLevel="0" collapsed="false">
      <c r="A17" s="23" t="n">
        <v>2030</v>
      </c>
      <c r="B17" s="21" t="n">
        <f aca="false">IF($A17&lt;=Model!$B$3,Data!$B$8*Model!$D$58,0)</f>
        <v>44.3441085922194</v>
      </c>
      <c r="C17" s="21" t="n">
        <f aca="false">$B17*IF(Model!$B$5=1,Data!$D$8,Model!$AC$58)</f>
        <v>10.9767795787873</v>
      </c>
      <c r="D17" s="21" t="n">
        <f aca="false">$B17*IF(Model!$B$5=1,Data!$E$8,Model!$AD$58)</f>
        <v>13.8068118493372</v>
      </c>
      <c r="E17" s="21" t="n">
        <f aca="false">$B17*IF(Model!$B$5=1,Data!$F$8,Model!$AE$58)</f>
        <v>8.1467473082374</v>
      </c>
      <c r="F17" s="21" t="n">
        <f aca="false">$B17*IF(Model!$B$5=1,Data!$G$8,Model!$AF$58)</f>
        <v>11.4137698558575</v>
      </c>
      <c r="G17" s="21" t="n">
        <f aca="false">$B17*Model!$S$58</f>
        <v>26.8475820230896</v>
      </c>
      <c r="H17" s="21" t="n">
        <f aca="false">$B17*Model!$T$58</f>
        <v>6.70397792036004</v>
      </c>
      <c r="I17" s="21" t="n">
        <f aca="false">$B17*Model!$U$58</f>
        <v>3.17906889477391</v>
      </c>
      <c r="J17" s="21" t="n">
        <f aca="false">$B17*Model!$V$58</f>
        <v>3.17906889477391</v>
      </c>
      <c r="K17" s="21" t="n">
        <f aca="false">$B17*Model!$W$58</f>
        <v>3.00672226632114</v>
      </c>
      <c r="L17" s="21" t="n">
        <f aca="false">$B17*Model!$X$58</f>
        <v>0.823989882828499</v>
      </c>
      <c r="M17" s="21" t="n">
        <f aca="false">$B17*Model!$Y$58</f>
        <v>0.472532973622058</v>
      </c>
      <c r="N17" s="21" t="n">
        <f aca="false">$B17*Model!$Z$58</f>
        <v>0.048766748167401</v>
      </c>
      <c r="O17" s="21" t="n">
        <f aca="false">$B17*Model!$AA$58</f>
        <v>0.0823989882828499</v>
      </c>
    </row>
    <row r="18" customFormat="false" ht="15" hidden="false" customHeight="true" outlineLevel="0" collapsed="false">
      <c r="A18" s="23" t="n">
        <v>2031</v>
      </c>
      <c r="B18" s="21" t="n">
        <f aca="false">IF($A18&lt;=Model!$B$3,Data!$B$9*Model!$D$58,0)</f>
        <v>22.5517305718817</v>
      </c>
      <c r="C18" s="21" t="n">
        <f aca="false">$B18*IF(Model!$B$5=1,Data!$D$9,Model!$AC$58)</f>
        <v>5.21144696333614</v>
      </c>
      <c r="D18" s="21" t="n">
        <f aca="false">$B18*IF(Model!$B$5=1,Data!$E$9,Model!$AD$58)</f>
        <v>6.85497714339025</v>
      </c>
      <c r="E18" s="21" t="n">
        <f aca="false">$B18*IF(Model!$B$5=1,Data!$F$9,Model!$AE$58)</f>
        <v>4.28566097583731</v>
      </c>
      <c r="F18" s="21" t="n">
        <f aca="false">$B18*IF(Model!$B$5=1,Data!$G$9,Model!$AF$58)</f>
        <v>6.19964548931804</v>
      </c>
      <c r="G18" s="21" t="n">
        <f aca="false">$B18*Model!$S$58</f>
        <v>13.6536612306025</v>
      </c>
      <c r="H18" s="21" t="n">
        <f aca="false">$B18*Model!$T$58</f>
        <v>3.40938872421782</v>
      </c>
      <c r="I18" s="21" t="n">
        <f aca="false">$B18*Model!$U$58</f>
        <v>1.61675377993663</v>
      </c>
      <c r="J18" s="21" t="n">
        <f aca="false">$B18*Model!$V$58</f>
        <v>1.61675377993663</v>
      </c>
      <c r="K18" s="21" t="n">
        <f aca="false">$B18*Model!$W$58</f>
        <v>1.5291048260343</v>
      </c>
      <c r="L18" s="21" t="n">
        <f aca="false">$B18*Model!$X$58</f>
        <v>0.419049980289042</v>
      </c>
      <c r="M18" s="21" t="n">
        <f aca="false">$B18*Model!$Y$58</f>
        <v>0.240312335635144</v>
      </c>
      <c r="N18" s="21" t="n">
        <f aca="false">$B18*Model!$Z$58</f>
        <v>0.02480091720078</v>
      </c>
      <c r="O18" s="21" t="n">
        <f aca="false">$B18*Model!$AA$58</f>
        <v>0.0419049980289042</v>
      </c>
    </row>
    <row r="19" customFormat="false" ht="15" hidden="false" customHeight="true" outlineLevel="0" collapsed="false">
      <c r="A19" s="23" t="n">
        <v>2032</v>
      </c>
      <c r="B19" s="21" t="n">
        <f aca="false">IF($A19&lt;=Model!$B$3,Data!$B$10*Model!$D$58,0)</f>
        <v>22.5517305718817</v>
      </c>
      <c r="C19" s="21" t="n">
        <f aca="false">$B19*IF(Model!$B$5=1,Data!$D$10,Model!$AC$58)</f>
        <v>5.01380725813976</v>
      </c>
      <c r="D19" s="21" t="n">
        <f aca="false">$B19*IF(Model!$B$5=1,Data!$E$10,Model!$AD$58)</f>
        <v>6.71974997667693</v>
      </c>
      <c r="E19" s="21" t="n">
        <f aca="false">$B19*IF(Model!$B$5=1,Data!$F$10,Model!$AE$58)</f>
        <v>4.35847560406755</v>
      </c>
      <c r="F19" s="21" t="n">
        <f aca="false">$B19*IF(Model!$B$5=1,Data!$G$10,Model!$AF$58)</f>
        <v>6.45969773299748</v>
      </c>
      <c r="G19" s="21" t="n">
        <f aca="false">$B19*Model!$S$58</f>
        <v>13.6536612306025</v>
      </c>
      <c r="H19" s="21" t="n">
        <f aca="false">$B19*Model!$T$58</f>
        <v>3.40938872421782</v>
      </c>
      <c r="I19" s="21" t="n">
        <f aca="false">$B19*Model!$U$58</f>
        <v>1.61675377993663</v>
      </c>
      <c r="J19" s="21" t="n">
        <f aca="false">$B19*Model!$V$58</f>
        <v>1.61675377993663</v>
      </c>
      <c r="K19" s="21" t="n">
        <f aca="false">$B19*Model!$W$58</f>
        <v>1.5291048260343</v>
      </c>
      <c r="L19" s="21" t="n">
        <f aca="false">$B19*Model!$X$58</f>
        <v>0.419049980289042</v>
      </c>
      <c r="M19" s="21" t="n">
        <f aca="false">$B19*Model!$Y$58</f>
        <v>0.240312335635144</v>
      </c>
      <c r="N19" s="21" t="n">
        <f aca="false">$B19*Model!$Z$58</f>
        <v>0.02480091720078</v>
      </c>
      <c r="O19" s="21" t="n">
        <f aca="false">$B19*Model!$AA$58</f>
        <v>0.0419049980289042</v>
      </c>
    </row>
    <row r="20" customFormat="false" ht="15" hidden="false" customHeight="true" outlineLevel="0" collapsed="false">
      <c r="A20" s="23" t="n">
        <v>2033</v>
      </c>
      <c r="B20" s="21" t="n">
        <f aca="false">IF($A20&lt;=Model!$B$3,Data!$B$11*Model!$D$58,0)</f>
        <v>22.5517305718817</v>
      </c>
      <c r="C20" s="21" t="n">
        <f aca="false">$B20*IF(Model!$B$5=1,Data!$D$11,Model!$AC$58)</f>
        <v>4.97449340718018</v>
      </c>
      <c r="D20" s="21" t="n">
        <f aca="false">$B20*IF(Model!$B$5=1,Data!$E$11,Model!$AD$58)</f>
        <v>6.74366470262082</v>
      </c>
      <c r="E20" s="21" t="n">
        <f aca="false">$B20*IF(Model!$B$5=1,Data!$F$11,Model!$AE$58)</f>
        <v>4.36048689876254</v>
      </c>
      <c r="F20" s="21" t="n">
        <f aca="false">$B20*IF(Model!$B$5=1,Data!$G$11,Model!$AF$58)</f>
        <v>6.47308556331816</v>
      </c>
      <c r="G20" s="21" t="n">
        <f aca="false">$B20*Model!$S$58</f>
        <v>13.6536612306025</v>
      </c>
      <c r="H20" s="21" t="n">
        <f aca="false">$B20*Model!$T$58</f>
        <v>3.40938872421782</v>
      </c>
      <c r="I20" s="21" t="n">
        <f aca="false">$B20*Model!$U$58</f>
        <v>1.61675377993663</v>
      </c>
      <c r="J20" s="21" t="n">
        <f aca="false">$B20*Model!$V$58</f>
        <v>1.61675377993663</v>
      </c>
      <c r="K20" s="21" t="n">
        <f aca="false">$B20*Model!$W$58</f>
        <v>1.5291048260343</v>
      </c>
      <c r="L20" s="21" t="n">
        <f aca="false">$B20*Model!$X$58</f>
        <v>0.419049980289042</v>
      </c>
      <c r="M20" s="21" t="n">
        <f aca="false">$B20*Model!$Y$58</f>
        <v>0.240312335635144</v>
      </c>
      <c r="N20" s="21" t="n">
        <f aca="false">$B20*Model!$Z$58</f>
        <v>0.02480091720078</v>
      </c>
      <c r="O20" s="21" t="n">
        <f aca="false">$B20*Model!$AA$58</f>
        <v>0.0419049980289042</v>
      </c>
    </row>
    <row r="21" customFormat="false" ht="15" hidden="false" customHeight="true" outlineLevel="0" collapsed="false">
      <c r="A21" s="23" t="n">
        <v>2034</v>
      </c>
      <c r="B21" s="21" t="n">
        <f aca="false">IF($A21&lt;=Model!$B$3,Data!$B$12*Model!$D$58,0)</f>
        <v>22.5517305718817</v>
      </c>
      <c r="C21" s="21" t="n">
        <f aca="false">$B21*IF(Model!$B$5=1,Data!$D$12,Model!$AC$58)</f>
        <v>4.93059054016234</v>
      </c>
      <c r="D21" s="21" t="n">
        <f aca="false">$B21*IF(Model!$B$5=1,Data!$E$12,Model!$AD$58)</f>
        <v>6.76135833566565</v>
      </c>
      <c r="E21" s="21" t="n">
        <f aca="false">$B21*IF(Model!$B$5=1,Data!$F$12,Model!$AE$58)</f>
        <v>4.35847560406755</v>
      </c>
      <c r="F21" s="21" t="n">
        <f aca="false">$B21*IF(Model!$B$5=1,Data!$G$12,Model!$AF$58)</f>
        <v>6.50130609198618</v>
      </c>
      <c r="G21" s="21" t="n">
        <f aca="false">$B21*Model!$S$58</f>
        <v>13.6536612306025</v>
      </c>
      <c r="H21" s="21" t="n">
        <f aca="false">$B21*Model!$T$58</f>
        <v>3.40938872421782</v>
      </c>
      <c r="I21" s="21" t="n">
        <f aca="false">$B21*Model!$U$58</f>
        <v>1.61675377993663</v>
      </c>
      <c r="J21" s="21" t="n">
        <f aca="false">$B21*Model!$V$58</f>
        <v>1.61675377993663</v>
      </c>
      <c r="K21" s="21" t="n">
        <f aca="false">$B21*Model!$W$58</f>
        <v>1.5291048260343</v>
      </c>
      <c r="L21" s="21" t="n">
        <f aca="false">$B21*Model!$X$58</f>
        <v>0.419049980289042</v>
      </c>
      <c r="M21" s="21" t="n">
        <f aca="false">$B21*Model!$Y$58</f>
        <v>0.240312335635144</v>
      </c>
      <c r="N21" s="21" t="n">
        <f aca="false">$B21*Model!$Z$58</f>
        <v>0.02480091720078</v>
      </c>
      <c r="O21" s="21" t="n">
        <f aca="false">$B21*Model!$AA$58</f>
        <v>0.0419049980289042</v>
      </c>
    </row>
    <row r="22" customFormat="false" ht="15" hidden="false" customHeight="true" outlineLevel="0" collapsed="false">
      <c r="A22" s="23" t="n">
        <v>2035</v>
      </c>
      <c r="B22" s="21" t="n">
        <f aca="false">IF($A22&lt;=Model!$B$3,Data!$B$13*Model!$D$58,0)</f>
        <v>21.7923780203377</v>
      </c>
      <c r="C22" s="21" t="n">
        <f aca="false">$B22*IF(Model!$B$5=1,Data!$D$13,Model!$AC$58)</f>
        <v>4.67053829648287</v>
      </c>
      <c r="D22" s="21" t="n">
        <f aca="false">$B22*IF(Model!$B$5=1,Data!$E$13,Model!$AD$58)</f>
        <v>6.43889355350312</v>
      </c>
      <c r="E22" s="21" t="n">
        <f aca="false">$B22*IF(Model!$B$5=1,Data!$F$13,Model!$AE$58)</f>
        <v>4.18164007836551</v>
      </c>
      <c r="F22" s="21" t="n">
        <f aca="false">$B22*IF(Model!$B$5=1,Data!$G$13,Model!$AF$58)</f>
        <v>6.5013060919862</v>
      </c>
      <c r="G22" s="21" t="n">
        <f aca="false">$B22*Model!$S$58</f>
        <v>13.1939207924872</v>
      </c>
      <c r="H22" s="21" t="n">
        <f aca="false">$B22*Model!$T$58</f>
        <v>3.29458919614222</v>
      </c>
      <c r="I22" s="21" t="n">
        <f aca="false">$B22*Model!$U$58</f>
        <v>1.56231511483728</v>
      </c>
      <c r="J22" s="21" t="n">
        <f aca="false">$B22*Model!$V$58</f>
        <v>1.56231511483728</v>
      </c>
      <c r="K22" s="21" t="n">
        <f aca="false">$B22*Model!$W$58</f>
        <v>1.47761744028684</v>
      </c>
      <c r="L22" s="21" t="n">
        <f aca="false">$B22*Model!$X$58</f>
        <v>0.404939902539457</v>
      </c>
      <c r="M22" s="21" t="n">
        <f aca="false">$B22*Model!$Y$58</f>
        <v>0.232220637986913</v>
      </c>
      <c r="N22" s="21" t="n">
        <f aca="false">$B22*Model!$Z$58</f>
        <v>0.0239658309666209</v>
      </c>
      <c r="O22" s="21" t="n">
        <f aca="false">$B22*Model!$AA$58</f>
        <v>0.0404939902539457</v>
      </c>
    </row>
    <row r="23" customFormat="false" ht="15" hidden="false" customHeight="true" outlineLevel="0" collapsed="false">
      <c r="A23" s="23" t="n">
        <v>2036</v>
      </c>
      <c r="B23" s="21" t="n">
        <f aca="false">IF($A23&lt;=Model!$B$3,Data!$B$14*Model!$D$58,0)</f>
        <v>16.5081164287713</v>
      </c>
      <c r="C23" s="21" t="n">
        <f aca="false">$B23*IF(Model!$B$5=1,Data!$D$14,Model!$AC$58)</f>
        <v>3.98230457411743</v>
      </c>
      <c r="D23" s="21" t="n">
        <f aca="false">$B23*IF(Model!$B$5=1,Data!$E$14,Model!$AD$58)</f>
        <v>5.1220906746046</v>
      </c>
      <c r="E23" s="21" t="n">
        <f aca="false">$B23*IF(Model!$B$5=1,Data!$F$14,Model!$AE$58)</f>
        <v>3.08694212949096</v>
      </c>
      <c r="F23" s="21" t="n">
        <f aca="false">$B23*IF(Model!$B$5=1,Data!$G$14,Model!$AF$58)</f>
        <v>4.31677905055836</v>
      </c>
      <c r="G23" s="21" t="n">
        <f aca="false">$B23*Model!$S$58</f>
        <v>9.9946311683423</v>
      </c>
      <c r="H23" s="21" t="n">
        <f aca="false">$B23*Model!$T$58</f>
        <v>2.49571028843804</v>
      </c>
      <c r="I23" s="21" t="n">
        <f aca="false">$B23*Model!$U$58</f>
        <v>1.18348166455693</v>
      </c>
      <c r="J23" s="21" t="n">
        <f aca="false">$B23*Model!$V$58</f>
        <v>1.18348166455693</v>
      </c>
      <c r="K23" s="21" t="n">
        <f aca="false">$B23*Model!$W$58</f>
        <v>1.11932166001681</v>
      </c>
      <c r="L23" s="21" t="n">
        <f aca="false">$B23*Model!$X$58</f>
        <v>0.30674922450125</v>
      </c>
      <c r="M23" s="21" t="n">
        <f aca="false">$B23*Model!$Y$58</f>
        <v>0.175911289969084</v>
      </c>
      <c r="N23" s="21" t="n">
        <f aca="false">$B23*Model!$Z$58</f>
        <v>0.0181545459398699</v>
      </c>
      <c r="O23" s="21" t="n">
        <f aca="false">$B23*Model!$AA$58</f>
        <v>0.030674922450125</v>
      </c>
    </row>
    <row r="24" customFormat="false" ht="15" hidden="false" customHeight="true" outlineLevel="0" collapsed="false">
      <c r="A24" s="23" t="n">
        <v>2037</v>
      </c>
      <c r="B24" s="21" t="n">
        <f aca="false">IF($A24&lt;=Model!$B$3,Data!$B$15*Model!$D$58,0)</f>
        <v>16.372889262058</v>
      </c>
      <c r="C24" s="21" t="n">
        <f aca="false">$B24*IF(Model!$B$5=1,Data!$D$15,Model!$AC$58)</f>
        <v>3.94968330161364</v>
      </c>
      <c r="D24" s="21" t="n">
        <f aca="false">$B24*IF(Model!$B$5=1,Data!$E$15,Model!$AD$58)</f>
        <v>5.08013277997961</v>
      </c>
      <c r="E24" s="21" t="n">
        <f aca="false">$B24*IF(Model!$B$5=1,Data!$F$15,Model!$AE$58)</f>
        <v>3.06165526894692</v>
      </c>
      <c r="F24" s="21" t="n">
        <f aca="false">$B24*IF(Model!$B$5=1,Data!$G$15,Model!$AF$58)</f>
        <v>4.28141791151788</v>
      </c>
      <c r="G24" s="21" t="n">
        <f aca="false">$B24*Model!$S$58</f>
        <v>9.91275958347246</v>
      </c>
      <c r="H24" s="21" t="n">
        <f aca="false">$B24*Model!$T$58</f>
        <v>2.47526653686294</v>
      </c>
      <c r="I24" s="21" t="n">
        <f aca="false">$B24*Model!$U$58</f>
        <v>1.17378710775842</v>
      </c>
      <c r="J24" s="21" t="n">
        <f aca="false">$B24*Model!$V$58</f>
        <v>1.17378710775842</v>
      </c>
      <c r="K24" s="21" t="n">
        <f aca="false">$B24*Model!$W$58</f>
        <v>1.11015267351383</v>
      </c>
      <c r="L24" s="21" t="n">
        <f aca="false">$B24*Model!$X$58</f>
        <v>0.304236470929406</v>
      </c>
      <c r="M24" s="21" t="n">
        <f aca="false">$B24*Model!$Y$58</f>
        <v>0.174470302716659</v>
      </c>
      <c r="N24" s="21" t="n">
        <f aca="false">$B24*Model!$Z$58</f>
        <v>0.0180058319529648</v>
      </c>
      <c r="O24" s="21" t="n">
        <f aca="false">$B24*Model!$AA$58</f>
        <v>0.0304236470929406</v>
      </c>
    </row>
    <row r="25" customFormat="false" ht="15" hidden="false" customHeight="true" outlineLevel="0" collapsed="false">
      <c r="A25" s="23" t="n">
        <v>2038</v>
      </c>
      <c r="B25" s="21" t="n">
        <f aca="false">IF($A25&lt;=Model!$B$3,Data!$B$16*Model!$D$58,0)</f>
        <v>16.1752495568616</v>
      </c>
      <c r="C25" s="21" t="n">
        <f aca="false">$B25*IF(Model!$B$5=1,Data!$D$16,Model!$AC$58)</f>
        <v>3.90200605718502</v>
      </c>
      <c r="D25" s="21" t="n">
        <f aca="false">$B25*IF(Model!$B$5=1,Data!$E$16,Model!$AD$58)</f>
        <v>5.01880970322001</v>
      </c>
      <c r="E25" s="21" t="n">
        <f aca="false">$B25*IF(Model!$B$5=1,Data!$F$16,Model!$AE$58)</f>
        <v>3.02469754969026</v>
      </c>
      <c r="F25" s="21" t="n">
        <f aca="false">$B25*IF(Model!$B$5=1,Data!$G$16,Model!$AF$58)</f>
        <v>4.22973624676638</v>
      </c>
      <c r="G25" s="21" t="n">
        <f aca="false">$B25*Model!$S$58</f>
        <v>9.79310111327806</v>
      </c>
      <c r="H25" s="21" t="n">
        <f aca="false">$B25*Model!$T$58</f>
        <v>2.44538720763778</v>
      </c>
      <c r="I25" s="21" t="n">
        <f aca="false">$B25*Model!$U$58</f>
        <v>1.15961814012982</v>
      </c>
      <c r="J25" s="21" t="n">
        <f aca="false">$B25*Model!$V$58</f>
        <v>1.15961814012982</v>
      </c>
      <c r="K25" s="21" t="n">
        <f aca="false">$B25*Model!$W$58</f>
        <v>1.09675184708641</v>
      </c>
      <c r="L25" s="21" t="n">
        <f aca="false">$B25*Model!$X$58</f>
        <v>0.300563984939788</v>
      </c>
      <c r="M25" s="21" t="n">
        <f aca="false">$B25*Model!$Y$58</f>
        <v>0.172364244424654</v>
      </c>
      <c r="N25" s="21" t="n">
        <f aca="false">$B25*Model!$Z$58</f>
        <v>0.0177884807413344</v>
      </c>
      <c r="O25" s="21" t="n">
        <f aca="false">$B25*Model!$AA$58</f>
        <v>0.0300563984939788</v>
      </c>
    </row>
    <row r="26" customFormat="false" ht="15" hidden="false" customHeight="true" outlineLevel="0" collapsed="false">
      <c r="A26" s="23" t="n">
        <v>2039</v>
      </c>
      <c r="B26" s="21" t="n">
        <f aca="false">IF($A26&lt;=Model!$B$3,Data!$B$17*Model!$D$58,0)</f>
        <v>16.0296203004012</v>
      </c>
      <c r="C26" s="21" t="n">
        <f aca="false">$B26*IF(Model!$B$5=1,Data!$D$17,Model!$AC$58)</f>
        <v>3.86687545602707</v>
      </c>
      <c r="D26" s="21" t="n">
        <f aca="false">$B26*IF(Model!$B$5=1,Data!$E$17,Model!$AD$58)</f>
        <v>4.97362427823923</v>
      </c>
      <c r="E26" s="21" t="n">
        <f aca="false">$B26*IF(Model!$B$5=1,Data!$F$17,Model!$AE$58)</f>
        <v>2.99746554602745</v>
      </c>
      <c r="F26" s="21" t="n">
        <f aca="false">$B26*IF(Model!$B$5=1,Data!$G$17,Model!$AF$58)</f>
        <v>4.1916550201074</v>
      </c>
      <c r="G26" s="21" t="n">
        <f aca="false">$B26*Model!$S$58</f>
        <v>9.70493171418745</v>
      </c>
      <c r="H26" s="21" t="n">
        <f aca="false">$B26*Model!$T$58</f>
        <v>2.42337085978767</v>
      </c>
      <c r="I26" s="21" t="n">
        <f aca="false">$B26*Model!$U$58</f>
        <v>1.14917784819296</v>
      </c>
      <c r="J26" s="21" t="n">
        <f aca="false">$B26*Model!$V$58</f>
        <v>1.14917784819296</v>
      </c>
      <c r="K26" s="21" t="n">
        <f aca="false">$B26*Model!$W$58</f>
        <v>1.08687755392936</v>
      </c>
      <c r="L26" s="21" t="n">
        <f aca="false">$B26*Model!$X$58</f>
        <v>0.297857942631648</v>
      </c>
      <c r="M26" s="21" t="n">
        <f aca="false">$B26*Model!$Y$58</f>
        <v>0.170812411998966</v>
      </c>
      <c r="N26" s="21" t="n">
        <f aca="false">$B26*Model!$Z$58</f>
        <v>0.0176283272169751</v>
      </c>
      <c r="O26" s="21" t="n">
        <f aca="false">$B26*Model!$AA$58</f>
        <v>0.0297857942631648</v>
      </c>
    </row>
    <row r="27" customFormat="false" ht="15" hidden="false" customHeight="true" outlineLevel="0" collapsed="false">
      <c r="A27" s="23" t="n">
        <v>2040</v>
      </c>
      <c r="B27" s="21" t="n">
        <f aca="false">IF($A27&lt;=Model!$B$3,Data!$B$18*Model!$D$58,0)</f>
        <v>15.8631868644463</v>
      </c>
      <c r="C27" s="21" t="n">
        <f aca="false">$B27*IF(Model!$B$5=1,Data!$D$18,Model!$AC$58)</f>
        <v>3.82672619756086</v>
      </c>
      <c r="D27" s="21" t="n">
        <f aca="false">$B27*IF(Model!$B$5=1,Data!$E$18,Model!$AD$58)</f>
        <v>4.92198379254695</v>
      </c>
      <c r="E27" s="21" t="n">
        <f aca="false">$B27*IF(Model!$B$5=1,Data!$F$18,Model!$AE$58)</f>
        <v>2.9663432561271</v>
      </c>
      <c r="F27" s="21" t="n">
        <f aca="false">$B27*IF(Model!$B$5=1,Data!$G$18,Model!$AF$58)</f>
        <v>4.1481336182114</v>
      </c>
      <c r="G27" s="21" t="n">
        <f aca="false">$B27*Model!$S$58</f>
        <v>9.60416668665533</v>
      </c>
      <c r="H27" s="21" t="n">
        <f aca="false">$B27*Model!$T$58</f>
        <v>2.39820931938753</v>
      </c>
      <c r="I27" s="21" t="n">
        <f aca="false">$B27*Model!$U$58</f>
        <v>1.13724608597941</v>
      </c>
      <c r="J27" s="21" t="n">
        <f aca="false">$B27*Model!$V$58</f>
        <v>1.13724608597941</v>
      </c>
      <c r="K27" s="21" t="n">
        <f aca="false">$B27*Model!$W$58</f>
        <v>1.07559264746416</v>
      </c>
      <c r="L27" s="21" t="n">
        <f aca="false">$B27*Model!$X$58</f>
        <v>0.294765322850917</v>
      </c>
      <c r="M27" s="21" t="n">
        <f aca="false">$B27*Model!$Y$58</f>
        <v>0.169038889226751</v>
      </c>
      <c r="N27" s="21" t="n">
        <f aca="false">$B27*Model!$Z$58</f>
        <v>0.0174452946177074</v>
      </c>
      <c r="O27" s="21" t="n">
        <f aca="false">$B27*Model!$AA$58</f>
        <v>0.0294765322850917</v>
      </c>
    </row>
    <row r="28" customFormat="false" ht="15" hidden="false" customHeight="true" outlineLevel="0" collapsed="false">
      <c r="A28" s="24" t="s">
        <v>122</v>
      </c>
      <c r="B28" s="25" t="n">
        <f aca="false">SUM(B13:B27)</f>
        <v>414.6689056815</v>
      </c>
      <c r="C28" s="25" t="n">
        <f aca="false">SUM(C13:C27)</f>
        <v>100.031538223546</v>
      </c>
      <c r="D28" s="25" t="n">
        <f aca="false">SUM(D13:D27)</f>
        <v>128.662100078756</v>
      </c>
      <c r="E28" s="25" t="n">
        <f aca="false">SUM(E13:E27)</f>
        <v>77.5412385985071</v>
      </c>
      <c r="F28" s="25" t="n">
        <f aca="false">SUM(F13:F27)</f>
        <v>108.434028780691</v>
      </c>
      <c r="G28" s="25" t="n">
        <f aca="false">SUM(G13:G27)</f>
        <v>251.056066096281</v>
      </c>
      <c r="H28" s="25" t="n">
        <f aca="false">SUM(H13:H27)</f>
        <v>62.6899779069276</v>
      </c>
      <c r="I28" s="25" t="n">
        <f aca="false">SUM(I13:I27)</f>
        <v>29.7279855550709</v>
      </c>
      <c r="J28" s="25" t="n">
        <f aca="false">SUM(J13:J27)</f>
        <v>29.7279855550709</v>
      </c>
      <c r="K28" s="25" t="n">
        <f aca="false">SUM(K13:K27)</f>
        <v>28.1163444580403</v>
      </c>
      <c r="L28" s="25" t="n">
        <f aca="false">SUM(L13:L27)</f>
        <v>7.70526218369113</v>
      </c>
      <c r="M28" s="25" t="n">
        <f aca="false">SUM(M13:M27)</f>
        <v>4.41873198697389</v>
      </c>
      <c r="N28" s="25" t="n">
        <f aca="false">SUM(N13:N27)</f>
        <v>0.456025721075597</v>
      </c>
      <c r="O28" s="25" t="n">
        <f aca="false">SUM(O13:O27)</f>
        <v>0.770526218369113</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Data!$H$35*Data!$M$35/SUM(Data!$H$35:$K$35)</f>
        <v>24.3389830508475</v>
      </c>
      <c r="C34" s="22" t="n">
        <f aca="false">IF($B$38&gt;0,B34/$B$38,0)</f>
        <v>0.0338983050847458</v>
      </c>
      <c r="D34" s="21" t="n">
        <f aca="false">C28</f>
        <v>100.031538223546</v>
      </c>
      <c r="E34" s="22" t="n">
        <f aca="false">IF($D$38&gt;0,D34/$D$38,0)</f>
        <v>0.241232310532536</v>
      </c>
      <c r="F34" s="21" t="n">
        <f aca="false">B34+D34</f>
        <v>124.370521274394</v>
      </c>
      <c r="G34" s="22" t="n">
        <f aca="false">IF($F$38&gt;0,F34/$F$38,0)</f>
        <v>0.109803068355234</v>
      </c>
    </row>
    <row r="35" customFormat="false" ht="15" hidden="false" customHeight="true" outlineLevel="0" collapsed="false">
      <c r="A35" s="13" t="s">
        <v>110</v>
      </c>
      <c r="B35" s="21" t="n">
        <f aca="false">Data!$I$35*Data!$M$35/SUM(Data!$H$35:$K$35)</f>
        <v>149.684745762712</v>
      </c>
      <c r="C35" s="22" t="n">
        <f aca="false">IF($B$38&gt;0,B35/$B$38,0)</f>
        <v>0.208474576271186</v>
      </c>
      <c r="D35" s="21" t="n">
        <f aca="false">D28</f>
        <v>128.662100078756</v>
      </c>
      <c r="E35" s="22" t="n">
        <f aca="false">IF($D$38&gt;0,D35/$D$38,0)</f>
        <v>0.310276701040081</v>
      </c>
      <c r="F35" s="21" t="n">
        <f aca="false">B35+D35</f>
        <v>278.346845841468</v>
      </c>
      <c r="G35" s="22" t="n">
        <f aca="false">IF($F$38&gt;0,F35/$F$38,0)</f>
        <v>0.245744228031044</v>
      </c>
    </row>
    <row r="36" customFormat="false" ht="15" hidden="false" customHeight="true" outlineLevel="0" collapsed="false">
      <c r="A36" s="13" t="s">
        <v>111</v>
      </c>
      <c r="B36" s="21" t="n">
        <f aca="false">Data!$J$35*Data!$M$35/SUM(Data!$H$35:$K$35)</f>
        <v>346.830508474576</v>
      </c>
      <c r="C36" s="22" t="n">
        <f aca="false">IF($B$38&gt;0,B36/$B$38,0)</f>
        <v>0.483050847457627</v>
      </c>
      <c r="D36" s="21" t="n">
        <f aca="false">E28</f>
        <v>77.5412385985071</v>
      </c>
      <c r="E36" s="22" t="n">
        <f aca="false">IF($D$38&gt;0,D36/$D$38,0)</f>
        <v>0.186995546413276</v>
      </c>
      <c r="F36" s="21" t="n">
        <f aca="false">B36+D36</f>
        <v>424.371747073083</v>
      </c>
      <c r="G36" s="22" t="n">
        <f aca="false">IF($F$38&gt;0,F36/$F$38,0)</f>
        <v>0.37466531035188</v>
      </c>
    </row>
    <row r="37" customFormat="false" ht="15" hidden="false" customHeight="true" outlineLevel="0" collapsed="false">
      <c r="A37" s="13" t="s">
        <v>112</v>
      </c>
      <c r="B37" s="21" t="n">
        <f aca="false">Data!$K$35*Data!$M$35/SUM(Data!$H$35:$K$35)</f>
        <v>197.145762711864</v>
      </c>
      <c r="C37" s="22" t="n">
        <f aca="false">IF($B$38&gt;0,B37/$B$38,0)</f>
        <v>0.274576271186441</v>
      </c>
      <c r="D37" s="21" t="n">
        <f aca="false">F28</f>
        <v>108.434028780691</v>
      </c>
      <c r="E37" s="22" t="n">
        <f aca="false">IF($D$38&gt;0,D37/$D$38,0)</f>
        <v>0.261495442014109</v>
      </c>
      <c r="F37" s="21" t="n">
        <f aca="false">B37+D37</f>
        <v>305.579791492555</v>
      </c>
      <c r="G37" s="22" t="n">
        <f aca="false">IF($F$38&gt;0,F37/$F$38,0)</f>
        <v>0.269787393261842</v>
      </c>
    </row>
    <row r="38" customFormat="false" ht="15" hidden="false" customHeight="true" outlineLevel="0" collapsed="false">
      <c r="A38" s="24" t="s">
        <v>61</v>
      </c>
      <c r="B38" s="25" t="n">
        <f aca="false">SUM(B34:B37)</f>
        <v>718</v>
      </c>
      <c r="C38" s="27" t="n">
        <f aca="false">SUM(C34:C37)</f>
        <v>1</v>
      </c>
      <c r="D38" s="25" t="n">
        <f aca="false">SUM(D34:D37)</f>
        <v>414.6689056815</v>
      </c>
      <c r="E38" s="27" t="n">
        <f aca="false">SUM(E34:E37)</f>
        <v>1</v>
      </c>
      <c r="F38" s="25" t="n">
        <f aca="false">SUM(F34:F37)</f>
        <v>1132.6689056815</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103</v>
      </c>
      <c r="C6" s="15" t="n">
        <f aca="false">Model!$Q$59</f>
        <v>0.1</v>
      </c>
    </row>
    <row r="7" customFormat="false" ht="15" hidden="false" customHeight="true" outlineLevel="0" collapsed="false">
      <c r="A7" s="13" t="s">
        <v>104</v>
      </c>
      <c r="C7" s="15" t="n">
        <f aca="false">Model!$G$59</f>
        <v>0.13176</v>
      </c>
    </row>
    <row r="8" customFormat="false" ht="15" hidden="false" customHeight="true" outlineLevel="0" collapsed="false">
      <c r="A8" s="13" t="s">
        <v>105</v>
      </c>
      <c r="C8" s="15" t="n">
        <f aca="false">Model!$R$59</f>
        <v>0.118952825133545</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IF($A13&lt;=Model!$B$3,Data!$B$4*Model!$D$59,0)</f>
        <v>193.085782255807</v>
      </c>
      <c r="C13" s="21" t="n">
        <f aca="false">$B13*IF(Model!$B$5=1,Data!$D$4,Model!$AC$59)</f>
        <v>49.9469084962842</v>
      </c>
      <c r="D13" s="21" t="n">
        <f aca="false">$B13*IF(Model!$B$5=1,Data!$E$4,Model!$AD$59)</f>
        <v>61.131755639151</v>
      </c>
      <c r="E13" s="21" t="n">
        <f aca="false">$B13*IF(Model!$B$5=1,Data!$F$4,Model!$AE$59)</f>
        <v>35.7281149624372</v>
      </c>
      <c r="F13" s="21" t="n">
        <f aca="false">$B13*IF(Model!$B$5=1,Data!$G$4,Model!$AF$59)</f>
        <v>46.279003157935</v>
      </c>
      <c r="G13" s="21" t="n">
        <f aca="false">$B13*Model!$S$59</f>
        <v>116.901354907713</v>
      </c>
      <c r="H13" s="21" t="n">
        <f aca="false">$B13*Model!$T$59</f>
        <v>29.1908635007605</v>
      </c>
      <c r="I13" s="21" t="n">
        <f aca="false">$B13*Model!$U$59</f>
        <v>13.8424928108765</v>
      </c>
      <c r="J13" s="21" t="n">
        <f aca="false">$B13*Model!$V$59</f>
        <v>13.8424928108765</v>
      </c>
      <c r="K13" s="21" t="n">
        <f aca="false">$B13*Model!$W$59</f>
        <v>13.0920507650127</v>
      </c>
      <c r="L13" s="21" t="n">
        <f aca="false">$B13*Model!$X$59</f>
        <v>3.58786626110526</v>
      </c>
      <c r="M13" s="21" t="n">
        <f aca="false">$B13*Model!$Y$59</f>
        <v>2.05753146810322</v>
      </c>
      <c r="N13" s="21" t="n">
        <f aca="false">$B13*Model!$Z$59</f>
        <v>0.212343105249087</v>
      </c>
      <c r="O13" s="21" t="n">
        <f aca="false">$B13*Model!$AA$59</f>
        <v>0.358786626110526</v>
      </c>
    </row>
    <row r="14" customFormat="false" ht="15" hidden="false" customHeight="true" outlineLevel="0" collapsed="false">
      <c r="A14" s="23" t="n">
        <v>2027</v>
      </c>
      <c r="B14" s="21" t="n">
        <f aca="false">IF($A14&lt;=Model!$B$3,Data!$B$5*Model!$D$59,0)</f>
        <v>193.085782255807</v>
      </c>
      <c r="C14" s="21" t="n">
        <f aca="false">$B14*IF(Model!$B$5=1,Data!$D$5,Model!$AC$59)</f>
        <v>48.5431422556814</v>
      </c>
      <c r="D14" s="21" t="n">
        <f aca="false">$B14*IF(Model!$B$5=1,Data!$E$5,Model!$AD$59)</f>
        <v>61.3128867669707</v>
      </c>
      <c r="E14" s="21" t="n">
        <f aca="false">$B14*IF(Model!$B$5=1,Data!$F$5,Model!$AE$59)</f>
        <v>35.6375493985274</v>
      </c>
      <c r="F14" s="21" t="n">
        <f aca="false">$B14*IF(Model!$B$5=1,Data!$G$5,Model!$AF$59)</f>
        <v>47.5922038346279</v>
      </c>
      <c r="G14" s="21" t="n">
        <f aca="false">$B14*Model!$S$59</f>
        <v>116.901354907713</v>
      </c>
      <c r="H14" s="21" t="n">
        <f aca="false">$B14*Model!$T$59</f>
        <v>29.1908635007605</v>
      </c>
      <c r="I14" s="21" t="n">
        <f aca="false">$B14*Model!$U$59</f>
        <v>13.8424928108765</v>
      </c>
      <c r="J14" s="21" t="n">
        <f aca="false">$B14*Model!$V$59</f>
        <v>13.8424928108765</v>
      </c>
      <c r="K14" s="21" t="n">
        <f aca="false">$B14*Model!$W$59</f>
        <v>13.0920507650127</v>
      </c>
      <c r="L14" s="21" t="n">
        <f aca="false">$B14*Model!$X$59</f>
        <v>3.58786626110526</v>
      </c>
      <c r="M14" s="21" t="n">
        <f aca="false">$B14*Model!$Y$59</f>
        <v>2.05753146810322</v>
      </c>
      <c r="N14" s="21" t="n">
        <f aca="false">$B14*Model!$Z$59</f>
        <v>0.212343105249087</v>
      </c>
      <c r="O14" s="21" t="n">
        <f aca="false">$B14*Model!$AA$59</f>
        <v>0.358786626110526</v>
      </c>
    </row>
    <row r="15" customFormat="false" ht="15" hidden="false" customHeight="true" outlineLevel="0" collapsed="false">
      <c r="A15" s="23" t="n">
        <v>2028</v>
      </c>
      <c r="B15" s="21" t="n">
        <f aca="false">IF($A15&lt;=Model!$B$3,Data!$B$6*Model!$D$59,0)</f>
        <v>193.085782255807</v>
      </c>
      <c r="C15" s="21" t="n">
        <f aca="false">$B15*IF(Model!$B$5=1,Data!$D$6,Model!$AC$59)</f>
        <v>48.3847056427036</v>
      </c>
      <c r="D15" s="21" t="n">
        <f aca="false">$B15*IF(Model!$B$5=1,Data!$E$6,Model!$AD$59)</f>
        <v>61.3416586518919</v>
      </c>
      <c r="E15" s="21" t="n">
        <f aca="false">$B15*IF(Model!$B$5=1,Data!$F$6,Model!$AE$59)</f>
        <v>35.6542727910184</v>
      </c>
      <c r="F15" s="21" t="n">
        <f aca="false">$B15*IF(Model!$B$5=1,Data!$G$6,Model!$AF$59)</f>
        <v>47.7051451701936</v>
      </c>
      <c r="G15" s="21" t="n">
        <f aca="false">$B15*Model!$S$59</f>
        <v>116.901354907713</v>
      </c>
      <c r="H15" s="21" t="n">
        <f aca="false">$B15*Model!$T$59</f>
        <v>29.1908635007605</v>
      </c>
      <c r="I15" s="21" t="n">
        <f aca="false">$B15*Model!$U$59</f>
        <v>13.8424928108765</v>
      </c>
      <c r="J15" s="21" t="n">
        <f aca="false">$B15*Model!$V$59</f>
        <v>13.8424928108765</v>
      </c>
      <c r="K15" s="21" t="n">
        <f aca="false">$B15*Model!$W$59</f>
        <v>13.0920507650127</v>
      </c>
      <c r="L15" s="21" t="n">
        <f aca="false">$B15*Model!$X$59</f>
        <v>3.58786626110526</v>
      </c>
      <c r="M15" s="21" t="n">
        <f aca="false">$B15*Model!$Y$59</f>
        <v>2.05753146810322</v>
      </c>
      <c r="N15" s="21" t="n">
        <f aca="false">$B15*Model!$Z$59</f>
        <v>0.212343105249087</v>
      </c>
      <c r="O15" s="21" t="n">
        <f aca="false">$B15*Model!$AA$59</f>
        <v>0.358786626110526</v>
      </c>
    </row>
    <row r="16" customFormat="false" ht="15" hidden="false" customHeight="true" outlineLevel="0" collapsed="false">
      <c r="A16" s="23" t="n">
        <v>2029</v>
      </c>
      <c r="B16" s="21" t="n">
        <f aca="false">IF($A16&lt;=Model!$B$3,Data!$B$7*Model!$D$59,0)</f>
        <v>193.085782255807</v>
      </c>
      <c r="C16" s="21" t="n">
        <f aca="false">$B16*IF(Model!$B$5=1,Data!$D$7,Model!$AC$59)</f>
        <v>47.8751282768916</v>
      </c>
      <c r="D16" s="21" t="n">
        <f aca="false">$B16*IF(Model!$B$5=1,Data!$E$7,Model!$AD$59)</f>
        <v>61.0102155051777</v>
      </c>
      <c r="E16" s="21" t="n">
        <f aca="false">$B16*IF(Model!$B$5=1,Data!$F$7,Model!$AE$59)</f>
        <v>35.4194421121374</v>
      </c>
      <c r="F16" s="21" t="n">
        <f aca="false">$B16*IF(Model!$B$5=1,Data!$G$7,Model!$AF$59)</f>
        <v>48.7809963616008</v>
      </c>
      <c r="G16" s="21" t="n">
        <f aca="false">$B16*Model!$S$59</f>
        <v>116.901354907713</v>
      </c>
      <c r="H16" s="21" t="n">
        <f aca="false">$B16*Model!$T$59</f>
        <v>29.1908635007605</v>
      </c>
      <c r="I16" s="21" t="n">
        <f aca="false">$B16*Model!$U$59</f>
        <v>13.8424928108765</v>
      </c>
      <c r="J16" s="21" t="n">
        <f aca="false">$B16*Model!$V$59</f>
        <v>13.8424928108765</v>
      </c>
      <c r="K16" s="21" t="n">
        <f aca="false">$B16*Model!$W$59</f>
        <v>13.0920507650127</v>
      </c>
      <c r="L16" s="21" t="n">
        <f aca="false">$B16*Model!$X$59</f>
        <v>3.58786626110526</v>
      </c>
      <c r="M16" s="21" t="n">
        <f aca="false">$B16*Model!$Y$59</f>
        <v>2.05753146810322</v>
      </c>
      <c r="N16" s="21" t="n">
        <f aca="false">$B16*Model!$Z$59</f>
        <v>0.212343105249087</v>
      </c>
      <c r="O16" s="21" t="n">
        <f aca="false">$B16*Model!$AA$59</f>
        <v>0.358786626110526</v>
      </c>
    </row>
    <row r="17" customFormat="false" ht="15" hidden="false" customHeight="true" outlineLevel="0" collapsed="false">
      <c r="A17" s="23" t="n">
        <v>2030</v>
      </c>
      <c r="B17" s="21" t="n">
        <f aca="false">IF($A17&lt;=Model!$B$3,Data!$B$8*Model!$D$59,0)</f>
        <v>193.085782255807</v>
      </c>
      <c r="C17" s="21" t="n">
        <f aca="false">$B17*IF(Model!$B$5=1,Data!$D$8,Model!$AC$59)</f>
        <v>47.7957532331949</v>
      </c>
      <c r="D17" s="21" t="n">
        <f aca="false">$B17*IF(Model!$B$5=1,Data!$E$8,Model!$AD$59)</f>
        <v>60.118449801374</v>
      </c>
      <c r="E17" s="21" t="n">
        <f aca="false">$B17*IF(Model!$B$5=1,Data!$F$8,Model!$AE$59)</f>
        <v>35.4730566650158</v>
      </c>
      <c r="F17" s="21" t="n">
        <f aca="false">$B17*IF(Model!$B$5=1,Data!$G$8,Model!$AF$59)</f>
        <v>49.6985225562226</v>
      </c>
      <c r="G17" s="21" t="n">
        <f aca="false">$B17*Model!$S$59</f>
        <v>116.901354907713</v>
      </c>
      <c r="H17" s="21" t="n">
        <f aca="false">$B17*Model!$T$59</f>
        <v>29.1908635007605</v>
      </c>
      <c r="I17" s="21" t="n">
        <f aca="false">$B17*Model!$U$59</f>
        <v>13.8424928108765</v>
      </c>
      <c r="J17" s="21" t="n">
        <f aca="false">$B17*Model!$V$59</f>
        <v>13.8424928108765</v>
      </c>
      <c r="K17" s="21" t="n">
        <f aca="false">$B17*Model!$W$59</f>
        <v>13.0920507650127</v>
      </c>
      <c r="L17" s="21" t="n">
        <f aca="false">$B17*Model!$X$59</f>
        <v>3.58786626110526</v>
      </c>
      <c r="M17" s="21" t="n">
        <f aca="false">$B17*Model!$Y$59</f>
        <v>2.05753146810322</v>
      </c>
      <c r="N17" s="21" t="n">
        <f aca="false">$B17*Model!$Z$59</f>
        <v>0.212343105249087</v>
      </c>
      <c r="O17" s="21" t="n">
        <f aca="false">$B17*Model!$AA$59</f>
        <v>0.358786626110526</v>
      </c>
    </row>
    <row r="18" customFormat="false" ht="15" hidden="false" customHeight="true" outlineLevel="0" collapsed="false">
      <c r="A18" s="23" t="n">
        <v>2031</v>
      </c>
      <c r="B18" s="21" t="n">
        <f aca="false">IF($A18&lt;=Model!$B$3,Data!$B$9*Model!$D$59,0)</f>
        <v>98.1961003824984</v>
      </c>
      <c r="C18" s="21" t="n">
        <f aca="false">$B18*IF(Model!$B$5=1,Data!$D$9,Model!$AC$59)</f>
        <v>22.6919955219703</v>
      </c>
      <c r="D18" s="21" t="n">
        <f aca="false">$B18*IF(Model!$B$5=1,Data!$E$9,Model!$AD$59)</f>
        <v>29.8483533911746</v>
      </c>
      <c r="E18" s="21" t="n">
        <f aca="false">$B18*IF(Model!$B$5=1,Data!$F$9,Model!$AE$59)</f>
        <v>18.6608825450136</v>
      </c>
      <c r="F18" s="21" t="n">
        <f aca="false">$B18*IF(Model!$B$5=1,Data!$G$9,Model!$AF$59)</f>
        <v>26.99486892434</v>
      </c>
      <c r="G18" s="21" t="n">
        <f aca="false">$B18*Model!$S$59</f>
        <v>59.4515921745067</v>
      </c>
      <c r="H18" s="21" t="n">
        <f aca="false">$B18*Model!$T$59</f>
        <v>14.8453652520875</v>
      </c>
      <c r="I18" s="21" t="n">
        <f aca="false">$B18*Model!$U$59</f>
        <v>7.03976645882719</v>
      </c>
      <c r="J18" s="21" t="n">
        <f aca="false">$B18*Model!$V$59</f>
        <v>7.03976645882719</v>
      </c>
      <c r="K18" s="21" t="n">
        <f aca="false">$B18*Model!$W$59</f>
        <v>6.65812011694756</v>
      </c>
      <c r="L18" s="21" t="n">
        <f aca="false">$B18*Model!$X$59</f>
        <v>1.82465260475632</v>
      </c>
      <c r="M18" s="21" t="n">
        <f aca="false">$B18*Model!$Y$59</f>
        <v>1.04638241211536</v>
      </c>
      <c r="N18" s="21" t="n">
        <f aca="false">$B18*Model!$Z$59</f>
        <v>0.107989643954966</v>
      </c>
      <c r="O18" s="21" t="n">
        <f aca="false">$B18*Model!$AA$59</f>
        <v>0.182465260475632</v>
      </c>
    </row>
    <row r="19" customFormat="false" ht="15" hidden="false" customHeight="true" outlineLevel="0" collapsed="false">
      <c r="A19" s="23" t="n">
        <v>2032</v>
      </c>
      <c r="B19" s="21" t="n">
        <f aca="false">IF($A19&lt;=Model!$B$3,Data!$B$10*Model!$D$59,0)</f>
        <v>98.1961003824984</v>
      </c>
      <c r="C19" s="21" t="n">
        <f aca="false">$B19*IF(Model!$B$5=1,Data!$D$10,Model!$AC$59)</f>
        <v>21.8314208414965</v>
      </c>
      <c r="D19" s="21" t="n">
        <f aca="false">$B19*IF(Model!$B$5=1,Data!$E$10,Model!$AD$59)</f>
        <v>29.2595391361134</v>
      </c>
      <c r="E19" s="21" t="n">
        <f aca="false">$B19*IF(Model!$B$5=1,Data!$F$10,Model!$AE$59)</f>
        <v>18.9779363746619</v>
      </c>
      <c r="F19" s="21" t="n">
        <f aca="false">$B19*IF(Model!$B$5=1,Data!$G$10,Model!$AF$59)</f>
        <v>28.1272040302267</v>
      </c>
      <c r="G19" s="21" t="n">
        <f aca="false">$B19*Model!$S$59</f>
        <v>59.4515921745067</v>
      </c>
      <c r="H19" s="21" t="n">
        <f aca="false">$B19*Model!$T$59</f>
        <v>14.8453652520875</v>
      </c>
      <c r="I19" s="21" t="n">
        <f aca="false">$B19*Model!$U$59</f>
        <v>7.03976645882719</v>
      </c>
      <c r="J19" s="21" t="n">
        <f aca="false">$B19*Model!$V$59</f>
        <v>7.03976645882719</v>
      </c>
      <c r="K19" s="21" t="n">
        <f aca="false">$B19*Model!$W$59</f>
        <v>6.65812011694756</v>
      </c>
      <c r="L19" s="21" t="n">
        <f aca="false">$B19*Model!$X$59</f>
        <v>1.82465260475632</v>
      </c>
      <c r="M19" s="21" t="n">
        <f aca="false">$B19*Model!$Y$59</f>
        <v>1.04638241211536</v>
      </c>
      <c r="N19" s="21" t="n">
        <f aca="false">$B19*Model!$Z$59</f>
        <v>0.107989643954966</v>
      </c>
      <c r="O19" s="21" t="n">
        <f aca="false">$B19*Model!$AA$59</f>
        <v>0.182465260475632</v>
      </c>
    </row>
    <row r="20" customFormat="false" ht="15" hidden="false" customHeight="true" outlineLevel="0" collapsed="false">
      <c r="A20" s="23" t="n">
        <v>2033</v>
      </c>
      <c r="B20" s="21" t="n">
        <f aca="false">IF($A20&lt;=Model!$B$3,Data!$B$11*Model!$D$59,0)</f>
        <v>98.1961003824984</v>
      </c>
      <c r="C20" s="21" t="n">
        <f aca="false">$B20*IF(Model!$B$5=1,Data!$D$11,Model!$AC$59)</f>
        <v>21.6602381092913</v>
      </c>
      <c r="D20" s="21" t="n">
        <f aca="false">$B20*IF(Model!$B$5=1,Data!$E$11,Model!$AD$59)</f>
        <v>29.3636700728467</v>
      </c>
      <c r="E20" s="21" t="n">
        <f aca="false">$B20*IF(Model!$B$5=1,Data!$F$11,Model!$AE$59)</f>
        <v>18.9866940748809</v>
      </c>
      <c r="F20" s="21" t="n">
        <f aca="false">$B20*IF(Model!$B$5=1,Data!$G$11,Model!$AF$59)</f>
        <v>28.1854981254795</v>
      </c>
      <c r="G20" s="21" t="n">
        <f aca="false">$B20*Model!$S$59</f>
        <v>59.4515921745067</v>
      </c>
      <c r="H20" s="21" t="n">
        <f aca="false">$B20*Model!$T$59</f>
        <v>14.8453652520875</v>
      </c>
      <c r="I20" s="21" t="n">
        <f aca="false">$B20*Model!$U$59</f>
        <v>7.03976645882719</v>
      </c>
      <c r="J20" s="21" t="n">
        <f aca="false">$B20*Model!$V$59</f>
        <v>7.03976645882719</v>
      </c>
      <c r="K20" s="21" t="n">
        <f aca="false">$B20*Model!$W$59</f>
        <v>6.65812011694756</v>
      </c>
      <c r="L20" s="21" t="n">
        <f aca="false">$B20*Model!$X$59</f>
        <v>1.82465260475632</v>
      </c>
      <c r="M20" s="21" t="n">
        <f aca="false">$B20*Model!$Y$59</f>
        <v>1.04638241211536</v>
      </c>
      <c r="N20" s="21" t="n">
        <f aca="false">$B20*Model!$Z$59</f>
        <v>0.107989643954966</v>
      </c>
      <c r="O20" s="21" t="n">
        <f aca="false">$B20*Model!$AA$59</f>
        <v>0.182465260475632</v>
      </c>
    </row>
    <row r="21" customFormat="false" ht="15" hidden="false" customHeight="true" outlineLevel="0" collapsed="false">
      <c r="A21" s="23" t="n">
        <v>2034</v>
      </c>
      <c r="B21" s="21" t="n">
        <f aca="false">IF($A21&lt;=Model!$B$3,Data!$B$12*Model!$D$59,0)</f>
        <v>98.1961003824984</v>
      </c>
      <c r="C21" s="21" t="n">
        <f aca="false">$B21*IF(Model!$B$5=1,Data!$D$12,Model!$AC$59)</f>
        <v>21.4690736076127</v>
      </c>
      <c r="D21" s="21" t="n">
        <f aca="false">$B21*IF(Model!$B$5=1,Data!$E$12,Model!$AD$59)</f>
        <v>29.4407127530554</v>
      </c>
      <c r="E21" s="21" t="n">
        <f aca="false">$B21*IF(Model!$B$5=1,Data!$F$12,Model!$AE$59)</f>
        <v>18.9779363746619</v>
      </c>
      <c r="F21" s="21" t="n">
        <f aca="false">$B21*IF(Model!$B$5=1,Data!$G$12,Model!$AF$59)</f>
        <v>28.3083776471685</v>
      </c>
      <c r="G21" s="21" t="n">
        <f aca="false">$B21*Model!$S$59</f>
        <v>59.4515921745067</v>
      </c>
      <c r="H21" s="21" t="n">
        <f aca="false">$B21*Model!$T$59</f>
        <v>14.8453652520875</v>
      </c>
      <c r="I21" s="21" t="n">
        <f aca="false">$B21*Model!$U$59</f>
        <v>7.03976645882719</v>
      </c>
      <c r="J21" s="21" t="n">
        <f aca="false">$B21*Model!$V$59</f>
        <v>7.03976645882719</v>
      </c>
      <c r="K21" s="21" t="n">
        <f aca="false">$B21*Model!$W$59</f>
        <v>6.65812011694756</v>
      </c>
      <c r="L21" s="21" t="n">
        <f aca="false">$B21*Model!$X$59</f>
        <v>1.82465260475632</v>
      </c>
      <c r="M21" s="21" t="n">
        <f aca="false">$B21*Model!$Y$59</f>
        <v>1.04638241211536</v>
      </c>
      <c r="N21" s="21" t="n">
        <f aca="false">$B21*Model!$Z$59</f>
        <v>0.107989643954966</v>
      </c>
      <c r="O21" s="21" t="n">
        <f aca="false">$B21*Model!$AA$59</f>
        <v>0.182465260475632</v>
      </c>
    </row>
    <row r="22" customFormat="false" ht="15" hidden="false" customHeight="true" outlineLevel="0" collapsed="false">
      <c r="A22" s="23" t="n">
        <v>2035</v>
      </c>
      <c r="B22" s="21" t="n">
        <f aca="false">IF($A22&lt;=Model!$B$3,Data!$B$13*Model!$D$59,0)</f>
        <v>94.8896818733091</v>
      </c>
      <c r="C22" s="21" t="n">
        <f aca="false">$B22*IF(Model!$B$5=1,Data!$D$13,Model!$AC$59)</f>
        <v>20.3367385017259</v>
      </c>
      <c r="D22" s="21" t="n">
        <f aca="false">$B22*IF(Model!$B$5=1,Data!$E$13,Model!$AD$59)</f>
        <v>28.0366172217557</v>
      </c>
      <c r="E22" s="21" t="n">
        <f aca="false">$B22*IF(Model!$B$5=1,Data!$F$13,Model!$AE$59)</f>
        <v>18.2079485026588</v>
      </c>
      <c r="F22" s="21" t="n">
        <f aca="false">$B22*IF(Model!$B$5=1,Data!$G$13,Model!$AF$59)</f>
        <v>28.3083776471686</v>
      </c>
      <c r="G22" s="21" t="n">
        <f aca="false">$B22*Model!$S$59</f>
        <v>57.4497627332064</v>
      </c>
      <c r="H22" s="21" t="n">
        <f aca="false">$B22*Model!$T$59</f>
        <v>14.3454982486731</v>
      </c>
      <c r="I22" s="21" t="n">
        <f aca="false">$B22*Model!$U$59</f>
        <v>6.80272635204934</v>
      </c>
      <c r="J22" s="21" t="n">
        <f aca="false">$B22*Model!$V$59</f>
        <v>6.80272635204934</v>
      </c>
      <c r="K22" s="21" t="n">
        <f aca="false">$B22*Model!$W$59</f>
        <v>6.4339306480651</v>
      </c>
      <c r="L22" s="21" t="n">
        <f aca="false">$B22*Model!$X$59</f>
        <v>1.76321365634894</v>
      </c>
      <c r="M22" s="21" t="n">
        <f aca="false">$B22*Model!$Y$59</f>
        <v>1.01114905598786</v>
      </c>
      <c r="N22" s="21" t="n">
        <f aca="false">$B22*Model!$Z$59</f>
        <v>0.104353461294121</v>
      </c>
      <c r="O22" s="21" t="n">
        <f aca="false">$B22*Model!$AA$59</f>
        <v>0.176321365634894</v>
      </c>
    </row>
    <row r="23" customFormat="false" ht="15" hidden="false" customHeight="true" outlineLevel="0" collapsed="false">
      <c r="A23" s="23" t="n">
        <v>2036</v>
      </c>
      <c r="B23" s="21" t="n">
        <f aca="false">IF($A23&lt;=Model!$B$3,Data!$B$14*Model!$D$59,0)</f>
        <v>71.8806325216905</v>
      </c>
      <c r="C23" s="21" t="n">
        <f aca="false">$B23*IF(Model!$B$5=1,Data!$D$14,Model!$AC$59)</f>
        <v>17.3399898720539</v>
      </c>
      <c r="D23" s="21" t="n">
        <f aca="false">$B23*IF(Model!$B$5=1,Data!$E$14,Model!$AD$59)</f>
        <v>22.3029150001841</v>
      </c>
      <c r="E23" s="21" t="n">
        <f aca="false">$B23*IF(Model!$B$5=1,Data!$F$14,Model!$AE$59)</f>
        <v>13.4413489136131</v>
      </c>
      <c r="F23" s="21" t="n">
        <f aca="false">$B23*IF(Model!$B$5=1,Data!$G$14,Model!$AF$59)</f>
        <v>18.7963787358393</v>
      </c>
      <c r="G23" s="21" t="n">
        <f aca="false">$B23*Model!$S$59</f>
        <v>43.5192236074456</v>
      </c>
      <c r="H23" s="21" t="n">
        <f aca="false">$B23*Model!$T$59</f>
        <v>10.8669717043648</v>
      </c>
      <c r="I23" s="21" t="n">
        <f aca="false">$B23*Model!$U$59</f>
        <v>5.15318697885551</v>
      </c>
      <c r="J23" s="21" t="n">
        <f aca="false">$B23*Model!$V$59</f>
        <v>5.15318697885551</v>
      </c>
      <c r="K23" s="21" t="n">
        <f aca="false">$B23*Model!$W$59</f>
        <v>4.87381763173237</v>
      </c>
      <c r="L23" s="21" t="n">
        <f aca="false">$B23*Model!$X$59</f>
        <v>1.33566590578795</v>
      </c>
      <c r="M23" s="21" t="n">
        <f aca="false">$B23*Model!$Y$59</f>
        <v>0.765963509237581</v>
      </c>
      <c r="N23" s="21" t="n">
        <f aca="false">$B23*Model!$Z$59</f>
        <v>0.0790496148323483</v>
      </c>
      <c r="O23" s="21" t="n">
        <f aca="false">$B23*Model!$AA$59</f>
        <v>0.133566590578795</v>
      </c>
    </row>
    <row r="24" customFormat="false" ht="15" hidden="false" customHeight="true" outlineLevel="0" collapsed="false">
      <c r="A24" s="23" t="n">
        <v>2037</v>
      </c>
      <c r="B24" s="21" t="n">
        <f aca="false">IF($A24&lt;=Model!$B$3,Data!$B$15*Model!$D$59,0)</f>
        <v>71.2918182666294</v>
      </c>
      <c r="C24" s="21" t="n">
        <f aca="false">$B24*IF(Model!$B$5=1,Data!$D$15,Model!$AC$59)</f>
        <v>17.1979483671159</v>
      </c>
      <c r="D24" s="21" t="n">
        <f aca="false">$B24*IF(Model!$B$5=1,Data!$E$15,Model!$AD$59)</f>
        <v>22.1202194141713</v>
      </c>
      <c r="E24" s="21" t="n">
        <f aca="false">$B24*IF(Model!$B$5=1,Data!$F$15,Model!$AE$59)</f>
        <v>13.3312433459527</v>
      </c>
      <c r="F24" s="21" t="n">
        <f aca="false">$B24*IF(Model!$B$5=1,Data!$G$15,Model!$AF$59)</f>
        <v>18.6424071393895</v>
      </c>
      <c r="G24" s="21" t="n">
        <f aca="false">$B24*Model!$S$59</f>
        <v>43.1627334329675</v>
      </c>
      <c r="H24" s="21" t="n">
        <f aca="false">$B24*Model!$T$59</f>
        <v>10.7779542927978</v>
      </c>
      <c r="I24" s="21" t="n">
        <f aca="false">$B24*Model!$U$59</f>
        <v>5.11097435710055</v>
      </c>
      <c r="J24" s="21" t="n">
        <f aca="false">$B24*Model!$V$59</f>
        <v>5.11097435710055</v>
      </c>
      <c r="K24" s="21" t="n">
        <f aca="false">$B24*Model!$W$59</f>
        <v>4.8338934797396</v>
      </c>
      <c r="L24" s="21" t="n">
        <f aca="false">$B24*Model!$X$59</f>
        <v>1.32472472319486</v>
      </c>
      <c r="M24" s="21" t="n">
        <f aca="false">$B24*Model!$Y$59</f>
        <v>0.759689075954602</v>
      </c>
      <c r="N24" s="21" t="n">
        <f aca="false">$B24*Model!$Z$59</f>
        <v>0.0784020754543895</v>
      </c>
      <c r="O24" s="21" t="n">
        <f aca="false">$B24*Model!$AA$59</f>
        <v>0.132472472319486</v>
      </c>
    </row>
    <row r="25" customFormat="false" ht="15" hidden="false" customHeight="true" outlineLevel="0" collapsed="false">
      <c r="A25" s="23" t="n">
        <v>2038</v>
      </c>
      <c r="B25" s="21" t="n">
        <f aca="false">IF($A25&lt;=Model!$B$3,Data!$B$16*Model!$D$59,0)</f>
        <v>70.4312435861554</v>
      </c>
      <c r="C25" s="21" t="n">
        <f aca="false">$B25*IF(Model!$B$5=1,Data!$D$16,Model!$AC$59)</f>
        <v>16.9903492445142</v>
      </c>
      <c r="D25" s="21" t="n">
        <f aca="false">$B25*IF(Model!$B$5=1,Data!$E$16,Model!$AD$59)</f>
        <v>21.8532027884602</v>
      </c>
      <c r="E25" s="21" t="n">
        <f aca="false">$B25*IF(Model!$B$5=1,Data!$F$16,Model!$AE$59)</f>
        <v>13.1703198239876</v>
      </c>
      <c r="F25" s="21" t="n">
        <f aca="false">$B25*IF(Model!$B$5=1,Data!$G$16,Model!$AF$59)</f>
        <v>18.4173717291935</v>
      </c>
      <c r="G25" s="21" t="n">
        <f aca="false">$B25*Model!$S$59</f>
        <v>42.6417093318072</v>
      </c>
      <c r="H25" s="21" t="n">
        <f aca="false">$B25*Model!$T$59</f>
        <v>10.6478519220461</v>
      </c>
      <c r="I25" s="21" t="n">
        <f aca="false">$B25*Model!$U$59</f>
        <v>5.0492789868433</v>
      </c>
      <c r="J25" s="21" t="n">
        <f aca="false">$B25*Model!$V$59</f>
        <v>5.0492789868433</v>
      </c>
      <c r="K25" s="21" t="n">
        <f aca="false">$B25*Model!$W$59</f>
        <v>4.77554279605787</v>
      </c>
      <c r="L25" s="21" t="n">
        <f aca="false">$B25*Model!$X$59</f>
        <v>1.30873376402033</v>
      </c>
      <c r="M25" s="21" t="n">
        <f aca="false">$B25*Model!$Y$59</f>
        <v>0.75051875038717</v>
      </c>
      <c r="N25" s="21" t="n">
        <f aca="false">$B25*Model!$Z$59</f>
        <v>0.0774556717481421</v>
      </c>
      <c r="O25" s="21" t="n">
        <f aca="false">$B25*Model!$AA$59</f>
        <v>0.130873376402033</v>
      </c>
    </row>
    <row r="26" customFormat="false" ht="15" hidden="false" customHeight="true" outlineLevel="0" collapsed="false">
      <c r="A26" s="23" t="n">
        <v>2039</v>
      </c>
      <c r="B26" s="21" t="n">
        <f aca="false">IF($A26&lt;=Model!$B$3,Data!$B$17*Model!$D$59,0)</f>
        <v>69.7971359268589</v>
      </c>
      <c r="C26" s="21" t="n">
        <f aca="false">$B26*IF(Model!$B$5=1,Data!$D$17,Model!$AC$59)</f>
        <v>16.8373814699654</v>
      </c>
      <c r="D26" s="21" t="n">
        <f aca="false">$B26*IF(Model!$B$5=1,Data!$E$17,Model!$AD$59)</f>
        <v>21.6564536958309</v>
      </c>
      <c r="E26" s="21" t="n">
        <f aca="false">$B26*IF(Model!$B$5=1,Data!$F$17,Model!$AE$59)</f>
        <v>13.0517445972765</v>
      </c>
      <c r="F26" s="21" t="n">
        <f aca="false">$B26*IF(Model!$B$5=1,Data!$G$17,Model!$AF$59)</f>
        <v>18.2515561637861</v>
      </c>
      <c r="G26" s="21" t="n">
        <f aca="false">$B26*Model!$S$59</f>
        <v>42.2577968362153</v>
      </c>
      <c r="H26" s="21" t="n">
        <f aca="false">$B26*Model!$T$59</f>
        <v>10.5519870172817</v>
      </c>
      <c r="I26" s="21" t="n">
        <f aca="false">$B26*Model!$U$59</f>
        <v>5.00381924033796</v>
      </c>
      <c r="J26" s="21" t="n">
        <f aca="false">$B26*Model!$V$59</f>
        <v>5.00381924033796</v>
      </c>
      <c r="K26" s="21" t="n">
        <f aca="false">$B26*Model!$W$59</f>
        <v>4.73254755545027</v>
      </c>
      <c r="L26" s="21" t="n">
        <f aca="false">$B26*Model!$X$59</f>
        <v>1.296950951997</v>
      </c>
      <c r="M26" s="21" t="n">
        <f aca="false">$B26*Model!$Y$59</f>
        <v>0.743761668390115</v>
      </c>
      <c r="N26" s="21" t="n">
        <f aca="false">$B26*Model!$Z$59</f>
        <v>0.0767583216488019</v>
      </c>
      <c r="O26" s="21" t="n">
        <f aca="false">$B26*Model!$AA$59</f>
        <v>0.1296950951997</v>
      </c>
    </row>
    <row r="27" customFormat="false" ht="15" hidden="false" customHeight="true" outlineLevel="0" collapsed="false">
      <c r="A27" s="23" t="n">
        <v>2040</v>
      </c>
      <c r="B27" s="21" t="n">
        <f aca="false">IF($A27&lt;=Model!$B$3,Data!$B$18*Model!$D$59,0)</f>
        <v>69.0724414590913</v>
      </c>
      <c r="C27" s="21" t="n">
        <f aca="false">$B27*IF(Model!$B$5=1,Data!$D$18,Model!$AC$59)</f>
        <v>16.6625611561955</v>
      </c>
      <c r="D27" s="21" t="n">
        <f aca="false">$B27*IF(Model!$B$5=1,Data!$E$18,Model!$AD$59)</f>
        <v>21.431597589969</v>
      </c>
      <c r="E27" s="21" t="n">
        <f aca="false">$B27*IF(Model!$B$5=1,Data!$F$18,Model!$AE$59)</f>
        <v>12.9162300524637</v>
      </c>
      <c r="F27" s="21" t="n">
        <f aca="false">$B27*IF(Model!$B$5=1,Data!$G$18,Model!$AF$59)</f>
        <v>18.0620526604631</v>
      </c>
      <c r="G27" s="21" t="n">
        <f aca="false">$B27*Model!$S$59</f>
        <v>41.8190396983961</v>
      </c>
      <c r="H27" s="21" t="n">
        <f aca="false">$B27*Model!$T$59</f>
        <v>10.4424271261224</v>
      </c>
      <c r="I27" s="21" t="n">
        <f aca="false">$B27*Model!$U$59</f>
        <v>4.95186524433186</v>
      </c>
      <c r="J27" s="21" t="n">
        <f aca="false">$B27*Model!$V$59</f>
        <v>4.95186524433186</v>
      </c>
      <c r="K27" s="21" t="n">
        <f aca="false">$B27*Model!$W$59</f>
        <v>4.68341013761302</v>
      </c>
      <c r="L27" s="21" t="n">
        <f aca="false">$B27*Model!$X$59</f>
        <v>1.28348488111319</v>
      </c>
      <c r="M27" s="21" t="n">
        <f aca="false">$B27*Model!$Y$59</f>
        <v>0.73603928896491</v>
      </c>
      <c r="N27" s="21" t="n">
        <f aca="false">$B27*Model!$Z$59</f>
        <v>0.0759613501066989</v>
      </c>
      <c r="O27" s="21" t="n">
        <f aca="false">$B27*Model!$AA$59</f>
        <v>0.128348488111319</v>
      </c>
    </row>
    <row r="28" customFormat="false" ht="15" hidden="false" customHeight="true" outlineLevel="0" collapsed="false">
      <c r="A28" s="24" t="s">
        <v>122</v>
      </c>
      <c r="B28" s="25" t="n">
        <f aca="false">SUM(B13:B27)</f>
        <v>1805.57626644277</v>
      </c>
      <c r="C28" s="25" t="n">
        <f aca="false">SUM(C13:C27)</f>
        <v>435.563334596697</v>
      </c>
      <c r="D28" s="25" t="n">
        <f aca="false">SUM(D13:D27)</f>
        <v>560.228247428127</v>
      </c>
      <c r="E28" s="25" t="n">
        <f aca="false">SUM(E13:E27)</f>
        <v>337.634720534307</v>
      </c>
      <c r="F28" s="25" t="n">
        <f aca="false">SUM(F13:F27)</f>
        <v>472.149963883635</v>
      </c>
      <c r="G28" s="25" t="n">
        <f aca="false">SUM(G13:G27)</f>
        <v>1093.16340887663</v>
      </c>
      <c r="H28" s="25" t="n">
        <f aca="false">SUM(H13:H27)</f>
        <v>272.968468823438</v>
      </c>
      <c r="I28" s="25" t="n">
        <f aca="false">SUM(I13:I27)</f>
        <v>129.44338104921</v>
      </c>
      <c r="J28" s="25" t="n">
        <f aca="false">SUM(J13:J27)</f>
        <v>129.44338104921</v>
      </c>
      <c r="K28" s="25" t="n">
        <f aca="false">SUM(K13:K27)</f>
        <v>122.425876541512</v>
      </c>
      <c r="L28" s="25" t="n">
        <f aca="false">SUM(L13:L27)</f>
        <v>33.5507156070139</v>
      </c>
      <c r="M28" s="25" t="n">
        <f aca="false">SUM(M13:M27)</f>
        <v>19.2403083378998</v>
      </c>
      <c r="N28" s="25" t="n">
        <f aca="false">SUM(N13:N27)</f>
        <v>1.9856545971498</v>
      </c>
      <c r="O28" s="25" t="n">
        <f aca="false">SUM(O13:O27)</f>
        <v>3.35507156070138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Data!$H$36*Data!$M$36/SUM(Data!$H$36:$K$36)</f>
        <v>130.531941544885</v>
      </c>
      <c r="C34" s="22" t="n">
        <f aca="false">IF($B$38&gt;0,B34/$B$38,0)</f>
        <v>0.0488517745302714</v>
      </c>
      <c r="D34" s="21" t="n">
        <f aca="false">C28</f>
        <v>435.563334596697</v>
      </c>
      <c r="E34" s="22" t="n">
        <f aca="false">IF($D$38&gt;0,D34/$D$38,0)</f>
        <v>0.241232310532536</v>
      </c>
      <c r="F34" s="21" t="n">
        <f aca="false">B34+D34</f>
        <v>566.095276141582</v>
      </c>
      <c r="G34" s="22" t="n">
        <f aca="false">IF($F$38&gt;0,F34/$F$38,0)</f>
        <v>0.126428952284786</v>
      </c>
    </row>
    <row r="35" customFormat="false" ht="15" hidden="false" customHeight="true" outlineLevel="0" collapsed="false">
      <c r="A35" s="13" t="s">
        <v>110</v>
      </c>
      <c r="B35" s="21" t="n">
        <f aca="false">Data!$I$36*Data!$M$36/SUM(Data!$H$36:$K$36)</f>
        <v>466.344885177453</v>
      </c>
      <c r="C35" s="22" t="n">
        <f aca="false">IF($B$38&gt;0,B35/$B$38,0)</f>
        <v>0.174530271398747</v>
      </c>
      <c r="D35" s="21" t="n">
        <f aca="false">D28</f>
        <v>560.228247428127</v>
      </c>
      <c r="E35" s="22" t="n">
        <f aca="false">IF($D$38&gt;0,D35/$D$38,0)</f>
        <v>0.310276701040081</v>
      </c>
      <c r="F35" s="21" t="n">
        <f aca="false">B35+D35</f>
        <v>1026.57313260558</v>
      </c>
      <c r="G35" s="22" t="n">
        <f aca="false">IF($F$38&gt;0,F35/$F$38,0)</f>
        <v>0.229269826244891</v>
      </c>
    </row>
    <row r="36" customFormat="false" ht="15" hidden="false" customHeight="true" outlineLevel="0" collapsed="false">
      <c r="A36" s="13" t="s">
        <v>111</v>
      </c>
      <c r="B36" s="21" t="n">
        <f aca="false">Data!$J$36*Data!$M$36/SUM(Data!$H$36:$K$36)</f>
        <v>1362.21795407098</v>
      </c>
      <c r="C36" s="22" t="n">
        <f aca="false">IF($B$38&gt;0,B36/$B$38,0)</f>
        <v>0.509812108559499</v>
      </c>
      <c r="D36" s="21" t="n">
        <f aca="false">E28</f>
        <v>337.634720534307</v>
      </c>
      <c r="E36" s="22" t="n">
        <f aca="false">IF($D$38&gt;0,D36/$D$38,0)</f>
        <v>0.186995546413275</v>
      </c>
      <c r="F36" s="21" t="n">
        <f aca="false">B36+D36</f>
        <v>1699.85267460529</v>
      </c>
      <c r="G36" s="22" t="n">
        <f aca="false">IF($F$38&gt;0,F36/$F$38,0)</f>
        <v>0.379636788622641</v>
      </c>
    </row>
    <row r="37" customFormat="false" ht="15" hidden="false" customHeight="true" outlineLevel="0" collapsed="false">
      <c r="A37" s="13" t="s">
        <v>112</v>
      </c>
      <c r="B37" s="21" t="n">
        <f aca="false">Data!$K$36*Data!$M$36/SUM(Data!$H$36:$K$36)</f>
        <v>712.905219206681</v>
      </c>
      <c r="C37" s="22" t="n">
        <f aca="false">IF($B$38&gt;0,B37/$B$38,0)</f>
        <v>0.266805845511482</v>
      </c>
      <c r="D37" s="21" t="n">
        <f aca="false">F28</f>
        <v>472.149963883635</v>
      </c>
      <c r="E37" s="22" t="n">
        <f aca="false">IF($D$38&gt;0,D37/$D$38,0)</f>
        <v>0.261495442014109</v>
      </c>
      <c r="F37" s="21" t="n">
        <f aca="false">B37+D37</f>
        <v>1185.05518309032</v>
      </c>
      <c r="G37" s="22" t="n">
        <f aca="false">IF($F$38&gt;0,F37/$F$38,0)</f>
        <v>0.264664432847682</v>
      </c>
    </row>
    <row r="38" customFormat="false" ht="15" hidden="false" customHeight="true" outlineLevel="0" collapsed="false">
      <c r="A38" s="24" t="s">
        <v>61</v>
      </c>
      <c r="B38" s="25" t="n">
        <f aca="false">SUM(B34:B37)</f>
        <v>2672</v>
      </c>
      <c r="C38" s="27" t="n">
        <f aca="false">SUM(C34:C37)</f>
        <v>1</v>
      </c>
      <c r="D38" s="25" t="n">
        <f aca="false">SUM(D34:D37)</f>
        <v>1805.57626644277</v>
      </c>
      <c r="E38" s="27" t="n">
        <f aca="false">SUM(E34:E37)</f>
        <v>1</v>
      </c>
      <c r="F38" s="25" t="n">
        <f aca="false">SUM(F34:F37)</f>
        <v>4477.57626644277</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187</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398</v>
      </c>
      <c r="C4" s="77"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103</v>
      </c>
      <c r="C6" s="15" t="n">
        <f aca="false">Model!$Q$60</f>
        <v>0.1</v>
      </c>
    </row>
    <row r="7" customFormat="false" ht="15" hidden="false" customHeight="true" outlineLevel="0" collapsed="false">
      <c r="A7" s="13" t="s">
        <v>104</v>
      </c>
      <c r="C7" s="15" t="n">
        <f aca="false">Model!$G$60</f>
        <v>0.31382</v>
      </c>
    </row>
    <row r="8" customFormat="false" ht="15" hidden="false" customHeight="true" outlineLevel="0" collapsed="false">
      <c r="A8" s="13" t="s">
        <v>105</v>
      </c>
      <c r="C8" s="15" t="n">
        <f aca="false">Model!$R$60</f>
        <v>0.217590585390472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IF($A13&lt;=Model!$B$3,Data!$B$4*Model!$D$60,0)</f>
        <v>40.1682059893647</v>
      </c>
      <c r="C13" s="21" t="n">
        <f aca="false">$B13*IF(Model!$B$5=1,Data!$D$4,Model!$AC$60)</f>
        <v>10.3906030033465</v>
      </c>
      <c r="D13" s="21" t="n">
        <f aca="false">$B13*IF(Model!$B$5=1,Data!$E$4,Model!$AD$60)</f>
        <v>12.717419813706</v>
      </c>
      <c r="E13" s="21" t="n">
        <f aca="false">$B13*IF(Model!$B$5=1,Data!$F$4,Model!$AE$60)</f>
        <v>7.43262535778818</v>
      </c>
      <c r="F13" s="21" t="n">
        <f aca="false">$B13*IF(Model!$B$5=1,Data!$G$4,Model!$AF$60)</f>
        <v>9.62755781452407</v>
      </c>
      <c r="G13" s="21" t="n">
        <f aca="false">$B13*Model!$S$60</f>
        <v>24.3193343886283</v>
      </c>
      <c r="H13" s="21" t="n">
        <f aca="false">$B13*Model!$T$60</f>
        <v>6.07266161395842</v>
      </c>
      <c r="I13" s="21" t="n">
        <f aca="false">$B13*Model!$U$60</f>
        <v>2.87969469392076</v>
      </c>
      <c r="J13" s="21" t="n">
        <f aca="false">$B13*Model!$V$60</f>
        <v>2.87969469392076</v>
      </c>
      <c r="K13" s="21" t="n">
        <f aca="false">$B13*Model!$W$60</f>
        <v>2.72357801702632</v>
      </c>
      <c r="L13" s="21" t="n">
        <f aca="false">$B13*Model!$X$60</f>
        <v>0.746394423010569</v>
      </c>
      <c r="M13" s="21" t="n">
        <f aca="false">$B13*Model!$Y$60</f>
        <v>0.428034352787693</v>
      </c>
      <c r="N13" s="21" t="n">
        <f aca="false">$B13*Model!$Z$60</f>
        <v>0.0441743638108296</v>
      </c>
      <c r="O13" s="21" t="n">
        <f aca="false">$B13*Model!$AA$60</f>
        <v>0.0746394423010569</v>
      </c>
    </row>
    <row r="14" customFormat="false" ht="15" hidden="false" customHeight="true" outlineLevel="0" collapsed="false">
      <c r="A14" s="23" t="n">
        <v>2027</v>
      </c>
      <c r="B14" s="21" t="n">
        <f aca="false">IF($A14&lt;=Model!$B$3,Data!$B$5*Model!$D$60,0)</f>
        <v>40.1682059893647</v>
      </c>
      <c r="C14" s="21" t="n">
        <f aca="false">$B14*IF(Model!$B$5=1,Data!$D$5,Model!$AC$60)</f>
        <v>10.0985733631799</v>
      </c>
      <c r="D14" s="21" t="n">
        <f aca="false">$B14*IF(Model!$B$5=1,Data!$E$5,Model!$AD$60)</f>
        <v>12.7551010575984</v>
      </c>
      <c r="E14" s="21" t="n">
        <f aca="false">$B14*IF(Model!$B$5=1,Data!$F$5,Model!$AE$60)</f>
        <v>7.41378473584195</v>
      </c>
      <c r="F14" s="21" t="n">
        <f aca="false">$B14*IF(Model!$B$5=1,Data!$G$5,Model!$AF$60)</f>
        <v>9.90074683274443</v>
      </c>
      <c r="G14" s="21" t="n">
        <f aca="false">$B14*Model!$S$60</f>
        <v>24.3193343886283</v>
      </c>
      <c r="H14" s="21" t="n">
        <f aca="false">$B14*Model!$T$60</f>
        <v>6.07266161395842</v>
      </c>
      <c r="I14" s="21" t="n">
        <f aca="false">$B14*Model!$U$60</f>
        <v>2.87969469392076</v>
      </c>
      <c r="J14" s="21" t="n">
        <f aca="false">$B14*Model!$V$60</f>
        <v>2.87969469392076</v>
      </c>
      <c r="K14" s="21" t="n">
        <f aca="false">$B14*Model!$W$60</f>
        <v>2.72357801702632</v>
      </c>
      <c r="L14" s="21" t="n">
        <f aca="false">$B14*Model!$X$60</f>
        <v>0.746394423010569</v>
      </c>
      <c r="M14" s="21" t="n">
        <f aca="false">$B14*Model!$Y$60</f>
        <v>0.428034352787693</v>
      </c>
      <c r="N14" s="21" t="n">
        <f aca="false">$B14*Model!$Z$60</f>
        <v>0.0441743638108296</v>
      </c>
      <c r="O14" s="21" t="n">
        <f aca="false">$B14*Model!$AA$60</f>
        <v>0.0746394423010569</v>
      </c>
    </row>
    <row r="15" customFormat="false" ht="15" hidden="false" customHeight="true" outlineLevel="0" collapsed="false">
      <c r="A15" s="23" t="n">
        <v>2028</v>
      </c>
      <c r="B15" s="21" t="n">
        <f aca="false">IF($A15&lt;=Model!$B$3,Data!$B$6*Model!$D$60,0)</f>
        <v>40.1682059893647</v>
      </c>
      <c r="C15" s="21" t="n">
        <f aca="false">$B15*IF(Model!$B$5=1,Data!$D$6,Model!$AC$60)</f>
        <v>10.0656133262885</v>
      </c>
      <c r="D15" s="21" t="n">
        <f aca="false">$B15*IF(Model!$B$5=1,Data!$E$6,Model!$AD$60)</f>
        <v>12.7610865578601</v>
      </c>
      <c r="E15" s="21" t="n">
        <f aca="false">$B15*IF(Model!$B$5=1,Data!$F$6,Model!$AE$60)</f>
        <v>7.41726375261145</v>
      </c>
      <c r="F15" s="21" t="n">
        <f aca="false">$B15*IF(Model!$B$5=1,Data!$G$6,Model!$AF$60)</f>
        <v>9.92424235260464</v>
      </c>
      <c r="G15" s="21" t="n">
        <f aca="false">$B15*Model!$S$60</f>
        <v>24.3193343886283</v>
      </c>
      <c r="H15" s="21" t="n">
        <f aca="false">$B15*Model!$T$60</f>
        <v>6.07266161395842</v>
      </c>
      <c r="I15" s="21" t="n">
        <f aca="false">$B15*Model!$U$60</f>
        <v>2.87969469392076</v>
      </c>
      <c r="J15" s="21" t="n">
        <f aca="false">$B15*Model!$V$60</f>
        <v>2.87969469392076</v>
      </c>
      <c r="K15" s="21" t="n">
        <f aca="false">$B15*Model!$W$60</f>
        <v>2.72357801702632</v>
      </c>
      <c r="L15" s="21" t="n">
        <f aca="false">$B15*Model!$X$60</f>
        <v>0.746394423010569</v>
      </c>
      <c r="M15" s="21" t="n">
        <f aca="false">$B15*Model!$Y$60</f>
        <v>0.428034352787693</v>
      </c>
      <c r="N15" s="21" t="n">
        <f aca="false">$B15*Model!$Z$60</f>
        <v>0.0441743638108296</v>
      </c>
      <c r="O15" s="21" t="n">
        <f aca="false">$B15*Model!$AA$60</f>
        <v>0.0746394423010569</v>
      </c>
    </row>
    <row r="16" customFormat="false" ht="15" hidden="false" customHeight="true" outlineLevel="0" collapsed="false">
      <c r="A16" s="23" t="n">
        <v>2029</v>
      </c>
      <c r="B16" s="21" t="n">
        <f aca="false">IF($A16&lt;=Model!$B$3,Data!$B$7*Model!$D$60,0)</f>
        <v>40.1682059893647</v>
      </c>
      <c r="C16" s="21" t="n">
        <f aca="false">$B16*IF(Model!$B$5=1,Data!$D$7,Model!$AC$60)</f>
        <v>9.95960444071277</v>
      </c>
      <c r="D16" s="21" t="n">
        <f aca="false">$B16*IF(Model!$B$5=1,Data!$E$7,Model!$AD$60)</f>
        <v>12.6921354603974</v>
      </c>
      <c r="E16" s="21" t="n">
        <f aca="false">$B16*IF(Model!$B$5=1,Data!$F$7,Model!$AE$60)</f>
        <v>7.36841123239109</v>
      </c>
      <c r="F16" s="21" t="n">
        <f aca="false">$B16*IF(Model!$B$5=1,Data!$G$7,Model!$AF$60)</f>
        <v>10.1480548558634</v>
      </c>
      <c r="G16" s="21" t="n">
        <f aca="false">$B16*Model!$S$60</f>
        <v>24.3193343886283</v>
      </c>
      <c r="H16" s="21" t="n">
        <f aca="false">$B16*Model!$T$60</f>
        <v>6.07266161395842</v>
      </c>
      <c r="I16" s="21" t="n">
        <f aca="false">$B16*Model!$U$60</f>
        <v>2.87969469392076</v>
      </c>
      <c r="J16" s="21" t="n">
        <f aca="false">$B16*Model!$V$60</f>
        <v>2.87969469392076</v>
      </c>
      <c r="K16" s="21" t="n">
        <f aca="false">$B16*Model!$W$60</f>
        <v>2.72357801702632</v>
      </c>
      <c r="L16" s="21" t="n">
        <f aca="false">$B16*Model!$X$60</f>
        <v>0.746394423010569</v>
      </c>
      <c r="M16" s="21" t="n">
        <f aca="false">$B16*Model!$Y$60</f>
        <v>0.428034352787693</v>
      </c>
      <c r="N16" s="21" t="n">
        <f aca="false">$B16*Model!$Z$60</f>
        <v>0.0441743638108296</v>
      </c>
      <c r="O16" s="21" t="n">
        <f aca="false">$B16*Model!$AA$60</f>
        <v>0.0746394423010569</v>
      </c>
    </row>
    <row r="17" customFormat="false" ht="15" hidden="false" customHeight="true" outlineLevel="0" collapsed="false">
      <c r="A17" s="23" t="n">
        <v>2030</v>
      </c>
      <c r="B17" s="21" t="n">
        <f aca="false">IF($A17&lt;=Model!$B$3,Data!$B$8*Model!$D$60,0)</f>
        <v>40.1682059893647</v>
      </c>
      <c r="C17" s="21" t="n">
        <f aca="false">$B17*IF(Model!$B$5=1,Data!$D$8,Model!$AC$60)</f>
        <v>9.94309181576248</v>
      </c>
      <c r="D17" s="21" t="n">
        <f aca="false">$B17*IF(Model!$B$5=1,Data!$E$8,Model!$AD$60)</f>
        <v>12.5066188052292</v>
      </c>
      <c r="E17" s="21" t="n">
        <f aca="false">$B17*IF(Model!$B$5=1,Data!$F$8,Model!$AE$60)</f>
        <v>7.37956482629576</v>
      </c>
      <c r="F17" s="21" t="n">
        <f aca="false">$B17*IF(Model!$B$5=1,Data!$G$8,Model!$AF$60)</f>
        <v>10.3389305420772</v>
      </c>
      <c r="G17" s="21" t="n">
        <f aca="false">$B17*Model!$S$60</f>
        <v>24.3193343886283</v>
      </c>
      <c r="H17" s="21" t="n">
        <f aca="false">$B17*Model!$T$60</f>
        <v>6.07266161395842</v>
      </c>
      <c r="I17" s="21" t="n">
        <f aca="false">$B17*Model!$U$60</f>
        <v>2.87969469392076</v>
      </c>
      <c r="J17" s="21" t="n">
        <f aca="false">$B17*Model!$V$60</f>
        <v>2.87969469392076</v>
      </c>
      <c r="K17" s="21" t="n">
        <f aca="false">$B17*Model!$W$60</f>
        <v>2.72357801702632</v>
      </c>
      <c r="L17" s="21" t="n">
        <f aca="false">$B17*Model!$X$60</f>
        <v>0.746394423010569</v>
      </c>
      <c r="M17" s="21" t="n">
        <f aca="false">$B17*Model!$Y$60</f>
        <v>0.428034352787693</v>
      </c>
      <c r="N17" s="21" t="n">
        <f aca="false">$B17*Model!$Z$60</f>
        <v>0.0441743638108296</v>
      </c>
      <c r="O17" s="21" t="n">
        <f aca="false">$B17*Model!$AA$60</f>
        <v>0.0746394423010569</v>
      </c>
    </row>
    <row r="18" customFormat="false" ht="15" hidden="false" customHeight="true" outlineLevel="0" collapsed="false">
      <c r="A18" s="23" t="n">
        <v>2031</v>
      </c>
      <c r="B18" s="21" t="n">
        <f aca="false">IF($A18&lt;=Model!$B$3,Data!$B$9*Model!$D$60,0)</f>
        <v>20.4280250023323</v>
      </c>
      <c r="C18" s="21" t="n">
        <f aca="false">$B18*IF(Model!$B$5=1,Data!$D$9,Model!$AC$60)</f>
        <v>4.72068289952421</v>
      </c>
      <c r="D18" s="21" t="n">
        <f aca="false">$B18*IF(Model!$B$5=1,Data!$E$9,Model!$AD$60)</f>
        <v>6.20944117921449</v>
      </c>
      <c r="E18" s="21" t="n">
        <f aca="false">$B18*IF(Model!$B$5=1,Data!$F$9,Model!$AE$60)</f>
        <v>3.88207855210375</v>
      </c>
      <c r="F18" s="21" t="n">
        <f aca="false">$B18*IF(Model!$B$5=1,Data!$G$9,Model!$AF$60)</f>
        <v>5.61582237148988</v>
      </c>
      <c r="G18" s="21" t="n">
        <f aca="false">$B18*Model!$S$60</f>
        <v>12.3678904420704</v>
      </c>
      <c r="H18" s="21" t="n">
        <f aca="false">$B18*Model!$T$60</f>
        <v>3.08832521207175</v>
      </c>
      <c r="I18" s="21" t="n">
        <f aca="false">$B18*Model!$U$60</f>
        <v>1.46450342397847</v>
      </c>
      <c r="J18" s="21" t="n">
        <f aca="false">$B18*Model!$V$60</f>
        <v>1.46450342397847</v>
      </c>
      <c r="K18" s="21" t="n">
        <f aca="false">$B18*Model!$W$60</f>
        <v>1.38510840743914</v>
      </c>
      <c r="L18" s="21" t="n">
        <f aca="false">$B18*Model!$X$60</f>
        <v>0.379587874521913</v>
      </c>
      <c r="M18" s="21" t="n">
        <f aca="false">$B18*Model!$Y$60</f>
        <v>0.217682026001342</v>
      </c>
      <c r="N18" s="21" t="n">
        <f aca="false">$B18*Model!$Z$60</f>
        <v>0.0224654048186438</v>
      </c>
      <c r="O18" s="21" t="n">
        <f aca="false">$B18*Model!$AA$60</f>
        <v>0.0379587874521913</v>
      </c>
    </row>
    <row r="19" customFormat="false" ht="15" hidden="false" customHeight="true" outlineLevel="0" collapsed="false">
      <c r="A19" s="23" t="n">
        <v>2032</v>
      </c>
      <c r="B19" s="21" t="n">
        <f aca="false">IF($A19&lt;=Model!$B$3,Data!$B$10*Model!$D$60,0)</f>
        <v>20.4280250023323</v>
      </c>
      <c r="C19" s="21" t="n">
        <f aca="false">$B19*IF(Model!$B$5=1,Data!$D$10,Model!$AC$60)</f>
        <v>4.54165500513109</v>
      </c>
      <c r="D19" s="21" t="n">
        <f aca="false">$B19*IF(Model!$B$5=1,Data!$E$10,Model!$AD$60)</f>
        <v>6.08694840936655</v>
      </c>
      <c r="E19" s="21" t="n">
        <f aca="false">$B19*IF(Model!$B$5=1,Data!$F$10,Model!$AE$60)</f>
        <v>3.94803619740648</v>
      </c>
      <c r="F19" s="21" t="n">
        <f aca="false">$B19*IF(Model!$B$5=1,Data!$G$10,Model!$AF$60)</f>
        <v>5.85138539042821</v>
      </c>
      <c r="G19" s="21" t="n">
        <f aca="false">$B19*Model!$S$60</f>
        <v>12.3678904420704</v>
      </c>
      <c r="H19" s="21" t="n">
        <f aca="false">$B19*Model!$T$60</f>
        <v>3.08832521207175</v>
      </c>
      <c r="I19" s="21" t="n">
        <f aca="false">$B19*Model!$U$60</f>
        <v>1.46450342397847</v>
      </c>
      <c r="J19" s="21" t="n">
        <f aca="false">$B19*Model!$V$60</f>
        <v>1.46450342397847</v>
      </c>
      <c r="K19" s="21" t="n">
        <f aca="false">$B19*Model!$W$60</f>
        <v>1.38510840743914</v>
      </c>
      <c r="L19" s="21" t="n">
        <f aca="false">$B19*Model!$X$60</f>
        <v>0.379587874521913</v>
      </c>
      <c r="M19" s="21" t="n">
        <f aca="false">$B19*Model!$Y$60</f>
        <v>0.217682026001342</v>
      </c>
      <c r="N19" s="21" t="n">
        <f aca="false">$B19*Model!$Z$60</f>
        <v>0.0224654048186438</v>
      </c>
      <c r="O19" s="21" t="n">
        <f aca="false">$B19*Model!$AA$60</f>
        <v>0.0379587874521913</v>
      </c>
    </row>
    <row r="20" customFormat="false" ht="15" hidden="false" customHeight="true" outlineLevel="0" collapsed="false">
      <c r="A20" s="23" t="n">
        <v>2033</v>
      </c>
      <c r="B20" s="21" t="n">
        <f aca="false">IF($A20&lt;=Model!$B$3,Data!$B$11*Model!$D$60,0)</f>
        <v>20.4280250023323</v>
      </c>
      <c r="C20" s="21" t="n">
        <f aca="false">$B20*IF(Model!$B$5=1,Data!$D$11,Model!$AC$60)</f>
        <v>4.50604335538295</v>
      </c>
      <c r="D20" s="21" t="n">
        <f aca="false">$B20*IF(Model!$B$5=1,Data!$E$11,Model!$AD$60)</f>
        <v>6.10861107591662</v>
      </c>
      <c r="E20" s="21" t="n">
        <f aca="false">$B20*IF(Model!$B$5=1,Data!$F$11,Model!$AE$60)</f>
        <v>3.94985808766831</v>
      </c>
      <c r="F20" s="21" t="n">
        <f aca="false">$B20*IF(Model!$B$5=1,Data!$G$11,Model!$AF$60)</f>
        <v>5.86351248336443</v>
      </c>
      <c r="G20" s="21" t="n">
        <f aca="false">$B20*Model!$S$60</f>
        <v>12.3678904420704</v>
      </c>
      <c r="H20" s="21" t="n">
        <f aca="false">$B20*Model!$T$60</f>
        <v>3.08832521207175</v>
      </c>
      <c r="I20" s="21" t="n">
        <f aca="false">$B20*Model!$U$60</f>
        <v>1.46450342397847</v>
      </c>
      <c r="J20" s="21" t="n">
        <f aca="false">$B20*Model!$V$60</f>
        <v>1.46450342397847</v>
      </c>
      <c r="K20" s="21" t="n">
        <f aca="false">$B20*Model!$W$60</f>
        <v>1.38510840743914</v>
      </c>
      <c r="L20" s="21" t="n">
        <f aca="false">$B20*Model!$X$60</f>
        <v>0.379587874521913</v>
      </c>
      <c r="M20" s="21" t="n">
        <f aca="false">$B20*Model!$Y$60</f>
        <v>0.217682026001342</v>
      </c>
      <c r="N20" s="21" t="n">
        <f aca="false">$B20*Model!$Z$60</f>
        <v>0.0224654048186438</v>
      </c>
      <c r="O20" s="21" t="n">
        <f aca="false">$B20*Model!$AA$60</f>
        <v>0.0379587874521913</v>
      </c>
    </row>
    <row r="21" customFormat="false" ht="15" hidden="false" customHeight="true" outlineLevel="0" collapsed="false">
      <c r="A21" s="23" t="n">
        <v>2034</v>
      </c>
      <c r="B21" s="21" t="n">
        <f aca="false">IF($A21&lt;=Model!$B$3,Data!$B$12*Model!$D$60,0)</f>
        <v>20.4280250023323</v>
      </c>
      <c r="C21" s="21" t="n">
        <f aca="false">$B21*IF(Model!$B$5=1,Data!$D$12,Model!$AC$60)</f>
        <v>4.46627483907082</v>
      </c>
      <c r="D21" s="21" t="n">
        <f aca="false">$B21*IF(Model!$B$5=1,Data!$E$12,Model!$AD$60)</f>
        <v>6.12463849239669</v>
      </c>
      <c r="E21" s="21" t="n">
        <f aca="false">$B21*IF(Model!$B$5=1,Data!$F$12,Model!$AE$60)</f>
        <v>3.94803619740648</v>
      </c>
      <c r="F21" s="21" t="n">
        <f aca="false">$B21*IF(Model!$B$5=1,Data!$G$12,Model!$AF$60)</f>
        <v>5.88907547345834</v>
      </c>
      <c r="G21" s="21" t="n">
        <f aca="false">$B21*Model!$S$60</f>
        <v>12.3678904420704</v>
      </c>
      <c r="H21" s="21" t="n">
        <f aca="false">$B21*Model!$T$60</f>
        <v>3.08832521207175</v>
      </c>
      <c r="I21" s="21" t="n">
        <f aca="false">$B21*Model!$U$60</f>
        <v>1.46450342397847</v>
      </c>
      <c r="J21" s="21" t="n">
        <f aca="false">$B21*Model!$V$60</f>
        <v>1.46450342397847</v>
      </c>
      <c r="K21" s="21" t="n">
        <f aca="false">$B21*Model!$W$60</f>
        <v>1.38510840743914</v>
      </c>
      <c r="L21" s="21" t="n">
        <f aca="false">$B21*Model!$X$60</f>
        <v>0.379587874521913</v>
      </c>
      <c r="M21" s="21" t="n">
        <f aca="false">$B21*Model!$Y$60</f>
        <v>0.217682026001342</v>
      </c>
      <c r="N21" s="21" t="n">
        <f aca="false">$B21*Model!$Z$60</f>
        <v>0.0224654048186438</v>
      </c>
      <c r="O21" s="21" t="n">
        <f aca="false">$B21*Model!$AA$60</f>
        <v>0.0379587874521913</v>
      </c>
    </row>
    <row r="22" customFormat="false" ht="15" hidden="false" customHeight="true" outlineLevel="0" collapsed="false">
      <c r="A22" s="23" t="n">
        <v>2035</v>
      </c>
      <c r="B22" s="21" t="n">
        <f aca="false">IF($A22&lt;=Model!$B$3,Data!$B$13*Model!$D$60,0)</f>
        <v>19.7401809870324</v>
      </c>
      <c r="C22" s="21" t="n">
        <f aca="false">$B22*IF(Model!$B$5=1,Data!$D$13,Model!$AC$60)</f>
        <v>4.23071182013247</v>
      </c>
      <c r="D22" s="21" t="n">
        <f aca="false">$B22*IF(Model!$B$5=1,Data!$E$13,Model!$AD$60)</f>
        <v>5.83254034891314</v>
      </c>
      <c r="E22" s="21" t="n">
        <f aca="false">$B22*IF(Model!$B$5=1,Data!$F$13,Model!$AE$60)</f>
        <v>3.7878533445284</v>
      </c>
      <c r="F22" s="21" t="n">
        <f aca="false">$B22*IF(Model!$B$5=1,Data!$G$13,Model!$AF$60)</f>
        <v>5.88907547345835</v>
      </c>
      <c r="G22" s="21" t="n">
        <f aca="false">$B22*Model!$S$60</f>
        <v>11.9514439465579</v>
      </c>
      <c r="H22" s="21" t="n">
        <f aca="false">$B22*Model!$T$60</f>
        <v>2.98433640188667</v>
      </c>
      <c r="I22" s="21" t="n">
        <f aca="false">$B22*Model!$U$60</f>
        <v>1.41519126994229</v>
      </c>
      <c r="J22" s="21" t="n">
        <f aca="false">$B22*Model!$V$60</f>
        <v>1.41519126994229</v>
      </c>
      <c r="K22" s="21" t="n">
        <f aca="false">$B22*Model!$W$60</f>
        <v>1.33846960958718</v>
      </c>
      <c r="L22" s="21" t="n">
        <f aca="false">$B22*Model!$X$60</f>
        <v>0.366806548488656</v>
      </c>
      <c r="M22" s="21" t="n">
        <f aca="false">$B22*Model!$Y$60</f>
        <v>0.210352326786352</v>
      </c>
      <c r="N22" s="21" t="n">
        <f aca="false">$B22*Model!$Z$60</f>
        <v>0.0217089589921858</v>
      </c>
      <c r="O22" s="21" t="n">
        <f aca="false">$B22*Model!$AA$60</f>
        <v>0.0366806548488656</v>
      </c>
    </row>
    <row r="23" customFormat="false" ht="15" hidden="false" customHeight="true" outlineLevel="0" collapsed="false">
      <c r="A23" s="23" t="n">
        <v>2036</v>
      </c>
      <c r="B23" s="21" t="n">
        <f aca="false">IF($A23&lt;=Model!$B$3,Data!$B$14*Model!$D$60,0)</f>
        <v>14.9535404422054</v>
      </c>
      <c r="C23" s="21" t="n">
        <f aca="false">$B23*IF(Model!$B$5=1,Data!$D$14,Model!$AC$60)</f>
        <v>3.60728934516467</v>
      </c>
      <c r="D23" s="21" t="n">
        <f aca="false">$B23*IF(Model!$B$5=1,Data!$E$14,Model!$AD$60)</f>
        <v>4.6397413285656</v>
      </c>
      <c r="E23" s="21" t="n">
        <f aca="false">$B23*IF(Model!$B$5=1,Data!$F$14,Model!$AE$60)</f>
        <v>2.79624354330571</v>
      </c>
      <c r="F23" s="21" t="n">
        <f aca="false">$B23*IF(Model!$B$5=1,Data!$G$14,Model!$AF$60)</f>
        <v>3.91026622516945</v>
      </c>
      <c r="G23" s="21" t="n">
        <f aca="false">$B23*Model!$S$60</f>
        <v>9.05343271751186</v>
      </c>
      <c r="H23" s="21" t="n">
        <f aca="false">$B23*Model!$T$60</f>
        <v>2.2606882433385</v>
      </c>
      <c r="I23" s="21" t="n">
        <f aca="false">$B23*Model!$U$60</f>
        <v>1.07203271856726</v>
      </c>
      <c r="J23" s="21" t="n">
        <f aca="false">$B23*Model!$V$60</f>
        <v>1.07203271856726</v>
      </c>
      <c r="K23" s="21" t="n">
        <f aca="false">$B23*Model!$W$60</f>
        <v>1.01391468754886</v>
      </c>
      <c r="L23" s="21" t="n">
        <f aca="false">$B23*Model!$X$60</f>
        <v>0.277862526229832</v>
      </c>
      <c r="M23" s="21" t="n">
        <f aca="false">$B23*Model!$Y$60</f>
        <v>0.159345652797108</v>
      </c>
      <c r="N23" s="21" t="n">
        <f aca="false">$B23*Model!$Z$60</f>
        <v>0.0164449250217655</v>
      </c>
      <c r="O23" s="21" t="n">
        <f aca="false">$B23*Model!$AA$60</f>
        <v>0.0277862526229832</v>
      </c>
    </row>
    <row r="24" customFormat="false" ht="15" hidden="false" customHeight="true" outlineLevel="0" collapsed="false">
      <c r="A24" s="23" t="n">
        <v>2037</v>
      </c>
      <c r="B24" s="21" t="n">
        <f aca="false">IF($A24&lt;=Model!$B$3,Data!$B$15*Model!$D$60,0)</f>
        <v>14.8310476723575</v>
      </c>
      <c r="C24" s="21" t="n">
        <f aca="false">$B24*IF(Model!$B$5=1,Data!$D$15,Model!$AC$60)</f>
        <v>3.57774003105809</v>
      </c>
      <c r="D24" s="21" t="n">
        <f aca="false">$B24*IF(Model!$B$5=1,Data!$E$15,Model!$AD$60)</f>
        <v>4.60173462581112</v>
      </c>
      <c r="E24" s="21" t="n">
        <f aca="false">$B24*IF(Model!$B$5=1,Data!$F$15,Model!$AE$60)</f>
        <v>2.77333795662457</v>
      </c>
      <c r="F24" s="21" t="n">
        <f aca="false">$B24*IF(Model!$B$5=1,Data!$G$15,Model!$AF$60)</f>
        <v>3.87823505886373</v>
      </c>
      <c r="G24" s="21" t="n">
        <f aca="false">$B24*Model!$S$60</f>
        <v>8.97927101283155</v>
      </c>
      <c r="H24" s="21" t="n">
        <f aca="false">$B24*Model!$T$60</f>
        <v>2.24216968810006</v>
      </c>
      <c r="I24" s="21" t="n">
        <f aca="false">$B24*Model!$U$60</f>
        <v>1.06325110209507</v>
      </c>
      <c r="J24" s="21" t="n">
        <f aca="false">$B24*Model!$V$60</f>
        <v>1.06325110209507</v>
      </c>
      <c r="K24" s="21" t="n">
        <f aca="false">$B24*Model!$W$60</f>
        <v>1.00560914820535</v>
      </c>
      <c r="L24" s="21" t="n">
        <f aca="false">$B24*Model!$X$60</f>
        <v>0.275586399675964</v>
      </c>
      <c r="M24" s="21" t="n">
        <f aca="false">$B24*Model!$Y$60</f>
        <v>0.158040363895808</v>
      </c>
      <c r="N24" s="21" t="n">
        <f aca="false">$B24*Model!$Z$60</f>
        <v>0.0163102154910264</v>
      </c>
      <c r="O24" s="21" t="n">
        <f aca="false">$B24*Model!$AA$60</f>
        <v>0.0275586399675964</v>
      </c>
    </row>
    <row r="25" customFormat="false" ht="15" hidden="false" customHeight="true" outlineLevel="0" collapsed="false">
      <c r="A25" s="23" t="n">
        <v>2038</v>
      </c>
      <c r="B25" s="21" t="n">
        <f aca="false">IF($A25&lt;=Model!$B$3,Data!$B$16*Model!$D$60,0)</f>
        <v>14.6520197779644</v>
      </c>
      <c r="C25" s="21" t="n">
        <f aca="false">$B25*IF(Model!$B$5=1,Data!$D$16,Model!$AC$60)</f>
        <v>3.53455257197926</v>
      </c>
      <c r="D25" s="21" t="n">
        <f aca="false">$B25*IF(Model!$B$5=1,Data!$E$16,Model!$AD$60)</f>
        <v>4.5461863679392</v>
      </c>
      <c r="E25" s="21" t="n">
        <f aca="false">$B25*IF(Model!$B$5=1,Data!$F$16,Model!$AE$60)</f>
        <v>2.73986056070597</v>
      </c>
      <c r="F25" s="21" t="n">
        <f aca="false">$B25*IF(Model!$B$5=1,Data!$G$16,Model!$AF$60)</f>
        <v>3.83142027733995</v>
      </c>
      <c r="G25" s="21" t="n">
        <f aca="false">$B25*Model!$S$60</f>
        <v>8.87088082906802</v>
      </c>
      <c r="H25" s="21" t="n">
        <f aca="false">$B25*Model!$T$60</f>
        <v>2.21510410736696</v>
      </c>
      <c r="I25" s="21" t="n">
        <f aca="false">$B25*Model!$U$60</f>
        <v>1.05041643186647</v>
      </c>
      <c r="J25" s="21" t="n">
        <f aca="false">$B25*Model!$V$60</f>
        <v>1.05041643186647</v>
      </c>
      <c r="K25" s="21" t="n">
        <f aca="false">$B25*Model!$W$60</f>
        <v>0.993470283011008</v>
      </c>
      <c r="L25" s="21" t="n">
        <f aca="false">$B25*Model!$X$60</f>
        <v>0.272259753174158</v>
      </c>
      <c r="M25" s="21" t="n">
        <f aca="false">$B25*Model!$Y$60</f>
        <v>0.156132633963139</v>
      </c>
      <c r="N25" s="21" t="n">
        <f aca="false">$B25*Model!$Z$60</f>
        <v>0.0161133323307155</v>
      </c>
      <c r="O25" s="21" t="n">
        <f aca="false">$B25*Model!$AA$60</f>
        <v>0.0272259753174158</v>
      </c>
    </row>
    <row r="26" customFormat="false" ht="15" hidden="false" customHeight="true" outlineLevel="0" collapsed="false">
      <c r="A26" s="23" t="n">
        <v>2039</v>
      </c>
      <c r="B26" s="21" t="n">
        <f aca="false">IF($A26&lt;=Model!$B$3,Data!$B$17*Model!$D$60,0)</f>
        <v>14.5201044873589</v>
      </c>
      <c r="C26" s="21" t="n">
        <f aca="false">$B26*IF(Model!$B$5=1,Data!$D$17,Model!$AC$60)</f>
        <v>3.50273023371062</v>
      </c>
      <c r="D26" s="21" t="n">
        <f aca="false">$B26*IF(Model!$B$5=1,Data!$E$17,Model!$AD$60)</f>
        <v>4.50525607266513</v>
      </c>
      <c r="E26" s="21" t="n">
        <f aca="false">$B26*IF(Model!$B$5=1,Data!$F$17,Model!$AE$60)</f>
        <v>2.71519300581859</v>
      </c>
      <c r="F26" s="21" t="n">
        <f aca="false">$B26*IF(Model!$B$5=1,Data!$G$17,Model!$AF$60)</f>
        <v>3.79692517516455</v>
      </c>
      <c r="G26" s="21" t="n">
        <f aca="false">$B26*Model!$S$60</f>
        <v>8.79101437787384</v>
      </c>
      <c r="H26" s="21" t="n">
        <f aca="false">$B26*Model!$T$60</f>
        <v>2.19516104787941</v>
      </c>
      <c r="I26" s="21" t="n">
        <f aca="false">$B26*Model!$U$60</f>
        <v>1.04095930643488</v>
      </c>
      <c r="J26" s="21" t="n">
        <f aca="false">$B26*Model!$V$60</f>
        <v>1.04095930643488</v>
      </c>
      <c r="K26" s="21" t="n">
        <f aca="false">$B26*Model!$W$60</f>
        <v>0.9845258560257</v>
      </c>
      <c r="L26" s="21" t="n">
        <f aca="false">$B26*Model!$X$60</f>
        <v>0.2698085399623</v>
      </c>
      <c r="M26" s="21" t="n">
        <f aca="false">$B26*Model!$Y$60</f>
        <v>0.154726938223278</v>
      </c>
      <c r="N26" s="21" t="n">
        <f aca="false">$B26*Model!$Z$60</f>
        <v>0.015968260528381</v>
      </c>
      <c r="O26" s="21" t="n">
        <f aca="false">$B26*Model!$AA$60</f>
        <v>0.02698085399623</v>
      </c>
    </row>
    <row r="27" customFormat="false" ht="15" hidden="false" customHeight="true" outlineLevel="0" collapsed="false">
      <c r="A27" s="23" t="n">
        <v>2040</v>
      </c>
      <c r="B27" s="21" t="n">
        <f aca="false">IF($A27&lt;=Model!$B$3,Data!$B$18*Model!$D$60,0)</f>
        <v>14.3693441552384</v>
      </c>
      <c r="C27" s="21" t="n">
        <f aca="false">$B27*IF(Model!$B$5=1,Data!$D$18,Model!$AC$60)</f>
        <v>3.46636184711791</v>
      </c>
      <c r="D27" s="21" t="n">
        <f aca="false">$B27*IF(Model!$B$5=1,Data!$E$18,Model!$AD$60)</f>
        <v>4.45847859235195</v>
      </c>
      <c r="E27" s="21" t="n">
        <f aca="false">$B27*IF(Model!$B$5=1,Data!$F$18,Model!$AE$60)</f>
        <v>2.68700151451872</v>
      </c>
      <c r="F27" s="21" t="n">
        <f aca="false">$B27*IF(Model!$B$5=1,Data!$G$18,Model!$AF$60)</f>
        <v>3.75750220124979</v>
      </c>
      <c r="G27" s="21" t="n">
        <f aca="false">$B27*Model!$S$60</f>
        <v>8.69973843365192</v>
      </c>
      <c r="H27" s="21" t="n">
        <f aca="false">$B27*Model!$T$60</f>
        <v>2.17236897989364</v>
      </c>
      <c r="I27" s="21" t="n">
        <f aca="false">$B27*Model!$U$60</f>
        <v>1.03015116308448</v>
      </c>
      <c r="J27" s="21" t="n">
        <f aca="false">$B27*Model!$V$60</f>
        <v>1.03015116308448</v>
      </c>
      <c r="K27" s="21" t="n">
        <f aca="false">$B27*Model!$W$60</f>
        <v>0.974303653756776</v>
      </c>
      <c r="L27" s="21" t="n">
        <f aca="false">$B27*Model!$X$60</f>
        <v>0.267007153434463</v>
      </c>
      <c r="M27" s="21" t="n">
        <f aca="false">$B27*Model!$Y$60</f>
        <v>0.153120428806294</v>
      </c>
      <c r="N27" s="21" t="n">
        <f aca="false">$B27*Model!$Z$60</f>
        <v>0.015802464182856</v>
      </c>
      <c r="O27" s="21" t="n">
        <f aca="false">$B27*Model!$AA$60</f>
        <v>0.0267007153434463</v>
      </c>
    </row>
    <row r="28" customFormat="false" ht="15" hidden="false" customHeight="true" outlineLevel="0" collapsed="false">
      <c r="A28" s="24" t="s">
        <v>122</v>
      </c>
      <c r="B28" s="25" t="n">
        <f aca="false">SUM(B13:B27)</f>
        <v>375.61936747831</v>
      </c>
      <c r="C28" s="25" t="n">
        <f aca="false">SUM(C13:C27)</f>
        <v>90.6115278975621</v>
      </c>
      <c r="D28" s="25" t="n">
        <f aca="false">SUM(D13:D27)</f>
        <v>116.545938187932</v>
      </c>
      <c r="E28" s="25" t="n">
        <f aca="false">SUM(E13:E27)</f>
        <v>70.2391488650154</v>
      </c>
      <c r="F28" s="25" t="n">
        <f aca="false">SUM(F13:F27)</f>
        <v>98.2227525278004</v>
      </c>
      <c r="G28" s="25" t="n">
        <f aca="false">SUM(G13:G27)</f>
        <v>227.414015028918</v>
      </c>
      <c r="H28" s="25" t="n">
        <f aca="false">SUM(H13:H27)</f>
        <v>56.7864373865443</v>
      </c>
      <c r="I28" s="25" t="n">
        <f aca="false">SUM(I13:I27)</f>
        <v>26.9284891575081</v>
      </c>
      <c r="J28" s="25" t="n">
        <f aca="false">SUM(J13:J27)</f>
        <v>26.9284891575081</v>
      </c>
      <c r="K28" s="25" t="n">
        <f aca="false">SUM(K13:K27)</f>
        <v>25.468616953023</v>
      </c>
      <c r="L28" s="25" t="n">
        <f aca="false">SUM(L13:L27)</f>
        <v>6.97965453410587</v>
      </c>
      <c r="M28" s="25" t="n">
        <f aca="false">SUM(M13:M27)</f>
        <v>4.00261821241581</v>
      </c>
      <c r="N28" s="25" t="n">
        <f aca="false">SUM(N13:N27)</f>
        <v>0.413081594875653</v>
      </c>
      <c r="O28" s="25" t="n">
        <f aca="false">SUM(O13:O27)</f>
        <v>0.697965453410587</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Data!$H$37*Data!$M$37/SUM(Data!$H$37:$K$37)</f>
        <v>53.8622448979592</v>
      </c>
      <c r="C34" s="22" t="n">
        <f aca="false">IF($B$38&gt;0,B34/$B$38,0)</f>
        <v>0.11734693877551</v>
      </c>
      <c r="D34" s="21" t="n">
        <f aca="false">C28</f>
        <v>90.6115278975621</v>
      </c>
      <c r="E34" s="22" t="n">
        <f aca="false">IF($D$38&gt;0,D34/$D$38,0)</f>
        <v>0.241232310532536</v>
      </c>
      <c r="F34" s="21" t="n">
        <f aca="false">B34+D34</f>
        <v>144.473772795521</v>
      </c>
      <c r="G34" s="22" t="n">
        <f aca="false">IF($F$38&gt;0,F34/$F$38,0)</f>
        <v>0.173101390196623</v>
      </c>
    </row>
    <row r="35" customFormat="false" ht="15" hidden="false" customHeight="true" outlineLevel="0" collapsed="false">
      <c r="A35" s="13" t="s">
        <v>110</v>
      </c>
      <c r="B35" s="21" t="n">
        <f aca="false">Data!$I$37*Data!$M$37/SUM(Data!$H$37:$K$37)</f>
        <v>112.408163265306</v>
      </c>
      <c r="C35" s="22" t="n">
        <f aca="false">IF($B$38&gt;0,B35/$B$38,0)</f>
        <v>0.244897959183674</v>
      </c>
      <c r="D35" s="21" t="n">
        <f aca="false">D28</f>
        <v>116.545938187932</v>
      </c>
      <c r="E35" s="22" t="n">
        <f aca="false">IF($D$38&gt;0,D35/$D$38,0)</f>
        <v>0.310276701040081</v>
      </c>
      <c r="F35" s="21" t="n">
        <f aca="false">B35+D35</f>
        <v>228.954101453238</v>
      </c>
      <c r="G35" s="22" t="n">
        <f aca="false">IF($F$38&gt;0,F35/$F$38,0)</f>
        <v>0.274321577445527</v>
      </c>
    </row>
    <row r="36" customFormat="false" ht="15" hidden="false" customHeight="true" outlineLevel="0" collapsed="false">
      <c r="A36" s="13" t="s">
        <v>111</v>
      </c>
      <c r="B36" s="21" t="n">
        <f aca="false">Data!$J$37*Data!$M$37/SUM(Data!$H$37:$K$37)</f>
        <v>207.252551020408</v>
      </c>
      <c r="C36" s="22" t="n">
        <f aca="false">IF($B$38&gt;0,B36/$B$38,0)</f>
        <v>0.451530612244898</v>
      </c>
      <c r="D36" s="21" t="n">
        <f aca="false">E28</f>
        <v>70.2391488650154</v>
      </c>
      <c r="E36" s="22" t="n">
        <f aca="false">IF($D$38&gt;0,D36/$D$38,0)</f>
        <v>0.186995546413275</v>
      </c>
      <c r="F36" s="21" t="n">
        <f aca="false">B36+D36</f>
        <v>277.491699885424</v>
      </c>
      <c r="G36" s="22" t="n">
        <f aca="false">IF($F$38&gt;0,F36/$F$38,0)</f>
        <v>0.332476947813741</v>
      </c>
    </row>
    <row r="37" customFormat="false" ht="15" hidden="false" customHeight="true" outlineLevel="0" collapsed="false">
      <c r="A37" s="13" t="s">
        <v>112</v>
      </c>
      <c r="B37" s="21" t="n">
        <f aca="false">Data!$K$37*Data!$M$37/SUM(Data!$H$37:$K$37)</f>
        <v>85.4770408163265</v>
      </c>
      <c r="C37" s="22" t="n">
        <f aca="false">IF($B$38&gt;0,B37/$B$38,0)</f>
        <v>0.186224489795918</v>
      </c>
      <c r="D37" s="21" t="n">
        <f aca="false">F28</f>
        <v>98.2227525278004</v>
      </c>
      <c r="E37" s="22" t="n">
        <f aca="false">IF($D$38&gt;0,D37/$D$38,0)</f>
        <v>0.261495442014109</v>
      </c>
      <c r="F37" s="21" t="n">
        <f aca="false">B37+D37</f>
        <v>183.699793344127</v>
      </c>
      <c r="G37" s="22" t="n">
        <f aca="false">IF($F$38&gt;0,F37/$F$38,0)</f>
        <v>0.220100084544109</v>
      </c>
    </row>
    <row r="38" customFormat="false" ht="15" hidden="false" customHeight="true" outlineLevel="0" collapsed="false">
      <c r="A38" s="24" t="s">
        <v>61</v>
      </c>
      <c r="B38" s="25" t="n">
        <f aca="false">SUM(B34:B37)</f>
        <v>459</v>
      </c>
      <c r="C38" s="27" t="n">
        <f aca="false">SUM(C34:C37)</f>
        <v>1</v>
      </c>
      <c r="D38" s="25" t="n">
        <f aca="false">SUM(D34:D37)</f>
        <v>375.61936747831</v>
      </c>
      <c r="E38" s="27" t="n">
        <f aca="false">SUM(E34:E37)</f>
        <v>1</v>
      </c>
      <c r="F38" s="25" t="n">
        <f aca="false">SUM(F34:F37)</f>
        <v>834.61936747831</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189</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103</v>
      </c>
      <c r="C6" s="15" t="n">
        <f aca="false">Model!$Q$61</f>
        <v>0.1</v>
      </c>
    </row>
    <row r="7" customFormat="false" ht="15" hidden="false" customHeight="true" outlineLevel="0" collapsed="false">
      <c r="A7" s="13" t="s">
        <v>104</v>
      </c>
      <c r="C7" s="15" t="n">
        <f aca="false">Model!$G$61</f>
        <v>0.11398</v>
      </c>
    </row>
    <row r="8" customFormat="false" ht="15" hidden="false" customHeight="true" outlineLevel="0" collapsed="false">
      <c r="A8" s="13" t="s">
        <v>105</v>
      </c>
      <c r="C8" s="15" t="n">
        <f aca="false">Model!$R$61</f>
        <v>0.107848186277293</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IF($A13&lt;=Model!$B$3,Data!$B$4*Model!$D$61,0)</f>
        <v>39.770500979569</v>
      </c>
      <c r="C13" s="21" t="n">
        <f aca="false">$B13*IF(Model!$B$5=1,Data!$D$4,Model!$AC$61)</f>
        <v>10.2877257458876</v>
      </c>
      <c r="D13" s="21" t="n">
        <f aca="false">$B13*IF(Model!$B$5=1,Data!$E$4,Model!$AD$61)</f>
        <v>12.5915047660455</v>
      </c>
      <c r="E13" s="21" t="n">
        <f aca="false">$B13*IF(Model!$B$5=1,Data!$F$4,Model!$AE$61)</f>
        <v>7.35903500771107</v>
      </c>
      <c r="F13" s="21" t="n">
        <f aca="false">$B13*IF(Model!$B$5=1,Data!$G$4,Model!$AF$61)</f>
        <v>9.53223545992482</v>
      </c>
      <c r="G13" s="21" t="n">
        <f aca="false">$B13*Model!$S$61</f>
        <v>24.078548899632</v>
      </c>
      <c r="H13" s="21" t="n">
        <f aca="false">$B13*Model!$T$61</f>
        <v>6.01253625144398</v>
      </c>
      <c r="I13" s="21" t="n">
        <f aca="false">$B13*Model!$U$61</f>
        <v>2.85118286526808</v>
      </c>
      <c r="J13" s="21" t="n">
        <f aca="false">$B13*Model!$V$61</f>
        <v>2.85118286526808</v>
      </c>
      <c r="K13" s="21" t="n">
        <f aca="false">$B13*Model!$W$61</f>
        <v>2.69661189804586</v>
      </c>
      <c r="L13" s="21" t="n">
        <f aca="false">$B13*Model!$X$61</f>
        <v>0.739004379218385</v>
      </c>
      <c r="M13" s="21" t="n">
        <f aca="false">$B13*Model!$Y$61</f>
        <v>0.423796388898706</v>
      </c>
      <c r="N13" s="21" t="n">
        <f aca="false">$B13*Model!$Z$61</f>
        <v>0.0437369938721085</v>
      </c>
      <c r="O13" s="21" t="n">
        <f aca="false">$B13*Model!$AA$61</f>
        <v>0.0739004379218385</v>
      </c>
    </row>
    <row r="14" customFormat="false" ht="15" hidden="false" customHeight="true" outlineLevel="0" collapsed="false">
      <c r="A14" s="23" t="n">
        <v>2027</v>
      </c>
      <c r="B14" s="21" t="n">
        <f aca="false">IF($A14&lt;=Model!$B$3,Data!$B$5*Model!$D$61,0)</f>
        <v>39.770500979569</v>
      </c>
      <c r="C14" s="21" t="n">
        <f aca="false">$B14*IF(Model!$B$5=1,Data!$D$5,Model!$AC$61)</f>
        <v>9.9985874882969</v>
      </c>
      <c r="D14" s="21" t="n">
        <f aca="false">$B14*IF(Model!$B$5=1,Data!$E$5,Model!$AD$61)</f>
        <v>12.6288129283153</v>
      </c>
      <c r="E14" s="21" t="n">
        <f aca="false">$B14*IF(Model!$B$5=1,Data!$F$5,Model!$AE$61)</f>
        <v>7.34038092657619</v>
      </c>
      <c r="F14" s="21" t="n">
        <f aca="false">$B14*IF(Model!$B$5=1,Data!$G$5,Model!$AF$61)</f>
        <v>9.80271963638062</v>
      </c>
      <c r="G14" s="21" t="n">
        <f aca="false">$B14*Model!$S$61</f>
        <v>24.078548899632</v>
      </c>
      <c r="H14" s="21" t="n">
        <f aca="false">$B14*Model!$T$61</f>
        <v>6.01253625144398</v>
      </c>
      <c r="I14" s="21" t="n">
        <f aca="false">$B14*Model!$U$61</f>
        <v>2.85118286526808</v>
      </c>
      <c r="J14" s="21" t="n">
        <f aca="false">$B14*Model!$V$61</f>
        <v>2.85118286526808</v>
      </c>
      <c r="K14" s="21" t="n">
        <f aca="false">$B14*Model!$W$61</f>
        <v>2.69661189804586</v>
      </c>
      <c r="L14" s="21" t="n">
        <f aca="false">$B14*Model!$X$61</f>
        <v>0.739004379218385</v>
      </c>
      <c r="M14" s="21" t="n">
        <f aca="false">$B14*Model!$Y$61</f>
        <v>0.423796388898706</v>
      </c>
      <c r="N14" s="21" t="n">
        <f aca="false">$B14*Model!$Z$61</f>
        <v>0.0437369938721085</v>
      </c>
      <c r="O14" s="21" t="n">
        <f aca="false">$B14*Model!$AA$61</f>
        <v>0.0739004379218385</v>
      </c>
    </row>
    <row r="15" customFormat="false" ht="15" hidden="false" customHeight="true" outlineLevel="0" collapsed="false">
      <c r="A15" s="23" t="n">
        <v>2028</v>
      </c>
      <c r="B15" s="21" t="n">
        <f aca="false">IF($A15&lt;=Model!$B$3,Data!$B$6*Model!$D$61,0)</f>
        <v>39.770500979569</v>
      </c>
      <c r="C15" s="21" t="n">
        <f aca="false">$B15*IF(Model!$B$5=1,Data!$D$6,Model!$AC$61)</f>
        <v>9.96595378840444</v>
      </c>
      <c r="D15" s="21" t="n">
        <f aca="false">$B15*IF(Model!$B$5=1,Data!$E$6,Model!$AD$61)</f>
        <v>12.6347391661981</v>
      </c>
      <c r="E15" s="21" t="n">
        <f aca="false">$B15*IF(Model!$B$5=1,Data!$F$6,Model!$AE$61)</f>
        <v>7.3438254976351</v>
      </c>
      <c r="F15" s="21" t="n">
        <f aca="false">$B15*IF(Model!$B$5=1,Data!$G$6,Model!$AF$61)</f>
        <v>9.82598252733132</v>
      </c>
      <c r="G15" s="21" t="n">
        <f aca="false">$B15*Model!$S$61</f>
        <v>24.078548899632</v>
      </c>
      <c r="H15" s="21" t="n">
        <f aca="false">$B15*Model!$T$61</f>
        <v>6.01253625144398</v>
      </c>
      <c r="I15" s="21" t="n">
        <f aca="false">$B15*Model!$U$61</f>
        <v>2.85118286526808</v>
      </c>
      <c r="J15" s="21" t="n">
        <f aca="false">$B15*Model!$V$61</f>
        <v>2.85118286526808</v>
      </c>
      <c r="K15" s="21" t="n">
        <f aca="false">$B15*Model!$W$61</f>
        <v>2.69661189804586</v>
      </c>
      <c r="L15" s="21" t="n">
        <f aca="false">$B15*Model!$X$61</f>
        <v>0.739004379218385</v>
      </c>
      <c r="M15" s="21" t="n">
        <f aca="false">$B15*Model!$Y$61</f>
        <v>0.423796388898706</v>
      </c>
      <c r="N15" s="21" t="n">
        <f aca="false">$B15*Model!$Z$61</f>
        <v>0.0437369938721085</v>
      </c>
      <c r="O15" s="21" t="n">
        <f aca="false">$B15*Model!$AA$61</f>
        <v>0.0739004379218385</v>
      </c>
    </row>
    <row r="16" customFormat="false" ht="15" hidden="false" customHeight="true" outlineLevel="0" collapsed="false">
      <c r="A16" s="23" t="n">
        <v>2029</v>
      </c>
      <c r="B16" s="21" t="n">
        <f aca="false">IF($A16&lt;=Model!$B$3,Data!$B$7*Model!$D$61,0)</f>
        <v>39.770500979569</v>
      </c>
      <c r="C16" s="21" t="n">
        <f aca="false">$B16*IF(Model!$B$5=1,Data!$D$7,Model!$AC$61)</f>
        <v>9.86099449575522</v>
      </c>
      <c r="D16" s="21" t="n">
        <f aca="false">$B16*IF(Model!$B$5=1,Data!$E$7,Model!$AD$61)</f>
        <v>12.5664707528687</v>
      </c>
      <c r="E16" s="21" t="n">
        <f aca="false">$B16*IF(Model!$B$5=1,Data!$F$7,Model!$AE$61)</f>
        <v>7.29545666573376</v>
      </c>
      <c r="F16" s="21" t="n">
        <f aca="false">$B16*IF(Model!$B$5=1,Data!$G$7,Model!$AF$61)</f>
        <v>10.0475790652113</v>
      </c>
      <c r="G16" s="21" t="n">
        <f aca="false">$B16*Model!$S$61</f>
        <v>24.078548899632</v>
      </c>
      <c r="H16" s="21" t="n">
        <f aca="false">$B16*Model!$T$61</f>
        <v>6.01253625144398</v>
      </c>
      <c r="I16" s="21" t="n">
        <f aca="false">$B16*Model!$U$61</f>
        <v>2.85118286526808</v>
      </c>
      <c r="J16" s="21" t="n">
        <f aca="false">$B16*Model!$V$61</f>
        <v>2.85118286526808</v>
      </c>
      <c r="K16" s="21" t="n">
        <f aca="false">$B16*Model!$W$61</f>
        <v>2.69661189804586</v>
      </c>
      <c r="L16" s="21" t="n">
        <f aca="false">$B16*Model!$X$61</f>
        <v>0.739004379218385</v>
      </c>
      <c r="M16" s="21" t="n">
        <f aca="false">$B16*Model!$Y$61</f>
        <v>0.423796388898706</v>
      </c>
      <c r="N16" s="21" t="n">
        <f aca="false">$B16*Model!$Z$61</f>
        <v>0.0437369938721085</v>
      </c>
      <c r="O16" s="21" t="n">
        <f aca="false">$B16*Model!$AA$61</f>
        <v>0.0739004379218385</v>
      </c>
    </row>
    <row r="17" customFormat="false" ht="15" hidden="false" customHeight="true" outlineLevel="0" collapsed="false">
      <c r="A17" s="23" t="n">
        <v>2030</v>
      </c>
      <c r="B17" s="21" t="n">
        <f aca="false">IF($A17&lt;=Model!$B$3,Data!$B$8*Model!$D$61,0)</f>
        <v>39.770500979569</v>
      </c>
      <c r="C17" s="21" t="n">
        <f aca="false">$B17*IF(Model!$B$5=1,Data!$D$8,Model!$AC$61)</f>
        <v>9.84464536214107</v>
      </c>
      <c r="D17" s="21" t="n">
        <f aca="false">$B17*IF(Model!$B$5=1,Data!$E$8,Model!$AD$61)</f>
        <v>12.3827908962665</v>
      </c>
      <c r="E17" s="21" t="n">
        <f aca="false">$B17*IF(Model!$B$5=1,Data!$F$8,Model!$AE$61)</f>
        <v>7.3064998280156</v>
      </c>
      <c r="F17" s="21" t="n">
        <f aca="false">$B17*IF(Model!$B$5=1,Data!$G$8,Model!$AF$61)</f>
        <v>10.2365648931457</v>
      </c>
      <c r="G17" s="21" t="n">
        <f aca="false">$B17*Model!$S$61</f>
        <v>24.078548899632</v>
      </c>
      <c r="H17" s="21" t="n">
        <f aca="false">$B17*Model!$T$61</f>
        <v>6.01253625144398</v>
      </c>
      <c r="I17" s="21" t="n">
        <f aca="false">$B17*Model!$U$61</f>
        <v>2.85118286526808</v>
      </c>
      <c r="J17" s="21" t="n">
        <f aca="false">$B17*Model!$V$61</f>
        <v>2.85118286526808</v>
      </c>
      <c r="K17" s="21" t="n">
        <f aca="false">$B17*Model!$W$61</f>
        <v>2.69661189804586</v>
      </c>
      <c r="L17" s="21" t="n">
        <f aca="false">$B17*Model!$X$61</f>
        <v>0.739004379218385</v>
      </c>
      <c r="M17" s="21" t="n">
        <f aca="false">$B17*Model!$Y$61</f>
        <v>0.423796388898706</v>
      </c>
      <c r="N17" s="21" t="n">
        <f aca="false">$B17*Model!$Z$61</f>
        <v>0.0437369938721085</v>
      </c>
      <c r="O17" s="21" t="n">
        <f aca="false">$B17*Model!$AA$61</f>
        <v>0.0739004379218385</v>
      </c>
    </row>
    <row r="18" customFormat="false" ht="15" hidden="false" customHeight="true" outlineLevel="0" collapsed="false">
      <c r="A18" s="23" t="n">
        <v>2031</v>
      </c>
      <c r="B18" s="21" t="n">
        <f aca="false">IF($A18&lt;=Model!$B$3,Data!$B$9*Model!$D$61,0)</f>
        <v>20.2257673290419</v>
      </c>
      <c r="C18" s="21" t="n">
        <f aca="false">$B18*IF(Model!$B$5=1,Data!$D$9,Model!$AC$61)</f>
        <v>4.67394346487546</v>
      </c>
      <c r="D18" s="21" t="n">
        <f aca="false">$B18*IF(Model!$B$5=1,Data!$E$9,Model!$AD$61)</f>
        <v>6.1479615635787</v>
      </c>
      <c r="E18" s="21" t="n">
        <f aca="false">$B18*IF(Model!$B$5=1,Data!$F$9,Model!$AE$61)</f>
        <v>3.84364213079579</v>
      </c>
      <c r="F18" s="21" t="n">
        <f aca="false">$B18*IF(Model!$B$5=1,Data!$G$9,Model!$AF$61)</f>
        <v>5.56022016979196</v>
      </c>
      <c r="G18" s="21" t="n">
        <f aca="false">$B18*Model!$S$61</f>
        <v>12.2454360812578</v>
      </c>
      <c r="H18" s="21" t="n">
        <f aca="false">$B18*Model!$T$61</f>
        <v>3.0577477347245</v>
      </c>
      <c r="I18" s="21" t="n">
        <f aca="false">$B18*Model!$U$61</f>
        <v>1.45000339007769</v>
      </c>
      <c r="J18" s="21" t="n">
        <f aca="false">$B18*Model!$V$61</f>
        <v>1.45000339007769</v>
      </c>
      <c r="K18" s="21" t="n">
        <f aca="false">$B18*Model!$W$61</f>
        <v>1.37139446281103</v>
      </c>
      <c r="L18" s="21" t="n">
        <f aca="false">$B18*Model!$X$61</f>
        <v>0.375829578734567</v>
      </c>
      <c r="M18" s="21" t="n">
        <f aca="false">$B18*Model!$Y$61</f>
        <v>0.21552675841717</v>
      </c>
      <c r="N18" s="21" t="n">
        <f aca="false">$B18*Model!$Z$61</f>
        <v>0.0222429750679642</v>
      </c>
      <c r="O18" s="21" t="n">
        <f aca="false">$B18*Model!$AA$61</f>
        <v>0.0375829578734567</v>
      </c>
    </row>
    <row r="19" customFormat="false" ht="15" hidden="false" customHeight="true" outlineLevel="0" collapsed="false">
      <c r="A19" s="23" t="n">
        <v>2032</v>
      </c>
      <c r="B19" s="21" t="n">
        <f aca="false">IF($A19&lt;=Model!$B$3,Data!$B$10*Model!$D$61,0)</f>
        <v>20.2257673290419</v>
      </c>
      <c r="C19" s="21" t="n">
        <f aca="false">$B19*IF(Model!$B$5=1,Data!$D$10,Model!$AC$61)</f>
        <v>4.49668812389217</v>
      </c>
      <c r="D19" s="21" t="n">
        <f aca="false">$B19*IF(Model!$B$5=1,Data!$E$10,Model!$AD$61)</f>
        <v>6.02668159343222</v>
      </c>
      <c r="E19" s="21" t="n">
        <f aca="false">$B19*IF(Model!$B$5=1,Data!$F$10,Model!$AE$61)</f>
        <v>3.90894673010543</v>
      </c>
      <c r="F19" s="21" t="n">
        <f aca="false">$B19*IF(Model!$B$5=1,Data!$G$10,Model!$AF$61)</f>
        <v>5.79345088161209</v>
      </c>
      <c r="G19" s="21" t="n">
        <f aca="false">$B19*Model!$S$61</f>
        <v>12.2454360812578</v>
      </c>
      <c r="H19" s="21" t="n">
        <f aca="false">$B19*Model!$T$61</f>
        <v>3.0577477347245</v>
      </c>
      <c r="I19" s="21" t="n">
        <f aca="false">$B19*Model!$U$61</f>
        <v>1.45000339007769</v>
      </c>
      <c r="J19" s="21" t="n">
        <f aca="false">$B19*Model!$V$61</f>
        <v>1.45000339007769</v>
      </c>
      <c r="K19" s="21" t="n">
        <f aca="false">$B19*Model!$W$61</f>
        <v>1.37139446281103</v>
      </c>
      <c r="L19" s="21" t="n">
        <f aca="false">$B19*Model!$X$61</f>
        <v>0.375829578734567</v>
      </c>
      <c r="M19" s="21" t="n">
        <f aca="false">$B19*Model!$Y$61</f>
        <v>0.21552675841717</v>
      </c>
      <c r="N19" s="21" t="n">
        <f aca="false">$B19*Model!$Z$61</f>
        <v>0.0222429750679642</v>
      </c>
      <c r="O19" s="21" t="n">
        <f aca="false">$B19*Model!$AA$61</f>
        <v>0.0375829578734567</v>
      </c>
    </row>
    <row r="20" customFormat="false" ht="15" hidden="false" customHeight="true" outlineLevel="0" collapsed="false">
      <c r="A20" s="23" t="n">
        <v>2033</v>
      </c>
      <c r="B20" s="21" t="n">
        <f aca="false">IF($A20&lt;=Model!$B$3,Data!$B$11*Model!$D$61,0)</f>
        <v>20.2257673290419</v>
      </c>
      <c r="C20" s="21" t="n">
        <f aca="false">$B20*IF(Model!$B$5=1,Data!$D$11,Model!$AC$61)</f>
        <v>4.46142906473559</v>
      </c>
      <c r="D20" s="21" t="n">
        <f aca="false">$B20*IF(Model!$B$5=1,Data!$E$11,Model!$AD$61)</f>
        <v>6.04812977813527</v>
      </c>
      <c r="E20" s="21" t="n">
        <f aca="false">$B20*IF(Model!$B$5=1,Data!$F$11,Model!$AE$61)</f>
        <v>3.91075058184981</v>
      </c>
      <c r="F20" s="21" t="n">
        <f aca="false">$B20*IF(Model!$B$5=1,Data!$G$11,Model!$AF$61)</f>
        <v>5.80545790432122</v>
      </c>
      <c r="G20" s="21" t="n">
        <f aca="false">$B20*Model!$S$61</f>
        <v>12.2454360812578</v>
      </c>
      <c r="H20" s="21" t="n">
        <f aca="false">$B20*Model!$T$61</f>
        <v>3.0577477347245</v>
      </c>
      <c r="I20" s="21" t="n">
        <f aca="false">$B20*Model!$U$61</f>
        <v>1.45000339007769</v>
      </c>
      <c r="J20" s="21" t="n">
        <f aca="false">$B20*Model!$V$61</f>
        <v>1.45000339007769</v>
      </c>
      <c r="K20" s="21" t="n">
        <f aca="false">$B20*Model!$W$61</f>
        <v>1.37139446281103</v>
      </c>
      <c r="L20" s="21" t="n">
        <f aca="false">$B20*Model!$X$61</f>
        <v>0.375829578734567</v>
      </c>
      <c r="M20" s="21" t="n">
        <f aca="false">$B20*Model!$Y$61</f>
        <v>0.21552675841717</v>
      </c>
      <c r="N20" s="21" t="n">
        <f aca="false">$B20*Model!$Z$61</f>
        <v>0.0222429750679642</v>
      </c>
      <c r="O20" s="21" t="n">
        <f aca="false">$B20*Model!$AA$61</f>
        <v>0.0375829578734567</v>
      </c>
    </row>
    <row r="21" customFormat="false" ht="15" hidden="false" customHeight="true" outlineLevel="0" collapsed="false">
      <c r="A21" s="23" t="n">
        <v>2034</v>
      </c>
      <c r="B21" s="21" t="n">
        <f aca="false">IF($A21&lt;=Model!$B$3,Data!$B$12*Model!$D$61,0)</f>
        <v>20.2257673290419</v>
      </c>
      <c r="C21" s="21" t="n">
        <f aca="false">$B21*IF(Model!$B$5=1,Data!$D$12,Model!$AC$61)</f>
        <v>4.42205429610972</v>
      </c>
      <c r="D21" s="21" t="n">
        <f aca="false">$B21*IF(Model!$B$5=1,Data!$E$12,Model!$AD$61)</f>
        <v>6.06399850732345</v>
      </c>
      <c r="E21" s="21" t="n">
        <f aca="false">$B21*IF(Model!$B$5=1,Data!$F$12,Model!$AE$61)</f>
        <v>3.90894673010543</v>
      </c>
      <c r="F21" s="21" t="n">
        <f aca="false">$B21*IF(Model!$B$5=1,Data!$G$12,Model!$AF$61)</f>
        <v>5.8307677955033</v>
      </c>
      <c r="G21" s="21" t="n">
        <f aca="false">$B21*Model!$S$61</f>
        <v>12.2454360812578</v>
      </c>
      <c r="H21" s="21" t="n">
        <f aca="false">$B21*Model!$T$61</f>
        <v>3.0577477347245</v>
      </c>
      <c r="I21" s="21" t="n">
        <f aca="false">$B21*Model!$U$61</f>
        <v>1.45000339007769</v>
      </c>
      <c r="J21" s="21" t="n">
        <f aca="false">$B21*Model!$V$61</f>
        <v>1.45000339007769</v>
      </c>
      <c r="K21" s="21" t="n">
        <f aca="false">$B21*Model!$W$61</f>
        <v>1.37139446281103</v>
      </c>
      <c r="L21" s="21" t="n">
        <f aca="false">$B21*Model!$X$61</f>
        <v>0.375829578734567</v>
      </c>
      <c r="M21" s="21" t="n">
        <f aca="false">$B21*Model!$Y$61</f>
        <v>0.21552675841717</v>
      </c>
      <c r="N21" s="21" t="n">
        <f aca="false">$B21*Model!$Z$61</f>
        <v>0.0222429750679642</v>
      </c>
      <c r="O21" s="21" t="n">
        <f aca="false">$B21*Model!$AA$61</f>
        <v>0.0375829578734567</v>
      </c>
    </row>
    <row r="22" customFormat="false" ht="15" hidden="false" customHeight="true" outlineLevel="0" collapsed="false">
      <c r="A22" s="23" t="n">
        <v>2035</v>
      </c>
      <c r="B22" s="21" t="n">
        <f aca="false">IF($A22&lt;=Model!$B$3,Data!$B$13*Model!$D$61,0)</f>
        <v>19.5447336505271</v>
      </c>
      <c r="C22" s="21" t="n">
        <f aca="false">$B22*IF(Model!$B$5=1,Data!$D$13,Model!$AC$61)</f>
        <v>4.18882358428957</v>
      </c>
      <c r="D22" s="21" t="n">
        <f aca="false">$B22*IF(Model!$B$5=1,Data!$E$13,Model!$AD$61)</f>
        <v>5.77479242466647</v>
      </c>
      <c r="E22" s="21" t="n">
        <f aca="false">$B22*IF(Model!$B$5=1,Data!$F$13,Model!$AE$61)</f>
        <v>3.75034984606772</v>
      </c>
      <c r="F22" s="21" t="n">
        <f aca="false">$B22*IF(Model!$B$5=1,Data!$G$13,Model!$AF$61)</f>
        <v>5.83076779550331</v>
      </c>
      <c r="G22" s="21" t="n">
        <f aca="false">$B22*Model!$S$61</f>
        <v>11.8331128183741</v>
      </c>
      <c r="H22" s="21" t="n">
        <f aca="false">$B22*Model!$T$61</f>
        <v>2.95478851671948</v>
      </c>
      <c r="I22" s="21" t="n">
        <f aca="false">$B22*Model!$U$61</f>
        <v>1.40117947519039</v>
      </c>
      <c r="J22" s="21" t="n">
        <f aca="false">$B22*Model!$V$61</f>
        <v>1.40117947519039</v>
      </c>
      <c r="K22" s="21" t="n">
        <f aca="false">$B22*Model!$W$61</f>
        <v>1.32521743523483</v>
      </c>
      <c r="L22" s="21" t="n">
        <f aca="false">$B22*Model!$X$61</f>
        <v>0.363174800483818</v>
      </c>
      <c r="M22" s="21" t="n">
        <f aca="false">$B22*Model!$Y$61</f>
        <v>0.208269630481536</v>
      </c>
      <c r="N22" s="21" t="n">
        <f aca="false">$B22*Model!$Z$61</f>
        <v>0.0214940188041443</v>
      </c>
      <c r="O22" s="21" t="n">
        <f aca="false">$B22*Model!$AA$61</f>
        <v>0.0363174800483818</v>
      </c>
    </row>
    <row r="23" customFormat="false" ht="15" hidden="false" customHeight="true" outlineLevel="0" collapsed="false">
      <c r="A23" s="23" t="n">
        <v>2036</v>
      </c>
      <c r="B23" s="21" t="n">
        <f aca="false">IF($A23&lt;=Model!$B$3,Data!$B$14*Model!$D$61,0)</f>
        <v>14.805485586342</v>
      </c>
      <c r="C23" s="21" t="n">
        <f aca="false">$B23*IF(Model!$B$5=1,Data!$D$14,Model!$AC$61)</f>
        <v>3.57157360907393</v>
      </c>
      <c r="D23" s="21" t="n">
        <f aca="false">$B23*IF(Model!$B$5=1,Data!$E$14,Model!$AD$61)</f>
        <v>4.5938032956095</v>
      </c>
      <c r="E23" s="21" t="n">
        <f aca="false">$B23*IF(Model!$B$5=1,Data!$F$14,Model!$AE$61)</f>
        <v>2.76855796366902</v>
      </c>
      <c r="F23" s="21" t="n">
        <f aca="false">$B23*IF(Model!$B$5=1,Data!$G$14,Model!$AF$61)</f>
        <v>3.87155071798956</v>
      </c>
      <c r="G23" s="21" t="n">
        <f aca="false">$B23*Model!$S$61</f>
        <v>8.96379476981373</v>
      </c>
      <c r="H23" s="21" t="n">
        <f aca="false">$B23*Model!$T$61</f>
        <v>2.23830519142425</v>
      </c>
      <c r="I23" s="21" t="n">
        <f aca="false">$B23*Model!$U$61</f>
        <v>1.06141853323491</v>
      </c>
      <c r="J23" s="21" t="n">
        <f aca="false">$B23*Model!$V$61</f>
        <v>1.06141853323491</v>
      </c>
      <c r="K23" s="21" t="n">
        <f aca="false">$B23*Model!$W$61</f>
        <v>1.00387592826619</v>
      </c>
      <c r="L23" s="21" t="n">
        <f aca="false">$B23*Model!$X$61</f>
        <v>0.275111412108744</v>
      </c>
      <c r="M23" s="21" t="n">
        <f aca="false">$B23*Model!$Y$61</f>
        <v>0.157767973066443</v>
      </c>
      <c r="N23" s="21" t="n">
        <f aca="false">$B23*Model!$Z$61</f>
        <v>0.0162821039819461</v>
      </c>
      <c r="O23" s="21" t="n">
        <f aca="false">$B23*Model!$AA$61</f>
        <v>0.0275111412108744</v>
      </c>
    </row>
    <row r="24" customFormat="false" ht="15" hidden="false" customHeight="true" outlineLevel="0" collapsed="false">
      <c r="A24" s="23" t="n">
        <v>2037</v>
      </c>
      <c r="B24" s="21" t="n">
        <f aca="false">IF($A24&lt;=Model!$B$3,Data!$B$15*Model!$D$61,0)</f>
        <v>14.6842056161955</v>
      </c>
      <c r="C24" s="21" t="n">
        <f aca="false">$B24*IF(Model!$B$5=1,Data!$D$15,Model!$AC$61)</f>
        <v>3.54231686243375</v>
      </c>
      <c r="D24" s="21" t="n">
        <f aca="false">$B24*IF(Model!$B$5=1,Data!$E$15,Model!$AD$61)</f>
        <v>4.5561728968427</v>
      </c>
      <c r="E24" s="21" t="n">
        <f aca="false">$B24*IF(Model!$B$5=1,Data!$F$15,Model!$AE$61)</f>
        <v>2.74587916497482</v>
      </c>
      <c r="F24" s="21" t="n">
        <f aca="false">$B24*IF(Model!$B$5=1,Data!$G$15,Model!$AF$61)</f>
        <v>3.83983669194429</v>
      </c>
      <c r="G24" s="21" t="n">
        <f aca="false">$B24*Model!$S$61</f>
        <v>8.89036733943718</v>
      </c>
      <c r="H24" s="21" t="n">
        <f aca="false">$B24*Model!$T$61</f>
        <v>2.21996998821788</v>
      </c>
      <c r="I24" s="21" t="n">
        <f aca="false">$B24*Model!$U$61</f>
        <v>1.05272386346046</v>
      </c>
      <c r="J24" s="21" t="n">
        <f aca="false">$B24*Model!$V$61</f>
        <v>1.05272386346046</v>
      </c>
      <c r="K24" s="21" t="n">
        <f aca="false">$B24*Model!$W$61</f>
        <v>0.9956526219855</v>
      </c>
      <c r="L24" s="21" t="n">
        <f aca="false">$B24*Model!$X$61</f>
        <v>0.272857821461351</v>
      </c>
      <c r="M24" s="21" t="n">
        <f aca="false">$B24*Model!$Y$61</f>
        <v>0.156475607817632</v>
      </c>
      <c r="N24" s="21" t="n">
        <f aca="false">$B24*Model!$Z$61</f>
        <v>0.0161487282089371</v>
      </c>
      <c r="O24" s="21" t="n">
        <f aca="false">$B24*Model!$AA$61</f>
        <v>0.0272857821461351</v>
      </c>
    </row>
    <row r="25" customFormat="false" ht="15" hidden="false" customHeight="true" outlineLevel="0" collapsed="false">
      <c r="A25" s="23" t="n">
        <v>2038</v>
      </c>
      <c r="B25" s="21" t="n">
        <f aca="false">IF($A25&lt;=Model!$B$3,Data!$B$16*Model!$D$61,0)</f>
        <v>14.5069502752122</v>
      </c>
      <c r="C25" s="21" t="n">
        <f aca="false">$B25*IF(Model!$B$5=1,Data!$D$16,Model!$AC$61)</f>
        <v>3.49955700195966</v>
      </c>
      <c r="D25" s="21" t="n">
        <f aca="false">$B25*IF(Model!$B$5=1,Data!$E$16,Model!$AD$61)</f>
        <v>4.50117462172198</v>
      </c>
      <c r="E25" s="21" t="n">
        <f aca="false">$B25*IF(Model!$B$5=1,Data!$F$16,Model!$AE$61)</f>
        <v>2.71273322842175</v>
      </c>
      <c r="F25" s="21" t="n">
        <f aca="false">$B25*IF(Model!$B$5=1,Data!$G$16,Model!$AF$61)</f>
        <v>3.79348542310886</v>
      </c>
      <c r="G25" s="21" t="n">
        <f aca="false">$B25*Model!$S$61</f>
        <v>8.78305032580992</v>
      </c>
      <c r="H25" s="21" t="n">
        <f aca="false">$B25*Model!$T$61</f>
        <v>2.19317238353164</v>
      </c>
      <c r="I25" s="21" t="n">
        <f aca="false">$B25*Model!$U$61</f>
        <v>1.04001626917473</v>
      </c>
      <c r="J25" s="21" t="n">
        <f aca="false">$B25*Model!$V$61</f>
        <v>1.04001626917473</v>
      </c>
      <c r="K25" s="21" t="n">
        <f aca="false">$B25*Model!$W$61</f>
        <v>0.983633943575255</v>
      </c>
      <c r="L25" s="21" t="n">
        <f aca="false">$B25*Model!$X$61</f>
        <v>0.269564112053621</v>
      </c>
      <c r="M25" s="21" t="n">
        <f aca="false">$B25*Model!$Y$61</f>
        <v>0.154586766300138</v>
      </c>
      <c r="N25" s="21" t="n">
        <f aca="false">$B25*Model!$Z$61</f>
        <v>0.015953794386847</v>
      </c>
      <c r="O25" s="21" t="n">
        <f aca="false">$B25*Model!$AA$61</f>
        <v>0.0269564112053621</v>
      </c>
    </row>
    <row r="26" customFormat="false" ht="15" hidden="false" customHeight="true" outlineLevel="0" collapsed="false">
      <c r="A26" s="23" t="n">
        <v>2039</v>
      </c>
      <c r="B26" s="21" t="n">
        <f aca="false">IF($A26&lt;=Model!$B$3,Data!$B$17*Model!$D$61,0)</f>
        <v>14.376341076593</v>
      </c>
      <c r="C26" s="21" t="n">
        <f aca="false">$B26*IF(Model!$B$5=1,Data!$D$17,Model!$AC$61)</f>
        <v>3.46804973634715</v>
      </c>
      <c r="D26" s="21" t="n">
        <f aca="false">$B26*IF(Model!$B$5=1,Data!$E$17,Model!$AD$61)</f>
        <v>4.46064957689617</v>
      </c>
      <c r="E26" s="21" t="n">
        <f aca="false">$B26*IF(Model!$B$5=1,Data!$F$17,Model!$AE$61)</f>
        <v>2.68830990675108</v>
      </c>
      <c r="F26" s="21" t="n">
        <f aca="false">$B26*IF(Model!$B$5=1,Data!$G$17,Model!$AF$61)</f>
        <v>3.75933185659857</v>
      </c>
      <c r="G26" s="21" t="n">
        <f aca="false">$B26*Model!$S$61</f>
        <v>8.70397463155826</v>
      </c>
      <c r="H26" s="21" t="n">
        <f aca="false">$B26*Model!$T$61</f>
        <v>2.17342678007862</v>
      </c>
      <c r="I26" s="21" t="n">
        <f aca="false">$B26*Model!$U$61</f>
        <v>1.0306527786484</v>
      </c>
      <c r="J26" s="21" t="n">
        <f aca="false">$B26*Model!$V$61</f>
        <v>1.0306527786484</v>
      </c>
      <c r="K26" s="21" t="n">
        <f aca="false">$B26*Model!$W$61</f>
        <v>0.97477807527297</v>
      </c>
      <c r="L26" s="21" t="n">
        <f aca="false">$B26*Model!$X$61</f>
        <v>0.267137168279505</v>
      </c>
      <c r="M26" s="21" t="n">
        <f aca="false">$B26*Model!$Y$61</f>
        <v>0.15319498833988</v>
      </c>
      <c r="N26" s="21" t="n">
        <f aca="false">$B26*Model!$Z$61</f>
        <v>0.0158101589389911</v>
      </c>
      <c r="O26" s="21" t="n">
        <f aca="false">$B26*Model!$AA$61</f>
        <v>0.0267137168279505</v>
      </c>
    </row>
    <row r="27" customFormat="false" ht="15" hidden="false" customHeight="true" outlineLevel="0" collapsed="false">
      <c r="A27" s="23" t="n">
        <v>2040</v>
      </c>
      <c r="B27" s="21" t="n">
        <f aca="false">IF($A27&lt;=Model!$B$3,Data!$B$18*Model!$D$61,0)</f>
        <v>14.2270734210281</v>
      </c>
      <c r="C27" s="21" t="n">
        <f aca="false">$B27*IF(Model!$B$5=1,Data!$D$18,Model!$AC$61)</f>
        <v>3.43204143279001</v>
      </c>
      <c r="D27" s="21" t="n">
        <f aca="false">$B27*IF(Model!$B$5=1,Data!$E$18,Model!$AD$61)</f>
        <v>4.41433523995242</v>
      </c>
      <c r="E27" s="21" t="n">
        <f aca="false">$B27*IF(Model!$B$5=1,Data!$F$18,Model!$AE$61)</f>
        <v>2.66039753912744</v>
      </c>
      <c r="F27" s="21" t="n">
        <f aca="false">$B27*IF(Model!$B$5=1,Data!$G$18,Model!$AF$61)</f>
        <v>3.72029920915821</v>
      </c>
      <c r="G27" s="21" t="n">
        <f aca="false">$B27*Model!$S$61</f>
        <v>8.61360240955635</v>
      </c>
      <c r="H27" s="21" t="n">
        <f aca="false">$B27*Model!$T$61</f>
        <v>2.15086037613232</v>
      </c>
      <c r="I27" s="21" t="n">
        <f aca="false">$B27*Model!$U$61</f>
        <v>1.0199516466183</v>
      </c>
      <c r="J27" s="21" t="n">
        <f aca="false">$B27*Model!$V$61</f>
        <v>1.0199516466183</v>
      </c>
      <c r="K27" s="21" t="n">
        <f aca="false">$B27*Model!$W$61</f>
        <v>0.964657082927501</v>
      </c>
      <c r="L27" s="21" t="n">
        <f aca="false">$B27*Model!$X$61</f>
        <v>0.264363518251944</v>
      </c>
      <c r="M27" s="21" t="n">
        <f aca="false">$B27*Model!$Y$61</f>
        <v>0.151604384956727</v>
      </c>
      <c r="N27" s="21" t="n">
        <f aca="false">$B27*Model!$Z$61</f>
        <v>0.0156460041414416</v>
      </c>
      <c r="O27" s="21" t="n">
        <f aca="false">$B27*Model!$AA$61</f>
        <v>0.0264363518251944</v>
      </c>
    </row>
    <row r="28" customFormat="false" ht="15" hidden="false" customHeight="true" outlineLevel="0" collapsed="false">
      <c r="A28" s="24" t="s">
        <v>122</v>
      </c>
      <c r="B28" s="25" t="n">
        <f aca="false">SUM(B13:B27)</f>
        <v>371.90036383991</v>
      </c>
      <c r="C28" s="25" t="n">
        <f aca="false">SUM(C13:C27)</f>
        <v>89.7143840569922</v>
      </c>
      <c r="D28" s="25" t="n">
        <f aca="false">SUM(D13:D27)</f>
        <v>115.392018007853</v>
      </c>
      <c r="E28" s="25" t="n">
        <f aca="false">SUM(E13:E27)</f>
        <v>69.54371174754</v>
      </c>
      <c r="F28" s="25" t="n">
        <f aca="false">SUM(F13:F27)</f>
        <v>97.2502500275251</v>
      </c>
      <c r="G28" s="25" t="n">
        <f aca="false">SUM(G13:G27)</f>
        <v>225.162391117741</v>
      </c>
      <c r="H28" s="25" t="n">
        <f aca="false">SUM(H13:H27)</f>
        <v>56.2241954322221</v>
      </c>
      <c r="I28" s="25" t="n">
        <f aca="false">SUM(I13:I27)</f>
        <v>26.6618704529783</v>
      </c>
      <c r="J28" s="25" t="n">
        <f aca="false">SUM(J13:J27)</f>
        <v>26.6618704529783</v>
      </c>
      <c r="K28" s="25" t="n">
        <f aca="false">SUM(K13:K27)</f>
        <v>25.2164524287357</v>
      </c>
      <c r="L28" s="25" t="n">
        <f aca="false">SUM(L13:L27)</f>
        <v>6.91054904366917</v>
      </c>
      <c r="M28" s="25" t="n">
        <f aca="false">SUM(M13:M27)</f>
        <v>3.96298832912457</v>
      </c>
      <c r="N28" s="25" t="n">
        <f aca="false">SUM(N13:N27)</f>
        <v>0.408991678094706</v>
      </c>
      <c r="O28" s="25" t="n">
        <f aca="false">SUM(O13:O27)</f>
        <v>0.691054904366917</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Data!$H$38*Data!$M$38/SUM(Data!$H$38:$K$38)</f>
        <v>35.7</v>
      </c>
      <c r="C34" s="22" t="n">
        <f aca="false">IF($B$38&gt;0,B34/$B$38,0)</f>
        <v>0.075</v>
      </c>
      <c r="D34" s="21" t="n">
        <f aca="false">C28</f>
        <v>89.7143840569922</v>
      </c>
      <c r="E34" s="22" t="n">
        <f aca="false">IF($D$38&gt;0,D34/$D$38,0)</f>
        <v>0.241232310532536</v>
      </c>
      <c r="F34" s="21" t="n">
        <f aca="false">B34+D34</f>
        <v>125.414384056992</v>
      </c>
      <c r="G34" s="22" t="n">
        <f aca="false">IF($F$38&gt;0,F34/$F$38,0)</f>
        <v>0.147911699776875</v>
      </c>
    </row>
    <row r="35" customFormat="false" ht="15" hidden="false" customHeight="true" outlineLevel="0" collapsed="false">
      <c r="A35" s="13" t="s">
        <v>110</v>
      </c>
      <c r="B35" s="21" t="n">
        <f aca="false">Data!$I$38*Data!$M$38/SUM(Data!$H$38:$K$38)</f>
        <v>73.5636363636364</v>
      </c>
      <c r="C35" s="22" t="n">
        <f aca="false">IF($B$38&gt;0,B35/$B$38,0)</f>
        <v>0.154545454545455</v>
      </c>
      <c r="D35" s="21" t="n">
        <f aca="false">D28</f>
        <v>115.392018007853</v>
      </c>
      <c r="E35" s="22" t="n">
        <f aca="false">IF($D$38&gt;0,D35/$D$38,0)</f>
        <v>0.310276701040081</v>
      </c>
      <c r="F35" s="21" t="n">
        <f aca="false">B35+D35</f>
        <v>188.955654371489</v>
      </c>
      <c r="G35" s="22" t="n">
        <f aca="false">IF($F$38&gt;0,F35/$F$38,0)</f>
        <v>0.222851248129863</v>
      </c>
    </row>
    <row r="36" customFormat="false" ht="15" hidden="false" customHeight="true" outlineLevel="0" collapsed="false">
      <c r="A36" s="13" t="s">
        <v>111</v>
      </c>
      <c r="B36" s="21" t="n">
        <f aca="false">Data!$J$38*Data!$M$38/SUM(Data!$H$38:$K$38)</f>
        <v>177.418181818182</v>
      </c>
      <c r="C36" s="22" t="n">
        <f aca="false">IF($B$38&gt;0,B36/$B$38,0)</f>
        <v>0.372727272727273</v>
      </c>
      <c r="D36" s="21" t="n">
        <f aca="false">E28</f>
        <v>69.54371174754</v>
      </c>
      <c r="E36" s="22" t="n">
        <f aca="false">IF($D$38&gt;0,D36/$D$38,0)</f>
        <v>0.186995546413275</v>
      </c>
      <c r="F36" s="21" t="n">
        <f aca="false">B36+D36</f>
        <v>246.961893565722</v>
      </c>
      <c r="G36" s="22" t="n">
        <f aca="false">IF($F$38&gt;0,F36/$F$38,0)</f>
        <v>0.291262870141131</v>
      </c>
    </row>
    <row r="37" customFormat="false" ht="15" hidden="false" customHeight="true" outlineLevel="0" collapsed="false">
      <c r="A37" s="13" t="s">
        <v>112</v>
      </c>
      <c r="B37" s="21" t="n">
        <f aca="false">Data!$K$38*Data!$M$38/SUM(Data!$H$38:$K$38)</f>
        <v>189.318181818182</v>
      </c>
      <c r="C37" s="22" t="n">
        <f aca="false">IF($B$38&gt;0,B37/$B$38,0)</f>
        <v>0.397727272727273</v>
      </c>
      <c r="D37" s="21" t="n">
        <f aca="false">F28</f>
        <v>97.2502500275251</v>
      </c>
      <c r="E37" s="22" t="n">
        <f aca="false">IF($D$38&gt;0,D37/$D$38,0)</f>
        <v>0.261495442014109</v>
      </c>
      <c r="F37" s="21" t="n">
        <f aca="false">B37+D37</f>
        <v>286.568431845707</v>
      </c>
      <c r="G37" s="22" t="n">
        <f aca="false">IF($F$38&gt;0,F37/$F$38,0)</f>
        <v>0.33797418195213</v>
      </c>
    </row>
    <row r="38" customFormat="false" ht="15" hidden="false" customHeight="true" outlineLevel="0" collapsed="false">
      <c r="A38" s="24" t="s">
        <v>61</v>
      </c>
      <c r="B38" s="25" t="n">
        <f aca="false">SUM(B34:B37)</f>
        <v>476</v>
      </c>
      <c r="C38" s="27" t="n">
        <f aca="false">SUM(C34:C37)</f>
        <v>1</v>
      </c>
      <c r="D38" s="25" t="n">
        <f aca="false">SUM(D34:D37)</f>
        <v>371.90036383991</v>
      </c>
      <c r="E38" s="27" t="n">
        <f aca="false">SUM(E34:E37)</f>
        <v>1</v>
      </c>
      <c r="F38" s="25" t="n">
        <f aca="false">SUM(F34:F37)</f>
        <v>847.90036383991</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103</v>
      </c>
      <c r="C6" s="15" t="n">
        <f aca="false">Model!$Q$62</f>
        <v>0.1</v>
      </c>
    </row>
    <row r="7" customFormat="false" ht="15" hidden="false" customHeight="true" outlineLevel="0" collapsed="false">
      <c r="A7" s="13" t="s">
        <v>104</v>
      </c>
      <c r="C7" s="15" t="n">
        <f aca="false">Model!$G$62</f>
        <v>0.20501</v>
      </c>
    </row>
    <row r="8" customFormat="false" ht="15" hidden="false" customHeight="true" outlineLevel="0" collapsed="false">
      <c r="A8" s="13" t="s">
        <v>105</v>
      </c>
      <c r="C8" s="15" t="n">
        <f aca="false">Model!$R$62</f>
        <v>0.162802792177836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IF($A13&lt;=Model!$B$3,Data!$B$4*Model!$D$62,0)</f>
        <v>32.4129582983487</v>
      </c>
      <c r="C13" s="21" t="n">
        <f aca="false">$B13*IF(Model!$B$5=1,Data!$D$4,Model!$AC$62)</f>
        <v>8.38449648289838</v>
      </c>
      <c r="D13" s="21" t="n">
        <f aca="false">$B13*IF(Model!$B$5=1,Data!$E$4,Model!$AD$62)</f>
        <v>10.2620763843271</v>
      </c>
      <c r="E13" s="21" t="n">
        <f aca="false">$B13*IF(Model!$B$5=1,Data!$F$4,Model!$AE$62)</f>
        <v>5.99761353128452</v>
      </c>
      <c r="F13" s="21" t="n">
        <f aca="false">$B13*IF(Model!$B$5=1,Data!$G$4,Model!$AF$62)</f>
        <v>7.76877189983873</v>
      </c>
      <c r="G13" s="21" t="n">
        <f aca="false">$B13*Model!$S$62</f>
        <v>19.6240173532</v>
      </c>
      <c r="H13" s="21" t="n">
        <f aca="false">$B13*Model!$T$62</f>
        <v>4.90021704492685</v>
      </c>
      <c r="I13" s="21" t="n">
        <f aca="false">$B13*Model!$U$62</f>
        <v>2.32371403519348</v>
      </c>
      <c r="J13" s="21" t="n">
        <f aca="false">$B13*Model!$V$62</f>
        <v>2.32371403519348</v>
      </c>
      <c r="K13" s="21" t="n">
        <f aca="false">$B13*Model!$W$62</f>
        <v>2.19773869690738</v>
      </c>
      <c r="L13" s="21" t="n">
        <f aca="false">$B13*Model!$X$62</f>
        <v>0.602288569062984</v>
      </c>
      <c r="M13" s="21" t="n">
        <f aca="false">$B13*Model!$Y$62</f>
        <v>0.345394056952446</v>
      </c>
      <c r="N13" s="21" t="n">
        <f aca="false">$B13*Model!$Z$62</f>
        <v>0.0356456500057684</v>
      </c>
      <c r="O13" s="21" t="n">
        <f aca="false">$B13*Model!$AA$62</f>
        <v>0.0602288569062984</v>
      </c>
    </row>
    <row r="14" customFormat="false" ht="15" hidden="false" customHeight="true" outlineLevel="0" collapsed="false">
      <c r="A14" s="23" t="n">
        <v>2027</v>
      </c>
      <c r="B14" s="21" t="n">
        <f aca="false">IF($A14&lt;=Model!$B$3,Data!$B$5*Model!$D$62,0)</f>
        <v>32.4129582983487</v>
      </c>
      <c r="C14" s="21" t="n">
        <f aca="false">$B14*IF(Model!$B$5=1,Data!$D$5,Model!$AC$62)</f>
        <v>8.14884880296197</v>
      </c>
      <c r="D14" s="21" t="n">
        <f aca="false">$B14*IF(Model!$B$5=1,Data!$E$5,Model!$AD$62)</f>
        <v>10.292482536577</v>
      </c>
      <c r="E14" s="21" t="n">
        <f aca="false">$B14*IF(Model!$B$5=1,Data!$F$5,Model!$AE$62)</f>
        <v>5.98241045515959</v>
      </c>
      <c r="F14" s="21" t="n">
        <f aca="false">$B14*IF(Model!$B$5=1,Data!$G$5,Model!$AF$62)</f>
        <v>7.98921650365021</v>
      </c>
      <c r="G14" s="21" t="n">
        <f aca="false">$B14*Model!$S$62</f>
        <v>19.6240173532</v>
      </c>
      <c r="H14" s="21" t="n">
        <f aca="false">$B14*Model!$T$62</f>
        <v>4.90021704492685</v>
      </c>
      <c r="I14" s="21" t="n">
        <f aca="false">$B14*Model!$U$62</f>
        <v>2.32371403519348</v>
      </c>
      <c r="J14" s="21" t="n">
        <f aca="false">$B14*Model!$V$62</f>
        <v>2.32371403519348</v>
      </c>
      <c r="K14" s="21" t="n">
        <f aca="false">$B14*Model!$W$62</f>
        <v>2.19773869690738</v>
      </c>
      <c r="L14" s="21" t="n">
        <f aca="false">$B14*Model!$X$62</f>
        <v>0.602288569062984</v>
      </c>
      <c r="M14" s="21" t="n">
        <f aca="false">$B14*Model!$Y$62</f>
        <v>0.345394056952446</v>
      </c>
      <c r="N14" s="21" t="n">
        <f aca="false">$B14*Model!$Z$62</f>
        <v>0.0356456500057684</v>
      </c>
      <c r="O14" s="21" t="n">
        <f aca="false">$B14*Model!$AA$62</f>
        <v>0.0602288569062984</v>
      </c>
    </row>
    <row r="15" customFormat="false" ht="15" hidden="false" customHeight="true" outlineLevel="0" collapsed="false">
      <c r="A15" s="23" t="n">
        <v>2028</v>
      </c>
      <c r="B15" s="21" t="n">
        <f aca="false">IF($A15&lt;=Model!$B$3,Data!$B$6*Model!$D$62,0)</f>
        <v>32.4129582983487</v>
      </c>
      <c r="C15" s="21" t="n">
        <f aca="false">$B15*IF(Model!$B$5=1,Data!$D$6,Model!$AC$62)</f>
        <v>8.12225233754962</v>
      </c>
      <c r="D15" s="21" t="n">
        <f aca="false">$B15*IF(Model!$B$5=1,Data!$E$6,Model!$AD$62)</f>
        <v>10.2973124204515</v>
      </c>
      <c r="E15" s="21" t="n">
        <f aca="false">$B15*IF(Model!$B$5=1,Data!$F$6,Model!$AE$62)</f>
        <v>5.9852177805726</v>
      </c>
      <c r="F15" s="21" t="n">
        <f aca="false">$B15*IF(Model!$B$5=1,Data!$G$6,Model!$AF$62)</f>
        <v>8.00817575977503</v>
      </c>
      <c r="G15" s="21" t="n">
        <f aca="false">$B15*Model!$S$62</f>
        <v>19.6240173532</v>
      </c>
      <c r="H15" s="21" t="n">
        <f aca="false">$B15*Model!$T$62</f>
        <v>4.90021704492685</v>
      </c>
      <c r="I15" s="21" t="n">
        <f aca="false">$B15*Model!$U$62</f>
        <v>2.32371403519348</v>
      </c>
      <c r="J15" s="21" t="n">
        <f aca="false">$B15*Model!$V$62</f>
        <v>2.32371403519348</v>
      </c>
      <c r="K15" s="21" t="n">
        <f aca="false">$B15*Model!$W$62</f>
        <v>2.19773869690738</v>
      </c>
      <c r="L15" s="21" t="n">
        <f aca="false">$B15*Model!$X$62</f>
        <v>0.602288569062984</v>
      </c>
      <c r="M15" s="21" t="n">
        <f aca="false">$B15*Model!$Y$62</f>
        <v>0.345394056952446</v>
      </c>
      <c r="N15" s="21" t="n">
        <f aca="false">$B15*Model!$Z$62</f>
        <v>0.0356456500057684</v>
      </c>
      <c r="O15" s="21" t="n">
        <f aca="false">$B15*Model!$AA$62</f>
        <v>0.0602288569062984</v>
      </c>
    </row>
    <row r="16" customFormat="false" ht="15" hidden="false" customHeight="true" outlineLevel="0" collapsed="false">
      <c r="A16" s="23" t="n">
        <v>2029</v>
      </c>
      <c r="B16" s="21" t="n">
        <f aca="false">IF($A16&lt;=Model!$B$3,Data!$B$7*Model!$D$62,0)</f>
        <v>32.4129582983487</v>
      </c>
      <c r="C16" s="21" t="n">
        <f aca="false">$B16*IF(Model!$B$5=1,Data!$D$7,Model!$AC$62)</f>
        <v>8.0367105140405</v>
      </c>
      <c r="D16" s="21" t="n">
        <f aca="false">$B16*IF(Model!$B$5=1,Data!$E$7,Model!$AD$62)</f>
        <v>10.241673663588</v>
      </c>
      <c r="E16" s="21" t="n">
        <f aca="false">$B16*IF(Model!$B$5=1,Data!$F$7,Model!$AE$62)</f>
        <v>5.94579718257301</v>
      </c>
      <c r="F16" s="21" t="n">
        <f aca="false">$B16*IF(Model!$B$5=1,Data!$G$7,Model!$AF$62)</f>
        <v>8.1887769381472</v>
      </c>
      <c r="G16" s="21" t="n">
        <f aca="false">$B16*Model!$S$62</f>
        <v>19.6240173532</v>
      </c>
      <c r="H16" s="21" t="n">
        <f aca="false">$B16*Model!$T$62</f>
        <v>4.90021704492685</v>
      </c>
      <c r="I16" s="21" t="n">
        <f aca="false">$B16*Model!$U$62</f>
        <v>2.32371403519348</v>
      </c>
      <c r="J16" s="21" t="n">
        <f aca="false">$B16*Model!$V$62</f>
        <v>2.32371403519348</v>
      </c>
      <c r="K16" s="21" t="n">
        <f aca="false">$B16*Model!$W$62</f>
        <v>2.19773869690738</v>
      </c>
      <c r="L16" s="21" t="n">
        <f aca="false">$B16*Model!$X$62</f>
        <v>0.602288569062984</v>
      </c>
      <c r="M16" s="21" t="n">
        <f aca="false">$B16*Model!$Y$62</f>
        <v>0.345394056952446</v>
      </c>
      <c r="N16" s="21" t="n">
        <f aca="false">$B16*Model!$Z$62</f>
        <v>0.0356456500057684</v>
      </c>
      <c r="O16" s="21" t="n">
        <f aca="false">$B16*Model!$AA$62</f>
        <v>0.0602288569062984</v>
      </c>
    </row>
    <row r="17" customFormat="false" ht="15" hidden="false" customHeight="true" outlineLevel="0" collapsed="false">
      <c r="A17" s="23" t="n">
        <v>2030</v>
      </c>
      <c r="B17" s="21" t="n">
        <f aca="false">IF($A17&lt;=Model!$B$3,Data!$B$8*Model!$D$62,0)</f>
        <v>32.4129582983487</v>
      </c>
      <c r="C17" s="21" t="n">
        <f aca="false">$B17*IF(Model!$B$5=1,Data!$D$8,Model!$AC$62)</f>
        <v>8.02338597014497</v>
      </c>
      <c r="D17" s="21" t="n">
        <f aca="false">$B17*IF(Model!$B$5=1,Data!$E$8,Model!$AD$62)</f>
        <v>10.0919745804572</v>
      </c>
      <c r="E17" s="21" t="n">
        <f aca="false">$B17*IF(Model!$B$5=1,Data!$F$8,Model!$AE$62)</f>
        <v>5.95479735983272</v>
      </c>
      <c r="F17" s="21" t="n">
        <f aca="false">$B17*IF(Model!$B$5=1,Data!$G$8,Model!$AF$62)</f>
        <v>8.34280038791378</v>
      </c>
      <c r="G17" s="21" t="n">
        <f aca="false">$B17*Model!$S$62</f>
        <v>19.6240173532</v>
      </c>
      <c r="H17" s="21" t="n">
        <f aca="false">$B17*Model!$T$62</f>
        <v>4.90021704492685</v>
      </c>
      <c r="I17" s="21" t="n">
        <f aca="false">$B17*Model!$U$62</f>
        <v>2.32371403519348</v>
      </c>
      <c r="J17" s="21" t="n">
        <f aca="false">$B17*Model!$V$62</f>
        <v>2.32371403519348</v>
      </c>
      <c r="K17" s="21" t="n">
        <f aca="false">$B17*Model!$W$62</f>
        <v>2.19773869690738</v>
      </c>
      <c r="L17" s="21" t="n">
        <f aca="false">$B17*Model!$X$62</f>
        <v>0.602288569062984</v>
      </c>
      <c r="M17" s="21" t="n">
        <f aca="false">$B17*Model!$Y$62</f>
        <v>0.345394056952446</v>
      </c>
      <c r="N17" s="21" t="n">
        <f aca="false">$B17*Model!$Z$62</f>
        <v>0.0356456500057684</v>
      </c>
      <c r="O17" s="21" t="n">
        <f aca="false">$B17*Model!$AA$62</f>
        <v>0.0602288569062984</v>
      </c>
    </row>
    <row r="18" customFormat="false" ht="15" hidden="false" customHeight="true" outlineLevel="0" collapsed="false">
      <c r="A18" s="23" t="n">
        <v>2031</v>
      </c>
      <c r="B18" s="21" t="n">
        <f aca="false">IF($A18&lt;=Model!$B$3,Data!$B$9*Model!$D$62,0)</f>
        <v>16.4840003731691</v>
      </c>
      <c r="C18" s="21" t="n">
        <f aca="false">$B18*IF(Model!$B$5=1,Data!$D$9,Model!$AC$62)</f>
        <v>3.8092639238735</v>
      </c>
      <c r="D18" s="21" t="n">
        <f aca="false">$B18*IF(Model!$B$5=1,Data!$E$9,Model!$AD$62)</f>
        <v>5.01058867431664</v>
      </c>
      <c r="E18" s="21" t="n">
        <f aca="false">$B18*IF(Model!$B$5=1,Data!$F$9,Model!$AE$62)</f>
        <v>3.13256833659857</v>
      </c>
      <c r="F18" s="21" t="n">
        <f aca="false">$B18*IF(Model!$B$5=1,Data!$G$9,Model!$AF$62)</f>
        <v>4.53157943838045</v>
      </c>
      <c r="G18" s="21" t="n">
        <f aca="false">$B18*Model!$S$62</f>
        <v>9.98003040622512</v>
      </c>
      <c r="H18" s="21" t="n">
        <f aca="false">$B18*Model!$T$62</f>
        <v>2.49206440380047</v>
      </c>
      <c r="I18" s="21" t="n">
        <f aca="false">$B18*Model!$U$62</f>
        <v>1.18175276291332</v>
      </c>
      <c r="J18" s="21" t="n">
        <f aca="false">$B18*Model!$V$62</f>
        <v>1.18175276291332</v>
      </c>
      <c r="K18" s="21" t="n">
        <f aca="false">$B18*Model!$W$62</f>
        <v>1.11768648719099</v>
      </c>
      <c r="L18" s="21" t="n">
        <f aca="false">$B18*Model!$X$62</f>
        <v>0.306301106668672</v>
      </c>
      <c r="M18" s="21" t="n">
        <f aca="false">$B18*Model!$Y$62</f>
        <v>0.175654308109994</v>
      </c>
      <c r="N18" s="21" t="n">
        <f aca="false">$B18*Model!$Z$62</f>
        <v>0.0181280246803908</v>
      </c>
      <c r="O18" s="21" t="n">
        <f aca="false">$B18*Model!$AA$62</f>
        <v>0.0306301106668672</v>
      </c>
    </row>
    <row r="19" customFormat="false" ht="15" hidden="false" customHeight="true" outlineLevel="0" collapsed="false">
      <c r="A19" s="23" t="n">
        <v>2032</v>
      </c>
      <c r="B19" s="21" t="n">
        <f aca="false">IF($A19&lt;=Model!$B$3,Data!$B$10*Model!$D$62,0)</f>
        <v>16.4840003731691</v>
      </c>
      <c r="C19" s="21" t="n">
        <f aca="false">$B19*IF(Model!$B$5=1,Data!$D$10,Model!$AC$62)</f>
        <v>3.66480082097211</v>
      </c>
      <c r="D19" s="21" t="n">
        <f aca="false">$B19*IF(Model!$B$5=1,Data!$E$10,Model!$AD$62)</f>
        <v>4.91174549864726</v>
      </c>
      <c r="E19" s="21" t="n">
        <f aca="false">$B19*IF(Model!$B$5=1,Data!$F$10,Model!$AE$62)</f>
        <v>3.18579158503592</v>
      </c>
      <c r="F19" s="21" t="n">
        <f aca="false">$B19*IF(Model!$B$5=1,Data!$G$10,Model!$AF$62)</f>
        <v>4.72166246851386</v>
      </c>
      <c r="G19" s="21" t="n">
        <f aca="false">$B19*Model!$S$62</f>
        <v>9.98003040622512</v>
      </c>
      <c r="H19" s="21" t="n">
        <f aca="false">$B19*Model!$T$62</f>
        <v>2.49206440380047</v>
      </c>
      <c r="I19" s="21" t="n">
        <f aca="false">$B19*Model!$U$62</f>
        <v>1.18175276291332</v>
      </c>
      <c r="J19" s="21" t="n">
        <f aca="false">$B19*Model!$V$62</f>
        <v>1.18175276291332</v>
      </c>
      <c r="K19" s="21" t="n">
        <f aca="false">$B19*Model!$W$62</f>
        <v>1.11768648719099</v>
      </c>
      <c r="L19" s="21" t="n">
        <f aca="false">$B19*Model!$X$62</f>
        <v>0.306301106668672</v>
      </c>
      <c r="M19" s="21" t="n">
        <f aca="false">$B19*Model!$Y$62</f>
        <v>0.175654308109994</v>
      </c>
      <c r="N19" s="21" t="n">
        <f aca="false">$B19*Model!$Z$62</f>
        <v>0.0181280246803908</v>
      </c>
      <c r="O19" s="21" t="n">
        <f aca="false">$B19*Model!$AA$62</f>
        <v>0.0306301106668672</v>
      </c>
    </row>
    <row r="20" customFormat="false" ht="15" hidden="false" customHeight="true" outlineLevel="0" collapsed="false">
      <c r="A20" s="23" t="n">
        <v>2033</v>
      </c>
      <c r="B20" s="21" t="n">
        <f aca="false">IF($A20&lt;=Model!$B$3,Data!$B$11*Model!$D$62,0)</f>
        <v>16.4840003731691</v>
      </c>
      <c r="C20" s="21" t="n">
        <f aca="false">$B20*IF(Model!$B$5=1,Data!$D$11,Model!$AC$62)</f>
        <v>3.63606468775951</v>
      </c>
      <c r="D20" s="21" t="n">
        <f aca="false">$B20*IF(Model!$B$5=1,Data!$E$11,Model!$AD$62)</f>
        <v>4.92922576918024</v>
      </c>
      <c r="E20" s="21" t="n">
        <f aca="false">$B20*IF(Model!$B$5=1,Data!$F$11,Model!$AE$62)</f>
        <v>3.1872617242076</v>
      </c>
      <c r="F20" s="21" t="n">
        <f aca="false">$B20*IF(Model!$B$5=1,Data!$G$11,Model!$AF$62)</f>
        <v>4.73144819202179</v>
      </c>
      <c r="G20" s="21" t="n">
        <f aca="false">$B20*Model!$S$62</f>
        <v>9.98003040622512</v>
      </c>
      <c r="H20" s="21" t="n">
        <f aca="false">$B20*Model!$T$62</f>
        <v>2.49206440380047</v>
      </c>
      <c r="I20" s="21" t="n">
        <f aca="false">$B20*Model!$U$62</f>
        <v>1.18175276291332</v>
      </c>
      <c r="J20" s="21" t="n">
        <f aca="false">$B20*Model!$V$62</f>
        <v>1.18175276291332</v>
      </c>
      <c r="K20" s="21" t="n">
        <f aca="false">$B20*Model!$W$62</f>
        <v>1.11768648719099</v>
      </c>
      <c r="L20" s="21" t="n">
        <f aca="false">$B20*Model!$X$62</f>
        <v>0.306301106668672</v>
      </c>
      <c r="M20" s="21" t="n">
        <f aca="false">$B20*Model!$Y$62</f>
        <v>0.175654308109994</v>
      </c>
      <c r="N20" s="21" t="n">
        <f aca="false">$B20*Model!$Z$62</f>
        <v>0.0181280246803908</v>
      </c>
      <c r="O20" s="21" t="n">
        <f aca="false">$B20*Model!$AA$62</f>
        <v>0.0306301106668672</v>
      </c>
    </row>
    <row r="21" customFormat="false" ht="15" hidden="false" customHeight="true" outlineLevel="0" collapsed="false">
      <c r="A21" s="23" t="n">
        <v>2034</v>
      </c>
      <c r="B21" s="21" t="n">
        <f aca="false">IF($A21&lt;=Model!$B$3,Data!$B$12*Model!$D$62,0)</f>
        <v>16.4840003731691</v>
      </c>
      <c r="C21" s="21" t="n">
        <f aca="false">$B21*IF(Model!$B$5=1,Data!$D$12,Model!$AC$62)</f>
        <v>3.60397425132942</v>
      </c>
      <c r="D21" s="21" t="n">
        <f aca="false">$B21*IF(Model!$B$5=1,Data!$E$12,Model!$AD$62)</f>
        <v>4.94215878346861</v>
      </c>
      <c r="E21" s="21" t="n">
        <f aca="false">$B21*IF(Model!$B$5=1,Data!$F$12,Model!$AE$62)</f>
        <v>3.18579158503592</v>
      </c>
      <c r="F21" s="21" t="n">
        <f aca="false">$B21*IF(Model!$B$5=1,Data!$G$12,Model!$AF$62)</f>
        <v>4.75207575333519</v>
      </c>
      <c r="G21" s="21" t="n">
        <f aca="false">$B21*Model!$S$62</f>
        <v>9.98003040622512</v>
      </c>
      <c r="H21" s="21" t="n">
        <f aca="false">$B21*Model!$T$62</f>
        <v>2.49206440380047</v>
      </c>
      <c r="I21" s="21" t="n">
        <f aca="false">$B21*Model!$U$62</f>
        <v>1.18175276291332</v>
      </c>
      <c r="J21" s="21" t="n">
        <f aca="false">$B21*Model!$V$62</f>
        <v>1.18175276291332</v>
      </c>
      <c r="K21" s="21" t="n">
        <f aca="false">$B21*Model!$W$62</f>
        <v>1.11768648719099</v>
      </c>
      <c r="L21" s="21" t="n">
        <f aca="false">$B21*Model!$X$62</f>
        <v>0.306301106668672</v>
      </c>
      <c r="M21" s="21" t="n">
        <f aca="false">$B21*Model!$Y$62</f>
        <v>0.175654308109994</v>
      </c>
      <c r="N21" s="21" t="n">
        <f aca="false">$B21*Model!$Z$62</f>
        <v>0.0181280246803908</v>
      </c>
      <c r="O21" s="21" t="n">
        <f aca="false">$B21*Model!$AA$62</f>
        <v>0.0306301106668672</v>
      </c>
    </row>
    <row r="22" customFormat="false" ht="15" hidden="false" customHeight="true" outlineLevel="0" collapsed="false">
      <c r="A22" s="23" t="n">
        <v>2035</v>
      </c>
      <c r="B22" s="21" t="n">
        <f aca="false">IF($A22&lt;=Model!$B$3,Data!$B$13*Model!$D$62,0)</f>
        <v>15.9289579251796</v>
      </c>
      <c r="C22" s="21" t="n">
        <f aca="false">$B22*IF(Model!$B$5=1,Data!$D$13,Model!$AC$62)</f>
        <v>3.413891221196</v>
      </c>
      <c r="D22" s="21" t="n">
        <f aca="false">$B22*IF(Model!$B$5=1,Data!$E$13,Model!$AD$62)</f>
        <v>4.70645582610318</v>
      </c>
      <c r="E22" s="21" t="n">
        <f aca="false">$B22*IF(Model!$B$5=1,Data!$F$13,Model!$AE$62)</f>
        <v>3.0565351245452</v>
      </c>
      <c r="F22" s="21" t="n">
        <f aca="false">$B22*IF(Model!$B$5=1,Data!$G$13,Model!$AF$62)</f>
        <v>4.7520757533352</v>
      </c>
      <c r="G22" s="21" t="n">
        <f aca="false">$B22*Model!$S$62</f>
        <v>9.64398694697492</v>
      </c>
      <c r="H22" s="21" t="n">
        <f aca="false">$B22*Model!$T$62</f>
        <v>2.40815264112638</v>
      </c>
      <c r="I22" s="21" t="n">
        <f aca="false">$B22*Model!$U$62</f>
        <v>1.14196127228017</v>
      </c>
      <c r="J22" s="21" t="n">
        <f aca="false">$B22*Model!$V$62</f>
        <v>1.14196127228017</v>
      </c>
      <c r="K22" s="21" t="n">
        <f aca="false">$B22*Model!$W$62</f>
        <v>1.08005220971639</v>
      </c>
      <c r="L22" s="21" t="n">
        <f aca="false">$B22*Model!$X$62</f>
        <v>0.295987462394312</v>
      </c>
      <c r="M22" s="21" t="n">
        <f aca="false">$B22*Model!$Y$62</f>
        <v>0.169739748842452</v>
      </c>
      <c r="N22" s="21" t="n">
        <f aca="false">$B22*Model!$Z$62</f>
        <v>0.0175176253253776</v>
      </c>
      <c r="O22" s="21" t="n">
        <f aca="false">$B22*Model!$AA$62</f>
        <v>0.0295987462394312</v>
      </c>
    </row>
    <row r="23" customFormat="false" ht="15" hidden="false" customHeight="true" outlineLevel="0" collapsed="false">
      <c r="A23" s="23" t="n">
        <v>2036</v>
      </c>
      <c r="B23" s="21" t="n">
        <f aca="false">IF($A23&lt;=Model!$B$3,Data!$B$14*Model!$D$62,0)</f>
        <v>12.0664707528687</v>
      </c>
      <c r="C23" s="21" t="n">
        <f aca="false">$B23*IF(Model!$B$5=1,Data!$D$14,Model!$AC$62)</f>
        <v>2.91083249139525</v>
      </c>
      <c r="D23" s="21" t="n">
        <f aca="false">$B23*IF(Model!$B$5=1,Data!$E$14,Model!$AD$62)</f>
        <v>3.74394968592175</v>
      </c>
      <c r="E23" s="21" t="n">
        <f aca="false">$B23*IF(Model!$B$5=1,Data!$F$14,Model!$AE$62)</f>
        <v>2.25637474039025</v>
      </c>
      <c r="F23" s="21" t="n">
        <f aca="false">$B23*IF(Model!$B$5=1,Data!$G$14,Model!$AF$62)</f>
        <v>3.15531383516149</v>
      </c>
      <c r="G23" s="21" t="n">
        <f aca="false">$B23*Model!$S$62</f>
        <v>7.30549273739819</v>
      </c>
      <c r="H23" s="21" t="n">
        <f aca="false">$B23*Model!$T$62</f>
        <v>1.82421873101077</v>
      </c>
      <c r="I23" s="21" t="n">
        <f aca="false">$B23*Model!$U$62</f>
        <v>0.865056104586455</v>
      </c>
      <c r="J23" s="21" t="n">
        <f aca="false">$B23*Model!$V$62</f>
        <v>0.865056104586455</v>
      </c>
      <c r="K23" s="21" t="n">
        <f aca="false">$B23*Model!$W$62</f>
        <v>0.818158881536948</v>
      </c>
      <c r="L23" s="21" t="n">
        <f aca="false">$B23*Model!$X$62</f>
        <v>0.224215800868627</v>
      </c>
      <c r="M23" s="21" t="n">
        <f aca="false">$B23*Model!$Y$62</f>
        <v>0.128580898049151</v>
      </c>
      <c r="N23" s="21" t="n">
        <f aca="false">$B23*Model!$Z$62</f>
        <v>0.0132699147452861</v>
      </c>
      <c r="O23" s="21" t="n">
        <f aca="false">$B23*Model!$AA$62</f>
        <v>0.0224215800868627</v>
      </c>
    </row>
    <row r="24" customFormat="false" ht="15" hidden="false" customHeight="true" outlineLevel="0" collapsed="false">
      <c r="A24" s="23" t="n">
        <v>2037</v>
      </c>
      <c r="B24" s="21" t="n">
        <f aca="false">IF($A24&lt;=Model!$B$3,Data!$B$15*Model!$D$62,0)</f>
        <v>11.9676275771994</v>
      </c>
      <c r="C24" s="21" t="n">
        <f aca="false">$B24*IF(Model!$B$5=1,Data!$D$15,Model!$AC$62)</f>
        <v>2.88698824288351</v>
      </c>
      <c r="D24" s="21" t="n">
        <f aca="false">$B24*IF(Model!$B$5=1,Data!$E$15,Model!$AD$62)</f>
        <v>3.7132809109268</v>
      </c>
      <c r="E24" s="21" t="n">
        <f aca="false">$B24*IF(Model!$B$5=1,Data!$F$15,Model!$AE$62)</f>
        <v>2.23789151945448</v>
      </c>
      <c r="F24" s="21" t="n">
        <f aca="false">$B24*IF(Model!$B$5=1,Data!$G$15,Model!$AF$62)</f>
        <v>3.12946690393459</v>
      </c>
      <c r="G24" s="21" t="n">
        <f aca="false">$B24*Model!$S$62</f>
        <v>7.2456493816413</v>
      </c>
      <c r="H24" s="21" t="n">
        <f aca="false">$B24*Model!$T$62</f>
        <v>1.80927554039757</v>
      </c>
      <c r="I24" s="21" t="n">
        <f aca="false">$B24*Model!$U$62</f>
        <v>0.857969948720278</v>
      </c>
      <c r="J24" s="21" t="n">
        <f aca="false">$B24*Model!$V$62</f>
        <v>0.857969948720278</v>
      </c>
      <c r="K24" s="21" t="n">
        <f aca="false">$B24*Model!$W$62</f>
        <v>0.811456886918182</v>
      </c>
      <c r="L24" s="21" t="n">
        <f aca="false">$B24*Model!$X$62</f>
        <v>0.222379124491001</v>
      </c>
      <c r="M24" s="21" t="n">
        <f aca="false">$B24*Model!$Y$62</f>
        <v>0.12752762037137</v>
      </c>
      <c r="N24" s="21" t="n">
        <f aca="false">$B24*Model!$Z$62</f>
        <v>0.0131612134902837</v>
      </c>
      <c r="O24" s="21" t="n">
        <f aca="false">$B24*Model!$AA$62</f>
        <v>0.0222379124491001</v>
      </c>
    </row>
    <row r="25" customFormat="false" ht="15" hidden="false" customHeight="true" outlineLevel="0" collapsed="false">
      <c r="A25" s="23" t="n">
        <v>2038</v>
      </c>
      <c r="B25" s="21" t="n">
        <f aca="false">IF($A25&lt;=Model!$B$3,Data!$B$16*Model!$D$62,0)</f>
        <v>11.823164474298</v>
      </c>
      <c r="C25" s="21" t="n">
        <f aca="false">$B25*IF(Model!$B$5=1,Data!$D$16,Model!$AC$62)</f>
        <v>2.85213895659713</v>
      </c>
      <c r="D25" s="21" t="n">
        <f aca="false">$B25*IF(Model!$B$5=1,Data!$E$16,Model!$AD$62)</f>
        <v>3.66845731670341</v>
      </c>
      <c r="E25" s="21" t="n">
        <f aca="false">$B25*IF(Model!$B$5=1,Data!$F$16,Model!$AE$62)</f>
        <v>2.21087758116373</v>
      </c>
      <c r="F25" s="21" t="n">
        <f aca="false">$B25*IF(Model!$B$5=1,Data!$G$16,Model!$AF$62)</f>
        <v>3.09169061983372</v>
      </c>
      <c r="G25" s="21" t="n">
        <f aca="false">$B25*Model!$S$62</f>
        <v>7.15818601553509</v>
      </c>
      <c r="H25" s="21" t="n">
        <f aca="false">$B25*Model!$T$62</f>
        <v>1.78743549257829</v>
      </c>
      <c r="I25" s="21" t="n">
        <f aca="false">$B25*Model!$U$62</f>
        <v>0.847613259377403</v>
      </c>
      <c r="J25" s="21" t="n">
        <f aca="false">$B25*Model!$V$62</f>
        <v>0.847613259377403</v>
      </c>
      <c r="K25" s="21" t="n">
        <f aca="false">$B25*Model!$W$62</f>
        <v>0.801661664013833</v>
      </c>
      <c r="L25" s="21" t="n">
        <f aca="false">$B25*Model!$X$62</f>
        <v>0.219694751323702</v>
      </c>
      <c r="M25" s="21" t="n">
        <f aca="false">$B25*Model!$Y$62</f>
        <v>0.125988214534612</v>
      </c>
      <c r="N25" s="21" t="n">
        <f aca="false">$B25*Model!$Z$62</f>
        <v>0.0130023424252803</v>
      </c>
      <c r="O25" s="21" t="n">
        <f aca="false">$B25*Model!$AA$62</f>
        <v>0.0219694751323702</v>
      </c>
    </row>
    <row r="26" customFormat="false" ht="15" hidden="false" customHeight="true" outlineLevel="0" collapsed="false">
      <c r="A26" s="23" t="n">
        <v>2039</v>
      </c>
      <c r="B26" s="21" t="n">
        <f aca="false">IF($A26&lt;=Model!$B$3,Data!$B$17*Model!$D$62,0)</f>
        <v>11.7167179774233</v>
      </c>
      <c r="C26" s="21" t="n">
        <f aca="false">$B26*IF(Model!$B$5=1,Data!$D$17,Model!$AC$62)</f>
        <v>2.82646053512293</v>
      </c>
      <c r="D26" s="21" t="n">
        <f aca="false">$B26*IF(Model!$B$5=1,Data!$E$17,Model!$AD$62)</f>
        <v>3.63542940517038</v>
      </c>
      <c r="E26" s="21" t="n">
        <f aca="false">$B26*IF(Model!$B$5=1,Data!$F$17,Model!$AE$62)</f>
        <v>2.19097257400213</v>
      </c>
      <c r="F26" s="21" t="n">
        <f aca="false">$B26*IF(Model!$B$5=1,Data!$G$17,Model!$AF$62)</f>
        <v>3.06385546312783</v>
      </c>
      <c r="G26" s="21" t="n">
        <f aca="false">$B26*Model!$S$62</f>
        <v>7.09373932471998</v>
      </c>
      <c r="H26" s="21" t="n">
        <f aca="false">$B26*Model!$T$62</f>
        <v>1.77134282576408</v>
      </c>
      <c r="I26" s="21" t="n">
        <f aca="false">$B26*Model!$U$62</f>
        <v>0.839982014598442</v>
      </c>
      <c r="J26" s="21" t="n">
        <f aca="false">$B26*Model!$V$62</f>
        <v>0.839982014598442</v>
      </c>
      <c r="K26" s="21" t="n">
        <f aca="false">$B26*Model!$W$62</f>
        <v>0.794444131347471</v>
      </c>
      <c r="L26" s="21" t="n">
        <f aca="false">$B26*Model!$X$62</f>
        <v>0.217716792147797</v>
      </c>
      <c r="M26" s="21" t="n">
        <f aca="false">$B26*Model!$Y$62</f>
        <v>0.124853915497002</v>
      </c>
      <c r="N26" s="21" t="n">
        <f aca="false">$B26*Model!$Z$62</f>
        <v>0.0128852795352778</v>
      </c>
      <c r="O26" s="21" t="n">
        <f aca="false">$B26*Model!$AA$62</f>
        <v>0.0217716792147797</v>
      </c>
    </row>
    <row r="27" customFormat="false" ht="15" hidden="false" customHeight="true" outlineLevel="0" collapsed="false">
      <c r="A27" s="23" t="n">
        <v>2040</v>
      </c>
      <c r="B27" s="21" t="n">
        <f aca="false">IF($A27&lt;=Model!$B$3,Data!$B$18*Model!$D$62,0)</f>
        <v>11.5950648381379</v>
      </c>
      <c r="C27" s="21" t="n">
        <f aca="false">$B27*IF(Model!$B$5=1,Data!$D$18,Model!$AC$62)</f>
        <v>2.79711376772386</v>
      </c>
      <c r="D27" s="21" t="n">
        <f aca="false">$B27*IF(Model!$B$5=1,Data!$E$18,Model!$AD$62)</f>
        <v>3.59768322056122</v>
      </c>
      <c r="E27" s="21" t="n">
        <f aca="false">$B27*IF(Model!$B$5=1,Data!$F$18,Model!$AE$62)</f>
        <v>2.16822399438887</v>
      </c>
      <c r="F27" s="21" t="n">
        <f aca="false">$B27*IF(Model!$B$5=1,Data!$G$18,Model!$AF$62)</f>
        <v>3.03204385546394</v>
      </c>
      <c r="G27" s="21" t="n">
        <f aca="false">$B27*Model!$S$62</f>
        <v>7.02008596378843</v>
      </c>
      <c r="H27" s="21" t="n">
        <f aca="false">$B27*Model!$T$62</f>
        <v>1.75295120654784</v>
      </c>
      <c r="I27" s="21" t="n">
        <f aca="false">$B27*Model!$U$62</f>
        <v>0.831260591993916</v>
      </c>
      <c r="J27" s="21" t="n">
        <f aca="false">$B27*Model!$V$62</f>
        <v>0.831260591993916</v>
      </c>
      <c r="K27" s="21" t="n">
        <f aca="false">$B27*Model!$W$62</f>
        <v>0.786195522585914</v>
      </c>
      <c r="L27" s="21" t="n">
        <f aca="false">$B27*Model!$X$62</f>
        <v>0.215456267375334</v>
      </c>
      <c r="M27" s="21" t="n">
        <f aca="false">$B27*Model!$Y$62</f>
        <v>0.123557573739733</v>
      </c>
      <c r="N27" s="21" t="n">
        <f aca="false">$B27*Model!$Z$62</f>
        <v>0.0127514933752749</v>
      </c>
      <c r="O27" s="21" t="n">
        <f aca="false">$B27*Model!$AA$62</f>
        <v>0.0215456267375334</v>
      </c>
    </row>
    <row r="28" customFormat="false" ht="15" hidden="false" customHeight="true" outlineLevel="0" collapsed="false">
      <c r="A28" s="24" t="s">
        <v>122</v>
      </c>
      <c r="B28" s="25" t="n">
        <f aca="false">SUM(B13:B27)</f>
        <v>303.098796529527</v>
      </c>
      <c r="C28" s="25" t="n">
        <f aca="false">SUM(C13:C27)</f>
        <v>73.1172230064487</v>
      </c>
      <c r="D28" s="25" t="n">
        <f aca="false">SUM(D13:D27)</f>
        <v>94.0444946764003</v>
      </c>
      <c r="E28" s="25" t="n">
        <f aca="false">SUM(E13:E27)</f>
        <v>56.6781250742451</v>
      </c>
      <c r="F28" s="25" t="n">
        <f aca="false">SUM(F13:F27)</f>
        <v>79.258953772433</v>
      </c>
      <c r="G28" s="25" t="n">
        <f aca="false">SUM(G13:G27)</f>
        <v>183.507348760959</v>
      </c>
      <c r="H28" s="25" t="n">
        <f aca="false">SUM(H13:H27)</f>
        <v>45.822719277261</v>
      </c>
      <c r="I28" s="25" t="n">
        <f aca="false">SUM(I13:I27)</f>
        <v>21.7294244191774</v>
      </c>
      <c r="J28" s="25" t="n">
        <f aca="false">SUM(J13:J27)</f>
        <v>21.7294244191774</v>
      </c>
      <c r="K28" s="25" t="n">
        <f aca="false">SUM(K13:K27)</f>
        <v>20.5514087294196</v>
      </c>
      <c r="L28" s="25" t="n">
        <f aca="false">SUM(L13:L27)</f>
        <v>5.63209747059038</v>
      </c>
      <c r="M28" s="25" t="n">
        <f aca="false">SUM(M13:M27)</f>
        <v>3.22983548823652</v>
      </c>
      <c r="N28" s="25" t="n">
        <f aca="false">SUM(N13:N27)</f>
        <v>0.333328217647186</v>
      </c>
      <c r="O28" s="25" t="n">
        <f aca="false">SUM(O13:O27)</f>
        <v>0.563209747059038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Data!$H$39*Data!$M$39/SUM(Data!$H$39:$K$39)</f>
        <v>22.0537897310513</v>
      </c>
      <c r="C34" s="22" t="n">
        <f aca="false">IF($B$38&gt;0,B34/$B$38,0)</f>
        <v>0.0488997555012225</v>
      </c>
      <c r="D34" s="21" t="n">
        <f aca="false">C28</f>
        <v>73.1172230064487</v>
      </c>
      <c r="E34" s="22" t="n">
        <f aca="false">IF($D$38&gt;0,D34/$D$38,0)</f>
        <v>0.241232310532536</v>
      </c>
      <c r="F34" s="21" t="n">
        <f aca="false">B34+D34</f>
        <v>95.1710127375</v>
      </c>
      <c r="G34" s="22" t="n">
        <f aca="false">IF($F$38&gt;0,F34/$F$38,0)</f>
        <v>0.126204965682867</v>
      </c>
    </row>
    <row r="35" customFormat="false" ht="15" hidden="false" customHeight="true" outlineLevel="0" collapsed="false">
      <c r="A35" s="13" t="s">
        <v>110</v>
      </c>
      <c r="B35" s="21" t="n">
        <f aca="false">Data!$I$39*Data!$M$39/SUM(Data!$H$39:$K$39)</f>
        <v>92.6259168704157</v>
      </c>
      <c r="C35" s="22" t="n">
        <f aca="false">IF($B$38&gt;0,B35/$B$38,0)</f>
        <v>0.205378973105134</v>
      </c>
      <c r="D35" s="21" t="n">
        <f aca="false">D28</f>
        <v>94.0444946764003</v>
      </c>
      <c r="E35" s="22" t="n">
        <f aca="false">IF($D$38&gt;0,D35/$D$38,0)</f>
        <v>0.310276701040081</v>
      </c>
      <c r="F35" s="21" t="n">
        <f aca="false">B35+D35</f>
        <v>186.670411546816</v>
      </c>
      <c r="G35" s="22" t="n">
        <f aca="false">IF($F$38&gt;0,F35/$F$38,0)</f>
        <v>0.247541054840427</v>
      </c>
    </row>
    <row r="36" customFormat="false" ht="15" hidden="false" customHeight="true" outlineLevel="0" collapsed="false">
      <c r="A36" s="13" t="s">
        <v>111</v>
      </c>
      <c r="B36" s="21" t="n">
        <f aca="false">Data!$J$39*Data!$M$39/SUM(Data!$H$39:$K$39)</f>
        <v>217.229828850856</v>
      </c>
      <c r="C36" s="22" t="n">
        <f aca="false">IF($B$38&gt;0,B36/$B$38,0)</f>
        <v>0.481662591687042</v>
      </c>
      <c r="D36" s="21" t="n">
        <f aca="false">E28</f>
        <v>56.6781250742451</v>
      </c>
      <c r="E36" s="22" t="n">
        <f aca="false">IF($D$38&gt;0,D36/$D$38,0)</f>
        <v>0.186995546413275</v>
      </c>
      <c r="F36" s="21" t="n">
        <f aca="false">B36+D36</f>
        <v>273.907953925101</v>
      </c>
      <c r="G36" s="22" t="n">
        <f aca="false">IF($F$38&gt;0,F36/$F$38,0)</f>
        <v>0.363225555040885</v>
      </c>
    </row>
    <row r="37" customFormat="false" ht="15" hidden="false" customHeight="true" outlineLevel="0" collapsed="false">
      <c r="A37" s="13" t="s">
        <v>112</v>
      </c>
      <c r="B37" s="21" t="n">
        <f aca="false">Data!$K$39*Data!$M$39/SUM(Data!$H$39:$K$39)</f>
        <v>119.090464547677</v>
      </c>
      <c r="C37" s="22" t="n">
        <f aca="false">IF($B$38&gt;0,B37/$B$38,0)</f>
        <v>0.264058679706601</v>
      </c>
      <c r="D37" s="21" t="n">
        <f aca="false">F28</f>
        <v>79.258953772433</v>
      </c>
      <c r="E37" s="22" t="n">
        <f aca="false">IF($D$38&gt;0,D37/$D$38,0)</f>
        <v>0.261495442014109</v>
      </c>
      <c r="F37" s="21" t="n">
        <f aca="false">B37+D37</f>
        <v>198.34941832011</v>
      </c>
      <c r="G37" s="22" t="n">
        <f aca="false">IF($F$38&gt;0,F37/$F$38,0)</f>
        <v>0.263028424435821</v>
      </c>
    </row>
    <row r="38" customFormat="false" ht="15" hidden="false" customHeight="true" outlineLevel="0" collapsed="false">
      <c r="A38" s="24" t="s">
        <v>61</v>
      </c>
      <c r="B38" s="25" t="n">
        <f aca="false">SUM(B34:B37)</f>
        <v>451</v>
      </c>
      <c r="C38" s="27" t="n">
        <f aca="false">SUM(C34:C37)</f>
        <v>1</v>
      </c>
      <c r="D38" s="25" t="n">
        <f aca="false">SUM(D34:D37)</f>
        <v>303.098796529527</v>
      </c>
      <c r="E38" s="27" t="n">
        <f aca="false">SUM(E34:E37)</f>
        <v>1</v>
      </c>
      <c r="F38" s="25" t="n">
        <f aca="false">SUM(F34:F37)</f>
        <v>754.098796529527</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103</v>
      </c>
      <c r="C6" s="15" t="n">
        <f aca="false">Model!$Q$63</f>
        <v>0.1</v>
      </c>
    </row>
    <row r="7" customFormat="false" ht="15" hidden="false" customHeight="true" outlineLevel="0" collapsed="false">
      <c r="A7" s="13" t="s">
        <v>104</v>
      </c>
      <c r="C7" s="15" t="n">
        <f aca="false">Model!$G$63</f>
        <v>0.18072</v>
      </c>
    </row>
    <row r="8" customFormat="false" ht="15" hidden="false" customHeight="true" outlineLevel="0" collapsed="false">
      <c r="A8" s="13" t="s">
        <v>105</v>
      </c>
      <c r="C8" s="15" t="n">
        <f aca="false">Model!$R$63</f>
        <v>0.14977641207222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IF($A13&lt;=Model!$B$3,Data!$B$4*Model!$D$63,0)</f>
        <v>22.6691855583543</v>
      </c>
      <c r="C13" s="21" t="n">
        <f aca="false">$B13*IF(Model!$B$5=1,Data!$D$4,Model!$AC$63)</f>
        <v>5.86400367515592</v>
      </c>
      <c r="D13" s="21" t="n">
        <f aca="false">$B13*IF(Model!$B$5=1,Data!$E$4,Model!$AD$63)</f>
        <v>7.17715771664594</v>
      </c>
      <c r="E13" s="21" t="n">
        <f aca="false">$B13*IF(Model!$B$5=1,Data!$F$4,Model!$AE$63)</f>
        <v>4.19464995439531</v>
      </c>
      <c r="F13" s="21" t="n">
        <f aca="false">$B13*IF(Model!$B$5=1,Data!$G$4,Model!$AF$63)</f>
        <v>5.43337421215715</v>
      </c>
      <c r="G13" s="21" t="n">
        <f aca="false">$B13*Model!$S$63</f>
        <v>13.7247728727902</v>
      </c>
      <c r="H13" s="21" t="n">
        <f aca="false">$B13*Model!$T$63</f>
        <v>3.42714566332307</v>
      </c>
      <c r="I13" s="21" t="n">
        <f aca="false">$B13*Model!$U$63</f>
        <v>1.62517423320281</v>
      </c>
      <c r="J13" s="21" t="n">
        <f aca="false">$B13*Model!$V$63</f>
        <v>1.62517423320281</v>
      </c>
      <c r="K13" s="21" t="n">
        <f aca="false">$B13*Model!$W$63</f>
        <v>1.53706878188614</v>
      </c>
      <c r="L13" s="21" t="n">
        <f aca="false">$B13*Model!$X$63</f>
        <v>0.421232496154479</v>
      </c>
      <c r="M13" s="21" t="n">
        <f aca="false">$B13*Model!$Y$63</f>
        <v>0.241563941672263</v>
      </c>
      <c r="N13" s="21" t="n">
        <f aca="false">$B13*Model!$Z$63</f>
        <v>0.0249300865071018</v>
      </c>
      <c r="O13" s="21" t="n">
        <f aca="false">$B13*Model!$AA$63</f>
        <v>0.0421232496154479</v>
      </c>
    </row>
    <row r="14" customFormat="false" ht="15" hidden="false" customHeight="true" outlineLevel="0" collapsed="false">
      <c r="A14" s="23" t="n">
        <v>2027</v>
      </c>
      <c r="B14" s="21" t="n">
        <f aca="false">IF($A14&lt;=Model!$B$3,Data!$B$5*Model!$D$63,0)</f>
        <v>22.6691855583543</v>
      </c>
      <c r="C14" s="21" t="n">
        <f aca="false">$B14*IF(Model!$B$5=1,Data!$D$5,Model!$AC$63)</f>
        <v>5.69919486832923</v>
      </c>
      <c r="D14" s="21" t="n">
        <f aca="false">$B14*IF(Model!$B$5=1,Data!$E$5,Model!$AD$63)</f>
        <v>7.19842336913971</v>
      </c>
      <c r="E14" s="21" t="n">
        <f aca="false">$B14*IF(Model!$B$5=1,Data!$F$5,Model!$AE$63)</f>
        <v>4.18401712814843</v>
      </c>
      <c r="F14" s="21" t="n">
        <f aca="false">$B14*IF(Model!$B$5=1,Data!$G$5,Model!$AF$63)</f>
        <v>5.58755019273696</v>
      </c>
      <c r="G14" s="21" t="n">
        <f aca="false">$B14*Model!$S$63</f>
        <v>13.7247728727902</v>
      </c>
      <c r="H14" s="21" t="n">
        <f aca="false">$B14*Model!$T$63</f>
        <v>3.42714566332307</v>
      </c>
      <c r="I14" s="21" t="n">
        <f aca="false">$B14*Model!$U$63</f>
        <v>1.62517423320281</v>
      </c>
      <c r="J14" s="21" t="n">
        <f aca="false">$B14*Model!$V$63</f>
        <v>1.62517423320281</v>
      </c>
      <c r="K14" s="21" t="n">
        <f aca="false">$B14*Model!$W$63</f>
        <v>1.53706878188614</v>
      </c>
      <c r="L14" s="21" t="n">
        <f aca="false">$B14*Model!$X$63</f>
        <v>0.421232496154479</v>
      </c>
      <c r="M14" s="21" t="n">
        <f aca="false">$B14*Model!$Y$63</f>
        <v>0.241563941672263</v>
      </c>
      <c r="N14" s="21" t="n">
        <f aca="false">$B14*Model!$Z$63</f>
        <v>0.0249300865071018</v>
      </c>
      <c r="O14" s="21" t="n">
        <f aca="false">$B14*Model!$AA$63</f>
        <v>0.0421232496154479</v>
      </c>
    </row>
    <row r="15" customFormat="false" ht="15" hidden="false" customHeight="true" outlineLevel="0" collapsed="false">
      <c r="A15" s="23" t="n">
        <v>2028</v>
      </c>
      <c r="B15" s="21" t="n">
        <f aca="false">IF($A15&lt;=Model!$B$3,Data!$B$6*Model!$D$63,0)</f>
        <v>22.6691855583543</v>
      </c>
      <c r="C15" s="21" t="n">
        <f aca="false">$B15*IF(Model!$B$5=1,Data!$D$6,Model!$AC$63)</f>
        <v>5.68059365939053</v>
      </c>
      <c r="D15" s="21" t="n">
        <f aca="false">$B15*IF(Model!$B$5=1,Data!$E$6,Model!$AD$63)</f>
        <v>7.20180132473293</v>
      </c>
      <c r="E15" s="21" t="n">
        <f aca="false">$B15*IF(Model!$B$5=1,Data!$F$6,Model!$AE$63)</f>
        <v>4.18598053365201</v>
      </c>
      <c r="F15" s="21" t="n">
        <f aca="false">$B15*IF(Model!$B$5=1,Data!$G$6,Model!$AF$63)</f>
        <v>5.60081004057886</v>
      </c>
      <c r="G15" s="21" t="n">
        <f aca="false">$B15*Model!$S$63</f>
        <v>13.7247728727902</v>
      </c>
      <c r="H15" s="21" t="n">
        <f aca="false">$B15*Model!$T$63</f>
        <v>3.42714566332307</v>
      </c>
      <c r="I15" s="21" t="n">
        <f aca="false">$B15*Model!$U$63</f>
        <v>1.62517423320281</v>
      </c>
      <c r="J15" s="21" t="n">
        <f aca="false">$B15*Model!$V$63</f>
        <v>1.62517423320281</v>
      </c>
      <c r="K15" s="21" t="n">
        <f aca="false">$B15*Model!$W$63</f>
        <v>1.53706878188614</v>
      </c>
      <c r="L15" s="21" t="n">
        <f aca="false">$B15*Model!$X$63</f>
        <v>0.421232496154479</v>
      </c>
      <c r="M15" s="21" t="n">
        <f aca="false">$B15*Model!$Y$63</f>
        <v>0.241563941672263</v>
      </c>
      <c r="N15" s="21" t="n">
        <f aca="false">$B15*Model!$Z$63</f>
        <v>0.0249300865071018</v>
      </c>
      <c r="O15" s="21" t="n">
        <f aca="false">$B15*Model!$AA$63</f>
        <v>0.0421232496154479</v>
      </c>
    </row>
    <row r="16" customFormat="false" ht="15" hidden="false" customHeight="true" outlineLevel="0" collapsed="false">
      <c r="A16" s="23" t="n">
        <v>2029</v>
      </c>
      <c r="B16" s="21" t="n">
        <f aca="false">IF($A16&lt;=Model!$B$3,Data!$B$7*Model!$D$63,0)</f>
        <v>22.6691855583543</v>
      </c>
      <c r="C16" s="21" t="n">
        <f aca="false">$B16*IF(Model!$B$5=1,Data!$D$7,Model!$AC$63)</f>
        <v>5.62076686258047</v>
      </c>
      <c r="D16" s="21" t="n">
        <f aca="false">$B16*IF(Model!$B$5=1,Data!$E$7,Model!$AD$63)</f>
        <v>7.16288832913518</v>
      </c>
      <c r="E16" s="21" t="n">
        <f aca="false">$B16*IF(Model!$B$5=1,Data!$F$7,Model!$AE$63)</f>
        <v>4.15841029946824</v>
      </c>
      <c r="F16" s="21" t="n">
        <f aca="false">$B16*IF(Model!$B$5=1,Data!$G$7,Model!$AF$63)</f>
        <v>5.72712006717044</v>
      </c>
      <c r="G16" s="21" t="n">
        <f aca="false">$B16*Model!$S$63</f>
        <v>13.7247728727902</v>
      </c>
      <c r="H16" s="21" t="n">
        <f aca="false">$B16*Model!$T$63</f>
        <v>3.42714566332307</v>
      </c>
      <c r="I16" s="21" t="n">
        <f aca="false">$B16*Model!$U$63</f>
        <v>1.62517423320281</v>
      </c>
      <c r="J16" s="21" t="n">
        <f aca="false">$B16*Model!$V$63</f>
        <v>1.62517423320281</v>
      </c>
      <c r="K16" s="21" t="n">
        <f aca="false">$B16*Model!$W$63</f>
        <v>1.53706878188614</v>
      </c>
      <c r="L16" s="21" t="n">
        <f aca="false">$B16*Model!$X$63</f>
        <v>0.421232496154479</v>
      </c>
      <c r="M16" s="21" t="n">
        <f aca="false">$B16*Model!$Y$63</f>
        <v>0.241563941672263</v>
      </c>
      <c r="N16" s="21" t="n">
        <f aca="false">$B16*Model!$Z$63</f>
        <v>0.0249300865071018</v>
      </c>
      <c r="O16" s="21" t="n">
        <f aca="false">$B16*Model!$AA$63</f>
        <v>0.0421232496154479</v>
      </c>
    </row>
    <row r="17" customFormat="false" ht="15" hidden="false" customHeight="true" outlineLevel="0" collapsed="false">
      <c r="A17" s="23" t="n">
        <v>2030</v>
      </c>
      <c r="B17" s="21" t="n">
        <f aca="false">IF($A17&lt;=Model!$B$3,Data!$B$8*Model!$D$63,0)</f>
        <v>22.6691855583543</v>
      </c>
      <c r="C17" s="21" t="n">
        <f aca="false">$B17*IF(Model!$B$5=1,Data!$D$8,Model!$AC$63)</f>
        <v>5.61144785642041</v>
      </c>
      <c r="D17" s="21" t="n">
        <f aca="false">$B17*IF(Model!$B$5=1,Data!$E$8,Model!$AD$63)</f>
        <v>7.05819081087193</v>
      </c>
      <c r="E17" s="21" t="n">
        <f aca="false">$B17*IF(Model!$B$5=1,Data!$F$8,Model!$AE$63)</f>
        <v>4.1647049019689</v>
      </c>
      <c r="F17" s="21" t="n">
        <f aca="false">$B17*IF(Model!$B$5=1,Data!$G$8,Model!$AF$63)</f>
        <v>5.83484198909307</v>
      </c>
      <c r="G17" s="21" t="n">
        <f aca="false">$B17*Model!$S$63</f>
        <v>13.7247728727902</v>
      </c>
      <c r="H17" s="21" t="n">
        <f aca="false">$B17*Model!$T$63</f>
        <v>3.42714566332307</v>
      </c>
      <c r="I17" s="21" t="n">
        <f aca="false">$B17*Model!$U$63</f>
        <v>1.62517423320281</v>
      </c>
      <c r="J17" s="21" t="n">
        <f aca="false">$B17*Model!$V$63</f>
        <v>1.62517423320281</v>
      </c>
      <c r="K17" s="21" t="n">
        <f aca="false">$B17*Model!$W$63</f>
        <v>1.53706878188614</v>
      </c>
      <c r="L17" s="21" t="n">
        <f aca="false">$B17*Model!$X$63</f>
        <v>0.421232496154479</v>
      </c>
      <c r="M17" s="21" t="n">
        <f aca="false">$B17*Model!$Y$63</f>
        <v>0.241563941672263</v>
      </c>
      <c r="N17" s="21" t="n">
        <f aca="false">$B17*Model!$Z$63</f>
        <v>0.0249300865071018</v>
      </c>
      <c r="O17" s="21" t="n">
        <f aca="false">$B17*Model!$AA$63</f>
        <v>0.0421232496154479</v>
      </c>
    </row>
    <row r="18" customFormat="false" ht="15" hidden="false" customHeight="true" outlineLevel="0" collapsed="false">
      <c r="A18" s="23" t="n">
        <v>2031</v>
      </c>
      <c r="B18" s="21" t="n">
        <f aca="false">IF($A18&lt;=Model!$B$3,Data!$B$9*Model!$D$63,0)</f>
        <v>11.5286873775539</v>
      </c>
      <c r="C18" s="21" t="n">
        <f aca="false">$B18*IF(Model!$B$5=1,Data!$D$9,Model!$AC$63)</f>
        <v>2.66414777497901</v>
      </c>
      <c r="D18" s="21" t="n">
        <f aca="false">$B18*IF(Model!$B$5=1,Data!$E$9,Model!$AD$63)</f>
        <v>3.50433809123986</v>
      </c>
      <c r="E18" s="21" t="n">
        <f aca="false">$B18*IF(Model!$B$5=1,Data!$F$9,Model!$AE$63)</f>
        <v>2.1908760145536</v>
      </c>
      <c r="F18" s="21" t="n">
        <f aca="false">$B18*IF(Model!$B$5=1,Data!$G$9,Model!$AF$63)</f>
        <v>3.16932549678142</v>
      </c>
      <c r="G18" s="21" t="n">
        <f aca="false">$B18*Model!$S$63</f>
        <v>6.97989856631696</v>
      </c>
      <c r="H18" s="21" t="n">
        <f aca="false">$B18*Model!$T$63</f>
        <v>1.74291620879297</v>
      </c>
      <c r="I18" s="21" t="n">
        <f aca="false">$B18*Model!$U$63</f>
        <v>0.826501932344284</v>
      </c>
      <c r="J18" s="21" t="n">
        <f aca="false">$B18*Model!$V$63</f>
        <v>0.826501932344284</v>
      </c>
      <c r="K18" s="21" t="n">
        <f aca="false">$B18*Model!$W$63</f>
        <v>0.781694843802288</v>
      </c>
      <c r="L18" s="21" t="n">
        <f aca="false">$B18*Model!$X$63</f>
        <v>0.214222859878703</v>
      </c>
      <c r="M18" s="21" t="n">
        <f aca="false">$B18*Model!$Y$63</f>
        <v>0.122850252297787</v>
      </c>
      <c r="N18" s="21" t="n">
        <f aca="false">$B18*Model!$Z$63</f>
        <v>0.0126784957887396</v>
      </c>
      <c r="O18" s="21" t="n">
        <f aca="false">$B18*Model!$AA$63</f>
        <v>0.0214222859878703</v>
      </c>
    </row>
    <row r="19" customFormat="false" ht="15" hidden="false" customHeight="true" outlineLevel="0" collapsed="false">
      <c r="A19" s="23" t="n">
        <v>2032</v>
      </c>
      <c r="B19" s="21" t="n">
        <f aca="false">IF($A19&lt;=Model!$B$3,Data!$B$10*Model!$D$63,0)</f>
        <v>11.5286873775539</v>
      </c>
      <c r="C19" s="21" t="n">
        <f aca="false">$B19*IF(Model!$B$5=1,Data!$D$10,Model!$AC$63)</f>
        <v>2.56311223061853</v>
      </c>
      <c r="D19" s="21" t="n">
        <f aca="false">$B19*IF(Model!$B$5=1,Data!$E$10,Model!$AD$63)</f>
        <v>3.43520850825637</v>
      </c>
      <c r="E19" s="21" t="n">
        <f aca="false">$B19*IF(Model!$B$5=1,Data!$F$10,Model!$AE$63)</f>
        <v>2.22809963616009</v>
      </c>
      <c r="F19" s="21" t="n">
        <f aca="false">$B19*IF(Model!$B$5=1,Data!$G$10,Model!$AF$63)</f>
        <v>3.30226700251889</v>
      </c>
      <c r="G19" s="21" t="n">
        <f aca="false">$B19*Model!$S$63</f>
        <v>6.97989856631696</v>
      </c>
      <c r="H19" s="21" t="n">
        <f aca="false">$B19*Model!$T$63</f>
        <v>1.74291620879297</v>
      </c>
      <c r="I19" s="21" t="n">
        <f aca="false">$B19*Model!$U$63</f>
        <v>0.826501932344284</v>
      </c>
      <c r="J19" s="21" t="n">
        <f aca="false">$B19*Model!$V$63</f>
        <v>0.826501932344284</v>
      </c>
      <c r="K19" s="21" t="n">
        <f aca="false">$B19*Model!$W$63</f>
        <v>0.781694843802288</v>
      </c>
      <c r="L19" s="21" t="n">
        <f aca="false">$B19*Model!$X$63</f>
        <v>0.214222859878703</v>
      </c>
      <c r="M19" s="21" t="n">
        <f aca="false">$B19*Model!$Y$63</f>
        <v>0.122850252297787</v>
      </c>
      <c r="N19" s="21" t="n">
        <f aca="false">$B19*Model!$Z$63</f>
        <v>0.0126784957887396</v>
      </c>
      <c r="O19" s="21" t="n">
        <f aca="false">$B19*Model!$AA$63</f>
        <v>0.0214222859878703</v>
      </c>
    </row>
    <row r="20" customFormat="false" ht="15" hidden="false" customHeight="true" outlineLevel="0" collapsed="false">
      <c r="A20" s="23" t="n">
        <v>2033</v>
      </c>
      <c r="B20" s="21" t="n">
        <f aca="false">IF($A20&lt;=Model!$B$3,Data!$B$11*Model!$D$63,0)</f>
        <v>11.5286873775539</v>
      </c>
      <c r="C20" s="21" t="n">
        <f aca="false">$B20*IF(Model!$B$5=1,Data!$D$11,Model!$AC$63)</f>
        <v>2.54301456689929</v>
      </c>
      <c r="D20" s="21" t="n">
        <f aca="false">$B20*IF(Model!$B$5=1,Data!$E$11,Model!$AD$63)</f>
        <v>3.4474339735371</v>
      </c>
      <c r="E20" s="21" t="n">
        <f aca="false">$B20*IF(Model!$B$5=1,Data!$F$11,Model!$AE$63)</f>
        <v>2.22912783165439</v>
      </c>
      <c r="F20" s="21" t="n">
        <f aca="false">$B20*IF(Model!$B$5=1,Data!$G$11,Model!$AF$63)</f>
        <v>3.30911100546309</v>
      </c>
      <c r="G20" s="21" t="n">
        <f aca="false">$B20*Model!$S$63</f>
        <v>6.97989856631696</v>
      </c>
      <c r="H20" s="21" t="n">
        <f aca="false">$B20*Model!$T$63</f>
        <v>1.74291620879297</v>
      </c>
      <c r="I20" s="21" t="n">
        <f aca="false">$B20*Model!$U$63</f>
        <v>0.826501932344284</v>
      </c>
      <c r="J20" s="21" t="n">
        <f aca="false">$B20*Model!$V$63</f>
        <v>0.826501932344284</v>
      </c>
      <c r="K20" s="21" t="n">
        <f aca="false">$B20*Model!$W$63</f>
        <v>0.781694843802288</v>
      </c>
      <c r="L20" s="21" t="n">
        <f aca="false">$B20*Model!$X$63</f>
        <v>0.214222859878703</v>
      </c>
      <c r="M20" s="21" t="n">
        <f aca="false">$B20*Model!$Y$63</f>
        <v>0.122850252297787</v>
      </c>
      <c r="N20" s="21" t="n">
        <f aca="false">$B20*Model!$Z$63</f>
        <v>0.0126784957887396</v>
      </c>
      <c r="O20" s="21" t="n">
        <f aca="false">$B20*Model!$AA$63</f>
        <v>0.0214222859878703</v>
      </c>
    </row>
    <row r="21" customFormat="false" ht="15" hidden="false" customHeight="true" outlineLevel="0" collapsed="false">
      <c r="A21" s="23" t="n">
        <v>2034</v>
      </c>
      <c r="B21" s="21" t="n">
        <f aca="false">IF($A21&lt;=Model!$B$3,Data!$B$12*Model!$D$63,0)</f>
        <v>11.5286873775539</v>
      </c>
      <c r="C21" s="21" t="n">
        <f aca="false">$B21*IF(Model!$B$5=1,Data!$D$12,Model!$AC$63)</f>
        <v>2.52057094878254</v>
      </c>
      <c r="D21" s="21" t="n">
        <f aca="false">$B21*IF(Model!$B$5=1,Data!$E$12,Model!$AD$63)</f>
        <v>3.45647914917437</v>
      </c>
      <c r="E21" s="21" t="n">
        <f aca="false">$B21*IF(Model!$B$5=1,Data!$F$12,Model!$AE$63)</f>
        <v>2.22809963616009</v>
      </c>
      <c r="F21" s="21" t="n">
        <f aca="false">$B21*IF(Model!$B$5=1,Data!$G$12,Model!$AF$63)</f>
        <v>3.32353764343688</v>
      </c>
      <c r="G21" s="21" t="n">
        <f aca="false">$B21*Model!$S$63</f>
        <v>6.97989856631696</v>
      </c>
      <c r="H21" s="21" t="n">
        <f aca="false">$B21*Model!$T$63</f>
        <v>1.74291620879297</v>
      </c>
      <c r="I21" s="21" t="n">
        <f aca="false">$B21*Model!$U$63</f>
        <v>0.826501932344284</v>
      </c>
      <c r="J21" s="21" t="n">
        <f aca="false">$B21*Model!$V$63</f>
        <v>0.826501932344284</v>
      </c>
      <c r="K21" s="21" t="n">
        <f aca="false">$B21*Model!$W$63</f>
        <v>0.781694843802288</v>
      </c>
      <c r="L21" s="21" t="n">
        <f aca="false">$B21*Model!$X$63</f>
        <v>0.214222859878703</v>
      </c>
      <c r="M21" s="21" t="n">
        <f aca="false">$B21*Model!$Y$63</f>
        <v>0.122850252297787</v>
      </c>
      <c r="N21" s="21" t="n">
        <f aca="false">$B21*Model!$Z$63</f>
        <v>0.0126784957887396</v>
      </c>
      <c r="O21" s="21" t="n">
        <f aca="false">$B21*Model!$AA$63</f>
        <v>0.0214222859878703</v>
      </c>
    </row>
    <row r="22" customFormat="false" ht="15" hidden="false" customHeight="true" outlineLevel="0" collapsed="false">
      <c r="A22" s="23" t="n">
        <v>2035</v>
      </c>
      <c r="B22" s="21" t="n">
        <f aca="false">IF($A22&lt;=Model!$B$3,Data!$B$13*Model!$D$63,0)</f>
        <v>11.1404981808004</v>
      </c>
      <c r="C22" s="21" t="n">
        <f aca="false">$B22*IF(Model!$B$5=1,Data!$D$13,Model!$AC$63)</f>
        <v>2.38762944304506</v>
      </c>
      <c r="D22" s="21" t="n">
        <f aca="false">$B22*IF(Model!$B$5=1,Data!$E$13,Model!$AD$63)</f>
        <v>3.29163168205989</v>
      </c>
      <c r="E22" s="21" t="n">
        <f aca="false">$B22*IF(Model!$B$5=1,Data!$F$13,Model!$AE$63)</f>
        <v>2.1376994122586</v>
      </c>
      <c r="F22" s="21" t="n">
        <f aca="false">$B22*IF(Model!$B$5=1,Data!$G$13,Model!$AF$63)</f>
        <v>3.32353764343689</v>
      </c>
      <c r="G22" s="21" t="n">
        <f aca="false">$B22*Model!$S$63</f>
        <v>6.74487430647326</v>
      </c>
      <c r="H22" s="21" t="n">
        <f aca="false">$B22*Model!$T$63</f>
        <v>1.6842294545301</v>
      </c>
      <c r="I22" s="21" t="n">
        <f aca="false">$B22*Model!$U$63</f>
        <v>0.798672300858521</v>
      </c>
      <c r="J22" s="21" t="n">
        <f aca="false">$B22*Model!$V$63</f>
        <v>0.798672300858521</v>
      </c>
      <c r="K22" s="21" t="n">
        <f aca="false">$B22*Model!$W$63</f>
        <v>0.755373938083853</v>
      </c>
      <c r="L22" s="21" t="n">
        <f aca="false">$B22*Model!$X$63</f>
        <v>0.207009636275776</v>
      </c>
      <c r="M22" s="21" t="n">
        <f aca="false">$B22*Model!$Y$63</f>
        <v>0.118713689374476</v>
      </c>
      <c r="N22" s="21" t="n">
        <f aca="false">$B22*Model!$Z$63</f>
        <v>0.0122515907183623</v>
      </c>
      <c r="O22" s="21" t="n">
        <f aca="false">$B22*Model!$AA$63</f>
        <v>0.0207009636275776</v>
      </c>
    </row>
    <row r="23" customFormat="false" ht="15" hidden="false" customHeight="true" outlineLevel="0" collapsed="false">
      <c r="A23" s="23" t="n">
        <v>2036</v>
      </c>
      <c r="B23" s="21" t="n">
        <f aca="false">IF($A23&lt;=Model!$B$3,Data!$B$14*Model!$D$63,0)</f>
        <v>8.43912678421495</v>
      </c>
      <c r="C23" s="21" t="n">
        <f aca="false">$B23*IF(Model!$B$5=1,Data!$D$14,Model!$AC$63)</f>
        <v>2.03579695717214</v>
      </c>
      <c r="D23" s="21" t="n">
        <f aca="false">$B23*IF(Model!$B$5=1,Data!$E$14,Model!$AD$63)</f>
        <v>2.61846787849742</v>
      </c>
      <c r="E23" s="21" t="n">
        <f aca="false">$B23*IF(Model!$B$5=1,Data!$F$14,Model!$AE$63)</f>
        <v>1.57807803929134</v>
      </c>
      <c r="F23" s="21" t="n">
        <f aca="false">$B23*IF(Model!$B$5=1,Data!$G$14,Model!$AF$63)</f>
        <v>2.20678390925405</v>
      </c>
      <c r="G23" s="21" t="n">
        <f aca="false">$B23*Model!$S$63</f>
        <v>5.10936301879382</v>
      </c>
      <c r="H23" s="21" t="n">
        <f aca="false">$B23*Model!$T$63</f>
        <v>1.27583395911183</v>
      </c>
      <c r="I23" s="21" t="n">
        <f aca="false">$B23*Model!$U$63</f>
        <v>0.605008563943901</v>
      </c>
      <c r="J23" s="21" t="n">
        <f aca="false">$B23*Model!$V$63</f>
        <v>0.605008563943901</v>
      </c>
      <c r="K23" s="21" t="n">
        <f aca="false">$B23*Model!$W$63</f>
        <v>0.57220927911173</v>
      </c>
      <c r="L23" s="21" t="n">
        <f aca="false">$B23*Model!$X$63</f>
        <v>0.156813504901984</v>
      </c>
      <c r="M23" s="21" t="n">
        <f aca="false">$B23*Model!$Y$63</f>
        <v>0.0899277446478726</v>
      </c>
      <c r="N23" s="21" t="n">
        <f aca="false">$B23*Model!$Z$63</f>
        <v>0.00928079926970927</v>
      </c>
      <c r="O23" s="21" t="n">
        <f aca="false">$B23*Model!$AA$63</f>
        <v>0.0156813504901984</v>
      </c>
    </row>
    <row r="24" customFormat="false" ht="15" hidden="false" customHeight="true" outlineLevel="0" collapsed="false">
      <c r="A24" s="23" t="n">
        <v>2037</v>
      </c>
      <c r="B24" s="21" t="n">
        <f aca="false">IF($A24&lt;=Model!$B$3,Data!$B$15*Model!$D$63,0)</f>
        <v>8.36999720123146</v>
      </c>
      <c r="C24" s="21" t="n">
        <f aca="false">$B24*IF(Model!$B$5=1,Data!$D$15,Model!$AC$63)</f>
        <v>2.01912061158724</v>
      </c>
      <c r="D24" s="21" t="n">
        <f aca="false">$B24*IF(Model!$B$5=1,Data!$E$15,Model!$AD$63)</f>
        <v>2.59701855120034</v>
      </c>
      <c r="E24" s="21" t="n">
        <f aca="false">$B24*IF(Model!$B$5=1,Data!$F$15,Model!$AE$63)</f>
        <v>1.56515112403565</v>
      </c>
      <c r="F24" s="21" t="n">
        <f aca="false">$B24*IF(Model!$B$5=1,Data!$G$15,Model!$AF$63)</f>
        <v>2.18870691440824</v>
      </c>
      <c r="G24" s="21" t="n">
        <f aca="false">$B24*Model!$S$63</f>
        <v>5.06750938347919</v>
      </c>
      <c r="H24" s="21" t="n">
        <f aca="false">$B24*Model!$T$63</f>
        <v>1.26538289328419</v>
      </c>
      <c r="I24" s="21" t="n">
        <f aca="false">$B24*Model!$U$63</f>
        <v>0.600052602172464</v>
      </c>
      <c r="J24" s="21" t="n">
        <f aca="false">$B24*Model!$V$63</f>
        <v>0.600052602172464</v>
      </c>
      <c r="K24" s="21" t="n">
        <f aca="false">$B24*Model!$W$63</f>
        <v>0.567521994531735</v>
      </c>
      <c r="L24" s="21" t="n">
        <f aca="false">$B24*Model!$X$63</f>
        <v>0.15552895823297</v>
      </c>
      <c r="M24" s="21" t="n">
        <f aca="false">$B24*Model!$Y$63</f>
        <v>0.0891910964560501</v>
      </c>
      <c r="N24" s="21" t="n">
        <f aca="false">$B24*Model!$Z$63</f>
        <v>0.00920477507909413</v>
      </c>
      <c r="O24" s="21" t="n">
        <f aca="false">$B24*Model!$AA$63</f>
        <v>0.015552895823297</v>
      </c>
    </row>
    <row r="25" customFormat="false" ht="15" hidden="false" customHeight="true" outlineLevel="0" collapsed="false">
      <c r="A25" s="23" t="n">
        <v>2038</v>
      </c>
      <c r="B25" s="21" t="n">
        <f aca="false">IF($A25&lt;=Model!$B$3,Data!$B$16*Model!$D$63,0)</f>
        <v>8.26896165687098</v>
      </c>
      <c r="C25" s="21" t="n">
        <f aca="false">$B25*IF(Model!$B$5=1,Data!$D$16,Model!$AC$63)</f>
        <v>1.99474749111701</v>
      </c>
      <c r="D25" s="21" t="n">
        <f aca="false">$B25*IF(Model!$B$5=1,Data!$E$16,Model!$AD$63)</f>
        <v>2.56566953438153</v>
      </c>
      <c r="E25" s="21" t="n">
        <f aca="false">$B25*IF(Model!$B$5=1,Data!$F$16,Model!$AE$63)</f>
        <v>1.5462579402004</v>
      </c>
      <c r="F25" s="21" t="n">
        <f aca="false">$B25*IF(Model!$B$5=1,Data!$G$16,Model!$AF$63)</f>
        <v>2.16228669117205</v>
      </c>
      <c r="G25" s="21" t="n">
        <f aca="false">$B25*Model!$S$63</f>
        <v>5.00633868571165</v>
      </c>
      <c r="H25" s="21" t="n">
        <f aca="false">$B25*Model!$T$63</f>
        <v>1.25010825861304</v>
      </c>
      <c r="I25" s="21" t="n">
        <f aca="false">$B25*Model!$U$63</f>
        <v>0.592809273429595</v>
      </c>
      <c r="J25" s="21" t="n">
        <f aca="false">$B25*Model!$V$63</f>
        <v>0.592809273429595</v>
      </c>
      <c r="K25" s="21" t="n">
        <f aca="false">$B25*Model!$W$63</f>
        <v>0.560671347837896</v>
      </c>
      <c r="L25" s="21" t="n">
        <f aca="false">$B25*Model!$X$63</f>
        <v>0.153651543870564</v>
      </c>
      <c r="M25" s="21" t="n">
        <f aca="false">$B25*Model!$Y$63</f>
        <v>0.0881144567910787</v>
      </c>
      <c r="N25" s="21" t="n">
        <f aca="false">$B25*Model!$Z$63</f>
        <v>0.00909366280050278</v>
      </c>
      <c r="O25" s="21" t="n">
        <f aca="false">$B25*Model!$AA$63</f>
        <v>0.0153651543870564</v>
      </c>
    </row>
    <row r="26" customFormat="false" ht="15" hidden="false" customHeight="true" outlineLevel="0" collapsed="false">
      <c r="A26" s="23" t="n">
        <v>2039</v>
      </c>
      <c r="B26" s="21" t="n">
        <f aca="false">IF($A26&lt;=Model!$B$3,Data!$B$17*Model!$D$63,0)</f>
        <v>8.19451441365799</v>
      </c>
      <c r="C26" s="21" t="n">
        <f aca="false">$B26*IF(Model!$B$5=1,Data!$D$17,Model!$AC$63)</f>
        <v>1.97678834971788</v>
      </c>
      <c r="D26" s="21" t="n">
        <f aca="false">$B26*IF(Model!$B$5=1,Data!$E$17,Model!$AD$63)</f>
        <v>2.54257025883082</v>
      </c>
      <c r="E26" s="21" t="n">
        <f aca="false">$B26*IF(Model!$B$5=1,Data!$F$17,Model!$AE$63)</f>
        <v>1.53233664684811</v>
      </c>
      <c r="F26" s="21" t="n">
        <f aca="false">$B26*IF(Model!$B$5=1,Data!$G$17,Model!$AF$63)</f>
        <v>2.14281915826118</v>
      </c>
      <c r="G26" s="21" t="n">
        <f aca="false">$B26*Model!$S$63</f>
        <v>4.96126553998821</v>
      </c>
      <c r="H26" s="21" t="n">
        <f aca="false">$B26*Model!$T$63</f>
        <v>1.23885326464482</v>
      </c>
      <c r="I26" s="21" t="n">
        <f aca="false">$B26*Model!$U$63</f>
        <v>0.587472083829585</v>
      </c>
      <c r="J26" s="21" t="n">
        <f aca="false">$B26*Model!$V$63</f>
        <v>0.587472083829585</v>
      </c>
      <c r="K26" s="21" t="n">
        <f aca="false">$B26*Model!$W$63</f>
        <v>0.555623502905593</v>
      </c>
      <c r="L26" s="21" t="n">
        <f aca="false">$B26*Model!$X$63</f>
        <v>0.152268185919318</v>
      </c>
      <c r="M26" s="21" t="n">
        <f aca="false">$B26*Model!$Y$63</f>
        <v>0.0873211433537314</v>
      </c>
      <c r="N26" s="21" t="n">
        <f aca="false">$B26*Model!$Z$63</f>
        <v>0.00901179059522494</v>
      </c>
      <c r="O26" s="21" t="n">
        <f aca="false">$B26*Model!$AA$63</f>
        <v>0.0152268185919318</v>
      </c>
    </row>
    <row r="27" customFormat="false" ht="15" hidden="false" customHeight="true" outlineLevel="0" collapsed="false">
      <c r="A27" s="23" t="n">
        <v>2040</v>
      </c>
      <c r="B27" s="21" t="n">
        <f aca="false">IF($A27&lt;=Model!$B$3,Data!$B$18*Model!$D$63,0)</f>
        <v>8.10943184998601</v>
      </c>
      <c r="C27" s="21" t="n">
        <f aca="false">$B27*IF(Model!$B$5=1,Data!$D$18,Model!$AC$63)</f>
        <v>1.95626361669031</v>
      </c>
      <c r="D27" s="21" t="n">
        <f aca="false">$B27*IF(Model!$B$5=1,Data!$E$18,Model!$AD$63)</f>
        <v>2.51617108677288</v>
      </c>
      <c r="E27" s="21" t="n">
        <f aca="false">$B27*IF(Model!$B$5=1,Data!$F$18,Model!$AE$63)</f>
        <v>1.51642659730264</v>
      </c>
      <c r="F27" s="21" t="n">
        <f aca="false">$B27*IF(Model!$B$5=1,Data!$G$18,Model!$AF$63)</f>
        <v>2.12057054922018</v>
      </c>
      <c r="G27" s="21" t="n">
        <f aca="false">$B27*Model!$S$63</f>
        <v>4.90975337344712</v>
      </c>
      <c r="H27" s="21" t="n">
        <f aca="false">$B27*Model!$T$63</f>
        <v>1.22599041439542</v>
      </c>
      <c r="I27" s="21" t="n">
        <f aca="false">$B27*Model!$U$63</f>
        <v>0.581372438572432</v>
      </c>
      <c r="J27" s="21" t="n">
        <f aca="false">$B27*Model!$V$63</f>
        <v>0.581372438572432</v>
      </c>
      <c r="K27" s="21" t="n">
        <f aca="false">$B27*Model!$W$63</f>
        <v>0.549854537268676</v>
      </c>
      <c r="L27" s="21" t="n">
        <f aca="false">$B27*Model!$X$63</f>
        <v>0.150687205403608</v>
      </c>
      <c r="M27" s="21" t="n">
        <f aca="false">$B27*Model!$Y$63</f>
        <v>0.0864144994253344</v>
      </c>
      <c r="N27" s="21" t="n">
        <f aca="false">$B27*Model!$Z$63</f>
        <v>0.0089182223606217</v>
      </c>
      <c r="O27" s="21" t="n">
        <f aca="false">$B27*Model!$AA$63</f>
        <v>0.0150687205403608</v>
      </c>
    </row>
    <row r="28" customFormat="false" ht="15" hidden="false" customHeight="true" outlineLevel="0" collapsed="false">
      <c r="A28" s="24" t="s">
        <v>122</v>
      </c>
      <c r="B28" s="25" t="n">
        <f aca="false">SUM(B13:B27)</f>
        <v>211.983207388749</v>
      </c>
      <c r="C28" s="25" t="n">
        <f aca="false">SUM(C13:C27)</f>
        <v>51.1371989124856</v>
      </c>
      <c r="D28" s="25" t="n">
        <f aca="false">SUM(D13:D27)</f>
        <v>65.7734502644763</v>
      </c>
      <c r="E28" s="25" t="n">
        <f aca="false">SUM(E13:E27)</f>
        <v>39.6399156960978</v>
      </c>
      <c r="F28" s="25" t="n">
        <f aca="false">SUM(F13:F27)</f>
        <v>55.4326425156893</v>
      </c>
      <c r="G28" s="25" t="n">
        <f aca="false">SUM(G13:G27)</f>
        <v>128.342562937112</v>
      </c>
      <c r="H28" s="25" t="n">
        <f aca="false">SUM(H13:H27)</f>
        <v>32.0477913963666</v>
      </c>
      <c r="I28" s="25" t="n">
        <f aca="false">SUM(I13:I27)</f>
        <v>15.1972661581977</v>
      </c>
      <c r="J28" s="25" t="n">
        <f aca="false">SUM(J13:J27)</f>
        <v>15.1972661581977</v>
      </c>
      <c r="K28" s="25" t="n">
        <f aca="false">SUM(K13:K27)</f>
        <v>14.3733778843793</v>
      </c>
      <c r="L28" s="25" t="n">
        <f aca="false">SUM(L13:L27)</f>
        <v>3.93901295489143</v>
      </c>
      <c r="M28" s="25" t="n">
        <f aca="false">SUM(M13:M27)</f>
        <v>2.258903347601</v>
      </c>
      <c r="N28" s="25" t="n">
        <f aca="false">SUM(N13:N27)</f>
        <v>0.233125256513983</v>
      </c>
      <c r="O28" s="25" t="n">
        <f aca="false">SUM(O13:O27)</f>
        <v>0.393901295489143</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Data!$H$40*Data!$M$40/SUM(Data!$H$40:$K$40)</f>
        <v>27.7687296416938</v>
      </c>
      <c r="C34" s="22" t="n">
        <f aca="false">IF($B$38&gt;0,B34/$B$38,0)</f>
        <v>0.0814332247557003</v>
      </c>
      <c r="D34" s="21" t="n">
        <f aca="false">C28</f>
        <v>51.1371989124856</v>
      </c>
      <c r="E34" s="22" t="n">
        <f aca="false">IF($D$38&gt;0,D34/$D$38,0)</f>
        <v>0.241232310532536</v>
      </c>
      <c r="F34" s="21" t="n">
        <f aca="false">B34+D34</f>
        <v>78.9059285541794</v>
      </c>
      <c r="G34" s="22" t="n">
        <f aca="false">IF($F$38&gt;0,F34/$F$38,0)</f>
        <v>0.142691364764551</v>
      </c>
    </row>
    <row r="35" customFormat="false" ht="15" hidden="false" customHeight="true" outlineLevel="0" collapsed="false">
      <c r="A35" s="13" t="s">
        <v>110</v>
      </c>
      <c r="B35" s="21" t="n">
        <f aca="false">Data!$I$40*Data!$M$40/SUM(Data!$H$40:$K$40)</f>
        <v>59.9804560260586</v>
      </c>
      <c r="C35" s="22" t="n">
        <f aca="false">IF($B$38&gt;0,B35/$B$38,0)</f>
        <v>0.175895765472313</v>
      </c>
      <c r="D35" s="21" t="n">
        <f aca="false">D28</f>
        <v>65.7734502644763</v>
      </c>
      <c r="E35" s="22" t="n">
        <f aca="false">IF($D$38&gt;0,D35/$D$38,0)</f>
        <v>0.310276701040081</v>
      </c>
      <c r="F35" s="21" t="n">
        <f aca="false">B35+D35</f>
        <v>125.753906290535</v>
      </c>
      <c r="G35" s="22" t="n">
        <f aca="false">IF($F$38&gt;0,F35/$F$38,0)</f>
        <v>0.227409991135824</v>
      </c>
    </row>
    <row r="36" customFormat="false" ht="15" hidden="false" customHeight="true" outlineLevel="0" collapsed="false">
      <c r="A36" s="13" t="s">
        <v>111</v>
      </c>
      <c r="B36" s="21" t="n">
        <f aca="false">Data!$J$40*Data!$M$40/SUM(Data!$H$40:$K$40)</f>
        <v>136.622149837134</v>
      </c>
      <c r="C36" s="22" t="n">
        <f aca="false">IF($B$38&gt;0,B36/$B$38,0)</f>
        <v>0.400651465798046</v>
      </c>
      <c r="D36" s="21" t="n">
        <f aca="false">E28</f>
        <v>39.6399156960978</v>
      </c>
      <c r="E36" s="22" t="n">
        <f aca="false">IF($D$38&gt;0,D36/$D$38,0)</f>
        <v>0.186995546413275</v>
      </c>
      <c r="F36" s="21" t="n">
        <f aca="false">B36+D36</f>
        <v>176.262065533231</v>
      </c>
      <c r="G36" s="22" t="n">
        <f aca="false">IF($F$38&gt;0,F36/$F$38,0)</f>
        <v>0.31874759156894</v>
      </c>
    </row>
    <row r="37" customFormat="false" ht="15" hidden="false" customHeight="true" outlineLevel="0" collapsed="false">
      <c r="A37" s="13" t="s">
        <v>112</v>
      </c>
      <c r="B37" s="21" t="n">
        <f aca="false">Data!$K$40*Data!$M$40/SUM(Data!$H$40:$K$40)</f>
        <v>116.628664495114</v>
      </c>
      <c r="C37" s="22" t="n">
        <f aca="false">IF($B$38&gt;0,B37/$B$38,0)</f>
        <v>0.342019543973941</v>
      </c>
      <c r="D37" s="21" t="n">
        <f aca="false">F28</f>
        <v>55.4326425156893</v>
      </c>
      <c r="E37" s="22" t="n">
        <f aca="false">IF($D$38&gt;0,D37/$D$38,0)</f>
        <v>0.261495442014109</v>
      </c>
      <c r="F37" s="21" t="n">
        <f aca="false">B37+D37</f>
        <v>172.061307010803</v>
      </c>
      <c r="G37" s="22" t="n">
        <f aca="false">IF($F$38&gt;0,F37/$F$38,0)</f>
        <v>0.311151052530685</v>
      </c>
    </row>
    <row r="38" customFormat="false" ht="15" hidden="false" customHeight="true" outlineLevel="0" collapsed="false">
      <c r="A38" s="24" t="s">
        <v>61</v>
      </c>
      <c r="B38" s="25" t="n">
        <f aca="false">SUM(B34:B37)</f>
        <v>341</v>
      </c>
      <c r="C38" s="27" t="n">
        <f aca="false">SUM(C34:C37)</f>
        <v>1</v>
      </c>
      <c r="D38" s="25" t="n">
        <f aca="false">SUM(D34:D37)</f>
        <v>211.983207388749</v>
      </c>
      <c r="E38" s="27" t="n">
        <f aca="false">SUM(E34:E37)</f>
        <v>1</v>
      </c>
      <c r="F38" s="25" t="n">
        <f aca="false">SUM(F34:F37)</f>
        <v>552.983207388749</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103</v>
      </c>
      <c r="C6" s="15" t="n">
        <f aca="false">Model!$Q$64</f>
        <v>0.1</v>
      </c>
    </row>
    <row r="7" customFormat="false" ht="15" hidden="false" customHeight="true" outlineLevel="0" collapsed="false">
      <c r="A7" s="13" t="s">
        <v>104</v>
      </c>
      <c r="C7" s="15" t="n">
        <f aca="false">Model!$G$64</f>
        <v>0.24609</v>
      </c>
    </row>
    <row r="8" customFormat="false" ht="15" hidden="false" customHeight="true" outlineLevel="0" collapsed="false">
      <c r="A8" s="13" t="s">
        <v>105</v>
      </c>
      <c r="C8" s="15" t="n">
        <f aca="false">Model!$R$64</f>
        <v>0.190058703784181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IF($A13&lt;=Model!$B$3,Data!$B$4*Model!$D$64,0)</f>
        <v>17.6978729359082</v>
      </c>
      <c r="C13" s="21" t="n">
        <f aca="false">$B13*IF(Model!$B$5=1,Data!$D$4,Model!$AC$64)</f>
        <v>4.57803795691997</v>
      </c>
      <c r="D13" s="21" t="n">
        <f aca="false">$B13*IF(Model!$B$5=1,Data!$E$4,Model!$AD$64)</f>
        <v>5.60321962089026</v>
      </c>
      <c r="E13" s="21" t="n">
        <f aca="false">$B13*IF(Model!$B$5=1,Data!$F$4,Model!$AE$64)</f>
        <v>3.27477057843143</v>
      </c>
      <c r="F13" s="21" t="n">
        <f aca="false">$B13*IF(Model!$B$5=1,Data!$G$4,Model!$AF$64)</f>
        <v>4.24184477966655</v>
      </c>
      <c r="G13" s="21" t="n">
        <f aca="false">$B13*Model!$S$64</f>
        <v>10.7149542603362</v>
      </c>
      <c r="H13" s="21" t="n">
        <f aca="false">$B13*Model!$T$64</f>
        <v>2.67557863189257</v>
      </c>
      <c r="I13" s="21" t="n">
        <f aca="false">$B13*Model!$U$64</f>
        <v>1.2687763750443</v>
      </c>
      <c r="J13" s="21" t="n">
        <f aca="false">$B13*Model!$V$64</f>
        <v>1.2687763750443</v>
      </c>
      <c r="K13" s="21" t="n">
        <f aca="false">$B13*Model!$W$64</f>
        <v>1.19999229463041</v>
      </c>
      <c r="L13" s="21" t="n">
        <f aca="false">$B13*Model!$X$64</f>
        <v>0.328856948752181</v>
      </c>
      <c r="M13" s="21" t="n">
        <f aca="false">$B13*Model!$Y$64</f>
        <v>0.188589393059924</v>
      </c>
      <c r="N13" s="21" t="n">
        <f aca="false">$B13*Model!$Z$64</f>
        <v>0.0194629622730883</v>
      </c>
      <c r="O13" s="21" t="n">
        <f aca="false">$B13*Model!$AA$64</f>
        <v>0.0328856948752181</v>
      </c>
    </row>
    <row r="14" customFormat="false" ht="15" hidden="false" customHeight="true" outlineLevel="0" collapsed="false">
      <c r="A14" s="23" t="n">
        <v>2027</v>
      </c>
      <c r="B14" s="21" t="n">
        <f aca="false">IF($A14&lt;=Model!$B$3,Data!$B$5*Model!$D$64,0)</f>
        <v>17.6978729359082</v>
      </c>
      <c r="C14" s="21" t="n">
        <f aca="false">$B14*IF(Model!$B$5=1,Data!$D$5,Model!$AC$64)</f>
        <v>4.44937143229212</v>
      </c>
      <c r="D14" s="21" t="n">
        <f aca="false">$B14*IF(Model!$B$5=1,Data!$E$5,Model!$AD$64)</f>
        <v>5.6198217531003</v>
      </c>
      <c r="E14" s="21" t="n">
        <f aca="false">$B14*IF(Model!$B$5=1,Data!$F$5,Model!$AE$64)</f>
        <v>3.2664695123264</v>
      </c>
      <c r="F14" s="21" t="n">
        <f aca="false">$B14*IF(Model!$B$5=1,Data!$G$5,Model!$AF$64)</f>
        <v>4.36221023818938</v>
      </c>
      <c r="G14" s="21" t="n">
        <f aca="false">$B14*Model!$S$64</f>
        <v>10.7149542603362</v>
      </c>
      <c r="H14" s="21" t="n">
        <f aca="false">$B14*Model!$T$64</f>
        <v>2.67557863189257</v>
      </c>
      <c r="I14" s="21" t="n">
        <f aca="false">$B14*Model!$U$64</f>
        <v>1.2687763750443</v>
      </c>
      <c r="J14" s="21" t="n">
        <f aca="false">$B14*Model!$V$64</f>
        <v>1.2687763750443</v>
      </c>
      <c r="K14" s="21" t="n">
        <f aca="false">$B14*Model!$W$64</f>
        <v>1.19999229463041</v>
      </c>
      <c r="L14" s="21" t="n">
        <f aca="false">$B14*Model!$X$64</f>
        <v>0.328856948752181</v>
      </c>
      <c r="M14" s="21" t="n">
        <f aca="false">$B14*Model!$Y$64</f>
        <v>0.188589393059924</v>
      </c>
      <c r="N14" s="21" t="n">
        <f aca="false">$B14*Model!$Z$64</f>
        <v>0.0194629622730883</v>
      </c>
      <c r="O14" s="21" t="n">
        <f aca="false">$B14*Model!$AA$64</f>
        <v>0.0328856948752181</v>
      </c>
    </row>
    <row r="15" customFormat="false" ht="15" hidden="false" customHeight="true" outlineLevel="0" collapsed="false">
      <c r="A15" s="23" t="n">
        <v>2028</v>
      </c>
      <c r="B15" s="21" t="n">
        <f aca="false">IF($A15&lt;=Model!$B$3,Data!$B$6*Model!$D$64,0)</f>
        <v>17.6978729359082</v>
      </c>
      <c r="C15" s="21" t="n">
        <f aca="false">$B15*IF(Model!$B$5=1,Data!$D$6,Model!$AC$64)</f>
        <v>4.43484943583998</v>
      </c>
      <c r="D15" s="21" t="n">
        <f aca="false">$B15*IF(Model!$B$5=1,Data!$E$6,Model!$AD$64)</f>
        <v>5.62245892895817</v>
      </c>
      <c r="E15" s="21" t="n">
        <f aca="false">$B15*IF(Model!$B$5=1,Data!$F$6,Model!$AE$64)</f>
        <v>3.26800234644762</v>
      </c>
      <c r="F15" s="21" t="n">
        <f aca="false">$B15*IF(Model!$B$5=1,Data!$G$6,Model!$AF$64)</f>
        <v>4.37256222466244</v>
      </c>
      <c r="G15" s="21" t="n">
        <f aca="false">$B15*Model!$S$64</f>
        <v>10.7149542603362</v>
      </c>
      <c r="H15" s="21" t="n">
        <f aca="false">$B15*Model!$T$64</f>
        <v>2.67557863189257</v>
      </c>
      <c r="I15" s="21" t="n">
        <f aca="false">$B15*Model!$U$64</f>
        <v>1.2687763750443</v>
      </c>
      <c r="J15" s="21" t="n">
        <f aca="false">$B15*Model!$V$64</f>
        <v>1.2687763750443</v>
      </c>
      <c r="K15" s="21" t="n">
        <f aca="false">$B15*Model!$W$64</f>
        <v>1.19999229463041</v>
      </c>
      <c r="L15" s="21" t="n">
        <f aca="false">$B15*Model!$X$64</f>
        <v>0.328856948752181</v>
      </c>
      <c r="M15" s="21" t="n">
        <f aca="false">$B15*Model!$Y$64</f>
        <v>0.188589393059924</v>
      </c>
      <c r="N15" s="21" t="n">
        <f aca="false">$B15*Model!$Z$64</f>
        <v>0.0194629622730883</v>
      </c>
      <c r="O15" s="21" t="n">
        <f aca="false">$B15*Model!$AA$64</f>
        <v>0.0328856948752181</v>
      </c>
    </row>
    <row r="16" customFormat="false" ht="15" hidden="false" customHeight="true" outlineLevel="0" collapsed="false">
      <c r="A16" s="23" t="n">
        <v>2029</v>
      </c>
      <c r="B16" s="21" t="n">
        <f aca="false">IF($A16&lt;=Model!$B$3,Data!$B$7*Model!$D$64,0)</f>
        <v>17.6978729359082</v>
      </c>
      <c r="C16" s="21" t="n">
        <f aca="false">$B16*IF(Model!$B$5=1,Data!$D$7,Model!$AC$64)</f>
        <v>4.38814255061107</v>
      </c>
      <c r="D16" s="21" t="n">
        <f aca="false">$B16*IF(Model!$B$5=1,Data!$E$7,Model!$AD$64)</f>
        <v>5.59207948502658</v>
      </c>
      <c r="E16" s="21" t="n">
        <f aca="false">$B16*IF(Model!$B$5=1,Data!$F$7,Model!$AE$64)</f>
        <v>3.24647821625152</v>
      </c>
      <c r="F16" s="21" t="n">
        <f aca="false">$B16*IF(Model!$B$5=1,Data!$G$7,Model!$AF$64)</f>
        <v>4.47117268401902</v>
      </c>
      <c r="G16" s="21" t="n">
        <f aca="false">$B16*Model!$S$64</f>
        <v>10.7149542603362</v>
      </c>
      <c r="H16" s="21" t="n">
        <f aca="false">$B16*Model!$T$64</f>
        <v>2.67557863189257</v>
      </c>
      <c r="I16" s="21" t="n">
        <f aca="false">$B16*Model!$U$64</f>
        <v>1.2687763750443</v>
      </c>
      <c r="J16" s="21" t="n">
        <f aca="false">$B16*Model!$V$64</f>
        <v>1.2687763750443</v>
      </c>
      <c r="K16" s="21" t="n">
        <f aca="false">$B16*Model!$W$64</f>
        <v>1.19999229463041</v>
      </c>
      <c r="L16" s="21" t="n">
        <f aca="false">$B16*Model!$X$64</f>
        <v>0.328856948752181</v>
      </c>
      <c r="M16" s="21" t="n">
        <f aca="false">$B16*Model!$Y$64</f>
        <v>0.188589393059924</v>
      </c>
      <c r="N16" s="21" t="n">
        <f aca="false">$B16*Model!$Z$64</f>
        <v>0.0194629622730883</v>
      </c>
      <c r="O16" s="21" t="n">
        <f aca="false">$B16*Model!$AA$64</f>
        <v>0.0328856948752181</v>
      </c>
    </row>
    <row r="17" customFormat="false" ht="15" hidden="false" customHeight="true" outlineLevel="0" collapsed="false">
      <c r="A17" s="23" t="n">
        <v>2030</v>
      </c>
      <c r="B17" s="21" t="n">
        <f aca="false">IF($A17&lt;=Model!$B$3,Data!$B$8*Model!$D$64,0)</f>
        <v>17.6978729359082</v>
      </c>
      <c r="C17" s="21" t="n">
        <f aca="false">$B17*IF(Model!$B$5=1,Data!$D$8,Model!$AC$64)</f>
        <v>4.38086718615278</v>
      </c>
      <c r="D17" s="21" t="n">
        <f aca="false">$B17*IF(Model!$B$5=1,Data!$E$8,Model!$AD$64)</f>
        <v>5.51034194883861</v>
      </c>
      <c r="E17" s="21" t="n">
        <f aca="false">$B17*IF(Model!$B$5=1,Data!$F$8,Model!$AE$64)</f>
        <v>3.25139242346694</v>
      </c>
      <c r="F17" s="21" t="n">
        <f aca="false">$B17*IF(Model!$B$5=1,Data!$G$8,Model!$AF$64)</f>
        <v>4.55527137744985</v>
      </c>
      <c r="G17" s="21" t="n">
        <f aca="false">$B17*Model!$S$64</f>
        <v>10.7149542603362</v>
      </c>
      <c r="H17" s="21" t="n">
        <f aca="false">$B17*Model!$T$64</f>
        <v>2.67557863189257</v>
      </c>
      <c r="I17" s="21" t="n">
        <f aca="false">$B17*Model!$U$64</f>
        <v>1.2687763750443</v>
      </c>
      <c r="J17" s="21" t="n">
        <f aca="false">$B17*Model!$V$64</f>
        <v>1.2687763750443</v>
      </c>
      <c r="K17" s="21" t="n">
        <f aca="false">$B17*Model!$W$64</f>
        <v>1.19999229463041</v>
      </c>
      <c r="L17" s="21" t="n">
        <f aca="false">$B17*Model!$X$64</f>
        <v>0.328856948752181</v>
      </c>
      <c r="M17" s="21" t="n">
        <f aca="false">$B17*Model!$Y$64</f>
        <v>0.188589393059924</v>
      </c>
      <c r="N17" s="21" t="n">
        <f aca="false">$B17*Model!$Z$64</f>
        <v>0.0194629622730883</v>
      </c>
      <c r="O17" s="21" t="n">
        <f aca="false">$B17*Model!$AA$64</f>
        <v>0.0328856948752181</v>
      </c>
    </row>
    <row r="18" customFormat="false" ht="15" hidden="false" customHeight="true" outlineLevel="0" collapsed="false">
      <c r="A18" s="23" t="n">
        <v>2031</v>
      </c>
      <c r="B18" s="21" t="n">
        <f aca="false">IF($A18&lt;=Model!$B$3,Data!$B$9*Model!$D$64,0)</f>
        <v>9.00046646142364</v>
      </c>
      <c r="C18" s="21" t="n">
        <f aca="false">$B18*IF(Model!$B$5=1,Data!$D$9,Model!$AC$64)</f>
        <v>2.07990484186958</v>
      </c>
      <c r="D18" s="21" t="n">
        <f aca="false">$B18*IF(Model!$B$5=1,Data!$E$9,Model!$AD$64)</f>
        <v>2.73584289579252</v>
      </c>
      <c r="E18" s="21" t="n">
        <f aca="false">$B18*IF(Model!$B$5=1,Data!$F$9,Model!$AE$64)</f>
        <v>1.71042074820413</v>
      </c>
      <c r="F18" s="21" t="n">
        <f aca="false">$B18*IF(Model!$B$5=1,Data!$G$9,Model!$AF$64)</f>
        <v>2.47429797555742</v>
      </c>
      <c r="G18" s="21" t="n">
        <f aca="false">$B18*Model!$S$64</f>
        <v>5.44921905615973</v>
      </c>
      <c r="H18" s="21" t="n">
        <f aca="false">$B18*Model!$T$64</f>
        <v>1.3606977419524</v>
      </c>
      <c r="I18" s="21" t="n">
        <f aca="false">$B18*Model!$U$64</f>
        <v>0.645251508584572</v>
      </c>
      <c r="J18" s="21" t="n">
        <f aca="false">$B18*Model!$V$64</f>
        <v>0.645251508584572</v>
      </c>
      <c r="K18" s="21" t="n">
        <f aca="false">$B18*Model!$W$64</f>
        <v>0.610270535950909</v>
      </c>
      <c r="L18" s="21" t="n">
        <f aca="false">$B18*Model!$X$64</f>
        <v>0.167244162536882</v>
      </c>
      <c r="M18" s="21" t="n">
        <f aca="false">$B18*Model!$Y$64</f>
        <v>0.0959094074956407</v>
      </c>
      <c r="N18" s="21" t="n">
        <f aca="false">$B18*Model!$Z$64</f>
        <v>0.00989812390524405</v>
      </c>
      <c r="O18" s="21" t="n">
        <f aca="false">$B18*Model!$AA$64</f>
        <v>0.0167244162536882</v>
      </c>
    </row>
    <row r="19" customFormat="false" ht="15" hidden="false" customHeight="true" outlineLevel="0" collapsed="false">
      <c r="A19" s="23" t="n">
        <v>2032</v>
      </c>
      <c r="B19" s="21" t="n">
        <f aca="false">IF($A19&lt;=Model!$B$3,Data!$B$10*Model!$D$64,0)</f>
        <v>9.00046646142364</v>
      </c>
      <c r="C19" s="21" t="n">
        <f aca="false">$B19*IF(Model!$B$5=1,Data!$D$10,Model!$AC$64)</f>
        <v>2.00102621513201</v>
      </c>
      <c r="D19" s="21" t="n">
        <f aca="false">$B19*IF(Model!$B$5=1,Data!$E$10,Model!$AD$64)</f>
        <v>2.68187330907734</v>
      </c>
      <c r="E19" s="21" t="n">
        <f aca="false">$B19*IF(Model!$B$5=1,Data!$F$10,Model!$AE$64)</f>
        <v>1.73948129489692</v>
      </c>
      <c r="F19" s="21" t="n">
        <f aca="false">$B19*IF(Model!$B$5=1,Data!$G$10,Model!$AF$64)</f>
        <v>2.57808564231738</v>
      </c>
      <c r="G19" s="21" t="n">
        <f aca="false">$B19*Model!$S$64</f>
        <v>5.44921905615973</v>
      </c>
      <c r="H19" s="21" t="n">
        <f aca="false">$B19*Model!$T$64</f>
        <v>1.3606977419524</v>
      </c>
      <c r="I19" s="21" t="n">
        <f aca="false">$B19*Model!$U$64</f>
        <v>0.645251508584572</v>
      </c>
      <c r="J19" s="21" t="n">
        <f aca="false">$B19*Model!$V$64</f>
        <v>0.645251508584572</v>
      </c>
      <c r="K19" s="21" t="n">
        <f aca="false">$B19*Model!$W$64</f>
        <v>0.610270535950909</v>
      </c>
      <c r="L19" s="21" t="n">
        <f aca="false">$B19*Model!$X$64</f>
        <v>0.167244162536882</v>
      </c>
      <c r="M19" s="21" t="n">
        <f aca="false">$B19*Model!$Y$64</f>
        <v>0.0959094074956407</v>
      </c>
      <c r="N19" s="21" t="n">
        <f aca="false">$B19*Model!$Z$64</f>
        <v>0.00989812390524405</v>
      </c>
      <c r="O19" s="21" t="n">
        <f aca="false">$B19*Model!$AA$64</f>
        <v>0.0167244162536882</v>
      </c>
    </row>
    <row r="20" customFormat="false" ht="15" hidden="false" customHeight="true" outlineLevel="0" collapsed="false">
      <c r="A20" s="23" t="n">
        <v>2033</v>
      </c>
      <c r="B20" s="21" t="n">
        <f aca="false">IF($A20&lt;=Model!$B$3,Data!$B$11*Model!$D$64,0)</f>
        <v>9.00046646142364</v>
      </c>
      <c r="C20" s="21" t="n">
        <f aca="false">$B20*IF(Model!$B$5=1,Data!$D$11,Model!$AC$64)</f>
        <v>1.98533593380734</v>
      </c>
      <c r="D20" s="21" t="n">
        <f aca="false">$B20*IF(Model!$B$5=1,Data!$E$11,Model!$AD$64)</f>
        <v>2.6914177512702</v>
      </c>
      <c r="E20" s="21" t="n">
        <f aca="false">$B20*IF(Model!$B$5=1,Data!$F$11,Model!$AE$64)</f>
        <v>1.74028400892317</v>
      </c>
      <c r="F20" s="21" t="n">
        <f aca="false">$B20*IF(Model!$B$5=1,Data!$G$11,Model!$AF$64)</f>
        <v>2.58342876742294</v>
      </c>
      <c r="G20" s="21" t="n">
        <f aca="false">$B20*Model!$S$64</f>
        <v>5.44921905615973</v>
      </c>
      <c r="H20" s="21" t="n">
        <f aca="false">$B20*Model!$T$64</f>
        <v>1.3606977419524</v>
      </c>
      <c r="I20" s="21" t="n">
        <f aca="false">$B20*Model!$U$64</f>
        <v>0.645251508584572</v>
      </c>
      <c r="J20" s="21" t="n">
        <f aca="false">$B20*Model!$V$64</f>
        <v>0.645251508584572</v>
      </c>
      <c r="K20" s="21" t="n">
        <f aca="false">$B20*Model!$W$64</f>
        <v>0.610270535950909</v>
      </c>
      <c r="L20" s="21" t="n">
        <f aca="false">$B20*Model!$X$64</f>
        <v>0.167244162536882</v>
      </c>
      <c r="M20" s="21" t="n">
        <f aca="false">$B20*Model!$Y$64</f>
        <v>0.0959094074956407</v>
      </c>
      <c r="N20" s="21" t="n">
        <f aca="false">$B20*Model!$Z$64</f>
        <v>0.00989812390524405</v>
      </c>
      <c r="O20" s="21" t="n">
        <f aca="false">$B20*Model!$AA$64</f>
        <v>0.0167244162536882</v>
      </c>
    </row>
    <row r="21" customFormat="false" ht="15" hidden="false" customHeight="true" outlineLevel="0" collapsed="false">
      <c r="A21" s="23" t="n">
        <v>2034</v>
      </c>
      <c r="B21" s="21" t="n">
        <f aca="false">IF($A21&lt;=Model!$B$3,Data!$B$12*Model!$D$64,0)</f>
        <v>9.00046646142364</v>
      </c>
      <c r="C21" s="21" t="n">
        <f aca="false">$B21*IF(Model!$B$5=1,Data!$D$12,Model!$AC$64)</f>
        <v>1.96781416176883</v>
      </c>
      <c r="D21" s="21" t="n">
        <f aca="false">$B21*IF(Model!$B$5=1,Data!$E$12,Model!$AD$64)</f>
        <v>2.69847933575894</v>
      </c>
      <c r="E21" s="21" t="n">
        <f aca="false">$B21*IF(Model!$B$5=1,Data!$F$12,Model!$AE$64)</f>
        <v>1.73948129489692</v>
      </c>
      <c r="F21" s="21" t="n">
        <f aca="false">$B21*IF(Model!$B$5=1,Data!$G$12,Model!$AF$64)</f>
        <v>2.59469166899897</v>
      </c>
      <c r="G21" s="21" t="n">
        <f aca="false">$B21*Model!$S$64</f>
        <v>5.44921905615973</v>
      </c>
      <c r="H21" s="21" t="n">
        <f aca="false">$B21*Model!$T$64</f>
        <v>1.3606977419524</v>
      </c>
      <c r="I21" s="21" t="n">
        <f aca="false">$B21*Model!$U$64</f>
        <v>0.645251508584572</v>
      </c>
      <c r="J21" s="21" t="n">
        <f aca="false">$B21*Model!$V$64</f>
        <v>0.645251508584572</v>
      </c>
      <c r="K21" s="21" t="n">
        <f aca="false">$B21*Model!$W$64</f>
        <v>0.610270535950909</v>
      </c>
      <c r="L21" s="21" t="n">
        <f aca="false">$B21*Model!$X$64</f>
        <v>0.167244162536882</v>
      </c>
      <c r="M21" s="21" t="n">
        <f aca="false">$B21*Model!$Y$64</f>
        <v>0.0959094074956407</v>
      </c>
      <c r="N21" s="21" t="n">
        <f aca="false">$B21*Model!$Z$64</f>
        <v>0.00989812390524405</v>
      </c>
      <c r="O21" s="21" t="n">
        <f aca="false">$B21*Model!$AA$64</f>
        <v>0.0167244162536882</v>
      </c>
    </row>
    <row r="22" customFormat="false" ht="15" hidden="false" customHeight="true" outlineLevel="0" collapsed="false">
      <c r="A22" s="23" t="n">
        <v>2035</v>
      </c>
      <c r="B22" s="21" t="n">
        <f aca="false">IF($A22&lt;=Model!$B$3,Data!$B$13*Model!$D$64,0)</f>
        <v>8.69740647448456</v>
      </c>
      <c r="C22" s="21" t="n">
        <f aca="false">$B22*IF(Model!$B$5=1,Data!$D$13,Model!$AC$64)</f>
        <v>1.86402649500886</v>
      </c>
      <c r="D22" s="21" t="n">
        <f aca="false">$B22*IF(Model!$B$5=1,Data!$E$13,Model!$AD$64)</f>
        <v>2.56978262897658</v>
      </c>
      <c r="E22" s="21" t="n">
        <f aca="false">$B22*IF(Model!$B$5=1,Data!$F$13,Model!$AE$64)</f>
        <v>1.66890568150014</v>
      </c>
      <c r="F22" s="21" t="n">
        <f aca="false">$B22*IF(Model!$B$5=1,Data!$G$13,Model!$AF$64)</f>
        <v>2.59469166899898</v>
      </c>
      <c r="G22" s="21" t="n">
        <f aca="false">$B22*Model!$S$64</f>
        <v>5.26573520417649</v>
      </c>
      <c r="H22" s="21" t="n">
        <f aca="false">$B22*Model!$T$64</f>
        <v>1.31488088994017</v>
      </c>
      <c r="I22" s="21" t="n">
        <f aca="false">$B22*Model!$U$64</f>
        <v>0.623524866459723</v>
      </c>
      <c r="J22" s="21" t="n">
        <f aca="false">$B22*Model!$V$64</f>
        <v>0.623524866459723</v>
      </c>
      <c r="K22" s="21" t="n">
        <f aca="false">$B22*Model!$W$64</f>
        <v>0.589721758679499</v>
      </c>
      <c r="L22" s="21" t="n">
        <f aca="false">$B22*Model!$X$64</f>
        <v>0.161612786215299</v>
      </c>
      <c r="M22" s="21" t="n">
        <f aca="false">$B22*Model!$Y$64</f>
        <v>0.0926799855642837</v>
      </c>
      <c r="N22" s="21" t="n">
        <f aca="false">$B22*Model!$Z$64</f>
        <v>0.00956483836784423</v>
      </c>
      <c r="O22" s="21" t="n">
        <f aca="false">$B22*Model!$AA$64</f>
        <v>0.0161612786215299</v>
      </c>
    </row>
    <row r="23" customFormat="false" ht="15" hidden="false" customHeight="true" outlineLevel="0" collapsed="false">
      <c r="A23" s="23" t="n">
        <v>2036</v>
      </c>
      <c r="B23" s="21" t="n">
        <f aca="false">IF($A23&lt;=Model!$B$3,Data!$B$14*Model!$D$64,0)</f>
        <v>6.5884410859222</v>
      </c>
      <c r="C23" s="21" t="n">
        <f aca="false">$B23*IF(Model!$B$5=1,Data!$D$14,Model!$AC$64)</f>
        <v>1.5893502560379</v>
      </c>
      <c r="D23" s="21" t="n">
        <f aca="false">$B23*IF(Model!$B$5=1,Data!$E$14,Model!$AD$64)</f>
        <v>2.04424246654623</v>
      </c>
      <c r="E23" s="21" t="n">
        <f aca="false">$B23*IF(Model!$B$5=1,Data!$F$14,Model!$AE$64)</f>
        <v>1.23200829383271</v>
      </c>
      <c r="F23" s="21" t="n">
        <f aca="false">$B23*IF(Model!$B$5=1,Data!$G$14,Model!$AF$64)</f>
        <v>1.72284006950535</v>
      </c>
      <c r="G23" s="21" t="n">
        <f aca="false">$B23*Model!$S$64</f>
        <v>3.98888867256711</v>
      </c>
      <c r="H23" s="21" t="n">
        <f aca="false">$B23*Model!$T$64</f>
        <v>0.996045810183794</v>
      </c>
      <c r="I23" s="21" t="n">
        <f aca="false">$B23*Model!$U$64</f>
        <v>0.472331247289537</v>
      </c>
      <c r="J23" s="21" t="n">
        <f aca="false">$B23*Model!$V$64</f>
        <v>0.472331247289537</v>
      </c>
      <c r="K23" s="21" t="n">
        <f aca="false">$B23*Model!$W$64</f>
        <v>0.446724788078456</v>
      </c>
      <c r="L23" s="21" t="n">
        <f aca="false">$B23*Model!$X$64</f>
        <v>0.122424578388391</v>
      </c>
      <c r="M23" s="21" t="n">
        <f aca="false">$B23*Model!$Y$64</f>
        <v>0.0702067480145672</v>
      </c>
      <c r="N23" s="21" t="n">
        <f aca="false">$B23*Model!$Z$64</f>
        <v>0.00724553627196601</v>
      </c>
      <c r="O23" s="21" t="n">
        <f aca="false">$B23*Model!$AA$64</f>
        <v>0.0122424578388391</v>
      </c>
    </row>
    <row r="24" customFormat="false" ht="15" hidden="false" customHeight="true" outlineLevel="0" collapsed="false">
      <c r="A24" s="23" t="n">
        <v>2037</v>
      </c>
      <c r="B24" s="21" t="n">
        <f aca="false">IF($A24&lt;=Model!$B$3,Data!$B$15*Model!$D$64,0)</f>
        <v>6.53447149920702</v>
      </c>
      <c r="C24" s="21" t="n">
        <f aca="false">$B24*IF(Model!$B$5=1,Data!$D$15,Model!$AC$64)</f>
        <v>1.57633100378302</v>
      </c>
      <c r="D24" s="21" t="n">
        <f aca="false">$B24*IF(Model!$B$5=1,Data!$E$15,Model!$AD$64)</f>
        <v>2.027496939095</v>
      </c>
      <c r="E24" s="21" t="n">
        <f aca="false">$B24*IF(Model!$B$5=1,Data!$F$15,Model!$AE$64)</f>
        <v>1.22191622841379</v>
      </c>
      <c r="F24" s="21" t="n">
        <f aca="false">$B24*IF(Model!$B$5=1,Data!$G$15,Model!$AF$64)</f>
        <v>1.70872732791521</v>
      </c>
      <c r="G24" s="21" t="n">
        <f aca="false">$B24*Model!$S$64</f>
        <v>3.95621346604955</v>
      </c>
      <c r="H24" s="21" t="n">
        <f aca="false">$B24*Model!$T$64</f>
        <v>0.987886644756957</v>
      </c>
      <c r="I24" s="21" t="n">
        <f aca="false">$B24*Model!$U$64</f>
        <v>0.468462119239906</v>
      </c>
      <c r="J24" s="21" t="n">
        <f aca="false">$B24*Model!$V$64</f>
        <v>0.468462119239906</v>
      </c>
      <c r="K24" s="21" t="n">
        <f aca="false">$B24*Model!$W$64</f>
        <v>0.443065416783548</v>
      </c>
      <c r="L24" s="21" t="n">
        <f aca="false">$B24*Model!$X$64</f>
        <v>0.121421730550301</v>
      </c>
      <c r="M24" s="21" t="n">
        <f aca="false">$B24*Model!$Y$64</f>
        <v>0.0696316454788461</v>
      </c>
      <c r="N24" s="21" t="n">
        <f aca="false">$B24*Model!$Z$64</f>
        <v>0.007186184052977</v>
      </c>
      <c r="O24" s="21" t="n">
        <f aca="false">$B24*Model!$AA$64</f>
        <v>0.0121421730550301</v>
      </c>
    </row>
    <row r="25" customFormat="false" ht="15" hidden="false" customHeight="true" outlineLevel="0" collapsed="false">
      <c r="A25" s="23" t="n">
        <v>2038</v>
      </c>
      <c r="B25" s="21" t="n">
        <f aca="false">IF($A25&lt;=Model!$B$3,Data!$B$16*Model!$D$64,0)</f>
        <v>6.45559287246945</v>
      </c>
      <c r="C25" s="21" t="n">
        <f aca="false">$B25*IF(Model!$B$5=1,Data!$D$16,Model!$AC$64)</f>
        <v>1.55730286587205</v>
      </c>
      <c r="D25" s="21" t="n">
        <f aca="false">$B25*IF(Model!$B$5=1,Data!$E$16,Model!$AD$64)</f>
        <v>2.00302270666628</v>
      </c>
      <c r="E25" s="21" t="n">
        <f aca="false">$B25*IF(Model!$B$5=1,Data!$F$16,Model!$AE$64)</f>
        <v>1.20716628664768</v>
      </c>
      <c r="F25" s="21" t="n">
        <f aca="false">$B25*IF(Model!$B$5=1,Data!$G$16,Model!$AF$64)</f>
        <v>1.68810101328344</v>
      </c>
      <c r="G25" s="21" t="n">
        <f aca="false">$B25*Model!$S$64</f>
        <v>3.90845739498541</v>
      </c>
      <c r="H25" s="21" t="n">
        <f aca="false">$B25*Model!$T$64</f>
        <v>0.975961710671581</v>
      </c>
      <c r="I25" s="21" t="n">
        <f aca="false">$B25*Model!$U$64</f>
        <v>0.462807239782754</v>
      </c>
      <c r="J25" s="21" t="n">
        <f aca="false">$B25*Model!$V$64</f>
        <v>0.462807239782754</v>
      </c>
      <c r="K25" s="21" t="n">
        <f aca="false">$B25*Model!$W$64</f>
        <v>0.437717104890989</v>
      </c>
      <c r="L25" s="21" t="n">
        <f aca="false">$B25*Model!$X$64</f>
        <v>0.119956029863862</v>
      </c>
      <c r="M25" s="21" t="n">
        <f aca="false">$B25*Model!$Y$64</f>
        <v>0.0687911110035614</v>
      </c>
      <c r="N25" s="21" t="n">
        <f aca="false">$B25*Model!$Z$64</f>
        <v>0.00709943850214691</v>
      </c>
      <c r="O25" s="21" t="n">
        <f aca="false">$B25*Model!$AA$64</f>
        <v>0.0119956029863862</v>
      </c>
    </row>
    <row r="26" customFormat="false" ht="15" hidden="false" customHeight="true" outlineLevel="0" collapsed="false">
      <c r="A26" s="23" t="n">
        <v>2039</v>
      </c>
      <c r="B26" s="21" t="n">
        <f aca="false">IF($A26&lt;=Model!$B$3,Data!$B$17*Model!$D$64,0)</f>
        <v>6.39747177908387</v>
      </c>
      <c r="C26" s="21" t="n">
        <f aca="false">$B26*IF(Model!$B$5=1,Data!$D$17,Model!$AC$64)</f>
        <v>1.54328213267448</v>
      </c>
      <c r="D26" s="21" t="n">
        <f aca="false">$B26*IF(Model!$B$5=1,Data!$E$17,Model!$AD$64)</f>
        <v>1.9849890617188</v>
      </c>
      <c r="E26" s="21" t="n">
        <f aca="false">$B26*IF(Model!$B$5=1,Data!$F$17,Model!$AE$64)</f>
        <v>1.19629790850423</v>
      </c>
      <c r="F26" s="21" t="n">
        <f aca="false">$B26*IF(Model!$B$5=1,Data!$G$17,Model!$AF$64)</f>
        <v>1.67290267618636</v>
      </c>
      <c r="G26" s="21" t="n">
        <f aca="false">$B26*Model!$S$64</f>
        <v>3.87326871104342</v>
      </c>
      <c r="H26" s="21" t="n">
        <f aca="false">$B26*Model!$T$64</f>
        <v>0.967174917134988</v>
      </c>
      <c r="I26" s="21" t="n">
        <f aca="false">$B26*Model!$U$64</f>
        <v>0.458640486498536</v>
      </c>
      <c r="J26" s="21" t="n">
        <f aca="false">$B26*Model!$V$64</f>
        <v>0.458640486498536</v>
      </c>
      <c r="K26" s="21" t="n">
        <f aca="false">$B26*Model!$W$64</f>
        <v>0.433776243496472</v>
      </c>
      <c r="L26" s="21" t="n">
        <f aca="false">$B26*Model!$X$64</f>
        <v>0.11887603988438</v>
      </c>
      <c r="M26" s="21" t="n">
        <f aca="false">$B26*Model!$Y$64</f>
        <v>0.0681717698112464</v>
      </c>
      <c r="N26" s="21" t="n">
        <f aca="false">$B26*Model!$Z$64</f>
        <v>0.00703552072785105</v>
      </c>
      <c r="O26" s="21" t="n">
        <f aca="false">$B26*Model!$AA$64</f>
        <v>0.011887603988438</v>
      </c>
    </row>
    <row r="27" customFormat="false" ht="15" hidden="false" customHeight="true" outlineLevel="0" collapsed="false">
      <c r="A27" s="23" t="n">
        <v>2040</v>
      </c>
      <c r="B27" s="21" t="n">
        <f aca="false">IF($A27&lt;=Model!$B$3,Data!$B$18*Model!$D$64,0)</f>
        <v>6.3310476723575</v>
      </c>
      <c r="C27" s="21" t="n">
        <f aca="false">$B27*IF(Model!$B$5=1,Data!$D$18,Model!$AC$64)</f>
        <v>1.52725843759155</v>
      </c>
      <c r="D27" s="21" t="n">
        <f aca="false">$B27*IF(Model!$B$5=1,Data!$E$18,Model!$AD$64)</f>
        <v>1.96437918177883</v>
      </c>
      <c r="E27" s="21" t="n">
        <f aca="false">$B27*IF(Model!$B$5=1,Data!$F$18,Model!$AE$64)</f>
        <v>1.18387690491171</v>
      </c>
      <c r="F27" s="21" t="n">
        <f aca="false">$B27*IF(Model!$B$5=1,Data!$G$18,Model!$AF$64)</f>
        <v>1.6555331480754</v>
      </c>
      <c r="G27" s="21" t="n">
        <f aca="false">$B27*Model!$S$64</f>
        <v>3.83305307225258</v>
      </c>
      <c r="H27" s="21" t="n">
        <f aca="false">$B27*Model!$T$64</f>
        <v>0.957132867378882</v>
      </c>
      <c r="I27" s="21" t="n">
        <f aca="false">$B27*Model!$U$64</f>
        <v>0.453878482745144</v>
      </c>
      <c r="J27" s="21" t="n">
        <f aca="false">$B27*Model!$V$64</f>
        <v>0.453878482745144</v>
      </c>
      <c r="K27" s="21" t="n">
        <f aca="false">$B27*Model!$W$64</f>
        <v>0.429272401902738</v>
      </c>
      <c r="L27" s="21" t="n">
        <f aca="false">$B27*Model!$X$64</f>
        <v>0.117641765622115</v>
      </c>
      <c r="M27" s="21" t="n">
        <f aca="false">$B27*Model!$Y$64</f>
        <v>0.0674639513057435</v>
      </c>
      <c r="N27" s="21" t="n">
        <f aca="false">$B27*Model!$Z$64</f>
        <v>0.0069624718429415</v>
      </c>
      <c r="O27" s="21" t="n">
        <f aca="false">$B27*Model!$AA$64</f>
        <v>0.0117641765622115</v>
      </c>
    </row>
    <row r="28" customFormat="false" ht="15" hidden="false" customHeight="true" outlineLevel="0" collapsed="false">
      <c r="A28" s="24" t="s">
        <v>122</v>
      </c>
      <c r="B28" s="25" t="n">
        <f aca="false">SUM(B13:B27)</f>
        <v>165.49566190876</v>
      </c>
      <c r="C28" s="25" t="n">
        <f aca="false">SUM(C13:C27)</f>
        <v>39.9229009053615</v>
      </c>
      <c r="D28" s="25" t="n">
        <f aca="false">SUM(D13:D27)</f>
        <v>51.3494480134946</v>
      </c>
      <c r="E28" s="25" t="n">
        <f aca="false">SUM(E13:E27)</f>
        <v>30.9469517276553</v>
      </c>
      <c r="F28" s="25" t="n">
        <f aca="false">SUM(F13:F27)</f>
        <v>43.2763612622487</v>
      </c>
      <c r="G28" s="25" t="n">
        <f aca="false">SUM(G13:G27)</f>
        <v>100.197264047395</v>
      </c>
      <c r="H28" s="25" t="n">
        <f aca="false">SUM(H13:H27)</f>
        <v>25.0197669673388</v>
      </c>
      <c r="I28" s="25" t="n">
        <f aca="false">SUM(I13:I27)</f>
        <v>11.8645323515754</v>
      </c>
      <c r="J28" s="25" t="n">
        <f aca="false">SUM(J13:J27)</f>
        <v>11.8645323515754</v>
      </c>
      <c r="K28" s="25" t="n">
        <f aca="false">SUM(K13:K27)</f>
        <v>11.2213213307874</v>
      </c>
      <c r="L28" s="25" t="n">
        <f aca="false">SUM(L13:L27)</f>
        <v>3.07519432443278</v>
      </c>
      <c r="M28" s="25" t="n">
        <f aca="false">SUM(M13:M27)</f>
        <v>1.76352980646043</v>
      </c>
      <c r="N28" s="25" t="n">
        <f aca="false">SUM(N13:N27)</f>
        <v>0.182001296752144</v>
      </c>
      <c r="O28" s="25" t="n">
        <f aca="false">SUM(O13:O27)</f>
        <v>0.307519432443278</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Data!$H$41*Data!$M$41/SUM(Data!$H$41:$K$41)</f>
        <v>16.7647058823529</v>
      </c>
      <c r="C34" s="22" t="n">
        <f aca="false">IF($B$38&gt;0,B34/$B$38,0)</f>
        <v>0.0630252100840336</v>
      </c>
      <c r="D34" s="21" t="n">
        <f aca="false">C28</f>
        <v>39.9229009053615</v>
      </c>
      <c r="E34" s="22" t="n">
        <f aca="false">IF($D$38&gt;0,D34/$D$38,0)</f>
        <v>0.241232310532536</v>
      </c>
      <c r="F34" s="21" t="n">
        <f aca="false">B34+D34</f>
        <v>56.6876067877145</v>
      </c>
      <c r="G34" s="22" t="n">
        <f aca="false">IF($F$38&gt;0,F34/$F$38,0)</f>
        <v>0.131374685291045</v>
      </c>
    </row>
    <row r="35" customFormat="false" ht="15" hidden="false" customHeight="true" outlineLevel="0" collapsed="false">
      <c r="A35" s="13" t="s">
        <v>110</v>
      </c>
      <c r="B35" s="21" t="n">
        <f aca="false">Data!$I$41*Data!$M$41/SUM(Data!$H$41:$K$41)</f>
        <v>43.5882352941176</v>
      </c>
      <c r="C35" s="22" t="n">
        <f aca="false">IF($B$38&gt;0,B35/$B$38,0)</f>
        <v>0.163865546218487</v>
      </c>
      <c r="D35" s="21" t="n">
        <f aca="false">D28</f>
        <v>51.3494480134946</v>
      </c>
      <c r="E35" s="22" t="n">
        <f aca="false">IF($D$38&gt;0,D35/$D$38,0)</f>
        <v>0.310276701040081</v>
      </c>
      <c r="F35" s="21" t="n">
        <f aca="false">B35+D35</f>
        <v>94.9376833076123</v>
      </c>
      <c r="G35" s="22" t="n">
        <f aca="false">IF($F$38&gt;0,F35/$F$38,0)</f>
        <v>0.220020018017439</v>
      </c>
    </row>
    <row r="36" customFormat="false" ht="15" hidden="false" customHeight="true" outlineLevel="0" collapsed="false">
      <c r="A36" s="13" t="s">
        <v>111</v>
      </c>
      <c r="B36" s="21" t="n">
        <f aca="false">Data!$J$41*Data!$M$41/SUM(Data!$H$41:$K$41)</f>
        <v>152</v>
      </c>
      <c r="C36" s="22" t="n">
        <f aca="false">IF($B$38&gt;0,B36/$B$38,0)</f>
        <v>0.571428571428571</v>
      </c>
      <c r="D36" s="21" t="n">
        <f aca="false">E28</f>
        <v>30.9469517276553</v>
      </c>
      <c r="E36" s="22" t="n">
        <f aca="false">IF($D$38&gt;0,D36/$D$38,0)</f>
        <v>0.186995546413276</v>
      </c>
      <c r="F36" s="21" t="n">
        <f aca="false">B36+D36</f>
        <v>182.946951727655</v>
      </c>
      <c r="G36" s="22" t="n">
        <f aca="false">IF($F$38&gt;0,F36/$F$38,0)</f>
        <v>0.423983293176976</v>
      </c>
    </row>
    <row r="37" customFormat="false" ht="15" hidden="false" customHeight="true" outlineLevel="0" collapsed="false">
      <c r="A37" s="13" t="s">
        <v>112</v>
      </c>
      <c r="B37" s="21" t="n">
        <f aca="false">Data!$K$41*Data!$M$41/SUM(Data!$H$41:$K$41)</f>
        <v>53.6470588235294</v>
      </c>
      <c r="C37" s="22" t="n">
        <f aca="false">IF($B$38&gt;0,B37/$B$38,0)</f>
        <v>0.201680672268908</v>
      </c>
      <c r="D37" s="21" t="n">
        <f aca="false">F28</f>
        <v>43.2763612622487</v>
      </c>
      <c r="E37" s="22" t="n">
        <f aca="false">IF($D$38&gt;0,D37/$D$38,0)</f>
        <v>0.261495442014109</v>
      </c>
      <c r="F37" s="21" t="n">
        <f aca="false">B37+D37</f>
        <v>96.9234200857781</v>
      </c>
      <c r="G37" s="22" t="n">
        <f aca="false">IF($F$38&gt;0,F37/$F$38,0)</f>
        <v>0.22462200351454</v>
      </c>
    </row>
    <row r="38" customFormat="false" ht="15" hidden="false" customHeight="true" outlineLevel="0" collapsed="false">
      <c r="A38" s="24" t="s">
        <v>61</v>
      </c>
      <c r="B38" s="25" t="n">
        <f aca="false">SUM(B34:B37)</f>
        <v>266</v>
      </c>
      <c r="C38" s="27" t="n">
        <f aca="false">SUM(C34:C37)</f>
        <v>1</v>
      </c>
      <c r="D38" s="25" t="n">
        <f aca="false">SUM(D34:D37)</f>
        <v>165.49566190876</v>
      </c>
      <c r="E38" s="27" t="n">
        <f aca="false">SUM(E34:E37)</f>
        <v>1</v>
      </c>
      <c r="F38" s="25" t="n">
        <f aca="false">SUM(F34:F37)</f>
        <v>431.49566190876</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103</v>
      </c>
      <c r="C6" s="15" t="n">
        <f aca="false">Model!$Q$65</f>
        <v>0.1</v>
      </c>
    </row>
    <row r="7" customFormat="false" ht="15" hidden="false" customHeight="true" outlineLevel="0" collapsed="false">
      <c r="A7" s="13" t="s">
        <v>104</v>
      </c>
      <c r="C7" s="15" t="n">
        <f aca="false">Model!$G$65</f>
        <v>0.30183</v>
      </c>
    </row>
    <row r="8" customFormat="false" ht="15" hidden="false" customHeight="true" outlineLevel="0" collapsed="false">
      <c r="A8" s="13" t="s">
        <v>105</v>
      </c>
      <c r="C8" s="15" t="n">
        <f aca="false">Model!$R$65</f>
        <v>0.225478177255521</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IF($A13&lt;=Model!$B$3,Data!$B$4*Model!$D$65,0)</f>
        <v>28.4359082003918</v>
      </c>
      <c r="C13" s="21" t="n">
        <f aca="false">$B13*IF(Model!$B$5=1,Data!$D$4,Model!$AC$65)</f>
        <v>7.35572390830962</v>
      </c>
      <c r="D13" s="21" t="n">
        <f aca="false">$B13*IF(Model!$B$5=1,Data!$E$4,Model!$AD$65)</f>
        <v>9.00292590772254</v>
      </c>
      <c r="E13" s="21" t="n">
        <f aca="false">$B13*IF(Model!$B$5=1,Data!$F$4,Model!$AE$65)</f>
        <v>5.26171003051342</v>
      </c>
      <c r="F13" s="21" t="n">
        <f aca="false">$B13*IF(Model!$B$5=1,Data!$G$4,Model!$AF$65)</f>
        <v>6.81554835384625</v>
      </c>
      <c r="G13" s="21" t="n">
        <f aca="false">$B13*Model!$S$65</f>
        <v>17.2161624632369</v>
      </c>
      <c r="H13" s="21" t="n">
        <f aca="false">$B13*Model!$T$65</f>
        <v>4.29896341978245</v>
      </c>
      <c r="I13" s="21" t="n">
        <f aca="false">$B13*Model!$U$65</f>
        <v>2.03859574866668</v>
      </c>
      <c r="J13" s="21" t="n">
        <f aca="false">$B13*Model!$V$65</f>
        <v>2.03859574866668</v>
      </c>
      <c r="K13" s="21" t="n">
        <f aca="false">$B13*Model!$W$65</f>
        <v>1.92807750710279</v>
      </c>
      <c r="L13" s="21" t="n">
        <f aca="false">$B13*Model!$X$65</f>
        <v>0.528388131141145</v>
      </c>
      <c r="M13" s="21" t="n">
        <f aca="false">$B13*Model!$Y$65</f>
        <v>0.303014418062575</v>
      </c>
      <c r="N13" s="21" t="n">
        <f aca="false">$B13*Model!$Z$65</f>
        <v>0.0312719506185576</v>
      </c>
      <c r="O13" s="21" t="n">
        <f aca="false">$B13*Model!$AA$65</f>
        <v>0.0528388131141145</v>
      </c>
    </row>
    <row r="14" customFormat="false" ht="15" hidden="false" customHeight="true" outlineLevel="0" collapsed="false">
      <c r="A14" s="23" t="n">
        <v>2027</v>
      </c>
      <c r="B14" s="21" t="n">
        <f aca="false">IF($A14&lt;=Model!$B$3,Data!$B$5*Model!$D$65,0)</f>
        <v>28.4359082003918</v>
      </c>
      <c r="C14" s="21" t="n">
        <f aca="false">$B14*IF(Model!$B$5=1,Data!$D$5,Model!$AC$65)</f>
        <v>7.14899005413228</v>
      </c>
      <c r="D14" s="21" t="n">
        <f aca="false">$B14*IF(Model!$B$5=1,Data!$E$5,Model!$AD$65)</f>
        <v>9.02960124374543</v>
      </c>
      <c r="E14" s="21" t="n">
        <f aca="false">$B14*IF(Model!$B$5=1,Data!$F$5,Model!$AE$65)</f>
        <v>5.24837236250197</v>
      </c>
      <c r="F14" s="21" t="n">
        <f aca="false">$B14*IF(Model!$B$5=1,Data!$G$5,Model!$AF$65)</f>
        <v>7.00894454001215</v>
      </c>
      <c r="G14" s="21" t="n">
        <f aca="false">$B14*Model!$S$65</f>
        <v>17.2161624632369</v>
      </c>
      <c r="H14" s="21" t="n">
        <f aca="false">$B14*Model!$T$65</f>
        <v>4.29896341978245</v>
      </c>
      <c r="I14" s="21" t="n">
        <f aca="false">$B14*Model!$U$65</f>
        <v>2.03859574866668</v>
      </c>
      <c r="J14" s="21" t="n">
        <f aca="false">$B14*Model!$V$65</f>
        <v>2.03859574866668</v>
      </c>
      <c r="K14" s="21" t="n">
        <f aca="false">$B14*Model!$W$65</f>
        <v>1.92807750710279</v>
      </c>
      <c r="L14" s="21" t="n">
        <f aca="false">$B14*Model!$X$65</f>
        <v>0.528388131141145</v>
      </c>
      <c r="M14" s="21" t="n">
        <f aca="false">$B14*Model!$Y$65</f>
        <v>0.303014418062575</v>
      </c>
      <c r="N14" s="21" t="n">
        <f aca="false">$B14*Model!$Z$65</f>
        <v>0.0312719506185576</v>
      </c>
      <c r="O14" s="21" t="n">
        <f aca="false">$B14*Model!$AA$65</f>
        <v>0.0528388131141145</v>
      </c>
    </row>
    <row r="15" customFormat="false" ht="15" hidden="false" customHeight="true" outlineLevel="0" collapsed="false">
      <c r="A15" s="23" t="n">
        <v>2028</v>
      </c>
      <c r="B15" s="21" t="n">
        <f aca="false">IF($A15&lt;=Model!$B$3,Data!$B$6*Model!$D$65,0)</f>
        <v>28.4359082003918</v>
      </c>
      <c r="C15" s="21" t="n">
        <f aca="false">$B15*IF(Model!$B$5=1,Data!$D$6,Model!$AC$65)</f>
        <v>7.12565695870918</v>
      </c>
      <c r="D15" s="21" t="n">
        <f aca="false">$B15*IF(Model!$B$5=1,Data!$E$6,Model!$AD$65)</f>
        <v>9.03383850383166</v>
      </c>
      <c r="E15" s="21" t="n">
        <f aca="false">$B15*IF(Model!$B$5=1,Data!$F$6,Model!$AE$65)</f>
        <v>5.2508352308091</v>
      </c>
      <c r="F15" s="21" t="n">
        <f aca="false">$B15*IF(Model!$B$5=1,Data!$G$6,Model!$AF$65)</f>
        <v>7.0255775070419</v>
      </c>
      <c r="G15" s="21" t="n">
        <f aca="false">$B15*Model!$S$65</f>
        <v>17.2161624632369</v>
      </c>
      <c r="H15" s="21" t="n">
        <f aca="false">$B15*Model!$T$65</f>
        <v>4.29896341978245</v>
      </c>
      <c r="I15" s="21" t="n">
        <f aca="false">$B15*Model!$U$65</f>
        <v>2.03859574866668</v>
      </c>
      <c r="J15" s="21" t="n">
        <f aca="false">$B15*Model!$V$65</f>
        <v>2.03859574866668</v>
      </c>
      <c r="K15" s="21" t="n">
        <f aca="false">$B15*Model!$W$65</f>
        <v>1.92807750710279</v>
      </c>
      <c r="L15" s="21" t="n">
        <f aca="false">$B15*Model!$X$65</f>
        <v>0.528388131141145</v>
      </c>
      <c r="M15" s="21" t="n">
        <f aca="false">$B15*Model!$Y$65</f>
        <v>0.303014418062575</v>
      </c>
      <c r="N15" s="21" t="n">
        <f aca="false">$B15*Model!$Z$65</f>
        <v>0.0312719506185576</v>
      </c>
      <c r="O15" s="21" t="n">
        <f aca="false">$B15*Model!$AA$65</f>
        <v>0.0528388131141145</v>
      </c>
    </row>
    <row r="16" customFormat="false" ht="15" hidden="false" customHeight="true" outlineLevel="0" collapsed="false">
      <c r="A16" s="23" t="n">
        <v>2029</v>
      </c>
      <c r="B16" s="21" t="n">
        <f aca="false">IF($A16&lt;=Model!$B$3,Data!$B$7*Model!$D$65,0)</f>
        <v>28.4359082003918</v>
      </c>
      <c r="C16" s="21" t="n">
        <f aca="false">$B16*IF(Model!$B$5=1,Data!$D$7,Model!$AC$65)</f>
        <v>7.05061106446498</v>
      </c>
      <c r="D16" s="21" t="n">
        <f aca="false">$B16*IF(Model!$B$5=1,Data!$E$7,Model!$AD$65)</f>
        <v>8.98502658830114</v>
      </c>
      <c r="E16" s="21" t="n">
        <f aca="false">$B16*IF(Model!$B$5=1,Data!$F$7,Model!$AE$65)</f>
        <v>5.21625151599964</v>
      </c>
      <c r="F16" s="21" t="n">
        <f aca="false">$B16*IF(Model!$B$5=1,Data!$G$7,Model!$AF$65)</f>
        <v>7.18401903162607</v>
      </c>
      <c r="G16" s="21" t="n">
        <f aca="false">$B16*Model!$S$65</f>
        <v>17.2161624632369</v>
      </c>
      <c r="H16" s="21" t="n">
        <f aca="false">$B16*Model!$T$65</f>
        <v>4.29896341978245</v>
      </c>
      <c r="I16" s="21" t="n">
        <f aca="false">$B16*Model!$U$65</f>
        <v>2.03859574866668</v>
      </c>
      <c r="J16" s="21" t="n">
        <f aca="false">$B16*Model!$V$65</f>
        <v>2.03859574866668</v>
      </c>
      <c r="K16" s="21" t="n">
        <f aca="false">$B16*Model!$W$65</f>
        <v>1.92807750710279</v>
      </c>
      <c r="L16" s="21" t="n">
        <f aca="false">$B16*Model!$X$65</f>
        <v>0.528388131141145</v>
      </c>
      <c r="M16" s="21" t="n">
        <f aca="false">$B16*Model!$Y$65</f>
        <v>0.303014418062575</v>
      </c>
      <c r="N16" s="21" t="n">
        <f aca="false">$B16*Model!$Z$65</f>
        <v>0.0312719506185576</v>
      </c>
      <c r="O16" s="21" t="n">
        <f aca="false">$B16*Model!$AA$65</f>
        <v>0.0528388131141145</v>
      </c>
    </row>
    <row r="17" customFormat="false" ht="15" hidden="false" customHeight="true" outlineLevel="0" collapsed="false">
      <c r="A17" s="23" t="n">
        <v>2030</v>
      </c>
      <c r="B17" s="21" t="n">
        <f aca="false">IF($A17&lt;=Model!$B$3,Data!$B$8*Model!$D$65,0)</f>
        <v>28.4359082003918</v>
      </c>
      <c r="C17" s="21" t="n">
        <f aca="false">$B17*IF(Model!$B$5=1,Data!$D$8,Model!$AC$65)</f>
        <v>7.03892143393087</v>
      </c>
      <c r="D17" s="21" t="n">
        <f aca="false">$B17*IF(Model!$B$5=1,Data!$E$8,Model!$AD$65)</f>
        <v>8.85369549083057</v>
      </c>
      <c r="E17" s="21" t="n">
        <f aca="false">$B17*IF(Model!$B$5=1,Data!$F$8,Model!$AE$65)</f>
        <v>5.22414737703116</v>
      </c>
      <c r="F17" s="21" t="n">
        <f aca="false">$B17*IF(Model!$B$5=1,Data!$G$8,Model!$AF$65)</f>
        <v>7.3191438985992</v>
      </c>
      <c r="G17" s="21" t="n">
        <f aca="false">$B17*Model!$S$65</f>
        <v>17.2161624632369</v>
      </c>
      <c r="H17" s="21" t="n">
        <f aca="false">$B17*Model!$T$65</f>
        <v>4.29896341978245</v>
      </c>
      <c r="I17" s="21" t="n">
        <f aca="false">$B17*Model!$U$65</f>
        <v>2.03859574866668</v>
      </c>
      <c r="J17" s="21" t="n">
        <f aca="false">$B17*Model!$V$65</f>
        <v>2.03859574866668</v>
      </c>
      <c r="K17" s="21" t="n">
        <f aca="false">$B17*Model!$W$65</f>
        <v>1.92807750710279</v>
      </c>
      <c r="L17" s="21" t="n">
        <f aca="false">$B17*Model!$X$65</f>
        <v>0.528388131141145</v>
      </c>
      <c r="M17" s="21" t="n">
        <f aca="false">$B17*Model!$Y$65</f>
        <v>0.303014418062575</v>
      </c>
      <c r="N17" s="21" t="n">
        <f aca="false">$B17*Model!$Z$65</f>
        <v>0.0312719506185576</v>
      </c>
      <c r="O17" s="21" t="n">
        <f aca="false">$B17*Model!$AA$65</f>
        <v>0.0528388131141145</v>
      </c>
    </row>
    <row r="18" customFormat="false" ht="15" hidden="false" customHeight="true" outlineLevel="0" collapsed="false">
      <c r="A18" s="23" t="n">
        <v>2031</v>
      </c>
      <c r="B18" s="21" t="n">
        <f aca="false">IF($A18&lt;=Model!$B$3,Data!$B$9*Model!$D$65,0)</f>
        <v>14.461423640265</v>
      </c>
      <c r="C18" s="21" t="n">
        <f aca="false">$B18*IF(Model!$B$5=1,Data!$D$9,Model!$AC$65)</f>
        <v>3.34186957738595</v>
      </c>
      <c r="D18" s="21" t="n">
        <f aca="false">$B18*IF(Model!$B$5=1,Data!$E$9,Model!$AD$65)</f>
        <v>4.39579251795877</v>
      </c>
      <c r="E18" s="21" t="n">
        <f aca="false">$B18*IF(Model!$B$5=1,Data!$F$9,Model!$AE$65)</f>
        <v>2.74820412351899</v>
      </c>
      <c r="F18" s="21" t="n">
        <f aca="false">$B18*IF(Model!$B$5=1,Data!$G$9,Model!$AF$65)</f>
        <v>3.97555742140125</v>
      </c>
      <c r="G18" s="21" t="n">
        <f aca="false">$B18*Model!$S$65</f>
        <v>8.75548679809934</v>
      </c>
      <c r="H18" s="21" t="n">
        <f aca="false">$B18*Model!$T$65</f>
        <v>2.18628963032802</v>
      </c>
      <c r="I18" s="21" t="n">
        <f aca="false">$B18*Model!$U$65</f>
        <v>1.03675242390555</v>
      </c>
      <c r="J18" s="21" t="n">
        <f aca="false">$B18*Model!$V$65</f>
        <v>1.03675242390555</v>
      </c>
      <c r="K18" s="21" t="n">
        <f aca="false">$B18*Model!$W$65</f>
        <v>0.980547040909887</v>
      </c>
      <c r="L18" s="21" t="n">
        <f aca="false">$B18*Model!$X$65</f>
        <v>0.268718148795215</v>
      </c>
      <c r="M18" s="21" t="n">
        <f aca="false">$B18*Model!$Y$65</f>
        <v>0.154101632268277</v>
      </c>
      <c r="N18" s="21" t="n">
        <f aca="false">$B18*Model!$Z$65</f>
        <v>0.0159037271735944</v>
      </c>
      <c r="O18" s="21" t="n">
        <f aca="false">$B18*Model!$AA$65</f>
        <v>0.0268718148795215</v>
      </c>
    </row>
    <row r="19" customFormat="false" ht="15" hidden="false" customHeight="true" outlineLevel="0" collapsed="false">
      <c r="A19" s="23" t="n">
        <v>2032</v>
      </c>
      <c r="B19" s="21" t="n">
        <f aca="false">IF($A19&lt;=Model!$B$3,Data!$B$10*Model!$D$65,0)</f>
        <v>14.461423640265</v>
      </c>
      <c r="C19" s="21" t="n">
        <f aca="false">$B19*IF(Model!$B$5=1,Data!$D$10,Model!$AC$65)</f>
        <v>3.2151320085829</v>
      </c>
      <c r="D19" s="21" t="n">
        <f aca="false">$B19*IF(Model!$B$5=1,Data!$E$10,Model!$AD$65)</f>
        <v>4.30907733930404</v>
      </c>
      <c r="E19" s="21" t="n">
        <f aca="false">$B19*IF(Model!$B$5=1,Data!$F$10,Model!$AE$65)</f>
        <v>2.79489691202538</v>
      </c>
      <c r="F19" s="21" t="n">
        <f aca="false">$B19*IF(Model!$B$5=1,Data!$G$10,Model!$AF$65)</f>
        <v>4.14231738035265</v>
      </c>
      <c r="G19" s="21" t="n">
        <f aca="false">$B19*Model!$S$65</f>
        <v>8.75548679809934</v>
      </c>
      <c r="H19" s="21" t="n">
        <f aca="false">$B19*Model!$T$65</f>
        <v>2.18628963032802</v>
      </c>
      <c r="I19" s="21" t="n">
        <f aca="false">$B19*Model!$U$65</f>
        <v>1.03675242390555</v>
      </c>
      <c r="J19" s="21" t="n">
        <f aca="false">$B19*Model!$V$65</f>
        <v>1.03675242390555</v>
      </c>
      <c r="K19" s="21" t="n">
        <f aca="false">$B19*Model!$W$65</f>
        <v>0.980547040909887</v>
      </c>
      <c r="L19" s="21" t="n">
        <f aca="false">$B19*Model!$X$65</f>
        <v>0.268718148795215</v>
      </c>
      <c r="M19" s="21" t="n">
        <f aca="false">$B19*Model!$Y$65</f>
        <v>0.154101632268277</v>
      </c>
      <c r="N19" s="21" t="n">
        <f aca="false">$B19*Model!$Z$65</f>
        <v>0.0159037271735944</v>
      </c>
      <c r="O19" s="21" t="n">
        <f aca="false">$B19*Model!$AA$65</f>
        <v>0.0268718148795215</v>
      </c>
    </row>
    <row r="20" customFormat="false" ht="15" hidden="false" customHeight="true" outlineLevel="0" collapsed="false">
      <c r="A20" s="23" t="n">
        <v>2033</v>
      </c>
      <c r="B20" s="21" t="n">
        <f aca="false">IF($A20&lt;=Model!$B$3,Data!$B$11*Model!$D$65,0)</f>
        <v>14.461423640265</v>
      </c>
      <c r="C20" s="21" t="n">
        <f aca="false">$B20*IF(Model!$B$5=1,Data!$D$11,Model!$AC$65)</f>
        <v>3.18992178128595</v>
      </c>
      <c r="D20" s="21" t="n">
        <f aca="false">$B20*IF(Model!$B$5=1,Data!$E$11,Model!$AD$65)</f>
        <v>4.32441279136672</v>
      </c>
      <c r="E20" s="21" t="n">
        <f aca="false">$B20*IF(Model!$B$5=1,Data!$F$11,Model!$AE$65)</f>
        <v>2.79618666602262</v>
      </c>
      <c r="F20" s="21" t="n">
        <f aca="false">$B20*IF(Model!$B$5=1,Data!$G$11,Model!$AF$65)</f>
        <v>4.15090240158967</v>
      </c>
      <c r="G20" s="21" t="n">
        <f aca="false">$B20*Model!$S$65</f>
        <v>8.75548679809934</v>
      </c>
      <c r="H20" s="21" t="n">
        <f aca="false">$B20*Model!$T$65</f>
        <v>2.18628963032802</v>
      </c>
      <c r="I20" s="21" t="n">
        <f aca="false">$B20*Model!$U$65</f>
        <v>1.03675242390555</v>
      </c>
      <c r="J20" s="21" t="n">
        <f aca="false">$B20*Model!$V$65</f>
        <v>1.03675242390555</v>
      </c>
      <c r="K20" s="21" t="n">
        <f aca="false">$B20*Model!$W$65</f>
        <v>0.980547040909887</v>
      </c>
      <c r="L20" s="21" t="n">
        <f aca="false">$B20*Model!$X$65</f>
        <v>0.268718148795215</v>
      </c>
      <c r="M20" s="21" t="n">
        <f aca="false">$B20*Model!$Y$65</f>
        <v>0.154101632268277</v>
      </c>
      <c r="N20" s="21" t="n">
        <f aca="false">$B20*Model!$Z$65</f>
        <v>0.0159037271735944</v>
      </c>
      <c r="O20" s="21" t="n">
        <f aca="false">$B20*Model!$AA$65</f>
        <v>0.0268718148795215</v>
      </c>
    </row>
    <row r="21" customFormat="false" ht="15" hidden="false" customHeight="true" outlineLevel="0" collapsed="false">
      <c r="A21" s="23" t="n">
        <v>2034</v>
      </c>
      <c r="B21" s="21" t="n">
        <f aca="false">IF($A21&lt;=Model!$B$3,Data!$B$12*Model!$D$65,0)</f>
        <v>14.461423640265</v>
      </c>
      <c r="C21" s="21" t="n">
        <f aca="false">$B21*IF(Model!$B$5=1,Data!$D$12,Model!$AC$65)</f>
        <v>3.16176882171845</v>
      </c>
      <c r="D21" s="21" t="n">
        <f aca="false">$B21*IF(Model!$B$5=1,Data!$E$12,Model!$AD$65)</f>
        <v>4.33575893273627</v>
      </c>
      <c r="E21" s="21" t="n">
        <f aca="false">$B21*IF(Model!$B$5=1,Data!$F$12,Model!$AE$65)</f>
        <v>2.79489691202538</v>
      </c>
      <c r="F21" s="21" t="n">
        <f aca="false">$B21*IF(Model!$B$5=1,Data!$G$12,Model!$AF$65)</f>
        <v>4.16899897378486</v>
      </c>
      <c r="G21" s="21" t="n">
        <f aca="false">$B21*Model!$S$65</f>
        <v>8.75548679809934</v>
      </c>
      <c r="H21" s="21" t="n">
        <f aca="false">$B21*Model!$T$65</f>
        <v>2.18628963032802</v>
      </c>
      <c r="I21" s="21" t="n">
        <f aca="false">$B21*Model!$U$65</f>
        <v>1.03675242390555</v>
      </c>
      <c r="J21" s="21" t="n">
        <f aca="false">$B21*Model!$V$65</f>
        <v>1.03675242390555</v>
      </c>
      <c r="K21" s="21" t="n">
        <f aca="false">$B21*Model!$W$65</f>
        <v>0.980547040909887</v>
      </c>
      <c r="L21" s="21" t="n">
        <f aca="false">$B21*Model!$X$65</f>
        <v>0.268718148795215</v>
      </c>
      <c r="M21" s="21" t="n">
        <f aca="false">$B21*Model!$Y$65</f>
        <v>0.154101632268277</v>
      </c>
      <c r="N21" s="21" t="n">
        <f aca="false">$B21*Model!$Z$65</f>
        <v>0.0159037271735944</v>
      </c>
      <c r="O21" s="21" t="n">
        <f aca="false">$B21*Model!$AA$65</f>
        <v>0.0268718148795215</v>
      </c>
    </row>
    <row r="22" customFormat="false" ht="15" hidden="false" customHeight="true" outlineLevel="0" collapsed="false">
      <c r="A22" s="23" t="n">
        <v>2035</v>
      </c>
      <c r="B22" s="21" t="n">
        <f aca="false">IF($A22&lt;=Model!$B$3,Data!$B$13*Model!$D$65,0)</f>
        <v>13.9744845601269</v>
      </c>
      <c r="C22" s="21" t="n">
        <f aca="false">$B22*IF(Model!$B$5=1,Data!$D$13,Model!$AC$65)</f>
        <v>2.99500886276704</v>
      </c>
      <c r="D22" s="21" t="n">
        <f aca="false">$B22*IF(Model!$B$5=1,Data!$E$13,Model!$AD$65)</f>
        <v>4.12897658363653</v>
      </c>
      <c r="E22" s="21" t="n">
        <f aca="false">$B22*IF(Model!$B$5=1,Data!$F$13,Model!$AE$65)</f>
        <v>2.68150013993842</v>
      </c>
      <c r="F22" s="21" t="n">
        <f aca="false">$B22*IF(Model!$B$5=1,Data!$G$13,Model!$AF$65)</f>
        <v>4.16899897378487</v>
      </c>
      <c r="G22" s="21" t="n">
        <f aca="false">$B22*Model!$S$65</f>
        <v>8.46067566513751</v>
      </c>
      <c r="H22" s="21" t="n">
        <f aca="false">$B22*Model!$T$65</f>
        <v>2.11267378945443</v>
      </c>
      <c r="I22" s="21" t="n">
        <f aca="false">$B22*Model!$U$65</f>
        <v>1.00184332476113</v>
      </c>
      <c r="J22" s="21" t="n">
        <f aca="false">$B22*Model!$V$65</f>
        <v>1.00184332476113</v>
      </c>
      <c r="K22" s="21" t="n">
        <f aca="false">$B22*Model!$W$65</f>
        <v>0.947530466192903</v>
      </c>
      <c r="L22" s="21" t="n">
        <f aca="false">$B22*Model!$X$65</f>
        <v>0.25966998234593</v>
      </c>
      <c r="M22" s="21" t="n">
        <f aca="false">$B22*Model!$Y$65</f>
        <v>0.148912785794299</v>
      </c>
      <c r="N22" s="21" t="n">
        <f aca="false">$B22*Model!$Z$65</f>
        <v>0.0153682234449632</v>
      </c>
      <c r="O22" s="21" t="n">
        <f aca="false">$B22*Model!$AA$65</f>
        <v>0.025966998234593</v>
      </c>
    </row>
    <row r="23" customFormat="false" ht="15" hidden="false" customHeight="true" outlineLevel="0" collapsed="false">
      <c r="A23" s="23" t="n">
        <v>2036</v>
      </c>
      <c r="B23" s="21" t="n">
        <f aca="false">IF($A23&lt;=Model!$B$3,Data!$B$14*Model!$D$65,0)</f>
        <v>10.5859221942345</v>
      </c>
      <c r="C23" s="21" t="n">
        <f aca="false">$B23*IF(Model!$B$5=1,Data!$D$14,Model!$AC$65)</f>
        <v>2.55367513048786</v>
      </c>
      <c r="D23" s="21" t="n">
        <f aca="false">$B23*IF(Model!$B$5=1,Data!$E$14,Model!$AD$65)</f>
        <v>3.2845693563608</v>
      </c>
      <c r="E23" s="21" t="n">
        <f aca="false">$B23*IF(Model!$B$5=1,Data!$F$14,Model!$AE$65)</f>
        <v>1.97951894402335</v>
      </c>
      <c r="F23" s="21" t="n">
        <f aca="false">$B23*IF(Model!$B$5=1,Data!$G$14,Model!$AF$65)</f>
        <v>2.76815876336253</v>
      </c>
      <c r="G23" s="21" t="n">
        <f aca="false">$B23*Model!$S$65</f>
        <v>6.40911326041681</v>
      </c>
      <c r="H23" s="21" t="n">
        <f aca="false">$B23*Model!$T$65</f>
        <v>1.60038821186834</v>
      </c>
      <c r="I23" s="21" t="n">
        <f aca="false">$B23*Model!$U$65</f>
        <v>0.758914251262964</v>
      </c>
      <c r="J23" s="21" t="n">
        <f aca="false">$B23*Model!$V$65</f>
        <v>0.758914251262964</v>
      </c>
      <c r="K23" s="21" t="n">
        <f aca="false">$B23*Model!$W$65</f>
        <v>0.717771288710328</v>
      </c>
      <c r="L23" s="21" t="n">
        <f aca="false">$B23*Model!$X$65</f>
        <v>0.196704659657752</v>
      </c>
      <c r="M23" s="21" t="n">
        <f aca="false">$B23*Model!$Y$65</f>
        <v>0.112804100742507</v>
      </c>
      <c r="N23" s="21" t="n">
        <f aca="false">$B23*Model!$Z$65</f>
        <v>0.0116417043470915</v>
      </c>
      <c r="O23" s="21" t="n">
        <f aca="false">$B23*Model!$AA$65</f>
        <v>0.0196704659657752</v>
      </c>
    </row>
    <row r="24" customFormat="false" ht="15" hidden="false" customHeight="true" outlineLevel="0" collapsed="false">
      <c r="A24" s="23" t="n">
        <v>2037</v>
      </c>
      <c r="B24" s="21" t="n">
        <f aca="false">IF($A24&lt;=Model!$B$3,Data!$B$15*Model!$D$65,0)</f>
        <v>10.4992070155798</v>
      </c>
      <c r="C24" s="21" t="n">
        <f aca="false">$B24*IF(Model!$B$5=1,Data!$D$15,Model!$AC$65)</f>
        <v>2.53275655664013</v>
      </c>
      <c r="D24" s="21" t="n">
        <f aca="false">$B24*IF(Model!$B$5=1,Data!$E$15,Model!$AD$65)</f>
        <v>3.25766362124253</v>
      </c>
      <c r="E24" s="21" t="n">
        <f aca="false">$B24*IF(Model!$B$5=1,Data!$F$15,Model!$AE$65)</f>
        <v>1.96330360295699</v>
      </c>
      <c r="F24" s="21" t="n">
        <f aca="false">$B24*IF(Model!$B$5=1,Data!$G$15,Model!$AF$65)</f>
        <v>2.74548323474017</v>
      </c>
      <c r="G24" s="21" t="n">
        <f aca="false">$B24*Model!$S$65</f>
        <v>6.35661264769758</v>
      </c>
      <c r="H24" s="21" t="n">
        <f aca="false">$B24*Model!$T$65</f>
        <v>1.58727854157578</v>
      </c>
      <c r="I24" s="21" t="n">
        <f aca="false">$B24*Model!$U$65</f>
        <v>0.752697562374231</v>
      </c>
      <c r="J24" s="21" t="n">
        <f aca="false">$B24*Model!$V$65</f>
        <v>0.752697562374231</v>
      </c>
      <c r="K24" s="21" t="n">
        <f aca="false">$B24*Model!$W$65</f>
        <v>0.711891624719632</v>
      </c>
      <c r="L24" s="21" t="n">
        <f aca="false">$B24*Model!$X$65</f>
        <v>0.195093342344866</v>
      </c>
      <c r="M24" s="21" t="n">
        <f aca="false">$B24*Model!$Y$65</f>
        <v>0.111880059589607</v>
      </c>
      <c r="N24" s="21" t="n">
        <f aca="false">$B24*Model!$Z$65</f>
        <v>0.01154634066939</v>
      </c>
      <c r="O24" s="21" t="n">
        <f aca="false">$B24*Model!$AA$65</f>
        <v>0.0195093342344866</v>
      </c>
    </row>
    <row r="25" customFormat="false" ht="15" hidden="false" customHeight="true" outlineLevel="0" collapsed="false">
      <c r="A25" s="23" t="n">
        <v>2038</v>
      </c>
      <c r="B25" s="21" t="n">
        <f aca="false">IF($A25&lt;=Model!$B$3,Data!$B$16*Model!$D$65,0)</f>
        <v>10.3724694467768</v>
      </c>
      <c r="C25" s="21" t="n">
        <f aca="false">$B25*IF(Model!$B$5=1,Data!$D$16,Model!$AC$65)</f>
        <v>2.50218325640116</v>
      </c>
      <c r="D25" s="21" t="n">
        <f aca="false">$B25*IF(Model!$B$5=1,Data!$E$16,Model!$AD$65)</f>
        <v>3.21833985453121</v>
      </c>
      <c r="E25" s="21" t="n">
        <f aca="false">$B25*IF(Model!$B$5=1,Data!$F$16,Model!$AE$65)</f>
        <v>1.93960425832155</v>
      </c>
      <c r="F25" s="21" t="n">
        <f aca="false">$B25*IF(Model!$B$5=1,Data!$G$16,Model!$AF$65)</f>
        <v>2.71234207752283</v>
      </c>
      <c r="G25" s="21" t="n">
        <f aca="false">$B25*Model!$S$65</f>
        <v>6.27988098295409</v>
      </c>
      <c r="H25" s="21" t="n">
        <f aca="false">$B25*Model!$T$65</f>
        <v>1.56811825422512</v>
      </c>
      <c r="I25" s="21" t="n">
        <f aca="false">$B25*Model!$U$65</f>
        <v>0.74361163245993</v>
      </c>
      <c r="J25" s="21" t="n">
        <f aca="false">$B25*Model!$V$65</f>
        <v>0.74361163245993</v>
      </c>
      <c r="K25" s="21" t="n">
        <f aca="false">$B25*Model!$W$65</f>
        <v>0.703298269656308</v>
      </c>
      <c r="L25" s="21" t="n">
        <f aca="false">$B25*Model!$X$65</f>
        <v>0.192738340118339</v>
      </c>
      <c r="M25" s="21" t="n">
        <f aca="false">$B25*Model!$Y$65</f>
        <v>0.110529537904599</v>
      </c>
      <c r="N25" s="21" t="n">
        <f aca="false">$B25*Model!$Z$65</f>
        <v>0.0114069629865956</v>
      </c>
      <c r="O25" s="21" t="n">
        <f aca="false">$B25*Model!$AA$65</f>
        <v>0.0192738340118339</v>
      </c>
    </row>
    <row r="26" customFormat="false" ht="15" hidden="false" customHeight="true" outlineLevel="0" collapsed="false">
      <c r="A26" s="23" t="n">
        <v>2039</v>
      </c>
      <c r="B26" s="21" t="n">
        <f aca="false">IF($A26&lt;=Model!$B$3,Data!$B$17*Model!$D$65,0)</f>
        <v>10.279083869764</v>
      </c>
      <c r="C26" s="21" t="n">
        <f aca="false">$B26*IF(Model!$B$5=1,Data!$D$17,Model!$AC$65)</f>
        <v>2.47965556148821</v>
      </c>
      <c r="D26" s="21" t="n">
        <f aca="false">$B26*IF(Model!$B$5=1,Data!$E$17,Model!$AD$65)</f>
        <v>3.18936444748076</v>
      </c>
      <c r="E26" s="21" t="n">
        <f aca="false">$B26*IF(Model!$B$5=1,Data!$F$17,Model!$AE$65)</f>
        <v>1.92214158332702</v>
      </c>
      <c r="F26" s="21" t="n">
        <f aca="false">$B26*IF(Model!$B$5=1,Data!$G$17,Model!$AF$65)</f>
        <v>2.68792227746798</v>
      </c>
      <c r="G26" s="21" t="n">
        <f aca="false">$B26*Model!$S$65</f>
        <v>6.22334186156415</v>
      </c>
      <c r="H26" s="21" t="n">
        <f aca="false">$B26*Model!$T$65</f>
        <v>1.55400014775622</v>
      </c>
      <c r="I26" s="21" t="n">
        <f aca="false">$B26*Model!$U$65</f>
        <v>0.736916736733603</v>
      </c>
      <c r="J26" s="21" t="n">
        <f aca="false">$B26*Model!$V$65</f>
        <v>0.736916736733603</v>
      </c>
      <c r="K26" s="21" t="n">
        <f aca="false">$B26*Model!$W$65</f>
        <v>0.696966323820174</v>
      </c>
      <c r="L26" s="21" t="n">
        <f aca="false">$B26*Model!$X$65</f>
        <v>0.191003075319846</v>
      </c>
      <c r="M26" s="21" t="n">
        <f aca="false">$B26*Model!$Y$65</f>
        <v>0.109534416663014</v>
      </c>
      <c r="N26" s="21" t="n">
        <f aca="false">$B26*Model!$Z$65</f>
        <v>0.0113042636413787</v>
      </c>
      <c r="O26" s="21" t="n">
        <f aca="false">$B26*Model!$AA$65</f>
        <v>0.0191003075319846</v>
      </c>
    </row>
    <row r="27" customFormat="false" ht="15" hidden="false" customHeight="true" outlineLevel="0" collapsed="false">
      <c r="A27" s="23" t="n">
        <v>2040</v>
      </c>
      <c r="B27" s="21" t="n">
        <f aca="false">IF($A27&lt;=Model!$B$3,Data!$B$18*Model!$D$65,0)</f>
        <v>10.1723574960351</v>
      </c>
      <c r="C27" s="21" t="n">
        <f aca="false">$B27*IF(Model!$B$5=1,Data!$D$18,Model!$AC$65)</f>
        <v>2.45390962444486</v>
      </c>
      <c r="D27" s="21" t="n">
        <f aca="false">$B27*IF(Model!$B$5=1,Data!$E$18,Model!$AD$65)</f>
        <v>3.15624969656598</v>
      </c>
      <c r="E27" s="21" t="n">
        <f aca="false">$B27*IF(Model!$B$5=1,Data!$F$18,Model!$AE$65)</f>
        <v>1.90218424047612</v>
      </c>
      <c r="F27" s="21" t="n">
        <f aca="false">$B27*IF(Model!$B$5=1,Data!$G$18,Model!$AF$65)</f>
        <v>2.66001393454812</v>
      </c>
      <c r="G27" s="21" t="n">
        <f aca="false">$B27*Model!$S$65</f>
        <v>6.15872572283279</v>
      </c>
      <c r="H27" s="21" t="n">
        <f aca="false">$B27*Model!$T$65</f>
        <v>1.53786516893461</v>
      </c>
      <c r="I27" s="21" t="n">
        <f aca="false">$B27*Model!$U$65</f>
        <v>0.729265427332086</v>
      </c>
      <c r="J27" s="21" t="n">
        <f aca="false">$B27*Model!$V$65</f>
        <v>0.729265427332086</v>
      </c>
      <c r="K27" s="21" t="n">
        <f aca="false">$B27*Model!$W$65</f>
        <v>0.689729814293163</v>
      </c>
      <c r="L27" s="21" t="n">
        <f aca="false">$B27*Model!$X$65</f>
        <v>0.18901991555014</v>
      </c>
      <c r="M27" s="21" t="n">
        <f aca="false">$B27*Model!$Y$65</f>
        <v>0.10839713524406</v>
      </c>
      <c r="N27" s="21" t="n">
        <f aca="false">$B27*Model!$Z$65</f>
        <v>0.0111868929611307</v>
      </c>
      <c r="O27" s="21" t="n">
        <f aca="false">$B27*Model!$AA$65</f>
        <v>0.018901991555014</v>
      </c>
    </row>
    <row r="28" customFormat="false" ht="15" hidden="false" customHeight="true" outlineLevel="0" collapsed="false">
      <c r="A28" s="24" t="s">
        <v>122</v>
      </c>
      <c r="B28" s="25" t="n">
        <f aca="false">SUM(B13:B27)</f>
        <v>265.908760145536</v>
      </c>
      <c r="C28" s="25" t="n">
        <f aca="false">SUM(C13:C27)</f>
        <v>64.1457846007494</v>
      </c>
      <c r="D28" s="25" t="n">
        <f aca="false">SUM(D13:D27)</f>
        <v>82.5052928756149</v>
      </c>
      <c r="E28" s="25" t="n">
        <f aca="false">SUM(E13:E27)</f>
        <v>49.7237538994911</v>
      </c>
      <c r="F28" s="25" t="n">
        <f aca="false">SUM(F13:F27)</f>
        <v>69.5339287696805</v>
      </c>
      <c r="G28" s="25" t="n">
        <f aca="false">SUM(G13:G27)</f>
        <v>160.991109649185</v>
      </c>
      <c r="H28" s="25" t="n">
        <f aca="false">SUM(H13:H27)</f>
        <v>40.2002997340388</v>
      </c>
      <c r="I28" s="25" t="n">
        <f aca="false">SUM(I13:I27)</f>
        <v>19.0632373738795</v>
      </c>
      <c r="J28" s="25" t="n">
        <f aca="false">SUM(J13:J27)</f>
        <v>19.0632373738795</v>
      </c>
      <c r="K28" s="25" t="n">
        <f aca="false">SUM(K13:K27)</f>
        <v>18.029763486546</v>
      </c>
      <c r="L28" s="25" t="n">
        <f aca="false">SUM(L13:L27)</f>
        <v>4.94104256622346</v>
      </c>
      <c r="M28" s="25" t="n">
        <f aca="false">SUM(M13:M27)</f>
        <v>2.83353665532407</v>
      </c>
      <c r="N28" s="25" t="n">
        <f aca="false">SUM(N13:N27)</f>
        <v>0.292429049837715</v>
      </c>
      <c r="O28" s="25" t="n">
        <f aca="false">SUM(O13:O27)</f>
        <v>0.494104256622346</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Data!$H$42*Data!$M$42/SUM(Data!$H$42:$K$42)</f>
        <v>27.0309278350515</v>
      </c>
      <c r="C34" s="22" t="n">
        <f aca="false">IF($B$38&gt;0,B34/$B$38,0)</f>
        <v>0.0618556701030928</v>
      </c>
      <c r="D34" s="21" t="n">
        <f aca="false">C28</f>
        <v>64.1457846007494</v>
      </c>
      <c r="E34" s="22" t="n">
        <f aca="false">IF($D$38&gt;0,D34/$D$38,0)</f>
        <v>0.241232310532536</v>
      </c>
      <c r="F34" s="21" t="n">
        <f aca="false">B34+D34</f>
        <v>91.176712435801</v>
      </c>
      <c r="G34" s="22" t="n">
        <f aca="false">IF($F$38&gt;0,F34/$F$38,0)</f>
        <v>0.12971343879243</v>
      </c>
    </row>
    <row r="35" customFormat="false" ht="15" hidden="false" customHeight="true" outlineLevel="0" collapsed="false">
      <c r="A35" s="13" t="s">
        <v>110</v>
      </c>
      <c r="B35" s="21" t="n">
        <f aca="false">Data!$I$42*Data!$M$42/SUM(Data!$H$42:$K$42)</f>
        <v>73.5841924398626</v>
      </c>
      <c r="C35" s="22" t="n">
        <f aca="false">IF($B$38&gt;0,B35/$B$38,0)</f>
        <v>0.168384879725086</v>
      </c>
      <c r="D35" s="21" t="n">
        <f aca="false">D28</f>
        <v>82.5052928756149</v>
      </c>
      <c r="E35" s="22" t="n">
        <f aca="false">IF($D$38&gt;0,D35/$D$38,0)</f>
        <v>0.310276701040081</v>
      </c>
      <c r="F35" s="21" t="n">
        <f aca="false">B35+D35</f>
        <v>156.089485315477</v>
      </c>
      <c r="G35" s="22" t="n">
        <f aca="false">IF($F$38&gt;0,F35/$F$38,0)</f>
        <v>0.222062227938601</v>
      </c>
    </row>
    <row r="36" customFormat="false" ht="15" hidden="false" customHeight="true" outlineLevel="0" collapsed="false">
      <c r="A36" s="13" t="s">
        <v>111</v>
      </c>
      <c r="B36" s="21" t="n">
        <f aca="false">Data!$J$42*Data!$M$42/SUM(Data!$H$42:$K$42)</f>
        <v>226.759450171821</v>
      </c>
      <c r="C36" s="22" t="n">
        <f aca="false">IF($B$38&gt;0,B36/$B$38,0)</f>
        <v>0.518900343642612</v>
      </c>
      <c r="D36" s="21" t="n">
        <f aca="false">E28</f>
        <v>49.7237538994911</v>
      </c>
      <c r="E36" s="22" t="n">
        <f aca="false">IF($D$38&gt;0,D36/$D$38,0)</f>
        <v>0.186995546413275</v>
      </c>
      <c r="F36" s="21" t="n">
        <f aca="false">B36+D36</f>
        <v>276.483204071312</v>
      </c>
      <c r="G36" s="22" t="n">
        <f aca="false">IF($F$38&gt;0,F36/$F$38,0)</f>
        <v>0.393341525597244</v>
      </c>
    </row>
    <row r="37" customFormat="false" ht="15" hidden="false" customHeight="true" outlineLevel="0" collapsed="false">
      <c r="A37" s="13" t="s">
        <v>112</v>
      </c>
      <c r="B37" s="21" t="n">
        <f aca="false">Data!$K$42*Data!$M$42/SUM(Data!$H$42:$K$42)</f>
        <v>109.625429553265</v>
      </c>
      <c r="C37" s="22" t="n">
        <f aca="false">IF($B$38&gt;0,B37/$B$38,0)</f>
        <v>0.25085910652921</v>
      </c>
      <c r="D37" s="21" t="n">
        <f aca="false">F28</f>
        <v>69.5339287696805</v>
      </c>
      <c r="E37" s="22" t="n">
        <f aca="false">IF($D$38&gt;0,D37/$D$38,0)</f>
        <v>0.261495442014109</v>
      </c>
      <c r="F37" s="21" t="n">
        <f aca="false">B37+D37</f>
        <v>179.159358322945</v>
      </c>
      <c r="G37" s="22" t="n">
        <f aca="false">IF($F$38&gt;0,F37/$F$38,0)</f>
        <v>0.254882807671725</v>
      </c>
    </row>
    <row r="38" customFormat="false" ht="15" hidden="false" customHeight="true" outlineLevel="0" collapsed="false">
      <c r="A38" s="24" t="s">
        <v>61</v>
      </c>
      <c r="B38" s="25" t="n">
        <f aca="false">SUM(B34:B37)</f>
        <v>437</v>
      </c>
      <c r="C38" s="27" t="n">
        <f aca="false">SUM(C34:C37)</f>
        <v>1</v>
      </c>
      <c r="D38" s="25" t="n">
        <f aca="false">SUM(D34:D37)</f>
        <v>265.908760145536</v>
      </c>
      <c r="E38" s="27" t="n">
        <f aca="false">SUM(E34:E37)</f>
        <v>1</v>
      </c>
      <c r="F38" s="25" t="n">
        <f aca="false">SUM(F34:F37)</f>
        <v>702.908760145536</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103</v>
      </c>
      <c r="C6" s="15" t="n">
        <f aca="false">Model!$Q$66</f>
        <v>0.1</v>
      </c>
    </row>
    <row r="7" customFormat="false" ht="15" hidden="false" customHeight="true" outlineLevel="0" collapsed="false">
      <c r="A7" s="13" t="s">
        <v>104</v>
      </c>
      <c r="C7" s="15" t="n">
        <f aca="false">Model!$G$66</f>
        <v>0.23297</v>
      </c>
    </row>
    <row r="8" customFormat="false" ht="15" hidden="false" customHeight="true" outlineLevel="0" collapsed="false">
      <c r="A8" s="13" t="s">
        <v>105</v>
      </c>
      <c r="C8" s="15" t="n">
        <f aca="false">Model!$R$66</f>
        <v>0.184253164796272</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IF($A13&lt;=Model!$B$3,Data!$B$4*Model!$D$66,0)</f>
        <v>17.4990204310104</v>
      </c>
      <c r="C13" s="21" t="n">
        <f aca="false">$B13*IF(Model!$B$5=1,Data!$D$4,Model!$AC$66)</f>
        <v>4.52659932819054</v>
      </c>
      <c r="D13" s="21" t="n">
        <f aca="false">$B13*IF(Model!$B$5=1,Data!$E$4,Model!$AD$66)</f>
        <v>5.54026209706003</v>
      </c>
      <c r="E13" s="21" t="n">
        <f aca="false">$B13*IF(Model!$B$5=1,Data!$F$4,Model!$AE$66)</f>
        <v>3.23797540339287</v>
      </c>
      <c r="F13" s="21" t="n">
        <f aca="false">$B13*IF(Model!$B$5=1,Data!$G$4,Model!$AF$66)</f>
        <v>4.19418360236692</v>
      </c>
      <c r="G13" s="21" t="n">
        <f aca="false">$B13*Model!$S$66</f>
        <v>10.5945615158381</v>
      </c>
      <c r="H13" s="21" t="n">
        <f aca="false">$B13*Model!$T$66</f>
        <v>2.64551595063535</v>
      </c>
      <c r="I13" s="21" t="n">
        <f aca="false">$B13*Model!$U$66</f>
        <v>1.25452046071795</v>
      </c>
      <c r="J13" s="21" t="n">
        <f aca="false">$B13*Model!$V$66</f>
        <v>1.25452046071795</v>
      </c>
      <c r="K13" s="21" t="n">
        <f aca="false">$B13*Model!$W$66</f>
        <v>1.18650923514018</v>
      </c>
      <c r="L13" s="21" t="n">
        <f aca="false">$B13*Model!$X$66</f>
        <v>0.325161926856089</v>
      </c>
      <c r="M13" s="21" t="n">
        <f aca="false">$B13*Model!$Y$66</f>
        <v>0.186470411115431</v>
      </c>
      <c r="N13" s="21" t="n">
        <f aca="false">$B13*Model!$Z$66</f>
        <v>0.0192442773037277</v>
      </c>
      <c r="O13" s="21" t="n">
        <f aca="false">$B13*Model!$AA$66</f>
        <v>0.0325161926856089</v>
      </c>
    </row>
    <row r="14" customFormat="false" ht="15" hidden="false" customHeight="true" outlineLevel="0" collapsed="false">
      <c r="A14" s="23" t="n">
        <v>2027</v>
      </c>
      <c r="B14" s="21" t="n">
        <f aca="false">IF($A14&lt;=Model!$B$3,Data!$B$5*Model!$D$66,0)</f>
        <v>17.4990204310104</v>
      </c>
      <c r="C14" s="21" t="n">
        <f aca="false">$B14*IF(Model!$B$5=1,Data!$D$5,Model!$AC$66)</f>
        <v>4.39937849485063</v>
      </c>
      <c r="D14" s="21" t="n">
        <f aca="false">$B14*IF(Model!$B$5=1,Data!$E$5,Model!$AD$66)</f>
        <v>5.55667768845872</v>
      </c>
      <c r="E14" s="21" t="n">
        <f aca="false">$B14*IF(Model!$B$5=1,Data!$F$5,Model!$AE$66)</f>
        <v>3.22976760769352</v>
      </c>
      <c r="F14" s="21" t="n">
        <f aca="false">$B14*IF(Model!$B$5=1,Data!$G$5,Model!$AF$66)</f>
        <v>4.31319664000748</v>
      </c>
      <c r="G14" s="21" t="n">
        <f aca="false">$B14*Model!$S$66</f>
        <v>10.5945615158381</v>
      </c>
      <c r="H14" s="21" t="n">
        <f aca="false">$B14*Model!$T$66</f>
        <v>2.64551595063535</v>
      </c>
      <c r="I14" s="21" t="n">
        <f aca="false">$B14*Model!$U$66</f>
        <v>1.25452046071795</v>
      </c>
      <c r="J14" s="21" t="n">
        <f aca="false">$B14*Model!$V$66</f>
        <v>1.25452046071795</v>
      </c>
      <c r="K14" s="21" t="n">
        <f aca="false">$B14*Model!$W$66</f>
        <v>1.18650923514018</v>
      </c>
      <c r="L14" s="21" t="n">
        <f aca="false">$B14*Model!$X$66</f>
        <v>0.325161926856089</v>
      </c>
      <c r="M14" s="21" t="n">
        <f aca="false">$B14*Model!$Y$66</f>
        <v>0.186470411115431</v>
      </c>
      <c r="N14" s="21" t="n">
        <f aca="false">$B14*Model!$Z$66</f>
        <v>0.0192442773037277</v>
      </c>
      <c r="O14" s="21" t="n">
        <f aca="false">$B14*Model!$AA$66</f>
        <v>0.0325161926856089</v>
      </c>
    </row>
    <row r="15" customFormat="false" ht="15" hidden="false" customHeight="true" outlineLevel="0" collapsed="false">
      <c r="A15" s="23" t="n">
        <v>2028</v>
      </c>
      <c r="B15" s="21" t="n">
        <f aca="false">IF($A15&lt;=Model!$B$3,Data!$B$6*Model!$D$66,0)</f>
        <v>17.4990204310104</v>
      </c>
      <c r="C15" s="21" t="n">
        <f aca="false">$B15*IF(Model!$B$5=1,Data!$D$6,Model!$AC$66)</f>
        <v>4.38501966689795</v>
      </c>
      <c r="D15" s="21" t="n">
        <f aca="false">$B15*IF(Model!$B$5=1,Data!$E$6,Model!$AD$66)</f>
        <v>5.55928523312718</v>
      </c>
      <c r="E15" s="21" t="n">
        <f aca="false">$B15*IF(Model!$B$5=1,Data!$F$6,Model!$AE$66)</f>
        <v>3.23128321895944</v>
      </c>
      <c r="F15" s="21" t="n">
        <f aca="false">$B15*IF(Model!$B$5=1,Data!$G$6,Model!$AF$66)</f>
        <v>4.32343231202578</v>
      </c>
      <c r="G15" s="21" t="n">
        <f aca="false">$B15*Model!$S$66</f>
        <v>10.5945615158381</v>
      </c>
      <c r="H15" s="21" t="n">
        <f aca="false">$B15*Model!$T$66</f>
        <v>2.64551595063535</v>
      </c>
      <c r="I15" s="21" t="n">
        <f aca="false">$B15*Model!$U$66</f>
        <v>1.25452046071795</v>
      </c>
      <c r="J15" s="21" t="n">
        <f aca="false">$B15*Model!$V$66</f>
        <v>1.25452046071795</v>
      </c>
      <c r="K15" s="21" t="n">
        <f aca="false">$B15*Model!$W$66</f>
        <v>1.18650923514018</v>
      </c>
      <c r="L15" s="21" t="n">
        <f aca="false">$B15*Model!$X$66</f>
        <v>0.325161926856089</v>
      </c>
      <c r="M15" s="21" t="n">
        <f aca="false">$B15*Model!$Y$66</f>
        <v>0.186470411115431</v>
      </c>
      <c r="N15" s="21" t="n">
        <f aca="false">$B15*Model!$Z$66</f>
        <v>0.0192442773037277</v>
      </c>
      <c r="O15" s="21" t="n">
        <f aca="false">$B15*Model!$AA$66</f>
        <v>0.0325161926856089</v>
      </c>
    </row>
    <row r="16" customFormat="false" ht="15" hidden="false" customHeight="true" outlineLevel="0" collapsed="false">
      <c r="A16" s="23" t="n">
        <v>2029</v>
      </c>
      <c r="B16" s="21" t="n">
        <f aca="false">IF($A16&lt;=Model!$B$3,Data!$B$7*Model!$D$66,0)</f>
        <v>17.4990204310104</v>
      </c>
      <c r="C16" s="21" t="n">
        <f aca="false">$B16*IF(Model!$B$5=1,Data!$D$7,Model!$AC$66)</f>
        <v>4.3388375781323</v>
      </c>
      <c r="D16" s="21" t="n">
        <f aca="false">$B16*IF(Model!$B$5=1,Data!$E$7,Model!$AD$66)</f>
        <v>5.52924713126224</v>
      </c>
      <c r="E16" s="21" t="n">
        <f aca="false">$B16*IF(Model!$B$5=1,Data!$F$7,Model!$AE$66)</f>
        <v>3.21000093292285</v>
      </c>
      <c r="F16" s="21" t="n">
        <f aca="false">$B16*IF(Model!$B$5=1,Data!$G$7,Model!$AF$66)</f>
        <v>4.42093478869297</v>
      </c>
      <c r="G16" s="21" t="n">
        <f aca="false">$B16*Model!$S$66</f>
        <v>10.5945615158381</v>
      </c>
      <c r="H16" s="21" t="n">
        <f aca="false">$B16*Model!$T$66</f>
        <v>2.64551595063535</v>
      </c>
      <c r="I16" s="21" t="n">
        <f aca="false">$B16*Model!$U$66</f>
        <v>1.25452046071795</v>
      </c>
      <c r="J16" s="21" t="n">
        <f aca="false">$B16*Model!$V$66</f>
        <v>1.25452046071795</v>
      </c>
      <c r="K16" s="21" t="n">
        <f aca="false">$B16*Model!$W$66</f>
        <v>1.18650923514018</v>
      </c>
      <c r="L16" s="21" t="n">
        <f aca="false">$B16*Model!$X$66</f>
        <v>0.325161926856089</v>
      </c>
      <c r="M16" s="21" t="n">
        <f aca="false">$B16*Model!$Y$66</f>
        <v>0.186470411115431</v>
      </c>
      <c r="N16" s="21" t="n">
        <f aca="false">$B16*Model!$Z$66</f>
        <v>0.0192442773037277</v>
      </c>
      <c r="O16" s="21" t="n">
        <f aca="false">$B16*Model!$AA$66</f>
        <v>0.0325161926856089</v>
      </c>
    </row>
    <row r="17" customFormat="false" ht="15" hidden="false" customHeight="true" outlineLevel="0" collapsed="false">
      <c r="A17" s="23" t="n">
        <v>2030</v>
      </c>
      <c r="B17" s="21" t="n">
        <f aca="false">IF($A17&lt;=Model!$B$3,Data!$B$8*Model!$D$66,0)</f>
        <v>17.4990204310104</v>
      </c>
      <c r="C17" s="21" t="n">
        <f aca="false">$B17*IF(Model!$B$5=1,Data!$D$8,Model!$AC$66)</f>
        <v>4.33164395934207</v>
      </c>
      <c r="D17" s="21" t="n">
        <f aca="false">$B17*IF(Model!$B$5=1,Data!$E$8,Model!$AD$66)</f>
        <v>5.44842799435728</v>
      </c>
      <c r="E17" s="21" t="n">
        <f aca="false">$B17*IF(Model!$B$5=1,Data!$F$8,Model!$AE$66)</f>
        <v>3.21485992432687</v>
      </c>
      <c r="F17" s="21" t="n">
        <f aca="false">$B17*IF(Model!$B$5=1,Data!$G$8,Model!$AF$66)</f>
        <v>4.50408855298413</v>
      </c>
      <c r="G17" s="21" t="n">
        <f aca="false">$B17*Model!$S$66</f>
        <v>10.5945615158381</v>
      </c>
      <c r="H17" s="21" t="n">
        <f aca="false">$B17*Model!$T$66</f>
        <v>2.64551595063535</v>
      </c>
      <c r="I17" s="21" t="n">
        <f aca="false">$B17*Model!$U$66</f>
        <v>1.25452046071795</v>
      </c>
      <c r="J17" s="21" t="n">
        <f aca="false">$B17*Model!$V$66</f>
        <v>1.25452046071795</v>
      </c>
      <c r="K17" s="21" t="n">
        <f aca="false">$B17*Model!$W$66</f>
        <v>1.18650923514018</v>
      </c>
      <c r="L17" s="21" t="n">
        <f aca="false">$B17*Model!$X$66</f>
        <v>0.325161926856089</v>
      </c>
      <c r="M17" s="21" t="n">
        <f aca="false">$B17*Model!$Y$66</f>
        <v>0.186470411115431</v>
      </c>
      <c r="N17" s="21" t="n">
        <f aca="false">$B17*Model!$Z$66</f>
        <v>0.0192442773037277</v>
      </c>
      <c r="O17" s="21" t="n">
        <f aca="false">$B17*Model!$AA$66</f>
        <v>0.0325161926856089</v>
      </c>
    </row>
    <row r="18" customFormat="false" ht="15" hidden="false" customHeight="true" outlineLevel="0" collapsed="false">
      <c r="A18" s="23" t="n">
        <v>2031</v>
      </c>
      <c r="B18" s="21" t="n">
        <f aca="false">IF($A18&lt;=Model!$B$3,Data!$B$9*Model!$D$66,0)</f>
        <v>8.89933762477843</v>
      </c>
      <c r="C18" s="21" t="n">
        <f aca="false">$B18*IF(Model!$B$5=1,Data!$D$9,Model!$AC$66)</f>
        <v>2.0565351245452</v>
      </c>
      <c r="D18" s="21" t="n">
        <f aca="false">$B18*IF(Model!$B$5=1,Data!$E$9,Model!$AD$66)</f>
        <v>2.70510308797463</v>
      </c>
      <c r="E18" s="21" t="n">
        <f aca="false">$B18*IF(Model!$B$5=1,Data!$F$9,Model!$AE$66)</f>
        <v>1.69120253755015</v>
      </c>
      <c r="F18" s="21" t="n">
        <f aca="false">$B18*IF(Model!$B$5=1,Data!$G$9,Model!$AF$66)</f>
        <v>2.44649687470846</v>
      </c>
      <c r="G18" s="21" t="n">
        <f aca="false">$B18*Model!$S$66</f>
        <v>5.38799187575344</v>
      </c>
      <c r="H18" s="21" t="n">
        <f aca="false">$B18*Model!$T$66</f>
        <v>1.34540900327878</v>
      </c>
      <c r="I18" s="21" t="n">
        <f aca="false">$B18*Model!$U$66</f>
        <v>0.638001491634184</v>
      </c>
      <c r="J18" s="21" t="n">
        <f aca="false">$B18*Model!$V$66</f>
        <v>0.638001491634184</v>
      </c>
      <c r="K18" s="21" t="n">
        <f aca="false">$B18*Model!$W$66</f>
        <v>0.603413563636854</v>
      </c>
      <c r="L18" s="21" t="n">
        <f aca="false">$B18*Model!$X$66</f>
        <v>0.165365014643209</v>
      </c>
      <c r="M18" s="21" t="n">
        <f aca="false">$B18*Model!$Y$66</f>
        <v>0.0948317737035548</v>
      </c>
      <c r="N18" s="21" t="n">
        <f aca="false">$B18*Model!$Z$66</f>
        <v>0.00978690902990423</v>
      </c>
      <c r="O18" s="21" t="n">
        <f aca="false">$B18*Model!$AA$66</f>
        <v>0.0165365014643209</v>
      </c>
    </row>
    <row r="19" customFormat="false" ht="15" hidden="false" customHeight="true" outlineLevel="0" collapsed="false">
      <c r="A19" s="23" t="n">
        <v>2032</v>
      </c>
      <c r="B19" s="21" t="n">
        <f aca="false">IF($A19&lt;=Model!$B$3,Data!$B$10*Model!$D$66,0)</f>
        <v>8.89933762477843</v>
      </c>
      <c r="C19" s="21" t="n">
        <f aca="false">$B19*IF(Model!$B$5=1,Data!$D$10,Model!$AC$66)</f>
        <v>1.97854277451255</v>
      </c>
      <c r="D19" s="21" t="n">
        <f aca="false">$B19*IF(Model!$B$5=1,Data!$E$10,Model!$AD$66)</f>
        <v>2.65173990111018</v>
      </c>
      <c r="E19" s="21" t="n">
        <f aca="false">$B19*IF(Model!$B$5=1,Data!$F$10,Model!$AE$66)</f>
        <v>1.71993656124639</v>
      </c>
      <c r="F19" s="21" t="n">
        <f aca="false">$B19*IF(Model!$B$5=1,Data!$G$10,Model!$AF$66)</f>
        <v>2.54911838790932</v>
      </c>
      <c r="G19" s="21" t="n">
        <f aca="false">$B19*Model!$S$66</f>
        <v>5.38799187575344</v>
      </c>
      <c r="H19" s="21" t="n">
        <f aca="false">$B19*Model!$T$66</f>
        <v>1.34540900327878</v>
      </c>
      <c r="I19" s="21" t="n">
        <f aca="false">$B19*Model!$U$66</f>
        <v>0.638001491634184</v>
      </c>
      <c r="J19" s="21" t="n">
        <f aca="false">$B19*Model!$V$66</f>
        <v>0.638001491634184</v>
      </c>
      <c r="K19" s="21" t="n">
        <f aca="false">$B19*Model!$W$66</f>
        <v>0.603413563636854</v>
      </c>
      <c r="L19" s="21" t="n">
        <f aca="false">$B19*Model!$X$66</f>
        <v>0.165365014643209</v>
      </c>
      <c r="M19" s="21" t="n">
        <f aca="false">$B19*Model!$Y$66</f>
        <v>0.0948317737035548</v>
      </c>
      <c r="N19" s="21" t="n">
        <f aca="false">$B19*Model!$Z$66</f>
        <v>0.00978690902990423</v>
      </c>
      <c r="O19" s="21" t="n">
        <f aca="false">$B19*Model!$AA$66</f>
        <v>0.0165365014643209</v>
      </c>
    </row>
    <row r="20" customFormat="false" ht="15" hidden="false" customHeight="true" outlineLevel="0" collapsed="false">
      <c r="A20" s="23" t="n">
        <v>2033</v>
      </c>
      <c r="B20" s="21" t="n">
        <f aca="false">IF($A20&lt;=Model!$B$3,Data!$B$11*Model!$D$66,0)</f>
        <v>8.89933762477843</v>
      </c>
      <c r="C20" s="21" t="n">
        <f aca="false">$B20*IF(Model!$B$5=1,Data!$D$11,Model!$AC$66)</f>
        <v>1.96302878848366</v>
      </c>
      <c r="D20" s="21" t="n">
        <f aca="false">$B20*IF(Model!$B$5=1,Data!$E$11,Model!$AD$66)</f>
        <v>2.66117710237952</v>
      </c>
      <c r="E20" s="21" t="n">
        <f aca="false">$B20*IF(Model!$B$5=1,Data!$F$11,Model!$AE$66)</f>
        <v>1.72073025601392</v>
      </c>
      <c r="F20" s="21" t="n">
        <f aca="false">$B20*IF(Model!$B$5=1,Data!$G$11,Model!$AF$66)</f>
        <v>2.55440147790134</v>
      </c>
      <c r="G20" s="21" t="n">
        <f aca="false">$B20*Model!$S$66</f>
        <v>5.38799187575344</v>
      </c>
      <c r="H20" s="21" t="n">
        <f aca="false">$B20*Model!$T$66</f>
        <v>1.34540900327878</v>
      </c>
      <c r="I20" s="21" t="n">
        <f aca="false">$B20*Model!$U$66</f>
        <v>0.638001491634184</v>
      </c>
      <c r="J20" s="21" t="n">
        <f aca="false">$B20*Model!$V$66</f>
        <v>0.638001491634184</v>
      </c>
      <c r="K20" s="21" t="n">
        <f aca="false">$B20*Model!$W$66</f>
        <v>0.603413563636854</v>
      </c>
      <c r="L20" s="21" t="n">
        <f aca="false">$B20*Model!$X$66</f>
        <v>0.165365014643209</v>
      </c>
      <c r="M20" s="21" t="n">
        <f aca="false">$B20*Model!$Y$66</f>
        <v>0.0948317737035548</v>
      </c>
      <c r="N20" s="21" t="n">
        <f aca="false">$B20*Model!$Z$66</f>
        <v>0.00978690902990423</v>
      </c>
      <c r="O20" s="21" t="n">
        <f aca="false">$B20*Model!$AA$66</f>
        <v>0.0165365014643209</v>
      </c>
    </row>
    <row r="21" customFormat="false" ht="15" hidden="false" customHeight="true" outlineLevel="0" collapsed="false">
      <c r="A21" s="23" t="n">
        <v>2034</v>
      </c>
      <c r="B21" s="21" t="n">
        <f aca="false">IF($A21&lt;=Model!$B$3,Data!$B$12*Model!$D$66,0)</f>
        <v>8.89933762477843</v>
      </c>
      <c r="C21" s="21" t="n">
        <f aca="false">$B21*IF(Model!$B$5=1,Data!$D$12,Model!$AC$66)</f>
        <v>1.94570389028828</v>
      </c>
      <c r="D21" s="21" t="n">
        <f aca="false">$B21*IF(Model!$B$5=1,Data!$E$12,Model!$AD$66)</f>
        <v>2.66815934322232</v>
      </c>
      <c r="E21" s="21" t="n">
        <f aca="false">$B21*IF(Model!$B$5=1,Data!$F$12,Model!$AE$66)</f>
        <v>1.71993656124639</v>
      </c>
      <c r="F21" s="21" t="n">
        <f aca="false">$B21*IF(Model!$B$5=1,Data!$G$12,Model!$AF$66)</f>
        <v>2.56553783002145</v>
      </c>
      <c r="G21" s="21" t="n">
        <f aca="false">$B21*Model!$S$66</f>
        <v>5.38799187575344</v>
      </c>
      <c r="H21" s="21" t="n">
        <f aca="false">$B21*Model!$T$66</f>
        <v>1.34540900327878</v>
      </c>
      <c r="I21" s="21" t="n">
        <f aca="false">$B21*Model!$U$66</f>
        <v>0.638001491634184</v>
      </c>
      <c r="J21" s="21" t="n">
        <f aca="false">$B21*Model!$V$66</f>
        <v>0.638001491634184</v>
      </c>
      <c r="K21" s="21" t="n">
        <f aca="false">$B21*Model!$W$66</f>
        <v>0.603413563636854</v>
      </c>
      <c r="L21" s="21" t="n">
        <f aca="false">$B21*Model!$X$66</f>
        <v>0.165365014643209</v>
      </c>
      <c r="M21" s="21" t="n">
        <f aca="false">$B21*Model!$Y$66</f>
        <v>0.0948317737035548</v>
      </c>
      <c r="N21" s="21" t="n">
        <f aca="false">$B21*Model!$Z$66</f>
        <v>0.00978690902990423</v>
      </c>
      <c r="O21" s="21" t="n">
        <f aca="false">$B21*Model!$AA$66</f>
        <v>0.0165365014643209</v>
      </c>
    </row>
    <row r="22" customFormat="false" ht="15" hidden="false" customHeight="true" outlineLevel="0" collapsed="false">
      <c r="A22" s="23" t="n">
        <v>2035</v>
      </c>
      <c r="B22" s="21" t="n">
        <f aca="false">IF($A22&lt;=Model!$B$3,Data!$B$13*Model!$D$66,0)</f>
        <v>8.59968280623193</v>
      </c>
      <c r="C22" s="21" t="n">
        <f aca="false">$B22*IF(Model!$B$5=1,Data!$D$13,Model!$AC$66)</f>
        <v>1.84308237708741</v>
      </c>
      <c r="D22" s="21" t="n">
        <f aca="false">$B22*IF(Model!$B$5=1,Data!$E$13,Model!$AD$66)</f>
        <v>2.54090866685325</v>
      </c>
      <c r="E22" s="21" t="n">
        <f aca="false">$B22*IF(Model!$B$5=1,Data!$F$13,Model!$AE$66)</f>
        <v>1.6501539322698</v>
      </c>
      <c r="F22" s="21" t="n">
        <f aca="false">$B22*IF(Model!$B$5=1,Data!$G$13,Model!$AF$66)</f>
        <v>2.56553783002146</v>
      </c>
      <c r="G22" s="21" t="n">
        <f aca="false">$B22*Model!$S$66</f>
        <v>5.20656964008462</v>
      </c>
      <c r="H22" s="21" t="n">
        <f aca="false">$B22*Model!$T$66</f>
        <v>1.30010694735657</v>
      </c>
      <c r="I22" s="21" t="n">
        <f aca="false">$B22*Model!$U$66</f>
        <v>0.616518969083771</v>
      </c>
      <c r="J22" s="21" t="n">
        <f aca="false">$B22*Model!$V$66</f>
        <v>0.616518969083771</v>
      </c>
      <c r="K22" s="21" t="n">
        <f aca="false">$B22*Model!$W$66</f>
        <v>0.583095671503325</v>
      </c>
      <c r="L22" s="21" t="n">
        <f aca="false">$B22*Model!$X$66</f>
        <v>0.15979691221288</v>
      </c>
      <c r="M22" s="21" t="n">
        <f aca="false">$B22*Model!$Y$66</f>
        <v>0.091638637411876</v>
      </c>
      <c r="N22" s="21" t="n">
        <f aca="false">$B22*Model!$Z$66</f>
        <v>0.00945736827382351</v>
      </c>
      <c r="O22" s="21" t="n">
        <f aca="false">$B22*Model!$AA$66</f>
        <v>0.015979691221288</v>
      </c>
    </row>
    <row r="23" customFormat="false" ht="15" hidden="false" customHeight="true" outlineLevel="0" collapsed="false">
      <c r="A23" s="23" t="n">
        <v>2036</v>
      </c>
      <c r="B23" s="21" t="n">
        <f aca="false">IF($A23&lt;=Model!$B$3,Data!$B$14*Model!$D$66,0)</f>
        <v>6.51441365799048</v>
      </c>
      <c r="C23" s="21" t="n">
        <f aca="false">$B23*IF(Model!$B$5=1,Data!$D$14,Model!$AC$66)</f>
        <v>1.57149238799253</v>
      </c>
      <c r="D23" s="21" t="n">
        <f aca="false">$B23*IF(Model!$B$5=1,Data!$E$14,Model!$AD$66)</f>
        <v>2.02127345006818</v>
      </c>
      <c r="E23" s="21" t="n">
        <f aca="false">$B23*IF(Model!$B$5=1,Data!$F$14,Model!$AE$66)</f>
        <v>1.21816550401437</v>
      </c>
      <c r="F23" s="21" t="n">
        <f aca="false">$B23*IF(Model!$B$5=1,Data!$G$14,Model!$AF$66)</f>
        <v>1.7034823159154</v>
      </c>
      <c r="G23" s="21" t="n">
        <f aca="false">$B23*Model!$S$66</f>
        <v>3.94406969871804</v>
      </c>
      <c r="H23" s="21" t="n">
        <f aca="false">$B23*Model!$T$66</f>
        <v>0.984854284226672</v>
      </c>
      <c r="I23" s="21" t="n">
        <f aca="false">$B23*Model!$U$66</f>
        <v>0.467024154623362</v>
      </c>
      <c r="J23" s="21" t="n">
        <f aca="false">$B23*Model!$V$66</f>
        <v>0.467024154623362</v>
      </c>
      <c r="K23" s="21" t="n">
        <f aca="false">$B23*Model!$W$66</f>
        <v>0.441705408437125</v>
      </c>
      <c r="L23" s="21" t="n">
        <f aca="false">$B23*Model!$X$66</f>
        <v>0.121049021327847</v>
      </c>
      <c r="M23" s="21" t="n">
        <f aca="false">$B23*Model!$Y$66</f>
        <v>0.069417908149235</v>
      </c>
      <c r="N23" s="21" t="n">
        <f aca="false">$B23*Model!$Z$66</f>
        <v>0.00716412575205628</v>
      </c>
      <c r="O23" s="21" t="n">
        <f aca="false">$B23*Model!$AA$66</f>
        <v>0.0121049021327847</v>
      </c>
    </row>
    <row r="24" customFormat="false" ht="15" hidden="false" customHeight="true" outlineLevel="0" collapsed="false">
      <c r="A24" s="23" t="n">
        <v>2037</v>
      </c>
      <c r="B24" s="21" t="n">
        <f aca="false">IF($A24&lt;=Model!$B$3,Data!$B$15*Model!$D$66,0)</f>
        <v>6.46105047112604</v>
      </c>
      <c r="C24" s="21" t="n">
        <f aca="false">$B24*IF(Model!$B$5=1,Data!$D$15,Model!$AC$66)</f>
        <v>1.55861941947085</v>
      </c>
      <c r="D24" s="21" t="n">
        <f aca="false">$B24*IF(Model!$B$5=1,Data!$E$15,Model!$AD$66)</f>
        <v>2.00471607461079</v>
      </c>
      <c r="E24" s="21" t="n">
        <f aca="false">$B24*IF(Model!$B$5=1,Data!$F$15,Model!$AE$66)</f>
        <v>1.20818683258892</v>
      </c>
      <c r="F24" s="21" t="n">
        <f aca="false">$B24*IF(Model!$B$5=1,Data!$G$15,Model!$AF$66)</f>
        <v>1.68952814445549</v>
      </c>
      <c r="G24" s="21" t="n">
        <f aca="false">$B24*Model!$S$66</f>
        <v>3.91176162935236</v>
      </c>
      <c r="H24" s="21" t="n">
        <f aca="false">$B24*Model!$T$66</f>
        <v>0.976786794815868</v>
      </c>
      <c r="I24" s="21" t="n">
        <f aca="false">$B24*Model!$U$66</f>
        <v>0.463198499922604</v>
      </c>
      <c r="J24" s="21" t="n">
        <f aca="false">$B24*Model!$V$66</f>
        <v>0.463198499922604</v>
      </c>
      <c r="K24" s="21" t="n">
        <f aca="false">$B24*Model!$W$66</f>
        <v>0.43808715367362</v>
      </c>
      <c r="L24" s="21" t="n">
        <f aca="false">$B24*Model!$X$66</f>
        <v>0.120057441442994</v>
      </c>
      <c r="M24" s="21" t="n">
        <f aca="false">$B24*Model!$Y$66</f>
        <v>0.0688492674397579</v>
      </c>
      <c r="N24" s="21" t="n">
        <f aca="false">$B24*Model!$Z$66</f>
        <v>0.00710544041193231</v>
      </c>
      <c r="O24" s="21" t="n">
        <f aca="false">$B24*Model!$AA$66</f>
        <v>0.0120057441442994</v>
      </c>
    </row>
    <row r="25" customFormat="false" ht="15" hidden="false" customHeight="true" outlineLevel="0" collapsed="false">
      <c r="A25" s="23" t="n">
        <v>2038</v>
      </c>
      <c r="B25" s="21" t="n">
        <f aca="false">IF($A25&lt;=Model!$B$3,Data!$B$16*Model!$D$66,0)</f>
        <v>6.38305812109339</v>
      </c>
      <c r="C25" s="21" t="n">
        <f aca="false">$B25*IF(Model!$B$5=1,Data!$D$16,Model!$AC$66)</f>
        <v>1.53980508086225</v>
      </c>
      <c r="D25" s="21" t="n">
        <f aca="false">$B25*IF(Model!$B$5=1,Data!$E$16,Model!$AD$66)</f>
        <v>1.98051683355767</v>
      </c>
      <c r="E25" s="21" t="n">
        <f aca="false">$B25*IF(Model!$B$5=1,Data!$F$16,Model!$AE$66)</f>
        <v>1.19360262050557</v>
      </c>
      <c r="F25" s="21" t="n">
        <f aca="false">$B25*IF(Model!$B$5=1,Data!$G$16,Model!$AF$66)</f>
        <v>1.6691335861679</v>
      </c>
      <c r="G25" s="21" t="n">
        <f aca="false">$B25*Model!$S$66</f>
        <v>3.86454214335637</v>
      </c>
      <c r="H25" s="21" t="n">
        <f aca="false">$B25*Model!$T$66</f>
        <v>0.964995848753923</v>
      </c>
      <c r="I25" s="21" t="n">
        <f aca="false">$B25*Model!$U$66</f>
        <v>0.45760715843688</v>
      </c>
      <c r="J25" s="21" t="n">
        <f aca="false">$B25*Model!$V$66</f>
        <v>0.45760715843688</v>
      </c>
      <c r="K25" s="21" t="n">
        <f aca="false">$B25*Model!$W$66</f>
        <v>0.432798935173112</v>
      </c>
      <c r="L25" s="21" t="n">
        <f aca="false">$B25*Model!$X$66</f>
        <v>0.118608209303593</v>
      </c>
      <c r="M25" s="21" t="n">
        <f aca="false">$B25*Model!$Y$66</f>
        <v>0.0680181771720607</v>
      </c>
      <c r="N25" s="21" t="n">
        <f aca="false">$B25*Model!$Z$66</f>
        <v>0.00701966953021267</v>
      </c>
      <c r="O25" s="21" t="n">
        <f aca="false">$B25*Model!$AA$66</f>
        <v>0.0118608209303593</v>
      </c>
    </row>
    <row r="26" customFormat="false" ht="15" hidden="false" customHeight="true" outlineLevel="0" collapsed="false">
      <c r="A26" s="23" t="n">
        <v>2039</v>
      </c>
      <c r="B26" s="21" t="n">
        <f aca="false">IF($A26&lt;=Model!$B$3,Data!$B$17*Model!$D$66,0)</f>
        <v>6.32559007370091</v>
      </c>
      <c r="C26" s="21" t="n">
        <f aca="false">$B26*IF(Model!$B$5=1,Data!$D$17,Model!$AC$66)</f>
        <v>1.52594188399275</v>
      </c>
      <c r="D26" s="21" t="n">
        <f aca="false">$B26*IF(Model!$B$5=1,Data!$E$17,Model!$AD$66)</f>
        <v>1.96268581383432</v>
      </c>
      <c r="E26" s="21" t="n">
        <f aca="false">$B26*IF(Model!$B$5=1,Data!$F$17,Model!$AE$66)</f>
        <v>1.18285635897047</v>
      </c>
      <c r="F26" s="21" t="n">
        <f aca="false">$B26*IF(Model!$B$5=1,Data!$G$17,Model!$AF$66)</f>
        <v>1.65410601690337</v>
      </c>
      <c r="G26" s="21" t="n">
        <f aca="false">$B26*Model!$S$66</f>
        <v>3.82974883788563</v>
      </c>
      <c r="H26" s="21" t="n">
        <f aca="false">$B26*Model!$T$66</f>
        <v>0.956307783234595</v>
      </c>
      <c r="I26" s="21" t="n">
        <f aca="false">$B26*Model!$U$66</f>
        <v>0.453487222605294</v>
      </c>
      <c r="J26" s="21" t="n">
        <f aca="false">$B26*Model!$V$66</f>
        <v>0.453487222605294</v>
      </c>
      <c r="K26" s="21" t="n">
        <f aca="false">$B26*Model!$W$66</f>
        <v>0.428902353120107</v>
      </c>
      <c r="L26" s="21" t="n">
        <f aca="false">$B26*Model!$X$66</f>
        <v>0.117540354042982</v>
      </c>
      <c r="M26" s="21" t="n">
        <f aca="false">$B26*Model!$Y$66</f>
        <v>0.067405794869547</v>
      </c>
      <c r="N26" s="21" t="n">
        <f aca="false">$B26*Model!$Z$66</f>
        <v>0.0069564699331561</v>
      </c>
      <c r="O26" s="21" t="n">
        <f aca="false">$B26*Model!$AA$66</f>
        <v>0.0117540354042982</v>
      </c>
    </row>
    <row r="27" customFormat="false" ht="15" hidden="false" customHeight="true" outlineLevel="0" collapsed="false">
      <c r="A27" s="23" t="n">
        <v>2040</v>
      </c>
      <c r="B27" s="21" t="n">
        <f aca="false">IF($A27&lt;=Model!$B$3,Data!$B$18*Model!$D$66,0)</f>
        <v>6.25991230525236</v>
      </c>
      <c r="C27" s="21" t="n">
        <f aca="false">$B27*IF(Model!$B$5=1,Data!$D$18,Model!$AC$66)</f>
        <v>1.5100982304276</v>
      </c>
      <c r="D27" s="21" t="n">
        <f aca="false">$B27*IF(Model!$B$5=1,Data!$E$18,Model!$AD$66)</f>
        <v>1.94230750557907</v>
      </c>
      <c r="E27" s="21" t="n">
        <f aca="false">$B27*IF(Model!$B$5=1,Data!$F$18,Model!$AE$66)</f>
        <v>1.17057491721608</v>
      </c>
      <c r="F27" s="21" t="n">
        <f aca="false">$B27*IF(Model!$B$5=1,Data!$G$18,Model!$AF$66)</f>
        <v>1.63693165202961</v>
      </c>
      <c r="G27" s="21" t="n">
        <f aca="false">$B27*Model!$S$66</f>
        <v>3.7899850602048</v>
      </c>
      <c r="H27" s="21" t="n">
        <f aca="false">$B27*Model!$T$66</f>
        <v>0.94637856549822</v>
      </c>
      <c r="I27" s="21" t="n">
        <f aca="false">$B27*Model!$U$66</f>
        <v>0.448778724512053</v>
      </c>
      <c r="J27" s="21" t="n">
        <f aca="false">$B27*Model!$V$66</f>
        <v>0.448778724512053</v>
      </c>
      <c r="K27" s="21" t="n">
        <f aca="false">$B27*Model!$W$66</f>
        <v>0.424449116488101</v>
      </c>
      <c r="L27" s="21" t="n">
        <f aca="false">$B27*Model!$X$66</f>
        <v>0.116319948030855</v>
      </c>
      <c r="M27" s="21" t="n">
        <f aca="false">$B27*Model!$Y$66</f>
        <v>0.0667059293809599</v>
      </c>
      <c r="N27" s="21" t="n">
        <f aca="false">$B27*Model!$Z$66</f>
        <v>0.00688424182223429</v>
      </c>
      <c r="O27" s="21" t="n">
        <f aca="false">$B27*Model!$AA$66</f>
        <v>0.0116319948030855</v>
      </c>
    </row>
    <row r="28" customFormat="false" ht="15" hidden="false" customHeight="true" outlineLevel="0" collapsed="false">
      <c r="A28" s="24" t="s">
        <v>122</v>
      </c>
      <c r="B28" s="25" t="n">
        <f aca="false">SUM(B13:B27)</f>
        <v>163.636160089561</v>
      </c>
      <c r="C28" s="25" t="n">
        <f aca="false">SUM(C13:C27)</f>
        <v>39.4743289850766</v>
      </c>
      <c r="D28" s="25" t="n">
        <f aca="false">SUM(D13:D27)</f>
        <v>50.7724879234554</v>
      </c>
      <c r="E28" s="25" t="n">
        <f aca="false">SUM(E13:E27)</f>
        <v>30.5992331689176</v>
      </c>
      <c r="F28" s="25" t="n">
        <f aca="false">SUM(F13:F27)</f>
        <v>42.7901100121111</v>
      </c>
      <c r="G28" s="25" t="n">
        <f aca="false">SUM(G13:G27)</f>
        <v>99.0714520918059</v>
      </c>
      <c r="H28" s="25" t="n">
        <f aca="false">SUM(H13:H27)</f>
        <v>24.7386459901777</v>
      </c>
      <c r="I28" s="25" t="n">
        <f aca="false">SUM(I13:I27)</f>
        <v>11.7312229993105</v>
      </c>
      <c r="J28" s="25" t="n">
        <f aca="false">SUM(J13:J27)</f>
        <v>11.7312229993105</v>
      </c>
      <c r="K28" s="25" t="n">
        <f aca="false">SUM(K13:K27)</f>
        <v>11.0952390686437</v>
      </c>
      <c r="L28" s="25" t="n">
        <f aca="false">SUM(L13:L27)</f>
        <v>3.04064157921444</v>
      </c>
      <c r="M28" s="25" t="n">
        <f aca="false">SUM(M13:M27)</f>
        <v>1.74371486481481</v>
      </c>
      <c r="N28" s="25" t="n">
        <f aca="false">SUM(N13:N27)</f>
        <v>0.179956338361671</v>
      </c>
      <c r="O28" s="25" t="n">
        <f aca="false">SUM(O13:O27)</f>
        <v>0.304064157921444</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Data!$H$43*Data!$M$43/SUM(Data!$H$43:$K$43)</f>
        <v>13.7276119402985</v>
      </c>
      <c r="C34" s="22" t="n">
        <f aca="false">IF($B$38&gt;0,B34/$B$38,0)</f>
        <v>0.0485074626865672</v>
      </c>
      <c r="D34" s="21" t="n">
        <f aca="false">C28</f>
        <v>39.4743289850766</v>
      </c>
      <c r="E34" s="22" t="n">
        <f aca="false">IF($D$38&gt;0,D34/$D$38,0)</f>
        <v>0.241232310532536</v>
      </c>
      <c r="F34" s="21" t="n">
        <f aca="false">B34+D34</f>
        <v>53.2019409253751</v>
      </c>
      <c r="G34" s="22" t="n">
        <f aca="false">IF($F$38&gt;0,F34/$F$38,0)</f>
        <v>0.11911695845385</v>
      </c>
    </row>
    <row r="35" customFormat="false" ht="15" hidden="false" customHeight="true" outlineLevel="0" collapsed="false">
      <c r="A35" s="13" t="s">
        <v>110</v>
      </c>
      <c r="B35" s="21" t="n">
        <f aca="false">Data!$I$43*Data!$M$43/SUM(Data!$H$43:$K$43)</f>
        <v>64.4141791044776</v>
      </c>
      <c r="C35" s="22" t="n">
        <f aca="false">IF($B$38&gt;0,B35/$B$38,0)</f>
        <v>0.227611940298507</v>
      </c>
      <c r="D35" s="21" t="n">
        <f aca="false">D28</f>
        <v>50.7724879234554</v>
      </c>
      <c r="E35" s="22" t="n">
        <f aca="false">IF($D$38&gt;0,D35/$D$38,0)</f>
        <v>0.310276701040081</v>
      </c>
      <c r="F35" s="21" t="n">
        <f aca="false">B35+D35</f>
        <v>115.186667027933</v>
      </c>
      <c r="G35" s="22" t="n">
        <f aca="false">IF($F$38&gt;0,F35/$F$38,0)</f>
        <v>0.257898211834965</v>
      </c>
    </row>
    <row r="36" customFormat="false" ht="15" hidden="false" customHeight="true" outlineLevel="0" collapsed="false">
      <c r="A36" s="13" t="s">
        <v>111</v>
      </c>
      <c r="B36" s="21" t="n">
        <f aca="false">Data!$J$43*Data!$M$43/SUM(Data!$H$43:$K$43)</f>
        <v>129.884328358209</v>
      </c>
      <c r="C36" s="22" t="n">
        <f aca="false">IF($B$38&gt;0,B36/$B$38,0)</f>
        <v>0.458955223880597</v>
      </c>
      <c r="D36" s="21" t="n">
        <f aca="false">E28</f>
        <v>30.5992331689176</v>
      </c>
      <c r="E36" s="22" t="n">
        <f aca="false">IF($D$38&gt;0,D36/$D$38,0)</f>
        <v>0.186995546413275</v>
      </c>
      <c r="F36" s="21" t="n">
        <f aca="false">B36+D36</f>
        <v>160.483561527127</v>
      </c>
      <c r="G36" s="22" t="n">
        <f aca="false">IF($F$38&gt;0,F36/$F$38,0)</f>
        <v>0.359316096338787</v>
      </c>
    </row>
    <row r="37" customFormat="false" ht="15" hidden="false" customHeight="true" outlineLevel="0" collapsed="false">
      <c r="A37" s="13" t="s">
        <v>112</v>
      </c>
      <c r="B37" s="21" t="n">
        <f aca="false">Data!$K$43*Data!$M$43/SUM(Data!$H$43:$K$43)</f>
        <v>74.9738805970149</v>
      </c>
      <c r="C37" s="22" t="n">
        <f aca="false">IF($B$38&gt;0,B37/$B$38,0)</f>
        <v>0.264925373134328</v>
      </c>
      <c r="D37" s="21" t="n">
        <f aca="false">F28</f>
        <v>42.7901100121111</v>
      </c>
      <c r="E37" s="22" t="n">
        <f aca="false">IF($D$38&gt;0,D37/$D$38,0)</f>
        <v>0.261495442014109</v>
      </c>
      <c r="F37" s="21" t="n">
        <f aca="false">B37+D37</f>
        <v>117.763990609126</v>
      </c>
      <c r="G37" s="22" t="n">
        <f aca="false">IF($F$38&gt;0,F37/$F$38,0)</f>
        <v>0.263668733372398</v>
      </c>
    </row>
    <row r="38" customFormat="false" ht="15" hidden="false" customHeight="true" outlineLevel="0" collapsed="false">
      <c r="A38" s="24" t="s">
        <v>61</v>
      </c>
      <c r="B38" s="25" t="n">
        <f aca="false">SUM(B34:B37)</f>
        <v>283</v>
      </c>
      <c r="C38" s="27" t="n">
        <f aca="false">SUM(C34:C37)</f>
        <v>1</v>
      </c>
      <c r="D38" s="25" t="n">
        <f aca="false">SUM(D34:D37)</f>
        <v>163.636160089561</v>
      </c>
      <c r="E38" s="27" t="n">
        <f aca="false">SUM(E34:E37)</f>
        <v>1</v>
      </c>
      <c r="F38" s="25" t="n">
        <f aca="false">SUM(F34:F37)</f>
        <v>446.636160089561</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103</v>
      </c>
      <c r="C6" s="15" t="n">
        <f aca="false">Model!$Q$67</f>
        <v>0.1</v>
      </c>
    </row>
    <row r="7" customFormat="false" ht="15" hidden="false" customHeight="true" outlineLevel="0" collapsed="false">
      <c r="A7" s="13" t="s">
        <v>104</v>
      </c>
      <c r="C7" s="15" t="n">
        <f aca="false">Model!$G$67</f>
        <v>0.22045</v>
      </c>
    </row>
    <row r="8" customFormat="false" ht="15" hidden="false" customHeight="true" outlineLevel="0" collapsed="false">
      <c r="A8" s="13" t="s">
        <v>105</v>
      </c>
      <c r="C8" s="15" t="n">
        <f aca="false">Model!$R$67</f>
        <v>0.173231642044308</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IF($A13&lt;=Model!$B$3,Data!$B$4*Model!$D$67,0)</f>
        <v>22.2714805485586</v>
      </c>
      <c r="C13" s="21" t="n">
        <f aca="false">$B13*IF(Model!$B$5=1,Data!$D$4,Model!$AC$67)</f>
        <v>5.76112641769705</v>
      </c>
      <c r="D13" s="21" t="n">
        <f aca="false">$B13*IF(Model!$B$5=1,Data!$E$4,Model!$AD$67)</f>
        <v>7.05124266898549</v>
      </c>
      <c r="E13" s="21" t="n">
        <f aca="false">$B13*IF(Model!$B$5=1,Data!$F$4,Model!$AE$67)</f>
        <v>4.1210596043182</v>
      </c>
      <c r="F13" s="21" t="n">
        <f aca="false">$B13*IF(Model!$B$5=1,Data!$G$4,Model!$AF$67)</f>
        <v>5.3380518575579</v>
      </c>
      <c r="G13" s="21" t="n">
        <f aca="false">$B13*Model!$S$67</f>
        <v>13.4839873837939</v>
      </c>
      <c r="H13" s="21" t="n">
        <f aca="false">$B13*Model!$T$67</f>
        <v>3.36702030080863</v>
      </c>
      <c r="I13" s="21" t="n">
        <f aca="false">$B13*Model!$U$67</f>
        <v>1.59666240455012</v>
      </c>
      <c r="J13" s="21" t="n">
        <f aca="false">$B13*Model!$V$67</f>
        <v>1.59666240455012</v>
      </c>
      <c r="K13" s="21" t="n">
        <f aca="false">$B13*Model!$W$67</f>
        <v>1.51010266290568</v>
      </c>
      <c r="L13" s="21" t="n">
        <f aca="false">$B13*Model!$X$67</f>
        <v>0.413842452362296</v>
      </c>
      <c r="M13" s="21" t="n">
        <f aca="false">$B13*Model!$Y$67</f>
        <v>0.237325977783276</v>
      </c>
      <c r="N13" s="21" t="n">
        <f aca="false">$B13*Model!$Z$67</f>
        <v>0.0244927165683808</v>
      </c>
      <c r="O13" s="21" t="n">
        <f aca="false">$B13*Model!$AA$67</f>
        <v>0.0413842452362296</v>
      </c>
    </row>
    <row r="14" customFormat="false" ht="15" hidden="false" customHeight="true" outlineLevel="0" collapsed="false">
      <c r="A14" s="23" t="n">
        <v>2027</v>
      </c>
      <c r="B14" s="21" t="n">
        <f aca="false">IF($A14&lt;=Model!$B$3,Data!$B$5*Model!$D$67,0)</f>
        <v>22.2714805485586</v>
      </c>
      <c r="C14" s="21" t="n">
        <f aca="false">$B14*IF(Model!$B$5=1,Data!$D$5,Model!$AC$67)</f>
        <v>5.59920899344626</v>
      </c>
      <c r="D14" s="21" t="n">
        <f aca="false">$B14*IF(Model!$B$5=1,Data!$E$5,Model!$AD$67)</f>
        <v>7.07213523985656</v>
      </c>
      <c r="E14" s="21" t="n">
        <f aca="false">$B14*IF(Model!$B$5=1,Data!$F$5,Model!$AE$67)</f>
        <v>4.11061331888266</v>
      </c>
      <c r="F14" s="21" t="n">
        <f aca="false">$B14*IF(Model!$B$5=1,Data!$G$5,Model!$AF$67)</f>
        <v>5.48952299637315</v>
      </c>
      <c r="G14" s="21" t="n">
        <f aca="false">$B14*Model!$S$67</f>
        <v>13.4839873837939</v>
      </c>
      <c r="H14" s="21" t="n">
        <f aca="false">$B14*Model!$T$67</f>
        <v>3.36702030080863</v>
      </c>
      <c r="I14" s="21" t="n">
        <f aca="false">$B14*Model!$U$67</f>
        <v>1.59666240455012</v>
      </c>
      <c r="J14" s="21" t="n">
        <f aca="false">$B14*Model!$V$67</f>
        <v>1.59666240455012</v>
      </c>
      <c r="K14" s="21" t="n">
        <f aca="false">$B14*Model!$W$67</f>
        <v>1.51010266290568</v>
      </c>
      <c r="L14" s="21" t="n">
        <f aca="false">$B14*Model!$X$67</f>
        <v>0.413842452362296</v>
      </c>
      <c r="M14" s="21" t="n">
        <f aca="false">$B14*Model!$Y$67</f>
        <v>0.237325977783276</v>
      </c>
      <c r="N14" s="21" t="n">
        <f aca="false">$B14*Model!$Z$67</f>
        <v>0.0244927165683808</v>
      </c>
      <c r="O14" s="21" t="n">
        <f aca="false">$B14*Model!$AA$67</f>
        <v>0.0413842452362296</v>
      </c>
    </row>
    <row r="15" customFormat="false" ht="15" hidden="false" customHeight="true" outlineLevel="0" collapsed="false">
      <c r="A15" s="23" t="n">
        <v>2028</v>
      </c>
      <c r="B15" s="21" t="n">
        <f aca="false">IF($A15&lt;=Model!$B$3,Data!$B$6*Model!$D$67,0)</f>
        <v>22.2714805485586</v>
      </c>
      <c r="C15" s="21" t="n">
        <f aca="false">$B15*IF(Model!$B$5=1,Data!$D$6,Model!$AC$67)</f>
        <v>5.58093412150649</v>
      </c>
      <c r="D15" s="21" t="n">
        <f aca="false">$B15*IF(Model!$B$5=1,Data!$E$6,Model!$AD$67)</f>
        <v>7.07545393307095</v>
      </c>
      <c r="E15" s="21" t="n">
        <f aca="false">$B15*IF(Model!$B$5=1,Data!$F$6,Model!$AE$67)</f>
        <v>4.11254227867565</v>
      </c>
      <c r="F15" s="21" t="n">
        <f aca="false">$B15*IF(Model!$B$5=1,Data!$G$6,Model!$AF$67)</f>
        <v>5.50255021530554</v>
      </c>
      <c r="G15" s="21" t="n">
        <f aca="false">$B15*Model!$S$67</f>
        <v>13.4839873837939</v>
      </c>
      <c r="H15" s="21" t="n">
        <f aca="false">$B15*Model!$T$67</f>
        <v>3.36702030080863</v>
      </c>
      <c r="I15" s="21" t="n">
        <f aca="false">$B15*Model!$U$67</f>
        <v>1.59666240455012</v>
      </c>
      <c r="J15" s="21" t="n">
        <f aca="false">$B15*Model!$V$67</f>
        <v>1.59666240455012</v>
      </c>
      <c r="K15" s="21" t="n">
        <f aca="false">$B15*Model!$W$67</f>
        <v>1.51010266290568</v>
      </c>
      <c r="L15" s="21" t="n">
        <f aca="false">$B15*Model!$X$67</f>
        <v>0.413842452362296</v>
      </c>
      <c r="M15" s="21" t="n">
        <f aca="false">$B15*Model!$Y$67</f>
        <v>0.237325977783276</v>
      </c>
      <c r="N15" s="21" t="n">
        <f aca="false">$B15*Model!$Z$67</f>
        <v>0.0244927165683808</v>
      </c>
      <c r="O15" s="21" t="n">
        <f aca="false">$B15*Model!$AA$67</f>
        <v>0.0413842452362296</v>
      </c>
    </row>
    <row r="16" customFormat="false" ht="15" hidden="false" customHeight="true" outlineLevel="0" collapsed="false">
      <c r="A16" s="23" t="n">
        <v>2029</v>
      </c>
      <c r="B16" s="21" t="n">
        <f aca="false">IF($A16&lt;=Model!$B$3,Data!$B$7*Model!$D$67,0)</f>
        <v>22.2714805485586</v>
      </c>
      <c r="C16" s="21" t="n">
        <f aca="false">$B16*IF(Model!$B$5=1,Data!$D$7,Model!$AC$67)</f>
        <v>5.52215691762292</v>
      </c>
      <c r="D16" s="21" t="n">
        <f aca="false">$B16*IF(Model!$B$5=1,Data!$E$7,Model!$AD$67)</f>
        <v>7.03722362160649</v>
      </c>
      <c r="E16" s="21" t="n">
        <f aca="false">$B16*IF(Model!$B$5=1,Data!$F$7,Model!$AE$67)</f>
        <v>4.0854557328109</v>
      </c>
      <c r="F16" s="21" t="n">
        <f aca="false">$B16*IF(Model!$B$5=1,Data!$G$7,Model!$AF$67)</f>
        <v>5.62664427651832</v>
      </c>
      <c r="G16" s="21" t="n">
        <f aca="false">$B16*Model!$S$67</f>
        <v>13.4839873837939</v>
      </c>
      <c r="H16" s="21" t="n">
        <f aca="false">$B16*Model!$T$67</f>
        <v>3.36702030080863</v>
      </c>
      <c r="I16" s="21" t="n">
        <f aca="false">$B16*Model!$U$67</f>
        <v>1.59666240455012</v>
      </c>
      <c r="J16" s="21" t="n">
        <f aca="false">$B16*Model!$V$67</f>
        <v>1.59666240455012</v>
      </c>
      <c r="K16" s="21" t="n">
        <f aca="false">$B16*Model!$W$67</f>
        <v>1.51010266290568</v>
      </c>
      <c r="L16" s="21" t="n">
        <f aca="false">$B16*Model!$X$67</f>
        <v>0.413842452362296</v>
      </c>
      <c r="M16" s="21" t="n">
        <f aca="false">$B16*Model!$Y$67</f>
        <v>0.237325977783276</v>
      </c>
      <c r="N16" s="21" t="n">
        <f aca="false">$B16*Model!$Z$67</f>
        <v>0.0244927165683808</v>
      </c>
      <c r="O16" s="21" t="n">
        <f aca="false">$B16*Model!$AA$67</f>
        <v>0.0413842452362296</v>
      </c>
    </row>
    <row r="17" customFormat="false" ht="15" hidden="false" customHeight="true" outlineLevel="0" collapsed="false">
      <c r="A17" s="23" t="n">
        <v>2030</v>
      </c>
      <c r="B17" s="21" t="n">
        <f aca="false">IF($A17&lt;=Model!$B$3,Data!$B$8*Model!$D$67,0)</f>
        <v>22.2714805485586</v>
      </c>
      <c r="C17" s="21" t="n">
        <f aca="false">$B17*IF(Model!$B$5=1,Data!$D$8,Model!$AC$67)</f>
        <v>5.513001402799</v>
      </c>
      <c r="D17" s="21" t="n">
        <f aca="false">$B17*IF(Model!$B$5=1,Data!$E$8,Model!$AD$67)</f>
        <v>6.93436290190926</v>
      </c>
      <c r="E17" s="21" t="n">
        <f aca="false">$B17*IF(Model!$B$5=1,Data!$F$8,Model!$AE$67)</f>
        <v>4.09163990368874</v>
      </c>
      <c r="F17" s="21" t="n">
        <f aca="false">$B17*IF(Model!$B$5=1,Data!$G$8,Model!$AF$67)</f>
        <v>5.73247634016162</v>
      </c>
      <c r="G17" s="21" t="n">
        <f aca="false">$B17*Model!$S$67</f>
        <v>13.4839873837939</v>
      </c>
      <c r="H17" s="21" t="n">
        <f aca="false">$B17*Model!$T$67</f>
        <v>3.36702030080863</v>
      </c>
      <c r="I17" s="21" t="n">
        <f aca="false">$B17*Model!$U$67</f>
        <v>1.59666240455012</v>
      </c>
      <c r="J17" s="21" t="n">
        <f aca="false">$B17*Model!$V$67</f>
        <v>1.59666240455012</v>
      </c>
      <c r="K17" s="21" t="n">
        <f aca="false">$B17*Model!$W$67</f>
        <v>1.51010266290568</v>
      </c>
      <c r="L17" s="21" t="n">
        <f aca="false">$B17*Model!$X$67</f>
        <v>0.413842452362296</v>
      </c>
      <c r="M17" s="21" t="n">
        <f aca="false">$B17*Model!$Y$67</f>
        <v>0.237325977783276</v>
      </c>
      <c r="N17" s="21" t="n">
        <f aca="false">$B17*Model!$Z$67</f>
        <v>0.0244927165683808</v>
      </c>
      <c r="O17" s="21" t="n">
        <f aca="false">$B17*Model!$AA$67</f>
        <v>0.0413842452362296</v>
      </c>
    </row>
    <row r="18" customFormat="false" ht="15" hidden="false" customHeight="true" outlineLevel="0" collapsed="false">
      <c r="A18" s="23" t="n">
        <v>2031</v>
      </c>
      <c r="B18" s="21" t="n">
        <f aca="false">IF($A18&lt;=Model!$B$3,Data!$B$9*Model!$D$67,0)</f>
        <v>11.3264297042635</v>
      </c>
      <c r="C18" s="21" t="n">
        <f aca="false">$B18*IF(Model!$B$5=1,Data!$D$9,Model!$AC$67)</f>
        <v>2.61740834033026</v>
      </c>
      <c r="D18" s="21" t="n">
        <f aca="false">$B18*IF(Model!$B$5=1,Data!$E$9,Model!$AD$67)</f>
        <v>3.44285847560407</v>
      </c>
      <c r="E18" s="21" t="n">
        <f aca="false">$B18*IF(Model!$B$5=1,Data!$F$9,Model!$AE$67)</f>
        <v>2.15243959324564</v>
      </c>
      <c r="F18" s="21" t="n">
        <f aca="false">$B18*IF(Model!$B$5=1,Data!$G$9,Model!$AF$67)</f>
        <v>3.1137232950835</v>
      </c>
      <c r="G18" s="21" t="n">
        <f aca="false">$B18*Model!$S$67</f>
        <v>6.85744420550438</v>
      </c>
      <c r="H18" s="21" t="n">
        <f aca="false">$B18*Model!$T$67</f>
        <v>1.71233873144572</v>
      </c>
      <c r="I18" s="21" t="n">
        <f aca="false">$B18*Model!$U$67</f>
        <v>0.812001898443507</v>
      </c>
      <c r="J18" s="21" t="n">
        <f aca="false">$B18*Model!$V$67</f>
        <v>0.812001898443507</v>
      </c>
      <c r="K18" s="21" t="n">
        <f aca="false">$B18*Model!$W$67</f>
        <v>0.767980899174178</v>
      </c>
      <c r="L18" s="21" t="n">
        <f aca="false">$B18*Model!$X$67</f>
        <v>0.210464564091357</v>
      </c>
      <c r="M18" s="21" t="n">
        <f aca="false">$B18*Model!$Y$67</f>
        <v>0.120694984713615</v>
      </c>
      <c r="N18" s="21" t="n">
        <f aca="false">$B18*Model!$Z$67</f>
        <v>0.0124560660380599</v>
      </c>
      <c r="O18" s="21" t="n">
        <f aca="false">$B18*Model!$AA$67</f>
        <v>0.0210464564091357</v>
      </c>
    </row>
    <row r="19" customFormat="false" ht="15" hidden="false" customHeight="true" outlineLevel="0" collapsed="false">
      <c r="A19" s="23" t="n">
        <v>2032</v>
      </c>
      <c r="B19" s="21" t="n">
        <f aca="false">IF($A19&lt;=Model!$B$3,Data!$B$10*Model!$D$67,0)</f>
        <v>11.3264297042635</v>
      </c>
      <c r="C19" s="21" t="n">
        <f aca="false">$B19*IF(Model!$B$5=1,Data!$D$10,Model!$AC$67)</f>
        <v>2.51814534937961</v>
      </c>
      <c r="D19" s="21" t="n">
        <f aca="false">$B19*IF(Model!$B$5=1,Data!$E$10,Model!$AD$67)</f>
        <v>3.37494169232204</v>
      </c>
      <c r="E19" s="21" t="n">
        <f aca="false">$B19*IF(Model!$B$5=1,Data!$F$10,Model!$AE$67)</f>
        <v>2.18901016885904</v>
      </c>
      <c r="F19" s="21" t="n">
        <f aca="false">$B19*IF(Model!$B$5=1,Data!$G$10,Model!$AF$67)</f>
        <v>3.24433249370277</v>
      </c>
      <c r="G19" s="21" t="n">
        <f aca="false">$B19*Model!$S$67</f>
        <v>6.85744420550438</v>
      </c>
      <c r="H19" s="21" t="n">
        <f aca="false">$B19*Model!$T$67</f>
        <v>1.71233873144572</v>
      </c>
      <c r="I19" s="21" t="n">
        <f aca="false">$B19*Model!$U$67</f>
        <v>0.812001898443507</v>
      </c>
      <c r="J19" s="21" t="n">
        <f aca="false">$B19*Model!$V$67</f>
        <v>0.812001898443507</v>
      </c>
      <c r="K19" s="21" t="n">
        <f aca="false">$B19*Model!$W$67</f>
        <v>0.767980899174178</v>
      </c>
      <c r="L19" s="21" t="n">
        <f aca="false">$B19*Model!$X$67</f>
        <v>0.210464564091357</v>
      </c>
      <c r="M19" s="21" t="n">
        <f aca="false">$B19*Model!$Y$67</f>
        <v>0.120694984713615</v>
      </c>
      <c r="N19" s="21" t="n">
        <f aca="false">$B19*Model!$Z$67</f>
        <v>0.0124560660380599</v>
      </c>
      <c r="O19" s="21" t="n">
        <f aca="false">$B19*Model!$AA$67</f>
        <v>0.0210464564091357</v>
      </c>
    </row>
    <row r="20" customFormat="false" ht="15" hidden="false" customHeight="true" outlineLevel="0" collapsed="false">
      <c r="A20" s="23" t="n">
        <v>2033</v>
      </c>
      <c r="B20" s="21" t="n">
        <f aca="false">IF($A20&lt;=Model!$B$3,Data!$B$11*Model!$D$67,0)</f>
        <v>11.3264297042635</v>
      </c>
      <c r="C20" s="21" t="n">
        <f aca="false">$B20*IF(Model!$B$5=1,Data!$D$11,Model!$AC$67)</f>
        <v>2.49840027625193</v>
      </c>
      <c r="D20" s="21" t="n">
        <f aca="false">$B20*IF(Model!$B$5=1,Data!$E$11,Model!$AD$67)</f>
        <v>3.38695267575575</v>
      </c>
      <c r="E20" s="21" t="n">
        <f aca="false">$B20*IF(Model!$B$5=1,Data!$F$11,Model!$AE$67)</f>
        <v>2.1900203258359</v>
      </c>
      <c r="F20" s="21" t="n">
        <f aca="false">$B20*IF(Model!$B$5=1,Data!$G$11,Model!$AF$67)</f>
        <v>3.25105642641988</v>
      </c>
      <c r="G20" s="21" t="n">
        <f aca="false">$B20*Model!$S$67</f>
        <v>6.85744420550438</v>
      </c>
      <c r="H20" s="21" t="n">
        <f aca="false">$B20*Model!$T$67</f>
        <v>1.71233873144572</v>
      </c>
      <c r="I20" s="21" t="n">
        <f aca="false">$B20*Model!$U$67</f>
        <v>0.812001898443507</v>
      </c>
      <c r="J20" s="21" t="n">
        <f aca="false">$B20*Model!$V$67</f>
        <v>0.812001898443507</v>
      </c>
      <c r="K20" s="21" t="n">
        <f aca="false">$B20*Model!$W$67</f>
        <v>0.767980899174178</v>
      </c>
      <c r="L20" s="21" t="n">
        <f aca="false">$B20*Model!$X$67</f>
        <v>0.210464564091357</v>
      </c>
      <c r="M20" s="21" t="n">
        <f aca="false">$B20*Model!$Y$67</f>
        <v>0.120694984713615</v>
      </c>
      <c r="N20" s="21" t="n">
        <f aca="false">$B20*Model!$Z$67</f>
        <v>0.0124560660380599</v>
      </c>
      <c r="O20" s="21" t="n">
        <f aca="false">$B20*Model!$AA$67</f>
        <v>0.0210464564091357</v>
      </c>
    </row>
    <row r="21" customFormat="false" ht="15" hidden="false" customHeight="true" outlineLevel="0" collapsed="false">
      <c r="A21" s="23" t="n">
        <v>2034</v>
      </c>
      <c r="B21" s="21" t="n">
        <f aca="false">IF($A21&lt;=Model!$B$3,Data!$B$12*Model!$D$67,0)</f>
        <v>11.3264297042635</v>
      </c>
      <c r="C21" s="21" t="n">
        <f aca="false">$B21*IF(Model!$B$5=1,Data!$D$12,Model!$AC$67)</f>
        <v>2.47635040582144</v>
      </c>
      <c r="D21" s="21" t="n">
        <f aca="false">$B21*IF(Model!$B$5=1,Data!$E$12,Model!$AD$67)</f>
        <v>3.39583916410113</v>
      </c>
      <c r="E21" s="21" t="n">
        <f aca="false">$B21*IF(Model!$B$5=1,Data!$F$12,Model!$AE$67)</f>
        <v>2.18901016885904</v>
      </c>
      <c r="F21" s="21" t="n">
        <f aca="false">$B21*IF(Model!$B$5=1,Data!$G$12,Model!$AF$67)</f>
        <v>3.26522996548185</v>
      </c>
      <c r="G21" s="21" t="n">
        <f aca="false">$B21*Model!$S$67</f>
        <v>6.85744420550438</v>
      </c>
      <c r="H21" s="21" t="n">
        <f aca="false">$B21*Model!$T$67</f>
        <v>1.71233873144572</v>
      </c>
      <c r="I21" s="21" t="n">
        <f aca="false">$B21*Model!$U$67</f>
        <v>0.812001898443507</v>
      </c>
      <c r="J21" s="21" t="n">
        <f aca="false">$B21*Model!$V$67</f>
        <v>0.812001898443507</v>
      </c>
      <c r="K21" s="21" t="n">
        <f aca="false">$B21*Model!$W$67</f>
        <v>0.767980899174178</v>
      </c>
      <c r="L21" s="21" t="n">
        <f aca="false">$B21*Model!$X$67</f>
        <v>0.210464564091357</v>
      </c>
      <c r="M21" s="21" t="n">
        <f aca="false">$B21*Model!$Y$67</f>
        <v>0.120694984713615</v>
      </c>
      <c r="N21" s="21" t="n">
        <f aca="false">$B21*Model!$Z$67</f>
        <v>0.0124560660380599</v>
      </c>
      <c r="O21" s="21" t="n">
        <f aca="false">$B21*Model!$AA$67</f>
        <v>0.0210464564091357</v>
      </c>
    </row>
    <row r="22" customFormat="false" ht="15" hidden="false" customHeight="true" outlineLevel="0" collapsed="false">
      <c r="A22" s="23" t="n">
        <v>2035</v>
      </c>
      <c r="B22" s="21" t="n">
        <f aca="false">IF($A22&lt;=Model!$B$3,Data!$B$13*Model!$D$67,0)</f>
        <v>10.9450508442952</v>
      </c>
      <c r="C22" s="21" t="n">
        <f aca="false">$B22*IF(Model!$B$5=1,Data!$D$13,Model!$AC$67)</f>
        <v>2.34574120720216</v>
      </c>
      <c r="D22" s="21" t="n">
        <f aca="false">$B22*IF(Model!$B$5=1,Data!$E$13,Model!$AD$67)</f>
        <v>3.23388375781322</v>
      </c>
      <c r="E22" s="21" t="n">
        <f aca="false">$B22*IF(Model!$B$5=1,Data!$F$13,Model!$AE$67)</f>
        <v>2.10019591379793</v>
      </c>
      <c r="F22" s="21" t="n">
        <f aca="false">$B22*IF(Model!$B$5=1,Data!$G$13,Model!$AF$67)</f>
        <v>3.26522996548186</v>
      </c>
      <c r="G22" s="21" t="n">
        <f aca="false">$B22*Model!$S$67</f>
        <v>6.62654317828952</v>
      </c>
      <c r="H22" s="21" t="n">
        <f aca="false">$B22*Model!$T$67</f>
        <v>1.65468156936291</v>
      </c>
      <c r="I22" s="21" t="n">
        <f aca="false">$B22*Model!$U$67</f>
        <v>0.784660506106618</v>
      </c>
      <c r="J22" s="21" t="n">
        <f aca="false">$B22*Model!$V$67</f>
        <v>0.784660506106618</v>
      </c>
      <c r="K22" s="21" t="n">
        <f aca="false">$B22*Model!$W$67</f>
        <v>0.742121763731505</v>
      </c>
      <c r="L22" s="21" t="n">
        <f aca="false">$B22*Model!$X$67</f>
        <v>0.203377888270938</v>
      </c>
      <c r="M22" s="21" t="n">
        <f aca="false">$B22*Model!$Y$67</f>
        <v>0.11663099306966</v>
      </c>
      <c r="N22" s="21" t="n">
        <f aca="false">$B22*Model!$Z$67</f>
        <v>0.0120366505303208</v>
      </c>
      <c r="O22" s="21" t="n">
        <f aca="false">$B22*Model!$AA$67</f>
        <v>0.0203377888270938</v>
      </c>
    </row>
    <row r="23" customFormat="false" ht="15" hidden="false" customHeight="true" outlineLevel="0" collapsed="false">
      <c r="A23" s="23" t="n">
        <v>2036</v>
      </c>
      <c r="B23" s="21" t="n">
        <f aca="false">IF($A23&lt;=Model!$B$3,Data!$B$14*Model!$D$67,0)</f>
        <v>8.29107192835153</v>
      </c>
      <c r="C23" s="21" t="n">
        <f aca="false">$B23*IF(Model!$B$5=1,Data!$D$14,Model!$AC$67)</f>
        <v>2.0000812210814</v>
      </c>
      <c r="D23" s="21" t="n">
        <f aca="false">$B23*IF(Model!$B$5=1,Data!$E$14,Model!$AD$67)</f>
        <v>2.57252984554132</v>
      </c>
      <c r="E23" s="21" t="n">
        <f aca="false">$B23*IF(Model!$B$5=1,Data!$F$14,Model!$AE$67)</f>
        <v>1.55039245965465</v>
      </c>
      <c r="F23" s="21" t="n">
        <f aca="false">$B23*IF(Model!$B$5=1,Data!$G$14,Model!$AF$67)</f>
        <v>2.16806840207415</v>
      </c>
      <c r="G23" s="21" t="n">
        <f aca="false">$B23*Model!$S$67</f>
        <v>5.01972507109569</v>
      </c>
      <c r="H23" s="21" t="n">
        <f aca="false">$B23*Model!$T$67</f>
        <v>1.25345090719758</v>
      </c>
      <c r="I23" s="21" t="n">
        <f aca="false">$B23*Model!$U$67</f>
        <v>0.594394378611552</v>
      </c>
      <c r="J23" s="21" t="n">
        <f aca="false">$B23*Model!$V$67</f>
        <v>0.594394378611552</v>
      </c>
      <c r="K23" s="21" t="n">
        <f aca="false">$B23*Model!$W$67</f>
        <v>0.562170519829068</v>
      </c>
      <c r="L23" s="21" t="n">
        <f aca="false">$B23*Model!$X$67</f>
        <v>0.154062390780897</v>
      </c>
      <c r="M23" s="21" t="n">
        <f aca="false">$B23*Model!$Y$67</f>
        <v>0.0883500649172082</v>
      </c>
      <c r="N23" s="21" t="n">
        <f aca="false">$B23*Model!$Z$67</f>
        <v>0.00911797822988981</v>
      </c>
      <c r="O23" s="21" t="n">
        <f aca="false">$B23*Model!$AA$67</f>
        <v>0.0154062390780897</v>
      </c>
    </row>
    <row r="24" customFormat="false" ht="15" hidden="false" customHeight="true" outlineLevel="0" collapsed="false">
      <c r="A24" s="23" t="n">
        <v>2037</v>
      </c>
      <c r="B24" s="21" t="n">
        <f aca="false">IF($A24&lt;=Model!$B$3,Data!$B$15*Model!$D$67,0)</f>
        <v>8.2231551450695</v>
      </c>
      <c r="C24" s="21" t="n">
        <f aca="false">$B24*IF(Model!$B$5=1,Data!$D$15,Model!$AC$67)</f>
        <v>1.9836974429629</v>
      </c>
      <c r="D24" s="21" t="n">
        <f aca="false">$B24*IF(Model!$B$5=1,Data!$E$15,Model!$AD$67)</f>
        <v>2.55145682223191</v>
      </c>
      <c r="E24" s="21" t="n">
        <f aca="false">$B24*IF(Model!$B$5=1,Data!$F$15,Model!$AE$67)</f>
        <v>1.5376923323859</v>
      </c>
      <c r="F24" s="21" t="n">
        <f aca="false">$B24*IF(Model!$B$5=1,Data!$G$15,Model!$AF$67)</f>
        <v>2.1503085474888</v>
      </c>
      <c r="G24" s="21" t="n">
        <f aca="false">$B24*Model!$S$67</f>
        <v>4.97860571008482</v>
      </c>
      <c r="H24" s="21" t="n">
        <f aca="false">$B24*Model!$T$67</f>
        <v>1.24318319340201</v>
      </c>
      <c r="I24" s="21" t="n">
        <f aca="false">$B24*Model!$U$67</f>
        <v>0.58952536353786</v>
      </c>
      <c r="J24" s="21" t="n">
        <f aca="false">$B24*Model!$V$67</f>
        <v>0.58952536353786</v>
      </c>
      <c r="K24" s="21" t="n">
        <f aca="false">$B24*Model!$W$67</f>
        <v>0.55756546831188</v>
      </c>
      <c r="L24" s="21" t="n">
        <f aca="false">$B24*Model!$X$67</f>
        <v>0.152800380018356</v>
      </c>
      <c r="M24" s="21" t="n">
        <f aca="false">$B24*Model!$Y$67</f>
        <v>0.0876263403778737</v>
      </c>
      <c r="N24" s="21" t="n">
        <f aca="false">$B24*Model!$Z$67</f>
        <v>0.00904328779700476</v>
      </c>
      <c r="O24" s="21" t="n">
        <f aca="false">$B24*Model!$AA$67</f>
        <v>0.0152800380018356</v>
      </c>
    </row>
    <row r="25" customFormat="false" ht="15" hidden="false" customHeight="true" outlineLevel="0" collapsed="false">
      <c r="A25" s="23" t="n">
        <v>2038</v>
      </c>
      <c r="B25" s="21" t="n">
        <f aca="false">IF($A25&lt;=Model!$B$3,Data!$B$16*Model!$D$67,0)</f>
        <v>8.12389215411885</v>
      </c>
      <c r="C25" s="21" t="n">
        <f aca="false">$B25*IF(Model!$B$5=1,Data!$D$16,Model!$AC$67)</f>
        <v>1.95975192109741</v>
      </c>
      <c r="D25" s="21" t="n">
        <f aca="false">$B25*IF(Model!$B$5=1,Data!$E$16,Model!$AD$67)</f>
        <v>2.52065778816431</v>
      </c>
      <c r="E25" s="21" t="n">
        <f aca="false">$B25*IF(Model!$B$5=1,Data!$F$16,Model!$AE$67)</f>
        <v>1.51913060791618</v>
      </c>
      <c r="F25" s="21" t="n">
        <f aca="false">$B25*IF(Model!$B$5=1,Data!$G$16,Model!$AF$67)</f>
        <v>2.12435183694096</v>
      </c>
      <c r="G25" s="21" t="n">
        <f aca="false">$B25*Model!$S$67</f>
        <v>4.91850818245356</v>
      </c>
      <c r="H25" s="21" t="n">
        <f aca="false">$B25*Model!$T$67</f>
        <v>1.22817653477772</v>
      </c>
      <c r="I25" s="21" t="n">
        <f aca="false">$B25*Model!$U$67</f>
        <v>0.582409110737847</v>
      </c>
      <c r="J25" s="21" t="n">
        <f aca="false">$B25*Model!$V$67</f>
        <v>0.582409110737847</v>
      </c>
      <c r="K25" s="21" t="n">
        <f aca="false">$B25*Model!$W$67</f>
        <v>0.550835008402143</v>
      </c>
      <c r="L25" s="21" t="n">
        <f aca="false">$B25*Model!$X$67</f>
        <v>0.150955902750028</v>
      </c>
      <c r="M25" s="21" t="n">
        <f aca="false">$B25*Model!$Y$67</f>
        <v>0.0865685891280773</v>
      </c>
      <c r="N25" s="21" t="n">
        <f aca="false">$B25*Model!$Z$67</f>
        <v>0.00893412485663431</v>
      </c>
      <c r="O25" s="21" t="n">
        <f aca="false">$B25*Model!$AA$67</f>
        <v>0.0150955902750028</v>
      </c>
    </row>
    <row r="26" customFormat="false" ht="15" hidden="false" customHeight="true" outlineLevel="0" collapsed="false">
      <c r="A26" s="23" t="n">
        <v>2039</v>
      </c>
      <c r="B26" s="21" t="n">
        <f aca="false">IF($A26&lt;=Model!$B$3,Data!$B$17*Model!$D$67,0)</f>
        <v>8.05075100289206</v>
      </c>
      <c r="C26" s="21" t="n">
        <f aca="false">$B26*IF(Model!$B$5=1,Data!$D$17,Model!$AC$67)</f>
        <v>1.9421078523544</v>
      </c>
      <c r="D26" s="21" t="n">
        <f aca="false">$B26*IF(Model!$B$5=1,Data!$E$17,Model!$AD$67)</f>
        <v>2.49796376306186</v>
      </c>
      <c r="E26" s="21" t="n">
        <f aca="false">$B26*IF(Model!$B$5=1,Data!$F$17,Model!$AE$67)</f>
        <v>1.5054535477806</v>
      </c>
      <c r="F26" s="21" t="n">
        <f aca="false">$B26*IF(Model!$B$5=1,Data!$G$17,Model!$AF$67)</f>
        <v>2.1052258396952</v>
      </c>
      <c r="G26" s="21" t="n">
        <f aca="false">$B26*Model!$S$67</f>
        <v>4.87422579367262</v>
      </c>
      <c r="H26" s="21" t="n">
        <f aca="false">$B26*Model!$T$67</f>
        <v>1.21711899684403</v>
      </c>
      <c r="I26" s="21" t="n">
        <f aca="false">$B26*Model!$U$67</f>
        <v>0.577165556043102</v>
      </c>
      <c r="J26" s="21" t="n">
        <f aca="false">$B26*Model!$V$67</f>
        <v>0.577165556043102</v>
      </c>
      <c r="K26" s="21" t="n">
        <f aca="false">$B26*Model!$W$67</f>
        <v>0.545875722152863</v>
      </c>
      <c r="L26" s="21" t="n">
        <f aca="false">$B26*Model!$X$67</f>
        <v>0.149596814236523</v>
      </c>
      <c r="M26" s="21" t="n">
        <f aca="false">$B26*Model!$Y$67</f>
        <v>0.0857891934703326</v>
      </c>
      <c r="N26" s="21" t="n">
        <f aca="false">$B26*Model!$Z$67</f>
        <v>0.00885368900583503</v>
      </c>
      <c r="O26" s="21" t="n">
        <f aca="false">$B26*Model!$AA$67</f>
        <v>0.0149596814236523</v>
      </c>
    </row>
    <row r="27" customFormat="false" ht="15" hidden="false" customHeight="true" outlineLevel="0" collapsed="false">
      <c r="A27" s="23" t="n">
        <v>2040</v>
      </c>
      <c r="B27" s="21" t="n">
        <f aca="false">IF($A27&lt;=Model!$B$3,Data!$B$18*Model!$D$67,0)</f>
        <v>7.96716111577573</v>
      </c>
      <c r="C27" s="21" t="n">
        <f aca="false">$B27*IF(Model!$B$5=1,Data!$D$18,Model!$AC$67)</f>
        <v>1.92194320236241</v>
      </c>
      <c r="D27" s="21" t="n">
        <f aca="false">$B27*IF(Model!$B$5=1,Data!$E$18,Model!$AD$67)</f>
        <v>2.47202773437336</v>
      </c>
      <c r="E27" s="21" t="n">
        <f aca="false">$B27*IF(Model!$B$5=1,Data!$F$18,Model!$AE$67)</f>
        <v>1.48982262191137</v>
      </c>
      <c r="F27" s="21" t="n">
        <f aca="false">$B27*IF(Model!$B$5=1,Data!$G$18,Model!$AF$67)</f>
        <v>2.0833675571286</v>
      </c>
      <c r="G27" s="21" t="n">
        <f aca="false">$B27*Model!$S$67</f>
        <v>4.82361734935156</v>
      </c>
      <c r="H27" s="21" t="n">
        <f aca="false">$B27*Model!$T$67</f>
        <v>1.2044818106341</v>
      </c>
      <c r="I27" s="21" t="n">
        <f aca="false">$B27*Model!$U$67</f>
        <v>0.571172922106249</v>
      </c>
      <c r="J27" s="21" t="n">
        <f aca="false">$B27*Model!$V$67</f>
        <v>0.571172922106249</v>
      </c>
      <c r="K27" s="21" t="n">
        <f aca="false">$B27*Model!$W$67</f>
        <v>0.540207966439401</v>
      </c>
      <c r="L27" s="21" t="n">
        <f aca="false">$B27*Model!$X$67</f>
        <v>0.148043570221089</v>
      </c>
      <c r="M27" s="21" t="n">
        <f aca="false">$B27*Model!$Y$67</f>
        <v>0.0848984555757671</v>
      </c>
      <c r="N27" s="21" t="n">
        <f aca="false">$B27*Model!$Z$67</f>
        <v>0.00876176231920728</v>
      </c>
      <c r="O27" s="21" t="n">
        <f aca="false">$B27*Model!$AA$67</f>
        <v>0.0148043570221089</v>
      </c>
    </row>
    <row r="28" customFormat="false" ht="15" hidden="false" customHeight="true" outlineLevel="0" collapsed="false">
      <c r="A28" s="24" t="s">
        <v>122</v>
      </c>
      <c r="B28" s="25" t="n">
        <f aca="false">SUM(B13:B27)</f>
        <v>208.26420375035</v>
      </c>
      <c r="C28" s="25" t="n">
        <f aca="false">SUM(C13:C27)</f>
        <v>50.2400550719157</v>
      </c>
      <c r="D28" s="25" t="n">
        <f aca="false">SUM(D13:D27)</f>
        <v>64.6195300843977</v>
      </c>
      <c r="E28" s="25" t="n">
        <f aca="false">SUM(E13:E27)</f>
        <v>38.9444785786224</v>
      </c>
      <c r="F28" s="25" t="n">
        <f aca="false">SUM(F13:F27)</f>
        <v>54.4601400154141</v>
      </c>
      <c r="G28" s="25" t="n">
        <f aca="false">SUM(G13:G27)</f>
        <v>126.090939025935</v>
      </c>
      <c r="H28" s="25" t="n">
        <f aca="false">SUM(H13:H27)</f>
        <v>31.4855494420444</v>
      </c>
      <c r="I28" s="25" t="n">
        <f aca="false">SUM(I13:I27)</f>
        <v>14.9306474536679</v>
      </c>
      <c r="J28" s="25" t="n">
        <f aca="false">SUM(J13:J27)</f>
        <v>14.9306474536679</v>
      </c>
      <c r="K28" s="25" t="n">
        <f aca="false">SUM(K13:K27)</f>
        <v>14.121213360092</v>
      </c>
      <c r="L28" s="25" t="n">
        <f aca="false">SUM(L13:L27)</f>
        <v>3.86990746445474</v>
      </c>
      <c r="M28" s="25" t="n">
        <f aca="false">SUM(M13:M27)</f>
        <v>2.21927346430976</v>
      </c>
      <c r="N28" s="25" t="n">
        <f aca="false">SUM(N13:N27)</f>
        <v>0.229035339733035</v>
      </c>
      <c r="O28" s="25" t="n">
        <f aca="false">SUM(O13:O27)</f>
        <v>0.386990746445474</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Data!$H$44*Data!$M$44/SUM(Data!$H$44:$K$44)</f>
        <v>19.4716312056738</v>
      </c>
      <c r="C34" s="22" t="n">
        <f aca="false">IF($B$38&gt;0,B34/$B$38,0)</f>
        <v>0.0602836879432624</v>
      </c>
      <c r="D34" s="21" t="n">
        <f aca="false">C28</f>
        <v>50.2400550719157</v>
      </c>
      <c r="E34" s="22" t="n">
        <f aca="false">IF($D$38&gt;0,D34/$D$38,0)</f>
        <v>0.241232310532536</v>
      </c>
      <c r="F34" s="21" t="n">
        <f aca="false">B34+D34</f>
        <v>69.7116862775894</v>
      </c>
      <c r="G34" s="22" t="n">
        <f aca="false">IF($F$38&gt;0,F34/$F$38,0)</f>
        <v>0.131218489379623</v>
      </c>
    </row>
    <row r="35" customFormat="false" ht="15" hidden="false" customHeight="true" outlineLevel="0" collapsed="false">
      <c r="A35" s="13" t="s">
        <v>110</v>
      </c>
      <c r="B35" s="21" t="n">
        <f aca="false">Data!$I$44*Data!$M$44/SUM(Data!$H$44:$K$44)</f>
        <v>74.4503546099291</v>
      </c>
      <c r="C35" s="22" t="n">
        <f aca="false">IF($B$38&gt;0,B35/$B$38,0)</f>
        <v>0.230496453900709</v>
      </c>
      <c r="D35" s="21" t="n">
        <f aca="false">D28</f>
        <v>64.6195300843977</v>
      </c>
      <c r="E35" s="22" t="n">
        <f aca="false">IF($D$38&gt;0,D35/$D$38,0)</f>
        <v>0.310276701040081</v>
      </c>
      <c r="F35" s="21" t="n">
        <f aca="false">B35+D35</f>
        <v>139.069884694327</v>
      </c>
      <c r="G35" s="22" t="n">
        <f aca="false">IF($F$38&gt;0,F35/$F$38,0)</f>
        <v>0.261771607634378</v>
      </c>
    </row>
    <row r="36" customFormat="false" ht="15" hidden="false" customHeight="true" outlineLevel="0" collapsed="false">
      <c r="A36" s="13" t="s">
        <v>111</v>
      </c>
      <c r="B36" s="21" t="n">
        <f aca="false">Data!$J$44*Data!$M$44/SUM(Data!$H$44:$K$44)</f>
        <v>131.719858156028</v>
      </c>
      <c r="C36" s="22" t="n">
        <f aca="false">IF($B$38&gt;0,B36/$B$38,0)</f>
        <v>0.407801418439716</v>
      </c>
      <c r="D36" s="21" t="n">
        <f aca="false">E28</f>
        <v>38.9444785786224</v>
      </c>
      <c r="E36" s="22" t="n">
        <f aca="false">IF($D$38&gt;0,D36/$D$38,0)</f>
        <v>0.186995546413275</v>
      </c>
      <c r="F36" s="21" t="n">
        <f aca="false">B36+D36</f>
        <v>170.664336734651</v>
      </c>
      <c r="G36" s="22" t="n">
        <f aca="false">IF($F$38&gt;0,F36/$F$38,0)</f>
        <v>0.321241927330848</v>
      </c>
    </row>
    <row r="37" customFormat="false" ht="15" hidden="false" customHeight="true" outlineLevel="0" collapsed="false">
      <c r="A37" s="13" t="s">
        <v>112</v>
      </c>
      <c r="B37" s="21" t="n">
        <f aca="false">Data!$K$44*Data!$M$44/SUM(Data!$H$44:$K$44)</f>
        <v>97.3581560283688</v>
      </c>
      <c r="C37" s="22" t="n">
        <f aca="false">IF($B$38&gt;0,B37/$B$38,0)</f>
        <v>0.301418439716312</v>
      </c>
      <c r="D37" s="21" t="n">
        <f aca="false">F28</f>
        <v>54.4601400154141</v>
      </c>
      <c r="E37" s="22" t="n">
        <f aca="false">IF($D$38&gt;0,D37/$D$38,0)</f>
        <v>0.261495442014109</v>
      </c>
      <c r="F37" s="21" t="n">
        <f aca="false">B37+D37</f>
        <v>151.818296043783</v>
      </c>
      <c r="G37" s="22" t="n">
        <f aca="false">IF($F$38&gt;0,F37/$F$38,0)</f>
        <v>0.28576797565515</v>
      </c>
    </row>
    <row r="38" customFormat="false" ht="15" hidden="false" customHeight="true" outlineLevel="0" collapsed="false">
      <c r="A38" s="24" t="s">
        <v>61</v>
      </c>
      <c r="B38" s="25" t="n">
        <f aca="false">SUM(B34:B37)</f>
        <v>323</v>
      </c>
      <c r="C38" s="27" t="n">
        <f aca="false">SUM(C34:C37)</f>
        <v>1</v>
      </c>
      <c r="D38" s="25" t="n">
        <f aca="false">SUM(D34:D37)</f>
        <v>208.26420375035</v>
      </c>
      <c r="E38" s="27" t="n">
        <f aca="false">SUM(E34:E37)</f>
        <v>1</v>
      </c>
      <c r="F38" s="25" t="n">
        <f aca="false">SUM(F34:F37)</f>
        <v>531.26420375035</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103</v>
      </c>
      <c r="C6" s="15" t="n">
        <f aca="false">Model!$Q$68</f>
        <v>0.1</v>
      </c>
    </row>
    <row r="7" customFormat="false" ht="15" hidden="false" customHeight="true" outlineLevel="0" collapsed="false">
      <c r="A7" s="13" t="s">
        <v>104</v>
      </c>
      <c r="C7" s="15" t="n">
        <f aca="false">Model!$G$68</f>
        <v>0.1125</v>
      </c>
    </row>
    <row r="8" customFormat="false" ht="15" hidden="false" customHeight="true" outlineLevel="0" collapsed="false">
      <c r="A8" s="13" t="s">
        <v>105</v>
      </c>
      <c r="C8" s="15" t="n">
        <f aca="false">Model!$R$68</f>
        <v>0.107783157644459</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IF($A13&lt;=Model!$B$3,Data!$B$4*Model!$D$68,0)</f>
        <v>32.015253288553</v>
      </c>
      <c r="C13" s="21" t="n">
        <f aca="false">$B13*IF(Model!$B$5=1,Data!$D$4,Model!$AC$68)</f>
        <v>8.2816192254395</v>
      </c>
      <c r="D13" s="21" t="n">
        <f aca="false">$B13*IF(Model!$B$5=1,Data!$E$4,Model!$AD$68)</f>
        <v>10.1361613366666</v>
      </c>
      <c r="E13" s="21" t="n">
        <f aca="false">$B13*IF(Model!$B$5=1,Data!$F$4,Model!$AE$68)</f>
        <v>5.92402318120741</v>
      </c>
      <c r="F13" s="21" t="n">
        <f aca="false">$B13*IF(Model!$B$5=1,Data!$G$4,Model!$AF$68)</f>
        <v>7.67344954523948</v>
      </c>
      <c r="G13" s="21" t="n">
        <f aca="false">$B13*Model!$S$68</f>
        <v>19.3832318642037</v>
      </c>
      <c r="H13" s="21" t="n">
        <f aca="false">$B13*Model!$T$68</f>
        <v>4.84009168241241</v>
      </c>
      <c r="I13" s="21" t="n">
        <f aca="false">$B13*Model!$U$68</f>
        <v>2.2952022065408</v>
      </c>
      <c r="J13" s="21" t="n">
        <f aca="false">$B13*Model!$V$68</f>
        <v>2.2952022065408</v>
      </c>
      <c r="K13" s="21" t="n">
        <f aca="false">$B13*Model!$W$68</f>
        <v>2.17077257792692</v>
      </c>
      <c r="L13" s="21" t="n">
        <f aca="false">$B13*Model!$X$68</f>
        <v>0.5948985252708</v>
      </c>
      <c r="M13" s="21" t="n">
        <f aca="false">$B13*Model!$Y$68</f>
        <v>0.341156093063459</v>
      </c>
      <c r="N13" s="21" t="n">
        <f aca="false">$B13*Model!$Z$68</f>
        <v>0.0352082800670473</v>
      </c>
      <c r="O13" s="21" t="n">
        <f aca="false">$B13*Model!$AA$68</f>
        <v>0.05948985252708</v>
      </c>
    </row>
    <row r="14" customFormat="false" ht="15" hidden="false" customHeight="true" outlineLevel="0" collapsed="false">
      <c r="A14" s="23" t="n">
        <v>2027</v>
      </c>
      <c r="B14" s="21" t="n">
        <f aca="false">IF($A14&lt;=Model!$B$3,Data!$B$5*Model!$D$68,0)</f>
        <v>32.015253288553</v>
      </c>
      <c r="C14" s="21" t="n">
        <f aca="false">$B14*IF(Model!$B$5=1,Data!$D$5,Model!$AC$68)</f>
        <v>8.048862928079</v>
      </c>
      <c r="D14" s="21" t="n">
        <f aca="false">$B14*IF(Model!$B$5=1,Data!$E$5,Model!$AD$68)</f>
        <v>10.1661944072938</v>
      </c>
      <c r="E14" s="21" t="n">
        <f aca="false">$B14*IF(Model!$B$5=1,Data!$F$5,Model!$AE$68)</f>
        <v>5.90900664589383</v>
      </c>
      <c r="F14" s="21" t="n">
        <f aca="false">$B14*IF(Model!$B$5=1,Data!$G$5,Model!$AF$68)</f>
        <v>7.8911893072864</v>
      </c>
      <c r="G14" s="21" t="n">
        <f aca="false">$B14*Model!$S$68</f>
        <v>19.3832318642037</v>
      </c>
      <c r="H14" s="21" t="n">
        <f aca="false">$B14*Model!$T$68</f>
        <v>4.84009168241241</v>
      </c>
      <c r="I14" s="21" t="n">
        <f aca="false">$B14*Model!$U$68</f>
        <v>2.2952022065408</v>
      </c>
      <c r="J14" s="21" t="n">
        <f aca="false">$B14*Model!$V$68</f>
        <v>2.2952022065408</v>
      </c>
      <c r="K14" s="21" t="n">
        <f aca="false">$B14*Model!$W$68</f>
        <v>2.17077257792692</v>
      </c>
      <c r="L14" s="21" t="n">
        <f aca="false">$B14*Model!$X$68</f>
        <v>0.5948985252708</v>
      </c>
      <c r="M14" s="21" t="n">
        <f aca="false">$B14*Model!$Y$68</f>
        <v>0.341156093063459</v>
      </c>
      <c r="N14" s="21" t="n">
        <f aca="false">$B14*Model!$Z$68</f>
        <v>0.0352082800670473</v>
      </c>
      <c r="O14" s="21" t="n">
        <f aca="false">$B14*Model!$AA$68</f>
        <v>0.05948985252708</v>
      </c>
    </row>
    <row r="15" customFormat="false" ht="15" hidden="false" customHeight="true" outlineLevel="0" collapsed="false">
      <c r="A15" s="23" t="n">
        <v>2028</v>
      </c>
      <c r="B15" s="21" t="n">
        <f aca="false">IF($A15&lt;=Model!$B$3,Data!$B$6*Model!$D$68,0)</f>
        <v>32.015253288553</v>
      </c>
      <c r="C15" s="21" t="n">
        <f aca="false">$B15*IF(Model!$B$5=1,Data!$D$6,Model!$AC$68)</f>
        <v>8.02259279966558</v>
      </c>
      <c r="D15" s="21" t="n">
        <f aca="false">$B15*IF(Model!$B$5=1,Data!$E$6,Model!$AD$68)</f>
        <v>10.1709650287895</v>
      </c>
      <c r="E15" s="21" t="n">
        <f aca="false">$B15*IF(Model!$B$5=1,Data!$F$6,Model!$AE$68)</f>
        <v>5.91177952559625</v>
      </c>
      <c r="F15" s="21" t="n">
        <f aca="false">$B15*IF(Model!$B$5=1,Data!$G$6,Model!$AF$68)</f>
        <v>7.90991593450172</v>
      </c>
      <c r="G15" s="21" t="n">
        <f aca="false">$B15*Model!$S$68</f>
        <v>19.3832318642037</v>
      </c>
      <c r="H15" s="21" t="n">
        <f aca="false">$B15*Model!$T$68</f>
        <v>4.84009168241241</v>
      </c>
      <c r="I15" s="21" t="n">
        <f aca="false">$B15*Model!$U$68</f>
        <v>2.2952022065408</v>
      </c>
      <c r="J15" s="21" t="n">
        <f aca="false">$B15*Model!$V$68</f>
        <v>2.2952022065408</v>
      </c>
      <c r="K15" s="21" t="n">
        <f aca="false">$B15*Model!$W$68</f>
        <v>2.17077257792692</v>
      </c>
      <c r="L15" s="21" t="n">
        <f aca="false">$B15*Model!$X$68</f>
        <v>0.5948985252708</v>
      </c>
      <c r="M15" s="21" t="n">
        <f aca="false">$B15*Model!$Y$68</f>
        <v>0.341156093063459</v>
      </c>
      <c r="N15" s="21" t="n">
        <f aca="false">$B15*Model!$Z$68</f>
        <v>0.0352082800670473</v>
      </c>
      <c r="O15" s="21" t="n">
        <f aca="false">$B15*Model!$AA$68</f>
        <v>0.05948985252708</v>
      </c>
    </row>
    <row r="16" customFormat="false" ht="15" hidden="false" customHeight="true" outlineLevel="0" collapsed="false">
      <c r="A16" s="23" t="n">
        <v>2029</v>
      </c>
      <c r="B16" s="21" t="n">
        <f aca="false">IF($A16&lt;=Model!$B$3,Data!$B$7*Model!$D$68,0)</f>
        <v>32.015253288553</v>
      </c>
      <c r="C16" s="21" t="n">
        <f aca="false">$B16*IF(Model!$B$5=1,Data!$D$7,Model!$AC$68)</f>
        <v>7.93810056908295</v>
      </c>
      <c r="D16" s="21" t="n">
        <f aca="false">$B16*IF(Model!$B$5=1,Data!$E$7,Model!$AD$68)</f>
        <v>10.1160089560593</v>
      </c>
      <c r="E16" s="21" t="n">
        <f aca="false">$B16*IF(Model!$B$5=1,Data!$F$7,Model!$AE$68)</f>
        <v>5.87284261591567</v>
      </c>
      <c r="F16" s="21" t="n">
        <f aca="false">$B16*IF(Model!$B$5=1,Data!$G$7,Model!$AF$68)</f>
        <v>8.08830114749509</v>
      </c>
      <c r="G16" s="21" t="n">
        <f aca="false">$B16*Model!$S$68</f>
        <v>19.3832318642037</v>
      </c>
      <c r="H16" s="21" t="n">
        <f aca="false">$B16*Model!$T$68</f>
        <v>4.84009168241241</v>
      </c>
      <c r="I16" s="21" t="n">
        <f aca="false">$B16*Model!$U$68</f>
        <v>2.2952022065408</v>
      </c>
      <c r="J16" s="21" t="n">
        <f aca="false">$B16*Model!$V$68</f>
        <v>2.2952022065408</v>
      </c>
      <c r="K16" s="21" t="n">
        <f aca="false">$B16*Model!$W$68</f>
        <v>2.17077257792692</v>
      </c>
      <c r="L16" s="21" t="n">
        <f aca="false">$B16*Model!$X$68</f>
        <v>0.5948985252708</v>
      </c>
      <c r="M16" s="21" t="n">
        <f aca="false">$B16*Model!$Y$68</f>
        <v>0.341156093063459</v>
      </c>
      <c r="N16" s="21" t="n">
        <f aca="false">$B16*Model!$Z$68</f>
        <v>0.0352082800670473</v>
      </c>
      <c r="O16" s="21" t="n">
        <f aca="false">$B16*Model!$AA$68</f>
        <v>0.05948985252708</v>
      </c>
    </row>
    <row r="17" customFormat="false" ht="15" hidden="false" customHeight="true" outlineLevel="0" collapsed="false">
      <c r="A17" s="23" t="n">
        <v>2030</v>
      </c>
      <c r="B17" s="21" t="n">
        <f aca="false">IF($A17&lt;=Model!$B$3,Data!$B$8*Model!$D$68,0)</f>
        <v>32.015253288553</v>
      </c>
      <c r="C17" s="21" t="n">
        <f aca="false">$B17*IF(Model!$B$5=1,Data!$D$8,Model!$AC$68)</f>
        <v>7.92493951652356</v>
      </c>
      <c r="D17" s="21" t="n">
        <f aca="false">$B17*IF(Model!$B$5=1,Data!$E$8,Model!$AD$68)</f>
        <v>9.96814667149456</v>
      </c>
      <c r="E17" s="21" t="n">
        <f aca="false">$B17*IF(Model!$B$5=1,Data!$F$8,Model!$AE$68)</f>
        <v>5.88173236155256</v>
      </c>
      <c r="F17" s="21" t="n">
        <f aca="false">$B17*IF(Model!$B$5=1,Data!$G$8,Model!$AF$68)</f>
        <v>8.24043473898232</v>
      </c>
      <c r="G17" s="21" t="n">
        <f aca="false">$B17*Model!$S$68</f>
        <v>19.3832318642037</v>
      </c>
      <c r="H17" s="21" t="n">
        <f aca="false">$B17*Model!$T$68</f>
        <v>4.84009168241241</v>
      </c>
      <c r="I17" s="21" t="n">
        <f aca="false">$B17*Model!$U$68</f>
        <v>2.2952022065408</v>
      </c>
      <c r="J17" s="21" t="n">
        <f aca="false">$B17*Model!$V$68</f>
        <v>2.2952022065408</v>
      </c>
      <c r="K17" s="21" t="n">
        <f aca="false">$B17*Model!$W$68</f>
        <v>2.17077257792692</v>
      </c>
      <c r="L17" s="21" t="n">
        <f aca="false">$B17*Model!$X$68</f>
        <v>0.5948985252708</v>
      </c>
      <c r="M17" s="21" t="n">
        <f aca="false">$B17*Model!$Y$68</f>
        <v>0.341156093063459</v>
      </c>
      <c r="N17" s="21" t="n">
        <f aca="false">$B17*Model!$Z$68</f>
        <v>0.0352082800670473</v>
      </c>
      <c r="O17" s="21" t="n">
        <f aca="false">$B17*Model!$AA$68</f>
        <v>0.05948985252708</v>
      </c>
    </row>
    <row r="18" customFormat="false" ht="15" hidden="false" customHeight="true" outlineLevel="0" collapsed="false">
      <c r="A18" s="23" t="n">
        <v>2031</v>
      </c>
      <c r="B18" s="21" t="n">
        <f aca="false">IF($A18&lt;=Model!$B$3,Data!$B$9*Model!$D$68,0)</f>
        <v>16.2817426998787</v>
      </c>
      <c r="C18" s="21" t="n">
        <f aca="false">$B18*IF(Model!$B$5=1,Data!$D$9,Model!$AC$68)</f>
        <v>3.76252448922474</v>
      </c>
      <c r="D18" s="21" t="n">
        <f aca="false">$B18*IF(Model!$B$5=1,Data!$E$9,Model!$AD$68)</f>
        <v>4.94910905868085</v>
      </c>
      <c r="E18" s="21" t="n">
        <f aca="false">$B18*IF(Model!$B$5=1,Data!$F$9,Model!$AE$68)</f>
        <v>3.09413191529061</v>
      </c>
      <c r="F18" s="21" t="n">
        <f aca="false">$B18*IF(Model!$B$5=1,Data!$G$9,Model!$AF$68)</f>
        <v>4.47597723668253</v>
      </c>
      <c r="G18" s="21" t="n">
        <f aca="false">$B18*Model!$S$68</f>
        <v>9.85757604541254</v>
      </c>
      <c r="H18" s="21" t="n">
        <f aca="false">$B18*Model!$T$68</f>
        <v>2.46148692645322</v>
      </c>
      <c r="I18" s="21" t="n">
        <f aca="false">$B18*Model!$U$68</f>
        <v>1.16725272901254</v>
      </c>
      <c r="J18" s="21" t="n">
        <f aca="false">$B18*Model!$V$68</f>
        <v>1.16725272901254</v>
      </c>
      <c r="K18" s="21" t="n">
        <f aca="false">$B18*Model!$W$68</f>
        <v>1.10397254256288</v>
      </c>
      <c r="L18" s="21" t="n">
        <f aca="false">$B18*Model!$X$68</f>
        <v>0.302542810881326</v>
      </c>
      <c r="M18" s="21" t="n">
        <f aca="false">$B18*Model!$Y$68</f>
        <v>0.173499040525822</v>
      </c>
      <c r="N18" s="21" t="n">
        <f aca="false">$B18*Model!$Z$68</f>
        <v>0.0179055949297111</v>
      </c>
      <c r="O18" s="21" t="n">
        <f aca="false">$B18*Model!$AA$68</f>
        <v>0.0302542810881326</v>
      </c>
    </row>
    <row r="19" customFormat="false" ht="15" hidden="false" customHeight="true" outlineLevel="0" collapsed="false">
      <c r="A19" s="23" t="n">
        <v>2032</v>
      </c>
      <c r="B19" s="21" t="n">
        <f aca="false">IF($A19&lt;=Model!$B$3,Data!$B$10*Model!$D$68,0)</f>
        <v>16.2817426998787</v>
      </c>
      <c r="C19" s="21" t="n">
        <f aca="false">$B19*IF(Model!$B$5=1,Data!$D$10,Model!$AC$68)</f>
        <v>3.61983393973319</v>
      </c>
      <c r="D19" s="21" t="n">
        <f aca="false">$B19*IF(Model!$B$5=1,Data!$E$10,Model!$AD$68)</f>
        <v>4.85147868271294</v>
      </c>
      <c r="E19" s="21" t="n">
        <f aca="false">$B19*IF(Model!$B$5=1,Data!$F$10,Model!$AE$68)</f>
        <v>3.14670211773487</v>
      </c>
      <c r="F19" s="21" t="n">
        <f aca="false">$B19*IF(Model!$B$5=1,Data!$G$10,Model!$AF$68)</f>
        <v>4.66372795969773</v>
      </c>
      <c r="G19" s="21" t="n">
        <f aca="false">$B19*Model!$S$68</f>
        <v>9.85757604541254</v>
      </c>
      <c r="H19" s="21" t="n">
        <f aca="false">$B19*Model!$T$68</f>
        <v>2.46148692645322</v>
      </c>
      <c r="I19" s="21" t="n">
        <f aca="false">$B19*Model!$U$68</f>
        <v>1.16725272901254</v>
      </c>
      <c r="J19" s="21" t="n">
        <f aca="false">$B19*Model!$V$68</f>
        <v>1.16725272901254</v>
      </c>
      <c r="K19" s="21" t="n">
        <f aca="false">$B19*Model!$W$68</f>
        <v>1.10397254256288</v>
      </c>
      <c r="L19" s="21" t="n">
        <f aca="false">$B19*Model!$X$68</f>
        <v>0.302542810881326</v>
      </c>
      <c r="M19" s="21" t="n">
        <f aca="false">$B19*Model!$Y$68</f>
        <v>0.173499040525822</v>
      </c>
      <c r="N19" s="21" t="n">
        <f aca="false">$B19*Model!$Z$68</f>
        <v>0.0179055949297111</v>
      </c>
      <c r="O19" s="21" t="n">
        <f aca="false">$B19*Model!$AA$68</f>
        <v>0.0302542810881326</v>
      </c>
    </row>
    <row r="20" customFormat="false" ht="15" hidden="false" customHeight="true" outlineLevel="0" collapsed="false">
      <c r="A20" s="23" t="n">
        <v>2033</v>
      </c>
      <c r="B20" s="21" t="n">
        <f aca="false">IF($A20&lt;=Model!$B$3,Data!$B$11*Model!$D$68,0)</f>
        <v>16.2817426998787</v>
      </c>
      <c r="C20" s="21" t="n">
        <f aca="false">$B20*IF(Model!$B$5=1,Data!$D$11,Model!$AC$68)</f>
        <v>3.59145039711215</v>
      </c>
      <c r="D20" s="21" t="n">
        <f aca="false">$B20*IF(Model!$B$5=1,Data!$E$11,Model!$AD$68)</f>
        <v>4.86874447139889</v>
      </c>
      <c r="E20" s="21" t="n">
        <f aca="false">$B20*IF(Model!$B$5=1,Data!$F$11,Model!$AE$68)</f>
        <v>3.1481542183891</v>
      </c>
      <c r="F20" s="21" t="n">
        <f aca="false">$B20*IF(Model!$B$5=1,Data!$G$11,Model!$AF$68)</f>
        <v>4.67339361297858</v>
      </c>
      <c r="G20" s="21" t="n">
        <f aca="false">$B20*Model!$S$68</f>
        <v>9.85757604541254</v>
      </c>
      <c r="H20" s="21" t="n">
        <f aca="false">$B20*Model!$T$68</f>
        <v>2.46148692645322</v>
      </c>
      <c r="I20" s="21" t="n">
        <f aca="false">$B20*Model!$U$68</f>
        <v>1.16725272901254</v>
      </c>
      <c r="J20" s="21" t="n">
        <f aca="false">$B20*Model!$V$68</f>
        <v>1.16725272901254</v>
      </c>
      <c r="K20" s="21" t="n">
        <f aca="false">$B20*Model!$W$68</f>
        <v>1.10397254256288</v>
      </c>
      <c r="L20" s="21" t="n">
        <f aca="false">$B20*Model!$X$68</f>
        <v>0.302542810881326</v>
      </c>
      <c r="M20" s="21" t="n">
        <f aca="false">$B20*Model!$Y$68</f>
        <v>0.173499040525822</v>
      </c>
      <c r="N20" s="21" t="n">
        <f aca="false">$B20*Model!$Z$68</f>
        <v>0.0179055949297111</v>
      </c>
      <c r="O20" s="21" t="n">
        <f aca="false">$B20*Model!$AA$68</f>
        <v>0.0302542810881326</v>
      </c>
    </row>
    <row r="21" customFormat="false" ht="15" hidden="false" customHeight="true" outlineLevel="0" collapsed="false">
      <c r="A21" s="23" t="n">
        <v>2034</v>
      </c>
      <c r="B21" s="21" t="n">
        <f aca="false">IF($A21&lt;=Model!$B$3,Data!$B$12*Model!$D$68,0)</f>
        <v>16.2817426998787</v>
      </c>
      <c r="C21" s="21" t="n">
        <f aca="false">$B21*IF(Model!$B$5=1,Data!$D$12,Model!$AC$68)</f>
        <v>3.55975370836833</v>
      </c>
      <c r="D21" s="21" t="n">
        <f aca="false">$B21*IF(Model!$B$5=1,Data!$E$12,Model!$AD$68)</f>
        <v>4.88151879839538</v>
      </c>
      <c r="E21" s="21" t="n">
        <f aca="false">$B21*IF(Model!$B$5=1,Data!$F$12,Model!$AE$68)</f>
        <v>3.14670211773487</v>
      </c>
      <c r="F21" s="21" t="n">
        <f aca="false">$B21*IF(Model!$B$5=1,Data!$G$12,Model!$AF$68)</f>
        <v>4.69376807538016</v>
      </c>
      <c r="G21" s="21" t="n">
        <f aca="false">$B21*Model!$S$68</f>
        <v>9.85757604541254</v>
      </c>
      <c r="H21" s="21" t="n">
        <f aca="false">$B21*Model!$T$68</f>
        <v>2.46148692645322</v>
      </c>
      <c r="I21" s="21" t="n">
        <f aca="false">$B21*Model!$U$68</f>
        <v>1.16725272901254</v>
      </c>
      <c r="J21" s="21" t="n">
        <f aca="false">$B21*Model!$V$68</f>
        <v>1.16725272901254</v>
      </c>
      <c r="K21" s="21" t="n">
        <f aca="false">$B21*Model!$W$68</f>
        <v>1.10397254256288</v>
      </c>
      <c r="L21" s="21" t="n">
        <f aca="false">$B21*Model!$X$68</f>
        <v>0.302542810881326</v>
      </c>
      <c r="M21" s="21" t="n">
        <f aca="false">$B21*Model!$Y$68</f>
        <v>0.173499040525822</v>
      </c>
      <c r="N21" s="21" t="n">
        <f aca="false">$B21*Model!$Z$68</f>
        <v>0.0179055949297111</v>
      </c>
      <c r="O21" s="21" t="n">
        <f aca="false">$B21*Model!$AA$68</f>
        <v>0.0302542810881326</v>
      </c>
    </row>
    <row r="22" customFormat="false" ht="15" hidden="false" customHeight="true" outlineLevel="0" collapsed="false">
      <c r="A22" s="23" t="n">
        <v>2035</v>
      </c>
      <c r="B22" s="21" t="n">
        <f aca="false">IF($A22&lt;=Model!$B$3,Data!$B$13*Model!$D$68,0)</f>
        <v>15.7335105886743</v>
      </c>
      <c r="C22" s="21" t="n">
        <f aca="false">$B22*IF(Model!$B$5=1,Data!$D$13,Model!$AC$68)</f>
        <v>3.37200298535311</v>
      </c>
      <c r="D22" s="21" t="n">
        <f aca="false">$B22*IF(Model!$B$5=1,Data!$E$13,Model!$AD$68)</f>
        <v>4.64870790185651</v>
      </c>
      <c r="E22" s="21" t="n">
        <f aca="false">$B22*IF(Model!$B$5=1,Data!$F$13,Model!$AE$68)</f>
        <v>3.01903162608452</v>
      </c>
      <c r="F22" s="21" t="n">
        <f aca="false">$B22*IF(Model!$B$5=1,Data!$G$13,Model!$AF$68)</f>
        <v>4.69376807538017</v>
      </c>
      <c r="G22" s="21" t="n">
        <f aca="false">$B22*Model!$S$68</f>
        <v>9.52565581879118</v>
      </c>
      <c r="H22" s="21" t="n">
        <f aca="false">$B22*Model!$T$68</f>
        <v>2.37860475595918</v>
      </c>
      <c r="I22" s="21" t="n">
        <f aca="false">$B22*Model!$U$68</f>
        <v>1.12794947752826</v>
      </c>
      <c r="J22" s="21" t="n">
        <f aca="false">$B22*Model!$V$68</f>
        <v>1.12794947752826</v>
      </c>
      <c r="K22" s="21" t="n">
        <f aca="false">$B22*Model!$W$68</f>
        <v>1.06680003536404</v>
      </c>
      <c r="L22" s="21" t="n">
        <f aca="false">$B22*Model!$X$68</f>
        <v>0.292355714389474</v>
      </c>
      <c r="M22" s="21" t="n">
        <f aca="false">$B22*Model!$Y$68</f>
        <v>0.167657052537637</v>
      </c>
      <c r="N22" s="21" t="n">
        <f aca="false">$B22*Model!$Z$68</f>
        <v>0.0173026851373362</v>
      </c>
      <c r="O22" s="21" t="n">
        <f aca="false">$B22*Model!$AA$68</f>
        <v>0.0292355714389474</v>
      </c>
    </row>
    <row r="23" customFormat="false" ht="15" hidden="false" customHeight="true" outlineLevel="0" collapsed="false">
      <c r="A23" s="23" t="n">
        <v>2036</v>
      </c>
      <c r="B23" s="21" t="n">
        <f aca="false">IF($A23&lt;=Model!$B$3,Data!$B$14*Model!$D$68,0)</f>
        <v>11.9184158970053</v>
      </c>
      <c r="C23" s="21" t="n">
        <f aca="false">$B23*IF(Model!$B$5=1,Data!$D$14,Model!$AC$68)</f>
        <v>2.87511675530451</v>
      </c>
      <c r="D23" s="21" t="n">
        <f aca="false">$B23*IF(Model!$B$5=1,Data!$E$14,Model!$AD$68)</f>
        <v>3.69801165296565</v>
      </c>
      <c r="E23" s="21" t="n">
        <f aca="false">$B23*IF(Model!$B$5=1,Data!$F$14,Model!$AE$68)</f>
        <v>2.22868916075356</v>
      </c>
      <c r="F23" s="21" t="n">
        <f aca="false">$B23*IF(Model!$B$5=1,Data!$G$14,Model!$AF$68)</f>
        <v>3.11659832798159</v>
      </c>
      <c r="G23" s="21" t="n">
        <f aca="false">$B23*Model!$S$68</f>
        <v>7.21585478970005</v>
      </c>
      <c r="H23" s="21" t="n">
        <f aca="false">$B23*Model!$T$68</f>
        <v>1.80183567909653</v>
      </c>
      <c r="I23" s="21" t="n">
        <f aca="false">$B23*Model!$U$68</f>
        <v>0.854441919254106</v>
      </c>
      <c r="J23" s="21" t="n">
        <f aca="false">$B23*Model!$V$68</f>
        <v>0.854441919254106</v>
      </c>
      <c r="K23" s="21" t="n">
        <f aca="false">$B23*Model!$W$68</f>
        <v>0.808120122254285</v>
      </c>
      <c r="L23" s="21" t="n">
        <f aca="false">$B23*Model!$X$68</f>
        <v>0.221464686747539</v>
      </c>
      <c r="M23" s="21" t="n">
        <f aca="false">$B23*Model!$Y$68</f>
        <v>0.127003218318487</v>
      </c>
      <c r="N23" s="21" t="n">
        <f aca="false">$B23*Model!$Z$68</f>
        <v>0.0131070937054666</v>
      </c>
      <c r="O23" s="21" t="n">
        <f aca="false">$B23*Model!$AA$68</f>
        <v>0.0221464686747539</v>
      </c>
    </row>
    <row r="24" customFormat="false" ht="15" hidden="false" customHeight="true" outlineLevel="0" collapsed="false">
      <c r="A24" s="23" t="n">
        <v>2037</v>
      </c>
      <c r="B24" s="21" t="n">
        <f aca="false">IF($A24&lt;=Model!$B$3,Data!$B$15*Model!$D$68,0)</f>
        <v>11.8207855210374</v>
      </c>
      <c r="C24" s="21" t="n">
        <f aca="false">$B24*IF(Model!$B$5=1,Data!$D$15,Model!$AC$68)</f>
        <v>2.85156507425917</v>
      </c>
      <c r="D24" s="21" t="n">
        <f aca="false">$B24*IF(Model!$B$5=1,Data!$E$15,Model!$AD$68)</f>
        <v>3.66771918195837</v>
      </c>
      <c r="E24" s="21" t="n">
        <f aca="false">$B24*IF(Model!$B$5=1,Data!$F$15,Model!$AE$68)</f>
        <v>2.21043272780473</v>
      </c>
      <c r="F24" s="21" t="n">
        <f aca="false">$B24*IF(Model!$B$5=1,Data!$G$15,Model!$AF$68)</f>
        <v>3.09106853701515</v>
      </c>
      <c r="G24" s="21" t="n">
        <f aca="false">$B24*Model!$S$68</f>
        <v>7.15674570824693</v>
      </c>
      <c r="H24" s="21" t="n">
        <f aca="false">$B24*Model!$T$68</f>
        <v>1.78707584051539</v>
      </c>
      <c r="I24" s="21" t="n">
        <f aca="false">$B24*Model!$U$68</f>
        <v>0.847442710085673</v>
      </c>
      <c r="J24" s="21" t="n">
        <f aca="false">$B24*Model!$V$68</f>
        <v>0.847442710085673</v>
      </c>
      <c r="K24" s="21" t="n">
        <f aca="false">$B24*Model!$W$68</f>
        <v>0.801500360698327</v>
      </c>
      <c r="L24" s="21" t="n">
        <f aca="false">$B24*Model!$X$68</f>
        <v>0.219650546276387</v>
      </c>
      <c r="M24" s="21" t="n">
        <f aca="false">$B24*Model!$Y$68</f>
        <v>0.125962864293194</v>
      </c>
      <c r="N24" s="21" t="n">
        <f aca="false">$B24*Model!$Z$68</f>
        <v>0.0129997262081943</v>
      </c>
      <c r="O24" s="21" t="n">
        <f aca="false">$B24*Model!$AA$68</f>
        <v>0.0219650546276387</v>
      </c>
    </row>
    <row r="25" customFormat="false" ht="15" hidden="false" customHeight="true" outlineLevel="0" collapsed="false">
      <c r="A25" s="23" t="n">
        <v>2038</v>
      </c>
      <c r="B25" s="21" t="n">
        <f aca="false">IF($A25&lt;=Model!$B$3,Data!$B$16*Model!$D$68,0)</f>
        <v>11.6780949715459</v>
      </c>
      <c r="C25" s="21" t="n">
        <f aca="false">$B25*IF(Model!$B$5=1,Data!$D$16,Model!$AC$68)</f>
        <v>2.81714338657753</v>
      </c>
      <c r="D25" s="21" t="n">
        <f aca="false">$B25*IF(Model!$B$5=1,Data!$E$16,Model!$AD$68)</f>
        <v>3.62344557048619</v>
      </c>
      <c r="E25" s="21" t="n">
        <f aca="false">$B25*IF(Model!$B$5=1,Data!$F$16,Model!$AE$68)</f>
        <v>2.18375024887951</v>
      </c>
      <c r="F25" s="21" t="n">
        <f aca="false">$B25*IF(Model!$B$5=1,Data!$G$16,Model!$AF$68)</f>
        <v>3.05375576560263</v>
      </c>
      <c r="G25" s="21" t="n">
        <f aca="false">$B25*Model!$S$68</f>
        <v>7.07035551227699</v>
      </c>
      <c r="H25" s="21" t="n">
        <f aca="false">$B25*Model!$T$68</f>
        <v>1.76550376874297</v>
      </c>
      <c r="I25" s="21" t="n">
        <f aca="false">$B25*Model!$U$68</f>
        <v>0.837213096685656</v>
      </c>
      <c r="J25" s="21" t="n">
        <f aca="false">$B25*Model!$V$68</f>
        <v>0.837213096685656</v>
      </c>
      <c r="K25" s="21" t="n">
        <f aca="false">$B25*Model!$W$68</f>
        <v>0.791825324578081</v>
      </c>
      <c r="L25" s="21" t="n">
        <f aca="false">$B25*Model!$X$68</f>
        <v>0.216999110203165</v>
      </c>
      <c r="M25" s="21" t="n">
        <f aca="false">$B25*Model!$Y$68</f>
        <v>0.124442346871611</v>
      </c>
      <c r="N25" s="21" t="n">
        <f aca="false">$B25*Model!$Z$68</f>
        <v>0.0128428044814118</v>
      </c>
      <c r="O25" s="21" t="n">
        <f aca="false">$B25*Model!$AA$68</f>
        <v>0.0216999110203165</v>
      </c>
    </row>
    <row r="26" customFormat="false" ht="15" hidden="false" customHeight="true" outlineLevel="0" collapsed="false">
      <c r="A26" s="23" t="n">
        <v>2039</v>
      </c>
      <c r="B26" s="21" t="n">
        <f aca="false">IF($A26&lt;=Model!$B$3,Data!$B$17*Model!$D$68,0)</f>
        <v>11.5729545666573</v>
      </c>
      <c r="C26" s="21" t="n">
        <f aca="false">$B26*IF(Model!$B$5=1,Data!$D$17,Model!$AC$68)</f>
        <v>2.79178003775946</v>
      </c>
      <c r="D26" s="21" t="n">
        <f aca="false">$B26*IF(Model!$B$5=1,Data!$E$17,Model!$AD$68)</f>
        <v>3.59082290940142</v>
      </c>
      <c r="E26" s="21" t="n">
        <f aca="false">$B26*IF(Model!$B$5=1,Data!$F$17,Model!$AE$68)</f>
        <v>2.16408947493462</v>
      </c>
      <c r="F26" s="21" t="n">
        <f aca="false">$B26*IF(Model!$B$5=1,Data!$G$17,Model!$AF$68)</f>
        <v>3.02626214456185</v>
      </c>
      <c r="G26" s="21" t="n">
        <f aca="false">$B26*Model!$S$68</f>
        <v>7.0066995784044</v>
      </c>
      <c r="H26" s="21" t="n">
        <f aca="false">$B26*Model!$T$68</f>
        <v>1.74960855796329</v>
      </c>
      <c r="I26" s="21" t="n">
        <f aca="false">$B26*Model!$U$68</f>
        <v>0.829675486811958</v>
      </c>
      <c r="J26" s="21" t="n">
        <f aca="false">$B26*Model!$V$68</f>
        <v>0.829675486811958</v>
      </c>
      <c r="K26" s="21" t="n">
        <f aca="false">$B26*Model!$W$68</f>
        <v>0.784696350594741</v>
      </c>
      <c r="L26" s="21" t="n">
        <f aca="false">$B26*Model!$X$68</f>
        <v>0.215045420465002</v>
      </c>
      <c r="M26" s="21" t="n">
        <f aca="false">$B26*Model!$Y$68</f>
        <v>0.123321965613603</v>
      </c>
      <c r="N26" s="21" t="n">
        <f aca="false">$B26*Model!$Z$68</f>
        <v>0.0127271779458879</v>
      </c>
      <c r="O26" s="21" t="n">
        <f aca="false">$B26*Model!$AA$68</f>
        <v>0.0215045420465002</v>
      </c>
    </row>
    <row r="27" customFormat="false" ht="15" hidden="false" customHeight="true" outlineLevel="0" collapsed="false">
      <c r="A27" s="23" t="n">
        <v>2040</v>
      </c>
      <c r="B27" s="21" t="n">
        <f aca="false">IF($A27&lt;=Model!$B$3,Data!$B$18*Model!$D$68,0)</f>
        <v>11.4527941039276</v>
      </c>
      <c r="C27" s="21" t="n">
        <f aca="false">$B27*IF(Model!$B$5=1,Data!$D$18,Model!$AC$68)</f>
        <v>2.76279335339596</v>
      </c>
      <c r="D27" s="21" t="n">
        <f aca="false">$B27*IF(Model!$B$5=1,Data!$E$18,Model!$AD$68)</f>
        <v>3.5535398681617</v>
      </c>
      <c r="E27" s="21" t="n">
        <f aca="false">$B27*IF(Model!$B$5=1,Data!$F$18,Model!$AE$68)</f>
        <v>2.14162001899759</v>
      </c>
      <c r="F27" s="21" t="n">
        <f aca="false">$B27*IF(Model!$B$5=1,Data!$G$18,Model!$AF$68)</f>
        <v>2.99484086337236</v>
      </c>
      <c r="G27" s="21" t="n">
        <f aca="false">$B27*Model!$S$68</f>
        <v>6.93394993969286</v>
      </c>
      <c r="H27" s="21" t="n">
        <f aca="false">$B27*Model!$T$68</f>
        <v>1.73144260278652</v>
      </c>
      <c r="I27" s="21" t="n">
        <f aca="false">$B27*Model!$U$68</f>
        <v>0.821061075527733</v>
      </c>
      <c r="J27" s="21" t="n">
        <f aca="false">$B27*Model!$V$68</f>
        <v>0.821061075527733</v>
      </c>
      <c r="K27" s="21" t="n">
        <f aca="false">$B27*Model!$W$68</f>
        <v>0.776548951756639</v>
      </c>
      <c r="L27" s="21" t="n">
        <f aca="false">$B27*Model!$X$68</f>
        <v>0.212812632192815</v>
      </c>
      <c r="M27" s="21" t="n">
        <f aca="false">$B27*Model!$Y$68</f>
        <v>0.122041529890165</v>
      </c>
      <c r="N27" s="21" t="n">
        <f aca="false">$B27*Model!$Z$68</f>
        <v>0.0125950333338605</v>
      </c>
      <c r="O27" s="21" t="n">
        <f aca="false">$B27*Model!$AA$68</f>
        <v>0.0212812632192815</v>
      </c>
    </row>
    <row r="28" customFormat="false" ht="15" hidden="false" customHeight="true" outlineLevel="0" collapsed="false">
      <c r="A28" s="24" t="s">
        <v>122</v>
      </c>
      <c r="B28" s="25" t="n">
        <f aca="false">SUM(B13:B27)</f>
        <v>299.379792891128</v>
      </c>
      <c r="C28" s="25" t="n">
        <f aca="false">SUM(C13:C27)</f>
        <v>72.2200791658787</v>
      </c>
      <c r="D28" s="25" t="n">
        <f aca="false">SUM(D13:D27)</f>
        <v>92.8905744963217</v>
      </c>
      <c r="E28" s="25" t="n">
        <f aca="false">SUM(E13:E27)</f>
        <v>55.9826879567697</v>
      </c>
      <c r="F28" s="25" t="n">
        <f aca="false">SUM(F13:F27)</f>
        <v>78.2864512721578</v>
      </c>
      <c r="G28" s="25" t="n">
        <f aca="false">SUM(G13:G27)</f>
        <v>181.255724849781</v>
      </c>
      <c r="H28" s="25" t="n">
        <f aca="false">SUM(H13:H27)</f>
        <v>45.2604773229388</v>
      </c>
      <c r="I28" s="25" t="n">
        <f aca="false">SUM(I13:I27)</f>
        <v>21.4628057146476</v>
      </c>
      <c r="J28" s="25" t="n">
        <f aca="false">SUM(J13:J27)</f>
        <v>21.4628057146476</v>
      </c>
      <c r="K28" s="25" t="n">
        <f aca="false">SUM(K13:K27)</f>
        <v>20.2992442051322</v>
      </c>
      <c r="L28" s="25" t="n">
        <f aca="false">SUM(L13:L27)</f>
        <v>5.56299198015369</v>
      </c>
      <c r="M28" s="25" t="n">
        <f aca="false">SUM(M13:M27)</f>
        <v>3.19020560494528</v>
      </c>
      <c r="N28" s="25" t="n">
        <f aca="false">SUM(N13:N27)</f>
        <v>0.329238300866239</v>
      </c>
      <c r="O28" s="25" t="n">
        <f aca="false">SUM(O13:O27)</f>
        <v>0.556299198015369</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Data!$H$45*Data!$M$45/SUM(Data!$H$45:$K$45)</f>
        <v>11.9955849889625</v>
      </c>
      <c r="C34" s="22" t="n">
        <f aca="false">IF($B$38&gt;0,B34/$B$38,0)</f>
        <v>0.0242825607064018</v>
      </c>
      <c r="D34" s="21" t="n">
        <f aca="false">C28</f>
        <v>72.2200791658787</v>
      </c>
      <c r="E34" s="22" t="n">
        <f aca="false">IF($D$38&gt;0,D34/$D$38,0)</f>
        <v>0.241232310532536</v>
      </c>
      <c r="F34" s="21" t="n">
        <f aca="false">B34+D34</f>
        <v>84.2156641548412</v>
      </c>
      <c r="G34" s="22" t="n">
        <f aca="false">IF($F$38&gt;0,F34/$F$38,0)</f>
        <v>0.106147982226714</v>
      </c>
    </row>
    <row r="35" customFormat="false" ht="15" hidden="false" customHeight="true" outlineLevel="0" collapsed="false">
      <c r="A35" s="13" t="s">
        <v>110</v>
      </c>
      <c r="B35" s="21" t="n">
        <f aca="false">Data!$I$45*Data!$M$45/SUM(Data!$H$45:$K$45)</f>
        <v>67.6114790286976</v>
      </c>
      <c r="C35" s="22" t="n">
        <f aca="false">IF($B$38&gt;0,B35/$B$38,0)</f>
        <v>0.136865342163355</v>
      </c>
      <c r="D35" s="21" t="n">
        <f aca="false">D28</f>
        <v>92.8905744963217</v>
      </c>
      <c r="E35" s="22" t="n">
        <f aca="false">IF($D$38&gt;0,D35/$D$38,0)</f>
        <v>0.310276701040081</v>
      </c>
      <c r="F35" s="21" t="n">
        <f aca="false">B35+D35</f>
        <v>160.502053525019</v>
      </c>
      <c r="G35" s="22" t="n">
        <f aca="false">IF($F$38&gt;0,F35/$F$38,0)</f>
        <v>0.202301665561886</v>
      </c>
    </row>
    <row r="36" customFormat="false" ht="15" hidden="false" customHeight="true" outlineLevel="0" collapsed="false">
      <c r="A36" s="13" t="s">
        <v>111</v>
      </c>
      <c r="B36" s="21" t="n">
        <f aca="false">Data!$J$45*Data!$M$45/SUM(Data!$H$45:$K$45)</f>
        <v>318.42825607064</v>
      </c>
      <c r="C36" s="22" t="n">
        <f aca="false">IF($B$38&gt;0,B36/$B$38,0)</f>
        <v>0.644591611479029</v>
      </c>
      <c r="D36" s="21" t="n">
        <f aca="false">E28</f>
        <v>55.9826879567697</v>
      </c>
      <c r="E36" s="22" t="n">
        <f aca="false">IF($D$38&gt;0,D36/$D$38,0)</f>
        <v>0.186995546413275</v>
      </c>
      <c r="F36" s="21" t="n">
        <f aca="false">B36+D36</f>
        <v>374.41094402741</v>
      </c>
      <c r="G36" s="22" t="n">
        <f aca="false">IF($F$38&gt;0,F36/$F$38,0)</f>
        <v>0.471918931364551</v>
      </c>
    </row>
    <row r="37" customFormat="false" ht="15" hidden="false" customHeight="true" outlineLevel="0" collapsed="false">
      <c r="A37" s="13" t="s">
        <v>112</v>
      </c>
      <c r="B37" s="21" t="n">
        <f aca="false">Data!$K$45*Data!$M$45/SUM(Data!$H$45:$K$45)</f>
        <v>95.9646799116998</v>
      </c>
      <c r="C37" s="22" t="n">
        <f aca="false">IF($B$38&gt;0,B37/$B$38,0)</f>
        <v>0.194260485651214</v>
      </c>
      <c r="D37" s="21" t="n">
        <f aca="false">F28</f>
        <v>78.2864512721578</v>
      </c>
      <c r="E37" s="22" t="n">
        <f aca="false">IF($D$38&gt;0,D37/$D$38,0)</f>
        <v>0.261495442014108</v>
      </c>
      <c r="F37" s="21" t="n">
        <f aca="false">B37+D37</f>
        <v>174.251131183858</v>
      </c>
      <c r="G37" s="22" t="n">
        <f aca="false">IF($F$38&gt;0,F37/$F$38,0)</f>
        <v>0.219631420846849</v>
      </c>
    </row>
    <row r="38" customFormat="false" ht="15" hidden="false" customHeight="true" outlineLevel="0" collapsed="false">
      <c r="A38" s="24" t="s">
        <v>61</v>
      </c>
      <c r="B38" s="25" t="n">
        <f aca="false">SUM(B34:B37)</f>
        <v>494</v>
      </c>
      <c r="C38" s="27" t="n">
        <f aca="false">SUM(C34:C37)</f>
        <v>1</v>
      </c>
      <c r="D38" s="25" t="n">
        <f aca="false">SUM(D34:D37)</f>
        <v>299.379792891128</v>
      </c>
      <c r="E38" s="27" t="n">
        <f aca="false">SUM(E34:E37)</f>
        <v>1</v>
      </c>
      <c r="F38" s="25" t="n">
        <f aca="false">SUM(F34:F37)</f>
        <v>793.379792891128</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206</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398</v>
      </c>
      <c r="C4" s="77"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103</v>
      </c>
      <c r="C6" s="15" t="n">
        <f aca="false">Model!$Q$69</f>
        <v>0.1</v>
      </c>
    </row>
    <row r="7" customFormat="false" ht="15" hidden="false" customHeight="true" outlineLevel="0" collapsed="false">
      <c r="A7" s="13" t="s">
        <v>104</v>
      </c>
      <c r="C7" s="15" t="n">
        <f aca="false">Model!$G$69</f>
        <v>0.15282</v>
      </c>
    </row>
    <row r="8" customFormat="false" ht="15" hidden="false" customHeight="true" outlineLevel="0" collapsed="false">
      <c r="A8" s="13" t="s">
        <v>105</v>
      </c>
      <c r="C8" s="15" t="n">
        <f aca="false">Model!$R$69</f>
        <v>0.115749300377007</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IF($A13&lt;=Model!$B$3,Data!$B$4*Model!$D$69,0)</f>
        <v>79.541001959138</v>
      </c>
      <c r="C13" s="21" t="n">
        <f aca="false">$B13*IF(Model!$B$5=1,Data!$D$4,Model!$AC$69)</f>
        <v>20.5754514917752</v>
      </c>
      <c r="D13" s="21" t="n">
        <f aca="false">$B13*IF(Model!$B$5=1,Data!$E$4,Model!$AD$69)</f>
        <v>25.183009532091</v>
      </c>
      <c r="E13" s="21" t="n">
        <f aca="false">$B13*IF(Model!$B$5=1,Data!$F$4,Model!$AE$69)</f>
        <v>14.7180700154221</v>
      </c>
      <c r="F13" s="21" t="n">
        <f aca="false">$B13*IF(Model!$B$5=1,Data!$G$4,Model!$AF$69)</f>
        <v>19.0644709198496</v>
      </c>
      <c r="G13" s="21" t="n">
        <f aca="false">$B13*Model!$S$69</f>
        <v>48.1570977992639</v>
      </c>
      <c r="H13" s="21" t="n">
        <f aca="false">$B13*Model!$T$69</f>
        <v>12.025072502888</v>
      </c>
      <c r="I13" s="21" t="n">
        <f aca="false">$B13*Model!$U$69</f>
        <v>5.70236573053616</v>
      </c>
      <c r="J13" s="21" t="n">
        <f aca="false">$B13*Model!$V$69</f>
        <v>5.70236573053616</v>
      </c>
      <c r="K13" s="21" t="n">
        <f aca="false">$B13*Model!$W$69</f>
        <v>5.39322379609172</v>
      </c>
      <c r="L13" s="21" t="n">
        <f aca="false">$B13*Model!$X$69</f>
        <v>1.47800875843677</v>
      </c>
      <c r="M13" s="21" t="n">
        <f aca="false">$B13*Model!$Y$69</f>
        <v>0.847592777797413</v>
      </c>
      <c r="N13" s="21" t="n">
        <f aca="false">$B13*Model!$Z$69</f>
        <v>0.087473987744217</v>
      </c>
      <c r="O13" s="21" t="n">
        <f aca="false">$B13*Model!$AA$69</f>
        <v>0.147800875843677</v>
      </c>
    </row>
    <row r="14" customFormat="false" ht="15" hidden="false" customHeight="true" outlineLevel="0" collapsed="false">
      <c r="A14" s="23" t="n">
        <v>2027</v>
      </c>
      <c r="B14" s="21" t="n">
        <f aca="false">IF($A14&lt;=Model!$B$3,Data!$B$5*Model!$D$69,0)</f>
        <v>79.541001959138</v>
      </c>
      <c r="C14" s="21" t="n">
        <f aca="false">$B14*IF(Model!$B$5=1,Data!$D$5,Model!$AC$69)</f>
        <v>19.9971749765938</v>
      </c>
      <c r="D14" s="21" t="n">
        <f aca="false">$B14*IF(Model!$B$5=1,Data!$E$5,Model!$AD$69)</f>
        <v>25.2576258566306</v>
      </c>
      <c r="E14" s="21" t="n">
        <f aca="false">$B14*IF(Model!$B$5=1,Data!$F$5,Model!$AE$69)</f>
        <v>14.6807618531524</v>
      </c>
      <c r="F14" s="21" t="n">
        <f aca="false">$B14*IF(Model!$B$5=1,Data!$G$5,Model!$AF$69)</f>
        <v>19.6054392727613</v>
      </c>
      <c r="G14" s="21" t="n">
        <f aca="false">$B14*Model!$S$69</f>
        <v>48.1570977992639</v>
      </c>
      <c r="H14" s="21" t="n">
        <f aca="false">$B14*Model!$T$69</f>
        <v>12.025072502888</v>
      </c>
      <c r="I14" s="21" t="n">
        <f aca="false">$B14*Model!$U$69</f>
        <v>5.70236573053616</v>
      </c>
      <c r="J14" s="21" t="n">
        <f aca="false">$B14*Model!$V$69</f>
        <v>5.70236573053616</v>
      </c>
      <c r="K14" s="21" t="n">
        <f aca="false">$B14*Model!$W$69</f>
        <v>5.39322379609172</v>
      </c>
      <c r="L14" s="21" t="n">
        <f aca="false">$B14*Model!$X$69</f>
        <v>1.47800875843677</v>
      </c>
      <c r="M14" s="21" t="n">
        <f aca="false">$B14*Model!$Y$69</f>
        <v>0.847592777797413</v>
      </c>
      <c r="N14" s="21" t="n">
        <f aca="false">$B14*Model!$Z$69</f>
        <v>0.087473987744217</v>
      </c>
      <c r="O14" s="21" t="n">
        <f aca="false">$B14*Model!$AA$69</f>
        <v>0.147800875843677</v>
      </c>
    </row>
    <row r="15" customFormat="false" ht="15" hidden="false" customHeight="true" outlineLevel="0" collapsed="false">
      <c r="A15" s="23" t="n">
        <v>2028</v>
      </c>
      <c r="B15" s="21" t="n">
        <f aca="false">IF($A15&lt;=Model!$B$3,Data!$B$6*Model!$D$69,0)</f>
        <v>79.541001959138</v>
      </c>
      <c r="C15" s="21" t="n">
        <f aca="false">$B15*IF(Model!$B$5=1,Data!$D$6,Model!$AC$69)</f>
        <v>19.9319075768089</v>
      </c>
      <c r="D15" s="21" t="n">
        <f aca="false">$B15*IF(Model!$B$5=1,Data!$E$6,Model!$AD$69)</f>
        <v>25.2694783323963</v>
      </c>
      <c r="E15" s="21" t="n">
        <f aca="false">$B15*IF(Model!$B$5=1,Data!$F$6,Model!$AE$69)</f>
        <v>14.6876509952702</v>
      </c>
      <c r="F15" s="21" t="n">
        <f aca="false">$B15*IF(Model!$B$5=1,Data!$G$6,Model!$AF$69)</f>
        <v>19.6519650546626</v>
      </c>
      <c r="G15" s="21" t="n">
        <f aca="false">$B15*Model!$S$69</f>
        <v>48.1570977992639</v>
      </c>
      <c r="H15" s="21" t="n">
        <f aca="false">$B15*Model!$T$69</f>
        <v>12.025072502888</v>
      </c>
      <c r="I15" s="21" t="n">
        <f aca="false">$B15*Model!$U$69</f>
        <v>5.70236573053616</v>
      </c>
      <c r="J15" s="21" t="n">
        <f aca="false">$B15*Model!$V$69</f>
        <v>5.70236573053616</v>
      </c>
      <c r="K15" s="21" t="n">
        <f aca="false">$B15*Model!$W$69</f>
        <v>5.39322379609172</v>
      </c>
      <c r="L15" s="21" t="n">
        <f aca="false">$B15*Model!$X$69</f>
        <v>1.47800875843677</v>
      </c>
      <c r="M15" s="21" t="n">
        <f aca="false">$B15*Model!$Y$69</f>
        <v>0.847592777797413</v>
      </c>
      <c r="N15" s="21" t="n">
        <f aca="false">$B15*Model!$Z$69</f>
        <v>0.087473987744217</v>
      </c>
      <c r="O15" s="21" t="n">
        <f aca="false">$B15*Model!$AA$69</f>
        <v>0.147800875843677</v>
      </c>
    </row>
    <row r="16" customFormat="false" ht="15" hidden="false" customHeight="true" outlineLevel="0" collapsed="false">
      <c r="A16" s="23" t="n">
        <v>2029</v>
      </c>
      <c r="B16" s="21" t="n">
        <f aca="false">IF($A16&lt;=Model!$B$3,Data!$B$7*Model!$D$69,0)</f>
        <v>79.541001959138</v>
      </c>
      <c r="C16" s="21" t="n">
        <f aca="false">$B16*IF(Model!$B$5=1,Data!$D$7,Model!$AC$69)</f>
        <v>19.7219889915104</v>
      </c>
      <c r="D16" s="21" t="n">
        <f aca="false">$B16*IF(Model!$B$5=1,Data!$E$7,Model!$AD$69)</f>
        <v>25.1329415057375</v>
      </c>
      <c r="E16" s="21" t="n">
        <f aca="false">$B16*IF(Model!$B$5=1,Data!$F$7,Model!$AE$69)</f>
        <v>14.5909133314675</v>
      </c>
      <c r="F16" s="21" t="n">
        <f aca="false">$B16*IF(Model!$B$5=1,Data!$G$7,Model!$AF$69)</f>
        <v>20.0951581304226</v>
      </c>
      <c r="G16" s="21" t="n">
        <f aca="false">$B16*Model!$S$69</f>
        <v>48.1570977992639</v>
      </c>
      <c r="H16" s="21" t="n">
        <f aca="false">$B16*Model!$T$69</f>
        <v>12.025072502888</v>
      </c>
      <c r="I16" s="21" t="n">
        <f aca="false">$B16*Model!$U$69</f>
        <v>5.70236573053616</v>
      </c>
      <c r="J16" s="21" t="n">
        <f aca="false">$B16*Model!$V$69</f>
        <v>5.70236573053616</v>
      </c>
      <c r="K16" s="21" t="n">
        <f aca="false">$B16*Model!$W$69</f>
        <v>5.39322379609172</v>
      </c>
      <c r="L16" s="21" t="n">
        <f aca="false">$B16*Model!$X$69</f>
        <v>1.47800875843677</v>
      </c>
      <c r="M16" s="21" t="n">
        <f aca="false">$B16*Model!$Y$69</f>
        <v>0.847592777797413</v>
      </c>
      <c r="N16" s="21" t="n">
        <f aca="false">$B16*Model!$Z$69</f>
        <v>0.087473987744217</v>
      </c>
      <c r="O16" s="21" t="n">
        <f aca="false">$B16*Model!$AA$69</f>
        <v>0.147800875843677</v>
      </c>
    </row>
    <row r="17" customFormat="false" ht="15" hidden="false" customHeight="true" outlineLevel="0" collapsed="false">
      <c r="A17" s="23" t="n">
        <v>2030</v>
      </c>
      <c r="B17" s="21" t="n">
        <f aca="false">IF($A17&lt;=Model!$B$3,Data!$B$8*Model!$D$69,0)</f>
        <v>79.541001959138</v>
      </c>
      <c r="C17" s="21" t="n">
        <f aca="false">$B17*IF(Model!$B$5=1,Data!$D$8,Model!$AC$69)</f>
        <v>19.6892907242821</v>
      </c>
      <c r="D17" s="21" t="n">
        <f aca="false">$B17*IF(Model!$B$5=1,Data!$E$8,Model!$AD$69)</f>
        <v>24.7655817925331</v>
      </c>
      <c r="E17" s="21" t="n">
        <f aca="false">$B17*IF(Model!$B$5=1,Data!$F$8,Model!$AE$69)</f>
        <v>14.6129996560312</v>
      </c>
      <c r="F17" s="21" t="n">
        <f aca="false">$B17*IF(Model!$B$5=1,Data!$G$8,Model!$AF$69)</f>
        <v>20.4731297862915</v>
      </c>
      <c r="G17" s="21" t="n">
        <f aca="false">$B17*Model!$S$69</f>
        <v>48.1570977992639</v>
      </c>
      <c r="H17" s="21" t="n">
        <f aca="false">$B17*Model!$T$69</f>
        <v>12.025072502888</v>
      </c>
      <c r="I17" s="21" t="n">
        <f aca="false">$B17*Model!$U$69</f>
        <v>5.70236573053616</v>
      </c>
      <c r="J17" s="21" t="n">
        <f aca="false">$B17*Model!$V$69</f>
        <v>5.70236573053616</v>
      </c>
      <c r="K17" s="21" t="n">
        <f aca="false">$B17*Model!$W$69</f>
        <v>5.39322379609172</v>
      </c>
      <c r="L17" s="21" t="n">
        <f aca="false">$B17*Model!$X$69</f>
        <v>1.47800875843677</v>
      </c>
      <c r="M17" s="21" t="n">
        <f aca="false">$B17*Model!$Y$69</f>
        <v>0.847592777797413</v>
      </c>
      <c r="N17" s="21" t="n">
        <f aca="false">$B17*Model!$Z$69</f>
        <v>0.087473987744217</v>
      </c>
      <c r="O17" s="21" t="n">
        <f aca="false">$B17*Model!$AA$69</f>
        <v>0.147800875843677</v>
      </c>
    </row>
    <row r="18" customFormat="false" ht="15" hidden="false" customHeight="true" outlineLevel="0" collapsed="false">
      <c r="A18" s="23" t="n">
        <v>2031</v>
      </c>
      <c r="B18" s="21" t="n">
        <f aca="false">IF($A18&lt;=Model!$B$3,Data!$B$9*Model!$D$69,0)</f>
        <v>40.4515346580838</v>
      </c>
      <c r="C18" s="21" t="n">
        <f aca="false">$B18*IF(Model!$B$5=1,Data!$D$9,Model!$AC$69)</f>
        <v>9.34788692975092</v>
      </c>
      <c r="D18" s="21" t="n">
        <f aca="false">$B18*IF(Model!$B$5=1,Data!$E$9,Model!$AD$69)</f>
        <v>12.2959231271574</v>
      </c>
      <c r="E18" s="21" t="n">
        <f aca="false">$B18*IF(Model!$B$5=1,Data!$F$9,Model!$AE$69)</f>
        <v>7.68728426159158</v>
      </c>
      <c r="F18" s="21" t="n">
        <f aca="false">$B18*IF(Model!$B$5=1,Data!$G$9,Model!$AF$69)</f>
        <v>11.1204403395839</v>
      </c>
      <c r="G18" s="21" t="n">
        <f aca="false">$B18*Model!$S$69</f>
        <v>24.4908721625156</v>
      </c>
      <c r="H18" s="21" t="n">
        <f aca="false">$B18*Model!$T$69</f>
        <v>6.115495469449</v>
      </c>
      <c r="I18" s="21" t="n">
        <f aca="false">$B18*Model!$U$69</f>
        <v>2.90000678015538</v>
      </c>
      <c r="J18" s="21" t="n">
        <f aca="false">$B18*Model!$V$69</f>
        <v>2.90000678015538</v>
      </c>
      <c r="K18" s="21" t="n">
        <f aca="false">$B18*Model!$W$69</f>
        <v>2.74278892562206</v>
      </c>
      <c r="L18" s="21" t="n">
        <f aca="false">$B18*Model!$X$69</f>
        <v>0.751659157469134</v>
      </c>
      <c r="M18" s="21" t="n">
        <f aca="false">$B18*Model!$Y$69</f>
        <v>0.43105351683434</v>
      </c>
      <c r="N18" s="21" t="n">
        <f aca="false">$B18*Model!$Z$69</f>
        <v>0.0444859501359283</v>
      </c>
      <c r="O18" s="21" t="n">
        <f aca="false">$B18*Model!$AA$69</f>
        <v>0.0751659157469134</v>
      </c>
    </row>
    <row r="19" customFormat="false" ht="15" hidden="false" customHeight="true" outlineLevel="0" collapsed="false">
      <c r="A19" s="23" t="n">
        <v>2032</v>
      </c>
      <c r="B19" s="21" t="n">
        <f aca="false">IF($A19&lt;=Model!$B$3,Data!$B$10*Model!$D$69,0)</f>
        <v>40.4515346580838</v>
      </c>
      <c r="C19" s="21" t="n">
        <f aca="false">$B19*IF(Model!$B$5=1,Data!$D$10,Model!$AC$69)</f>
        <v>8.99337624778433</v>
      </c>
      <c r="D19" s="21" t="n">
        <f aca="false">$B19*IF(Model!$B$5=1,Data!$E$10,Model!$AD$69)</f>
        <v>12.0533631868644</v>
      </c>
      <c r="E19" s="21" t="n">
        <f aca="false">$B19*IF(Model!$B$5=1,Data!$F$10,Model!$AE$69)</f>
        <v>7.81789346021086</v>
      </c>
      <c r="F19" s="21" t="n">
        <f aca="false">$B19*IF(Model!$B$5=1,Data!$G$10,Model!$AF$69)</f>
        <v>11.5869017632242</v>
      </c>
      <c r="G19" s="21" t="n">
        <f aca="false">$B19*Model!$S$69</f>
        <v>24.4908721625156</v>
      </c>
      <c r="H19" s="21" t="n">
        <f aca="false">$B19*Model!$T$69</f>
        <v>6.115495469449</v>
      </c>
      <c r="I19" s="21" t="n">
        <f aca="false">$B19*Model!$U$69</f>
        <v>2.90000678015538</v>
      </c>
      <c r="J19" s="21" t="n">
        <f aca="false">$B19*Model!$V$69</f>
        <v>2.90000678015538</v>
      </c>
      <c r="K19" s="21" t="n">
        <f aca="false">$B19*Model!$W$69</f>
        <v>2.74278892562206</v>
      </c>
      <c r="L19" s="21" t="n">
        <f aca="false">$B19*Model!$X$69</f>
        <v>0.751659157469134</v>
      </c>
      <c r="M19" s="21" t="n">
        <f aca="false">$B19*Model!$Y$69</f>
        <v>0.43105351683434</v>
      </c>
      <c r="N19" s="21" t="n">
        <f aca="false">$B19*Model!$Z$69</f>
        <v>0.0444859501359283</v>
      </c>
      <c r="O19" s="21" t="n">
        <f aca="false">$B19*Model!$AA$69</f>
        <v>0.0751659157469134</v>
      </c>
    </row>
    <row r="20" customFormat="false" ht="15" hidden="false" customHeight="true" outlineLevel="0" collapsed="false">
      <c r="A20" s="23" t="n">
        <v>2033</v>
      </c>
      <c r="B20" s="21" t="n">
        <f aca="false">IF($A20&lt;=Model!$B$3,Data!$B$11*Model!$D$69,0)</f>
        <v>40.4515346580838</v>
      </c>
      <c r="C20" s="21" t="n">
        <f aca="false">$B20*IF(Model!$B$5=1,Data!$D$11,Model!$AC$69)</f>
        <v>8.92285812947118</v>
      </c>
      <c r="D20" s="21" t="n">
        <f aca="false">$B20*IF(Model!$B$5=1,Data!$E$11,Model!$AD$69)</f>
        <v>12.0962595562705</v>
      </c>
      <c r="E20" s="21" t="n">
        <f aca="false">$B20*IF(Model!$B$5=1,Data!$F$11,Model!$AE$69)</f>
        <v>7.82150116369963</v>
      </c>
      <c r="F20" s="21" t="n">
        <f aca="false">$B20*IF(Model!$B$5=1,Data!$G$11,Model!$AF$69)</f>
        <v>11.6109158086424</v>
      </c>
      <c r="G20" s="21" t="n">
        <f aca="false">$B20*Model!$S$69</f>
        <v>24.4908721625156</v>
      </c>
      <c r="H20" s="21" t="n">
        <f aca="false">$B20*Model!$T$69</f>
        <v>6.115495469449</v>
      </c>
      <c r="I20" s="21" t="n">
        <f aca="false">$B20*Model!$U$69</f>
        <v>2.90000678015538</v>
      </c>
      <c r="J20" s="21" t="n">
        <f aca="false">$B20*Model!$V$69</f>
        <v>2.90000678015538</v>
      </c>
      <c r="K20" s="21" t="n">
        <f aca="false">$B20*Model!$W$69</f>
        <v>2.74278892562206</v>
      </c>
      <c r="L20" s="21" t="n">
        <f aca="false">$B20*Model!$X$69</f>
        <v>0.751659157469134</v>
      </c>
      <c r="M20" s="21" t="n">
        <f aca="false">$B20*Model!$Y$69</f>
        <v>0.43105351683434</v>
      </c>
      <c r="N20" s="21" t="n">
        <f aca="false">$B20*Model!$Z$69</f>
        <v>0.0444859501359283</v>
      </c>
      <c r="O20" s="21" t="n">
        <f aca="false">$B20*Model!$AA$69</f>
        <v>0.0751659157469134</v>
      </c>
    </row>
    <row r="21" customFormat="false" ht="15" hidden="false" customHeight="true" outlineLevel="0" collapsed="false">
      <c r="A21" s="23" t="n">
        <v>2034</v>
      </c>
      <c r="B21" s="21" t="n">
        <f aca="false">IF($A21&lt;=Model!$B$3,Data!$B$12*Model!$D$69,0)</f>
        <v>40.4515346580838</v>
      </c>
      <c r="C21" s="21" t="n">
        <f aca="false">$B21*IF(Model!$B$5=1,Data!$D$12,Model!$AC$69)</f>
        <v>8.84410859221944</v>
      </c>
      <c r="D21" s="21" t="n">
        <f aca="false">$B21*IF(Model!$B$5=1,Data!$E$12,Model!$AD$69)</f>
        <v>12.1279970146469</v>
      </c>
      <c r="E21" s="21" t="n">
        <f aca="false">$B21*IF(Model!$B$5=1,Data!$F$12,Model!$AE$69)</f>
        <v>7.81789346021086</v>
      </c>
      <c r="F21" s="21" t="n">
        <f aca="false">$B21*IF(Model!$B$5=1,Data!$G$12,Model!$AF$69)</f>
        <v>11.6615355910066</v>
      </c>
      <c r="G21" s="21" t="n">
        <f aca="false">$B21*Model!$S$69</f>
        <v>24.4908721625156</v>
      </c>
      <c r="H21" s="21" t="n">
        <f aca="false">$B21*Model!$T$69</f>
        <v>6.115495469449</v>
      </c>
      <c r="I21" s="21" t="n">
        <f aca="false">$B21*Model!$U$69</f>
        <v>2.90000678015538</v>
      </c>
      <c r="J21" s="21" t="n">
        <f aca="false">$B21*Model!$V$69</f>
        <v>2.90000678015538</v>
      </c>
      <c r="K21" s="21" t="n">
        <f aca="false">$B21*Model!$W$69</f>
        <v>2.74278892562206</v>
      </c>
      <c r="L21" s="21" t="n">
        <f aca="false">$B21*Model!$X$69</f>
        <v>0.751659157469134</v>
      </c>
      <c r="M21" s="21" t="n">
        <f aca="false">$B21*Model!$Y$69</f>
        <v>0.43105351683434</v>
      </c>
      <c r="N21" s="21" t="n">
        <f aca="false">$B21*Model!$Z$69</f>
        <v>0.0444859501359283</v>
      </c>
      <c r="O21" s="21" t="n">
        <f aca="false">$B21*Model!$AA$69</f>
        <v>0.0751659157469134</v>
      </c>
    </row>
    <row r="22" customFormat="false" ht="15" hidden="false" customHeight="true" outlineLevel="0" collapsed="false">
      <c r="A22" s="23" t="n">
        <v>2035</v>
      </c>
      <c r="B22" s="21" t="n">
        <f aca="false">IF($A22&lt;=Model!$B$3,Data!$B$13*Model!$D$69,0)</f>
        <v>39.0894673010542</v>
      </c>
      <c r="C22" s="21" t="n">
        <f aca="false">$B22*IF(Model!$B$5=1,Data!$D$13,Model!$AC$69)</f>
        <v>8.37764716857914</v>
      </c>
      <c r="D22" s="21" t="n">
        <f aca="false">$B22*IF(Model!$B$5=1,Data!$E$13,Model!$AD$69)</f>
        <v>11.5495848493329</v>
      </c>
      <c r="E22" s="21" t="n">
        <f aca="false">$B22*IF(Model!$B$5=1,Data!$F$13,Model!$AE$69)</f>
        <v>7.50069969213545</v>
      </c>
      <c r="F22" s="21" t="n">
        <f aca="false">$B22*IF(Model!$B$5=1,Data!$G$13,Model!$AF$69)</f>
        <v>11.6615355910066</v>
      </c>
      <c r="G22" s="21" t="n">
        <f aca="false">$B22*Model!$S$69</f>
        <v>23.6662256367483</v>
      </c>
      <c r="H22" s="21" t="n">
        <f aca="false">$B22*Model!$T$69</f>
        <v>5.90957703343896</v>
      </c>
      <c r="I22" s="21" t="n">
        <f aca="false">$B22*Model!$U$69</f>
        <v>2.80235895038078</v>
      </c>
      <c r="J22" s="21" t="n">
        <f aca="false">$B22*Model!$V$69</f>
        <v>2.80235895038078</v>
      </c>
      <c r="K22" s="21" t="n">
        <f aca="false">$B22*Model!$W$69</f>
        <v>2.65043487046966</v>
      </c>
      <c r="L22" s="21" t="n">
        <f aca="false">$B22*Model!$X$69</f>
        <v>0.726349600967636</v>
      </c>
      <c r="M22" s="21" t="n">
        <f aca="false">$B22*Model!$Y$69</f>
        <v>0.416539260963073</v>
      </c>
      <c r="N22" s="21" t="n">
        <f aca="false">$B22*Model!$Z$69</f>
        <v>0.0429880376082887</v>
      </c>
      <c r="O22" s="21" t="n">
        <f aca="false">$B22*Model!$AA$69</f>
        <v>0.0726349600967636</v>
      </c>
    </row>
    <row r="23" customFormat="false" ht="15" hidden="false" customHeight="true" outlineLevel="0" collapsed="false">
      <c r="A23" s="23" t="n">
        <v>2036</v>
      </c>
      <c r="B23" s="21" t="n">
        <f aca="false">IF($A23&lt;=Model!$B$3,Data!$B$14*Model!$D$69,0)</f>
        <v>29.610971172684</v>
      </c>
      <c r="C23" s="21" t="n">
        <f aca="false">$B23*IF(Model!$B$5=1,Data!$D$14,Model!$AC$69)</f>
        <v>7.14314721814786</v>
      </c>
      <c r="D23" s="21" t="n">
        <f aca="false">$B23*IF(Model!$B$5=1,Data!$E$14,Model!$AD$69)</f>
        <v>9.18760659121901</v>
      </c>
      <c r="E23" s="21" t="n">
        <f aca="false">$B23*IF(Model!$B$5=1,Data!$F$14,Model!$AE$69)</f>
        <v>5.53711592733804</v>
      </c>
      <c r="F23" s="21" t="n">
        <f aca="false">$B23*IF(Model!$B$5=1,Data!$G$14,Model!$AF$69)</f>
        <v>7.74310143597911</v>
      </c>
      <c r="G23" s="21" t="n">
        <f aca="false">$B23*Model!$S$69</f>
        <v>17.9275895396275</v>
      </c>
      <c r="H23" s="21" t="n">
        <f aca="false">$B23*Model!$T$69</f>
        <v>4.47661038284851</v>
      </c>
      <c r="I23" s="21" t="n">
        <f aca="false">$B23*Model!$U$69</f>
        <v>2.12283706646983</v>
      </c>
      <c r="J23" s="21" t="n">
        <f aca="false">$B23*Model!$V$69</f>
        <v>2.12283706646983</v>
      </c>
      <c r="K23" s="21" t="n">
        <f aca="false">$B23*Model!$W$69</f>
        <v>2.00775185653239</v>
      </c>
      <c r="L23" s="21" t="n">
        <f aca="false">$B23*Model!$X$69</f>
        <v>0.550222824217489</v>
      </c>
      <c r="M23" s="21" t="n">
        <f aca="false">$B23*Model!$Y$69</f>
        <v>0.315535946132886</v>
      </c>
      <c r="N23" s="21" t="n">
        <f aca="false">$B23*Model!$Z$69</f>
        <v>0.0325642079638922</v>
      </c>
      <c r="O23" s="21" t="n">
        <f aca="false">$B23*Model!$AA$69</f>
        <v>0.0550222824217488</v>
      </c>
    </row>
    <row r="24" customFormat="false" ht="15" hidden="false" customHeight="true" outlineLevel="0" collapsed="false">
      <c r="A24" s="23" t="n">
        <v>2037</v>
      </c>
      <c r="B24" s="21" t="n">
        <f aca="false">IF($A24&lt;=Model!$B$3,Data!$B$15*Model!$D$69,0)</f>
        <v>29.3684112323911</v>
      </c>
      <c r="C24" s="21" t="n">
        <f aca="false">$B24*IF(Model!$B$5=1,Data!$D$15,Model!$AC$69)</f>
        <v>7.08463372486751</v>
      </c>
      <c r="D24" s="21" t="n">
        <f aca="false">$B24*IF(Model!$B$5=1,Data!$E$15,Model!$AD$69)</f>
        <v>9.11234579368539</v>
      </c>
      <c r="E24" s="21" t="n">
        <f aca="false">$B24*IF(Model!$B$5=1,Data!$F$15,Model!$AE$69)</f>
        <v>5.49175832994964</v>
      </c>
      <c r="F24" s="21" t="n">
        <f aca="false">$B24*IF(Model!$B$5=1,Data!$G$15,Model!$AF$69)</f>
        <v>7.67967338388857</v>
      </c>
      <c r="G24" s="21" t="n">
        <f aca="false">$B24*Model!$S$69</f>
        <v>17.7807346788744</v>
      </c>
      <c r="H24" s="21" t="n">
        <f aca="false">$B24*Model!$T$69</f>
        <v>4.43993997643576</v>
      </c>
      <c r="I24" s="21" t="n">
        <f aca="false">$B24*Model!$U$69</f>
        <v>2.10544772692093</v>
      </c>
      <c r="J24" s="21" t="n">
        <f aca="false">$B24*Model!$V$69</f>
        <v>2.10544772692093</v>
      </c>
      <c r="K24" s="21" t="n">
        <f aca="false">$B24*Model!$W$69</f>
        <v>1.991305243971</v>
      </c>
      <c r="L24" s="21" t="n">
        <f aca="false">$B24*Model!$X$69</f>
        <v>0.545715642922701</v>
      </c>
      <c r="M24" s="21" t="n">
        <f aca="false">$B24*Model!$Y$69</f>
        <v>0.312951215635263</v>
      </c>
      <c r="N24" s="21" t="n">
        <f aca="false">$B24*Model!$Z$69</f>
        <v>0.0322974564178742</v>
      </c>
      <c r="O24" s="21" t="n">
        <f aca="false">$B24*Model!$AA$69</f>
        <v>0.0545715642922701</v>
      </c>
    </row>
    <row r="25" customFormat="false" ht="15" hidden="false" customHeight="true" outlineLevel="0" collapsed="false">
      <c r="A25" s="23" t="n">
        <v>2038</v>
      </c>
      <c r="B25" s="21" t="n">
        <f aca="false">IF($A25&lt;=Model!$B$3,Data!$B$16*Model!$D$69,0)</f>
        <v>29.0139005504245</v>
      </c>
      <c r="C25" s="21" t="n">
        <f aca="false">$B25*IF(Model!$B$5=1,Data!$D$16,Model!$AC$69)</f>
        <v>6.99911400391933</v>
      </c>
      <c r="D25" s="21" t="n">
        <f aca="false">$B25*IF(Model!$B$5=1,Data!$E$16,Model!$AD$69)</f>
        <v>9.00234924344395</v>
      </c>
      <c r="E25" s="21" t="n">
        <f aca="false">$B25*IF(Model!$B$5=1,Data!$F$16,Model!$AE$69)</f>
        <v>5.42546645684351</v>
      </c>
      <c r="F25" s="21" t="n">
        <f aca="false">$B25*IF(Model!$B$5=1,Data!$G$16,Model!$AF$69)</f>
        <v>7.58697084621772</v>
      </c>
      <c r="G25" s="21" t="n">
        <f aca="false">$B25*Model!$S$69</f>
        <v>17.5661006516198</v>
      </c>
      <c r="H25" s="21" t="n">
        <f aca="false">$B25*Model!$T$69</f>
        <v>4.38634476706328</v>
      </c>
      <c r="I25" s="21" t="n">
        <f aca="false">$B25*Model!$U$69</f>
        <v>2.08003253834945</v>
      </c>
      <c r="J25" s="21" t="n">
        <f aca="false">$B25*Model!$V$69</f>
        <v>2.08003253834945</v>
      </c>
      <c r="K25" s="21" t="n">
        <f aca="false">$B25*Model!$W$69</f>
        <v>1.96726788715051</v>
      </c>
      <c r="L25" s="21" t="n">
        <f aca="false">$B25*Model!$X$69</f>
        <v>0.539128224107243</v>
      </c>
      <c r="M25" s="21" t="n">
        <f aca="false">$B25*Model!$Y$69</f>
        <v>0.309173532600276</v>
      </c>
      <c r="N25" s="21" t="n">
        <f aca="false">$B25*Model!$Z$69</f>
        <v>0.031907588773694</v>
      </c>
      <c r="O25" s="21" t="n">
        <f aca="false">$B25*Model!$AA$69</f>
        <v>0.0539128224107243</v>
      </c>
    </row>
    <row r="26" customFormat="false" ht="15" hidden="false" customHeight="true" outlineLevel="0" collapsed="false">
      <c r="A26" s="23" t="n">
        <v>2039</v>
      </c>
      <c r="B26" s="21" t="n">
        <f aca="false">IF($A26&lt;=Model!$B$3,Data!$B$17*Model!$D$69,0)</f>
        <v>28.7526821531859</v>
      </c>
      <c r="C26" s="21" t="n">
        <f aca="false">$B26*IF(Model!$B$5=1,Data!$D$17,Model!$AC$69)</f>
        <v>6.9360994726943</v>
      </c>
      <c r="D26" s="21" t="n">
        <f aca="false">$B26*IF(Model!$B$5=1,Data!$E$17,Model!$AD$69)</f>
        <v>8.92129915379234</v>
      </c>
      <c r="E26" s="21" t="n">
        <f aca="false">$B26*IF(Model!$B$5=1,Data!$F$17,Model!$AE$69)</f>
        <v>5.37661981350215</v>
      </c>
      <c r="F26" s="21" t="n">
        <f aca="false">$B26*IF(Model!$B$5=1,Data!$G$17,Model!$AF$69)</f>
        <v>7.51866371319714</v>
      </c>
      <c r="G26" s="21" t="n">
        <f aca="false">$B26*Model!$S$69</f>
        <v>17.4079492631165</v>
      </c>
      <c r="H26" s="21" t="n">
        <f aca="false">$B26*Model!$T$69</f>
        <v>4.34685356015725</v>
      </c>
      <c r="I26" s="21" t="n">
        <f aca="false">$B26*Model!$U$69</f>
        <v>2.06130555729679</v>
      </c>
      <c r="J26" s="21" t="n">
        <f aca="false">$B26*Model!$V$69</f>
        <v>2.06130555729679</v>
      </c>
      <c r="K26" s="21" t="n">
        <f aca="false">$B26*Model!$W$69</f>
        <v>1.94955615054594</v>
      </c>
      <c r="L26" s="21" t="n">
        <f aca="false">$B26*Model!$X$69</f>
        <v>0.534274336559011</v>
      </c>
      <c r="M26" s="21" t="n">
        <f aca="false">$B26*Model!$Y$69</f>
        <v>0.306389976679759</v>
      </c>
      <c r="N26" s="21" t="n">
        <f aca="false">$B26*Model!$Z$69</f>
        <v>0.0316203178779823</v>
      </c>
      <c r="O26" s="21" t="n">
        <f aca="false">$B26*Model!$AA$69</f>
        <v>0.0534274336559011</v>
      </c>
    </row>
    <row r="27" customFormat="false" ht="15" hidden="false" customHeight="true" outlineLevel="0" collapsed="false">
      <c r="A27" s="23" t="n">
        <v>2040</v>
      </c>
      <c r="B27" s="21" t="n">
        <f aca="false">IF($A27&lt;=Model!$B$3,Data!$B$18*Model!$D$69,0)</f>
        <v>28.4541468420562</v>
      </c>
      <c r="C27" s="21" t="n">
        <f aca="false">$B27*IF(Model!$B$5=1,Data!$D$18,Model!$AC$69)</f>
        <v>6.86408286558002</v>
      </c>
      <c r="D27" s="21" t="n">
        <f aca="false">$B27*IF(Model!$B$5=1,Data!$E$18,Model!$AD$69)</f>
        <v>8.82867047990484</v>
      </c>
      <c r="E27" s="21" t="n">
        <f aca="false">$B27*IF(Model!$B$5=1,Data!$F$18,Model!$AE$69)</f>
        <v>5.32079507825489</v>
      </c>
      <c r="F27" s="21" t="n">
        <f aca="false">$B27*IF(Model!$B$5=1,Data!$G$18,Model!$AF$69)</f>
        <v>7.44059841831641</v>
      </c>
      <c r="G27" s="21" t="n">
        <f aca="false">$B27*Model!$S$69</f>
        <v>17.2272048191127</v>
      </c>
      <c r="H27" s="21" t="n">
        <f aca="false">$B27*Model!$T$69</f>
        <v>4.30172075226464</v>
      </c>
      <c r="I27" s="21" t="n">
        <f aca="false">$B27*Model!$U$69</f>
        <v>2.0399032932366</v>
      </c>
      <c r="J27" s="21" t="n">
        <f aca="false">$B27*Model!$V$69</f>
        <v>2.0399032932366</v>
      </c>
      <c r="K27" s="21" t="n">
        <f aca="false">$B27*Model!$W$69</f>
        <v>1.929314165855</v>
      </c>
      <c r="L27" s="21" t="n">
        <f aca="false">$B27*Model!$X$69</f>
        <v>0.528727036503888</v>
      </c>
      <c r="M27" s="21" t="n">
        <f aca="false">$B27*Model!$Y$69</f>
        <v>0.303208769913454</v>
      </c>
      <c r="N27" s="21" t="n">
        <f aca="false">$B27*Model!$Z$69</f>
        <v>0.0312920082828832</v>
      </c>
      <c r="O27" s="21" t="n">
        <f aca="false">$B27*Model!$AA$69</f>
        <v>0.0528727036503888</v>
      </c>
    </row>
    <row r="28" customFormat="false" ht="15" hidden="false" customHeight="true" outlineLevel="0" collapsed="false">
      <c r="A28" s="24" t="s">
        <v>122</v>
      </c>
      <c r="B28" s="25" t="n">
        <f aca="false">SUM(B13:B27)</f>
        <v>743.800727679821</v>
      </c>
      <c r="C28" s="25" t="n">
        <f aca="false">SUM(C13:C27)</f>
        <v>179.428768113984</v>
      </c>
      <c r="D28" s="25" t="n">
        <f aca="false">SUM(D13:D27)</f>
        <v>230.784036015706</v>
      </c>
      <c r="E28" s="25" t="n">
        <f aca="false">SUM(E13:E27)</f>
        <v>139.08742349508</v>
      </c>
      <c r="F28" s="25" t="n">
        <f aca="false">SUM(F13:F27)</f>
        <v>194.50050005505</v>
      </c>
      <c r="G28" s="25" t="n">
        <f aca="false">SUM(G13:G27)</f>
        <v>450.324782235481</v>
      </c>
      <c r="H28" s="25" t="n">
        <f aca="false">SUM(H13:H27)</f>
        <v>112.448390864444</v>
      </c>
      <c r="I28" s="25" t="n">
        <f aca="false">SUM(I13:I27)</f>
        <v>53.3237409059567</v>
      </c>
      <c r="J28" s="25" t="n">
        <f aca="false">SUM(J13:J27)</f>
        <v>53.3237409059567</v>
      </c>
      <c r="K28" s="25" t="n">
        <f aca="false">SUM(K13:K27)</f>
        <v>50.4329048574714</v>
      </c>
      <c r="L28" s="25" t="n">
        <f aca="false">SUM(L13:L27)</f>
        <v>13.8210980873383</v>
      </c>
      <c r="M28" s="25" t="n">
        <f aca="false">SUM(M13:M27)</f>
        <v>7.92597665824913</v>
      </c>
      <c r="N28" s="25" t="n">
        <f aca="false">SUM(N13:N27)</f>
        <v>0.817983356189412</v>
      </c>
      <c r="O28" s="25" t="n">
        <f aca="false">SUM(O13:O27)</f>
        <v>1.38210980873383</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Data!$H$46*Data!$M$46/SUM(Data!$H$46:$K$46)</f>
        <v>13.4946619217082</v>
      </c>
      <c r="C34" s="22" t="n">
        <f aca="false">IF($B$38&gt;0,B34/$B$38,0)</f>
        <v>0.0427046263345196</v>
      </c>
      <c r="D34" s="21" t="n">
        <f aca="false">C28</f>
        <v>179.428768113984</v>
      </c>
      <c r="E34" s="22" t="n">
        <f aca="false">IF($D$38&gt;0,D34/$D$38,0)</f>
        <v>0.241232310532536</v>
      </c>
      <c r="F34" s="21" t="n">
        <f aca="false">B34+D34</f>
        <v>192.923430035693</v>
      </c>
      <c r="G34" s="22" t="n">
        <f aca="false">IF($F$38&gt;0,F34/$F$38,0)</f>
        <v>0.182037457605877</v>
      </c>
    </row>
    <row r="35" customFormat="false" ht="15" hidden="false" customHeight="true" outlineLevel="0" collapsed="false">
      <c r="A35" s="13" t="s">
        <v>110</v>
      </c>
      <c r="B35" s="21" t="n">
        <f aca="false">Data!$I$46*Data!$M$46/SUM(Data!$H$46:$K$46)</f>
        <v>20.2419928825623</v>
      </c>
      <c r="C35" s="22" t="n">
        <f aca="false">IF($B$38&gt;0,B35/$B$38,0)</f>
        <v>0.0640569395017794</v>
      </c>
      <c r="D35" s="21" t="n">
        <f aca="false">D28</f>
        <v>230.784036015706</v>
      </c>
      <c r="E35" s="22" t="n">
        <f aca="false">IF($D$38&gt;0,D35/$D$38,0)</f>
        <v>0.310276701040081</v>
      </c>
      <c r="F35" s="21" t="n">
        <f aca="false">B35+D35</f>
        <v>251.026028898268</v>
      </c>
      <c r="G35" s="22" t="n">
        <f aca="false">IF($F$38&gt;0,F35/$F$38,0)</f>
        <v>0.236861536647394</v>
      </c>
    </row>
    <row r="36" customFormat="false" ht="15" hidden="false" customHeight="true" outlineLevel="0" collapsed="false">
      <c r="A36" s="13" t="s">
        <v>111</v>
      </c>
      <c r="B36" s="21" t="n">
        <f aca="false">Data!$J$46*Data!$M$46/SUM(Data!$H$46:$K$46)</f>
        <v>200.170818505338</v>
      </c>
      <c r="C36" s="22" t="n">
        <f aca="false">IF($B$38&gt;0,B36/$B$38,0)</f>
        <v>0.633451957295374</v>
      </c>
      <c r="D36" s="21" t="n">
        <f aca="false">E28</f>
        <v>139.08742349508</v>
      </c>
      <c r="E36" s="22" t="n">
        <f aca="false">IF($D$38&gt;0,D36/$D$38,0)</f>
        <v>0.186995546413275</v>
      </c>
      <c r="F36" s="21" t="n">
        <f aca="false">B36+D36</f>
        <v>339.258242000418</v>
      </c>
      <c r="G36" s="22" t="n">
        <f aca="false">IF($F$38&gt;0,F36/$F$38,0)</f>
        <v>0.320115124607569</v>
      </c>
    </row>
    <row r="37" customFormat="false" ht="15" hidden="false" customHeight="true" outlineLevel="0" collapsed="false">
      <c r="A37" s="13" t="s">
        <v>112</v>
      </c>
      <c r="B37" s="21" t="n">
        <f aca="false">Data!$K$46*Data!$M$46/SUM(Data!$H$46:$K$46)</f>
        <v>82.0925266903915</v>
      </c>
      <c r="C37" s="22" t="n">
        <f aca="false">IF($B$38&gt;0,B37/$B$38,0)</f>
        <v>0.259786476868327</v>
      </c>
      <c r="D37" s="21" t="n">
        <f aca="false">F28</f>
        <v>194.50050005505</v>
      </c>
      <c r="E37" s="22" t="n">
        <f aca="false">IF($D$38&gt;0,D37/$D$38,0)</f>
        <v>0.261495442014109</v>
      </c>
      <c r="F37" s="21" t="n">
        <f aca="false">B37+D37</f>
        <v>276.593026745442</v>
      </c>
      <c r="G37" s="22" t="n">
        <f aca="false">IF($F$38&gt;0,F37/$F$38,0)</f>
        <v>0.260985881139161</v>
      </c>
    </row>
    <row r="38" customFormat="false" ht="15" hidden="false" customHeight="true" outlineLevel="0" collapsed="false">
      <c r="A38" s="24" t="s">
        <v>61</v>
      </c>
      <c r="B38" s="25" t="n">
        <f aca="false">SUM(B34:B37)</f>
        <v>316</v>
      </c>
      <c r="C38" s="27" t="n">
        <f aca="false">SUM(C34:C37)</f>
        <v>1</v>
      </c>
      <c r="D38" s="25" t="n">
        <f aca="false">SUM(D34:D37)</f>
        <v>743.800727679821</v>
      </c>
      <c r="E38" s="27" t="n">
        <f aca="false">SUM(E34:E37)</f>
        <v>1</v>
      </c>
      <c r="F38" s="25" t="n">
        <f aca="false">SUM(F34:F37)</f>
        <v>1059.80072767982</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208</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398</v>
      </c>
      <c r="C4" s="77"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103</v>
      </c>
      <c r="C6" s="15" t="n">
        <f aca="false">Model!$Q$70</f>
        <v>0.1</v>
      </c>
    </row>
    <row r="7" customFormat="false" ht="15" hidden="false" customHeight="true" outlineLevel="0" collapsed="false">
      <c r="A7" s="13" t="s">
        <v>104</v>
      </c>
      <c r="C7" s="15" t="n">
        <f aca="false">Model!$G$70</f>
        <v>0.03738</v>
      </c>
    </row>
    <row r="8" customFormat="false" ht="15" hidden="false" customHeight="true" outlineLevel="0" collapsed="false">
      <c r="A8" s="13" t="s">
        <v>105</v>
      </c>
      <c r="C8" s="15" t="n">
        <f aca="false">Model!$R$70</f>
        <v>0.0451334702250416</v>
      </c>
    </row>
    <row r="9" customFormat="false" ht="15" hidden="false" customHeight="true" outlineLevel="0" collapsed="false">
      <c r="A9" s="13" t="s">
        <v>106</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107</v>
      </c>
      <c r="B12" s="5" t="s">
        <v>108</v>
      </c>
      <c r="C12" s="5" t="s">
        <v>109</v>
      </c>
      <c r="D12" s="5" t="s">
        <v>110</v>
      </c>
      <c r="E12" s="5" t="s">
        <v>111</v>
      </c>
      <c r="F12" s="5" t="s">
        <v>112</v>
      </c>
      <c r="G12" s="5" t="s">
        <v>113</v>
      </c>
      <c r="H12" s="5" t="s">
        <v>114</v>
      </c>
      <c r="I12" s="5" t="s">
        <v>115</v>
      </c>
      <c r="J12" s="5" t="s">
        <v>116</v>
      </c>
      <c r="K12" s="5" t="s">
        <v>117</v>
      </c>
      <c r="L12" s="5" t="s">
        <v>118</v>
      </c>
      <c r="M12" s="5" t="s">
        <v>119</v>
      </c>
      <c r="N12" s="5" t="s">
        <v>120</v>
      </c>
      <c r="O12" s="5" t="s">
        <v>121</v>
      </c>
    </row>
    <row r="13" customFormat="false" ht="15" hidden="false" customHeight="true" outlineLevel="0" collapsed="false">
      <c r="A13" s="23" t="n">
        <v>2026</v>
      </c>
      <c r="B13" s="21" t="n">
        <f aca="false">IF($A13&lt;=Model!$B$3,Data!$B$4*Model!$D$70,0)</f>
        <v>416.397145256087</v>
      </c>
      <c r="C13" s="21" t="n">
        <f aca="false">$B13*IF(Model!$B$5=1,Data!$D$4,Model!$AC$70)</f>
        <v>107.712488559443</v>
      </c>
      <c r="D13" s="21" t="n">
        <f aca="false">$B13*IF(Model!$B$5=1,Data!$E$4,Model!$AD$70)</f>
        <v>131.833054900497</v>
      </c>
      <c r="E13" s="21" t="n">
        <f aca="false">$B13*IF(Model!$B$5=1,Data!$F$4,Model!$AE$70)</f>
        <v>77.0490965307349</v>
      </c>
      <c r="F13" s="21" t="n">
        <f aca="false">$B13*IF(Model!$B$5=1,Data!$G$4,Model!$AF$70)</f>
        <v>99.8025052654129</v>
      </c>
      <c r="G13" s="21" t="n">
        <f aca="false">$B13*Model!$S$70</f>
        <v>252.102406979147</v>
      </c>
      <c r="H13" s="21" t="n">
        <f aca="false">$B13*Model!$T$70</f>
        <v>62.9512545526185</v>
      </c>
      <c r="I13" s="21" t="n">
        <f aca="false">$B13*Model!$U$70</f>
        <v>29.8518845993568</v>
      </c>
      <c r="J13" s="21" t="n">
        <f aca="false">$B13*Model!$V$70</f>
        <v>29.8518845993568</v>
      </c>
      <c r="K13" s="21" t="n">
        <f aca="false">$B13*Model!$W$70</f>
        <v>28.2335265725402</v>
      </c>
      <c r="L13" s="21" t="n">
        <f aca="false">$B13*Model!$X$70</f>
        <v>7.73737585041649</v>
      </c>
      <c r="M13" s="21" t="n">
        <f aca="false">$B13*Model!$Y$70</f>
        <v>4.43714819176946</v>
      </c>
      <c r="N13" s="21" t="n">
        <f aca="false">$B13*Model!$Z$70</f>
        <v>0.457926325840976</v>
      </c>
      <c r="O13" s="21" t="n">
        <f aca="false">$B13*Model!$AA$70</f>
        <v>0.773737585041649</v>
      </c>
    </row>
    <row r="14" customFormat="false" ht="15" hidden="false" customHeight="true" outlineLevel="0" collapsed="false">
      <c r="A14" s="23" t="n">
        <v>2027</v>
      </c>
      <c r="B14" s="21" t="n">
        <f aca="false">IF($A14&lt;=Model!$B$3,Data!$B$5*Model!$D$70,0)</f>
        <v>416.397145256087</v>
      </c>
      <c r="C14" s="21" t="n">
        <f aca="false">$B14*IF(Model!$B$5=1,Data!$D$5,Model!$AC$70)</f>
        <v>104.685211002468</v>
      </c>
      <c r="D14" s="21" t="n">
        <f aca="false">$B14*IF(Model!$B$5=1,Data!$E$5,Model!$AD$70)</f>
        <v>132.223671359461</v>
      </c>
      <c r="E14" s="21" t="n">
        <f aca="false">$B14*IF(Model!$B$5=1,Data!$F$5,Model!$AE$70)</f>
        <v>76.8537883012527</v>
      </c>
      <c r="F14" s="21" t="n">
        <f aca="false">$B14*IF(Model!$B$5=1,Data!$G$5,Model!$AF$70)</f>
        <v>102.634474592905</v>
      </c>
      <c r="G14" s="21" t="n">
        <f aca="false">$B14*Model!$S$70</f>
        <v>252.102406979147</v>
      </c>
      <c r="H14" s="21" t="n">
        <f aca="false">$B14*Model!$T$70</f>
        <v>62.9512545526185</v>
      </c>
      <c r="I14" s="21" t="n">
        <f aca="false">$B14*Model!$U$70</f>
        <v>29.8518845993568</v>
      </c>
      <c r="J14" s="21" t="n">
        <f aca="false">$B14*Model!$V$70</f>
        <v>29.8518845993568</v>
      </c>
      <c r="K14" s="21" t="n">
        <f aca="false">$B14*Model!$W$70</f>
        <v>28.2335265725402</v>
      </c>
      <c r="L14" s="21" t="n">
        <f aca="false">$B14*Model!$X$70</f>
        <v>7.73737585041649</v>
      </c>
      <c r="M14" s="21" t="n">
        <f aca="false">$B14*Model!$Y$70</f>
        <v>4.43714819176946</v>
      </c>
      <c r="N14" s="21" t="n">
        <f aca="false">$B14*Model!$Z$70</f>
        <v>0.457926325840976</v>
      </c>
      <c r="O14" s="21" t="n">
        <f aca="false">$B14*Model!$AA$70</f>
        <v>0.773737585041649</v>
      </c>
    </row>
    <row r="15" customFormat="false" ht="15" hidden="false" customHeight="true" outlineLevel="0" collapsed="false">
      <c r="A15" s="23" t="n">
        <v>2028</v>
      </c>
      <c r="B15" s="21" t="n">
        <f aca="false">IF($A15&lt;=Model!$B$3,Data!$B$6*Model!$D$70,0)</f>
        <v>416.397145256087</v>
      </c>
      <c r="C15" s="21" t="n">
        <f aca="false">$B15*IF(Model!$B$5=1,Data!$D$6,Model!$AC$70)</f>
        <v>104.343536164594</v>
      </c>
      <c r="D15" s="21" t="n">
        <f aca="false">$B15*IF(Model!$B$5=1,Data!$E$6,Model!$AD$70)</f>
        <v>132.285719070094</v>
      </c>
      <c r="E15" s="21" t="n">
        <f aca="false">$B15*IF(Model!$B$5=1,Data!$F$6,Model!$AE$70)</f>
        <v>76.8898529602395</v>
      </c>
      <c r="F15" s="21" t="n">
        <f aca="false">$B15*IF(Model!$B$5=1,Data!$G$6,Model!$AF$70)</f>
        <v>102.878037061159</v>
      </c>
      <c r="G15" s="21" t="n">
        <f aca="false">$B15*Model!$S$70</f>
        <v>252.102406979147</v>
      </c>
      <c r="H15" s="21" t="n">
        <f aca="false">$B15*Model!$T$70</f>
        <v>62.9512545526185</v>
      </c>
      <c r="I15" s="21" t="n">
        <f aca="false">$B15*Model!$U$70</f>
        <v>29.8518845993568</v>
      </c>
      <c r="J15" s="21" t="n">
        <f aca="false">$B15*Model!$V$70</f>
        <v>29.8518845993568</v>
      </c>
      <c r="K15" s="21" t="n">
        <f aca="false">$B15*Model!$W$70</f>
        <v>28.2335265725402</v>
      </c>
      <c r="L15" s="21" t="n">
        <f aca="false">$B15*Model!$X$70</f>
        <v>7.73737585041649</v>
      </c>
      <c r="M15" s="21" t="n">
        <f aca="false">$B15*Model!$Y$70</f>
        <v>4.43714819176946</v>
      </c>
      <c r="N15" s="21" t="n">
        <f aca="false">$B15*Model!$Z$70</f>
        <v>0.457926325840976</v>
      </c>
      <c r="O15" s="21" t="n">
        <f aca="false">$B15*Model!$AA$70</f>
        <v>0.773737585041649</v>
      </c>
    </row>
    <row r="16" customFormat="false" ht="15" hidden="false" customHeight="true" outlineLevel="0" collapsed="false">
      <c r="A16" s="23" t="n">
        <v>2029</v>
      </c>
      <c r="B16" s="21" t="n">
        <f aca="false">IF($A16&lt;=Model!$B$3,Data!$B$7*Model!$D$70,0)</f>
        <v>416.397145256087</v>
      </c>
      <c r="C16" s="21" t="n">
        <f aca="false">$B16*IF(Model!$B$5=1,Data!$D$7,Model!$AC$70)</f>
        <v>103.244612370557</v>
      </c>
      <c r="D16" s="21" t="n">
        <f aca="false">$B16*IF(Model!$B$5=1,Data!$E$7,Model!$AD$70)</f>
        <v>131.570948782536</v>
      </c>
      <c r="E16" s="21" t="n">
        <f aca="false">$B16*IF(Model!$B$5=1,Data!$F$7,Model!$AE$70)</f>
        <v>76.3834312902324</v>
      </c>
      <c r="F16" s="21" t="n">
        <f aca="false">$B16*IF(Model!$B$5=1,Data!$G$7,Model!$AF$70)</f>
        <v>105.198152812762</v>
      </c>
      <c r="G16" s="21" t="n">
        <f aca="false">$B16*Model!$S$70</f>
        <v>252.102406979147</v>
      </c>
      <c r="H16" s="21" t="n">
        <f aca="false">$B16*Model!$T$70</f>
        <v>62.9512545526185</v>
      </c>
      <c r="I16" s="21" t="n">
        <f aca="false">$B16*Model!$U$70</f>
        <v>29.8518845993568</v>
      </c>
      <c r="J16" s="21" t="n">
        <f aca="false">$B16*Model!$V$70</f>
        <v>29.8518845993568</v>
      </c>
      <c r="K16" s="21" t="n">
        <f aca="false">$B16*Model!$W$70</f>
        <v>28.2335265725402</v>
      </c>
      <c r="L16" s="21" t="n">
        <f aca="false">$B16*Model!$X$70</f>
        <v>7.73737585041649</v>
      </c>
      <c r="M16" s="21" t="n">
        <f aca="false">$B16*Model!$Y$70</f>
        <v>4.43714819176946</v>
      </c>
      <c r="N16" s="21" t="n">
        <f aca="false">$B16*Model!$Z$70</f>
        <v>0.457926325840976</v>
      </c>
      <c r="O16" s="21" t="n">
        <f aca="false">$B16*Model!$AA$70</f>
        <v>0.773737585041649</v>
      </c>
    </row>
    <row r="17" customFormat="false" ht="15" hidden="false" customHeight="true" outlineLevel="0" collapsed="false">
      <c r="A17" s="23" t="n">
        <v>2030</v>
      </c>
      <c r="B17" s="21" t="n">
        <f aca="false">IF($A17&lt;=Model!$B$3,Data!$B$8*Model!$D$70,0)</f>
        <v>416.397145256087</v>
      </c>
      <c r="C17" s="21" t="n">
        <f aca="false">$B17*IF(Model!$B$5=1,Data!$D$8,Model!$AC$70)</f>
        <v>103.073436941617</v>
      </c>
      <c r="D17" s="21" t="n">
        <f aca="false">$B17*IF(Model!$B$5=1,Data!$E$8,Model!$AD$70)</f>
        <v>129.647820683911</v>
      </c>
      <c r="E17" s="21" t="n">
        <f aca="false">$B17*IF(Model!$B$5=1,Data!$F$8,Model!$AE$70)</f>
        <v>76.4990531993234</v>
      </c>
      <c r="F17" s="21" t="n">
        <f aca="false">$B17*IF(Model!$B$5=1,Data!$G$8,Model!$AF$70)</f>
        <v>107.176834431236</v>
      </c>
      <c r="G17" s="21" t="n">
        <f aca="false">$B17*Model!$S$70</f>
        <v>252.102406979147</v>
      </c>
      <c r="H17" s="21" t="n">
        <f aca="false">$B17*Model!$T$70</f>
        <v>62.9512545526185</v>
      </c>
      <c r="I17" s="21" t="n">
        <f aca="false">$B17*Model!$U$70</f>
        <v>29.8518845993568</v>
      </c>
      <c r="J17" s="21" t="n">
        <f aca="false">$B17*Model!$V$70</f>
        <v>29.8518845993568</v>
      </c>
      <c r="K17" s="21" t="n">
        <f aca="false">$B17*Model!$W$70</f>
        <v>28.2335265725402</v>
      </c>
      <c r="L17" s="21" t="n">
        <f aca="false">$B17*Model!$X$70</f>
        <v>7.73737585041649</v>
      </c>
      <c r="M17" s="21" t="n">
        <f aca="false">$B17*Model!$Y$70</f>
        <v>4.43714819176946</v>
      </c>
      <c r="N17" s="21" t="n">
        <f aca="false">$B17*Model!$Z$70</f>
        <v>0.457926325840976</v>
      </c>
      <c r="O17" s="21" t="n">
        <f aca="false">$B17*Model!$AA$70</f>
        <v>0.773737585041649</v>
      </c>
    </row>
    <row r="18" customFormat="false" ht="15" hidden="false" customHeight="true" outlineLevel="0" collapsed="false">
      <c r="A18" s="23" t="n">
        <v>2031</v>
      </c>
      <c r="B18" s="21" t="n">
        <f aca="false">IF($A18&lt;=Model!$B$3,Data!$B$9*Model!$D$70,0)</f>
        <v>211.763783935069</v>
      </c>
      <c r="C18" s="21" t="n">
        <f aca="false">$B18*IF(Model!$B$5=1,Data!$D$9,Model!$AC$70)</f>
        <v>48.936188077246</v>
      </c>
      <c r="D18" s="21" t="n">
        <f aca="false">$B18*IF(Model!$B$5=1,Data!$E$9,Model!$AD$70)</f>
        <v>64.369157570669</v>
      </c>
      <c r="E18" s="21" t="n">
        <f aca="false">$B18*IF(Model!$B$5=1,Data!$F$9,Model!$AE$70)</f>
        <v>40.2429331094319</v>
      </c>
      <c r="F18" s="21" t="n">
        <f aca="false">$B18*IF(Model!$B$5=1,Data!$G$9,Model!$AF$70)</f>
        <v>58.2155051777218</v>
      </c>
      <c r="G18" s="21" t="n">
        <f aca="false">$B18*Model!$S$70</f>
        <v>128.209715770769</v>
      </c>
      <c r="H18" s="21" t="n">
        <f aca="false">$B18*Model!$T$70</f>
        <v>32.0146187825655</v>
      </c>
      <c r="I18" s="21" t="n">
        <f aca="false">$B18*Model!$U$70</f>
        <v>15.1815354941134</v>
      </c>
      <c r="J18" s="21" t="n">
        <f aca="false">$B18*Model!$V$70</f>
        <v>15.1815354941134</v>
      </c>
      <c r="K18" s="21" t="n">
        <f aca="false">$B18*Model!$W$70</f>
        <v>14.3585000256315</v>
      </c>
      <c r="L18" s="21" t="n">
        <f aca="false">$B18*Model!$X$70</f>
        <v>3.93493568935091</v>
      </c>
      <c r="M18" s="21" t="n">
        <f aca="false">$B18*Model!$Y$70</f>
        <v>2.25656516062777</v>
      </c>
      <c r="N18" s="21" t="n">
        <f aca="false">$B18*Model!$Z$70</f>
        <v>0.232883948961585</v>
      </c>
      <c r="O18" s="21" t="n">
        <f aca="false">$B18*Model!$AA$70</f>
        <v>0.393493568935091</v>
      </c>
    </row>
    <row r="19" customFormat="false" ht="15" hidden="false" customHeight="true" outlineLevel="0" collapsed="false">
      <c r="A19" s="23" t="n">
        <v>2032</v>
      </c>
      <c r="B19" s="21" t="n">
        <f aca="false">IF($A19&lt;=Model!$B$3,Data!$B$10*Model!$D$70,0)</f>
        <v>211.763783935069</v>
      </c>
      <c r="C19" s="21" t="n">
        <f aca="false">$B19*IF(Model!$B$5=1,Data!$D$10,Model!$AC$70)</f>
        <v>47.080324657151</v>
      </c>
      <c r="D19" s="21" t="n">
        <f aca="false">$B19*IF(Model!$B$5=1,Data!$E$10,Model!$AD$70)</f>
        <v>63.0993562832354</v>
      </c>
      <c r="E19" s="21" t="n">
        <f aca="false">$B19*IF(Model!$B$5=1,Data!$F$10,Model!$AE$70)</f>
        <v>40.9266722642038</v>
      </c>
      <c r="F19" s="21" t="n">
        <f aca="false">$B19*IF(Model!$B$5=1,Data!$G$10,Model!$AF$70)</f>
        <v>60.6574307304786</v>
      </c>
      <c r="G19" s="21" t="n">
        <f aca="false">$B19*Model!$S$70</f>
        <v>128.209715770769</v>
      </c>
      <c r="H19" s="21" t="n">
        <f aca="false">$B19*Model!$T$70</f>
        <v>32.0146187825655</v>
      </c>
      <c r="I19" s="21" t="n">
        <f aca="false">$B19*Model!$U$70</f>
        <v>15.1815354941134</v>
      </c>
      <c r="J19" s="21" t="n">
        <f aca="false">$B19*Model!$V$70</f>
        <v>15.1815354941134</v>
      </c>
      <c r="K19" s="21" t="n">
        <f aca="false">$B19*Model!$W$70</f>
        <v>14.3585000256315</v>
      </c>
      <c r="L19" s="21" t="n">
        <f aca="false">$B19*Model!$X$70</f>
        <v>3.93493568935091</v>
      </c>
      <c r="M19" s="21" t="n">
        <f aca="false">$B19*Model!$Y$70</f>
        <v>2.25656516062777</v>
      </c>
      <c r="N19" s="21" t="n">
        <f aca="false">$B19*Model!$Z$70</f>
        <v>0.232883948961585</v>
      </c>
      <c r="O19" s="21" t="n">
        <f aca="false">$B19*Model!$AA$70</f>
        <v>0.393493568935091</v>
      </c>
    </row>
    <row r="20" customFormat="false" ht="15" hidden="false" customHeight="true" outlineLevel="0" collapsed="false">
      <c r="A20" s="23" t="n">
        <v>2033</v>
      </c>
      <c r="B20" s="21" t="n">
        <f aca="false">IF($A20&lt;=Model!$B$3,Data!$B$11*Model!$D$70,0)</f>
        <v>211.763783935069</v>
      </c>
      <c r="C20" s="21" t="n">
        <f aca="false">$B20*IF(Model!$B$5=1,Data!$D$11,Model!$AC$70)</f>
        <v>46.7111623077816</v>
      </c>
      <c r="D20" s="21" t="n">
        <f aca="false">$B20*IF(Model!$B$5=1,Data!$E$11,Model!$AD$70)</f>
        <v>63.3239187770763</v>
      </c>
      <c r="E20" s="21" t="n">
        <f aca="false">$B20*IF(Model!$B$5=1,Data!$F$11,Model!$AE$70)</f>
        <v>40.9455585919676</v>
      </c>
      <c r="F20" s="21" t="n">
        <f aca="false">$B20*IF(Model!$B$5=1,Data!$G$11,Model!$AF$70)</f>
        <v>60.7831442582431</v>
      </c>
      <c r="G20" s="21" t="n">
        <f aca="false">$B20*Model!$S$70</f>
        <v>128.209715770769</v>
      </c>
      <c r="H20" s="21" t="n">
        <f aca="false">$B20*Model!$T$70</f>
        <v>32.0146187825655</v>
      </c>
      <c r="I20" s="21" t="n">
        <f aca="false">$B20*Model!$U$70</f>
        <v>15.1815354941134</v>
      </c>
      <c r="J20" s="21" t="n">
        <f aca="false">$B20*Model!$V$70</f>
        <v>15.1815354941134</v>
      </c>
      <c r="K20" s="21" t="n">
        <f aca="false">$B20*Model!$W$70</f>
        <v>14.3585000256315</v>
      </c>
      <c r="L20" s="21" t="n">
        <f aca="false">$B20*Model!$X$70</f>
        <v>3.93493568935091</v>
      </c>
      <c r="M20" s="21" t="n">
        <f aca="false">$B20*Model!$Y$70</f>
        <v>2.25656516062777</v>
      </c>
      <c r="N20" s="21" t="n">
        <f aca="false">$B20*Model!$Z$70</f>
        <v>0.232883948961585</v>
      </c>
      <c r="O20" s="21" t="n">
        <f aca="false">$B20*Model!$AA$70</f>
        <v>0.393493568935091</v>
      </c>
    </row>
    <row r="21" customFormat="false" ht="15" hidden="false" customHeight="true" outlineLevel="0" collapsed="false">
      <c r="A21" s="23" t="n">
        <v>2034</v>
      </c>
      <c r="B21" s="21" t="n">
        <f aca="false">IF($A21&lt;=Model!$B$3,Data!$B$12*Model!$D$70,0)</f>
        <v>211.763783935069</v>
      </c>
      <c r="C21" s="21" t="n">
        <f aca="false">$B21*IF(Model!$B$5=1,Data!$D$12,Model!$AC$70)</f>
        <v>46.2989084802688</v>
      </c>
      <c r="D21" s="21" t="n">
        <f aca="false">$B21*IF(Model!$B$5=1,Data!$E$12,Model!$AD$70)</f>
        <v>63.4900643716765</v>
      </c>
      <c r="E21" s="21" t="n">
        <f aca="false">$B21*IF(Model!$B$5=1,Data!$F$12,Model!$AE$70)</f>
        <v>40.9266722642038</v>
      </c>
      <c r="F21" s="21" t="n">
        <f aca="false">$B21*IF(Model!$B$5=1,Data!$G$12,Model!$AF$70)</f>
        <v>61.0481388189196</v>
      </c>
      <c r="G21" s="21" t="n">
        <f aca="false">$B21*Model!$S$70</f>
        <v>128.209715770769</v>
      </c>
      <c r="H21" s="21" t="n">
        <f aca="false">$B21*Model!$T$70</f>
        <v>32.0146187825655</v>
      </c>
      <c r="I21" s="21" t="n">
        <f aca="false">$B21*Model!$U$70</f>
        <v>15.1815354941134</v>
      </c>
      <c r="J21" s="21" t="n">
        <f aca="false">$B21*Model!$V$70</f>
        <v>15.1815354941134</v>
      </c>
      <c r="K21" s="21" t="n">
        <f aca="false">$B21*Model!$W$70</f>
        <v>14.3585000256315</v>
      </c>
      <c r="L21" s="21" t="n">
        <f aca="false">$B21*Model!$X$70</f>
        <v>3.93493568935091</v>
      </c>
      <c r="M21" s="21" t="n">
        <f aca="false">$B21*Model!$Y$70</f>
        <v>2.25656516062777</v>
      </c>
      <c r="N21" s="21" t="n">
        <f aca="false">$B21*Model!$Z$70</f>
        <v>0.232883948961585</v>
      </c>
      <c r="O21" s="21" t="n">
        <f aca="false">$B21*Model!$AA$70</f>
        <v>0.393493568935091</v>
      </c>
    </row>
    <row r="22" customFormat="false" ht="15" hidden="false" customHeight="true" outlineLevel="0" collapsed="false">
      <c r="A22" s="23" t="n">
        <v>2035</v>
      </c>
      <c r="B22" s="21" t="n">
        <f aca="false">IF($A22&lt;=Model!$B$3,Data!$B$13*Model!$D$70,0)</f>
        <v>204.633361321019</v>
      </c>
      <c r="C22" s="21" t="n">
        <f aca="false">$B22*IF(Model!$B$5=1,Data!$D$13,Model!$AC$70)</f>
        <v>43.8569829275118</v>
      </c>
      <c r="D22" s="21" t="n">
        <f aca="false">$B22*IF(Model!$B$5=1,Data!$E$13,Model!$AD$70)</f>
        <v>60.462076686258</v>
      </c>
      <c r="E22" s="21" t="n">
        <f aca="false">$B22*IF(Model!$B$5=1,Data!$F$13,Model!$AE$70)</f>
        <v>39.2661628883291</v>
      </c>
      <c r="F22" s="21" t="n">
        <f aca="false">$B22*IF(Model!$B$5=1,Data!$G$13,Model!$AF$70)</f>
        <v>61.0481388189197</v>
      </c>
      <c r="G22" s="21" t="n">
        <f aca="false">$B22*Model!$S$70</f>
        <v>123.892691208377</v>
      </c>
      <c r="H22" s="21" t="n">
        <f aca="false">$B22*Model!$T$70</f>
        <v>30.936635770053</v>
      </c>
      <c r="I22" s="21" t="n">
        <f aca="false">$B22*Model!$U$70</f>
        <v>14.6703491052434</v>
      </c>
      <c r="J22" s="21" t="n">
        <f aca="false">$B22*Model!$V$70</f>
        <v>14.6703491052434</v>
      </c>
      <c r="K22" s="21" t="n">
        <f aca="false">$B22*Model!$W$70</f>
        <v>13.8750265469087</v>
      </c>
      <c r="L22" s="21" t="n">
        <f aca="false">$B22*Model!$X$70</f>
        <v>3.80244016106558</v>
      </c>
      <c r="M22" s="21" t="n">
        <f aca="false">$B22*Model!$Y$70</f>
        <v>2.18058303114169</v>
      </c>
      <c r="N22" s="21" t="n">
        <f aca="false">$B22*Model!$Z$70</f>
        <v>0.225042376879391</v>
      </c>
      <c r="O22" s="21" t="n">
        <f aca="false">$B22*Model!$AA$70</f>
        <v>0.380244016106557</v>
      </c>
    </row>
    <row r="23" customFormat="false" ht="15" hidden="false" customHeight="true" outlineLevel="0" collapsed="false">
      <c r="A23" s="23" t="n">
        <v>2036</v>
      </c>
      <c r="B23" s="21" t="n">
        <f aca="false">IF($A23&lt;=Model!$B$3,Data!$B$14*Model!$D$70,0)</f>
        <v>155.013434089001</v>
      </c>
      <c r="C23" s="21" t="n">
        <f aca="false">$B23*IF(Model!$B$5=1,Data!$D$14,Model!$AC$70)</f>
        <v>37.3943756870041</v>
      </c>
      <c r="D23" s="21" t="n">
        <f aca="false">$B23*IF(Model!$B$5=1,Data!$E$14,Model!$AD$70)</f>
        <v>48.0971205050315</v>
      </c>
      <c r="E23" s="21" t="n">
        <f aca="false">$B23*IF(Model!$B$5=1,Data!$F$14,Model!$AE$70)</f>
        <v>28.9868018796146</v>
      </c>
      <c r="F23" s="21" t="n">
        <f aca="false">$B23*IF(Model!$B$5=1,Data!$G$14,Model!$AF$70)</f>
        <v>40.5351360173506</v>
      </c>
      <c r="G23" s="21" t="n">
        <f aca="false">$B23*Model!$S$70</f>
        <v>93.8509312399497</v>
      </c>
      <c r="H23" s="21" t="n">
        <f aca="false">$B23*Model!$T$70</f>
        <v>23.4350553542119</v>
      </c>
      <c r="I23" s="21" t="n">
        <f aca="false">$B23*Model!$U$70</f>
        <v>11.1130520429696</v>
      </c>
      <c r="J23" s="21" t="n">
        <f aca="false">$B23*Model!$V$70</f>
        <v>11.1130520429696</v>
      </c>
      <c r="K23" s="21" t="n">
        <f aca="false">$B23*Model!$W$70</f>
        <v>10.510580968947</v>
      </c>
      <c r="L23" s="21" t="n">
        <f aca="false">$B23*Model!$X$70</f>
        <v>2.88041648477855</v>
      </c>
      <c r="M23" s="21" t="n">
        <f aca="false">$B23*Model!$Y$70</f>
        <v>1.65183067800566</v>
      </c>
      <c r="N23" s="21" t="n">
        <f aca="false">$B23*Model!$Z$70</f>
        <v>0.170473628690976</v>
      </c>
      <c r="O23" s="21" t="n">
        <f aca="false">$B23*Model!$AA$70</f>
        <v>0.288041648477855</v>
      </c>
    </row>
    <row r="24" customFormat="false" ht="15" hidden="false" customHeight="true" outlineLevel="0" collapsed="false">
      <c r="A24" s="23" t="n">
        <v>2037</v>
      </c>
      <c r="B24" s="21" t="n">
        <f aca="false">IF($A24&lt;=Model!$B$3,Data!$B$15*Model!$D$70,0)</f>
        <v>153.743632801567</v>
      </c>
      <c r="C24" s="21" t="n">
        <f aca="false">$B24*IF(Model!$B$5=1,Data!$D$15,Model!$AC$70)</f>
        <v>37.0880575496814</v>
      </c>
      <c r="D24" s="21" t="n">
        <f aca="false">$B24*IF(Model!$B$5=1,Data!$E$15,Model!$AD$70)</f>
        <v>47.703130229943</v>
      </c>
      <c r="E24" s="21" t="n">
        <f aca="false">$B24*IF(Model!$B$5=1,Data!$F$15,Model!$AE$70)</f>
        <v>28.7493548572863</v>
      </c>
      <c r="F24" s="21" t="n">
        <f aca="false">$B24*IF(Model!$B$5=1,Data!$G$15,Model!$AF$70)</f>
        <v>40.2030901646567</v>
      </c>
      <c r="G24" s="21" t="n">
        <f aca="false">$B24*Model!$S$70</f>
        <v>93.0821460439073</v>
      </c>
      <c r="H24" s="21" t="n">
        <f aca="false">$B24*Model!$T$70</f>
        <v>23.2430857766412</v>
      </c>
      <c r="I24" s="21" t="n">
        <f aca="false">$B24*Model!$U$70</f>
        <v>11.0220188504311</v>
      </c>
      <c r="J24" s="21" t="n">
        <f aca="false">$B24*Model!$V$70</f>
        <v>11.0220188504311</v>
      </c>
      <c r="K24" s="21" t="n">
        <f aca="false">$B24*Model!$W$70</f>
        <v>10.4244829521882</v>
      </c>
      <c r="L24" s="21" t="n">
        <f aca="false">$B24*Model!$X$70</f>
        <v>2.85682139070034</v>
      </c>
      <c r="M24" s="21" t="n">
        <f aca="false">$B24*Model!$Y$70</f>
        <v>1.6382996138506</v>
      </c>
      <c r="N24" s="21" t="n">
        <f aca="false">$B24*Model!$Z$70</f>
        <v>0.169077184347571</v>
      </c>
      <c r="O24" s="21" t="n">
        <f aca="false">$B24*Model!$AA$70</f>
        <v>0.285682139070034</v>
      </c>
    </row>
    <row r="25" customFormat="false" ht="15" hidden="false" customHeight="true" outlineLevel="0" collapsed="false">
      <c r="A25" s="23" t="n">
        <v>2038</v>
      </c>
      <c r="B25" s="21" t="n">
        <f aca="false">IF($A25&lt;=Model!$B$3,Data!$B$16*Model!$D$70,0)</f>
        <v>151.887769381472</v>
      </c>
      <c r="C25" s="21" t="n">
        <f aca="false">$B25*IF(Model!$B$5=1,Data!$D$16,Model!$AC$70)</f>
        <v>36.6403618105177</v>
      </c>
      <c r="D25" s="21" t="n">
        <f aca="false">$B25*IF(Model!$B$5=1,Data!$E$16,Model!$AD$70)</f>
        <v>47.1272982894291</v>
      </c>
      <c r="E25" s="21" t="n">
        <f aca="false">$B25*IF(Model!$B$5=1,Data!$F$16,Model!$AE$70)</f>
        <v>28.4023169015758</v>
      </c>
      <c r="F25" s="21" t="n">
        <f aca="false">$B25*IF(Model!$B$5=1,Data!$G$16,Model!$AF$70)</f>
        <v>39.7177923799498</v>
      </c>
      <c r="G25" s="21" t="n">
        <f aca="false">$B25*Model!$S$70</f>
        <v>91.9585369112299</v>
      </c>
      <c r="H25" s="21" t="n">
        <f aca="false">$B25*Model!$T$70</f>
        <v>22.9625148555763</v>
      </c>
      <c r="I25" s="21" t="n">
        <f aca="false">$B25*Model!$U$70</f>
        <v>10.8889703382594</v>
      </c>
      <c r="J25" s="21" t="n">
        <f aca="false">$B25*Model!$V$70</f>
        <v>10.8889703382594</v>
      </c>
      <c r="K25" s="21" t="n">
        <f aca="false">$B25*Model!$W$70</f>
        <v>10.2986473892329</v>
      </c>
      <c r="L25" s="21" t="n">
        <f aca="false">$B25*Model!$X$70</f>
        <v>2.82233625320142</v>
      </c>
      <c r="M25" s="21" t="n">
        <f aca="false">$B25*Model!$Y$70</f>
        <v>1.61852344316245</v>
      </c>
      <c r="N25" s="21" t="n">
        <f aca="false">$B25*Model!$Z$70</f>
        <v>0.167036227230288</v>
      </c>
      <c r="O25" s="21" t="n">
        <f aca="false">$B25*Model!$AA$70</f>
        <v>0.282233625320142</v>
      </c>
    </row>
    <row r="26" customFormat="false" ht="15" hidden="false" customHeight="true" outlineLevel="0" collapsed="false">
      <c r="A26" s="23" t="n">
        <v>2039</v>
      </c>
      <c r="B26" s="21" t="n">
        <f aca="false">IF($A26&lt;=Model!$B$3,Data!$B$17*Model!$D$70,0)</f>
        <v>150.520291071928</v>
      </c>
      <c r="C26" s="21" t="n">
        <f aca="false">$B26*IF(Model!$B$5=1,Data!$D$17,Model!$AC$70)</f>
        <v>36.3104807395547</v>
      </c>
      <c r="D26" s="21" t="n">
        <f aca="false">$B26*IF(Model!$B$5=1,Data!$E$17,Model!$AD$70)</f>
        <v>46.7030010701029</v>
      </c>
      <c r="E26" s="21" t="n">
        <f aca="false">$B26*IF(Model!$B$5=1,Data!$F$17,Model!$AE$70)</f>
        <v>28.1466047236838</v>
      </c>
      <c r="F26" s="21" t="n">
        <f aca="false">$B26*IF(Model!$B$5=1,Data!$G$17,Model!$AF$70)</f>
        <v>39.360204538587</v>
      </c>
      <c r="G26" s="21" t="n">
        <f aca="false">$B26*Model!$S$70</f>
        <v>91.1306143924149</v>
      </c>
      <c r="H26" s="21" t="n">
        <f aca="false">$B26*Model!$T$70</f>
        <v>22.7557783874232</v>
      </c>
      <c r="I26" s="21" t="n">
        <f aca="false">$B26*Model!$U$70</f>
        <v>10.7909345924487</v>
      </c>
      <c r="J26" s="21" t="n">
        <f aca="false">$B26*Model!$V$70</f>
        <v>10.7909345924487</v>
      </c>
      <c r="K26" s="21" t="n">
        <f aca="false">$B26*Model!$W$70</f>
        <v>10.205926448108</v>
      </c>
      <c r="L26" s="21" t="n">
        <f aca="false">$B26*Model!$X$70</f>
        <v>2.79692615188642</v>
      </c>
      <c r="M26" s="21" t="n">
        <f aca="false">$B26*Model!$Y$70</f>
        <v>1.60395152791854</v>
      </c>
      <c r="N26" s="21" t="n">
        <f aca="false">$B26*Model!$Z$70</f>
        <v>0.165532364091237</v>
      </c>
      <c r="O26" s="21" t="n">
        <f aca="false">$B26*Model!$AA$70</f>
        <v>0.279692615188642</v>
      </c>
    </row>
    <row r="27" customFormat="false" ht="15" hidden="false" customHeight="true" outlineLevel="0" collapsed="false">
      <c r="A27" s="23" t="n">
        <v>2040</v>
      </c>
      <c r="B27" s="21" t="n">
        <f aca="false">IF($A27&lt;=Model!$B$3,Data!$B$18*Model!$D$70,0)</f>
        <v>148.957458718164</v>
      </c>
      <c r="C27" s="21" t="n">
        <f aca="false">$B27*IF(Model!$B$5=1,Data!$D$18,Model!$AC$70)</f>
        <v>35.9334738013114</v>
      </c>
      <c r="D27" s="21" t="n">
        <f aca="false">$B27*IF(Model!$B$5=1,Data!$E$18,Model!$AD$70)</f>
        <v>46.2180899623019</v>
      </c>
      <c r="E27" s="21" t="n">
        <f aca="false">$B27*IF(Model!$B$5=1,Data!$F$18,Model!$AE$70)</f>
        <v>27.8543622346643</v>
      </c>
      <c r="F27" s="21" t="n">
        <f aca="false">$B27*IF(Model!$B$5=1,Data!$G$18,Model!$AF$70)</f>
        <v>38.9515327198864</v>
      </c>
      <c r="G27" s="21" t="n">
        <f aca="false">$B27*Model!$S$70</f>
        <v>90.184417228055</v>
      </c>
      <c r="H27" s="21" t="n">
        <f aca="false">$B27*Model!$T$70</f>
        <v>22.5195081381054</v>
      </c>
      <c r="I27" s="21" t="n">
        <f aca="false">$B27*Model!$U$70</f>
        <v>10.6788937400936</v>
      </c>
      <c r="J27" s="21" t="n">
        <f aca="false">$B27*Model!$V$70</f>
        <v>10.6788937400936</v>
      </c>
      <c r="K27" s="21" t="n">
        <f aca="false">$B27*Model!$W$70</f>
        <v>10.0999596582509</v>
      </c>
      <c r="L27" s="21" t="n">
        <f aca="false">$B27*Model!$X$70</f>
        <v>2.76788603609785</v>
      </c>
      <c r="M27" s="21" t="n">
        <f aca="false">$B27*Model!$Y$70</f>
        <v>1.58729791049693</v>
      </c>
      <c r="N27" s="21" t="n">
        <f aca="false">$B27*Model!$Z$70</f>
        <v>0.163813663360893</v>
      </c>
      <c r="O27" s="21" t="n">
        <f aca="false">$B27*Model!$AA$70</f>
        <v>0.276788603609785</v>
      </c>
    </row>
    <row r="28" customFormat="false" ht="15" hidden="false" customHeight="true" outlineLevel="0" collapsed="false">
      <c r="A28" s="24" t="s">
        <v>122</v>
      </c>
      <c r="B28" s="25" t="n">
        <f aca="false">SUM(B13:B27)</f>
        <v>3893.79680940386</v>
      </c>
      <c r="C28" s="25" t="n">
        <f aca="false">SUM(C13:C27)</f>
        <v>939.309601076708</v>
      </c>
      <c r="D28" s="25" t="n">
        <f aca="false">SUM(D13:D27)</f>
        <v>1208.15442854222</v>
      </c>
      <c r="E28" s="25" t="n">
        <f aca="false">SUM(E13:E27)</f>
        <v>728.122661996744</v>
      </c>
      <c r="F28" s="25" t="n">
        <f aca="false">SUM(F13:F27)</f>
        <v>1018.21011778819</v>
      </c>
      <c r="G28" s="25" t="n">
        <f aca="false">SUM(G13:G27)</f>
        <v>2357.45023500274</v>
      </c>
      <c r="H28" s="25" t="n">
        <f aca="false">SUM(H13:H27)</f>
        <v>588.667326175366</v>
      </c>
      <c r="I28" s="25" t="n">
        <f aca="false">SUM(I13:I27)</f>
        <v>279.149783642683</v>
      </c>
      <c r="J28" s="25" t="n">
        <f aca="false">SUM(J13:J27)</f>
        <v>279.149783642683</v>
      </c>
      <c r="K28" s="25" t="n">
        <f aca="false">SUM(K13:K27)</f>
        <v>264.016256928863</v>
      </c>
      <c r="L28" s="25" t="n">
        <f aca="false">SUM(L13:L27)</f>
        <v>72.3534484872163</v>
      </c>
      <c r="M28" s="25" t="n">
        <f aca="false">SUM(M13:M27)</f>
        <v>41.4924878059342</v>
      </c>
      <c r="N28" s="25" t="n">
        <f aca="false">SUM(N13:N27)</f>
        <v>4.28214286965157</v>
      </c>
      <c r="O28" s="25" t="n">
        <f aca="false">SUM(O13:O27)</f>
        <v>7.23534484872163</v>
      </c>
    </row>
    <row r="29" customFormat="false" ht="15" hidden="false" customHeight="true" outlineLevel="0" collapsed="false">
      <c r="A29" s="3" t="s">
        <v>123</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124</v>
      </c>
    </row>
    <row r="33" customFormat="false" ht="23.25" hidden="false" customHeight="true" outlineLevel="0" collapsed="false">
      <c r="A33" s="4" t="s">
        <v>125</v>
      </c>
      <c r="B33" s="5" t="s">
        <v>126</v>
      </c>
      <c r="C33" s="5" t="s">
        <v>127</v>
      </c>
      <c r="D33" s="5" t="s">
        <v>128</v>
      </c>
      <c r="E33" s="5" t="s">
        <v>127</v>
      </c>
      <c r="F33" s="5" t="s">
        <v>129</v>
      </c>
      <c r="G33" s="5" t="s">
        <v>127</v>
      </c>
    </row>
    <row r="34" customFormat="false" ht="15" hidden="false" customHeight="true" outlineLevel="0" collapsed="false">
      <c r="A34" s="13" t="s">
        <v>109</v>
      </c>
      <c r="B34" s="21" t="n">
        <f aca="false">Data!$H$47*Data!$M$47/SUM(Data!$H$47:$K$47)</f>
        <v>778.144862972833</v>
      </c>
      <c r="C34" s="22" t="n">
        <f aca="false">IF($B$38&gt;0,B34/$B$38,0)</f>
        <v>0.0282407223260809</v>
      </c>
      <c r="D34" s="21" t="n">
        <f aca="false">C28</f>
        <v>939.309601076708</v>
      </c>
      <c r="E34" s="22" t="n">
        <f aca="false">IF($D$38&gt;0,D34/$D$38,0)</f>
        <v>0.241232310532536</v>
      </c>
      <c r="F34" s="21" t="n">
        <f aca="false">B34+D34</f>
        <v>1717.45446404954</v>
      </c>
      <c r="G34" s="22" t="n">
        <f aca="false">IF($F$38&gt;0,F34/$F$38,0)</f>
        <v>0.0546128707985028</v>
      </c>
    </row>
    <row r="35" customFormat="false" ht="15" hidden="false" customHeight="true" outlineLevel="0" collapsed="false">
      <c r="A35" s="13" t="s">
        <v>110</v>
      </c>
      <c r="B35" s="21" t="n">
        <f aca="false">Data!$I$47*Data!$M$47/SUM(Data!$H$47:$K$47)</f>
        <v>2977.77407422139</v>
      </c>
      <c r="C35" s="22" t="n">
        <f aca="false">IF($B$38&gt;0,B35/$B$38,0)</f>
        <v>0.108070482478819</v>
      </c>
      <c r="D35" s="21" t="n">
        <f aca="false">D28</f>
        <v>1208.15442854222</v>
      </c>
      <c r="E35" s="22" t="n">
        <f aca="false">IF($D$38&gt;0,D35/$D$38,0)</f>
        <v>0.310276701040081</v>
      </c>
      <c r="F35" s="21" t="n">
        <f aca="false">B35+D35</f>
        <v>4185.92850276361</v>
      </c>
      <c r="G35" s="22" t="n">
        <f aca="false">IF($F$38&gt;0,F35/$F$38,0)</f>
        <v>0.133107210280368</v>
      </c>
    </row>
    <row r="36" customFormat="false" ht="15" hidden="false" customHeight="true" outlineLevel="0" collapsed="false">
      <c r="A36" s="13" t="s">
        <v>111</v>
      </c>
      <c r="B36" s="21" t="n">
        <f aca="false">Data!$J$47*Data!$M$47/SUM(Data!$H$47:$K$47)</f>
        <v>9458.29601050078</v>
      </c>
      <c r="C36" s="22" t="n">
        <f aca="false">IF($B$38&gt;0,B36/$B$38,0)</f>
        <v>0.343263991090251</v>
      </c>
      <c r="D36" s="21" t="n">
        <f aca="false">E28</f>
        <v>728.122661996744</v>
      </c>
      <c r="E36" s="22" t="n">
        <f aca="false">IF($D$38&gt;0,D36/$D$38,0)</f>
        <v>0.186995546413275</v>
      </c>
      <c r="F36" s="21" t="n">
        <f aca="false">B36+D36</f>
        <v>10186.4186724975</v>
      </c>
      <c r="G36" s="22" t="n">
        <f aca="false">IF($F$38&gt;0,F36/$F$38,0)</f>
        <v>0.323915177086475</v>
      </c>
    </row>
    <row r="37" customFormat="false" ht="15" hidden="false" customHeight="true" outlineLevel="0" collapsed="false">
      <c r="A37" s="13" t="s">
        <v>112</v>
      </c>
      <c r="B37" s="21" t="n">
        <f aca="false">Data!$K$47*Data!$M$47/SUM(Data!$H$47:$K$47)</f>
        <v>14339.785052305</v>
      </c>
      <c r="C37" s="22" t="n">
        <f aca="false">IF($B$38&gt;0,B37/$B$38,0)</f>
        <v>0.520424804104849</v>
      </c>
      <c r="D37" s="21" t="n">
        <f aca="false">F28</f>
        <v>1018.21011778819</v>
      </c>
      <c r="E37" s="22" t="n">
        <f aca="false">IF($D$38&gt;0,D37/$D$38,0)</f>
        <v>0.261495442014109</v>
      </c>
      <c r="F37" s="21" t="n">
        <f aca="false">B37+D37</f>
        <v>15357.9951700932</v>
      </c>
      <c r="G37" s="22" t="n">
        <f aca="false">IF($F$38&gt;0,F37/$F$38,0)</f>
        <v>0.488364741834655</v>
      </c>
    </row>
    <row r="38" customFormat="false" ht="15" hidden="false" customHeight="true" outlineLevel="0" collapsed="false">
      <c r="A38" s="24" t="s">
        <v>61</v>
      </c>
      <c r="B38" s="25" t="n">
        <f aca="false">SUM(B34:B37)</f>
        <v>27554</v>
      </c>
      <c r="C38" s="27" t="n">
        <f aca="false">SUM(C34:C37)</f>
        <v>1</v>
      </c>
      <c r="D38" s="25" t="n">
        <f aca="false">SUM(D34:D37)</f>
        <v>3893.79680940386</v>
      </c>
      <c r="E38" s="27" t="n">
        <f aca="false">SUM(E34:E37)</f>
        <v>1</v>
      </c>
      <c r="F38" s="25" t="n">
        <f aca="false">SUM(F34:F37)</f>
        <v>31447.7968094039</v>
      </c>
      <c r="G38" s="27" t="n">
        <f aca="false">SUM(G34:G37)</f>
        <v>1</v>
      </c>
    </row>
    <row r="39" customFormat="false" ht="15" hidden="false" customHeight="true" outlineLevel="0" collapsed="false">
      <c r="A39" s="3" t="s">
        <v>130</v>
      </c>
    </row>
    <row r="40" customFormat="false" ht="15" hidden="false" customHeight="true" outlineLevel="0" collapsed="false">
      <c r="A40" s="3" t="s">
        <v>399</v>
      </c>
    </row>
    <row r="41" customFormat="false" ht="15" hidden="false" customHeight="true" outlineLevel="0" collapsed="false">
      <c r="A41" s="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400</v>
      </c>
    </row>
    <row r="2" customFormat="false" ht="15" hidden="false" customHeight="true" outlineLevel="0" collapsed="false">
      <c r="A2" s="3" t="s">
        <v>401</v>
      </c>
    </row>
    <row r="4" customFormat="false" ht="15" hidden="false" customHeight="true" outlineLevel="0" collapsed="false">
      <c r="A4" s="4" t="s">
        <v>402</v>
      </c>
      <c r="B4" s="5" t="s">
        <v>403</v>
      </c>
      <c r="C4" s="5" t="s">
        <v>404</v>
      </c>
      <c r="D4" s="5" t="s">
        <v>405</v>
      </c>
      <c r="E4" s="5" t="s">
        <v>406</v>
      </c>
    </row>
    <row r="5" customFormat="false" ht="15" hidden="false" customHeight="true" outlineLevel="0" collapsed="false">
      <c r="A5" s="78" t="s">
        <v>407</v>
      </c>
      <c r="B5" s="79"/>
      <c r="C5" s="79"/>
      <c r="D5" s="79"/>
      <c r="E5" s="79"/>
    </row>
    <row r="6" customFormat="false" ht="15" hidden="false" customHeight="true" outlineLevel="0" collapsed="false">
      <c r="A6" s="13" t="s">
        <v>408</v>
      </c>
      <c r="C6" s="80" t="n">
        <f aca="false">COUNTIF(E9:E105,"PASS")+COUNTIF(E9:E105,"FAIL")</f>
        <v>91</v>
      </c>
    </row>
    <row r="7" customFormat="false" ht="15" hidden="false" customHeight="true" outlineLevel="0" collapsed="false">
      <c r="A7" s="13" t="s">
        <v>409</v>
      </c>
      <c r="C7" s="80" t="n">
        <f aca="false">COUNTIF(E9:E105,"FAIL")</f>
        <v>0</v>
      </c>
      <c r="E7" s="12" t="str">
        <f aca="false">IF(C7=0,"ALL PASS","CHECK")</f>
        <v>ALL PASS</v>
      </c>
    </row>
    <row r="9" customFormat="false" ht="15" hidden="false" customHeight="true" outlineLevel="0" collapsed="false">
      <c r="A9" s="78" t="s">
        <v>410</v>
      </c>
      <c r="B9" s="79"/>
      <c r="C9" s="79"/>
      <c r="D9" s="79"/>
      <c r="E9" s="79"/>
    </row>
    <row r="10" customFormat="false" ht="15" hidden="false" customHeight="true" outlineLevel="0" collapsed="false">
      <c r="A10" s="17" t="s">
        <v>411</v>
      </c>
      <c r="B10" s="39" t="n">
        <f aca="false">Model!$B$17</f>
        <v>39864</v>
      </c>
      <c r="C10" s="39" t="n">
        <f aca="false">Total!B28</f>
        <v>39864</v>
      </c>
      <c r="D10" s="81" t="n">
        <f aca="false">C10-B10</f>
        <v>0</v>
      </c>
      <c r="E10" s="12" t="str">
        <f aca="false">IF(ABS(D10)&lt;=0.01,"PASS","FAIL")</f>
        <v>PASS</v>
      </c>
    </row>
    <row r="11" customFormat="false" ht="15" hidden="false" customHeight="true" outlineLevel="0" collapsed="false">
      <c r="A11" s="17" t="s">
        <v>412</v>
      </c>
      <c r="B11" s="82" t="n">
        <v>1</v>
      </c>
      <c r="C11" s="82" t="n">
        <f aca="false">SUM(Model!$D$46:$D$70)</f>
        <v>1</v>
      </c>
      <c r="D11" s="81" t="n">
        <f aca="false">C11-B11</f>
        <v>0</v>
      </c>
      <c r="E11" s="12" t="str">
        <f aca="false">IF(ABS(D11)&lt;=0.0001,"PASS","FAIL")</f>
        <v>PASS</v>
      </c>
    </row>
    <row r="12" customFormat="false" ht="15" hidden="false" customHeight="true" outlineLevel="0" collapsed="false">
      <c r="A12" s="17" t="s">
        <v>413</v>
      </c>
      <c r="B12" s="39" t="n">
        <f aca="false">IF(2026&lt;=Model!$B$3,Data!$B$4,0)</f>
        <v>4263</v>
      </c>
      <c r="C12" s="39" t="n">
        <f aca="false">Total!B13</f>
        <v>4263</v>
      </c>
      <c r="D12" s="81" t="n">
        <f aca="false">C12-B12</f>
        <v>0</v>
      </c>
      <c r="E12" s="12" t="str">
        <f aca="false">IF(ABS(D12)&lt;=0.01,"PASS","FAIL")</f>
        <v>PASS</v>
      </c>
    </row>
    <row r="13" customFormat="false" ht="15" hidden="false" customHeight="true" outlineLevel="0" collapsed="false">
      <c r="A13" s="17" t="s">
        <v>414</v>
      </c>
      <c r="B13" s="39" t="n">
        <f aca="false">IF(2027&lt;=Model!$B$3,Data!$B$5,0)</f>
        <v>4263</v>
      </c>
      <c r="C13" s="39" t="n">
        <f aca="false">Total!B14</f>
        <v>4263</v>
      </c>
      <c r="D13" s="81" t="n">
        <f aca="false">C13-B13</f>
        <v>0</v>
      </c>
      <c r="E13" s="12" t="str">
        <f aca="false">IF(ABS(D13)&lt;=0.01,"PASS","FAIL")</f>
        <v>PASS</v>
      </c>
    </row>
    <row r="14" customFormat="false" ht="15" hidden="false" customHeight="true" outlineLevel="0" collapsed="false">
      <c r="A14" s="17" t="s">
        <v>415</v>
      </c>
      <c r="B14" s="39" t="n">
        <f aca="false">IF(2028&lt;=Model!$B$3,Data!$B$6,0)</f>
        <v>4263</v>
      </c>
      <c r="C14" s="39" t="n">
        <f aca="false">Total!B15</f>
        <v>4263</v>
      </c>
      <c r="D14" s="81" t="n">
        <f aca="false">C14-B14</f>
        <v>0</v>
      </c>
      <c r="E14" s="12" t="str">
        <f aca="false">IF(ABS(D14)&lt;=0.01,"PASS","FAIL")</f>
        <v>PASS</v>
      </c>
    </row>
    <row r="15" customFormat="false" ht="15" hidden="false" customHeight="true" outlineLevel="0" collapsed="false">
      <c r="A15" s="17" t="s">
        <v>416</v>
      </c>
      <c r="B15" s="39" t="n">
        <f aca="false">IF(2029&lt;=Model!$B$3,Data!$B$7,0)</f>
        <v>4263</v>
      </c>
      <c r="C15" s="39" t="n">
        <f aca="false">Total!B16</f>
        <v>4263</v>
      </c>
      <c r="D15" s="81" t="n">
        <f aca="false">C15-B15</f>
        <v>0</v>
      </c>
      <c r="E15" s="12" t="str">
        <f aca="false">IF(ABS(D15)&lt;=0.01,"PASS","FAIL")</f>
        <v>PASS</v>
      </c>
    </row>
    <row r="16" customFormat="false" ht="15" hidden="false" customHeight="true" outlineLevel="0" collapsed="false">
      <c r="A16" s="17" t="s">
        <v>417</v>
      </c>
      <c r="B16" s="39" t="n">
        <f aca="false">IF(2030&lt;=Model!$B$3,Data!$B$8,0)</f>
        <v>4263</v>
      </c>
      <c r="C16" s="39" t="n">
        <f aca="false">Total!B17</f>
        <v>4263</v>
      </c>
      <c r="D16" s="81" t="n">
        <f aca="false">C16-B16</f>
        <v>0</v>
      </c>
      <c r="E16" s="12" t="str">
        <f aca="false">IF(ABS(D16)&lt;=0.01,"PASS","FAIL")</f>
        <v>PASS</v>
      </c>
    </row>
    <row r="17" customFormat="false" ht="15" hidden="false" customHeight="true" outlineLevel="0" collapsed="false">
      <c r="A17" s="17" t="s">
        <v>418</v>
      </c>
      <c r="B17" s="39" t="n">
        <f aca="false">IF(2031&lt;=Model!$B$3,Data!$B$9,0)</f>
        <v>2168</v>
      </c>
      <c r="C17" s="39" t="n">
        <f aca="false">Total!B18</f>
        <v>2168</v>
      </c>
      <c r="D17" s="81" t="n">
        <f aca="false">C17-B17</f>
        <v>0</v>
      </c>
      <c r="E17" s="12" t="str">
        <f aca="false">IF(ABS(D17)&lt;=0.01,"PASS","FAIL")</f>
        <v>PASS</v>
      </c>
    </row>
    <row r="18" customFormat="false" ht="15" hidden="false" customHeight="true" outlineLevel="0" collapsed="false">
      <c r="A18" s="17" t="s">
        <v>419</v>
      </c>
      <c r="B18" s="39" t="n">
        <f aca="false">IF(2032&lt;=Model!$B$3,Data!$B$10,0)</f>
        <v>2168</v>
      </c>
      <c r="C18" s="39" t="n">
        <f aca="false">Total!B19</f>
        <v>2168</v>
      </c>
      <c r="D18" s="81" t="n">
        <f aca="false">C18-B18</f>
        <v>0</v>
      </c>
      <c r="E18" s="12" t="str">
        <f aca="false">IF(ABS(D18)&lt;=0.01,"PASS","FAIL")</f>
        <v>PASS</v>
      </c>
    </row>
    <row r="19" customFormat="false" ht="15" hidden="false" customHeight="true" outlineLevel="0" collapsed="false">
      <c r="A19" s="17" t="s">
        <v>420</v>
      </c>
      <c r="B19" s="39" t="n">
        <f aca="false">IF(2033&lt;=Model!$B$3,Data!$B$11,0)</f>
        <v>2168</v>
      </c>
      <c r="C19" s="39" t="n">
        <f aca="false">Total!B20</f>
        <v>2168</v>
      </c>
      <c r="D19" s="81" t="n">
        <f aca="false">C19-B19</f>
        <v>0</v>
      </c>
      <c r="E19" s="12" t="str">
        <f aca="false">IF(ABS(D19)&lt;=0.01,"PASS","FAIL")</f>
        <v>PASS</v>
      </c>
    </row>
    <row r="20" customFormat="false" ht="15" hidden="false" customHeight="true" outlineLevel="0" collapsed="false">
      <c r="A20" s="17" t="s">
        <v>421</v>
      </c>
      <c r="B20" s="39" t="n">
        <f aca="false">IF(2034&lt;=Model!$B$3,Data!$B$12,0)</f>
        <v>2168</v>
      </c>
      <c r="C20" s="39" t="n">
        <f aca="false">Total!B21</f>
        <v>2168</v>
      </c>
      <c r="D20" s="81" t="n">
        <f aca="false">C20-B20</f>
        <v>0</v>
      </c>
      <c r="E20" s="12" t="str">
        <f aca="false">IF(ABS(D20)&lt;=0.01,"PASS","FAIL")</f>
        <v>PASS</v>
      </c>
    </row>
    <row r="21" customFormat="false" ht="15" hidden="false" customHeight="true" outlineLevel="0" collapsed="false">
      <c r="A21" s="17" t="s">
        <v>422</v>
      </c>
      <c r="B21" s="39" t="n">
        <f aca="false">IF(2035&lt;=Model!$B$3,Data!$B$13,0)</f>
        <v>2095</v>
      </c>
      <c r="C21" s="39" t="n">
        <f aca="false">Total!B22</f>
        <v>2095</v>
      </c>
      <c r="D21" s="81" t="n">
        <f aca="false">C21-B21</f>
        <v>0</v>
      </c>
      <c r="E21" s="12" t="str">
        <f aca="false">IF(ABS(D21)&lt;=0.01,"PASS","FAIL")</f>
        <v>PASS</v>
      </c>
    </row>
    <row r="22" customFormat="false" ht="15" hidden="false" customHeight="true" outlineLevel="0" collapsed="false">
      <c r="A22" s="17" t="s">
        <v>423</v>
      </c>
      <c r="B22" s="39" t="n">
        <f aca="false">IF(2036&lt;=Model!$B$3,Data!$B$14,0)</f>
        <v>1587</v>
      </c>
      <c r="C22" s="39" t="n">
        <f aca="false">Total!B23</f>
        <v>1587</v>
      </c>
      <c r="D22" s="81" t="n">
        <f aca="false">C22-B22</f>
        <v>0</v>
      </c>
      <c r="E22" s="12" t="str">
        <f aca="false">IF(ABS(D22)&lt;=0.01,"PASS","FAIL")</f>
        <v>PASS</v>
      </c>
    </row>
    <row r="23" customFormat="false" ht="15" hidden="false" customHeight="true" outlineLevel="0" collapsed="false">
      <c r="A23" s="17" t="s">
        <v>424</v>
      </c>
      <c r="B23" s="39" t="n">
        <f aca="false">IF(2037&lt;=Model!$B$3,Data!$B$15,0)</f>
        <v>1574</v>
      </c>
      <c r="C23" s="39" t="n">
        <f aca="false">Total!B24</f>
        <v>1574</v>
      </c>
      <c r="D23" s="81" t="n">
        <f aca="false">C23-B23</f>
        <v>0</v>
      </c>
      <c r="E23" s="12" t="str">
        <f aca="false">IF(ABS(D23)&lt;=0.01,"PASS","FAIL")</f>
        <v>PASS</v>
      </c>
    </row>
    <row r="24" customFormat="false" ht="15" hidden="false" customHeight="true" outlineLevel="0" collapsed="false">
      <c r="A24" s="17" t="s">
        <v>425</v>
      </c>
      <c r="B24" s="39" t="n">
        <f aca="false">IF(2038&lt;=Model!$B$3,Data!$B$16,0)</f>
        <v>1555</v>
      </c>
      <c r="C24" s="39" t="n">
        <f aca="false">Total!B25</f>
        <v>1555</v>
      </c>
      <c r="D24" s="81" t="n">
        <f aca="false">C24-B24</f>
        <v>0</v>
      </c>
      <c r="E24" s="12" t="str">
        <f aca="false">IF(ABS(D24)&lt;=0.01,"PASS","FAIL")</f>
        <v>PASS</v>
      </c>
    </row>
    <row r="25" customFormat="false" ht="15" hidden="false" customHeight="true" outlineLevel="0" collapsed="false">
      <c r="A25" s="17" t="s">
        <v>426</v>
      </c>
      <c r="B25" s="39" t="n">
        <f aca="false">IF(2039&lt;=Model!$B$3,Data!$B$17,0)</f>
        <v>1541</v>
      </c>
      <c r="C25" s="39" t="n">
        <f aca="false">Total!B26</f>
        <v>1541</v>
      </c>
      <c r="D25" s="81" t="n">
        <f aca="false">C25-B25</f>
        <v>0</v>
      </c>
      <c r="E25" s="12" t="str">
        <f aca="false">IF(ABS(D25)&lt;=0.01,"PASS","FAIL")</f>
        <v>PASS</v>
      </c>
    </row>
    <row r="26" customFormat="false" ht="15" hidden="false" customHeight="true" outlineLevel="0" collapsed="false">
      <c r="A26" s="17" t="s">
        <v>427</v>
      </c>
      <c r="B26" s="39" t="n">
        <f aca="false">IF(2040&lt;=Model!$B$3,Data!$B$18,0)</f>
        <v>1525</v>
      </c>
      <c r="C26" s="39" t="n">
        <f aca="false">Total!B27</f>
        <v>1525</v>
      </c>
      <c r="D26" s="81" t="n">
        <f aca="false">C26-B26</f>
        <v>0</v>
      </c>
      <c r="E26" s="12" t="str">
        <f aca="false">IF(ABS(D26)&lt;=0.01,"PASS","FAIL")</f>
        <v>PASS</v>
      </c>
    </row>
    <row r="27" customFormat="false" ht="15" hidden="false" customHeight="true" outlineLevel="0" collapsed="false">
      <c r="A27" s="17" t="s">
        <v>428</v>
      </c>
      <c r="B27" s="39"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9" t="n">
        <f aca="false">Total!B28</f>
        <v>39864</v>
      </c>
      <c r="D27" s="81" t="n">
        <f aca="false">C27-B27</f>
        <v>0</v>
      </c>
      <c r="E27" s="12" t="str">
        <f aca="false">IF(ABS(D27)&lt;=0.01,"PASS","FAIL")</f>
        <v>PASS</v>
      </c>
    </row>
    <row r="28" customFormat="false" ht="15" hidden="false" customHeight="true" outlineLevel="0" collapsed="false">
      <c r="A28" s="78" t="s">
        <v>429</v>
      </c>
      <c r="B28" s="79"/>
      <c r="C28" s="79"/>
      <c r="D28" s="79"/>
      <c r="E28" s="79"/>
    </row>
    <row r="29" customFormat="false" ht="15" hidden="false" customHeight="true" outlineLevel="0" collapsed="false">
      <c r="A29" s="17" t="s">
        <v>430</v>
      </c>
      <c r="B29" s="39" t="n">
        <f aca="false">Total!B28</f>
        <v>39864</v>
      </c>
      <c r="C29" s="39" t="n">
        <f aca="false">SUM(Total!C28:F28)</f>
        <v>39864</v>
      </c>
      <c r="D29" s="81" t="n">
        <f aca="false">C29-B29</f>
        <v>0</v>
      </c>
      <c r="E29" s="12" t="str">
        <f aca="false">IF(ABS(D29)&lt;=0.01,"PASS","FAIL")</f>
        <v>PASS</v>
      </c>
    </row>
    <row r="30" customFormat="false" ht="15" hidden="false" customHeight="true" outlineLevel="0" collapsed="false">
      <c r="A30" s="17" t="s">
        <v>431</v>
      </c>
      <c r="B30" s="39" t="n">
        <f aca="false">Total!B28</f>
        <v>39864</v>
      </c>
      <c r="C30" s="39" t="n">
        <f aca="false">SUM(Total!G28:O28)</f>
        <v>39864</v>
      </c>
      <c r="D30" s="81" t="n">
        <f aca="false">C30-B30</f>
        <v>0</v>
      </c>
      <c r="E30" s="12" t="str">
        <f aca="false">IF(ABS(D30)&lt;=0.01,"PASS","FAIL")</f>
        <v>PASS</v>
      </c>
    </row>
    <row r="31" customFormat="false" ht="15" hidden="false" customHeight="true" outlineLevel="0" collapsed="false">
      <c r="A31" s="17" t="s">
        <v>432</v>
      </c>
      <c r="B31" s="39" t="n">
        <f aca="false">Ballinacurra!B28</f>
        <v>1208.55116597063</v>
      </c>
      <c r="C31" s="39" t="n">
        <f aca="false">SUM(Ballinacurra!C28:F28)</f>
        <v>1208.55116597063</v>
      </c>
      <c r="D31" s="81" t="n">
        <f aca="false">C31-B31</f>
        <v>0</v>
      </c>
      <c r="E31" s="12" t="str">
        <f aca="false">IF(ABS(D31)&lt;=0.01,"PASS","FAIL")</f>
        <v>PASS</v>
      </c>
    </row>
    <row r="32" customFormat="false" ht="15" hidden="false" customHeight="true" outlineLevel="0" collapsed="false">
      <c r="A32" s="17" t="s">
        <v>433</v>
      </c>
      <c r="B32" s="39" t="n">
        <f aca="false">Ballinacurra!B28</f>
        <v>1208.55116597063</v>
      </c>
      <c r="C32" s="39" t="n">
        <f aca="false">SUM(Ballinacurra!G28:O28)</f>
        <v>1208.55116597063</v>
      </c>
      <c r="D32" s="81" t="n">
        <f aca="false">C32-B32</f>
        <v>0</v>
      </c>
      <c r="E32" s="12" t="str">
        <f aca="false">IF(ABS(D32)&lt;=0.01,"PASS","FAIL")</f>
        <v>PASS</v>
      </c>
    </row>
    <row r="33" customFormat="false" ht="15" hidden="false" customHeight="true" outlineLevel="0" collapsed="false">
      <c r="A33" s="17" t="s">
        <v>434</v>
      </c>
      <c r="B33" s="39" t="n">
        <f aca="false">Caherdavin!B28</f>
        <v>4911.98819059752</v>
      </c>
      <c r="C33" s="39" t="n">
        <f aca="false">SUM(Caherdavin!C28:F28)</f>
        <v>4911.98819059752</v>
      </c>
      <c r="D33" s="81" t="n">
        <f aca="false">C33-B33</f>
        <v>0</v>
      </c>
      <c r="E33" s="12" t="str">
        <f aca="false">IF(ABS(D33)&lt;=0.01,"PASS","FAIL")</f>
        <v>PASS</v>
      </c>
    </row>
    <row r="34" customFormat="false" ht="15" hidden="false" customHeight="true" outlineLevel="0" collapsed="false">
      <c r="A34" s="17" t="s">
        <v>435</v>
      </c>
      <c r="B34" s="39" t="n">
        <f aca="false">Caherdavin!B28</f>
        <v>4911.98819059752</v>
      </c>
      <c r="C34" s="39" t="n">
        <f aca="false">SUM(Caherdavin!G28:O28)</f>
        <v>4911.98819059752</v>
      </c>
      <c r="D34" s="81" t="n">
        <f aca="false">C34-B34</f>
        <v>0</v>
      </c>
      <c r="E34" s="12" t="str">
        <f aca="false">IF(ABS(D34)&lt;=0.01,"PASS","FAIL")</f>
        <v>PASS</v>
      </c>
    </row>
    <row r="35" customFormat="false" ht="15" hidden="false" customHeight="true" outlineLevel="0" collapsed="false">
      <c r="A35" s="17" t="s">
        <v>436</v>
      </c>
      <c r="B35" s="39" t="n">
        <f aca="false">'Castletroy-Annacotty'!B28</f>
        <v>5827.67469014651</v>
      </c>
      <c r="C35" s="39" t="n">
        <f aca="false">SUM('Castletroy-Annacotty'!C28:F28)</f>
        <v>5827.67469014651</v>
      </c>
      <c r="D35" s="81" t="n">
        <f aca="false">C35-B35</f>
        <v>0</v>
      </c>
      <c r="E35" s="12" t="str">
        <f aca="false">IF(ABS(D35)&lt;=0.01,"PASS","FAIL")</f>
        <v>PASS</v>
      </c>
    </row>
    <row r="36" customFormat="false" ht="15" hidden="false" customHeight="true" outlineLevel="0" collapsed="false">
      <c r="A36" s="17" t="s">
        <v>437</v>
      </c>
      <c r="B36" s="39" t="n">
        <f aca="false">'Castletroy-Annacotty'!B28</f>
        <v>5827.67469014651</v>
      </c>
      <c r="C36" s="39" t="n">
        <f aca="false">SUM('Castletroy-Annacotty'!G28:O28)</f>
        <v>5827.67469014651</v>
      </c>
      <c r="D36" s="81" t="n">
        <f aca="false">C36-B36</f>
        <v>0</v>
      </c>
      <c r="E36" s="12" t="str">
        <f aca="false">IF(ABS(D36)&lt;=0.01,"PASS","FAIL")</f>
        <v>PASS</v>
      </c>
    </row>
    <row r="37" customFormat="false" ht="15" hidden="false" customHeight="true" outlineLevel="0" collapsed="false">
      <c r="A37" s="17" t="s">
        <v>438</v>
      </c>
      <c r="B37" s="39" t="n">
        <f aca="false">'City Centre'!B28</f>
        <v>5062.29585965892</v>
      </c>
      <c r="C37" s="39" t="n">
        <f aca="false">SUM('City Centre'!C28:F28)</f>
        <v>5062.29585965892</v>
      </c>
      <c r="D37" s="81" t="n">
        <f aca="false">C37-B37</f>
        <v>0</v>
      </c>
      <c r="E37" s="12" t="str">
        <f aca="false">IF(ABS(D37)&lt;=0.01,"PASS","FAIL")</f>
        <v>PASS</v>
      </c>
    </row>
    <row r="38" customFormat="false" ht="15" hidden="false" customHeight="true" outlineLevel="0" collapsed="false">
      <c r="A38" s="17" t="s">
        <v>439</v>
      </c>
      <c r="B38" s="39" t="n">
        <f aca="false">'City Centre'!B28</f>
        <v>5062.29585965892</v>
      </c>
      <c r="C38" s="39" t="n">
        <f aca="false">SUM('City Centre'!G28:O28)</f>
        <v>5062.29585965892</v>
      </c>
      <c r="D38" s="81" t="n">
        <f aca="false">C38-B38</f>
        <v>0</v>
      </c>
      <c r="E38" s="12" t="str">
        <f aca="false">IF(ABS(D38)&lt;=0.01,"PASS","FAIL")</f>
        <v>PASS</v>
      </c>
    </row>
    <row r="39" customFormat="false" ht="15" hidden="false" customHeight="true" outlineLevel="0" collapsed="false">
      <c r="A39" s="17" t="s">
        <v>440</v>
      </c>
      <c r="B39" s="39" t="n">
        <f aca="false">'Corbally-Grove Island'!B28</f>
        <v>1280.52168890979</v>
      </c>
      <c r="C39" s="39" t="n">
        <f aca="false">SUM('Corbally-Grove Island'!C28:F28)</f>
        <v>1280.52168890979</v>
      </c>
      <c r="D39" s="81" t="n">
        <f aca="false">C39-B39</f>
        <v>0</v>
      </c>
      <c r="E39" s="12" t="str">
        <f aca="false">IF(ABS(D39)&lt;=0.01,"PASS","FAIL")</f>
        <v>PASS</v>
      </c>
    </row>
    <row r="40" customFormat="false" ht="15" hidden="false" customHeight="true" outlineLevel="0" collapsed="false">
      <c r="A40" s="17" t="s">
        <v>441</v>
      </c>
      <c r="B40" s="39" t="n">
        <f aca="false">'Corbally-Grove Island'!B28</f>
        <v>1280.52168890979</v>
      </c>
      <c r="C40" s="39" t="n">
        <f aca="false">SUM('Corbally-Grove Island'!G28:O28)</f>
        <v>1280.52168890979</v>
      </c>
      <c r="D40" s="81" t="n">
        <f aca="false">C40-B40</f>
        <v>0</v>
      </c>
      <c r="E40" s="12" t="str">
        <f aca="false">IF(ABS(D40)&lt;=0.01,"PASS","FAIL")</f>
        <v>PASS</v>
      </c>
    </row>
    <row r="41" customFormat="false" ht="15" hidden="false" customHeight="true" outlineLevel="0" collapsed="false">
      <c r="A41" s="17" t="s">
        <v>442</v>
      </c>
      <c r="B41" s="39" t="n">
        <f aca="false">Dooradoyle!B28</f>
        <v>5460.07140374958</v>
      </c>
      <c r="C41" s="39" t="n">
        <f aca="false">SUM(Dooradoyle!C28:F28)</f>
        <v>5460.07140374958</v>
      </c>
      <c r="D41" s="81" t="n">
        <f aca="false">C41-B41</f>
        <v>0</v>
      </c>
      <c r="E41" s="12" t="str">
        <f aca="false">IF(ABS(D41)&lt;=0.01,"PASS","FAIL")</f>
        <v>PASS</v>
      </c>
    </row>
    <row r="42" customFormat="false" ht="15" hidden="false" customHeight="true" outlineLevel="0" collapsed="false">
      <c r="A42" s="17" t="s">
        <v>443</v>
      </c>
      <c r="B42" s="39" t="n">
        <f aca="false">Dooradoyle!B28</f>
        <v>5460.07140374958</v>
      </c>
      <c r="C42" s="39" t="n">
        <f aca="false">SUM(Dooradoyle!G28:O28)</f>
        <v>5460.07140374958</v>
      </c>
      <c r="D42" s="81" t="n">
        <f aca="false">C42-B42</f>
        <v>0</v>
      </c>
      <c r="E42" s="12" t="str">
        <f aca="false">IF(ABS(D42)&lt;=0.01,"PASS","FAIL")</f>
        <v>PASS</v>
      </c>
    </row>
    <row r="43" customFormat="false" ht="15" hidden="false" customHeight="true" outlineLevel="0" collapsed="false">
      <c r="A43" s="17" t="s">
        <v>444</v>
      </c>
      <c r="B43" s="39" t="n">
        <f aca="false">'Kings Island'!B28</f>
        <v>633.34060186459</v>
      </c>
      <c r="C43" s="39" t="n">
        <f aca="false">SUM('Kings Island'!C28:F28)</f>
        <v>633.34060186459</v>
      </c>
      <c r="D43" s="81" t="n">
        <f aca="false">C43-B43</f>
        <v>0</v>
      </c>
      <c r="E43" s="12" t="str">
        <f aca="false">IF(ABS(D43)&lt;=0.01,"PASS","FAIL")</f>
        <v>PASS</v>
      </c>
    </row>
    <row r="44" customFormat="false" ht="15" hidden="false" customHeight="true" outlineLevel="0" collapsed="false">
      <c r="A44" s="17" t="s">
        <v>445</v>
      </c>
      <c r="B44" s="39" t="n">
        <f aca="false">'Kings Island'!B28</f>
        <v>633.34060186459</v>
      </c>
      <c r="C44" s="39" t="n">
        <f aca="false">SUM('Kings Island'!G28:O28)</f>
        <v>633.34060186459</v>
      </c>
      <c r="D44" s="81" t="n">
        <f aca="false">C44-B44</f>
        <v>0</v>
      </c>
      <c r="E44" s="12" t="str">
        <f aca="false">IF(ABS(D44)&lt;=0.01,"PASS","FAIL")</f>
        <v>PASS</v>
      </c>
    </row>
    <row r="45" customFormat="false" ht="15" hidden="false" customHeight="true" outlineLevel="0" collapsed="false">
      <c r="A45" s="17" t="s">
        <v>446</v>
      </c>
      <c r="B45" s="39" t="n">
        <f aca="false">'Singland-Garryowen'!B28</f>
        <v>3147.3263300701</v>
      </c>
      <c r="C45" s="39" t="n">
        <f aca="false">SUM('Singland-Garryowen'!C28:F28)</f>
        <v>3147.3263300701</v>
      </c>
      <c r="D45" s="81" t="n">
        <f aca="false">C45-B45</f>
        <v>0</v>
      </c>
      <c r="E45" s="12" t="str">
        <f aca="false">IF(ABS(D45)&lt;=0.01,"PASS","FAIL")</f>
        <v>PASS</v>
      </c>
    </row>
    <row r="46" customFormat="false" ht="15" hidden="false" customHeight="true" outlineLevel="0" collapsed="false">
      <c r="A46" s="17" t="s">
        <v>447</v>
      </c>
      <c r="B46" s="39" t="n">
        <f aca="false">'Singland-Garryowen'!B28</f>
        <v>3147.3263300701</v>
      </c>
      <c r="C46" s="39" t="n">
        <f aca="false">SUM('Singland-Garryowen'!G28:O28)</f>
        <v>3147.3263300701</v>
      </c>
      <c r="D46" s="81" t="n">
        <f aca="false">C46-B46</f>
        <v>0</v>
      </c>
      <c r="E46" s="12" t="str">
        <f aca="false">IF(ABS(D46)&lt;=0.01,"PASS","FAIL")</f>
        <v>PASS</v>
      </c>
    </row>
    <row r="47" customFormat="false" ht="15" hidden="false" customHeight="true" outlineLevel="0" collapsed="false">
      <c r="A47" s="17" t="s">
        <v>448</v>
      </c>
      <c r="B47" s="39" t="n">
        <f aca="false">Southhill!B28</f>
        <v>1725.63169231812</v>
      </c>
      <c r="C47" s="39" t="n">
        <f aca="false">SUM(Southhill!C28:F28)</f>
        <v>1725.63169231812</v>
      </c>
      <c r="D47" s="81" t="n">
        <f aca="false">C47-B47</f>
        <v>0</v>
      </c>
      <c r="E47" s="12" t="str">
        <f aca="false">IF(ABS(D47)&lt;=0.01,"PASS","FAIL")</f>
        <v>PASS</v>
      </c>
    </row>
    <row r="48" customFormat="false" ht="15" hidden="false" customHeight="true" outlineLevel="0" collapsed="false">
      <c r="A48" s="17" t="s">
        <v>449</v>
      </c>
      <c r="B48" s="39" t="n">
        <f aca="false">Southhill!B28</f>
        <v>1725.63169231812</v>
      </c>
      <c r="C48" s="39" t="n">
        <f aca="false">SUM(Southhill!G28:O28)</f>
        <v>1725.63169231812</v>
      </c>
      <c r="D48" s="81" t="n">
        <f aca="false">C48-B48</f>
        <v>0</v>
      </c>
      <c r="E48" s="12" t="str">
        <f aca="false">IF(ABS(D48)&lt;=0.01,"PASS","FAIL")</f>
        <v>PASS</v>
      </c>
    </row>
    <row r="49" customFormat="false" ht="15" hidden="false" customHeight="true" outlineLevel="0" collapsed="false">
      <c r="A49" s="17" t="s">
        <v>450</v>
      </c>
      <c r="B49" s="39" t="n">
        <f aca="false">Abbeyfeale!B28</f>
        <v>539.25552756787</v>
      </c>
      <c r="C49" s="39" t="n">
        <f aca="false">SUM(Abbeyfeale!C28:F28)</f>
        <v>539.25552756787</v>
      </c>
      <c r="D49" s="81" t="n">
        <f aca="false">C49-B49</f>
        <v>0</v>
      </c>
      <c r="E49" s="12" t="str">
        <f aca="false">IF(ABS(D49)&lt;=0.01,"PASS","FAIL")</f>
        <v>PASS</v>
      </c>
    </row>
    <row r="50" customFormat="false" ht="15" hidden="false" customHeight="true" outlineLevel="0" collapsed="false">
      <c r="A50" s="17" t="s">
        <v>451</v>
      </c>
      <c r="B50" s="39" t="n">
        <f aca="false">Abbeyfeale!B28</f>
        <v>539.25552756787</v>
      </c>
      <c r="C50" s="39" t="n">
        <f aca="false">SUM(Abbeyfeale!G28:O28)</f>
        <v>539.25552756787</v>
      </c>
      <c r="D50" s="81" t="n">
        <f aca="false">C50-B50</f>
        <v>0</v>
      </c>
      <c r="E50" s="12" t="str">
        <f aca="false">IF(ABS(D50)&lt;=0.01,"PASS","FAIL")</f>
        <v>PASS</v>
      </c>
    </row>
    <row r="51" customFormat="false" ht="15" hidden="false" customHeight="true" outlineLevel="0" collapsed="false">
      <c r="A51" s="17" t="s">
        <v>452</v>
      </c>
      <c r="B51" s="39" t="n">
        <f aca="false">Caherconlish!B28</f>
        <v>319.834312902323</v>
      </c>
      <c r="C51" s="39" t="n">
        <f aca="false">SUM(Caherconlish!C28:F28)</f>
        <v>319.834312902323</v>
      </c>
      <c r="D51" s="81" t="n">
        <f aca="false">C51-B51</f>
        <v>0</v>
      </c>
      <c r="E51" s="12" t="str">
        <f aca="false">IF(ABS(D51)&lt;=0.01,"PASS","FAIL")</f>
        <v>PASS</v>
      </c>
    </row>
    <row r="52" customFormat="false" ht="15" hidden="false" customHeight="true" outlineLevel="0" collapsed="false">
      <c r="A52" s="17" t="s">
        <v>453</v>
      </c>
      <c r="B52" s="39" t="n">
        <f aca="false">Caherconlish!B28</f>
        <v>319.834312902323</v>
      </c>
      <c r="C52" s="39" t="n">
        <f aca="false">SUM(Caherconlish!G28:O28)</f>
        <v>319.834312902323</v>
      </c>
      <c r="D52" s="81" t="n">
        <f aca="false">C52-B52</f>
        <v>0</v>
      </c>
      <c r="E52" s="12" t="str">
        <f aca="false">IF(ABS(D52)&lt;=0.01,"PASS","FAIL")</f>
        <v>PASS</v>
      </c>
    </row>
    <row r="53" customFormat="false" ht="15" hidden="false" customHeight="true" outlineLevel="0" collapsed="false">
      <c r="A53" s="17" t="s">
        <v>454</v>
      </c>
      <c r="B53" s="39" t="n">
        <f aca="false">Castleconnell!B28</f>
        <v>524.379513014274</v>
      </c>
      <c r="C53" s="39" t="n">
        <f aca="false">SUM(Castleconnell!C28:F28)</f>
        <v>524.379513014274</v>
      </c>
      <c r="D53" s="81" t="n">
        <f aca="false">C53-B53</f>
        <v>0</v>
      </c>
      <c r="E53" s="12" t="str">
        <f aca="false">IF(ABS(D53)&lt;=0.01,"PASS","FAIL")</f>
        <v>PASS</v>
      </c>
    </row>
    <row r="54" customFormat="false" ht="15" hidden="false" customHeight="true" outlineLevel="0" collapsed="false">
      <c r="A54" s="17" t="s">
        <v>455</v>
      </c>
      <c r="B54" s="39" t="n">
        <f aca="false">Castleconnell!B28</f>
        <v>524.379513014274</v>
      </c>
      <c r="C54" s="39" t="n">
        <f aca="false">SUM(Castleconnell!G28:O28)</f>
        <v>524.379513014274</v>
      </c>
      <c r="D54" s="81" t="n">
        <f aca="false">C54-B54</f>
        <v>0</v>
      </c>
      <c r="E54" s="12" t="str">
        <f aca="false">IF(ABS(D54)&lt;=0.01,"PASS","FAIL")</f>
        <v>PASS</v>
      </c>
    </row>
    <row r="55" customFormat="false" ht="15" hidden="false" customHeight="true" outlineLevel="0" collapsed="false">
      <c r="A55" s="17" t="s">
        <v>456</v>
      </c>
      <c r="B55" s="39" t="n">
        <f aca="false">Kilmallock!B28</f>
        <v>414.6689056815</v>
      </c>
      <c r="C55" s="39" t="n">
        <f aca="false">SUM(Kilmallock!C28:F28)</f>
        <v>414.6689056815</v>
      </c>
      <c r="D55" s="81" t="n">
        <f aca="false">C55-B55</f>
        <v>0</v>
      </c>
      <c r="E55" s="12" t="str">
        <f aca="false">IF(ABS(D55)&lt;=0.01,"PASS","FAIL")</f>
        <v>PASS</v>
      </c>
    </row>
    <row r="56" customFormat="false" ht="15" hidden="false" customHeight="true" outlineLevel="0" collapsed="false">
      <c r="A56" s="17" t="s">
        <v>457</v>
      </c>
      <c r="B56" s="39" t="n">
        <f aca="false">Kilmallock!B28</f>
        <v>414.6689056815</v>
      </c>
      <c r="C56" s="39" t="n">
        <f aca="false">SUM(Kilmallock!G28:O28)</f>
        <v>414.6689056815</v>
      </c>
      <c r="D56" s="81" t="n">
        <f aca="false">C56-B56</f>
        <v>0</v>
      </c>
      <c r="E56" s="12" t="str">
        <f aca="false">IF(ABS(D56)&lt;=0.01,"PASS","FAIL")</f>
        <v>PASS</v>
      </c>
    </row>
    <row r="57" customFormat="false" ht="15" hidden="false" customHeight="true" outlineLevel="0" collapsed="false">
      <c r="A57" s="17" t="s">
        <v>458</v>
      </c>
      <c r="B57" s="39" t="n">
        <f aca="false">'Newcastle West'!B28</f>
        <v>1805.57626644277</v>
      </c>
      <c r="C57" s="39" t="n">
        <f aca="false">SUM('Newcastle West'!C28:F28)</f>
        <v>1805.57626644277</v>
      </c>
      <c r="D57" s="81" t="n">
        <f aca="false">C57-B57</f>
        <v>0</v>
      </c>
      <c r="E57" s="12" t="str">
        <f aca="false">IF(ABS(D57)&lt;=0.01,"PASS","FAIL")</f>
        <v>PASS</v>
      </c>
    </row>
    <row r="58" customFormat="false" ht="15" hidden="false" customHeight="true" outlineLevel="0" collapsed="false">
      <c r="A58" s="17" t="s">
        <v>459</v>
      </c>
      <c r="B58" s="39" t="n">
        <f aca="false">'Newcastle West'!B28</f>
        <v>1805.57626644277</v>
      </c>
      <c r="C58" s="39" t="n">
        <f aca="false">SUM('Newcastle West'!G28:O28)</f>
        <v>1805.57626644277</v>
      </c>
      <c r="D58" s="81" t="n">
        <f aca="false">C58-B58</f>
        <v>0</v>
      </c>
      <c r="E58" s="12" t="str">
        <f aca="false">IF(ABS(D58)&lt;=0.01,"PASS","FAIL")</f>
        <v>PASS</v>
      </c>
    </row>
    <row r="59" customFormat="false" ht="15" hidden="false" customHeight="true" outlineLevel="0" collapsed="false">
      <c r="A59" s="17" t="s">
        <v>460</v>
      </c>
      <c r="B59" s="39" t="n">
        <f aca="false">Rathkeale!B28</f>
        <v>375.61936747831</v>
      </c>
      <c r="C59" s="39" t="n">
        <f aca="false">SUM(Rathkeale!C28:F28)</f>
        <v>375.61936747831</v>
      </c>
      <c r="D59" s="81" t="n">
        <f aca="false">C59-B59</f>
        <v>0</v>
      </c>
      <c r="E59" s="12" t="str">
        <f aca="false">IF(ABS(D59)&lt;=0.01,"PASS","FAIL")</f>
        <v>PASS</v>
      </c>
    </row>
    <row r="60" customFormat="false" ht="15" hidden="false" customHeight="true" outlineLevel="0" collapsed="false">
      <c r="A60" s="17" t="s">
        <v>461</v>
      </c>
      <c r="B60" s="39" t="n">
        <f aca="false">Rathkeale!B28</f>
        <v>375.61936747831</v>
      </c>
      <c r="C60" s="39" t="n">
        <f aca="false">SUM(Rathkeale!G28:O28)</f>
        <v>375.61936747831</v>
      </c>
      <c r="D60" s="81" t="n">
        <f aca="false">C60-B60</f>
        <v>0</v>
      </c>
      <c r="E60" s="12" t="str">
        <f aca="false">IF(ABS(D60)&lt;=0.01,"PASS","FAIL")</f>
        <v>PASS</v>
      </c>
    </row>
    <row r="61" customFormat="false" ht="15" hidden="false" customHeight="true" outlineLevel="0" collapsed="false">
      <c r="A61" s="17" t="s">
        <v>462</v>
      </c>
      <c r="B61" s="39" t="n">
        <f aca="false">Adare!B28</f>
        <v>371.90036383991</v>
      </c>
      <c r="C61" s="39" t="n">
        <f aca="false">SUM(Adare!C28:F28)</f>
        <v>371.90036383991</v>
      </c>
      <c r="D61" s="81" t="n">
        <f aca="false">C61-B61</f>
        <v>0</v>
      </c>
      <c r="E61" s="12" t="str">
        <f aca="false">IF(ABS(D61)&lt;=0.01,"PASS","FAIL")</f>
        <v>PASS</v>
      </c>
    </row>
    <row r="62" customFormat="false" ht="15" hidden="false" customHeight="true" outlineLevel="0" collapsed="false">
      <c r="A62" s="17" t="s">
        <v>463</v>
      </c>
      <c r="B62" s="39" t="n">
        <f aca="false">Adare!B28</f>
        <v>371.90036383991</v>
      </c>
      <c r="C62" s="39" t="n">
        <f aca="false">SUM(Adare!G28:O28)</f>
        <v>371.90036383991</v>
      </c>
      <c r="D62" s="81" t="n">
        <f aca="false">C62-B62</f>
        <v>0</v>
      </c>
      <c r="E62" s="12" t="str">
        <f aca="false">IF(ABS(D62)&lt;=0.01,"PASS","FAIL")</f>
        <v>PASS</v>
      </c>
    </row>
    <row r="63" customFormat="false" ht="15" hidden="false" customHeight="true" outlineLevel="0" collapsed="false">
      <c r="A63" s="17" t="s">
        <v>464</v>
      </c>
      <c r="B63" s="39" t="n">
        <f aca="false">Askeaton!B28</f>
        <v>303.098796529527</v>
      </c>
      <c r="C63" s="39" t="n">
        <f aca="false">SUM(Askeaton!C28:F28)</f>
        <v>303.098796529527</v>
      </c>
      <c r="D63" s="81" t="n">
        <f aca="false">C63-B63</f>
        <v>0</v>
      </c>
      <c r="E63" s="12" t="str">
        <f aca="false">IF(ABS(D63)&lt;=0.01,"PASS","FAIL")</f>
        <v>PASS</v>
      </c>
    </row>
    <row r="64" customFormat="false" ht="15" hidden="false" customHeight="true" outlineLevel="0" collapsed="false">
      <c r="A64" s="17" t="s">
        <v>465</v>
      </c>
      <c r="B64" s="39" t="n">
        <f aca="false">Askeaton!B28</f>
        <v>303.098796529527</v>
      </c>
      <c r="C64" s="39" t="n">
        <f aca="false">SUM(Askeaton!G28:O28)</f>
        <v>303.098796529527</v>
      </c>
      <c r="D64" s="81" t="n">
        <f aca="false">C64-B64</f>
        <v>0</v>
      </c>
      <c r="E64" s="12" t="str">
        <f aca="false">IF(ABS(D64)&lt;=0.01,"PASS","FAIL")</f>
        <v>PASS</v>
      </c>
    </row>
    <row r="65" customFormat="false" ht="15" hidden="false" customHeight="true" outlineLevel="0" collapsed="false">
      <c r="A65" s="17" t="s">
        <v>466</v>
      </c>
      <c r="B65" s="39" t="n">
        <f aca="false">Bruff!B28</f>
        <v>211.983207388749</v>
      </c>
      <c r="C65" s="39" t="n">
        <f aca="false">SUM(Bruff!C28:F28)</f>
        <v>211.983207388749</v>
      </c>
      <c r="D65" s="81" t="n">
        <f aca="false">C65-B65</f>
        <v>0</v>
      </c>
      <c r="E65" s="12" t="str">
        <f aca="false">IF(ABS(D65)&lt;=0.01,"PASS","FAIL")</f>
        <v>PASS</v>
      </c>
    </row>
    <row r="66" customFormat="false" ht="15" hidden="false" customHeight="true" outlineLevel="0" collapsed="false">
      <c r="A66" s="17" t="s">
        <v>467</v>
      </c>
      <c r="B66" s="39" t="n">
        <f aca="false">Bruff!B28</f>
        <v>211.983207388749</v>
      </c>
      <c r="C66" s="39" t="n">
        <f aca="false">SUM(Bruff!G28:O28)</f>
        <v>211.983207388749</v>
      </c>
      <c r="D66" s="81" t="n">
        <f aca="false">C66-B66</f>
        <v>0</v>
      </c>
      <c r="E66" s="12" t="str">
        <f aca="false">IF(ABS(D66)&lt;=0.01,"PASS","FAIL")</f>
        <v>PASS</v>
      </c>
    </row>
    <row r="67" customFormat="false" ht="15" hidden="false" customHeight="true" outlineLevel="0" collapsed="false">
      <c r="A67" s="17" t="s">
        <v>468</v>
      </c>
      <c r="B67" s="39" t="n">
        <f aca="false">Cappamore!B28</f>
        <v>165.49566190876</v>
      </c>
      <c r="C67" s="39" t="n">
        <f aca="false">SUM(Cappamore!C28:F28)</f>
        <v>165.49566190876</v>
      </c>
      <c r="D67" s="81" t="n">
        <f aca="false">C67-B67</f>
        <v>0</v>
      </c>
      <c r="E67" s="12" t="str">
        <f aca="false">IF(ABS(D67)&lt;=0.01,"PASS","FAIL")</f>
        <v>PASS</v>
      </c>
    </row>
    <row r="68" customFormat="false" ht="15" hidden="false" customHeight="true" outlineLevel="0" collapsed="false">
      <c r="A68" s="17" t="s">
        <v>469</v>
      </c>
      <c r="B68" s="39" t="n">
        <f aca="false">Cappamore!B28</f>
        <v>165.49566190876</v>
      </c>
      <c r="C68" s="39" t="n">
        <f aca="false">SUM(Cappamore!G28:O28)</f>
        <v>165.49566190876</v>
      </c>
      <c r="D68" s="81" t="n">
        <f aca="false">C68-B68</f>
        <v>0</v>
      </c>
      <c r="E68" s="12" t="str">
        <f aca="false">IF(ABS(D68)&lt;=0.01,"PASS","FAIL")</f>
        <v>PASS</v>
      </c>
    </row>
    <row r="69" customFormat="false" ht="15" hidden="false" customHeight="true" outlineLevel="0" collapsed="false">
      <c r="A69" s="17" t="s">
        <v>470</v>
      </c>
      <c r="B69" s="39" t="n">
        <f aca="false">Croom!B28</f>
        <v>265.908760145536</v>
      </c>
      <c r="C69" s="39" t="n">
        <f aca="false">SUM(Croom!C28:F28)</f>
        <v>265.908760145536</v>
      </c>
      <c r="D69" s="81" t="n">
        <f aca="false">C69-B69</f>
        <v>0</v>
      </c>
      <c r="E69" s="12" t="str">
        <f aca="false">IF(ABS(D69)&lt;=0.01,"PASS","FAIL")</f>
        <v>PASS</v>
      </c>
    </row>
    <row r="70" customFormat="false" ht="15" hidden="false" customHeight="true" outlineLevel="0" collapsed="false">
      <c r="A70" s="17" t="s">
        <v>471</v>
      </c>
      <c r="B70" s="39" t="n">
        <f aca="false">Croom!B28</f>
        <v>265.908760145536</v>
      </c>
      <c r="C70" s="39" t="n">
        <f aca="false">SUM(Croom!G28:O28)</f>
        <v>265.908760145536</v>
      </c>
      <c r="D70" s="81" t="n">
        <f aca="false">C70-B70</f>
        <v>0</v>
      </c>
      <c r="E70" s="12" t="str">
        <f aca="false">IF(ABS(D70)&lt;=0.01,"PASS","FAIL")</f>
        <v>PASS</v>
      </c>
    </row>
    <row r="71" customFormat="false" ht="15" hidden="false" customHeight="true" outlineLevel="0" collapsed="false">
      <c r="A71" s="17" t="s">
        <v>472</v>
      </c>
      <c r="B71" s="39" t="n">
        <f aca="false">Hospital!B28</f>
        <v>163.636160089561</v>
      </c>
      <c r="C71" s="39" t="n">
        <f aca="false">SUM(Hospital!C28:F28)</f>
        <v>163.636160089561</v>
      </c>
      <c r="D71" s="81" t="n">
        <f aca="false">C71-B71</f>
        <v>0</v>
      </c>
      <c r="E71" s="12" t="str">
        <f aca="false">IF(ABS(D71)&lt;=0.01,"PASS","FAIL")</f>
        <v>PASS</v>
      </c>
    </row>
    <row r="72" customFormat="false" ht="15" hidden="false" customHeight="true" outlineLevel="0" collapsed="false">
      <c r="A72" s="17" t="s">
        <v>473</v>
      </c>
      <c r="B72" s="39" t="n">
        <f aca="false">Hospital!B28</f>
        <v>163.636160089561</v>
      </c>
      <c r="C72" s="39" t="n">
        <f aca="false">SUM(Hospital!G28:O28)</f>
        <v>163.636160089561</v>
      </c>
      <c r="D72" s="81" t="n">
        <f aca="false">C72-B72</f>
        <v>0</v>
      </c>
      <c r="E72" s="12" t="str">
        <f aca="false">IF(ABS(D72)&lt;=0.01,"PASS","FAIL")</f>
        <v>PASS</v>
      </c>
    </row>
    <row r="73" customFormat="false" ht="15" hidden="false" customHeight="true" outlineLevel="0" collapsed="false">
      <c r="A73" s="17" t="s">
        <v>474</v>
      </c>
      <c r="B73" s="39" t="n">
        <f aca="false">Kilfinnane!B28</f>
        <v>208.26420375035</v>
      </c>
      <c r="C73" s="39" t="n">
        <f aca="false">SUM(Kilfinnane!C28:F28)</f>
        <v>208.26420375035</v>
      </c>
      <c r="D73" s="81" t="n">
        <f aca="false">C73-B73</f>
        <v>0</v>
      </c>
      <c r="E73" s="12" t="str">
        <f aca="false">IF(ABS(D73)&lt;=0.01,"PASS","FAIL")</f>
        <v>PASS</v>
      </c>
    </row>
    <row r="74" customFormat="false" ht="15" hidden="false" customHeight="true" outlineLevel="0" collapsed="false">
      <c r="A74" s="17" t="s">
        <v>475</v>
      </c>
      <c r="B74" s="39" t="n">
        <f aca="false">Kilfinnane!B28</f>
        <v>208.26420375035</v>
      </c>
      <c r="C74" s="39" t="n">
        <f aca="false">SUM(Kilfinnane!G28:O28)</f>
        <v>208.26420375035</v>
      </c>
      <c r="D74" s="81" t="n">
        <f aca="false">C74-B74</f>
        <v>0</v>
      </c>
      <c r="E74" s="12" t="str">
        <f aca="false">IF(ABS(D74)&lt;=0.01,"PASS","FAIL")</f>
        <v>PASS</v>
      </c>
    </row>
    <row r="75" customFormat="false" ht="15" hidden="false" customHeight="true" outlineLevel="0" collapsed="false">
      <c r="A75" s="17" t="s">
        <v>476</v>
      </c>
      <c r="B75" s="39" t="n">
        <f aca="false">Moroe!B28</f>
        <v>299.379792891128</v>
      </c>
      <c r="C75" s="39" t="n">
        <f aca="false">SUM(Moroe!C28:F28)</f>
        <v>299.379792891128</v>
      </c>
      <c r="D75" s="81" t="n">
        <f aca="false">C75-B75</f>
        <v>0</v>
      </c>
      <c r="E75" s="12" t="str">
        <f aca="false">IF(ABS(D75)&lt;=0.01,"PASS","FAIL")</f>
        <v>PASS</v>
      </c>
    </row>
    <row r="76" customFormat="false" ht="15" hidden="false" customHeight="true" outlineLevel="0" collapsed="false">
      <c r="A76" s="17" t="s">
        <v>477</v>
      </c>
      <c r="B76" s="39" t="n">
        <f aca="false">Moroe!B28</f>
        <v>299.379792891128</v>
      </c>
      <c r="C76" s="39" t="n">
        <f aca="false">SUM(Moroe!G28:O28)</f>
        <v>299.379792891128</v>
      </c>
      <c r="D76" s="81" t="n">
        <f aca="false">C76-B76</f>
        <v>0</v>
      </c>
      <c r="E76" s="12" t="str">
        <f aca="false">IF(ABS(D76)&lt;=0.01,"PASS","FAIL")</f>
        <v>PASS</v>
      </c>
    </row>
    <row r="77" customFormat="false" ht="15" hidden="false" customHeight="true" outlineLevel="0" collapsed="false">
      <c r="A77" s="17" t="s">
        <v>478</v>
      </c>
      <c r="B77" s="39" t="n">
        <f aca="false">Patrickswell!B28</f>
        <v>743.800727679821</v>
      </c>
      <c r="C77" s="39" t="n">
        <f aca="false">SUM(Patrickswell!C28:F28)</f>
        <v>743.800727679821</v>
      </c>
      <c r="D77" s="81" t="n">
        <f aca="false">C77-B77</f>
        <v>0</v>
      </c>
      <c r="E77" s="12" t="str">
        <f aca="false">IF(ABS(D77)&lt;=0.01,"PASS","FAIL")</f>
        <v>PASS</v>
      </c>
    </row>
    <row r="78" customFormat="false" ht="15" hidden="false" customHeight="true" outlineLevel="0" collapsed="false">
      <c r="A78" s="17" t="s">
        <v>479</v>
      </c>
      <c r="B78" s="39" t="n">
        <f aca="false">Patrickswell!B28</f>
        <v>743.800727679821</v>
      </c>
      <c r="C78" s="39" t="n">
        <f aca="false">SUM(Patrickswell!G28:O28)</f>
        <v>743.800727679821</v>
      </c>
      <c r="D78" s="81" t="n">
        <f aca="false">C78-B78</f>
        <v>0</v>
      </c>
      <c r="E78" s="12" t="str">
        <f aca="false">IF(ABS(D78)&lt;=0.01,"PASS","FAIL")</f>
        <v>PASS</v>
      </c>
    </row>
    <row r="79" customFormat="false" ht="15" hidden="false" customHeight="true" outlineLevel="0" collapsed="false">
      <c r="A79" s="17" t="s">
        <v>480</v>
      </c>
      <c r="B79" s="39" t="n">
        <f aca="false">'Rest of county'!B28</f>
        <v>3893.79680940386</v>
      </c>
      <c r="C79" s="39" t="n">
        <f aca="false">SUM('Rest of county'!C28:F28)</f>
        <v>3893.79680940386</v>
      </c>
      <c r="D79" s="81" t="n">
        <f aca="false">C79-B79</f>
        <v>0</v>
      </c>
      <c r="E79" s="12" t="str">
        <f aca="false">IF(ABS(D79)&lt;=0.01,"PASS","FAIL")</f>
        <v>PASS</v>
      </c>
    </row>
    <row r="80" customFormat="false" ht="15" hidden="false" customHeight="true" outlineLevel="0" collapsed="false">
      <c r="A80" s="17" t="s">
        <v>481</v>
      </c>
      <c r="B80" s="39" t="n">
        <f aca="false">'Rest of county'!B28</f>
        <v>3893.79680940386</v>
      </c>
      <c r="C80" s="39" t="n">
        <f aca="false">SUM('Rest of county'!G28:O28)</f>
        <v>3893.79680940386</v>
      </c>
      <c r="D80" s="81" t="n">
        <f aca="false">C80-B80</f>
        <v>0</v>
      </c>
      <c r="E80" s="12" t="str">
        <f aca="false">IF(ABS(D80)&lt;=0.01,"PASS","FAIL")</f>
        <v>PASS</v>
      </c>
    </row>
    <row r="81" customFormat="false" ht="15" hidden="false" customHeight="true" outlineLevel="0" collapsed="false">
      <c r="A81" s="78" t="s">
        <v>482</v>
      </c>
      <c r="B81" s="79"/>
      <c r="C81" s="79"/>
      <c r="D81" s="79"/>
      <c r="E81" s="79"/>
    </row>
    <row r="82" customFormat="false" ht="15" hidden="false" customHeight="true" outlineLevel="0" collapsed="false">
      <c r="A82" s="17" t="s">
        <v>483</v>
      </c>
      <c r="B82" s="39" t="n">
        <f aca="false">Model!$B$28</f>
        <v>8362.37068251938</v>
      </c>
      <c r="C82" s="39" t="n">
        <f aca="false">SUM(Total!K28:O28)</f>
        <v>8362.37068251938</v>
      </c>
      <c r="D82" s="81" t="n">
        <f aca="false">C82-B82</f>
        <v>0</v>
      </c>
      <c r="E82" s="12" t="str">
        <f aca="false">IF(ABS(D82)&lt;=0.01,"PASS","FAIL")</f>
        <v>PASS</v>
      </c>
    </row>
    <row r="83" customFormat="false" ht="15" hidden="false" customHeight="true" outlineLevel="0" collapsed="false">
      <c r="A83" s="17" t="s">
        <v>484</v>
      </c>
      <c r="B83" s="39" t="n">
        <f aca="false">Model!$B$17*Model!$B$24/Model!$B$26</f>
        <v>21191.4052223644</v>
      </c>
      <c r="C83" s="39" t="n">
        <f aca="false">Total!G28</f>
        <v>21191.4052223644</v>
      </c>
      <c r="D83" s="81" t="n">
        <f aca="false">C83-B83</f>
        <v>0</v>
      </c>
      <c r="E83" s="12" t="str">
        <f aca="false">IF(ABS(D83)&lt;=0.01,"PASS","FAIL")</f>
        <v>PASS</v>
      </c>
    </row>
    <row r="84" customFormat="false" ht="15" hidden="false" customHeight="true" outlineLevel="0" collapsed="false">
      <c r="A84" s="17" t="s">
        <v>485</v>
      </c>
      <c r="B84" s="39" t="n">
        <f aca="false">Model!$B$17*Model!$B$23/Model!$B$26</f>
        <v>5291.60177590488</v>
      </c>
      <c r="C84" s="39" t="n">
        <f aca="false">Total!H28</f>
        <v>5291.60177590489</v>
      </c>
      <c r="D84" s="81" t="n">
        <f aca="false">C84-B84</f>
        <v>0</v>
      </c>
      <c r="E84" s="12" t="str">
        <f aca="false">IF(ABS(D84)&lt;=0.01,"PASS","FAIL")</f>
        <v>PASS</v>
      </c>
    </row>
    <row r="85" customFormat="false" ht="15" hidden="false" customHeight="true" outlineLevel="0" collapsed="false">
      <c r="A85" s="17" t="s">
        <v>486</v>
      </c>
      <c r="B85" s="39" t="n">
        <f aca="false">Model!$B$17*Model!$B$19*Model!$B$12/Model!$B$26</f>
        <v>2509.31115960569</v>
      </c>
      <c r="C85" s="39" t="n">
        <f aca="false">Total!I28</f>
        <v>2509.31115960569</v>
      </c>
      <c r="D85" s="81" t="n">
        <f aca="false">C85-B85</f>
        <v>0</v>
      </c>
      <c r="E85" s="12" t="str">
        <f aca="false">IF(ABS(D85)&lt;=0.01,"PASS","FAIL")</f>
        <v>PASS</v>
      </c>
    </row>
    <row r="86" customFormat="false" ht="15" hidden="false" customHeight="true" outlineLevel="0" collapsed="false">
      <c r="A86" s="17" t="s">
        <v>487</v>
      </c>
      <c r="B86" s="39" t="n">
        <f aca="false">Model!$B$17*Model!$B$19*(1-Model!$B$12)/Model!$B$26</f>
        <v>2509.31115960569</v>
      </c>
      <c r="C86" s="39" t="n">
        <f aca="false">Total!J28</f>
        <v>2509.31115960569</v>
      </c>
      <c r="D86" s="81" t="n">
        <f aca="false">C86-B86</f>
        <v>0</v>
      </c>
      <c r="E86" s="12" t="str">
        <f aca="false">IF(ABS(D86)&lt;=0.01,"PASS","FAIL")</f>
        <v>PASS</v>
      </c>
    </row>
    <row r="87" customFormat="false" ht="15" hidden="false" customHeight="true" outlineLevel="0" collapsed="false">
      <c r="A87" s="17" t="s">
        <v>488</v>
      </c>
      <c r="B87" s="39" t="n">
        <f aca="false">Model!$B$28*(1-Model!$B$38)</f>
        <v>2692.32184659043</v>
      </c>
      <c r="C87" s="39" t="n">
        <f aca="false">SUM(Total!L28:O28)</f>
        <v>2692.32184659043</v>
      </c>
      <c r="D87" s="81" t="n">
        <f aca="false">C87-B87</f>
        <v>0</v>
      </c>
      <c r="E87" s="12" t="str">
        <f aca="false">IF(ABS(D87)&lt;=0.01,"PASS","FAIL")</f>
        <v>PASS</v>
      </c>
    </row>
    <row r="88" customFormat="false" ht="15" hidden="false" customHeight="true" outlineLevel="0" collapsed="false">
      <c r="A88" s="17" t="s">
        <v>489</v>
      </c>
      <c r="B88" s="39" t="n">
        <f aca="false">Model!$B$28</f>
        <v>8362.37068251938</v>
      </c>
      <c r="C88" s="39" t="n">
        <f aca="false">SUM(Model!$P$46:$P$70)</f>
        <v>8362.37068251938</v>
      </c>
      <c r="D88" s="81" t="n">
        <f aca="false">C88-B88</f>
        <v>0</v>
      </c>
      <c r="E88" s="12" t="str">
        <f aca="false">IF(ABS(D88)&lt;=0.01,"PASS","FAIL")</f>
        <v>PASS</v>
      </c>
    </row>
    <row r="89" customFormat="false" ht="15" hidden="false" customHeight="true" outlineLevel="0" collapsed="false">
      <c r="A89" s="78" t="s">
        <v>490</v>
      </c>
      <c r="B89" s="79"/>
      <c r="C89" s="79"/>
      <c r="D89" s="79"/>
      <c r="E89" s="79"/>
    </row>
    <row r="90" customFormat="false" ht="15" hidden="false" customHeight="true" outlineLevel="0" collapsed="false">
      <c r="A90" s="17" t="s">
        <v>491</v>
      </c>
      <c r="B90" s="20" t="n">
        <v>0</v>
      </c>
      <c r="C90" s="20" t="n">
        <f aca="false">IF(AND(Model!$B$13=1,Model!$B$30&lt;=Model!$B$28),SUMPRODUCT((Model!$Q$46:$Q$70&lt;Model!$B$15-0.0001)*(Model!$E$46:$E$70&gt;0)),0)</f>
        <v>0</v>
      </c>
      <c r="D90" s="81" t="n">
        <f aca="false">C90-B90</f>
        <v>0</v>
      </c>
      <c r="E90" s="12" t="str">
        <f aca="false">IF(ABS(D90)&lt;=0,"PASS","FAIL")</f>
        <v>PASS</v>
      </c>
    </row>
    <row r="91" customFormat="false" ht="15" hidden="false" customHeight="true" outlineLevel="0" collapsed="false">
      <c r="A91" s="17" t="s">
        <v>492</v>
      </c>
      <c r="B91" s="20" t="n">
        <v>0</v>
      </c>
      <c r="C91" s="20" t="n">
        <f aca="false">IF(AND(Model!$B$13=1,Model!$B$36&lt;0.01),SUMPRODUCT((Model!$C$46:$C$70=1)*(Model!$R$46:$R$70&gt;Model!$B$14+0.0001)*(Model!$P$46:$P$70-Model!$I$46:$I$70&gt;0.01)),0)</f>
        <v>0</v>
      </c>
      <c r="D91" s="81" t="n">
        <f aca="false">C91-B91</f>
        <v>0</v>
      </c>
      <c r="E91" s="12" t="str">
        <f aca="false">IF(ABS(D91)&lt;=0,"PASS","FAIL")</f>
        <v>PASS</v>
      </c>
    </row>
    <row r="92" customFormat="false" ht="15" hidden="false" customHeight="true" outlineLevel="0" collapsed="false">
      <c r="A92" s="17" t="s">
        <v>493</v>
      </c>
      <c r="B92" s="39" t="n">
        <f aca="false">Model!$B$36</f>
        <v>0</v>
      </c>
      <c r="C92" s="39" t="n">
        <f aca="false">Model!$B$36</f>
        <v>0</v>
      </c>
      <c r="D92" s="81" t="n">
        <f aca="false">C92-B92</f>
        <v>0</v>
      </c>
      <c r="E92" s="12" t="str">
        <f aca="false">IF(ABS(D92)&lt;=0.01,"PASS","FAIL")</f>
        <v>PASS</v>
      </c>
    </row>
    <row r="93" customFormat="false" ht="15" hidden="false" customHeight="true" outlineLevel="0" collapsed="false">
      <c r="A93" s="78" t="s">
        <v>494</v>
      </c>
      <c r="B93" s="79"/>
      <c r="C93" s="79"/>
      <c r="D93" s="79"/>
      <c r="E93" s="79"/>
    </row>
    <row r="94" customFormat="false" ht="15" hidden="false" customHeight="true" outlineLevel="0" collapsed="false">
      <c r="A94" s="17" t="s">
        <v>495</v>
      </c>
      <c r="B94" s="39" t="n">
        <f aca="false">IF(Model!$B$5=1,SUMPRODUCT((Data!$A$4:$A$18&lt;=Model!$B$3)*Data!$B$4:$B$18*Data!$D$4:$D$18),SUMPRODUCT(Model!$E$46:$E$70,Model!$AC$46:$AC$70))</f>
        <v>9616.484827069</v>
      </c>
      <c r="C94" s="39" t="n">
        <f aca="false">Total!C28</f>
        <v>9616.484827069</v>
      </c>
      <c r="D94" s="81" t="n">
        <f aca="false">C94-B94</f>
        <v>0</v>
      </c>
      <c r="E94" s="12" t="str">
        <f aca="false">IF(ABS(D94)&lt;=0.01,"PASS","FAIL")</f>
        <v>PASS</v>
      </c>
    </row>
    <row r="95" customFormat="false" ht="15" hidden="false" customHeight="true" outlineLevel="0" collapsed="false">
      <c r="A95" s="17" t="s">
        <v>496</v>
      </c>
      <c r="B95" s="39" t="n">
        <f aca="false">IF(Model!$B$5=1,SUMPRODUCT((Data!$A$4:$A$18&lt;=Model!$B$3)*Data!$B$4:$B$18*Data!$G$4:$G$18),SUMPRODUCT(Model!$E$46:$E$70,Model!$AF$46:$AF$70))</f>
        <v>10424.2543004504</v>
      </c>
      <c r="C95" s="39" t="n">
        <f aca="false">Total!F28</f>
        <v>10424.2543004504</v>
      </c>
      <c r="D95" s="81" t="n">
        <f aca="false">C95-B95</f>
        <v>0</v>
      </c>
      <c r="E95" s="12" t="str">
        <f aca="false">IF(ABS(D95)&lt;=0.01,"PASS","FAIL")</f>
        <v>PASS</v>
      </c>
    </row>
    <row r="96" customFormat="false" ht="15" hidden="false" customHeight="true" outlineLevel="0" collapsed="false">
      <c r="A96" s="17" t="s">
        <v>497</v>
      </c>
      <c r="B96" s="39" t="n">
        <v>15</v>
      </c>
      <c r="C96" s="39" t="n">
        <f aca="false">SUM(Data!$D$4:$G$18)</f>
        <v>15</v>
      </c>
      <c r="D96" s="81" t="n">
        <f aca="false">C96-B96</f>
        <v>0</v>
      </c>
      <c r="E96" s="12" t="str">
        <f aca="false">IF(ABS(D96)&lt;=0.0001,"PASS","FAIL")</f>
        <v>PASS</v>
      </c>
    </row>
    <row r="97" customFormat="false" ht="15" hidden="false" customHeight="true" outlineLevel="0" collapsed="false">
      <c r="A97" s="17" t="s">
        <v>498</v>
      </c>
      <c r="B97" s="39" t="n">
        <v>25</v>
      </c>
      <c r="C97" s="39" t="n">
        <f aca="false">SUM(Model!$AC$46:$AF$70)</f>
        <v>25</v>
      </c>
      <c r="D97" s="81" t="n">
        <f aca="false">C97-B97</f>
        <v>0</v>
      </c>
      <c r="E97" s="12" t="str">
        <f aca="false">IF(ABS(D97)&lt;=0.0001,"PASS","FAIL")</f>
        <v>PASS</v>
      </c>
    </row>
    <row r="98" customFormat="false" ht="15" hidden="false" customHeight="true" outlineLevel="0" collapsed="false">
      <c r="A98" s="17" t="s">
        <v>499</v>
      </c>
      <c r="B98" s="39" t="n">
        <v>76295</v>
      </c>
      <c r="C98" s="39" t="n">
        <f aca="false">Total!B38</f>
        <v>76295</v>
      </c>
      <c r="D98" s="81" t="n">
        <f aca="false">C98-B98</f>
        <v>0</v>
      </c>
      <c r="E98" s="12" t="str">
        <f aca="false">IF(ABS(D98)&lt;=0.5,"PASS","FAIL")</f>
        <v>PASS</v>
      </c>
    </row>
    <row r="99" customFormat="false" ht="15" hidden="false" customHeight="true" outlineLevel="0" collapsed="false">
      <c r="A99" s="78" t="s">
        <v>500</v>
      </c>
      <c r="B99" s="79"/>
      <c r="C99" s="79"/>
      <c r="D99" s="79"/>
      <c r="E99" s="79"/>
    </row>
    <row r="100" customFormat="false" ht="15" hidden="false" customHeight="true" outlineLevel="0" collapsed="false">
      <c r="A100" s="17" t="s">
        <v>501</v>
      </c>
      <c r="B100" s="39" t="n">
        <f aca="false">Total!B28</f>
        <v>39864</v>
      </c>
      <c r="C100" s="39" t="n">
        <f aca="false">Land!T32</f>
        <v>39864</v>
      </c>
      <c r="D100" s="81" t="n">
        <f aca="false">C100-B100</f>
        <v>0</v>
      </c>
      <c r="E100" s="12" t="str">
        <f aca="false">IF(ABS(D100)&lt;=0.01,"PASS","FAIL")</f>
        <v>PASS</v>
      </c>
    </row>
    <row r="101" customFormat="false" ht="15" hidden="false" customHeight="true" outlineLevel="0" collapsed="false">
      <c r="A101" s="17" t="s">
        <v>502</v>
      </c>
      <c r="B101" s="39" t="n">
        <f aca="false">Land!U32</f>
        <v>1824.1305106009</v>
      </c>
      <c r="C101" s="39" t="n">
        <f aca="false">Land!T69</f>
        <v>1824.1305106009</v>
      </c>
      <c r="D101" s="81" t="n">
        <f aca="false">C101-B101</f>
        <v>0</v>
      </c>
      <c r="E101" s="12" t="str">
        <f aca="false">IF(ABS(D101)&lt;=0.01,"PASS","FAIL")</f>
        <v>PASS</v>
      </c>
    </row>
    <row r="102" customFormat="false" ht="15" hidden="false" customHeight="true" outlineLevel="0" collapsed="false">
      <c r="A102" s="17" t="s">
        <v>503</v>
      </c>
      <c r="B102" s="20" t="n">
        <v>0</v>
      </c>
      <c r="C102" s="20" t="n">
        <f aca="false">COUNTIF(Land!C7:C31,"&lt;=0")+COUNTBLANK(Land!C7:C31)</f>
        <v>0</v>
      </c>
      <c r="D102" s="81" t="n">
        <f aca="false">C102-B102</f>
        <v>0</v>
      </c>
      <c r="E102" s="12" t="str">
        <f aca="false">IF(ABS(D102)&lt;=0,"PASS","FAIL")</f>
        <v>PASS</v>
      </c>
    </row>
    <row r="103" customFormat="false" ht="15" hidden="false" customHeight="true" outlineLevel="0" collapsed="false">
      <c r="A103" s="17" t="s">
        <v>504</v>
      </c>
      <c r="B103" s="39" t="n">
        <f aca="false">Total!B28</f>
        <v>39864</v>
      </c>
      <c r="C103" s="39" t="n">
        <f aca="false">'Land at Council density'!T32</f>
        <v>39864</v>
      </c>
      <c r="D103" s="81" t="n">
        <f aca="false">C103-B103</f>
        <v>0</v>
      </c>
      <c r="E103" s="12" t="str">
        <f aca="false">IF(ABS(D103)&lt;=0.01,"PASS","FAIL")</f>
        <v>PASS</v>
      </c>
    </row>
    <row r="104" customFormat="false" ht="15" hidden="false" customHeight="true" outlineLevel="0" collapsed="false">
      <c r="A104" s="17" t="s">
        <v>505</v>
      </c>
      <c r="B104" s="39" t="n">
        <f aca="false">'Land at Council density'!U32</f>
        <v>1282.49062535113</v>
      </c>
      <c r="C104" s="39" t="n">
        <f aca="false">'Land at Council density'!T69</f>
        <v>1282.49062535113</v>
      </c>
      <c r="D104" s="81" t="n">
        <f aca="false">C104-B104</f>
        <v>0</v>
      </c>
      <c r="E104" s="12" t="str">
        <f aca="false">IF(ABS(D104)&lt;=0.01,"PASS","FAIL")</f>
        <v>PASS</v>
      </c>
    </row>
    <row r="105" customFormat="false" ht="15" hidden="false" customHeight="true" outlineLevel="0" collapsed="false">
      <c r="A105" s="17" t="s">
        <v>506</v>
      </c>
      <c r="B105" s="20" t="n">
        <v>0</v>
      </c>
      <c r="C105" s="20" t="n">
        <f aca="false">SUMPRODUCT(--('Land at Council density'!C7:C31&lt;Data!$H$298:$H$322*Data!$C$298:$C$322+(1-Data!$H$298:$H$322)*Data!$F$298:$F$322-0.001))+SUMPRODUCT(--('Land at Council density'!C7:C31&gt;Data!$H$298:$H$322*Data!$D$298:$D$322+(1-Data!$H$298:$H$322)*Data!$G$298:$G$322+0.001))</f>
        <v>0</v>
      </c>
      <c r="D105" s="81"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507</v>
      </c>
    </row>
    <row r="3" customFormat="false" ht="15" hidden="false" customHeight="true" outlineLevel="0" collapsed="false">
      <c r="A3" s="13" t="s">
        <v>508</v>
      </c>
      <c r="B3" s="20" t="n">
        <f aca="false">VALUE(Intro!$C$6)</f>
        <v>2040</v>
      </c>
    </row>
    <row r="4" customFormat="false" ht="15" hidden="false" customHeight="true" outlineLevel="0" collapsed="false">
      <c r="A4" s="13" t="s">
        <v>509</v>
      </c>
      <c r="B4" s="20" t="n">
        <f aca="false">MATCH(Intro!$C$7,Data!$AA$3:$AA$5,0)</f>
        <v>1</v>
      </c>
    </row>
    <row r="5" customFormat="false" ht="15" hidden="false" customHeight="true" outlineLevel="0" collapsed="false">
      <c r="A5" s="13" t="s">
        <v>510</v>
      </c>
      <c r="B5" s="20" t="n">
        <f aca="false">MATCH(Intro!$C$8,Data!$AB$3:$AB$4,0)</f>
        <v>1</v>
      </c>
    </row>
    <row r="6" customFormat="false" ht="15" hidden="false" customHeight="true" outlineLevel="0" collapsed="false">
      <c r="A6" s="13" t="s">
        <v>511</v>
      </c>
      <c r="B6" s="20" t="n">
        <f aca="false">MATCH(Intro!$C$9,Data!$AC$3:$AC$6,0)</f>
        <v>1</v>
      </c>
    </row>
    <row r="7" customFormat="false" ht="15" hidden="false" customHeight="true" outlineLevel="0" collapsed="false">
      <c r="A7" s="13" t="s">
        <v>512</v>
      </c>
      <c r="B7" s="20" t="n">
        <f aca="false">MATCH(Intro!$C$10,Data!$AD$3:$AD$4,0)</f>
        <v>1</v>
      </c>
    </row>
    <row r="8" customFormat="false" ht="15" hidden="false" customHeight="true" outlineLevel="0" collapsed="false">
      <c r="A8" s="13" t="s">
        <v>25</v>
      </c>
      <c r="B8" s="22" t="n">
        <f aca="false">Intro!$C$11</f>
        <v>0</v>
      </c>
    </row>
    <row r="9" customFormat="false" ht="15" hidden="false" customHeight="true" outlineLevel="0" collapsed="false">
      <c r="A9" s="13" t="s">
        <v>513</v>
      </c>
      <c r="B9" s="22" t="n">
        <f aca="false">Intro!$C$12</f>
        <v>0</v>
      </c>
    </row>
    <row r="10" customFormat="false" ht="15" hidden="false" customHeight="true" outlineLevel="0" collapsed="false">
      <c r="A10" s="13" t="s">
        <v>514</v>
      </c>
      <c r="B10" s="20" t="n">
        <f aca="false">MATCH(Intro!$C$13,Data!$AF$3:$AF$6,0)</f>
        <v>1</v>
      </c>
    </row>
    <row r="11" customFormat="false" ht="15" hidden="false" customHeight="true" outlineLevel="0" collapsed="false">
      <c r="A11" s="13" t="s">
        <v>515</v>
      </c>
      <c r="B11" s="20" t="n">
        <f aca="false">IF(Intro!$C$14="Yes",1,0)</f>
        <v>0</v>
      </c>
    </row>
    <row r="12" customFormat="false" ht="15" hidden="false" customHeight="true" outlineLevel="0" collapsed="false">
      <c r="A12" s="13" t="s">
        <v>37</v>
      </c>
      <c r="B12" s="22" t="n">
        <f aca="false">Intro!$C$15</f>
        <v>0.5</v>
      </c>
    </row>
    <row r="13" customFormat="false" ht="15" hidden="false" customHeight="true" outlineLevel="0" collapsed="false">
      <c r="A13" s="13" t="s">
        <v>516</v>
      </c>
      <c r="B13" s="20" t="n">
        <f aca="false">MATCH(Intro!$C$16,Data!$AH$3:$AH$4,0)</f>
        <v>1</v>
      </c>
    </row>
    <row r="14" customFormat="false" ht="15" hidden="false" customHeight="true" outlineLevel="0" collapsed="false">
      <c r="A14" s="13" t="s">
        <v>517</v>
      </c>
      <c r="B14" s="22" t="n">
        <f aca="false">Intro!$C$17</f>
        <v>0.2</v>
      </c>
    </row>
    <row r="15" customFormat="false" ht="15" hidden="false" customHeight="true" outlineLevel="0" collapsed="false">
      <c r="A15" s="13" t="s">
        <v>518</v>
      </c>
      <c r="B15" s="22" t="n">
        <f aca="false">Intro!$C$18</f>
        <v>0.1</v>
      </c>
    </row>
    <row r="16" customFormat="false" ht="15" hidden="false" customHeight="true" outlineLevel="0" collapsed="false">
      <c r="A16" s="13" t="s">
        <v>519</v>
      </c>
      <c r="B16" s="20" t="n">
        <f aca="false">MATCH(Intro!$C$19,Data!$AK$3:$AK$5,0)</f>
        <v>1</v>
      </c>
    </row>
    <row r="17" customFormat="false" ht="15" hidden="false" customHeight="true" outlineLevel="0" collapsed="false">
      <c r="A17" s="13" t="s">
        <v>520</v>
      </c>
      <c r="B17" s="39" t="n">
        <f aca="false">SUMPRODUCT((Data!$A$4:$A$18&lt;=Model!$B$3)*Data!$B$4:$B$18)</f>
        <v>39864</v>
      </c>
    </row>
    <row r="18" customFormat="false" ht="15" hidden="false" customHeight="true" outlineLevel="0" collapsed="false">
      <c r="A18" s="13" t="s">
        <v>521</v>
      </c>
      <c r="B18" s="39" t="n">
        <f aca="false">SUMPRODUCT((Data!$A$4:$A$18&lt;=Model!$B$3)*INDEX(Data!$A$4:$X$18,0,9+(Model!$B$10-1)*4+0))</f>
        <v>8363</v>
      </c>
    </row>
    <row r="19" customFormat="false" ht="15" hidden="false" customHeight="true" outlineLevel="0" collapsed="false">
      <c r="A19" s="13" t="s">
        <v>522</v>
      </c>
      <c r="B19" s="39" t="n">
        <f aca="false">SUMPRODUCT((Data!$A$4:$A$18&lt;=Model!$B$3)*INDEX(Data!$A$4:$X$18,0,9+(Model!$B$10-1)*4+1))</f>
        <v>5019</v>
      </c>
    </row>
    <row r="20" customFormat="false" ht="15" hidden="false" customHeight="true" outlineLevel="0" collapsed="false">
      <c r="A20" s="13" t="s">
        <v>523</v>
      </c>
      <c r="B20" s="39" t="n">
        <f aca="false">SUMPRODUCT((Data!$A$4:$A$18&lt;=Model!$B$3)*INDEX(Data!$A$4:$X$18,0,9+(Model!$B$10-1)*4+2))</f>
        <v>5292</v>
      </c>
    </row>
    <row r="21" customFormat="false" ht="15" hidden="false" customHeight="true" outlineLevel="0" collapsed="false">
      <c r="A21" s="13" t="s">
        <v>524</v>
      </c>
      <c r="B21" s="39" t="n">
        <f aca="false">SUMPRODUCT((Data!$A$4:$A$18&lt;=Model!$B$3)*INDEX(Data!$A$4:$X$18,0,9+(Model!$B$10-1)*4+3))</f>
        <v>21193</v>
      </c>
    </row>
    <row r="22" customFormat="false" ht="15" hidden="false" customHeight="true" outlineLevel="0" collapsed="false">
      <c r="A22" s="13" t="s">
        <v>525</v>
      </c>
      <c r="B22" s="39" t="n">
        <f aca="false">IF(Model!$B$11=1,SUMPRODUCT((Data!$A$4:$A$18&lt;=Model!$B$3)*Data!$H$4:$H$18),0)</f>
        <v>0</v>
      </c>
    </row>
    <row r="23" customFormat="false" ht="15" hidden="false" customHeight="true" outlineLevel="0" collapsed="false">
      <c r="A23" s="13" t="s">
        <v>526</v>
      </c>
      <c r="B23" s="39" t="n">
        <f aca="false">Model!$B$20-IF(Model!$B$20+Model!$B$21&gt;0,Model!$B$22*Model!$B$20/(Model!$B$20+Model!$B$21),0)</f>
        <v>5292</v>
      </c>
    </row>
    <row r="24" customFormat="false" ht="15" hidden="false" customHeight="true" outlineLevel="0" collapsed="false">
      <c r="A24" s="13" t="s">
        <v>527</v>
      </c>
      <c r="B24" s="39" t="n">
        <f aca="false">Model!$B$21-IF(Model!$B$20+Model!$B$21&gt;0,Model!$B$22*Model!$B$21/(Model!$B$20+Model!$B$21),0)</f>
        <v>21193</v>
      </c>
    </row>
    <row r="25" customFormat="false" ht="15" hidden="false" customHeight="true" outlineLevel="0" collapsed="false">
      <c r="A25" s="13" t="s">
        <v>528</v>
      </c>
      <c r="B25" s="39" t="n">
        <f aca="false">Model!$B$18+Model!$B$22</f>
        <v>8363</v>
      </c>
    </row>
    <row r="26" customFormat="false" ht="15" hidden="false" customHeight="true" outlineLevel="0" collapsed="false">
      <c r="A26" s="13" t="s">
        <v>529</v>
      </c>
      <c r="B26" s="39" t="n">
        <f aca="false">Model!$B$25+Model!$B$19+Model!$B$23+Model!$B$24</f>
        <v>39867</v>
      </c>
    </row>
    <row r="27" customFormat="false" ht="15" hidden="false" customHeight="true" outlineLevel="0" collapsed="false">
      <c r="A27" s="13" t="s">
        <v>530</v>
      </c>
      <c r="B27" s="82" t="n">
        <f aca="false">Model!$B$25/Model!$B$26</f>
        <v>0.209772493541024</v>
      </c>
    </row>
    <row r="28" customFormat="false" ht="15" hidden="false" customHeight="true" outlineLevel="0" collapsed="false">
      <c r="A28" s="13" t="s">
        <v>531</v>
      </c>
      <c r="B28" s="39" t="n">
        <f aca="false">Model!$B$27*Model!$B$17</f>
        <v>8362.37068251938</v>
      </c>
    </row>
    <row r="29" customFormat="false" ht="15" hidden="false" customHeight="true" outlineLevel="0" collapsed="false">
      <c r="A29" s="13" t="s">
        <v>532</v>
      </c>
      <c r="B29" s="39" t="n">
        <f aca="false">Model!$B$26-Model!$B$25</f>
        <v>31504</v>
      </c>
    </row>
    <row r="30" customFormat="false" ht="15" hidden="false" customHeight="true" outlineLevel="0" collapsed="false">
      <c r="A30" s="13" t="s">
        <v>533</v>
      </c>
      <c r="B30" s="39" t="n">
        <f aca="false">SUM(Model!$H$46:$H$70)</f>
        <v>3986.4</v>
      </c>
    </row>
    <row r="31" customFormat="false" ht="15" hidden="false" customHeight="true" outlineLevel="0" collapsed="false">
      <c r="A31" s="13" t="s">
        <v>534</v>
      </c>
      <c r="B31" s="39" t="n">
        <f aca="false">MAX(0,Model!$B$28-SUM(Model!$I$46:$I$70))</f>
        <v>4375.97068251938</v>
      </c>
      <c r="C31" s="3" t="s">
        <v>535</v>
      </c>
    </row>
    <row r="32" customFormat="false" ht="15" hidden="false" customHeight="true" outlineLevel="0" collapsed="false">
      <c r="A32" s="13" t="s">
        <v>536</v>
      </c>
      <c r="B32" s="39" t="n">
        <f aca="false">SUM(Model!$J$46:$J$70)</f>
        <v>6021.88184291031</v>
      </c>
    </row>
    <row r="33" customFormat="false" ht="15" hidden="false" customHeight="true" outlineLevel="0" collapsed="false">
      <c r="A33" s="13" t="s">
        <v>537</v>
      </c>
      <c r="B33" s="39" t="n">
        <f aca="false">SUM(Model!$K$46:$K$70)</f>
        <v>29257.4016232858</v>
      </c>
    </row>
    <row r="34" customFormat="false" ht="15" hidden="false" customHeight="true" outlineLevel="0" collapsed="false">
      <c r="A34" s="13" t="s">
        <v>538</v>
      </c>
      <c r="B34" s="83" t="n">
        <f aca="false">MAX(Model!$N$46:$N$70)</f>
        <v>0.143565110794386</v>
      </c>
    </row>
    <row r="35" customFormat="false" ht="15" hidden="false" customHeight="true" outlineLevel="0" collapsed="false">
      <c r="A35" s="13" t="s">
        <v>539</v>
      </c>
      <c r="B35" s="83" t="n">
        <f aca="false">IF(SUMPRODUCT((Model!$L$46:$L$70&gt;Model!$B$34)*Model!$K$46:$K$70)&gt;0,(Model!$B$31-SUMPRODUCT((Model!$L$46:$L$70&lt;=Model!$B$34)*Model!$J$46:$J$70))/SUMPRODUCT((Model!$L$46:$L$70&gt;Model!$B$34)*Model!$K$46:$K$70),0)</f>
        <v>0.176027861874792</v>
      </c>
      <c r="C35" s="3" t="s">
        <v>540</v>
      </c>
    </row>
    <row r="36" customFormat="false" ht="15" hidden="false" customHeight="true" outlineLevel="0" collapsed="false">
      <c r="A36" s="13" t="s">
        <v>541</v>
      </c>
      <c r="B36" s="39" t="n">
        <f aca="false">IF(Model!$B$13=1,MAX(0,Model!$B$31-Model!$B$32),0)</f>
        <v>0</v>
      </c>
      <c r="C36" s="3" t="s">
        <v>542</v>
      </c>
    </row>
    <row r="38" customFormat="false" ht="15" hidden="false" customHeight="true" outlineLevel="0" collapsed="false">
      <c r="A38" s="13" t="s">
        <v>543</v>
      </c>
      <c r="B38" s="82" t="n">
        <f aca="false">1-SUM(B39:B42)</f>
        <v>0.678043230944255</v>
      </c>
      <c r="C38" s="3" t="s">
        <v>544</v>
      </c>
    </row>
    <row r="39" customFormat="false" ht="15" hidden="false" customHeight="true" outlineLevel="0" collapsed="false">
      <c r="A39" s="13" t="s">
        <v>545</v>
      </c>
      <c r="B39" s="82" t="n">
        <f aca="false">Data!$B$53/Data!$B$57</f>
        <v>0.18581721653394</v>
      </c>
    </row>
    <row r="40" customFormat="false" ht="15" hidden="false" customHeight="true" outlineLevel="0" collapsed="false">
      <c r="A40" s="13" t="s">
        <v>546</v>
      </c>
      <c r="B40" s="82" t="n">
        <f aca="false">Data!$B$54/Data!$B$57</f>
        <v>0.106560485400076</v>
      </c>
    </row>
    <row r="41" customFormat="false" ht="15" hidden="false" customHeight="true" outlineLevel="0" collapsed="false">
      <c r="A41" s="13" t="s">
        <v>547</v>
      </c>
      <c r="B41" s="82" t="n">
        <f aca="false">Data!$B$55/Data!$B$57</f>
        <v>0.0109973454683352</v>
      </c>
    </row>
    <row r="42" customFormat="false" ht="15" hidden="false" customHeight="true" outlineLevel="0" collapsed="false">
      <c r="A42" s="13" t="s">
        <v>548</v>
      </c>
      <c r="B42" s="82" t="n">
        <f aca="false">Data!$B$56/Data!$B$57</f>
        <v>0.018581721653394</v>
      </c>
    </row>
    <row r="45" customFormat="false" ht="54" hidden="false" customHeight="true" outlineLevel="0" collapsed="false">
      <c r="A45" s="4" t="s">
        <v>136</v>
      </c>
      <c r="B45" s="5" t="s">
        <v>137</v>
      </c>
      <c r="C45" s="5" t="s">
        <v>549</v>
      </c>
      <c r="D45" s="5" t="s">
        <v>550</v>
      </c>
      <c r="E45" s="5" t="s">
        <v>551</v>
      </c>
      <c r="F45" s="5" t="s">
        <v>552</v>
      </c>
      <c r="G45" s="5" t="s">
        <v>553</v>
      </c>
      <c r="H45" s="5" t="s">
        <v>554</v>
      </c>
      <c r="I45" s="5" t="s">
        <v>555</v>
      </c>
      <c r="J45" s="5" t="s">
        <v>556</v>
      </c>
      <c r="K45" s="5" t="s">
        <v>557</v>
      </c>
      <c r="L45" s="5" t="s">
        <v>558</v>
      </c>
      <c r="M45" s="5" t="s">
        <v>559</v>
      </c>
      <c r="N45" s="5" t="s">
        <v>560</v>
      </c>
      <c r="O45" s="5" t="s">
        <v>561</v>
      </c>
      <c r="P45" s="5" t="s">
        <v>54</v>
      </c>
      <c r="Q45" s="5" t="s">
        <v>103</v>
      </c>
      <c r="R45" s="5" t="s">
        <v>562</v>
      </c>
      <c r="S45" s="5" t="s">
        <v>563</v>
      </c>
      <c r="T45" s="5" t="s">
        <v>564</v>
      </c>
      <c r="U45" s="5" t="s">
        <v>565</v>
      </c>
      <c r="V45" s="5" t="s">
        <v>566</v>
      </c>
      <c r="W45" s="5" t="s">
        <v>567</v>
      </c>
      <c r="X45" s="5" t="s">
        <v>568</v>
      </c>
      <c r="Y45" s="5" t="s">
        <v>569</v>
      </c>
      <c r="Z45" s="5" t="s">
        <v>570</v>
      </c>
      <c r="AA45" s="5" t="s">
        <v>571</v>
      </c>
      <c r="AB45" s="5" t="s">
        <v>572</v>
      </c>
      <c r="AC45" s="5" t="s">
        <v>573</v>
      </c>
      <c r="AD45" s="5" t="s">
        <v>574</v>
      </c>
      <c r="AE45" s="5" t="s">
        <v>575</v>
      </c>
      <c r="AF45" s="5" t="s">
        <v>576</v>
      </c>
    </row>
    <row r="46" customFormat="false" ht="15" hidden="false" customHeight="true" outlineLevel="0" collapsed="false">
      <c r="A46" s="39" t="str">
        <f aca="false">Data!$A$23</f>
        <v>Ballinacurra</v>
      </c>
      <c r="B46" s="39" t="str">
        <f aca="false">Data!$B$23</f>
        <v>City neighbourhood</v>
      </c>
      <c r="C46" s="20" t="n">
        <f aca="false">IF(B46="City neighbourhood",1,0)</f>
        <v>1</v>
      </c>
      <c r="D46" s="82" t="n">
        <f aca="false">CHOOSE(Model!$B$4,Data!$G$23/Data!$B$52,Data!$C$23/SUM(Data!$C$23:$C$47),Data!$D$23/SUM(Data!$D$23:$D$47))</f>
        <v>0.0303168564612339</v>
      </c>
      <c r="E46" s="39" t="n">
        <f aca="false">Model!$B$17*D46</f>
        <v>1208.55116597063</v>
      </c>
      <c r="F46" s="39" t="n">
        <f aca="false">Data!$E$23</f>
        <v>1760</v>
      </c>
      <c r="G46" s="82" t="n">
        <f aca="false">Data!$F$23</f>
        <v>0.0841</v>
      </c>
      <c r="H46" s="39" t="n">
        <f aca="false">E46*Model!$B$15</f>
        <v>120.855116597063</v>
      </c>
      <c r="I46" s="39" t="n">
        <f aca="false">IF(Model!$B$30&gt;Model!$B$28,H46*Model!$B$28/Model!$B$30,H46)</f>
        <v>120.855116597063</v>
      </c>
      <c r="J46" s="39" t="n">
        <f aca="false">IF(C46=1,MAX(0,MIN(E46,Model!$B$14*(F46+E46)-G46*F46)-I46),0)</f>
        <v>324.839116597063</v>
      </c>
      <c r="K46" s="39" t="n">
        <f aca="false">IF(C46=1,E46,0)</f>
        <v>1208.55116597063</v>
      </c>
      <c r="L46" s="83" t="n">
        <f aca="false">IF(AND(C46=1,E46&gt;0),J46/E46,1000000000)</f>
        <v>0.268783917258624</v>
      </c>
      <c r="M46" s="39" t="n">
        <f aca="false">IF(C46=1,SUMPRODUCT((Model!$L$46:$L$70&lt;=L46)*Model!$J$46:$J$70)+L46*SUMPRODUCT((Model!$L$46:$L$70&gt;L46)*Model!$K$46:$K$70),1000000000000)</f>
        <v>5679.94527244764</v>
      </c>
      <c r="N46" s="83" t="n">
        <f aca="false">IF(M46&lt;=Model!$B$31,IF(L46&lt;1000000000,L46,0),0)</f>
        <v>0</v>
      </c>
      <c r="O46" s="39" t="n">
        <f aca="false">IF(Model!$B$13=1,IF(Model!$B$31&gt;=Model!$B$32,J46+IF(Model!$B$33&gt;0,(Model!$B$31-Model!$B$32)*K46/Model!$B$33,0),MIN(J46,Model!$B$35*K46)),0)</f>
        <v>212.738677712097</v>
      </c>
      <c r="P46" s="39" t="n">
        <f aca="false">IF(Model!$B$13=1,I46+O46,E46*Model!$B$27)</f>
        <v>333.59379430916</v>
      </c>
      <c r="Q46" s="82" t="n">
        <f aca="false">IF(E46&gt;0,P46/E46,0)</f>
        <v>0.276027861874792</v>
      </c>
      <c r="R46" s="82" t="n">
        <f aca="false">IF(F46+E46&gt;0,(G46*F46+P46)/(F46+E46),0)</f>
        <v>0.162237322984355</v>
      </c>
      <c r="S46" s="82" t="n">
        <f aca="false">Model!$B$24*(1-Q46)/Model!$B$29</f>
        <v>0.487022013816897</v>
      </c>
      <c r="T46" s="82" t="n">
        <f aca="false">Model!$B$23*(1-Q46)/Model!$B$29</f>
        <v>0.121611876427076</v>
      </c>
      <c r="U46" s="82" t="n">
        <f aca="false">Model!$B$19*Model!$B$12*(1-Q46)/Model!$B$29</f>
        <v>0.0576691239406173</v>
      </c>
      <c r="V46" s="82" t="n">
        <f aca="false">Model!$B$19*(1-Model!$B$12)*(1-Q46)/Model!$B$29</f>
        <v>0.0576691239406173</v>
      </c>
      <c r="W46" s="82" t="n">
        <f aca="false">Q46*Model!$B$38</f>
        <v>0.187158823296219</v>
      </c>
      <c r="X46" s="82" t="n">
        <f aca="false">Q46*Model!$B$39</f>
        <v>0.0512907289793888</v>
      </c>
      <c r="Y46" s="82" t="n">
        <f aca="false">Q46*Model!$B$40</f>
        <v>0.029413662945323</v>
      </c>
      <c r="Z46" s="82" t="n">
        <f aca="false">Q46*Model!$B$41</f>
        <v>0.00303557375592301</v>
      </c>
      <c r="AA46" s="82" t="n">
        <f aca="false">Q46*Model!$B$42</f>
        <v>0.00512907289793888</v>
      </c>
      <c r="AB46" s="20" t="n">
        <f aca="false">MATCH(A46&amp;"|"&amp;Model!$B$6&amp;"|"&amp;Model!$B$7,Data!$A$63:$A$262,0)</f>
        <v>25</v>
      </c>
      <c r="AC46" s="82" t="n">
        <f aca="false">(INDEX(Data!$E$63:$E$262,AB46)-Model!$B$8*INDEX(Data!$I$63:$I$262,AB46)-Model!$B$9*INDEX(Data!$J$63:$J$262,AB46))/INDEX(Data!$K$63:$K$262,AB46)</f>
        <v>0.501324879210715</v>
      </c>
      <c r="AD46" s="82" t="n">
        <f aca="false">(INDEX(Data!$F$63:$F$262,AB46)+Model!$B$8*INDEX(Data!$I$63:$I$262,AB46)+Model!$B$9*INDEX(Data!$J$63:$J$262,AB46))/INDEX(Data!$K$63:$K$262,AB46)</f>
        <v>0.221058000091247</v>
      </c>
      <c r="AE46" s="82" t="n">
        <f aca="false">INDEX(Data!$G$63:$G$262,AB46)/INDEX(Data!$K$63:$K$262,AB46)</f>
        <v>0.165216992901986</v>
      </c>
      <c r="AF46" s="82" t="n">
        <f aca="false">INDEX(Data!$H$63:$H$262,AB46)/INDEX(Data!$K$63:$K$262,AB46)</f>
        <v>0.112400127796052</v>
      </c>
    </row>
    <row r="47" customFormat="false" ht="15" hidden="false" customHeight="true" outlineLevel="0" collapsed="false">
      <c r="A47" s="39" t="str">
        <f aca="false">Data!$A$24</f>
        <v>Caherdavin</v>
      </c>
      <c r="B47" s="39" t="str">
        <f aca="false">Data!$B$24</f>
        <v>City neighbourhood</v>
      </c>
      <c r="C47" s="20" t="n">
        <f aca="false">IF(B47="City neighbourhood",1,0)</f>
        <v>1</v>
      </c>
      <c r="D47" s="82" t="n">
        <f aca="false">CHOOSE(Model!$B$4,Data!$G$24/Data!$B$52,Data!$C$24/SUM(Data!$C$23:$C$47),Data!$D$24/SUM(Data!$D$23:$D$47))</f>
        <v>0.123218648168712</v>
      </c>
      <c r="E47" s="39" t="n">
        <f aca="false">Model!$B$17*D47</f>
        <v>4911.98819059752</v>
      </c>
      <c r="F47" s="39" t="n">
        <f aca="false">Data!$E$24</f>
        <v>6799</v>
      </c>
      <c r="G47" s="82" t="n">
        <f aca="false">Data!$F$24</f>
        <v>0.17369</v>
      </c>
      <c r="H47" s="39" t="n">
        <f aca="false">E47*Model!$B$15</f>
        <v>491.198819059752</v>
      </c>
      <c r="I47" s="39" t="n">
        <f aca="false">IF(Model!$B$30&gt;Model!$B$28,H47*Model!$B$28/Model!$B$30,H47)</f>
        <v>491.198819059752</v>
      </c>
      <c r="J47" s="39" t="n">
        <f aca="false">IF(C47=1,MAX(0,MIN(E47,Model!$B$14*(F47+E47)-G47*F47)-I47),0)</f>
        <v>670.080509059752</v>
      </c>
      <c r="K47" s="39" t="n">
        <f aca="false">IF(C47=1,E47,0)</f>
        <v>4911.98819059752</v>
      </c>
      <c r="L47" s="83" t="n">
        <f aca="false">IF(AND(C47=1,E47&gt;0),J47/E47,1000000000)</f>
        <v>0.136417369720557</v>
      </c>
      <c r="M47" s="39" t="n">
        <f aca="false">IF(C47=1,SUMPRODUCT((Model!$L$46:$L$70&lt;=L47)*Model!$J$46:$J$70)+L47*SUMPRODUCT((Model!$L$46:$L$70&gt;L47)*Model!$K$46:$K$70),1000000000000)</f>
        <v>3669.41297869053</v>
      </c>
      <c r="N47" s="83" t="n">
        <f aca="false">IF(M47&lt;=Model!$B$31,IF(L47&lt;1000000000,L47,0),0)</f>
        <v>0.136417369720557</v>
      </c>
      <c r="O47" s="39" t="n">
        <f aca="false">IF(Model!$B$13=1,IF(Model!$B$31&gt;=Model!$B$32,J47+IF(Model!$B$33&gt;0,(Model!$B$31-Model!$B$32)*K47/Model!$B$33,0),MIN(J47,Model!$B$35*K47)),0)</f>
        <v>670.080509059752</v>
      </c>
      <c r="P47" s="39" t="n">
        <f aca="false">IF(Model!$B$13=1,I47+O47,E47*Model!$B$27)</f>
        <v>1161.2793281195</v>
      </c>
      <c r="Q47" s="82" t="n">
        <f aca="false">IF(E47&gt;0,P47/E47,0)</f>
        <v>0.236417369720557</v>
      </c>
      <c r="R47" s="82" t="n">
        <f aca="false">IF(F47+E47&gt;0,(G47*F47+P47)/(F47+E47),0)</f>
        <v>0.2</v>
      </c>
      <c r="S47" s="82" t="n">
        <f aca="false">Model!$B$24*(1-Q47)/Model!$B$29</f>
        <v>0.513668317785432</v>
      </c>
      <c r="T47" s="82" t="n">
        <f aca="false">Model!$B$23*(1-Q47)/Model!$B$29</f>
        <v>0.128265594192446</v>
      </c>
      <c r="U47" s="82" t="n">
        <f aca="false">Model!$B$19*Model!$B$12*(1-Q47)/Model!$B$29</f>
        <v>0.0608243591507828</v>
      </c>
      <c r="V47" s="82" t="n">
        <f aca="false">Model!$B$19*(1-Model!$B$12)*(1-Q47)/Model!$B$29</f>
        <v>0.0608243591507828</v>
      </c>
      <c r="W47" s="82" t="n">
        <f aca="false">Q47*Model!$B$38</f>
        <v>0.160301197216669</v>
      </c>
      <c r="X47" s="82" t="n">
        <f aca="false">Q47*Model!$B$39</f>
        <v>0.0439304175817493</v>
      </c>
      <c r="Y47" s="82" t="n">
        <f aca="false">Q47*Model!$B$40</f>
        <v>0.0251927496744318</v>
      </c>
      <c r="Z47" s="82" t="n">
        <f aca="false">Q47*Model!$B$41</f>
        <v>0.0025999634895321</v>
      </c>
      <c r="AA47" s="82" t="n">
        <f aca="false">Q47*Model!$B$42</f>
        <v>0.00439304175817493</v>
      </c>
      <c r="AB47" s="20" t="n">
        <f aca="false">MATCH(A47&amp;"|"&amp;Model!$B$6&amp;"|"&amp;Model!$B$7,Data!$A$63:$A$262,0)</f>
        <v>49</v>
      </c>
      <c r="AC47" s="82" t="n">
        <f aca="false">(INDEX(Data!$E$63:$E$262,AB47)-Model!$B$8*INDEX(Data!$I$63:$I$262,AB47)-Model!$B$9*INDEX(Data!$J$63:$J$262,AB47))/INDEX(Data!$K$63:$K$262,AB47)</f>
        <v>0.5058758274562</v>
      </c>
      <c r="AD47" s="82" t="n">
        <f aca="false">(INDEX(Data!$F$63:$F$262,AB47)+Model!$B$8*INDEX(Data!$I$63:$I$262,AB47)+Model!$B$9*INDEX(Data!$J$63:$J$262,AB47))/INDEX(Data!$K$63:$K$262,AB47)</f>
        <v>0.199839019583249</v>
      </c>
      <c r="AE47" s="82" t="n">
        <f aca="false">INDEX(Data!$G$63:$G$262,AB47)/INDEX(Data!$K$63:$K$262,AB47)</f>
        <v>0.175744840316</v>
      </c>
      <c r="AF47" s="82" t="n">
        <f aca="false">INDEX(Data!$H$63:$H$262,AB47)/INDEX(Data!$K$63:$K$262,AB47)</f>
        <v>0.118540312644553</v>
      </c>
    </row>
    <row r="48" customFormat="false" ht="15" hidden="false" customHeight="true" outlineLevel="0" collapsed="false">
      <c r="A48" s="39" t="str">
        <f aca="false">Data!$A$25</f>
        <v>Castletroy/Annacotty</v>
      </c>
      <c r="B48" s="39" t="str">
        <f aca="false">Data!$B$25</f>
        <v>City neighbourhood</v>
      </c>
      <c r="C48" s="20" t="n">
        <f aca="false">IF(B48="City neighbourhood",1,0)</f>
        <v>1</v>
      </c>
      <c r="D48" s="82" t="n">
        <f aca="false">CHOOSE(Model!$B$4,Data!$G$25/Data!$B$52,Data!$C$25/SUM(Data!$C$23:$C$47),Data!$D$25/SUM(Data!$D$23:$D$47))</f>
        <v>0.14618890954612</v>
      </c>
      <c r="E48" s="39" t="n">
        <f aca="false">Model!$B$17*D48</f>
        <v>5827.67469014651</v>
      </c>
      <c r="F48" s="39" t="n">
        <f aca="false">Data!$E$25</f>
        <v>7036</v>
      </c>
      <c r="G48" s="82" t="n">
        <f aca="false">Data!$F$25</f>
        <v>0.03637</v>
      </c>
      <c r="H48" s="39" t="n">
        <f aca="false">E48*Model!$B$15</f>
        <v>582.767469014651</v>
      </c>
      <c r="I48" s="39" t="n">
        <f aca="false">IF(Model!$B$30&gt;Model!$B$28,H48*Model!$B$28/Model!$B$30,H48)</f>
        <v>582.767469014651</v>
      </c>
      <c r="J48" s="39" t="n">
        <f aca="false">IF(C48=1,MAX(0,MIN(E48,Model!$B$14*(F48+E48)-G48*F48)-I48),0)</f>
        <v>1734.06814901465</v>
      </c>
      <c r="K48" s="39" t="n">
        <f aca="false">IF(C48=1,E48,0)</f>
        <v>5827.67469014651</v>
      </c>
      <c r="L48" s="83" t="n">
        <f aca="false">IF(AND(C48=1,E48&gt;0),J48/E48,1000000000)</f>
        <v>0.297557472098886</v>
      </c>
      <c r="M48" s="39" t="n">
        <f aca="false">IF(C48=1,SUMPRODUCT((Model!$L$46:$L$70&lt;=L48)*Model!$J$46:$J$70)+L48*SUMPRODUCT((Model!$L$46:$L$70&gt;L48)*Model!$K$46:$K$70),1000000000000)</f>
        <v>5995.11901073912</v>
      </c>
      <c r="N48" s="83" t="n">
        <f aca="false">IF(M48&lt;=Model!$B$31,IF(L48&lt;1000000000,L48,0),0)</f>
        <v>0</v>
      </c>
      <c r="O48" s="39" t="n">
        <f aca="false">IF(Model!$B$13=1,IF(Model!$B$31&gt;=Model!$B$32,J48+IF(Model!$B$33&gt;0,(Model!$B$31-Model!$B$32)*K48/Model!$B$33,0),MIN(J48,Model!$B$35*K48)),0)</f>
        <v>1025.83311540833</v>
      </c>
      <c r="P48" s="39" t="n">
        <f aca="false">IF(Model!$B$13=1,I48+O48,E48*Model!$B$27)</f>
        <v>1608.60058442298</v>
      </c>
      <c r="Q48" s="82" t="n">
        <f aca="false">IF(E48&gt;0,P48/E48,0)</f>
        <v>0.276027861874792</v>
      </c>
      <c r="R48" s="82" t="n">
        <f aca="false">IF(F48+E48&gt;0,(G48*F48+P48)/(F48+E48),0)</f>
        <v>0.144943023617597</v>
      </c>
      <c r="S48" s="82" t="n">
        <f aca="false">Model!$B$24*(1-Q48)/Model!$B$29</f>
        <v>0.487022013816897</v>
      </c>
      <c r="T48" s="82" t="n">
        <f aca="false">Model!$B$23*(1-Q48)/Model!$B$29</f>
        <v>0.121611876427076</v>
      </c>
      <c r="U48" s="82" t="n">
        <f aca="false">Model!$B$19*Model!$B$12*(1-Q48)/Model!$B$29</f>
        <v>0.0576691239406173</v>
      </c>
      <c r="V48" s="82" t="n">
        <f aca="false">Model!$B$19*(1-Model!$B$12)*(1-Q48)/Model!$B$29</f>
        <v>0.0576691239406173</v>
      </c>
      <c r="W48" s="82" t="n">
        <f aca="false">Q48*Model!$B$38</f>
        <v>0.187158823296219</v>
      </c>
      <c r="X48" s="82" t="n">
        <f aca="false">Q48*Model!$B$39</f>
        <v>0.0512907289793888</v>
      </c>
      <c r="Y48" s="82" t="n">
        <f aca="false">Q48*Model!$B$40</f>
        <v>0.029413662945323</v>
      </c>
      <c r="Z48" s="82" t="n">
        <f aca="false">Q48*Model!$B$41</f>
        <v>0.00303557375592301</v>
      </c>
      <c r="AA48" s="82" t="n">
        <f aca="false">Q48*Model!$B$42</f>
        <v>0.00512907289793888</v>
      </c>
      <c r="AB48" s="20" t="n">
        <f aca="false">MATCH(A48&amp;"|"&amp;Model!$B$6&amp;"|"&amp;Model!$B$7,Data!$A$63:$A$262,0)</f>
        <v>73</v>
      </c>
      <c r="AC48" s="82" t="n">
        <f aca="false">(INDEX(Data!$E$63:$E$262,AB48)-Model!$B$8*INDEX(Data!$I$63:$I$262,AB48)-Model!$B$9*INDEX(Data!$J$63:$J$262,AB48))/INDEX(Data!$K$63:$K$262,AB48)</f>
        <v>0.465622139519974</v>
      </c>
      <c r="AD48" s="82" t="n">
        <f aca="false">(INDEX(Data!$F$63:$F$262,AB48)+Model!$B$8*INDEX(Data!$I$63:$I$262,AB48)+Model!$B$9*INDEX(Data!$J$63:$J$262,AB48))/INDEX(Data!$K$63:$K$262,AB48)</f>
        <v>0.12140042785497</v>
      </c>
      <c r="AE48" s="82" t="n">
        <f aca="false">INDEX(Data!$G$63:$G$262,AB48)/INDEX(Data!$K$63:$K$262,AB48)</f>
        <v>0.281895634493517</v>
      </c>
      <c r="AF48" s="82" t="n">
        <f aca="false">INDEX(Data!$H$63:$H$262,AB48)/INDEX(Data!$K$63:$K$262,AB48)</f>
        <v>0.131081798131538</v>
      </c>
    </row>
    <row r="49" customFormat="false" ht="15" hidden="false" customHeight="true" outlineLevel="0" collapsed="false">
      <c r="A49" s="39" t="str">
        <f aca="false">Data!$A$26</f>
        <v>City Centre</v>
      </c>
      <c r="B49" s="39" t="str">
        <f aca="false">Data!$B$26</f>
        <v>City neighbourhood</v>
      </c>
      <c r="C49" s="20" t="n">
        <f aca="false">IF(B49="City neighbourhood",1,0)</f>
        <v>1</v>
      </c>
      <c r="D49" s="82" t="n">
        <f aca="false">CHOOSE(Model!$B$4,Data!$G$26/Data!$B$52,Data!$C$26/SUM(Data!$C$23:$C$47),Data!$D$26/SUM(Data!$D$23:$D$47))</f>
        <v>0.126989159634229</v>
      </c>
      <c r="E49" s="39" t="n">
        <f aca="false">Model!$B$17*D49</f>
        <v>5062.29585965892</v>
      </c>
      <c r="F49" s="39" t="n">
        <f aca="false">Data!$E$26</f>
        <v>7647</v>
      </c>
      <c r="G49" s="82" t="n">
        <f aca="false">Data!$F$26</f>
        <v>0.17116</v>
      </c>
      <c r="H49" s="39" t="n">
        <f aca="false">E49*Model!$B$15</f>
        <v>506.229585965892</v>
      </c>
      <c r="I49" s="39" t="n">
        <f aca="false">IF(Model!$B$30&gt;Model!$B$28,H49*Model!$B$28/Model!$B$30,H49)</f>
        <v>506.229585965892</v>
      </c>
      <c r="J49" s="39" t="n">
        <f aca="false">IF(C49=1,MAX(0,MIN(E49,Model!$B$14*(F49+E49)-G49*F49)-I49),0)</f>
        <v>726.769065965893</v>
      </c>
      <c r="K49" s="39" t="n">
        <f aca="false">IF(C49=1,E49,0)</f>
        <v>5062.29585965892</v>
      </c>
      <c r="L49" s="83" t="n">
        <f aca="false">IF(AND(C49=1,E49&gt;0),J49/E49,1000000000)</f>
        <v>0.143565110794386</v>
      </c>
      <c r="M49" s="39" t="n">
        <f aca="false">IF(C49=1,SUMPRODUCT((Model!$L$46:$L$70&lt;=L49)*Model!$J$46:$J$70)+L49*SUMPRODUCT((Model!$L$46:$L$70&gt;L49)*Model!$K$46:$K$70),1000000000000)</f>
        <v>3826.56636708354</v>
      </c>
      <c r="N49" s="83" t="n">
        <f aca="false">IF(M49&lt;=Model!$B$31,IF(L49&lt;1000000000,L49,0),0)</f>
        <v>0.143565110794386</v>
      </c>
      <c r="O49" s="39" t="n">
        <f aca="false">IF(Model!$B$13=1,IF(Model!$B$31&gt;=Model!$B$32,J49+IF(Model!$B$33&gt;0,(Model!$B$31-Model!$B$32)*K49/Model!$B$33,0),MIN(J49,Model!$B$35*K49)),0)</f>
        <v>726.769065965893</v>
      </c>
      <c r="P49" s="39" t="n">
        <f aca="false">IF(Model!$B$13=1,I49+O49,E49*Model!$B$27)</f>
        <v>1232.99865193178</v>
      </c>
      <c r="Q49" s="82" t="n">
        <f aca="false">IF(E49&gt;0,P49/E49,0)</f>
        <v>0.243565110794386</v>
      </c>
      <c r="R49" s="82" t="n">
        <f aca="false">IF(F49+E49&gt;0,(G49*F49+P49)/(F49+E49),0)</f>
        <v>0.2</v>
      </c>
      <c r="S49" s="82" t="n">
        <f aca="false">Model!$B$24*(1-Q49)/Model!$B$29</f>
        <v>0.508859973556837</v>
      </c>
      <c r="T49" s="82" t="n">
        <f aca="false">Model!$B$23*(1-Q49)/Model!$B$29</f>
        <v>0.127064926157825</v>
      </c>
      <c r="U49" s="82" t="n">
        <f aca="false">Model!$B$19*Model!$B$12*(1-Q49)/Model!$B$29</f>
        <v>0.0602549947454764</v>
      </c>
      <c r="V49" s="82" t="n">
        <f aca="false">Model!$B$19*(1-Model!$B$12)*(1-Q49)/Model!$B$29</f>
        <v>0.0602549947454764</v>
      </c>
      <c r="W49" s="82" t="n">
        <f aca="false">Q49*Model!$B$38</f>
        <v>0.165147674668321</v>
      </c>
      <c r="X49" s="82" t="n">
        <f aca="false">Q49*Model!$B$39</f>
        <v>0.0452585909325935</v>
      </c>
      <c r="Y49" s="82" t="n">
        <f aca="false">Q49*Model!$B$40</f>
        <v>0.025954416432773</v>
      </c>
      <c r="Z49" s="82" t="n">
        <f aca="false">Q49*Model!$B$41</f>
        <v>0.0026785696674392</v>
      </c>
      <c r="AA49" s="82" t="n">
        <f aca="false">Q49*Model!$B$42</f>
        <v>0.00452585909325935</v>
      </c>
      <c r="AB49" s="20" t="n">
        <f aca="false">MATCH(A49&amp;"|"&amp;Model!$B$6&amp;"|"&amp;Model!$B$7,Data!$A$63:$A$262,0)</f>
        <v>81</v>
      </c>
      <c r="AC49" s="82" t="n">
        <f aca="false">(INDEX(Data!$E$63:$E$262,AB49)-Model!$B$8*INDEX(Data!$I$63:$I$262,AB49)-Model!$B$9*INDEX(Data!$J$63:$J$262,AB49))/INDEX(Data!$K$63:$K$262,AB49)</f>
        <v>0.616366858059425</v>
      </c>
      <c r="AD49" s="82" t="n">
        <f aca="false">(INDEX(Data!$F$63:$F$262,AB49)+Model!$B$8*INDEX(Data!$I$63:$I$262,AB49)+Model!$B$9*INDEX(Data!$J$63:$J$262,AB49))/INDEX(Data!$K$63:$K$262,AB49)</f>
        <v>0.167217695518084</v>
      </c>
      <c r="AE49" s="82" t="n">
        <f aca="false">INDEX(Data!$G$63:$G$262,AB49)/INDEX(Data!$K$63:$K$262,AB49)</f>
        <v>0.150638524721932</v>
      </c>
      <c r="AF49" s="82" t="n">
        <f aca="false">INDEX(Data!$H$63:$H$262,AB49)/INDEX(Data!$K$63:$K$262,AB49)</f>
        <v>0.0657769217005585</v>
      </c>
    </row>
    <row r="50" customFormat="false" ht="15" hidden="false" customHeight="true" outlineLevel="0" collapsed="false">
      <c r="A50" s="39" t="str">
        <f aca="false">Data!$A$27</f>
        <v>Corbally/Grove Island</v>
      </c>
      <c r="B50" s="39" t="str">
        <f aca="false">Data!$B$27</f>
        <v>City neighbourhood</v>
      </c>
      <c r="C50" s="20" t="n">
        <f aca="false">IF(B50="City neighbourhood",1,0)</f>
        <v>1</v>
      </c>
      <c r="D50" s="82" t="n">
        <f aca="false">CHOOSE(Model!$B$4,Data!$G$27/Data!$B$52,Data!$C$27/SUM(Data!$C$23:$C$47),Data!$D$27/SUM(Data!$D$23:$D$47))</f>
        <v>0.0321222578996033</v>
      </c>
      <c r="E50" s="39" t="n">
        <f aca="false">Model!$B$17*D50</f>
        <v>1280.52168890979</v>
      </c>
      <c r="F50" s="39" t="n">
        <f aca="false">Data!$E$27</f>
        <v>1727</v>
      </c>
      <c r="G50" s="82" t="n">
        <f aca="false">Data!$F$27</f>
        <v>0.03802</v>
      </c>
      <c r="H50" s="39" t="n">
        <f aca="false">E50*Model!$B$15</f>
        <v>128.052168890979</v>
      </c>
      <c r="I50" s="39" t="n">
        <f aca="false">IF(Model!$B$30&gt;Model!$B$28,H50*Model!$B$28/Model!$B$30,H50)</f>
        <v>128.052168890979</v>
      </c>
      <c r="J50" s="39" t="n">
        <f aca="false">IF(C50=1,MAX(0,MIN(E50,Model!$B$14*(F50+E50)-G50*F50)-I50),0)</f>
        <v>407.791628890979</v>
      </c>
      <c r="K50" s="39" t="n">
        <f aca="false">IF(C50=1,E50,0)</f>
        <v>1280.52168890979</v>
      </c>
      <c r="L50" s="83" t="n">
        <f aca="false">IF(AND(C50=1,E50&gt;0),J50/E50,1000000000)</f>
        <v>0.318457416553534</v>
      </c>
      <c r="M50" s="39" t="n">
        <f aca="false">IF(C50=1,SUMPRODUCT((Model!$L$46:$L$70&lt;=L50)*Model!$J$46:$J$70)+L50*SUMPRODUCT((Model!$L$46:$L$70&gt;L50)*Model!$K$46:$K$70),1000000000000)</f>
        <v>6021.88184291031</v>
      </c>
      <c r="N50" s="83" t="n">
        <f aca="false">IF(M50&lt;=Model!$B$31,IF(L50&lt;1000000000,L50,0),0)</f>
        <v>0</v>
      </c>
      <c r="O50" s="39" t="n">
        <f aca="false">IF(Model!$B$13=1,IF(Model!$B$31&gt;=Model!$B$32,J50+IF(Model!$B$33&gt;0,(Model!$B$31-Model!$B$32)*K50/Model!$B$33,0),MIN(J50,Model!$B$35*K50)),0)</f>
        <v>225.407494983088</v>
      </c>
      <c r="P50" s="39" t="n">
        <f aca="false">IF(Model!$B$13=1,I50+O50,E50*Model!$B$27)</f>
        <v>353.459663874067</v>
      </c>
      <c r="Q50" s="82" t="n">
        <f aca="false">IF(E50&gt;0,P50/E50,0)</f>
        <v>0.276027861874792</v>
      </c>
      <c r="R50" s="82" t="n">
        <f aca="false">IF(F50+E50&gt;0,(G50*F50+P50)/(F50+E50),0)</f>
        <v>0.13935733378734</v>
      </c>
      <c r="S50" s="82" t="n">
        <f aca="false">Model!$B$24*(1-Q50)/Model!$B$29</f>
        <v>0.487022013816897</v>
      </c>
      <c r="T50" s="82" t="n">
        <f aca="false">Model!$B$23*(1-Q50)/Model!$B$29</f>
        <v>0.121611876427076</v>
      </c>
      <c r="U50" s="82" t="n">
        <f aca="false">Model!$B$19*Model!$B$12*(1-Q50)/Model!$B$29</f>
        <v>0.0576691239406173</v>
      </c>
      <c r="V50" s="82" t="n">
        <f aca="false">Model!$B$19*(1-Model!$B$12)*(1-Q50)/Model!$B$29</f>
        <v>0.0576691239406173</v>
      </c>
      <c r="W50" s="82" t="n">
        <f aca="false">Q50*Model!$B$38</f>
        <v>0.187158823296219</v>
      </c>
      <c r="X50" s="82" t="n">
        <f aca="false">Q50*Model!$B$39</f>
        <v>0.0512907289793888</v>
      </c>
      <c r="Y50" s="82" t="n">
        <f aca="false">Q50*Model!$B$40</f>
        <v>0.029413662945323</v>
      </c>
      <c r="Z50" s="82" t="n">
        <f aca="false">Q50*Model!$B$41</f>
        <v>0.00303557375592301</v>
      </c>
      <c r="AA50" s="82" t="n">
        <f aca="false">Q50*Model!$B$42</f>
        <v>0.00512907289793888</v>
      </c>
      <c r="AB50" s="20" t="n">
        <f aca="false">MATCH(A50&amp;"|"&amp;Model!$B$6&amp;"|"&amp;Model!$B$7,Data!$A$63:$A$262,0)</f>
        <v>89</v>
      </c>
      <c r="AC50" s="82" t="n">
        <f aca="false">(INDEX(Data!$E$63:$E$262,AB50)-Model!$B$8*INDEX(Data!$I$63:$I$262,AB50)-Model!$B$9*INDEX(Data!$J$63:$J$262,AB50))/INDEX(Data!$K$63:$K$262,AB50)</f>
        <v>0.491680124598043</v>
      </c>
      <c r="AD50" s="82" t="n">
        <f aca="false">(INDEX(Data!$F$63:$F$262,AB50)+Model!$B$8*INDEX(Data!$I$63:$I$262,AB50)+Model!$B$9*INDEX(Data!$J$63:$J$262,AB50))/INDEX(Data!$K$63:$K$262,AB50)</f>
        <v>0.2020175967742</v>
      </c>
      <c r="AE50" s="82" t="n">
        <f aca="false">INDEX(Data!$G$63:$G$262,AB50)/INDEX(Data!$K$63:$K$262,AB50)</f>
        <v>0.202997951403302</v>
      </c>
      <c r="AF50" s="82" t="n">
        <f aca="false">INDEX(Data!$H$63:$H$262,AB50)/INDEX(Data!$K$63:$K$262,AB50)</f>
        <v>0.103304327224453</v>
      </c>
    </row>
    <row r="51" customFormat="false" ht="15" hidden="false" customHeight="true" outlineLevel="0" collapsed="false">
      <c r="A51" s="39" t="str">
        <f aca="false">Data!$A$28</f>
        <v>Dooradoyle</v>
      </c>
      <c r="B51" s="39" t="str">
        <f aca="false">Data!$B$28</f>
        <v>City neighbourhood</v>
      </c>
      <c r="C51" s="20" t="n">
        <f aca="false">IF(B51="City neighbourhood",1,0)</f>
        <v>1</v>
      </c>
      <c r="D51" s="82" t="n">
        <f aca="false">CHOOSE(Model!$B$4,Data!$G$28/Data!$B$52,Data!$C$28/SUM(Data!$C$23:$C$47),Data!$D$28/SUM(Data!$D$23:$D$47))</f>
        <v>0.136967474507064</v>
      </c>
      <c r="E51" s="39" t="n">
        <f aca="false">Model!$B$17*D51</f>
        <v>5460.07140374958</v>
      </c>
      <c r="F51" s="39" t="n">
        <f aca="false">Data!$E$28</f>
        <v>6830</v>
      </c>
      <c r="G51" s="82" t="n">
        <f aca="false">Data!$F$28</f>
        <v>0.04887</v>
      </c>
      <c r="H51" s="39" t="n">
        <f aca="false">E51*Model!$B$15</f>
        <v>546.007140374959</v>
      </c>
      <c r="I51" s="39" t="n">
        <f aca="false">IF(Model!$B$30&gt;Model!$B$28,H51*Model!$B$28/Model!$B$30,H51)</f>
        <v>546.007140374959</v>
      </c>
      <c r="J51" s="39" t="n">
        <f aca="false">IF(C51=1,MAX(0,MIN(E51,Model!$B$14*(F51+E51)-G51*F51)-I51),0)</f>
        <v>1578.22504037496</v>
      </c>
      <c r="K51" s="39" t="n">
        <f aca="false">IF(C51=1,E51,0)</f>
        <v>5460.07140374958</v>
      </c>
      <c r="L51" s="83" t="n">
        <f aca="false">IF(AND(C51=1,E51&gt;0),J51/E51,1000000000)</f>
        <v>0.289048425134358</v>
      </c>
      <c r="M51" s="39" t="n">
        <f aca="false">IF(C51=1,SUMPRODUCT((Model!$L$46:$L$70&lt;=L51)*Model!$J$46:$J$70)+L51*SUMPRODUCT((Model!$L$46:$L$70&gt;L51)*Model!$K$46:$K$70),1000000000000)</f>
        <v>5934.63503391664</v>
      </c>
      <c r="N51" s="83" t="n">
        <f aca="false">IF(M51&lt;=Model!$B$31,IF(L51&lt;1000000000,L51,0),0)</f>
        <v>0</v>
      </c>
      <c r="O51" s="39" t="n">
        <f aca="false">IF(Model!$B$13=1,IF(Model!$B$31&gt;=Model!$B$32,J51+IF(Model!$B$33&gt;0,(Model!$B$31-Model!$B$32)*K51/Model!$B$33,0),MIN(J51,Model!$B$35*K51)),0)</f>
        <v>961.124694885736</v>
      </c>
      <c r="P51" s="39" t="n">
        <f aca="false">IF(Model!$B$13=1,I51+O51,E51*Model!$B$27)</f>
        <v>1507.13183526069</v>
      </c>
      <c r="Q51" s="82" t="n">
        <f aca="false">IF(E51&gt;0,P51/E51,0)</f>
        <v>0.276027861874792</v>
      </c>
      <c r="R51" s="82" t="n">
        <f aca="false">IF(F51+E51&gt;0,(G51*F51+P51)/(F51+E51),0)</f>
        <v>0.149788709502457</v>
      </c>
      <c r="S51" s="82" t="n">
        <f aca="false">Model!$B$24*(1-Q51)/Model!$B$29</f>
        <v>0.487022013816897</v>
      </c>
      <c r="T51" s="82" t="n">
        <f aca="false">Model!$B$23*(1-Q51)/Model!$B$29</f>
        <v>0.121611876427076</v>
      </c>
      <c r="U51" s="82" t="n">
        <f aca="false">Model!$B$19*Model!$B$12*(1-Q51)/Model!$B$29</f>
        <v>0.0576691239406173</v>
      </c>
      <c r="V51" s="82" t="n">
        <f aca="false">Model!$B$19*(1-Model!$B$12)*(1-Q51)/Model!$B$29</f>
        <v>0.0576691239406173</v>
      </c>
      <c r="W51" s="82" t="n">
        <f aca="false">Q51*Model!$B$38</f>
        <v>0.187158823296219</v>
      </c>
      <c r="X51" s="82" t="n">
        <f aca="false">Q51*Model!$B$39</f>
        <v>0.0512907289793888</v>
      </c>
      <c r="Y51" s="82" t="n">
        <f aca="false">Q51*Model!$B$40</f>
        <v>0.029413662945323</v>
      </c>
      <c r="Z51" s="82" t="n">
        <f aca="false">Q51*Model!$B$41</f>
        <v>0.00303557375592301</v>
      </c>
      <c r="AA51" s="82" t="n">
        <f aca="false">Q51*Model!$B$42</f>
        <v>0.00512907289793888</v>
      </c>
      <c r="AB51" s="20" t="n">
        <f aca="false">MATCH(A51&amp;"|"&amp;Model!$B$6&amp;"|"&amp;Model!$B$7,Data!$A$63:$A$262,0)</f>
        <v>105</v>
      </c>
      <c r="AC51" s="82" t="n">
        <f aca="false">(INDEX(Data!$E$63:$E$262,AB51)-Model!$B$8*INDEX(Data!$I$63:$I$262,AB51)-Model!$B$9*INDEX(Data!$J$63:$J$262,AB51))/INDEX(Data!$K$63:$K$262,AB51)</f>
        <v>0.405075095172089</v>
      </c>
      <c r="AD51" s="82" t="n">
        <f aca="false">(INDEX(Data!$F$63:$F$262,AB51)+Model!$B$8*INDEX(Data!$I$63:$I$262,AB51)+Model!$B$9*INDEX(Data!$J$63:$J$262,AB51))/INDEX(Data!$K$63:$K$262,AB51)</f>
        <v>0.184039429277161</v>
      </c>
      <c r="AE51" s="82" t="n">
        <f aca="false">INDEX(Data!$G$63:$G$262,AB51)/INDEX(Data!$K$63:$K$262,AB51)</f>
        <v>0.271531736796701</v>
      </c>
      <c r="AF51" s="82" t="n">
        <f aca="false">INDEX(Data!$H$63:$H$262,AB51)/INDEX(Data!$K$63:$K$262,AB51)</f>
        <v>0.139353738754049</v>
      </c>
    </row>
    <row r="52" customFormat="false" ht="15" hidden="false" customHeight="true" outlineLevel="0" collapsed="false">
      <c r="A52" s="39" t="str">
        <f aca="false">Data!$A$29</f>
        <v>Kings Island</v>
      </c>
      <c r="B52" s="39" t="str">
        <f aca="false">Data!$B$29</f>
        <v>City neighbourhood</v>
      </c>
      <c r="C52" s="20" t="n">
        <f aca="false">IF(B52="City neighbourhood",1,0)</f>
        <v>1</v>
      </c>
      <c r="D52" s="82" t="n">
        <f aca="false">CHOOSE(Model!$B$4,Data!$G$29/Data!$B$52,Data!$C$29/SUM(Data!$C$23:$C$47),Data!$D$29/SUM(Data!$D$23:$D$47))</f>
        <v>0.0158875326576508</v>
      </c>
      <c r="E52" s="39" t="n">
        <f aca="false">Model!$B$17*D52</f>
        <v>633.34060186459</v>
      </c>
      <c r="F52" s="39" t="n">
        <f aca="false">Data!$E$29</f>
        <v>976</v>
      </c>
      <c r="G52" s="82" t="n">
        <f aca="false">Data!$F$29</f>
        <v>0.35414</v>
      </c>
      <c r="H52" s="39" t="n">
        <f aca="false">E52*Model!$B$15</f>
        <v>63.334060186459</v>
      </c>
      <c r="I52" s="39" t="n">
        <f aca="false">IF(Model!$B$30&gt;Model!$B$28,H52*Model!$B$28/Model!$B$30,H52)</f>
        <v>63.334060186459</v>
      </c>
      <c r="J52" s="39" t="n">
        <f aca="false">IF(C52=1,MAX(0,MIN(E52,Model!$B$14*(F52+E52)-G52*F52)-I52),0)</f>
        <v>0</v>
      </c>
      <c r="K52" s="39" t="n">
        <f aca="false">IF(C52=1,E52,0)</f>
        <v>633.34060186459</v>
      </c>
      <c r="L52" s="83" t="n">
        <f aca="false">IF(AND(C52=1,E52&gt;0),J52/E52,1000000000)</f>
        <v>0</v>
      </c>
      <c r="M52" s="39" t="n">
        <f aca="false">IF(C52=1,SUMPRODUCT((Model!$L$46:$L$70&lt;=L52)*Model!$J$46:$J$70)+L52*SUMPRODUCT((Model!$L$46:$L$70&gt;L52)*Model!$K$46:$K$70),1000000000000)</f>
        <v>0</v>
      </c>
      <c r="N52" s="83" t="n">
        <f aca="false">IF(M52&lt;=Model!$B$31,IF(L52&lt;1000000000,L52,0),0)</f>
        <v>0</v>
      </c>
      <c r="O52" s="39" t="n">
        <f aca="false">IF(Model!$B$13=1,IF(Model!$B$31&gt;=Model!$B$32,J52+IF(Model!$B$33&gt;0,(Model!$B$31-Model!$B$32)*K52/Model!$B$33,0),MIN(J52,Model!$B$35*K52)),0)</f>
        <v>0</v>
      </c>
      <c r="P52" s="39" t="n">
        <f aca="false">IF(Model!$B$13=1,I52+O52,E52*Model!$B$27)</f>
        <v>63.334060186459</v>
      </c>
      <c r="Q52" s="82" t="n">
        <f aca="false">IF(E52&gt;0,P52/E52,0)</f>
        <v>0.1</v>
      </c>
      <c r="R52" s="82" t="n">
        <f aca="false">IF(F52+E52&gt;0,(G52*F52+P52)/(F52+E52),0)</f>
        <v>0.254125633636919</v>
      </c>
      <c r="S52" s="82" t="n">
        <f aca="false">Model!$B$24*(1-Q52)/Model!$B$29</f>
        <v>0.605437404773997</v>
      </c>
      <c r="T52" s="82" t="n">
        <f aca="false">Model!$B$23*(1-Q52)/Model!$B$29</f>
        <v>0.151180802437786</v>
      </c>
      <c r="U52" s="82" t="n">
        <f aca="false">Model!$B$19*Model!$B$12*(1-Q52)/Model!$B$29</f>
        <v>0.0716908963941087</v>
      </c>
      <c r="V52" s="82" t="n">
        <f aca="false">Model!$B$19*(1-Model!$B$12)*(1-Q52)/Model!$B$29</f>
        <v>0.0716908963941087</v>
      </c>
      <c r="W52" s="82" t="n">
        <f aca="false">Q52*Model!$B$38</f>
        <v>0.0678043230944255</v>
      </c>
      <c r="X52" s="82" t="n">
        <f aca="false">Q52*Model!$B$39</f>
        <v>0.018581721653394</v>
      </c>
      <c r="Y52" s="82" t="n">
        <f aca="false">Q52*Model!$B$40</f>
        <v>0.0106560485400076</v>
      </c>
      <c r="Z52" s="82" t="n">
        <f aca="false">Q52*Model!$B$41</f>
        <v>0.00109973454683352</v>
      </c>
      <c r="AA52" s="82" t="n">
        <f aca="false">Q52*Model!$B$42</f>
        <v>0.0018581721653394</v>
      </c>
      <c r="AB52" s="20" t="n">
        <f aca="false">MATCH(A52&amp;"|"&amp;Model!$B$6&amp;"|"&amp;Model!$B$7,Data!$A$63:$A$262,0)</f>
        <v>137</v>
      </c>
      <c r="AC52" s="82" t="n">
        <f aca="false">(INDEX(Data!$E$63:$E$262,AB52)-Model!$B$8*INDEX(Data!$I$63:$I$262,AB52)-Model!$B$9*INDEX(Data!$J$63:$J$262,AB52))/INDEX(Data!$K$63:$K$262,AB52)</f>
        <v>0.633430208203616</v>
      </c>
      <c r="AD52" s="82" t="n">
        <f aca="false">(INDEX(Data!$F$63:$F$262,AB52)+Model!$B$8*INDEX(Data!$I$63:$I$262,AB52)+Model!$B$9*INDEX(Data!$J$63:$J$262,AB52))/INDEX(Data!$K$63:$K$262,AB52)</f>
        <v>0.168402145115014</v>
      </c>
      <c r="AE52" s="82" t="n">
        <f aca="false">INDEX(Data!$G$63:$G$262,AB52)/INDEX(Data!$K$63:$K$262,AB52)</f>
        <v>0.113515461093885</v>
      </c>
      <c r="AF52" s="82" t="n">
        <f aca="false">INDEX(Data!$H$63:$H$262,AB52)/INDEX(Data!$K$63:$K$262,AB52)</f>
        <v>0.0846521855874821</v>
      </c>
    </row>
    <row r="53" customFormat="false" ht="15" hidden="false" customHeight="true" outlineLevel="0" collapsed="false">
      <c r="A53" s="39" t="str">
        <f aca="false">Data!$A$30</f>
        <v>Singland/Garryowen</v>
      </c>
      <c r="B53" s="39" t="str">
        <f aca="false">Data!$B$30</f>
        <v>City neighbourhood</v>
      </c>
      <c r="C53" s="20" t="n">
        <f aca="false">IF(B53="City neighbourhood",1,0)</f>
        <v>1</v>
      </c>
      <c r="D53" s="82" t="n">
        <f aca="false">CHOOSE(Model!$B$4,Data!$G$30/Data!$B$52,Data!$C$30/SUM(Data!$C$23:$C$47),Data!$D$30/SUM(Data!$D$23:$D$47))</f>
        <v>0.0789515936702314</v>
      </c>
      <c r="E53" s="39" t="n">
        <f aca="false">Model!$B$17*D53</f>
        <v>3147.3263300701</v>
      </c>
      <c r="F53" s="39" t="n">
        <f aca="false">Data!$E$30</f>
        <v>4195</v>
      </c>
      <c r="G53" s="82" t="n">
        <f aca="false">Data!$F$30</f>
        <v>0.13674</v>
      </c>
      <c r="H53" s="39" t="n">
        <f aca="false">E53*Model!$B$15</f>
        <v>314.73263300701</v>
      </c>
      <c r="I53" s="39" t="n">
        <f aca="false">IF(Model!$B$30&gt;Model!$B$28,H53*Model!$B$28/Model!$B$30,H53)</f>
        <v>314.73263300701</v>
      </c>
      <c r="J53" s="39" t="n">
        <f aca="false">IF(C53=1,MAX(0,MIN(E53,Model!$B$14*(F53+E53)-G53*F53)-I53),0)</f>
        <v>580.108333007011</v>
      </c>
      <c r="K53" s="39" t="n">
        <f aca="false">IF(C53=1,E53,0)</f>
        <v>3147.3263300701</v>
      </c>
      <c r="L53" s="83" t="n">
        <f aca="false">IF(AND(C53=1,E53&gt;0),J53/E53,1000000000)</f>
        <v>0.184317821594969</v>
      </c>
      <c r="M53" s="39" t="n">
        <f aca="false">IF(C53=1,SUMPRODUCT((Model!$L$46:$L$70&lt;=L53)*Model!$J$46:$J$70)+L53*SUMPRODUCT((Model!$L$46:$L$70&gt;L53)*Model!$K$46:$K$70),1000000000000)</f>
        <v>4516.27116517944</v>
      </c>
      <c r="N53" s="83" t="n">
        <f aca="false">IF(M53&lt;=Model!$B$31,IF(L53&lt;1000000000,L53,0),0)</f>
        <v>0</v>
      </c>
      <c r="O53" s="39" t="n">
        <f aca="false">IF(Model!$B$13=1,IF(Model!$B$31&gt;=Model!$B$32,J53+IF(Model!$B$33&gt;0,(Model!$B$31-Model!$B$32)*K53/Model!$B$33,0),MIN(J53,Model!$B$35*K53)),0)</f>
        <v>554.017124504478</v>
      </c>
      <c r="P53" s="39" t="n">
        <f aca="false">IF(Model!$B$13=1,I53+O53,E53*Model!$B$27)</f>
        <v>868.749757511488</v>
      </c>
      <c r="Q53" s="82" t="n">
        <f aca="false">IF(E53&gt;0,P53/E53,0)</f>
        <v>0.276027861874792</v>
      </c>
      <c r="R53" s="82" t="n">
        <f aca="false">IF(F53+E53&gt;0,(G53*F53+P53)/(F53+E53),0)</f>
        <v>0.196446465693621</v>
      </c>
      <c r="S53" s="82" t="n">
        <f aca="false">Model!$B$24*(1-Q53)/Model!$B$29</f>
        <v>0.487022013816897</v>
      </c>
      <c r="T53" s="82" t="n">
        <f aca="false">Model!$B$23*(1-Q53)/Model!$B$29</f>
        <v>0.121611876427076</v>
      </c>
      <c r="U53" s="82" t="n">
        <f aca="false">Model!$B$19*Model!$B$12*(1-Q53)/Model!$B$29</f>
        <v>0.0576691239406173</v>
      </c>
      <c r="V53" s="82" t="n">
        <f aca="false">Model!$B$19*(1-Model!$B$12)*(1-Q53)/Model!$B$29</f>
        <v>0.0576691239406173</v>
      </c>
      <c r="W53" s="82" t="n">
        <f aca="false">Q53*Model!$B$38</f>
        <v>0.187158823296219</v>
      </c>
      <c r="X53" s="82" t="n">
        <f aca="false">Q53*Model!$B$39</f>
        <v>0.0512907289793888</v>
      </c>
      <c r="Y53" s="82" t="n">
        <f aca="false">Q53*Model!$B$40</f>
        <v>0.029413662945323</v>
      </c>
      <c r="Z53" s="82" t="n">
        <f aca="false">Q53*Model!$B$41</f>
        <v>0.00303557375592301</v>
      </c>
      <c r="AA53" s="82" t="n">
        <f aca="false">Q53*Model!$B$42</f>
        <v>0.00512907289793888</v>
      </c>
      <c r="AB53" s="20" t="n">
        <f aca="false">MATCH(A53&amp;"|"&amp;Model!$B$6&amp;"|"&amp;Model!$B$7,Data!$A$63:$A$262,0)</f>
        <v>185</v>
      </c>
      <c r="AC53" s="82" t="n">
        <f aca="false">(INDEX(Data!$E$63:$E$262,AB53)-Model!$B$8*INDEX(Data!$I$63:$I$262,AB53)-Model!$B$9*INDEX(Data!$J$63:$J$262,AB53))/INDEX(Data!$K$63:$K$262,AB53)</f>
        <v>0.496593938676083</v>
      </c>
      <c r="AD53" s="82" t="n">
        <f aca="false">(INDEX(Data!$F$63:$F$262,AB53)+Model!$B$8*INDEX(Data!$I$63:$I$262,AB53)+Model!$B$9*INDEX(Data!$J$63:$J$262,AB53))/INDEX(Data!$K$63:$K$262,AB53)</f>
        <v>0.198996114558687</v>
      </c>
      <c r="AE53" s="82" t="n">
        <f aca="false">INDEX(Data!$G$63:$G$262,AB53)/INDEX(Data!$K$63:$K$262,AB53)</f>
        <v>0.187649429569604</v>
      </c>
      <c r="AF53" s="82" t="n">
        <f aca="false">INDEX(Data!$H$63:$H$262,AB53)/INDEX(Data!$K$63:$K$262,AB53)</f>
        <v>0.116760517195626</v>
      </c>
    </row>
    <row r="54" customFormat="false" ht="15" hidden="false" customHeight="true" outlineLevel="0" collapsed="false">
      <c r="A54" s="39" t="str">
        <f aca="false">Data!$A$31</f>
        <v>Southhill</v>
      </c>
      <c r="B54" s="39" t="str">
        <f aca="false">Data!$B$31</f>
        <v>City neighbourhood</v>
      </c>
      <c r="C54" s="20" t="n">
        <f aca="false">IF(B54="City neighbourhood",1,0)</f>
        <v>1</v>
      </c>
      <c r="D54" s="82" t="n">
        <f aca="false">CHOOSE(Model!$B$4,Data!$G$31/Data!$B$52,Data!$C$31/SUM(Data!$C$23:$C$47),Data!$D$31/SUM(Data!$D$23:$D$47))</f>
        <v>0.0432879714107495</v>
      </c>
      <c r="E54" s="39" t="n">
        <f aca="false">Model!$B$17*D54</f>
        <v>1725.63169231812</v>
      </c>
      <c r="F54" s="39" t="n">
        <f aca="false">Data!$E$31</f>
        <v>2185</v>
      </c>
      <c r="G54" s="82" t="n">
        <f aca="false">Data!$F$31</f>
        <v>0.29598</v>
      </c>
      <c r="H54" s="39" t="n">
        <f aca="false">E54*Model!$B$15</f>
        <v>172.563169231812</v>
      </c>
      <c r="I54" s="39" t="n">
        <f aca="false">IF(Model!$B$30&gt;Model!$B$28,H54*Model!$B$28/Model!$B$30,H54)</f>
        <v>172.563169231812</v>
      </c>
      <c r="J54" s="39" t="n">
        <f aca="false">IF(C54=1,MAX(0,MIN(E54,Model!$B$14*(F54+E54)-G54*F54)-I54),0)</f>
        <v>0</v>
      </c>
      <c r="K54" s="39" t="n">
        <f aca="false">IF(C54=1,E54,0)</f>
        <v>1725.63169231812</v>
      </c>
      <c r="L54" s="83" t="n">
        <f aca="false">IF(AND(C54=1,E54&gt;0),J54/E54,1000000000)</f>
        <v>0</v>
      </c>
      <c r="M54" s="39" t="n">
        <f aca="false">IF(C54=1,SUMPRODUCT((Model!$L$46:$L$70&lt;=L54)*Model!$J$46:$J$70)+L54*SUMPRODUCT((Model!$L$46:$L$70&gt;L54)*Model!$K$46:$K$70),1000000000000)</f>
        <v>0</v>
      </c>
      <c r="N54" s="83" t="n">
        <f aca="false">IF(M54&lt;=Model!$B$31,IF(L54&lt;1000000000,L54,0),0)</f>
        <v>0</v>
      </c>
      <c r="O54" s="39" t="n">
        <f aca="false">IF(Model!$B$13=1,IF(Model!$B$31&gt;=Model!$B$32,J54+IF(Model!$B$33&gt;0,(Model!$B$31-Model!$B$32)*K54/Model!$B$33,0),MIN(J54,Model!$B$35*K54)),0)</f>
        <v>0</v>
      </c>
      <c r="P54" s="39" t="n">
        <f aca="false">IF(Model!$B$13=1,I54+O54,E54*Model!$B$27)</f>
        <v>172.563169231812</v>
      </c>
      <c r="Q54" s="82" t="n">
        <f aca="false">IF(E54&gt;0,P54/E54,0)</f>
        <v>0.1</v>
      </c>
      <c r="R54" s="82" t="n">
        <f aca="false">IF(F54+E54&gt;0,(G54*F54+P54)/(F54+E54),0)</f>
        <v>0.209500544590065</v>
      </c>
      <c r="S54" s="82" t="n">
        <f aca="false">Model!$B$24*(1-Q54)/Model!$B$29</f>
        <v>0.605437404773997</v>
      </c>
      <c r="T54" s="82" t="n">
        <f aca="false">Model!$B$23*(1-Q54)/Model!$B$29</f>
        <v>0.151180802437786</v>
      </c>
      <c r="U54" s="82" t="n">
        <f aca="false">Model!$B$19*Model!$B$12*(1-Q54)/Model!$B$29</f>
        <v>0.0716908963941087</v>
      </c>
      <c r="V54" s="82" t="n">
        <f aca="false">Model!$B$19*(1-Model!$B$12)*(1-Q54)/Model!$B$29</f>
        <v>0.0716908963941087</v>
      </c>
      <c r="W54" s="82" t="n">
        <f aca="false">Q54*Model!$B$38</f>
        <v>0.0678043230944255</v>
      </c>
      <c r="X54" s="82" t="n">
        <f aca="false">Q54*Model!$B$39</f>
        <v>0.018581721653394</v>
      </c>
      <c r="Y54" s="82" t="n">
        <f aca="false">Q54*Model!$B$40</f>
        <v>0.0106560485400076</v>
      </c>
      <c r="Z54" s="82" t="n">
        <f aca="false">Q54*Model!$B$41</f>
        <v>0.00109973454683352</v>
      </c>
      <c r="AA54" s="82" t="n">
        <f aca="false">Q54*Model!$B$42</f>
        <v>0.0018581721653394</v>
      </c>
      <c r="AB54" s="20" t="n">
        <f aca="false">MATCH(A54&amp;"|"&amp;Model!$B$6&amp;"|"&amp;Model!$B$7,Data!$A$63:$A$262,0)</f>
        <v>193</v>
      </c>
      <c r="AC54" s="82" t="n">
        <f aca="false">(INDEX(Data!$E$63:$E$262,AB54)-Model!$B$8*INDEX(Data!$I$63:$I$262,AB54)-Model!$B$9*INDEX(Data!$J$63:$J$262,AB54))/INDEX(Data!$K$63:$K$262,AB54)</f>
        <v>0.471744305268032</v>
      </c>
      <c r="AD54" s="82" t="n">
        <f aca="false">(INDEX(Data!$F$63:$F$262,AB54)+Model!$B$8*INDEX(Data!$I$63:$I$262,AB54)+Model!$B$9*INDEX(Data!$J$63:$J$262,AB54))/INDEX(Data!$K$63:$K$262,AB54)</f>
        <v>0.211910096683615</v>
      </c>
      <c r="AE54" s="82" t="n">
        <f aca="false">INDEX(Data!$G$63:$G$262,AB54)/INDEX(Data!$K$63:$K$262,AB54)</f>
        <v>0.163472450305193</v>
      </c>
      <c r="AF54" s="82" t="n">
        <f aca="false">INDEX(Data!$H$63:$H$262,AB54)/INDEX(Data!$K$63:$K$262,AB54)</f>
        <v>0.15287314774316</v>
      </c>
    </row>
    <row r="55" customFormat="false" ht="15" hidden="false" customHeight="true" outlineLevel="0" collapsed="false">
      <c r="A55" s="39" t="str">
        <f aca="false">Data!$A$32</f>
        <v>Abbeyfeale</v>
      </c>
      <c r="B55" s="39" t="str">
        <f aca="false">Data!$B$32</f>
        <v>Key town</v>
      </c>
      <c r="C55" s="20" t="n">
        <f aca="false">IF(B55="City neighbourhood",1,0)</f>
        <v>0</v>
      </c>
      <c r="D55" s="82" t="n">
        <f aca="false">CHOOSE(Model!$B$4,Data!$G$32/Data!$B$52,Data!$C$32/SUM(Data!$C$23:$C$47),Data!$D$32/SUM(Data!$D$23:$D$47))</f>
        <v>0.0135273812855677</v>
      </c>
      <c r="E55" s="39" t="n">
        <f aca="false">Model!$B$17*D55</f>
        <v>539.25552756787</v>
      </c>
      <c r="F55" s="39" t="n">
        <f aca="false">Data!$E$32</f>
        <v>924</v>
      </c>
      <c r="G55" s="82" t="n">
        <f aca="false">Data!$F$32</f>
        <v>0.21444</v>
      </c>
      <c r="H55" s="39" t="n">
        <f aca="false">E55*Model!$B$15</f>
        <v>53.925552756787</v>
      </c>
      <c r="I55" s="39" t="n">
        <f aca="false">IF(Model!$B$30&gt;Model!$B$28,H55*Model!$B$28/Model!$B$30,H55)</f>
        <v>53.925552756787</v>
      </c>
      <c r="J55" s="39" t="n">
        <f aca="false">IF(C55=1,MAX(0,MIN(E55,Model!$B$14*(F55+E55)-G55*F55)-I55),0)</f>
        <v>0</v>
      </c>
      <c r="K55" s="39" t="n">
        <f aca="false">IF(C55=1,E55,0)</f>
        <v>0</v>
      </c>
      <c r="L55" s="83" t="n">
        <f aca="false">IF(AND(C55=1,E55&gt;0),J55/E55,1000000000)</f>
        <v>1000000000</v>
      </c>
      <c r="M55" s="39" t="n">
        <f aca="false">IF(C55=1,SUMPRODUCT((Model!$L$46:$L$70&lt;=L55)*Model!$J$46:$J$70)+L55*SUMPRODUCT((Model!$L$46:$L$70&gt;L55)*Model!$K$46:$K$70),1000000000000)</f>
        <v>1000000000000</v>
      </c>
      <c r="N55" s="83" t="n">
        <f aca="false">IF(M55&lt;=Model!$B$31,IF(L55&lt;1000000000,L55,0),0)</f>
        <v>0</v>
      </c>
      <c r="O55" s="39" t="n">
        <f aca="false">IF(Model!$B$13=1,IF(Model!$B$31&gt;=Model!$B$32,J55+IF(Model!$B$33&gt;0,(Model!$B$31-Model!$B$32)*K55/Model!$B$33,0),MIN(J55,Model!$B$35*K55)),0)</f>
        <v>0</v>
      </c>
      <c r="P55" s="39" t="n">
        <f aca="false">IF(Model!$B$13=1,I55+O55,E55*Model!$B$27)</f>
        <v>53.925552756787</v>
      </c>
      <c r="Q55" s="82" t="n">
        <f aca="false">IF(E55&gt;0,P55/E55,0)</f>
        <v>0.1</v>
      </c>
      <c r="R55" s="82" t="n">
        <f aca="false">IF(F55+E55&gt;0,(G55*F55+P55)/(F55+E55),0)</f>
        <v>0.172265272884879</v>
      </c>
      <c r="S55" s="82" t="n">
        <f aca="false">Model!$B$24*(1-Q55)/Model!$B$29</f>
        <v>0.605437404773997</v>
      </c>
      <c r="T55" s="82" t="n">
        <f aca="false">Model!$B$23*(1-Q55)/Model!$B$29</f>
        <v>0.151180802437786</v>
      </c>
      <c r="U55" s="82" t="n">
        <f aca="false">Model!$B$19*Model!$B$12*(1-Q55)/Model!$B$29</f>
        <v>0.0716908963941087</v>
      </c>
      <c r="V55" s="82" t="n">
        <f aca="false">Model!$B$19*(1-Model!$B$12)*(1-Q55)/Model!$B$29</f>
        <v>0.0716908963941087</v>
      </c>
      <c r="W55" s="82" t="n">
        <f aca="false">Q55*Model!$B$38</f>
        <v>0.0678043230944255</v>
      </c>
      <c r="X55" s="82" t="n">
        <f aca="false">Q55*Model!$B$39</f>
        <v>0.018581721653394</v>
      </c>
      <c r="Y55" s="82" t="n">
        <f aca="false">Q55*Model!$B$40</f>
        <v>0.0106560485400076</v>
      </c>
      <c r="Z55" s="82" t="n">
        <f aca="false">Q55*Model!$B$41</f>
        <v>0.00109973454683352</v>
      </c>
      <c r="AA55" s="82" t="n">
        <f aca="false">Q55*Model!$B$42</f>
        <v>0.0018581721653394</v>
      </c>
      <c r="AB55" s="20" t="n">
        <f aca="false">MATCH(A55&amp;"|"&amp;Model!$B$6&amp;"|"&amp;Model!$B$7,Data!$A$63:$A$262,0)</f>
        <v>1</v>
      </c>
      <c r="AC55" s="82" t="n">
        <f aca="false">(INDEX(Data!$E$63:$E$262,AB55)-Model!$B$8*INDEX(Data!$I$63:$I$262,AB55)-Model!$B$9*INDEX(Data!$J$63:$J$262,AB55))/INDEX(Data!$K$63:$K$262,AB55)</f>
        <v>0.531385281385281</v>
      </c>
      <c r="AD55" s="82" t="n">
        <f aca="false">(INDEX(Data!$F$63:$F$262,AB55)+Model!$B$8*INDEX(Data!$I$63:$I$262,AB55)+Model!$B$9*INDEX(Data!$J$63:$J$262,AB55))/INDEX(Data!$K$63:$K$262,AB55)</f>
        <v>0.196753786529347</v>
      </c>
      <c r="AE55" s="82" t="n">
        <f aca="false">INDEX(Data!$G$63:$G$262,AB55)/INDEX(Data!$K$63:$K$262,AB55)</f>
        <v>0.151839017175675</v>
      </c>
      <c r="AF55" s="82" t="n">
        <f aca="false">INDEX(Data!$H$63:$H$262,AB55)/INDEX(Data!$K$63:$K$262,AB55)</f>
        <v>0.120021914909696</v>
      </c>
    </row>
    <row r="56" customFormat="false" ht="15" hidden="false" customHeight="true" outlineLevel="0" collapsed="false">
      <c r="A56" s="39" t="str">
        <f aca="false">Data!$A$33</f>
        <v>Caherconlish</v>
      </c>
      <c r="B56" s="39" t="str">
        <f aca="false">Data!$B$33</f>
        <v>Key town</v>
      </c>
      <c r="C56" s="20" t="n">
        <f aca="false">IF(B56="City neighbourhood",1,0)</f>
        <v>0</v>
      </c>
      <c r="D56" s="82" t="n">
        <f aca="false">CHOOSE(Model!$B$4,Data!$G$33/Data!$B$52,Data!$C$33/SUM(Data!$C$23:$C$47),Data!$D$33/SUM(Data!$D$23:$D$47))</f>
        <v>0.00802313648661256</v>
      </c>
      <c r="E56" s="39" t="n">
        <f aca="false">Model!$B$17*D56</f>
        <v>319.834312902323</v>
      </c>
      <c r="F56" s="39" t="n">
        <f aca="false">Data!$E$33</f>
        <v>521</v>
      </c>
      <c r="G56" s="82" t="n">
        <f aca="false">Data!$F$33</f>
        <v>0.16367</v>
      </c>
      <c r="H56" s="39" t="n">
        <f aca="false">E56*Model!$B$15</f>
        <v>31.9834312902323</v>
      </c>
      <c r="I56" s="39" t="n">
        <f aca="false">IF(Model!$B$30&gt;Model!$B$28,H56*Model!$B$28/Model!$B$30,H56)</f>
        <v>31.9834312902323</v>
      </c>
      <c r="J56" s="39" t="n">
        <f aca="false">IF(C56=1,MAX(0,MIN(E56,Model!$B$14*(F56+E56)-G56*F56)-I56),0)</f>
        <v>0</v>
      </c>
      <c r="K56" s="39" t="n">
        <f aca="false">IF(C56=1,E56,0)</f>
        <v>0</v>
      </c>
      <c r="L56" s="83" t="n">
        <f aca="false">IF(AND(C56=1,E56&gt;0),J56/E56,1000000000)</f>
        <v>1000000000</v>
      </c>
      <c r="M56" s="39" t="n">
        <f aca="false">IF(C56=1,SUMPRODUCT((Model!$L$46:$L$70&lt;=L56)*Model!$J$46:$J$70)+L56*SUMPRODUCT((Model!$L$46:$L$70&gt;L56)*Model!$K$46:$K$70),1000000000000)</f>
        <v>1000000000000</v>
      </c>
      <c r="N56" s="83" t="n">
        <f aca="false">IF(M56&lt;=Model!$B$31,IF(L56&lt;1000000000,L56,0),0)</f>
        <v>0</v>
      </c>
      <c r="O56" s="39" t="n">
        <f aca="false">IF(Model!$B$13=1,IF(Model!$B$31&gt;=Model!$B$32,J56+IF(Model!$B$33&gt;0,(Model!$B$31-Model!$B$32)*K56/Model!$B$33,0),MIN(J56,Model!$B$35*K56)),0)</f>
        <v>0</v>
      </c>
      <c r="P56" s="39" t="n">
        <f aca="false">IF(Model!$B$13=1,I56+O56,E56*Model!$B$27)</f>
        <v>31.9834312902323</v>
      </c>
      <c r="Q56" s="82" t="n">
        <f aca="false">IF(E56&gt;0,P56/E56,0)</f>
        <v>0.1</v>
      </c>
      <c r="R56" s="82" t="n">
        <f aca="false">IF(F56+E56&gt;0,(G56*F56+P56)/(F56+E56),0)</f>
        <v>0.139451375248352</v>
      </c>
      <c r="S56" s="82" t="n">
        <f aca="false">Model!$B$24*(1-Q56)/Model!$B$29</f>
        <v>0.605437404773997</v>
      </c>
      <c r="T56" s="82" t="n">
        <f aca="false">Model!$B$23*(1-Q56)/Model!$B$29</f>
        <v>0.151180802437786</v>
      </c>
      <c r="U56" s="82" t="n">
        <f aca="false">Model!$B$19*Model!$B$12*(1-Q56)/Model!$B$29</f>
        <v>0.0716908963941087</v>
      </c>
      <c r="V56" s="82" t="n">
        <f aca="false">Model!$B$19*(1-Model!$B$12)*(1-Q56)/Model!$B$29</f>
        <v>0.0716908963941087</v>
      </c>
      <c r="W56" s="82" t="n">
        <f aca="false">Q56*Model!$B$38</f>
        <v>0.0678043230944255</v>
      </c>
      <c r="X56" s="82" t="n">
        <f aca="false">Q56*Model!$B$39</f>
        <v>0.018581721653394</v>
      </c>
      <c r="Y56" s="82" t="n">
        <f aca="false">Q56*Model!$B$40</f>
        <v>0.0106560485400076</v>
      </c>
      <c r="Z56" s="82" t="n">
        <f aca="false">Q56*Model!$B$41</f>
        <v>0.00109973454683352</v>
      </c>
      <c r="AA56" s="82" t="n">
        <f aca="false">Q56*Model!$B$42</f>
        <v>0.0018581721653394</v>
      </c>
      <c r="AB56" s="20" t="n">
        <f aca="false">MATCH(A56&amp;"|"&amp;Model!$B$6&amp;"|"&amp;Model!$B$7,Data!$A$63:$A$262,0)</f>
        <v>41</v>
      </c>
      <c r="AC56" s="82" t="n">
        <f aca="false">(INDEX(Data!$E$63:$E$262,AB56)-Model!$B$8*INDEX(Data!$I$63:$I$262,AB56)-Model!$B$9*INDEX(Data!$J$63:$J$262,AB56))/INDEX(Data!$K$63:$K$262,AB56)</f>
        <v>0.382566372775908</v>
      </c>
      <c r="AD56" s="82" t="n">
        <f aca="false">(INDEX(Data!$F$63:$F$262,AB56)+Model!$B$8*INDEX(Data!$I$63:$I$262,AB56)+Model!$B$9*INDEX(Data!$J$63:$J$262,AB56))/INDEX(Data!$K$63:$K$262,AB56)</f>
        <v>0.220209565716652</v>
      </c>
      <c r="AE56" s="82" t="n">
        <f aca="false">INDEX(Data!$G$63:$G$262,AB56)/INDEX(Data!$K$63:$K$262,AB56)</f>
        <v>0.247855546170733</v>
      </c>
      <c r="AF56" s="82" t="n">
        <f aca="false">INDEX(Data!$H$63:$H$262,AB56)/INDEX(Data!$K$63:$K$262,AB56)</f>
        <v>0.149368515336709</v>
      </c>
    </row>
    <row r="57" customFormat="false" ht="15" hidden="false" customHeight="true" outlineLevel="0" collapsed="false">
      <c r="A57" s="39" t="str">
        <f aca="false">Data!$A$34</f>
        <v>Castleconnell</v>
      </c>
      <c r="B57" s="39" t="str">
        <f aca="false">Data!$B$34</f>
        <v>Key town</v>
      </c>
      <c r="C57" s="20" t="n">
        <f aca="false">IF(B57="City neighbourhood",1,0)</f>
        <v>0</v>
      </c>
      <c r="D57" s="82" t="n">
        <f aca="false">CHOOSE(Model!$B$4,Data!$G$34/Data!$B$52,Data!$C$34/SUM(Data!$C$23:$C$47),Data!$D$34/SUM(Data!$D$23:$D$47))</f>
        <v>0.0131542121466555</v>
      </c>
      <c r="E57" s="39" t="n">
        <f aca="false">Model!$B$17*D57</f>
        <v>524.379513014274</v>
      </c>
      <c r="F57" s="39" t="n">
        <f aca="false">Data!$E$34</f>
        <v>905</v>
      </c>
      <c r="G57" s="82" t="n">
        <f aca="false">Data!$F$34</f>
        <v>0.11251</v>
      </c>
      <c r="H57" s="39" t="n">
        <f aca="false">E57*Model!$B$15</f>
        <v>52.4379513014274</v>
      </c>
      <c r="I57" s="39" t="n">
        <f aca="false">IF(Model!$B$30&gt;Model!$B$28,H57*Model!$B$28/Model!$B$30,H57)</f>
        <v>52.4379513014274</v>
      </c>
      <c r="J57" s="39" t="n">
        <f aca="false">IF(C57=1,MAX(0,MIN(E57,Model!$B$14*(F57+E57)-G57*F57)-I57),0)</f>
        <v>0</v>
      </c>
      <c r="K57" s="39" t="n">
        <f aca="false">IF(C57=1,E57,0)</f>
        <v>0</v>
      </c>
      <c r="L57" s="83" t="n">
        <f aca="false">IF(AND(C57=1,E57&gt;0),J57/E57,1000000000)</f>
        <v>1000000000</v>
      </c>
      <c r="M57" s="39" t="n">
        <f aca="false">IF(C57=1,SUMPRODUCT((Model!$L$46:$L$70&lt;=L57)*Model!$J$46:$J$70)+L57*SUMPRODUCT((Model!$L$46:$L$70&gt;L57)*Model!$K$46:$K$70),1000000000000)</f>
        <v>1000000000000</v>
      </c>
      <c r="N57" s="83" t="n">
        <f aca="false">IF(M57&lt;=Model!$B$31,IF(L57&lt;1000000000,L57,0),0)</f>
        <v>0</v>
      </c>
      <c r="O57" s="39" t="n">
        <f aca="false">IF(Model!$B$13=1,IF(Model!$B$31&gt;=Model!$B$32,J57+IF(Model!$B$33&gt;0,(Model!$B$31-Model!$B$32)*K57/Model!$B$33,0),MIN(J57,Model!$B$35*K57)),0)</f>
        <v>0</v>
      </c>
      <c r="P57" s="39" t="n">
        <f aca="false">IF(Model!$B$13=1,I57+O57,E57*Model!$B$27)</f>
        <v>52.4379513014274</v>
      </c>
      <c r="Q57" s="82" t="n">
        <f aca="false">IF(E57&gt;0,P57/E57,0)</f>
        <v>0.1</v>
      </c>
      <c r="R57" s="82" t="n">
        <f aca="false">IF(F57+E57&gt;0,(G57*F57+P57)/(F57+E57),0)</f>
        <v>0.10792060463783</v>
      </c>
      <c r="S57" s="82" t="n">
        <f aca="false">Model!$B$24*(1-Q57)/Model!$B$29</f>
        <v>0.605437404773997</v>
      </c>
      <c r="T57" s="82" t="n">
        <f aca="false">Model!$B$23*(1-Q57)/Model!$B$29</f>
        <v>0.151180802437786</v>
      </c>
      <c r="U57" s="82" t="n">
        <f aca="false">Model!$B$19*Model!$B$12*(1-Q57)/Model!$B$29</f>
        <v>0.0716908963941087</v>
      </c>
      <c r="V57" s="82" t="n">
        <f aca="false">Model!$B$19*(1-Model!$B$12)*(1-Q57)/Model!$B$29</f>
        <v>0.0716908963941087</v>
      </c>
      <c r="W57" s="82" t="n">
        <f aca="false">Q57*Model!$B$38</f>
        <v>0.0678043230944255</v>
      </c>
      <c r="X57" s="82" t="n">
        <f aca="false">Q57*Model!$B$39</f>
        <v>0.018581721653394</v>
      </c>
      <c r="Y57" s="82" t="n">
        <f aca="false">Q57*Model!$B$40</f>
        <v>0.0106560485400076</v>
      </c>
      <c r="Z57" s="82" t="n">
        <f aca="false">Q57*Model!$B$41</f>
        <v>0.00109973454683352</v>
      </c>
      <c r="AA57" s="82" t="n">
        <f aca="false">Q57*Model!$B$42</f>
        <v>0.0018581721653394</v>
      </c>
      <c r="AB57" s="20" t="n">
        <f aca="false">MATCH(A57&amp;"|"&amp;Model!$B$6&amp;"|"&amp;Model!$B$7,Data!$A$63:$A$262,0)</f>
        <v>65</v>
      </c>
      <c r="AC57" s="82" t="n">
        <f aca="false">(INDEX(Data!$E$63:$E$262,AB57)-Model!$B$8*INDEX(Data!$I$63:$I$262,AB57)-Model!$B$9*INDEX(Data!$J$63:$J$262,AB57))/INDEX(Data!$K$63:$K$262,AB57)</f>
        <v>0.430358293565497</v>
      </c>
      <c r="AD57" s="82" t="n">
        <f aca="false">(INDEX(Data!$F$63:$F$262,AB57)+Model!$B$8*INDEX(Data!$I$63:$I$262,AB57)+Model!$B$9*INDEX(Data!$J$63:$J$262,AB57))/INDEX(Data!$K$63:$K$262,AB57)</f>
        <v>0.210969328758728</v>
      </c>
      <c r="AE57" s="82" t="n">
        <f aca="false">INDEX(Data!$G$63:$G$262,AB57)/INDEX(Data!$K$63:$K$262,AB57)</f>
        <v>0.232234120376013</v>
      </c>
      <c r="AF57" s="82" t="n">
        <f aca="false">INDEX(Data!$H$63:$H$262,AB57)/INDEX(Data!$K$63:$K$262,AB57)</f>
        <v>0.126438257299763</v>
      </c>
    </row>
    <row r="58" customFormat="false" ht="15" hidden="false" customHeight="true" outlineLevel="0" collapsed="false">
      <c r="A58" s="39" t="str">
        <f aca="false">Data!$A$35</f>
        <v>Kilmallock</v>
      </c>
      <c r="B58" s="39" t="str">
        <f aca="false">Data!$B$35</f>
        <v>Key town</v>
      </c>
      <c r="C58" s="20" t="n">
        <f aca="false">IF(B58="City neighbourhood",1,0)</f>
        <v>0</v>
      </c>
      <c r="D58" s="82" t="n">
        <f aca="false">CHOOSE(Model!$B$4,Data!$G$35/Data!$B$52,Data!$C$35/SUM(Data!$C$23:$C$47),Data!$D$35/SUM(Data!$D$23:$D$47))</f>
        <v>0.0104020897471779</v>
      </c>
      <c r="E58" s="39" t="n">
        <f aca="false">Model!$B$17*D58</f>
        <v>414.6689056815</v>
      </c>
      <c r="F58" s="39" t="n">
        <f aca="false">Data!$E$35</f>
        <v>718</v>
      </c>
      <c r="G58" s="82" t="n">
        <f aca="false">Data!$F$35</f>
        <v>0.20437</v>
      </c>
      <c r="H58" s="39" t="n">
        <f aca="false">E58*Model!$B$15</f>
        <v>41.46689056815</v>
      </c>
      <c r="I58" s="39" t="n">
        <f aca="false">IF(Model!$B$30&gt;Model!$B$28,H58*Model!$B$28/Model!$B$30,H58)</f>
        <v>41.46689056815</v>
      </c>
      <c r="J58" s="39" t="n">
        <f aca="false">IF(C58=1,MAX(0,MIN(E58,Model!$B$14*(F58+E58)-G58*F58)-I58),0)</f>
        <v>0</v>
      </c>
      <c r="K58" s="39" t="n">
        <f aca="false">IF(C58=1,E58,0)</f>
        <v>0</v>
      </c>
      <c r="L58" s="83" t="n">
        <f aca="false">IF(AND(C58=1,E58&gt;0),J58/E58,1000000000)</f>
        <v>1000000000</v>
      </c>
      <c r="M58" s="39" t="n">
        <f aca="false">IF(C58=1,SUMPRODUCT((Model!$L$46:$L$70&lt;=L58)*Model!$J$46:$J$70)+L58*SUMPRODUCT((Model!$L$46:$L$70&gt;L58)*Model!$K$46:$K$70),1000000000000)</f>
        <v>1000000000000</v>
      </c>
      <c r="N58" s="83" t="n">
        <f aca="false">IF(M58&lt;=Model!$B$31,IF(L58&lt;1000000000,L58,0),0)</f>
        <v>0</v>
      </c>
      <c r="O58" s="39" t="n">
        <f aca="false">IF(Model!$B$13=1,IF(Model!$B$31&gt;=Model!$B$32,J58+IF(Model!$B$33&gt;0,(Model!$B$31-Model!$B$32)*K58/Model!$B$33,0),MIN(J58,Model!$B$35*K58)),0)</f>
        <v>0</v>
      </c>
      <c r="P58" s="39" t="n">
        <f aca="false">IF(Model!$B$13=1,I58+O58,E58*Model!$B$27)</f>
        <v>41.46689056815</v>
      </c>
      <c r="Q58" s="82" t="n">
        <f aca="false">IF(E58&gt;0,P58/E58,0)</f>
        <v>0.1</v>
      </c>
      <c r="R58" s="82" t="n">
        <f aca="false">IF(F58+E58&gt;0,(G58*F58+P58)/(F58+E58),0)</f>
        <v>0.166160251794775</v>
      </c>
      <c r="S58" s="82" t="n">
        <f aca="false">Model!$B$24*(1-Q58)/Model!$B$29</f>
        <v>0.605437404773997</v>
      </c>
      <c r="T58" s="82" t="n">
        <f aca="false">Model!$B$23*(1-Q58)/Model!$B$29</f>
        <v>0.151180802437786</v>
      </c>
      <c r="U58" s="82" t="n">
        <f aca="false">Model!$B$19*Model!$B$12*(1-Q58)/Model!$B$29</f>
        <v>0.0716908963941087</v>
      </c>
      <c r="V58" s="82" t="n">
        <f aca="false">Model!$B$19*(1-Model!$B$12)*(1-Q58)/Model!$B$29</f>
        <v>0.0716908963941087</v>
      </c>
      <c r="W58" s="82" t="n">
        <f aca="false">Q58*Model!$B$38</f>
        <v>0.0678043230944255</v>
      </c>
      <c r="X58" s="82" t="n">
        <f aca="false">Q58*Model!$B$39</f>
        <v>0.018581721653394</v>
      </c>
      <c r="Y58" s="82" t="n">
        <f aca="false">Q58*Model!$B$40</f>
        <v>0.0106560485400076</v>
      </c>
      <c r="Z58" s="82" t="n">
        <f aca="false">Q58*Model!$B$41</f>
        <v>0.00109973454683352</v>
      </c>
      <c r="AA58" s="82" t="n">
        <f aca="false">Q58*Model!$B$42</f>
        <v>0.0018581721653394</v>
      </c>
      <c r="AB58" s="20" t="n">
        <f aca="false">MATCH(A58&amp;"|"&amp;Model!$B$6&amp;"|"&amp;Model!$B$7,Data!$A$63:$A$262,0)</f>
        <v>129</v>
      </c>
      <c r="AC58" s="82" t="n">
        <f aca="false">(INDEX(Data!$E$63:$E$262,AB58)-Model!$B$8*INDEX(Data!$I$63:$I$262,AB58)-Model!$B$9*INDEX(Data!$J$63:$J$262,AB58))/INDEX(Data!$K$63:$K$262,AB58)</f>
        <v>0.60543949955533</v>
      </c>
      <c r="AD58" s="82" t="n">
        <f aca="false">(INDEX(Data!$F$63:$F$262,AB58)+Model!$B$8*INDEX(Data!$I$63:$I$262,AB58)+Model!$B$9*INDEX(Data!$J$63:$J$262,AB58))/INDEX(Data!$K$63:$K$262,AB58)</f>
        <v>0.135453324252187</v>
      </c>
      <c r="AE58" s="82" t="n">
        <f aca="false">INDEX(Data!$G$63:$G$262,AB58)/INDEX(Data!$K$63:$K$262,AB58)</f>
        <v>0.152169437795939</v>
      </c>
      <c r="AF58" s="82" t="n">
        <f aca="false">INDEX(Data!$H$63:$H$262,AB58)/INDEX(Data!$K$63:$K$262,AB58)</f>
        <v>0.106937738396545</v>
      </c>
    </row>
    <row r="59" customFormat="false" ht="15" hidden="false" customHeight="true" outlineLevel="0" collapsed="false">
      <c r="A59" s="39" t="str">
        <f aca="false">Data!$A$36</f>
        <v>Newcastle West</v>
      </c>
      <c r="B59" s="39" t="str">
        <f aca="false">Data!$B$36</f>
        <v>Key town</v>
      </c>
      <c r="C59" s="20" t="n">
        <f aca="false">IF(B59="City neighbourhood",1,0)</f>
        <v>0</v>
      </c>
      <c r="D59" s="82" t="n">
        <f aca="false">CHOOSE(Model!$B$4,Data!$G$36/Data!$B$52,Data!$C$36/SUM(Data!$C$23:$C$47),Data!$D$36/SUM(Data!$D$23:$D$47))</f>
        <v>0.0452934042354697</v>
      </c>
      <c r="E59" s="39" t="n">
        <f aca="false">Model!$B$17*D59</f>
        <v>1805.57626644277</v>
      </c>
      <c r="F59" s="39" t="n">
        <f aca="false">Data!$E$36</f>
        <v>2672</v>
      </c>
      <c r="G59" s="82" t="n">
        <f aca="false">Data!$F$36</f>
        <v>0.13176</v>
      </c>
      <c r="H59" s="39" t="n">
        <f aca="false">E59*Model!$B$15</f>
        <v>180.557626644277</v>
      </c>
      <c r="I59" s="39" t="n">
        <f aca="false">IF(Model!$B$30&gt;Model!$B$28,H59*Model!$B$28/Model!$B$30,H59)</f>
        <v>180.557626644277</v>
      </c>
      <c r="J59" s="39" t="n">
        <f aca="false">IF(C59=1,MAX(0,MIN(E59,Model!$B$14*(F59+E59)-G59*F59)-I59),0)</f>
        <v>0</v>
      </c>
      <c r="K59" s="39" t="n">
        <f aca="false">IF(C59=1,E59,0)</f>
        <v>0</v>
      </c>
      <c r="L59" s="83" t="n">
        <f aca="false">IF(AND(C59=1,E59&gt;0),J59/E59,1000000000)</f>
        <v>1000000000</v>
      </c>
      <c r="M59" s="39" t="n">
        <f aca="false">IF(C59=1,SUMPRODUCT((Model!$L$46:$L$70&lt;=L59)*Model!$J$46:$J$70)+L59*SUMPRODUCT((Model!$L$46:$L$70&gt;L59)*Model!$K$46:$K$70),1000000000000)</f>
        <v>1000000000000</v>
      </c>
      <c r="N59" s="83" t="n">
        <f aca="false">IF(M59&lt;=Model!$B$31,IF(L59&lt;1000000000,L59,0),0)</f>
        <v>0</v>
      </c>
      <c r="O59" s="39" t="n">
        <f aca="false">IF(Model!$B$13=1,IF(Model!$B$31&gt;=Model!$B$32,J59+IF(Model!$B$33&gt;0,(Model!$B$31-Model!$B$32)*K59/Model!$B$33,0),MIN(J59,Model!$B$35*K59)),0)</f>
        <v>0</v>
      </c>
      <c r="P59" s="39" t="n">
        <f aca="false">IF(Model!$B$13=1,I59+O59,E59*Model!$B$27)</f>
        <v>180.557626644277</v>
      </c>
      <c r="Q59" s="82" t="n">
        <f aca="false">IF(E59&gt;0,P59/E59,0)</f>
        <v>0.1</v>
      </c>
      <c r="R59" s="82" t="n">
        <f aca="false">IF(F59+E59&gt;0,(G59*F59+P59)/(F59+E59),0)</f>
        <v>0.118952825133545</v>
      </c>
      <c r="S59" s="82" t="n">
        <f aca="false">Model!$B$24*(1-Q59)/Model!$B$29</f>
        <v>0.605437404773997</v>
      </c>
      <c r="T59" s="82" t="n">
        <f aca="false">Model!$B$23*(1-Q59)/Model!$B$29</f>
        <v>0.151180802437786</v>
      </c>
      <c r="U59" s="82" t="n">
        <f aca="false">Model!$B$19*Model!$B$12*(1-Q59)/Model!$B$29</f>
        <v>0.0716908963941087</v>
      </c>
      <c r="V59" s="82" t="n">
        <f aca="false">Model!$B$19*(1-Model!$B$12)*(1-Q59)/Model!$B$29</f>
        <v>0.0716908963941087</v>
      </c>
      <c r="W59" s="82" t="n">
        <f aca="false">Q59*Model!$B$38</f>
        <v>0.0678043230944255</v>
      </c>
      <c r="X59" s="82" t="n">
        <f aca="false">Q59*Model!$B$39</f>
        <v>0.018581721653394</v>
      </c>
      <c r="Y59" s="82" t="n">
        <f aca="false">Q59*Model!$B$40</f>
        <v>0.0106560485400076</v>
      </c>
      <c r="Z59" s="82" t="n">
        <f aca="false">Q59*Model!$B$41</f>
        <v>0.00109973454683352</v>
      </c>
      <c r="AA59" s="82" t="n">
        <f aca="false">Q59*Model!$B$42</f>
        <v>0.0018581721653394</v>
      </c>
      <c r="AB59" s="20" t="n">
        <f aca="false">MATCH(A59&amp;"|"&amp;Model!$B$6&amp;"|"&amp;Model!$B$7,Data!$A$63:$A$262,0)</f>
        <v>153</v>
      </c>
      <c r="AC59" s="82" t="n">
        <f aca="false">(INDEX(Data!$E$63:$E$262,AB59)-Model!$B$8*INDEX(Data!$I$63:$I$262,AB59)-Model!$B$9*INDEX(Data!$J$63:$J$262,AB59))/INDEX(Data!$K$63:$K$262,AB59)</f>
        <v>0.4676316500383</v>
      </c>
      <c r="AD59" s="82" t="n">
        <f aca="false">(INDEX(Data!$F$63:$F$262,AB59)+Model!$B$8*INDEX(Data!$I$63:$I$262,AB59)+Model!$B$9*INDEX(Data!$J$63:$J$262,AB59))/INDEX(Data!$K$63:$K$262,AB59)</f>
        <v>0.210683424381258</v>
      </c>
      <c r="AE59" s="82" t="n">
        <f aca="false">INDEX(Data!$G$63:$G$262,AB59)/INDEX(Data!$K$63:$K$262,AB59)</f>
        <v>0.190962998926713</v>
      </c>
      <c r="AF59" s="82" t="n">
        <f aca="false">INDEX(Data!$H$63:$H$262,AB59)/INDEX(Data!$K$63:$K$262,AB59)</f>
        <v>0.130721926653728</v>
      </c>
    </row>
    <row r="60" customFormat="false" ht="15" hidden="false" customHeight="true" outlineLevel="0" collapsed="false">
      <c r="A60" s="39" t="str">
        <f aca="false">Data!$A$37</f>
        <v>Rathkeale</v>
      </c>
      <c r="B60" s="39" t="str">
        <f aca="false">Data!$B$37</f>
        <v>Key town</v>
      </c>
      <c r="C60" s="20" t="n">
        <f aca="false">IF(B60="City neighbourhood",1,0)</f>
        <v>0</v>
      </c>
      <c r="D60" s="82" t="n">
        <f aca="false">CHOOSE(Model!$B$4,Data!$G$37/Data!$B$52,Data!$C$37/SUM(Data!$C$23:$C$47),Data!$D$37/SUM(Data!$D$23:$D$47))</f>
        <v>0.00942252075753335</v>
      </c>
      <c r="E60" s="39" t="n">
        <f aca="false">Model!$B$17*D60</f>
        <v>375.61936747831</v>
      </c>
      <c r="F60" s="39" t="n">
        <f aca="false">Data!$E$37</f>
        <v>459</v>
      </c>
      <c r="G60" s="82" t="n">
        <f aca="false">Data!$F$37</f>
        <v>0.31382</v>
      </c>
      <c r="H60" s="39" t="n">
        <f aca="false">E60*Model!$B$15</f>
        <v>37.561936747831</v>
      </c>
      <c r="I60" s="39" t="n">
        <f aca="false">IF(Model!$B$30&gt;Model!$B$28,H60*Model!$B$28/Model!$B$30,H60)</f>
        <v>37.561936747831</v>
      </c>
      <c r="J60" s="39" t="n">
        <f aca="false">IF(C60=1,MAX(0,MIN(E60,Model!$B$14*(F60+E60)-G60*F60)-I60),0)</f>
        <v>0</v>
      </c>
      <c r="K60" s="39" t="n">
        <f aca="false">IF(C60=1,E60,0)</f>
        <v>0</v>
      </c>
      <c r="L60" s="83" t="n">
        <f aca="false">IF(AND(C60=1,E60&gt;0),J60/E60,1000000000)</f>
        <v>1000000000</v>
      </c>
      <c r="M60" s="39" t="n">
        <f aca="false">IF(C60=1,SUMPRODUCT((Model!$L$46:$L$70&lt;=L60)*Model!$J$46:$J$70)+L60*SUMPRODUCT((Model!$L$46:$L$70&gt;L60)*Model!$K$46:$K$70),1000000000000)</f>
        <v>1000000000000</v>
      </c>
      <c r="N60" s="83" t="n">
        <f aca="false">IF(M60&lt;=Model!$B$31,IF(L60&lt;1000000000,L60,0),0)</f>
        <v>0</v>
      </c>
      <c r="O60" s="39" t="n">
        <f aca="false">IF(Model!$B$13=1,IF(Model!$B$31&gt;=Model!$B$32,J60+IF(Model!$B$33&gt;0,(Model!$B$31-Model!$B$32)*K60/Model!$B$33,0),MIN(J60,Model!$B$35*K60)),0)</f>
        <v>0</v>
      </c>
      <c r="P60" s="39" t="n">
        <f aca="false">IF(Model!$B$13=1,I60+O60,E60*Model!$B$27)</f>
        <v>37.561936747831</v>
      </c>
      <c r="Q60" s="82" t="n">
        <f aca="false">IF(E60&gt;0,P60/E60,0)</f>
        <v>0.1</v>
      </c>
      <c r="R60" s="82" t="n">
        <f aca="false">IF(F60+E60&gt;0,(G60*F60+P60)/(F60+E60),0)</f>
        <v>0.217590585390472</v>
      </c>
      <c r="S60" s="82" t="n">
        <f aca="false">Model!$B$24*(1-Q60)/Model!$B$29</f>
        <v>0.605437404773997</v>
      </c>
      <c r="T60" s="82" t="n">
        <f aca="false">Model!$B$23*(1-Q60)/Model!$B$29</f>
        <v>0.151180802437786</v>
      </c>
      <c r="U60" s="82" t="n">
        <f aca="false">Model!$B$19*Model!$B$12*(1-Q60)/Model!$B$29</f>
        <v>0.0716908963941087</v>
      </c>
      <c r="V60" s="82" t="n">
        <f aca="false">Model!$B$19*(1-Model!$B$12)*(1-Q60)/Model!$B$29</f>
        <v>0.0716908963941087</v>
      </c>
      <c r="W60" s="82" t="n">
        <f aca="false">Q60*Model!$B$38</f>
        <v>0.0678043230944255</v>
      </c>
      <c r="X60" s="82" t="n">
        <f aca="false">Q60*Model!$B$39</f>
        <v>0.018581721653394</v>
      </c>
      <c r="Y60" s="82" t="n">
        <f aca="false">Q60*Model!$B$40</f>
        <v>0.0106560485400076</v>
      </c>
      <c r="Z60" s="82" t="n">
        <f aca="false">Q60*Model!$B$41</f>
        <v>0.00109973454683352</v>
      </c>
      <c r="AA60" s="82" t="n">
        <f aca="false">Q60*Model!$B$42</f>
        <v>0.0018581721653394</v>
      </c>
      <c r="AB60" s="20" t="n">
        <f aca="false">MATCH(A60&amp;"|"&amp;Model!$B$6&amp;"|"&amp;Model!$B$7,Data!$A$63:$A$262,0)</f>
        <v>169</v>
      </c>
      <c r="AC60" s="82" t="n">
        <f aca="false">(INDEX(Data!$E$63:$E$262,AB60)-Model!$B$8*INDEX(Data!$I$63:$I$262,AB60)-Model!$B$9*INDEX(Data!$J$63:$J$262,AB60))/INDEX(Data!$K$63:$K$262,AB60)</f>
        <v>0.571718721571901</v>
      </c>
      <c r="AD60" s="82" t="n">
        <f aca="false">(INDEX(Data!$F$63:$F$262,AB60)+Model!$B$8*INDEX(Data!$I$63:$I$262,AB60)+Model!$B$9*INDEX(Data!$J$63:$J$262,AB60))/INDEX(Data!$K$63:$K$262,AB60)</f>
        <v>0.17281170951713</v>
      </c>
      <c r="AE60" s="82" t="n">
        <f aca="false">INDEX(Data!$G$63:$G$262,AB60)/INDEX(Data!$K$63:$K$262,AB60)</f>
        <v>0.135370664244361</v>
      </c>
      <c r="AF60" s="82" t="n">
        <f aca="false">INDEX(Data!$H$63:$H$262,AB60)/INDEX(Data!$K$63:$K$262,AB60)</f>
        <v>0.120098904666607</v>
      </c>
    </row>
    <row r="61" customFormat="false" ht="15" hidden="false" customHeight="true" outlineLevel="0" collapsed="false">
      <c r="A61" s="39" t="str">
        <f aca="false">Data!$A$38</f>
        <v>Adare</v>
      </c>
      <c r="B61" s="39" t="str">
        <f aca="false">Data!$B$38</f>
        <v>Village</v>
      </c>
      <c r="C61" s="20" t="n">
        <f aca="false">IF(B61="City neighbourhood",1,0)</f>
        <v>0</v>
      </c>
      <c r="D61" s="82" t="n">
        <f aca="false">CHOOSE(Model!$B$4,Data!$G$38/Data!$B$52,Data!$C$38/SUM(Data!$C$23:$C$47),Data!$D$38/SUM(Data!$D$23:$D$47))</f>
        <v>0.0093292284728053</v>
      </c>
      <c r="E61" s="39" t="n">
        <f aca="false">Model!$B$17*D61</f>
        <v>371.90036383991</v>
      </c>
      <c r="F61" s="39" t="n">
        <f aca="false">Data!$E$38</f>
        <v>476</v>
      </c>
      <c r="G61" s="82" t="n">
        <f aca="false">Data!$F$38</f>
        <v>0.11398</v>
      </c>
      <c r="H61" s="39" t="n">
        <f aca="false">E61*Model!$B$15</f>
        <v>37.190036383991</v>
      </c>
      <c r="I61" s="39" t="n">
        <f aca="false">IF(Model!$B$30&gt;Model!$B$28,H61*Model!$B$28/Model!$B$30,H61)</f>
        <v>37.190036383991</v>
      </c>
      <c r="J61" s="39" t="n">
        <f aca="false">IF(C61=1,MAX(0,MIN(E61,Model!$B$14*(F61+E61)-G61*F61)-I61),0)</f>
        <v>0</v>
      </c>
      <c r="K61" s="39" t="n">
        <f aca="false">IF(C61=1,E61,0)</f>
        <v>0</v>
      </c>
      <c r="L61" s="83" t="n">
        <f aca="false">IF(AND(C61=1,E61&gt;0),J61/E61,1000000000)</f>
        <v>1000000000</v>
      </c>
      <c r="M61" s="39" t="n">
        <f aca="false">IF(C61=1,SUMPRODUCT((Model!$L$46:$L$70&lt;=L61)*Model!$J$46:$J$70)+L61*SUMPRODUCT((Model!$L$46:$L$70&gt;L61)*Model!$K$46:$K$70),1000000000000)</f>
        <v>1000000000000</v>
      </c>
      <c r="N61" s="83" t="n">
        <f aca="false">IF(M61&lt;=Model!$B$31,IF(L61&lt;1000000000,L61,0),0)</f>
        <v>0</v>
      </c>
      <c r="O61" s="39" t="n">
        <f aca="false">IF(Model!$B$13=1,IF(Model!$B$31&gt;=Model!$B$32,J61+IF(Model!$B$33&gt;0,(Model!$B$31-Model!$B$32)*K61/Model!$B$33,0),MIN(J61,Model!$B$35*K61)),0)</f>
        <v>0</v>
      </c>
      <c r="P61" s="39" t="n">
        <f aca="false">IF(Model!$B$13=1,I61+O61,E61*Model!$B$27)</f>
        <v>37.190036383991</v>
      </c>
      <c r="Q61" s="82" t="n">
        <f aca="false">IF(E61&gt;0,P61/E61,0)</f>
        <v>0.1</v>
      </c>
      <c r="R61" s="82" t="n">
        <f aca="false">IF(F61+E61&gt;0,(G61*F61+P61)/(F61+E61),0)</f>
        <v>0.107848186277293</v>
      </c>
      <c r="S61" s="82" t="n">
        <f aca="false">Model!$B$24*(1-Q61)/Model!$B$29</f>
        <v>0.605437404773997</v>
      </c>
      <c r="T61" s="82" t="n">
        <f aca="false">Model!$B$23*(1-Q61)/Model!$B$29</f>
        <v>0.151180802437786</v>
      </c>
      <c r="U61" s="82" t="n">
        <f aca="false">Model!$B$19*Model!$B$12*(1-Q61)/Model!$B$29</f>
        <v>0.0716908963941087</v>
      </c>
      <c r="V61" s="82" t="n">
        <f aca="false">Model!$B$19*(1-Model!$B$12)*(1-Q61)/Model!$B$29</f>
        <v>0.0716908963941087</v>
      </c>
      <c r="W61" s="82" t="n">
        <f aca="false">Q61*Model!$B$38</f>
        <v>0.0678043230944255</v>
      </c>
      <c r="X61" s="82" t="n">
        <f aca="false">Q61*Model!$B$39</f>
        <v>0.018581721653394</v>
      </c>
      <c r="Y61" s="82" t="n">
        <f aca="false">Q61*Model!$B$40</f>
        <v>0.0106560485400076</v>
      </c>
      <c r="Z61" s="82" t="n">
        <f aca="false">Q61*Model!$B$41</f>
        <v>0.00109973454683352</v>
      </c>
      <c r="AA61" s="82" t="n">
        <f aca="false">Q61*Model!$B$42</f>
        <v>0.0018581721653394</v>
      </c>
      <c r="AB61" s="20" t="n">
        <f aca="false">MATCH(A61&amp;"|"&amp;Model!$B$6&amp;"|"&amp;Model!$B$7,Data!$A$63:$A$262,0)</f>
        <v>9</v>
      </c>
      <c r="AC61" s="82" t="n">
        <f aca="false">(INDEX(Data!$E$63:$E$262,AB61)-Model!$B$8*INDEX(Data!$I$63:$I$262,AB61)-Model!$B$9*INDEX(Data!$J$63:$J$262,AB61))/INDEX(Data!$K$63:$K$262,AB61)</f>
        <v>0.542976939203354</v>
      </c>
      <c r="AD61" s="82" t="n">
        <f aca="false">(INDEX(Data!$F$63:$F$262,AB61)+Model!$B$8*INDEX(Data!$I$63:$I$262,AB61)+Model!$B$9*INDEX(Data!$J$63:$J$262,AB61))/INDEX(Data!$K$63:$K$262,AB61)</f>
        <v>0.160091480846198</v>
      </c>
      <c r="AE61" s="82" t="n">
        <f aca="false">INDEX(Data!$G$63:$G$262,AB61)/INDEX(Data!$K$63:$K$262,AB61)</f>
        <v>0.189105259027568</v>
      </c>
      <c r="AF61" s="82" t="n">
        <f aca="false">INDEX(Data!$H$63:$H$262,AB61)/INDEX(Data!$K$63:$K$262,AB61)</f>
        <v>0.10782632092288</v>
      </c>
    </row>
    <row r="62" customFormat="false" ht="15" hidden="false" customHeight="true" outlineLevel="0" collapsed="false">
      <c r="A62" s="39" t="str">
        <f aca="false">Data!$A$39</f>
        <v>Askeaton</v>
      </c>
      <c r="B62" s="39" t="str">
        <f aca="false">Data!$B$39</f>
        <v>Village</v>
      </c>
      <c r="C62" s="20" t="n">
        <f aca="false">IF(B62="City neighbourhood",1,0)</f>
        <v>0</v>
      </c>
      <c r="D62" s="82" t="n">
        <f aca="false">CHOOSE(Model!$B$4,Data!$G$39/Data!$B$52,Data!$C$39/SUM(Data!$C$23:$C$47),Data!$D$39/SUM(Data!$D$23:$D$47))</f>
        <v>0.00760332120533632</v>
      </c>
      <c r="E62" s="39" t="n">
        <f aca="false">Model!$B$17*D62</f>
        <v>303.098796529527</v>
      </c>
      <c r="F62" s="39" t="n">
        <f aca="false">Data!$E$39</f>
        <v>451</v>
      </c>
      <c r="G62" s="82" t="n">
        <f aca="false">Data!$F$39</f>
        <v>0.20501</v>
      </c>
      <c r="H62" s="39" t="n">
        <f aca="false">E62*Model!$B$15</f>
        <v>30.3098796529527</v>
      </c>
      <c r="I62" s="39" t="n">
        <f aca="false">IF(Model!$B$30&gt;Model!$B$28,H62*Model!$B$28/Model!$B$30,H62)</f>
        <v>30.3098796529527</v>
      </c>
      <c r="J62" s="39" t="n">
        <f aca="false">IF(C62=1,MAX(0,MIN(E62,Model!$B$14*(F62+E62)-G62*F62)-I62),0)</f>
        <v>0</v>
      </c>
      <c r="K62" s="39" t="n">
        <f aca="false">IF(C62=1,E62,0)</f>
        <v>0</v>
      </c>
      <c r="L62" s="83" t="n">
        <f aca="false">IF(AND(C62=1,E62&gt;0),J62/E62,1000000000)</f>
        <v>1000000000</v>
      </c>
      <c r="M62" s="39" t="n">
        <f aca="false">IF(C62=1,SUMPRODUCT((Model!$L$46:$L$70&lt;=L62)*Model!$J$46:$J$70)+L62*SUMPRODUCT((Model!$L$46:$L$70&gt;L62)*Model!$K$46:$K$70),1000000000000)</f>
        <v>1000000000000</v>
      </c>
      <c r="N62" s="83" t="n">
        <f aca="false">IF(M62&lt;=Model!$B$31,IF(L62&lt;1000000000,L62,0),0)</f>
        <v>0</v>
      </c>
      <c r="O62" s="39" t="n">
        <f aca="false">IF(Model!$B$13=1,IF(Model!$B$31&gt;=Model!$B$32,J62+IF(Model!$B$33&gt;0,(Model!$B$31-Model!$B$32)*K62/Model!$B$33,0),MIN(J62,Model!$B$35*K62)),0)</f>
        <v>0</v>
      </c>
      <c r="P62" s="39" t="n">
        <f aca="false">IF(Model!$B$13=1,I62+O62,E62*Model!$B$27)</f>
        <v>30.3098796529527</v>
      </c>
      <c r="Q62" s="82" t="n">
        <f aca="false">IF(E62&gt;0,P62/E62,0)</f>
        <v>0.1</v>
      </c>
      <c r="R62" s="82" t="n">
        <f aca="false">IF(F62+E62&gt;0,(G62*F62+P62)/(F62+E62),0)</f>
        <v>0.162802792177836</v>
      </c>
      <c r="S62" s="82" t="n">
        <f aca="false">Model!$B$24*(1-Q62)/Model!$B$29</f>
        <v>0.605437404773997</v>
      </c>
      <c r="T62" s="82" t="n">
        <f aca="false">Model!$B$23*(1-Q62)/Model!$B$29</f>
        <v>0.151180802437786</v>
      </c>
      <c r="U62" s="82" t="n">
        <f aca="false">Model!$B$19*Model!$B$12*(1-Q62)/Model!$B$29</f>
        <v>0.0716908963941087</v>
      </c>
      <c r="V62" s="82" t="n">
        <f aca="false">Model!$B$19*(1-Model!$B$12)*(1-Q62)/Model!$B$29</f>
        <v>0.0716908963941087</v>
      </c>
      <c r="W62" s="82" t="n">
        <f aca="false">Q62*Model!$B$38</f>
        <v>0.0678043230944255</v>
      </c>
      <c r="X62" s="82" t="n">
        <f aca="false">Q62*Model!$B$39</f>
        <v>0.018581721653394</v>
      </c>
      <c r="Y62" s="82" t="n">
        <f aca="false">Q62*Model!$B$40</f>
        <v>0.0106560485400076</v>
      </c>
      <c r="Z62" s="82" t="n">
        <f aca="false">Q62*Model!$B$41</f>
        <v>0.00109973454683352</v>
      </c>
      <c r="AA62" s="82" t="n">
        <f aca="false">Q62*Model!$B$42</f>
        <v>0.0018581721653394</v>
      </c>
      <c r="AB62" s="20" t="n">
        <f aca="false">MATCH(A62&amp;"|"&amp;Model!$B$6&amp;"|"&amp;Model!$B$7,Data!$A$63:$A$262,0)</f>
        <v>17</v>
      </c>
      <c r="AC62" s="82" t="n">
        <f aca="false">(INDEX(Data!$E$63:$E$262,AB62)-Model!$B$8*INDEX(Data!$I$63:$I$262,AB62)-Model!$B$9*INDEX(Data!$J$63:$J$262,AB62))/INDEX(Data!$K$63:$K$262,AB62)</f>
        <v>0.487577231667265</v>
      </c>
      <c r="AD62" s="82" t="n">
        <f aca="false">(INDEX(Data!$F$63:$F$262,AB62)+Model!$B$8*INDEX(Data!$I$63:$I$262,AB62)+Model!$B$9*INDEX(Data!$J$63:$J$262,AB62))/INDEX(Data!$K$63:$K$262,AB62)</f>
        <v>0.189257986625646</v>
      </c>
      <c r="AE62" s="82" t="n">
        <f aca="false">INDEX(Data!$G$63:$G$262,AB62)/INDEX(Data!$K$63:$K$262,AB62)</f>
        <v>0.173457988845463</v>
      </c>
      <c r="AF62" s="82" t="n">
        <f aca="false">INDEX(Data!$H$63:$H$262,AB62)/INDEX(Data!$K$63:$K$262,AB62)</f>
        <v>0.149706792861626</v>
      </c>
    </row>
    <row r="63" customFormat="false" ht="15" hidden="false" customHeight="true" outlineLevel="0" collapsed="false">
      <c r="A63" s="39" t="str">
        <f aca="false">Data!$A$40</f>
        <v>Bruff</v>
      </c>
      <c r="B63" s="39" t="str">
        <f aca="false">Data!$B$40</f>
        <v>Village</v>
      </c>
      <c r="C63" s="20" t="n">
        <f aca="false">IF(B63="City neighbourhood",1,0)</f>
        <v>0</v>
      </c>
      <c r="D63" s="82" t="n">
        <f aca="false">CHOOSE(Model!$B$4,Data!$G$40/Data!$B$52,Data!$C$40/SUM(Data!$C$23:$C$47),Data!$D$40/SUM(Data!$D$23:$D$47))</f>
        <v>0.00531766022949902</v>
      </c>
      <c r="E63" s="39" t="n">
        <f aca="false">Model!$B$17*D63</f>
        <v>211.983207388749</v>
      </c>
      <c r="F63" s="39" t="n">
        <f aca="false">Data!$E$40</f>
        <v>341</v>
      </c>
      <c r="G63" s="82" t="n">
        <f aca="false">Data!$F$40</f>
        <v>0.18072</v>
      </c>
      <c r="H63" s="39" t="n">
        <f aca="false">E63*Model!$B$15</f>
        <v>21.1983207388749</v>
      </c>
      <c r="I63" s="39" t="n">
        <f aca="false">IF(Model!$B$30&gt;Model!$B$28,H63*Model!$B$28/Model!$B$30,H63)</f>
        <v>21.1983207388749</v>
      </c>
      <c r="J63" s="39" t="n">
        <f aca="false">IF(C63=1,MAX(0,MIN(E63,Model!$B$14*(F63+E63)-G63*F63)-I63),0)</f>
        <v>0</v>
      </c>
      <c r="K63" s="39" t="n">
        <f aca="false">IF(C63=1,E63,0)</f>
        <v>0</v>
      </c>
      <c r="L63" s="83" t="n">
        <f aca="false">IF(AND(C63=1,E63&gt;0),J63/E63,1000000000)</f>
        <v>1000000000</v>
      </c>
      <c r="M63" s="39" t="n">
        <f aca="false">IF(C63=1,SUMPRODUCT((Model!$L$46:$L$70&lt;=L63)*Model!$J$46:$J$70)+L63*SUMPRODUCT((Model!$L$46:$L$70&gt;L63)*Model!$K$46:$K$70),1000000000000)</f>
        <v>1000000000000</v>
      </c>
      <c r="N63" s="83" t="n">
        <f aca="false">IF(M63&lt;=Model!$B$31,IF(L63&lt;1000000000,L63,0),0)</f>
        <v>0</v>
      </c>
      <c r="O63" s="39" t="n">
        <f aca="false">IF(Model!$B$13=1,IF(Model!$B$31&gt;=Model!$B$32,J63+IF(Model!$B$33&gt;0,(Model!$B$31-Model!$B$32)*K63/Model!$B$33,0),MIN(J63,Model!$B$35*K63)),0)</f>
        <v>0</v>
      </c>
      <c r="P63" s="39" t="n">
        <f aca="false">IF(Model!$B$13=1,I63+O63,E63*Model!$B$27)</f>
        <v>21.1983207388749</v>
      </c>
      <c r="Q63" s="82" t="n">
        <f aca="false">IF(E63&gt;0,P63/E63,0)</f>
        <v>0.1</v>
      </c>
      <c r="R63" s="82" t="n">
        <f aca="false">IF(F63+E63&gt;0,(G63*F63+P63)/(F63+E63),0)</f>
        <v>0.14977641207222</v>
      </c>
      <c r="S63" s="82" t="n">
        <f aca="false">Model!$B$24*(1-Q63)/Model!$B$29</f>
        <v>0.605437404773997</v>
      </c>
      <c r="T63" s="82" t="n">
        <f aca="false">Model!$B$23*(1-Q63)/Model!$B$29</f>
        <v>0.151180802437786</v>
      </c>
      <c r="U63" s="82" t="n">
        <f aca="false">Model!$B$19*Model!$B$12*(1-Q63)/Model!$B$29</f>
        <v>0.0716908963941087</v>
      </c>
      <c r="V63" s="82" t="n">
        <f aca="false">Model!$B$19*(1-Model!$B$12)*(1-Q63)/Model!$B$29</f>
        <v>0.0716908963941087</v>
      </c>
      <c r="W63" s="82" t="n">
        <f aca="false">Q63*Model!$B$38</f>
        <v>0.0678043230944255</v>
      </c>
      <c r="X63" s="82" t="n">
        <f aca="false">Q63*Model!$B$39</f>
        <v>0.018581721653394</v>
      </c>
      <c r="Y63" s="82" t="n">
        <f aca="false">Q63*Model!$B$40</f>
        <v>0.0106560485400076</v>
      </c>
      <c r="Z63" s="82" t="n">
        <f aca="false">Q63*Model!$B$41</f>
        <v>0.00109973454683352</v>
      </c>
      <c r="AA63" s="82" t="n">
        <f aca="false">Q63*Model!$B$42</f>
        <v>0.0018581721653394</v>
      </c>
      <c r="AB63" s="20" t="n">
        <f aca="false">MATCH(A63&amp;"|"&amp;Model!$B$6&amp;"|"&amp;Model!$B$7,Data!$A$63:$A$262,0)</f>
        <v>33</v>
      </c>
      <c r="AC63" s="82" t="n">
        <f aca="false">(INDEX(Data!$E$63:$E$262,AB63)-Model!$B$8*INDEX(Data!$I$63:$I$262,AB63)-Model!$B$9*INDEX(Data!$J$63:$J$262,AB63))/INDEX(Data!$K$63:$K$262,AB63)</f>
        <v>0.505374453058151</v>
      </c>
      <c r="AD63" s="82" t="n">
        <f aca="false">(INDEX(Data!$F$63:$F$262,AB63)+Model!$B$8*INDEX(Data!$I$63:$I$262,AB63)+Model!$B$9*INDEX(Data!$J$63:$J$262,AB63))/INDEX(Data!$K$63:$K$262,AB63)</f>
        <v>0.192093451353838</v>
      </c>
      <c r="AE63" s="82" t="n">
        <f aca="false">INDEX(Data!$G$63:$G$262,AB63)/INDEX(Data!$K$63:$K$262,AB63)</f>
        <v>0.199128258408175</v>
      </c>
      <c r="AF63" s="82" t="n">
        <f aca="false">INDEX(Data!$H$63:$H$262,AB63)/INDEX(Data!$K$63:$K$262,AB63)</f>
        <v>0.103403837179837</v>
      </c>
    </row>
    <row r="64" customFormat="false" ht="15" hidden="false" customHeight="true" outlineLevel="0" collapsed="false">
      <c r="A64" s="39" t="str">
        <f aca="false">Data!$A$41</f>
        <v>Cappamore</v>
      </c>
      <c r="B64" s="39" t="str">
        <f aca="false">Data!$B$41</f>
        <v>Village</v>
      </c>
      <c r="C64" s="20" t="n">
        <f aca="false">IF(B64="City neighbourhood",1,0)</f>
        <v>0</v>
      </c>
      <c r="D64" s="82" t="n">
        <f aca="false">CHOOSE(Model!$B$4,Data!$G$41/Data!$B$52,Data!$C$41/SUM(Data!$C$23:$C$47),Data!$D$41/SUM(Data!$D$23:$D$47))</f>
        <v>0.00415150667039836</v>
      </c>
      <c r="E64" s="39" t="n">
        <f aca="false">Model!$B$17*D64</f>
        <v>165.49566190876</v>
      </c>
      <c r="F64" s="39" t="n">
        <f aca="false">Data!$E$41</f>
        <v>266</v>
      </c>
      <c r="G64" s="82" t="n">
        <f aca="false">Data!$F$41</f>
        <v>0.24609</v>
      </c>
      <c r="H64" s="39" t="n">
        <f aca="false">E64*Model!$B$15</f>
        <v>16.549566190876</v>
      </c>
      <c r="I64" s="39" t="n">
        <f aca="false">IF(Model!$B$30&gt;Model!$B$28,H64*Model!$B$28/Model!$B$30,H64)</f>
        <v>16.549566190876</v>
      </c>
      <c r="J64" s="39" t="n">
        <f aca="false">IF(C64=1,MAX(0,MIN(E64,Model!$B$14*(F64+E64)-G64*F64)-I64),0)</f>
        <v>0</v>
      </c>
      <c r="K64" s="39" t="n">
        <f aca="false">IF(C64=1,E64,0)</f>
        <v>0</v>
      </c>
      <c r="L64" s="83" t="n">
        <f aca="false">IF(AND(C64=1,E64&gt;0),J64/E64,1000000000)</f>
        <v>1000000000</v>
      </c>
      <c r="M64" s="39" t="n">
        <f aca="false">IF(C64=1,SUMPRODUCT((Model!$L$46:$L$70&lt;=L64)*Model!$J$46:$J$70)+L64*SUMPRODUCT((Model!$L$46:$L$70&gt;L64)*Model!$K$46:$K$70),1000000000000)</f>
        <v>1000000000000</v>
      </c>
      <c r="N64" s="83" t="n">
        <f aca="false">IF(M64&lt;=Model!$B$31,IF(L64&lt;1000000000,L64,0),0)</f>
        <v>0</v>
      </c>
      <c r="O64" s="39" t="n">
        <f aca="false">IF(Model!$B$13=1,IF(Model!$B$31&gt;=Model!$B$32,J64+IF(Model!$B$33&gt;0,(Model!$B$31-Model!$B$32)*K64/Model!$B$33,0),MIN(J64,Model!$B$35*K64)),0)</f>
        <v>0</v>
      </c>
      <c r="P64" s="39" t="n">
        <f aca="false">IF(Model!$B$13=1,I64+O64,E64*Model!$B$27)</f>
        <v>16.549566190876</v>
      </c>
      <c r="Q64" s="82" t="n">
        <f aca="false">IF(E64&gt;0,P64/E64,0)</f>
        <v>0.1</v>
      </c>
      <c r="R64" s="82" t="n">
        <f aca="false">IF(F64+E64&gt;0,(G64*F64+P64)/(F64+E64),0)</f>
        <v>0.190058703784181</v>
      </c>
      <c r="S64" s="82" t="n">
        <f aca="false">Model!$B$24*(1-Q64)/Model!$B$29</f>
        <v>0.605437404773997</v>
      </c>
      <c r="T64" s="82" t="n">
        <f aca="false">Model!$B$23*(1-Q64)/Model!$B$29</f>
        <v>0.151180802437786</v>
      </c>
      <c r="U64" s="82" t="n">
        <f aca="false">Model!$B$19*Model!$B$12*(1-Q64)/Model!$B$29</f>
        <v>0.0716908963941087</v>
      </c>
      <c r="V64" s="82" t="n">
        <f aca="false">Model!$B$19*(1-Model!$B$12)*(1-Q64)/Model!$B$29</f>
        <v>0.0716908963941087</v>
      </c>
      <c r="W64" s="82" t="n">
        <f aca="false">Q64*Model!$B$38</f>
        <v>0.0678043230944255</v>
      </c>
      <c r="X64" s="82" t="n">
        <f aca="false">Q64*Model!$B$39</f>
        <v>0.018581721653394</v>
      </c>
      <c r="Y64" s="82" t="n">
        <f aca="false">Q64*Model!$B$40</f>
        <v>0.0106560485400076</v>
      </c>
      <c r="Z64" s="82" t="n">
        <f aca="false">Q64*Model!$B$41</f>
        <v>0.00109973454683352</v>
      </c>
      <c r="AA64" s="82" t="n">
        <f aca="false">Q64*Model!$B$42</f>
        <v>0.0018581721653394</v>
      </c>
      <c r="AB64" s="20" t="n">
        <f aca="false">MATCH(A64&amp;"|"&amp;Model!$B$6&amp;"|"&amp;Model!$B$7,Data!$A$63:$A$262,0)</f>
        <v>57</v>
      </c>
      <c r="AC64" s="82" t="n">
        <f aca="false">(INDEX(Data!$E$63:$E$262,AB64)-Model!$B$8*INDEX(Data!$I$63:$I$262,AB64)-Model!$B$9*INDEX(Data!$J$63:$J$262,AB64))/INDEX(Data!$K$63:$K$262,AB64)</f>
        <v>0.515037593984962</v>
      </c>
      <c r="AD64" s="82" t="n">
        <f aca="false">(INDEX(Data!$F$63:$F$262,AB64)+Model!$B$8*INDEX(Data!$I$63:$I$262,AB64)+Model!$B$9*INDEX(Data!$J$63:$J$262,AB64))/INDEX(Data!$K$63:$K$262,AB64)</f>
        <v>0.194078947368421</v>
      </c>
      <c r="AE64" s="82" t="n">
        <f aca="false">INDEX(Data!$G$63:$G$262,AB64)/INDEX(Data!$K$63:$K$262,AB64)</f>
        <v>0.172932330827068</v>
      </c>
      <c r="AF64" s="82" t="n">
        <f aca="false">INDEX(Data!$H$63:$H$262,AB64)/INDEX(Data!$K$63:$K$262,AB64)</f>
        <v>0.117951127819549</v>
      </c>
    </row>
    <row r="65" customFormat="false" ht="15" hidden="false" customHeight="true" outlineLevel="0" collapsed="false">
      <c r="A65" s="39" t="str">
        <f aca="false">Data!$A$42</f>
        <v>Croom</v>
      </c>
      <c r="B65" s="39" t="str">
        <f aca="false">Data!$B$42</f>
        <v>Village</v>
      </c>
      <c r="C65" s="20" t="n">
        <f aca="false">IF(B65="City neighbourhood",1,0)</f>
        <v>0</v>
      </c>
      <c r="D65" s="82" t="n">
        <f aca="false">CHOOSE(Model!$B$4,Data!$G$42/Data!$B$52,Data!$C$42/SUM(Data!$C$23:$C$47),Data!$D$42/SUM(Data!$D$23:$D$47))</f>
        <v>0.00667039835805579</v>
      </c>
      <c r="E65" s="39" t="n">
        <f aca="false">Model!$B$17*D65</f>
        <v>265.908760145536</v>
      </c>
      <c r="F65" s="39" t="n">
        <f aca="false">Data!$E$42</f>
        <v>437</v>
      </c>
      <c r="G65" s="82" t="n">
        <f aca="false">Data!$F$42</f>
        <v>0.30183</v>
      </c>
      <c r="H65" s="39" t="n">
        <f aca="false">E65*Model!$B$15</f>
        <v>26.5908760145536</v>
      </c>
      <c r="I65" s="39" t="n">
        <f aca="false">IF(Model!$B$30&gt;Model!$B$28,H65*Model!$B$28/Model!$B$30,H65)</f>
        <v>26.5908760145536</v>
      </c>
      <c r="J65" s="39" t="n">
        <f aca="false">IF(C65=1,MAX(0,MIN(E65,Model!$B$14*(F65+E65)-G65*F65)-I65),0)</f>
        <v>0</v>
      </c>
      <c r="K65" s="39" t="n">
        <f aca="false">IF(C65=1,E65,0)</f>
        <v>0</v>
      </c>
      <c r="L65" s="83" t="n">
        <f aca="false">IF(AND(C65=1,E65&gt;0),J65/E65,1000000000)</f>
        <v>1000000000</v>
      </c>
      <c r="M65" s="39" t="n">
        <f aca="false">IF(C65=1,SUMPRODUCT((Model!$L$46:$L$70&lt;=L65)*Model!$J$46:$J$70)+L65*SUMPRODUCT((Model!$L$46:$L$70&gt;L65)*Model!$K$46:$K$70),1000000000000)</f>
        <v>1000000000000</v>
      </c>
      <c r="N65" s="83" t="n">
        <f aca="false">IF(M65&lt;=Model!$B$31,IF(L65&lt;1000000000,L65,0),0)</f>
        <v>0</v>
      </c>
      <c r="O65" s="39" t="n">
        <f aca="false">IF(Model!$B$13=1,IF(Model!$B$31&gt;=Model!$B$32,J65+IF(Model!$B$33&gt;0,(Model!$B$31-Model!$B$32)*K65/Model!$B$33,0),MIN(J65,Model!$B$35*K65)),0)</f>
        <v>0</v>
      </c>
      <c r="P65" s="39" t="n">
        <f aca="false">IF(Model!$B$13=1,I65+O65,E65*Model!$B$27)</f>
        <v>26.5908760145536</v>
      </c>
      <c r="Q65" s="82" t="n">
        <f aca="false">IF(E65&gt;0,P65/E65,0)</f>
        <v>0.1</v>
      </c>
      <c r="R65" s="82" t="n">
        <f aca="false">IF(F65+E65&gt;0,(G65*F65+P65)/(F65+E65),0)</f>
        <v>0.225478177255521</v>
      </c>
      <c r="S65" s="82" t="n">
        <f aca="false">Model!$B$24*(1-Q65)/Model!$B$29</f>
        <v>0.605437404773997</v>
      </c>
      <c r="T65" s="82" t="n">
        <f aca="false">Model!$B$23*(1-Q65)/Model!$B$29</f>
        <v>0.151180802437786</v>
      </c>
      <c r="U65" s="82" t="n">
        <f aca="false">Model!$B$19*Model!$B$12*(1-Q65)/Model!$B$29</f>
        <v>0.0716908963941087</v>
      </c>
      <c r="V65" s="82" t="n">
        <f aca="false">Model!$B$19*(1-Model!$B$12)*(1-Q65)/Model!$B$29</f>
        <v>0.0716908963941087</v>
      </c>
      <c r="W65" s="82" t="n">
        <f aca="false">Q65*Model!$B$38</f>
        <v>0.0678043230944255</v>
      </c>
      <c r="X65" s="82" t="n">
        <f aca="false">Q65*Model!$B$39</f>
        <v>0.018581721653394</v>
      </c>
      <c r="Y65" s="82" t="n">
        <f aca="false">Q65*Model!$B$40</f>
        <v>0.0106560485400076</v>
      </c>
      <c r="Z65" s="82" t="n">
        <f aca="false">Q65*Model!$B$41</f>
        <v>0.00109973454683352</v>
      </c>
      <c r="AA65" s="82" t="n">
        <f aca="false">Q65*Model!$B$42</f>
        <v>0.0018581721653394</v>
      </c>
      <c r="AB65" s="20" t="n">
        <f aca="false">MATCH(A65&amp;"|"&amp;Model!$B$6&amp;"|"&amp;Model!$B$7,Data!$A$63:$A$262,0)</f>
        <v>97</v>
      </c>
      <c r="AC65" s="82" t="n">
        <f aca="false">(INDEX(Data!$E$63:$E$262,AB65)-Model!$B$8*INDEX(Data!$I$63:$I$262,AB65)-Model!$B$9*INDEX(Data!$J$63:$J$262,AB65))/INDEX(Data!$K$63:$K$262,AB65)</f>
        <v>0.643965333330299</v>
      </c>
      <c r="AD65" s="82" t="n">
        <f aca="false">(INDEX(Data!$F$63:$F$262,AB65)+Model!$B$8*INDEX(Data!$I$63:$I$262,AB65)+Model!$B$9*INDEX(Data!$J$63:$J$262,AB65))/INDEX(Data!$K$63:$K$262,AB65)</f>
        <v>0.130941837815715</v>
      </c>
      <c r="AE65" s="82" t="n">
        <f aca="false">INDEX(Data!$G$63:$G$262,AB65)/INDEX(Data!$K$63:$K$262,AB65)</f>
        <v>0.130711896702638</v>
      </c>
      <c r="AF65" s="82" t="n">
        <f aca="false">INDEX(Data!$H$63:$H$262,AB65)/INDEX(Data!$K$63:$K$262,AB65)</f>
        <v>0.0943809321513476</v>
      </c>
    </row>
    <row r="66" customFormat="false" ht="15" hidden="false" customHeight="true" outlineLevel="0" collapsed="false">
      <c r="A66" s="39" t="str">
        <f aca="false">Data!$A$43</f>
        <v>Hospital</v>
      </c>
      <c r="B66" s="39" t="str">
        <f aca="false">Data!$B$43</f>
        <v>Village</v>
      </c>
      <c r="C66" s="20" t="n">
        <f aca="false">IF(B66="City neighbourhood",1,0)</f>
        <v>0</v>
      </c>
      <c r="D66" s="82" t="n">
        <f aca="false">CHOOSE(Model!$B$4,Data!$G$43/Data!$B$52,Data!$C$43/SUM(Data!$C$23:$C$47),Data!$D$43/SUM(Data!$D$23:$D$47))</f>
        <v>0.00410486052803433</v>
      </c>
      <c r="E66" s="39" t="n">
        <f aca="false">Model!$B$17*D66</f>
        <v>163.636160089561</v>
      </c>
      <c r="F66" s="39" t="n">
        <f aca="false">Data!$E$43</f>
        <v>283</v>
      </c>
      <c r="G66" s="82" t="n">
        <f aca="false">Data!$F$43</f>
        <v>0.23297</v>
      </c>
      <c r="H66" s="39" t="n">
        <f aca="false">E66*Model!$B$15</f>
        <v>16.3636160089561</v>
      </c>
      <c r="I66" s="39" t="n">
        <f aca="false">IF(Model!$B$30&gt;Model!$B$28,H66*Model!$B$28/Model!$B$30,H66)</f>
        <v>16.3636160089561</v>
      </c>
      <c r="J66" s="39" t="n">
        <f aca="false">IF(C66=1,MAX(0,MIN(E66,Model!$B$14*(F66+E66)-G66*F66)-I66),0)</f>
        <v>0</v>
      </c>
      <c r="K66" s="39" t="n">
        <f aca="false">IF(C66=1,E66,0)</f>
        <v>0</v>
      </c>
      <c r="L66" s="83" t="n">
        <f aca="false">IF(AND(C66=1,E66&gt;0),J66/E66,1000000000)</f>
        <v>1000000000</v>
      </c>
      <c r="M66" s="39" t="n">
        <f aca="false">IF(C66=1,SUMPRODUCT((Model!$L$46:$L$70&lt;=L66)*Model!$J$46:$J$70)+L66*SUMPRODUCT((Model!$L$46:$L$70&gt;L66)*Model!$K$46:$K$70),1000000000000)</f>
        <v>1000000000000</v>
      </c>
      <c r="N66" s="83" t="n">
        <f aca="false">IF(M66&lt;=Model!$B$31,IF(L66&lt;1000000000,L66,0),0)</f>
        <v>0</v>
      </c>
      <c r="O66" s="39" t="n">
        <f aca="false">IF(Model!$B$13=1,IF(Model!$B$31&gt;=Model!$B$32,J66+IF(Model!$B$33&gt;0,(Model!$B$31-Model!$B$32)*K66/Model!$B$33,0),MIN(J66,Model!$B$35*K66)),0)</f>
        <v>0</v>
      </c>
      <c r="P66" s="39" t="n">
        <f aca="false">IF(Model!$B$13=1,I66+O66,E66*Model!$B$27)</f>
        <v>16.3636160089561</v>
      </c>
      <c r="Q66" s="82" t="n">
        <f aca="false">IF(E66&gt;0,P66/E66,0)</f>
        <v>0.1</v>
      </c>
      <c r="R66" s="82" t="n">
        <f aca="false">IF(F66+E66&gt;0,(G66*F66+P66)/(F66+E66),0)</f>
        <v>0.184253164796272</v>
      </c>
      <c r="S66" s="82" t="n">
        <f aca="false">Model!$B$24*(1-Q66)/Model!$B$29</f>
        <v>0.605437404773997</v>
      </c>
      <c r="T66" s="82" t="n">
        <f aca="false">Model!$B$23*(1-Q66)/Model!$B$29</f>
        <v>0.151180802437786</v>
      </c>
      <c r="U66" s="82" t="n">
        <f aca="false">Model!$B$19*Model!$B$12*(1-Q66)/Model!$B$29</f>
        <v>0.0716908963941087</v>
      </c>
      <c r="V66" s="82" t="n">
        <f aca="false">Model!$B$19*(1-Model!$B$12)*(1-Q66)/Model!$B$29</f>
        <v>0.0716908963941087</v>
      </c>
      <c r="W66" s="82" t="n">
        <f aca="false">Q66*Model!$B$38</f>
        <v>0.0678043230944255</v>
      </c>
      <c r="X66" s="82" t="n">
        <f aca="false">Q66*Model!$B$39</f>
        <v>0.018581721653394</v>
      </c>
      <c r="Y66" s="82" t="n">
        <f aca="false">Q66*Model!$B$40</f>
        <v>0.0106560485400076</v>
      </c>
      <c r="Z66" s="82" t="n">
        <f aca="false">Q66*Model!$B$41</f>
        <v>0.00109973454683352</v>
      </c>
      <c r="AA66" s="82" t="n">
        <f aca="false">Q66*Model!$B$42</f>
        <v>0.0018581721653394</v>
      </c>
      <c r="AB66" s="20" t="n">
        <f aca="false">MATCH(A66&amp;"|"&amp;Model!$B$6&amp;"|"&amp;Model!$B$7,Data!$A$63:$A$262,0)</f>
        <v>113</v>
      </c>
      <c r="AC66" s="82" t="n">
        <f aca="false">(INDEX(Data!$E$63:$E$262,AB66)-Model!$B$8*INDEX(Data!$I$63:$I$262,AB66)-Model!$B$9*INDEX(Data!$J$63:$J$262,AB66))/INDEX(Data!$K$63:$K$262,AB66)</f>
        <v>0.575971731448763</v>
      </c>
      <c r="AD66" s="82" t="n">
        <f aca="false">(INDEX(Data!$F$63:$F$262,AB66)+Model!$B$8*INDEX(Data!$I$63:$I$262,AB66)+Model!$B$9*INDEX(Data!$J$63:$J$262,AB66))/INDEX(Data!$K$63:$K$262,AB66)</f>
        <v>0.147313269160473</v>
      </c>
      <c r="AE66" s="82" t="n">
        <f aca="false">INDEX(Data!$G$63:$G$262,AB66)/INDEX(Data!$K$63:$K$262,AB66)</f>
        <v>0.137991958084562</v>
      </c>
      <c r="AF66" s="82" t="n">
        <f aca="false">INDEX(Data!$H$63:$H$262,AB66)/INDEX(Data!$K$63:$K$262,AB66)</f>
        <v>0.138723041306202</v>
      </c>
    </row>
    <row r="67" customFormat="false" ht="15" hidden="false" customHeight="true" outlineLevel="0" collapsed="false">
      <c r="A67" s="39" t="str">
        <f aca="false">Data!$A$44</f>
        <v>Kilfinnane</v>
      </c>
      <c r="B67" s="39" t="str">
        <f aca="false">Data!$B$44</f>
        <v>Village</v>
      </c>
      <c r="C67" s="20" t="n">
        <f aca="false">IF(B67="City neighbourhood",1,0)</f>
        <v>0</v>
      </c>
      <c r="D67" s="82" t="n">
        <f aca="false">CHOOSE(Model!$B$4,Data!$G$44/Data!$B$52,Data!$C$44/SUM(Data!$C$23:$C$47),Data!$D$44/SUM(Data!$D$23:$D$47))</f>
        <v>0.00522436794477097</v>
      </c>
      <c r="E67" s="39" t="n">
        <f aca="false">Model!$B$17*D67</f>
        <v>208.26420375035</v>
      </c>
      <c r="F67" s="39" t="n">
        <f aca="false">Data!$E$44</f>
        <v>323</v>
      </c>
      <c r="G67" s="82" t="n">
        <f aca="false">Data!$F$44</f>
        <v>0.22045</v>
      </c>
      <c r="H67" s="39" t="n">
        <f aca="false">E67*Model!$B$15</f>
        <v>20.826420375035</v>
      </c>
      <c r="I67" s="39" t="n">
        <f aca="false">IF(Model!$B$30&gt;Model!$B$28,H67*Model!$B$28/Model!$B$30,H67)</f>
        <v>20.826420375035</v>
      </c>
      <c r="J67" s="39" t="n">
        <f aca="false">IF(C67=1,MAX(0,MIN(E67,Model!$B$14*(F67+E67)-G67*F67)-I67),0)</f>
        <v>0</v>
      </c>
      <c r="K67" s="39" t="n">
        <f aca="false">IF(C67=1,E67,0)</f>
        <v>0</v>
      </c>
      <c r="L67" s="83" t="n">
        <f aca="false">IF(AND(C67=1,E67&gt;0),J67/E67,1000000000)</f>
        <v>1000000000</v>
      </c>
      <c r="M67" s="39" t="n">
        <f aca="false">IF(C67=1,SUMPRODUCT((Model!$L$46:$L$70&lt;=L67)*Model!$J$46:$J$70)+L67*SUMPRODUCT((Model!$L$46:$L$70&gt;L67)*Model!$K$46:$K$70),1000000000000)</f>
        <v>1000000000000</v>
      </c>
      <c r="N67" s="83" t="n">
        <f aca="false">IF(M67&lt;=Model!$B$31,IF(L67&lt;1000000000,L67,0),0)</f>
        <v>0</v>
      </c>
      <c r="O67" s="39" t="n">
        <f aca="false">IF(Model!$B$13=1,IF(Model!$B$31&gt;=Model!$B$32,J67+IF(Model!$B$33&gt;0,(Model!$B$31-Model!$B$32)*K67/Model!$B$33,0),MIN(J67,Model!$B$35*K67)),0)</f>
        <v>0</v>
      </c>
      <c r="P67" s="39" t="n">
        <f aca="false">IF(Model!$B$13=1,I67+O67,E67*Model!$B$27)</f>
        <v>20.826420375035</v>
      </c>
      <c r="Q67" s="82" t="n">
        <f aca="false">IF(E67&gt;0,P67/E67,0)</f>
        <v>0.1</v>
      </c>
      <c r="R67" s="82" t="n">
        <f aca="false">IF(F67+E67&gt;0,(G67*F67+P67)/(F67+E67),0)</f>
        <v>0.173231642044308</v>
      </c>
      <c r="S67" s="82" t="n">
        <f aca="false">Model!$B$24*(1-Q67)/Model!$B$29</f>
        <v>0.605437404773997</v>
      </c>
      <c r="T67" s="82" t="n">
        <f aca="false">Model!$B$23*(1-Q67)/Model!$B$29</f>
        <v>0.151180802437786</v>
      </c>
      <c r="U67" s="82" t="n">
        <f aca="false">Model!$B$19*Model!$B$12*(1-Q67)/Model!$B$29</f>
        <v>0.0716908963941087</v>
      </c>
      <c r="V67" s="82" t="n">
        <f aca="false">Model!$B$19*(1-Model!$B$12)*(1-Q67)/Model!$B$29</f>
        <v>0.0716908963941087</v>
      </c>
      <c r="W67" s="82" t="n">
        <f aca="false">Q67*Model!$B$38</f>
        <v>0.0678043230944255</v>
      </c>
      <c r="X67" s="82" t="n">
        <f aca="false">Q67*Model!$B$39</f>
        <v>0.018581721653394</v>
      </c>
      <c r="Y67" s="82" t="n">
        <f aca="false">Q67*Model!$B$40</f>
        <v>0.0106560485400076</v>
      </c>
      <c r="Z67" s="82" t="n">
        <f aca="false">Q67*Model!$B$41</f>
        <v>0.00109973454683352</v>
      </c>
      <c r="AA67" s="82" t="n">
        <f aca="false">Q67*Model!$B$42</f>
        <v>0.0018581721653394</v>
      </c>
      <c r="AB67" s="20" t="n">
        <f aca="false">MATCH(A67&amp;"|"&amp;Model!$B$6&amp;"|"&amp;Model!$B$7,Data!$A$63:$A$262,0)</f>
        <v>121</v>
      </c>
      <c r="AC67" s="82" t="n">
        <f aca="false">(INDEX(Data!$E$63:$E$262,AB67)-Model!$B$8*INDEX(Data!$I$63:$I$262,AB67)-Model!$B$9*INDEX(Data!$J$63:$J$262,AB67))/INDEX(Data!$K$63:$K$262,AB67)</f>
        <v>0.584569732937685</v>
      </c>
      <c r="AD67" s="82" t="n">
        <f aca="false">(INDEX(Data!$F$63:$F$262,AB67)+Model!$B$8*INDEX(Data!$I$63:$I$262,AB67)+Model!$B$9*INDEX(Data!$J$63:$J$262,AB67))/INDEX(Data!$K$63:$K$262,AB67)</f>
        <v>0.202204323866045</v>
      </c>
      <c r="AE67" s="82" t="n">
        <f aca="false">INDEX(Data!$G$63:$G$262,AB67)/INDEX(Data!$K$63:$K$262,AB67)</f>
        <v>0.136074607884697</v>
      </c>
      <c r="AF67" s="82" t="n">
        <f aca="false">INDEX(Data!$H$63:$H$262,AB67)/INDEX(Data!$K$63:$K$262,AB67)</f>
        <v>0.0771513353115727</v>
      </c>
    </row>
    <row r="68" customFormat="false" ht="15" hidden="false" customHeight="true" outlineLevel="0" collapsed="false">
      <c r="A68" s="39" t="str">
        <f aca="false">Data!$A$45</f>
        <v>Moroe</v>
      </c>
      <c r="B68" s="39" t="str">
        <f aca="false">Data!$B$45</f>
        <v>Village</v>
      </c>
      <c r="C68" s="20" t="n">
        <f aca="false">IF(B68="City neighbourhood",1,0)</f>
        <v>0</v>
      </c>
      <c r="D68" s="82" t="n">
        <f aca="false">CHOOSE(Model!$B$4,Data!$G$45/Data!$B$52,Data!$C$45/SUM(Data!$C$23:$C$47),Data!$D$45/SUM(Data!$D$23:$D$47))</f>
        <v>0.00751002892060827</v>
      </c>
      <c r="E68" s="39" t="n">
        <f aca="false">Model!$B$17*D68</f>
        <v>299.379792891128</v>
      </c>
      <c r="F68" s="39" t="n">
        <f aca="false">Data!$E$45</f>
        <v>494</v>
      </c>
      <c r="G68" s="82" t="n">
        <f aca="false">Data!$F$45</f>
        <v>0.1125</v>
      </c>
      <c r="H68" s="39" t="n">
        <f aca="false">E68*Model!$B$15</f>
        <v>29.9379792891128</v>
      </c>
      <c r="I68" s="39" t="n">
        <f aca="false">IF(Model!$B$30&gt;Model!$B$28,H68*Model!$B$28/Model!$B$30,H68)</f>
        <v>29.9379792891128</v>
      </c>
      <c r="J68" s="39" t="n">
        <f aca="false">IF(C68=1,MAX(0,MIN(E68,Model!$B$14*(F68+E68)-G68*F68)-I68),0)</f>
        <v>0</v>
      </c>
      <c r="K68" s="39" t="n">
        <f aca="false">IF(C68=1,E68,0)</f>
        <v>0</v>
      </c>
      <c r="L68" s="83" t="n">
        <f aca="false">IF(AND(C68=1,E68&gt;0),J68/E68,1000000000)</f>
        <v>1000000000</v>
      </c>
      <c r="M68" s="39" t="n">
        <f aca="false">IF(C68=1,SUMPRODUCT((Model!$L$46:$L$70&lt;=L68)*Model!$J$46:$J$70)+L68*SUMPRODUCT((Model!$L$46:$L$70&gt;L68)*Model!$K$46:$K$70),1000000000000)</f>
        <v>1000000000000</v>
      </c>
      <c r="N68" s="83" t="n">
        <f aca="false">IF(M68&lt;=Model!$B$31,IF(L68&lt;1000000000,L68,0),0)</f>
        <v>0</v>
      </c>
      <c r="O68" s="39" t="n">
        <f aca="false">IF(Model!$B$13=1,IF(Model!$B$31&gt;=Model!$B$32,J68+IF(Model!$B$33&gt;0,(Model!$B$31-Model!$B$32)*K68/Model!$B$33,0),MIN(J68,Model!$B$35*K68)),0)</f>
        <v>0</v>
      </c>
      <c r="P68" s="39" t="n">
        <f aca="false">IF(Model!$B$13=1,I68+O68,E68*Model!$B$27)</f>
        <v>29.9379792891128</v>
      </c>
      <c r="Q68" s="82" t="n">
        <f aca="false">IF(E68&gt;0,P68/E68,0)</f>
        <v>0.1</v>
      </c>
      <c r="R68" s="82" t="n">
        <f aca="false">IF(F68+E68&gt;0,(G68*F68+P68)/(F68+E68),0)</f>
        <v>0.107783157644459</v>
      </c>
      <c r="S68" s="82" t="n">
        <f aca="false">Model!$B$24*(1-Q68)/Model!$B$29</f>
        <v>0.605437404773997</v>
      </c>
      <c r="T68" s="82" t="n">
        <f aca="false">Model!$B$23*(1-Q68)/Model!$B$29</f>
        <v>0.151180802437786</v>
      </c>
      <c r="U68" s="82" t="n">
        <f aca="false">Model!$B$19*Model!$B$12*(1-Q68)/Model!$B$29</f>
        <v>0.0716908963941087</v>
      </c>
      <c r="V68" s="82" t="n">
        <f aca="false">Model!$B$19*(1-Model!$B$12)*(1-Q68)/Model!$B$29</f>
        <v>0.0716908963941087</v>
      </c>
      <c r="W68" s="82" t="n">
        <f aca="false">Q68*Model!$B$38</f>
        <v>0.0678043230944255</v>
      </c>
      <c r="X68" s="82" t="n">
        <f aca="false">Q68*Model!$B$39</f>
        <v>0.018581721653394</v>
      </c>
      <c r="Y68" s="82" t="n">
        <f aca="false">Q68*Model!$B$40</f>
        <v>0.0106560485400076</v>
      </c>
      <c r="Z68" s="82" t="n">
        <f aca="false">Q68*Model!$B$41</f>
        <v>0.00109973454683352</v>
      </c>
      <c r="AA68" s="82" t="n">
        <f aca="false">Q68*Model!$B$42</f>
        <v>0.0018581721653394</v>
      </c>
      <c r="AB68" s="20" t="n">
        <f aca="false">MATCH(A68&amp;"|"&amp;Model!$B$6&amp;"|"&amp;Model!$B$7,Data!$A$63:$A$262,0)</f>
        <v>145</v>
      </c>
      <c r="AC68" s="82" t="n">
        <f aca="false">(INDEX(Data!$E$63:$E$262,AB68)-Model!$B$8*INDEX(Data!$I$63:$I$262,AB68)-Model!$B$9*INDEX(Data!$J$63:$J$262,AB68))/INDEX(Data!$K$63:$K$262,AB68)</f>
        <v>0.390774050910195</v>
      </c>
      <c r="AD68" s="82" t="n">
        <f aca="false">(INDEX(Data!$F$63:$F$262,AB68)+Model!$B$8*INDEX(Data!$I$63:$I$262,AB68)+Model!$B$9*INDEX(Data!$J$63:$J$262,AB68))/INDEX(Data!$K$63:$K$262,AB68)</f>
        <v>0.205399810876242</v>
      </c>
      <c r="AE68" s="82" t="n">
        <f aca="false">INDEX(Data!$G$63:$G$262,AB68)/INDEX(Data!$K$63:$K$262,AB68)</f>
        <v>0.242574145418983</v>
      </c>
      <c r="AF68" s="82" t="n">
        <f aca="false">INDEX(Data!$H$63:$H$262,AB68)/INDEX(Data!$K$63:$K$262,AB68)</f>
        <v>0.16125199279458</v>
      </c>
    </row>
    <row r="69" customFormat="false" ht="15" hidden="false" customHeight="true" outlineLevel="0" collapsed="false">
      <c r="A69" s="39" t="str">
        <f aca="false">Data!$A$46</f>
        <v>Patrickswell</v>
      </c>
      <c r="B69" s="39" t="str">
        <f aca="false">Data!$B$46</f>
        <v>Village</v>
      </c>
      <c r="C69" s="20" t="n">
        <f aca="false">IF(B69="City neighbourhood",1,0)</f>
        <v>0</v>
      </c>
      <c r="D69" s="82" t="n">
        <f aca="false">CHOOSE(Model!$B$4,Data!$G$46/Data!$B$52,Data!$C$46/SUM(Data!$C$23:$C$47),Data!$D$46/SUM(Data!$D$23:$D$47))</f>
        <v>0.0186584569456106</v>
      </c>
      <c r="E69" s="39" t="n">
        <f aca="false">Model!$B$17*D69</f>
        <v>743.800727679821</v>
      </c>
      <c r="F69" s="39" t="n">
        <f aca="false">Data!$E$46</f>
        <v>316</v>
      </c>
      <c r="G69" s="82" t="n">
        <f aca="false">Data!$F$46</f>
        <v>0.15282</v>
      </c>
      <c r="H69" s="39" t="n">
        <f aca="false">E69*Model!$B$15</f>
        <v>74.3800727679821</v>
      </c>
      <c r="I69" s="39" t="n">
        <f aca="false">IF(Model!$B$30&gt;Model!$B$28,H69*Model!$B$28/Model!$B$30,H69)</f>
        <v>74.3800727679821</v>
      </c>
      <c r="J69" s="39" t="n">
        <f aca="false">IF(C69=1,MAX(0,MIN(E69,Model!$B$14*(F69+E69)-G69*F69)-I69),0)</f>
        <v>0</v>
      </c>
      <c r="K69" s="39" t="n">
        <f aca="false">IF(C69=1,E69,0)</f>
        <v>0</v>
      </c>
      <c r="L69" s="83" t="n">
        <f aca="false">IF(AND(C69=1,E69&gt;0),J69/E69,1000000000)</f>
        <v>1000000000</v>
      </c>
      <c r="M69" s="39" t="n">
        <f aca="false">IF(C69=1,SUMPRODUCT((Model!$L$46:$L$70&lt;=L69)*Model!$J$46:$J$70)+L69*SUMPRODUCT((Model!$L$46:$L$70&gt;L69)*Model!$K$46:$K$70),1000000000000)</f>
        <v>1000000000000</v>
      </c>
      <c r="N69" s="83" t="n">
        <f aca="false">IF(M69&lt;=Model!$B$31,IF(L69&lt;1000000000,L69,0),0)</f>
        <v>0</v>
      </c>
      <c r="O69" s="39" t="n">
        <f aca="false">IF(Model!$B$13=1,IF(Model!$B$31&gt;=Model!$B$32,J69+IF(Model!$B$33&gt;0,(Model!$B$31-Model!$B$32)*K69/Model!$B$33,0),MIN(J69,Model!$B$35*K69)),0)</f>
        <v>0</v>
      </c>
      <c r="P69" s="39" t="n">
        <f aca="false">IF(Model!$B$13=1,I69+O69,E69*Model!$B$27)</f>
        <v>74.3800727679821</v>
      </c>
      <c r="Q69" s="82" t="n">
        <f aca="false">IF(E69&gt;0,P69/E69,0)</f>
        <v>0.1</v>
      </c>
      <c r="R69" s="82" t="n">
        <f aca="false">IF(F69+E69&gt;0,(G69*F69+P69)/(F69+E69),0)</f>
        <v>0.115749300377007</v>
      </c>
      <c r="S69" s="82" t="n">
        <f aca="false">Model!$B$24*(1-Q69)/Model!$B$29</f>
        <v>0.605437404773997</v>
      </c>
      <c r="T69" s="82" t="n">
        <f aca="false">Model!$B$23*(1-Q69)/Model!$B$29</f>
        <v>0.151180802437786</v>
      </c>
      <c r="U69" s="82" t="n">
        <f aca="false">Model!$B$19*Model!$B$12*(1-Q69)/Model!$B$29</f>
        <v>0.0716908963941087</v>
      </c>
      <c r="V69" s="82" t="n">
        <f aca="false">Model!$B$19*(1-Model!$B$12)*(1-Q69)/Model!$B$29</f>
        <v>0.0716908963941087</v>
      </c>
      <c r="W69" s="82" t="n">
        <f aca="false">Q69*Model!$B$38</f>
        <v>0.0678043230944255</v>
      </c>
      <c r="X69" s="82" t="n">
        <f aca="false">Q69*Model!$B$39</f>
        <v>0.018581721653394</v>
      </c>
      <c r="Y69" s="82" t="n">
        <f aca="false">Q69*Model!$B$40</f>
        <v>0.0106560485400076</v>
      </c>
      <c r="Z69" s="82" t="n">
        <f aca="false">Q69*Model!$B$41</f>
        <v>0.00109973454683352</v>
      </c>
      <c r="AA69" s="82" t="n">
        <f aca="false">Q69*Model!$B$42</f>
        <v>0.0018581721653394</v>
      </c>
      <c r="AB69" s="20" t="n">
        <f aca="false">MATCH(A69&amp;"|"&amp;Model!$B$6&amp;"|"&amp;Model!$B$7,Data!$A$63:$A$262,0)</f>
        <v>161</v>
      </c>
      <c r="AC69" s="82" t="n">
        <f aca="false">(INDEX(Data!$E$63:$E$262,AB69)-Model!$B$8*INDEX(Data!$I$63:$I$262,AB69)-Model!$B$9*INDEX(Data!$J$63:$J$262,AB69))/INDEX(Data!$K$63:$K$262,AB69)</f>
        <v>0.461875147352527</v>
      </c>
      <c r="AD69" s="82" t="n">
        <f aca="false">(INDEX(Data!$F$63:$F$262,AB69)+Model!$B$8*INDEX(Data!$I$63:$I$262,AB69)+Model!$B$9*INDEX(Data!$J$63:$J$262,AB69))/INDEX(Data!$K$63:$K$262,AB69)</f>
        <v>0.213152880261769</v>
      </c>
      <c r="AE69" s="82" t="n">
        <f aca="false">INDEX(Data!$G$63:$G$262,AB69)/INDEX(Data!$K$63:$K$262,AB69)</f>
        <v>0.177951007304904</v>
      </c>
      <c r="AF69" s="82" t="n">
        <f aca="false">INDEX(Data!$H$63:$H$262,AB69)/INDEX(Data!$K$63:$K$262,AB69)</f>
        <v>0.1470209650808</v>
      </c>
    </row>
    <row r="70" customFormat="false" ht="15" hidden="false" customHeight="true" outlineLevel="0" collapsed="false">
      <c r="A70" s="39" t="str">
        <f aca="false">Data!$A$47</f>
        <v>Rest of county</v>
      </c>
      <c r="B70" s="39" t="str">
        <f aca="false">Data!$B$47</f>
        <v>Rest of county</v>
      </c>
      <c r="C70" s="20" t="n">
        <f aca="false">IF(B70="City neighbourhood",1,0)</f>
        <v>0</v>
      </c>
      <c r="D70" s="82" t="n">
        <f aca="false">CHOOSE(Model!$B$4,Data!$G$47/Data!$B$52,Data!$C$47/SUM(Data!$C$23:$C$47),Data!$D$47/SUM(Data!$D$23:$D$47))</f>
        <v>0.0976770221102715</v>
      </c>
      <c r="E70" s="39" t="n">
        <f aca="false">Model!$B$17*D70</f>
        <v>3893.79680940386</v>
      </c>
      <c r="F70" s="39" t="n">
        <f aca="false">Data!$E$47</f>
        <v>27554</v>
      </c>
      <c r="G70" s="82" t="n">
        <f aca="false">Data!$F$47</f>
        <v>0.03738</v>
      </c>
      <c r="H70" s="39" t="n">
        <f aca="false">E70*Model!$B$15</f>
        <v>389.379680940386</v>
      </c>
      <c r="I70" s="39" t="n">
        <f aca="false">IF(Model!$B$30&gt;Model!$B$28,H70*Model!$B$28/Model!$B$30,H70)</f>
        <v>389.379680940386</v>
      </c>
      <c r="J70" s="39" t="n">
        <f aca="false">IF(C70=1,MAX(0,MIN(E70,Model!$B$14*(F70+E70)-G70*F70)-I70),0)</f>
        <v>0</v>
      </c>
      <c r="K70" s="39" t="n">
        <f aca="false">IF(C70=1,E70,0)</f>
        <v>0</v>
      </c>
      <c r="L70" s="83" t="n">
        <f aca="false">IF(AND(C70=1,E70&gt;0),J70/E70,1000000000)</f>
        <v>1000000000</v>
      </c>
      <c r="M70" s="39" t="n">
        <f aca="false">IF(C70=1,SUMPRODUCT((Model!$L$46:$L$70&lt;=L70)*Model!$J$46:$J$70)+L70*SUMPRODUCT((Model!$L$46:$L$70&gt;L70)*Model!$K$46:$K$70),1000000000000)</f>
        <v>1000000000000</v>
      </c>
      <c r="N70" s="83" t="n">
        <f aca="false">IF(M70&lt;=Model!$B$31,IF(L70&lt;1000000000,L70,0),0)</f>
        <v>0</v>
      </c>
      <c r="O70" s="39" t="n">
        <f aca="false">IF(Model!$B$13=1,IF(Model!$B$31&gt;=Model!$B$32,J70+IF(Model!$B$33&gt;0,(Model!$B$31-Model!$B$32)*K70/Model!$B$33,0),MIN(J70,Model!$B$35*K70)),0)</f>
        <v>0</v>
      </c>
      <c r="P70" s="39" t="n">
        <f aca="false">IF(Model!$B$13=1,I70+O70,E70*Model!$B$27)</f>
        <v>389.379680940386</v>
      </c>
      <c r="Q70" s="82" t="n">
        <f aca="false">IF(E70&gt;0,P70/E70,0)</f>
        <v>0.1</v>
      </c>
      <c r="R70" s="82" t="n">
        <f aca="false">IF(F70+E70&gt;0,(G70*F70+P70)/(F70+E70),0)</f>
        <v>0.0451334702250416</v>
      </c>
      <c r="S70" s="82" t="n">
        <f aca="false">Model!$B$24*(1-Q70)/Model!$B$29</f>
        <v>0.605437404773997</v>
      </c>
      <c r="T70" s="82" t="n">
        <f aca="false">Model!$B$23*(1-Q70)/Model!$B$29</f>
        <v>0.151180802437786</v>
      </c>
      <c r="U70" s="82" t="n">
        <f aca="false">Model!$B$19*Model!$B$12*(1-Q70)/Model!$B$29</f>
        <v>0.0716908963941087</v>
      </c>
      <c r="V70" s="82" t="n">
        <f aca="false">Model!$B$19*(1-Model!$B$12)*(1-Q70)/Model!$B$29</f>
        <v>0.0716908963941087</v>
      </c>
      <c r="W70" s="82" t="n">
        <f aca="false">Q70*Model!$B$38</f>
        <v>0.0678043230944255</v>
      </c>
      <c r="X70" s="82" t="n">
        <f aca="false">Q70*Model!$B$39</f>
        <v>0.018581721653394</v>
      </c>
      <c r="Y70" s="82" t="n">
        <f aca="false">Q70*Model!$B$40</f>
        <v>0.0106560485400076</v>
      </c>
      <c r="Z70" s="82" t="n">
        <f aca="false">Q70*Model!$B$41</f>
        <v>0.00109973454683352</v>
      </c>
      <c r="AA70" s="82" t="n">
        <f aca="false">Q70*Model!$B$42</f>
        <v>0.0018581721653394</v>
      </c>
      <c r="AB70" s="20" t="n">
        <f aca="false">MATCH(A70&amp;"|"&amp;Model!$B$6&amp;"|"&amp;Model!$B$7,Data!$A$63:$A$262,0)</f>
        <v>177</v>
      </c>
      <c r="AC70" s="82" t="n">
        <f aca="false">(INDEX(Data!$E$63:$E$262,AB70)-Model!$B$8*INDEX(Data!$I$63:$I$262,AB70)-Model!$B$9*INDEX(Data!$J$63:$J$262,AB70))/INDEX(Data!$K$63:$K$262,AB70)</f>
        <v>0.461574691617666</v>
      </c>
      <c r="AD70" s="82" t="n">
        <f aca="false">(INDEX(Data!$F$63:$F$262,AB70)+Model!$B$8*INDEX(Data!$I$63:$I$262,AB70)+Model!$B$9*INDEX(Data!$J$63:$J$262,AB70))/INDEX(Data!$K$63:$K$262,AB70)</f>
        <v>0.191490402812365</v>
      </c>
      <c r="AE70" s="82" t="n">
        <f aca="false">INDEX(Data!$G$63:$G$262,AB70)/INDEX(Data!$K$63:$K$262,AB70)</f>
        <v>0.188264463949228</v>
      </c>
      <c r="AF70" s="82" t="n">
        <f aca="false">INDEX(Data!$H$63:$H$262,AB70)/INDEX(Data!$K$63:$K$262,AB70)</f>
        <v>0.158670441620741</v>
      </c>
    </row>
    <row r="71" customFormat="false" ht="15" hidden="false" customHeight="true" outlineLevel="0" collapsed="false">
      <c r="A71" s="84" t="s">
        <v>61</v>
      </c>
      <c r="D71" s="85" t="n">
        <f aca="false">SUM(D46:D70)</f>
        <v>1</v>
      </c>
      <c r="E71" s="86" t="n">
        <f aca="false">SUM(E46:E70)</f>
        <v>39864</v>
      </c>
      <c r="F71" s="86" t="n">
        <f aca="false">SUM(F46:F70)</f>
        <v>76295</v>
      </c>
      <c r="H71" s="86" t="n">
        <f aca="false">SUM(H46:H70)</f>
        <v>3986.4</v>
      </c>
      <c r="I71" s="86" t="n">
        <f aca="false">SUM(I46:I70)</f>
        <v>3986.4</v>
      </c>
      <c r="J71" s="86" t="n">
        <f aca="false">SUM(J46:J70)</f>
        <v>6021.88184291031</v>
      </c>
      <c r="K71" s="86" t="n">
        <f aca="false">SUM(K46:K70)</f>
        <v>29257.4016232858</v>
      </c>
      <c r="O71" s="86" t="n">
        <f aca="false">SUM(O46:O70)</f>
        <v>4375.97068251938</v>
      </c>
      <c r="P71" s="86"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577</v>
      </c>
    </row>
    <row r="2" customFormat="false" ht="15" hidden="false" customHeight="true" outlineLevel="0" collapsed="false">
      <c r="A2" s="12" t="s">
        <v>578</v>
      </c>
      <c r="Z2" s="12" t="s">
        <v>579</v>
      </c>
      <c r="AA2" s="12" t="s">
        <v>580</v>
      </c>
      <c r="AB2" s="12" t="s">
        <v>581</v>
      </c>
      <c r="AC2" s="12" t="s">
        <v>582</v>
      </c>
      <c r="AD2" s="12" t="s">
        <v>583</v>
      </c>
      <c r="AE2" s="12" t="s">
        <v>584</v>
      </c>
      <c r="AF2" s="12" t="s">
        <v>585</v>
      </c>
      <c r="AG2" s="12" t="s">
        <v>586</v>
      </c>
      <c r="AH2" s="12" t="s">
        <v>587</v>
      </c>
      <c r="AI2" s="12" t="s">
        <v>588</v>
      </c>
      <c r="AJ2" s="12" t="s">
        <v>589</v>
      </c>
      <c r="AK2" s="12" t="s">
        <v>590</v>
      </c>
    </row>
    <row r="3" customFormat="false" ht="45.75" hidden="false" customHeight="true" outlineLevel="0" collapsed="false">
      <c r="A3" s="4" t="s">
        <v>107</v>
      </c>
      <c r="B3" s="5" t="s">
        <v>591</v>
      </c>
      <c r="C3" s="5" t="s">
        <v>592</v>
      </c>
      <c r="D3" s="5" t="s">
        <v>593</v>
      </c>
      <c r="E3" s="5" t="s">
        <v>594</v>
      </c>
      <c r="F3" s="5" t="s">
        <v>595</v>
      </c>
      <c r="G3" s="5" t="s">
        <v>596</v>
      </c>
      <c r="H3" s="5" t="s">
        <v>597</v>
      </c>
      <c r="I3" s="5" t="s">
        <v>598</v>
      </c>
      <c r="J3" s="5" t="s">
        <v>599</v>
      </c>
      <c r="K3" s="5" t="s">
        <v>600</v>
      </c>
      <c r="L3" s="5" t="s">
        <v>601</v>
      </c>
      <c r="M3" s="5" t="s">
        <v>602</v>
      </c>
      <c r="N3" s="5" t="s">
        <v>603</v>
      </c>
      <c r="O3" s="5" t="s">
        <v>604</v>
      </c>
      <c r="P3" s="5" t="s">
        <v>605</v>
      </c>
      <c r="Q3" s="5" t="s">
        <v>606</v>
      </c>
      <c r="R3" s="5" t="s">
        <v>607</v>
      </c>
      <c r="S3" s="5" t="s">
        <v>608</v>
      </c>
      <c r="T3" s="5" t="s">
        <v>609</v>
      </c>
      <c r="U3" s="5" t="s">
        <v>610</v>
      </c>
      <c r="V3" s="5" t="s">
        <v>611</v>
      </c>
      <c r="W3" s="5" t="s">
        <v>612</v>
      </c>
      <c r="X3" s="5" t="s">
        <v>613</v>
      </c>
      <c r="Z3" s="13" t="n">
        <v>2026</v>
      </c>
      <c r="AA3" s="13" t="s">
        <v>12</v>
      </c>
      <c r="AB3" s="13" t="s">
        <v>16</v>
      </c>
      <c r="AC3" s="13" t="s">
        <v>20</v>
      </c>
      <c r="AD3" s="13" t="s">
        <v>23</v>
      </c>
      <c r="AE3" s="22" t="n">
        <v>0</v>
      </c>
      <c r="AF3" s="13" t="s">
        <v>31</v>
      </c>
      <c r="AG3" s="13" t="s">
        <v>35</v>
      </c>
      <c r="AH3" s="13" t="s">
        <v>41</v>
      </c>
      <c r="AI3" s="22" t="n">
        <v>0.1</v>
      </c>
      <c r="AJ3" s="22" t="n">
        <v>0</v>
      </c>
      <c r="AK3" s="13" t="s">
        <v>49</v>
      </c>
    </row>
    <row r="4" customFormat="false" ht="15" hidden="false" customHeight="true" outlineLevel="0" collapsed="false">
      <c r="A4" s="20" t="n">
        <v>2026</v>
      </c>
      <c r="B4" s="39" t="n">
        <v>4263</v>
      </c>
      <c r="C4" s="39" t="n">
        <v>2617</v>
      </c>
      <c r="D4" s="82" t="n">
        <v>0.258677298311445</v>
      </c>
      <c r="E4" s="82" t="n">
        <v>0.316604127579737</v>
      </c>
      <c r="F4" s="82" t="n">
        <v>0.185037523452158</v>
      </c>
      <c r="G4" s="82" t="n">
        <v>0.23968105065666</v>
      </c>
      <c r="H4" s="39" t="n">
        <v>130.8</v>
      </c>
      <c r="I4" s="39" t="n">
        <v>964</v>
      </c>
      <c r="J4" s="39" t="n">
        <v>543</v>
      </c>
      <c r="K4" s="39" t="n">
        <v>532</v>
      </c>
      <c r="L4" s="39" t="n">
        <v>2224</v>
      </c>
      <c r="M4" s="39" t="n">
        <v>548.593188387583</v>
      </c>
      <c r="N4" s="39" t="n">
        <v>86.169913283901</v>
      </c>
      <c r="O4" s="39" t="n">
        <v>476.23677265301</v>
      </c>
      <c r="P4" s="39" t="n">
        <v>1506.00012567551</v>
      </c>
      <c r="Q4" s="39" t="n">
        <v>548.593188387583</v>
      </c>
      <c r="R4" s="39" t="n">
        <v>334.812869171798</v>
      </c>
      <c r="S4" s="39" t="n">
        <v>296.661304511751</v>
      </c>
      <c r="T4" s="39" t="n">
        <v>1436.60374513007</v>
      </c>
      <c r="U4" s="39" t="n">
        <v>548.593188387583</v>
      </c>
      <c r="V4" s="39" t="n">
        <v>412.431569687068</v>
      </c>
      <c r="W4" s="39" t="n">
        <v>289.0967701395</v>
      </c>
      <c r="X4" s="39" t="n">
        <v>1366.87847178585</v>
      </c>
      <c r="Z4" s="13" t="n">
        <v>2027</v>
      </c>
      <c r="AA4" s="13" t="s">
        <v>614</v>
      </c>
      <c r="AB4" s="13" t="s">
        <v>615</v>
      </c>
      <c r="AC4" s="13" t="s">
        <v>616</v>
      </c>
      <c r="AD4" s="13" t="s">
        <v>617</v>
      </c>
      <c r="AE4" s="22" t="n">
        <v>0.05</v>
      </c>
      <c r="AF4" s="13" t="s">
        <v>618</v>
      </c>
      <c r="AG4" s="13" t="s">
        <v>344</v>
      </c>
      <c r="AH4" s="13" t="s">
        <v>619</v>
      </c>
      <c r="AI4" s="22" t="n">
        <v>0.11</v>
      </c>
      <c r="AJ4" s="22" t="n">
        <v>0.01</v>
      </c>
      <c r="AK4" s="13" t="s">
        <v>620</v>
      </c>
    </row>
    <row r="5" customFormat="false" ht="15" hidden="false" customHeight="true" outlineLevel="0" collapsed="false">
      <c r="A5" s="20" t="n">
        <v>2027</v>
      </c>
      <c r="B5" s="39" t="n">
        <v>4263</v>
      </c>
      <c r="C5" s="39" t="n">
        <v>2662</v>
      </c>
      <c r="D5" s="82" t="n">
        <v>0.25140712945591</v>
      </c>
      <c r="E5" s="82" t="n">
        <v>0.317542213883677</v>
      </c>
      <c r="F5" s="82" t="n">
        <v>0.184568480300188</v>
      </c>
      <c r="G5" s="82" t="n">
        <v>0.246482176360225</v>
      </c>
      <c r="H5" s="39" t="n">
        <v>130.8</v>
      </c>
      <c r="I5" s="39" t="n">
        <v>964</v>
      </c>
      <c r="J5" s="39" t="n">
        <v>543</v>
      </c>
      <c r="K5" s="39" t="n">
        <v>532</v>
      </c>
      <c r="L5" s="39" t="n">
        <v>2224</v>
      </c>
      <c r="M5" s="39" t="n">
        <v>558.026391856227</v>
      </c>
      <c r="N5" s="39" t="n">
        <v>87.6516274978007</v>
      </c>
      <c r="O5" s="39" t="n">
        <v>484.425788613799</v>
      </c>
      <c r="P5" s="39" t="n">
        <v>1531.89619203217</v>
      </c>
      <c r="Q5" s="39" t="n">
        <v>558.026391856227</v>
      </c>
      <c r="R5" s="39" t="n">
        <v>340.570064094508</v>
      </c>
      <c r="S5" s="39" t="n">
        <v>301.762473293955</v>
      </c>
      <c r="T5" s="39" t="n">
        <v>1461.30652255875</v>
      </c>
      <c r="U5" s="39" t="n">
        <v>558.026391856227</v>
      </c>
      <c r="V5" s="39" t="n">
        <v>419.52343848184</v>
      </c>
      <c r="W5" s="39" t="n">
        <v>294.067864773156</v>
      </c>
      <c r="X5" s="39" t="n">
        <v>1390.38230488878</v>
      </c>
      <c r="Z5" s="13" t="n">
        <v>2028</v>
      </c>
      <c r="AA5" s="13" t="s">
        <v>621</v>
      </c>
      <c r="AC5" s="13" t="s">
        <v>622</v>
      </c>
      <c r="AE5" s="22" t="n">
        <v>0.1</v>
      </c>
      <c r="AF5" s="13" t="s">
        <v>623</v>
      </c>
      <c r="AI5" s="22" t="n">
        <v>0.12</v>
      </c>
      <c r="AJ5" s="22" t="n">
        <v>0.02</v>
      </c>
      <c r="AK5" s="13" t="s">
        <v>624</v>
      </c>
    </row>
    <row r="6" customFormat="false" ht="15" hidden="false" customHeight="true" outlineLevel="0" collapsed="false">
      <c r="A6" s="20" t="n">
        <v>2028</v>
      </c>
      <c r="B6" s="39" t="n">
        <v>4263</v>
      </c>
      <c r="C6" s="39" t="n">
        <v>2678</v>
      </c>
      <c r="D6" s="82" t="n">
        <v>0.250586579070859</v>
      </c>
      <c r="E6" s="82" t="n">
        <v>0.3176912247771</v>
      </c>
      <c r="F6" s="82" t="n">
        <v>0.184655091506335</v>
      </c>
      <c r="G6" s="82" t="n">
        <v>0.247067104645706</v>
      </c>
      <c r="H6" s="39" t="n">
        <v>130.8</v>
      </c>
      <c r="I6" s="39" t="n">
        <v>964</v>
      </c>
      <c r="J6" s="39" t="n">
        <v>543</v>
      </c>
      <c r="K6" s="39" t="n">
        <v>532</v>
      </c>
      <c r="L6" s="39" t="n">
        <v>2224</v>
      </c>
      <c r="M6" s="39" t="n">
        <v>561.380419756189</v>
      </c>
      <c r="N6" s="39" t="n">
        <v>88.1784592182984</v>
      </c>
      <c r="O6" s="39" t="n">
        <v>487.337438733191</v>
      </c>
      <c r="P6" s="39" t="n">
        <v>1541.10368229232</v>
      </c>
      <c r="Q6" s="39" t="n">
        <v>561.380419756189</v>
      </c>
      <c r="R6" s="39" t="n">
        <v>342.617066733694</v>
      </c>
      <c r="S6" s="39" t="n">
        <v>303.576222194294</v>
      </c>
      <c r="T6" s="39" t="n">
        <v>1470.08973231117</v>
      </c>
      <c r="U6" s="39" t="n">
        <v>561.380419756189</v>
      </c>
      <c r="V6" s="39" t="n">
        <v>422.044991831092</v>
      </c>
      <c r="W6" s="39" t="n">
        <v>295.835365087345</v>
      </c>
      <c r="X6" s="39" t="n">
        <v>1398.73922332537</v>
      </c>
      <c r="Z6" s="13" t="n">
        <v>2029</v>
      </c>
      <c r="AC6" s="13" t="s">
        <v>625</v>
      </c>
      <c r="AE6" s="22" t="n">
        <v>0.15</v>
      </c>
      <c r="AF6" s="13" t="s">
        <v>626</v>
      </c>
      <c r="AI6" s="22" t="n">
        <v>0.13</v>
      </c>
      <c r="AJ6" s="22" t="n">
        <v>0.03</v>
      </c>
    </row>
    <row r="7" customFormat="false" ht="15" hidden="false" customHeight="true" outlineLevel="0" collapsed="false">
      <c r="A7" s="20" t="n">
        <v>2029</v>
      </c>
      <c r="B7" s="39" t="n">
        <v>4263</v>
      </c>
      <c r="C7" s="39" t="n">
        <v>2700</v>
      </c>
      <c r="D7" s="82" t="n">
        <v>0.247947454844007</v>
      </c>
      <c r="E7" s="82" t="n">
        <v>0.31597466572836</v>
      </c>
      <c r="F7" s="82" t="n">
        <v>0.183438892798499</v>
      </c>
      <c r="G7" s="82" t="n">
        <v>0.252638986629134</v>
      </c>
      <c r="H7" s="39" t="n">
        <v>130.8</v>
      </c>
      <c r="I7" s="39" t="n">
        <v>964</v>
      </c>
      <c r="J7" s="39" t="n">
        <v>543</v>
      </c>
      <c r="K7" s="39" t="n">
        <v>532</v>
      </c>
      <c r="L7" s="39" t="n">
        <v>2224</v>
      </c>
      <c r="M7" s="39" t="n">
        <v>487.590059517595</v>
      </c>
      <c r="N7" s="39" t="n">
        <v>203.691135010964</v>
      </c>
      <c r="O7" s="39" t="n">
        <v>478.004594340608</v>
      </c>
      <c r="P7" s="39" t="n">
        <v>1530.71421113083</v>
      </c>
      <c r="Q7" s="39" t="n">
        <v>487.590059517595</v>
      </c>
      <c r="R7" s="39" t="n">
        <v>454.886707737287</v>
      </c>
      <c r="S7" s="39" t="n">
        <v>285.449514461731</v>
      </c>
      <c r="T7" s="39" t="n">
        <v>1472.21468100658</v>
      </c>
      <c r="U7" s="39" t="n">
        <v>487.590059517595</v>
      </c>
      <c r="V7" s="39" t="n">
        <v>755.983084473217</v>
      </c>
      <c r="W7" s="39" t="n">
        <v>255.283491698862</v>
      </c>
      <c r="X7" s="39" t="n">
        <v>1201.14336431033</v>
      </c>
      <c r="Z7" s="13" t="n">
        <v>2030</v>
      </c>
      <c r="AE7" s="22" t="n">
        <v>0.2</v>
      </c>
      <c r="AI7" s="22" t="n">
        <v>0.14</v>
      </c>
      <c r="AJ7" s="22" t="n">
        <v>0.04</v>
      </c>
    </row>
    <row r="8" customFormat="false" ht="15" hidden="false" customHeight="true" outlineLevel="0" collapsed="false">
      <c r="A8" s="20" t="n">
        <v>2030</v>
      </c>
      <c r="B8" s="39" t="n">
        <v>4263</v>
      </c>
      <c r="C8" s="39" t="n">
        <v>2749</v>
      </c>
      <c r="D8" s="82" t="n">
        <v>0.247536367902393</v>
      </c>
      <c r="E8" s="82" t="n">
        <v>0.311356170811825</v>
      </c>
      <c r="F8" s="82" t="n">
        <v>0.183716564992961</v>
      </c>
      <c r="G8" s="82" t="n">
        <v>0.25739089629282</v>
      </c>
      <c r="H8" s="39" t="n">
        <v>130.8</v>
      </c>
      <c r="I8" s="39" t="n">
        <v>964</v>
      </c>
      <c r="J8" s="39" t="n">
        <v>543</v>
      </c>
      <c r="K8" s="39" t="n">
        <v>532</v>
      </c>
      <c r="L8" s="39" t="n">
        <v>2224</v>
      </c>
      <c r="M8" s="39" t="n">
        <v>496.438916153284</v>
      </c>
      <c r="N8" s="39" t="n">
        <v>207.387751905607</v>
      </c>
      <c r="O8" s="39" t="n">
        <v>486.679492534197</v>
      </c>
      <c r="P8" s="39" t="n">
        <v>1558.49383940691</v>
      </c>
      <c r="Q8" s="39" t="n">
        <v>496.438916153284</v>
      </c>
      <c r="R8" s="39" t="n">
        <v>463.142059099927</v>
      </c>
      <c r="S8" s="39" t="n">
        <v>290.629894539</v>
      </c>
      <c r="T8" s="39" t="n">
        <v>1498.93265114337</v>
      </c>
      <c r="U8" s="39" t="n">
        <v>496.438916153284</v>
      </c>
      <c r="V8" s="39" t="n">
        <v>769.702777487731</v>
      </c>
      <c r="W8" s="39" t="n">
        <v>259.916414325989</v>
      </c>
      <c r="X8" s="39" t="n">
        <v>1222.941892033</v>
      </c>
      <c r="Z8" s="13" t="n">
        <v>2031</v>
      </c>
      <c r="AE8" s="22" t="n">
        <v>0.25</v>
      </c>
      <c r="AI8" s="22" t="n">
        <v>0.15</v>
      </c>
      <c r="AJ8" s="22" t="n">
        <v>0.05</v>
      </c>
    </row>
    <row r="9" customFormat="false" ht="15" hidden="false" customHeight="true" outlineLevel="0" collapsed="false">
      <c r="A9" s="20" t="n">
        <v>2031</v>
      </c>
      <c r="B9" s="39" t="n">
        <v>2168</v>
      </c>
      <c r="C9" s="39" t="n">
        <v>2532</v>
      </c>
      <c r="D9" s="82" t="n">
        <v>0.231088560885609</v>
      </c>
      <c r="E9" s="82" t="n">
        <v>0.303966789667897</v>
      </c>
      <c r="F9" s="82" t="n">
        <v>0.190036900369004</v>
      </c>
      <c r="G9" s="82" t="n">
        <v>0.274907749077491</v>
      </c>
      <c r="H9" s="39" t="n">
        <v>130.8</v>
      </c>
      <c r="I9" s="39" t="n">
        <v>490</v>
      </c>
      <c r="J9" s="39" t="n">
        <v>276</v>
      </c>
      <c r="K9" s="39" t="n">
        <v>271</v>
      </c>
      <c r="L9" s="39" t="n">
        <v>1131</v>
      </c>
      <c r="M9" s="39" t="n">
        <v>457.251122480944</v>
      </c>
      <c r="N9" s="39" t="n">
        <v>191.017019943615</v>
      </c>
      <c r="O9" s="39" t="n">
        <v>448.262086248303</v>
      </c>
      <c r="P9" s="39" t="n">
        <v>1435.46977132714</v>
      </c>
      <c r="Q9" s="39" t="n">
        <v>457.251122480944</v>
      </c>
      <c r="R9" s="39" t="n">
        <v>426.582645922523</v>
      </c>
      <c r="S9" s="39" t="n">
        <v>267.688211339668</v>
      </c>
      <c r="T9" s="39" t="n">
        <v>1380.61021196617</v>
      </c>
      <c r="U9" s="39" t="n">
        <v>457.251122480944</v>
      </c>
      <c r="V9" s="39" t="n">
        <v>708.944136994884</v>
      </c>
      <c r="W9" s="39" t="n">
        <v>239.39918554871</v>
      </c>
      <c r="X9" s="39" t="n">
        <v>1126.40555497546</v>
      </c>
      <c r="Z9" s="13" t="n">
        <v>2032</v>
      </c>
      <c r="AE9" s="22" t="n">
        <v>0.3</v>
      </c>
      <c r="AI9" s="22" t="n">
        <v>0.16</v>
      </c>
      <c r="AJ9" s="22" t="n">
        <v>0.06</v>
      </c>
    </row>
    <row r="10" customFormat="false" ht="15" hidden="false" customHeight="true" outlineLevel="0" collapsed="false">
      <c r="A10" s="20" t="n">
        <v>2032</v>
      </c>
      <c r="B10" s="39" t="n">
        <v>2168</v>
      </c>
      <c r="C10" s="39" t="n">
        <v>2541</v>
      </c>
      <c r="D10" s="82" t="n">
        <v>0.222324723247233</v>
      </c>
      <c r="E10" s="82" t="n">
        <v>0.297970479704797</v>
      </c>
      <c r="F10" s="82" t="n">
        <v>0.193265682656827</v>
      </c>
      <c r="G10" s="82" t="n">
        <v>0.286439114391144</v>
      </c>
      <c r="H10" s="39" t="n">
        <v>130.8</v>
      </c>
      <c r="I10" s="39" t="n">
        <v>490</v>
      </c>
      <c r="J10" s="39" t="n">
        <v>276</v>
      </c>
      <c r="K10" s="39" t="n">
        <v>271</v>
      </c>
      <c r="L10" s="39" t="n">
        <v>1131</v>
      </c>
      <c r="M10" s="39" t="n">
        <v>458.876422679336</v>
      </c>
      <c r="N10" s="39" t="n">
        <v>191.695990393652</v>
      </c>
      <c r="O10" s="39" t="n">
        <v>449.855434896105</v>
      </c>
      <c r="P10" s="39" t="n">
        <v>1440.57215203091</v>
      </c>
      <c r="Q10" s="39" t="n">
        <v>458.876422679336</v>
      </c>
      <c r="R10" s="39" t="n">
        <v>428.098934948314</v>
      </c>
      <c r="S10" s="39" t="n">
        <v>268.639709721207</v>
      </c>
      <c r="T10" s="39" t="n">
        <v>1385.51759423619</v>
      </c>
      <c r="U10" s="39" t="n">
        <v>458.876422679336</v>
      </c>
      <c r="V10" s="39" t="n">
        <v>711.464080609794</v>
      </c>
      <c r="W10" s="39" t="n">
        <v>240.25013052104</v>
      </c>
      <c r="X10" s="39" t="n">
        <v>1130.40936618983</v>
      </c>
      <c r="Z10" s="13" t="n">
        <v>2033</v>
      </c>
      <c r="AE10" s="22" t="n">
        <v>0.35</v>
      </c>
      <c r="AI10" s="22" t="n">
        <v>0.17</v>
      </c>
      <c r="AJ10" s="22" t="n">
        <v>0.07</v>
      </c>
    </row>
    <row r="11" customFormat="false" ht="15" hidden="false" customHeight="true" outlineLevel="0" collapsed="false">
      <c r="A11" s="20" t="n">
        <v>2033</v>
      </c>
      <c r="B11" s="39" t="n">
        <v>2168</v>
      </c>
      <c r="C11" s="39" t="n">
        <v>2530</v>
      </c>
      <c r="D11" s="82" t="n">
        <v>0.220581449007845</v>
      </c>
      <c r="E11" s="82" t="n">
        <v>0.299030918320258</v>
      </c>
      <c r="F11" s="82" t="n">
        <v>0.193354868481772</v>
      </c>
      <c r="G11" s="82" t="n">
        <v>0.287032764190125</v>
      </c>
      <c r="H11" s="39" t="n">
        <v>130.8</v>
      </c>
      <c r="I11" s="39" t="n">
        <v>490</v>
      </c>
      <c r="J11" s="39" t="n">
        <v>276</v>
      </c>
      <c r="K11" s="39" t="n">
        <v>271</v>
      </c>
      <c r="L11" s="39" t="n">
        <v>1131</v>
      </c>
      <c r="M11" s="39" t="n">
        <v>456.889944659079</v>
      </c>
      <c r="N11" s="39" t="n">
        <v>190.866137621385</v>
      </c>
      <c r="O11" s="39" t="n">
        <v>447.908008771014</v>
      </c>
      <c r="P11" s="39" t="n">
        <v>1434.33590894852</v>
      </c>
      <c r="Q11" s="39" t="n">
        <v>456.889944659079</v>
      </c>
      <c r="R11" s="39" t="n">
        <v>426.24569280568</v>
      </c>
      <c r="S11" s="39" t="n">
        <v>267.476767254882</v>
      </c>
      <c r="T11" s="39" t="n">
        <v>1379.51968257283</v>
      </c>
      <c r="U11" s="39" t="n">
        <v>456.889944659079</v>
      </c>
      <c r="V11" s="39" t="n">
        <v>708.384149524904</v>
      </c>
      <c r="W11" s="39" t="n">
        <v>239.210086665971</v>
      </c>
      <c r="X11" s="39" t="n">
        <v>1125.51581915005</v>
      </c>
      <c r="Z11" s="13" t="n">
        <v>2034</v>
      </c>
      <c r="AE11" s="22" t="n">
        <v>0.4</v>
      </c>
      <c r="AI11" s="22" t="n">
        <v>0.18</v>
      </c>
      <c r="AJ11" s="22" t="n">
        <v>0.08</v>
      </c>
    </row>
    <row r="12" customFormat="false" ht="15" hidden="false" customHeight="true" outlineLevel="0" collapsed="false">
      <c r="A12" s="20" t="n">
        <v>2034</v>
      </c>
      <c r="B12" s="39" t="n">
        <v>2168</v>
      </c>
      <c r="C12" s="39" t="n">
        <v>2518</v>
      </c>
      <c r="D12" s="82" t="n">
        <v>0.218634686346864</v>
      </c>
      <c r="E12" s="82" t="n">
        <v>0.299815498154982</v>
      </c>
      <c r="F12" s="82" t="n">
        <v>0.193265682656827</v>
      </c>
      <c r="G12" s="82" t="n">
        <v>0.288284132841328</v>
      </c>
      <c r="H12" s="39" t="n">
        <v>130.8</v>
      </c>
      <c r="I12" s="39" t="n">
        <v>490</v>
      </c>
      <c r="J12" s="39" t="n">
        <v>276</v>
      </c>
      <c r="K12" s="39" t="n">
        <v>271</v>
      </c>
      <c r="L12" s="39" t="n">
        <v>1131</v>
      </c>
      <c r="M12" s="39" t="n">
        <v>454.72287772789</v>
      </c>
      <c r="N12" s="39" t="n">
        <v>189.960843688003</v>
      </c>
      <c r="O12" s="39" t="n">
        <v>445.783543907278</v>
      </c>
      <c r="P12" s="39" t="n">
        <v>1427.53273467683</v>
      </c>
      <c r="Q12" s="39" t="n">
        <v>454.72287772789</v>
      </c>
      <c r="R12" s="39" t="n">
        <v>424.223974104626</v>
      </c>
      <c r="S12" s="39" t="n">
        <v>266.208102746163</v>
      </c>
      <c r="T12" s="39" t="n">
        <v>1372.9765062128</v>
      </c>
      <c r="U12" s="39" t="n">
        <v>454.72287772789</v>
      </c>
      <c r="V12" s="39" t="n">
        <v>705.024224705023</v>
      </c>
      <c r="W12" s="39" t="n">
        <v>238.075493369531</v>
      </c>
      <c r="X12" s="39" t="n">
        <v>1120.17740419756</v>
      </c>
      <c r="Z12" s="13" t="n">
        <v>2035</v>
      </c>
      <c r="AE12" s="22" t="n">
        <v>0.45</v>
      </c>
      <c r="AI12" s="22" t="n">
        <v>0.19</v>
      </c>
      <c r="AJ12" s="22" t="n">
        <v>0.09</v>
      </c>
    </row>
    <row r="13" customFormat="false" ht="15" hidden="false" customHeight="true" outlineLevel="0" collapsed="false">
      <c r="A13" s="20" t="n">
        <v>2035</v>
      </c>
      <c r="B13" s="39" t="n">
        <v>2095</v>
      </c>
      <c r="C13" s="39" t="n">
        <v>3584</v>
      </c>
      <c r="D13" s="82" t="n">
        <v>0.214319809069212</v>
      </c>
      <c r="E13" s="82" t="n">
        <v>0.295465393794749</v>
      </c>
      <c r="F13" s="82" t="n">
        <v>0.191885441527446</v>
      </c>
      <c r="G13" s="82" t="n">
        <v>0.298329355608592</v>
      </c>
      <c r="H13" s="39" t="n">
        <v>130.8</v>
      </c>
      <c r="I13" s="39" t="n">
        <v>474</v>
      </c>
      <c r="J13" s="39" t="n">
        <v>267</v>
      </c>
      <c r="K13" s="39" t="n">
        <v>262</v>
      </c>
      <c r="L13" s="39" t="n">
        <v>1093</v>
      </c>
      <c r="M13" s="39" t="n">
        <v>647.230656781873</v>
      </c>
      <c r="N13" s="39" t="n">
        <v>270.381121436776</v>
      </c>
      <c r="O13" s="39" t="n">
        <v>634.506839302496</v>
      </c>
      <c r="P13" s="39" t="n">
        <v>2031.88138247886</v>
      </c>
      <c r="Q13" s="39" t="n">
        <v>647.230656781873</v>
      </c>
      <c r="R13" s="39" t="n">
        <v>603.819985381644</v>
      </c>
      <c r="S13" s="39" t="n">
        <v>378.90779993735</v>
      </c>
      <c r="T13" s="39" t="n">
        <v>1954.22867286207</v>
      </c>
      <c r="U13" s="39" t="n">
        <v>647.230656781873</v>
      </c>
      <c r="V13" s="39" t="n">
        <v>1003.49754620445</v>
      </c>
      <c r="W13" s="39" t="n">
        <v>338.865197869897</v>
      </c>
      <c r="X13" s="39" t="n">
        <v>1594.40659914378</v>
      </c>
      <c r="Z13" s="13" t="n">
        <v>2036</v>
      </c>
      <c r="AE13" s="22" t="n">
        <v>0.5</v>
      </c>
      <c r="AI13" s="22" t="n">
        <v>0.2</v>
      </c>
      <c r="AJ13" s="22" t="n">
        <v>0.1</v>
      </c>
    </row>
    <row r="14" customFormat="false" ht="15" hidden="false" customHeight="true" outlineLevel="0" collapsed="false">
      <c r="A14" s="20" t="n">
        <v>2036</v>
      </c>
      <c r="B14" s="39" t="n">
        <v>1587</v>
      </c>
      <c r="C14" s="39" t="n">
        <v>2600</v>
      </c>
      <c r="D14" s="82" t="n">
        <v>0.241233128643122</v>
      </c>
      <c r="E14" s="82" t="n">
        <v>0.310277111062623</v>
      </c>
      <c r="F14" s="82" t="n">
        <v>0.186995417848571</v>
      </c>
      <c r="G14" s="82" t="n">
        <v>0.261494342445684</v>
      </c>
      <c r="H14" s="39" t="n">
        <v>0</v>
      </c>
      <c r="I14" s="39" t="n">
        <v>241</v>
      </c>
      <c r="J14" s="39" t="n">
        <v>159</v>
      </c>
      <c r="K14" s="39" t="n">
        <v>273</v>
      </c>
      <c r="L14" s="39" t="n">
        <v>914</v>
      </c>
      <c r="M14" s="39" t="n">
        <v>370.438328236493</v>
      </c>
      <c r="N14" s="39" t="n">
        <v>311.722731906218</v>
      </c>
      <c r="O14" s="39" t="n">
        <v>429.561671763507</v>
      </c>
      <c r="P14" s="39" t="n">
        <v>1488.48114169215</v>
      </c>
      <c r="Q14" s="39" t="n">
        <v>370.438328236493</v>
      </c>
      <c r="R14" s="39" t="n">
        <v>551.070336391437</v>
      </c>
      <c r="S14" s="39" t="n">
        <v>251.172273190622</v>
      </c>
      <c r="T14" s="39" t="n">
        <v>1427.52293577982</v>
      </c>
      <c r="U14" s="39" t="n">
        <v>370.438328236493</v>
      </c>
      <c r="V14" s="39" t="n">
        <v>1111.72273190622</v>
      </c>
      <c r="W14" s="39" t="n">
        <v>195.107033639144</v>
      </c>
      <c r="X14" s="39" t="n">
        <v>922.731906218145</v>
      </c>
      <c r="Z14" s="13" t="n">
        <v>2037</v>
      </c>
      <c r="AE14" s="22" t="n">
        <v>0.55</v>
      </c>
      <c r="AI14" s="22" t="n">
        <v>0.21</v>
      </c>
      <c r="AJ14" s="22" t="n">
        <v>0.11</v>
      </c>
    </row>
    <row r="15" customFormat="false" ht="15" hidden="false" customHeight="true" outlineLevel="0" collapsed="false">
      <c r="A15" s="20" t="n">
        <v>2037</v>
      </c>
      <c r="B15" s="39" t="n">
        <v>1574</v>
      </c>
      <c r="C15" s="39" t="n">
        <v>2580</v>
      </c>
      <c r="D15" s="82" t="n">
        <v>0.241233128643122</v>
      </c>
      <c r="E15" s="82" t="n">
        <v>0.310277111062623</v>
      </c>
      <c r="F15" s="82" t="n">
        <v>0.186995417848571</v>
      </c>
      <c r="G15" s="82" t="n">
        <v>0.261494342445685</v>
      </c>
      <c r="H15" s="39" t="n">
        <v>0</v>
      </c>
      <c r="I15" s="39" t="n">
        <v>227</v>
      </c>
      <c r="J15" s="39" t="n">
        <v>189</v>
      </c>
      <c r="K15" s="39" t="n">
        <v>252</v>
      </c>
      <c r="L15" s="39" t="n">
        <v>907</v>
      </c>
      <c r="M15" s="39" t="n">
        <v>367.588802634674</v>
      </c>
      <c r="N15" s="39" t="n">
        <v>309.324864737709</v>
      </c>
      <c r="O15" s="39" t="n">
        <v>426.25735121148</v>
      </c>
      <c r="P15" s="39" t="n">
        <v>1477.03128675606</v>
      </c>
      <c r="Q15" s="39" t="n">
        <v>367.588802634674</v>
      </c>
      <c r="R15" s="39" t="n">
        <v>546.831333803811</v>
      </c>
      <c r="S15" s="39" t="n">
        <v>249.240178781463</v>
      </c>
      <c r="T15" s="39" t="n">
        <v>1416.54199011997</v>
      </c>
      <c r="U15" s="39" t="n">
        <v>367.588802634674</v>
      </c>
      <c r="V15" s="39" t="n">
        <v>1103.17101858386</v>
      </c>
      <c r="W15" s="39" t="n">
        <v>193.606210303458</v>
      </c>
      <c r="X15" s="39" t="n">
        <v>915.633968478005</v>
      </c>
      <c r="Z15" s="13" t="n">
        <v>2038</v>
      </c>
      <c r="AE15" s="22" t="n">
        <v>0.6</v>
      </c>
      <c r="AI15" s="22" t="n">
        <v>0.22</v>
      </c>
      <c r="AJ15" s="22" t="n">
        <v>0.12</v>
      </c>
    </row>
    <row r="16" customFormat="false" ht="15" hidden="false" customHeight="true" outlineLevel="0" collapsed="false">
      <c r="A16" s="20" t="n">
        <v>2038</v>
      </c>
      <c r="B16" s="39" t="n">
        <v>1555</v>
      </c>
      <c r="C16" s="39" t="n">
        <v>2549</v>
      </c>
      <c r="D16" s="82" t="n">
        <v>0.241233128643123</v>
      </c>
      <c r="E16" s="82" t="n">
        <v>0.310277111062623</v>
      </c>
      <c r="F16" s="82" t="n">
        <v>0.186995417848571</v>
      </c>
      <c r="G16" s="82" t="n">
        <v>0.261494342445684</v>
      </c>
      <c r="H16" s="39" t="n">
        <v>0</v>
      </c>
      <c r="I16" s="39" t="n">
        <v>224</v>
      </c>
      <c r="J16" s="39" t="n">
        <v>187</v>
      </c>
      <c r="K16" s="39" t="n">
        <v>249</v>
      </c>
      <c r="L16" s="39" t="n">
        <v>896</v>
      </c>
      <c r="M16" s="39" t="n">
        <v>363.172037951855</v>
      </c>
      <c r="N16" s="39" t="n">
        <v>305.608170626519</v>
      </c>
      <c r="O16" s="39" t="n">
        <v>421.135654355838</v>
      </c>
      <c r="P16" s="39" t="n">
        <v>1459.28401160511</v>
      </c>
      <c r="Q16" s="39" t="n">
        <v>363.172037951855</v>
      </c>
      <c r="R16" s="39" t="n">
        <v>540.26087979299</v>
      </c>
      <c r="S16" s="39" t="n">
        <v>246.245432447267</v>
      </c>
      <c r="T16" s="39" t="n">
        <v>1399.52152434721</v>
      </c>
      <c r="U16" s="39" t="n">
        <v>363.172037951855</v>
      </c>
      <c r="V16" s="39" t="n">
        <v>1089.91586293421</v>
      </c>
      <c r="W16" s="39" t="n">
        <v>191.279934133145</v>
      </c>
      <c r="X16" s="39" t="n">
        <v>904.632164980789</v>
      </c>
      <c r="Z16" s="13" t="n">
        <v>2039</v>
      </c>
      <c r="AE16" s="22" t="n">
        <v>0.65</v>
      </c>
      <c r="AI16" s="22" t="n">
        <v>0.23</v>
      </c>
      <c r="AJ16" s="22" t="n">
        <v>0.13</v>
      </c>
    </row>
    <row r="17" customFormat="false" ht="15" hidden="false" customHeight="true" outlineLevel="0" collapsed="false">
      <c r="A17" s="20" t="n">
        <v>2039</v>
      </c>
      <c r="B17" s="39" t="n">
        <v>1541</v>
      </c>
      <c r="C17" s="39" t="n">
        <v>2525</v>
      </c>
      <c r="D17" s="82" t="n">
        <v>0.241233128643122</v>
      </c>
      <c r="E17" s="82" t="n">
        <v>0.310277111062622</v>
      </c>
      <c r="F17" s="82" t="n">
        <v>0.186995417848571</v>
      </c>
      <c r="G17" s="82" t="n">
        <v>0.261494342445685</v>
      </c>
      <c r="H17" s="39" t="n">
        <v>0</v>
      </c>
      <c r="I17" s="39" t="n">
        <v>210</v>
      </c>
      <c r="J17" s="39" t="n">
        <v>200</v>
      </c>
      <c r="K17" s="39" t="n">
        <v>257</v>
      </c>
      <c r="L17" s="39" t="n">
        <v>874</v>
      </c>
      <c r="M17" s="39" t="n">
        <v>359.752607229671</v>
      </c>
      <c r="N17" s="39" t="n">
        <v>302.730730024308</v>
      </c>
      <c r="O17" s="39" t="n">
        <v>417.170469693406</v>
      </c>
      <c r="P17" s="39" t="n">
        <v>1445.5441856818</v>
      </c>
      <c r="Q17" s="39" t="n">
        <v>359.752607229671</v>
      </c>
      <c r="R17" s="39" t="n">
        <v>535.174076687838</v>
      </c>
      <c r="S17" s="39" t="n">
        <v>243.926919156277</v>
      </c>
      <c r="T17" s="39" t="n">
        <v>1386.3443895554</v>
      </c>
      <c r="U17" s="39" t="n">
        <v>359.752607229671</v>
      </c>
      <c r="V17" s="39" t="n">
        <v>1079.65380694739</v>
      </c>
      <c r="W17" s="39" t="n">
        <v>189.478946130322</v>
      </c>
      <c r="X17" s="39" t="n">
        <v>896.114639692622</v>
      </c>
      <c r="Z17" s="13" t="n">
        <v>2040</v>
      </c>
      <c r="AE17" s="22" t="n">
        <v>0.7</v>
      </c>
      <c r="AI17" s="22" t="n">
        <v>0.24</v>
      </c>
      <c r="AJ17" s="22" t="n">
        <v>0.14</v>
      </c>
    </row>
    <row r="18" customFormat="false" ht="15" hidden="false" customHeight="true" outlineLevel="0" collapsed="false">
      <c r="A18" s="20" t="n">
        <v>2040</v>
      </c>
      <c r="B18" s="39" t="n">
        <v>1525</v>
      </c>
      <c r="C18" s="39" t="n">
        <v>2499</v>
      </c>
      <c r="D18" s="82" t="n">
        <v>0.241233128643122</v>
      </c>
      <c r="E18" s="82" t="n">
        <v>0.310277111062623</v>
      </c>
      <c r="F18" s="82" t="n">
        <v>0.186995417848571</v>
      </c>
      <c r="G18" s="82" t="n">
        <v>0.261494342445684</v>
      </c>
      <c r="H18" s="39" t="n">
        <v>0</v>
      </c>
      <c r="I18" s="39" t="n">
        <v>207</v>
      </c>
      <c r="J18" s="39" t="n">
        <v>198</v>
      </c>
      <c r="K18" s="39" t="n">
        <v>255</v>
      </c>
      <c r="L18" s="39" t="n">
        <v>865</v>
      </c>
      <c r="M18" s="39" t="n">
        <v>356.048223947307</v>
      </c>
      <c r="N18" s="39" t="n">
        <v>299.613502705246</v>
      </c>
      <c r="O18" s="39" t="n">
        <v>412.87485297577</v>
      </c>
      <c r="P18" s="39" t="n">
        <v>1430.65937426488</v>
      </c>
      <c r="Q18" s="39" t="n">
        <v>356.048223947307</v>
      </c>
      <c r="R18" s="39" t="n">
        <v>529.663373323924</v>
      </c>
      <c r="S18" s="39" t="n">
        <v>241.415196424371</v>
      </c>
      <c r="T18" s="39" t="n">
        <v>1372.0691601976</v>
      </c>
      <c r="U18" s="39" t="n">
        <v>356.048223947307</v>
      </c>
      <c r="V18" s="39" t="n">
        <v>1068.53657962832</v>
      </c>
      <c r="W18" s="39" t="n">
        <v>187.527875793931</v>
      </c>
      <c r="X18" s="39" t="n">
        <v>886.88732063044</v>
      </c>
      <c r="AE18" s="22" t="n">
        <v>0.75</v>
      </c>
      <c r="AI18" s="22" t="n">
        <v>0.25</v>
      </c>
      <c r="AJ18" s="22" t="n">
        <v>0.15</v>
      </c>
    </row>
    <row r="19" customFormat="false" ht="15" hidden="false" customHeight="true" outlineLevel="0" collapsed="false">
      <c r="A19" s="3" t="s">
        <v>627</v>
      </c>
      <c r="AE19" s="22" t="n">
        <v>0.8</v>
      </c>
      <c r="AI19" s="22" t="n">
        <v>0.26</v>
      </c>
      <c r="AJ19" s="22" t="n">
        <v>0.16</v>
      </c>
    </row>
    <row r="20" customFormat="false" ht="15" hidden="false" customHeight="true" outlineLevel="0" collapsed="false">
      <c r="AE20" s="22" t="n">
        <v>0.85</v>
      </c>
      <c r="AI20" s="22" t="n">
        <v>0.27</v>
      </c>
      <c r="AJ20" s="22" t="n">
        <v>0.17</v>
      </c>
    </row>
    <row r="21" customFormat="false" ht="15" hidden="false" customHeight="true" outlineLevel="0" collapsed="false">
      <c r="A21" s="12" t="s">
        <v>628</v>
      </c>
      <c r="AE21" s="22" t="n">
        <v>0.9</v>
      </c>
      <c r="AI21" s="22" t="n">
        <v>0.28</v>
      </c>
      <c r="AJ21" s="22" t="n">
        <v>0.18</v>
      </c>
    </row>
    <row r="22" customFormat="false" ht="34.5" hidden="false" customHeight="true" outlineLevel="0" collapsed="false">
      <c r="A22" s="4" t="s">
        <v>136</v>
      </c>
      <c r="B22" s="5" t="s">
        <v>137</v>
      </c>
      <c r="C22" s="5" t="s">
        <v>629</v>
      </c>
      <c r="D22" s="5" t="s">
        <v>630</v>
      </c>
      <c r="E22" s="5" t="s">
        <v>631</v>
      </c>
      <c r="F22" s="5" t="s">
        <v>632</v>
      </c>
      <c r="G22" s="5" t="s">
        <v>633</v>
      </c>
      <c r="H22" s="5" t="s">
        <v>634</v>
      </c>
      <c r="I22" s="5" t="s">
        <v>635</v>
      </c>
      <c r="J22" s="5" t="s">
        <v>636</v>
      </c>
      <c r="K22" s="5" t="s">
        <v>637</v>
      </c>
      <c r="L22" s="5" t="s">
        <v>638</v>
      </c>
      <c r="M22" s="5" t="s">
        <v>639</v>
      </c>
      <c r="N22" s="5" t="s">
        <v>640</v>
      </c>
      <c r="O22" s="5" t="s">
        <v>641</v>
      </c>
      <c r="AE22" s="22" t="n">
        <v>0.95</v>
      </c>
      <c r="AI22" s="22" t="n">
        <v>0.29</v>
      </c>
      <c r="AJ22" s="22" t="n">
        <v>0.19</v>
      </c>
    </row>
    <row r="23" customFormat="false" ht="15" hidden="false" customHeight="true" outlineLevel="0" collapsed="false">
      <c r="A23" s="21" t="s">
        <v>157</v>
      </c>
      <c r="B23" s="21" t="s">
        <v>158</v>
      </c>
      <c r="C23" s="21" t="n">
        <v>4366</v>
      </c>
      <c r="D23" s="21" t="n">
        <v>1761</v>
      </c>
      <c r="E23" s="21" t="n">
        <v>1760</v>
      </c>
      <c r="F23" s="22" t="n">
        <v>0.0841</v>
      </c>
      <c r="G23" s="39" t="n">
        <v>649.932768815933</v>
      </c>
      <c r="H23" s="21" t="n">
        <v>33</v>
      </c>
      <c r="I23" s="21" t="n">
        <v>273</v>
      </c>
      <c r="J23" s="21" t="n">
        <v>763</v>
      </c>
      <c r="K23" s="21" t="n">
        <v>448</v>
      </c>
      <c r="L23" s="21" t="n">
        <v>243</v>
      </c>
      <c r="M23" s="21" t="n">
        <v>1760</v>
      </c>
      <c r="N23" s="38" t="n">
        <v>8.962</v>
      </c>
      <c r="O23" s="38" t="n">
        <v>11.357</v>
      </c>
      <c r="AE23" s="22" t="n">
        <v>1</v>
      </c>
      <c r="AI23" s="22" t="n">
        <v>0.3</v>
      </c>
      <c r="AJ23" s="22" t="n">
        <v>0.2</v>
      </c>
    </row>
    <row r="24" customFormat="false" ht="15" hidden="false" customHeight="true" outlineLevel="0" collapsed="false">
      <c r="A24" s="21" t="s">
        <v>160</v>
      </c>
      <c r="B24" s="21" t="s">
        <v>158</v>
      </c>
      <c r="C24" s="21" t="n">
        <v>17745</v>
      </c>
      <c r="D24" s="21" t="n">
        <v>6809</v>
      </c>
      <c r="E24" s="21" t="n">
        <v>6799</v>
      </c>
      <c r="F24" s="22" t="n">
        <v>0.17369</v>
      </c>
      <c r="G24" s="39" t="n">
        <v>2641.56137944084</v>
      </c>
      <c r="H24" s="21" t="n">
        <v>184</v>
      </c>
      <c r="I24" s="21" t="n">
        <v>804</v>
      </c>
      <c r="J24" s="21" t="n">
        <v>3467</v>
      </c>
      <c r="K24" s="21" t="n">
        <v>1598</v>
      </c>
      <c r="L24" s="21" t="n">
        <v>746</v>
      </c>
      <c r="M24" s="21" t="n">
        <v>6799</v>
      </c>
      <c r="N24" s="38" t="n">
        <v>3.847</v>
      </c>
      <c r="O24" s="38" t="n">
        <v>7.079</v>
      </c>
      <c r="AI24" s="22" t="n">
        <v>0.31</v>
      </c>
    </row>
    <row r="25" customFormat="false" ht="15" hidden="false" customHeight="true" outlineLevel="0" collapsed="false">
      <c r="A25" s="21" t="s">
        <v>162</v>
      </c>
      <c r="B25" s="21" t="s">
        <v>158</v>
      </c>
      <c r="C25" s="21" t="n">
        <v>21053</v>
      </c>
      <c r="D25" s="21" t="n">
        <v>7039</v>
      </c>
      <c r="E25" s="21" t="n">
        <v>7036</v>
      </c>
      <c r="F25" s="22" t="n">
        <v>0.03637</v>
      </c>
      <c r="G25" s="39" t="n">
        <v>3133.99784284971</v>
      </c>
      <c r="H25" s="21" t="n">
        <v>113</v>
      </c>
      <c r="I25" s="21" t="n">
        <v>608</v>
      </c>
      <c r="J25" s="21" t="n">
        <v>1635</v>
      </c>
      <c r="K25" s="21" t="n">
        <v>3612</v>
      </c>
      <c r="L25" s="21" t="n">
        <v>1068</v>
      </c>
      <c r="M25" s="21" t="n">
        <v>7036</v>
      </c>
      <c r="N25" s="38" t="n">
        <v>15.383</v>
      </c>
      <c r="O25" s="38" t="n">
        <v>21.281</v>
      </c>
      <c r="AI25" s="22" t="n">
        <v>0.32</v>
      </c>
    </row>
    <row r="26" customFormat="false" ht="15" hidden="false" customHeight="true" outlineLevel="0" collapsed="false">
      <c r="A26" s="21" t="s">
        <v>164</v>
      </c>
      <c r="B26" s="21" t="s">
        <v>158</v>
      </c>
      <c r="C26" s="21" t="n">
        <v>18288</v>
      </c>
      <c r="D26" s="21" t="n">
        <v>7649</v>
      </c>
      <c r="E26" s="21" t="n">
        <v>7647</v>
      </c>
      <c r="F26" s="22" t="n">
        <v>0.17116</v>
      </c>
      <c r="G26" s="39" t="n">
        <v>2722.39360423861</v>
      </c>
      <c r="H26" s="21" t="n">
        <v>1076</v>
      </c>
      <c r="I26" s="21" t="n">
        <v>2760</v>
      </c>
      <c r="J26" s="21" t="n">
        <v>1469</v>
      </c>
      <c r="K26" s="21" t="n">
        <v>670</v>
      </c>
      <c r="L26" s="21" t="n">
        <v>1672</v>
      </c>
      <c r="M26" s="21" t="n">
        <v>7647</v>
      </c>
      <c r="N26" s="38" t="n">
        <v>10.624796615685</v>
      </c>
      <c r="O26" s="38" t="n">
        <v>20.081</v>
      </c>
      <c r="AI26" s="22" t="n">
        <v>0.33</v>
      </c>
    </row>
    <row r="27" customFormat="false" ht="15" hidden="false" customHeight="true" outlineLevel="0" collapsed="false">
      <c r="A27" s="21" t="s">
        <v>166</v>
      </c>
      <c r="B27" s="21" t="s">
        <v>158</v>
      </c>
      <c r="C27" s="21" t="n">
        <v>4626</v>
      </c>
      <c r="D27" s="21" t="n">
        <v>1727</v>
      </c>
      <c r="E27" s="21" t="n">
        <v>1727</v>
      </c>
      <c r="F27" s="22" t="n">
        <v>0.03802</v>
      </c>
      <c r="G27" s="39" t="n">
        <v>688.636964851696</v>
      </c>
      <c r="H27" s="21" t="n">
        <v>16</v>
      </c>
      <c r="I27" s="21" t="n">
        <v>169</v>
      </c>
      <c r="J27" s="21" t="n">
        <v>723</v>
      </c>
      <c r="K27" s="21" t="n">
        <v>594</v>
      </c>
      <c r="L27" s="21" t="n">
        <v>225</v>
      </c>
      <c r="M27" s="21" t="n">
        <v>1727</v>
      </c>
      <c r="N27" s="38" t="n">
        <v>4.27</v>
      </c>
      <c r="O27" s="38" t="n">
        <v>8.454</v>
      </c>
      <c r="AI27" s="22" t="n">
        <v>0.34</v>
      </c>
    </row>
    <row r="28" customFormat="false" ht="15" hidden="false" customHeight="true" outlineLevel="0" collapsed="false">
      <c r="A28" s="21" t="s">
        <v>168</v>
      </c>
      <c r="B28" s="21" t="s">
        <v>158</v>
      </c>
      <c r="C28" s="21" t="n">
        <v>19725</v>
      </c>
      <c r="D28" s="21" t="n">
        <v>6830</v>
      </c>
      <c r="E28" s="21" t="n">
        <v>6830</v>
      </c>
      <c r="F28" s="22" t="n">
        <v>0.04887</v>
      </c>
      <c r="G28" s="39" t="n">
        <v>2936.30871848243</v>
      </c>
      <c r="H28" s="21" t="n">
        <v>108</v>
      </c>
      <c r="I28" s="21" t="n">
        <v>797</v>
      </c>
      <c r="J28" s="21" t="n">
        <v>3045</v>
      </c>
      <c r="K28" s="21" t="n">
        <v>2350</v>
      </c>
      <c r="L28" s="21" t="n">
        <v>530</v>
      </c>
      <c r="M28" s="21" t="n">
        <v>6830</v>
      </c>
      <c r="N28" s="38" t="n">
        <v>7.15</v>
      </c>
      <c r="O28" s="38" t="n">
        <v>7.833</v>
      </c>
      <c r="AI28" s="22" t="n">
        <v>0.35</v>
      </c>
    </row>
    <row r="29" customFormat="false" ht="15" hidden="false" customHeight="true" outlineLevel="0" collapsed="false">
      <c r="A29" s="21" t="s">
        <v>170</v>
      </c>
      <c r="B29" s="21" t="s">
        <v>158</v>
      </c>
      <c r="C29" s="21" t="n">
        <v>2288</v>
      </c>
      <c r="D29" s="21" t="n">
        <v>976</v>
      </c>
      <c r="E29" s="21" t="n">
        <v>976</v>
      </c>
      <c r="F29" s="22" t="n">
        <v>0.35414</v>
      </c>
      <c r="G29" s="39" t="n">
        <v>340.596925114717</v>
      </c>
      <c r="H29" s="21" t="n">
        <v>54</v>
      </c>
      <c r="I29" s="21" t="n">
        <v>354</v>
      </c>
      <c r="J29" s="21" t="n">
        <v>233</v>
      </c>
      <c r="K29" s="21" t="n">
        <v>44</v>
      </c>
      <c r="L29" s="21" t="n">
        <v>291</v>
      </c>
      <c r="M29" s="21" t="n">
        <v>976</v>
      </c>
      <c r="N29" s="38" t="n">
        <v>3.677</v>
      </c>
      <c r="O29" s="38" t="n">
        <v>17.418</v>
      </c>
    </row>
    <row r="30" customFormat="false" ht="15" hidden="false" customHeight="true" outlineLevel="0" collapsed="false">
      <c r="A30" s="21" t="s">
        <v>172</v>
      </c>
      <c r="B30" s="21" t="s">
        <v>158</v>
      </c>
      <c r="C30" s="21" t="n">
        <v>11370</v>
      </c>
      <c r="D30" s="21" t="n">
        <v>4208</v>
      </c>
      <c r="E30" s="21" t="n">
        <v>4195</v>
      </c>
      <c r="F30" s="22" t="n">
        <v>0.13674</v>
      </c>
      <c r="G30" s="39" t="n">
        <v>1692.56426510242</v>
      </c>
      <c r="H30" s="21" t="n">
        <v>170</v>
      </c>
      <c r="I30" s="21" t="n">
        <v>658</v>
      </c>
      <c r="J30" s="21" t="n">
        <v>2127</v>
      </c>
      <c r="K30" s="21" t="n">
        <v>515</v>
      </c>
      <c r="L30" s="21" t="n">
        <v>725</v>
      </c>
      <c r="M30" s="21" t="n">
        <v>4195</v>
      </c>
      <c r="N30" s="38" t="n">
        <v>3.845</v>
      </c>
      <c r="O30" s="38" t="n">
        <v>9.054</v>
      </c>
    </row>
    <row r="31" customFormat="false" ht="15" hidden="false" customHeight="true" outlineLevel="0" collapsed="false">
      <c r="A31" s="21" t="s">
        <v>174</v>
      </c>
      <c r="B31" s="21" t="s">
        <v>158</v>
      </c>
      <c r="C31" s="21" t="n">
        <v>6234</v>
      </c>
      <c r="D31" s="21" t="n">
        <v>2211</v>
      </c>
      <c r="E31" s="21" t="n">
        <v>2185</v>
      </c>
      <c r="F31" s="22" t="n">
        <v>0.29598</v>
      </c>
      <c r="G31" s="39" t="n">
        <v>928.007531103647</v>
      </c>
      <c r="H31" s="21" t="n">
        <v>72</v>
      </c>
      <c r="I31" s="21" t="n">
        <v>446</v>
      </c>
      <c r="J31" s="21" t="n">
        <v>966</v>
      </c>
      <c r="K31" s="21" t="n">
        <v>290</v>
      </c>
      <c r="L31" s="21" t="n">
        <v>411</v>
      </c>
      <c r="M31" s="21" t="n">
        <v>2185</v>
      </c>
      <c r="N31" s="38" t="n">
        <v>1.482</v>
      </c>
      <c r="O31" s="38" t="n">
        <v>6.784</v>
      </c>
    </row>
    <row r="32" customFormat="false" ht="15" hidden="false" customHeight="true" outlineLevel="0" collapsed="false">
      <c r="A32" s="21" t="s">
        <v>176</v>
      </c>
      <c r="B32" s="21" t="s">
        <v>177</v>
      </c>
      <c r="C32" s="21" t="n">
        <v>2206</v>
      </c>
      <c r="D32" s="21" t="n">
        <v>924</v>
      </c>
      <c r="E32" s="21" t="n">
        <v>924</v>
      </c>
      <c r="F32" s="22" t="n">
        <v>0.21444</v>
      </c>
      <c r="G32" s="39" t="n">
        <v>290</v>
      </c>
      <c r="H32" s="21" t="n">
        <v>43</v>
      </c>
      <c r="I32" s="21" t="n">
        <v>154</v>
      </c>
      <c r="J32" s="21" t="n">
        <v>434</v>
      </c>
      <c r="K32" s="21" t="n">
        <v>229</v>
      </c>
      <c r="L32" s="21" t="n">
        <v>64</v>
      </c>
      <c r="M32" s="21" t="n">
        <v>924</v>
      </c>
      <c r="N32" s="38" t="n">
        <v>2.157</v>
      </c>
      <c r="O32" s="38" t="n">
        <v>1.082</v>
      </c>
    </row>
    <row r="33" customFormat="false" ht="15" hidden="false" customHeight="true" outlineLevel="0" collapsed="false">
      <c r="A33" s="21" t="s">
        <v>179</v>
      </c>
      <c r="B33" s="21" t="s">
        <v>177</v>
      </c>
      <c r="C33" s="21" t="n">
        <v>1569</v>
      </c>
      <c r="D33" s="21" t="n">
        <v>521</v>
      </c>
      <c r="E33" s="21" t="n">
        <v>521</v>
      </c>
      <c r="F33" s="22" t="n">
        <v>0.16367</v>
      </c>
      <c r="G33" s="39" t="n">
        <v>172</v>
      </c>
      <c r="H33" s="21" t="n">
        <v>13</v>
      </c>
      <c r="I33" s="21" t="n">
        <v>57</v>
      </c>
      <c r="J33" s="21" t="n">
        <v>194</v>
      </c>
      <c r="K33" s="21" t="n">
        <v>204</v>
      </c>
      <c r="L33" s="21" t="n">
        <v>53</v>
      </c>
      <c r="M33" s="21" t="n">
        <v>521</v>
      </c>
      <c r="N33" s="38" t="n">
        <v>1.533</v>
      </c>
      <c r="O33" s="38" t="n">
        <v>3.455</v>
      </c>
    </row>
    <row r="34" customFormat="false" ht="15" hidden="false" customHeight="true" outlineLevel="0" collapsed="false">
      <c r="A34" s="21" t="s">
        <v>181</v>
      </c>
      <c r="B34" s="21" t="s">
        <v>177</v>
      </c>
      <c r="C34" s="21" t="n">
        <v>2488</v>
      </c>
      <c r="D34" s="21" t="n">
        <v>906</v>
      </c>
      <c r="E34" s="21" t="n">
        <v>905</v>
      </c>
      <c r="F34" s="22" t="n">
        <v>0.11251</v>
      </c>
      <c r="G34" s="39" t="n">
        <v>282</v>
      </c>
      <c r="H34" s="21" t="n">
        <v>28</v>
      </c>
      <c r="I34" s="21" t="n">
        <v>118</v>
      </c>
      <c r="J34" s="21" t="n">
        <v>395</v>
      </c>
      <c r="K34" s="21" t="n">
        <v>304</v>
      </c>
      <c r="L34" s="21" t="n">
        <v>60</v>
      </c>
      <c r="M34" s="21" t="n">
        <v>905</v>
      </c>
      <c r="N34" s="38" t="n">
        <v>1.776</v>
      </c>
      <c r="O34" s="38" t="n">
        <v>2.318</v>
      </c>
    </row>
    <row r="35" customFormat="false" ht="15" hidden="false" customHeight="true" outlineLevel="0" collapsed="false">
      <c r="A35" s="21" t="s">
        <v>183</v>
      </c>
      <c r="B35" s="21" t="s">
        <v>177</v>
      </c>
      <c r="C35" s="21" t="n">
        <v>1761</v>
      </c>
      <c r="D35" s="21" t="n">
        <v>729</v>
      </c>
      <c r="E35" s="21" t="n">
        <v>718</v>
      </c>
      <c r="F35" s="22" t="n">
        <v>0.20437</v>
      </c>
      <c r="G35" s="39" t="n">
        <v>223</v>
      </c>
      <c r="H35" s="21" t="n">
        <v>20</v>
      </c>
      <c r="I35" s="21" t="n">
        <v>123</v>
      </c>
      <c r="J35" s="21" t="n">
        <v>285</v>
      </c>
      <c r="K35" s="21" t="n">
        <v>162</v>
      </c>
      <c r="L35" s="21" t="n">
        <v>128</v>
      </c>
      <c r="M35" s="21" t="n">
        <v>718</v>
      </c>
      <c r="N35" s="38" t="n">
        <v>1.28</v>
      </c>
      <c r="O35" s="38" t="n">
        <v>4.527</v>
      </c>
    </row>
    <row r="36" customFormat="false" ht="15" hidden="false" customHeight="true" outlineLevel="0" collapsed="false">
      <c r="A36" s="21" t="s">
        <v>185</v>
      </c>
      <c r="B36" s="21" t="s">
        <v>177</v>
      </c>
      <c r="C36" s="21" t="n">
        <v>7209</v>
      </c>
      <c r="D36" s="21" t="n">
        <v>2674</v>
      </c>
      <c r="E36" s="21" t="n">
        <v>2672</v>
      </c>
      <c r="F36" s="22" t="n">
        <v>0.13176</v>
      </c>
      <c r="G36" s="39" t="n">
        <v>971</v>
      </c>
      <c r="H36" s="21" t="n">
        <v>117</v>
      </c>
      <c r="I36" s="21" t="n">
        <v>418</v>
      </c>
      <c r="J36" s="21" t="n">
        <v>1221</v>
      </c>
      <c r="K36" s="21" t="n">
        <v>639</v>
      </c>
      <c r="L36" s="21" t="n">
        <v>277</v>
      </c>
      <c r="M36" s="21" t="n">
        <v>2672</v>
      </c>
      <c r="N36" s="38" t="n">
        <v>2.878</v>
      </c>
      <c r="O36" s="38" t="n">
        <v>3.441</v>
      </c>
    </row>
    <row r="37" customFormat="false" ht="15" hidden="false" customHeight="true" outlineLevel="0" collapsed="false">
      <c r="A37" s="21" t="s">
        <v>187</v>
      </c>
      <c r="B37" s="21" t="s">
        <v>177</v>
      </c>
      <c r="C37" s="21" t="n">
        <v>1231</v>
      </c>
      <c r="D37" s="21" t="n">
        <v>478</v>
      </c>
      <c r="E37" s="21" t="n">
        <v>459</v>
      </c>
      <c r="F37" s="22" t="n">
        <v>0.31382</v>
      </c>
      <c r="G37" s="39" t="n">
        <v>202</v>
      </c>
      <c r="H37" s="21" t="n">
        <v>46</v>
      </c>
      <c r="I37" s="21" t="n">
        <v>96</v>
      </c>
      <c r="J37" s="21" t="n">
        <v>177</v>
      </c>
      <c r="K37" s="21" t="n">
        <v>73</v>
      </c>
      <c r="L37" s="21" t="n">
        <v>67</v>
      </c>
      <c r="M37" s="21" t="n">
        <v>459</v>
      </c>
      <c r="N37" s="38" t="n">
        <v>0.857</v>
      </c>
      <c r="O37" s="38" t="n">
        <v>5.858</v>
      </c>
    </row>
    <row r="38" customFormat="false" ht="15" hidden="false" customHeight="true" outlineLevel="0" collapsed="false">
      <c r="A38" s="21" t="s">
        <v>189</v>
      </c>
      <c r="B38" s="21" t="s">
        <v>190</v>
      </c>
      <c r="C38" s="21" t="n">
        <v>1224</v>
      </c>
      <c r="D38" s="21" t="n">
        <v>477</v>
      </c>
      <c r="E38" s="21" t="n">
        <v>476</v>
      </c>
      <c r="F38" s="22" t="n">
        <v>0.11398</v>
      </c>
      <c r="G38" s="39" t="n">
        <v>200</v>
      </c>
      <c r="H38" s="21" t="n">
        <v>33</v>
      </c>
      <c r="I38" s="21" t="n">
        <v>68</v>
      </c>
      <c r="J38" s="21" t="n">
        <v>164</v>
      </c>
      <c r="K38" s="21" t="n">
        <v>175</v>
      </c>
      <c r="L38" s="21" t="n">
        <v>36</v>
      </c>
      <c r="M38" s="21" t="n">
        <v>476</v>
      </c>
      <c r="N38" s="38" t="n">
        <v>5.398</v>
      </c>
      <c r="O38" s="38" t="n">
        <v>2.935</v>
      </c>
    </row>
    <row r="39" customFormat="false" ht="15" hidden="false" customHeight="true" outlineLevel="0" collapsed="false">
      <c r="A39" s="21" t="s">
        <v>192</v>
      </c>
      <c r="B39" s="21" t="s">
        <v>190</v>
      </c>
      <c r="C39" s="21" t="n">
        <v>1236</v>
      </c>
      <c r="D39" s="21" t="n">
        <v>452</v>
      </c>
      <c r="E39" s="21" t="n">
        <v>451</v>
      </c>
      <c r="F39" s="22" t="n">
        <v>0.20501</v>
      </c>
      <c r="G39" s="39" t="n">
        <v>163</v>
      </c>
      <c r="H39" s="21" t="n">
        <v>20</v>
      </c>
      <c r="I39" s="21" t="n">
        <v>84</v>
      </c>
      <c r="J39" s="21" t="n">
        <v>197</v>
      </c>
      <c r="K39" s="21" t="n">
        <v>108</v>
      </c>
      <c r="L39" s="21" t="n">
        <v>42</v>
      </c>
      <c r="M39" s="21" t="n">
        <v>451</v>
      </c>
      <c r="N39" s="38" t="n">
        <v>1.071</v>
      </c>
      <c r="O39" s="38" t="n">
        <v>1.77</v>
      </c>
    </row>
    <row r="40" customFormat="false" ht="15" hidden="false" customHeight="true" outlineLevel="0" collapsed="false">
      <c r="A40" s="21" t="s">
        <v>194</v>
      </c>
      <c r="B40" s="21" t="s">
        <v>190</v>
      </c>
      <c r="C40" s="21" t="n">
        <v>887</v>
      </c>
      <c r="D40" s="21" t="n">
        <v>342</v>
      </c>
      <c r="E40" s="21" t="n">
        <v>341</v>
      </c>
      <c r="F40" s="22" t="n">
        <v>0.18072</v>
      </c>
      <c r="G40" s="39" t="n">
        <v>114</v>
      </c>
      <c r="H40" s="21" t="n">
        <v>25</v>
      </c>
      <c r="I40" s="21" t="n">
        <v>54</v>
      </c>
      <c r="J40" s="21" t="n">
        <v>123</v>
      </c>
      <c r="K40" s="21" t="n">
        <v>105</v>
      </c>
      <c r="L40" s="21" t="n">
        <v>34</v>
      </c>
      <c r="M40" s="21" t="n">
        <v>341</v>
      </c>
      <c r="N40" s="38" t="n">
        <v>1.053</v>
      </c>
      <c r="O40" s="38" t="n">
        <v>2.339</v>
      </c>
    </row>
    <row r="41" customFormat="false" ht="15" hidden="false" customHeight="true" outlineLevel="0" collapsed="false">
      <c r="A41" s="21" t="s">
        <v>196</v>
      </c>
      <c r="B41" s="21" t="s">
        <v>190</v>
      </c>
      <c r="C41" s="21" t="n">
        <v>668</v>
      </c>
      <c r="D41" s="21" t="n">
        <v>266</v>
      </c>
      <c r="E41" s="21" t="n">
        <v>266</v>
      </c>
      <c r="F41" s="22" t="n">
        <v>0.24609</v>
      </c>
      <c r="G41" s="39" t="n">
        <v>89</v>
      </c>
      <c r="H41" s="21" t="n">
        <v>15</v>
      </c>
      <c r="I41" s="21" t="n">
        <v>39</v>
      </c>
      <c r="J41" s="21" t="n">
        <v>136</v>
      </c>
      <c r="K41" s="21" t="n">
        <v>48</v>
      </c>
      <c r="L41" s="21" t="n">
        <v>28</v>
      </c>
      <c r="M41" s="21" t="n">
        <v>266</v>
      </c>
      <c r="N41" s="38" t="n">
        <v>2.317</v>
      </c>
      <c r="O41" s="38" t="n">
        <v>1.128</v>
      </c>
    </row>
    <row r="42" customFormat="false" ht="15" hidden="false" customHeight="true" outlineLevel="0" collapsed="false">
      <c r="A42" s="21" t="s">
        <v>198</v>
      </c>
      <c r="B42" s="21" t="s">
        <v>190</v>
      </c>
      <c r="C42" s="21" t="n">
        <v>1240</v>
      </c>
      <c r="D42" s="21" t="n">
        <v>437</v>
      </c>
      <c r="E42" s="21" t="n">
        <v>437</v>
      </c>
      <c r="F42" s="22" t="n">
        <v>0.30183</v>
      </c>
      <c r="G42" s="39" t="n">
        <v>143</v>
      </c>
      <c r="H42" s="21" t="n">
        <v>18</v>
      </c>
      <c r="I42" s="21" t="n">
        <v>49</v>
      </c>
      <c r="J42" s="21" t="n">
        <v>151</v>
      </c>
      <c r="K42" s="21" t="n">
        <v>73</v>
      </c>
      <c r="L42" s="21" t="n">
        <v>146</v>
      </c>
      <c r="M42" s="21" t="n">
        <v>437</v>
      </c>
      <c r="N42" s="38" t="n">
        <v>1.093</v>
      </c>
      <c r="O42" s="38" t="n">
        <v>16.476</v>
      </c>
    </row>
    <row r="43" customFormat="false" ht="15" hidden="false" customHeight="true" outlineLevel="0" collapsed="false">
      <c r="A43" s="21" t="s">
        <v>200</v>
      </c>
      <c r="B43" s="21" t="s">
        <v>190</v>
      </c>
      <c r="C43" s="21" t="n">
        <v>674</v>
      </c>
      <c r="D43" s="21" t="n">
        <v>283</v>
      </c>
      <c r="E43" s="21" t="n">
        <v>283</v>
      </c>
      <c r="F43" s="22" t="n">
        <v>0.23297</v>
      </c>
      <c r="G43" s="39" t="n">
        <v>88</v>
      </c>
      <c r="H43" s="21" t="n">
        <v>13</v>
      </c>
      <c r="I43" s="21" t="n">
        <v>61</v>
      </c>
      <c r="J43" s="21" t="n">
        <v>123</v>
      </c>
      <c r="K43" s="21" t="n">
        <v>71</v>
      </c>
      <c r="L43" s="21" t="n">
        <v>15</v>
      </c>
      <c r="M43" s="21" t="n">
        <v>283</v>
      </c>
      <c r="N43" s="38" t="n">
        <v>0.966</v>
      </c>
      <c r="O43" s="38" t="n">
        <v>0.353</v>
      </c>
    </row>
    <row r="44" customFormat="false" ht="15" hidden="false" customHeight="true" outlineLevel="0" collapsed="false">
      <c r="A44" s="21" t="s">
        <v>202</v>
      </c>
      <c r="B44" s="21" t="s">
        <v>190</v>
      </c>
      <c r="C44" s="21" t="n">
        <v>757</v>
      </c>
      <c r="D44" s="21" t="n">
        <v>323</v>
      </c>
      <c r="E44" s="21" t="n">
        <v>323</v>
      </c>
      <c r="F44" s="22" t="n">
        <v>0.22045</v>
      </c>
      <c r="G44" s="39" t="n">
        <v>112</v>
      </c>
      <c r="H44" s="21" t="n">
        <v>17</v>
      </c>
      <c r="I44" s="21" t="n">
        <v>65</v>
      </c>
      <c r="J44" s="21" t="n">
        <v>115</v>
      </c>
      <c r="K44" s="21" t="n">
        <v>85</v>
      </c>
      <c r="L44" s="21" t="n">
        <v>41</v>
      </c>
      <c r="M44" s="21" t="n">
        <v>323</v>
      </c>
      <c r="N44" s="38" t="n">
        <v>0</v>
      </c>
      <c r="O44" s="38" t="n">
        <v>2.167</v>
      </c>
    </row>
    <row r="45" customFormat="false" ht="15" hidden="false" customHeight="true" outlineLevel="0" collapsed="false">
      <c r="A45" s="21" t="s">
        <v>204</v>
      </c>
      <c r="B45" s="21" t="s">
        <v>190</v>
      </c>
      <c r="C45" s="21" t="n">
        <v>1432</v>
      </c>
      <c r="D45" s="21" t="n">
        <v>494</v>
      </c>
      <c r="E45" s="21" t="n">
        <v>494</v>
      </c>
      <c r="F45" s="22" t="n">
        <v>0.1125</v>
      </c>
      <c r="G45" s="39" t="n">
        <v>161</v>
      </c>
      <c r="H45" s="21" t="n">
        <v>11</v>
      </c>
      <c r="I45" s="21" t="n">
        <v>62</v>
      </c>
      <c r="J45" s="21" t="n">
        <v>292</v>
      </c>
      <c r="K45" s="21" t="n">
        <v>88</v>
      </c>
      <c r="L45" s="21" t="n">
        <v>41</v>
      </c>
      <c r="M45" s="21" t="n">
        <v>494</v>
      </c>
      <c r="N45" s="38" t="n">
        <v>0.476</v>
      </c>
      <c r="O45" s="38" t="n">
        <v>3.239</v>
      </c>
    </row>
    <row r="46" customFormat="false" ht="15" hidden="false" customHeight="true" outlineLevel="0" collapsed="false">
      <c r="A46" s="21" t="s">
        <v>206</v>
      </c>
      <c r="B46" s="21" t="s">
        <v>190</v>
      </c>
      <c r="C46" s="21" t="n">
        <v>848</v>
      </c>
      <c r="D46" s="21" t="n">
        <v>317</v>
      </c>
      <c r="E46" s="21" t="n">
        <v>316</v>
      </c>
      <c r="F46" s="22" t="n">
        <v>0.15282</v>
      </c>
      <c r="G46" s="39" t="n">
        <v>400</v>
      </c>
      <c r="H46" s="21" t="n">
        <v>12</v>
      </c>
      <c r="I46" s="21" t="n">
        <v>18</v>
      </c>
      <c r="J46" s="21" t="n">
        <v>178</v>
      </c>
      <c r="K46" s="21" t="n">
        <v>73</v>
      </c>
      <c r="L46" s="21" t="n">
        <v>35</v>
      </c>
      <c r="M46" s="21" t="n">
        <v>316</v>
      </c>
      <c r="N46" s="38" t="n">
        <v>0.829</v>
      </c>
      <c r="O46" s="38" t="n">
        <v>1.577</v>
      </c>
    </row>
    <row r="47" customFormat="false" ht="15" hidden="false" customHeight="true" outlineLevel="0" collapsed="false">
      <c r="A47" s="21" t="s">
        <v>208</v>
      </c>
      <c r="B47" s="21" t="s">
        <v>208</v>
      </c>
      <c r="C47" s="21" t="n">
        <v>78411</v>
      </c>
      <c r="D47" s="21" t="n">
        <v>27639</v>
      </c>
      <c r="E47" s="21" t="n">
        <v>27554</v>
      </c>
      <c r="F47" s="22" t="n">
        <v>0.03738</v>
      </c>
      <c r="G47" s="39" t="n">
        <v>2094</v>
      </c>
      <c r="H47" s="21" t="n">
        <v>710</v>
      </c>
      <c r="I47" s="21" t="n">
        <v>2717</v>
      </c>
      <c r="J47" s="21" t="n">
        <v>8630</v>
      </c>
      <c r="K47" s="21" t="n">
        <v>13084</v>
      </c>
      <c r="L47" s="21" t="n">
        <v>2413</v>
      </c>
      <c r="M47" s="21" t="n">
        <v>27554</v>
      </c>
      <c r="N47" s="38" t="n">
        <v>0.67</v>
      </c>
      <c r="O47" s="38" t="n">
        <v>1.86</v>
      </c>
    </row>
    <row r="48" customFormat="false" ht="15" hidden="false" customHeight="true" outlineLevel="0" collapsed="false">
      <c r="A48" s="3" t="s">
        <v>642</v>
      </c>
    </row>
    <row r="50" customFormat="false" ht="15" hidden="false" customHeight="true" outlineLevel="0" collapsed="false">
      <c r="A50" s="12" t="s">
        <v>643</v>
      </c>
    </row>
    <row r="51" customFormat="false" ht="15" hidden="false" customHeight="true" outlineLevel="0" collapsed="false">
      <c r="A51" s="4" t="s">
        <v>644</v>
      </c>
      <c r="B51" s="5" t="s">
        <v>645</v>
      </c>
      <c r="C51" s="5" t="s">
        <v>646</v>
      </c>
    </row>
    <row r="52" customFormat="false" ht="15" hidden="false" customHeight="true" outlineLevel="0" collapsed="false">
      <c r="A52" s="13" t="s">
        <v>647</v>
      </c>
      <c r="B52" s="21" t="n">
        <v>21438</v>
      </c>
      <c r="C52" s="3" t="s">
        <v>648</v>
      </c>
    </row>
    <row r="53" customFormat="false" ht="15" hidden="false" customHeight="true" outlineLevel="0" collapsed="false">
      <c r="A53" s="13" t="s">
        <v>649</v>
      </c>
      <c r="B53" s="21" t="n">
        <v>490</v>
      </c>
      <c r="C53" s="3" t="s">
        <v>650</v>
      </c>
    </row>
    <row r="54" customFormat="false" ht="15" hidden="false" customHeight="true" outlineLevel="0" collapsed="false">
      <c r="A54" s="13" t="s">
        <v>651</v>
      </c>
      <c r="B54" s="21" t="n">
        <v>281</v>
      </c>
      <c r="C54" s="3" t="s">
        <v>650</v>
      </c>
    </row>
    <row r="55" customFormat="false" ht="15" hidden="false" customHeight="true" outlineLevel="0" collapsed="false">
      <c r="A55" s="13" t="s">
        <v>652</v>
      </c>
      <c r="B55" s="21" t="n">
        <v>29</v>
      </c>
      <c r="C55" s="3" t="s">
        <v>650</v>
      </c>
    </row>
    <row r="56" customFormat="false" ht="15" hidden="false" customHeight="true" outlineLevel="0" collapsed="false">
      <c r="A56" s="13" t="s">
        <v>653</v>
      </c>
      <c r="B56" s="21" t="n">
        <v>49</v>
      </c>
      <c r="C56" s="3" t="s">
        <v>650</v>
      </c>
    </row>
    <row r="57" customFormat="false" ht="15" hidden="false" customHeight="true" outlineLevel="0" collapsed="false">
      <c r="A57" s="13" t="s">
        <v>654</v>
      </c>
      <c r="B57" s="21" t="n">
        <v>2637</v>
      </c>
      <c r="C57" s="3" t="s">
        <v>650</v>
      </c>
    </row>
    <row r="58" customFormat="false" ht="15" hidden="false" customHeight="true" outlineLevel="0" collapsed="false">
      <c r="A58" s="13" t="s">
        <v>655</v>
      </c>
      <c r="B58" s="21" t="n">
        <v>1308</v>
      </c>
      <c r="C58" s="3" t="s">
        <v>656</v>
      </c>
    </row>
    <row r="59" customFormat="false" ht="15" hidden="false" customHeight="true" outlineLevel="0" collapsed="false">
      <c r="A59" s="13" t="s">
        <v>657</v>
      </c>
      <c r="B59" s="87" t="n">
        <v>3.78477192710953</v>
      </c>
      <c r="C59" s="3" t="s">
        <v>658</v>
      </c>
    </row>
    <row r="61" customFormat="false" ht="15" hidden="false" customHeight="true" outlineLevel="0" collapsed="false">
      <c r="A61" s="12" t="s">
        <v>659</v>
      </c>
    </row>
    <row r="62" customFormat="false" ht="45.75" hidden="false" customHeight="true" outlineLevel="0" collapsed="false">
      <c r="A62" s="4" t="s">
        <v>660</v>
      </c>
      <c r="B62" s="5" t="s">
        <v>136</v>
      </c>
      <c r="C62" s="5" t="s">
        <v>19</v>
      </c>
      <c r="D62" s="5" t="s">
        <v>661</v>
      </c>
      <c r="E62" s="5" t="s">
        <v>662</v>
      </c>
      <c r="F62" s="5" t="s">
        <v>663</v>
      </c>
      <c r="G62" s="5" t="s">
        <v>664</v>
      </c>
      <c r="H62" s="5" t="s">
        <v>665</v>
      </c>
      <c r="I62" s="5" t="s">
        <v>666</v>
      </c>
      <c r="J62" s="5" t="s">
        <v>667</v>
      </c>
      <c r="K62" s="5" t="s">
        <v>668</v>
      </c>
    </row>
    <row r="63" customFormat="false" ht="15" hidden="false" customHeight="true" outlineLevel="0" collapsed="false">
      <c r="A63" s="13" t="s">
        <v>669</v>
      </c>
      <c r="B63" s="13" t="s">
        <v>176</v>
      </c>
      <c r="C63" s="13" t="s">
        <v>670</v>
      </c>
      <c r="D63" s="13" t="s">
        <v>671</v>
      </c>
      <c r="E63" s="39" t="n">
        <v>491</v>
      </c>
      <c r="F63" s="39" t="n">
        <v>181.800498753117</v>
      </c>
      <c r="G63" s="39" t="n">
        <v>140.299251870324</v>
      </c>
      <c r="H63" s="39" t="n">
        <v>110.900249376559</v>
      </c>
      <c r="I63" s="39" t="n">
        <v>378.904191616767</v>
      </c>
      <c r="J63" s="39" t="n">
        <v>112.095808383234</v>
      </c>
      <c r="K63" s="39" t="n">
        <v>924</v>
      </c>
    </row>
    <row r="64" customFormat="false" ht="15" hidden="false" customHeight="true" outlineLevel="0" collapsed="false">
      <c r="A64" s="13" t="s">
        <v>672</v>
      </c>
      <c r="B64" s="13" t="s">
        <v>176</v>
      </c>
      <c r="C64" s="13" t="s">
        <v>670</v>
      </c>
      <c r="D64" s="13" t="s">
        <v>673</v>
      </c>
      <c r="E64" s="39" t="n">
        <v>491</v>
      </c>
      <c r="F64" s="39" t="n">
        <v>232.972568578554</v>
      </c>
      <c r="G64" s="39" t="n">
        <v>136.708229426434</v>
      </c>
      <c r="H64" s="39" t="n">
        <v>63.3192019950125</v>
      </c>
      <c r="I64" s="39" t="n">
        <v>378.904191616767</v>
      </c>
      <c r="J64" s="39" t="n">
        <v>112.095808383234</v>
      </c>
      <c r="K64" s="39" t="n">
        <v>924</v>
      </c>
    </row>
    <row r="65" customFormat="false" ht="15" hidden="false" customHeight="true" outlineLevel="0" collapsed="false">
      <c r="A65" s="13" t="s">
        <v>674</v>
      </c>
      <c r="B65" s="13" t="s">
        <v>176</v>
      </c>
      <c r="C65" s="13" t="s">
        <v>675</v>
      </c>
      <c r="D65" s="13" t="s">
        <v>671</v>
      </c>
      <c r="E65" s="39" t="n">
        <v>491</v>
      </c>
      <c r="F65" s="39" t="n">
        <v>181.800498753117</v>
      </c>
      <c r="G65" s="39" t="n">
        <v>140.299251870324</v>
      </c>
      <c r="H65" s="39" t="n">
        <v>110.900249376559</v>
      </c>
      <c r="I65" s="39" t="n">
        <v>378.904191616767</v>
      </c>
      <c r="J65" s="39" t="n">
        <v>112.095808383234</v>
      </c>
      <c r="K65" s="39" t="n">
        <v>924</v>
      </c>
    </row>
    <row r="66" customFormat="false" ht="15" hidden="false" customHeight="true" outlineLevel="0" collapsed="false">
      <c r="A66" s="13" t="s">
        <v>676</v>
      </c>
      <c r="B66" s="13" t="s">
        <v>176</v>
      </c>
      <c r="C66" s="13" t="s">
        <v>675</v>
      </c>
      <c r="D66" s="13" t="s">
        <v>673</v>
      </c>
      <c r="E66" s="39" t="n">
        <v>491</v>
      </c>
      <c r="F66" s="39" t="n">
        <v>232.972568578554</v>
      </c>
      <c r="G66" s="39" t="n">
        <v>136.708229426434</v>
      </c>
      <c r="H66" s="39" t="n">
        <v>63.3192019950125</v>
      </c>
      <c r="I66" s="39" t="n">
        <v>378.904191616767</v>
      </c>
      <c r="J66" s="39" t="n">
        <v>112.095808383234</v>
      </c>
      <c r="K66" s="39" t="n">
        <v>924</v>
      </c>
    </row>
    <row r="67" customFormat="false" ht="15" hidden="false" customHeight="true" outlineLevel="0" collapsed="false">
      <c r="A67" s="13" t="s">
        <v>677</v>
      </c>
      <c r="B67" s="13" t="s">
        <v>176</v>
      </c>
      <c r="C67" s="13" t="s">
        <v>678</v>
      </c>
      <c r="D67" s="13" t="s">
        <v>671</v>
      </c>
      <c r="E67" s="39" t="n">
        <v>518</v>
      </c>
      <c r="F67" s="39" t="n">
        <v>178.800498753117</v>
      </c>
      <c r="G67" s="39" t="n">
        <v>133.299251870324</v>
      </c>
      <c r="H67" s="39" t="n">
        <v>110.900249376559</v>
      </c>
      <c r="I67" s="39" t="n">
        <v>405.904191616767</v>
      </c>
      <c r="J67" s="39" t="n">
        <v>112.095808383234</v>
      </c>
      <c r="K67" s="39" t="n">
        <v>941</v>
      </c>
    </row>
    <row r="68" customFormat="false" ht="15" hidden="false" customHeight="true" outlineLevel="0" collapsed="false">
      <c r="A68" s="13" t="s">
        <v>679</v>
      </c>
      <c r="B68" s="13" t="s">
        <v>176</v>
      </c>
      <c r="C68" s="13" t="s">
        <v>678</v>
      </c>
      <c r="D68" s="13" t="s">
        <v>673</v>
      </c>
      <c r="E68" s="39" t="n">
        <v>518</v>
      </c>
      <c r="F68" s="39" t="n">
        <v>229.972568578554</v>
      </c>
      <c r="G68" s="39" t="n">
        <v>129.708229426434</v>
      </c>
      <c r="H68" s="39" t="n">
        <v>63.3192019950125</v>
      </c>
      <c r="I68" s="39" t="n">
        <v>405.904191616767</v>
      </c>
      <c r="J68" s="39" t="n">
        <v>112.095808383234</v>
      </c>
      <c r="K68" s="39" t="n">
        <v>941</v>
      </c>
    </row>
    <row r="69" customFormat="false" ht="15" hidden="false" customHeight="true" outlineLevel="0" collapsed="false">
      <c r="A69" s="13" t="s">
        <v>680</v>
      </c>
      <c r="B69" s="13" t="s">
        <v>176</v>
      </c>
      <c r="C69" s="13" t="s">
        <v>681</v>
      </c>
      <c r="D69" s="13" t="s">
        <v>671</v>
      </c>
      <c r="E69" s="39" t="n">
        <v>491</v>
      </c>
      <c r="F69" s="39" t="n">
        <v>181.800498753117</v>
      </c>
      <c r="G69" s="39" t="n">
        <v>140.299251870324</v>
      </c>
      <c r="H69" s="39" t="n">
        <v>110.900249376559</v>
      </c>
      <c r="I69" s="39" t="n">
        <v>378.904191616767</v>
      </c>
      <c r="J69" s="39" t="n">
        <v>112.095808383234</v>
      </c>
      <c r="K69" s="39" t="n">
        <v>924</v>
      </c>
    </row>
    <row r="70" customFormat="false" ht="15" hidden="false" customHeight="true" outlineLevel="0" collapsed="false">
      <c r="A70" s="13" t="s">
        <v>682</v>
      </c>
      <c r="B70" s="13" t="s">
        <v>176</v>
      </c>
      <c r="C70" s="13" t="s">
        <v>681</v>
      </c>
      <c r="D70" s="13" t="s">
        <v>673</v>
      </c>
      <c r="E70" s="39" t="n">
        <v>491</v>
      </c>
      <c r="F70" s="39" t="n">
        <v>232.972568578554</v>
      </c>
      <c r="G70" s="39" t="n">
        <v>136.708229426434</v>
      </c>
      <c r="H70" s="39" t="n">
        <v>63.3192019950125</v>
      </c>
      <c r="I70" s="39" t="n">
        <v>378.904191616767</v>
      </c>
      <c r="J70" s="39" t="n">
        <v>112.095808383234</v>
      </c>
      <c r="K70" s="39" t="n">
        <v>924</v>
      </c>
    </row>
    <row r="71" customFormat="false" ht="15" hidden="false" customHeight="true" outlineLevel="0" collapsed="false">
      <c r="A71" s="13" t="s">
        <v>683</v>
      </c>
      <c r="B71" s="13" t="s">
        <v>189</v>
      </c>
      <c r="C71" s="13" t="s">
        <v>670</v>
      </c>
      <c r="D71" s="13" t="s">
        <v>671</v>
      </c>
      <c r="E71" s="39" t="n">
        <v>259</v>
      </c>
      <c r="F71" s="39" t="n">
        <v>76.3636363636364</v>
      </c>
      <c r="G71" s="39" t="n">
        <v>90.2032085561497</v>
      </c>
      <c r="H71" s="39" t="n">
        <v>51.4331550802139</v>
      </c>
      <c r="I71" s="39" t="n">
        <v>168.643410852713</v>
      </c>
      <c r="J71" s="39" t="n">
        <v>90.3565891472868</v>
      </c>
      <c r="K71" s="39" t="n">
        <v>477</v>
      </c>
    </row>
    <row r="72" customFormat="false" ht="15" hidden="false" customHeight="true" outlineLevel="0" collapsed="false">
      <c r="A72" s="13" t="s">
        <v>684</v>
      </c>
      <c r="B72" s="13" t="s">
        <v>189</v>
      </c>
      <c r="C72" s="13" t="s">
        <v>670</v>
      </c>
      <c r="D72" s="13" t="s">
        <v>673</v>
      </c>
      <c r="E72" s="39" t="n">
        <v>259</v>
      </c>
      <c r="F72" s="39" t="n">
        <v>106.652406417112</v>
      </c>
      <c r="G72" s="39" t="n">
        <v>93.0427807486631</v>
      </c>
      <c r="H72" s="39" t="n">
        <v>18.3048128342246</v>
      </c>
      <c r="I72" s="39" t="n">
        <v>168.643410852713</v>
      </c>
      <c r="J72" s="39" t="n">
        <v>90.3565891472868</v>
      </c>
      <c r="K72" s="39" t="n">
        <v>477</v>
      </c>
    </row>
    <row r="73" customFormat="false" ht="15" hidden="false" customHeight="true" outlineLevel="0" collapsed="false">
      <c r="A73" s="13" t="s">
        <v>685</v>
      </c>
      <c r="B73" s="13" t="s">
        <v>189</v>
      </c>
      <c r="C73" s="13" t="s">
        <v>675</v>
      </c>
      <c r="D73" s="13" t="s">
        <v>671</v>
      </c>
      <c r="E73" s="39" t="n">
        <v>259</v>
      </c>
      <c r="F73" s="39" t="n">
        <v>76.3636363636364</v>
      </c>
      <c r="G73" s="39" t="n">
        <v>90.2032085561497</v>
      </c>
      <c r="H73" s="39" t="n">
        <v>51.4331550802139</v>
      </c>
      <c r="I73" s="39" t="n">
        <v>168.643410852713</v>
      </c>
      <c r="J73" s="39" t="n">
        <v>90.3565891472868</v>
      </c>
      <c r="K73" s="39" t="n">
        <v>477</v>
      </c>
    </row>
    <row r="74" customFormat="false" ht="15" hidden="false" customHeight="true" outlineLevel="0" collapsed="false">
      <c r="A74" s="13" t="s">
        <v>686</v>
      </c>
      <c r="B74" s="13" t="s">
        <v>189</v>
      </c>
      <c r="C74" s="13" t="s">
        <v>675</v>
      </c>
      <c r="D74" s="13" t="s">
        <v>673</v>
      </c>
      <c r="E74" s="39" t="n">
        <v>259</v>
      </c>
      <c r="F74" s="39" t="n">
        <v>106.652406417112</v>
      </c>
      <c r="G74" s="39" t="n">
        <v>93.0427807486631</v>
      </c>
      <c r="H74" s="39" t="n">
        <v>18.3048128342246</v>
      </c>
      <c r="I74" s="39" t="n">
        <v>168.643410852713</v>
      </c>
      <c r="J74" s="39" t="n">
        <v>90.3565891472868</v>
      </c>
      <c r="K74" s="39" t="n">
        <v>477</v>
      </c>
    </row>
    <row r="75" customFormat="false" ht="15" hidden="false" customHeight="true" outlineLevel="0" collapsed="false">
      <c r="A75" s="13" t="s">
        <v>687</v>
      </c>
      <c r="B75" s="13" t="s">
        <v>189</v>
      </c>
      <c r="C75" s="13" t="s">
        <v>678</v>
      </c>
      <c r="D75" s="13" t="s">
        <v>671</v>
      </c>
      <c r="E75" s="39" t="n">
        <v>301</v>
      </c>
      <c r="F75" s="39" t="n">
        <v>76.3636363636364</v>
      </c>
      <c r="G75" s="39" t="n">
        <v>76.2032085561497</v>
      </c>
      <c r="H75" s="39" t="n">
        <v>51.4331550802139</v>
      </c>
      <c r="I75" s="39" t="n">
        <v>210.643410852713</v>
      </c>
      <c r="J75" s="39" t="n">
        <v>90.3565891472868</v>
      </c>
      <c r="K75" s="39" t="n">
        <v>505</v>
      </c>
    </row>
    <row r="76" customFormat="false" ht="15" hidden="false" customHeight="true" outlineLevel="0" collapsed="false">
      <c r="A76" s="13" t="s">
        <v>688</v>
      </c>
      <c r="B76" s="13" t="s">
        <v>189</v>
      </c>
      <c r="C76" s="13" t="s">
        <v>678</v>
      </c>
      <c r="D76" s="13" t="s">
        <v>673</v>
      </c>
      <c r="E76" s="39" t="n">
        <v>301</v>
      </c>
      <c r="F76" s="39" t="n">
        <v>106.652406417112</v>
      </c>
      <c r="G76" s="39" t="n">
        <v>79.0427807486631</v>
      </c>
      <c r="H76" s="39" t="n">
        <v>18.3048128342246</v>
      </c>
      <c r="I76" s="39" t="n">
        <v>210.643410852713</v>
      </c>
      <c r="J76" s="39" t="n">
        <v>90.3565891472868</v>
      </c>
      <c r="K76" s="39" t="n">
        <v>505</v>
      </c>
    </row>
    <row r="77" customFormat="false" ht="15" hidden="false" customHeight="true" outlineLevel="0" collapsed="false">
      <c r="A77" s="13" t="s">
        <v>689</v>
      </c>
      <c r="B77" s="13" t="s">
        <v>189</v>
      </c>
      <c r="C77" s="13" t="s">
        <v>681</v>
      </c>
      <c r="D77" s="13" t="s">
        <v>671</v>
      </c>
      <c r="E77" s="39" t="n">
        <v>259</v>
      </c>
      <c r="F77" s="39" t="n">
        <v>76.3636363636364</v>
      </c>
      <c r="G77" s="39" t="n">
        <v>90.2032085561497</v>
      </c>
      <c r="H77" s="39" t="n">
        <v>51.4331550802139</v>
      </c>
      <c r="I77" s="39" t="n">
        <v>168.643410852713</v>
      </c>
      <c r="J77" s="39" t="n">
        <v>90.3565891472868</v>
      </c>
      <c r="K77" s="39" t="n">
        <v>477</v>
      </c>
    </row>
    <row r="78" customFormat="false" ht="15" hidden="false" customHeight="true" outlineLevel="0" collapsed="false">
      <c r="A78" s="13" t="s">
        <v>690</v>
      </c>
      <c r="B78" s="13" t="s">
        <v>189</v>
      </c>
      <c r="C78" s="13" t="s">
        <v>681</v>
      </c>
      <c r="D78" s="13" t="s">
        <v>673</v>
      </c>
      <c r="E78" s="39" t="n">
        <v>259</v>
      </c>
      <c r="F78" s="39" t="n">
        <v>106.652406417112</v>
      </c>
      <c r="G78" s="39" t="n">
        <v>93.0427807486631</v>
      </c>
      <c r="H78" s="39" t="n">
        <v>18.3048128342246</v>
      </c>
      <c r="I78" s="39" t="n">
        <v>168.643410852713</v>
      </c>
      <c r="J78" s="39" t="n">
        <v>90.3565891472868</v>
      </c>
      <c r="K78" s="39" t="n">
        <v>477</v>
      </c>
    </row>
    <row r="79" customFormat="false" ht="15" hidden="false" customHeight="true" outlineLevel="0" collapsed="false">
      <c r="A79" s="13" t="s">
        <v>691</v>
      </c>
      <c r="B79" s="13" t="s">
        <v>192</v>
      </c>
      <c r="C79" s="13" t="s">
        <v>670</v>
      </c>
      <c r="D79" s="13" t="s">
        <v>671</v>
      </c>
      <c r="E79" s="39" t="n">
        <v>222.502815</v>
      </c>
      <c r="F79" s="39" t="n">
        <v>86.3666964953271</v>
      </c>
      <c r="G79" s="39" t="n">
        <v>79.1564664953271</v>
      </c>
      <c r="H79" s="39" t="n">
        <v>68.3177570093458</v>
      </c>
      <c r="I79" s="39" t="n">
        <v>169.577815</v>
      </c>
      <c r="J79" s="39" t="n">
        <v>52.925</v>
      </c>
      <c r="K79" s="39" t="n">
        <v>456.343735</v>
      </c>
    </row>
    <row r="80" customFormat="false" ht="15" hidden="false" customHeight="true" outlineLevel="0" collapsed="false">
      <c r="A80" s="13" t="s">
        <v>692</v>
      </c>
      <c r="B80" s="13" t="s">
        <v>192</v>
      </c>
      <c r="C80" s="13" t="s">
        <v>670</v>
      </c>
      <c r="D80" s="13" t="s">
        <v>673</v>
      </c>
      <c r="E80" s="39" t="n">
        <v>222.502815</v>
      </c>
      <c r="F80" s="39" t="n">
        <v>120.081649766355</v>
      </c>
      <c r="G80" s="39" t="n">
        <v>81.8901113551402</v>
      </c>
      <c r="H80" s="39" t="n">
        <v>31.8691588785047</v>
      </c>
      <c r="I80" s="39" t="n">
        <v>169.577815</v>
      </c>
      <c r="J80" s="39" t="n">
        <v>52.925</v>
      </c>
      <c r="K80" s="39" t="n">
        <v>456.343735</v>
      </c>
    </row>
    <row r="81" customFormat="false" ht="15" hidden="false" customHeight="true" outlineLevel="0" collapsed="false">
      <c r="A81" s="13" t="s">
        <v>693</v>
      </c>
      <c r="B81" s="13" t="s">
        <v>192</v>
      </c>
      <c r="C81" s="13" t="s">
        <v>675</v>
      </c>
      <c r="D81" s="13" t="s">
        <v>671</v>
      </c>
      <c r="E81" s="39" t="n">
        <v>215</v>
      </c>
      <c r="F81" s="39" t="n">
        <v>88.3411214953271</v>
      </c>
      <c r="G81" s="39" t="n">
        <v>80.3411214953271</v>
      </c>
      <c r="H81" s="39" t="n">
        <v>68.3177570093458</v>
      </c>
      <c r="I81" s="39" t="n">
        <v>162.075</v>
      </c>
      <c r="J81" s="39" t="n">
        <v>52.925</v>
      </c>
      <c r="K81" s="39" t="n">
        <v>452</v>
      </c>
    </row>
    <row r="82" customFormat="false" ht="15" hidden="false" customHeight="true" outlineLevel="0" collapsed="false">
      <c r="A82" s="13" t="s">
        <v>694</v>
      </c>
      <c r="B82" s="13" t="s">
        <v>192</v>
      </c>
      <c r="C82" s="13" t="s">
        <v>675</v>
      </c>
      <c r="D82" s="13" t="s">
        <v>673</v>
      </c>
      <c r="E82" s="39" t="n">
        <v>215</v>
      </c>
      <c r="F82" s="39" t="n">
        <v>122.056074766355</v>
      </c>
      <c r="G82" s="39" t="n">
        <v>83.0747663551402</v>
      </c>
      <c r="H82" s="39" t="n">
        <v>31.8691588785047</v>
      </c>
      <c r="I82" s="39" t="n">
        <v>162.075</v>
      </c>
      <c r="J82" s="39" t="n">
        <v>52.925</v>
      </c>
      <c r="K82" s="39" t="n">
        <v>452</v>
      </c>
    </row>
    <row r="83" customFormat="false" ht="15" hidden="false" customHeight="true" outlineLevel="0" collapsed="false">
      <c r="A83" s="13" t="s">
        <v>695</v>
      </c>
      <c r="B83" s="13" t="s">
        <v>192</v>
      </c>
      <c r="C83" s="13" t="s">
        <v>678</v>
      </c>
      <c r="D83" s="13" t="s">
        <v>671</v>
      </c>
      <c r="E83" s="39" t="n">
        <v>234</v>
      </c>
      <c r="F83" s="39" t="n">
        <v>83.3411214953271</v>
      </c>
      <c r="G83" s="39" t="n">
        <v>77.3411214953271</v>
      </c>
      <c r="H83" s="39" t="n">
        <v>68.3177570093458</v>
      </c>
      <c r="I83" s="39" t="n">
        <v>181.075</v>
      </c>
      <c r="J83" s="39" t="n">
        <v>52.925</v>
      </c>
      <c r="K83" s="39" t="n">
        <v>463</v>
      </c>
    </row>
    <row r="84" customFormat="false" ht="15" hidden="false" customHeight="true" outlineLevel="0" collapsed="false">
      <c r="A84" s="13" t="s">
        <v>696</v>
      </c>
      <c r="B84" s="13" t="s">
        <v>192</v>
      </c>
      <c r="C84" s="13" t="s">
        <v>678</v>
      </c>
      <c r="D84" s="13" t="s">
        <v>673</v>
      </c>
      <c r="E84" s="39" t="n">
        <v>234</v>
      </c>
      <c r="F84" s="39" t="n">
        <v>117.056074766355</v>
      </c>
      <c r="G84" s="39" t="n">
        <v>80.0747663551402</v>
      </c>
      <c r="H84" s="39" t="n">
        <v>31.8691588785047</v>
      </c>
      <c r="I84" s="39" t="n">
        <v>181.075</v>
      </c>
      <c r="J84" s="39" t="n">
        <v>52.925</v>
      </c>
      <c r="K84" s="39" t="n">
        <v>463</v>
      </c>
    </row>
    <row r="85" customFormat="false" ht="15" hidden="false" customHeight="true" outlineLevel="0" collapsed="false">
      <c r="A85" s="13" t="s">
        <v>697</v>
      </c>
      <c r="B85" s="13" t="s">
        <v>192</v>
      </c>
      <c r="C85" s="13" t="s">
        <v>681</v>
      </c>
      <c r="D85" s="13" t="s">
        <v>671</v>
      </c>
      <c r="E85" s="39" t="n">
        <v>215</v>
      </c>
      <c r="F85" s="39" t="n">
        <v>88.3411214953271</v>
      </c>
      <c r="G85" s="39" t="n">
        <v>80.3411214953271</v>
      </c>
      <c r="H85" s="39" t="n">
        <v>68.3177570093458</v>
      </c>
      <c r="I85" s="39" t="n">
        <v>162.075</v>
      </c>
      <c r="J85" s="39" t="n">
        <v>52.925</v>
      </c>
      <c r="K85" s="39" t="n">
        <v>452</v>
      </c>
    </row>
    <row r="86" customFormat="false" ht="15" hidden="false" customHeight="true" outlineLevel="0" collapsed="false">
      <c r="A86" s="13" t="s">
        <v>698</v>
      </c>
      <c r="B86" s="13" t="s">
        <v>192</v>
      </c>
      <c r="C86" s="13" t="s">
        <v>681</v>
      </c>
      <c r="D86" s="13" t="s">
        <v>673</v>
      </c>
      <c r="E86" s="39" t="n">
        <v>215</v>
      </c>
      <c r="F86" s="39" t="n">
        <v>122.056074766355</v>
      </c>
      <c r="G86" s="39" t="n">
        <v>83.0747663551402</v>
      </c>
      <c r="H86" s="39" t="n">
        <v>31.8691588785047</v>
      </c>
      <c r="I86" s="39" t="n">
        <v>162.075</v>
      </c>
      <c r="J86" s="39" t="n">
        <v>52.925</v>
      </c>
      <c r="K86" s="39" t="n">
        <v>452</v>
      </c>
    </row>
    <row r="87" customFormat="false" ht="15" hidden="false" customHeight="true" outlineLevel="0" collapsed="false">
      <c r="A87" s="13" t="s">
        <v>699</v>
      </c>
      <c r="B87" s="13" t="s">
        <v>157</v>
      </c>
      <c r="C87" s="13" t="s">
        <v>670</v>
      </c>
      <c r="D87" s="13" t="s">
        <v>671</v>
      </c>
      <c r="E87" s="39" t="n">
        <v>916.665868</v>
      </c>
      <c r="F87" s="39" t="n">
        <v>404.201610442748</v>
      </c>
      <c r="G87" s="39" t="n">
        <v>302.097072152672</v>
      </c>
      <c r="H87" s="39" t="n">
        <v>205.52213740458</v>
      </c>
      <c r="I87" s="39" t="n">
        <v>712.837787770774</v>
      </c>
      <c r="J87" s="39" t="n">
        <v>203.828080229226</v>
      </c>
      <c r="K87" s="39" t="n">
        <v>1828.486688</v>
      </c>
    </row>
    <row r="88" customFormat="false" ht="15" hidden="false" customHeight="true" outlineLevel="0" collapsed="false">
      <c r="A88" s="13" t="s">
        <v>700</v>
      </c>
      <c r="B88" s="13" t="s">
        <v>157</v>
      </c>
      <c r="C88" s="13" t="s">
        <v>670</v>
      </c>
      <c r="D88" s="13" t="s">
        <v>673</v>
      </c>
      <c r="E88" s="39" t="n">
        <v>916.665868</v>
      </c>
      <c r="F88" s="39" t="n">
        <v>485.807717312977</v>
      </c>
      <c r="G88" s="39" t="n">
        <v>294.113866045802</v>
      </c>
      <c r="H88" s="39" t="n">
        <v>131.899236641221</v>
      </c>
      <c r="I88" s="39" t="n">
        <v>712.837787770774</v>
      </c>
      <c r="J88" s="39" t="n">
        <v>203.828080229226</v>
      </c>
      <c r="K88" s="39" t="n">
        <v>1828.486688</v>
      </c>
    </row>
    <row r="89" customFormat="false" ht="15" hidden="false" customHeight="true" outlineLevel="0" collapsed="false">
      <c r="A89" s="13" t="s">
        <v>701</v>
      </c>
      <c r="B89" s="13" t="s">
        <v>157</v>
      </c>
      <c r="C89" s="13" t="s">
        <v>675</v>
      </c>
      <c r="D89" s="13" t="s">
        <v>671</v>
      </c>
      <c r="E89" s="39" t="n">
        <v>1153.71043254536</v>
      </c>
      <c r="F89" s="39" t="n">
        <v>367.733215897308</v>
      </c>
      <c r="G89" s="39" t="n">
        <v>247.394480334511</v>
      </c>
      <c r="H89" s="39" t="n">
        <v>205.52213740458</v>
      </c>
      <c r="I89" s="39" t="n">
        <v>949.882352316137</v>
      </c>
      <c r="J89" s="39" t="n">
        <v>203.828080229226</v>
      </c>
      <c r="K89" s="39" t="n">
        <v>1974.36026618176</v>
      </c>
    </row>
    <row r="90" customFormat="false" ht="15" hidden="false" customHeight="true" outlineLevel="0" collapsed="false">
      <c r="A90" s="13" t="s">
        <v>702</v>
      </c>
      <c r="B90" s="13" t="s">
        <v>157</v>
      </c>
      <c r="C90" s="13" t="s">
        <v>675</v>
      </c>
      <c r="D90" s="13" t="s">
        <v>673</v>
      </c>
      <c r="E90" s="39" t="n">
        <v>1153.71043254536</v>
      </c>
      <c r="F90" s="39" t="n">
        <v>449.339322767537</v>
      </c>
      <c r="G90" s="39" t="n">
        <v>239.411274227641</v>
      </c>
      <c r="H90" s="39" t="n">
        <v>131.899236641221</v>
      </c>
      <c r="I90" s="39" t="n">
        <v>949.882352316137</v>
      </c>
      <c r="J90" s="39" t="n">
        <v>203.828080229226</v>
      </c>
      <c r="K90" s="39" t="n">
        <v>1974.36026618176</v>
      </c>
    </row>
    <row r="91" customFormat="false" ht="15" hidden="false" customHeight="true" outlineLevel="0" collapsed="false">
      <c r="A91" s="13" t="s">
        <v>703</v>
      </c>
      <c r="B91" s="13" t="s">
        <v>157</v>
      </c>
      <c r="C91" s="13" t="s">
        <v>678</v>
      </c>
      <c r="D91" s="13" t="s">
        <v>671</v>
      </c>
      <c r="E91" s="39" t="n">
        <v>1327</v>
      </c>
      <c r="F91" s="39" t="n">
        <v>341.073282442748</v>
      </c>
      <c r="G91" s="39" t="n">
        <v>207.404580152672</v>
      </c>
      <c r="H91" s="39" t="n">
        <v>205.52213740458</v>
      </c>
      <c r="I91" s="39" t="n">
        <v>1123.17191977077</v>
      </c>
      <c r="J91" s="39" t="n">
        <v>203.828080229226</v>
      </c>
      <c r="K91" s="39" t="n">
        <v>2081</v>
      </c>
    </row>
    <row r="92" customFormat="false" ht="15" hidden="false" customHeight="true" outlineLevel="0" collapsed="false">
      <c r="A92" s="13" t="s">
        <v>704</v>
      </c>
      <c r="B92" s="13" t="s">
        <v>157</v>
      </c>
      <c r="C92" s="13" t="s">
        <v>678</v>
      </c>
      <c r="D92" s="13" t="s">
        <v>673</v>
      </c>
      <c r="E92" s="39" t="n">
        <v>1327</v>
      </c>
      <c r="F92" s="39" t="n">
        <v>422.679389312977</v>
      </c>
      <c r="G92" s="39" t="n">
        <v>199.421374045802</v>
      </c>
      <c r="H92" s="39" t="n">
        <v>131.899236641221</v>
      </c>
      <c r="I92" s="39" t="n">
        <v>1123.17191977077</v>
      </c>
      <c r="J92" s="39" t="n">
        <v>203.828080229226</v>
      </c>
      <c r="K92" s="39" t="n">
        <v>2081</v>
      </c>
    </row>
    <row r="93" customFormat="false" ht="15" hidden="false" customHeight="true" outlineLevel="0" collapsed="false">
      <c r="A93" s="13" t="s">
        <v>705</v>
      </c>
      <c r="B93" s="13" t="s">
        <v>157</v>
      </c>
      <c r="C93" s="13" t="s">
        <v>681</v>
      </c>
      <c r="D93" s="13" t="s">
        <v>671</v>
      </c>
      <c r="E93" s="39" t="n">
        <v>807</v>
      </c>
      <c r="F93" s="39" t="n">
        <v>421.073282442748</v>
      </c>
      <c r="G93" s="39" t="n">
        <v>327.404580152672</v>
      </c>
      <c r="H93" s="39" t="n">
        <v>205.52213740458</v>
      </c>
      <c r="I93" s="39" t="n">
        <v>603.171919770774</v>
      </c>
      <c r="J93" s="39" t="n">
        <v>203.828080229226</v>
      </c>
      <c r="K93" s="39" t="n">
        <v>1761</v>
      </c>
    </row>
    <row r="94" customFormat="false" ht="15" hidden="false" customHeight="true" outlineLevel="0" collapsed="false">
      <c r="A94" s="13" t="s">
        <v>706</v>
      </c>
      <c r="B94" s="13" t="s">
        <v>157</v>
      </c>
      <c r="C94" s="13" t="s">
        <v>681</v>
      </c>
      <c r="D94" s="13" t="s">
        <v>673</v>
      </c>
      <c r="E94" s="39" t="n">
        <v>807</v>
      </c>
      <c r="F94" s="39" t="n">
        <v>502.679389312977</v>
      </c>
      <c r="G94" s="39" t="n">
        <v>319.421374045802</v>
      </c>
      <c r="H94" s="39" t="n">
        <v>131.899236641221</v>
      </c>
      <c r="I94" s="39" t="n">
        <v>603.171919770774</v>
      </c>
      <c r="J94" s="39" t="n">
        <v>203.828080229226</v>
      </c>
      <c r="K94" s="39" t="n">
        <v>1761</v>
      </c>
    </row>
    <row r="95" customFormat="false" ht="15" hidden="false" customHeight="true" outlineLevel="0" collapsed="false">
      <c r="A95" s="13" t="s">
        <v>707</v>
      </c>
      <c r="B95" s="13" t="s">
        <v>194</v>
      </c>
      <c r="C95" s="13" t="s">
        <v>670</v>
      </c>
      <c r="D95" s="13" t="s">
        <v>671</v>
      </c>
      <c r="E95" s="39" t="n">
        <v>178.39559</v>
      </c>
      <c r="F95" s="39" t="n">
        <v>67.8083832335329</v>
      </c>
      <c r="G95" s="39" t="n">
        <v>70.2916479640719</v>
      </c>
      <c r="H95" s="39" t="n">
        <v>36.5012288023952</v>
      </c>
      <c r="I95" s="39" t="n">
        <v>129.64559</v>
      </c>
      <c r="J95" s="39" t="n">
        <v>48.75</v>
      </c>
      <c r="K95" s="39" t="n">
        <v>352.99685</v>
      </c>
    </row>
    <row r="96" customFormat="false" ht="15" hidden="false" customHeight="true" outlineLevel="0" collapsed="false">
      <c r="A96" s="13" t="s">
        <v>708</v>
      </c>
      <c r="B96" s="13" t="s">
        <v>194</v>
      </c>
      <c r="C96" s="13" t="s">
        <v>670</v>
      </c>
      <c r="D96" s="13" t="s">
        <v>673</v>
      </c>
      <c r="E96" s="39" t="n">
        <v>178.39559</v>
      </c>
      <c r="F96" s="39" t="n">
        <v>94.3952095808383</v>
      </c>
      <c r="G96" s="39" t="n">
        <v>58.7706898802395</v>
      </c>
      <c r="H96" s="39" t="n">
        <v>21.4353605389222</v>
      </c>
      <c r="I96" s="39" t="n">
        <v>129.64559</v>
      </c>
      <c r="J96" s="39" t="n">
        <v>48.75</v>
      </c>
      <c r="K96" s="39" t="n">
        <v>352.99685</v>
      </c>
    </row>
    <row r="97" customFormat="false" ht="15" hidden="false" customHeight="true" outlineLevel="0" collapsed="false">
      <c r="A97" s="13" t="s">
        <v>709</v>
      </c>
      <c r="B97" s="13" t="s">
        <v>194</v>
      </c>
      <c r="C97" s="13" t="s">
        <v>675</v>
      </c>
      <c r="D97" s="13" t="s">
        <v>671</v>
      </c>
      <c r="E97" s="39" t="n">
        <v>163</v>
      </c>
      <c r="F97" s="39" t="n">
        <v>67.8083832335329</v>
      </c>
      <c r="G97" s="39" t="n">
        <v>72.4910179640719</v>
      </c>
      <c r="H97" s="39" t="n">
        <v>38.7005988023952</v>
      </c>
      <c r="I97" s="39" t="n">
        <v>114.25</v>
      </c>
      <c r="J97" s="39" t="n">
        <v>48.75</v>
      </c>
      <c r="K97" s="39" t="n">
        <v>342</v>
      </c>
    </row>
    <row r="98" customFormat="false" ht="15" hidden="false" customHeight="true" outlineLevel="0" collapsed="false">
      <c r="A98" s="13" t="s">
        <v>710</v>
      </c>
      <c r="B98" s="13" t="s">
        <v>194</v>
      </c>
      <c r="C98" s="13" t="s">
        <v>675</v>
      </c>
      <c r="D98" s="13" t="s">
        <v>673</v>
      </c>
      <c r="E98" s="39" t="n">
        <v>163</v>
      </c>
      <c r="F98" s="39" t="n">
        <v>94.3952095808383</v>
      </c>
      <c r="G98" s="39" t="n">
        <v>60.9700598802395</v>
      </c>
      <c r="H98" s="39" t="n">
        <v>23.6347305389222</v>
      </c>
      <c r="I98" s="39" t="n">
        <v>114.25</v>
      </c>
      <c r="J98" s="39" t="n">
        <v>48.75</v>
      </c>
      <c r="K98" s="39" t="n">
        <v>342</v>
      </c>
    </row>
    <row r="99" customFormat="false" ht="15" hidden="false" customHeight="true" outlineLevel="0" collapsed="false">
      <c r="A99" s="13" t="s">
        <v>711</v>
      </c>
      <c r="B99" s="13" t="s">
        <v>194</v>
      </c>
      <c r="C99" s="13" t="s">
        <v>678</v>
      </c>
      <c r="D99" s="13" t="s">
        <v>671</v>
      </c>
      <c r="E99" s="39" t="n">
        <v>191</v>
      </c>
      <c r="F99" s="39" t="n">
        <v>67.8083832335329</v>
      </c>
      <c r="G99" s="39" t="n">
        <v>68.4910179640719</v>
      </c>
      <c r="H99" s="39" t="n">
        <v>34.7005988023952</v>
      </c>
      <c r="I99" s="39" t="n">
        <v>142.25</v>
      </c>
      <c r="J99" s="39" t="n">
        <v>48.75</v>
      </c>
      <c r="K99" s="39" t="n">
        <v>362</v>
      </c>
    </row>
    <row r="100" customFormat="false" ht="15" hidden="false" customHeight="true" outlineLevel="0" collapsed="false">
      <c r="A100" s="13" t="s">
        <v>712</v>
      </c>
      <c r="B100" s="13" t="s">
        <v>194</v>
      </c>
      <c r="C100" s="13" t="s">
        <v>678</v>
      </c>
      <c r="D100" s="13" t="s">
        <v>673</v>
      </c>
      <c r="E100" s="39" t="n">
        <v>191</v>
      </c>
      <c r="F100" s="39" t="n">
        <v>94.3952095808383</v>
      </c>
      <c r="G100" s="39" t="n">
        <v>56.9700598802395</v>
      </c>
      <c r="H100" s="39" t="n">
        <v>19.6347305389222</v>
      </c>
      <c r="I100" s="39" t="n">
        <v>142.25</v>
      </c>
      <c r="J100" s="39" t="n">
        <v>48.75</v>
      </c>
      <c r="K100" s="39" t="n">
        <v>362</v>
      </c>
    </row>
    <row r="101" customFormat="false" ht="15" hidden="false" customHeight="true" outlineLevel="0" collapsed="false">
      <c r="A101" s="13" t="s">
        <v>713</v>
      </c>
      <c r="B101" s="13" t="s">
        <v>194</v>
      </c>
      <c r="C101" s="13" t="s">
        <v>681</v>
      </c>
      <c r="D101" s="13" t="s">
        <v>671</v>
      </c>
      <c r="E101" s="39" t="n">
        <v>163</v>
      </c>
      <c r="F101" s="39" t="n">
        <v>67.8083832335329</v>
      </c>
      <c r="G101" s="39" t="n">
        <v>72.4910179640719</v>
      </c>
      <c r="H101" s="39" t="n">
        <v>38.7005988023952</v>
      </c>
      <c r="I101" s="39" t="n">
        <v>114.25</v>
      </c>
      <c r="J101" s="39" t="n">
        <v>48.75</v>
      </c>
      <c r="K101" s="39" t="n">
        <v>342</v>
      </c>
    </row>
    <row r="102" customFormat="false" ht="15" hidden="false" customHeight="true" outlineLevel="0" collapsed="false">
      <c r="A102" s="13" t="s">
        <v>714</v>
      </c>
      <c r="B102" s="13" t="s">
        <v>194</v>
      </c>
      <c r="C102" s="13" t="s">
        <v>681</v>
      </c>
      <c r="D102" s="13" t="s">
        <v>673</v>
      </c>
      <c r="E102" s="39" t="n">
        <v>163</v>
      </c>
      <c r="F102" s="39" t="n">
        <v>94.3952095808383</v>
      </c>
      <c r="G102" s="39" t="n">
        <v>60.9700598802395</v>
      </c>
      <c r="H102" s="39" t="n">
        <v>23.6347305389222</v>
      </c>
      <c r="I102" s="39" t="n">
        <v>114.25</v>
      </c>
      <c r="J102" s="39" t="n">
        <v>48.75</v>
      </c>
      <c r="K102" s="39" t="n">
        <v>342</v>
      </c>
    </row>
    <row r="103" customFormat="false" ht="15" hidden="false" customHeight="true" outlineLevel="0" collapsed="false">
      <c r="A103" s="13" t="s">
        <v>715</v>
      </c>
      <c r="B103" s="13" t="s">
        <v>179</v>
      </c>
      <c r="C103" s="13" t="s">
        <v>670</v>
      </c>
      <c r="D103" s="13" t="s">
        <v>671</v>
      </c>
      <c r="E103" s="39" t="n">
        <v>205.70152</v>
      </c>
      <c r="F103" s="39" t="n">
        <v>118.40414006536</v>
      </c>
      <c r="G103" s="39" t="n">
        <v>133.269064444445</v>
      </c>
      <c r="H103" s="39" t="n">
        <v>80.3137254901961</v>
      </c>
      <c r="I103" s="39" t="n">
        <v>155.70152</v>
      </c>
      <c r="J103" s="39" t="n">
        <v>50</v>
      </c>
      <c r="K103" s="39" t="n">
        <v>537.68845</v>
      </c>
    </row>
    <row r="104" customFormat="false" ht="15" hidden="false" customHeight="true" outlineLevel="0" collapsed="false">
      <c r="A104" s="13" t="s">
        <v>716</v>
      </c>
      <c r="B104" s="13" t="s">
        <v>179</v>
      </c>
      <c r="C104" s="13" t="s">
        <v>670</v>
      </c>
      <c r="D104" s="13" t="s">
        <v>673</v>
      </c>
      <c r="E104" s="39" t="n">
        <v>205.70152</v>
      </c>
      <c r="F104" s="39" t="n">
        <v>177.717865555556</v>
      </c>
      <c r="G104" s="39" t="n">
        <v>116.193901045752</v>
      </c>
      <c r="H104" s="39" t="n">
        <v>38.0751633986928</v>
      </c>
      <c r="I104" s="39" t="n">
        <v>155.70152</v>
      </c>
      <c r="J104" s="39" t="n">
        <v>50</v>
      </c>
      <c r="K104" s="39" t="n">
        <v>537.68845</v>
      </c>
    </row>
    <row r="105" customFormat="false" ht="15" hidden="false" customHeight="true" outlineLevel="0" collapsed="false">
      <c r="A105" s="13" t="s">
        <v>717</v>
      </c>
      <c r="B105" s="13" t="s">
        <v>179</v>
      </c>
      <c r="C105" s="13" t="s">
        <v>675</v>
      </c>
      <c r="D105" s="13" t="s">
        <v>671</v>
      </c>
      <c r="E105" s="39" t="n">
        <v>179</v>
      </c>
      <c r="F105" s="39" t="n">
        <v>121.74183006536</v>
      </c>
      <c r="G105" s="39" t="n">
        <v>139.944444444445</v>
      </c>
      <c r="H105" s="39" t="n">
        <v>80.3137254901961</v>
      </c>
      <c r="I105" s="39" t="n">
        <v>129</v>
      </c>
      <c r="J105" s="39" t="n">
        <v>50</v>
      </c>
      <c r="K105" s="39" t="n">
        <v>521</v>
      </c>
    </row>
    <row r="106" customFormat="false" ht="15" hidden="false" customHeight="true" outlineLevel="0" collapsed="false">
      <c r="A106" s="13" t="s">
        <v>718</v>
      </c>
      <c r="B106" s="13" t="s">
        <v>179</v>
      </c>
      <c r="C106" s="13" t="s">
        <v>675</v>
      </c>
      <c r="D106" s="13" t="s">
        <v>673</v>
      </c>
      <c r="E106" s="39" t="n">
        <v>179</v>
      </c>
      <c r="F106" s="39" t="n">
        <v>181.055555555556</v>
      </c>
      <c r="G106" s="39" t="n">
        <v>122.869281045752</v>
      </c>
      <c r="H106" s="39" t="n">
        <v>38.0751633986928</v>
      </c>
      <c r="I106" s="39" t="n">
        <v>129</v>
      </c>
      <c r="J106" s="39" t="n">
        <v>50</v>
      </c>
      <c r="K106" s="39" t="n">
        <v>521</v>
      </c>
    </row>
    <row r="107" customFormat="false" ht="15" hidden="false" customHeight="true" outlineLevel="0" collapsed="false">
      <c r="A107" s="13" t="s">
        <v>719</v>
      </c>
      <c r="B107" s="13" t="s">
        <v>179</v>
      </c>
      <c r="C107" s="13" t="s">
        <v>678</v>
      </c>
      <c r="D107" s="13" t="s">
        <v>671</v>
      </c>
      <c r="E107" s="39" t="n">
        <v>227</v>
      </c>
      <c r="F107" s="39" t="n">
        <v>115.74183006536</v>
      </c>
      <c r="G107" s="39" t="n">
        <v>127.944444444445</v>
      </c>
      <c r="H107" s="39" t="n">
        <v>80.3137254901961</v>
      </c>
      <c r="I107" s="39" t="n">
        <v>177</v>
      </c>
      <c r="J107" s="39" t="n">
        <v>50</v>
      </c>
      <c r="K107" s="39" t="n">
        <v>551</v>
      </c>
    </row>
    <row r="108" customFormat="false" ht="15" hidden="false" customHeight="true" outlineLevel="0" collapsed="false">
      <c r="A108" s="13" t="s">
        <v>720</v>
      </c>
      <c r="B108" s="13" t="s">
        <v>179</v>
      </c>
      <c r="C108" s="13" t="s">
        <v>678</v>
      </c>
      <c r="D108" s="13" t="s">
        <v>673</v>
      </c>
      <c r="E108" s="39" t="n">
        <v>227</v>
      </c>
      <c r="F108" s="39" t="n">
        <v>175.055555555556</v>
      </c>
      <c r="G108" s="39" t="n">
        <v>110.869281045752</v>
      </c>
      <c r="H108" s="39" t="n">
        <v>38.0751633986928</v>
      </c>
      <c r="I108" s="39" t="n">
        <v>177</v>
      </c>
      <c r="J108" s="39" t="n">
        <v>50</v>
      </c>
      <c r="K108" s="39" t="n">
        <v>551</v>
      </c>
    </row>
    <row r="109" customFormat="false" ht="15" hidden="false" customHeight="true" outlineLevel="0" collapsed="false">
      <c r="A109" s="13" t="s">
        <v>721</v>
      </c>
      <c r="B109" s="13" t="s">
        <v>179</v>
      </c>
      <c r="C109" s="13" t="s">
        <v>681</v>
      </c>
      <c r="D109" s="13" t="s">
        <v>671</v>
      </c>
      <c r="E109" s="39" t="n">
        <v>179</v>
      </c>
      <c r="F109" s="39" t="n">
        <v>121.74183006536</v>
      </c>
      <c r="G109" s="39" t="n">
        <v>139.944444444445</v>
      </c>
      <c r="H109" s="39" t="n">
        <v>80.3137254901961</v>
      </c>
      <c r="I109" s="39" t="n">
        <v>129</v>
      </c>
      <c r="J109" s="39" t="n">
        <v>50</v>
      </c>
      <c r="K109" s="39" t="n">
        <v>521</v>
      </c>
    </row>
    <row r="110" customFormat="false" ht="15" hidden="false" customHeight="true" outlineLevel="0" collapsed="false">
      <c r="A110" s="13" t="s">
        <v>722</v>
      </c>
      <c r="B110" s="13" t="s">
        <v>179</v>
      </c>
      <c r="C110" s="13" t="s">
        <v>681</v>
      </c>
      <c r="D110" s="13" t="s">
        <v>673</v>
      </c>
      <c r="E110" s="39" t="n">
        <v>179</v>
      </c>
      <c r="F110" s="39" t="n">
        <v>181.055555555556</v>
      </c>
      <c r="G110" s="39" t="n">
        <v>122.869281045752</v>
      </c>
      <c r="H110" s="39" t="n">
        <v>38.0751633986928</v>
      </c>
      <c r="I110" s="39" t="n">
        <v>129</v>
      </c>
      <c r="J110" s="39" t="n">
        <v>50</v>
      </c>
      <c r="K110" s="39" t="n">
        <v>521</v>
      </c>
    </row>
    <row r="111" customFormat="false" ht="15" hidden="false" customHeight="true" outlineLevel="0" collapsed="false">
      <c r="A111" s="13" t="s">
        <v>723</v>
      </c>
      <c r="B111" s="13" t="s">
        <v>160</v>
      </c>
      <c r="C111" s="13" t="s">
        <v>670</v>
      </c>
      <c r="D111" s="13" t="s">
        <v>671</v>
      </c>
      <c r="E111" s="39" t="n">
        <v>3620.03682643154</v>
      </c>
      <c r="F111" s="39" t="n">
        <v>1430.04383879554</v>
      </c>
      <c r="G111" s="39" t="n">
        <v>1257.6263965772</v>
      </c>
      <c r="H111" s="39" t="n">
        <v>848.271994627267</v>
      </c>
      <c r="I111" s="39" t="n">
        <v>2638.55234124113</v>
      </c>
      <c r="J111" s="39" t="n">
        <v>981.484485190409</v>
      </c>
      <c r="K111" s="39" t="n">
        <v>7155.97905643154</v>
      </c>
    </row>
    <row r="112" customFormat="false" ht="15" hidden="false" customHeight="true" outlineLevel="0" collapsed="false">
      <c r="A112" s="13" t="s">
        <v>724</v>
      </c>
      <c r="B112" s="13" t="s">
        <v>160</v>
      </c>
      <c r="C112" s="13" t="s">
        <v>670</v>
      </c>
      <c r="D112" s="13" t="s">
        <v>673</v>
      </c>
      <c r="E112" s="39" t="n">
        <v>3620.03682643154</v>
      </c>
      <c r="F112" s="39" t="n">
        <v>1870.37997042751</v>
      </c>
      <c r="G112" s="39" t="n">
        <v>1157.82854567055</v>
      </c>
      <c r="H112" s="39" t="n">
        <v>507.733713901948</v>
      </c>
      <c r="I112" s="39" t="n">
        <v>2638.55234124113</v>
      </c>
      <c r="J112" s="39" t="n">
        <v>981.484485190409</v>
      </c>
      <c r="K112" s="39" t="n">
        <v>7155.97905643154</v>
      </c>
    </row>
    <row r="113" customFormat="false" ht="15" hidden="false" customHeight="true" outlineLevel="0" collapsed="false">
      <c r="A113" s="13" t="s">
        <v>725</v>
      </c>
      <c r="B113" s="13" t="s">
        <v>160</v>
      </c>
      <c r="C113" s="13" t="s">
        <v>675</v>
      </c>
      <c r="D113" s="13" t="s">
        <v>671</v>
      </c>
      <c r="E113" s="39" t="n">
        <v>3630.95485543159</v>
      </c>
      <c r="F113" s="39" t="n">
        <v>1428.25053934625</v>
      </c>
      <c r="G113" s="39" t="n">
        <v>1255.18258654337</v>
      </c>
      <c r="H113" s="39" t="n">
        <v>848.271994627267</v>
      </c>
      <c r="I113" s="39" t="n">
        <v>2649.47037024118</v>
      </c>
      <c r="J113" s="39" t="n">
        <v>981.484485190409</v>
      </c>
      <c r="K113" s="39" t="n">
        <v>7162.65997594848</v>
      </c>
    </row>
    <row r="114" customFormat="false" ht="15" hidden="false" customHeight="true" outlineLevel="0" collapsed="false">
      <c r="A114" s="13" t="s">
        <v>726</v>
      </c>
      <c r="B114" s="13" t="s">
        <v>160</v>
      </c>
      <c r="C114" s="13" t="s">
        <v>675</v>
      </c>
      <c r="D114" s="13" t="s">
        <v>673</v>
      </c>
      <c r="E114" s="39" t="n">
        <v>3630.95485543159</v>
      </c>
      <c r="F114" s="39" t="n">
        <v>1868.58667097822</v>
      </c>
      <c r="G114" s="39" t="n">
        <v>1155.38473563672</v>
      </c>
      <c r="H114" s="39" t="n">
        <v>507.733713901948</v>
      </c>
      <c r="I114" s="39" t="n">
        <v>2649.47037024118</v>
      </c>
      <c r="J114" s="39" t="n">
        <v>981.484485190409</v>
      </c>
      <c r="K114" s="39" t="n">
        <v>7162.65997594848</v>
      </c>
    </row>
    <row r="115" customFormat="false" ht="15" hidden="false" customHeight="true" outlineLevel="0" collapsed="false">
      <c r="A115" s="13" t="s">
        <v>727</v>
      </c>
      <c r="B115" s="13" t="s">
        <v>160</v>
      </c>
      <c r="C115" s="13" t="s">
        <v>678</v>
      </c>
      <c r="D115" s="13" t="s">
        <v>671</v>
      </c>
      <c r="E115" s="39" t="n">
        <v>4295</v>
      </c>
      <c r="F115" s="39" t="n">
        <v>1319.180322364</v>
      </c>
      <c r="G115" s="39" t="n">
        <v>1106.54768300873</v>
      </c>
      <c r="H115" s="39" t="n">
        <v>848.271994627267</v>
      </c>
      <c r="I115" s="39" t="n">
        <v>3313.51551480959</v>
      </c>
      <c r="J115" s="39" t="n">
        <v>981.484485190409</v>
      </c>
      <c r="K115" s="39" t="n">
        <v>7569</v>
      </c>
    </row>
    <row r="116" customFormat="false" ht="15" hidden="false" customHeight="true" outlineLevel="0" collapsed="false">
      <c r="A116" s="13" t="s">
        <v>728</v>
      </c>
      <c r="B116" s="13" t="s">
        <v>160</v>
      </c>
      <c r="C116" s="13" t="s">
        <v>678</v>
      </c>
      <c r="D116" s="13" t="s">
        <v>673</v>
      </c>
      <c r="E116" s="39" t="n">
        <v>4295</v>
      </c>
      <c r="F116" s="39" t="n">
        <v>1759.51645399597</v>
      </c>
      <c r="G116" s="39" t="n">
        <v>1006.74983210208</v>
      </c>
      <c r="H116" s="39" t="n">
        <v>507.733713901948</v>
      </c>
      <c r="I116" s="39" t="n">
        <v>3313.51551480959</v>
      </c>
      <c r="J116" s="39" t="n">
        <v>981.484485190409</v>
      </c>
      <c r="K116" s="39" t="n">
        <v>7569</v>
      </c>
    </row>
    <row r="117" customFormat="false" ht="15" hidden="false" customHeight="true" outlineLevel="0" collapsed="false">
      <c r="A117" s="13" t="s">
        <v>729</v>
      </c>
      <c r="B117" s="13" t="s">
        <v>160</v>
      </c>
      <c r="C117" s="13" t="s">
        <v>681</v>
      </c>
      <c r="D117" s="13" t="s">
        <v>671</v>
      </c>
      <c r="E117" s="39" t="n">
        <v>3053</v>
      </c>
      <c r="F117" s="39" t="n">
        <v>1523.180322364</v>
      </c>
      <c r="G117" s="39" t="n">
        <v>1384.54768300873</v>
      </c>
      <c r="H117" s="39" t="n">
        <v>848.271994627267</v>
      </c>
      <c r="I117" s="39" t="n">
        <v>2071.51551480959</v>
      </c>
      <c r="J117" s="39" t="n">
        <v>981.484485190409</v>
      </c>
      <c r="K117" s="39" t="n">
        <v>6809</v>
      </c>
    </row>
    <row r="118" customFormat="false" ht="15" hidden="false" customHeight="true" outlineLevel="0" collapsed="false">
      <c r="A118" s="13" t="s">
        <v>730</v>
      </c>
      <c r="B118" s="13" t="s">
        <v>160</v>
      </c>
      <c r="C118" s="13" t="s">
        <v>681</v>
      </c>
      <c r="D118" s="13" t="s">
        <v>673</v>
      </c>
      <c r="E118" s="39" t="n">
        <v>3053</v>
      </c>
      <c r="F118" s="39" t="n">
        <v>1963.51645399597</v>
      </c>
      <c r="G118" s="39" t="n">
        <v>1284.74983210208</v>
      </c>
      <c r="H118" s="39" t="n">
        <v>507.733713901948</v>
      </c>
      <c r="I118" s="39" t="n">
        <v>2071.51551480959</v>
      </c>
      <c r="J118" s="39" t="n">
        <v>981.484485190409</v>
      </c>
      <c r="K118" s="39" t="n">
        <v>6809</v>
      </c>
    </row>
    <row r="119" customFormat="false" ht="15" hidden="false" customHeight="true" outlineLevel="0" collapsed="false">
      <c r="A119" s="13" t="s">
        <v>731</v>
      </c>
      <c r="B119" s="13" t="s">
        <v>196</v>
      </c>
      <c r="C119" s="13" t="s">
        <v>670</v>
      </c>
      <c r="D119" s="13" t="s">
        <v>671</v>
      </c>
      <c r="E119" s="39" t="n">
        <v>137</v>
      </c>
      <c r="F119" s="39" t="n">
        <v>51.625</v>
      </c>
      <c r="G119" s="39" t="n">
        <v>46</v>
      </c>
      <c r="H119" s="39" t="n">
        <v>31.375</v>
      </c>
      <c r="I119" s="39" t="n">
        <v>90.3333333333333</v>
      </c>
      <c r="J119" s="39" t="n">
        <v>46.6666666666667</v>
      </c>
      <c r="K119" s="39" t="n">
        <v>266</v>
      </c>
    </row>
    <row r="120" customFormat="false" ht="15" hidden="false" customHeight="true" outlineLevel="0" collapsed="false">
      <c r="A120" s="13" t="s">
        <v>732</v>
      </c>
      <c r="B120" s="13" t="s">
        <v>196</v>
      </c>
      <c r="C120" s="13" t="s">
        <v>670</v>
      </c>
      <c r="D120" s="13" t="s">
        <v>673</v>
      </c>
      <c r="E120" s="39" t="n">
        <v>137</v>
      </c>
      <c r="F120" s="39" t="n">
        <v>68.25</v>
      </c>
      <c r="G120" s="39" t="n">
        <v>46</v>
      </c>
      <c r="H120" s="39" t="n">
        <v>14.75</v>
      </c>
      <c r="I120" s="39" t="n">
        <v>90.3333333333333</v>
      </c>
      <c r="J120" s="39" t="n">
        <v>46.6666666666667</v>
      </c>
      <c r="K120" s="39" t="n">
        <v>266</v>
      </c>
    </row>
    <row r="121" customFormat="false" ht="15" hidden="false" customHeight="true" outlineLevel="0" collapsed="false">
      <c r="A121" s="13" t="s">
        <v>733</v>
      </c>
      <c r="B121" s="13" t="s">
        <v>196</v>
      </c>
      <c r="C121" s="13" t="s">
        <v>675</v>
      </c>
      <c r="D121" s="13" t="s">
        <v>671</v>
      </c>
      <c r="E121" s="39" t="n">
        <v>137</v>
      </c>
      <c r="F121" s="39" t="n">
        <v>51.625</v>
      </c>
      <c r="G121" s="39" t="n">
        <v>46</v>
      </c>
      <c r="H121" s="39" t="n">
        <v>31.375</v>
      </c>
      <c r="I121" s="39" t="n">
        <v>90.3333333333333</v>
      </c>
      <c r="J121" s="39" t="n">
        <v>46.6666666666667</v>
      </c>
      <c r="K121" s="39" t="n">
        <v>266</v>
      </c>
    </row>
    <row r="122" customFormat="false" ht="15" hidden="false" customHeight="true" outlineLevel="0" collapsed="false">
      <c r="A122" s="13" t="s">
        <v>734</v>
      </c>
      <c r="B122" s="13" t="s">
        <v>196</v>
      </c>
      <c r="C122" s="13" t="s">
        <v>675</v>
      </c>
      <c r="D122" s="13" t="s">
        <v>673</v>
      </c>
      <c r="E122" s="39" t="n">
        <v>137</v>
      </c>
      <c r="F122" s="39" t="n">
        <v>68.25</v>
      </c>
      <c r="G122" s="39" t="n">
        <v>46</v>
      </c>
      <c r="H122" s="39" t="n">
        <v>14.75</v>
      </c>
      <c r="I122" s="39" t="n">
        <v>90.3333333333333</v>
      </c>
      <c r="J122" s="39" t="n">
        <v>46.6666666666667</v>
      </c>
      <c r="K122" s="39" t="n">
        <v>266</v>
      </c>
    </row>
    <row r="123" customFormat="false" ht="15" hidden="false" customHeight="true" outlineLevel="0" collapsed="false">
      <c r="A123" s="13" t="s">
        <v>735</v>
      </c>
      <c r="B123" s="13" t="s">
        <v>196</v>
      </c>
      <c r="C123" s="13" t="s">
        <v>678</v>
      </c>
      <c r="D123" s="13" t="s">
        <v>671</v>
      </c>
      <c r="E123" s="39" t="n">
        <v>143</v>
      </c>
      <c r="F123" s="39" t="n">
        <v>48.625</v>
      </c>
      <c r="G123" s="39" t="n">
        <v>46</v>
      </c>
      <c r="H123" s="39" t="n">
        <v>31.375</v>
      </c>
      <c r="I123" s="39" t="n">
        <v>96.3333333333333</v>
      </c>
      <c r="J123" s="39" t="n">
        <v>46.6666666666667</v>
      </c>
      <c r="K123" s="39" t="n">
        <v>269</v>
      </c>
    </row>
    <row r="124" customFormat="false" ht="15" hidden="false" customHeight="true" outlineLevel="0" collapsed="false">
      <c r="A124" s="13" t="s">
        <v>736</v>
      </c>
      <c r="B124" s="13" t="s">
        <v>196</v>
      </c>
      <c r="C124" s="13" t="s">
        <v>678</v>
      </c>
      <c r="D124" s="13" t="s">
        <v>673</v>
      </c>
      <c r="E124" s="39" t="n">
        <v>143</v>
      </c>
      <c r="F124" s="39" t="n">
        <v>65.25</v>
      </c>
      <c r="G124" s="39" t="n">
        <v>46</v>
      </c>
      <c r="H124" s="39" t="n">
        <v>14.75</v>
      </c>
      <c r="I124" s="39" t="n">
        <v>96.3333333333333</v>
      </c>
      <c r="J124" s="39" t="n">
        <v>46.6666666666667</v>
      </c>
      <c r="K124" s="39" t="n">
        <v>269</v>
      </c>
    </row>
    <row r="125" customFormat="false" ht="15" hidden="false" customHeight="true" outlineLevel="0" collapsed="false">
      <c r="A125" s="13" t="s">
        <v>737</v>
      </c>
      <c r="B125" s="13" t="s">
        <v>196</v>
      </c>
      <c r="C125" s="13" t="s">
        <v>681</v>
      </c>
      <c r="D125" s="13" t="s">
        <v>671</v>
      </c>
      <c r="E125" s="39" t="n">
        <v>137</v>
      </c>
      <c r="F125" s="39" t="n">
        <v>51.625</v>
      </c>
      <c r="G125" s="39" t="n">
        <v>46</v>
      </c>
      <c r="H125" s="39" t="n">
        <v>31.375</v>
      </c>
      <c r="I125" s="39" t="n">
        <v>90.3333333333333</v>
      </c>
      <c r="J125" s="39" t="n">
        <v>46.6666666666667</v>
      </c>
      <c r="K125" s="39" t="n">
        <v>266</v>
      </c>
    </row>
    <row r="126" customFormat="false" ht="15" hidden="false" customHeight="true" outlineLevel="0" collapsed="false">
      <c r="A126" s="13" t="s">
        <v>738</v>
      </c>
      <c r="B126" s="13" t="s">
        <v>196</v>
      </c>
      <c r="C126" s="13" t="s">
        <v>681</v>
      </c>
      <c r="D126" s="13" t="s">
        <v>673</v>
      </c>
      <c r="E126" s="39" t="n">
        <v>137</v>
      </c>
      <c r="F126" s="39" t="n">
        <v>68.25</v>
      </c>
      <c r="G126" s="39" t="n">
        <v>46</v>
      </c>
      <c r="H126" s="39" t="n">
        <v>14.75</v>
      </c>
      <c r="I126" s="39" t="n">
        <v>90.3333333333333</v>
      </c>
      <c r="J126" s="39" t="n">
        <v>46.6666666666667</v>
      </c>
      <c r="K126" s="39" t="n">
        <v>266</v>
      </c>
    </row>
    <row r="127" customFormat="false" ht="15" hidden="false" customHeight="true" outlineLevel="0" collapsed="false">
      <c r="A127" s="13" t="s">
        <v>739</v>
      </c>
      <c r="B127" s="13" t="s">
        <v>181</v>
      </c>
      <c r="C127" s="13" t="s">
        <v>670</v>
      </c>
      <c r="D127" s="13" t="s">
        <v>671</v>
      </c>
      <c r="E127" s="39" t="n">
        <v>392.922925714286</v>
      </c>
      <c r="F127" s="39" t="n">
        <v>192.617842228809</v>
      </c>
      <c r="G127" s="39" t="n">
        <v>212.032883746295</v>
      </c>
      <c r="H127" s="39" t="n">
        <v>115.439834024896</v>
      </c>
      <c r="I127" s="39" t="n">
        <v>279.056259047619</v>
      </c>
      <c r="J127" s="39" t="n">
        <v>113.866666666667</v>
      </c>
      <c r="K127" s="39" t="n">
        <v>913.013485714286</v>
      </c>
    </row>
    <row r="128" customFormat="false" ht="15" hidden="false" customHeight="true" outlineLevel="0" collapsed="false">
      <c r="A128" s="13" t="s">
        <v>740</v>
      </c>
      <c r="B128" s="13" t="s">
        <v>181</v>
      </c>
      <c r="C128" s="13" t="s">
        <v>670</v>
      </c>
      <c r="D128" s="13" t="s">
        <v>673</v>
      </c>
      <c r="E128" s="39" t="n">
        <v>392.922925714286</v>
      </c>
      <c r="F128" s="39" t="n">
        <v>300.221576668643</v>
      </c>
      <c r="G128" s="39" t="n">
        <v>171.79844391227</v>
      </c>
      <c r="H128" s="39" t="n">
        <v>48.0705394190871</v>
      </c>
      <c r="I128" s="39" t="n">
        <v>279.056259047619</v>
      </c>
      <c r="J128" s="39" t="n">
        <v>113.866666666667</v>
      </c>
      <c r="K128" s="39" t="n">
        <v>913.013485714286</v>
      </c>
    </row>
    <row r="129" customFormat="false" ht="15" hidden="false" customHeight="true" outlineLevel="0" collapsed="false">
      <c r="A129" s="13" t="s">
        <v>741</v>
      </c>
      <c r="B129" s="13" t="s">
        <v>181</v>
      </c>
      <c r="C129" s="13" t="s">
        <v>675</v>
      </c>
      <c r="D129" s="13" t="s">
        <v>671</v>
      </c>
      <c r="E129" s="39" t="n">
        <v>381</v>
      </c>
      <c r="F129" s="39" t="n">
        <v>195.423236514523</v>
      </c>
      <c r="G129" s="39" t="n">
        <v>214.136929460581</v>
      </c>
      <c r="H129" s="39" t="n">
        <v>115.439834024896</v>
      </c>
      <c r="I129" s="39" t="n">
        <v>267.133333333333</v>
      </c>
      <c r="J129" s="39" t="n">
        <v>113.866666666667</v>
      </c>
      <c r="K129" s="39" t="n">
        <v>906</v>
      </c>
    </row>
    <row r="130" customFormat="false" ht="15" hidden="false" customHeight="true" outlineLevel="0" collapsed="false">
      <c r="A130" s="13" t="s">
        <v>742</v>
      </c>
      <c r="B130" s="13" t="s">
        <v>181</v>
      </c>
      <c r="C130" s="13" t="s">
        <v>675</v>
      </c>
      <c r="D130" s="13" t="s">
        <v>673</v>
      </c>
      <c r="E130" s="39" t="n">
        <v>381</v>
      </c>
      <c r="F130" s="39" t="n">
        <v>303.026970954357</v>
      </c>
      <c r="G130" s="39" t="n">
        <v>173.902489626556</v>
      </c>
      <c r="H130" s="39" t="n">
        <v>48.0705394190871</v>
      </c>
      <c r="I130" s="39" t="n">
        <v>267.133333333333</v>
      </c>
      <c r="J130" s="39" t="n">
        <v>113.866666666667</v>
      </c>
      <c r="K130" s="39" t="n">
        <v>906</v>
      </c>
    </row>
    <row r="131" customFormat="false" ht="15" hidden="false" customHeight="true" outlineLevel="0" collapsed="false">
      <c r="A131" s="13" t="s">
        <v>743</v>
      </c>
      <c r="B131" s="13" t="s">
        <v>181</v>
      </c>
      <c r="C131" s="13" t="s">
        <v>678</v>
      </c>
      <c r="D131" s="13" t="s">
        <v>671</v>
      </c>
      <c r="E131" s="39" t="n">
        <v>432</v>
      </c>
      <c r="F131" s="39" t="n">
        <v>183.423236514523</v>
      </c>
      <c r="G131" s="39" t="n">
        <v>205.136929460581</v>
      </c>
      <c r="H131" s="39" t="n">
        <v>115.439834024896</v>
      </c>
      <c r="I131" s="39" t="n">
        <v>318.133333333333</v>
      </c>
      <c r="J131" s="39" t="n">
        <v>113.866666666667</v>
      </c>
      <c r="K131" s="39" t="n">
        <v>936</v>
      </c>
    </row>
    <row r="132" customFormat="false" ht="15" hidden="false" customHeight="true" outlineLevel="0" collapsed="false">
      <c r="A132" s="13" t="s">
        <v>744</v>
      </c>
      <c r="B132" s="13" t="s">
        <v>181</v>
      </c>
      <c r="C132" s="13" t="s">
        <v>678</v>
      </c>
      <c r="D132" s="13" t="s">
        <v>673</v>
      </c>
      <c r="E132" s="39" t="n">
        <v>432</v>
      </c>
      <c r="F132" s="39" t="n">
        <v>291.026970954357</v>
      </c>
      <c r="G132" s="39" t="n">
        <v>164.902489626556</v>
      </c>
      <c r="H132" s="39" t="n">
        <v>48.0705394190871</v>
      </c>
      <c r="I132" s="39" t="n">
        <v>318.133333333333</v>
      </c>
      <c r="J132" s="39" t="n">
        <v>113.866666666667</v>
      </c>
      <c r="K132" s="39" t="n">
        <v>936</v>
      </c>
    </row>
    <row r="133" customFormat="false" ht="15" hidden="false" customHeight="true" outlineLevel="0" collapsed="false">
      <c r="A133" s="13" t="s">
        <v>745</v>
      </c>
      <c r="B133" s="13" t="s">
        <v>181</v>
      </c>
      <c r="C133" s="13" t="s">
        <v>681</v>
      </c>
      <c r="D133" s="13" t="s">
        <v>671</v>
      </c>
      <c r="E133" s="39" t="n">
        <v>381</v>
      </c>
      <c r="F133" s="39" t="n">
        <v>195.423236514523</v>
      </c>
      <c r="G133" s="39" t="n">
        <v>214.136929460581</v>
      </c>
      <c r="H133" s="39" t="n">
        <v>115.439834024896</v>
      </c>
      <c r="I133" s="39" t="n">
        <v>267.133333333333</v>
      </c>
      <c r="J133" s="39" t="n">
        <v>113.866666666667</v>
      </c>
      <c r="K133" s="39" t="n">
        <v>906</v>
      </c>
    </row>
    <row r="134" customFormat="false" ht="15" hidden="false" customHeight="true" outlineLevel="0" collapsed="false">
      <c r="A134" s="13" t="s">
        <v>746</v>
      </c>
      <c r="B134" s="13" t="s">
        <v>181</v>
      </c>
      <c r="C134" s="13" t="s">
        <v>681</v>
      </c>
      <c r="D134" s="13" t="s">
        <v>673</v>
      </c>
      <c r="E134" s="39" t="n">
        <v>381</v>
      </c>
      <c r="F134" s="39" t="n">
        <v>303.026970954357</v>
      </c>
      <c r="G134" s="39" t="n">
        <v>173.902489626556</v>
      </c>
      <c r="H134" s="39" t="n">
        <v>48.0705394190871</v>
      </c>
      <c r="I134" s="39" t="n">
        <v>267.133333333333</v>
      </c>
      <c r="J134" s="39" t="n">
        <v>113.866666666667</v>
      </c>
      <c r="K134" s="39" t="n">
        <v>906</v>
      </c>
    </row>
    <row r="135" customFormat="false" ht="15" hidden="false" customHeight="true" outlineLevel="0" collapsed="false">
      <c r="A135" s="13" t="s">
        <v>747</v>
      </c>
      <c r="B135" s="13" t="s">
        <v>162</v>
      </c>
      <c r="C135" s="13" t="s">
        <v>670</v>
      </c>
      <c r="D135" s="13" t="s">
        <v>671</v>
      </c>
      <c r="E135" s="39" t="n">
        <v>3685.58099853138</v>
      </c>
      <c r="F135" s="39" t="n">
        <v>960.931777378815</v>
      </c>
      <c r="G135" s="39" t="n">
        <v>2231.31399020103</v>
      </c>
      <c r="H135" s="39" t="n">
        <v>1037.56360242015</v>
      </c>
      <c r="I135" s="39" t="n">
        <v>3015.70599853138</v>
      </c>
      <c r="J135" s="39" t="n">
        <v>669.875</v>
      </c>
      <c r="K135" s="39" t="n">
        <v>7915.39036853138</v>
      </c>
    </row>
    <row r="136" customFormat="false" ht="15" hidden="false" customHeight="true" outlineLevel="0" collapsed="false">
      <c r="A136" s="13" t="s">
        <v>748</v>
      </c>
      <c r="B136" s="13" t="s">
        <v>162</v>
      </c>
      <c r="C136" s="13" t="s">
        <v>670</v>
      </c>
      <c r="D136" s="13" t="s">
        <v>673</v>
      </c>
      <c r="E136" s="39" t="n">
        <v>3685.58099853138</v>
      </c>
      <c r="F136" s="39" t="n">
        <v>1531.96947935368</v>
      </c>
      <c r="G136" s="39" t="n">
        <v>2109.95671910588</v>
      </c>
      <c r="H136" s="39" t="n">
        <v>587.883171540438</v>
      </c>
      <c r="I136" s="39" t="n">
        <v>3015.70599853138</v>
      </c>
      <c r="J136" s="39" t="n">
        <v>669.875</v>
      </c>
      <c r="K136" s="39" t="n">
        <v>7915.39036853137</v>
      </c>
    </row>
    <row r="137" customFormat="false" ht="15" hidden="false" customHeight="true" outlineLevel="0" collapsed="false">
      <c r="A137" s="13" t="s">
        <v>749</v>
      </c>
      <c r="B137" s="13" t="s">
        <v>162</v>
      </c>
      <c r="C137" s="13" t="s">
        <v>675</v>
      </c>
      <c r="D137" s="13" t="s">
        <v>671</v>
      </c>
      <c r="E137" s="39" t="n">
        <v>6225.24763209382</v>
      </c>
      <c r="F137" s="39" t="n">
        <v>960.931777378815</v>
      </c>
      <c r="G137" s="39" t="n">
        <v>1505.38352756044</v>
      </c>
      <c r="H137" s="39" t="n">
        <v>947.094791009987</v>
      </c>
      <c r="I137" s="39" t="n">
        <v>5555.37263209382</v>
      </c>
      <c r="J137" s="39" t="n">
        <v>669.875</v>
      </c>
      <c r="K137" s="39" t="n">
        <v>9638.65772804306</v>
      </c>
    </row>
    <row r="138" customFormat="false" ht="15" hidden="false" customHeight="true" outlineLevel="0" collapsed="false">
      <c r="A138" s="13" t="s">
        <v>750</v>
      </c>
      <c r="B138" s="13" t="s">
        <v>162</v>
      </c>
      <c r="C138" s="13" t="s">
        <v>675</v>
      </c>
      <c r="D138" s="13" t="s">
        <v>673</v>
      </c>
      <c r="E138" s="39" t="n">
        <v>6225.24763209382</v>
      </c>
      <c r="F138" s="39" t="n">
        <v>1531.96947935368</v>
      </c>
      <c r="G138" s="39" t="n">
        <v>1384.02625646529</v>
      </c>
      <c r="H138" s="39" t="n">
        <v>497.414360130274</v>
      </c>
      <c r="I138" s="39" t="n">
        <v>5555.37263209382</v>
      </c>
      <c r="J138" s="39" t="n">
        <v>669.875</v>
      </c>
      <c r="K138" s="39" t="n">
        <v>9638.65772804306</v>
      </c>
    </row>
    <row r="139" customFormat="false" ht="15" hidden="false" customHeight="true" outlineLevel="0" collapsed="false">
      <c r="A139" s="13" t="s">
        <v>751</v>
      </c>
      <c r="B139" s="13" t="s">
        <v>162</v>
      </c>
      <c r="C139" s="13" t="s">
        <v>678</v>
      </c>
      <c r="D139" s="13" t="s">
        <v>671</v>
      </c>
      <c r="E139" s="39" t="n">
        <v>7054</v>
      </c>
      <c r="F139" s="39" t="n">
        <v>960.931777378815</v>
      </c>
      <c r="G139" s="39" t="n">
        <v>1268.49551166966</v>
      </c>
      <c r="H139" s="39" t="n">
        <v>917.572710951526</v>
      </c>
      <c r="I139" s="39" t="n">
        <v>6384.125</v>
      </c>
      <c r="J139" s="39" t="n">
        <v>669.875</v>
      </c>
      <c r="K139" s="39" t="n">
        <v>10201</v>
      </c>
    </row>
    <row r="140" customFormat="false" ht="15" hidden="false" customHeight="true" outlineLevel="0" collapsed="false">
      <c r="A140" s="13" t="s">
        <v>752</v>
      </c>
      <c r="B140" s="13" t="s">
        <v>162</v>
      </c>
      <c r="C140" s="13" t="s">
        <v>678</v>
      </c>
      <c r="D140" s="13" t="s">
        <v>673</v>
      </c>
      <c r="E140" s="39" t="n">
        <v>7054</v>
      </c>
      <c r="F140" s="39" t="n">
        <v>1531.96947935368</v>
      </c>
      <c r="G140" s="39" t="n">
        <v>1147.13824057451</v>
      </c>
      <c r="H140" s="39" t="n">
        <v>467.892280071813</v>
      </c>
      <c r="I140" s="39" t="n">
        <v>6384.125</v>
      </c>
      <c r="J140" s="39" t="n">
        <v>669.875</v>
      </c>
      <c r="K140" s="39" t="n">
        <v>10201</v>
      </c>
    </row>
    <row r="141" customFormat="false" ht="15" hidden="false" customHeight="true" outlineLevel="0" collapsed="false">
      <c r="A141" s="13" t="s">
        <v>753</v>
      </c>
      <c r="B141" s="13" t="s">
        <v>162</v>
      </c>
      <c r="C141" s="13" t="s">
        <v>681</v>
      </c>
      <c r="D141" s="13" t="s">
        <v>671</v>
      </c>
      <c r="E141" s="39" t="n">
        <v>2394</v>
      </c>
      <c r="F141" s="39" t="n">
        <v>960.931777378815</v>
      </c>
      <c r="G141" s="39" t="n">
        <v>2600.49551166966</v>
      </c>
      <c r="H141" s="39" t="n">
        <v>1083.57271095153</v>
      </c>
      <c r="I141" s="39" t="n">
        <v>1724.125</v>
      </c>
      <c r="J141" s="39" t="n">
        <v>669.875</v>
      </c>
      <c r="K141" s="39" t="n">
        <v>7039</v>
      </c>
    </row>
    <row r="142" customFormat="false" ht="15" hidden="false" customHeight="true" outlineLevel="0" collapsed="false">
      <c r="A142" s="13" t="s">
        <v>754</v>
      </c>
      <c r="B142" s="13" t="s">
        <v>162</v>
      </c>
      <c r="C142" s="13" t="s">
        <v>681</v>
      </c>
      <c r="D142" s="13" t="s">
        <v>673</v>
      </c>
      <c r="E142" s="39" t="n">
        <v>2394</v>
      </c>
      <c r="F142" s="39" t="n">
        <v>1531.96947935368</v>
      </c>
      <c r="G142" s="39" t="n">
        <v>2479.13824057451</v>
      </c>
      <c r="H142" s="39" t="n">
        <v>633.892280071813</v>
      </c>
      <c r="I142" s="39" t="n">
        <v>1724.125</v>
      </c>
      <c r="J142" s="39" t="n">
        <v>669.875</v>
      </c>
      <c r="K142" s="39" t="n">
        <v>7039</v>
      </c>
    </row>
    <row r="143" customFormat="false" ht="15" hidden="false" customHeight="true" outlineLevel="0" collapsed="false">
      <c r="A143" s="13" t="s">
        <v>755</v>
      </c>
      <c r="B143" s="13" t="s">
        <v>164</v>
      </c>
      <c r="C143" s="13" t="s">
        <v>670</v>
      </c>
      <c r="D143" s="13" t="s">
        <v>671</v>
      </c>
      <c r="E143" s="39" t="n">
        <v>5415.54366629464</v>
      </c>
      <c r="F143" s="39" t="n">
        <v>1469.21386186542</v>
      </c>
      <c r="G143" s="39" t="n">
        <v>1323.54538176544</v>
      </c>
      <c r="H143" s="39" t="n">
        <v>577.931449502878</v>
      </c>
      <c r="I143" s="39" t="n">
        <v>4905.68539857811</v>
      </c>
      <c r="J143" s="39" t="n">
        <v>509.858267716536</v>
      </c>
      <c r="K143" s="39" t="n">
        <v>8786.23435942839</v>
      </c>
    </row>
    <row r="144" customFormat="false" ht="15" hidden="false" customHeight="true" outlineLevel="0" collapsed="false">
      <c r="A144" s="13" t="s">
        <v>756</v>
      </c>
      <c r="B144" s="13" t="s">
        <v>164</v>
      </c>
      <c r="C144" s="13" t="s">
        <v>670</v>
      </c>
      <c r="D144" s="13" t="s">
        <v>673</v>
      </c>
      <c r="E144" s="39" t="n">
        <v>5415.54366629464</v>
      </c>
      <c r="F144" s="39" t="n">
        <v>1791.53882261896</v>
      </c>
      <c r="G144" s="39" t="n">
        <v>1209.44805052526</v>
      </c>
      <c r="H144" s="39" t="n">
        <v>369.703819989534</v>
      </c>
      <c r="I144" s="39" t="n">
        <v>4905.68539857811</v>
      </c>
      <c r="J144" s="39" t="n">
        <v>509.858267716536</v>
      </c>
      <c r="K144" s="39" t="n">
        <v>8786.23435942839</v>
      </c>
    </row>
    <row r="145" customFormat="false" ht="15" hidden="false" customHeight="true" outlineLevel="0" collapsed="false">
      <c r="A145" s="13" t="s">
        <v>757</v>
      </c>
      <c r="B145" s="13" t="s">
        <v>164</v>
      </c>
      <c r="C145" s="13" t="s">
        <v>675</v>
      </c>
      <c r="D145" s="13" t="s">
        <v>671</v>
      </c>
      <c r="E145" s="39" t="n">
        <v>6761.33629180475</v>
      </c>
      <c r="F145" s="39" t="n">
        <v>1245.42602208812</v>
      </c>
      <c r="G145" s="39" t="n">
        <v>1024.13973311361</v>
      </c>
      <c r="H145" s="39" t="n">
        <v>577.931449502878</v>
      </c>
      <c r="I145" s="39" t="n">
        <v>6251.47802408822</v>
      </c>
      <c r="J145" s="39" t="n">
        <v>509.858267716536</v>
      </c>
      <c r="K145" s="39" t="n">
        <v>9608.83349650936</v>
      </c>
    </row>
    <row r="146" customFormat="false" ht="15" hidden="false" customHeight="true" outlineLevel="0" collapsed="false">
      <c r="A146" s="13" t="s">
        <v>758</v>
      </c>
      <c r="B146" s="13" t="s">
        <v>164</v>
      </c>
      <c r="C146" s="13" t="s">
        <v>675</v>
      </c>
      <c r="D146" s="13" t="s">
        <v>673</v>
      </c>
      <c r="E146" s="39" t="n">
        <v>6761.33629180475</v>
      </c>
      <c r="F146" s="39" t="n">
        <v>1567.75098284165</v>
      </c>
      <c r="G146" s="39" t="n">
        <v>910.042401873424</v>
      </c>
      <c r="H146" s="39" t="n">
        <v>369.703819989534</v>
      </c>
      <c r="I146" s="39" t="n">
        <v>6251.47802408822</v>
      </c>
      <c r="J146" s="39" t="n">
        <v>509.858267716536</v>
      </c>
      <c r="K146" s="39" t="n">
        <v>9608.83349650936</v>
      </c>
    </row>
    <row r="147" customFormat="false" ht="15" hidden="false" customHeight="true" outlineLevel="0" collapsed="false">
      <c r="A147" s="13" t="s">
        <v>759</v>
      </c>
      <c r="B147" s="13" t="s">
        <v>164</v>
      </c>
      <c r="C147" s="13" t="s">
        <v>678</v>
      </c>
      <c r="D147" s="13" t="s">
        <v>671</v>
      </c>
      <c r="E147" s="39" t="n">
        <v>7506</v>
      </c>
      <c r="F147" s="39" t="n">
        <v>1121.59811616955</v>
      </c>
      <c r="G147" s="39" t="n">
        <v>858.470434327577</v>
      </c>
      <c r="H147" s="39" t="n">
        <v>577.931449502878</v>
      </c>
      <c r="I147" s="39" t="n">
        <v>6996.14173228347</v>
      </c>
      <c r="J147" s="39" t="n">
        <v>509.858267716536</v>
      </c>
      <c r="K147" s="39" t="n">
        <v>10064</v>
      </c>
    </row>
    <row r="148" customFormat="false" ht="15" hidden="false" customHeight="true" outlineLevel="0" collapsed="false">
      <c r="A148" s="13" t="s">
        <v>760</v>
      </c>
      <c r="B148" s="13" t="s">
        <v>164</v>
      </c>
      <c r="C148" s="13" t="s">
        <v>678</v>
      </c>
      <c r="D148" s="13" t="s">
        <v>673</v>
      </c>
      <c r="E148" s="39" t="n">
        <v>7506</v>
      </c>
      <c r="F148" s="39" t="n">
        <v>1443.92307692308</v>
      </c>
      <c r="G148" s="39" t="n">
        <v>744.373103087389</v>
      </c>
      <c r="H148" s="39" t="n">
        <v>369.703819989534</v>
      </c>
      <c r="I148" s="39" t="n">
        <v>6996.14173228347</v>
      </c>
      <c r="J148" s="39" t="n">
        <v>509.858267716536</v>
      </c>
      <c r="K148" s="39" t="n">
        <v>10064</v>
      </c>
    </row>
    <row r="149" customFormat="false" ht="15" hidden="false" customHeight="true" outlineLevel="0" collapsed="false">
      <c r="A149" s="13" t="s">
        <v>761</v>
      </c>
      <c r="B149" s="13" t="s">
        <v>164</v>
      </c>
      <c r="C149" s="13" t="s">
        <v>681</v>
      </c>
      <c r="D149" s="13" t="s">
        <v>671</v>
      </c>
      <c r="E149" s="39" t="n">
        <v>3555</v>
      </c>
      <c r="F149" s="39" t="n">
        <v>1778.59811616955</v>
      </c>
      <c r="G149" s="39" t="n">
        <v>1737.47043432758</v>
      </c>
      <c r="H149" s="39" t="n">
        <v>577.931449502878</v>
      </c>
      <c r="I149" s="39" t="n">
        <v>3045.14173228347</v>
      </c>
      <c r="J149" s="39" t="n">
        <v>509.858267716536</v>
      </c>
      <c r="K149" s="39" t="n">
        <v>7649</v>
      </c>
    </row>
    <row r="150" customFormat="false" ht="15" hidden="false" customHeight="true" outlineLevel="0" collapsed="false">
      <c r="A150" s="13" t="s">
        <v>762</v>
      </c>
      <c r="B150" s="13" t="s">
        <v>164</v>
      </c>
      <c r="C150" s="13" t="s">
        <v>681</v>
      </c>
      <c r="D150" s="13" t="s">
        <v>673</v>
      </c>
      <c r="E150" s="39" t="n">
        <v>3555</v>
      </c>
      <c r="F150" s="39" t="n">
        <v>2100.92307692308</v>
      </c>
      <c r="G150" s="39" t="n">
        <v>1623.37310308739</v>
      </c>
      <c r="H150" s="39" t="n">
        <v>369.703819989534</v>
      </c>
      <c r="I150" s="39" t="n">
        <v>3045.14173228347</v>
      </c>
      <c r="J150" s="39" t="n">
        <v>509.858267716536</v>
      </c>
      <c r="K150" s="39" t="n">
        <v>7649</v>
      </c>
    </row>
    <row r="151" customFormat="false" ht="15" hidden="false" customHeight="true" outlineLevel="0" collapsed="false">
      <c r="A151" s="13" t="s">
        <v>763</v>
      </c>
      <c r="B151" s="13" t="s">
        <v>166</v>
      </c>
      <c r="C151" s="13" t="s">
        <v>670</v>
      </c>
      <c r="D151" s="13" t="s">
        <v>671</v>
      </c>
      <c r="E151" s="39" t="n">
        <v>907.046071232877</v>
      </c>
      <c r="F151" s="39" t="n">
        <v>372.679834524016</v>
      </c>
      <c r="G151" s="39" t="n">
        <v>374.48838193168</v>
      </c>
      <c r="H151" s="39" t="n">
        <v>190.574683544304</v>
      </c>
      <c r="I151" s="39" t="n">
        <v>636.99507973146</v>
      </c>
      <c r="J151" s="39" t="n">
        <v>270.050991501417</v>
      </c>
      <c r="K151" s="39" t="n">
        <v>1844.78897123288</v>
      </c>
    </row>
    <row r="152" customFormat="false" ht="15" hidden="false" customHeight="true" outlineLevel="0" collapsed="false">
      <c r="A152" s="13" t="s">
        <v>764</v>
      </c>
      <c r="B152" s="13" t="s">
        <v>166</v>
      </c>
      <c r="C152" s="13" t="s">
        <v>670</v>
      </c>
      <c r="D152" s="13" t="s">
        <v>673</v>
      </c>
      <c r="E152" s="39" t="n">
        <v>907.046071232877</v>
      </c>
      <c r="F152" s="39" t="n">
        <v>507.960847182244</v>
      </c>
      <c r="G152" s="39" t="n">
        <v>319.820027501301</v>
      </c>
      <c r="H152" s="39" t="n">
        <v>109.962025316456</v>
      </c>
      <c r="I152" s="39" t="n">
        <v>636.99507973146</v>
      </c>
      <c r="J152" s="39" t="n">
        <v>270.050991501417</v>
      </c>
      <c r="K152" s="39" t="n">
        <v>1844.78897123288</v>
      </c>
    </row>
    <row r="153" customFormat="false" ht="15" hidden="false" customHeight="true" outlineLevel="0" collapsed="false">
      <c r="A153" s="13" t="s">
        <v>765</v>
      </c>
      <c r="B153" s="13" t="s">
        <v>166</v>
      </c>
      <c r="C153" s="13" t="s">
        <v>675</v>
      </c>
      <c r="D153" s="13" t="s">
        <v>671</v>
      </c>
      <c r="E153" s="39" t="n">
        <v>929.086326756344</v>
      </c>
      <c r="F153" s="39" t="n">
        <v>369.580423591028</v>
      </c>
      <c r="G153" s="39" t="n">
        <v>369.20790404585</v>
      </c>
      <c r="H153" s="39" t="n">
        <v>190.574683544304</v>
      </c>
      <c r="I153" s="39" t="n">
        <v>659.035335254928</v>
      </c>
      <c r="J153" s="39" t="n">
        <v>270.050991501416</v>
      </c>
      <c r="K153" s="39" t="n">
        <v>1858.44933793753</v>
      </c>
    </row>
    <row r="154" customFormat="false" ht="15" hidden="false" customHeight="true" outlineLevel="0" collapsed="false">
      <c r="A154" s="13" t="s">
        <v>766</v>
      </c>
      <c r="B154" s="13" t="s">
        <v>166</v>
      </c>
      <c r="C154" s="13" t="s">
        <v>675</v>
      </c>
      <c r="D154" s="13" t="s">
        <v>673</v>
      </c>
      <c r="E154" s="39" t="n">
        <v>929.086326756344</v>
      </c>
      <c r="F154" s="39" t="n">
        <v>504.861436249256</v>
      </c>
      <c r="G154" s="39" t="n">
        <v>314.53954961547</v>
      </c>
      <c r="H154" s="39" t="n">
        <v>109.962025316456</v>
      </c>
      <c r="I154" s="39" t="n">
        <v>659.035335254928</v>
      </c>
      <c r="J154" s="39" t="n">
        <v>270.050991501416</v>
      </c>
      <c r="K154" s="39" t="n">
        <v>1858.44933793753</v>
      </c>
    </row>
    <row r="155" customFormat="false" ht="15" hidden="false" customHeight="true" outlineLevel="0" collapsed="false">
      <c r="A155" s="13" t="s">
        <v>767</v>
      </c>
      <c r="B155" s="13" t="s">
        <v>166</v>
      </c>
      <c r="C155" s="13" t="s">
        <v>678</v>
      </c>
      <c r="D155" s="13" t="s">
        <v>671</v>
      </c>
      <c r="E155" s="39" t="n">
        <v>1101</v>
      </c>
      <c r="F155" s="39" t="n">
        <v>345.405063291139</v>
      </c>
      <c r="G155" s="39" t="n">
        <v>328.020253164557</v>
      </c>
      <c r="H155" s="39" t="n">
        <v>190.574683544304</v>
      </c>
      <c r="I155" s="39" t="n">
        <v>830.949008498584</v>
      </c>
      <c r="J155" s="39" t="n">
        <v>270.050991501416</v>
      </c>
      <c r="K155" s="39" t="n">
        <v>1965</v>
      </c>
    </row>
    <row r="156" customFormat="false" ht="15" hidden="false" customHeight="true" outlineLevel="0" collapsed="false">
      <c r="A156" s="13" t="s">
        <v>768</v>
      </c>
      <c r="B156" s="13" t="s">
        <v>166</v>
      </c>
      <c r="C156" s="13" t="s">
        <v>678</v>
      </c>
      <c r="D156" s="13" t="s">
        <v>673</v>
      </c>
      <c r="E156" s="39" t="n">
        <v>1101</v>
      </c>
      <c r="F156" s="39" t="n">
        <v>480.686075949367</v>
      </c>
      <c r="G156" s="39" t="n">
        <v>273.351898734177</v>
      </c>
      <c r="H156" s="39" t="n">
        <v>109.962025316456</v>
      </c>
      <c r="I156" s="39" t="n">
        <v>830.949008498584</v>
      </c>
      <c r="J156" s="39" t="n">
        <v>270.050991501416</v>
      </c>
      <c r="K156" s="39" t="n">
        <v>1965</v>
      </c>
    </row>
    <row r="157" customFormat="false" ht="15" hidden="false" customHeight="true" outlineLevel="0" collapsed="false">
      <c r="A157" s="13" t="s">
        <v>769</v>
      </c>
      <c r="B157" s="13" t="s">
        <v>166</v>
      </c>
      <c r="C157" s="13" t="s">
        <v>681</v>
      </c>
      <c r="D157" s="13" t="s">
        <v>671</v>
      </c>
      <c r="E157" s="39" t="n">
        <v>717</v>
      </c>
      <c r="F157" s="39" t="n">
        <v>399.405063291139</v>
      </c>
      <c r="G157" s="39" t="n">
        <v>420.020253164557</v>
      </c>
      <c r="H157" s="39" t="n">
        <v>190.574683544304</v>
      </c>
      <c r="I157" s="39" t="n">
        <v>446.949008498584</v>
      </c>
      <c r="J157" s="39" t="n">
        <v>270.050991501416</v>
      </c>
      <c r="K157" s="39" t="n">
        <v>1727</v>
      </c>
    </row>
    <row r="158" customFormat="false" ht="15" hidden="false" customHeight="true" outlineLevel="0" collapsed="false">
      <c r="A158" s="13" t="s">
        <v>770</v>
      </c>
      <c r="B158" s="13" t="s">
        <v>166</v>
      </c>
      <c r="C158" s="13" t="s">
        <v>681</v>
      </c>
      <c r="D158" s="13" t="s">
        <v>673</v>
      </c>
      <c r="E158" s="39" t="n">
        <v>717</v>
      </c>
      <c r="F158" s="39" t="n">
        <v>534.686075949367</v>
      </c>
      <c r="G158" s="39" t="n">
        <v>365.351898734177</v>
      </c>
      <c r="H158" s="39" t="n">
        <v>109.962025316456</v>
      </c>
      <c r="I158" s="39" t="n">
        <v>446.949008498584</v>
      </c>
      <c r="J158" s="39" t="n">
        <v>270.050991501416</v>
      </c>
      <c r="K158" s="39" t="n">
        <v>1727</v>
      </c>
    </row>
    <row r="159" customFormat="false" ht="15" hidden="false" customHeight="true" outlineLevel="0" collapsed="false">
      <c r="A159" s="13" t="s">
        <v>771</v>
      </c>
      <c r="B159" s="13" t="s">
        <v>198</v>
      </c>
      <c r="C159" s="13" t="s">
        <v>670</v>
      </c>
      <c r="D159" s="13" t="s">
        <v>671</v>
      </c>
      <c r="E159" s="39" t="n">
        <v>375.808362638889</v>
      </c>
      <c r="F159" s="39" t="n">
        <v>76.4156626506024</v>
      </c>
      <c r="G159" s="39" t="n">
        <v>76.2814725184069</v>
      </c>
      <c r="H159" s="39" t="n">
        <v>55.0792748309906</v>
      </c>
      <c r="I159" s="39" t="n">
        <v>324.825311791431</v>
      </c>
      <c r="J159" s="39" t="n">
        <v>50.9830508474576</v>
      </c>
      <c r="K159" s="39" t="n">
        <v>583.584772638889</v>
      </c>
    </row>
    <row r="160" customFormat="false" ht="15" hidden="false" customHeight="true" outlineLevel="0" collapsed="false">
      <c r="A160" s="13" t="s">
        <v>772</v>
      </c>
      <c r="B160" s="13" t="s">
        <v>198</v>
      </c>
      <c r="C160" s="13" t="s">
        <v>670</v>
      </c>
      <c r="D160" s="13" t="s">
        <v>673</v>
      </c>
      <c r="E160" s="39" t="n">
        <v>375.808362638889</v>
      </c>
      <c r="F160" s="39" t="n">
        <v>109.614457831325</v>
      </c>
      <c r="G160" s="39" t="n">
        <v>66.2212315545515</v>
      </c>
      <c r="H160" s="39" t="n">
        <v>31.9407206141232</v>
      </c>
      <c r="I160" s="39" t="n">
        <v>324.825311791431</v>
      </c>
      <c r="J160" s="39" t="n">
        <v>50.9830508474576</v>
      </c>
      <c r="K160" s="39" t="n">
        <v>583.584772638889</v>
      </c>
    </row>
    <row r="161" customFormat="false" ht="15" hidden="false" customHeight="true" outlineLevel="0" collapsed="false">
      <c r="A161" s="13" t="s">
        <v>773</v>
      </c>
      <c r="B161" s="13" t="s">
        <v>198</v>
      </c>
      <c r="C161" s="13" t="s">
        <v>675</v>
      </c>
      <c r="D161" s="13" t="s">
        <v>671</v>
      </c>
      <c r="E161" s="39" t="n">
        <v>338.395349852551</v>
      </c>
      <c r="F161" s="39" t="n">
        <v>76.4156626506024</v>
      </c>
      <c r="G161" s="39" t="n">
        <v>85.9206330179437</v>
      </c>
      <c r="H161" s="39" t="n">
        <v>57.2031576529225</v>
      </c>
      <c r="I161" s="39" t="n">
        <v>287.412299005094</v>
      </c>
      <c r="J161" s="39" t="n">
        <v>50.9830508474577</v>
      </c>
      <c r="K161" s="39" t="n">
        <v>557.93480317402</v>
      </c>
    </row>
    <row r="162" customFormat="false" ht="15" hidden="false" customHeight="true" outlineLevel="0" collapsed="false">
      <c r="A162" s="13" t="s">
        <v>774</v>
      </c>
      <c r="B162" s="13" t="s">
        <v>198</v>
      </c>
      <c r="C162" s="13" t="s">
        <v>675</v>
      </c>
      <c r="D162" s="13" t="s">
        <v>673</v>
      </c>
      <c r="E162" s="39" t="n">
        <v>338.395349852551</v>
      </c>
      <c r="F162" s="39" t="n">
        <v>109.614457831325</v>
      </c>
      <c r="G162" s="39" t="n">
        <v>75.8603920540884</v>
      </c>
      <c r="H162" s="39" t="n">
        <v>34.064603436055</v>
      </c>
      <c r="I162" s="39" t="n">
        <v>287.412299005094</v>
      </c>
      <c r="J162" s="39" t="n">
        <v>50.9830508474577</v>
      </c>
      <c r="K162" s="39" t="n">
        <v>557.93480317402</v>
      </c>
    </row>
    <row r="163" customFormat="false" ht="15" hidden="false" customHeight="true" outlineLevel="0" collapsed="false">
      <c r="A163" s="13" t="s">
        <v>775</v>
      </c>
      <c r="B163" s="13" t="s">
        <v>198</v>
      </c>
      <c r="C163" s="13" t="s">
        <v>678</v>
      </c>
      <c r="D163" s="13" t="s">
        <v>671</v>
      </c>
      <c r="E163" s="39" t="n">
        <v>391</v>
      </c>
      <c r="F163" s="39" t="n">
        <v>76.4156626506024</v>
      </c>
      <c r="G163" s="39" t="n">
        <v>72.3674698795181</v>
      </c>
      <c r="H163" s="39" t="n">
        <v>54.2168674698795</v>
      </c>
      <c r="I163" s="39" t="n">
        <v>340.016949152542</v>
      </c>
      <c r="J163" s="39" t="n">
        <v>50.9830508474577</v>
      </c>
      <c r="K163" s="39" t="n">
        <v>594</v>
      </c>
    </row>
    <row r="164" customFormat="false" ht="15" hidden="false" customHeight="true" outlineLevel="0" collapsed="false">
      <c r="A164" s="13" t="s">
        <v>776</v>
      </c>
      <c r="B164" s="13" t="s">
        <v>198</v>
      </c>
      <c r="C164" s="13" t="s">
        <v>678</v>
      </c>
      <c r="D164" s="13" t="s">
        <v>673</v>
      </c>
      <c r="E164" s="39" t="n">
        <v>391</v>
      </c>
      <c r="F164" s="39" t="n">
        <v>109.614457831325</v>
      </c>
      <c r="G164" s="39" t="n">
        <v>62.3072289156627</v>
      </c>
      <c r="H164" s="39" t="n">
        <v>31.0783132530121</v>
      </c>
      <c r="I164" s="39" t="n">
        <v>340.016949152542</v>
      </c>
      <c r="J164" s="39" t="n">
        <v>50.9830508474577</v>
      </c>
      <c r="K164" s="39" t="n">
        <v>594</v>
      </c>
    </row>
    <row r="165" customFormat="false" ht="15" hidden="false" customHeight="true" outlineLevel="0" collapsed="false">
      <c r="A165" s="13" t="s">
        <v>777</v>
      </c>
      <c r="B165" s="13" t="s">
        <v>198</v>
      </c>
      <c r="C165" s="13" t="s">
        <v>681</v>
      </c>
      <c r="D165" s="13" t="s">
        <v>671</v>
      </c>
      <c r="E165" s="39" t="n">
        <v>162</v>
      </c>
      <c r="F165" s="39" t="n">
        <v>76.4156626506024</v>
      </c>
      <c r="G165" s="39" t="n">
        <v>131.367469879518</v>
      </c>
      <c r="H165" s="39" t="n">
        <v>67.2168674698795</v>
      </c>
      <c r="I165" s="39" t="n">
        <v>111.016949152542</v>
      </c>
      <c r="J165" s="39" t="n">
        <v>50.9830508474576</v>
      </c>
      <c r="K165" s="39" t="n">
        <v>437</v>
      </c>
    </row>
    <row r="166" customFormat="false" ht="15" hidden="false" customHeight="true" outlineLevel="0" collapsed="false">
      <c r="A166" s="13" t="s">
        <v>778</v>
      </c>
      <c r="B166" s="13" t="s">
        <v>198</v>
      </c>
      <c r="C166" s="13" t="s">
        <v>681</v>
      </c>
      <c r="D166" s="13" t="s">
        <v>673</v>
      </c>
      <c r="E166" s="39" t="n">
        <v>162</v>
      </c>
      <c r="F166" s="39" t="n">
        <v>109.614457831325</v>
      </c>
      <c r="G166" s="39" t="n">
        <v>121.307228915663</v>
      </c>
      <c r="H166" s="39" t="n">
        <v>44.078313253012</v>
      </c>
      <c r="I166" s="39" t="n">
        <v>111.016949152542</v>
      </c>
      <c r="J166" s="39" t="n">
        <v>50.9830508474576</v>
      </c>
      <c r="K166" s="39" t="n">
        <v>437</v>
      </c>
    </row>
    <row r="167" customFormat="false" ht="15" hidden="false" customHeight="true" outlineLevel="0" collapsed="false">
      <c r="A167" s="13" t="s">
        <v>779</v>
      </c>
      <c r="B167" s="13" t="s">
        <v>168</v>
      </c>
      <c r="C167" s="13" t="s">
        <v>670</v>
      </c>
      <c r="D167" s="13" t="s">
        <v>671</v>
      </c>
      <c r="E167" s="39" t="n">
        <v>2803.43603738318</v>
      </c>
      <c r="F167" s="39" t="n">
        <v>1273.6965922722</v>
      </c>
      <c r="G167" s="39" t="n">
        <v>1879.21169507033</v>
      </c>
      <c r="H167" s="39" t="n">
        <v>964.436712657469</v>
      </c>
      <c r="I167" s="39" t="n">
        <v>2017.6418996872</v>
      </c>
      <c r="J167" s="39" t="n">
        <v>785.794137695978</v>
      </c>
      <c r="K167" s="39" t="n">
        <v>6920.78103738318</v>
      </c>
    </row>
    <row r="168" customFormat="false" ht="15" hidden="false" customHeight="true" outlineLevel="0" collapsed="false">
      <c r="A168" s="13" t="s">
        <v>780</v>
      </c>
      <c r="B168" s="13" t="s">
        <v>168</v>
      </c>
      <c r="C168" s="13" t="s">
        <v>670</v>
      </c>
      <c r="D168" s="13" t="s">
        <v>673</v>
      </c>
      <c r="E168" s="39" t="n">
        <v>2803.43603738318</v>
      </c>
      <c r="F168" s="39" t="n">
        <v>1909.37985561953</v>
      </c>
      <c r="G168" s="39" t="n">
        <v>1720.97294282078</v>
      </c>
      <c r="H168" s="39" t="n">
        <v>486.992201559688</v>
      </c>
      <c r="I168" s="39" t="n">
        <v>2017.6418996872</v>
      </c>
      <c r="J168" s="39" t="n">
        <v>785.794137695978</v>
      </c>
      <c r="K168" s="39" t="n">
        <v>6920.78103738318</v>
      </c>
    </row>
    <row r="169" customFormat="false" ht="15" hidden="false" customHeight="true" outlineLevel="0" collapsed="false">
      <c r="A169" s="13" t="s">
        <v>781</v>
      </c>
      <c r="B169" s="13" t="s">
        <v>168</v>
      </c>
      <c r="C169" s="13" t="s">
        <v>675</v>
      </c>
      <c r="D169" s="13" t="s">
        <v>671</v>
      </c>
      <c r="E169" s="39" t="n">
        <v>3480.51237747362</v>
      </c>
      <c r="F169" s="39" t="n">
        <v>1261.23770022739</v>
      </c>
      <c r="G169" s="39" t="n">
        <v>1661.82550973672</v>
      </c>
      <c r="H169" s="39" t="n">
        <v>964.436712657469</v>
      </c>
      <c r="I169" s="39" t="n">
        <v>2694.71823977765</v>
      </c>
      <c r="J169" s="39" t="n">
        <v>785.794137695978</v>
      </c>
      <c r="K169" s="39" t="n">
        <v>7368.0123000952</v>
      </c>
    </row>
    <row r="170" customFormat="false" ht="15" hidden="false" customHeight="true" outlineLevel="0" collapsed="false">
      <c r="A170" s="13" t="s">
        <v>782</v>
      </c>
      <c r="B170" s="13" t="s">
        <v>168</v>
      </c>
      <c r="C170" s="13" t="s">
        <v>675</v>
      </c>
      <c r="D170" s="13" t="s">
        <v>673</v>
      </c>
      <c r="E170" s="39" t="n">
        <v>3480.51237747362</v>
      </c>
      <c r="F170" s="39" t="n">
        <v>1896.92096357472</v>
      </c>
      <c r="G170" s="39" t="n">
        <v>1503.58675748717</v>
      </c>
      <c r="H170" s="39" t="n">
        <v>486.992201559688</v>
      </c>
      <c r="I170" s="39" t="n">
        <v>2694.71823977765</v>
      </c>
      <c r="J170" s="39" t="n">
        <v>785.794137695978</v>
      </c>
      <c r="K170" s="39" t="n">
        <v>7368.01230009521</v>
      </c>
    </row>
    <row r="171" customFormat="false" ht="15" hidden="false" customHeight="true" outlineLevel="0" collapsed="false">
      <c r="A171" s="13" t="s">
        <v>783</v>
      </c>
      <c r="B171" s="13" t="s">
        <v>168</v>
      </c>
      <c r="C171" s="13" t="s">
        <v>678</v>
      </c>
      <c r="D171" s="13" t="s">
        <v>671</v>
      </c>
      <c r="E171" s="39" t="n">
        <v>4242</v>
      </c>
      <c r="F171" s="39" t="n">
        <v>1247.22555488902</v>
      </c>
      <c r="G171" s="39" t="n">
        <v>1417.33773245351</v>
      </c>
      <c r="H171" s="39" t="n">
        <v>964.436712657469</v>
      </c>
      <c r="I171" s="39" t="n">
        <v>3456.20586230402</v>
      </c>
      <c r="J171" s="39" t="n">
        <v>785.794137695978</v>
      </c>
      <c r="K171" s="39" t="n">
        <v>7871</v>
      </c>
    </row>
    <row r="172" customFormat="false" ht="15" hidden="false" customHeight="true" outlineLevel="0" collapsed="false">
      <c r="A172" s="13" t="s">
        <v>784</v>
      </c>
      <c r="B172" s="13" t="s">
        <v>168</v>
      </c>
      <c r="C172" s="13" t="s">
        <v>678</v>
      </c>
      <c r="D172" s="13" t="s">
        <v>673</v>
      </c>
      <c r="E172" s="39" t="n">
        <v>4242</v>
      </c>
      <c r="F172" s="39" t="n">
        <v>1882.90881823635</v>
      </c>
      <c r="G172" s="39" t="n">
        <v>1259.09898020396</v>
      </c>
      <c r="H172" s="39" t="n">
        <v>486.992201559688</v>
      </c>
      <c r="I172" s="39" t="n">
        <v>3456.20586230402</v>
      </c>
      <c r="J172" s="39" t="n">
        <v>785.794137695978</v>
      </c>
      <c r="K172" s="39" t="n">
        <v>7871</v>
      </c>
    </row>
    <row r="173" customFormat="false" ht="15" hidden="false" customHeight="true" outlineLevel="0" collapsed="false">
      <c r="A173" s="13" t="s">
        <v>785</v>
      </c>
      <c r="B173" s="13" t="s">
        <v>168</v>
      </c>
      <c r="C173" s="13" t="s">
        <v>681</v>
      </c>
      <c r="D173" s="13" t="s">
        <v>671</v>
      </c>
      <c r="E173" s="39" t="n">
        <v>2666</v>
      </c>
      <c r="F173" s="39" t="n">
        <v>1276.22555488902</v>
      </c>
      <c r="G173" s="39" t="n">
        <v>1923.33773245351</v>
      </c>
      <c r="H173" s="39" t="n">
        <v>964.436712657469</v>
      </c>
      <c r="I173" s="39" t="n">
        <v>1880.20586230402</v>
      </c>
      <c r="J173" s="39" t="n">
        <v>785.794137695978</v>
      </c>
      <c r="K173" s="39" t="n">
        <v>6830</v>
      </c>
    </row>
    <row r="174" customFormat="false" ht="15" hidden="false" customHeight="true" outlineLevel="0" collapsed="false">
      <c r="A174" s="13" t="s">
        <v>786</v>
      </c>
      <c r="B174" s="13" t="s">
        <v>168</v>
      </c>
      <c r="C174" s="13" t="s">
        <v>681</v>
      </c>
      <c r="D174" s="13" t="s">
        <v>673</v>
      </c>
      <c r="E174" s="39" t="n">
        <v>2666</v>
      </c>
      <c r="F174" s="39" t="n">
        <v>1911.90881823635</v>
      </c>
      <c r="G174" s="39" t="n">
        <v>1765.09898020396</v>
      </c>
      <c r="H174" s="39" t="n">
        <v>486.992201559688</v>
      </c>
      <c r="I174" s="39" t="n">
        <v>1880.20586230402</v>
      </c>
      <c r="J174" s="39" t="n">
        <v>785.794137695978</v>
      </c>
      <c r="K174" s="39" t="n">
        <v>6830</v>
      </c>
    </row>
    <row r="175" customFormat="false" ht="15" hidden="false" customHeight="true" outlineLevel="0" collapsed="false">
      <c r="A175" s="13" t="s">
        <v>787</v>
      </c>
      <c r="B175" s="13" t="s">
        <v>200</v>
      </c>
      <c r="C175" s="13" t="s">
        <v>670</v>
      </c>
      <c r="D175" s="13" t="s">
        <v>671</v>
      </c>
      <c r="E175" s="39" t="n">
        <v>163</v>
      </c>
      <c r="F175" s="39" t="n">
        <v>41.6896551724138</v>
      </c>
      <c r="G175" s="39" t="n">
        <v>39.051724137931</v>
      </c>
      <c r="H175" s="39" t="n">
        <v>39.2586206896552</v>
      </c>
      <c r="I175" s="39" t="n">
        <v>118.35</v>
      </c>
      <c r="J175" s="39" t="n">
        <v>44.65</v>
      </c>
      <c r="K175" s="39" t="n">
        <v>283</v>
      </c>
    </row>
    <row r="176" customFormat="false" ht="15" hidden="false" customHeight="true" outlineLevel="0" collapsed="false">
      <c r="A176" s="13" t="s">
        <v>788</v>
      </c>
      <c r="B176" s="13" t="s">
        <v>200</v>
      </c>
      <c r="C176" s="13" t="s">
        <v>670</v>
      </c>
      <c r="D176" s="13" t="s">
        <v>673</v>
      </c>
      <c r="E176" s="39" t="n">
        <v>163</v>
      </c>
      <c r="F176" s="39" t="n">
        <v>63.6724137931034</v>
      </c>
      <c r="G176" s="39" t="n">
        <v>30.2586206896552</v>
      </c>
      <c r="H176" s="39" t="n">
        <v>26.0689655172414</v>
      </c>
      <c r="I176" s="39" t="n">
        <v>118.35</v>
      </c>
      <c r="J176" s="39" t="n">
        <v>44.65</v>
      </c>
      <c r="K176" s="39" t="n">
        <v>283</v>
      </c>
    </row>
    <row r="177" customFormat="false" ht="15" hidden="false" customHeight="true" outlineLevel="0" collapsed="false">
      <c r="A177" s="13" t="s">
        <v>789</v>
      </c>
      <c r="B177" s="13" t="s">
        <v>200</v>
      </c>
      <c r="C177" s="13" t="s">
        <v>675</v>
      </c>
      <c r="D177" s="13" t="s">
        <v>671</v>
      </c>
      <c r="E177" s="39" t="n">
        <v>163</v>
      </c>
      <c r="F177" s="39" t="n">
        <v>41.6896551724138</v>
      </c>
      <c r="G177" s="39" t="n">
        <v>39.051724137931</v>
      </c>
      <c r="H177" s="39" t="n">
        <v>39.2586206896552</v>
      </c>
      <c r="I177" s="39" t="n">
        <v>118.35</v>
      </c>
      <c r="J177" s="39" t="n">
        <v>44.65</v>
      </c>
      <c r="K177" s="39" t="n">
        <v>283</v>
      </c>
    </row>
    <row r="178" customFormat="false" ht="15" hidden="false" customHeight="true" outlineLevel="0" collapsed="false">
      <c r="A178" s="13" t="s">
        <v>790</v>
      </c>
      <c r="B178" s="13" t="s">
        <v>200</v>
      </c>
      <c r="C178" s="13" t="s">
        <v>675</v>
      </c>
      <c r="D178" s="13" t="s">
        <v>673</v>
      </c>
      <c r="E178" s="39" t="n">
        <v>163</v>
      </c>
      <c r="F178" s="39" t="n">
        <v>63.6724137931034</v>
      </c>
      <c r="G178" s="39" t="n">
        <v>30.2586206896552</v>
      </c>
      <c r="H178" s="39" t="n">
        <v>26.0689655172414</v>
      </c>
      <c r="I178" s="39" t="n">
        <v>118.35</v>
      </c>
      <c r="J178" s="39" t="n">
        <v>44.65</v>
      </c>
      <c r="K178" s="39" t="n">
        <v>283</v>
      </c>
    </row>
    <row r="179" customFormat="false" ht="15" hidden="false" customHeight="true" outlineLevel="0" collapsed="false">
      <c r="A179" s="13" t="s">
        <v>791</v>
      </c>
      <c r="B179" s="13" t="s">
        <v>200</v>
      </c>
      <c r="C179" s="13" t="s">
        <v>678</v>
      </c>
      <c r="D179" s="13" t="s">
        <v>671</v>
      </c>
      <c r="E179" s="39" t="n">
        <v>166</v>
      </c>
      <c r="F179" s="39" t="n">
        <v>41.6896551724138</v>
      </c>
      <c r="G179" s="39" t="n">
        <v>38.051724137931</v>
      </c>
      <c r="H179" s="39" t="n">
        <v>39.2586206896552</v>
      </c>
      <c r="I179" s="39" t="n">
        <v>121.35</v>
      </c>
      <c r="J179" s="39" t="n">
        <v>44.65</v>
      </c>
      <c r="K179" s="39" t="n">
        <v>285</v>
      </c>
    </row>
    <row r="180" customFormat="false" ht="15" hidden="false" customHeight="true" outlineLevel="0" collapsed="false">
      <c r="A180" s="13" t="s">
        <v>792</v>
      </c>
      <c r="B180" s="13" t="s">
        <v>200</v>
      </c>
      <c r="C180" s="13" t="s">
        <v>678</v>
      </c>
      <c r="D180" s="13" t="s">
        <v>673</v>
      </c>
      <c r="E180" s="39" t="n">
        <v>166</v>
      </c>
      <c r="F180" s="39" t="n">
        <v>63.6724137931034</v>
      </c>
      <c r="G180" s="39" t="n">
        <v>29.2586206896552</v>
      </c>
      <c r="H180" s="39" t="n">
        <v>26.0689655172414</v>
      </c>
      <c r="I180" s="39" t="n">
        <v>121.35</v>
      </c>
      <c r="J180" s="39" t="n">
        <v>44.65</v>
      </c>
      <c r="K180" s="39" t="n">
        <v>285</v>
      </c>
    </row>
    <row r="181" customFormat="false" ht="15" hidden="false" customHeight="true" outlineLevel="0" collapsed="false">
      <c r="A181" s="13" t="s">
        <v>793</v>
      </c>
      <c r="B181" s="13" t="s">
        <v>200</v>
      </c>
      <c r="C181" s="13" t="s">
        <v>681</v>
      </c>
      <c r="D181" s="13" t="s">
        <v>671</v>
      </c>
      <c r="E181" s="39" t="n">
        <v>163</v>
      </c>
      <c r="F181" s="39" t="n">
        <v>41.6896551724138</v>
      </c>
      <c r="G181" s="39" t="n">
        <v>39.051724137931</v>
      </c>
      <c r="H181" s="39" t="n">
        <v>39.2586206896552</v>
      </c>
      <c r="I181" s="39" t="n">
        <v>118.35</v>
      </c>
      <c r="J181" s="39" t="n">
        <v>44.65</v>
      </c>
      <c r="K181" s="39" t="n">
        <v>283</v>
      </c>
    </row>
    <row r="182" customFormat="false" ht="15" hidden="false" customHeight="true" outlineLevel="0" collapsed="false">
      <c r="A182" s="13" t="s">
        <v>794</v>
      </c>
      <c r="B182" s="13" t="s">
        <v>200</v>
      </c>
      <c r="C182" s="13" t="s">
        <v>681</v>
      </c>
      <c r="D182" s="13" t="s">
        <v>673</v>
      </c>
      <c r="E182" s="39" t="n">
        <v>163</v>
      </c>
      <c r="F182" s="39" t="n">
        <v>63.6724137931034</v>
      </c>
      <c r="G182" s="39" t="n">
        <v>30.2586206896552</v>
      </c>
      <c r="H182" s="39" t="n">
        <v>26.0689655172414</v>
      </c>
      <c r="I182" s="39" t="n">
        <v>118.35</v>
      </c>
      <c r="J182" s="39" t="n">
        <v>44.65</v>
      </c>
      <c r="K182" s="39" t="n">
        <v>283</v>
      </c>
    </row>
    <row r="183" customFormat="false" ht="15" hidden="false" customHeight="true" outlineLevel="0" collapsed="false">
      <c r="A183" s="13" t="s">
        <v>795</v>
      </c>
      <c r="B183" s="13" t="s">
        <v>202</v>
      </c>
      <c r="C183" s="13" t="s">
        <v>670</v>
      </c>
      <c r="D183" s="13" t="s">
        <v>671</v>
      </c>
      <c r="E183" s="39" t="n">
        <v>197</v>
      </c>
      <c r="F183" s="39" t="n">
        <v>68.1428571428571</v>
      </c>
      <c r="G183" s="39" t="n">
        <v>45.8571428571429</v>
      </c>
      <c r="H183" s="39" t="n">
        <v>26</v>
      </c>
      <c r="I183" s="39" t="n">
        <v>145.540540540541</v>
      </c>
      <c r="J183" s="39" t="n">
        <v>51.4594594594595</v>
      </c>
      <c r="K183" s="39" t="n">
        <v>337</v>
      </c>
    </row>
    <row r="184" customFormat="false" ht="15" hidden="false" customHeight="true" outlineLevel="0" collapsed="false">
      <c r="A184" s="13" t="s">
        <v>796</v>
      </c>
      <c r="B184" s="13" t="s">
        <v>202</v>
      </c>
      <c r="C184" s="13" t="s">
        <v>670</v>
      </c>
      <c r="D184" s="13" t="s">
        <v>673</v>
      </c>
      <c r="E184" s="39" t="n">
        <v>197</v>
      </c>
      <c r="F184" s="39" t="n">
        <v>91</v>
      </c>
      <c r="G184" s="39" t="n">
        <v>33.4761904761905</v>
      </c>
      <c r="H184" s="39" t="n">
        <v>15.5238095238095</v>
      </c>
      <c r="I184" s="39" t="n">
        <v>145.540540540541</v>
      </c>
      <c r="J184" s="39" t="n">
        <v>51.4594594594595</v>
      </c>
      <c r="K184" s="39" t="n">
        <v>337</v>
      </c>
    </row>
    <row r="185" customFormat="false" ht="15" hidden="false" customHeight="true" outlineLevel="0" collapsed="false">
      <c r="A185" s="13" t="s">
        <v>797</v>
      </c>
      <c r="B185" s="13" t="s">
        <v>202</v>
      </c>
      <c r="C185" s="13" t="s">
        <v>675</v>
      </c>
      <c r="D185" s="13" t="s">
        <v>671</v>
      </c>
      <c r="E185" s="39" t="n">
        <v>176</v>
      </c>
      <c r="F185" s="39" t="n">
        <v>68.1428571428571</v>
      </c>
      <c r="G185" s="39" t="n">
        <v>52.8571428571429</v>
      </c>
      <c r="H185" s="39" t="n">
        <v>26</v>
      </c>
      <c r="I185" s="39" t="n">
        <v>124.540540540541</v>
      </c>
      <c r="J185" s="39" t="n">
        <v>51.4594594594595</v>
      </c>
      <c r="K185" s="39" t="n">
        <v>323</v>
      </c>
    </row>
    <row r="186" customFormat="false" ht="15" hidden="false" customHeight="true" outlineLevel="0" collapsed="false">
      <c r="A186" s="13" t="s">
        <v>798</v>
      </c>
      <c r="B186" s="13" t="s">
        <v>202</v>
      </c>
      <c r="C186" s="13" t="s">
        <v>675</v>
      </c>
      <c r="D186" s="13" t="s">
        <v>673</v>
      </c>
      <c r="E186" s="39" t="n">
        <v>176</v>
      </c>
      <c r="F186" s="39" t="n">
        <v>91</v>
      </c>
      <c r="G186" s="39" t="n">
        <v>40.4761904761905</v>
      </c>
      <c r="H186" s="39" t="n">
        <v>15.5238095238095</v>
      </c>
      <c r="I186" s="39" t="n">
        <v>124.540540540541</v>
      </c>
      <c r="J186" s="39" t="n">
        <v>51.4594594594595</v>
      </c>
      <c r="K186" s="39" t="n">
        <v>323</v>
      </c>
    </row>
    <row r="187" customFormat="false" ht="15" hidden="false" customHeight="true" outlineLevel="0" collapsed="false">
      <c r="A187" s="13" t="s">
        <v>799</v>
      </c>
      <c r="B187" s="13" t="s">
        <v>202</v>
      </c>
      <c r="C187" s="13" t="s">
        <v>678</v>
      </c>
      <c r="D187" s="13" t="s">
        <v>671</v>
      </c>
      <c r="E187" s="39" t="n">
        <v>197</v>
      </c>
      <c r="F187" s="39" t="n">
        <v>68.1428571428571</v>
      </c>
      <c r="G187" s="39" t="n">
        <v>45.8571428571429</v>
      </c>
      <c r="H187" s="39" t="n">
        <v>26</v>
      </c>
      <c r="I187" s="39" t="n">
        <v>145.540540540541</v>
      </c>
      <c r="J187" s="39" t="n">
        <v>51.4594594594595</v>
      </c>
      <c r="K187" s="39" t="n">
        <v>337</v>
      </c>
    </row>
    <row r="188" customFormat="false" ht="15" hidden="false" customHeight="true" outlineLevel="0" collapsed="false">
      <c r="A188" s="13" t="s">
        <v>800</v>
      </c>
      <c r="B188" s="13" t="s">
        <v>202</v>
      </c>
      <c r="C188" s="13" t="s">
        <v>678</v>
      </c>
      <c r="D188" s="13" t="s">
        <v>673</v>
      </c>
      <c r="E188" s="39" t="n">
        <v>197</v>
      </c>
      <c r="F188" s="39" t="n">
        <v>91</v>
      </c>
      <c r="G188" s="39" t="n">
        <v>33.4761904761905</v>
      </c>
      <c r="H188" s="39" t="n">
        <v>15.5238095238095</v>
      </c>
      <c r="I188" s="39" t="n">
        <v>145.540540540541</v>
      </c>
      <c r="J188" s="39" t="n">
        <v>51.4594594594595</v>
      </c>
      <c r="K188" s="39" t="n">
        <v>337</v>
      </c>
    </row>
    <row r="189" customFormat="false" ht="15" hidden="false" customHeight="true" outlineLevel="0" collapsed="false">
      <c r="A189" s="13" t="s">
        <v>801</v>
      </c>
      <c r="B189" s="13" t="s">
        <v>202</v>
      </c>
      <c r="C189" s="13" t="s">
        <v>681</v>
      </c>
      <c r="D189" s="13" t="s">
        <v>671</v>
      </c>
      <c r="E189" s="39" t="n">
        <v>176</v>
      </c>
      <c r="F189" s="39" t="n">
        <v>68.1428571428571</v>
      </c>
      <c r="G189" s="39" t="n">
        <v>52.8571428571429</v>
      </c>
      <c r="H189" s="39" t="n">
        <v>26</v>
      </c>
      <c r="I189" s="39" t="n">
        <v>124.540540540541</v>
      </c>
      <c r="J189" s="39" t="n">
        <v>51.4594594594595</v>
      </c>
      <c r="K189" s="39" t="n">
        <v>323</v>
      </c>
    </row>
    <row r="190" customFormat="false" ht="15" hidden="false" customHeight="true" outlineLevel="0" collapsed="false">
      <c r="A190" s="13" t="s">
        <v>802</v>
      </c>
      <c r="B190" s="13" t="s">
        <v>202</v>
      </c>
      <c r="C190" s="13" t="s">
        <v>681</v>
      </c>
      <c r="D190" s="13" t="s">
        <v>673</v>
      </c>
      <c r="E190" s="39" t="n">
        <v>176</v>
      </c>
      <c r="F190" s="39" t="n">
        <v>91</v>
      </c>
      <c r="G190" s="39" t="n">
        <v>40.4761904761905</v>
      </c>
      <c r="H190" s="39" t="n">
        <v>15.5238095238095</v>
      </c>
      <c r="I190" s="39" t="n">
        <v>124.540540540541</v>
      </c>
      <c r="J190" s="39" t="n">
        <v>51.4594594594595</v>
      </c>
      <c r="K190" s="39" t="n">
        <v>323</v>
      </c>
    </row>
    <row r="191" customFormat="false" ht="15" hidden="false" customHeight="true" outlineLevel="0" collapsed="false">
      <c r="A191" s="13" t="s">
        <v>803</v>
      </c>
      <c r="B191" s="13" t="s">
        <v>183</v>
      </c>
      <c r="C191" s="13" t="s">
        <v>670</v>
      </c>
      <c r="D191" s="13" t="s">
        <v>671</v>
      </c>
      <c r="E191" s="39" t="n">
        <v>466.985745454546</v>
      </c>
      <c r="F191" s="39" t="n">
        <v>104.477444313861</v>
      </c>
      <c r="G191" s="39" t="n">
        <v>117.370865952299</v>
      </c>
      <c r="H191" s="39" t="n">
        <v>82.4828897338403</v>
      </c>
      <c r="I191" s="39" t="n">
        <v>357.607367076167</v>
      </c>
      <c r="J191" s="39" t="n">
        <v>109.378378378378</v>
      </c>
      <c r="K191" s="39" t="n">
        <v>771.316945454546</v>
      </c>
    </row>
    <row r="192" customFormat="false" ht="15" hidden="false" customHeight="true" outlineLevel="0" collapsed="false">
      <c r="A192" s="13" t="s">
        <v>804</v>
      </c>
      <c r="B192" s="13" t="s">
        <v>183</v>
      </c>
      <c r="C192" s="13" t="s">
        <v>670</v>
      </c>
      <c r="D192" s="13" t="s">
        <v>673</v>
      </c>
      <c r="E192" s="39" t="n">
        <v>466.985745454546</v>
      </c>
      <c r="F192" s="39" t="n">
        <v>147.329155340477</v>
      </c>
      <c r="G192" s="39" t="n">
        <v>116.439307016937</v>
      </c>
      <c r="H192" s="39" t="n">
        <v>40.5627376425856</v>
      </c>
      <c r="I192" s="39" t="n">
        <v>357.607367076167</v>
      </c>
      <c r="J192" s="39" t="n">
        <v>109.378378378378</v>
      </c>
      <c r="K192" s="39" t="n">
        <v>771.316945454546</v>
      </c>
    </row>
    <row r="193" customFormat="false" ht="15" hidden="false" customHeight="true" outlineLevel="0" collapsed="false">
      <c r="A193" s="13" t="s">
        <v>805</v>
      </c>
      <c r="B193" s="13" t="s">
        <v>183</v>
      </c>
      <c r="C193" s="13" t="s">
        <v>675</v>
      </c>
      <c r="D193" s="13" t="s">
        <v>671</v>
      </c>
      <c r="E193" s="39" t="n">
        <v>416.079671634127</v>
      </c>
      <c r="F193" s="39" t="n">
        <v>108.350732539328</v>
      </c>
      <c r="G193" s="39" t="n">
        <v>131.757365075461</v>
      </c>
      <c r="H193" s="39" t="n">
        <v>82.4828897338403</v>
      </c>
      <c r="I193" s="39" t="n">
        <v>306.701293255748</v>
      </c>
      <c r="J193" s="39" t="n">
        <v>109.378378378378</v>
      </c>
      <c r="K193" s="39" t="n">
        <v>738.670658982755</v>
      </c>
    </row>
    <row r="194" customFormat="false" ht="15" hidden="false" customHeight="true" outlineLevel="0" collapsed="false">
      <c r="A194" s="13" t="s">
        <v>806</v>
      </c>
      <c r="B194" s="13" t="s">
        <v>183</v>
      </c>
      <c r="C194" s="13" t="s">
        <v>675</v>
      </c>
      <c r="D194" s="13" t="s">
        <v>673</v>
      </c>
      <c r="E194" s="39" t="n">
        <v>416.079671634127</v>
      </c>
      <c r="F194" s="39" t="n">
        <v>151.202443565944</v>
      </c>
      <c r="G194" s="39" t="n">
        <v>130.825806140099</v>
      </c>
      <c r="H194" s="39" t="n">
        <v>40.5627376425856</v>
      </c>
      <c r="I194" s="39" t="n">
        <v>306.701293255748</v>
      </c>
      <c r="J194" s="39" t="n">
        <v>109.378378378378</v>
      </c>
      <c r="K194" s="39" t="n">
        <v>738.670658982755</v>
      </c>
    </row>
    <row r="195" customFormat="false" ht="15" hidden="false" customHeight="true" outlineLevel="0" collapsed="false">
      <c r="A195" s="13" t="s">
        <v>807</v>
      </c>
      <c r="B195" s="13" t="s">
        <v>183</v>
      </c>
      <c r="C195" s="13" t="s">
        <v>678</v>
      </c>
      <c r="D195" s="13" t="s">
        <v>671</v>
      </c>
      <c r="E195" s="39" t="n">
        <v>493</v>
      </c>
      <c r="F195" s="39" t="n">
        <v>102.498098859316</v>
      </c>
      <c r="G195" s="39" t="n">
        <v>110.019011406844</v>
      </c>
      <c r="H195" s="39" t="n">
        <v>82.4828897338403</v>
      </c>
      <c r="I195" s="39" t="n">
        <v>383.621621621622</v>
      </c>
      <c r="J195" s="39" t="n">
        <v>109.378378378378</v>
      </c>
      <c r="K195" s="39" t="n">
        <v>788</v>
      </c>
    </row>
    <row r="196" customFormat="false" ht="15" hidden="false" customHeight="true" outlineLevel="0" collapsed="false">
      <c r="A196" s="13" t="s">
        <v>808</v>
      </c>
      <c r="B196" s="13" t="s">
        <v>183</v>
      </c>
      <c r="C196" s="13" t="s">
        <v>678</v>
      </c>
      <c r="D196" s="13" t="s">
        <v>673</v>
      </c>
      <c r="E196" s="39" t="n">
        <v>493</v>
      </c>
      <c r="F196" s="39" t="n">
        <v>145.349809885932</v>
      </c>
      <c r="G196" s="39" t="n">
        <v>109.087452471483</v>
      </c>
      <c r="H196" s="39" t="n">
        <v>40.5627376425856</v>
      </c>
      <c r="I196" s="39" t="n">
        <v>383.621621621622</v>
      </c>
      <c r="J196" s="39" t="n">
        <v>109.378378378378</v>
      </c>
      <c r="K196" s="39" t="n">
        <v>788</v>
      </c>
    </row>
    <row r="197" customFormat="false" ht="15" hidden="false" customHeight="true" outlineLevel="0" collapsed="false">
      <c r="A197" s="13" t="s">
        <v>809</v>
      </c>
      <c r="B197" s="13" t="s">
        <v>183</v>
      </c>
      <c r="C197" s="13" t="s">
        <v>681</v>
      </c>
      <c r="D197" s="13" t="s">
        <v>671</v>
      </c>
      <c r="E197" s="39" t="n">
        <v>401</v>
      </c>
      <c r="F197" s="39" t="n">
        <v>109.498098859316</v>
      </c>
      <c r="G197" s="39" t="n">
        <v>136.019011406844</v>
      </c>
      <c r="H197" s="39" t="n">
        <v>82.4828897338403</v>
      </c>
      <c r="I197" s="39" t="n">
        <v>291.621621621622</v>
      </c>
      <c r="J197" s="39" t="n">
        <v>109.378378378378</v>
      </c>
      <c r="K197" s="39" t="n">
        <v>729</v>
      </c>
    </row>
    <row r="198" customFormat="false" ht="15" hidden="false" customHeight="true" outlineLevel="0" collapsed="false">
      <c r="A198" s="13" t="s">
        <v>810</v>
      </c>
      <c r="B198" s="13" t="s">
        <v>183</v>
      </c>
      <c r="C198" s="13" t="s">
        <v>681</v>
      </c>
      <c r="D198" s="13" t="s">
        <v>673</v>
      </c>
      <c r="E198" s="39" t="n">
        <v>401</v>
      </c>
      <c r="F198" s="39" t="n">
        <v>152.349809885932</v>
      </c>
      <c r="G198" s="39" t="n">
        <v>135.087452471483</v>
      </c>
      <c r="H198" s="39" t="n">
        <v>40.5627376425856</v>
      </c>
      <c r="I198" s="39" t="n">
        <v>291.621621621622</v>
      </c>
      <c r="J198" s="39" t="n">
        <v>109.378378378378</v>
      </c>
      <c r="K198" s="39" t="n">
        <v>729</v>
      </c>
    </row>
    <row r="199" customFormat="false" ht="15" hidden="false" customHeight="true" outlineLevel="0" collapsed="false">
      <c r="A199" s="13" t="s">
        <v>811</v>
      </c>
      <c r="B199" s="13" t="s">
        <v>170</v>
      </c>
      <c r="C199" s="13" t="s">
        <v>670</v>
      </c>
      <c r="D199" s="13" t="s">
        <v>671</v>
      </c>
      <c r="E199" s="39" t="n">
        <v>737.658848941177</v>
      </c>
      <c r="F199" s="39" t="n">
        <v>196.112106615595</v>
      </c>
      <c r="G199" s="39" t="n">
        <v>132.194018035568</v>
      </c>
      <c r="H199" s="39" t="n">
        <v>98.5813953488372</v>
      </c>
      <c r="I199" s="39" t="n">
        <v>651.408848941177</v>
      </c>
      <c r="J199" s="39" t="n">
        <v>86.25</v>
      </c>
      <c r="K199" s="39" t="n">
        <v>1164.54636894118</v>
      </c>
    </row>
    <row r="200" customFormat="false" ht="15" hidden="false" customHeight="true" outlineLevel="0" collapsed="false">
      <c r="A200" s="13" t="s">
        <v>812</v>
      </c>
      <c r="B200" s="13" t="s">
        <v>170</v>
      </c>
      <c r="C200" s="13" t="s">
        <v>670</v>
      </c>
      <c r="D200" s="13" t="s">
        <v>673</v>
      </c>
      <c r="E200" s="39" t="n">
        <v>737.658848941177</v>
      </c>
      <c r="F200" s="39" t="n">
        <v>233.298153127223</v>
      </c>
      <c r="G200" s="39" t="n">
        <v>119.798669198358</v>
      </c>
      <c r="H200" s="39" t="n">
        <v>73.7906976744186</v>
      </c>
      <c r="I200" s="39" t="n">
        <v>651.408848941177</v>
      </c>
      <c r="J200" s="39" t="n">
        <v>86.25</v>
      </c>
      <c r="K200" s="39" t="n">
        <v>1164.54636894118</v>
      </c>
    </row>
    <row r="201" customFormat="false" ht="15" hidden="false" customHeight="true" outlineLevel="0" collapsed="false">
      <c r="A201" s="13" t="s">
        <v>813</v>
      </c>
      <c r="B201" s="13" t="s">
        <v>170</v>
      </c>
      <c r="C201" s="13" t="s">
        <v>675</v>
      </c>
      <c r="D201" s="13" t="s">
        <v>671</v>
      </c>
      <c r="E201" s="39" t="n">
        <v>735.128211944042</v>
      </c>
      <c r="F201" s="39" t="n">
        <v>196.737031644227</v>
      </c>
      <c r="G201" s="39" t="n">
        <v>132.620947015524</v>
      </c>
      <c r="H201" s="39" t="n">
        <v>98.5813953488372</v>
      </c>
      <c r="I201" s="39" t="n">
        <v>648.878211944042</v>
      </c>
      <c r="J201" s="39" t="n">
        <v>86.25</v>
      </c>
      <c r="K201" s="39" t="n">
        <v>1163.06758595263</v>
      </c>
    </row>
    <row r="202" customFormat="false" ht="15" hidden="false" customHeight="true" outlineLevel="0" collapsed="false">
      <c r="A202" s="13" t="s">
        <v>814</v>
      </c>
      <c r="B202" s="13" t="s">
        <v>170</v>
      </c>
      <c r="C202" s="13" t="s">
        <v>675</v>
      </c>
      <c r="D202" s="13" t="s">
        <v>673</v>
      </c>
      <c r="E202" s="39" t="n">
        <v>735.128211944042</v>
      </c>
      <c r="F202" s="39" t="n">
        <v>233.923078155855</v>
      </c>
      <c r="G202" s="39" t="n">
        <v>120.225598178315</v>
      </c>
      <c r="H202" s="39" t="n">
        <v>73.7906976744186</v>
      </c>
      <c r="I202" s="39" t="n">
        <v>648.878211944042</v>
      </c>
      <c r="J202" s="39" t="n">
        <v>86.25</v>
      </c>
      <c r="K202" s="39" t="n">
        <v>1163.06758595263</v>
      </c>
    </row>
    <row r="203" customFormat="false" ht="15" hidden="false" customHeight="true" outlineLevel="0" collapsed="false">
      <c r="A203" s="13" t="s">
        <v>815</v>
      </c>
      <c r="B203" s="13" t="s">
        <v>170</v>
      </c>
      <c r="C203" s="13" t="s">
        <v>678</v>
      </c>
      <c r="D203" s="13" t="s">
        <v>671</v>
      </c>
      <c r="E203" s="39" t="n">
        <v>824</v>
      </c>
      <c r="F203" s="39" t="n">
        <v>174.790697674419</v>
      </c>
      <c r="G203" s="39" t="n">
        <v>117.627906976744</v>
      </c>
      <c r="H203" s="39" t="n">
        <v>98.5813953488372</v>
      </c>
      <c r="I203" s="39" t="n">
        <v>737.75</v>
      </c>
      <c r="J203" s="39" t="n">
        <v>86.25</v>
      </c>
      <c r="K203" s="39" t="n">
        <v>1215</v>
      </c>
    </row>
    <row r="204" customFormat="false" ht="15" hidden="false" customHeight="true" outlineLevel="0" collapsed="false">
      <c r="A204" s="13" t="s">
        <v>816</v>
      </c>
      <c r="B204" s="13" t="s">
        <v>170</v>
      </c>
      <c r="C204" s="13" t="s">
        <v>678</v>
      </c>
      <c r="D204" s="13" t="s">
        <v>673</v>
      </c>
      <c r="E204" s="39" t="n">
        <v>824</v>
      </c>
      <c r="F204" s="39" t="n">
        <v>211.976744186047</v>
      </c>
      <c r="G204" s="39" t="n">
        <v>105.232558139535</v>
      </c>
      <c r="H204" s="39" t="n">
        <v>73.7906976744186</v>
      </c>
      <c r="I204" s="39" t="n">
        <v>737.75</v>
      </c>
      <c r="J204" s="39" t="n">
        <v>86.25</v>
      </c>
      <c r="K204" s="39" t="n">
        <v>1215</v>
      </c>
    </row>
    <row r="205" customFormat="false" ht="15" hidden="false" customHeight="true" outlineLevel="0" collapsed="false">
      <c r="A205" s="13" t="s">
        <v>817</v>
      </c>
      <c r="B205" s="13" t="s">
        <v>170</v>
      </c>
      <c r="C205" s="13" t="s">
        <v>681</v>
      </c>
      <c r="D205" s="13" t="s">
        <v>671</v>
      </c>
      <c r="E205" s="39" t="n">
        <v>415</v>
      </c>
      <c r="F205" s="39" t="n">
        <v>275.790697674419</v>
      </c>
      <c r="G205" s="39" t="n">
        <v>186.627906976744</v>
      </c>
      <c r="H205" s="39" t="n">
        <v>98.5813953488372</v>
      </c>
      <c r="I205" s="39" t="n">
        <v>328.75</v>
      </c>
      <c r="J205" s="39" t="n">
        <v>86.25</v>
      </c>
      <c r="K205" s="39" t="n">
        <v>976</v>
      </c>
    </row>
    <row r="206" customFormat="false" ht="15" hidden="false" customHeight="true" outlineLevel="0" collapsed="false">
      <c r="A206" s="13" t="s">
        <v>818</v>
      </c>
      <c r="B206" s="13" t="s">
        <v>170</v>
      </c>
      <c r="C206" s="13" t="s">
        <v>681</v>
      </c>
      <c r="D206" s="13" t="s">
        <v>673</v>
      </c>
      <c r="E206" s="39" t="n">
        <v>415</v>
      </c>
      <c r="F206" s="39" t="n">
        <v>312.976744186047</v>
      </c>
      <c r="G206" s="39" t="n">
        <v>174.232558139535</v>
      </c>
      <c r="H206" s="39" t="n">
        <v>73.7906976744186</v>
      </c>
      <c r="I206" s="39" t="n">
        <v>328.75</v>
      </c>
      <c r="J206" s="39" t="n">
        <v>86.25</v>
      </c>
      <c r="K206" s="39" t="n">
        <v>976</v>
      </c>
    </row>
    <row r="207" customFormat="false" ht="15" hidden="false" customHeight="true" outlineLevel="0" collapsed="false">
      <c r="A207" s="13" t="s">
        <v>819</v>
      </c>
      <c r="B207" s="13" t="s">
        <v>204</v>
      </c>
      <c r="C207" s="13" t="s">
        <v>670</v>
      </c>
      <c r="D207" s="13" t="s">
        <v>671</v>
      </c>
      <c r="E207" s="39" t="n">
        <v>199.70926</v>
      </c>
      <c r="F207" s="39" t="n">
        <v>104.97177112628</v>
      </c>
      <c r="G207" s="39" t="n">
        <v>123.970112559727</v>
      </c>
      <c r="H207" s="39" t="n">
        <v>82.4095563139932</v>
      </c>
      <c r="I207" s="39" t="n">
        <v>167.074124864865</v>
      </c>
      <c r="J207" s="39" t="n">
        <v>32.6351351351351</v>
      </c>
      <c r="K207" s="39" t="n">
        <v>511.0607</v>
      </c>
    </row>
    <row r="208" customFormat="false" ht="15" hidden="false" customHeight="true" outlineLevel="0" collapsed="false">
      <c r="A208" s="13" t="s">
        <v>820</v>
      </c>
      <c r="B208" s="13" t="s">
        <v>204</v>
      </c>
      <c r="C208" s="13" t="s">
        <v>670</v>
      </c>
      <c r="D208" s="13" t="s">
        <v>673</v>
      </c>
      <c r="E208" s="39" t="n">
        <v>199.70926</v>
      </c>
      <c r="F208" s="39" t="n">
        <v>183.893272832765</v>
      </c>
      <c r="G208" s="39" t="n">
        <v>92.2090204095563</v>
      </c>
      <c r="H208" s="39" t="n">
        <v>35.2491467576792</v>
      </c>
      <c r="I208" s="39" t="n">
        <v>167.074124864865</v>
      </c>
      <c r="J208" s="39" t="n">
        <v>32.6351351351351</v>
      </c>
      <c r="K208" s="39" t="n">
        <v>511.0607</v>
      </c>
    </row>
    <row r="209" customFormat="false" ht="15" hidden="false" customHeight="true" outlineLevel="0" collapsed="false">
      <c r="A209" s="13" t="s">
        <v>821</v>
      </c>
      <c r="B209" s="13" t="s">
        <v>204</v>
      </c>
      <c r="C209" s="13" t="s">
        <v>675</v>
      </c>
      <c r="D209" s="13" t="s">
        <v>671</v>
      </c>
      <c r="E209" s="39" t="n">
        <v>169</v>
      </c>
      <c r="F209" s="39" t="n">
        <v>115.20819112628</v>
      </c>
      <c r="G209" s="39" t="n">
        <v>127.382252559727</v>
      </c>
      <c r="H209" s="39" t="n">
        <v>82.4095563139932</v>
      </c>
      <c r="I209" s="39" t="n">
        <v>136.364864864865</v>
      </c>
      <c r="J209" s="39" t="n">
        <v>32.6351351351351</v>
      </c>
      <c r="K209" s="39" t="n">
        <v>494</v>
      </c>
    </row>
    <row r="210" customFormat="false" ht="15" hidden="false" customHeight="true" outlineLevel="0" collapsed="false">
      <c r="A210" s="13" t="s">
        <v>822</v>
      </c>
      <c r="B210" s="13" t="s">
        <v>204</v>
      </c>
      <c r="C210" s="13" t="s">
        <v>675</v>
      </c>
      <c r="D210" s="13" t="s">
        <v>673</v>
      </c>
      <c r="E210" s="39" t="n">
        <v>169</v>
      </c>
      <c r="F210" s="39" t="n">
        <v>194.129692832765</v>
      </c>
      <c r="G210" s="39" t="n">
        <v>95.6211604095563</v>
      </c>
      <c r="H210" s="39" t="n">
        <v>35.2491467576792</v>
      </c>
      <c r="I210" s="39" t="n">
        <v>136.364864864865</v>
      </c>
      <c r="J210" s="39" t="n">
        <v>32.6351351351351</v>
      </c>
      <c r="K210" s="39" t="n">
        <v>494</v>
      </c>
    </row>
    <row r="211" customFormat="false" ht="15" hidden="false" customHeight="true" outlineLevel="0" collapsed="false">
      <c r="A211" s="13" t="s">
        <v>823</v>
      </c>
      <c r="B211" s="13" t="s">
        <v>204</v>
      </c>
      <c r="C211" s="13" t="s">
        <v>678</v>
      </c>
      <c r="D211" s="13" t="s">
        <v>671</v>
      </c>
      <c r="E211" s="39" t="n">
        <v>205</v>
      </c>
      <c r="F211" s="39" t="n">
        <v>103.20819112628</v>
      </c>
      <c r="G211" s="39" t="n">
        <v>123.382252559727</v>
      </c>
      <c r="H211" s="39" t="n">
        <v>82.4095563139932</v>
      </c>
      <c r="I211" s="39" t="n">
        <v>172.364864864865</v>
      </c>
      <c r="J211" s="39" t="n">
        <v>32.6351351351351</v>
      </c>
      <c r="K211" s="39" t="n">
        <v>514</v>
      </c>
    </row>
    <row r="212" customFormat="false" ht="15" hidden="false" customHeight="true" outlineLevel="0" collapsed="false">
      <c r="A212" s="13" t="s">
        <v>824</v>
      </c>
      <c r="B212" s="13" t="s">
        <v>204</v>
      </c>
      <c r="C212" s="13" t="s">
        <v>678</v>
      </c>
      <c r="D212" s="13" t="s">
        <v>673</v>
      </c>
      <c r="E212" s="39" t="n">
        <v>205</v>
      </c>
      <c r="F212" s="39" t="n">
        <v>182.129692832765</v>
      </c>
      <c r="G212" s="39" t="n">
        <v>91.6211604095563</v>
      </c>
      <c r="H212" s="39" t="n">
        <v>35.2491467576792</v>
      </c>
      <c r="I212" s="39" t="n">
        <v>172.364864864865</v>
      </c>
      <c r="J212" s="39" t="n">
        <v>32.6351351351351</v>
      </c>
      <c r="K212" s="39" t="n">
        <v>514</v>
      </c>
    </row>
    <row r="213" customFormat="false" ht="15" hidden="false" customHeight="true" outlineLevel="0" collapsed="false">
      <c r="A213" s="13" t="s">
        <v>825</v>
      </c>
      <c r="B213" s="13" t="s">
        <v>204</v>
      </c>
      <c r="C213" s="13" t="s">
        <v>681</v>
      </c>
      <c r="D213" s="13" t="s">
        <v>671</v>
      </c>
      <c r="E213" s="39" t="n">
        <v>169</v>
      </c>
      <c r="F213" s="39" t="n">
        <v>115.20819112628</v>
      </c>
      <c r="G213" s="39" t="n">
        <v>127.382252559727</v>
      </c>
      <c r="H213" s="39" t="n">
        <v>82.4095563139932</v>
      </c>
      <c r="I213" s="39" t="n">
        <v>136.364864864865</v>
      </c>
      <c r="J213" s="39" t="n">
        <v>32.6351351351351</v>
      </c>
      <c r="K213" s="39" t="n">
        <v>494</v>
      </c>
    </row>
    <row r="214" customFormat="false" ht="15" hidden="false" customHeight="true" outlineLevel="0" collapsed="false">
      <c r="A214" s="13" t="s">
        <v>826</v>
      </c>
      <c r="B214" s="13" t="s">
        <v>204</v>
      </c>
      <c r="C214" s="13" t="s">
        <v>681</v>
      </c>
      <c r="D214" s="13" t="s">
        <v>673</v>
      </c>
      <c r="E214" s="39" t="n">
        <v>169</v>
      </c>
      <c r="F214" s="39" t="n">
        <v>194.129692832765</v>
      </c>
      <c r="G214" s="39" t="n">
        <v>95.6211604095563</v>
      </c>
      <c r="H214" s="39" t="n">
        <v>35.2491467576792</v>
      </c>
      <c r="I214" s="39" t="n">
        <v>136.364864864865</v>
      </c>
      <c r="J214" s="39" t="n">
        <v>32.6351351351351</v>
      </c>
      <c r="K214" s="39" t="n">
        <v>494</v>
      </c>
    </row>
    <row r="215" customFormat="false" ht="15" hidden="false" customHeight="true" outlineLevel="0" collapsed="false">
      <c r="A215" s="13" t="s">
        <v>827</v>
      </c>
      <c r="B215" s="13" t="s">
        <v>185</v>
      </c>
      <c r="C215" s="13" t="s">
        <v>670</v>
      </c>
      <c r="D215" s="13" t="s">
        <v>671</v>
      </c>
      <c r="E215" s="39" t="n">
        <v>1262.22174869565</v>
      </c>
      <c r="F215" s="39" t="n">
        <v>568.672373484385</v>
      </c>
      <c r="G215" s="39" t="n">
        <v>515.443405983534</v>
      </c>
      <c r="H215" s="39" t="n">
        <v>352.841940532081</v>
      </c>
      <c r="I215" s="39" t="n">
        <v>974.907295570652</v>
      </c>
      <c r="J215" s="39" t="n">
        <v>287.314453125</v>
      </c>
      <c r="K215" s="39" t="n">
        <v>2699.17946869565</v>
      </c>
    </row>
    <row r="216" customFormat="false" ht="15" hidden="false" customHeight="true" outlineLevel="0" collapsed="false">
      <c r="A216" s="13" t="s">
        <v>828</v>
      </c>
      <c r="B216" s="13" t="s">
        <v>185</v>
      </c>
      <c r="C216" s="13" t="s">
        <v>670</v>
      </c>
      <c r="D216" s="13" t="s">
        <v>673</v>
      </c>
      <c r="E216" s="39" t="n">
        <v>1262.22174869565</v>
      </c>
      <c r="F216" s="39" t="n">
        <v>793.855472075934</v>
      </c>
      <c r="G216" s="39" t="n">
        <v>463.615549958495</v>
      </c>
      <c r="H216" s="39" t="n">
        <v>179.486697965571</v>
      </c>
      <c r="I216" s="39" t="n">
        <v>974.907295570652</v>
      </c>
      <c r="J216" s="39" t="n">
        <v>287.314453125</v>
      </c>
      <c r="K216" s="39" t="n">
        <v>2699.17946869565</v>
      </c>
    </row>
    <row r="217" customFormat="false" ht="15" hidden="false" customHeight="true" outlineLevel="0" collapsed="false">
      <c r="A217" s="13" t="s">
        <v>829</v>
      </c>
      <c r="B217" s="13" t="s">
        <v>185</v>
      </c>
      <c r="C217" s="13" t="s">
        <v>675</v>
      </c>
      <c r="D217" s="13" t="s">
        <v>671</v>
      </c>
      <c r="E217" s="39" t="n">
        <v>1222</v>
      </c>
      <c r="F217" s="39" t="n">
        <v>573.577464788732</v>
      </c>
      <c r="G217" s="39" t="n">
        <v>525.580594679186</v>
      </c>
      <c r="H217" s="39" t="n">
        <v>352.841940532081</v>
      </c>
      <c r="I217" s="39" t="n">
        <v>934.685546875</v>
      </c>
      <c r="J217" s="39" t="n">
        <v>287.314453125</v>
      </c>
      <c r="K217" s="39" t="n">
        <v>2674</v>
      </c>
    </row>
    <row r="218" customFormat="false" ht="15" hidden="false" customHeight="true" outlineLevel="0" collapsed="false">
      <c r="A218" s="13" t="s">
        <v>830</v>
      </c>
      <c r="B218" s="13" t="s">
        <v>185</v>
      </c>
      <c r="C218" s="13" t="s">
        <v>675</v>
      </c>
      <c r="D218" s="13" t="s">
        <v>673</v>
      </c>
      <c r="E218" s="39" t="n">
        <v>1222</v>
      </c>
      <c r="F218" s="39" t="n">
        <v>798.760563380282</v>
      </c>
      <c r="G218" s="39" t="n">
        <v>473.752738654147</v>
      </c>
      <c r="H218" s="39" t="n">
        <v>179.486697965571</v>
      </c>
      <c r="I218" s="39" t="n">
        <v>934.685546875</v>
      </c>
      <c r="J218" s="39" t="n">
        <v>287.314453125</v>
      </c>
      <c r="K218" s="39" t="n">
        <v>2674</v>
      </c>
    </row>
    <row r="219" customFormat="false" ht="15" hidden="false" customHeight="true" outlineLevel="0" collapsed="false">
      <c r="A219" s="13" t="s">
        <v>831</v>
      </c>
      <c r="B219" s="13" t="s">
        <v>185</v>
      </c>
      <c r="C219" s="13" t="s">
        <v>678</v>
      </c>
      <c r="D219" s="13" t="s">
        <v>671</v>
      </c>
      <c r="E219" s="39" t="n">
        <v>1468</v>
      </c>
      <c r="F219" s="39" t="n">
        <v>543.577464788732</v>
      </c>
      <c r="G219" s="39" t="n">
        <v>463.580594679186</v>
      </c>
      <c r="H219" s="39" t="n">
        <v>352.841940532081</v>
      </c>
      <c r="I219" s="39" t="n">
        <v>1180.685546875</v>
      </c>
      <c r="J219" s="39" t="n">
        <v>287.314453125</v>
      </c>
      <c r="K219" s="39" t="n">
        <v>2828</v>
      </c>
    </row>
    <row r="220" customFormat="false" ht="15" hidden="false" customHeight="true" outlineLevel="0" collapsed="false">
      <c r="A220" s="13" t="s">
        <v>832</v>
      </c>
      <c r="B220" s="13" t="s">
        <v>185</v>
      </c>
      <c r="C220" s="13" t="s">
        <v>678</v>
      </c>
      <c r="D220" s="13" t="s">
        <v>673</v>
      </c>
      <c r="E220" s="39" t="n">
        <v>1468</v>
      </c>
      <c r="F220" s="39" t="n">
        <v>768.760563380282</v>
      </c>
      <c r="G220" s="39" t="n">
        <v>411.752738654147</v>
      </c>
      <c r="H220" s="39" t="n">
        <v>179.486697965571</v>
      </c>
      <c r="I220" s="39" t="n">
        <v>1180.685546875</v>
      </c>
      <c r="J220" s="39" t="n">
        <v>287.314453125</v>
      </c>
      <c r="K220" s="39" t="n">
        <v>2828</v>
      </c>
    </row>
    <row r="221" customFormat="false" ht="15" hidden="false" customHeight="true" outlineLevel="0" collapsed="false">
      <c r="A221" s="13" t="s">
        <v>833</v>
      </c>
      <c r="B221" s="13" t="s">
        <v>185</v>
      </c>
      <c r="C221" s="13" t="s">
        <v>681</v>
      </c>
      <c r="D221" s="13" t="s">
        <v>671</v>
      </c>
      <c r="E221" s="39" t="n">
        <v>1222</v>
      </c>
      <c r="F221" s="39" t="n">
        <v>573.577464788732</v>
      </c>
      <c r="G221" s="39" t="n">
        <v>525.580594679186</v>
      </c>
      <c r="H221" s="39" t="n">
        <v>352.841940532081</v>
      </c>
      <c r="I221" s="39" t="n">
        <v>934.685546875</v>
      </c>
      <c r="J221" s="39" t="n">
        <v>287.314453125</v>
      </c>
      <c r="K221" s="39" t="n">
        <v>2674</v>
      </c>
    </row>
    <row r="222" customFormat="false" ht="15" hidden="false" customHeight="true" outlineLevel="0" collapsed="false">
      <c r="A222" s="13" t="s">
        <v>834</v>
      </c>
      <c r="B222" s="13" t="s">
        <v>185</v>
      </c>
      <c r="C222" s="13" t="s">
        <v>681</v>
      </c>
      <c r="D222" s="13" t="s">
        <v>673</v>
      </c>
      <c r="E222" s="39" t="n">
        <v>1222</v>
      </c>
      <c r="F222" s="39" t="n">
        <v>798.760563380282</v>
      </c>
      <c r="G222" s="39" t="n">
        <v>473.752738654147</v>
      </c>
      <c r="H222" s="39" t="n">
        <v>179.486697965571</v>
      </c>
      <c r="I222" s="39" t="n">
        <v>934.685546875</v>
      </c>
      <c r="J222" s="39" t="n">
        <v>287.314453125</v>
      </c>
      <c r="K222" s="39" t="n">
        <v>2674</v>
      </c>
    </row>
    <row r="223" customFormat="false" ht="15" hidden="false" customHeight="true" outlineLevel="0" collapsed="false">
      <c r="A223" s="13" t="s">
        <v>835</v>
      </c>
      <c r="B223" s="13" t="s">
        <v>206</v>
      </c>
      <c r="C223" s="13" t="s">
        <v>670</v>
      </c>
      <c r="D223" s="13" t="s">
        <v>671</v>
      </c>
      <c r="E223" s="39" t="n">
        <v>148.167382</v>
      </c>
      <c r="F223" s="39" t="n">
        <v>68.3784447272727</v>
      </c>
      <c r="G223" s="39" t="n">
        <v>57.0858489090909</v>
      </c>
      <c r="H223" s="39" t="n">
        <v>47.1636363636364</v>
      </c>
      <c r="I223" s="39" t="n">
        <v>101.948632</v>
      </c>
      <c r="J223" s="39" t="n">
        <v>46.21875</v>
      </c>
      <c r="K223" s="39" t="n">
        <v>320.795312</v>
      </c>
    </row>
    <row r="224" customFormat="false" ht="15" hidden="false" customHeight="true" outlineLevel="0" collapsed="false">
      <c r="A224" s="13" t="s">
        <v>836</v>
      </c>
      <c r="B224" s="13" t="s">
        <v>206</v>
      </c>
      <c r="C224" s="13" t="s">
        <v>670</v>
      </c>
      <c r="D224" s="13" t="s">
        <v>673</v>
      </c>
      <c r="E224" s="39" t="n">
        <v>148.167382</v>
      </c>
      <c r="F224" s="39" t="n">
        <v>89.3238992727273</v>
      </c>
      <c r="G224" s="39" t="n">
        <v>58.8313034545455</v>
      </c>
      <c r="H224" s="39" t="n">
        <v>24.4727272727273</v>
      </c>
      <c r="I224" s="39" t="n">
        <v>101.948632</v>
      </c>
      <c r="J224" s="39" t="n">
        <v>46.21875</v>
      </c>
      <c r="K224" s="39" t="n">
        <v>320.795312</v>
      </c>
    </row>
    <row r="225" customFormat="false" ht="15" hidden="false" customHeight="true" outlineLevel="0" collapsed="false">
      <c r="A225" s="13" t="s">
        <v>837</v>
      </c>
      <c r="B225" s="13" t="s">
        <v>206</v>
      </c>
      <c r="C225" s="13" t="s">
        <v>675</v>
      </c>
      <c r="D225" s="13" t="s">
        <v>671</v>
      </c>
      <c r="E225" s="39" t="n">
        <v>142</v>
      </c>
      <c r="F225" s="39" t="n">
        <v>69.3272727272727</v>
      </c>
      <c r="G225" s="39" t="n">
        <v>58.5090909090909</v>
      </c>
      <c r="H225" s="39" t="n">
        <v>47.1636363636364</v>
      </c>
      <c r="I225" s="39" t="n">
        <v>95.78125</v>
      </c>
      <c r="J225" s="39" t="n">
        <v>46.21875</v>
      </c>
      <c r="K225" s="39" t="n">
        <v>317</v>
      </c>
    </row>
    <row r="226" customFormat="false" ht="15" hidden="false" customHeight="true" outlineLevel="0" collapsed="false">
      <c r="A226" s="13" t="s">
        <v>838</v>
      </c>
      <c r="B226" s="13" t="s">
        <v>206</v>
      </c>
      <c r="C226" s="13" t="s">
        <v>675</v>
      </c>
      <c r="D226" s="13" t="s">
        <v>673</v>
      </c>
      <c r="E226" s="39" t="n">
        <v>142</v>
      </c>
      <c r="F226" s="39" t="n">
        <v>90.2727272727273</v>
      </c>
      <c r="G226" s="39" t="n">
        <v>60.2545454545455</v>
      </c>
      <c r="H226" s="39" t="n">
        <v>24.4727272727273</v>
      </c>
      <c r="I226" s="39" t="n">
        <v>95.78125</v>
      </c>
      <c r="J226" s="39" t="n">
        <v>46.21875</v>
      </c>
      <c r="K226" s="39" t="n">
        <v>317</v>
      </c>
    </row>
    <row r="227" customFormat="false" ht="15" hidden="false" customHeight="true" outlineLevel="0" collapsed="false">
      <c r="A227" s="13" t="s">
        <v>839</v>
      </c>
      <c r="B227" s="13" t="s">
        <v>206</v>
      </c>
      <c r="C227" s="13" t="s">
        <v>678</v>
      </c>
      <c r="D227" s="13" t="s">
        <v>671</v>
      </c>
      <c r="E227" s="39" t="n">
        <v>155</v>
      </c>
      <c r="F227" s="39" t="n">
        <v>67.3272727272727</v>
      </c>
      <c r="G227" s="39" t="n">
        <v>55.5090909090909</v>
      </c>
      <c r="H227" s="39" t="n">
        <v>47.1636363636364</v>
      </c>
      <c r="I227" s="39" t="n">
        <v>108.78125</v>
      </c>
      <c r="J227" s="39" t="n">
        <v>46.21875</v>
      </c>
      <c r="K227" s="39" t="n">
        <v>325</v>
      </c>
    </row>
    <row r="228" customFormat="false" ht="15" hidden="false" customHeight="true" outlineLevel="0" collapsed="false">
      <c r="A228" s="13" t="s">
        <v>840</v>
      </c>
      <c r="B228" s="13" t="s">
        <v>206</v>
      </c>
      <c r="C228" s="13" t="s">
        <v>678</v>
      </c>
      <c r="D228" s="13" t="s">
        <v>673</v>
      </c>
      <c r="E228" s="39" t="n">
        <v>155</v>
      </c>
      <c r="F228" s="39" t="n">
        <v>88.2727272727273</v>
      </c>
      <c r="G228" s="39" t="n">
        <v>57.2545454545455</v>
      </c>
      <c r="H228" s="39" t="n">
        <v>24.4727272727273</v>
      </c>
      <c r="I228" s="39" t="n">
        <v>108.78125</v>
      </c>
      <c r="J228" s="39" t="n">
        <v>46.21875</v>
      </c>
      <c r="K228" s="39" t="n">
        <v>325</v>
      </c>
    </row>
    <row r="229" customFormat="false" ht="15" hidden="false" customHeight="true" outlineLevel="0" collapsed="false">
      <c r="A229" s="13" t="s">
        <v>841</v>
      </c>
      <c r="B229" s="13" t="s">
        <v>206</v>
      </c>
      <c r="C229" s="13" t="s">
        <v>681</v>
      </c>
      <c r="D229" s="13" t="s">
        <v>671</v>
      </c>
      <c r="E229" s="39" t="n">
        <v>142</v>
      </c>
      <c r="F229" s="39" t="n">
        <v>69.3272727272727</v>
      </c>
      <c r="G229" s="39" t="n">
        <v>58.5090909090909</v>
      </c>
      <c r="H229" s="39" t="n">
        <v>47.1636363636364</v>
      </c>
      <c r="I229" s="39" t="n">
        <v>95.78125</v>
      </c>
      <c r="J229" s="39" t="n">
        <v>46.21875</v>
      </c>
      <c r="K229" s="39" t="n">
        <v>317</v>
      </c>
    </row>
    <row r="230" customFormat="false" ht="15" hidden="false" customHeight="true" outlineLevel="0" collapsed="false">
      <c r="A230" s="13" t="s">
        <v>842</v>
      </c>
      <c r="B230" s="13" t="s">
        <v>206</v>
      </c>
      <c r="C230" s="13" t="s">
        <v>681</v>
      </c>
      <c r="D230" s="13" t="s">
        <v>673</v>
      </c>
      <c r="E230" s="39" t="n">
        <v>142</v>
      </c>
      <c r="F230" s="39" t="n">
        <v>90.2727272727273</v>
      </c>
      <c r="G230" s="39" t="n">
        <v>60.2545454545455</v>
      </c>
      <c r="H230" s="39" t="n">
        <v>24.4727272727273</v>
      </c>
      <c r="I230" s="39" t="n">
        <v>95.78125</v>
      </c>
      <c r="J230" s="39" t="n">
        <v>46.21875</v>
      </c>
      <c r="K230" s="39" t="n">
        <v>317</v>
      </c>
    </row>
    <row r="231" customFormat="false" ht="15" hidden="false" customHeight="true" outlineLevel="0" collapsed="false">
      <c r="A231" s="13" t="s">
        <v>843</v>
      </c>
      <c r="B231" s="13" t="s">
        <v>187</v>
      </c>
      <c r="C231" s="13" t="s">
        <v>670</v>
      </c>
      <c r="D231" s="13" t="s">
        <v>671</v>
      </c>
      <c r="E231" s="39" t="n">
        <v>299.149526428571</v>
      </c>
      <c r="F231" s="39" t="n">
        <v>90.4230334126984</v>
      </c>
      <c r="G231" s="39" t="n">
        <v>70.8321567460317</v>
      </c>
      <c r="H231" s="39" t="n">
        <v>62.8412698412698</v>
      </c>
      <c r="I231" s="39" t="n">
        <v>233.020494170507</v>
      </c>
      <c r="J231" s="39" t="n">
        <v>66.1290322580645</v>
      </c>
      <c r="K231" s="39" t="n">
        <v>523.245986428571</v>
      </c>
    </row>
    <row r="232" customFormat="false" ht="15" hidden="false" customHeight="true" outlineLevel="0" collapsed="false">
      <c r="A232" s="13" t="s">
        <v>844</v>
      </c>
      <c r="B232" s="13" t="s">
        <v>187</v>
      </c>
      <c r="C232" s="13" t="s">
        <v>670</v>
      </c>
      <c r="D232" s="13" t="s">
        <v>673</v>
      </c>
      <c r="E232" s="39" t="n">
        <v>299.149526428571</v>
      </c>
      <c r="F232" s="39" t="n">
        <v>111.057954047619</v>
      </c>
      <c r="G232" s="39" t="n">
        <v>70.0067599206349</v>
      </c>
      <c r="H232" s="39" t="n">
        <v>43.031746031746</v>
      </c>
      <c r="I232" s="39" t="n">
        <v>233.020494170507</v>
      </c>
      <c r="J232" s="39" t="n">
        <v>66.1290322580645</v>
      </c>
      <c r="K232" s="39" t="n">
        <v>523.245986428571</v>
      </c>
    </row>
    <row r="233" customFormat="false" ht="15" hidden="false" customHeight="true" outlineLevel="0" collapsed="false">
      <c r="A233" s="13" t="s">
        <v>845</v>
      </c>
      <c r="B233" s="13" t="s">
        <v>187</v>
      </c>
      <c r="C233" s="13" t="s">
        <v>675</v>
      </c>
      <c r="D233" s="13" t="s">
        <v>671</v>
      </c>
      <c r="E233" s="39" t="n">
        <v>258.664714473633</v>
      </c>
      <c r="F233" s="39" t="n">
        <v>91.9224708925109</v>
      </c>
      <c r="G233" s="39" t="n">
        <v>83.3274690778028</v>
      </c>
      <c r="H233" s="39" t="n">
        <v>62.8412698412698</v>
      </c>
      <c r="I233" s="39" t="n">
        <v>192.535682215569</v>
      </c>
      <c r="J233" s="39" t="n">
        <v>66.1290322580645</v>
      </c>
      <c r="K233" s="39" t="n">
        <v>496.755924285217</v>
      </c>
    </row>
    <row r="234" customFormat="false" ht="15" hidden="false" customHeight="true" outlineLevel="0" collapsed="false">
      <c r="A234" s="13" t="s">
        <v>846</v>
      </c>
      <c r="B234" s="13" t="s">
        <v>187</v>
      </c>
      <c r="C234" s="13" t="s">
        <v>675</v>
      </c>
      <c r="D234" s="13" t="s">
        <v>673</v>
      </c>
      <c r="E234" s="39" t="n">
        <v>258.664714473633</v>
      </c>
      <c r="F234" s="39" t="n">
        <v>112.557391527432</v>
      </c>
      <c r="G234" s="39" t="n">
        <v>82.502072252406</v>
      </c>
      <c r="H234" s="39" t="n">
        <v>43.031746031746</v>
      </c>
      <c r="I234" s="39" t="n">
        <v>192.535682215569</v>
      </c>
      <c r="J234" s="39" t="n">
        <v>66.1290322580645</v>
      </c>
      <c r="K234" s="39" t="n">
        <v>496.755924285217</v>
      </c>
    </row>
    <row r="235" customFormat="false" ht="15" hidden="false" customHeight="true" outlineLevel="0" collapsed="false">
      <c r="A235" s="13" t="s">
        <v>847</v>
      </c>
      <c r="B235" s="13" t="s">
        <v>187</v>
      </c>
      <c r="C235" s="13" t="s">
        <v>678</v>
      </c>
      <c r="D235" s="13" t="s">
        <v>671</v>
      </c>
      <c r="E235" s="39" t="n">
        <v>311</v>
      </c>
      <c r="F235" s="39" t="n">
        <v>89.984126984127</v>
      </c>
      <c r="G235" s="39" t="n">
        <v>67.1746031746032</v>
      </c>
      <c r="H235" s="39" t="n">
        <v>62.8412698412698</v>
      </c>
      <c r="I235" s="39" t="n">
        <v>244.870967741936</v>
      </c>
      <c r="J235" s="39" t="n">
        <v>66.1290322580645</v>
      </c>
      <c r="K235" s="39" t="n">
        <v>531</v>
      </c>
    </row>
    <row r="236" customFormat="false" ht="15" hidden="false" customHeight="true" outlineLevel="0" collapsed="false">
      <c r="A236" s="13" t="s">
        <v>848</v>
      </c>
      <c r="B236" s="13" t="s">
        <v>187</v>
      </c>
      <c r="C236" s="13" t="s">
        <v>678</v>
      </c>
      <c r="D236" s="13" t="s">
        <v>673</v>
      </c>
      <c r="E236" s="39" t="n">
        <v>311</v>
      </c>
      <c r="F236" s="39" t="n">
        <v>110.619047619048</v>
      </c>
      <c r="G236" s="39" t="n">
        <v>66.3492063492064</v>
      </c>
      <c r="H236" s="39" t="n">
        <v>43.031746031746</v>
      </c>
      <c r="I236" s="39" t="n">
        <v>244.870967741936</v>
      </c>
      <c r="J236" s="39" t="n">
        <v>66.1290322580645</v>
      </c>
      <c r="K236" s="39" t="n">
        <v>531</v>
      </c>
    </row>
    <row r="237" customFormat="false" ht="15" hidden="false" customHeight="true" outlineLevel="0" collapsed="false">
      <c r="A237" s="13" t="s">
        <v>849</v>
      </c>
      <c r="B237" s="13" t="s">
        <v>187</v>
      </c>
      <c r="C237" s="13" t="s">
        <v>681</v>
      </c>
      <c r="D237" s="13" t="s">
        <v>671</v>
      </c>
      <c r="E237" s="39" t="n">
        <v>230</v>
      </c>
      <c r="F237" s="39" t="n">
        <v>92.984126984127</v>
      </c>
      <c r="G237" s="39" t="n">
        <v>92.1746031746032</v>
      </c>
      <c r="H237" s="39" t="n">
        <v>62.8412698412698</v>
      </c>
      <c r="I237" s="39" t="n">
        <v>163.870967741936</v>
      </c>
      <c r="J237" s="39" t="n">
        <v>66.1290322580645</v>
      </c>
      <c r="K237" s="39" t="n">
        <v>478</v>
      </c>
    </row>
    <row r="238" customFormat="false" ht="15" hidden="false" customHeight="true" outlineLevel="0" collapsed="false">
      <c r="A238" s="13" t="s">
        <v>850</v>
      </c>
      <c r="B238" s="13" t="s">
        <v>187</v>
      </c>
      <c r="C238" s="13" t="s">
        <v>681</v>
      </c>
      <c r="D238" s="13" t="s">
        <v>673</v>
      </c>
      <c r="E238" s="39" t="n">
        <v>230</v>
      </c>
      <c r="F238" s="39" t="n">
        <v>113.619047619048</v>
      </c>
      <c r="G238" s="39" t="n">
        <v>91.3492063492064</v>
      </c>
      <c r="H238" s="39" t="n">
        <v>43.031746031746</v>
      </c>
      <c r="I238" s="39" t="n">
        <v>163.870967741936</v>
      </c>
      <c r="J238" s="39" t="n">
        <v>66.1290322580645</v>
      </c>
      <c r="K238" s="39" t="n">
        <v>478</v>
      </c>
    </row>
    <row r="239" customFormat="false" ht="15" hidden="false" customHeight="true" outlineLevel="0" collapsed="false">
      <c r="A239" s="13" t="s">
        <v>851</v>
      </c>
      <c r="B239" s="13" t="s">
        <v>208</v>
      </c>
      <c r="C239" s="13" t="s">
        <v>670</v>
      </c>
      <c r="D239" s="13" t="s">
        <v>671</v>
      </c>
      <c r="E239" s="39" t="n">
        <v>13031.4835902724</v>
      </c>
      <c r="F239" s="39" t="n">
        <v>5406.28437230478</v>
      </c>
      <c r="G239" s="39" t="n">
        <v>5315.20752142531</v>
      </c>
      <c r="H239" s="39" t="n">
        <v>4479.6894062699</v>
      </c>
      <c r="I239" s="39" t="n">
        <v>8017.75329791052</v>
      </c>
      <c r="J239" s="39" t="n">
        <v>5013.73029236186</v>
      </c>
      <c r="K239" s="39" t="n">
        <v>28232.6648902724</v>
      </c>
    </row>
    <row r="240" customFormat="false" ht="15" hidden="false" customHeight="true" outlineLevel="0" collapsed="false">
      <c r="A240" s="13" t="s">
        <v>852</v>
      </c>
      <c r="B240" s="13" t="s">
        <v>208</v>
      </c>
      <c r="C240" s="13" t="s">
        <v>670</v>
      </c>
      <c r="D240" s="13" t="s">
        <v>673</v>
      </c>
      <c r="E240" s="39" t="n">
        <v>13031.4835902724</v>
      </c>
      <c r="F240" s="39" t="n">
        <v>7542.09358609008</v>
      </c>
      <c r="G240" s="39" t="n">
        <v>5365.49412534577</v>
      </c>
      <c r="H240" s="39" t="n">
        <v>2293.59358856415</v>
      </c>
      <c r="I240" s="39" t="n">
        <v>8017.75329791052</v>
      </c>
      <c r="J240" s="39" t="n">
        <v>5013.73029236186</v>
      </c>
      <c r="K240" s="39" t="n">
        <v>28232.6648902724</v>
      </c>
    </row>
    <row r="241" customFormat="false" ht="15" hidden="false" customHeight="true" outlineLevel="0" collapsed="false">
      <c r="A241" s="13" t="s">
        <v>853</v>
      </c>
      <c r="B241" s="13" t="s">
        <v>208</v>
      </c>
      <c r="C241" s="13" t="s">
        <v>675</v>
      </c>
      <c r="D241" s="13" t="s">
        <v>671</v>
      </c>
      <c r="E241" s="39" t="n">
        <v>12109</v>
      </c>
      <c r="F241" s="39" t="n">
        <v>5470.25688203241</v>
      </c>
      <c r="G241" s="39" t="n">
        <v>5580.05371169769</v>
      </c>
      <c r="H241" s="39" t="n">
        <v>4479.6894062699</v>
      </c>
      <c r="I241" s="39" t="n">
        <v>7095.26970763815</v>
      </c>
      <c r="J241" s="39" t="n">
        <v>5013.73029236186</v>
      </c>
      <c r="K241" s="39" t="n">
        <v>27639</v>
      </c>
    </row>
    <row r="242" customFormat="false" ht="15" hidden="false" customHeight="true" outlineLevel="0" collapsed="false">
      <c r="A242" s="13" t="s">
        <v>854</v>
      </c>
      <c r="B242" s="13" t="s">
        <v>208</v>
      </c>
      <c r="C242" s="13" t="s">
        <v>675</v>
      </c>
      <c r="D242" s="13" t="s">
        <v>673</v>
      </c>
      <c r="E242" s="39" t="n">
        <v>12109</v>
      </c>
      <c r="F242" s="39" t="n">
        <v>7606.06609581771</v>
      </c>
      <c r="G242" s="39" t="n">
        <v>5630.34031561814</v>
      </c>
      <c r="H242" s="39" t="n">
        <v>2293.59358856415</v>
      </c>
      <c r="I242" s="39" t="n">
        <v>7095.26970763815</v>
      </c>
      <c r="J242" s="39" t="n">
        <v>5013.73029236186</v>
      </c>
      <c r="K242" s="39" t="n">
        <v>27639</v>
      </c>
    </row>
    <row r="243" customFormat="false" ht="15" hidden="false" customHeight="true" outlineLevel="0" collapsed="false">
      <c r="A243" s="13" t="s">
        <v>855</v>
      </c>
      <c r="B243" s="13" t="s">
        <v>208</v>
      </c>
      <c r="C243" s="13" t="s">
        <v>678</v>
      </c>
      <c r="D243" s="13" t="s">
        <v>671</v>
      </c>
      <c r="E243" s="39" t="n">
        <v>13551</v>
      </c>
      <c r="F243" s="39" t="n">
        <v>5370.25688203241</v>
      </c>
      <c r="G243" s="39" t="n">
        <v>5166.05371169769</v>
      </c>
      <c r="H243" s="39" t="n">
        <v>4479.6894062699</v>
      </c>
      <c r="I243" s="39" t="n">
        <v>8537.26970763815</v>
      </c>
      <c r="J243" s="39" t="n">
        <v>5013.73029236186</v>
      </c>
      <c r="K243" s="39" t="n">
        <v>28567</v>
      </c>
    </row>
    <row r="244" customFormat="false" ht="15" hidden="false" customHeight="true" outlineLevel="0" collapsed="false">
      <c r="A244" s="13" t="s">
        <v>856</v>
      </c>
      <c r="B244" s="13" t="s">
        <v>208</v>
      </c>
      <c r="C244" s="13" t="s">
        <v>678</v>
      </c>
      <c r="D244" s="13" t="s">
        <v>673</v>
      </c>
      <c r="E244" s="39" t="n">
        <v>13551</v>
      </c>
      <c r="F244" s="39" t="n">
        <v>7506.06609581771</v>
      </c>
      <c r="G244" s="39" t="n">
        <v>5216.34031561814</v>
      </c>
      <c r="H244" s="39" t="n">
        <v>2293.59358856415</v>
      </c>
      <c r="I244" s="39" t="n">
        <v>8537.26970763815</v>
      </c>
      <c r="J244" s="39" t="n">
        <v>5013.73029236186</v>
      </c>
      <c r="K244" s="39" t="n">
        <v>28567</v>
      </c>
    </row>
    <row r="245" customFormat="false" ht="15" hidden="false" customHeight="true" outlineLevel="0" collapsed="false">
      <c r="A245" s="13" t="s">
        <v>857</v>
      </c>
      <c r="B245" s="13" t="s">
        <v>208</v>
      </c>
      <c r="C245" s="13" t="s">
        <v>681</v>
      </c>
      <c r="D245" s="13" t="s">
        <v>671</v>
      </c>
      <c r="E245" s="39" t="n">
        <v>12109</v>
      </c>
      <c r="F245" s="39" t="n">
        <v>5470.25688203241</v>
      </c>
      <c r="G245" s="39" t="n">
        <v>5580.05371169769</v>
      </c>
      <c r="H245" s="39" t="n">
        <v>4479.6894062699</v>
      </c>
      <c r="I245" s="39" t="n">
        <v>7095.26970763815</v>
      </c>
      <c r="J245" s="39" t="n">
        <v>5013.73029236186</v>
      </c>
      <c r="K245" s="39" t="n">
        <v>27639</v>
      </c>
    </row>
    <row r="246" customFormat="false" ht="15" hidden="false" customHeight="true" outlineLevel="0" collapsed="false">
      <c r="A246" s="13" t="s">
        <v>858</v>
      </c>
      <c r="B246" s="13" t="s">
        <v>208</v>
      </c>
      <c r="C246" s="13" t="s">
        <v>681</v>
      </c>
      <c r="D246" s="13" t="s">
        <v>673</v>
      </c>
      <c r="E246" s="39" t="n">
        <v>12109</v>
      </c>
      <c r="F246" s="39" t="n">
        <v>7606.06609581771</v>
      </c>
      <c r="G246" s="39" t="n">
        <v>5630.34031561814</v>
      </c>
      <c r="H246" s="39" t="n">
        <v>2293.59358856415</v>
      </c>
      <c r="I246" s="39" t="n">
        <v>7095.26970763815</v>
      </c>
      <c r="J246" s="39" t="n">
        <v>5013.73029236186</v>
      </c>
      <c r="K246" s="39" t="n">
        <v>27639</v>
      </c>
    </row>
    <row r="247" customFormat="false" ht="15" hidden="false" customHeight="true" outlineLevel="0" collapsed="false">
      <c r="A247" s="13" t="s">
        <v>859</v>
      </c>
      <c r="B247" s="13" t="s">
        <v>172</v>
      </c>
      <c r="C247" s="13" t="s">
        <v>670</v>
      </c>
      <c r="D247" s="13" t="s">
        <v>671</v>
      </c>
      <c r="E247" s="39" t="n">
        <v>2269.66306141732</v>
      </c>
      <c r="F247" s="39" t="n">
        <v>909.503913365375</v>
      </c>
      <c r="G247" s="39" t="n">
        <v>857.644335985275</v>
      </c>
      <c r="H247" s="39" t="n">
        <v>533.649350649351</v>
      </c>
      <c r="I247" s="39" t="n">
        <v>1777.95009845436</v>
      </c>
      <c r="J247" s="39" t="n">
        <v>491.712962962963</v>
      </c>
      <c r="K247" s="39" t="n">
        <v>4570.46066141732</v>
      </c>
    </row>
    <row r="248" customFormat="false" ht="15" hidden="false" customHeight="true" outlineLevel="0" collapsed="false">
      <c r="A248" s="13" t="s">
        <v>860</v>
      </c>
      <c r="B248" s="13" t="s">
        <v>172</v>
      </c>
      <c r="C248" s="13" t="s">
        <v>670</v>
      </c>
      <c r="D248" s="13" t="s">
        <v>673</v>
      </c>
      <c r="E248" s="39" t="n">
        <v>2269.66306141732</v>
      </c>
      <c r="F248" s="39" t="n">
        <v>1134.33832894979</v>
      </c>
      <c r="G248" s="39" t="n">
        <v>860.386219102158</v>
      </c>
      <c r="H248" s="39" t="n">
        <v>306.073051948052</v>
      </c>
      <c r="I248" s="39" t="n">
        <v>1777.95009845436</v>
      </c>
      <c r="J248" s="39" t="n">
        <v>491.712962962963</v>
      </c>
      <c r="K248" s="39" t="n">
        <v>4570.46066141732</v>
      </c>
    </row>
    <row r="249" customFormat="false" ht="15" hidden="false" customHeight="true" outlineLevel="0" collapsed="false">
      <c r="A249" s="13" t="s">
        <v>861</v>
      </c>
      <c r="B249" s="13" t="s">
        <v>172</v>
      </c>
      <c r="C249" s="13" t="s">
        <v>675</v>
      </c>
      <c r="D249" s="13" t="s">
        <v>671</v>
      </c>
      <c r="E249" s="39" t="n">
        <v>2276.38819442942</v>
      </c>
      <c r="F249" s="39" t="n">
        <v>908.625854455783</v>
      </c>
      <c r="G249" s="39" t="n">
        <v>855.987997587635</v>
      </c>
      <c r="H249" s="39" t="n">
        <v>533.649350649351</v>
      </c>
      <c r="I249" s="39" t="n">
        <v>1784.67523146646</v>
      </c>
      <c r="J249" s="39" t="n">
        <v>491.712962962963</v>
      </c>
      <c r="K249" s="39" t="n">
        <v>4574.65139712219</v>
      </c>
    </row>
    <row r="250" customFormat="false" ht="15" hidden="false" customHeight="true" outlineLevel="0" collapsed="false">
      <c r="A250" s="13" t="s">
        <v>862</v>
      </c>
      <c r="B250" s="13" t="s">
        <v>172</v>
      </c>
      <c r="C250" s="13" t="s">
        <v>675</v>
      </c>
      <c r="D250" s="13" t="s">
        <v>673</v>
      </c>
      <c r="E250" s="39" t="n">
        <v>2276.38819442942</v>
      </c>
      <c r="F250" s="39" t="n">
        <v>1133.4602700402</v>
      </c>
      <c r="G250" s="39" t="n">
        <v>858.729880704519</v>
      </c>
      <c r="H250" s="39" t="n">
        <v>306.073051948052</v>
      </c>
      <c r="I250" s="39" t="n">
        <v>1784.67523146646</v>
      </c>
      <c r="J250" s="39" t="n">
        <v>491.712962962963</v>
      </c>
      <c r="K250" s="39" t="n">
        <v>4574.65139712219</v>
      </c>
    </row>
    <row r="251" customFormat="false" ht="15" hidden="false" customHeight="true" outlineLevel="0" collapsed="false">
      <c r="A251" s="13" t="s">
        <v>863</v>
      </c>
      <c r="B251" s="13" t="s">
        <v>172</v>
      </c>
      <c r="C251" s="13" t="s">
        <v>678</v>
      </c>
      <c r="D251" s="13" t="s">
        <v>671</v>
      </c>
      <c r="E251" s="39" t="n">
        <v>2699</v>
      </c>
      <c r="F251" s="39" t="n">
        <v>853.448051948052</v>
      </c>
      <c r="G251" s="39" t="n">
        <v>751.902597402597</v>
      </c>
      <c r="H251" s="39" t="n">
        <v>533.649350649351</v>
      </c>
      <c r="I251" s="39" t="n">
        <v>2207.28703703704</v>
      </c>
      <c r="J251" s="39" t="n">
        <v>491.712962962963</v>
      </c>
      <c r="K251" s="39" t="n">
        <v>4838</v>
      </c>
    </row>
    <row r="252" customFormat="false" ht="15" hidden="false" customHeight="true" outlineLevel="0" collapsed="false">
      <c r="A252" s="13" t="s">
        <v>864</v>
      </c>
      <c r="B252" s="13" t="s">
        <v>172</v>
      </c>
      <c r="C252" s="13" t="s">
        <v>678</v>
      </c>
      <c r="D252" s="13" t="s">
        <v>673</v>
      </c>
      <c r="E252" s="39" t="n">
        <v>2699</v>
      </c>
      <c r="F252" s="39" t="n">
        <v>1078.28246753247</v>
      </c>
      <c r="G252" s="39" t="n">
        <v>754.644480519481</v>
      </c>
      <c r="H252" s="39" t="n">
        <v>306.073051948052</v>
      </c>
      <c r="I252" s="39" t="n">
        <v>2207.28703703704</v>
      </c>
      <c r="J252" s="39" t="n">
        <v>491.712962962963</v>
      </c>
      <c r="K252" s="39" t="n">
        <v>4838</v>
      </c>
    </row>
    <row r="253" customFormat="false" ht="15" hidden="false" customHeight="true" outlineLevel="0" collapsed="false">
      <c r="A253" s="13" t="s">
        <v>865</v>
      </c>
      <c r="B253" s="13" t="s">
        <v>172</v>
      </c>
      <c r="C253" s="13" t="s">
        <v>681</v>
      </c>
      <c r="D253" s="13" t="s">
        <v>671</v>
      </c>
      <c r="E253" s="39" t="n">
        <v>1688</v>
      </c>
      <c r="F253" s="39" t="n">
        <v>985.448051948052</v>
      </c>
      <c r="G253" s="39" t="n">
        <v>1000.9025974026</v>
      </c>
      <c r="H253" s="39" t="n">
        <v>533.649350649351</v>
      </c>
      <c r="I253" s="39" t="n">
        <v>1196.28703703704</v>
      </c>
      <c r="J253" s="39" t="n">
        <v>491.712962962963</v>
      </c>
      <c r="K253" s="39" t="n">
        <v>4208</v>
      </c>
    </row>
    <row r="254" customFormat="false" ht="15" hidden="false" customHeight="true" outlineLevel="0" collapsed="false">
      <c r="A254" s="13" t="s">
        <v>866</v>
      </c>
      <c r="B254" s="13" t="s">
        <v>172</v>
      </c>
      <c r="C254" s="13" t="s">
        <v>681</v>
      </c>
      <c r="D254" s="13" t="s">
        <v>673</v>
      </c>
      <c r="E254" s="39" t="n">
        <v>1688</v>
      </c>
      <c r="F254" s="39" t="n">
        <v>1210.28246753247</v>
      </c>
      <c r="G254" s="39" t="n">
        <v>1003.64448051948</v>
      </c>
      <c r="H254" s="39" t="n">
        <v>306.073051948052</v>
      </c>
      <c r="I254" s="39" t="n">
        <v>1196.28703703704</v>
      </c>
      <c r="J254" s="39" t="n">
        <v>491.712962962963</v>
      </c>
      <c r="K254" s="39" t="n">
        <v>4208</v>
      </c>
    </row>
    <row r="255" customFormat="false" ht="15" hidden="false" customHeight="true" outlineLevel="0" collapsed="false">
      <c r="A255" s="13" t="s">
        <v>867</v>
      </c>
      <c r="B255" s="13" t="s">
        <v>174</v>
      </c>
      <c r="C255" s="13" t="s">
        <v>670</v>
      </c>
      <c r="D255" s="13" t="s">
        <v>671</v>
      </c>
      <c r="E255" s="39" t="n">
        <v>1151.791174</v>
      </c>
      <c r="F255" s="39" t="n">
        <v>517.390832949212</v>
      </c>
      <c r="G255" s="39" t="n">
        <v>399.127500535902</v>
      </c>
      <c r="H255" s="39" t="n">
        <v>373.248686514886</v>
      </c>
      <c r="I255" s="39" t="n">
        <v>912.558615860465</v>
      </c>
      <c r="J255" s="39" t="n">
        <v>239.232558139535</v>
      </c>
      <c r="K255" s="39" t="n">
        <v>2441.558194</v>
      </c>
    </row>
    <row r="256" customFormat="false" ht="15" hidden="false" customHeight="true" outlineLevel="0" collapsed="false">
      <c r="A256" s="13" t="s">
        <v>868</v>
      </c>
      <c r="B256" s="13" t="s">
        <v>174</v>
      </c>
      <c r="C256" s="13" t="s">
        <v>670</v>
      </c>
      <c r="D256" s="13" t="s">
        <v>673</v>
      </c>
      <c r="E256" s="39" t="n">
        <v>1151.791174</v>
      </c>
      <c r="F256" s="39" t="n">
        <v>660.836542231173</v>
      </c>
      <c r="G256" s="39" t="n">
        <v>386.807010168126</v>
      </c>
      <c r="H256" s="39" t="n">
        <v>242.123467600701</v>
      </c>
      <c r="I256" s="39" t="n">
        <v>912.558615860465</v>
      </c>
      <c r="J256" s="39" t="n">
        <v>239.232558139535</v>
      </c>
      <c r="K256" s="39" t="n">
        <v>2441.558194</v>
      </c>
    </row>
    <row r="257" customFormat="false" ht="15" hidden="false" customHeight="true" outlineLevel="0" collapsed="false">
      <c r="A257" s="13" t="s">
        <v>869</v>
      </c>
      <c r="B257" s="13" t="s">
        <v>174</v>
      </c>
      <c r="C257" s="13" t="s">
        <v>675</v>
      </c>
      <c r="D257" s="13" t="s">
        <v>671</v>
      </c>
      <c r="E257" s="39" t="n">
        <v>1000.74545498511</v>
      </c>
      <c r="F257" s="39" t="n">
        <v>519.087975859492</v>
      </c>
      <c r="G257" s="39" t="n">
        <v>448.344644934014</v>
      </c>
      <c r="H257" s="39" t="n">
        <v>373.248686514886</v>
      </c>
      <c r="I257" s="39" t="n">
        <v>761.51289684557</v>
      </c>
      <c r="J257" s="39" t="n">
        <v>239.232558139535</v>
      </c>
      <c r="K257" s="39" t="n">
        <v>2341.4267622935</v>
      </c>
    </row>
    <row r="258" customFormat="false" ht="15" hidden="false" customHeight="true" outlineLevel="0" collapsed="false">
      <c r="A258" s="13" t="s">
        <v>870</v>
      </c>
      <c r="B258" s="13" t="s">
        <v>174</v>
      </c>
      <c r="C258" s="13" t="s">
        <v>675</v>
      </c>
      <c r="D258" s="13" t="s">
        <v>673</v>
      </c>
      <c r="E258" s="39" t="n">
        <v>1000.74545498511</v>
      </c>
      <c r="F258" s="39" t="n">
        <v>662.533685141453</v>
      </c>
      <c r="G258" s="39" t="n">
        <v>436.024154566238</v>
      </c>
      <c r="H258" s="39" t="n">
        <v>242.123467600701</v>
      </c>
      <c r="I258" s="39" t="n">
        <v>761.51289684557</v>
      </c>
      <c r="J258" s="39" t="n">
        <v>239.232558139535</v>
      </c>
      <c r="K258" s="39" t="n">
        <v>2341.4267622935</v>
      </c>
    </row>
    <row r="259" customFormat="false" ht="15" hidden="false" customHeight="true" outlineLevel="0" collapsed="false">
      <c r="A259" s="13" t="s">
        <v>871</v>
      </c>
      <c r="B259" s="13" t="s">
        <v>174</v>
      </c>
      <c r="C259" s="13" t="s">
        <v>678</v>
      </c>
      <c r="D259" s="13" t="s">
        <v>671</v>
      </c>
      <c r="E259" s="39" t="n">
        <v>1249</v>
      </c>
      <c r="F259" s="39" t="n">
        <v>516.298598949212</v>
      </c>
      <c r="G259" s="39" t="n">
        <v>367.452714535902</v>
      </c>
      <c r="H259" s="39" t="n">
        <v>373.248686514886</v>
      </c>
      <c r="I259" s="39" t="n">
        <v>1009.76744186047</v>
      </c>
      <c r="J259" s="39" t="n">
        <v>239.232558139535</v>
      </c>
      <c r="K259" s="39" t="n">
        <v>2506</v>
      </c>
    </row>
    <row r="260" customFormat="false" ht="15" hidden="false" customHeight="true" outlineLevel="0" collapsed="false">
      <c r="A260" s="13" t="s">
        <v>872</v>
      </c>
      <c r="B260" s="13" t="s">
        <v>174</v>
      </c>
      <c r="C260" s="13" t="s">
        <v>678</v>
      </c>
      <c r="D260" s="13" t="s">
        <v>673</v>
      </c>
      <c r="E260" s="39" t="n">
        <v>1249</v>
      </c>
      <c r="F260" s="39" t="n">
        <v>659.744308231173</v>
      </c>
      <c r="G260" s="39" t="n">
        <v>355.132224168126</v>
      </c>
      <c r="H260" s="39" t="n">
        <v>242.123467600701</v>
      </c>
      <c r="I260" s="39" t="n">
        <v>1009.76744186047</v>
      </c>
      <c r="J260" s="39" t="n">
        <v>239.232558139535</v>
      </c>
      <c r="K260" s="39" t="n">
        <v>2506</v>
      </c>
    </row>
    <row r="261" customFormat="false" ht="15" hidden="false" customHeight="true" outlineLevel="0" collapsed="false">
      <c r="A261" s="13" t="s">
        <v>873</v>
      </c>
      <c r="B261" s="13" t="s">
        <v>174</v>
      </c>
      <c r="C261" s="13" t="s">
        <v>681</v>
      </c>
      <c r="D261" s="13" t="s">
        <v>671</v>
      </c>
      <c r="E261" s="39" t="n">
        <v>804</v>
      </c>
      <c r="F261" s="39" t="n">
        <v>521.298598949212</v>
      </c>
      <c r="G261" s="39" t="n">
        <v>512.452714535902</v>
      </c>
      <c r="H261" s="39" t="n">
        <v>373.248686514886</v>
      </c>
      <c r="I261" s="39" t="n">
        <v>564.767441860465</v>
      </c>
      <c r="J261" s="39" t="n">
        <v>239.232558139535</v>
      </c>
      <c r="K261" s="39" t="n">
        <v>2211</v>
      </c>
    </row>
    <row r="262" customFormat="false" ht="15" hidden="false" customHeight="true" outlineLevel="0" collapsed="false">
      <c r="A262" s="13" t="s">
        <v>874</v>
      </c>
      <c r="B262" s="13" t="s">
        <v>174</v>
      </c>
      <c r="C262" s="13" t="s">
        <v>681</v>
      </c>
      <c r="D262" s="13" t="s">
        <v>673</v>
      </c>
      <c r="E262" s="39" t="n">
        <v>804</v>
      </c>
      <c r="F262" s="39" t="n">
        <v>664.744308231173</v>
      </c>
      <c r="G262" s="39" t="n">
        <v>500.132224168126</v>
      </c>
      <c r="H262" s="39" t="n">
        <v>242.123467600701</v>
      </c>
      <c r="I262" s="39" t="n">
        <v>564.767441860465</v>
      </c>
      <c r="J262" s="39" t="n">
        <v>239.232558139535</v>
      </c>
      <c r="K262" s="39" t="n">
        <v>2211</v>
      </c>
    </row>
    <row r="263" customFormat="false" ht="15" hidden="false" customHeight="true" outlineLevel="0" collapsed="false">
      <c r="A263" s="3" t="s">
        <v>875</v>
      </c>
    </row>
    <row r="266" customFormat="false" ht="15" hidden="false" customHeight="true" outlineLevel="0" collapsed="false">
      <c r="A266" s="12" t="s">
        <v>876</v>
      </c>
    </row>
    <row r="267" customFormat="false" ht="34.5" hidden="false" customHeight="true" outlineLevel="0" collapsed="false">
      <c r="A267" s="4" t="s">
        <v>136</v>
      </c>
      <c r="B267" s="5" t="s">
        <v>877</v>
      </c>
      <c r="C267" s="5" t="s">
        <v>878</v>
      </c>
      <c r="D267" s="5" t="s">
        <v>879</v>
      </c>
      <c r="E267" s="5" t="s">
        <v>880</v>
      </c>
      <c r="F267" s="5" t="s">
        <v>881</v>
      </c>
      <c r="G267" s="5" t="s">
        <v>882</v>
      </c>
      <c r="H267" s="5" t="s">
        <v>883</v>
      </c>
    </row>
    <row r="268" customFormat="false" ht="15" hidden="false" customHeight="true" outlineLevel="0" collapsed="false">
      <c r="A268" s="21" t="s">
        <v>157</v>
      </c>
      <c r="B268" s="39" t="n">
        <v>61.986</v>
      </c>
      <c r="C268" s="21" t="n">
        <v>1919</v>
      </c>
      <c r="D268" s="39" t="n">
        <f aca="false">IF(B268&gt;0,C268/B268,"")</f>
        <v>30.9586035556416</v>
      </c>
      <c r="E268" s="21" t="n">
        <v>2289</v>
      </c>
      <c r="F268" s="22" t="n">
        <f aca="false">IF(E268&gt;0,C268/E268,0)</f>
        <v>0.838357361293141</v>
      </c>
      <c r="G268" s="39" t="n">
        <v>73.9</v>
      </c>
      <c r="H268" s="21" t="n">
        <v>1</v>
      </c>
    </row>
    <row r="269" customFormat="false" ht="15" hidden="false" customHeight="true" outlineLevel="0" collapsed="false">
      <c r="A269" s="21" t="s">
        <v>160</v>
      </c>
      <c r="B269" s="39" t="n">
        <v>305.512</v>
      </c>
      <c r="C269" s="21" t="n">
        <v>7640</v>
      </c>
      <c r="D269" s="39" t="n">
        <f aca="false">IF(B269&gt;0,C269/B269,"")</f>
        <v>25.0072010264736</v>
      </c>
      <c r="E269" s="21" t="n">
        <v>7988</v>
      </c>
      <c r="F269" s="22" t="n">
        <f aca="false">IF(E269&gt;0,C269/E269,0)</f>
        <v>0.956434651977967</v>
      </c>
      <c r="G269" s="39" t="n">
        <v>308.1</v>
      </c>
      <c r="H269" s="21" t="n">
        <v>11</v>
      </c>
    </row>
    <row r="270" customFormat="false" ht="15" hidden="false" customHeight="true" outlineLevel="0" collapsed="false">
      <c r="A270" s="21" t="s">
        <v>162</v>
      </c>
      <c r="B270" s="39" t="n">
        <v>252.365</v>
      </c>
      <c r="C270" s="21" t="n">
        <v>6170</v>
      </c>
      <c r="D270" s="39" t="n">
        <f aca="false">IF(B270&gt;0,C270/B270,"")</f>
        <v>24.4487151546371</v>
      </c>
      <c r="E270" s="21" t="n">
        <v>8633</v>
      </c>
      <c r="F270" s="22" t="n">
        <f aca="false">IF(E270&gt;0,C270/E270,0)</f>
        <v>0.7146994092436</v>
      </c>
      <c r="G270" s="39" t="n">
        <v>5985.4</v>
      </c>
      <c r="H270" s="21" t="n">
        <v>1418</v>
      </c>
    </row>
    <row r="271" customFormat="false" ht="15" hidden="false" customHeight="true" outlineLevel="0" collapsed="false">
      <c r="A271" s="21" t="s">
        <v>164</v>
      </c>
      <c r="B271" s="39" t="n">
        <v>93.498</v>
      </c>
      <c r="C271" s="21" t="n">
        <v>3310</v>
      </c>
      <c r="D271" s="39" t="n">
        <f aca="false">IF(B271&gt;0,C271/B271,"")</f>
        <v>35.4018267770434</v>
      </c>
      <c r="E271" s="21" t="n">
        <v>8954</v>
      </c>
      <c r="F271" s="22" t="n">
        <f aca="false">IF(E271&gt;0,C271/E271,0)</f>
        <v>0.369667187849006</v>
      </c>
      <c r="G271" s="39" t="n">
        <v>117.7</v>
      </c>
      <c r="H271" s="21" t="n">
        <v>4</v>
      </c>
    </row>
    <row r="272" customFormat="false" ht="15" hidden="false" customHeight="true" outlineLevel="0" collapsed="false">
      <c r="A272" s="21" t="s">
        <v>166</v>
      </c>
      <c r="B272" s="39" t="n">
        <v>76.697</v>
      </c>
      <c r="C272" s="21" t="n">
        <v>1852</v>
      </c>
      <c r="D272" s="39" t="n">
        <f aca="false">IF(B272&gt;0,C272/B272,"")</f>
        <v>24.1469679387721</v>
      </c>
      <c r="E272" s="21" t="n">
        <v>1855</v>
      </c>
      <c r="F272" s="22" t="n">
        <f aca="false">IF(E272&gt;0,C272/E272,0)</f>
        <v>0.998382749326146</v>
      </c>
      <c r="G272" s="39" t="n">
        <v>61.5</v>
      </c>
      <c r="H272" s="21" t="n">
        <v>0</v>
      </c>
    </row>
    <row r="273" customFormat="false" ht="15" hidden="false" customHeight="true" outlineLevel="0" collapsed="false">
      <c r="A273" s="21" t="s">
        <v>168</v>
      </c>
      <c r="B273" s="39" t="n">
        <v>314.171</v>
      </c>
      <c r="C273" s="21" t="n">
        <v>7060</v>
      </c>
      <c r="D273" s="39" t="n">
        <f aca="false">IF(B273&gt;0,C273/B273,"")</f>
        <v>22.4718385847198</v>
      </c>
      <c r="E273" s="21" t="n">
        <v>7818</v>
      </c>
      <c r="F273" s="22" t="n">
        <f aca="false">IF(E273&gt;0,C273/E273,0)</f>
        <v>0.903044256843182</v>
      </c>
      <c r="G273" s="39" t="n">
        <v>1079.3</v>
      </c>
      <c r="H273" s="21" t="n">
        <v>313</v>
      </c>
    </row>
    <row r="274" customFormat="false" ht="15" hidden="false" customHeight="true" outlineLevel="0" collapsed="false">
      <c r="A274" s="21" t="s">
        <v>170</v>
      </c>
      <c r="B274" s="39" t="n">
        <v>13.59</v>
      </c>
      <c r="C274" s="21" t="n">
        <v>626</v>
      </c>
      <c r="D274" s="39" t="n">
        <f aca="false">IF(B274&gt;0,C274/B274,"")</f>
        <v>46.0632818248712</v>
      </c>
      <c r="E274" s="21" t="n">
        <v>1072</v>
      </c>
      <c r="F274" s="22" t="n">
        <f aca="false">IF(E274&gt;0,C274/E274,0)</f>
        <v>0.583955223880597</v>
      </c>
      <c r="G274" s="39" t="n">
        <v>33.2</v>
      </c>
      <c r="H274" s="21" t="n">
        <v>1</v>
      </c>
    </row>
    <row r="275" customFormat="false" ht="15" hidden="false" customHeight="true" outlineLevel="0" collapsed="false">
      <c r="A275" s="21" t="s">
        <v>172</v>
      </c>
      <c r="B275" s="39" t="n">
        <v>119.774</v>
      </c>
      <c r="C275" s="21" t="n">
        <v>4232</v>
      </c>
      <c r="D275" s="39" t="n">
        <f aca="false">IF(B275&gt;0,C275/B275,"")</f>
        <v>35.3332108804916</v>
      </c>
      <c r="E275" s="21" t="n">
        <v>4655</v>
      </c>
      <c r="F275" s="22" t="n">
        <f aca="false">IF(E275&gt;0,C275/E275,0)</f>
        <v>0.909129967776584</v>
      </c>
      <c r="G275" s="39" t="n">
        <v>74.3</v>
      </c>
      <c r="H275" s="21" t="n">
        <v>1</v>
      </c>
    </row>
    <row r="276" customFormat="false" ht="15" hidden="false" customHeight="true" outlineLevel="0" collapsed="false">
      <c r="A276" s="21" t="s">
        <v>174</v>
      </c>
      <c r="B276" s="39" t="n">
        <v>98.474</v>
      </c>
      <c r="C276" s="21" t="n">
        <v>2401</v>
      </c>
      <c r="D276" s="39" t="n">
        <f aca="false">IF(B276&gt;0,C276/B276,"")</f>
        <v>24.3820703942157</v>
      </c>
      <c r="E276" s="21" t="n">
        <v>2501</v>
      </c>
      <c r="F276" s="22" t="n">
        <f aca="false">IF(E276&gt;0,C276/E276,0)</f>
        <v>0.960015993602559</v>
      </c>
      <c r="G276" s="39" t="n">
        <v>131</v>
      </c>
      <c r="H276" s="21" t="n">
        <v>36</v>
      </c>
    </row>
    <row r="277" customFormat="false" ht="15" hidden="false" customHeight="true" outlineLevel="0" collapsed="false">
      <c r="A277" s="21" t="s">
        <v>176</v>
      </c>
      <c r="B277" s="39" t="n">
        <v>48.272</v>
      </c>
      <c r="C277" s="21" t="n">
        <v>872</v>
      </c>
      <c r="D277" s="39" t="n">
        <f aca="false">IF(B277&gt;0,C277/B277,"")</f>
        <v>18.0643022870401</v>
      </c>
      <c r="E277" s="21" t="n">
        <v>1150</v>
      </c>
      <c r="F277" s="22" t="n">
        <f aca="false">IF(E277&gt;0,C277/E277,0)</f>
        <v>0.758260869565217</v>
      </c>
      <c r="G277" s="39" t="n">
        <v>58</v>
      </c>
      <c r="H277" s="21" t="n">
        <v>101</v>
      </c>
    </row>
    <row r="278" customFormat="false" ht="15" hidden="false" customHeight="true" outlineLevel="0" collapsed="false">
      <c r="A278" s="21" t="s">
        <v>179</v>
      </c>
      <c r="B278" s="39" t="n">
        <v>21.911</v>
      </c>
      <c r="C278" s="21" t="n">
        <v>445</v>
      </c>
      <c r="D278" s="39" t="n">
        <f aca="false">IF(B278&gt;0,C278/B278,"")</f>
        <v>20.3094336178175</v>
      </c>
      <c r="E278" s="21" t="n">
        <v>567</v>
      </c>
      <c r="F278" s="22" t="n">
        <f aca="false">IF(E278&gt;0,C278/E278,0)</f>
        <v>0.784832451499118</v>
      </c>
      <c r="G278" s="39" t="n">
        <v>42.6</v>
      </c>
      <c r="H278" s="21" t="n">
        <v>74</v>
      </c>
    </row>
    <row r="279" customFormat="false" ht="15" hidden="false" customHeight="true" outlineLevel="0" collapsed="false">
      <c r="A279" s="21" t="s">
        <v>181</v>
      </c>
      <c r="B279" s="39" t="n">
        <v>40.445</v>
      </c>
      <c r="C279" s="21" t="n">
        <v>743</v>
      </c>
      <c r="D279" s="39" t="n">
        <f aca="false">IF(B279&gt;0,C279/B279,"")</f>
        <v>18.3706267771047</v>
      </c>
      <c r="E279" s="21" t="n">
        <v>1048</v>
      </c>
      <c r="F279" s="22" t="n">
        <f aca="false">IF(E279&gt;0,C279/E279,0)</f>
        <v>0.708969465648855</v>
      </c>
      <c r="G279" s="39" t="n">
        <v>65.8</v>
      </c>
      <c r="H279" s="21" t="n">
        <v>95</v>
      </c>
    </row>
    <row r="280" customFormat="false" ht="15" hidden="false" customHeight="true" outlineLevel="0" collapsed="false">
      <c r="A280" s="21" t="s">
        <v>183</v>
      </c>
      <c r="B280" s="39" t="n">
        <v>27.975</v>
      </c>
      <c r="C280" s="21" t="n">
        <v>482</v>
      </c>
      <c r="D280" s="39" t="n">
        <f aca="false">IF(B280&gt;0,C280/B280,"")</f>
        <v>17.2296693476318</v>
      </c>
      <c r="E280" s="21" t="n">
        <v>859</v>
      </c>
      <c r="F280" s="22" t="n">
        <f aca="false">IF(E280&gt;0,C280/E280,0)</f>
        <v>0.561117578579744</v>
      </c>
      <c r="G280" s="39" t="n">
        <v>63.8</v>
      </c>
      <c r="H280" s="21" t="n">
        <v>131</v>
      </c>
    </row>
    <row r="281" customFormat="false" ht="15" hidden="false" customHeight="true" outlineLevel="0" collapsed="false">
      <c r="A281" s="21" t="s">
        <v>185</v>
      </c>
      <c r="B281" s="39" t="n">
        <v>121.069</v>
      </c>
      <c r="C281" s="21" t="n">
        <v>2778</v>
      </c>
      <c r="D281" s="39" t="n">
        <f aca="false">IF(B281&gt;0,C281/B281,"")</f>
        <v>22.9455930089453</v>
      </c>
      <c r="E281" s="21" t="n">
        <v>3149</v>
      </c>
      <c r="F281" s="22" t="n">
        <f aca="false">IF(E281&gt;0,C281/E281,0)</f>
        <v>0.882184820577961</v>
      </c>
      <c r="G281" s="39" t="n">
        <v>59.2</v>
      </c>
      <c r="H281" s="21" t="n">
        <v>30</v>
      </c>
    </row>
    <row r="282" customFormat="false" ht="15" hidden="false" customHeight="true" outlineLevel="0" collapsed="false">
      <c r="A282" s="21" t="s">
        <v>187</v>
      </c>
      <c r="B282" s="39" t="n">
        <v>42.629</v>
      </c>
      <c r="C282" s="21" t="n">
        <v>705</v>
      </c>
      <c r="D282" s="39" t="n">
        <f aca="false">IF(B282&gt;0,C282/B282,"")</f>
        <v>16.5380374862183</v>
      </c>
      <c r="E282" s="21" t="n">
        <v>833</v>
      </c>
      <c r="F282" s="22" t="n">
        <f aca="false">IF(E282&gt;0,C282/E282,0)</f>
        <v>0.846338535414166</v>
      </c>
      <c r="G282" s="39" t="n">
        <v>19.9</v>
      </c>
      <c r="H282" s="21" t="n">
        <v>0</v>
      </c>
    </row>
    <row r="283" customFormat="false" ht="15" hidden="false" customHeight="true" outlineLevel="0" collapsed="false">
      <c r="A283" s="21" t="s">
        <v>189</v>
      </c>
      <c r="B283" s="39" t="n">
        <v>39.896</v>
      </c>
      <c r="C283" s="21" t="n">
        <v>515</v>
      </c>
      <c r="D283" s="39" t="n">
        <f aca="false">IF(B283&gt;0,C283/B283,"")</f>
        <v>12.9085622618809</v>
      </c>
      <c r="E283" s="21" t="n">
        <v>611</v>
      </c>
      <c r="F283" s="22" t="n">
        <f aca="false">IF(E283&gt;0,C283/E283,0)</f>
        <v>0.842880523731588</v>
      </c>
      <c r="G283" s="39" t="n">
        <v>18.3</v>
      </c>
      <c r="H283" s="21" t="n">
        <v>17</v>
      </c>
    </row>
    <row r="284" customFormat="false" ht="15" hidden="false" customHeight="true" outlineLevel="0" collapsed="false">
      <c r="A284" s="21" t="s">
        <v>192</v>
      </c>
      <c r="B284" s="39" t="n">
        <v>0</v>
      </c>
      <c r="C284" s="21" t="n">
        <v>0</v>
      </c>
      <c r="D284" s="39" t="str">
        <f aca="false">IF(B284&gt;0,C284/B284,"")</f>
        <v/>
      </c>
      <c r="E284" s="21" t="n">
        <v>533</v>
      </c>
      <c r="F284" s="22" t="n">
        <f aca="false">IF(E284&gt;0,C284/E284,0)</f>
        <v>0</v>
      </c>
      <c r="G284" s="39" t="n">
        <v>105.7</v>
      </c>
      <c r="H284" s="21" t="n">
        <v>533</v>
      </c>
    </row>
    <row r="285" customFormat="false" ht="15" hidden="false" customHeight="true" outlineLevel="0" collapsed="false">
      <c r="A285" s="21" t="s">
        <v>194</v>
      </c>
      <c r="B285" s="39" t="n">
        <v>20.015</v>
      </c>
      <c r="C285" s="21" t="n">
        <v>285</v>
      </c>
      <c r="D285" s="39" t="n">
        <f aca="false">IF(B285&gt;0,C285/B285,"")</f>
        <v>14.2393205096178</v>
      </c>
      <c r="E285" s="21" t="n">
        <v>426</v>
      </c>
      <c r="F285" s="22" t="n">
        <f aca="false">IF(E285&gt;0,C285/E285,0)</f>
        <v>0.669014084507042</v>
      </c>
      <c r="G285" s="39" t="n">
        <v>26.8</v>
      </c>
      <c r="H285" s="21" t="n">
        <v>38</v>
      </c>
    </row>
    <row r="286" customFormat="false" ht="15" hidden="false" customHeight="true" outlineLevel="0" collapsed="false">
      <c r="A286" s="21" t="s">
        <v>196</v>
      </c>
      <c r="B286" s="39" t="n">
        <v>12.25</v>
      </c>
      <c r="C286" s="21" t="n">
        <v>264</v>
      </c>
      <c r="D286" s="39" t="n">
        <f aca="false">IF(B286&gt;0,C286/B286,"")</f>
        <v>21.5510204081633</v>
      </c>
      <c r="E286" s="21" t="n">
        <v>355</v>
      </c>
      <c r="F286" s="22" t="n">
        <f aca="false">IF(E286&gt;0,C286/E286,0)</f>
        <v>0.743661971830986</v>
      </c>
      <c r="G286" s="39" t="n">
        <v>18.9</v>
      </c>
      <c r="H286" s="21" t="n">
        <v>18</v>
      </c>
    </row>
    <row r="287" customFormat="false" ht="15" hidden="false" customHeight="true" outlineLevel="0" collapsed="false">
      <c r="A287" s="21" t="s">
        <v>198</v>
      </c>
      <c r="B287" s="39" t="n">
        <v>21.6</v>
      </c>
      <c r="C287" s="21" t="n">
        <v>345</v>
      </c>
      <c r="D287" s="39" t="n">
        <f aca="false">IF(B287&gt;0,C287/B287,"")</f>
        <v>15.9722222222222</v>
      </c>
      <c r="E287" s="21" t="n">
        <v>539</v>
      </c>
      <c r="F287" s="22" t="n">
        <f aca="false">IF(E287&gt;0,C287/E287,0)</f>
        <v>0.640074211502783</v>
      </c>
      <c r="G287" s="39" t="n">
        <v>30.2</v>
      </c>
      <c r="H287" s="21" t="n">
        <v>11</v>
      </c>
    </row>
    <row r="288" customFormat="false" ht="15" hidden="false" customHeight="true" outlineLevel="0" collapsed="false">
      <c r="A288" s="21" t="s">
        <v>200</v>
      </c>
      <c r="B288" s="39" t="n">
        <v>15.621</v>
      </c>
      <c r="C288" s="21" t="n">
        <v>259</v>
      </c>
      <c r="D288" s="39" t="n">
        <f aca="false">IF(B288&gt;0,C288/B288,"")</f>
        <v>16.5802445426029</v>
      </c>
      <c r="E288" s="21" t="n">
        <v>356</v>
      </c>
      <c r="F288" s="22" t="n">
        <f aca="false">IF(E288&gt;0,C288/E288,0)</f>
        <v>0.72752808988764</v>
      </c>
      <c r="G288" s="39" t="n">
        <v>24.2</v>
      </c>
      <c r="H288" s="21" t="n">
        <v>22</v>
      </c>
    </row>
    <row r="289" customFormat="false" ht="15" hidden="false" customHeight="true" outlineLevel="0" collapsed="false">
      <c r="A289" s="21" t="s">
        <v>202</v>
      </c>
      <c r="B289" s="39" t="n">
        <v>17.689</v>
      </c>
      <c r="C289" s="21" t="n">
        <v>342</v>
      </c>
      <c r="D289" s="39" t="n">
        <f aca="false">IF(B289&gt;0,C289/B289,"")</f>
        <v>19.3340494092374</v>
      </c>
      <c r="E289" s="21" t="n">
        <v>433</v>
      </c>
      <c r="F289" s="22" t="n">
        <f aca="false">IF(E289&gt;0,C289/E289,0)</f>
        <v>0.789838337182448</v>
      </c>
      <c r="G289" s="39" t="n">
        <v>15.2</v>
      </c>
      <c r="H289" s="21" t="n">
        <v>34</v>
      </c>
    </row>
    <row r="290" customFormat="false" ht="15" hidden="false" customHeight="true" outlineLevel="0" collapsed="false">
      <c r="A290" s="21" t="s">
        <v>204</v>
      </c>
      <c r="B290" s="39" t="n">
        <v>18.768</v>
      </c>
      <c r="C290" s="21" t="n">
        <v>484</v>
      </c>
      <c r="D290" s="39" t="n">
        <f aca="false">IF(B290&gt;0,C290/B290,"")</f>
        <v>25.7885763000853</v>
      </c>
      <c r="E290" s="21" t="n">
        <v>539</v>
      </c>
      <c r="F290" s="22" t="n">
        <f aca="false">IF(E290&gt;0,C290/E290,0)</f>
        <v>0.897959183673469</v>
      </c>
      <c r="G290" s="39" t="n">
        <v>15</v>
      </c>
      <c r="H290" s="21" t="n">
        <v>15</v>
      </c>
    </row>
    <row r="291" customFormat="false" ht="15" hidden="false" customHeight="true" outlineLevel="0" collapsed="false">
      <c r="A291" s="21" t="s">
        <v>206</v>
      </c>
      <c r="B291" s="39" t="n">
        <v>17.425</v>
      </c>
      <c r="C291" s="21" t="n">
        <v>374</v>
      </c>
      <c r="D291" s="39" t="n">
        <f aca="false">IF(B291&gt;0,C291/B291,"")</f>
        <v>21.4634146341463</v>
      </c>
      <c r="E291" s="21" t="n">
        <v>462</v>
      </c>
      <c r="F291" s="22" t="n">
        <f aca="false">IF(E291&gt;0,C291/E291,0)</f>
        <v>0.80952380952381</v>
      </c>
      <c r="G291" s="39" t="n">
        <v>5.9</v>
      </c>
      <c r="H291" s="21" t="n">
        <v>0</v>
      </c>
    </row>
    <row r="292" customFormat="false" ht="15" hidden="false" customHeight="true" outlineLevel="0" collapsed="false">
      <c r="A292" s="21" t="s">
        <v>208</v>
      </c>
      <c r="B292" s="39" t="n">
        <v>179.216</v>
      </c>
      <c r="C292" s="21" t="n">
        <v>1802</v>
      </c>
      <c r="D292" s="39" t="n">
        <f aca="false">IF(B292&gt;0,C292/B292,"")</f>
        <v>10.0549058119811</v>
      </c>
      <c r="E292" s="21" t="n">
        <v>32871</v>
      </c>
      <c r="F292" s="22" t="n">
        <f aca="false">IF(E292&gt;0,C292/E292,0)</f>
        <v>0.0548203583706002</v>
      </c>
      <c r="G292" s="39" t="n">
        <v>258785.5</v>
      </c>
      <c r="H292" s="21" t="n">
        <v>30455</v>
      </c>
    </row>
    <row r="293" customFormat="false" ht="15" hidden="false" customHeight="true" outlineLevel="0" collapsed="false">
      <c r="A293" s="13" t="s">
        <v>884</v>
      </c>
      <c r="D293" s="39" t="n">
        <f aca="false">(C283+C285+C286+C287+C288+C289+C290+C291)/(B283+B285+B286+B287+B288+B289+B290+B291)</f>
        <v>17.5666405331243</v>
      </c>
    </row>
    <row r="296" customFormat="false" ht="15" hidden="false" customHeight="true" outlineLevel="0" collapsed="false">
      <c r="A296" s="12" t="s">
        <v>885</v>
      </c>
    </row>
    <row r="297" customFormat="false" ht="23.25" hidden="false" customHeight="true" outlineLevel="0" collapsed="false">
      <c r="A297" s="4" t="s">
        <v>136</v>
      </c>
      <c r="B297" s="5" t="s">
        <v>886</v>
      </c>
      <c r="C297" s="5" t="s">
        <v>887</v>
      </c>
      <c r="D297" s="5" t="s">
        <v>888</v>
      </c>
      <c r="E297" s="5" t="s">
        <v>889</v>
      </c>
      <c r="F297" s="5" t="s">
        <v>890</v>
      </c>
      <c r="G297" s="5" t="s">
        <v>891</v>
      </c>
      <c r="H297" s="5" t="s">
        <v>892</v>
      </c>
      <c r="I297" s="5" t="s">
        <v>893</v>
      </c>
    </row>
    <row r="298" customFormat="false" ht="15" hidden="false" customHeight="true" outlineLevel="0" collapsed="false">
      <c r="A298" s="13" t="s">
        <v>157</v>
      </c>
      <c r="B298" s="13" t="s">
        <v>894</v>
      </c>
      <c r="C298" s="38" t="n">
        <v>50</v>
      </c>
      <c r="D298" s="38" t="n">
        <v>200</v>
      </c>
      <c r="E298" s="13" t="s">
        <v>895</v>
      </c>
      <c r="F298" s="38" t="n">
        <v>35</v>
      </c>
      <c r="G298" s="38" t="n">
        <v>50</v>
      </c>
      <c r="H298" s="22" t="n">
        <v>0.866594750089896</v>
      </c>
      <c r="I298" s="13" t="s">
        <v>896</v>
      </c>
    </row>
    <row r="299" customFormat="false" ht="15" hidden="false" customHeight="true" outlineLevel="0" collapsed="false">
      <c r="A299" s="13" t="s">
        <v>160</v>
      </c>
      <c r="B299" s="13" t="s">
        <v>894</v>
      </c>
      <c r="C299" s="38" t="n">
        <v>50</v>
      </c>
      <c r="D299" s="38" t="n">
        <v>200</v>
      </c>
      <c r="E299" s="13" t="s">
        <v>895</v>
      </c>
      <c r="F299" s="38" t="n">
        <v>35</v>
      </c>
      <c r="G299" s="38" t="n">
        <v>50</v>
      </c>
      <c r="H299" s="22" t="n">
        <v>0.541250811111455</v>
      </c>
      <c r="I299" s="13" t="s">
        <v>897</v>
      </c>
    </row>
    <row r="300" customFormat="false" ht="15" hidden="false" customHeight="true" outlineLevel="0" collapsed="false">
      <c r="A300" s="13" t="s">
        <v>162</v>
      </c>
      <c r="B300" s="13" t="s">
        <v>894</v>
      </c>
      <c r="C300" s="38" t="n">
        <v>50</v>
      </c>
      <c r="D300" s="38" t="n">
        <v>200</v>
      </c>
      <c r="E300" s="13" t="s">
        <v>895</v>
      </c>
      <c r="F300" s="38" t="n">
        <v>35</v>
      </c>
      <c r="G300" s="38" t="n">
        <v>50</v>
      </c>
      <c r="H300" s="22" t="n">
        <v>0.245647328152298</v>
      </c>
      <c r="I300" s="13" t="s">
        <v>898</v>
      </c>
    </row>
    <row r="301" customFormat="false" ht="15" hidden="false" customHeight="true" outlineLevel="0" collapsed="false">
      <c r="A301" s="13" t="s">
        <v>164</v>
      </c>
      <c r="B301" s="13" t="s">
        <v>899</v>
      </c>
      <c r="C301" s="38" t="n">
        <v>100</v>
      </c>
      <c r="D301" s="38" t="n">
        <v>250</v>
      </c>
      <c r="E301" s="13" t="s">
        <v>895</v>
      </c>
      <c r="F301" s="38" t="n">
        <v>35</v>
      </c>
      <c r="G301" s="38" t="n">
        <v>50</v>
      </c>
      <c r="H301" s="22" t="n">
        <v>0.999901866980692</v>
      </c>
      <c r="I301" s="13" t="s">
        <v>900</v>
      </c>
    </row>
    <row r="302" customFormat="false" ht="15" hidden="false" customHeight="true" outlineLevel="0" collapsed="false">
      <c r="A302" s="13" t="s">
        <v>166</v>
      </c>
      <c r="B302" s="13" t="s">
        <v>894</v>
      </c>
      <c r="C302" s="38" t="n">
        <v>50</v>
      </c>
      <c r="D302" s="38" t="n">
        <v>200</v>
      </c>
      <c r="E302" s="13" t="s">
        <v>895</v>
      </c>
      <c r="F302" s="38" t="n">
        <v>35</v>
      </c>
      <c r="G302" s="38" t="n">
        <v>50</v>
      </c>
      <c r="H302" s="22" t="n">
        <v>0.46747988853252</v>
      </c>
      <c r="I302" s="13" t="s">
        <v>901</v>
      </c>
    </row>
    <row r="303" customFormat="false" ht="15" hidden="false" customHeight="true" outlineLevel="0" collapsed="false">
      <c r="A303" s="13" t="s">
        <v>168</v>
      </c>
      <c r="B303" s="13" t="s">
        <v>894</v>
      </c>
      <c r="C303" s="38" t="n">
        <v>50</v>
      </c>
      <c r="D303" s="38" t="n">
        <v>200</v>
      </c>
      <c r="E303" s="13" t="s">
        <v>895</v>
      </c>
      <c r="F303" s="38" t="n">
        <v>35</v>
      </c>
      <c r="G303" s="38" t="n">
        <v>50</v>
      </c>
      <c r="H303" s="22" t="n">
        <v>0.0525007706535142</v>
      </c>
      <c r="I303" s="13" t="s">
        <v>902</v>
      </c>
    </row>
    <row r="304" customFormat="false" ht="15" hidden="false" customHeight="true" outlineLevel="0" collapsed="false">
      <c r="A304" s="13" t="s">
        <v>170</v>
      </c>
      <c r="B304" s="13" t="s">
        <v>894</v>
      </c>
      <c r="C304" s="38" t="n">
        <v>50</v>
      </c>
      <c r="D304" s="38" t="n">
        <v>200</v>
      </c>
      <c r="E304" s="13" t="s">
        <v>895</v>
      </c>
      <c r="F304" s="38" t="n">
        <v>35</v>
      </c>
      <c r="G304" s="38" t="n">
        <v>50</v>
      </c>
      <c r="H304" s="22" t="n">
        <v>1</v>
      </c>
      <c r="I304" s="13" t="s">
        <v>903</v>
      </c>
    </row>
    <row r="305" customFormat="false" ht="15" hidden="false" customHeight="true" outlineLevel="0" collapsed="false">
      <c r="A305" s="13" t="s">
        <v>172</v>
      </c>
      <c r="B305" s="13" t="s">
        <v>894</v>
      </c>
      <c r="C305" s="38" t="n">
        <v>50</v>
      </c>
      <c r="D305" s="38" t="n">
        <v>200</v>
      </c>
      <c r="E305" s="13" t="s">
        <v>895</v>
      </c>
      <c r="F305" s="38" t="n">
        <v>35</v>
      </c>
      <c r="G305" s="38" t="n">
        <v>50</v>
      </c>
      <c r="H305" s="22" t="n">
        <v>0.930078820239003</v>
      </c>
      <c r="I305" s="13" t="s">
        <v>904</v>
      </c>
    </row>
    <row r="306" customFormat="false" ht="15" hidden="false" customHeight="true" outlineLevel="0" collapsed="false">
      <c r="A306" s="13" t="s">
        <v>174</v>
      </c>
      <c r="B306" s="13" t="s">
        <v>894</v>
      </c>
      <c r="C306" s="38" t="n">
        <v>50</v>
      </c>
      <c r="D306" s="38" t="n">
        <v>200</v>
      </c>
      <c r="E306" s="13" t="s">
        <v>895</v>
      </c>
      <c r="F306" s="38" t="n">
        <v>35</v>
      </c>
      <c r="G306" s="38" t="n">
        <v>50</v>
      </c>
      <c r="H306" s="22" t="n">
        <v>0.930037844535986</v>
      </c>
      <c r="I306" s="13" t="s">
        <v>905</v>
      </c>
    </row>
    <row r="307" customFormat="false" ht="15" hidden="false" customHeight="true" outlineLevel="0" collapsed="false">
      <c r="A307" s="13" t="s">
        <v>176</v>
      </c>
      <c r="B307" s="13" t="s">
        <v>906</v>
      </c>
      <c r="C307" s="38" t="n">
        <v>25</v>
      </c>
      <c r="D307" s="38" t="n">
        <v>40</v>
      </c>
      <c r="E307" s="13" t="s">
        <v>906</v>
      </c>
      <c r="F307" s="38" t="n">
        <v>25</v>
      </c>
      <c r="G307" s="38" t="n">
        <v>40</v>
      </c>
      <c r="H307" s="22" t="n">
        <v>1</v>
      </c>
      <c r="I307" s="13" t="s">
        <v>907</v>
      </c>
    </row>
    <row r="308" customFormat="false" ht="15" hidden="false" customHeight="true" outlineLevel="0" collapsed="false">
      <c r="A308" s="13" t="s">
        <v>179</v>
      </c>
      <c r="B308" s="13" t="s">
        <v>906</v>
      </c>
      <c r="C308" s="38" t="n">
        <v>25</v>
      </c>
      <c r="D308" s="38" t="n">
        <v>40</v>
      </c>
      <c r="E308" s="13" t="s">
        <v>906</v>
      </c>
      <c r="F308" s="38" t="n">
        <v>25</v>
      </c>
      <c r="G308" s="38" t="n">
        <v>40</v>
      </c>
      <c r="H308" s="22" t="n">
        <v>1</v>
      </c>
      <c r="I308" s="13" t="s">
        <v>907</v>
      </c>
    </row>
    <row r="309" customFormat="false" ht="15" hidden="false" customHeight="true" outlineLevel="0" collapsed="false">
      <c r="A309" s="13" t="s">
        <v>181</v>
      </c>
      <c r="B309" s="13" t="s">
        <v>908</v>
      </c>
      <c r="C309" s="38" t="n">
        <v>35</v>
      </c>
      <c r="D309" s="38" t="n">
        <v>50</v>
      </c>
      <c r="E309" s="13" t="s">
        <v>908</v>
      </c>
      <c r="F309" s="38" t="n">
        <v>35</v>
      </c>
      <c r="G309" s="38" t="n">
        <v>50</v>
      </c>
      <c r="H309" s="22" t="n">
        <v>1</v>
      </c>
      <c r="I309" s="13" t="s">
        <v>909</v>
      </c>
    </row>
    <row r="310" customFormat="false" ht="15" hidden="false" customHeight="true" outlineLevel="0" collapsed="false">
      <c r="A310" s="13" t="s">
        <v>183</v>
      </c>
      <c r="B310" s="13" t="s">
        <v>906</v>
      </c>
      <c r="C310" s="38" t="n">
        <v>25</v>
      </c>
      <c r="D310" s="38" t="n">
        <v>40</v>
      </c>
      <c r="E310" s="13" t="s">
        <v>906</v>
      </c>
      <c r="F310" s="38" t="n">
        <v>25</v>
      </c>
      <c r="G310" s="38" t="n">
        <v>40</v>
      </c>
      <c r="H310" s="22" t="n">
        <v>1</v>
      </c>
      <c r="I310" s="13" t="s">
        <v>907</v>
      </c>
    </row>
    <row r="311" customFormat="false" ht="15" hidden="false" customHeight="true" outlineLevel="0" collapsed="false">
      <c r="A311" s="13" t="s">
        <v>185</v>
      </c>
      <c r="B311" s="13" t="s">
        <v>910</v>
      </c>
      <c r="C311" s="38" t="n">
        <v>30</v>
      </c>
      <c r="D311" s="38" t="n">
        <v>50</v>
      </c>
      <c r="E311" s="13" t="s">
        <v>910</v>
      </c>
      <c r="F311" s="38" t="n">
        <v>30</v>
      </c>
      <c r="G311" s="38" t="n">
        <v>50</v>
      </c>
      <c r="H311" s="22" t="n">
        <v>1</v>
      </c>
      <c r="I311" s="13" t="s">
        <v>911</v>
      </c>
    </row>
    <row r="312" customFormat="false" ht="15" hidden="false" customHeight="true" outlineLevel="0" collapsed="false">
      <c r="A312" s="13" t="s">
        <v>187</v>
      </c>
      <c r="B312" s="13" t="s">
        <v>906</v>
      </c>
      <c r="C312" s="38" t="n">
        <v>25</v>
      </c>
      <c r="D312" s="38" t="n">
        <v>40</v>
      </c>
      <c r="E312" s="13" t="s">
        <v>906</v>
      </c>
      <c r="F312" s="38" t="n">
        <v>25</v>
      </c>
      <c r="G312" s="38" t="n">
        <v>40</v>
      </c>
      <c r="H312" s="22" t="n">
        <v>1</v>
      </c>
      <c r="I312" s="13" t="s">
        <v>907</v>
      </c>
    </row>
    <row r="313" customFormat="false" ht="15" hidden="false" customHeight="true" outlineLevel="0" collapsed="false">
      <c r="A313" s="13" t="s">
        <v>189</v>
      </c>
      <c r="B313" s="13" t="s">
        <v>912</v>
      </c>
      <c r="C313" s="38" t="n">
        <v>22</v>
      </c>
      <c r="D313" s="38" t="n">
        <v>22</v>
      </c>
      <c r="E313" s="13" t="s">
        <v>912</v>
      </c>
      <c r="F313" s="38" t="n">
        <v>22</v>
      </c>
      <c r="G313" s="38" t="n">
        <v>22</v>
      </c>
      <c r="H313" s="22" t="n">
        <v>1</v>
      </c>
      <c r="I313" s="13" t="s">
        <v>913</v>
      </c>
    </row>
    <row r="314" customFormat="false" ht="15" hidden="false" customHeight="true" outlineLevel="0" collapsed="false">
      <c r="A314" s="13" t="s">
        <v>192</v>
      </c>
      <c r="B314" s="13" t="s">
        <v>912</v>
      </c>
      <c r="C314" s="38" t="n">
        <v>22</v>
      </c>
      <c r="D314" s="38" t="n">
        <v>22</v>
      </c>
      <c r="E314" s="13" t="s">
        <v>912</v>
      </c>
      <c r="F314" s="38" t="n">
        <v>22</v>
      </c>
      <c r="G314" s="38" t="n">
        <v>22</v>
      </c>
      <c r="H314" s="22" t="n">
        <v>1</v>
      </c>
      <c r="I314" s="13" t="s">
        <v>913</v>
      </c>
    </row>
    <row r="315" customFormat="false" ht="15" hidden="false" customHeight="true" outlineLevel="0" collapsed="false">
      <c r="A315" s="13" t="s">
        <v>194</v>
      </c>
      <c r="B315" s="13" t="s">
        <v>912</v>
      </c>
      <c r="C315" s="38" t="n">
        <v>22</v>
      </c>
      <c r="D315" s="38" t="n">
        <v>22</v>
      </c>
      <c r="E315" s="13" t="s">
        <v>912</v>
      </c>
      <c r="F315" s="38" t="n">
        <v>22</v>
      </c>
      <c r="G315" s="38" t="n">
        <v>22</v>
      </c>
      <c r="H315" s="22" t="n">
        <v>1</v>
      </c>
      <c r="I315" s="13" t="s">
        <v>913</v>
      </c>
    </row>
    <row r="316" customFormat="false" ht="15" hidden="false" customHeight="true" outlineLevel="0" collapsed="false">
      <c r="A316" s="13" t="s">
        <v>196</v>
      </c>
      <c r="B316" s="13" t="s">
        <v>912</v>
      </c>
      <c r="C316" s="38" t="n">
        <v>22</v>
      </c>
      <c r="D316" s="38" t="n">
        <v>22</v>
      </c>
      <c r="E316" s="13" t="s">
        <v>912</v>
      </c>
      <c r="F316" s="38" t="n">
        <v>22</v>
      </c>
      <c r="G316" s="38" t="n">
        <v>22</v>
      </c>
      <c r="H316" s="22" t="n">
        <v>1</v>
      </c>
      <c r="I316" s="13" t="s">
        <v>913</v>
      </c>
    </row>
    <row r="317" customFormat="false" ht="15" hidden="false" customHeight="true" outlineLevel="0" collapsed="false">
      <c r="A317" s="13" t="s">
        <v>198</v>
      </c>
      <c r="B317" s="13" t="s">
        <v>912</v>
      </c>
      <c r="C317" s="38" t="n">
        <v>22</v>
      </c>
      <c r="D317" s="38" t="n">
        <v>22</v>
      </c>
      <c r="E317" s="13" t="s">
        <v>912</v>
      </c>
      <c r="F317" s="38" t="n">
        <v>22</v>
      </c>
      <c r="G317" s="38" t="n">
        <v>22</v>
      </c>
      <c r="H317" s="22" t="n">
        <v>1</v>
      </c>
      <c r="I317" s="13" t="s">
        <v>913</v>
      </c>
    </row>
    <row r="318" customFormat="false" ht="15" hidden="false" customHeight="true" outlineLevel="0" collapsed="false">
      <c r="A318" s="13" t="s">
        <v>200</v>
      </c>
      <c r="B318" s="13" t="s">
        <v>912</v>
      </c>
      <c r="C318" s="38" t="n">
        <v>22</v>
      </c>
      <c r="D318" s="38" t="n">
        <v>22</v>
      </c>
      <c r="E318" s="13" t="s">
        <v>912</v>
      </c>
      <c r="F318" s="38" t="n">
        <v>22</v>
      </c>
      <c r="G318" s="38" t="n">
        <v>22</v>
      </c>
      <c r="H318" s="22" t="n">
        <v>1</v>
      </c>
      <c r="I318" s="13" t="s">
        <v>913</v>
      </c>
    </row>
    <row r="319" customFormat="false" ht="15" hidden="false" customHeight="true" outlineLevel="0" collapsed="false">
      <c r="A319" s="13" t="s">
        <v>202</v>
      </c>
      <c r="B319" s="13" t="s">
        <v>912</v>
      </c>
      <c r="C319" s="38" t="n">
        <v>22</v>
      </c>
      <c r="D319" s="38" t="n">
        <v>22</v>
      </c>
      <c r="E319" s="13" t="s">
        <v>912</v>
      </c>
      <c r="F319" s="38" t="n">
        <v>22</v>
      </c>
      <c r="G319" s="38" t="n">
        <v>22</v>
      </c>
      <c r="H319" s="22" t="n">
        <v>1</v>
      </c>
      <c r="I319" s="13" t="s">
        <v>913</v>
      </c>
    </row>
    <row r="320" customFormat="false" ht="15" hidden="false" customHeight="true" outlineLevel="0" collapsed="false">
      <c r="A320" s="13" t="s">
        <v>204</v>
      </c>
      <c r="B320" s="13" t="s">
        <v>912</v>
      </c>
      <c r="C320" s="38" t="n">
        <v>22</v>
      </c>
      <c r="D320" s="38" t="n">
        <v>22</v>
      </c>
      <c r="E320" s="13" t="s">
        <v>912</v>
      </c>
      <c r="F320" s="38" t="n">
        <v>22</v>
      </c>
      <c r="G320" s="38" t="n">
        <v>22</v>
      </c>
      <c r="H320" s="22" t="n">
        <v>1</v>
      </c>
      <c r="I320" s="13" t="s">
        <v>913</v>
      </c>
    </row>
    <row r="321" customFormat="false" ht="15" hidden="false" customHeight="true" outlineLevel="0" collapsed="false">
      <c r="A321" s="13" t="s">
        <v>206</v>
      </c>
      <c r="B321" s="13" t="s">
        <v>914</v>
      </c>
      <c r="C321" s="38" t="n">
        <v>25</v>
      </c>
      <c r="D321" s="38" t="n">
        <v>25</v>
      </c>
      <c r="E321" s="13" t="s">
        <v>914</v>
      </c>
      <c r="F321" s="38" t="n">
        <v>25</v>
      </c>
      <c r="G321" s="38" t="n">
        <v>25</v>
      </c>
      <c r="H321" s="22" t="n">
        <v>1</v>
      </c>
      <c r="I321" s="13" t="s">
        <v>915</v>
      </c>
    </row>
    <row r="322" customFormat="false" ht="15" hidden="false" customHeight="true" outlineLevel="0" collapsed="false">
      <c r="A322" s="13" t="s">
        <v>208</v>
      </c>
      <c r="B322" s="13" t="s">
        <v>916</v>
      </c>
      <c r="C322" s="38" t="n">
        <v>10.1</v>
      </c>
      <c r="D322" s="38" t="n">
        <v>10.1</v>
      </c>
      <c r="E322" s="13" t="s">
        <v>916</v>
      </c>
      <c r="F322" s="38" t="n">
        <v>10.1</v>
      </c>
      <c r="G322" s="38" t="n">
        <v>10.1</v>
      </c>
      <c r="H322" s="22" t="n">
        <v>1</v>
      </c>
      <c r="I322" s="13" t="s">
        <v>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G4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s>
  <sheetData>
    <row r="1" customFormat="false" ht="15" hidden="false" customHeight="false" outlineLevel="0" collapsed="false">
      <c r="A1" s="45" t="s">
        <v>918</v>
      </c>
    </row>
    <row r="2" customFormat="false" ht="15" hidden="false" customHeight="false" outlineLevel="0" collapsed="false">
      <c r="A2" s="18" t="s">
        <v>339</v>
      </c>
      <c r="B2" s="18" t="s">
        <v>919</v>
      </c>
      <c r="C2" s="18" t="s">
        <v>140</v>
      </c>
      <c r="D2" s="18" t="s">
        <v>141</v>
      </c>
      <c r="E2" s="18" t="s">
        <v>142</v>
      </c>
      <c r="F2" s="18" t="s">
        <v>143</v>
      </c>
      <c r="G2" s="18" t="s">
        <v>144</v>
      </c>
      <c r="H2" s="18" t="s">
        <v>145</v>
      </c>
      <c r="I2" s="18" t="s">
        <v>146</v>
      </c>
      <c r="J2" s="18" t="s">
        <v>147</v>
      </c>
      <c r="K2" s="18" t="s">
        <v>148</v>
      </c>
      <c r="L2" s="18" t="s">
        <v>149</v>
      </c>
      <c r="M2" s="18" t="s">
        <v>150</v>
      </c>
      <c r="N2" s="18" t="s">
        <v>151</v>
      </c>
      <c r="O2" s="18" t="s">
        <v>152</v>
      </c>
      <c r="P2" s="18" t="s">
        <v>153</v>
      </c>
      <c r="Q2" s="18" t="s">
        <v>154</v>
      </c>
      <c r="R2" s="18" t="s">
        <v>357</v>
      </c>
      <c r="S2" s="18" t="s">
        <v>358</v>
      </c>
      <c r="T2" s="18" t="s">
        <v>920</v>
      </c>
      <c r="U2" s="18" t="s">
        <v>360</v>
      </c>
      <c r="V2" s="18" t="s">
        <v>921</v>
      </c>
      <c r="W2" s="18" t="s">
        <v>362</v>
      </c>
      <c r="X2" s="18" t="s">
        <v>922</v>
      </c>
      <c r="Y2" s="18" t="s">
        <v>923</v>
      </c>
      <c r="Z2" s="18" t="s">
        <v>924</v>
      </c>
      <c r="AA2" s="18" t="s">
        <v>925</v>
      </c>
      <c r="AB2" s="18" t="s">
        <v>926</v>
      </c>
      <c r="AC2" s="18" t="s">
        <v>927</v>
      </c>
      <c r="AD2" s="18" t="s">
        <v>109</v>
      </c>
      <c r="AE2" s="18" t="s">
        <v>110</v>
      </c>
      <c r="AF2" s="18" t="s">
        <v>111</v>
      </c>
      <c r="AG2" s="18" t="s">
        <v>112</v>
      </c>
      <c r="AH2" s="18" t="s">
        <v>385</v>
      </c>
      <c r="AI2" s="18" t="s">
        <v>386</v>
      </c>
      <c r="AJ2" s="18" t="s">
        <v>387</v>
      </c>
    </row>
    <row r="3" customFormat="false" ht="15" hidden="false" customHeight="false" outlineLevel="0" collapsed="false">
      <c r="A3" s="0" t="s">
        <v>210</v>
      </c>
      <c r="B3" s="88" t="s">
        <v>61</v>
      </c>
      <c r="C3" s="71" t="n">
        <f aca="false">Total!B13</f>
        <v>4263</v>
      </c>
      <c r="D3" s="71" t="n">
        <f aca="false">Total!B14</f>
        <v>4263</v>
      </c>
      <c r="E3" s="71" t="n">
        <f aca="false">Total!B15</f>
        <v>4263</v>
      </c>
      <c r="F3" s="71" t="n">
        <f aca="false">Total!B16</f>
        <v>4263</v>
      </c>
      <c r="G3" s="71" t="n">
        <f aca="false">Total!B17</f>
        <v>4263</v>
      </c>
      <c r="H3" s="71" t="n">
        <f aca="false">Total!B18</f>
        <v>2168</v>
      </c>
      <c r="I3" s="71" t="n">
        <f aca="false">Total!B19</f>
        <v>2168</v>
      </c>
      <c r="J3" s="71" t="n">
        <f aca="false">Total!B20</f>
        <v>2168</v>
      </c>
      <c r="K3" s="71" t="n">
        <f aca="false">Total!B21</f>
        <v>2168</v>
      </c>
      <c r="L3" s="71" t="n">
        <f aca="false">Total!B22</f>
        <v>2095</v>
      </c>
      <c r="M3" s="71" t="n">
        <f aca="false">Total!B23</f>
        <v>1587</v>
      </c>
      <c r="N3" s="71" t="n">
        <f aca="false">Total!B24</f>
        <v>1574</v>
      </c>
      <c r="O3" s="71" t="n">
        <f aca="false">Total!B25</f>
        <v>1555</v>
      </c>
      <c r="P3" s="71" t="n">
        <f aca="false">Total!B26</f>
        <v>1541</v>
      </c>
      <c r="Q3" s="71" t="n">
        <f aca="false">Total!B27</f>
        <v>1525</v>
      </c>
      <c r="R3" s="0" t="n">
        <v>1643</v>
      </c>
      <c r="S3" s="0" t="n">
        <v>3711</v>
      </c>
      <c r="T3" s="0" t="n">
        <v>4984</v>
      </c>
      <c r="U3" s="0" t="n">
        <v>156</v>
      </c>
      <c r="V3" s="0" t="n">
        <v>278</v>
      </c>
      <c r="W3" s="0" t="n">
        <v>250</v>
      </c>
      <c r="X3" s="0" t="n">
        <v>506.2</v>
      </c>
      <c r="Y3" s="0" t="n">
        <v>2084.7</v>
      </c>
      <c r="Z3" s="0" t="n">
        <v>1725.2</v>
      </c>
      <c r="AA3" s="0" t="n">
        <v>1954.7</v>
      </c>
      <c r="AB3" s="0" t="n">
        <v>851</v>
      </c>
      <c r="AC3" s="0" t="n">
        <v>1573.2</v>
      </c>
      <c r="AD3" s="89" t="n">
        <f aca="false">Total!C29</f>
        <v>0.241232310532536</v>
      </c>
      <c r="AE3" s="89" t="n">
        <f aca="false">Total!D29</f>
        <v>0.310276701040081</v>
      </c>
      <c r="AF3" s="89" t="n">
        <f aca="false">Total!E29</f>
        <v>0.186995546413276</v>
      </c>
      <c r="AG3" s="89" t="n">
        <f aca="false">Total!F29</f>
        <v>0.261495442014109</v>
      </c>
      <c r="AH3" s="88" t="n">
        <f aca="false">Total!G29+Total!H29</f>
        <v>0.664333910251587</v>
      </c>
      <c r="AI3" s="88" t="n">
        <f aca="false">Total!I29+Total!J29</f>
        <v>0.12589359620739</v>
      </c>
      <c r="AJ3" s="88" t="n">
        <f aca="false">SUM(Total!K29:O29)</f>
        <v>0.209772493541024</v>
      </c>
      <c r="AN3" s="18" t="s">
        <v>928</v>
      </c>
      <c r="AO3" s="88" t="n">
        <f aca="false">(YEAR('Pipeline &amp; permissions needed'!$C$5)-2026)*12+MONTH('Pipeline &amp; permissions needed'!$C$5)-1+(DAY('Pipeline &amp; permissions needed'!$C$5)-1)/30.44</f>
        <v>9.2299605781866</v>
      </c>
    </row>
    <row r="4" customFormat="false" ht="15" hidden="false" customHeight="false" outlineLevel="0" collapsed="false">
      <c r="A4" s="0" t="s">
        <v>157</v>
      </c>
      <c r="B4" s="88" t="s">
        <v>157</v>
      </c>
      <c r="C4" s="71" t="n">
        <f aca="false">Ballinacurra!B13</f>
        <v>129.24075909424</v>
      </c>
      <c r="D4" s="71" t="n">
        <f aca="false">Ballinacurra!B14</f>
        <v>129.24075909424</v>
      </c>
      <c r="E4" s="71" t="n">
        <f aca="false">Ballinacurra!B15</f>
        <v>129.24075909424</v>
      </c>
      <c r="F4" s="71" t="n">
        <f aca="false">Ballinacurra!B16</f>
        <v>129.24075909424</v>
      </c>
      <c r="G4" s="71" t="n">
        <f aca="false">Ballinacurra!B17</f>
        <v>129.24075909424</v>
      </c>
      <c r="H4" s="71" t="n">
        <f aca="false">Ballinacurra!B18</f>
        <v>65.7269448079552</v>
      </c>
      <c r="I4" s="71" t="n">
        <f aca="false">Ballinacurra!B19</f>
        <v>65.7269448079552</v>
      </c>
      <c r="J4" s="71" t="n">
        <f aca="false">Ballinacurra!B20</f>
        <v>65.7269448079552</v>
      </c>
      <c r="K4" s="71" t="n">
        <f aca="false">Ballinacurra!B21</f>
        <v>65.7269448079552</v>
      </c>
      <c r="L4" s="71" t="n">
        <f aca="false">Ballinacurra!B22</f>
        <v>63.5138142862851</v>
      </c>
      <c r="M4" s="71" t="n">
        <f aca="false">Ballinacurra!B23</f>
        <v>48.1128512039782</v>
      </c>
      <c r="N4" s="71" t="n">
        <f aca="false">Ballinacurra!B24</f>
        <v>47.7187320699822</v>
      </c>
      <c r="O4" s="71" t="n">
        <f aca="false">Ballinacurra!B25</f>
        <v>47.1427117972188</v>
      </c>
      <c r="P4" s="71" t="n">
        <f aca="false">Ballinacurra!B26</f>
        <v>46.7182758067615</v>
      </c>
      <c r="Q4" s="71" t="n">
        <f aca="false">Ballinacurra!B27</f>
        <v>46.2332061033817</v>
      </c>
      <c r="R4" s="0" t="n">
        <v>17</v>
      </c>
      <c r="S4" s="0" t="n">
        <v>398</v>
      </c>
      <c r="T4" s="0" t="n">
        <v>0</v>
      </c>
      <c r="U4" s="0" t="n">
        <v>0</v>
      </c>
      <c r="V4" s="0" t="n">
        <v>0</v>
      </c>
      <c r="W4" s="0" t="n">
        <v>0</v>
      </c>
      <c r="X4" s="0" t="n">
        <v>24.7</v>
      </c>
      <c r="Y4" s="0" t="n">
        <v>107</v>
      </c>
      <c r="Z4" s="0" t="n">
        <v>93</v>
      </c>
      <c r="AA4" s="0" t="n">
        <v>88.5</v>
      </c>
      <c r="AB4" s="0" t="n">
        <v>84.9</v>
      </c>
      <c r="AC4" s="0" t="n">
        <v>-0.1</v>
      </c>
      <c r="AD4" s="89" t="n">
        <f aca="false">Ballinacurra!C29</f>
        <v>0.241232310532536</v>
      </c>
      <c r="AE4" s="89" t="n">
        <f aca="false">Ballinacurra!D29</f>
        <v>0.310276701040081</v>
      </c>
      <c r="AF4" s="89" t="n">
        <f aca="false">Ballinacurra!E29</f>
        <v>0.186995546413276</v>
      </c>
      <c r="AG4" s="89" t="n">
        <f aca="false">Ballinacurra!F29</f>
        <v>0.261495442014109</v>
      </c>
      <c r="AH4" s="88" t="n">
        <f aca="false">Ballinacurra!G29+Ballinacurra!H29</f>
        <v>0.608633890243973</v>
      </c>
      <c r="AI4" s="88" t="n">
        <f aca="false">Ballinacurra!I29+Ballinacurra!J29</f>
        <v>0.115338247881235</v>
      </c>
      <c r="AJ4" s="88" t="n">
        <f aca="false">SUM(Ballinacurra!K29:O29)</f>
        <v>0.276027861874792</v>
      </c>
      <c r="AN4" s="18" t="s">
        <v>929</v>
      </c>
      <c r="AO4" s="88" t="n">
        <f aca="false">(DATE(YEAR('Pipeline &amp; permissions needed'!$C$5)+1,1,1)-'Pipeline &amp; permissions needed'!$C$5)/365</f>
        <v>0.232876712328767</v>
      </c>
    </row>
    <row r="5" customFormat="false" ht="15" hidden="false" customHeight="false" outlineLevel="0" collapsed="false">
      <c r="A5" s="0" t="s">
        <v>160</v>
      </c>
      <c r="B5" s="88" t="s">
        <v>160</v>
      </c>
      <c r="C5" s="71" t="n">
        <f aca="false">Caherdavin!B13</f>
        <v>525.281097143218</v>
      </c>
      <c r="D5" s="71" t="n">
        <f aca="false">Caherdavin!B14</f>
        <v>525.281097143218</v>
      </c>
      <c r="E5" s="71" t="n">
        <f aca="false">Caherdavin!B15</f>
        <v>525.281097143218</v>
      </c>
      <c r="F5" s="71" t="n">
        <f aca="false">Caherdavin!B16</f>
        <v>525.281097143218</v>
      </c>
      <c r="G5" s="71" t="n">
        <f aca="false">Caherdavin!B17</f>
        <v>525.281097143218</v>
      </c>
      <c r="H5" s="71" t="n">
        <f aca="false">Caherdavin!B18</f>
        <v>267.138029229767</v>
      </c>
      <c r="I5" s="71" t="n">
        <f aca="false">Caherdavin!B19</f>
        <v>267.138029229767</v>
      </c>
      <c r="J5" s="71" t="n">
        <f aca="false">Caherdavin!B20</f>
        <v>267.138029229767</v>
      </c>
      <c r="K5" s="71" t="n">
        <f aca="false">Caherdavin!B21</f>
        <v>267.138029229767</v>
      </c>
      <c r="L5" s="71" t="n">
        <f aca="false">Caherdavin!B22</f>
        <v>258.143067913451</v>
      </c>
      <c r="M5" s="71" t="n">
        <f aca="false">Caherdavin!B23</f>
        <v>195.547994643745</v>
      </c>
      <c r="N5" s="71" t="n">
        <f aca="false">Caherdavin!B24</f>
        <v>193.946152217552</v>
      </c>
      <c r="O5" s="71" t="n">
        <f aca="false">Caherdavin!B25</f>
        <v>191.604997902347</v>
      </c>
      <c r="P5" s="71" t="n">
        <f aca="false">Caherdavin!B26</f>
        <v>189.879936827985</v>
      </c>
      <c r="Q5" s="71" t="n">
        <f aca="false">Caherdavin!B27</f>
        <v>187.908438457285</v>
      </c>
      <c r="R5" s="0" t="n">
        <v>152</v>
      </c>
      <c r="S5" s="0" t="n">
        <v>539</v>
      </c>
      <c r="T5" s="0" t="n">
        <v>576</v>
      </c>
      <c r="U5" s="0" t="n">
        <v>31</v>
      </c>
      <c r="V5" s="0" t="n">
        <v>12</v>
      </c>
      <c r="W5" s="0" t="n">
        <v>34</v>
      </c>
      <c r="X5" s="0" t="n">
        <v>64.5</v>
      </c>
      <c r="Y5" s="0" t="n">
        <v>306.2</v>
      </c>
      <c r="Z5" s="0" t="n">
        <v>337.3</v>
      </c>
      <c r="AA5" s="0" t="n">
        <v>304.1</v>
      </c>
      <c r="AB5" s="0" t="n">
        <v>102.8</v>
      </c>
      <c r="AC5" s="0" t="n">
        <v>0.1</v>
      </c>
      <c r="AD5" s="89" t="n">
        <f aca="false">Caherdavin!C29</f>
        <v>0.241232310532536</v>
      </c>
      <c r="AE5" s="89" t="n">
        <f aca="false">Caherdavin!D29</f>
        <v>0.310276701040081</v>
      </c>
      <c r="AF5" s="89" t="n">
        <f aca="false">Caherdavin!E29</f>
        <v>0.186995546413275</v>
      </c>
      <c r="AG5" s="89" t="n">
        <f aca="false">Caherdavin!F29</f>
        <v>0.261495442014109</v>
      </c>
      <c r="AH5" s="88" t="n">
        <f aca="false">Caherdavin!G29+Caherdavin!H29</f>
        <v>0.641933911977877</v>
      </c>
      <c r="AI5" s="88" t="n">
        <f aca="false">Caherdavin!I29+Caherdavin!J29</f>
        <v>0.121648718301566</v>
      </c>
      <c r="AJ5" s="88" t="n">
        <f aca="false">SUM(Caherdavin!K29:O29)</f>
        <v>0.236417369720557</v>
      </c>
      <c r="AN5" s="18" t="s">
        <v>930</v>
      </c>
      <c r="AO5" s="88" t="n">
        <f aca="false">12*(Model!$B$3-2025)</f>
        <v>180</v>
      </c>
    </row>
    <row r="6" customFormat="false" ht="15" hidden="false" customHeight="false" outlineLevel="0" collapsed="false">
      <c r="A6" s="0" t="s">
        <v>162</v>
      </c>
      <c r="B6" s="88" t="s">
        <v>931</v>
      </c>
      <c r="C6" s="71" t="n">
        <f aca="false">'Castletroy-Annacotty'!B13</f>
        <v>623.203321395108</v>
      </c>
      <c r="D6" s="71" t="n">
        <f aca="false">'Castletroy-Annacotty'!B14</f>
        <v>623.203321395108</v>
      </c>
      <c r="E6" s="71" t="n">
        <f aca="false">'Castletroy-Annacotty'!B15</f>
        <v>623.203321395108</v>
      </c>
      <c r="F6" s="71" t="n">
        <f aca="false">'Castletroy-Annacotty'!B16</f>
        <v>623.203321395108</v>
      </c>
      <c r="G6" s="71" t="n">
        <f aca="false">'Castletroy-Annacotty'!B17</f>
        <v>623.203321395108</v>
      </c>
      <c r="H6" s="71" t="n">
        <f aca="false">'Castletroy-Annacotty'!B18</f>
        <v>316.937555895987</v>
      </c>
      <c r="I6" s="71" t="n">
        <f aca="false">'Castletroy-Annacotty'!B19</f>
        <v>316.937555895987</v>
      </c>
      <c r="J6" s="71" t="n">
        <f aca="false">'Castletroy-Annacotty'!B20</f>
        <v>316.937555895987</v>
      </c>
      <c r="K6" s="71" t="n">
        <f aca="false">'Castletroy-Annacotty'!B21</f>
        <v>316.937555895987</v>
      </c>
      <c r="L6" s="71" t="n">
        <f aca="false">'Castletroy-Annacotty'!B22</f>
        <v>306.26576549912</v>
      </c>
      <c r="M6" s="71" t="n">
        <f aca="false">'Castletroy-Annacotty'!B23</f>
        <v>232.001799449692</v>
      </c>
      <c r="N6" s="71" t="n">
        <f aca="false">'Castletroy-Annacotty'!B24</f>
        <v>230.101343625592</v>
      </c>
      <c r="O6" s="71" t="n">
        <f aca="false">'Castletroy-Annacotty'!B25</f>
        <v>227.323754344216</v>
      </c>
      <c r="P6" s="71" t="n">
        <f aca="false">'Castletroy-Annacotty'!B26</f>
        <v>225.27710961057</v>
      </c>
      <c r="Q6" s="71" t="n">
        <f aca="false">'Castletroy-Annacotty'!B27</f>
        <v>222.938087057832</v>
      </c>
      <c r="R6" s="0" t="n">
        <v>628</v>
      </c>
      <c r="S6" s="0" t="n">
        <v>604</v>
      </c>
      <c r="T6" s="0" t="n">
        <v>1590</v>
      </c>
      <c r="U6" s="0" t="n">
        <v>0</v>
      </c>
      <c r="V6" s="0" t="n">
        <v>137</v>
      </c>
      <c r="W6" s="0" t="n">
        <v>0</v>
      </c>
      <c r="X6" s="0" t="n">
        <v>139.5</v>
      </c>
      <c r="Y6" s="0" t="n">
        <v>463.2</v>
      </c>
      <c r="Z6" s="0" t="n">
        <v>23.4</v>
      </c>
      <c r="AA6" s="0" t="n">
        <v>473.6</v>
      </c>
      <c r="AB6" s="0" t="n">
        <v>202.6</v>
      </c>
      <c r="AC6" s="0" t="n">
        <v>891.7</v>
      </c>
      <c r="AD6" s="89" t="n">
        <f aca="false">'Castletroy-Annacotty'!C29</f>
        <v>0.241232310532536</v>
      </c>
      <c r="AE6" s="89" t="n">
        <f aca="false">'Castletroy-Annacotty'!D29</f>
        <v>0.310276701040081</v>
      </c>
      <c r="AF6" s="89" t="n">
        <f aca="false">'Castletroy-Annacotty'!E29</f>
        <v>0.186995546413275</v>
      </c>
      <c r="AG6" s="89" t="n">
        <f aca="false">'Castletroy-Annacotty'!F29</f>
        <v>0.261495442014109</v>
      </c>
      <c r="AH6" s="88" t="n">
        <f aca="false">'Castletroy-Annacotty'!G29+'Castletroy-Annacotty'!H29</f>
        <v>0.608633890243973</v>
      </c>
      <c r="AI6" s="88" t="n">
        <f aca="false">'Castletroy-Annacotty'!I29+'Castletroy-Annacotty'!J29</f>
        <v>0.115338247881235</v>
      </c>
      <c r="AJ6" s="88" t="n">
        <f aca="false">SUM('Castletroy-Annacotty'!K29:O29)</f>
        <v>0.276027861874792</v>
      </c>
      <c r="AN6" s="18" t="s">
        <v>932</v>
      </c>
      <c r="AO6" s="88" t="n">
        <f aca="false">IF('Pipeline &amp; permissions needed'!$C$6="Yes",1,0)</f>
        <v>1</v>
      </c>
    </row>
    <row r="7" customFormat="false" ht="15" hidden="false" customHeight="false" outlineLevel="0" collapsed="false">
      <c r="A7" s="0" t="s">
        <v>164</v>
      </c>
      <c r="B7" s="88" t="s">
        <v>164</v>
      </c>
      <c r="C7" s="71" t="n">
        <f aca="false">'City Centre'!B13</f>
        <v>541.35478752072</v>
      </c>
      <c r="D7" s="71" t="n">
        <f aca="false">'City Centre'!B14</f>
        <v>541.35478752072</v>
      </c>
      <c r="E7" s="71" t="n">
        <f aca="false">'City Centre'!B15</f>
        <v>541.35478752072</v>
      </c>
      <c r="F7" s="71" t="n">
        <f aca="false">'City Centre'!B16</f>
        <v>541.35478752072</v>
      </c>
      <c r="G7" s="71" t="n">
        <f aca="false">'City Centre'!B17</f>
        <v>541.35478752072</v>
      </c>
      <c r="H7" s="71" t="n">
        <f aca="false">'City Centre'!B18</f>
        <v>275.312498087009</v>
      </c>
      <c r="I7" s="71" t="n">
        <f aca="false">'City Centre'!B19</f>
        <v>275.312498087009</v>
      </c>
      <c r="J7" s="71" t="n">
        <f aca="false">'City Centre'!B20</f>
        <v>275.312498087009</v>
      </c>
      <c r="K7" s="71" t="n">
        <f aca="false">'City Centre'!B21</f>
        <v>275.312498087009</v>
      </c>
      <c r="L7" s="71" t="n">
        <f aca="false">'City Centre'!B22</f>
        <v>266.042289433711</v>
      </c>
      <c r="M7" s="71" t="n">
        <f aca="false">'City Centre'!B23</f>
        <v>201.531796339522</v>
      </c>
      <c r="N7" s="71" t="n">
        <f aca="false">'City Centre'!B24</f>
        <v>199.880937264277</v>
      </c>
      <c r="O7" s="71" t="n">
        <f aca="false">'City Centre'!B25</f>
        <v>197.468143231227</v>
      </c>
      <c r="P7" s="71" t="n">
        <f aca="false">'City Centre'!B26</f>
        <v>195.690294996348</v>
      </c>
      <c r="Q7" s="71" t="n">
        <f aca="false">'City Centre'!B27</f>
        <v>193.6584684422</v>
      </c>
      <c r="R7" s="0" t="n">
        <v>99</v>
      </c>
      <c r="S7" s="0" t="n">
        <v>111</v>
      </c>
      <c r="T7" s="0" t="n">
        <v>715</v>
      </c>
      <c r="U7" s="0" t="n">
        <v>0</v>
      </c>
      <c r="V7" s="0" t="n">
        <v>55</v>
      </c>
      <c r="W7" s="0" t="n">
        <v>17</v>
      </c>
      <c r="X7" s="0" t="n">
        <v>13.8</v>
      </c>
      <c r="Y7" s="0" t="n">
        <v>85.5</v>
      </c>
      <c r="Z7" s="0" t="n">
        <v>242.4</v>
      </c>
      <c r="AA7" s="0" t="n">
        <v>258.9</v>
      </c>
      <c r="AB7" s="0" t="n">
        <v>72.7</v>
      </c>
      <c r="AC7" s="0" t="n">
        <v>152.7</v>
      </c>
      <c r="AD7" s="89" t="n">
        <f aca="false">'City Centre'!C29</f>
        <v>0.241232310532536</v>
      </c>
      <c r="AE7" s="89" t="n">
        <f aca="false">'City Centre'!D29</f>
        <v>0.310276701040081</v>
      </c>
      <c r="AF7" s="89" t="n">
        <f aca="false">'City Centre'!E29</f>
        <v>0.186995546413276</v>
      </c>
      <c r="AG7" s="89" t="n">
        <f aca="false">'City Centre'!F29</f>
        <v>0.261495442014109</v>
      </c>
      <c r="AH7" s="88" t="n">
        <f aca="false">'City Centre'!G29+'City Centre'!H29</f>
        <v>0.635924899714662</v>
      </c>
      <c r="AI7" s="88" t="n">
        <f aca="false">'City Centre'!I29+'City Centre'!J29</f>
        <v>0.120509989490953</v>
      </c>
      <c r="AJ7" s="88" t="n">
        <f aca="false">SUM('City Centre'!K29:O29)</f>
        <v>0.243565110794386</v>
      </c>
      <c r="AN7" s="18" t="s">
        <v>933</v>
      </c>
      <c r="AO7" s="90" t="n">
        <f aca="false">'Pipeline &amp; permissions needed'!$C$7</f>
        <v>4.5</v>
      </c>
    </row>
    <row r="8" customFormat="false" ht="15" hidden="false" customHeight="false" outlineLevel="0" collapsed="false">
      <c r="A8" s="0" t="s">
        <v>166</v>
      </c>
      <c r="B8" s="88" t="s">
        <v>934</v>
      </c>
      <c r="C8" s="71" t="n">
        <f aca="false">'Corbally-Grove Island'!B13</f>
        <v>136.937185426009</v>
      </c>
      <c r="D8" s="71" t="n">
        <f aca="false">'Corbally-Grove Island'!B14</f>
        <v>136.937185426009</v>
      </c>
      <c r="E8" s="71" t="n">
        <f aca="false">'Corbally-Grove Island'!B15</f>
        <v>136.937185426009</v>
      </c>
      <c r="F8" s="71" t="n">
        <f aca="false">'Corbally-Grove Island'!B16</f>
        <v>136.937185426009</v>
      </c>
      <c r="G8" s="71" t="n">
        <f aca="false">'Corbally-Grove Island'!B17</f>
        <v>136.937185426009</v>
      </c>
      <c r="H8" s="71" t="n">
        <f aca="false">'Corbally-Grove Island'!B18</f>
        <v>69.64105512634</v>
      </c>
      <c r="I8" s="71" t="n">
        <f aca="false">'Corbally-Grove Island'!B19</f>
        <v>69.64105512634</v>
      </c>
      <c r="J8" s="71" t="n">
        <f aca="false">'Corbally-Grove Island'!B20</f>
        <v>69.64105512634</v>
      </c>
      <c r="K8" s="71" t="n">
        <f aca="false">'Corbally-Grove Island'!B21</f>
        <v>69.64105512634</v>
      </c>
      <c r="L8" s="71" t="n">
        <f aca="false">'Corbally-Grove Island'!B22</f>
        <v>67.296130299669</v>
      </c>
      <c r="M8" s="71" t="n">
        <f aca="false">'Corbally-Grove Island'!B23</f>
        <v>50.9780232866705</v>
      </c>
      <c r="N8" s="71" t="n">
        <f aca="false">'Corbally-Grove Island'!B24</f>
        <v>50.5604339339756</v>
      </c>
      <c r="O8" s="71" t="n">
        <f aca="false">'Corbally-Grove Island'!B25</f>
        <v>49.9501110338832</v>
      </c>
      <c r="P8" s="71" t="n">
        <f aca="false">'Corbally-Grove Island'!B26</f>
        <v>49.5003994232887</v>
      </c>
      <c r="Q8" s="71" t="n">
        <f aca="false">'Corbally-Grove Island'!B27</f>
        <v>48.9864432968951</v>
      </c>
      <c r="R8" s="0" t="n">
        <v>24</v>
      </c>
      <c r="S8" s="0" t="n">
        <v>26</v>
      </c>
      <c r="T8" s="0" t="n">
        <v>40</v>
      </c>
      <c r="U8" s="0" t="n">
        <v>0</v>
      </c>
      <c r="V8" s="0" t="n">
        <v>0</v>
      </c>
      <c r="W8" s="0" t="n">
        <v>6</v>
      </c>
      <c r="X8" s="0" t="n">
        <v>6.1</v>
      </c>
      <c r="Y8" s="0" t="n">
        <v>19.9</v>
      </c>
      <c r="Z8" s="0" t="n">
        <v>23.5</v>
      </c>
      <c r="AA8" s="0" t="n">
        <v>16.5</v>
      </c>
      <c r="AB8" s="0" t="n">
        <v>0</v>
      </c>
      <c r="AC8" s="0" t="n">
        <v>0</v>
      </c>
      <c r="AD8" s="89" t="n">
        <f aca="false">'Corbally-Grove Island'!C29</f>
        <v>0.241232310532536</v>
      </c>
      <c r="AE8" s="89" t="n">
        <f aca="false">'Corbally-Grove Island'!D29</f>
        <v>0.310276701040081</v>
      </c>
      <c r="AF8" s="89" t="n">
        <f aca="false">'Corbally-Grove Island'!E29</f>
        <v>0.186995546413275</v>
      </c>
      <c r="AG8" s="89" t="n">
        <f aca="false">'Corbally-Grove Island'!F29</f>
        <v>0.261495442014109</v>
      </c>
      <c r="AH8" s="88" t="n">
        <f aca="false">'Corbally-Grove Island'!G29+'Corbally-Grove Island'!H29</f>
        <v>0.608633890243973</v>
      </c>
      <c r="AI8" s="88" t="n">
        <f aca="false">'Corbally-Grove Island'!I29+'Corbally-Grove Island'!J29</f>
        <v>0.115338247881235</v>
      </c>
      <c r="AJ8" s="88" t="n">
        <f aca="false">SUM('Corbally-Grove Island'!K29:O29)</f>
        <v>0.276027861874792</v>
      </c>
      <c r="AN8" s="18" t="s">
        <v>935</v>
      </c>
      <c r="AO8" s="90" t="n">
        <f aca="false">'Pipeline &amp; permissions needed'!$C$8</f>
        <v>16</v>
      </c>
    </row>
    <row r="9" customFormat="false" ht="15" hidden="false" customHeight="false" outlineLevel="0" collapsed="false">
      <c r="A9" s="0" t="s">
        <v>168</v>
      </c>
      <c r="B9" s="88" t="s">
        <v>168</v>
      </c>
      <c r="C9" s="71" t="n">
        <f aca="false">Dooradoyle!B13</f>
        <v>583.892343823612</v>
      </c>
      <c r="D9" s="71" t="n">
        <f aca="false">Dooradoyle!B14</f>
        <v>583.892343823612</v>
      </c>
      <c r="E9" s="71" t="n">
        <f aca="false">Dooradoyle!B15</f>
        <v>583.892343823612</v>
      </c>
      <c r="F9" s="71" t="n">
        <f aca="false">Dooradoyle!B16</f>
        <v>583.892343823612</v>
      </c>
      <c r="G9" s="71" t="n">
        <f aca="false">Dooradoyle!B17</f>
        <v>583.892343823612</v>
      </c>
      <c r="H9" s="71" t="n">
        <f aca="false">Dooradoyle!B18</f>
        <v>296.945484731314</v>
      </c>
      <c r="I9" s="71" t="n">
        <f aca="false">Dooradoyle!B19</f>
        <v>296.945484731314</v>
      </c>
      <c r="J9" s="71" t="n">
        <f aca="false">Dooradoyle!B20</f>
        <v>296.945484731314</v>
      </c>
      <c r="K9" s="71" t="n">
        <f aca="false">Dooradoyle!B21</f>
        <v>296.945484731314</v>
      </c>
      <c r="L9" s="71" t="n">
        <f aca="false">Dooradoyle!B22</f>
        <v>286.946859092298</v>
      </c>
      <c r="M9" s="71" t="n">
        <f aca="false">Dooradoyle!B23</f>
        <v>217.36738204271</v>
      </c>
      <c r="N9" s="71" t="n">
        <f aca="false">Dooradoyle!B24</f>
        <v>215.586804874118</v>
      </c>
      <c r="O9" s="71" t="n">
        <f aca="false">Dooradoyle!B25</f>
        <v>212.984422858484</v>
      </c>
      <c r="P9" s="71" t="n">
        <f aca="false">Dooradoyle!B26</f>
        <v>211.066878215385</v>
      </c>
      <c r="Q9" s="71" t="n">
        <f aca="false">Dooradoyle!B27</f>
        <v>208.875398623272</v>
      </c>
      <c r="R9" s="0" t="n">
        <v>110</v>
      </c>
      <c r="S9" s="0" t="n">
        <v>1121</v>
      </c>
      <c r="T9" s="0" t="n">
        <v>689</v>
      </c>
      <c r="U9" s="0" t="n">
        <v>0</v>
      </c>
      <c r="V9" s="0" t="n">
        <v>0</v>
      </c>
      <c r="W9" s="0" t="n">
        <v>0</v>
      </c>
      <c r="X9" s="0" t="n">
        <v>108.4</v>
      </c>
      <c r="Y9" s="0" t="n">
        <v>439.7</v>
      </c>
      <c r="Z9" s="0" t="n">
        <v>343.6</v>
      </c>
      <c r="AA9" s="0" t="n">
        <v>391.1</v>
      </c>
      <c r="AB9" s="0" t="n">
        <v>302.4</v>
      </c>
      <c r="AC9" s="0" t="n">
        <v>224.8</v>
      </c>
      <c r="AD9" s="89" t="n">
        <f aca="false">Dooradoyle!C29</f>
        <v>0.241232310532536</v>
      </c>
      <c r="AE9" s="89" t="n">
        <f aca="false">Dooradoyle!D29</f>
        <v>0.310276701040081</v>
      </c>
      <c r="AF9" s="89" t="n">
        <f aca="false">Dooradoyle!E29</f>
        <v>0.186995546413275</v>
      </c>
      <c r="AG9" s="89" t="n">
        <f aca="false">Dooradoyle!F29</f>
        <v>0.261495442014109</v>
      </c>
      <c r="AH9" s="88" t="n">
        <f aca="false">Dooradoyle!G29+Dooradoyle!H29</f>
        <v>0.608633890243973</v>
      </c>
      <c r="AI9" s="88" t="n">
        <f aca="false">Dooradoyle!I29+Dooradoyle!J29</f>
        <v>0.115338247881235</v>
      </c>
      <c r="AJ9" s="88" t="n">
        <f aca="false">SUM(Dooradoyle!K29:O29)</f>
        <v>0.276027861874792</v>
      </c>
      <c r="AN9" s="18" t="s">
        <v>936</v>
      </c>
      <c r="AO9" s="90" t="n">
        <f aca="false">'Pipeline &amp; permissions needed'!$C$9</f>
        <v>15</v>
      </c>
    </row>
    <row r="10" customFormat="false" ht="15" hidden="false" customHeight="false" outlineLevel="0" collapsed="false">
      <c r="A10" s="0" t="s">
        <v>170</v>
      </c>
      <c r="B10" s="88" t="s">
        <v>170</v>
      </c>
      <c r="C10" s="71" t="n">
        <f aca="false">'Kings Island'!B13</f>
        <v>67.7285517195652</v>
      </c>
      <c r="D10" s="71" t="n">
        <f aca="false">'Kings Island'!B14</f>
        <v>67.7285517195652</v>
      </c>
      <c r="E10" s="71" t="n">
        <f aca="false">'Kings Island'!B15</f>
        <v>67.7285517195652</v>
      </c>
      <c r="F10" s="71" t="n">
        <f aca="false">'Kings Island'!B16</f>
        <v>67.7285517195652</v>
      </c>
      <c r="G10" s="71" t="n">
        <f aca="false">'Kings Island'!B17</f>
        <v>67.7285517195652</v>
      </c>
      <c r="H10" s="71" t="n">
        <f aca="false">'Kings Island'!B18</f>
        <v>34.4441708017868</v>
      </c>
      <c r="I10" s="71" t="n">
        <f aca="false">'Kings Island'!B19</f>
        <v>34.4441708017868</v>
      </c>
      <c r="J10" s="71" t="n">
        <f aca="false">'Kings Island'!B20</f>
        <v>34.4441708017868</v>
      </c>
      <c r="K10" s="71" t="n">
        <f aca="false">'Kings Island'!B21</f>
        <v>34.4441708017868</v>
      </c>
      <c r="L10" s="71" t="n">
        <f aca="false">'Kings Island'!B22</f>
        <v>33.2843809177783</v>
      </c>
      <c r="M10" s="71" t="n">
        <f aca="false">'Kings Island'!B23</f>
        <v>25.2135143276918</v>
      </c>
      <c r="N10" s="71" t="n">
        <f aca="false">'Kings Island'!B24</f>
        <v>25.0069764031423</v>
      </c>
      <c r="O10" s="71" t="n">
        <f aca="false">'Kings Island'!B25</f>
        <v>24.7051132826469</v>
      </c>
      <c r="P10" s="71" t="n">
        <f aca="false">'Kings Island'!B26</f>
        <v>24.4826878254398</v>
      </c>
      <c r="Q10" s="71" t="n">
        <f aca="false">'Kings Island'!B27</f>
        <v>24.2284873029174</v>
      </c>
      <c r="R10" s="0" t="n">
        <v>0</v>
      </c>
      <c r="S10" s="0" t="n">
        <v>0</v>
      </c>
      <c r="T10" s="0" t="n">
        <v>50</v>
      </c>
      <c r="U10" s="0" t="n">
        <v>0</v>
      </c>
      <c r="V10" s="0" t="n">
        <v>0</v>
      </c>
      <c r="W10" s="0" t="n">
        <v>30</v>
      </c>
      <c r="X10" s="0" t="n">
        <v>0</v>
      </c>
      <c r="Y10" s="0" t="n">
        <v>0</v>
      </c>
      <c r="Z10" s="0" t="n">
        <v>30.1</v>
      </c>
      <c r="AA10" s="0" t="n">
        <v>19.6</v>
      </c>
      <c r="AB10" s="0" t="n">
        <v>0.3</v>
      </c>
      <c r="AC10" s="0" t="n">
        <v>0</v>
      </c>
      <c r="AD10" s="89" t="n">
        <f aca="false">'Kings Island'!C29</f>
        <v>0.241232310532536</v>
      </c>
      <c r="AE10" s="89" t="n">
        <f aca="false">'Kings Island'!D29</f>
        <v>0.310276701040081</v>
      </c>
      <c r="AF10" s="89" t="n">
        <f aca="false">'Kings Island'!E29</f>
        <v>0.186995546413275</v>
      </c>
      <c r="AG10" s="89" t="n">
        <f aca="false">'Kings Island'!F29</f>
        <v>0.261495442014109</v>
      </c>
      <c r="AH10" s="88" t="n">
        <f aca="false">'Kings Island'!G29+'Kings Island'!H29</f>
        <v>0.756618207211783</v>
      </c>
      <c r="AI10" s="88" t="n">
        <f aca="false">'Kings Island'!I29+'Kings Island'!J29</f>
        <v>0.143381792788217</v>
      </c>
      <c r="AJ10" s="88" t="n">
        <f aca="false">SUM('Kings Island'!K29:O29)</f>
        <v>0.1</v>
      </c>
      <c r="AN10" s="18" t="s">
        <v>937</v>
      </c>
      <c r="AO10" s="88" t="n">
        <f aca="false">1/MAX(0.01,1-'Pipeline &amp; permissions needed'!$C$10)</f>
        <v>1.21951219512195</v>
      </c>
    </row>
    <row r="11" customFormat="false" ht="15" hidden="false" customHeight="false" outlineLevel="0" collapsed="false">
      <c r="A11" s="0" t="s">
        <v>172</v>
      </c>
      <c r="B11" s="88" t="s">
        <v>938</v>
      </c>
      <c r="C11" s="71" t="n">
        <f aca="false">'Singland-Garryowen'!B13</f>
        <v>336.570643816196</v>
      </c>
      <c r="D11" s="71" t="n">
        <f aca="false">'Singland-Garryowen'!B14</f>
        <v>336.570643816196</v>
      </c>
      <c r="E11" s="71" t="n">
        <f aca="false">'Singland-Garryowen'!B15</f>
        <v>336.570643816196</v>
      </c>
      <c r="F11" s="71" t="n">
        <f aca="false">'Singland-Garryowen'!B16</f>
        <v>336.570643816196</v>
      </c>
      <c r="G11" s="71" t="n">
        <f aca="false">'Singland-Garryowen'!B17</f>
        <v>336.570643816196</v>
      </c>
      <c r="H11" s="71" t="n">
        <f aca="false">'Singland-Garryowen'!B18</f>
        <v>171.167055077062</v>
      </c>
      <c r="I11" s="71" t="n">
        <f aca="false">'Singland-Garryowen'!B19</f>
        <v>171.167055077062</v>
      </c>
      <c r="J11" s="71" t="n">
        <f aca="false">'Singland-Garryowen'!B20</f>
        <v>171.167055077062</v>
      </c>
      <c r="K11" s="71" t="n">
        <f aca="false">'Singland-Garryowen'!B21</f>
        <v>171.167055077062</v>
      </c>
      <c r="L11" s="71" t="n">
        <f aca="false">'Singland-Garryowen'!B22</f>
        <v>165.403588739135</v>
      </c>
      <c r="M11" s="71" t="n">
        <f aca="false">'Singland-Garryowen'!B23</f>
        <v>125.296179154657</v>
      </c>
      <c r="N11" s="71" t="n">
        <f aca="false">'Singland-Garryowen'!B24</f>
        <v>124.269808436944</v>
      </c>
      <c r="O11" s="71" t="n">
        <f aca="false">'Singland-Garryowen'!B25</f>
        <v>122.76972815721</v>
      </c>
      <c r="P11" s="71" t="n">
        <f aca="false">'Singland-Garryowen'!B26</f>
        <v>121.664405845827</v>
      </c>
      <c r="Q11" s="71" t="n">
        <f aca="false">'Singland-Garryowen'!B27</f>
        <v>120.401180347103</v>
      </c>
      <c r="R11" s="0" t="n">
        <v>29</v>
      </c>
      <c r="S11" s="0" t="n">
        <v>108</v>
      </c>
      <c r="T11" s="0" t="n">
        <v>132</v>
      </c>
      <c r="U11" s="0" t="n">
        <v>0</v>
      </c>
      <c r="V11" s="0" t="n">
        <v>4</v>
      </c>
      <c r="W11" s="0" t="n">
        <v>0</v>
      </c>
      <c r="X11" s="0" t="n">
        <v>18</v>
      </c>
      <c r="Y11" s="0" t="n">
        <v>91.4</v>
      </c>
      <c r="Z11" s="0" t="n">
        <v>104.5</v>
      </c>
      <c r="AA11" s="0" t="n">
        <v>26.1</v>
      </c>
      <c r="AB11" s="0" t="n">
        <v>0</v>
      </c>
      <c r="AC11" s="0" t="n">
        <v>0</v>
      </c>
      <c r="AD11" s="89" t="n">
        <f aca="false">'Singland-Garryowen'!C29</f>
        <v>0.241232310532536</v>
      </c>
      <c r="AE11" s="89" t="n">
        <f aca="false">'Singland-Garryowen'!D29</f>
        <v>0.310276701040081</v>
      </c>
      <c r="AF11" s="89" t="n">
        <f aca="false">'Singland-Garryowen'!E29</f>
        <v>0.186995546413275</v>
      </c>
      <c r="AG11" s="89" t="n">
        <f aca="false">'Singland-Garryowen'!F29</f>
        <v>0.261495442014109</v>
      </c>
      <c r="AH11" s="88" t="n">
        <f aca="false">'Singland-Garryowen'!G29+'Singland-Garryowen'!H29</f>
        <v>0.608633890243973</v>
      </c>
      <c r="AI11" s="88" t="n">
        <f aca="false">'Singland-Garryowen'!I29+'Singland-Garryowen'!J29</f>
        <v>0.115338247881235</v>
      </c>
      <c r="AJ11" s="88" t="n">
        <f aca="false">SUM('Singland-Garryowen'!K29:O29)</f>
        <v>0.276027861874792</v>
      </c>
      <c r="AN11" s="18" t="s">
        <v>939</v>
      </c>
      <c r="AO11" s="88" t="n">
        <f aca="false">1/MAX(0.01,1-'Pipeline &amp; permissions needed'!$C$11)</f>
        <v>1</v>
      </c>
    </row>
    <row r="12" customFormat="false" ht="15" hidden="false" customHeight="false" outlineLevel="0" collapsed="false">
      <c r="A12" s="0" t="s">
        <v>174</v>
      </c>
      <c r="B12" s="88" t="s">
        <v>174</v>
      </c>
      <c r="C12" s="71" t="n">
        <f aca="false">Southhill!B13</f>
        <v>184.536622124025</v>
      </c>
      <c r="D12" s="71" t="n">
        <f aca="false">Southhill!B14</f>
        <v>184.536622124025</v>
      </c>
      <c r="E12" s="71" t="n">
        <f aca="false">Southhill!B15</f>
        <v>184.536622124025</v>
      </c>
      <c r="F12" s="71" t="n">
        <f aca="false">Southhill!B16</f>
        <v>184.536622124025</v>
      </c>
      <c r="G12" s="71" t="n">
        <f aca="false">Southhill!B17</f>
        <v>184.536622124025</v>
      </c>
      <c r="H12" s="71" t="n">
        <f aca="false">Southhill!B18</f>
        <v>93.8483220185048</v>
      </c>
      <c r="I12" s="71" t="n">
        <f aca="false">Southhill!B19</f>
        <v>93.8483220185048</v>
      </c>
      <c r="J12" s="71" t="n">
        <f aca="false">Southhill!B20</f>
        <v>93.8483220185048</v>
      </c>
      <c r="K12" s="71" t="n">
        <f aca="false">Southhill!B21</f>
        <v>93.8483220185048</v>
      </c>
      <c r="L12" s="71" t="n">
        <f aca="false">Southhill!B22</f>
        <v>90.6883001055201</v>
      </c>
      <c r="M12" s="71" t="n">
        <f aca="false">Southhill!B23</f>
        <v>68.6980106288594</v>
      </c>
      <c r="N12" s="71" t="n">
        <f aca="false">Southhill!B24</f>
        <v>68.1352670005197</v>
      </c>
      <c r="O12" s="71" t="n">
        <f aca="false">Southhill!B25</f>
        <v>67.3127955437154</v>
      </c>
      <c r="P12" s="71" t="n">
        <f aca="false">Southhill!B26</f>
        <v>66.7067639439649</v>
      </c>
      <c r="Q12" s="71" t="n">
        <f aca="false">Southhill!B27</f>
        <v>66.0141564013929</v>
      </c>
      <c r="R12" s="0" t="n">
        <v>289</v>
      </c>
      <c r="S12" s="0" t="n">
        <v>47</v>
      </c>
      <c r="T12" s="0" t="n">
        <v>418</v>
      </c>
      <c r="U12" s="0" t="n">
        <v>0</v>
      </c>
      <c r="V12" s="0" t="n">
        <v>0</v>
      </c>
      <c r="W12" s="0" t="n">
        <v>73</v>
      </c>
      <c r="X12" s="0" t="n">
        <v>3.7</v>
      </c>
      <c r="Y12" s="0" t="n">
        <v>40.8</v>
      </c>
      <c r="Z12" s="0" t="n">
        <v>15.3</v>
      </c>
      <c r="AA12" s="0" t="n">
        <v>43.8</v>
      </c>
      <c r="AB12" s="0" t="n">
        <v>57.4</v>
      </c>
      <c r="AC12" s="0" t="n">
        <v>304</v>
      </c>
      <c r="AD12" s="89" t="n">
        <f aca="false">Southhill!C29</f>
        <v>0.241232310532536</v>
      </c>
      <c r="AE12" s="89" t="n">
        <f aca="false">Southhill!D29</f>
        <v>0.310276701040081</v>
      </c>
      <c r="AF12" s="89" t="n">
        <f aca="false">Southhill!E29</f>
        <v>0.186995546413275</v>
      </c>
      <c r="AG12" s="89" t="n">
        <f aca="false">Southhill!F29</f>
        <v>0.261495442014109</v>
      </c>
      <c r="AH12" s="88" t="n">
        <f aca="false">Southhill!G29+Southhill!H29</f>
        <v>0.756618207211783</v>
      </c>
      <c r="AI12" s="88" t="n">
        <f aca="false">Southhill!I29+Southhill!J29</f>
        <v>0.143381792788217</v>
      </c>
      <c r="AJ12" s="88" t="n">
        <f aca="false">SUM(Southhill!K29:O29)</f>
        <v>0.1</v>
      </c>
      <c r="AN12" s="18" t="s">
        <v>940</v>
      </c>
      <c r="AO12" s="88" t="n">
        <f aca="false">2026+($AO$5-0.5-$AO$9-$AO$8)/12</f>
        <v>2038.375</v>
      </c>
    </row>
    <row r="13" customFormat="false" ht="15" hidden="false" customHeight="false" outlineLevel="0" collapsed="false">
      <c r="A13" s="0" t="s">
        <v>176</v>
      </c>
      <c r="B13" s="88" t="s">
        <v>176</v>
      </c>
      <c r="C13" s="71" t="n">
        <f aca="false">Abbeyfeale!B13</f>
        <v>57.667226420375</v>
      </c>
      <c r="D13" s="71" t="n">
        <f aca="false">Abbeyfeale!B14</f>
        <v>57.667226420375</v>
      </c>
      <c r="E13" s="71" t="n">
        <f aca="false">Abbeyfeale!B15</f>
        <v>57.667226420375</v>
      </c>
      <c r="F13" s="71" t="n">
        <f aca="false">Abbeyfeale!B16</f>
        <v>57.667226420375</v>
      </c>
      <c r="G13" s="71" t="n">
        <f aca="false">Abbeyfeale!B17</f>
        <v>57.667226420375</v>
      </c>
      <c r="H13" s="71" t="n">
        <f aca="false">Abbeyfeale!B18</f>
        <v>29.3273626271107</v>
      </c>
      <c r="I13" s="71" t="n">
        <f aca="false">Abbeyfeale!B19</f>
        <v>29.3273626271107</v>
      </c>
      <c r="J13" s="71" t="n">
        <f aca="false">Abbeyfeale!B20</f>
        <v>29.3273626271107</v>
      </c>
      <c r="K13" s="71" t="n">
        <f aca="false">Abbeyfeale!B21</f>
        <v>29.3273626271107</v>
      </c>
      <c r="L13" s="71" t="n">
        <f aca="false">Abbeyfeale!B22</f>
        <v>28.3398637932643</v>
      </c>
      <c r="M13" s="71" t="n">
        <f aca="false">Abbeyfeale!B23</f>
        <v>21.4679541001959</v>
      </c>
      <c r="N13" s="71" t="n">
        <f aca="false">Abbeyfeale!B24</f>
        <v>21.2920981434835</v>
      </c>
      <c r="O13" s="71" t="n">
        <f aca="false">Abbeyfeale!B25</f>
        <v>21.0350778990577</v>
      </c>
      <c r="P13" s="71" t="n">
        <f aca="false">Abbeyfeale!B26</f>
        <v>20.8456945610598</v>
      </c>
      <c r="Q13" s="71" t="n">
        <f aca="false">Abbeyfeale!B27</f>
        <v>20.6292564604907</v>
      </c>
      <c r="R13" s="0" t="n">
        <v>0</v>
      </c>
      <c r="S13" s="0" t="n">
        <v>0</v>
      </c>
      <c r="T13" s="0" t="n">
        <v>87</v>
      </c>
      <c r="U13" s="0" t="n">
        <v>0</v>
      </c>
      <c r="V13" s="0" t="n">
        <v>0</v>
      </c>
      <c r="W13" s="0" t="n">
        <v>48</v>
      </c>
      <c r="X13" s="0" t="n">
        <v>0</v>
      </c>
      <c r="Y13" s="0" t="n">
        <v>0</v>
      </c>
      <c r="Z13" s="0" t="n">
        <v>57.4</v>
      </c>
      <c r="AA13" s="0" t="n">
        <v>28.9</v>
      </c>
      <c r="AB13" s="0" t="n">
        <v>0.7</v>
      </c>
      <c r="AC13" s="0" t="n">
        <v>0</v>
      </c>
      <c r="AD13" s="89" t="n">
        <f aca="false">Abbeyfeale!C29</f>
        <v>0.241232310532536</v>
      </c>
      <c r="AE13" s="89" t="n">
        <f aca="false">Abbeyfeale!D29</f>
        <v>0.310276701040081</v>
      </c>
      <c r="AF13" s="89" t="n">
        <f aca="false">Abbeyfeale!E29</f>
        <v>0.186995546413275</v>
      </c>
      <c r="AG13" s="89" t="n">
        <f aca="false">Abbeyfeale!F29</f>
        <v>0.261495442014108</v>
      </c>
      <c r="AH13" s="88" t="n">
        <f aca="false">Abbeyfeale!G29+Abbeyfeale!H29</f>
        <v>0.756618207211783</v>
      </c>
      <c r="AI13" s="88" t="n">
        <f aca="false">Abbeyfeale!I29+Abbeyfeale!J29</f>
        <v>0.143381792788217</v>
      </c>
      <c r="AJ13" s="88" t="n">
        <f aca="false">SUM(Abbeyfeale!K29:O29)</f>
        <v>0.1</v>
      </c>
      <c r="AN13" s="18" t="s">
        <v>941</v>
      </c>
      <c r="AO13" s="88" t="n">
        <f aca="false">$AO$12-$AO$7/12</f>
        <v>2038</v>
      </c>
    </row>
    <row r="14" customFormat="false" ht="15" hidden="false" customHeight="false" outlineLevel="0" collapsed="false">
      <c r="A14" s="0" t="s">
        <v>179</v>
      </c>
      <c r="B14" s="88" t="s">
        <v>179</v>
      </c>
      <c r="C14" s="71" t="n">
        <f aca="false">Caherconlish!B13</f>
        <v>34.2026308424293</v>
      </c>
      <c r="D14" s="71" t="n">
        <f aca="false">Caherconlish!B14</f>
        <v>34.2026308424293</v>
      </c>
      <c r="E14" s="71" t="n">
        <f aca="false">Caherconlish!B15</f>
        <v>34.2026308424293</v>
      </c>
      <c r="F14" s="71" t="n">
        <f aca="false">Caherconlish!B16</f>
        <v>34.2026308424293</v>
      </c>
      <c r="G14" s="71" t="n">
        <f aca="false">Caherconlish!B17</f>
        <v>34.2026308424293</v>
      </c>
      <c r="H14" s="71" t="n">
        <f aca="false">Caherconlish!B18</f>
        <v>17.394159902976</v>
      </c>
      <c r="I14" s="71" t="n">
        <f aca="false">Caherconlish!B19</f>
        <v>17.394159902976</v>
      </c>
      <c r="J14" s="71" t="n">
        <f aca="false">Caherconlish!B20</f>
        <v>17.394159902976</v>
      </c>
      <c r="K14" s="71" t="n">
        <f aca="false">Caherconlish!B21</f>
        <v>17.394159902976</v>
      </c>
      <c r="L14" s="71" t="n">
        <f aca="false">Caherconlish!B22</f>
        <v>16.8084709394533</v>
      </c>
      <c r="M14" s="71" t="n">
        <f aca="false">Caherconlish!B23</f>
        <v>12.7327176042541</v>
      </c>
      <c r="N14" s="71" t="n">
        <f aca="false">Caherconlish!B24</f>
        <v>12.6284168299282</v>
      </c>
      <c r="O14" s="71" t="n">
        <f aca="false">Caherconlish!B25</f>
        <v>12.4759772366825</v>
      </c>
      <c r="P14" s="71" t="n">
        <f aca="false">Caherconlish!B26</f>
        <v>12.36365332587</v>
      </c>
      <c r="Q14" s="71" t="n">
        <f aca="false">Caherconlish!B27</f>
        <v>12.2352831420842</v>
      </c>
      <c r="R14" s="0" t="n">
        <v>9</v>
      </c>
      <c r="S14" s="0" t="n">
        <v>0</v>
      </c>
      <c r="T14" s="0" t="n">
        <v>0</v>
      </c>
      <c r="U14" s="0" t="n">
        <v>0</v>
      </c>
      <c r="V14" s="0" t="n">
        <v>0</v>
      </c>
      <c r="W14" s="0" t="n">
        <v>0</v>
      </c>
      <c r="X14" s="0" t="n">
        <v>0</v>
      </c>
      <c r="Y14" s="0" t="n">
        <v>0</v>
      </c>
      <c r="Z14" s="0" t="n">
        <v>0</v>
      </c>
      <c r="AA14" s="0" t="n">
        <v>0</v>
      </c>
      <c r="AB14" s="0" t="n">
        <v>0</v>
      </c>
      <c r="AC14" s="0" t="n">
        <v>0</v>
      </c>
      <c r="AD14" s="89" t="n">
        <f aca="false">Caherconlish!C29</f>
        <v>0.241232310532536</v>
      </c>
      <c r="AE14" s="89" t="n">
        <f aca="false">Caherconlish!D29</f>
        <v>0.310276701040081</v>
      </c>
      <c r="AF14" s="89" t="n">
        <f aca="false">Caherconlish!E29</f>
        <v>0.186995546413275</v>
      </c>
      <c r="AG14" s="89" t="n">
        <f aca="false">Caherconlish!F29</f>
        <v>0.261495442014109</v>
      </c>
      <c r="AH14" s="88" t="n">
        <f aca="false">Caherconlish!G29+Caherconlish!H29</f>
        <v>0.756618207211783</v>
      </c>
      <c r="AI14" s="88" t="n">
        <f aca="false">Caherconlish!I29+Caherconlish!J29</f>
        <v>0.143381792788217</v>
      </c>
      <c r="AJ14" s="88" t="n">
        <f aca="false">SUM(Caherconlish!K29:O29)</f>
        <v>0.1</v>
      </c>
      <c r="AN14" s="18" t="s">
        <v>942</v>
      </c>
      <c r="AO14" s="88" t="n">
        <f aca="false">MAX(0.25,$AO$12-(2026+$AO$3/12))</f>
        <v>11.6058366184845</v>
      </c>
    </row>
    <row r="15" customFormat="false" ht="15" hidden="false" customHeight="false" outlineLevel="0" collapsed="false">
      <c r="A15" s="0" t="s">
        <v>181</v>
      </c>
      <c r="B15" s="88" t="s">
        <v>181</v>
      </c>
      <c r="C15" s="71" t="n">
        <f aca="false">Castleconnell!B13</f>
        <v>56.0764063811923</v>
      </c>
      <c r="D15" s="71" t="n">
        <f aca="false">Castleconnell!B14</f>
        <v>56.0764063811923</v>
      </c>
      <c r="E15" s="71" t="n">
        <f aca="false">Castleconnell!B15</f>
        <v>56.0764063811923</v>
      </c>
      <c r="F15" s="71" t="n">
        <f aca="false">Castleconnell!B16</f>
        <v>56.0764063811923</v>
      </c>
      <c r="G15" s="71" t="n">
        <f aca="false">Castleconnell!B17</f>
        <v>56.0764063811923</v>
      </c>
      <c r="H15" s="71" t="n">
        <f aca="false">Castleconnell!B18</f>
        <v>28.5183319339491</v>
      </c>
      <c r="I15" s="71" t="n">
        <f aca="false">Castleconnell!B19</f>
        <v>28.5183319339491</v>
      </c>
      <c r="J15" s="71" t="n">
        <f aca="false">Castleconnell!B20</f>
        <v>28.5183319339491</v>
      </c>
      <c r="K15" s="71" t="n">
        <f aca="false">Castleconnell!B21</f>
        <v>28.5183319339491</v>
      </c>
      <c r="L15" s="71" t="n">
        <f aca="false">Castleconnell!B22</f>
        <v>27.5580744472432</v>
      </c>
      <c r="M15" s="71" t="n">
        <f aca="false">Castleconnell!B23</f>
        <v>20.8757346767422</v>
      </c>
      <c r="N15" s="71" t="n">
        <f aca="false">Castleconnell!B24</f>
        <v>20.7047299188357</v>
      </c>
      <c r="O15" s="71" t="n">
        <f aca="false">Castleconnell!B25</f>
        <v>20.4547998880493</v>
      </c>
      <c r="P15" s="71" t="n">
        <f aca="false">Castleconnell!B26</f>
        <v>20.2706409179961</v>
      </c>
      <c r="Q15" s="71" t="n">
        <f aca="false">Castleconnell!B27</f>
        <v>20.0601735236496</v>
      </c>
      <c r="R15" s="0" t="n">
        <v>68</v>
      </c>
      <c r="S15" s="0" t="n">
        <v>74</v>
      </c>
      <c r="T15" s="0" t="n">
        <v>14</v>
      </c>
      <c r="U15" s="0" t="n">
        <v>0</v>
      </c>
      <c r="V15" s="0" t="n">
        <v>0</v>
      </c>
      <c r="W15" s="0" t="n">
        <v>0</v>
      </c>
      <c r="X15" s="0" t="n">
        <v>17.2</v>
      </c>
      <c r="Y15" s="0" t="n">
        <v>56.8</v>
      </c>
      <c r="Z15" s="0" t="n">
        <v>8.2</v>
      </c>
      <c r="AA15" s="0" t="n">
        <v>5.8</v>
      </c>
      <c r="AB15" s="0" t="n">
        <v>0</v>
      </c>
      <c r="AC15" s="0" t="n">
        <v>0</v>
      </c>
      <c r="AD15" s="89" t="n">
        <f aca="false">Castleconnell!C29</f>
        <v>0.241232310532536</v>
      </c>
      <c r="AE15" s="89" t="n">
        <f aca="false">Castleconnell!D29</f>
        <v>0.310276701040081</v>
      </c>
      <c r="AF15" s="89" t="n">
        <f aca="false">Castleconnell!E29</f>
        <v>0.186995546413275</v>
      </c>
      <c r="AG15" s="89" t="n">
        <f aca="false">Castleconnell!F29</f>
        <v>0.261495442014109</v>
      </c>
      <c r="AH15" s="88" t="n">
        <f aca="false">Castleconnell!G29+Castleconnell!H29</f>
        <v>0.756618207211783</v>
      </c>
      <c r="AI15" s="88" t="n">
        <f aca="false">Castleconnell!I29+Castleconnell!J29</f>
        <v>0.143381792788217</v>
      </c>
      <c r="AJ15" s="88" t="n">
        <f aca="false">SUM(Castleconnell!K29:O29)</f>
        <v>0.1</v>
      </c>
    </row>
    <row r="16" customFormat="false" ht="15" hidden="false" customHeight="false" outlineLevel="0" collapsed="false">
      <c r="A16" s="0" t="s">
        <v>183</v>
      </c>
      <c r="B16" s="88" t="s">
        <v>183</v>
      </c>
      <c r="C16" s="71" t="n">
        <f aca="false">Kilmallock!B13</f>
        <v>44.3441085922194</v>
      </c>
      <c r="D16" s="71" t="n">
        <f aca="false">Kilmallock!B14</f>
        <v>44.3441085922194</v>
      </c>
      <c r="E16" s="71" t="n">
        <f aca="false">Kilmallock!B15</f>
        <v>44.3441085922194</v>
      </c>
      <c r="F16" s="71" t="n">
        <f aca="false">Kilmallock!B16</f>
        <v>44.3441085922194</v>
      </c>
      <c r="G16" s="71" t="n">
        <f aca="false">Kilmallock!B17</f>
        <v>44.3441085922194</v>
      </c>
      <c r="H16" s="71" t="n">
        <f aca="false">Kilmallock!B18</f>
        <v>22.5517305718817</v>
      </c>
      <c r="I16" s="71" t="n">
        <f aca="false">Kilmallock!B19</f>
        <v>22.5517305718817</v>
      </c>
      <c r="J16" s="71" t="n">
        <f aca="false">Kilmallock!B20</f>
        <v>22.5517305718817</v>
      </c>
      <c r="K16" s="71" t="n">
        <f aca="false">Kilmallock!B21</f>
        <v>22.5517305718817</v>
      </c>
      <c r="L16" s="71" t="n">
        <f aca="false">Kilmallock!B22</f>
        <v>21.7923780203377</v>
      </c>
      <c r="M16" s="71" t="n">
        <f aca="false">Kilmallock!B23</f>
        <v>16.5081164287713</v>
      </c>
      <c r="N16" s="71" t="n">
        <f aca="false">Kilmallock!B24</f>
        <v>16.372889262058</v>
      </c>
      <c r="O16" s="71" t="n">
        <f aca="false">Kilmallock!B25</f>
        <v>16.1752495568616</v>
      </c>
      <c r="P16" s="71" t="n">
        <f aca="false">Kilmallock!B26</f>
        <v>16.0296203004012</v>
      </c>
      <c r="Q16" s="71" t="n">
        <f aca="false">Kilmallock!B27</f>
        <v>15.8631868644463</v>
      </c>
      <c r="R16" s="0" t="n">
        <v>5</v>
      </c>
      <c r="S16" s="0" t="n">
        <v>70</v>
      </c>
      <c r="T16" s="0" t="n">
        <v>0</v>
      </c>
      <c r="U16" s="0" t="n">
        <v>0</v>
      </c>
      <c r="V16" s="0" t="n">
        <v>0</v>
      </c>
      <c r="W16" s="0" t="n">
        <v>0</v>
      </c>
      <c r="X16" s="0" t="n">
        <v>1.2</v>
      </c>
      <c r="Y16" s="0" t="n">
        <v>58.8</v>
      </c>
      <c r="Z16" s="0" t="n">
        <v>10</v>
      </c>
      <c r="AA16" s="0" t="n">
        <v>0</v>
      </c>
      <c r="AB16" s="0" t="n">
        <v>0</v>
      </c>
      <c r="AC16" s="0" t="n">
        <v>0</v>
      </c>
      <c r="AD16" s="89" t="n">
        <f aca="false">Kilmallock!C29</f>
        <v>0.241232310532536</v>
      </c>
      <c r="AE16" s="89" t="n">
        <f aca="false">Kilmallock!D29</f>
        <v>0.310276701040081</v>
      </c>
      <c r="AF16" s="89" t="n">
        <f aca="false">Kilmallock!E29</f>
        <v>0.186995546413275</v>
      </c>
      <c r="AG16" s="89" t="n">
        <f aca="false">Kilmallock!F29</f>
        <v>0.261495442014109</v>
      </c>
      <c r="AH16" s="88" t="n">
        <f aca="false">Kilmallock!G29+Kilmallock!H29</f>
        <v>0.756618207211783</v>
      </c>
      <c r="AI16" s="88" t="n">
        <f aca="false">Kilmallock!I29+Kilmallock!J29</f>
        <v>0.143381792788217</v>
      </c>
      <c r="AJ16" s="88" t="n">
        <f aca="false">SUM(Kilmallock!K29:O29)</f>
        <v>0.1</v>
      </c>
    </row>
    <row r="17" customFormat="false" ht="15" hidden="false" customHeight="false" outlineLevel="0" collapsed="false">
      <c r="A17" s="0" t="s">
        <v>185</v>
      </c>
      <c r="B17" s="88" t="s">
        <v>185</v>
      </c>
      <c r="C17" s="71" t="n">
        <f aca="false">'Newcastle West'!B13</f>
        <v>193.085782255807</v>
      </c>
      <c r="D17" s="71" t="n">
        <f aca="false">'Newcastle West'!B14</f>
        <v>193.085782255807</v>
      </c>
      <c r="E17" s="71" t="n">
        <f aca="false">'Newcastle West'!B15</f>
        <v>193.085782255807</v>
      </c>
      <c r="F17" s="71" t="n">
        <f aca="false">'Newcastle West'!B16</f>
        <v>193.085782255807</v>
      </c>
      <c r="G17" s="71" t="n">
        <f aca="false">'Newcastle West'!B17</f>
        <v>193.085782255807</v>
      </c>
      <c r="H17" s="71" t="n">
        <f aca="false">'Newcastle West'!B18</f>
        <v>98.1961003824984</v>
      </c>
      <c r="I17" s="71" t="n">
        <f aca="false">'Newcastle West'!B19</f>
        <v>98.1961003824984</v>
      </c>
      <c r="J17" s="71" t="n">
        <f aca="false">'Newcastle West'!B20</f>
        <v>98.1961003824984</v>
      </c>
      <c r="K17" s="71" t="n">
        <f aca="false">'Newcastle West'!B21</f>
        <v>98.1961003824984</v>
      </c>
      <c r="L17" s="71" t="n">
        <f aca="false">'Newcastle West'!B22</f>
        <v>94.8896818733091</v>
      </c>
      <c r="M17" s="71" t="n">
        <f aca="false">'Newcastle West'!B23</f>
        <v>71.8806325216905</v>
      </c>
      <c r="N17" s="71" t="n">
        <f aca="false">'Newcastle West'!B24</f>
        <v>71.2918182666294</v>
      </c>
      <c r="O17" s="71" t="n">
        <f aca="false">'Newcastle West'!B25</f>
        <v>70.4312435861554</v>
      </c>
      <c r="P17" s="71" t="n">
        <f aca="false">'Newcastle West'!B26</f>
        <v>69.7971359268589</v>
      </c>
      <c r="Q17" s="71" t="n">
        <f aca="false">'Newcastle West'!B27</f>
        <v>69.0724414590913</v>
      </c>
      <c r="R17" s="0" t="n">
        <v>6</v>
      </c>
      <c r="S17" s="0" t="n">
        <v>166</v>
      </c>
      <c r="T17" s="0" t="n">
        <v>55</v>
      </c>
      <c r="U17" s="0" t="n">
        <v>53</v>
      </c>
      <c r="V17" s="0" t="n">
        <v>0</v>
      </c>
      <c r="W17" s="0" t="n">
        <v>30</v>
      </c>
      <c r="X17" s="0" t="n">
        <v>38.7</v>
      </c>
      <c r="Y17" s="0" t="n">
        <v>127.3</v>
      </c>
      <c r="Z17" s="0" t="n">
        <v>40.2</v>
      </c>
      <c r="AA17" s="0" t="n">
        <v>14.8</v>
      </c>
      <c r="AB17" s="0" t="n">
        <v>0</v>
      </c>
      <c r="AC17" s="0" t="n">
        <v>0</v>
      </c>
      <c r="AD17" s="89" t="n">
        <f aca="false">'Newcastle West'!C29</f>
        <v>0.241232310532536</v>
      </c>
      <c r="AE17" s="89" t="n">
        <f aca="false">'Newcastle West'!D29</f>
        <v>0.310276701040081</v>
      </c>
      <c r="AF17" s="89" t="n">
        <f aca="false">'Newcastle West'!E29</f>
        <v>0.186995546413275</v>
      </c>
      <c r="AG17" s="89" t="n">
        <f aca="false">'Newcastle West'!F29</f>
        <v>0.261495442014109</v>
      </c>
      <c r="AH17" s="88" t="n">
        <f aca="false">'Newcastle West'!G29+'Newcastle West'!H29</f>
        <v>0.756618207211783</v>
      </c>
      <c r="AI17" s="88" t="n">
        <f aca="false">'Newcastle West'!I29+'Newcastle West'!J29</f>
        <v>0.143381792788217</v>
      </c>
      <c r="AJ17" s="88" t="n">
        <f aca="false">SUM('Newcastle West'!K29:O29)</f>
        <v>0.1</v>
      </c>
    </row>
    <row r="18" customFormat="false" ht="15" hidden="false" customHeight="false" outlineLevel="0" collapsed="false">
      <c r="A18" s="0" t="s">
        <v>187</v>
      </c>
      <c r="B18" s="88" t="s">
        <v>187</v>
      </c>
      <c r="C18" s="71" t="n">
        <f aca="false">Rathkeale!B13</f>
        <v>40.1682059893647</v>
      </c>
      <c r="D18" s="71" t="n">
        <f aca="false">Rathkeale!B14</f>
        <v>40.1682059893647</v>
      </c>
      <c r="E18" s="71" t="n">
        <f aca="false">Rathkeale!B15</f>
        <v>40.1682059893647</v>
      </c>
      <c r="F18" s="71" t="n">
        <f aca="false">Rathkeale!B16</f>
        <v>40.1682059893647</v>
      </c>
      <c r="G18" s="71" t="n">
        <f aca="false">Rathkeale!B17</f>
        <v>40.1682059893647</v>
      </c>
      <c r="H18" s="71" t="n">
        <f aca="false">Rathkeale!B18</f>
        <v>20.4280250023323</v>
      </c>
      <c r="I18" s="71" t="n">
        <f aca="false">Rathkeale!B19</f>
        <v>20.4280250023323</v>
      </c>
      <c r="J18" s="71" t="n">
        <f aca="false">Rathkeale!B20</f>
        <v>20.4280250023323</v>
      </c>
      <c r="K18" s="71" t="n">
        <f aca="false">Rathkeale!B21</f>
        <v>20.4280250023323</v>
      </c>
      <c r="L18" s="71" t="n">
        <f aca="false">Rathkeale!B22</f>
        <v>19.7401809870324</v>
      </c>
      <c r="M18" s="71" t="n">
        <f aca="false">Rathkeale!B23</f>
        <v>14.9535404422054</v>
      </c>
      <c r="N18" s="71" t="n">
        <f aca="false">Rathkeale!B24</f>
        <v>14.8310476723575</v>
      </c>
      <c r="O18" s="71" t="n">
        <f aca="false">Rathkeale!B25</f>
        <v>14.6520197779644</v>
      </c>
      <c r="P18" s="71" t="n">
        <f aca="false">Rathkeale!B26</f>
        <v>14.5201044873589</v>
      </c>
      <c r="Q18" s="71" t="n">
        <f aca="false">Rathkeale!B27</f>
        <v>14.3693441552384</v>
      </c>
      <c r="R18" s="0" t="n">
        <v>0</v>
      </c>
      <c r="S18" s="0" t="n">
        <v>11</v>
      </c>
      <c r="T18" s="0" t="n">
        <v>0</v>
      </c>
      <c r="U18" s="0" t="n">
        <v>0</v>
      </c>
      <c r="V18" s="0" t="n">
        <v>0</v>
      </c>
      <c r="W18" s="0" t="n">
        <v>0</v>
      </c>
      <c r="X18" s="0" t="n">
        <v>2.6</v>
      </c>
      <c r="Y18" s="0" t="n">
        <v>8.4</v>
      </c>
      <c r="Z18" s="0" t="n">
        <v>0</v>
      </c>
      <c r="AA18" s="0" t="n">
        <v>0</v>
      </c>
      <c r="AB18" s="0" t="n">
        <v>0</v>
      </c>
      <c r="AC18" s="0" t="n">
        <v>0</v>
      </c>
      <c r="AD18" s="89" t="n">
        <f aca="false">Rathkeale!C29</f>
        <v>0.241232310532536</v>
      </c>
      <c r="AE18" s="89" t="n">
        <f aca="false">Rathkeale!D29</f>
        <v>0.310276701040081</v>
      </c>
      <c r="AF18" s="89" t="n">
        <f aca="false">Rathkeale!E29</f>
        <v>0.186995546413275</v>
      </c>
      <c r="AG18" s="89" t="n">
        <f aca="false">Rathkeale!F29</f>
        <v>0.261495442014109</v>
      </c>
      <c r="AH18" s="88" t="n">
        <f aca="false">Rathkeale!G29+Rathkeale!H29</f>
        <v>0.756618207211783</v>
      </c>
      <c r="AI18" s="88" t="n">
        <f aca="false">Rathkeale!I29+Rathkeale!J29</f>
        <v>0.143381792788217</v>
      </c>
      <c r="AJ18" s="88" t="n">
        <f aca="false">SUM(Rathkeale!K29:O29)</f>
        <v>0.1</v>
      </c>
    </row>
    <row r="19" customFormat="false" ht="15" hidden="false" customHeight="false" outlineLevel="0" collapsed="false">
      <c r="A19" s="0" t="s">
        <v>189</v>
      </c>
      <c r="B19" s="88" t="s">
        <v>189</v>
      </c>
      <c r="C19" s="71" t="n">
        <f aca="false">Adare!B13</f>
        <v>39.770500979569</v>
      </c>
      <c r="D19" s="71" t="n">
        <f aca="false">Adare!B14</f>
        <v>39.770500979569</v>
      </c>
      <c r="E19" s="71" t="n">
        <f aca="false">Adare!B15</f>
        <v>39.770500979569</v>
      </c>
      <c r="F19" s="71" t="n">
        <f aca="false">Adare!B16</f>
        <v>39.770500979569</v>
      </c>
      <c r="G19" s="71" t="n">
        <f aca="false">Adare!B17</f>
        <v>39.770500979569</v>
      </c>
      <c r="H19" s="71" t="n">
        <f aca="false">Adare!B18</f>
        <v>20.2257673290419</v>
      </c>
      <c r="I19" s="71" t="n">
        <f aca="false">Adare!B19</f>
        <v>20.2257673290419</v>
      </c>
      <c r="J19" s="71" t="n">
        <f aca="false">Adare!B20</f>
        <v>20.2257673290419</v>
      </c>
      <c r="K19" s="71" t="n">
        <f aca="false">Adare!B21</f>
        <v>20.2257673290419</v>
      </c>
      <c r="L19" s="71" t="n">
        <f aca="false">Adare!B22</f>
        <v>19.5447336505271</v>
      </c>
      <c r="M19" s="71" t="n">
        <f aca="false">Adare!B23</f>
        <v>14.805485586342</v>
      </c>
      <c r="N19" s="71" t="n">
        <f aca="false">Adare!B24</f>
        <v>14.6842056161955</v>
      </c>
      <c r="O19" s="71" t="n">
        <f aca="false">Adare!B25</f>
        <v>14.5069502752122</v>
      </c>
      <c r="P19" s="71" t="n">
        <f aca="false">Adare!B26</f>
        <v>14.376341076593</v>
      </c>
      <c r="Q19" s="71" t="n">
        <f aca="false">Adare!B27</f>
        <v>14.2270734210281</v>
      </c>
      <c r="R19" s="0" t="n">
        <v>0</v>
      </c>
      <c r="S19" s="0" t="n">
        <v>15</v>
      </c>
      <c r="T19" s="0" t="n">
        <v>211</v>
      </c>
      <c r="U19" s="0" t="n">
        <v>0</v>
      </c>
      <c r="V19" s="0" t="n">
        <v>0</v>
      </c>
      <c r="W19" s="0" t="n">
        <v>0</v>
      </c>
      <c r="X19" s="0" t="n">
        <v>1.2</v>
      </c>
      <c r="Y19" s="0" t="n">
        <v>10.7</v>
      </c>
      <c r="Z19" s="0" t="n">
        <v>92.1</v>
      </c>
      <c r="AA19" s="0" t="n">
        <v>99.8</v>
      </c>
      <c r="AB19" s="0" t="n">
        <v>22.2</v>
      </c>
      <c r="AC19" s="0" t="n">
        <v>0</v>
      </c>
      <c r="AD19" s="89" t="n">
        <f aca="false">Adare!C29</f>
        <v>0.241232310532536</v>
      </c>
      <c r="AE19" s="89" t="n">
        <f aca="false">Adare!D29</f>
        <v>0.310276701040081</v>
      </c>
      <c r="AF19" s="89" t="n">
        <f aca="false">Adare!E29</f>
        <v>0.186995546413275</v>
      </c>
      <c r="AG19" s="89" t="n">
        <f aca="false">Adare!F29</f>
        <v>0.261495442014108</v>
      </c>
      <c r="AH19" s="88" t="n">
        <f aca="false">Adare!G29+Adare!H29</f>
        <v>0.756618207211783</v>
      </c>
      <c r="AI19" s="88" t="n">
        <f aca="false">Adare!I29+Adare!J29</f>
        <v>0.143381792788217</v>
      </c>
      <c r="AJ19" s="88" t="n">
        <f aca="false">SUM(Adare!K29:O29)</f>
        <v>0.1</v>
      </c>
    </row>
    <row r="20" customFormat="false" ht="15" hidden="false" customHeight="false" outlineLevel="0" collapsed="false">
      <c r="A20" s="0" t="s">
        <v>192</v>
      </c>
      <c r="B20" s="88" t="s">
        <v>192</v>
      </c>
      <c r="C20" s="71" t="n">
        <f aca="false">Askeaton!B13</f>
        <v>32.4129582983487</v>
      </c>
      <c r="D20" s="71" t="n">
        <f aca="false">Askeaton!B14</f>
        <v>32.4129582983487</v>
      </c>
      <c r="E20" s="71" t="n">
        <f aca="false">Askeaton!B15</f>
        <v>32.4129582983487</v>
      </c>
      <c r="F20" s="71" t="n">
        <f aca="false">Askeaton!B16</f>
        <v>32.4129582983487</v>
      </c>
      <c r="G20" s="71" t="n">
        <f aca="false">Askeaton!B17</f>
        <v>32.4129582983487</v>
      </c>
      <c r="H20" s="71" t="n">
        <f aca="false">Askeaton!B18</f>
        <v>16.4840003731691</v>
      </c>
      <c r="I20" s="71" t="n">
        <f aca="false">Askeaton!B19</f>
        <v>16.4840003731691</v>
      </c>
      <c r="J20" s="71" t="n">
        <f aca="false">Askeaton!B20</f>
        <v>16.4840003731691</v>
      </c>
      <c r="K20" s="71" t="n">
        <f aca="false">Askeaton!B21</f>
        <v>16.4840003731691</v>
      </c>
      <c r="L20" s="71" t="n">
        <f aca="false">Askeaton!B22</f>
        <v>15.9289579251796</v>
      </c>
      <c r="M20" s="71" t="n">
        <f aca="false">Askeaton!B23</f>
        <v>12.0664707528687</v>
      </c>
      <c r="N20" s="71" t="n">
        <f aca="false">Askeaton!B24</f>
        <v>11.9676275771994</v>
      </c>
      <c r="O20" s="71" t="n">
        <f aca="false">Askeaton!B25</f>
        <v>11.823164474298</v>
      </c>
      <c r="P20" s="71" t="n">
        <f aca="false">Askeaton!B26</f>
        <v>11.7167179774233</v>
      </c>
      <c r="Q20" s="71" t="n">
        <f aca="false">Askeaton!B27</f>
        <v>11.5950648381379</v>
      </c>
      <c r="R20" s="0" t="n">
        <v>0</v>
      </c>
      <c r="S20" s="0" t="n">
        <v>0</v>
      </c>
      <c r="T20" s="0" t="n">
        <v>0</v>
      </c>
      <c r="U20" s="0" t="n">
        <v>0</v>
      </c>
      <c r="V20" s="0" t="n">
        <v>0</v>
      </c>
      <c r="W20" s="0" t="n">
        <v>0</v>
      </c>
      <c r="X20" s="0" t="n">
        <v>0</v>
      </c>
      <c r="Y20" s="0" t="n">
        <v>0</v>
      </c>
      <c r="Z20" s="0" t="n">
        <v>0</v>
      </c>
      <c r="AA20" s="0" t="n">
        <v>0</v>
      </c>
      <c r="AB20" s="0" t="n">
        <v>0</v>
      </c>
      <c r="AC20" s="0" t="n">
        <v>0</v>
      </c>
      <c r="AD20" s="89" t="n">
        <f aca="false">Askeaton!C29</f>
        <v>0.241232310532536</v>
      </c>
      <c r="AE20" s="89" t="n">
        <f aca="false">Askeaton!D29</f>
        <v>0.310276701040081</v>
      </c>
      <c r="AF20" s="89" t="n">
        <f aca="false">Askeaton!E29</f>
        <v>0.186995546413275</v>
      </c>
      <c r="AG20" s="89" t="n">
        <f aca="false">Askeaton!F29</f>
        <v>0.261495442014109</v>
      </c>
      <c r="AH20" s="88" t="n">
        <f aca="false">Askeaton!G29+Askeaton!H29</f>
        <v>0.756618207211783</v>
      </c>
      <c r="AI20" s="88" t="n">
        <f aca="false">Askeaton!I29+Askeaton!J29</f>
        <v>0.143381792788217</v>
      </c>
      <c r="AJ20" s="88" t="n">
        <f aca="false">SUM(Askeaton!K29:O29)</f>
        <v>0.1</v>
      </c>
    </row>
    <row r="21" customFormat="false" ht="15" hidden="false" customHeight="false" outlineLevel="0" collapsed="false">
      <c r="A21" s="0" t="s">
        <v>194</v>
      </c>
      <c r="B21" s="88" t="s">
        <v>194</v>
      </c>
      <c r="C21" s="71" t="n">
        <f aca="false">Bruff!B13</f>
        <v>22.6691855583543</v>
      </c>
      <c r="D21" s="71" t="n">
        <f aca="false">Bruff!B14</f>
        <v>22.6691855583543</v>
      </c>
      <c r="E21" s="71" t="n">
        <f aca="false">Bruff!B15</f>
        <v>22.6691855583543</v>
      </c>
      <c r="F21" s="71" t="n">
        <f aca="false">Bruff!B16</f>
        <v>22.6691855583543</v>
      </c>
      <c r="G21" s="71" t="n">
        <f aca="false">Bruff!B17</f>
        <v>22.6691855583543</v>
      </c>
      <c r="H21" s="71" t="n">
        <f aca="false">Bruff!B18</f>
        <v>11.5286873775539</v>
      </c>
      <c r="I21" s="71" t="n">
        <f aca="false">Bruff!B19</f>
        <v>11.5286873775539</v>
      </c>
      <c r="J21" s="71" t="n">
        <f aca="false">Bruff!B20</f>
        <v>11.5286873775539</v>
      </c>
      <c r="K21" s="71" t="n">
        <f aca="false">Bruff!B21</f>
        <v>11.5286873775539</v>
      </c>
      <c r="L21" s="71" t="n">
        <f aca="false">Bruff!B22</f>
        <v>11.1404981808004</v>
      </c>
      <c r="M21" s="71" t="n">
        <f aca="false">Bruff!B23</f>
        <v>8.43912678421495</v>
      </c>
      <c r="N21" s="71" t="n">
        <f aca="false">Bruff!B24</f>
        <v>8.36999720123146</v>
      </c>
      <c r="O21" s="71" t="n">
        <f aca="false">Bruff!B25</f>
        <v>8.26896165687098</v>
      </c>
      <c r="P21" s="71" t="n">
        <f aca="false">Bruff!B26</f>
        <v>8.19451441365799</v>
      </c>
      <c r="Q21" s="71" t="n">
        <f aca="false">Bruff!B27</f>
        <v>8.10943184998601</v>
      </c>
      <c r="R21" s="0" t="n">
        <v>2</v>
      </c>
      <c r="S21" s="0" t="n">
        <v>18</v>
      </c>
      <c r="T21" s="0" t="n">
        <v>82</v>
      </c>
      <c r="U21" s="0" t="n">
        <v>0</v>
      </c>
      <c r="V21" s="0" t="n">
        <v>0</v>
      </c>
      <c r="W21" s="0" t="n">
        <v>0</v>
      </c>
      <c r="X21" s="0" t="n">
        <v>0</v>
      </c>
      <c r="Y21" s="0" t="n">
        <v>10.2</v>
      </c>
      <c r="Z21" s="0" t="n">
        <v>36.7</v>
      </c>
      <c r="AA21" s="0" t="n">
        <v>53.1</v>
      </c>
      <c r="AB21" s="0" t="n">
        <v>0</v>
      </c>
      <c r="AC21" s="0" t="n">
        <v>0</v>
      </c>
      <c r="AD21" s="89" t="n">
        <f aca="false">Bruff!C29</f>
        <v>0.241232310532536</v>
      </c>
      <c r="AE21" s="89" t="n">
        <f aca="false">Bruff!D29</f>
        <v>0.310276701040081</v>
      </c>
      <c r="AF21" s="89" t="n">
        <f aca="false">Bruff!E29</f>
        <v>0.186995546413275</v>
      </c>
      <c r="AG21" s="89" t="n">
        <f aca="false">Bruff!F29</f>
        <v>0.261495442014109</v>
      </c>
      <c r="AH21" s="88" t="n">
        <f aca="false">Bruff!G29+Bruff!H29</f>
        <v>0.756618207211783</v>
      </c>
      <c r="AI21" s="88" t="n">
        <f aca="false">Bruff!I29+Bruff!J29</f>
        <v>0.143381792788217</v>
      </c>
      <c r="AJ21" s="88" t="n">
        <f aca="false">SUM(Bruff!K29:O29)</f>
        <v>0.1</v>
      </c>
    </row>
    <row r="22" customFormat="false" ht="15" hidden="false" customHeight="false" outlineLevel="0" collapsed="false">
      <c r="A22" s="0" t="s">
        <v>196</v>
      </c>
      <c r="B22" s="88" t="s">
        <v>196</v>
      </c>
      <c r="C22" s="71" t="n">
        <f aca="false">Cappamore!B13</f>
        <v>17.6978729359082</v>
      </c>
      <c r="D22" s="71" t="n">
        <f aca="false">Cappamore!B14</f>
        <v>17.6978729359082</v>
      </c>
      <c r="E22" s="71" t="n">
        <f aca="false">Cappamore!B15</f>
        <v>17.6978729359082</v>
      </c>
      <c r="F22" s="71" t="n">
        <f aca="false">Cappamore!B16</f>
        <v>17.6978729359082</v>
      </c>
      <c r="G22" s="71" t="n">
        <f aca="false">Cappamore!B17</f>
        <v>17.6978729359082</v>
      </c>
      <c r="H22" s="71" t="n">
        <f aca="false">Cappamore!B18</f>
        <v>9.00046646142364</v>
      </c>
      <c r="I22" s="71" t="n">
        <f aca="false">Cappamore!B19</f>
        <v>9.00046646142364</v>
      </c>
      <c r="J22" s="71" t="n">
        <f aca="false">Cappamore!B20</f>
        <v>9.00046646142364</v>
      </c>
      <c r="K22" s="71" t="n">
        <f aca="false">Cappamore!B21</f>
        <v>9.00046646142364</v>
      </c>
      <c r="L22" s="71" t="n">
        <f aca="false">Cappamore!B22</f>
        <v>8.69740647448456</v>
      </c>
      <c r="M22" s="71" t="n">
        <f aca="false">Cappamore!B23</f>
        <v>6.5884410859222</v>
      </c>
      <c r="N22" s="71" t="n">
        <f aca="false">Cappamore!B24</f>
        <v>6.53447149920702</v>
      </c>
      <c r="O22" s="71" t="n">
        <f aca="false">Cappamore!B25</f>
        <v>6.45559287246945</v>
      </c>
      <c r="P22" s="71" t="n">
        <f aca="false">Cappamore!B26</f>
        <v>6.39747177908387</v>
      </c>
      <c r="Q22" s="71" t="n">
        <f aca="false">Cappamore!B27</f>
        <v>6.3310476723575</v>
      </c>
      <c r="R22" s="0" t="n">
        <v>27</v>
      </c>
      <c r="S22" s="0" t="n">
        <v>22</v>
      </c>
      <c r="T22" s="0" t="n">
        <v>7</v>
      </c>
      <c r="U22" s="0" t="n">
        <v>0</v>
      </c>
      <c r="V22" s="0" t="n">
        <v>0</v>
      </c>
      <c r="W22" s="0" t="n">
        <v>0</v>
      </c>
      <c r="X22" s="0" t="n">
        <v>3.1</v>
      </c>
      <c r="Y22" s="0" t="n">
        <v>13.5</v>
      </c>
      <c r="Z22" s="0" t="n">
        <v>9.8</v>
      </c>
      <c r="AA22" s="0" t="n">
        <v>2.6</v>
      </c>
      <c r="AB22" s="0" t="n">
        <v>0</v>
      </c>
      <c r="AC22" s="0" t="n">
        <v>0</v>
      </c>
      <c r="AD22" s="89" t="n">
        <f aca="false">Cappamore!C29</f>
        <v>0.241232310532536</v>
      </c>
      <c r="AE22" s="89" t="n">
        <f aca="false">Cappamore!D29</f>
        <v>0.310276701040081</v>
      </c>
      <c r="AF22" s="89" t="n">
        <f aca="false">Cappamore!E29</f>
        <v>0.186995546413276</v>
      </c>
      <c r="AG22" s="89" t="n">
        <f aca="false">Cappamore!F29</f>
        <v>0.261495442014109</v>
      </c>
      <c r="AH22" s="88" t="n">
        <f aca="false">Cappamore!G29+Cappamore!H29</f>
        <v>0.756618207211783</v>
      </c>
      <c r="AI22" s="88" t="n">
        <f aca="false">Cappamore!I29+Cappamore!J29</f>
        <v>0.143381792788217</v>
      </c>
      <c r="AJ22" s="88" t="n">
        <f aca="false">SUM(Cappamore!K29:O29)</f>
        <v>0.1</v>
      </c>
    </row>
    <row r="23" customFormat="false" ht="15" hidden="false" customHeight="false" outlineLevel="0" collapsed="false">
      <c r="A23" s="0" t="s">
        <v>198</v>
      </c>
      <c r="B23" s="88" t="s">
        <v>198</v>
      </c>
      <c r="C23" s="71" t="n">
        <f aca="false">Croom!B13</f>
        <v>28.4359082003918</v>
      </c>
      <c r="D23" s="71" t="n">
        <f aca="false">Croom!B14</f>
        <v>28.4359082003918</v>
      </c>
      <c r="E23" s="71" t="n">
        <f aca="false">Croom!B15</f>
        <v>28.4359082003918</v>
      </c>
      <c r="F23" s="71" t="n">
        <f aca="false">Croom!B16</f>
        <v>28.4359082003918</v>
      </c>
      <c r="G23" s="71" t="n">
        <f aca="false">Croom!B17</f>
        <v>28.4359082003918</v>
      </c>
      <c r="H23" s="71" t="n">
        <f aca="false">Croom!B18</f>
        <v>14.461423640265</v>
      </c>
      <c r="I23" s="71" t="n">
        <f aca="false">Croom!B19</f>
        <v>14.461423640265</v>
      </c>
      <c r="J23" s="71" t="n">
        <f aca="false">Croom!B20</f>
        <v>14.461423640265</v>
      </c>
      <c r="K23" s="71" t="n">
        <f aca="false">Croom!B21</f>
        <v>14.461423640265</v>
      </c>
      <c r="L23" s="71" t="n">
        <f aca="false">Croom!B22</f>
        <v>13.9744845601269</v>
      </c>
      <c r="M23" s="71" t="n">
        <f aca="false">Croom!B23</f>
        <v>10.5859221942345</v>
      </c>
      <c r="N23" s="71" t="n">
        <f aca="false">Croom!B24</f>
        <v>10.4992070155798</v>
      </c>
      <c r="O23" s="71" t="n">
        <f aca="false">Croom!B25</f>
        <v>10.3724694467768</v>
      </c>
      <c r="P23" s="71" t="n">
        <f aca="false">Croom!B26</f>
        <v>10.279083869764</v>
      </c>
      <c r="Q23" s="71" t="n">
        <f aca="false">Croom!B27</f>
        <v>10.1723574960351</v>
      </c>
      <c r="R23" s="0" t="n">
        <v>16</v>
      </c>
      <c r="S23" s="0" t="n">
        <v>0</v>
      </c>
      <c r="T23" s="0" t="n">
        <v>121</v>
      </c>
      <c r="U23" s="0" t="n">
        <v>0</v>
      </c>
      <c r="V23" s="0" t="n">
        <v>0</v>
      </c>
      <c r="W23" s="0" t="n">
        <v>0</v>
      </c>
      <c r="X23" s="0" t="n">
        <v>0</v>
      </c>
      <c r="Y23" s="0" t="n">
        <v>0</v>
      </c>
      <c r="Z23" s="0" t="n">
        <v>85.7</v>
      </c>
      <c r="AA23" s="0" t="n">
        <v>35.3</v>
      </c>
      <c r="AB23" s="0" t="n">
        <v>0</v>
      </c>
      <c r="AC23" s="0" t="n">
        <v>0</v>
      </c>
      <c r="AD23" s="89" t="n">
        <f aca="false">Croom!C29</f>
        <v>0.241232310532536</v>
      </c>
      <c r="AE23" s="89" t="n">
        <f aca="false">Croom!D29</f>
        <v>0.310276701040081</v>
      </c>
      <c r="AF23" s="89" t="n">
        <f aca="false">Croom!E29</f>
        <v>0.186995546413276</v>
      </c>
      <c r="AG23" s="89" t="n">
        <f aca="false">Croom!F29</f>
        <v>0.261495442014109</v>
      </c>
      <c r="AH23" s="88" t="n">
        <f aca="false">Croom!G29+Croom!H29</f>
        <v>0.756618207211783</v>
      </c>
      <c r="AI23" s="88" t="n">
        <f aca="false">Croom!I29+Croom!J29</f>
        <v>0.143381792788217</v>
      </c>
      <c r="AJ23" s="88" t="n">
        <f aca="false">SUM(Croom!K29:O29)</f>
        <v>0.1</v>
      </c>
    </row>
    <row r="24" customFormat="false" ht="15" hidden="false" customHeight="false" outlineLevel="0" collapsed="false">
      <c r="A24" s="0" t="s">
        <v>200</v>
      </c>
      <c r="B24" s="88" t="s">
        <v>200</v>
      </c>
      <c r="C24" s="71" t="n">
        <f aca="false">Hospital!B13</f>
        <v>17.4990204310104</v>
      </c>
      <c r="D24" s="71" t="n">
        <f aca="false">Hospital!B14</f>
        <v>17.4990204310104</v>
      </c>
      <c r="E24" s="71" t="n">
        <f aca="false">Hospital!B15</f>
        <v>17.4990204310104</v>
      </c>
      <c r="F24" s="71" t="n">
        <f aca="false">Hospital!B16</f>
        <v>17.4990204310104</v>
      </c>
      <c r="G24" s="71" t="n">
        <f aca="false">Hospital!B17</f>
        <v>17.4990204310104</v>
      </c>
      <c r="H24" s="71" t="n">
        <f aca="false">Hospital!B18</f>
        <v>8.89933762477843</v>
      </c>
      <c r="I24" s="71" t="n">
        <f aca="false">Hospital!B19</f>
        <v>8.89933762477843</v>
      </c>
      <c r="J24" s="71" t="n">
        <f aca="false">Hospital!B20</f>
        <v>8.89933762477843</v>
      </c>
      <c r="K24" s="71" t="n">
        <f aca="false">Hospital!B21</f>
        <v>8.89933762477843</v>
      </c>
      <c r="L24" s="71" t="n">
        <f aca="false">Hospital!B22</f>
        <v>8.59968280623193</v>
      </c>
      <c r="M24" s="71" t="n">
        <f aca="false">Hospital!B23</f>
        <v>6.51441365799048</v>
      </c>
      <c r="N24" s="71" t="n">
        <f aca="false">Hospital!B24</f>
        <v>6.46105047112604</v>
      </c>
      <c r="O24" s="71" t="n">
        <f aca="false">Hospital!B25</f>
        <v>6.38305812109339</v>
      </c>
      <c r="P24" s="71" t="n">
        <f aca="false">Hospital!B26</f>
        <v>6.32559007370091</v>
      </c>
      <c r="Q24" s="71" t="n">
        <f aca="false">Hospital!B27</f>
        <v>6.25991230525236</v>
      </c>
      <c r="R24" s="0" t="n">
        <v>20</v>
      </c>
      <c r="S24" s="0" t="n">
        <v>0</v>
      </c>
      <c r="T24" s="0" t="n">
        <v>0</v>
      </c>
      <c r="U24" s="0" t="n">
        <v>0</v>
      </c>
      <c r="V24" s="0" t="n">
        <v>0</v>
      </c>
      <c r="W24" s="0" t="n">
        <v>0</v>
      </c>
      <c r="X24" s="0" t="n">
        <v>0</v>
      </c>
      <c r="Y24" s="0" t="n">
        <v>0</v>
      </c>
      <c r="Z24" s="0" t="n">
        <v>0</v>
      </c>
      <c r="AA24" s="0" t="n">
        <v>0</v>
      </c>
      <c r="AB24" s="0" t="n">
        <v>0</v>
      </c>
      <c r="AC24" s="0" t="n">
        <v>0</v>
      </c>
      <c r="AD24" s="89" t="n">
        <f aca="false">Hospital!C29</f>
        <v>0.241232310532536</v>
      </c>
      <c r="AE24" s="89" t="n">
        <f aca="false">Hospital!D29</f>
        <v>0.310276701040081</v>
      </c>
      <c r="AF24" s="89" t="n">
        <f aca="false">Hospital!E29</f>
        <v>0.186995546413275</v>
      </c>
      <c r="AG24" s="89" t="n">
        <f aca="false">Hospital!F29</f>
        <v>0.261495442014109</v>
      </c>
      <c r="AH24" s="88" t="n">
        <f aca="false">Hospital!G29+Hospital!H29</f>
        <v>0.756618207211783</v>
      </c>
      <c r="AI24" s="88" t="n">
        <f aca="false">Hospital!I29+Hospital!J29</f>
        <v>0.143381792788217</v>
      </c>
      <c r="AJ24" s="88" t="n">
        <f aca="false">SUM(Hospital!K29:O29)</f>
        <v>0.1</v>
      </c>
    </row>
    <row r="25" customFormat="false" ht="15" hidden="false" customHeight="false" outlineLevel="0" collapsed="false">
      <c r="A25" s="0" t="s">
        <v>202</v>
      </c>
      <c r="B25" s="88" t="s">
        <v>202</v>
      </c>
      <c r="C25" s="71" t="n">
        <f aca="false">Kilfinnane!B13</f>
        <v>22.2714805485586</v>
      </c>
      <c r="D25" s="71" t="n">
        <f aca="false">Kilfinnane!B14</f>
        <v>22.2714805485586</v>
      </c>
      <c r="E25" s="71" t="n">
        <f aca="false">Kilfinnane!B15</f>
        <v>22.2714805485586</v>
      </c>
      <c r="F25" s="71" t="n">
        <f aca="false">Kilfinnane!B16</f>
        <v>22.2714805485586</v>
      </c>
      <c r="G25" s="71" t="n">
        <f aca="false">Kilfinnane!B17</f>
        <v>22.2714805485586</v>
      </c>
      <c r="H25" s="71" t="n">
        <f aca="false">Kilfinnane!B18</f>
        <v>11.3264297042635</v>
      </c>
      <c r="I25" s="71" t="n">
        <f aca="false">Kilfinnane!B19</f>
        <v>11.3264297042635</v>
      </c>
      <c r="J25" s="71" t="n">
        <f aca="false">Kilfinnane!B20</f>
        <v>11.3264297042635</v>
      </c>
      <c r="K25" s="71" t="n">
        <f aca="false">Kilfinnane!B21</f>
        <v>11.3264297042635</v>
      </c>
      <c r="L25" s="71" t="n">
        <f aca="false">Kilfinnane!B22</f>
        <v>10.9450508442952</v>
      </c>
      <c r="M25" s="71" t="n">
        <f aca="false">Kilfinnane!B23</f>
        <v>8.29107192835153</v>
      </c>
      <c r="N25" s="71" t="n">
        <f aca="false">Kilfinnane!B24</f>
        <v>8.2231551450695</v>
      </c>
      <c r="O25" s="71" t="n">
        <f aca="false">Kilfinnane!B25</f>
        <v>8.12389215411885</v>
      </c>
      <c r="P25" s="71" t="n">
        <f aca="false">Kilfinnane!B26</f>
        <v>8.05075100289206</v>
      </c>
      <c r="Q25" s="71" t="n">
        <f aca="false">Kilfinnane!B27</f>
        <v>7.96716111577573</v>
      </c>
      <c r="R25" s="0" t="n">
        <v>19</v>
      </c>
      <c r="S25" s="0" t="n">
        <v>14</v>
      </c>
      <c r="T25" s="0" t="n">
        <v>0</v>
      </c>
      <c r="U25" s="0" t="n">
        <v>0</v>
      </c>
      <c r="V25" s="0" t="n">
        <v>0</v>
      </c>
      <c r="W25" s="0" t="n">
        <v>0</v>
      </c>
      <c r="X25" s="0" t="n">
        <v>3.3</v>
      </c>
      <c r="Y25" s="0" t="n">
        <v>10.7</v>
      </c>
      <c r="Z25" s="0" t="n">
        <v>0</v>
      </c>
      <c r="AA25" s="0" t="n">
        <v>0</v>
      </c>
      <c r="AB25" s="0" t="n">
        <v>0</v>
      </c>
      <c r="AC25" s="0" t="n">
        <v>0</v>
      </c>
      <c r="AD25" s="89" t="n">
        <f aca="false">Kilfinnane!C29</f>
        <v>0.241232310532536</v>
      </c>
      <c r="AE25" s="89" t="n">
        <f aca="false">Kilfinnane!D29</f>
        <v>0.310276701040081</v>
      </c>
      <c r="AF25" s="89" t="n">
        <f aca="false">Kilfinnane!E29</f>
        <v>0.186995546413275</v>
      </c>
      <c r="AG25" s="89" t="n">
        <f aca="false">Kilfinnane!F29</f>
        <v>0.261495442014109</v>
      </c>
      <c r="AH25" s="88" t="n">
        <f aca="false">Kilfinnane!G29+Kilfinnane!H29</f>
        <v>0.756618207211783</v>
      </c>
      <c r="AI25" s="88" t="n">
        <f aca="false">Kilfinnane!I29+Kilfinnane!J29</f>
        <v>0.143381792788217</v>
      </c>
      <c r="AJ25" s="88" t="n">
        <f aca="false">SUM(Kilfinnane!K29:O29)</f>
        <v>0.1</v>
      </c>
    </row>
    <row r="26" customFormat="false" ht="15" hidden="false" customHeight="false" outlineLevel="0" collapsed="false">
      <c r="A26" s="0" t="s">
        <v>204</v>
      </c>
      <c r="B26" s="88" t="s">
        <v>204</v>
      </c>
      <c r="C26" s="71" t="n">
        <f aca="false">Moroe!B13</f>
        <v>32.015253288553</v>
      </c>
      <c r="D26" s="71" t="n">
        <f aca="false">Moroe!B14</f>
        <v>32.015253288553</v>
      </c>
      <c r="E26" s="71" t="n">
        <f aca="false">Moroe!B15</f>
        <v>32.015253288553</v>
      </c>
      <c r="F26" s="71" t="n">
        <f aca="false">Moroe!B16</f>
        <v>32.015253288553</v>
      </c>
      <c r="G26" s="71" t="n">
        <f aca="false">Moroe!B17</f>
        <v>32.015253288553</v>
      </c>
      <c r="H26" s="71" t="n">
        <f aca="false">Moroe!B18</f>
        <v>16.2817426998787</v>
      </c>
      <c r="I26" s="71" t="n">
        <f aca="false">Moroe!B19</f>
        <v>16.2817426998787</v>
      </c>
      <c r="J26" s="71" t="n">
        <f aca="false">Moroe!B20</f>
        <v>16.2817426998787</v>
      </c>
      <c r="K26" s="71" t="n">
        <f aca="false">Moroe!B21</f>
        <v>16.2817426998787</v>
      </c>
      <c r="L26" s="71" t="n">
        <f aca="false">Moroe!B22</f>
        <v>15.7335105886743</v>
      </c>
      <c r="M26" s="71" t="n">
        <f aca="false">Moroe!B23</f>
        <v>11.9184158970053</v>
      </c>
      <c r="N26" s="71" t="n">
        <f aca="false">Moroe!B24</f>
        <v>11.8207855210374</v>
      </c>
      <c r="O26" s="71" t="n">
        <f aca="false">Moroe!B25</f>
        <v>11.6780949715459</v>
      </c>
      <c r="P26" s="71" t="n">
        <f aca="false">Moroe!B26</f>
        <v>11.5729545666573</v>
      </c>
      <c r="Q26" s="71" t="n">
        <f aca="false">Moroe!B27</f>
        <v>11.4527941039276</v>
      </c>
      <c r="R26" s="0" t="n">
        <v>0</v>
      </c>
      <c r="S26" s="0" t="n">
        <v>4</v>
      </c>
      <c r="T26" s="0" t="n">
        <v>0</v>
      </c>
      <c r="U26" s="0" t="n">
        <v>32</v>
      </c>
      <c r="V26" s="0" t="n">
        <v>0</v>
      </c>
      <c r="W26" s="0" t="n">
        <v>0</v>
      </c>
      <c r="X26" s="0" t="n">
        <v>0</v>
      </c>
      <c r="Y26" s="0" t="n">
        <v>3.7</v>
      </c>
      <c r="Z26" s="0" t="n">
        <v>0.3</v>
      </c>
      <c r="AA26" s="0" t="n">
        <v>0</v>
      </c>
      <c r="AB26" s="0" t="n">
        <v>0</v>
      </c>
      <c r="AC26" s="0" t="n">
        <v>0</v>
      </c>
      <c r="AD26" s="89" t="n">
        <f aca="false">Moroe!C29</f>
        <v>0.241232310532536</v>
      </c>
      <c r="AE26" s="89" t="n">
        <f aca="false">Moroe!D29</f>
        <v>0.310276701040081</v>
      </c>
      <c r="AF26" s="89" t="n">
        <f aca="false">Moroe!E29</f>
        <v>0.186995546413275</v>
      </c>
      <c r="AG26" s="89" t="n">
        <f aca="false">Moroe!F29</f>
        <v>0.261495442014109</v>
      </c>
      <c r="AH26" s="88" t="n">
        <f aca="false">Moroe!G29+Moroe!H29</f>
        <v>0.756618207211783</v>
      </c>
      <c r="AI26" s="88" t="n">
        <f aca="false">Moroe!I29+Moroe!J29</f>
        <v>0.143381792788217</v>
      </c>
      <c r="AJ26" s="88" t="n">
        <f aca="false">SUM(Moroe!K29:O29)</f>
        <v>0.1</v>
      </c>
    </row>
    <row r="27" customFormat="false" ht="15" hidden="false" customHeight="false" outlineLevel="0" collapsed="false">
      <c r="A27" s="0" t="s">
        <v>206</v>
      </c>
      <c r="B27" s="88" t="s">
        <v>206</v>
      </c>
      <c r="C27" s="71" t="n">
        <f aca="false">Patrickswell!B13</f>
        <v>79.541001959138</v>
      </c>
      <c r="D27" s="71" t="n">
        <f aca="false">Patrickswell!B14</f>
        <v>79.541001959138</v>
      </c>
      <c r="E27" s="71" t="n">
        <f aca="false">Patrickswell!B15</f>
        <v>79.541001959138</v>
      </c>
      <c r="F27" s="71" t="n">
        <f aca="false">Patrickswell!B16</f>
        <v>79.541001959138</v>
      </c>
      <c r="G27" s="71" t="n">
        <f aca="false">Patrickswell!B17</f>
        <v>79.541001959138</v>
      </c>
      <c r="H27" s="71" t="n">
        <f aca="false">Patrickswell!B18</f>
        <v>40.4515346580838</v>
      </c>
      <c r="I27" s="71" t="n">
        <f aca="false">Patrickswell!B19</f>
        <v>40.4515346580838</v>
      </c>
      <c r="J27" s="71" t="n">
        <f aca="false">Patrickswell!B20</f>
        <v>40.4515346580838</v>
      </c>
      <c r="K27" s="71" t="n">
        <f aca="false">Patrickswell!B21</f>
        <v>40.4515346580838</v>
      </c>
      <c r="L27" s="71" t="n">
        <f aca="false">Patrickswell!B22</f>
        <v>39.0894673010542</v>
      </c>
      <c r="M27" s="71" t="n">
        <f aca="false">Patrickswell!B23</f>
        <v>29.610971172684</v>
      </c>
      <c r="N27" s="71" t="n">
        <f aca="false">Patrickswell!B24</f>
        <v>29.3684112323911</v>
      </c>
      <c r="O27" s="71" t="n">
        <f aca="false">Patrickswell!B25</f>
        <v>29.0139005504245</v>
      </c>
      <c r="P27" s="71" t="n">
        <f aca="false">Patrickswell!B26</f>
        <v>28.7526821531859</v>
      </c>
      <c r="Q27" s="71" t="n">
        <f aca="false">Patrickswell!B27</f>
        <v>28.4541468420562</v>
      </c>
      <c r="R27" s="0" t="n">
        <v>79</v>
      </c>
      <c r="S27" s="0" t="n">
        <v>257</v>
      </c>
      <c r="T27" s="0" t="n">
        <v>134</v>
      </c>
      <c r="U27" s="0" t="n">
        <v>40</v>
      </c>
      <c r="V27" s="0" t="n">
        <v>49</v>
      </c>
      <c r="W27" s="0" t="n">
        <v>0</v>
      </c>
      <c r="X27" s="0" t="n">
        <v>36.1</v>
      </c>
      <c r="Y27" s="0" t="n">
        <v>149</v>
      </c>
      <c r="Z27" s="0" t="n">
        <v>133.4</v>
      </c>
      <c r="AA27" s="0" t="n">
        <v>67.5</v>
      </c>
      <c r="AB27" s="0" t="n">
        <v>5</v>
      </c>
      <c r="AC27" s="0" t="n">
        <v>0</v>
      </c>
      <c r="AD27" s="89" t="n">
        <f aca="false">Patrickswell!C29</f>
        <v>0.241232310532536</v>
      </c>
      <c r="AE27" s="89" t="n">
        <f aca="false">Patrickswell!D29</f>
        <v>0.310276701040081</v>
      </c>
      <c r="AF27" s="89" t="n">
        <f aca="false">Patrickswell!E29</f>
        <v>0.186995546413275</v>
      </c>
      <c r="AG27" s="89" t="n">
        <f aca="false">Patrickswell!F29</f>
        <v>0.261495442014108</v>
      </c>
      <c r="AH27" s="88" t="n">
        <f aca="false">Patrickswell!G29+Patrickswell!H29</f>
        <v>0.756618207211783</v>
      </c>
      <c r="AI27" s="88" t="n">
        <f aca="false">Patrickswell!I29+Patrickswell!J29</f>
        <v>0.143381792788217</v>
      </c>
      <c r="AJ27" s="88" t="n">
        <f aca="false">SUM(Patrickswell!K29:O29)</f>
        <v>0.1</v>
      </c>
    </row>
    <row r="28" customFormat="false" ht="15" hidden="false" customHeight="false" outlineLevel="0" collapsed="false">
      <c r="A28" s="0" t="s">
        <v>208</v>
      </c>
      <c r="B28" s="88" t="s">
        <v>208</v>
      </c>
      <c r="C28" s="71" t="n">
        <f aca="false">'Rest of county'!B13</f>
        <v>416.397145256087</v>
      </c>
      <c r="D28" s="71" t="n">
        <f aca="false">'Rest of county'!B14</f>
        <v>416.397145256087</v>
      </c>
      <c r="E28" s="71" t="n">
        <f aca="false">'Rest of county'!B15</f>
        <v>416.397145256087</v>
      </c>
      <c r="F28" s="71" t="n">
        <f aca="false">'Rest of county'!B16</f>
        <v>416.397145256087</v>
      </c>
      <c r="G28" s="71" t="n">
        <f aca="false">'Rest of county'!B17</f>
        <v>416.397145256087</v>
      </c>
      <c r="H28" s="71" t="n">
        <f aca="false">'Rest of county'!B18</f>
        <v>211.763783935069</v>
      </c>
      <c r="I28" s="71" t="n">
        <f aca="false">'Rest of county'!B19</f>
        <v>211.763783935069</v>
      </c>
      <c r="J28" s="71" t="n">
        <f aca="false">'Rest of county'!B20</f>
        <v>211.763783935069</v>
      </c>
      <c r="K28" s="71" t="n">
        <f aca="false">'Rest of county'!B21</f>
        <v>211.763783935069</v>
      </c>
      <c r="L28" s="71" t="n">
        <f aca="false">'Rest of county'!B22</f>
        <v>204.633361321019</v>
      </c>
      <c r="M28" s="71" t="n">
        <f aca="false">'Rest of county'!B23</f>
        <v>155.013434089001</v>
      </c>
      <c r="N28" s="71" t="n">
        <f aca="false">'Rest of county'!B24</f>
        <v>153.743632801567</v>
      </c>
      <c r="O28" s="71" t="n">
        <f aca="false">'Rest of county'!B25</f>
        <v>151.887769381472</v>
      </c>
      <c r="P28" s="71" t="n">
        <f aca="false">'Rest of county'!B26</f>
        <v>150.520291071928</v>
      </c>
      <c r="Q28" s="71" t="n">
        <f aca="false">'Rest of county'!B27</f>
        <v>148.957458718164</v>
      </c>
      <c r="R28" s="0" t="n">
        <v>44</v>
      </c>
      <c r="S28" s="0" t="n">
        <v>106</v>
      </c>
      <c r="T28" s="0" t="n">
        <v>63</v>
      </c>
      <c r="U28" s="0" t="n">
        <v>0</v>
      </c>
      <c r="V28" s="0" t="n">
        <v>21</v>
      </c>
      <c r="W28" s="0" t="n">
        <v>12</v>
      </c>
      <c r="X28" s="0" t="n">
        <v>24.1</v>
      </c>
      <c r="Y28" s="0" t="n">
        <v>81.9</v>
      </c>
      <c r="Z28" s="0" t="n">
        <v>38.3</v>
      </c>
      <c r="AA28" s="0" t="n">
        <v>24.7</v>
      </c>
      <c r="AB28" s="0" t="n">
        <v>0</v>
      </c>
      <c r="AC28" s="0" t="n">
        <v>0</v>
      </c>
      <c r="AD28" s="89" t="n">
        <f aca="false">'Rest of county'!C29</f>
        <v>0.241232310532536</v>
      </c>
      <c r="AE28" s="89" t="n">
        <f aca="false">'Rest of county'!D29</f>
        <v>0.310276701040081</v>
      </c>
      <c r="AF28" s="89" t="n">
        <f aca="false">'Rest of county'!E29</f>
        <v>0.186995546413275</v>
      </c>
      <c r="AG28" s="89" t="n">
        <f aca="false">'Rest of county'!F29</f>
        <v>0.261495442014108</v>
      </c>
      <c r="AH28" s="88" t="n">
        <f aca="false">'Rest of county'!G29+'Rest of county'!H29</f>
        <v>0.756618207211783</v>
      </c>
      <c r="AI28" s="88" t="n">
        <f aca="false">'Rest of county'!I29+'Rest of county'!J29</f>
        <v>0.143381792788217</v>
      </c>
      <c r="AJ28" s="88" t="n">
        <f aca="false">SUM('Rest of county'!K29:O29)</f>
        <v>0.1</v>
      </c>
    </row>
    <row r="39" customFormat="false" ht="15" hidden="false" customHeight="false" outlineLevel="0" collapsed="false">
      <c r="A39" s="18" t="s">
        <v>943</v>
      </c>
      <c r="B39" s="18" t="s">
        <v>107</v>
      </c>
      <c r="C39" s="18" t="s">
        <v>944</v>
      </c>
      <c r="D39" s="18" t="s">
        <v>945</v>
      </c>
      <c r="E39" s="18" t="s">
        <v>946</v>
      </c>
      <c r="F39" s="18" t="s">
        <v>947</v>
      </c>
      <c r="G39" s="18" t="s">
        <v>948</v>
      </c>
      <c r="H39" s="18" t="s">
        <v>949</v>
      </c>
      <c r="I39" s="18" t="s">
        <v>950</v>
      </c>
      <c r="J39" s="18" t="s">
        <v>951</v>
      </c>
      <c r="K39" s="18" t="s">
        <v>952</v>
      </c>
      <c r="L39" s="18" t="s">
        <v>953</v>
      </c>
      <c r="M39" s="18" t="s">
        <v>954</v>
      </c>
      <c r="N39" s="18" t="s">
        <v>955</v>
      </c>
      <c r="O39" s="18" t="s">
        <v>956</v>
      </c>
      <c r="P39" s="18" t="s">
        <v>957</v>
      </c>
      <c r="Q39" s="18" t="s">
        <v>958</v>
      </c>
      <c r="R39" s="18" t="s">
        <v>959</v>
      </c>
      <c r="S39" s="18" t="s">
        <v>960</v>
      </c>
      <c r="T39" s="18" t="s">
        <v>961</v>
      </c>
      <c r="U39" s="18" t="s">
        <v>962</v>
      </c>
      <c r="V39" s="18" t="s">
        <v>963</v>
      </c>
      <c r="W39" s="18" t="s">
        <v>964</v>
      </c>
      <c r="X39" s="18" t="s">
        <v>965</v>
      </c>
      <c r="Y39" s="18" t="s">
        <v>966</v>
      </c>
      <c r="Z39" s="18" t="s">
        <v>967</v>
      </c>
      <c r="AA39" s="18" t="s">
        <v>968</v>
      </c>
      <c r="AB39" s="18" t="s">
        <v>969</v>
      </c>
      <c r="AC39" s="18" t="s">
        <v>970</v>
      </c>
      <c r="AD39" s="18" t="s">
        <v>971</v>
      </c>
      <c r="AE39" s="18" t="s">
        <v>972</v>
      </c>
      <c r="AF39" s="18" t="s">
        <v>973</v>
      </c>
      <c r="AG39" s="18" t="s">
        <v>974</v>
      </c>
      <c r="AH39" s="18" t="s">
        <v>975</v>
      </c>
      <c r="AI39" s="18" t="s">
        <v>976</v>
      </c>
      <c r="AJ39" s="18" t="s">
        <v>977</v>
      </c>
      <c r="AK39" s="18" t="s">
        <v>978</v>
      </c>
      <c r="AL39" s="18" t="s">
        <v>979</v>
      </c>
      <c r="AM39" s="18" t="s">
        <v>980</v>
      </c>
      <c r="AN39" s="18" t="s">
        <v>981</v>
      </c>
      <c r="AO39" s="18" t="s">
        <v>982</v>
      </c>
      <c r="AP39" s="18" t="s">
        <v>983</v>
      </c>
      <c r="AQ39" s="18" t="s">
        <v>984</v>
      </c>
      <c r="AR39" s="18" t="s">
        <v>985</v>
      </c>
      <c r="AS39" s="18" t="s">
        <v>986</v>
      </c>
      <c r="AT39" s="18" t="s">
        <v>987</v>
      </c>
      <c r="AU39" s="18" t="s">
        <v>988</v>
      </c>
      <c r="AV39" s="18" t="s">
        <v>989</v>
      </c>
      <c r="AW39" s="18" t="s">
        <v>990</v>
      </c>
      <c r="AX39" s="18" t="s">
        <v>991</v>
      </c>
      <c r="AY39" s="18" t="s">
        <v>992</v>
      </c>
      <c r="AZ39" s="18" t="s">
        <v>993</v>
      </c>
      <c r="BA39" s="18" t="s">
        <v>994</v>
      </c>
      <c r="BB39" s="18" t="s">
        <v>995</v>
      </c>
      <c r="BC39" s="18" t="s">
        <v>996</v>
      </c>
      <c r="BD39" s="18" t="s">
        <v>997</v>
      </c>
      <c r="BE39" s="18" t="s">
        <v>998</v>
      </c>
      <c r="BF39" s="18" t="s">
        <v>999</v>
      </c>
      <c r="BG39" s="18" t="s">
        <v>1000</v>
      </c>
      <c r="BH39" s="18" t="s">
        <v>1001</v>
      </c>
      <c r="BI39" s="18" t="s">
        <v>1002</v>
      </c>
      <c r="BJ39" s="18" t="s">
        <v>1003</v>
      </c>
      <c r="BK39" s="18" t="s">
        <v>1004</v>
      </c>
      <c r="BL39" s="18" t="s">
        <v>1005</v>
      </c>
      <c r="BM39" s="18" t="s">
        <v>1006</v>
      </c>
      <c r="BN39" s="18" t="s">
        <v>1007</v>
      </c>
      <c r="BO39" s="18" t="s">
        <v>1008</v>
      </c>
      <c r="BP39" s="18" t="s">
        <v>1009</v>
      </c>
      <c r="BQ39" s="18" t="s">
        <v>1010</v>
      </c>
      <c r="BR39" s="18" t="s">
        <v>1011</v>
      </c>
      <c r="BS39" s="18" t="s">
        <v>1012</v>
      </c>
      <c r="BT39" s="18" t="s">
        <v>1013</v>
      </c>
      <c r="BU39" s="18" t="s">
        <v>1014</v>
      </c>
      <c r="BV39" s="18" t="s">
        <v>1015</v>
      </c>
      <c r="BW39" s="18" t="s">
        <v>1016</v>
      </c>
      <c r="BX39" s="18" t="s">
        <v>1017</v>
      </c>
      <c r="BY39" s="18" t="s">
        <v>1018</v>
      </c>
      <c r="BZ39" s="18" t="s">
        <v>1019</v>
      </c>
      <c r="CA39" s="18" t="s">
        <v>1020</v>
      </c>
      <c r="CB39" s="18" t="s">
        <v>1021</v>
      </c>
      <c r="CC39" s="18" t="s">
        <v>1022</v>
      </c>
      <c r="CD39" s="18" t="s">
        <v>1023</v>
      </c>
      <c r="CE39" s="18" t="s">
        <v>1024</v>
      </c>
      <c r="CF39" s="18" t="s">
        <v>1025</v>
      </c>
      <c r="CG39" s="18" t="s">
        <v>1026</v>
      </c>
      <c r="CH39" s="18" t="s">
        <v>1027</v>
      </c>
      <c r="CI39" s="18" t="s">
        <v>1028</v>
      </c>
      <c r="CJ39" s="18" t="s">
        <v>1029</v>
      </c>
      <c r="CK39" s="18" t="s">
        <v>1030</v>
      </c>
      <c r="CL39" s="18" t="s">
        <v>1031</v>
      </c>
      <c r="CM39" s="18" t="s">
        <v>1032</v>
      </c>
      <c r="CN39" s="18" t="s">
        <v>1033</v>
      </c>
      <c r="CO39" s="18" t="s">
        <v>1034</v>
      </c>
      <c r="CP39" s="18" t="s">
        <v>1035</v>
      </c>
      <c r="CQ39" s="18" t="s">
        <v>1036</v>
      </c>
      <c r="CR39" s="18" t="s">
        <v>1037</v>
      </c>
      <c r="CS39" s="18" t="s">
        <v>1038</v>
      </c>
      <c r="CT39" s="18" t="s">
        <v>1039</v>
      </c>
      <c r="CU39" s="18" t="s">
        <v>1040</v>
      </c>
      <c r="CV39" s="18" t="s">
        <v>1041</v>
      </c>
      <c r="CW39" s="18" t="s">
        <v>1042</v>
      </c>
      <c r="CX39" s="18" t="s">
        <v>1043</v>
      </c>
      <c r="CY39" s="18" t="s">
        <v>1044</v>
      </c>
      <c r="CZ39" s="18" t="s">
        <v>1045</v>
      </c>
      <c r="DA39" s="18" t="s">
        <v>1046</v>
      </c>
      <c r="DB39" s="18" t="s">
        <v>1047</v>
      </c>
      <c r="DC39" s="18" t="s">
        <v>1048</v>
      </c>
      <c r="DD39" s="18" t="s">
        <v>1049</v>
      </c>
      <c r="DE39" s="18" t="s">
        <v>1050</v>
      </c>
      <c r="DF39" s="18" t="s">
        <v>1051</v>
      </c>
      <c r="DG39" s="18" t="s">
        <v>1052</v>
      </c>
      <c r="DH39" s="18" t="s">
        <v>1053</v>
      </c>
      <c r="DI39" s="18" t="s">
        <v>1054</v>
      </c>
      <c r="DJ39" s="18" t="s">
        <v>1055</v>
      </c>
      <c r="DK39" s="18" t="s">
        <v>1056</v>
      </c>
      <c r="DL39" s="18" t="s">
        <v>1057</v>
      </c>
      <c r="DM39" s="18" t="s">
        <v>1058</v>
      </c>
      <c r="DN39" s="18" t="s">
        <v>1059</v>
      </c>
      <c r="DO39" s="18" t="s">
        <v>1060</v>
      </c>
      <c r="DP39" s="18" t="s">
        <v>1061</v>
      </c>
      <c r="DQ39" s="18" t="s">
        <v>1062</v>
      </c>
      <c r="DR39" s="18" t="s">
        <v>1063</v>
      </c>
      <c r="DS39" s="18" t="s">
        <v>1064</v>
      </c>
      <c r="DT39" s="18" t="s">
        <v>1065</v>
      </c>
      <c r="DU39" s="18" t="s">
        <v>1066</v>
      </c>
      <c r="DV39" s="18" t="s">
        <v>1067</v>
      </c>
      <c r="DW39" s="18" t="s">
        <v>1068</v>
      </c>
      <c r="DX39" s="18" t="s">
        <v>1069</v>
      </c>
      <c r="DY39" s="18" t="s">
        <v>1070</v>
      </c>
      <c r="DZ39" s="18" t="s">
        <v>1071</v>
      </c>
      <c r="EA39" s="18" t="s">
        <v>1072</v>
      </c>
      <c r="EB39" s="18" t="s">
        <v>1073</v>
      </c>
      <c r="EC39" s="18" t="s">
        <v>1074</v>
      </c>
      <c r="ED39" s="18" t="s">
        <v>1075</v>
      </c>
      <c r="EE39" s="18" t="s">
        <v>1076</v>
      </c>
      <c r="EF39" s="18" t="s">
        <v>1077</v>
      </c>
      <c r="EG39" s="18" t="s">
        <v>1078</v>
      </c>
      <c r="EH39" s="18" t="s">
        <v>1079</v>
      </c>
      <c r="EI39" s="18" t="s">
        <v>1080</v>
      </c>
      <c r="EJ39" s="18" t="s">
        <v>1081</v>
      </c>
      <c r="EK39" s="18" t="s">
        <v>1082</v>
      </c>
      <c r="EL39" s="18" t="s">
        <v>1083</v>
      </c>
      <c r="EM39" s="18" t="s">
        <v>1084</v>
      </c>
      <c r="EN39" s="18" t="s">
        <v>1085</v>
      </c>
      <c r="EO39" s="18" t="s">
        <v>1086</v>
      </c>
      <c r="EP39" s="18" t="s">
        <v>1087</v>
      </c>
      <c r="EQ39" s="18" t="s">
        <v>1088</v>
      </c>
      <c r="ER39" s="18" t="s">
        <v>1089</v>
      </c>
      <c r="ES39" s="18" t="s">
        <v>1090</v>
      </c>
      <c r="ET39" s="18" t="s">
        <v>1091</v>
      </c>
      <c r="EU39" s="18" t="s">
        <v>1092</v>
      </c>
      <c r="EV39" s="18" t="s">
        <v>1093</v>
      </c>
      <c r="EW39" s="18" t="s">
        <v>1094</v>
      </c>
      <c r="EX39" s="18" t="s">
        <v>1095</v>
      </c>
      <c r="EY39" s="18" t="s">
        <v>1096</v>
      </c>
      <c r="EZ39" s="18" t="s">
        <v>1097</v>
      </c>
      <c r="FA39" s="18" t="s">
        <v>1098</v>
      </c>
      <c r="FB39" s="18" t="s">
        <v>1099</v>
      </c>
      <c r="FC39" s="18" t="s">
        <v>1100</v>
      </c>
      <c r="FD39" s="18" t="s">
        <v>1101</v>
      </c>
      <c r="FE39" s="18" t="s">
        <v>1102</v>
      </c>
      <c r="FF39" s="18" t="s">
        <v>1103</v>
      </c>
      <c r="FG39" s="18" t="s">
        <v>1104</v>
      </c>
    </row>
    <row r="40" customFormat="false" ht="15" hidden="false" customHeight="false" outlineLevel="0" collapsed="false">
      <c r="A40" s="0" t="n">
        <v>0</v>
      </c>
      <c r="B40" s="88" t="n">
        <f aca="false">2026+INT(A40/12)</f>
        <v>2026</v>
      </c>
      <c r="C40" s="88" t="n">
        <f aca="false">MAX(0,MIN(1,A40+1-$AO$3))</f>
        <v>0</v>
      </c>
      <c r="D40" s="88" t="n">
        <f aca="false">IF((A40+0.5-(0))&lt;$AO$3,0,2026+INT((A40+0.5-(0))/12))</f>
        <v>0</v>
      </c>
      <c r="E40" s="88" t="n">
        <f aca="false">IF((A40+0.5-($AO$9))&lt;$AO$3,0,2026+INT((A40+0.5-($AO$9))/12))</f>
        <v>0</v>
      </c>
      <c r="F40" s="88" t="n">
        <f aca="false">IF((A40+0.5-($AO$9+$AO$8))&lt;$AO$3,0,2026+INT((A40+0.5-($AO$9+$AO$8))/12))</f>
        <v>0</v>
      </c>
      <c r="G40" s="88" t="n">
        <f aca="false">IF((A40+0.5-($AO$9+$AO$8+$AO$7))&lt;$AO$3,0,2026+INT((A40+0.5-($AO$9+$AO$8+$AO$7))/12))</f>
        <v>0</v>
      </c>
      <c r="H40" s="88" t="n">
        <f aca="false">IF(B40=2026,INDEX($C$3:$Q$3,1,B40-2025)*$AO$4*C40/MAX(0.0001,12-$AO$3),INDEX($C$3:$Q$3,1,B40-2025)/12)</f>
        <v>0</v>
      </c>
      <c r="I40" s="88" t="n">
        <f aca="false">$AO$6*$X$3*C40/MAX(0.0001,12-$AO$3)</f>
        <v>0</v>
      </c>
      <c r="J40" s="88" t="n">
        <f aca="false">H40</f>
        <v>0</v>
      </c>
      <c r="K40" s="88" t="n">
        <f aca="false">I40</f>
        <v>0</v>
      </c>
      <c r="L40" s="88" t="n">
        <f aca="false">MAX(0,J40-K40)</f>
        <v>0</v>
      </c>
      <c r="M40" s="88" t="n">
        <f aca="false">L40</f>
        <v>0</v>
      </c>
      <c r="N40" s="88" t="n">
        <f aca="false">IF(B40=2026,INDEX($C$4:$Q$4,1,B40-2025)*$AO$4*C40/MAX(0.0001,12-$AO$3),INDEX($C$4:$Q$4,1,B40-2025)/12)</f>
        <v>0</v>
      </c>
      <c r="O40" s="88" t="n">
        <f aca="false">$AO$6*$X$4*C40/MAX(0.0001,12-$AO$3)</f>
        <v>0</v>
      </c>
      <c r="P40" s="88" t="n">
        <f aca="false">N40</f>
        <v>0</v>
      </c>
      <c r="Q40" s="88" t="n">
        <f aca="false">O40</f>
        <v>0</v>
      </c>
      <c r="R40" s="88" t="n">
        <f aca="false">MAX(0,P40-Q40)</f>
        <v>0</v>
      </c>
      <c r="S40" s="88" t="n">
        <f aca="false">R40</f>
        <v>0</v>
      </c>
      <c r="T40" s="88" t="n">
        <f aca="false">IF(B40=2026,INDEX($C$5:$Q$5,1,B40-2025)*$AO$4*C40/MAX(0.0001,12-$AO$3),INDEX($C$5:$Q$5,1,B40-2025)/12)</f>
        <v>0</v>
      </c>
      <c r="U40" s="88" t="n">
        <f aca="false">$AO$6*$X$5*C40/MAX(0.0001,12-$AO$3)</f>
        <v>0</v>
      </c>
      <c r="V40" s="88" t="n">
        <f aca="false">T40</f>
        <v>0</v>
      </c>
      <c r="W40" s="88" t="n">
        <f aca="false">U40</f>
        <v>0</v>
      </c>
      <c r="X40" s="88" t="n">
        <f aca="false">MAX(0,V40-W40)</f>
        <v>0</v>
      </c>
      <c r="Y40" s="88" t="n">
        <f aca="false">X40</f>
        <v>0</v>
      </c>
      <c r="Z40" s="88" t="n">
        <f aca="false">IF(B40=2026,INDEX($C$6:$Q$6,1,B40-2025)*$AO$4*C40/MAX(0.0001,12-$AO$3),INDEX($C$6:$Q$6,1,B40-2025)/12)</f>
        <v>0</v>
      </c>
      <c r="AA40" s="88" t="n">
        <f aca="false">$AO$6*$X$6*C40/MAX(0.0001,12-$AO$3)</f>
        <v>0</v>
      </c>
      <c r="AB40" s="88" t="n">
        <f aca="false">Z40</f>
        <v>0</v>
      </c>
      <c r="AC40" s="88" t="n">
        <f aca="false">AA40</f>
        <v>0</v>
      </c>
      <c r="AD40" s="88" t="n">
        <f aca="false">MAX(0,AB40-AC40)</f>
        <v>0</v>
      </c>
      <c r="AE40" s="88" t="n">
        <f aca="false">AD40</f>
        <v>0</v>
      </c>
      <c r="AF40" s="88" t="n">
        <f aca="false">IF(B40=2026,INDEX($C$7:$Q$7,1,B40-2025)*$AO$4*C40/MAX(0.0001,12-$AO$3),INDEX($C$7:$Q$7,1,B40-2025)/12)</f>
        <v>0</v>
      </c>
      <c r="AG40" s="88" t="n">
        <f aca="false">$AO$6*$X$7*C40/MAX(0.0001,12-$AO$3)</f>
        <v>0</v>
      </c>
      <c r="AH40" s="88" t="n">
        <f aca="false">AF40</f>
        <v>0</v>
      </c>
      <c r="AI40" s="88" t="n">
        <f aca="false">AG40</f>
        <v>0</v>
      </c>
      <c r="AJ40" s="88" t="n">
        <f aca="false">MAX(0,AH40-AI40)</f>
        <v>0</v>
      </c>
      <c r="AK40" s="88" t="n">
        <f aca="false">AJ40</f>
        <v>0</v>
      </c>
      <c r="AL40" s="88" t="n">
        <f aca="false">IF(B40=2026,INDEX($C$8:$Q$8,1,B40-2025)*$AO$4*C40/MAX(0.0001,12-$AO$3),INDEX($C$8:$Q$8,1,B40-2025)/12)</f>
        <v>0</v>
      </c>
      <c r="AM40" s="88" t="n">
        <f aca="false">$AO$6*$X$8*C40/MAX(0.0001,12-$AO$3)</f>
        <v>0</v>
      </c>
      <c r="AN40" s="88" t="n">
        <f aca="false">AL40</f>
        <v>0</v>
      </c>
      <c r="AO40" s="88" t="n">
        <f aca="false">AM40</f>
        <v>0</v>
      </c>
      <c r="AP40" s="88" t="n">
        <f aca="false">MAX(0,AN40-AO40)</f>
        <v>0</v>
      </c>
      <c r="AQ40" s="88" t="n">
        <f aca="false">AP40</f>
        <v>0</v>
      </c>
      <c r="AR40" s="88" t="n">
        <f aca="false">IF(B40=2026,INDEX($C$9:$Q$9,1,B40-2025)*$AO$4*C40/MAX(0.0001,12-$AO$3),INDEX($C$9:$Q$9,1,B40-2025)/12)</f>
        <v>0</v>
      </c>
      <c r="AS40" s="88" t="n">
        <f aca="false">$AO$6*$X$9*C40/MAX(0.0001,12-$AO$3)</f>
        <v>0</v>
      </c>
      <c r="AT40" s="88" t="n">
        <f aca="false">AR40</f>
        <v>0</v>
      </c>
      <c r="AU40" s="88" t="n">
        <f aca="false">AS40</f>
        <v>0</v>
      </c>
      <c r="AV40" s="88" t="n">
        <f aca="false">MAX(0,AT40-AU40)</f>
        <v>0</v>
      </c>
      <c r="AW40" s="88" t="n">
        <f aca="false">AV40</f>
        <v>0</v>
      </c>
      <c r="AX40" s="88" t="n">
        <f aca="false">IF(B40=2026,INDEX($C$10:$Q$10,1,B40-2025)*$AO$4*C40/MAX(0.0001,12-$AO$3),INDEX($C$10:$Q$10,1,B40-2025)/12)</f>
        <v>0</v>
      </c>
      <c r="AY40" s="88" t="n">
        <f aca="false">$AO$6*$X$10*C40/MAX(0.0001,12-$AO$3)</f>
        <v>0</v>
      </c>
      <c r="AZ40" s="88" t="n">
        <f aca="false">AX40</f>
        <v>0</v>
      </c>
      <c r="BA40" s="88" t="n">
        <f aca="false">AY40</f>
        <v>0</v>
      </c>
      <c r="BB40" s="88" t="n">
        <f aca="false">MAX(0,AZ40-BA40)</f>
        <v>0</v>
      </c>
      <c r="BC40" s="88" t="n">
        <f aca="false">BB40</f>
        <v>0</v>
      </c>
      <c r="BD40" s="88" t="n">
        <f aca="false">IF(B40=2026,INDEX($C$11:$Q$11,1,B40-2025)*$AO$4*C40/MAX(0.0001,12-$AO$3),INDEX($C$11:$Q$11,1,B40-2025)/12)</f>
        <v>0</v>
      </c>
      <c r="BE40" s="88" t="n">
        <f aca="false">$AO$6*$X$11*C40/MAX(0.0001,12-$AO$3)</f>
        <v>0</v>
      </c>
      <c r="BF40" s="88" t="n">
        <f aca="false">BD40</f>
        <v>0</v>
      </c>
      <c r="BG40" s="88" t="n">
        <f aca="false">BE40</f>
        <v>0</v>
      </c>
      <c r="BH40" s="88" t="n">
        <f aca="false">MAX(0,BF40-BG40)</f>
        <v>0</v>
      </c>
      <c r="BI40" s="88" t="n">
        <f aca="false">BH40</f>
        <v>0</v>
      </c>
      <c r="BJ40" s="88" t="n">
        <f aca="false">IF(B40=2026,INDEX($C$12:$Q$12,1,B40-2025)*$AO$4*C40/MAX(0.0001,12-$AO$3),INDEX($C$12:$Q$12,1,B40-2025)/12)</f>
        <v>0</v>
      </c>
      <c r="BK40" s="88" t="n">
        <f aca="false">$AO$6*$X$12*C40/MAX(0.0001,12-$AO$3)</f>
        <v>0</v>
      </c>
      <c r="BL40" s="88" t="n">
        <f aca="false">BJ40</f>
        <v>0</v>
      </c>
      <c r="BM40" s="88" t="n">
        <f aca="false">BK40</f>
        <v>0</v>
      </c>
      <c r="BN40" s="88" t="n">
        <f aca="false">MAX(0,BL40-BM40)</f>
        <v>0</v>
      </c>
      <c r="BO40" s="88" t="n">
        <f aca="false">BN40</f>
        <v>0</v>
      </c>
      <c r="BP40" s="88" t="n">
        <f aca="false">IF(B40=2026,INDEX($C$13:$Q$13,1,B40-2025)*$AO$4*C40/MAX(0.0001,12-$AO$3),INDEX($C$13:$Q$13,1,B40-2025)/12)</f>
        <v>0</v>
      </c>
      <c r="BQ40" s="88" t="n">
        <f aca="false">$AO$6*$X$13*C40/MAX(0.0001,12-$AO$3)</f>
        <v>0</v>
      </c>
      <c r="BR40" s="88" t="n">
        <f aca="false">BP40</f>
        <v>0</v>
      </c>
      <c r="BS40" s="88" t="n">
        <f aca="false">BQ40</f>
        <v>0</v>
      </c>
      <c r="BT40" s="88" t="n">
        <f aca="false">MAX(0,BR40-BS40)</f>
        <v>0</v>
      </c>
      <c r="BU40" s="88" t="n">
        <f aca="false">BT40</f>
        <v>0</v>
      </c>
      <c r="BV40" s="88" t="n">
        <f aca="false">IF(B40=2026,INDEX($C$14:$Q$14,1,B40-2025)*$AO$4*C40/MAX(0.0001,12-$AO$3),INDEX($C$14:$Q$14,1,B40-2025)/12)</f>
        <v>0</v>
      </c>
      <c r="BW40" s="88" t="n">
        <f aca="false">$AO$6*$X$14*C40/MAX(0.0001,12-$AO$3)</f>
        <v>0</v>
      </c>
      <c r="BX40" s="88" t="n">
        <f aca="false">BV40</f>
        <v>0</v>
      </c>
      <c r="BY40" s="88" t="n">
        <f aca="false">BW40</f>
        <v>0</v>
      </c>
      <c r="BZ40" s="88" t="n">
        <f aca="false">MAX(0,BX40-BY40)</f>
        <v>0</v>
      </c>
      <c r="CA40" s="88" t="n">
        <f aca="false">BZ40</f>
        <v>0</v>
      </c>
      <c r="CB40" s="88" t="n">
        <f aca="false">IF(B40=2026,INDEX($C$15:$Q$15,1,B40-2025)*$AO$4*C40/MAX(0.0001,12-$AO$3),INDEX($C$15:$Q$15,1,B40-2025)/12)</f>
        <v>0</v>
      </c>
      <c r="CC40" s="88" t="n">
        <f aca="false">$AO$6*$X$15*C40/MAX(0.0001,12-$AO$3)</f>
        <v>0</v>
      </c>
      <c r="CD40" s="88" t="n">
        <f aca="false">CB40</f>
        <v>0</v>
      </c>
      <c r="CE40" s="88" t="n">
        <f aca="false">CC40</f>
        <v>0</v>
      </c>
      <c r="CF40" s="88" t="n">
        <f aca="false">MAX(0,CD40-CE40)</f>
        <v>0</v>
      </c>
      <c r="CG40" s="88" t="n">
        <f aca="false">CF40</f>
        <v>0</v>
      </c>
      <c r="CH40" s="88" t="n">
        <f aca="false">IF(B40=2026,INDEX($C$16:$Q$16,1,B40-2025)*$AO$4*C40/MAX(0.0001,12-$AO$3),INDEX($C$16:$Q$16,1,B40-2025)/12)</f>
        <v>0</v>
      </c>
      <c r="CI40" s="88" t="n">
        <f aca="false">$AO$6*$X$16*C40/MAX(0.0001,12-$AO$3)</f>
        <v>0</v>
      </c>
      <c r="CJ40" s="88" t="n">
        <f aca="false">CH40</f>
        <v>0</v>
      </c>
      <c r="CK40" s="88" t="n">
        <f aca="false">CI40</f>
        <v>0</v>
      </c>
      <c r="CL40" s="88" t="n">
        <f aca="false">MAX(0,CJ40-CK40)</f>
        <v>0</v>
      </c>
      <c r="CM40" s="88" t="n">
        <f aca="false">CL40</f>
        <v>0</v>
      </c>
      <c r="CN40" s="88" t="n">
        <f aca="false">IF(B40=2026,INDEX($C$17:$Q$17,1,B40-2025)*$AO$4*C40/MAX(0.0001,12-$AO$3),INDEX($C$17:$Q$17,1,B40-2025)/12)</f>
        <v>0</v>
      </c>
      <c r="CO40" s="88" t="n">
        <f aca="false">$AO$6*$X$17*C40/MAX(0.0001,12-$AO$3)</f>
        <v>0</v>
      </c>
      <c r="CP40" s="88" t="n">
        <f aca="false">CN40</f>
        <v>0</v>
      </c>
      <c r="CQ40" s="88" t="n">
        <f aca="false">CO40</f>
        <v>0</v>
      </c>
      <c r="CR40" s="88" t="n">
        <f aca="false">MAX(0,CP40-CQ40)</f>
        <v>0</v>
      </c>
      <c r="CS40" s="88" t="n">
        <f aca="false">CR40</f>
        <v>0</v>
      </c>
      <c r="CT40" s="88" t="n">
        <f aca="false">IF(B40=2026,INDEX($C$18:$Q$18,1,B40-2025)*$AO$4*C40/MAX(0.0001,12-$AO$3),INDEX($C$18:$Q$18,1,B40-2025)/12)</f>
        <v>0</v>
      </c>
      <c r="CU40" s="88" t="n">
        <f aca="false">$AO$6*$X$18*C40/MAX(0.0001,12-$AO$3)</f>
        <v>0</v>
      </c>
      <c r="CV40" s="88" t="n">
        <f aca="false">CT40</f>
        <v>0</v>
      </c>
      <c r="CW40" s="88" t="n">
        <f aca="false">CU40</f>
        <v>0</v>
      </c>
      <c r="CX40" s="88" t="n">
        <f aca="false">MAX(0,CV40-CW40)</f>
        <v>0</v>
      </c>
      <c r="CY40" s="88" t="n">
        <f aca="false">CX40</f>
        <v>0</v>
      </c>
      <c r="CZ40" s="88" t="n">
        <f aca="false">IF(B40=2026,INDEX($C$19:$Q$19,1,B40-2025)*$AO$4*C40/MAX(0.0001,12-$AO$3),INDEX($C$19:$Q$19,1,B40-2025)/12)</f>
        <v>0</v>
      </c>
      <c r="DA40" s="88" t="n">
        <f aca="false">$AO$6*$X$19*C40/MAX(0.0001,12-$AO$3)</f>
        <v>0</v>
      </c>
      <c r="DB40" s="88" t="n">
        <f aca="false">CZ40</f>
        <v>0</v>
      </c>
      <c r="DC40" s="88" t="n">
        <f aca="false">DA40</f>
        <v>0</v>
      </c>
      <c r="DD40" s="88" t="n">
        <f aca="false">MAX(0,DB40-DC40)</f>
        <v>0</v>
      </c>
      <c r="DE40" s="88" t="n">
        <f aca="false">DD40</f>
        <v>0</v>
      </c>
      <c r="DF40" s="88" t="n">
        <f aca="false">IF(B40=2026,INDEX($C$20:$Q$20,1,B40-2025)*$AO$4*C40/MAX(0.0001,12-$AO$3),INDEX($C$20:$Q$20,1,B40-2025)/12)</f>
        <v>0</v>
      </c>
      <c r="DG40" s="88" t="n">
        <f aca="false">$AO$6*$X$20*C40/MAX(0.0001,12-$AO$3)</f>
        <v>0</v>
      </c>
      <c r="DH40" s="88" t="n">
        <f aca="false">DF40</f>
        <v>0</v>
      </c>
      <c r="DI40" s="88" t="n">
        <f aca="false">DG40</f>
        <v>0</v>
      </c>
      <c r="DJ40" s="88" t="n">
        <f aca="false">MAX(0,DH40-DI40)</f>
        <v>0</v>
      </c>
      <c r="DK40" s="88" t="n">
        <f aca="false">DJ40</f>
        <v>0</v>
      </c>
      <c r="DL40" s="88" t="n">
        <f aca="false">IF(B40=2026,INDEX($C$21:$Q$21,1,B40-2025)*$AO$4*C40/MAX(0.0001,12-$AO$3),INDEX($C$21:$Q$21,1,B40-2025)/12)</f>
        <v>0</v>
      </c>
      <c r="DM40" s="88" t="n">
        <f aca="false">$AO$6*$X$21*C40/MAX(0.0001,12-$AO$3)</f>
        <v>0</v>
      </c>
      <c r="DN40" s="88" t="n">
        <f aca="false">DL40</f>
        <v>0</v>
      </c>
      <c r="DO40" s="88" t="n">
        <f aca="false">DM40</f>
        <v>0</v>
      </c>
      <c r="DP40" s="88" t="n">
        <f aca="false">MAX(0,DN40-DO40)</f>
        <v>0</v>
      </c>
      <c r="DQ40" s="88" t="n">
        <f aca="false">DP40</f>
        <v>0</v>
      </c>
      <c r="DR40" s="88" t="n">
        <f aca="false">IF(B40=2026,INDEX($C$22:$Q$22,1,B40-2025)*$AO$4*C40/MAX(0.0001,12-$AO$3),INDEX($C$22:$Q$22,1,B40-2025)/12)</f>
        <v>0</v>
      </c>
      <c r="DS40" s="88" t="n">
        <f aca="false">$AO$6*$X$22*C40/MAX(0.0001,12-$AO$3)</f>
        <v>0</v>
      </c>
      <c r="DT40" s="88" t="n">
        <f aca="false">DR40</f>
        <v>0</v>
      </c>
      <c r="DU40" s="88" t="n">
        <f aca="false">DS40</f>
        <v>0</v>
      </c>
      <c r="DV40" s="88" t="n">
        <f aca="false">MAX(0,DT40-DU40)</f>
        <v>0</v>
      </c>
      <c r="DW40" s="88" t="n">
        <f aca="false">DV40</f>
        <v>0</v>
      </c>
      <c r="DX40" s="88" t="n">
        <f aca="false">IF(B40=2026,INDEX($C$23:$Q$23,1,B40-2025)*$AO$4*C40/MAX(0.0001,12-$AO$3),INDEX($C$23:$Q$23,1,B40-2025)/12)</f>
        <v>0</v>
      </c>
      <c r="DY40" s="88" t="n">
        <f aca="false">$AO$6*$X$23*C40/MAX(0.0001,12-$AO$3)</f>
        <v>0</v>
      </c>
      <c r="DZ40" s="88" t="n">
        <f aca="false">DX40</f>
        <v>0</v>
      </c>
      <c r="EA40" s="88" t="n">
        <f aca="false">DY40</f>
        <v>0</v>
      </c>
      <c r="EB40" s="88" t="n">
        <f aca="false">MAX(0,DZ40-EA40)</f>
        <v>0</v>
      </c>
      <c r="EC40" s="88" t="n">
        <f aca="false">EB40</f>
        <v>0</v>
      </c>
      <c r="ED40" s="88" t="n">
        <f aca="false">IF(B40=2026,INDEX($C$24:$Q$24,1,B40-2025)*$AO$4*C40/MAX(0.0001,12-$AO$3),INDEX($C$24:$Q$24,1,B40-2025)/12)</f>
        <v>0</v>
      </c>
      <c r="EE40" s="88" t="n">
        <f aca="false">$AO$6*$X$24*C40/MAX(0.0001,12-$AO$3)</f>
        <v>0</v>
      </c>
      <c r="EF40" s="88" t="n">
        <f aca="false">ED40</f>
        <v>0</v>
      </c>
      <c r="EG40" s="88" t="n">
        <f aca="false">EE40</f>
        <v>0</v>
      </c>
      <c r="EH40" s="88" t="n">
        <f aca="false">MAX(0,EF40-EG40)</f>
        <v>0</v>
      </c>
      <c r="EI40" s="88" t="n">
        <f aca="false">EH40</f>
        <v>0</v>
      </c>
      <c r="EJ40" s="88" t="n">
        <f aca="false">IF(B40=2026,INDEX($C$25:$Q$25,1,B40-2025)*$AO$4*C40/MAX(0.0001,12-$AO$3),INDEX($C$25:$Q$25,1,B40-2025)/12)</f>
        <v>0</v>
      </c>
      <c r="EK40" s="88" t="n">
        <f aca="false">$AO$6*$X$25*C40/MAX(0.0001,12-$AO$3)</f>
        <v>0</v>
      </c>
      <c r="EL40" s="88" t="n">
        <f aca="false">EJ40</f>
        <v>0</v>
      </c>
      <c r="EM40" s="88" t="n">
        <f aca="false">EK40</f>
        <v>0</v>
      </c>
      <c r="EN40" s="88" t="n">
        <f aca="false">MAX(0,EL40-EM40)</f>
        <v>0</v>
      </c>
      <c r="EO40" s="88" t="n">
        <f aca="false">EN40</f>
        <v>0</v>
      </c>
      <c r="EP40" s="88" t="n">
        <f aca="false">IF(B40=2026,INDEX($C$26:$Q$26,1,B40-2025)*$AO$4*C40/MAX(0.0001,12-$AO$3),INDEX($C$26:$Q$26,1,B40-2025)/12)</f>
        <v>0</v>
      </c>
      <c r="EQ40" s="88" t="n">
        <f aca="false">$AO$6*$X$26*C40/MAX(0.0001,12-$AO$3)</f>
        <v>0</v>
      </c>
      <c r="ER40" s="88" t="n">
        <f aca="false">EP40</f>
        <v>0</v>
      </c>
      <c r="ES40" s="88" t="n">
        <f aca="false">EQ40</f>
        <v>0</v>
      </c>
      <c r="ET40" s="88" t="n">
        <f aca="false">MAX(0,ER40-ES40)</f>
        <v>0</v>
      </c>
      <c r="EU40" s="88" t="n">
        <f aca="false">ET40</f>
        <v>0</v>
      </c>
      <c r="EV40" s="88" t="n">
        <f aca="false">IF(B40=2026,INDEX($C$27:$Q$27,1,B40-2025)*$AO$4*C40/MAX(0.0001,12-$AO$3),INDEX($C$27:$Q$27,1,B40-2025)/12)</f>
        <v>0</v>
      </c>
      <c r="EW40" s="88" t="n">
        <f aca="false">$AO$6*$X$27*C40/MAX(0.0001,12-$AO$3)</f>
        <v>0</v>
      </c>
      <c r="EX40" s="88" t="n">
        <f aca="false">EV40</f>
        <v>0</v>
      </c>
      <c r="EY40" s="88" t="n">
        <f aca="false">EW40</f>
        <v>0</v>
      </c>
      <c r="EZ40" s="88" t="n">
        <f aca="false">MAX(0,EX40-EY40)</f>
        <v>0</v>
      </c>
      <c r="FA40" s="88" t="n">
        <f aca="false">EZ40</f>
        <v>0</v>
      </c>
      <c r="FB40" s="88" t="n">
        <f aca="false">IF(B40=2026,INDEX($C$28:$Q$28,1,B40-2025)*$AO$4*C40/MAX(0.0001,12-$AO$3),INDEX($C$28:$Q$28,1,B40-2025)/12)</f>
        <v>0</v>
      </c>
      <c r="FC40" s="88" t="n">
        <f aca="false">$AO$6*$X$28*C40/MAX(0.0001,12-$AO$3)</f>
        <v>0</v>
      </c>
      <c r="FD40" s="88" t="n">
        <f aca="false">FB40</f>
        <v>0</v>
      </c>
      <c r="FE40" s="88" t="n">
        <f aca="false">FC40</f>
        <v>0</v>
      </c>
      <c r="FF40" s="88" t="n">
        <f aca="false">MAX(0,FD40-FE40)</f>
        <v>0</v>
      </c>
      <c r="FG40" s="88" t="n">
        <f aca="false">FF40</f>
        <v>0</v>
      </c>
    </row>
    <row r="41" customFormat="false" ht="15" hidden="false" customHeight="false" outlineLevel="0" collapsed="false">
      <c r="A41" s="0" t="n">
        <v>1</v>
      </c>
      <c r="B41" s="88" t="n">
        <f aca="false">2026+INT(A41/12)</f>
        <v>2026</v>
      </c>
      <c r="C41" s="88" t="n">
        <f aca="false">MAX(0,MIN(1,A41+1-$AO$3))</f>
        <v>0</v>
      </c>
      <c r="D41" s="88" t="n">
        <f aca="false">IF((A41+0.5-(0))&lt;$AO$3,0,2026+INT((A41+0.5-(0))/12))</f>
        <v>0</v>
      </c>
      <c r="E41" s="88" t="n">
        <f aca="false">IF((A41+0.5-($AO$9))&lt;$AO$3,0,2026+INT((A41+0.5-($AO$9))/12))</f>
        <v>0</v>
      </c>
      <c r="F41" s="88" t="n">
        <f aca="false">IF((A41+0.5-($AO$9+$AO$8))&lt;$AO$3,0,2026+INT((A41+0.5-($AO$9+$AO$8))/12))</f>
        <v>0</v>
      </c>
      <c r="G41" s="88" t="n">
        <f aca="false">IF((A41+0.5-($AO$9+$AO$8+$AO$7))&lt;$AO$3,0,2026+INT((A41+0.5-($AO$9+$AO$8+$AO$7))/12))</f>
        <v>0</v>
      </c>
      <c r="H41" s="88" t="n">
        <f aca="false">IF(B41=2026,INDEX($C$3:$Q$3,1,B41-2025)*$AO$4*C41/MAX(0.0001,12-$AO$3),INDEX($C$3:$Q$3,1,B41-2025)/12)</f>
        <v>0</v>
      </c>
      <c r="I41" s="88" t="n">
        <f aca="false">$AO$6*$X$3*C41/MAX(0.0001,12-$AO$3)</f>
        <v>0</v>
      </c>
      <c r="J41" s="88" t="n">
        <f aca="false">H41+J40</f>
        <v>0</v>
      </c>
      <c r="K41" s="88" t="n">
        <f aca="false">I41+K40</f>
        <v>0</v>
      </c>
      <c r="L41" s="88" t="n">
        <f aca="false">MAX(L40,J41-K41)</f>
        <v>0</v>
      </c>
      <c r="M41" s="88" t="n">
        <f aca="false">L41-L40</f>
        <v>0</v>
      </c>
      <c r="N41" s="88" t="n">
        <f aca="false">IF(B41=2026,INDEX($C$4:$Q$4,1,B41-2025)*$AO$4*C41/MAX(0.0001,12-$AO$3),INDEX($C$4:$Q$4,1,B41-2025)/12)</f>
        <v>0</v>
      </c>
      <c r="O41" s="88" t="n">
        <f aca="false">$AO$6*$X$4*C41/MAX(0.0001,12-$AO$3)</f>
        <v>0</v>
      </c>
      <c r="P41" s="88" t="n">
        <f aca="false">N41+P40</f>
        <v>0</v>
      </c>
      <c r="Q41" s="88" t="n">
        <f aca="false">O41+Q40</f>
        <v>0</v>
      </c>
      <c r="R41" s="88" t="n">
        <f aca="false">MAX(R40,P41-Q41)</f>
        <v>0</v>
      </c>
      <c r="S41" s="88" t="n">
        <f aca="false">R41-R40</f>
        <v>0</v>
      </c>
      <c r="T41" s="88" t="n">
        <f aca="false">IF(B41=2026,INDEX($C$5:$Q$5,1,B41-2025)*$AO$4*C41/MAX(0.0001,12-$AO$3),INDEX($C$5:$Q$5,1,B41-2025)/12)</f>
        <v>0</v>
      </c>
      <c r="U41" s="88" t="n">
        <f aca="false">$AO$6*$X$5*C41/MAX(0.0001,12-$AO$3)</f>
        <v>0</v>
      </c>
      <c r="V41" s="88" t="n">
        <f aca="false">T41+V40</f>
        <v>0</v>
      </c>
      <c r="W41" s="88" t="n">
        <f aca="false">U41+W40</f>
        <v>0</v>
      </c>
      <c r="X41" s="88" t="n">
        <f aca="false">MAX(X40,V41-W41)</f>
        <v>0</v>
      </c>
      <c r="Y41" s="88" t="n">
        <f aca="false">X41-X40</f>
        <v>0</v>
      </c>
      <c r="Z41" s="88" t="n">
        <f aca="false">IF(B41=2026,INDEX($C$6:$Q$6,1,B41-2025)*$AO$4*C41/MAX(0.0001,12-$AO$3),INDEX($C$6:$Q$6,1,B41-2025)/12)</f>
        <v>0</v>
      </c>
      <c r="AA41" s="88" t="n">
        <f aca="false">$AO$6*$X$6*C41/MAX(0.0001,12-$AO$3)</f>
        <v>0</v>
      </c>
      <c r="AB41" s="88" t="n">
        <f aca="false">Z41+AB40</f>
        <v>0</v>
      </c>
      <c r="AC41" s="88" t="n">
        <f aca="false">AA41+AC40</f>
        <v>0</v>
      </c>
      <c r="AD41" s="88" t="n">
        <f aca="false">MAX(AD40,AB41-AC41)</f>
        <v>0</v>
      </c>
      <c r="AE41" s="88" t="n">
        <f aca="false">AD41-AD40</f>
        <v>0</v>
      </c>
      <c r="AF41" s="88" t="n">
        <f aca="false">IF(B41=2026,INDEX($C$7:$Q$7,1,B41-2025)*$AO$4*C41/MAX(0.0001,12-$AO$3),INDEX($C$7:$Q$7,1,B41-2025)/12)</f>
        <v>0</v>
      </c>
      <c r="AG41" s="88" t="n">
        <f aca="false">$AO$6*$X$7*C41/MAX(0.0001,12-$AO$3)</f>
        <v>0</v>
      </c>
      <c r="AH41" s="88" t="n">
        <f aca="false">AF41+AH40</f>
        <v>0</v>
      </c>
      <c r="AI41" s="88" t="n">
        <f aca="false">AG41+AI40</f>
        <v>0</v>
      </c>
      <c r="AJ41" s="88" t="n">
        <f aca="false">MAX(AJ40,AH41-AI41)</f>
        <v>0</v>
      </c>
      <c r="AK41" s="88" t="n">
        <f aca="false">AJ41-AJ40</f>
        <v>0</v>
      </c>
      <c r="AL41" s="88" t="n">
        <f aca="false">IF(B41=2026,INDEX($C$8:$Q$8,1,B41-2025)*$AO$4*C41/MAX(0.0001,12-$AO$3),INDEX($C$8:$Q$8,1,B41-2025)/12)</f>
        <v>0</v>
      </c>
      <c r="AM41" s="88" t="n">
        <f aca="false">$AO$6*$X$8*C41/MAX(0.0001,12-$AO$3)</f>
        <v>0</v>
      </c>
      <c r="AN41" s="88" t="n">
        <f aca="false">AL41+AN40</f>
        <v>0</v>
      </c>
      <c r="AO41" s="88" t="n">
        <f aca="false">AM41+AO40</f>
        <v>0</v>
      </c>
      <c r="AP41" s="88" t="n">
        <f aca="false">MAX(AP40,AN41-AO41)</f>
        <v>0</v>
      </c>
      <c r="AQ41" s="88" t="n">
        <f aca="false">AP41-AP40</f>
        <v>0</v>
      </c>
      <c r="AR41" s="88" t="n">
        <f aca="false">IF(B41=2026,INDEX($C$9:$Q$9,1,B41-2025)*$AO$4*C41/MAX(0.0001,12-$AO$3),INDEX($C$9:$Q$9,1,B41-2025)/12)</f>
        <v>0</v>
      </c>
      <c r="AS41" s="88" t="n">
        <f aca="false">$AO$6*$X$9*C41/MAX(0.0001,12-$AO$3)</f>
        <v>0</v>
      </c>
      <c r="AT41" s="88" t="n">
        <f aca="false">AR41+AT40</f>
        <v>0</v>
      </c>
      <c r="AU41" s="88" t="n">
        <f aca="false">AS41+AU40</f>
        <v>0</v>
      </c>
      <c r="AV41" s="88" t="n">
        <f aca="false">MAX(AV40,AT41-AU41)</f>
        <v>0</v>
      </c>
      <c r="AW41" s="88" t="n">
        <f aca="false">AV41-AV40</f>
        <v>0</v>
      </c>
      <c r="AX41" s="88" t="n">
        <f aca="false">IF(B41=2026,INDEX($C$10:$Q$10,1,B41-2025)*$AO$4*C41/MAX(0.0001,12-$AO$3),INDEX($C$10:$Q$10,1,B41-2025)/12)</f>
        <v>0</v>
      </c>
      <c r="AY41" s="88" t="n">
        <f aca="false">$AO$6*$X$10*C41/MAX(0.0001,12-$AO$3)</f>
        <v>0</v>
      </c>
      <c r="AZ41" s="88" t="n">
        <f aca="false">AX41+AZ40</f>
        <v>0</v>
      </c>
      <c r="BA41" s="88" t="n">
        <f aca="false">AY41+BA40</f>
        <v>0</v>
      </c>
      <c r="BB41" s="88" t="n">
        <f aca="false">MAX(BB40,AZ41-BA41)</f>
        <v>0</v>
      </c>
      <c r="BC41" s="88" t="n">
        <f aca="false">BB41-BB40</f>
        <v>0</v>
      </c>
      <c r="BD41" s="88" t="n">
        <f aca="false">IF(B41=2026,INDEX($C$11:$Q$11,1,B41-2025)*$AO$4*C41/MAX(0.0001,12-$AO$3),INDEX($C$11:$Q$11,1,B41-2025)/12)</f>
        <v>0</v>
      </c>
      <c r="BE41" s="88" t="n">
        <f aca="false">$AO$6*$X$11*C41/MAX(0.0001,12-$AO$3)</f>
        <v>0</v>
      </c>
      <c r="BF41" s="88" t="n">
        <f aca="false">BD41+BF40</f>
        <v>0</v>
      </c>
      <c r="BG41" s="88" t="n">
        <f aca="false">BE41+BG40</f>
        <v>0</v>
      </c>
      <c r="BH41" s="88" t="n">
        <f aca="false">MAX(BH40,BF41-BG41)</f>
        <v>0</v>
      </c>
      <c r="BI41" s="88" t="n">
        <f aca="false">BH41-BH40</f>
        <v>0</v>
      </c>
      <c r="BJ41" s="88" t="n">
        <f aca="false">IF(B41=2026,INDEX($C$12:$Q$12,1,B41-2025)*$AO$4*C41/MAX(0.0001,12-$AO$3),INDEX($C$12:$Q$12,1,B41-2025)/12)</f>
        <v>0</v>
      </c>
      <c r="BK41" s="88" t="n">
        <f aca="false">$AO$6*$X$12*C41/MAX(0.0001,12-$AO$3)</f>
        <v>0</v>
      </c>
      <c r="BL41" s="88" t="n">
        <f aca="false">BJ41+BL40</f>
        <v>0</v>
      </c>
      <c r="BM41" s="88" t="n">
        <f aca="false">BK41+BM40</f>
        <v>0</v>
      </c>
      <c r="BN41" s="88" t="n">
        <f aca="false">MAX(BN40,BL41-BM41)</f>
        <v>0</v>
      </c>
      <c r="BO41" s="88" t="n">
        <f aca="false">BN41-BN40</f>
        <v>0</v>
      </c>
      <c r="BP41" s="88" t="n">
        <f aca="false">IF(B41=2026,INDEX($C$13:$Q$13,1,B41-2025)*$AO$4*C41/MAX(0.0001,12-$AO$3),INDEX($C$13:$Q$13,1,B41-2025)/12)</f>
        <v>0</v>
      </c>
      <c r="BQ41" s="88" t="n">
        <f aca="false">$AO$6*$X$13*C41/MAX(0.0001,12-$AO$3)</f>
        <v>0</v>
      </c>
      <c r="BR41" s="88" t="n">
        <f aca="false">BP41+BR40</f>
        <v>0</v>
      </c>
      <c r="BS41" s="88" t="n">
        <f aca="false">BQ41+BS40</f>
        <v>0</v>
      </c>
      <c r="BT41" s="88" t="n">
        <f aca="false">MAX(BT40,BR41-BS41)</f>
        <v>0</v>
      </c>
      <c r="BU41" s="88" t="n">
        <f aca="false">BT41-BT40</f>
        <v>0</v>
      </c>
      <c r="BV41" s="88" t="n">
        <f aca="false">IF(B41=2026,INDEX($C$14:$Q$14,1,B41-2025)*$AO$4*C41/MAX(0.0001,12-$AO$3),INDEX($C$14:$Q$14,1,B41-2025)/12)</f>
        <v>0</v>
      </c>
      <c r="BW41" s="88" t="n">
        <f aca="false">$AO$6*$X$14*C41/MAX(0.0001,12-$AO$3)</f>
        <v>0</v>
      </c>
      <c r="BX41" s="88" t="n">
        <f aca="false">BV41+BX40</f>
        <v>0</v>
      </c>
      <c r="BY41" s="88" t="n">
        <f aca="false">BW41+BY40</f>
        <v>0</v>
      </c>
      <c r="BZ41" s="88" t="n">
        <f aca="false">MAX(BZ40,BX41-BY41)</f>
        <v>0</v>
      </c>
      <c r="CA41" s="88" t="n">
        <f aca="false">BZ41-BZ40</f>
        <v>0</v>
      </c>
      <c r="CB41" s="88" t="n">
        <f aca="false">IF(B41=2026,INDEX($C$15:$Q$15,1,B41-2025)*$AO$4*C41/MAX(0.0001,12-$AO$3),INDEX($C$15:$Q$15,1,B41-2025)/12)</f>
        <v>0</v>
      </c>
      <c r="CC41" s="88" t="n">
        <f aca="false">$AO$6*$X$15*C41/MAX(0.0001,12-$AO$3)</f>
        <v>0</v>
      </c>
      <c r="CD41" s="88" t="n">
        <f aca="false">CB41+CD40</f>
        <v>0</v>
      </c>
      <c r="CE41" s="88" t="n">
        <f aca="false">CC41+CE40</f>
        <v>0</v>
      </c>
      <c r="CF41" s="88" t="n">
        <f aca="false">MAX(CF40,CD41-CE41)</f>
        <v>0</v>
      </c>
      <c r="CG41" s="88" t="n">
        <f aca="false">CF41-CF40</f>
        <v>0</v>
      </c>
      <c r="CH41" s="88" t="n">
        <f aca="false">IF(B41=2026,INDEX($C$16:$Q$16,1,B41-2025)*$AO$4*C41/MAX(0.0001,12-$AO$3),INDEX($C$16:$Q$16,1,B41-2025)/12)</f>
        <v>0</v>
      </c>
      <c r="CI41" s="88" t="n">
        <f aca="false">$AO$6*$X$16*C41/MAX(0.0001,12-$AO$3)</f>
        <v>0</v>
      </c>
      <c r="CJ41" s="88" t="n">
        <f aca="false">CH41+CJ40</f>
        <v>0</v>
      </c>
      <c r="CK41" s="88" t="n">
        <f aca="false">CI41+CK40</f>
        <v>0</v>
      </c>
      <c r="CL41" s="88" t="n">
        <f aca="false">MAX(CL40,CJ41-CK41)</f>
        <v>0</v>
      </c>
      <c r="CM41" s="88" t="n">
        <f aca="false">CL41-CL40</f>
        <v>0</v>
      </c>
      <c r="CN41" s="88" t="n">
        <f aca="false">IF(B41=2026,INDEX($C$17:$Q$17,1,B41-2025)*$AO$4*C41/MAX(0.0001,12-$AO$3),INDEX($C$17:$Q$17,1,B41-2025)/12)</f>
        <v>0</v>
      </c>
      <c r="CO41" s="88" t="n">
        <f aca="false">$AO$6*$X$17*C41/MAX(0.0001,12-$AO$3)</f>
        <v>0</v>
      </c>
      <c r="CP41" s="88" t="n">
        <f aca="false">CN41+CP40</f>
        <v>0</v>
      </c>
      <c r="CQ41" s="88" t="n">
        <f aca="false">CO41+CQ40</f>
        <v>0</v>
      </c>
      <c r="CR41" s="88" t="n">
        <f aca="false">MAX(CR40,CP41-CQ41)</f>
        <v>0</v>
      </c>
      <c r="CS41" s="88" t="n">
        <f aca="false">CR41-CR40</f>
        <v>0</v>
      </c>
      <c r="CT41" s="88" t="n">
        <f aca="false">IF(B41=2026,INDEX($C$18:$Q$18,1,B41-2025)*$AO$4*C41/MAX(0.0001,12-$AO$3),INDEX($C$18:$Q$18,1,B41-2025)/12)</f>
        <v>0</v>
      </c>
      <c r="CU41" s="88" t="n">
        <f aca="false">$AO$6*$X$18*C41/MAX(0.0001,12-$AO$3)</f>
        <v>0</v>
      </c>
      <c r="CV41" s="88" t="n">
        <f aca="false">CT41+CV40</f>
        <v>0</v>
      </c>
      <c r="CW41" s="88" t="n">
        <f aca="false">CU41+CW40</f>
        <v>0</v>
      </c>
      <c r="CX41" s="88" t="n">
        <f aca="false">MAX(CX40,CV41-CW41)</f>
        <v>0</v>
      </c>
      <c r="CY41" s="88" t="n">
        <f aca="false">CX41-CX40</f>
        <v>0</v>
      </c>
      <c r="CZ41" s="88" t="n">
        <f aca="false">IF(B41=2026,INDEX($C$19:$Q$19,1,B41-2025)*$AO$4*C41/MAX(0.0001,12-$AO$3),INDEX($C$19:$Q$19,1,B41-2025)/12)</f>
        <v>0</v>
      </c>
      <c r="DA41" s="88" t="n">
        <f aca="false">$AO$6*$X$19*C41/MAX(0.0001,12-$AO$3)</f>
        <v>0</v>
      </c>
      <c r="DB41" s="88" t="n">
        <f aca="false">CZ41+DB40</f>
        <v>0</v>
      </c>
      <c r="DC41" s="88" t="n">
        <f aca="false">DA41+DC40</f>
        <v>0</v>
      </c>
      <c r="DD41" s="88" t="n">
        <f aca="false">MAX(DD40,DB41-DC41)</f>
        <v>0</v>
      </c>
      <c r="DE41" s="88" t="n">
        <f aca="false">DD41-DD40</f>
        <v>0</v>
      </c>
      <c r="DF41" s="88" t="n">
        <f aca="false">IF(B41=2026,INDEX($C$20:$Q$20,1,B41-2025)*$AO$4*C41/MAX(0.0001,12-$AO$3),INDEX($C$20:$Q$20,1,B41-2025)/12)</f>
        <v>0</v>
      </c>
      <c r="DG41" s="88" t="n">
        <f aca="false">$AO$6*$X$20*C41/MAX(0.0001,12-$AO$3)</f>
        <v>0</v>
      </c>
      <c r="DH41" s="88" t="n">
        <f aca="false">DF41+DH40</f>
        <v>0</v>
      </c>
      <c r="DI41" s="88" t="n">
        <f aca="false">DG41+DI40</f>
        <v>0</v>
      </c>
      <c r="DJ41" s="88" t="n">
        <f aca="false">MAX(DJ40,DH41-DI41)</f>
        <v>0</v>
      </c>
      <c r="DK41" s="88" t="n">
        <f aca="false">DJ41-DJ40</f>
        <v>0</v>
      </c>
      <c r="DL41" s="88" t="n">
        <f aca="false">IF(B41=2026,INDEX($C$21:$Q$21,1,B41-2025)*$AO$4*C41/MAX(0.0001,12-$AO$3),INDEX($C$21:$Q$21,1,B41-2025)/12)</f>
        <v>0</v>
      </c>
      <c r="DM41" s="88" t="n">
        <f aca="false">$AO$6*$X$21*C41/MAX(0.0001,12-$AO$3)</f>
        <v>0</v>
      </c>
      <c r="DN41" s="88" t="n">
        <f aca="false">DL41+DN40</f>
        <v>0</v>
      </c>
      <c r="DO41" s="88" t="n">
        <f aca="false">DM41+DO40</f>
        <v>0</v>
      </c>
      <c r="DP41" s="88" t="n">
        <f aca="false">MAX(DP40,DN41-DO41)</f>
        <v>0</v>
      </c>
      <c r="DQ41" s="88" t="n">
        <f aca="false">DP41-DP40</f>
        <v>0</v>
      </c>
      <c r="DR41" s="88" t="n">
        <f aca="false">IF(B41=2026,INDEX($C$22:$Q$22,1,B41-2025)*$AO$4*C41/MAX(0.0001,12-$AO$3),INDEX($C$22:$Q$22,1,B41-2025)/12)</f>
        <v>0</v>
      </c>
      <c r="DS41" s="88" t="n">
        <f aca="false">$AO$6*$X$22*C41/MAX(0.0001,12-$AO$3)</f>
        <v>0</v>
      </c>
      <c r="DT41" s="88" t="n">
        <f aca="false">DR41+DT40</f>
        <v>0</v>
      </c>
      <c r="DU41" s="88" t="n">
        <f aca="false">DS41+DU40</f>
        <v>0</v>
      </c>
      <c r="DV41" s="88" t="n">
        <f aca="false">MAX(DV40,DT41-DU41)</f>
        <v>0</v>
      </c>
      <c r="DW41" s="88" t="n">
        <f aca="false">DV41-DV40</f>
        <v>0</v>
      </c>
      <c r="DX41" s="88" t="n">
        <f aca="false">IF(B41=2026,INDEX($C$23:$Q$23,1,B41-2025)*$AO$4*C41/MAX(0.0001,12-$AO$3),INDEX($C$23:$Q$23,1,B41-2025)/12)</f>
        <v>0</v>
      </c>
      <c r="DY41" s="88" t="n">
        <f aca="false">$AO$6*$X$23*C41/MAX(0.0001,12-$AO$3)</f>
        <v>0</v>
      </c>
      <c r="DZ41" s="88" t="n">
        <f aca="false">DX41+DZ40</f>
        <v>0</v>
      </c>
      <c r="EA41" s="88" t="n">
        <f aca="false">DY41+EA40</f>
        <v>0</v>
      </c>
      <c r="EB41" s="88" t="n">
        <f aca="false">MAX(EB40,DZ41-EA41)</f>
        <v>0</v>
      </c>
      <c r="EC41" s="88" t="n">
        <f aca="false">EB41-EB40</f>
        <v>0</v>
      </c>
      <c r="ED41" s="88" t="n">
        <f aca="false">IF(B41=2026,INDEX($C$24:$Q$24,1,B41-2025)*$AO$4*C41/MAX(0.0001,12-$AO$3),INDEX($C$24:$Q$24,1,B41-2025)/12)</f>
        <v>0</v>
      </c>
      <c r="EE41" s="88" t="n">
        <f aca="false">$AO$6*$X$24*C41/MAX(0.0001,12-$AO$3)</f>
        <v>0</v>
      </c>
      <c r="EF41" s="88" t="n">
        <f aca="false">ED41+EF40</f>
        <v>0</v>
      </c>
      <c r="EG41" s="88" t="n">
        <f aca="false">EE41+EG40</f>
        <v>0</v>
      </c>
      <c r="EH41" s="88" t="n">
        <f aca="false">MAX(EH40,EF41-EG41)</f>
        <v>0</v>
      </c>
      <c r="EI41" s="88" t="n">
        <f aca="false">EH41-EH40</f>
        <v>0</v>
      </c>
      <c r="EJ41" s="88" t="n">
        <f aca="false">IF(B41=2026,INDEX($C$25:$Q$25,1,B41-2025)*$AO$4*C41/MAX(0.0001,12-$AO$3),INDEX($C$25:$Q$25,1,B41-2025)/12)</f>
        <v>0</v>
      </c>
      <c r="EK41" s="88" t="n">
        <f aca="false">$AO$6*$X$25*C41/MAX(0.0001,12-$AO$3)</f>
        <v>0</v>
      </c>
      <c r="EL41" s="88" t="n">
        <f aca="false">EJ41+EL40</f>
        <v>0</v>
      </c>
      <c r="EM41" s="88" t="n">
        <f aca="false">EK41+EM40</f>
        <v>0</v>
      </c>
      <c r="EN41" s="88" t="n">
        <f aca="false">MAX(EN40,EL41-EM41)</f>
        <v>0</v>
      </c>
      <c r="EO41" s="88" t="n">
        <f aca="false">EN41-EN40</f>
        <v>0</v>
      </c>
      <c r="EP41" s="88" t="n">
        <f aca="false">IF(B41=2026,INDEX($C$26:$Q$26,1,B41-2025)*$AO$4*C41/MAX(0.0001,12-$AO$3),INDEX($C$26:$Q$26,1,B41-2025)/12)</f>
        <v>0</v>
      </c>
      <c r="EQ41" s="88" t="n">
        <f aca="false">$AO$6*$X$26*C41/MAX(0.0001,12-$AO$3)</f>
        <v>0</v>
      </c>
      <c r="ER41" s="88" t="n">
        <f aca="false">EP41+ER40</f>
        <v>0</v>
      </c>
      <c r="ES41" s="88" t="n">
        <f aca="false">EQ41+ES40</f>
        <v>0</v>
      </c>
      <c r="ET41" s="88" t="n">
        <f aca="false">MAX(ET40,ER41-ES41)</f>
        <v>0</v>
      </c>
      <c r="EU41" s="88" t="n">
        <f aca="false">ET41-ET40</f>
        <v>0</v>
      </c>
      <c r="EV41" s="88" t="n">
        <f aca="false">IF(B41=2026,INDEX($C$27:$Q$27,1,B41-2025)*$AO$4*C41/MAX(0.0001,12-$AO$3),INDEX($C$27:$Q$27,1,B41-2025)/12)</f>
        <v>0</v>
      </c>
      <c r="EW41" s="88" t="n">
        <f aca="false">$AO$6*$X$27*C41/MAX(0.0001,12-$AO$3)</f>
        <v>0</v>
      </c>
      <c r="EX41" s="88" t="n">
        <f aca="false">EV41+EX40</f>
        <v>0</v>
      </c>
      <c r="EY41" s="88" t="n">
        <f aca="false">EW41+EY40</f>
        <v>0</v>
      </c>
      <c r="EZ41" s="88" t="n">
        <f aca="false">MAX(EZ40,EX41-EY41)</f>
        <v>0</v>
      </c>
      <c r="FA41" s="88" t="n">
        <f aca="false">EZ41-EZ40</f>
        <v>0</v>
      </c>
      <c r="FB41" s="88" t="n">
        <f aca="false">IF(B41=2026,INDEX($C$28:$Q$28,1,B41-2025)*$AO$4*C41/MAX(0.0001,12-$AO$3),INDEX($C$28:$Q$28,1,B41-2025)/12)</f>
        <v>0</v>
      </c>
      <c r="FC41" s="88" t="n">
        <f aca="false">$AO$6*$X$28*C41/MAX(0.0001,12-$AO$3)</f>
        <v>0</v>
      </c>
      <c r="FD41" s="88" t="n">
        <f aca="false">FB41+FD40</f>
        <v>0</v>
      </c>
      <c r="FE41" s="88" t="n">
        <f aca="false">FC41+FE40</f>
        <v>0</v>
      </c>
      <c r="FF41" s="88" t="n">
        <f aca="false">MAX(FF40,FD41-FE41)</f>
        <v>0</v>
      </c>
      <c r="FG41" s="88" t="n">
        <f aca="false">FF41-FF40</f>
        <v>0</v>
      </c>
    </row>
    <row r="42" customFormat="false" ht="15" hidden="false" customHeight="false" outlineLevel="0" collapsed="false">
      <c r="A42" s="0" t="n">
        <v>2</v>
      </c>
      <c r="B42" s="88" t="n">
        <f aca="false">2026+INT(A42/12)</f>
        <v>2026</v>
      </c>
      <c r="C42" s="88" t="n">
        <f aca="false">MAX(0,MIN(1,A42+1-$AO$3))</f>
        <v>0</v>
      </c>
      <c r="D42" s="88" t="n">
        <f aca="false">IF((A42+0.5-(0))&lt;$AO$3,0,2026+INT((A42+0.5-(0))/12))</f>
        <v>0</v>
      </c>
      <c r="E42" s="88" t="n">
        <f aca="false">IF((A42+0.5-($AO$9))&lt;$AO$3,0,2026+INT((A42+0.5-($AO$9))/12))</f>
        <v>0</v>
      </c>
      <c r="F42" s="88" t="n">
        <f aca="false">IF((A42+0.5-($AO$9+$AO$8))&lt;$AO$3,0,2026+INT((A42+0.5-($AO$9+$AO$8))/12))</f>
        <v>0</v>
      </c>
      <c r="G42" s="88" t="n">
        <f aca="false">IF((A42+0.5-($AO$9+$AO$8+$AO$7))&lt;$AO$3,0,2026+INT((A42+0.5-($AO$9+$AO$8+$AO$7))/12))</f>
        <v>0</v>
      </c>
      <c r="H42" s="88" t="n">
        <f aca="false">IF(B42=2026,INDEX($C$3:$Q$3,1,B42-2025)*$AO$4*C42/MAX(0.0001,12-$AO$3),INDEX($C$3:$Q$3,1,B42-2025)/12)</f>
        <v>0</v>
      </c>
      <c r="I42" s="88" t="n">
        <f aca="false">$AO$6*$X$3*C42/MAX(0.0001,12-$AO$3)</f>
        <v>0</v>
      </c>
      <c r="J42" s="88" t="n">
        <f aca="false">H42+J41</f>
        <v>0</v>
      </c>
      <c r="K42" s="88" t="n">
        <f aca="false">I42+K41</f>
        <v>0</v>
      </c>
      <c r="L42" s="88" t="n">
        <f aca="false">MAX(L41,J42-K42)</f>
        <v>0</v>
      </c>
      <c r="M42" s="88" t="n">
        <f aca="false">L42-L41</f>
        <v>0</v>
      </c>
      <c r="N42" s="88" t="n">
        <f aca="false">IF(B42=2026,INDEX($C$4:$Q$4,1,B42-2025)*$AO$4*C42/MAX(0.0001,12-$AO$3),INDEX($C$4:$Q$4,1,B42-2025)/12)</f>
        <v>0</v>
      </c>
      <c r="O42" s="88" t="n">
        <f aca="false">$AO$6*$X$4*C42/MAX(0.0001,12-$AO$3)</f>
        <v>0</v>
      </c>
      <c r="P42" s="88" t="n">
        <f aca="false">N42+P41</f>
        <v>0</v>
      </c>
      <c r="Q42" s="88" t="n">
        <f aca="false">O42+Q41</f>
        <v>0</v>
      </c>
      <c r="R42" s="88" t="n">
        <f aca="false">MAX(R41,P42-Q42)</f>
        <v>0</v>
      </c>
      <c r="S42" s="88" t="n">
        <f aca="false">R42-R41</f>
        <v>0</v>
      </c>
      <c r="T42" s="88" t="n">
        <f aca="false">IF(B42=2026,INDEX($C$5:$Q$5,1,B42-2025)*$AO$4*C42/MAX(0.0001,12-$AO$3),INDEX($C$5:$Q$5,1,B42-2025)/12)</f>
        <v>0</v>
      </c>
      <c r="U42" s="88" t="n">
        <f aca="false">$AO$6*$X$5*C42/MAX(0.0001,12-$AO$3)</f>
        <v>0</v>
      </c>
      <c r="V42" s="88" t="n">
        <f aca="false">T42+V41</f>
        <v>0</v>
      </c>
      <c r="W42" s="88" t="n">
        <f aca="false">U42+W41</f>
        <v>0</v>
      </c>
      <c r="X42" s="88" t="n">
        <f aca="false">MAX(X41,V42-W42)</f>
        <v>0</v>
      </c>
      <c r="Y42" s="88" t="n">
        <f aca="false">X42-X41</f>
        <v>0</v>
      </c>
      <c r="Z42" s="88" t="n">
        <f aca="false">IF(B42=2026,INDEX($C$6:$Q$6,1,B42-2025)*$AO$4*C42/MAX(0.0001,12-$AO$3),INDEX($C$6:$Q$6,1,B42-2025)/12)</f>
        <v>0</v>
      </c>
      <c r="AA42" s="88" t="n">
        <f aca="false">$AO$6*$X$6*C42/MAX(0.0001,12-$AO$3)</f>
        <v>0</v>
      </c>
      <c r="AB42" s="88" t="n">
        <f aca="false">Z42+AB41</f>
        <v>0</v>
      </c>
      <c r="AC42" s="88" t="n">
        <f aca="false">AA42+AC41</f>
        <v>0</v>
      </c>
      <c r="AD42" s="88" t="n">
        <f aca="false">MAX(AD41,AB42-AC42)</f>
        <v>0</v>
      </c>
      <c r="AE42" s="88" t="n">
        <f aca="false">AD42-AD41</f>
        <v>0</v>
      </c>
      <c r="AF42" s="88" t="n">
        <f aca="false">IF(B42=2026,INDEX($C$7:$Q$7,1,B42-2025)*$AO$4*C42/MAX(0.0001,12-$AO$3),INDEX($C$7:$Q$7,1,B42-2025)/12)</f>
        <v>0</v>
      </c>
      <c r="AG42" s="88" t="n">
        <f aca="false">$AO$6*$X$7*C42/MAX(0.0001,12-$AO$3)</f>
        <v>0</v>
      </c>
      <c r="AH42" s="88" t="n">
        <f aca="false">AF42+AH41</f>
        <v>0</v>
      </c>
      <c r="AI42" s="88" t="n">
        <f aca="false">AG42+AI41</f>
        <v>0</v>
      </c>
      <c r="AJ42" s="88" t="n">
        <f aca="false">MAX(AJ41,AH42-AI42)</f>
        <v>0</v>
      </c>
      <c r="AK42" s="88" t="n">
        <f aca="false">AJ42-AJ41</f>
        <v>0</v>
      </c>
      <c r="AL42" s="88" t="n">
        <f aca="false">IF(B42=2026,INDEX($C$8:$Q$8,1,B42-2025)*$AO$4*C42/MAX(0.0001,12-$AO$3),INDEX($C$8:$Q$8,1,B42-2025)/12)</f>
        <v>0</v>
      </c>
      <c r="AM42" s="88" t="n">
        <f aca="false">$AO$6*$X$8*C42/MAX(0.0001,12-$AO$3)</f>
        <v>0</v>
      </c>
      <c r="AN42" s="88" t="n">
        <f aca="false">AL42+AN41</f>
        <v>0</v>
      </c>
      <c r="AO42" s="88" t="n">
        <f aca="false">AM42+AO41</f>
        <v>0</v>
      </c>
      <c r="AP42" s="88" t="n">
        <f aca="false">MAX(AP41,AN42-AO42)</f>
        <v>0</v>
      </c>
      <c r="AQ42" s="88" t="n">
        <f aca="false">AP42-AP41</f>
        <v>0</v>
      </c>
      <c r="AR42" s="88" t="n">
        <f aca="false">IF(B42=2026,INDEX($C$9:$Q$9,1,B42-2025)*$AO$4*C42/MAX(0.0001,12-$AO$3),INDEX($C$9:$Q$9,1,B42-2025)/12)</f>
        <v>0</v>
      </c>
      <c r="AS42" s="88" t="n">
        <f aca="false">$AO$6*$X$9*C42/MAX(0.0001,12-$AO$3)</f>
        <v>0</v>
      </c>
      <c r="AT42" s="88" t="n">
        <f aca="false">AR42+AT41</f>
        <v>0</v>
      </c>
      <c r="AU42" s="88" t="n">
        <f aca="false">AS42+AU41</f>
        <v>0</v>
      </c>
      <c r="AV42" s="88" t="n">
        <f aca="false">MAX(AV41,AT42-AU42)</f>
        <v>0</v>
      </c>
      <c r="AW42" s="88" t="n">
        <f aca="false">AV42-AV41</f>
        <v>0</v>
      </c>
      <c r="AX42" s="88" t="n">
        <f aca="false">IF(B42=2026,INDEX($C$10:$Q$10,1,B42-2025)*$AO$4*C42/MAX(0.0001,12-$AO$3),INDEX($C$10:$Q$10,1,B42-2025)/12)</f>
        <v>0</v>
      </c>
      <c r="AY42" s="88" t="n">
        <f aca="false">$AO$6*$X$10*C42/MAX(0.0001,12-$AO$3)</f>
        <v>0</v>
      </c>
      <c r="AZ42" s="88" t="n">
        <f aca="false">AX42+AZ41</f>
        <v>0</v>
      </c>
      <c r="BA42" s="88" t="n">
        <f aca="false">AY42+BA41</f>
        <v>0</v>
      </c>
      <c r="BB42" s="88" t="n">
        <f aca="false">MAX(BB41,AZ42-BA42)</f>
        <v>0</v>
      </c>
      <c r="BC42" s="88" t="n">
        <f aca="false">BB42-BB41</f>
        <v>0</v>
      </c>
      <c r="BD42" s="88" t="n">
        <f aca="false">IF(B42=2026,INDEX($C$11:$Q$11,1,B42-2025)*$AO$4*C42/MAX(0.0001,12-$AO$3),INDEX($C$11:$Q$11,1,B42-2025)/12)</f>
        <v>0</v>
      </c>
      <c r="BE42" s="88" t="n">
        <f aca="false">$AO$6*$X$11*C42/MAX(0.0001,12-$AO$3)</f>
        <v>0</v>
      </c>
      <c r="BF42" s="88" t="n">
        <f aca="false">BD42+BF41</f>
        <v>0</v>
      </c>
      <c r="BG42" s="88" t="n">
        <f aca="false">BE42+BG41</f>
        <v>0</v>
      </c>
      <c r="BH42" s="88" t="n">
        <f aca="false">MAX(BH41,BF42-BG42)</f>
        <v>0</v>
      </c>
      <c r="BI42" s="88" t="n">
        <f aca="false">BH42-BH41</f>
        <v>0</v>
      </c>
      <c r="BJ42" s="88" t="n">
        <f aca="false">IF(B42=2026,INDEX($C$12:$Q$12,1,B42-2025)*$AO$4*C42/MAX(0.0001,12-$AO$3),INDEX($C$12:$Q$12,1,B42-2025)/12)</f>
        <v>0</v>
      </c>
      <c r="BK42" s="88" t="n">
        <f aca="false">$AO$6*$X$12*C42/MAX(0.0001,12-$AO$3)</f>
        <v>0</v>
      </c>
      <c r="BL42" s="88" t="n">
        <f aca="false">BJ42+BL41</f>
        <v>0</v>
      </c>
      <c r="BM42" s="88" t="n">
        <f aca="false">BK42+BM41</f>
        <v>0</v>
      </c>
      <c r="BN42" s="88" t="n">
        <f aca="false">MAX(BN41,BL42-BM42)</f>
        <v>0</v>
      </c>
      <c r="BO42" s="88" t="n">
        <f aca="false">BN42-BN41</f>
        <v>0</v>
      </c>
      <c r="BP42" s="88" t="n">
        <f aca="false">IF(B42=2026,INDEX($C$13:$Q$13,1,B42-2025)*$AO$4*C42/MAX(0.0001,12-$AO$3),INDEX($C$13:$Q$13,1,B42-2025)/12)</f>
        <v>0</v>
      </c>
      <c r="BQ42" s="88" t="n">
        <f aca="false">$AO$6*$X$13*C42/MAX(0.0001,12-$AO$3)</f>
        <v>0</v>
      </c>
      <c r="BR42" s="88" t="n">
        <f aca="false">BP42+BR41</f>
        <v>0</v>
      </c>
      <c r="BS42" s="88" t="n">
        <f aca="false">BQ42+BS41</f>
        <v>0</v>
      </c>
      <c r="BT42" s="88" t="n">
        <f aca="false">MAX(BT41,BR42-BS42)</f>
        <v>0</v>
      </c>
      <c r="BU42" s="88" t="n">
        <f aca="false">BT42-BT41</f>
        <v>0</v>
      </c>
      <c r="BV42" s="88" t="n">
        <f aca="false">IF(B42=2026,INDEX($C$14:$Q$14,1,B42-2025)*$AO$4*C42/MAX(0.0001,12-$AO$3),INDEX($C$14:$Q$14,1,B42-2025)/12)</f>
        <v>0</v>
      </c>
      <c r="BW42" s="88" t="n">
        <f aca="false">$AO$6*$X$14*C42/MAX(0.0001,12-$AO$3)</f>
        <v>0</v>
      </c>
      <c r="BX42" s="88" t="n">
        <f aca="false">BV42+BX41</f>
        <v>0</v>
      </c>
      <c r="BY42" s="88" t="n">
        <f aca="false">BW42+BY41</f>
        <v>0</v>
      </c>
      <c r="BZ42" s="88" t="n">
        <f aca="false">MAX(BZ41,BX42-BY42)</f>
        <v>0</v>
      </c>
      <c r="CA42" s="88" t="n">
        <f aca="false">BZ42-BZ41</f>
        <v>0</v>
      </c>
      <c r="CB42" s="88" t="n">
        <f aca="false">IF(B42=2026,INDEX($C$15:$Q$15,1,B42-2025)*$AO$4*C42/MAX(0.0001,12-$AO$3),INDEX($C$15:$Q$15,1,B42-2025)/12)</f>
        <v>0</v>
      </c>
      <c r="CC42" s="88" t="n">
        <f aca="false">$AO$6*$X$15*C42/MAX(0.0001,12-$AO$3)</f>
        <v>0</v>
      </c>
      <c r="CD42" s="88" t="n">
        <f aca="false">CB42+CD41</f>
        <v>0</v>
      </c>
      <c r="CE42" s="88" t="n">
        <f aca="false">CC42+CE41</f>
        <v>0</v>
      </c>
      <c r="CF42" s="88" t="n">
        <f aca="false">MAX(CF41,CD42-CE42)</f>
        <v>0</v>
      </c>
      <c r="CG42" s="88" t="n">
        <f aca="false">CF42-CF41</f>
        <v>0</v>
      </c>
      <c r="CH42" s="88" t="n">
        <f aca="false">IF(B42=2026,INDEX($C$16:$Q$16,1,B42-2025)*$AO$4*C42/MAX(0.0001,12-$AO$3),INDEX($C$16:$Q$16,1,B42-2025)/12)</f>
        <v>0</v>
      </c>
      <c r="CI42" s="88" t="n">
        <f aca="false">$AO$6*$X$16*C42/MAX(0.0001,12-$AO$3)</f>
        <v>0</v>
      </c>
      <c r="CJ42" s="88" t="n">
        <f aca="false">CH42+CJ41</f>
        <v>0</v>
      </c>
      <c r="CK42" s="88" t="n">
        <f aca="false">CI42+CK41</f>
        <v>0</v>
      </c>
      <c r="CL42" s="88" t="n">
        <f aca="false">MAX(CL41,CJ42-CK42)</f>
        <v>0</v>
      </c>
      <c r="CM42" s="88" t="n">
        <f aca="false">CL42-CL41</f>
        <v>0</v>
      </c>
      <c r="CN42" s="88" t="n">
        <f aca="false">IF(B42=2026,INDEX($C$17:$Q$17,1,B42-2025)*$AO$4*C42/MAX(0.0001,12-$AO$3),INDEX($C$17:$Q$17,1,B42-2025)/12)</f>
        <v>0</v>
      </c>
      <c r="CO42" s="88" t="n">
        <f aca="false">$AO$6*$X$17*C42/MAX(0.0001,12-$AO$3)</f>
        <v>0</v>
      </c>
      <c r="CP42" s="88" t="n">
        <f aca="false">CN42+CP41</f>
        <v>0</v>
      </c>
      <c r="CQ42" s="88" t="n">
        <f aca="false">CO42+CQ41</f>
        <v>0</v>
      </c>
      <c r="CR42" s="88" t="n">
        <f aca="false">MAX(CR41,CP42-CQ42)</f>
        <v>0</v>
      </c>
      <c r="CS42" s="88" t="n">
        <f aca="false">CR42-CR41</f>
        <v>0</v>
      </c>
      <c r="CT42" s="88" t="n">
        <f aca="false">IF(B42=2026,INDEX($C$18:$Q$18,1,B42-2025)*$AO$4*C42/MAX(0.0001,12-$AO$3),INDEX($C$18:$Q$18,1,B42-2025)/12)</f>
        <v>0</v>
      </c>
      <c r="CU42" s="88" t="n">
        <f aca="false">$AO$6*$X$18*C42/MAX(0.0001,12-$AO$3)</f>
        <v>0</v>
      </c>
      <c r="CV42" s="88" t="n">
        <f aca="false">CT42+CV41</f>
        <v>0</v>
      </c>
      <c r="CW42" s="88" t="n">
        <f aca="false">CU42+CW41</f>
        <v>0</v>
      </c>
      <c r="CX42" s="88" t="n">
        <f aca="false">MAX(CX41,CV42-CW42)</f>
        <v>0</v>
      </c>
      <c r="CY42" s="88" t="n">
        <f aca="false">CX42-CX41</f>
        <v>0</v>
      </c>
      <c r="CZ42" s="88" t="n">
        <f aca="false">IF(B42=2026,INDEX($C$19:$Q$19,1,B42-2025)*$AO$4*C42/MAX(0.0001,12-$AO$3),INDEX($C$19:$Q$19,1,B42-2025)/12)</f>
        <v>0</v>
      </c>
      <c r="DA42" s="88" t="n">
        <f aca="false">$AO$6*$X$19*C42/MAX(0.0001,12-$AO$3)</f>
        <v>0</v>
      </c>
      <c r="DB42" s="88" t="n">
        <f aca="false">CZ42+DB41</f>
        <v>0</v>
      </c>
      <c r="DC42" s="88" t="n">
        <f aca="false">DA42+DC41</f>
        <v>0</v>
      </c>
      <c r="DD42" s="88" t="n">
        <f aca="false">MAX(DD41,DB42-DC42)</f>
        <v>0</v>
      </c>
      <c r="DE42" s="88" t="n">
        <f aca="false">DD42-DD41</f>
        <v>0</v>
      </c>
      <c r="DF42" s="88" t="n">
        <f aca="false">IF(B42=2026,INDEX($C$20:$Q$20,1,B42-2025)*$AO$4*C42/MAX(0.0001,12-$AO$3),INDEX($C$20:$Q$20,1,B42-2025)/12)</f>
        <v>0</v>
      </c>
      <c r="DG42" s="88" t="n">
        <f aca="false">$AO$6*$X$20*C42/MAX(0.0001,12-$AO$3)</f>
        <v>0</v>
      </c>
      <c r="DH42" s="88" t="n">
        <f aca="false">DF42+DH41</f>
        <v>0</v>
      </c>
      <c r="DI42" s="88" t="n">
        <f aca="false">DG42+DI41</f>
        <v>0</v>
      </c>
      <c r="DJ42" s="88" t="n">
        <f aca="false">MAX(DJ41,DH42-DI42)</f>
        <v>0</v>
      </c>
      <c r="DK42" s="88" t="n">
        <f aca="false">DJ42-DJ41</f>
        <v>0</v>
      </c>
      <c r="DL42" s="88" t="n">
        <f aca="false">IF(B42=2026,INDEX($C$21:$Q$21,1,B42-2025)*$AO$4*C42/MAX(0.0001,12-$AO$3),INDEX($C$21:$Q$21,1,B42-2025)/12)</f>
        <v>0</v>
      </c>
      <c r="DM42" s="88" t="n">
        <f aca="false">$AO$6*$X$21*C42/MAX(0.0001,12-$AO$3)</f>
        <v>0</v>
      </c>
      <c r="DN42" s="88" t="n">
        <f aca="false">DL42+DN41</f>
        <v>0</v>
      </c>
      <c r="DO42" s="88" t="n">
        <f aca="false">DM42+DO41</f>
        <v>0</v>
      </c>
      <c r="DP42" s="88" t="n">
        <f aca="false">MAX(DP41,DN42-DO42)</f>
        <v>0</v>
      </c>
      <c r="DQ42" s="88" t="n">
        <f aca="false">DP42-DP41</f>
        <v>0</v>
      </c>
      <c r="DR42" s="88" t="n">
        <f aca="false">IF(B42=2026,INDEX($C$22:$Q$22,1,B42-2025)*$AO$4*C42/MAX(0.0001,12-$AO$3),INDEX($C$22:$Q$22,1,B42-2025)/12)</f>
        <v>0</v>
      </c>
      <c r="DS42" s="88" t="n">
        <f aca="false">$AO$6*$X$22*C42/MAX(0.0001,12-$AO$3)</f>
        <v>0</v>
      </c>
      <c r="DT42" s="88" t="n">
        <f aca="false">DR42+DT41</f>
        <v>0</v>
      </c>
      <c r="DU42" s="88" t="n">
        <f aca="false">DS42+DU41</f>
        <v>0</v>
      </c>
      <c r="DV42" s="88" t="n">
        <f aca="false">MAX(DV41,DT42-DU42)</f>
        <v>0</v>
      </c>
      <c r="DW42" s="88" t="n">
        <f aca="false">DV42-DV41</f>
        <v>0</v>
      </c>
      <c r="DX42" s="88" t="n">
        <f aca="false">IF(B42=2026,INDEX($C$23:$Q$23,1,B42-2025)*$AO$4*C42/MAX(0.0001,12-$AO$3),INDEX($C$23:$Q$23,1,B42-2025)/12)</f>
        <v>0</v>
      </c>
      <c r="DY42" s="88" t="n">
        <f aca="false">$AO$6*$X$23*C42/MAX(0.0001,12-$AO$3)</f>
        <v>0</v>
      </c>
      <c r="DZ42" s="88" t="n">
        <f aca="false">DX42+DZ41</f>
        <v>0</v>
      </c>
      <c r="EA42" s="88" t="n">
        <f aca="false">DY42+EA41</f>
        <v>0</v>
      </c>
      <c r="EB42" s="88" t="n">
        <f aca="false">MAX(EB41,DZ42-EA42)</f>
        <v>0</v>
      </c>
      <c r="EC42" s="88" t="n">
        <f aca="false">EB42-EB41</f>
        <v>0</v>
      </c>
      <c r="ED42" s="88" t="n">
        <f aca="false">IF(B42=2026,INDEX($C$24:$Q$24,1,B42-2025)*$AO$4*C42/MAX(0.0001,12-$AO$3),INDEX($C$24:$Q$24,1,B42-2025)/12)</f>
        <v>0</v>
      </c>
      <c r="EE42" s="88" t="n">
        <f aca="false">$AO$6*$X$24*C42/MAX(0.0001,12-$AO$3)</f>
        <v>0</v>
      </c>
      <c r="EF42" s="88" t="n">
        <f aca="false">ED42+EF41</f>
        <v>0</v>
      </c>
      <c r="EG42" s="88" t="n">
        <f aca="false">EE42+EG41</f>
        <v>0</v>
      </c>
      <c r="EH42" s="88" t="n">
        <f aca="false">MAX(EH41,EF42-EG42)</f>
        <v>0</v>
      </c>
      <c r="EI42" s="88" t="n">
        <f aca="false">EH42-EH41</f>
        <v>0</v>
      </c>
      <c r="EJ42" s="88" t="n">
        <f aca="false">IF(B42=2026,INDEX($C$25:$Q$25,1,B42-2025)*$AO$4*C42/MAX(0.0001,12-$AO$3),INDEX($C$25:$Q$25,1,B42-2025)/12)</f>
        <v>0</v>
      </c>
      <c r="EK42" s="88" t="n">
        <f aca="false">$AO$6*$X$25*C42/MAX(0.0001,12-$AO$3)</f>
        <v>0</v>
      </c>
      <c r="EL42" s="88" t="n">
        <f aca="false">EJ42+EL41</f>
        <v>0</v>
      </c>
      <c r="EM42" s="88" t="n">
        <f aca="false">EK42+EM41</f>
        <v>0</v>
      </c>
      <c r="EN42" s="88" t="n">
        <f aca="false">MAX(EN41,EL42-EM42)</f>
        <v>0</v>
      </c>
      <c r="EO42" s="88" t="n">
        <f aca="false">EN42-EN41</f>
        <v>0</v>
      </c>
      <c r="EP42" s="88" t="n">
        <f aca="false">IF(B42=2026,INDEX($C$26:$Q$26,1,B42-2025)*$AO$4*C42/MAX(0.0001,12-$AO$3),INDEX($C$26:$Q$26,1,B42-2025)/12)</f>
        <v>0</v>
      </c>
      <c r="EQ42" s="88" t="n">
        <f aca="false">$AO$6*$X$26*C42/MAX(0.0001,12-$AO$3)</f>
        <v>0</v>
      </c>
      <c r="ER42" s="88" t="n">
        <f aca="false">EP42+ER41</f>
        <v>0</v>
      </c>
      <c r="ES42" s="88" t="n">
        <f aca="false">EQ42+ES41</f>
        <v>0</v>
      </c>
      <c r="ET42" s="88" t="n">
        <f aca="false">MAX(ET41,ER42-ES42)</f>
        <v>0</v>
      </c>
      <c r="EU42" s="88" t="n">
        <f aca="false">ET42-ET41</f>
        <v>0</v>
      </c>
      <c r="EV42" s="88" t="n">
        <f aca="false">IF(B42=2026,INDEX($C$27:$Q$27,1,B42-2025)*$AO$4*C42/MAX(0.0001,12-$AO$3),INDEX($C$27:$Q$27,1,B42-2025)/12)</f>
        <v>0</v>
      </c>
      <c r="EW42" s="88" t="n">
        <f aca="false">$AO$6*$X$27*C42/MAX(0.0001,12-$AO$3)</f>
        <v>0</v>
      </c>
      <c r="EX42" s="88" t="n">
        <f aca="false">EV42+EX41</f>
        <v>0</v>
      </c>
      <c r="EY42" s="88" t="n">
        <f aca="false">EW42+EY41</f>
        <v>0</v>
      </c>
      <c r="EZ42" s="88" t="n">
        <f aca="false">MAX(EZ41,EX42-EY42)</f>
        <v>0</v>
      </c>
      <c r="FA42" s="88" t="n">
        <f aca="false">EZ42-EZ41</f>
        <v>0</v>
      </c>
      <c r="FB42" s="88" t="n">
        <f aca="false">IF(B42=2026,INDEX($C$28:$Q$28,1,B42-2025)*$AO$4*C42/MAX(0.0001,12-$AO$3),INDEX($C$28:$Q$28,1,B42-2025)/12)</f>
        <v>0</v>
      </c>
      <c r="FC42" s="88" t="n">
        <f aca="false">$AO$6*$X$28*C42/MAX(0.0001,12-$AO$3)</f>
        <v>0</v>
      </c>
      <c r="FD42" s="88" t="n">
        <f aca="false">FB42+FD41</f>
        <v>0</v>
      </c>
      <c r="FE42" s="88" t="n">
        <f aca="false">FC42+FE41</f>
        <v>0</v>
      </c>
      <c r="FF42" s="88" t="n">
        <f aca="false">MAX(FF41,FD42-FE42)</f>
        <v>0</v>
      </c>
      <c r="FG42" s="88" t="n">
        <f aca="false">FF42-FF41</f>
        <v>0</v>
      </c>
    </row>
    <row r="43" customFormat="false" ht="15" hidden="false" customHeight="false" outlineLevel="0" collapsed="false">
      <c r="A43" s="0" t="n">
        <v>3</v>
      </c>
      <c r="B43" s="88" t="n">
        <f aca="false">2026+INT(A43/12)</f>
        <v>2026</v>
      </c>
      <c r="C43" s="88" t="n">
        <f aca="false">MAX(0,MIN(1,A43+1-$AO$3))</f>
        <v>0</v>
      </c>
      <c r="D43" s="88" t="n">
        <f aca="false">IF((A43+0.5-(0))&lt;$AO$3,0,2026+INT((A43+0.5-(0))/12))</f>
        <v>0</v>
      </c>
      <c r="E43" s="88" t="n">
        <f aca="false">IF((A43+0.5-($AO$9))&lt;$AO$3,0,2026+INT((A43+0.5-($AO$9))/12))</f>
        <v>0</v>
      </c>
      <c r="F43" s="88" t="n">
        <f aca="false">IF((A43+0.5-($AO$9+$AO$8))&lt;$AO$3,0,2026+INT((A43+0.5-($AO$9+$AO$8))/12))</f>
        <v>0</v>
      </c>
      <c r="G43" s="88" t="n">
        <f aca="false">IF((A43+0.5-($AO$9+$AO$8+$AO$7))&lt;$AO$3,0,2026+INT((A43+0.5-($AO$9+$AO$8+$AO$7))/12))</f>
        <v>0</v>
      </c>
      <c r="H43" s="88" t="n">
        <f aca="false">IF(B43=2026,INDEX($C$3:$Q$3,1,B43-2025)*$AO$4*C43/MAX(0.0001,12-$AO$3),INDEX($C$3:$Q$3,1,B43-2025)/12)</f>
        <v>0</v>
      </c>
      <c r="I43" s="88" t="n">
        <f aca="false">$AO$6*$X$3*C43/MAX(0.0001,12-$AO$3)</f>
        <v>0</v>
      </c>
      <c r="J43" s="88" t="n">
        <f aca="false">H43+J42</f>
        <v>0</v>
      </c>
      <c r="K43" s="88" t="n">
        <f aca="false">I43+K42</f>
        <v>0</v>
      </c>
      <c r="L43" s="88" t="n">
        <f aca="false">MAX(L42,J43-K43)</f>
        <v>0</v>
      </c>
      <c r="M43" s="88" t="n">
        <f aca="false">L43-L42</f>
        <v>0</v>
      </c>
      <c r="N43" s="88" t="n">
        <f aca="false">IF(B43=2026,INDEX($C$4:$Q$4,1,B43-2025)*$AO$4*C43/MAX(0.0001,12-$AO$3),INDEX($C$4:$Q$4,1,B43-2025)/12)</f>
        <v>0</v>
      </c>
      <c r="O43" s="88" t="n">
        <f aca="false">$AO$6*$X$4*C43/MAX(0.0001,12-$AO$3)</f>
        <v>0</v>
      </c>
      <c r="P43" s="88" t="n">
        <f aca="false">N43+P42</f>
        <v>0</v>
      </c>
      <c r="Q43" s="88" t="n">
        <f aca="false">O43+Q42</f>
        <v>0</v>
      </c>
      <c r="R43" s="88" t="n">
        <f aca="false">MAX(R42,P43-Q43)</f>
        <v>0</v>
      </c>
      <c r="S43" s="88" t="n">
        <f aca="false">R43-R42</f>
        <v>0</v>
      </c>
      <c r="T43" s="88" t="n">
        <f aca="false">IF(B43=2026,INDEX($C$5:$Q$5,1,B43-2025)*$AO$4*C43/MAX(0.0001,12-$AO$3),INDEX($C$5:$Q$5,1,B43-2025)/12)</f>
        <v>0</v>
      </c>
      <c r="U43" s="88" t="n">
        <f aca="false">$AO$6*$X$5*C43/MAX(0.0001,12-$AO$3)</f>
        <v>0</v>
      </c>
      <c r="V43" s="88" t="n">
        <f aca="false">T43+V42</f>
        <v>0</v>
      </c>
      <c r="W43" s="88" t="n">
        <f aca="false">U43+W42</f>
        <v>0</v>
      </c>
      <c r="X43" s="88" t="n">
        <f aca="false">MAX(X42,V43-W43)</f>
        <v>0</v>
      </c>
      <c r="Y43" s="88" t="n">
        <f aca="false">X43-X42</f>
        <v>0</v>
      </c>
      <c r="Z43" s="88" t="n">
        <f aca="false">IF(B43=2026,INDEX($C$6:$Q$6,1,B43-2025)*$AO$4*C43/MAX(0.0001,12-$AO$3),INDEX($C$6:$Q$6,1,B43-2025)/12)</f>
        <v>0</v>
      </c>
      <c r="AA43" s="88" t="n">
        <f aca="false">$AO$6*$X$6*C43/MAX(0.0001,12-$AO$3)</f>
        <v>0</v>
      </c>
      <c r="AB43" s="88" t="n">
        <f aca="false">Z43+AB42</f>
        <v>0</v>
      </c>
      <c r="AC43" s="88" t="n">
        <f aca="false">AA43+AC42</f>
        <v>0</v>
      </c>
      <c r="AD43" s="88" t="n">
        <f aca="false">MAX(AD42,AB43-AC43)</f>
        <v>0</v>
      </c>
      <c r="AE43" s="88" t="n">
        <f aca="false">AD43-AD42</f>
        <v>0</v>
      </c>
      <c r="AF43" s="88" t="n">
        <f aca="false">IF(B43=2026,INDEX($C$7:$Q$7,1,B43-2025)*$AO$4*C43/MAX(0.0001,12-$AO$3),INDEX($C$7:$Q$7,1,B43-2025)/12)</f>
        <v>0</v>
      </c>
      <c r="AG43" s="88" t="n">
        <f aca="false">$AO$6*$X$7*C43/MAX(0.0001,12-$AO$3)</f>
        <v>0</v>
      </c>
      <c r="AH43" s="88" t="n">
        <f aca="false">AF43+AH42</f>
        <v>0</v>
      </c>
      <c r="AI43" s="88" t="n">
        <f aca="false">AG43+AI42</f>
        <v>0</v>
      </c>
      <c r="AJ43" s="88" t="n">
        <f aca="false">MAX(AJ42,AH43-AI43)</f>
        <v>0</v>
      </c>
      <c r="AK43" s="88" t="n">
        <f aca="false">AJ43-AJ42</f>
        <v>0</v>
      </c>
      <c r="AL43" s="88" t="n">
        <f aca="false">IF(B43=2026,INDEX($C$8:$Q$8,1,B43-2025)*$AO$4*C43/MAX(0.0001,12-$AO$3),INDEX($C$8:$Q$8,1,B43-2025)/12)</f>
        <v>0</v>
      </c>
      <c r="AM43" s="88" t="n">
        <f aca="false">$AO$6*$X$8*C43/MAX(0.0001,12-$AO$3)</f>
        <v>0</v>
      </c>
      <c r="AN43" s="88" t="n">
        <f aca="false">AL43+AN42</f>
        <v>0</v>
      </c>
      <c r="AO43" s="88" t="n">
        <f aca="false">AM43+AO42</f>
        <v>0</v>
      </c>
      <c r="AP43" s="88" t="n">
        <f aca="false">MAX(AP42,AN43-AO43)</f>
        <v>0</v>
      </c>
      <c r="AQ43" s="88" t="n">
        <f aca="false">AP43-AP42</f>
        <v>0</v>
      </c>
      <c r="AR43" s="88" t="n">
        <f aca="false">IF(B43=2026,INDEX($C$9:$Q$9,1,B43-2025)*$AO$4*C43/MAX(0.0001,12-$AO$3),INDEX($C$9:$Q$9,1,B43-2025)/12)</f>
        <v>0</v>
      </c>
      <c r="AS43" s="88" t="n">
        <f aca="false">$AO$6*$X$9*C43/MAX(0.0001,12-$AO$3)</f>
        <v>0</v>
      </c>
      <c r="AT43" s="88" t="n">
        <f aca="false">AR43+AT42</f>
        <v>0</v>
      </c>
      <c r="AU43" s="88" t="n">
        <f aca="false">AS43+AU42</f>
        <v>0</v>
      </c>
      <c r="AV43" s="88" t="n">
        <f aca="false">MAX(AV42,AT43-AU43)</f>
        <v>0</v>
      </c>
      <c r="AW43" s="88" t="n">
        <f aca="false">AV43-AV42</f>
        <v>0</v>
      </c>
      <c r="AX43" s="88" t="n">
        <f aca="false">IF(B43=2026,INDEX($C$10:$Q$10,1,B43-2025)*$AO$4*C43/MAX(0.0001,12-$AO$3),INDEX($C$10:$Q$10,1,B43-2025)/12)</f>
        <v>0</v>
      </c>
      <c r="AY43" s="88" t="n">
        <f aca="false">$AO$6*$X$10*C43/MAX(0.0001,12-$AO$3)</f>
        <v>0</v>
      </c>
      <c r="AZ43" s="88" t="n">
        <f aca="false">AX43+AZ42</f>
        <v>0</v>
      </c>
      <c r="BA43" s="88" t="n">
        <f aca="false">AY43+BA42</f>
        <v>0</v>
      </c>
      <c r="BB43" s="88" t="n">
        <f aca="false">MAX(BB42,AZ43-BA43)</f>
        <v>0</v>
      </c>
      <c r="BC43" s="88" t="n">
        <f aca="false">BB43-BB42</f>
        <v>0</v>
      </c>
      <c r="BD43" s="88" t="n">
        <f aca="false">IF(B43=2026,INDEX($C$11:$Q$11,1,B43-2025)*$AO$4*C43/MAX(0.0001,12-$AO$3),INDEX($C$11:$Q$11,1,B43-2025)/12)</f>
        <v>0</v>
      </c>
      <c r="BE43" s="88" t="n">
        <f aca="false">$AO$6*$X$11*C43/MAX(0.0001,12-$AO$3)</f>
        <v>0</v>
      </c>
      <c r="BF43" s="88" t="n">
        <f aca="false">BD43+BF42</f>
        <v>0</v>
      </c>
      <c r="BG43" s="88" t="n">
        <f aca="false">BE43+BG42</f>
        <v>0</v>
      </c>
      <c r="BH43" s="88" t="n">
        <f aca="false">MAX(BH42,BF43-BG43)</f>
        <v>0</v>
      </c>
      <c r="BI43" s="88" t="n">
        <f aca="false">BH43-BH42</f>
        <v>0</v>
      </c>
      <c r="BJ43" s="88" t="n">
        <f aca="false">IF(B43=2026,INDEX($C$12:$Q$12,1,B43-2025)*$AO$4*C43/MAX(0.0001,12-$AO$3),INDEX($C$12:$Q$12,1,B43-2025)/12)</f>
        <v>0</v>
      </c>
      <c r="BK43" s="88" t="n">
        <f aca="false">$AO$6*$X$12*C43/MAX(0.0001,12-$AO$3)</f>
        <v>0</v>
      </c>
      <c r="BL43" s="88" t="n">
        <f aca="false">BJ43+BL42</f>
        <v>0</v>
      </c>
      <c r="BM43" s="88" t="n">
        <f aca="false">BK43+BM42</f>
        <v>0</v>
      </c>
      <c r="BN43" s="88" t="n">
        <f aca="false">MAX(BN42,BL43-BM43)</f>
        <v>0</v>
      </c>
      <c r="BO43" s="88" t="n">
        <f aca="false">BN43-BN42</f>
        <v>0</v>
      </c>
      <c r="BP43" s="88" t="n">
        <f aca="false">IF(B43=2026,INDEX($C$13:$Q$13,1,B43-2025)*$AO$4*C43/MAX(0.0001,12-$AO$3),INDEX($C$13:$Q$13,1,B43-2025)/12)</f>
        <v>0</v>
      </c>
      <c r="BQ43" s="88" t="n">
        <f aca="false">$AO$6*$X$13*C43/MAX(0.0001,12-$AO$3)</f>
        <v>0</v>
      </c>
      <c r="BR43" s="88" t="n">
        <f aca="false">BP43+BR42</f>
        <v>0</v>
      </c>
      <c r="BS43" s="88" t="n">
        <f aca="false">BQ43+BS42</f>
        <v>0</v>
      </c>
      <c r="BT43" s="88" t="n">
        <f aca="false">MAX(BT42,BR43-BS43)</f>
        <v>0</v>
      </c>
      <c r="BU43" s="88" t="n">
        <f aca="false">BT43-BT42</f>
        <v>0</v>
      </c>
      <c r="BV43" s="88" t="n">
        <f aca="false">IF(B43=2026,INDEX($C$14:$Q$14,1,B43-2025)*$AO$4*C43/MAX(0.0001,12-$AO$3),INDEX($C$14:$Q$14,1,B43-2025)/12)</f>
        <v>0</v>
      </c>
      <c r="BW43" s="88" t="n">
        <f aca="false">$AO$6*$X$14*C43/MAX(0.0001,12-$AO$3)</f>
        <v>0</v>
      </c>
      <c r="BX43" s="88" t="n">
        <f aca="false">BV43+BX42</f>
        <v>0</v>
      </c>
      <c r="BY43" s="88" t="n">
        <f aca="false">BW43+BY42</f>
        <v>0</v>
      </c>
      <c r="BZ43" s="88" t="n">
        <f aca="false">MAX(BZ42,BX43-BY43)</f>
        <v>0</v>
      </c>
      <c r="CA43" s="88" t="n">
        <f aca="false">BZ43-BZ42</f>
        <v>0</v>
      </c>
      <c r="CB43" s="88" t="n">
        <f aca="false">IF(B43=2026,INDEX($C$15:$Q$15,1,B43-2025)*$AO$4*C43/MAX(0.0001,12-$AO$3),INDEX($C$15:$Q$15,1,B43-2025)/12)</f>
        <v>0</v>
      </c>
      <c r="CC43" s="88" t="n">
        <f aca="false">$AO$6*$X$15*C43/MAX(0.0001,12-$AO$3)</f>
        <v>0</v>
      </c>
      <c r="CD43" s="88" t="n">
        <f aca="false">CB43+CD42</f>
        <v>0</v>
      </c>
      <c r="CE43" s="88" t="n">
        <f aca="false">CC43+CE42</f>
        <v>0</v>
      </c>
      <c r="CF43" s="88" t="n">
        <f aca="false">MAX(CF42,CD43-CE43)</f>
        <v>0</v>
      </c>
      <c r="CG43" s="88" t="n">
        <f aca="false">CF43-CF42</f>
        <v>0</v>
      </c>
      <c r="CH43" s="88" t="n">
        <f aca="false">IF(B43=2026,INDEX($C$16:$Q$16,1,B43-2025)*$AO$4*C43/MAX(0.0001,12-$AO$3),INDEX($C$16:$Q$16,1,B43-2025)/12)</f>
        <v>0</v>
      </c>
      <c r="CI43" s="88" t="n">
        <f aca="false">$AO$6*$X$16*C43/MAX(0.0001,12-$AO$3)</f>
        <v>0</v>
      </c>
      <c r="CJ43" s="88" t="n">
        <f aca="false">CH43+CJ42</f>
        <v>0</v>
      </c>
      <c r="CK43" s="88" t="n">
        <f aca="false">CI43+CK42</f>
        <v>0</v>
      </c>
      <c r="CL43" s="88" t="n">
        <f aca="false">MAX(CL42,CJ43-CK43)</f>
        <v>0</v>
      </c>
      <c r="CM43" s="88" t="n">
        <f aca="false">CL43-CL42</f>
        <v>0</v>
      </c>
      <c r="CN43" s="88" t="n">
        <f aca="false">IF(B43=2026,INDEX($C$17:$Q$17,1,B43-2025)*$AO$4*C43/MAX(0.0001,12-$AO$3),INDEX($C$17:$Q$17,1,B43-2025)/12)</f>
        <v>0</v>
      </c>
      <c r="CO43" s="88" t="n">
        <f aca="false">$AO$6*$X$17*C43/MAX(0.0001,12-$AO$3)</f>
        <v>0</v>
      </c>
      <c r="CP43" s="88" t="n">
        <f aca="false">CN43+CP42</f>
        <v>0</v>
      </c>
      <c r="CQ43" s="88" t="n">
        <f aca="false">CO43+CQ42</f>
        <v>0</v>
      </c>
      <c r="CR43" s="88" t="n">
        <f aca="false">MAX(CR42,CP43-CQ43)</f>
        <v>0</v>
      </c>
      <c r="CS43" s="88" t="n">
        <f aca="false">CR43-CR42</f>
        <v>0</v>
      </c>
      <c r="CT43" s="88" t="n">
        <f aca="false">IF(B43=2026,INDEX($C$18:$Q$18,1,B43-2025)*$AO$4*C43/MAX(0.0001,12-$AO$3),INDEX($C$18:$Q$18,1,B43-2025)/12)</f>
        <v>0</v>
      </c>
      <c r="CU43" s="88" t="n">
        <f aca="false">$AO$6*$X$18*C43/MAX(0.0001,12-$AO$3)</f>
        <v>0</v>
      </c>
      <c r="CV43" s="88" t="n">
        <f aca="false">CT43+CV42</f>
        <v>0</v>
      </c>
      <c r="CW43" s="88" t="n">
        <f aca="false">CU43+CW42</f>
        <v>0</v>
      </c>
      <c r="CX43" s="88" t="n">
        <f aca="false">MAX(CX42,CV43-CW43)</f>
        <v>0</v>
      </c>
      <c r="CY43" s="88" t="n">
        <f aca="false">CX43-CX42</f>
        <v>0</v>
      </c>
      <c r="CZ43" s="88" t="n">
        <f aca="false">IF(B43=2026,INDEX($C$19:$Q$19,1,B43-2025)*$AO$4*C43/MAX(0.0001,12-$AO$3),INDEX($C$19:$Q$19,1,B43-2025)/12)</f>
        <v>0</v>
      </c>
      <c r="DA43" s="88" t="n">
        <f aca="false">$AO$6*$X$19*C43/MAX(0.0001,12-$AO$3)</f>
        <v>0</v>
      </c>
      <c r="DB43" s="88" t="n">
        <f aca="false">CZ43+DB42</f>
        <v>0</v>
      </c>
      <c r="DC43" s="88" t="n">
        <f aca="false">DA43+DC42</f>
        <v>0</v>
      </c>
      <c r="DD43" s="88" t="n">
        <f aca="false">MAX(DD42,DB43-DC43)</f>
        <v>0</v>
      </c>
      <c r="DE43" s="88" t="n">
        <f aca="false">DD43-DD42</f>
        <v>0</v>
      </c>
      <c r="DF43" s="88" t="n">
        <f aca="false">IF(B43=2026,INDEX($C$20:$Q$20,1,B43-2025)*$AO$4*C43/MAX(0.0001,12-$AO$3),INDEX($C$20:$Q$20,1,B43-2025)/12)</f>
        <v>0</v>
      </c>
      <c r="DG43" s="88" t="n">
        <f aca="false">$AO$6*$X$20*C43/MAX(0.0001,12-$AO$3)</f>
        <v>0</v>
      </c>
      <c r="DH43" s="88" t="n">
        <f aca="false">DF43+DH42</f>
        <v>0</v>
      </c>
      <c r="DI43" s="88" t="n">
        <f aca="false">DG43+DI42</f>
        <v>0</v>
      </c>
      <c r="DJ43" s="88" t="n">
        <f aca="false">MAX(DJ42,DH43-DI43)</f>
        <v>0</v>
      </c>
      <c r="DK43" s="88" t="n">
        <f aca="false">DJ43-DJ42</f>
        <v>0</v>
      </c>
      <c r="DL43" s="88" t="n">
        <f aca="false">IF(B43=2026,INDEX($C$21:$Q$21,1,B43-2025)*$AO$4*C43/MAX(0.0001,12-$AO$3),INDEX($C$21:$Q$21,1,B43-2025)/12)</f>
        <v>0</v>
      </c>
      <c r="DM43" s="88" t="n">
        <f aca="false">$AO$6*$X$21*C43/MAX(0.0001,12-$AO$3)</f>
        <v>0</v>
      </c>
      <c r="DN43" s="88" t="n">
        <f aca="false">DL43+DN42</f>
        <v>0</v>
      </c>
      <c r="DO43" s="88" t="n">
        <f aca="false">DM43+DO42</f>
        <v>0</v>
      </c>
      <c r="DP43" s="88" t="n">
        <f aca="false">MAX(DP42,DN43-DO43)</f>
        <v>0</v>
      </c>
      <c r="DQ43" s="88" t="n">
        <f aca="false">DP43-DP42</f>
        <v>0</v>
      </c>
      <c r="DR43" s="88" t="n">
        <f aca="false">IF(B43=2026,INDEX($C$22:$Q$22,1,B43-2025)*$AO$4*C43/MAX(0.0001,12-$AO$3),INDEX($C$22:$Q$22,1,B43-2025)/12)</f>
        <v>0</v>
      </c>
      <c r="DS43" s="88" t="n">
        <f aca="false">$AO$6*$X$22*C43/MAX(0.0001,12-$AO$3)</f>
        <v>0</v>
      </c>
      <c r="DT43" s="88" t="n">
        <f aca="false">DR43+DT42</f>
        <v>0</v>
      </c>
      <c r="DU43" s="88" t="n">
        <f aca="false">DS43+DU42</f>
        <v>0</v>
      </c>
      <c r="DV43" s="88" t="n">
        <f aca="false">MAX(DV42,DT43-DU43)</f>
        <v>0</v>
      </c>
      <c r="DW43" s="88" t="n">
        <f aca="false">DV43-DV42</f>
        <v>0</v>
      </c>
      <c r="DX43" s="88" t="n">
        <f aca="false">IF(B43=2026,INDEX($C$23:$Q$23,1,B43-2025)*$AO$4*C43/MAX(0.0001,12-$AO$3),INDEX($C$23:$Q$23,1,B43-2025)/12)</f>
        <v>0</v>
      </c>
      <c r="DY43" s="88" t="n">
        <f aca="false">$AO$6*$X$23*C43/MAX(0.0001,12-$AO$3)</f>
        <v>0</v>
      </c>
      <c r="DZ43" s="88" t="n">
        <f aca="false">DX43+DZ42</f>
        <v>0</v>
      </c>
      <c r="EA43" s="88" t="n">
        <f aca="false">DY43+EA42</f>
        <v>0</v>
      </c>
      <c r="EB43" s="88" t="n">
        <f aca="false">MAX(EB42,DZ43-EA43)</f>
        <v>0</v>
      </c>
      <c r="EC43" s="88" t="n">
        <f aca="false">EB43-EB42</f>
        <v>0</v>
      </c>
      <c r="ED43" s="88" t="n">
        <f aca="false">IF(B43=2026,INDEX($C$24:$Q$24,1,B43-2025)*$AO$4*C43/MAX(0.0001,12-$AO$3),INDEX($C$24:$Q$24,1,B43-2025)/12)</f>
        <v>0</v>
      </c>
      <c r="EE43" s="88" t="n">
        <f aca="false">$AO$6*$X$24*C43/MAX(0.0001,12-$AO$3)</f>
        <v>0</v>
      </c>
      <c r="EF43" s="88" t="n">
        <f aca="false">ED43+EF42</f>
        <v>0</v>
      </c>
      <c r="EG43" s="88" t="n">
        <f aca="false">EE43+EG42</f>
        <v>0</v>
      </c>
      <c r="EH43" s="88" t="n">
        <f aca="false">MAX(EH42,EF43-EG43)</f>
        <v>0</v>
      </c>
      <c r="EI43" s="88" t="n">
        <f aca="false">EH43-EH42</f>
        <v>0</v>
      </c>
      <c r="EJ43" s="88" t="n">
        <f aca="false">IF(B43=2026,INDEX($C$25:$Q$25,1,B43-2025)*$AO$4*C43/MAX(0.0001,12-$AO$3),INDEX($C$25:$Q$25,1,B43-2025)/12)</f>
        <v>0</v>
      </c>
      <c r="EK43" s="88" t="n">
        <f aca="false">$AO$6*$X$25*C43/MAX(0.0001,12-$AO$3)</f>
        <v>0</v>
      </c>
      <c r="EL43" s="88" t="n">
        <f aca="false">EJ43+EL42</f>
        <v>0</v>
      </c>
      <c r="EM43" s="88" t="n">
        <f aca="false">EK43+EM42</f>
        <v>0</v>
      </c>
      <c r="EN43" s="88" t="n">
        <f aca="false">MAX(EN42,EL43-EM43)</f>
        <v>0</v>
      </c>
      <c r="EO43" s="88" t="n">
        <f aca="false">EN43-EN42</f>
        <v>0</v>
      </c>
      <c r="EP43" s="88" t="n">
        <f aca="false">IF(B43=2026,INDEX($C$26:$Q$26,1,B43-2025)*$AO$4*C43/MAX(0.0001,12-$AO$3),INDEX($C$26:$Q$26,1,B43-2025)/12)</f>
        <v>0</v>
      </c>
      <c r="EQ43" s="88" t="n">
        <f aca="false">$AO$6*$X$26*C43/MAX(0.0001,12-$AO$3)</f>
        <v>0</v>
      </c>
      <c r="ER43" s="88" t="n">
        <f aca="false">EP43+ER42</f>
        <v>0</v>
      </c>
      <c r="ES43" s="88" t="n">
        <f aca="false">EQ43+ES42</f>
        <v>0</v>
      </c>
      <c r="ET43" s="88" t="n">
        <f aca="false">MAX(ET42,ER43-ES43)</f>
        <v>0</v>
      </c>
      <c r="EU43" s="88" t="n">
        <f aca="false">ET43-ET42</f>
        <v>0</v>
      </c>
      <c r="EV43" s="88" t="n">
        <f aca="false">IF(B43=2026,INDEX($C$27:$Q$27,1,B43-2025)*$AO$4*C43/MAX(0.0001,12-$AO$3),INDEX($C$27:$Q$27,1,B43-2025)/12)</f>
        <v>0</v>
      </c>
      <c r="EW43" s="88" t="n">
        <f aca="false">$AO$6*$X$27*C43/MAX(0.0001,12-$AO$3)</f>
        <v>0</v>
      </c>
      <c r="EX43" s="88" t="n">
        <f aca="false">EV43+EX42</f>
        <v>0</v>
      </c>
      <c r="EY43" s="88" t="n">
        <f aca="false">EW43+EY42</f>
        <v>0</v>
      </c>
      <c r="EZ43" s="88" t="n">
        <f aca="false">MAX(EZ42,EX43-EY43)</f>
        <v>0</v>
      </c>
      <c r="FA43" s="88" t="n">
        <f aca="false">EZ43-EZ42</f>
        <v>0</v>
      </c>
      <c r="FB43" s="88" t="n">
        <f aca="false">IF(B43=2026,INDEX($C$28:$Q$28,1,B43-2025)*$AO$4*C43/MAX(0.0001,12-$AO$3),INDEX($C$28:$Q$28,1,B43-2025)/12)</f>
        <v>0</v>
      </c>
      <c r="FC43" s="88" t="n">
        <f aca="false">$AO$6*$X$28*C43/MAX(0.0001,12-$AO$3)</f>
        <v>0</v>
      </c>
      <c r="FD43" s="88" t="n">
        <f aca="false">FB43+FD42</f>
        <v>0</v>
      </c>
      <c r="FE43" s="88" t="n">
        <f aca="false">FC43+FE42</f>
        <v>0</v>
      </c>
      <c r="FF43" s="88" t="n">
        <f aca="false">MAX(FF42,FD43-FE43)</f>
        <v>0</v>
      </c>
      <c r="FG43" s="88" t="n">
        <f aca="false">FF43-FF42</f>
        <v>0</v>
      </c>
    </row>
    <row r="44" customFormat="false" ht="15" hidden="false" customHeight="false" outlineLevel="0" collapsed="false">
      <c r="A44" s="0" t="n">
        <v>4</v>
      </c>
      <c r="B44" s="88" t="n">
        <f aca="false">2026+INT(A44/12)</f>
        <v>2026</v>
      </c>
      <c r="C44" s="88" t="n">
        <f aca="false">MAX(0,MIN(1,A44+1-$AO$3))</f>
        <v>0</v>
      </c>
      <c r="D44" s="88" t="n">
        <f aca="false">IF((A44+0.5-(0))&lt;$AO$3,0,2026+INT((A44+0.5-(0))/12))</f>
        <v>0</v>
      </c>
      <c r="E44" s="88" t="n">
        <f aca="false">IF((A44+0.5-($AO$9))&lt;$AO$3,0,2026+INT((A44+0.5-($AO$9))/12))</f>
        <v>0</v>
      </c>
      <c r="F44" s="88" t="n">
        <f aca="false">IF((A44+0.5-($AO$9+$AO$8))&lt;$AO$3,0,2026+INT((A44+0.5-($AO$9+$AO$8))/12))</f>
        <v>0</v>
      </c>
      <c r="G44" s="88" t="n">
        <f aca="false">IF((A44+0.5-($AO$9+$AO$8+$AO$7))&lt;$AO$3,0,2026+INT((A44+0.5-($AO$9+$AO$8+$AO$7))/12))</f>
        <v>0</v>
      </c>
      <c r="H44" s="88" t="n">
        <f aca="false">IF(B44=2026,INDEX($C$3:$Q$3,1,B44-2025)*$AO$4*C44/MAX(0.0001,12-$AO$3),INDEX($C$3:$Q$3,1,B44-2025)/12)</f>
        <v>0</v>
      </c>
      <c r="I44" s="88" t="n">
        <f aca="false">$AO$6*$X$3*C44/MAX(0.0001,12-$AO$3)</f>
        <v>0</v>
      </c>
      <c r="J44" s="88" t="n">
        <f aca="false">H44+J43</f>
        <v>0</v>
      </c>
      <c r="K44" s="88" t="n">
        <f aca="false">I44+K43</f>
        <v>0</v>
      </c>
      <c r="L44" s="88" t="n">
        <f aca="false">MAX(L43,J44-K44)</f>
        <v>0</v>
      </c>
      <c r="M44" s="88" t="n">
        <f aca="false">L44-L43</f>
        <v>0</v>
      </c>
      <c r="N44" s="88" t="n">
        <f aca="false">IF(B44=2026,INDEX($C$4:$Q$4,1,B44-2025)*$AO$4*C44/MAX(0.0001,12-$AO$3),INDEX($C$4:$Q$4,1,B44-2025)/12)</f>
        <v>0</v>
      </c>
      <c r="O44" s="88" t="n">
        <f aca="false">$AO$6*$X$4*C44/MAX(0.0001,12-$AO$3)</f>
        <v>0</v>
      </c>
      <c r="P44" s="88" t="n">
        <f aca="false">N44+P43</f>
        <v>0</v>
      </c>
      <c r="Q44" s="88" t="n">
        <f aca="false">O44+Q43</f>
        <v>0</v>
      </c>
      <c r="R44" s="88" t="n">
        <f aca="false">MAX(R43,P44-Q44)</f>
        <v>0</v>
      </c>
      <c r="S44" s="88" t="n">
        <f aca="false">R44-R43</f>
        <v>0</v>
      </c>
      <c r="T44" s="88" t="n">
        <f aca="false">IF(B44=2026,INDEX($C$5:$Q$5,1,B44-2025)*$AO$4*C44/MAX(0.0001,12-$AO$3),INDEX($C$5:$Q$5,1,B44-2025)/12)</f>
        <v>0</v>
      </c>
      <c r="U44" s="88" t="n">
        <f aca="false">$AO$6*$X$5*C44/MAX(0.0001,12-$AO$3)</f>
        <v>0</v>
      </c>
      <c r="V44" s="88" t="n">
        <f aca="false">T44+V43</f>
        <v>0</v>
      </c>
      <c r="W44" s="88" t="n">
        <f aca="false">U44+W43</f>
        <v>0</v>
      </c>
      <c r="X44" s="88" t="n">
        <f aca="false">MAX(X43,V44-W44)</f>
        <v>0</v>
      </c>
      <c r="Y44" s="88" t="n">
        <f aca="false">X44-X43</f>
        <v>0</v>
      </c>
      <c r="Z44" s="88" t="n">
        <f aca="false">IF(B44=2026,INDEX($C$6:$Q$6,1,B44-2025)*$AO$4*C44/MAX(0.0001,12-$AO$3),INDEX($C$6:$Q$6,1,B44-2025)/12)</f>
        <v>0</v>
      </c>
      <c r="AA44" s="88" t="n">
        <f aca="false">$AO$6*$X$6*C44/MAX(0.0001,12-$AO$3)</f>
        <v>0</v>
      </c>
      <c r="AB44" s="88" t="n">
        <f aca="false">Z44+AB43</f>
        <v>0</v>
      </c>
      <c r="AC44" s="88" t="n">
        <f aca="false">AA44+AC43</f>
        <v>0</v>
      </c>
      <c r="AD44" s="88" t="n">
        <f aca="false">MAX(AD43,AB44-AC44)</f>
        <v>0</v>
      </c>
      <c r="AE44" s="88" t="n">
        <f aca="false">AD44-AD43</f>
        <v>0</v>
      </c>
      <c r="AF44" s="88" t="n">
        <f aca="false">IF(B44=2026,INDEX($C$7:$Q$7,1,B44-2025)*$AO$4*C44/MAX(0.0001,12-$AO$3),INDEX($C$7:$Q$7,1,B44-2025)/12)</f>
        <v>0</v>
      </c>
      <c r="AG44" s="88" t="n">
        <f aca="false">$AO$6*$X$7*C44/MAX(0.0001,12-$AO$3)</f>
        <v>0</v>
      </c>
      <c r="AH44" s="88" t="n">
        <f aca="false">AF44+AH43</f>
        <v>0</v>
      </c>
      <c r="AI44" s="88" t="n">
        <f aca="false">AG44+AI43</f>
        <v>0</v>
      </c>
      <c r="AJ44" s="88" t="n">
        <f aca="false">MAX(AJ43,AH44-AI44)</f>
        <v>0</v>
      </c>
      <c r="AK44" s="88" t="n">
        <f aca="false">AJ44-AJ43</f>
        <v>0</v>
      </c>
      <c r="AL44" s="88" t="n">
        <f aca="false">IF(B44=2026,INDEX($C$8:$Q$8,1,B44-2025)*$AO$4*C44/MAX(0.0001,12-$AO$3),INDEX($C$8:$Q$8,1,B44-2025)/12)</f>
        <v>0</v>
      </c>
      <c r="AM44" s="88" t="n">
        <f aca="false">$AO$6*$X$8*C44/MAX(0.0001,12-$AO$3)</f>
        <v>0</v>
      </c>
      <c r="AN44" s="88" t="n">
        <f aca="false">AL44+AN43</f>
        <v>0</v>
      </c>
      <c r="AO44" s="88" t="n">
        <f aca="false">AM44+AO43</f>
        <v>0</v>
      </c>
      <c r="AP44" s="88" t="n">
        <f aca="false">MAX(AP43,AN44-AO44)</f>
        <v>0</v>
      </c>
      <c r="AQ44" s="88" t="n">
        <f aca="false">AP44-AP43</f>
        <v>0</v>
      </c>
      <c r="AR44" s="88" t="n">
        <f aca="false">IF(B44=2026,INDEX($C$9:$Q$9,1,B44-2025)*$AO$4*C44/MAX(0.0001,12-$AO$3),INDEX($C$9:$Q$9,1,B44-2025)/12)</f>
        <v>0</v>
      </c>
      <c r="AS44" s="88" t="n">
        <f aca="false">$AO$6*$X$9*C44/MAX(0.0001,12-$AO$3)</f>
        <v>0</v>
      </c>
      <c r="AT44" s="88" t="n">
        <f aca="false">AR44+AT43</f>
        <v>0</v>
      </c>
      <c r="AU44" s="88" t="n">
        <f aca="false">AS44+AU43</f>
        <v>0</v>
      </c>
      <c r="AV44" s="88" t="n">
        <f aca="false">MAX(AV43,AT44-AU44)</f>
        <v>0</v>
      </c>
      <c r="AW44" s="88" t="n">
        <f aca="false">AV44-AV43</f>
        <v>0</v>
      </c>
      <c r="AX44" s="88" t="n">
        <f aca="false">IF(B44=2026,INDEX($C$10:$Q$10,1,B44-2025)*$AO$4*C44/MAX(0.0001,12-$AO$3),INDEX($C$10:$Q$10,1,B44-2025)/12)</f>
        <v>0</v>
      </c>
      <c r="AY44" s="88" t="n">
        <f aca="false">$AO$6*$X$10*C44/MAX(0.0001,12-$AO$3)</f>
        <v>0</v>
      </c>
      <c r="AZ44" s="88" t="n">
        <f aca="false">AX44+AZ43</f>
        <v>0</v>
      </c>
      <c r="BA44" s="88" t="n">
        <f aca="false">AY44+BA43</f>
        <v>0</v>
      </c>
      <c r="BB44" s="88" t="n">
        <f aca="false">MAX(BB43,AZ44-BA44)</f>
        <v>0</v>
      </c>
      <c r="BC44" s="88" t="n">
        <f aca="false">BB44-BB43</f>
        <v>0</v>
      </c>
      <c r="BD44" s="88" t="n">
        <f aca="false">IF(B44=2026,INDEX($C$11:$Q$11,1,B44-2025)*$AO$4*C44/MAX(0.0001,12-$AO$3),INDEX($C$11:$Q$11,1,B44-2025)/12)</f>
        <v>0</v>
      </c>
      <c r="BE44" s="88" t="n">
        <f aca="false">$AO$6*$X$11*C44/MAX(0.0001,12-$AO$3)</f>
        <v>0</v>
      </c>
      <c r="BF44" s="88" t="n">
        <f aca="false">BD44+BF43</f>
        <v>0</v>
      </c>
      <c r="BG44" s="88" t="n">
        <f aca="false">BE44+BG43</f>
        <v>0</v>
      </c>
      <c r="BH44" s="88" t="n">
        <f aca="false">MAX(BH43,BF44-BG44)</f>
        <v>0</v>
      </c>
      <c r="BI44" s="88" t="n">
        <f aca="false">BH44-BH43</f>
        <v>0</v>
      </c>
      <c r="BJ44" s="88" t="n">
        <f aca="false">IF(B44=2026,INDEX($C$12:$Q$12,1,B44-2025)*$AO$4*C44/MAX(0.0001,12-$AO$3),INDEX($C$12:$Q$12,1,B44-2025)/12)</f>
        <v>0</v>
      </c>
      <c r="BK44" s="88" t="n">
        <f aca="false">$AO$6*$X$12*C44/MAX(0.0001,12-$AO$3)</f>
        <v>0</v>
      </c>
      <c r="BL44" s="88" t="n">
        <f aca="false">BJ44+BL43</f>
        <v>0</v>
      </c>
      <c r="BM44" s="88" t="n">
        <f aca="false">BK44+BM43</f>
        <v>0</v>
      </c>
      <c r="BN44" s="88" t="n">
        <f aca="false">MAX(BN43,BL44-BM44)</f>
        <v>0</v>
      </c>
      <c r="BO44" s="88" t="n">
        <f aca="false">BN44-BN43</f>
        <v>0</v>
      </c>
      <c r="BP44" s="88" t="n">
        <f aca="false">IF(B44=2026,INDEX($C$13:$Q$13,1,B44-2025)*$AO$4*C44/MAX(0.0001,12-$AO$3),INDEX($C$13:$Q$13,1,B44-2025)/12)</f>
        <v>0</v>
      </c>
      <c r="BQ44" s="88" t="n">
        <f aca="false">$AO$6*$X$13*C44/MAX(0.0001,12-$AO$3)</f>
        <v>0</v>
      </c>
      <c r="BR44" s="88" t="n">
        <f aca="false">BP44+BR43</f>
        <v>0</v>
      </c>
      <c r="BS44" s="88" t="n">
        <f aca="false">BQ44+BS43</f>
        <v>0</v>
      </c>
      <c r="BT44" s="88" t="n">
        <f aca="false">MAX(BT43,BR44-BS44)</f>
        <v>0</v>
      </c>
      <c r="BU44" s="88" t="n">
        <f aca="false">BT44-BT43</f>
        <v>0</v>
      </c>
      <c r="BV44" s="88" t="n">
        <f aca="false">IF(B44=2026,INDEX($C$14:$Q$14,1,B44-2025)*$AO$4*C44/MAX(0.0001,12-$AO$3),INDEX($C$14:$Q$14,1,B44-2025)/12)</f>
        <v>0</v>
      </c>
      <c r="BW44" s="88" t="n">
        <f aca="false">$AO$6*$X$14*C44/MAX(0.0001,12-$AO$3)</f>
        <v>0</v>
      </c>
      <c r="BX44" s="88" t="n">
        <f aca="false">BV44+BX43</f>
        <v>0</v>
      </c>
      <c r="BY44" s="88" t="n">
        <f aca="false">BW44+BY43</f>
        <v>0</v>
      </c>
      <c r="BZ44" s="88" t="n">
        <f aca="false">MAX(BZ43,BX44-BY44)</f>
        <v>0</v>
      </c>
      <c r="CA44" s="88" t="n">
        <f aca="false">BZ44-BZ43</f>
        <v>0</v>
      </c>
      <c r="CB44" s="88" t="n">
        <f aca="false">IF(B44=2026,INDEX($C$15:$Q$15,1,B44-2025)*$AO$4*C44/MAX(0.0001,12-$AO$3),INDEX($C$15:$Q$15,1,B44-2025)/12)</f>
        <v>0</v>
      </c>
      <c r="CC44" s="88" t="n">
        <f aca="false">$AO$6*$X$15*C44/MAX(0.0001,12-$AO$3)</f>
        <v>0</v>
      </c>
      <c r="CD44" s="88" t="n">
        <f aca="false">CB44+CD43</f>
        <v>0</v>
      </c>
      <c r="CE44" s="88" t="n">
        <f aca="false">CC44+CE43</f>
        <v>0</v>
      </c>
      <c r="CF44" s="88" t="n">
        <f aca="false">MAX(CF43,CD44-CE44)</f>
        <v>0</v>
      </c>
      <c r="CG44" s="88" t="n">
        <f aca="false">CF44-CF43</f>
        <v>0</v>
      </c>
      <c r="CH44" s="88" t="n">
        <f aca="false">IF(B44=2026,INDEX($C$16:$Q$16,1,B44-2025)*$AO$4*C44/MAX(0.0001,12-$AO$3),INDEX($C$16:$Q$16,1,B44-2025)/12)</f>
        <v>0</v>
      </c>
      <c r="CI44" s="88" t="n">
        <f aca="false">$AO$6*$X$16*C44/MAX(0.0001,12-$AO$3)</f>
        <v>0</v>
      </c>
      <c r="CJ44" s="88" t="n">
        <f aca="false">CH44+CJ43</f>
        <v>0</v>
      </c>
      <c r="CK44" s="88" t="n">
        <f aca="false">CI44+CK43</f>
        <v>0</v>
      </c>
      <c r="CL44" s="88" t="n">
        <f aca="false">MAX(CL43,CJ44-CK44)</f>
        <v>0</v>
      </c>
      <c r="CM44" s="88" t="n">
        <f aca="false">CL44-CL43</f>
        <v>0</v>
      </c>
      <c r="CN44" s="88" t="n">
        <f aca="false">IF(B44=2026,INDEX($C$17:$Q$17,1,B44-2025)*$AO$4*C44/MAX(0.0001,12-$AO$3),INDEX($C$17:$Q$17,1,B44-2025)/12)</f>
        <v>0</v>
      </c>
      <c r="CO44" s="88" t="n">
        <f aca="false">$AO$6*$X$17*C44/MAX(0.0001,12-$AO$3)</f>
        <v>0</v>
      </c>
      <c r="CP44" s="88" t="n">
        <f aca="false">CN44+CP43</f>
        <v>0</v>
      </c>
      <c r="CQ44" s="88" t="n">
        <f aca="false">CO44+CQ43</f>
        <v>0</v>
      </c>
      <c r="CR44" s="88" t="n">
        <f aca="false">MAX(CR43,CP44-CQ44)</f>
        <v>0</v>
      </c>
      <c r="CS44" s="88" t="n">
        <f aca="false">CR44-CR43</f>
        <v>0</v>
      </c>
      <c r="CT44" s="88" t="n">
        <f aca="false">IF(B44=2026,INDEX($C$18:$Q$18,1,B44-2025)*$AO$4*C44/MAX(0.0001,12-$AO$3),INDEX($C$18:$Q$18,1,B44-2025)/12)</f>
        <v>0</v>
      </c>
      <c r="CU44" s="88" t="n">
        <f aca="false">$AO$6*$X$18*C44/MAX(0.0001,12-$AO$3)</f>
        <v>0</v>
      </c>
      <c r="CV44" s="88" t="n">
        <f aca="false">CT44+CV43</f>
        <v>0</v>
      </c>
      <c r="CW44" s="88" t="n">
        <f aca="false">CU44+CW43</f>
        <v>0</v>
      </c>
      <c r="CX44" s="88" t="n">
        <f aca="false">MAX(CX43,CV44-CW44)</f>
        <v>0</v>
      </c>
      <c r="CY44" s="88" t="n">
        <f aca="false">CX44-CX43</f>
        <v>0</v>
      </c>
      <c r="CZ44" s="88" t="n">
        <f aca="false">IF(B44=2026,INDEX($C$19:$Q$19,1,B44-2025)*$AO$4*C44/MAX(0.0001,12-$AO$3),INDEX($C$19:$Q$19,1,B44-2025)/12)</f>
        <v>0</v>
      </c>
      <c r="DA44" s="88" t="n">
        <f aca="false">$AO$6*$X$19*C44/MAX(0.0001,12-$AO$3)</f>
        <v>0</v>
      </c>
      <c r="DB44" s="88" t="n">
        <f aca="false">CZ44+DB43</f>
        <v>0</v>
      </c>
      <c r="DC44" s="88" t="n">
        <f aca="false">DA44+DC43</f>
        <v>0</v>
      </c>
      <c r="DD44" s="88" t="n">
        <f aca="false">MAX(DD43,DB44-DC44)</f>
        <v>0</v>
      </c>
      <c r="DE44" s="88" t="n">
        <f aca="false">DD44-DD43</f>
        <v>0</v>
      </c>
      <c r="DF44" s="88" t="n">
        <f aca="false">IF(B44=2026,INDEX($C$20:$Q$20,1,B44-2025)*$AO$4*C44/MAX(0.0001,12-$AO$3),INDEX($C$20:$Q$20,1,B44-2025)/12)</f>
        <v>0</v>
      </c>
      <c r="DG44" s="88" t="n">
        <f aca="false">$AO$6*$X$20*C44/MAX(0.0001,12-$AO$3)</f>
        <v>0</v>
      </c>
      <c r="DH44" s="88" t="n">
        <f aca="false">DF44+DH43</f>
        <v>0</v>
      </c>
      <c r="DI44" s="88" t="n">
        <f aca="false">DG44+DI43</f>
        <v>0</v>
      </c>
      <c r="DJ44" s="88" t="n">
        <f aca="false">MAX(DJ43,DH44-DI44)</f>
        <v>0</v>
      </c>
      <c r="DK44" s="88" t="n">
        <f aca="false">DJ44-DJ43</f>
        <v>0</v>
      </c>
      <c r="DL44" s="88" t="n">
        <f aca="false">IF(B44=2026,INDEX($C$21:$Q$21,1,B44-2025)*$AO$4*C44/MAX(0.0001,12-$AO$3),INDEX($C$21:$Q$21,1,B44-2025)/12)</f>
        <v>0</v>
      </c>
      <c r="DM44" s="88" t="n">
        <f aca="false">$AO$6*$X$21*C44/MAX(0.0001,12-$AO$3)</f>
        <v>0</v>
      </c>
      <c r="DN44" s="88" t="n">
        <f aca="false">DL44+DN43</f>
        <v>0</v>
      </c>
      <c r="DO44" s="88" t="n">
        <f aca="false">DM44+DO43</f>
        <v>0</v>
      </c>
      <c r="DP44" s="88" t="n">
        <f aca="false">MAX(DP43,DN44-DO44)</f>
        <v>0</v>
      </c>
      <c r="DQ44" s="88" t="n">
        <f aca="false">DP44-DP43</f>
        <v>0</v>
      </c>
      <c r="DR44" s="88" t="n">
        <f aca="false">IF(B44=2026,INDEX($C$22:$Q$22,1,B44-2025)*$AO$4*C44/MAX(0.0001,12-$AO$3),INDEX($C$22:$Q$22,1,B44-2025)/12)</f>
        <v>0</v>
      </c>
      <c r="DS44" s="88" t="n">
        <f aca="false">$AO$6*$X$22*C44/MAX(0.0001,12-$AO$3)</f>
        <v>0</v>
      </c>
      <c r="DT44" s="88" t="n">
        <f aca="false">DR44+DT43</f>
        <v>0</v>
      </c>
      <c r="DU44" s="88" t="n">
        <f aca="false">DS44+DU43</f>
        <v>0</v>
      </c>
      <c r="DV44" s="88" t="n">
        <f aca="false">MAX(DV43,DT44-DU44)</f>
        <v>0</v>
      </c>
      <c r="DW44" s="88" t="n">
        <f aca="false">DV44-DV43</f>
        <v>0</v>
      </c>
      <c r="DX44" s="88" t="n">
        <f aca="false">IF(B44=2026,INDEX($C$23:$Q$23,1,B44-2025)*$AO$4*C44/MAX(0.0001,12-$AO$3),INDEX($C$23:$Q$23,1,B44-2025)/12)</f>
        <v>0</v>
      </c>
      <c r="DY44" s="88" t="n">
        <f aca="false">$AO$6*$X$23*C44/MAX(0.0001,12-$AO$3)</f>
        <v>0</v>
      </c>
      <c r="DZ44" s="88" t="n">
        <f aca="false">DX44+DZ43</f>
        <v>0</v>
      </c>
      <c r="EA44" s="88" t="n">
        <f aca="false">DY44+EA43</f>
        <v>0</v>
      </c>
      <c r="EB44" s="88" t="n">
        <f aca="false">MAX(EB43,DZ44-EA44)</f>
        <v>0</v>
      </c>
      <c r="EC44" s="88" t="n">
        <f aca="false">EB44-EB43</f>
        <v>0</v>
      </c>
      <c r="ED44" s="88" t="n">
        <f aca="false">IF(B44=2026,INDEX($C$24:$Q$24,1,B44-2025)*$AO$4*C44/MAX(0.0001,12-$AO$3),INDEX($C$24:$Q$24,1,B44-2025)/12)</f>
        <v>0</v>
      </c>
      <c r="EE44" s="88" t="n">
        <f aca="false">$AO$6*$X$24*C44/MAX(0.0001,12-$AO$3)</f>
        <v>0</v>
      </c>
      <c r="EF44" s="88" t="n">
        <f aca="false">ED44+EF43</f>
        <v>0</v>
      </c>
      <c r="EG44" s="88" t="n">
        <f aca="false">EE44+EG43</f>
        <v>0</v>
      </c>
      <c r="EH44" s="88" t="n">
        <f aca="false">MAX(EH43,EF44-EG44)</f>
        <v>0</v>
      </c>
      <c r="EI44" s="88" t="n">
        <f aca="false">EH44-EH43</f>
        <v>0</v>
      </c>
      <c r="EJ44" s="88" t="n">
        <f aca="false">IF(B44=2026,INDEX($C$25:$Q$25,1,B44-2025)*$AO$4*C44/MAX(0.0001,12-$AO$3),INDEX($C$25:$Q$25,1,B44-2025)/12)</f>
        <v>0</v>
      </c>
      <c r="EK44" s="88" t="n">
        <f aca="false">$AO$6*$X$25*C44/MAX(0.0001,12-$AO$3)</f>
        <v>0</v>
      </c>
      <c r="EL44" s="88" t="n">
        <f aca="false">EJ44+EL43</f>
        <v>0</v>
      </c>
      <c r="EM44" s="88" t="n">
        <f aca="false">EK44+EM43</f>
        <v>0</v>
      </c>
      <c r="EN44" s="88" t="n">
        <f aca="false">MAX(EN43,EL44-EM44)</f>
        <v>0</v>
      </c>
      <c r="EO44" s="88" t="n">
        <f aca="false">EN44-EN43</f>
        <v>0</v>
      </c>
      <c r="EP44" s="88" t="n">
        <f aca="false">IF(B44=2026,INDEX($C$26:$Q$26,1,B44-2025)*$AO$4*C44/MAX(0.0001,12-$AO$3),INDEX($C$26:$Q$26,1,B44-2025)/12)</f>
        <v>0</v>
      </c>
      <c r="EQ44" s="88" t="n">
        <f aca="false">$AO$6*$X$26*C44/MAX(0.0001,12-$AO$3)</f>
        <v>0</v>
      </c>
      <c r="ER44" s="88" t="n">
        <f aca="false">EP44+ER43</f>
        <v>0</v>
      </c>
      <c r="ES44" s="88" t="n">
        <f aca="false">EQ44+ES43</f>
        <v>0</v>
      </c>
      <c r="ET44" s="88" t="n">
        <f aca="false">MAX(ET43,ER44-ES44)</f>
        <v>0</v>
      </c>
      <c r="EU44" s="88" t="n">
        <f aca="false">ET44-ET43</f>
        <v>0</v>
      </c>
      <c r="EV44" s="88" t="n">
        <f aca="false">IF(B44=2026,INDEX($C$27:$Q$27,1,B44-2025)*$AO$4*C44/MAX(0.0001,12-$AO$3),INDEX($C$27:$Q$27,1,B44-2025)/12)</f>
        <v>0</v>
      </c>
      <c r="EW44" s="88" t="n">
        <f aca="false">$AO$6*$X$27*C44/MAX(0.0001,12-$AO$3)</f>
        <v>0</v>
      </c>
      <c r="EX44" s="88" t="n">
        <f aca="false">EV44+EX43</f>
        <v>0</v>
      </c>
      <c r="EY44" s="88" t="n">
        <f aca="false">EW44+EY43</f>
        <v>0</v>
      </c>
      <c r="EZ44" s="88" t="n">
        <f aca="false">MAX(EZ43,EX44-EY44)</f>
        <v>0</v>
      </c>
      <c r="FA44" s="88" t="n">
        <f aca="false">EZ44-EZ43</f>
        <v>0</v>
      </c>
      <c r="FB44" s="88" t="n">
        <f aca="false">IF(B44=2026,INDEX($C$28:$Q$28,1,B44-2025)*$AO$4*C44/MAX(0.0001,12-$AO$3),INDEX($C$28:$Q$28,1,B44-2025)/12)</f>
        <v>0</v>
      </c>
      <c r="FC44" s="88" t="n">
        <f aca="false">$AO$6*$X$28*C44/MAX(0.0001,12-$AO$3)</f>
        <v>0</v>
      </c>
      <c r="FD44" s="88" t="n">
        <f aca="false">FB44+FD43</f>
        <v>0</v>
      </c>
      <c r="FE44" s="88" t="n">
        <f aca="false">FC44+FE43</f>
        <v>0</v>
      </c>
      <c r="FF44" s="88" t="n">
        <f aca="false">MAX(FF43,FD44-FE44)</f>
        <v>0</v>
      </c>
      <c r="FG44" s="88" t="n">
        <f aca="false">FF44-FF43</f>
        <v>0</v>
      </c>
    </row>
    <row r="45" customFormat="false" ht="15" hidden="false" customHeight="false" outlineLevel="0" collapsed="false">
      <c r="A45" s="0" t="n">
        <v>5</v>
      </c>
      <c r="B45" s="88" t="n">
        <f aca="false">2026+INT(A45/12)</f>
        <v>2026</v>
      </c>
      <c r="C45" s="88" t="n">
        <f aca="false">MAX(0,MIN(1,A45+1-$AO$3))</f>
        <v>0</v>
      </c>
      <c r="D45" s="88" t="n">
        <f aca="false">IF((A45+0.5-(0))&lt;$AO$3,0,2026+INT((A45+0.5-(0))/12))</f>
        <v>0</v>
      </c>
      <c r="E45" s="88" t="n">
        <f aca="false">IF((A45+0.5-($AO$9))&lt;$AO$3,0,2026+INT((A45+0.5-($AO$9))/12))</f>
        <v>0</v>
      </c>
      <c r="F45" s="88" t="n">
        <f aca="false">IF((A45+0.5-($AO$9+$AO$8))&lt;$AO$3,0,2026+INT((A45+0.5-($AO$9+$AO$8))/12))</f>
        <v>0</v>
      </c>
      <c r="G45" s="88" t="n">
        <f aca="false">IF((A45+0.5-($AO$9+$AO$8+$AO$7))&lt;$AO$3,0,2026+INT((A45+0.5-($AO$9+$AO$8+$AO$7))/12))</f>
        <v>0</v>
      </c>
      <c r="H45" s="88" t="n">
        <f aca="false">IF(B45=2026,INDEX($C$3:$Q$3,1,B45-2025)*$AO$4*C45/MAX(0.0001,12-$AO$3),INDEX($C$3:$Q$3,1,B45-2025)/12)</f>
        <v>0</v>
      </c>
      <c r="I45" s="88" t="n">
        <f aca="false">$AO$6*$X$3*C45/MAX(0.0001,12-$AO$3)</f>
        <v>0</v>
      </c>
      <c r="J45" s="88" t="n">
        <f aca="false">H45+J44</f>
        <v>0</v>
      </c>
      <c r="K45" s="88" t="n">
        <f aca="false">I45+K44</f>
        <v>0</v>
      </c>
      <c r="L45" s="88" t="n">
        <f aca="false">MAX(L44,J45-K45)</f>
        <v>0</v>
      </c>
      <c r="M45" s="88" t="n">
        <f aca="false">L45-L44</f>
        <v>0</v>
      </c>
      <c r="N45" s="88" t="n">
        <f aca="false">IF(B45=2026,INDEX($C$4:$Q$4,1,B45-2025)*$AO$4*C45/MAX(0.0001,12-$AO$3),INDEX($C$4:$Q$4,1,B45-2025)/12)</f>
        <v>0</v>
      </c>
      <c r="O45" s="88" t="n">
        <f aca="false">$AO$6*$X$4*C45/MAX(0.0001,12-$AO$3)</f>
        <v>0</v>
      </c>
      <c r="P45" s="88" t="n">
        <f aca="false">N45+P44</f>
        <v>0</v>
      </c>
      <c r="Q45" s="88" t="n">
        <f aca="false">O45+Q44</f>
        <v>0</v>
      </c>
      <c r="R45" s="88" t="n">
        <f aca="false">MAX(R44,P45-Q45)</f>
        <v>0</v>
      </c>
      <c r="S45" s="88" t="n">
        <f aca="false">R45-R44</f>
        <v>0</v>
      </c>
      <c r="T45" s="88" t="n">
        <f aca="false">IF(B45=2026,INDEX($C$5:$Q$5,1,B45-2025)*$AO$4*C45/MAX(0.0001,12-$AO$3),INDEX($C$5:$Q$5,1,B45-2025)/12)</f>
        <v>0</v>
      </c>
      <c r="U45" s="88" t="n">
        <f aca="false">$AO$6*$X$5*C45/MAX(0.0001,12-$AO$3)</f>
        <v>0</v>
      </c>
      <c r="V45" s="88" t="n">
        <f aca="false">T45+V44</f>
        <v>0</v>
      </c>
      <c r="W45" s="88" t="n">
        <f aca="false">U45+W44</f>
        <v>0</v>
      </c>
      <c r="X45" s="88" t="n">
        <f aca="false">MAX(X44,V45-W45)</f>
        <v>0</v>
      </c>
      <c r="Y45" s="88" t="n">
        <f aca="false">X45-X44</f>
        <v>0</v>
      </c>
      <c r="Z45" s="88" t="n">
        <f aca="false">IF(B45=2026,INDEX($C$6:$Q$6,1,B45-2025)*$AO$4*C45/MAX(0.0001,12-$AO$3),INDEX($C$6:$Q$6,1,B45-2025)/12)</f>
        <v>0</v>
      </c>
      <c r="AA45" s="88" t="n">
        <f aca="false">$AO$6*$X$6*C45/MAX(0.0001,12-$AO$3)</f>
        <v>0</v>
      </c>
      <c r="AB45" s="88" t="n">
        <f aca="false">Z45+AB44</f>
        <v>0</v>
      </c>
      <c r="AC45" s="88" t="n">
        <f aca="false">AA45+AC44</f>
        <v>0</v>
      </c>
      <c r="AD45" s="88" t="n">
        <f aca="false">MAX(AD44,AB45-AC45)</f>
        <v>0</v>
      </c>
      <c r="AE45" s="88" t="n">
        <f aca="false">AD45-AD44</f>
        <v>0</v>
      </c>
      <c r="AF45" s="88" t="n">
        <f aca="false">IF(B45=2026,INDEX($C$7:$Q$7,1,B45-2025)*$AO$4*C45/MAX(0.0001,12-$AO$3),INDEX($C$7:$Q$7,1,B45-2025)/12)</f>
        <v>0</v>
      </c>
      <c r="AG45" s="88" t="n">
        <f aca="false">$AO$6*$X$7*C45/MAX(0.0001,12-$AO$3)</f>
        <v>0</v>
      </c>
      <c r="AH45" s="88" t="n">
        <f aca="false">AF45+AH44</f>
        <v>0</v>
      </c>
      <c r="AI45" s="88" t="n">
        <f aca="false">AG45+AI44</f>
        <v>0</v>
      </c>
      <c r="AJ45" s="88" t="n">
        <f aca="false">MAX(AJ44,AH45-AI45)</f>
        <v>0</v>
      </c>
      <c r="AK45" s="88" t="n">
        <f aca="false">AJ45-AJ44</f>
        <v>0</v>
      </c>
      <c r="AL45" s="88" t="n">
        <f aca="false">IF(B45=2026,INDEX($C$8:$Q$8,1,B45-2025)*$AO$4*C45/MAX(0.0001,12-$AO$3),INDEX($C$8:$Q$8,1,B45-2025)/12)</f>
        <v>0</v>
      </c>
      <c r="AM45" s="88" t="n">
        <f aca="false">$AO$6*$X$8*C45/MAX(0.0001,12-$AO$3)</f>
        <v>0</v>
      </c>
      <c r="AN45" s="88" t="n">
        <f aca="false">AL45+AN44</f>
        <v>0</v>
      </c>
      <c r="AO45" s="88" t="n">
        <f aca="false">AM45+AO44</f>
        <v>0</v>
      </c>
      <c r="AP45" s="88" t="n">
        <f aca="false">MAX(AP44,AN45-AO45)</f>
        <v>0</v>
      </c>
      <c r="AQ45" s="88" t="n">
        <f aca="false">AP45-AP44</f>
        <v>0</v>
      </c>
      <c r="AR45" s="88" t="n">
        <f aca="false">IF(B45=2026,INDEX($C$9:$Q$9,1,B45-2025)*$AO$4*C45/MAX(0.0001,12-$AO$3),INDEX($C$9:$Q$9,1,B45-2025)/12)</f>
        <v>0</v>
      </c>
      <c r="AS45" s="88" t="n">
        <f aca="false">$AO$6*$X$9*C45/MAX(0.0001,12-$AO$3)</f>
        <v>0</v>
      </c>
      <c r="AT45" s="88" t="n">
        <f aca="false">AR45+AT44</f>
        <v>0</v>
      </c>
      <c r="AU45" s="88" t="n">
        <f aca="false">AS45+AU44</f>
        <v>0</v>
      </c>
      <c r="AV45" s="88" t="n">
        <f aca="false">MAX(AV44,AT45-AU45)</f>
        <v>0</v>
      </c>
      <c r="AW45" s="88" t="n">
        <f aca="false">AV45-AV44</f>
        <v>0</v>
      </c>
      <c r="AX45" s="88" t="n">
        <f aca="false">IF(B45=2026,INDEX($C$10:$Q$10,1,B45-2025)*$AO$4*C45/MAX(0.0001,12-$AO$3),INDEX($C$10:$Q$10,1,B45-2025)/12)</f>
        <v>0</v>
      </c>
      <c r="AY45" s="88" t="n">
        <f aca="false">$AO$6*$X$10*C45/MAX(0.0001,12-$AO$3)</f>
        <v>0</v>
      </c>
      <c r="AZ45" s="88" t="n">
        <f aca="false">AX45+AZ44</f>
        <v>0</v>
      </c>
      <c r="BA45" s="88" t="n">
        <f aca="false">AY45+BA44</f>
        <v>0</v>
      </c>
      <c r="BB45" s="88" t="n">
        <f aca="false">MAX(BB44,AZ45-BA45)</f>
        <v>0</v>
      </c>
      <c r="BC45" s="88" t="n">
        <f aca="false">BB45-BB44</f>
        <v>0</v>
      </c>
      <c r="BD45" s="88" t="n">
        <f aca="false">IF(B45=2026,INDEX($C$11:$Q$11,1,B45-2025)*$AO$4*C45/MAX(0.0001,12-$AO$3),INDEX($C$11:$Q$11,1,B45-2025)/12)</f>
        <v>0</v>
      </c>
      <c r="BE45" s="88" t="n">
        <f aca="false">$AO$6*$X$11*C45/MAX(0.0001,12-$AO$3)</f>
        <v>0</v>
      </c>
      <c r="BF45" s="88" t="n">
        <f aca="false">BD45+BF44</f>
        <v>0</v>
      </c>
      <c r="BG45" s="88" t="n">
        <f aca="false">BE45+BG44</f>
        <v>0</v>
      </c>
      <c r="BH45" s="88" t="n">
        <f aca="false">MAX(BH44,BF45-BG45)</f>
        <v>0</v>
      </c>
      <c r="BI45" s="88" t="n">
        <f aca="false">BH45-BH44</f>
        <v>0</v>
      </c>
      <c r="BJ45" s="88" t="n">
        <f aca="false">IF(B45=2026,INDEX($C$12:$Q$12,1,B45-2025)*$AO$4*C45/MAX(0.0001,12-$AO$3),INDEX($C$12:$Q$12,1,B45-2025)/12)</f>
        <v>0</v>
      </c>
      <c r="BK45" s="88" t="n">
        <f aca="false">$AO$6*$X$12*C45/MAX(0.0001,12-$AO$3)</f>
        <v>0</v>
      </c>
      <c r="BL45" s="88" t="n">
        <f aca="false">BJ45+BL44</f>
        <v>0</v>
      </c>
      <c r="BM45" s="88" t="n">
        <f aca="false">BK45+BM44</f>
        <v>0</v>
      </c>
      <c r="BN45" s="88" t="n">
        <f aca="false">MAX(BN44,BL45-BM45)</f>
        <v>0</v>
      </c>
      <c r="BO45" s="88" t="n">
        <f aca="false">BN45-BN44</f>
        <v>0</v>
      </c>
      <c r="BP45" s="88" t="n">
        <f aca="false">IF(B45=2026,INDEX($C$13:$Q$13,1,B45-2025)*$AO$4*C45/MAX(0.0001,12-$AO$3),INDEX($C$13:$Q$13,1,B45-2025)/12)</f>
        <v>0</v>
      </c>
      <c r="BQ45" s="88" t="n">
        <f aca="false">$AO$6*$X$13*C45/MAX(0.0001,12-$AO$3)</f>
        <v>0</v>
      </c>
      <c r="BR45" s="88" t="n">
        <f aca="false">BP45+BR44</f>
        <v>0</v>
      </c>
      <c r="BS45" s="88" t="n">
        <f aca="false">BQ45+BS44</f>
        <v>0</v>
      </c>
      <c r="BT45" s="88" t="n">
        <f aca="false">MAX(BT44,BR45-BS45)</f>
        <v>0</v>
      </c>
      <c r="BU45" s="88" t="n">
        <f aca="false">BT45-BT44</f>
        <v>0</v>
      </c>
      <c r="BV45" s="88" t="n">
        <f aca="false">IF(B45=2026,INDEX($C$14:$Q$14,1,B45-2025)*$AO$4*C45/MAX(0.0001,12-$AO$3),INDEX($C$14:$Q$14,1,B45-2025)/12)</f>
        <v>0</v>
      </c>
      <c r="BW45" s="88" t="n">
        <f aca="false">$AO$6*$X$14*C45/MAX(0.0001,12-$AO$3)</f>
        <v>0</v>
      </c>
      <c r="BX45" s="88" t="n">
        <f aca="false">BV45+BX44</f>
        <v>0</v>
      </c>
      <c r="BY45" s="88" t="n">
        <f aca="false">BW45+BY44</f>
        <v>0</v>
      </c>
      <c r="BZ45" s="88" t="n">
        <f aca="false">MAX(BZ44,BX45-BY45)</f>
        <v>0</v>
      </c>
      <c r="CA45" s="88" t="n">
        <f aca="false">BZ45-BZ44</f>
        <v>0</v>
      </c>
      <c r="CB45" s="88" t="n">
        <f aca="false">IF(B45=2026,INDEX($C$15:$Q$15,1,B45-2025)*$AO$4*C45/MAX(0.0001,12-$AO$3),INDEX($C$15:$Q$15,1,B45-2025)/12)</f>
        <v>0</v>
      </c>
      <c r="CC45" s="88" t="n">
        <f aca="false">$AO$6*$X$15*C45/MAX(0.0001,12-$AO$3)</f>
        <v>0</v>
      </c>
      <c r="CD45" s="88" t="n">
        <f aca="false">CB45+CD44</f>
        <v>0</v>
      </c>
      <c r="CE45" s="88" t="n">
        <f aca="false">CC45+CE44</f>
        <v>0</v>
      </c>
      <c r="CF45" s="88" t="n">
        <f aca="false">MAX(CF44,CD45-CE45)</f>
        <v>0</v>
      </c>
      <c r="CG45" s="88" t="n">
        <f aca="false">CF45-CF44</f>
        <v>0</v>
      </c>
      <c r="CH45" s="88" t="n">
        <f aca="false">IF(B45=2026,INDEX($C$16:$Q$16,1,B45-2025)*$AO$4*C45/MAX(0.0001,12-$AO$3),INDEX($C$16:$Q$16,1,B45-2025)/12)</f>
        <v>0</v>
      </c>
      <c r="CI45" s="88" t="n">
        <f aca="false">$AO$6*$X$16*C45/MAX(0.0001,12-$AO$3)</f>
        <v>0</v>
      </c>
      <c r="CJ45" s="88" t="n">
        <f aca="false">CH45+CJ44</f>
        <v>0</v>
      </c>
      <c r="CK45" s="88" t="n">
        <f aca="false">CI45+CK44</f>
        <v>0</v>
      </c>
      <c r="CL45" s="88" t="n">
        <f aca="false">MAX(CL44,CJ45-CK45)</f>
        <v>0</v>
      </c>
      <c r="CM45" s="88" t="n">
        <f aca="false">CL45-CL44</f>
        <v>0</v>
      </c>
      <c r="CN45" s="88" t="n">
        <f aca="false">IF(B45=2026,INDEX($C$17:$Q$17,1,B45-2025)*$AO$4*C45/MAX(0.0001,12-$AO$3),INDEX($C$17:$Q$17,1,B45-2025)/12)</f>
        <v>0</v>
      </c>
      <c r="CO45" s="88" t="n">
        <f aca="false">$AO$6*$X$17*C45/MAX(0.0001,12-$AO$3)</f>
        <v>0</v>
      </c>
      <c r="CP45" s="88" t="n">
        <f aca="false">CN45+CP44</f>
        <v>0</v>
      </c>
      <c r="CQ45" s="88" t="n">
        <f aca="false">CO45+CQ44</f>
        <v>0</v>
      </c>
      <c r="CR45" s="88" t="n">
        <f aca="false">MAX(CR44,CP45-CQ45)</f>
        <v>0</v>
      </c>
      <c r="CS45" s="88" t="n">
        <f aca="false">CR45-CR44</f>
        <v>0</v>
      </c>
      <c r="CT45" s="88" t="n">
        <f aca="false">IF(B45=2026,INDEX($C$18:$Q$18,1,B45-2025)*$AO$4*C45/MAX(0.0001,12-$AO$3),INDEX($C$18:$Q$18,1,B45-2025)/12)</f>
        <v>0</v>
      </c>
      <c r="CU45" s="88" t="n">
        <f aca="false">$AO$6*$X$18*C45/MAX(0.0001,12-$AO$3)</f>
        <v>0</v>
      </c>
      <c r="CV45" s="88" t="n">
        <f aca="false">CT45+CV44</f>
        <v>0</v>
      </c>
      <c r="CW45" s="88" t="n">
        <f aca="false">CU45+CW44</f>
        <v>0</v>
      </c>
      <c r="CX45" s="88" t="n">
        <f aca="false">MAX(CX44,CV45-CW45)</f>
        <v>0</v>
      </c>
      <c r="CY45" s="88" t="n">
        <f aca="false">CX45-CX44</f>
        <v>0</v>
      </c>
      <c r="CZ45" s="88" t="n">
        <f aca="false">IF(B45=2026,INDEX($C$19:$Q$19,1,B45-2025)*$AO$4*C45/MAX(0.0001,12-$AO$3),INDEX($C$19:$Q$19,1,B45-2025)/12)</f>
        <v>0</v>
      </c>
      <c r="DA45" s="88" t="n">
        <f aca="false">$AO$6*$X$19*C45/MAX(0.0001,12-$AO$3)</f>
        <v>0</v>
      </c>
      <c r="DB45" s="88" t="n">
        <f aca="false">CZ45+DB44</f>
        <v>0</v>
      </c>
      <c r="DC45" s="88" t="n">
        <f aca="false">DA45+DC44</f>
        <v>0</v>
      </c>
      <c r="DD45" s="88" t="n">
        <f aca="false">MAX(DD44,DB45-DC45)</f>
        <v>0</v>
      </c>
      <c r="DE45" s="88" t="n">
        <f aca="false">DD45-DD44</f>
        <v>0</v>
      </c>
      <c r="DF45" s="88" t="n">
        <f aca="false">IF(B45=2026,INDEX($C$20:$Q$20,1,B45-2025)*$AO$4*C45/MAX(0.0001,12-$AO$3),INDEX($C$20:$Q$20,1,B45-2025)/12)</f>
        <v>0</v>
      </c>
      <c r="DG45" s="88" t="n">
        <f aca="false">$AO$6*$X$20*C45/MAX(0.0001,12-$AO$3)</f>
        <v>0</v>
      </c>
      <c r="DH45" s="88" t="n">
        <f aca="false">DF45+DH44</f>
        <v>0</v>
      </c>
      <c r="DI45" s="88" t="n">
        <f aca="false">DG45+DI44</f>
        <v>0</v>
      </c>
      <c r="DJ45" s="88" t="n">
        <f aca="false">MAX(DJ44,DH45-DI45)</f>
        <v>0</v>
      </c>
      <c r="DK45" s="88" t="n">
        <f aca="false">DJ45-DJ44</f>
        <v>0</v>
      </c>
      <c r="DL45" s="88" t="n">
        <f aca="false">IF(B45=2026,INDEX($C$21:$Q$21,1,B45-2025)*$AO$4*C45/MAX(0.0001,12-$AO$3),INDEX($C$21:$Q$21,1,B45-2025)/12)</f>
        <v>0</v>
      </c>
      <c r="DM45" s="88" t="n">
        <f aca="false">$AO$6*$X$21*C45/MAX(0.0001,12-$AO$3)</f>
        <v>0</v>
      </c>
      <c r="DN45" s="88" t="n">
        <f aca="false">DL45+DN44</f>
        <v>0</v>
      </c>
      <c r="DO45" s="88" t="n">
        <f aca="false">DM45+DO44</f>
        <v>0</v>
      </c>
      <c r="DP45" s="88" t="n">
        <f aca="false">MAX(DP44,DN45-DO45)</f>
        <v>0</v>
      </c>
      <c r="DQ45" s="88" t="n">
        <f aca="false">DP45-DP44</f>
        <v>0</v>
      </c>
      <c r="DR45" s="88" t="n">
        <f aca="false">IF(B45=2026,INDEX($C$22:$Q$22,1,B45-2025)*$AO$4*C45/MAX(0.0001,12-$AO$3),INDEX($C$22:$Q$22,1,B45-2025)/12)</f>
        <v>0</v>
      </c>
      <c r="DS45" s="88" t="n">
        <f aca="false">$AO$6*$X$22*C45/MAX(0.0001,12-$AO$3)</f>
        <v>0</v>
      </c>
      <c r="DT45" s="88" t="n">
        <f aca="false">DR45+DT44</f>
        <v>0</v>
      </c>
      <c r="DU45" s="88" t="n">
        <f aca="false">DS45+DU44</f>
        <v>0</v>
      </c>
      <c r="DV45" s="88" t="n">
        <f aca="false">MAX(DV44,DT45-DU45)</f>
        <v>0</v>
      </c>
      <c r="DW45" s="88" t="n">
        <f aca="false">DV45-DV44</f>
        <v>0</v>
      </c>
      <c r="DX45" s="88" t="n">
        <f aca="false">IF(B45=2026,INDEX($C$23:$Q$23,1,B45-2025)*$AO$4*C45/MAX(0.0001,12-$AO$3),INDEX($C$23:$Q$23,1,B45-2025)/12)</f>
        <v>0</v>
      </c>
      <c r="DY45" s="88" t="n">
        <f aca="false">$AO$6*$X$23*C45/MAX(0.0001,12-$AO$3)</f>
        <v>0</v>
      </c>
      <c r="DZ45" s="88" t="n">
        <f aca="false">DX45+DZ44</f>
        <v>0</v>
      </c>
      <c r="EA45" s="88" t="n">
        <f aca="false">DY45+EA44</f>
        <v>0</v>
      </c>
      <c r="EB45" s="88" t="n">
        <f aca="false">MAX(EB44,DZ45-EA45)</f>
        <v>0</v>
      </c>
      <c r="EC45" s="88" t="n">
        <f aca="false">EB45-EB44</f>
        <v>0</v>
      </c>
      <c r="ED45" s="88" t="n">
        <f aca="false">IF(B45=2026,INDEX($C$24:$Q$24,1,B45-2025)*$AO$4*C45/MAX(0.0001,12-$AO$3),INDEX($C$24:$Q$24,1,B45-2025)/12)</f>
        <v>0</v>
      </c>
      <c r="EE45" s="88" t="n">
        <f aca="false">$AO$6*$X$24*C45/MAX(0.0001,12-$AO$3)</f>
        <v>0</v>
      </c>
      <c r="EF45" s="88" t="n">
        <f aca="false">ED45+EF44</f>
        <v>0</v>
      </c>
      <c r="EG45" s="88" t="n">
        <f aca="false">EE45+EG44</f>
        <v>0</v>
      </c>
      <c r="EH45" s="88" t="n">
        <f aca="false">MAX(EH44,EF45-EG45)</f>
        <v>0</v>
      </c>
      <c r="EI45" s="88" t="n">
        <f aca="false">EH45-EH44</f>
        <v>0</v>
      </c>
      <c r="EJ45" s="88" t="n">
        <f aca="false">IF(B45=2026,INDEX($C$25:$Q$25,1,B45-2025)*$AO$4*C45/MAX(0.0001,12-$AO$3),INDEX($C$25:$Q$25,1,B45-2025)/12)</f>
        <v>0</v>
      </c>
      <c r="EK45" s="88" t="n">
        <f aca="false">$AO$6*$X$25*C45/MAX(0.0001,12-$AO$3)</f>
        <v>0</v>
      </c>
      <c r="EL45" s="88" t="n">
        <f aca="false">EJ45+EL44</f>
        <v>0</v>
      </c>
      <c r="EM45" s="88" t="n">
        <f aca="false">EK45+EM44</f>
        <v>0</v>
      </c>
      <c r="EN45" s="88" t="n">
        <f aca="false">MAX(EN44,EL45-EM45)</f>
        <v>0</v>
      </c>
      <c r="EO45" s="88" t="n">
        <f aca="false">EN45-EN44</f>
        <v>0</v>
      </c>
      <c r="EP45" s="88" t="n">
        <f aca="false">IF(B45=2026,INDEX($C$26:$Q$26,1,B45-2025)*$AO$4*C45/MAX(0.0001,12-$AO$3),INDEX($C$26:$Q$26,1,B45-2025)/12)</f>
        <v>0</v>
      </c>
      <c r="EQ45" s="88" t="n">
        <f aca="false">$AO$6*$X$26*C45/MAX(0.0001,12-$AO$3)</f>
        <v>0</v>
      </c>
      <c r="ER45" s="88" t="n">
        <f aca="false">EP45+ER44</f>
        <v>0</v>
      </c>
      <c r="ES45" s="88" t="n">
        <f aca="false">EQ45+ES44</f>
        <v>0</v>
      </c>
      <c r="ET45" s="88" t="n">
        <f aca="false">MAX(ET44,ER45-ES45)</f>
        <v>0</v>
      </c>
      <c r="EU45" s="88" t="n">
        <f aca="false">ET45-ET44</f>
        <v>0</v>
      </c>
      <c r="EV45" s="88" t="n">
        <f aca="false">IF(B45=2026,INDEX($C$27:$Q$27,1,B45-2025)*$AO$4*C45/MAX(0.0001,12-$AO$3),INDEX($C$27:$Q$27,1,B45-2025)/12)</f>
        <v>0</v>
      </c>
      <c r="EW45" s="88" t="n">
        <f aca="false">$AO$6*$X$27*C45/MAX(0.0001,12-$AO$3)</f>
        <v>0</v>
      </c>
      <c r="EX45" s="88" t="n">
        <f aca="false">EV45+EX44</f>
        <v>0</v>
      </c>
      <c r="EY45" s="88" t="n">
        <f aca="false">EW45+EY44</f>
        <v>0</v>
      </c>
      <c r="EZ45" s="88" t="n">
        <f aca="false">MAX(EZ44,EX45-EY45)</f>
        <v>0</v>
      </c>
      <c r="FA45" s="88" t="n">
        <f aca="false">EZ45-EZ44</f>
        <v>0</v>
      </c>
      <c r="FB45" s="88" t="n">
        <f aca="false">IF(B45=2026,INDEX($C$28:$Q$28,1,B45-2025)*$AO$4*C45/MAX(0.0001,12-$AO$3),INDEX($C$28:$Q$28,1,B45-2025)/12)</f>
        <v>0</v>
      </c>
      <c r="FC45" s="88" t="n">
        <f aca="false">$AO$6*$X$28*C45/MAX(0.0001,12-$AO$3)</f>
        <v>0</v>
      </c>
      <c r="FD45" s="88" t="n">
        <f aca="false">FB45+FD44</f>
        <v>0</v>
      </c>
      <c r="FE45" s="88" t="n">
        <f aca="false">FC45+FE44</f>
        <v>0</v>
      </c>
      <c r="FF45" s="88" t="n">
        <f aca="false">MAX(FF44,FD45-FE45)</f>
        <v>0</v>
      </c>
      <c r="FG45" s="88" t="n">
        <f aca="false">FF45-FF44</f>
        <v>0</v>
      </c>
    </row>
    <row r="46" customFormat="false" ht="15" hidden="false" customHeight="false" outlineLevel="0" collapsed="false">
      <c r="A46" s="0" t="n">
        <v>6</v>
      </c>
      <c r="B46" s="88" t="n">
        <f aca="false">2026+INT(A46/12)</f>
        <v>2026</v>
      </c>
      <c r="C46" s="88" t="n">
        <f aca="false">MAX(0,MIN(1,A46+1-$AO$3))</f>
        <v>0</v>
      </c>
      <c r="D46" s="88" t="n">
        <f aca="false">IF((A46+0.5-(0))&lt;$AO$3,0,2026+INT((A46+0.5-(0))/12))</f>
        <v>0</v>
      </c>
      <c r="E46" s="88" t="n">
        <f aca="false">IF((A46+0.5-($AO$9))&lt;$AO$3,0,2026+INT((A46+0.5-($AO$9))/12))</f>
        <v>0</v>
      </c>
      <c r="F46" s="88" t="n">
        <f aca="false">IF((A46+0.5-($AO$9+$AO$8))&lt;$AO$3,0,2026+INT((A46+0.5-($AO$9+$AO$8))/12))</f>
        <v>0</v>
      </c>
      <c r="G46" s="88" t="n">
        <f aca="false">IF((A46+0.5-($AO$9+$AO$8+$AO$7))&lt;$AO$3,0,2026+INT((A46+0.5-($AO$9+$AO$8+$AO$7))/12))</f>
        <v>0</v>
      </c>
      <c r="H46" s="88" t="n">
        <f aca="false">IF(B46=2026,INDEX($C$3:$Q$3,1,B46-2025)*$AO$4*C46/MAX(0.0001,12-$AO$3),INDEX($C$3:$Q$3,1,B46-2025)/12)</f>
        <v>0</v>
      </c>
      <c r="I46" s="88" t="n">
        <f aca="false">$AO$6*$X$3*C46/MAX(0.0001,12-$AO$3)</f>
        <v>0</v>
      </c>
      <c r="J46" s="88" t="n">
        <f aca="false">H46+J45</f>
        <v>0</v>
      </c>
      <c r="K46" s="88" t="n">
        <f aca="false">I46+K45</f>
        <v>0</v>
      </c>
      <c r="L46" s="88" t="n">
        <f aca="false">MAX(L45,J46-K46)</f>
        <v>0</v>
      </c>
      <c r="M46" s="88" t="n">
        <f aca="false">L46-L45</f>
        <v>0</v>
      </c>
      <c r="N46" s="88" t="n">
        <f aca="false">IF(B46=2026,INDEX($C$4:$Q$4,1,B46-2025)*$AO$4*C46/MAX(0.0001,12-$AO$3),INDEX($C$4:$Q$4,1,B46-2025)/12)</f>
        <v>0</v>
      </c>
      <c r="O46" s="88" t="n">
        <f aca="false">$AO$6*$X$4*C46/MAX(0.0001,12-$AO$3)</f>
        <v>0</v>
      </c>
      <c r="P46" s="88" t="n">
        <f aca="false">N46+P45</f>
        <v>0</v>
      </c>
      <c r="Q46" s="88" t="n">
        <f aca="false">O46+Q45</f>
        <v>0</v>
      </c>
      <c r="R46" s="88" t="n">
        <f aca="false">MAX(R45,P46-Q46)</f>
        <v>0</v>
      </c>
      <c r="S46" s="88" t="n">
        <f aca="false">R46-R45</f>
        <v>0</v>
      </c>
      <c r="T46" s="88" t="n">
        <f aca="false">IF(B46=2026,INDEX($C$5:$Q$5,1,B46-2025)*$AO$4*C46/MAX(0.0001,12-$AO$3),INDEX($C$5:$Q$5,1,B46-2025)/12)</f>
        <v>0</v>
      </c>
      <c r="U46" s="88" t="n">
        <f aca="false">$AO$6*$X$5*C46/MAX(0.0001,12-$AO$3)</f>
        <v>0</v>
      </c>
      <c r="V46" s="88" t="n">
        <f aca="false">T46+V45</f>
        <v>0</v>
      </c>
      <c r="W46" s="88" t="n">
        <f aca="false">U46+W45</f>
        <v>0</v>
      </c>
      <c r="X46" s="88" t="n">
        <f aca="false">MAX(X45,V46-W46)</f>
        <v>0</v>
      </c>
      <c r="Y46" s="88" t="n">
        <f aca="false">X46-X45</f>
        <v>0</v>
      </c>
      <c r="Z46" s="88" t="n">
        <f aca="false">IF(B46=2026,INDEX($C$6:$Q$6,1,B46-2025)*$AO$4*C46/MAX(0.0001,12-$AO$3),INDEX($C$6:$Q$6,1,B46-2025)/12)</f>
        <v>0</v>
      </c>
      <c r="AA46" s="88" t="n">
        <f aca="false">$AO$6*$X$6*C46/MAX(0.0001,12-$AO$3)</f>
        <v>0</v>
      </c>
      <c r="AB46" s="88" t="n">
        <f aca="false">Z46+AB45</f>
        <v>0</v>
      </c>
      <c r="AC46" s="88" t="n">
        <f aca="false">AA46+AC45</f>
        <v>0</v>
      </c>
      <c r="AD46" s="88" t="n">
        <f aca="false">MAX(AD45,AB46-AC46)</f>
        <v>0</v>
      </c>
      <c r="AE46" s="88" t="n">
        <f aca="false">AD46-AD45</f>
        <v>0</v>
      </c>
      <c r="AF46" s="88" t="n">
        <f aca="false">IF(B46=2026,INDEX($C$7:$Q$7,1,B46-2025)*$AO$4*C46/MAX(0.0001,12-$AO$3),INDEX($C$7:$Q$7,1,B46-2025)/12)</f>
        <v>0</v>
      </c>
      <c r="AG46" s="88" t="n">
        <f aca="false">$AO$6*$X$7*C46/MAX(0.0001,12-$AO$3)</f>
        <v>0</v>
      </c>
      <c r="AH46" s="88" t="n">
        <f aca="false">AF46+AH45</f>
        <v>0</v>
      </c>
      <c r="AI46" s="88" t="n">
        <f aca="false">AG46+AI45</f>
        <v>0</v>
      </c>
      <c r="AJ46" s="88" t="n">
        <f aca="false">MAX(AJ45,AH46-AI46)</f>
        <v>0</v>
      </c>
      <c r="AK46" s="88" t="n">
        <f aca="false">AJ46-AJ45</f>
        <v>0</v>
      </c>
      <c r="AL46" s="88" t="n">
        <f aca="false">IF(B46=2026,INDEX($C$8:$Q$8,1,B46-2025)*$AO$4*C46/MAX(0.0001,12-$AO$3),INDEX($C$8:$Q$8,1,B46-2025)/12)</f>
        <v>0</v>
      </c>
      <c r="AM46" s="88" t="n">
        <f aca="false">$AO$6*$X$8*C46/MAX(0.0001,12-$AO$3)</f>
        <v>0</v>
      </c>
      <c r="AN46" s="88" t="n">
        <f aca="false">AL46+AN45</f>
        <v>0</v>
      </c>
      <c r="AO46" s="88" t="n">
        <f aca="false">AM46+AO45</f>
        <v>0</v>
      </c>
      <c r="AP46" s="88" t="n">
        <f aca="false">MAX(AP45,AN46-AO46)</f>
        <v>0</v>
      </c>
      <c r="AQ46" s="88" t="n">
        <f aca="false">AP46-AP45</f>
        <v>0</v>
      </c>
      <c r="AR46" s="88" t="n">
        <f aca="false">IF(B46=2026,INDEX($C$9:$Q$9,1,B46-2025)*$AO$4*C46/MAX(0.0001,12-$AO$3),INDEX($C$9:$Q$9,1,B46-2025)/12)</f>
        <v>0</v>
      </c>
      <c r="AS46" s="88" t="n">
        <f aca="false">$AO$6*$X$9*C46/MAX(0.0001,12-$AO$3)</f>
        <v>0</v>
      </c>
      <c r="AT46" s="88" t="n">
        <f aca="false">AR46+AT45</f>
        <v>0</v>
      </c>
      <c r="AU46" s="88" t="n">
        <f aca="false">AS46+AU45</f>
        <v>0</v>
      </c>
      <c r="AV46" s="88" t="n">
        <f aca="false">MAX(AV45,AT46-AU46)</f>
        <v>0</v>
      </c>
      <c r="AW46" s="88" t="n">
        <f aca="false">AV46-AV45</f>
        <v>0</v>
      </c>
      <c r="AX46" s="88" t="n">
        <f aca="false">IF(B46=2026,INDEX($C$10:$Q$10,1,B46-2025)*$AO$4*C46/MAX(0.0001,12-$AO$3),INDEX($C$10:$Q$10,1,B46-2025)/12)</f>
        <v>0</v>
      </c>
      <c r="AY46" s="88" t="n">
        <f aca="false">$AO$6*$X$10*C46/MAX(0.0001,12-$AO$3)</f>
        <v>0</v>
      </c>
      <c r="AZ46" s="88" t="n">
        <f aca="false">AX46+AZ45</f>
        <v>0</v>
      </c>
      <c r="BA46" s="88" t="n">
        <f aca="false">AY46+BA45</f>
        <v>0</v>
      </c>
      <c r="BB46" s="88" t="n">
        <f aca="false">MAX(BB45,AZ46-BA46)</f>
        <v>0</v>
      </c>
      <c r="BC46" s="88" t="n">
        <f aca="false">BB46-BB45</f>
        <v>0</v>
      </c>
      <c r="BD46" s="88" t="n">
        <f aca="false">IF(B46=2026,INDEX($C$11:$Q$11,1,B46-2025)*$AO$4*C46/MAX(0.0001,12-$AO$3),INDEX($C$11:$Q$11,1,B46-2025)/12)</f>
        <v>0</v>
      </c>
      <c r="BE46" s="88" t="n">
        <f aca="false">$AO$6*$X$11*C46/MAX(0.0001,12-$AO$3)</f>
        <v>0</v>
      </c>
      <c r="BF46" s="88" t="n">
        <f aca="false">BD46+BF45</f>
        <v>0</v>
      </c>
      <c r="BG46" s="88" t="n">
        <f aca="false">BE46+BG45</f>
        <v>0</v>
      </c>
      <c r="BH46" s="88" t="n">
        <f aca="false">MAX(BH45,BF46-BG46)</f>
        <v>0</v>
      </c>
      <c r="BI46" s="88" t="n">
        <f aca="false">BH46-BH45</f>
        <v>0</v>
      </c>
      <c r="BJ46" s="88" t="n">
        <f aca="false">IF(B46=2026,INDEX($C$12:$Q$12,1,B46-2025)*$AO$4*C46/MAX(0.0001,12-$AO$3),INDEX($C$12:$Q$12,1,B46-2025)/12)</f>
        <v>0</v>
      </c>
      <c r="BK46" s="88" t="n">
        <f aca="false">$AO$6*$X$12*C46/MAX(0.0001,12-$AO$3)</f>
        <v>0</v>
      </c>
      <c r="BL46" s="88" t="n">
        <f aca="false">BJ46+BL45</f>
        <v>0</v>
      </c>
      <c r="BM46" s="88" t="n">
        <f aca="false">BK46+BM45</f>
        <v>0</v>
      </c>
      <c r="BN46" s="88" t="n">
        <f aca="false">MAX(BN45,BL46-BM46)</f>
        <v>0</v>
      </c>
      <c r="BO46" s="88" t="n">
        <f aca="false">BN46-BN45</f>
        <v>0</v>
      </c>
      <c r="BP46" s="88" t="n">
        <f aca="false">IF(B46=2026,INDEX($C$13:$Q$13,1,B46-2025)*$AO$4*C46/MAX(0.0001,12-$AO$3),INDEX($C$13:$Q$13,1,B46-2025)/12)</f>
        <v>0</v>
      </c>
      <c r="BQ46" s="88" t="n">
        <f aca="false">$AO$6*$X$13*C46/MAX(0.0001,12-$AO$3)</f>
        <v>0</v>
      </c>
      <c r="BR46" s="88" t="n">
        <f aca="false">BP46+BR45</f>
        <v>0</v>
      </c>
      <c r="BS46" s="88" t="n">
        <f aca="false">BQ46+BS45</f>
        <v>0</v>
      </c>
      <c r="BT46" s="88" t="n">
        <f aca="false">MAX(BT45,BR46-BS46)</f>
        <v>0</v>
      </c>
      <c r="BU46" s="88" t="n">
        <f aca="false">BT46-BT45</f>
        <v>0</v>
      </c>
      <c r="BV46" s="88" t="n">
        <f aca="false">IF(B46=2026,INDEX($C$14:$Q$14,1,B46-2025)*$AO$4*C46/MAX(0.0001,12-$AO$3),INDEX($C$14:$Q$14,1,B46-2025)/12)</f>
        <v>0</v>
      </c>
      <c r="BW46" s="88" t="n">
        <f aca="false">$AO$6*$X$14*C46/MAX(0.0001,12-$AO$3)</f>
        <v>0</v>
      </c>
      <c r="BX46" s="88" t="n">
        <f aca="false">BV46+BX45</f>
        <v>0</v>
      </c>
      <c r="BY46" s="88" t="n">
        <f aca="false">BW46+BY45</f>
        <v>0</v>
      </c>
      <c r="BZ46" s="88" t="n">
        <f aca="false">MAX(BZ45,BX46-BY46)</f>
        <v>0</v>
      </c>
      <c r="CA46" s="88" t="n">
        <f aca="false">BZ46-BZ45</f>
        <v>0</v>
      </c>
      <c r="CB46" s="88" t="n">
        <f aca="false">IF(B46=2026,INDEX($C$15:$Q$15,1,B46-2025)*$AO$4*C46/MAX(0.0001,12-$AO$3),INDEX($C$15:$Q$15,1,B46-2025)/12)</f>
        <v>0</v>
      </c>
      <c r="CC46" s="88" t="n">
        <f aca="false">$AO$6*$X$15*C46/MAX(0.0001,12-$AO$3)</f>
        <v>0</v>
      </c>
      <c r="CD46" s="88" t="n">
        <f aca="false">CB46+CD45</f>
        <v>0</v>
      </c>
      <c r="CE46" s="88" t="n">
        <f aca="false">CC46+CE45</f>
        <v>0</v>
      </c>
      <c r="CF46" s="88" t="n">
        <f aca="false">MAX(CF45,CD46-CE46)</f>
        <v>0</v>
      </c>
      <c r="CG46" s="88" t="n">
        <f aca="false">CF46-CF45</f>
        <v>0</v>
      </c>
      <c r="CH46" s="88" t="n">
        <f aca="false">IF(B46=2026,INDEX($C$16:$Q$16,1,B46-2025)*$AO$4*C46/MAX(0.0001,12-$AO$3),INDEX($C$16:$Q$16,1,B46-2025)/12)</f>
        <v>0</v>
      </c>
      <c r="CI46" s="88" t="n">
        <f aca="false">$AO$6*$X$16*C46/MAX(0.0001,12-$AO$3)</f>
        <v>0</v>
      </c>
      <c r="CJ46" s="88" t="n">
        <f aca="false">CH46+CJ45</f>
        <v>0</v>
      </c>
      <c r="CK46" s="88" t="n">
        <f aca="false">CI46+CK45</f>
        <v>0</v>
      </c>
      <c r="CL46" s="88" t="n">
        <f aca="false">MAX(CL45,CJ46-CK46)</f>
        <v>0</v>
      </c>
      <c r="CM46" s="88" t="n">
        <f aca="false">CL46-CL45</f>
        <v>0</v>
      </c>
      <c r="CN46" s="88" t="n">
        <f aca="false">IF(B46=2026,INDEX($C$17:$Q$17,1,B46-2025)*$AO$4*C46/MAX(0.0001,12-$AO$3),INDEX($C$17:$Q$17,1,B46-2025)/12)</f>
        <v>0</v>
      </c>
      <c r="CO46" s="88" t="n">
        <f aca="false">$AO$6*$X$17*C46/MAX(0.0001,12-$AO$3)</f>
        <v>0</v>
      </c>
      <c r="CP46" s="88" t="n">
        <f aca="false">CN46+CP45</f>
        <v>0</v>
      </c>
      <c r="CQ46" s="88" t="n">
        <f aca="false">CO46+CQ45</f>
        <v>0</v>
      </c>
      <c r="CR46" s="88" t="n">
        <f aca="false">MAX(CR45,CP46-CQ46)</f>
        <v>0</v>
      </c>
      <c r="CS46" s="88" t="n">
        <f aca="false">CR46-CR45</f>
        <v>0</v>
      </c>
      <c r="CT46" s="88" t="n">
        <f aca="false">IF(B46=2026,INDEX($C$18:$Q$18,1,B46-2025)*$AO$4*C46/MAX(0.0001,12-$AO$3),INDEX($C$18:$Q$18,1,B46-2025)/12)</f>
        <v>0</v>
      </c>
      <c r="CU46" s="88" t="n">
        <f aca="false">$AO$6*$X$18*C46/MAX(0.0001,12-$AO$3)</f>
        <v>0</v>
      </c>
      <c r="CV46" s="88" t="n">
        <f aca="false">CT46+CV45</f>
        <v>0</v>
      </c>
      <c r="CW46" s="88" t="n">
        <f aca="false">CU46+CW45</f>
        <v>0</v>
      </c>
      <c r="CX46" s="88" t="n">
        <f aca="false">MAX(CX45,CV46-CW46)</f>
        <v>0</v>
      </c>
      <c r="CY46" s="88" t="n">
        <f aca="false">CX46-CX45</f>
        <v>0</v>
      </c>
      <c r="CZ46" s="88" t="n">
        <f aca="false">IF(B46=2026,INDEX($C$19:$Q$19,1,B46-2025)*$AO$4*C46/MAX(0.0001,12-$AO$3),INDEX($C$19:$Q$19,1,B46-2025)/12)</f>
        <v>0</v>
      </c>
      <c r="DA46" s="88" t="n">
        <f aca="false">$AO$6*$X$19*C46/MAX(0.0001,12-$AO$3)</f>
        <v>0</v>
      </c>
      <c r="DB46" s="88" t="n">
        <f aca="false">CZ46+DB45</f>
        <v>0</v>
      </c>
      <c r="DC46" s="88" t="n">
        <f aca="false">DA46+DC45</f>
        <v>0</v>
      </c>
      <c r="DD46" s="88" t="n">
        <f aca="false">MAX(DD45,DB46-DC46)</f>
        <v>0</v>
      </c>
      <c r="DE46" s="88" t="n">
        <f aca="false">DD46-DD45</f>
        <v>0</v>
      </c>
      <c r="DF46" s="88" t="n">
        <f aca="false">IF(B46=2026,INDEX($C$20:$Q$20,1,B46-2025)*$AO$4*C46/MAX(0.0001,12-$AO$3),INDEX($C$20:$Q$20,1,B46-2025)/12)</f>
        <v>0</v>
      </c>
      <c r="DG46" s="88" t="n">
        <f aca="false">$AO$6*$X$20*C46/MAX(0.0001,12-$AO$3)</f>
        <v>0</v>
      </c>
      <c r="DH46" s="88" t="n">
        <f aca="false">DF46+DH45</f>
        <v>0</v>
      </c>
      <c r="DI46" s="88" t="n">
        <f aca="false">DG46+DI45</f>
        <v>0</v>
      </c>
      <c r="DJ46" s="88" t="n">
        <f aca="false">MAX(DJ45,DH46-DI46)</f>
        <v>0</v>
      </c>
      <c r="DK46" s="88" t="n">
        <f aca="false">DJ46-DJ45</f>
        <v>0</v>
      </c>
      <c r="DL46" s="88" t="n">
        <f aca="false">IF(B46=2026,INDEX($C$21:$Q$21,1,B46-2025)*$AO$4*C46/MAX(0.0001,12-$AO$3),INDEX($C$21:$Q$21,1,B46-2025)/12)</f>
        <v>0</v>
      </c>
      <c r="DM46" s="88" t="n">
        <f aca="false">$AO$6*$X$21*C46/MAX(0.0001,12-$AO$3)</f>
        <v>0</v>
      </c>
      <c r="DN46" s="88" t="n">
        <f aca="false">DL46+DN45</f>
        <v>0</v>
      </c>
      <c r="DO46" s="88" t="n">
        <f aca="false">DM46+DO45</f>
        <v>0</v>
      </c>
      <c r="DP46" s="88" t="n">
        <f aca="false">MAX(DP45,DN46-DO46)</f>
        <v>0</v>
      </c>
      <c r="DQ46" s="88" t="n">
        <f aca="false">DP46-DP45</f>
        <v>0</v>
      </c>
      <c r="DR46" s="88" t="n">
        <f aca="false">IF(B46=2026,INDEX($C$22:$Q$22,1,B46-2025)*$AO$4*C46/MAX(0.0001,12-$AO$3),INDEX($C$22:$Q$22,1,B46-2025)/12)</f>
        <v>0</v>
      </c>
      <c r="DS46" s="88" t="n">
        <f aca="false">$AO$6*$X$22*C46/MAX(0.0001,12-$AO$3)</f>
        <v>0</v>
      </c>
      <c r="DT46" s="88" t="n">
        <f aca="false">DR46+DT45</f>
        <v>0</v>
      </c>
      <c r="DU46" s="88" t="n">
        <f aca="false">DS46+DU45</f>
        <v>0</v>
      </c>
      <c r="DV46" s="88" t="n">
        <f aca="false">MAX(DV45,DT46-DU46)</f>
        <v>0</v>
      </c>
      <c r="DW46" s="88" t="n">
        <f aca="false">DV46-DV45</f>
        <v>0</v>
      </c>
      <c r="DX46" s="88" t="n">
        <f aca="false">IF(B46=2026,INDEX($C$23:$Q$23,1,B46-2025)*$AO$4*C46/MAX(0.0001,12-$AO$3),INDEX($C$23:$Q$23,1,B46-2025)/12)</f>
        <v>0</v>
      </c>
      <c r="DY46" s="88" t="n">
        <f aca="false">$AO$6*$X$23*C46/MAX(0.0001,12-$AO$3)</f>
        <v>0</v>
      </c>
      <c r="DZ46" s="88" t="n">
        <f aca="false">DX46+DZ45</f>
        <v>0</v>
      </c>
      <c r="EA46" s="88" t="n">
        <f aca="false">DY46+EA45</f>
        <v>0</v>
      </c>
      <c r="EB46" s="88" t="n">
        <f aca="false">MAX(EB45,DZ46-EA46)</f>
        <v>0</v>
      </c>
      <c r="EC46" s="88" t="n">
        <f aca="false">EB46-EB45</f>
        <v>0</v>
      </c>
      <c r="ED46" s="88" t="n">
        <f aca="false">IF(B46=2026,INDEX($C$24:$Q$24,1,B46-2025)*$AO$4*C46/MAX(0.0001,12-$AO$3),INDEX($C$24:$Q$24,1,B46-2025)/12)</f>
        <v>0</v>
      </c>
      <c r="EE46" s="88" t="n">
        <f aca="false">$AO$6*$X$24*C46/MAX(0.0001,12-$AO$3)</f>
        <v>0</v>
      </c>
      <c r="EF46" s="88" t="n">
        <f aca="false">ED46+EF45</f>
        <v>0</v>
      </c>
      <c r="EG46" s="88" t="n">
        <f aca="false">EE46+EG45</f>
        <v>0</v>
      </c>
      <c r="EH46" s="88" t="n">
        <f aca="false">MAX(EH45,EF46-EG46)</f>
        <v>0</v>
      </c>
      <c r="EI46" s="88" t="n">
        <f aca="false">EH46-EH45</f>
        <v>0</v>
      </c>
      <c r="EJ46" s="88" t="n">
        <f aca="false">IF(B46=2026,INDEX($C$25:$Q$25,1,B46-2025)*$AO$4*C46/MAX(0.0001,12-$AO$3),INDEX($C$25:$Q$25,1,B46-2025)/12)</f>
        <v>0</v>
      </c>
      <c r="EK46" s="88" t="n">
        <f aca="false">$AO$6*$X$25*C46/MAX(0.0001,12-$AO$3)</f>
        <v>0</v>
      </c>
      <c r="EL46" s="88" t="n">
        <f aca="false">EJ46+EL45</f>
        <v>0</v>
      </c>
      <c r="EM46" s="88" t="n">
        <f aca="false">EK46+EM45</f>
        <v>0</v>
      </c>
      <c r="EN46" s="88" t="n">
        <f aca="false">MAX(EN45,EL46-EM46)</f>
        <v>0</v>
      </c>
      <c r="EO46" s="88" t="n">
        <f aca="false">EN46-EN45</f>
        <v>0</v>
      </c>
      <c r="EP46" s="88" t="n">
        <f aca="false">IF(B46=2026,INDEX($C$26:$Q$26,1,B46-2025)*$AO$4*C46/MAX(0.0001,12-$AO$3),INDEX($C$26:$Q$26,1,B46-2025)/12)</f>
        <v>0</v>
      </c>
      <c r="EQ46" s="88" t="n">
        <f aca="false">$AO$6*$X$26*C46/MAX(0.0001,12-$AO$3)</f>
        <v>0</v>
      </c>
      <c r="ER46" s="88" t="n">
        <f aca="false">EP46+ER45</f>
        <v>0</v>
      </c>
      <c r="ES46" s="88" t="n">
        <f aca="false">EQ46+ES45</f>
        <v>0</v>
      </c>
      <c r="ET46" s="88" t="n">
        <f aca="false">MAX(ET45,ER46-ES46)</f>
        <v>0</v>
      </c>
      <c r="EU46" s="88" t="n">
        <f aca="false">ET46-ET45</f>
        <v>0</v>
      </c>
      <c r="EV46" s="88" t="n">
        <f aca="false">IF(B46=2026,INDEX($C$27:$Q$27,1,B46-2025)*$AO$4*C46/MAX(0.0001,12-$AO$3),INDEX($C$27:$Q$27,1,B46-2025)/12)</f>
        <v>0</v>
      </c>
      <c r="EW46" s="88" t="n">
        <f aca="false">$AO$6*$X$27*C46/MAX(0.0001,12-$AO$3)</f>
        <v>0</v>
      </c>
      <c r="EX46" s="88" t="n">
        <f aca="false">EV46+EX45</f>
        <v>0</v>
      </c>
      <c r="EY46" s="88" t="n">
        <f aca="false">EW46+EY45</f>
        <v>0</v>
      </c>
      <c r="EZ46" s="88" t="n">
        <f aca="false">MAX(EZ45,EX46-EY46)</f>
        <v>0</v>
      </c>
      <c r="FA46" s="88" t="n">
        <f aca="false">EZ46-EZ45</f>
        <v>0</v>
      </c>
      <c r="FB46" s="88" t="n">
        <f aca="false">IF(B46=2026,INDEX($C$28:$Q$28,1,B46-2025)*$AO$4*C46/MAX(0.0001,12-$AO$3),INDEX($C$28:$Q$28,1,B46-2025)/12)</f>
        <v>0</v>
      </c>
      <c r="FC46" s="88" t="n">
        <f aca="false">$AO$6*$X$28*C46/MAX(0.0001,12-$AO$3)</f>
        <v>0</v>
      </c>
      <c r="FD46" s="88" t="n">
        <f aca="false">FB46+FD45</f>
        <v>0</v>
      </c>
      <c r="FE46" s="88" t="n">
        <f aca="false">FC46+FE45</f>
        <v>0</v>
      </c>
      <c r="FF46" s="88" t="n">
        <f aca="false">MAX(FF45,FD46-FE46)</f>
        <v>0</v>
      </c>
      <c r="FG46" s="88" t="n">
        <f aca="false">FF46-FF45</f>
        <v>0</v>
      </c>
    </row>
    <row r="47" customFormat="false" ht="15" hidden="false" customHeight="false" outlineLevel="0" collapsed="false">
      <c r="A47" s="0" t="n">
        <v>7</v>
      </c>
      <c r="B47" s="88" t="n">
        <f aca="false">2026+INT(A47/12)</f>
        <v>2026</v>
      </c>
      <c r="C47" s="88" t="n">
        <f aca="false">MAX(0,MIN(1,A47+1-$AO$3))</f>
        <v>0</v>
      </c>
      <c r="D47" s="88" t="n">
        <f aca="false">IF((A47+0.5-(0))&lt;$AO$3,0,2026+INT((A47+0.5-(0))/12))</f>
        <v>0</v>
      </c>
      <c r="E47" s="88" t="n">
        <f aca="false">IF((A47+0.5-($AO$9))&lt;$AO$3,0,2026+INT((A47+0.5-($AO$9))/12))</f>
        <v>0</v>
      </c>
      <c r="F47" s="88" t="n">
        <f aca="false">IF((A47+0.5-($AO$9+$AO$8))&lt;$AO$3,0,2026+INT((A47+0.5-($AO$9+$AO$8))/12))</f>
        <v>0</v>
      </c>
      <c r="G47" s="88" t="n">
        <f aca="false">IF((A47+0.5-($AO$9+$AO$8+$AO$7))&lt;$AO$3,0,2026+INT((A47+0.5-($AO$9+$AO$8+$AO$7))/12))</f>
        <v>0</v>
      </c>
      <c r="H47" s="88" t="n">
        <f aca="false">IF(B47=2026,INDEX($C$3:$Q$3,1,B47-2025)*$AO$4*C47/MAX(0.0001,12-$AO$3),INDEX($C$3:$Q$3,1,B47-2025)/12)</f>
        <v>0</v>
      </c>
      <c r="I47" s="88" t="n">
        <f aca="false">$AO$6*$X$3*C47/MAX(0.0001,12-$AO$3)</f>
        <v>0</v>
      </c>
      <c r="J47" s="88" t="n">
        <f aca="false">H47+J46</f>
        <v>0</v>
      </c>
      <c r="K47" s="88" t="n">
        <f aca="false">I47+K46</f>
        <v>0</v>
      </c>
      <c r="L47" s="88" t="n">
        <f aca="false">MAX(L46,J47-K47)</f>
        <v>0</v>
      </c>
      <c r="M47" s="88" t="n">
        <f aca="false">L47-L46</f>
        <v>0</v>
      </c>
      <c r="N47" s="88" t="n">
        <f aca="false">IF(B47=2026,INDEX($C$4:$Q$4,1,B47-2025)*$AO$4*C47/MAX(0.0001,12-$AO$3),INDEX($C$4:$Q$4,1,B47-2025)/12)</f>
        <v>0</v>
      </c>
      <c r="O47" s="88" t="n">
        <f aca="false">$AO$6*$X$4*C47/MAX(0.0001,12-$AO$3)</f>
        <v>0</v>
      </c>
      <c r="P47" s="88" t="n">
        <f aca="false">N47+P46</f>
        <v>0</v>
      </c>
      <c r="Q47" s="88" t="n">
        <f aca="false">O47+Q46</f>
        <v>0</v>
      </c>
      <c r="R47" s="88" t="n">
        <f aca="false">MAX(R46,P47-Q47)</f>
        <v>0</v>
      </c>
      <c r="S47" s="88" t="n">
        <f aca="false">R47-R46</f>
        <v>0</v>
      </c>
      <c r="T47" s="88" t="n">
        <f aca="false">IF(B47=2026,INDEX($C$5:$Q$5,1,B47-2025)*$AO$4*C47/MAX(0.0001,12-$AO$3),INDEX($C$5:$Q$5,1,B47-2025)/12)</f>
        <v>0</v>
      </c>
      <c r="U47" s="88" t="n">
        <f aca="false">$AO$6*$X$5*C47/MAX(0.0001,12-$AO$3)</f>
        <v>0</v>
      </c>
      <c r="V47" s="88" t="n">
        <f aca="false">T47+V46</f>
        <v>0</v>
      </c>
      <c r="W47" s="88" t="n">
        <f aca="false">U47+W46</f>
        <v>0</v>
      </c>
      <c r="X47" s="88" t="n">
        <f aca="false">MAX(X46,V47-W47)</f>
        <v>0</v>
      </c>
      <c r="Y47" s="88" t="n">
        <f aca="false">X47-X46</f>
        <v>0</v>
      </c>
      <c r="Z47" s="88" t="n">
        <f aca="false">IF(B47=2026,INDEX($C$6:$Q$6,1,B47-2025)*$AO$4*C47/MAX(0.0001,12-$AO$3),INDEX($C$6:$Q$6,1,B47-2025)/12)</f>
        <v>0</v>
      </c>
      <c r="AA47" s="88" t="n">
        <f aca="false">$AO$6*$X$6*C47/MAX(0.0001,12-$AO$3)</f>
        <v>0</v>
      </c>
      <c r="AB47" s="88" t="n">
        <f aca="false">Z47+AB46</f>
        <v>0</v>
      </c>
      <c r="AC47" s="88" t="n">
        <f aca="false">AA47+AC46</f>
        <v>0</v>
      </c>
      <c r="AD47" s="88" t="n">
        <f aca="false">MAX(AD46,AB47-AC47)</f>
        <v>0</v>
      </c>
      <c r="AE47" s="88" t="n">
        <f aca="false">AD47-AD46</f>
        <v>0</v>
      </c>
      <c r="AF47" s="88" t="n">
        <f aca="false">IF(B47=2026,INDEX($C$7:$Q$7,1,B47-2025)*$AO$4*C47/MAX(0.0001,12-$AO$3),INDEX($C$7:$Q$7,1,B47-2025)/12)</f>
        <v>0</v>
      </c>
      <c r="AG47" s="88" t="n">
        <f aca="false">$AO$6*$X$7*C47/MAX(0.0001,12-$AO$3)</f>
        <v>0</v>
      </c>
      <c r="AH47" s="88" t="n">
        <f aca="false">AF47+AH46</f>
        <v>0</v>
      </c>
      <c r="AI47" s="88" t="n">
        <f aca="false">AG47+AI46</f>
        <v>0</v>
      </c>
      <c r="AJ47" s="88" t="n">
        <f aca="false">MAX(AJ46,AH47-AI47)</f>
        <v>0</v>
      </c>
      <c r="AK47" s="88" t="n">
        <f aca="false">AJ47-AJ46</f>
        <v>0</v>
      </c>
      <c r="AL47" s="88" t="n">
        <f aca="false">IF(B47=2026,INDEX($C$8:$Q$8,1,B47-2025)*$AO$4*C47/MAX(0.0001,12-$AO$3),INDEX($C$8:$Q$8,1,B47-2025)/12)</f>
        <v>0</v>
      </c>
      <c r="AM47" s="88" t="n">
        <f aca="false">$AO$6*$X$8*C47/MAX(0.0001,12-$AO$3)</f>
        <v>0</v>
      </c>
      <c r="AN47" s="88" t="n">
        <f aca="false">AL47+AN46</f>
        <v>0</v>
      </c>
      <c r="AO47" s="88" t="n">
        <f aca="false">AM47+AO46</f>
        <v>0</v>
      </c>
      <c r="AP47" s="88" t="n">
        <f aca="false">MAX(AP46,AN47-AO47)</f>
        <v>0</v>
      </c>
      <c r="AQ47" s="88" t="n">
        <f aca="false">AP47-AP46</f>
        <v>0</v>
      </c>
      <c r="AR47" s="88" t="n">
        <f aca="false">IF(B47=2026,INDEX($C$9:$Q$9,1,B47-2025)*$AO$4*C47/MAX(0.0001,12-$AO$3),INDEX($C$9:$Q$9,1,B47-2025)/12)</f>
        <v>0</v>
      </c>
      <c r="AS47" s="88" t="n">
        <f aca="false">$AO$6*$X$9*C47/MAX(0.0001,12-$AO$3)</f>
        <v>0</v>
      </c>
      <c r="AT47" s="88" t="n">
        <f aca="false">AR47+AT46</f>
        <v>0</v>
      </c>
      <c r="AU47" s="88" t="n">
        <f aca="false">AS47+AU46</f>
        <v>0</v>
      </c>
      <c r="AV47" s="88" t="n">
        <f aca="false">MAX(AV46,AT47-AU47)</f>
        <v>0</v>
      </c>
      <c r="AW47" s="88" t="n">
        <f aca="false">AV47-AV46</f>
        <v>0</v>
      </c>
      <c r="AX47" s="88" t="n">
        <f aca="false">IF(B47=2026,INDEX($C$10:$Q$10,1,B47-2025)*$AO$4*C47/MAX(0.0001,12-$AO$3),INDEX($C$10:$Q$10,1,B47-2025)/12)</f>
        <v>0</v>
      </c>
      <c r="AY47" s="88" t="n">
        <f aca="false">$AO$6*$X$10*C47/MAX(0.0001,12-$AO$3)</f>
        <v>0</v>
      </c>
      <c r="AZ47" s="88" t="n">
        <f aca="false">AX47+AZ46</f>
        <v>0</v>
      </c>
      <c r="BA47" s="88" t="n">
        <f aca="false">AY47+BA46</f>
        <v>0</v>
      </c>
      <c r="BB47" s="88" t="n">
        <f aca="false">MAX(BB46,AZ47-BA47)</f>
        <v>0</v>
      </c>
      <c r="BC47" s="88" t="n">
        <f aca="false">BB47-BB46</f>
        <v>0</v>
      </c>
      <c r="BD47" s="88" t="n">
        <f aca="false">IF(B47=2026,INDEX($C$11:$Q$11,1,B47-2025)*$AO$4*C47/MAX(0.0001,12-$AO$3),INDEX($C$11:$Q$11,1,B47-2025)/12)</f>
        <v>0</v>
      </c>
      <c r="BE47" s="88" t="n">
        <f aca="false">$AO$6*$X$11*C47/MAX(0.0001,12-$AO$3)</f>
        <v>0</v>
      </c>
      <c r="BF47" s="88" t="n">
        <f aca="false">BD47+BF46</f>
        <v>0</v>
      </c>
      <c r="BG47" s="88" t="n">
        <f aca="false">BE47+BG46</f>
        <v>0</v>
      </c>
      <c r="BH47" s="88" t="n">
        <f aca="false">MAX(BH46,BF47-BG47)</f>
        <v>0</v>
      </c>
      <c r="BI47" s="88" t="n">
        <f aca="false">BH47-BH46</f>
        <v>0</v>
      </c>
      <c r="BJ47" s="88" t="n">
        <f aca="false">IF(B47=2026,INDEX($C$12:$Q$12,1,B47-2025)*$AO$4*C47/MAX(0.0001,12-$AO$3),INDEX($C$12:$Q$12,1,B47-2025)/12)</f>
        <v>0</v>
      </c>
      <c r="BK47" s="88" t="n">
        <f aca="false">$AO$6*$X$12*C47/MAX(0.0001,12-$AO$3)</f>
        <v>0</v>
      </c>
      <c r="BL47" s="88" t="n">
        <f aca="false">BJ47+BL46</f>
        <v>0</v>
      </c>
      <c r="BM47" s="88" t="n">
        <f aca="false">BK47+BM46</f>
        <v>0</v>
      </c>
      <c r="BN47" s="88" t="n">
        <f aca="false">MAX(BN46,BL47-BM47)</f>
        <v>0</v>
      </c>
      <c r="BO47" s="88" t="n">
        <f aca="false">BN47-BN46</f>
        <v>0</v>
      </c>
      <c r="BP47" s="88" t="n">
        <f aca="false">IF(B47=2026,INDEX($C$13:$Q$13,1,B47-2025)*$AO$4*C47/MAX(0.0001,12-$AO$3),INDEX($C$13:$Q$13,1,B47-2025)/12)</f>
        <v>0</v>
      </c>
      <c r="BQ47" s="88" t="n">
        <f aca="false">$AO$6*$X$13*C47/MAX(0.0001,12-$AO$3)</f>
        <v>0</v>
      </c>
      <c r="BR47" s="88" t="n">
        <f aca="false">BP47+BR46</f>
        <v>0</v>
      </c>
      <c r="BS47" s="88" t="n">
        <f aca="false">BQ47+BS46</f>
        <v>0</v>
      </c>
      <c r="BT47" s="88" t="n">
        <f aca="false">MAX(BT46,BR47-BS47)</f>
        <v>0</v>
      </c>
      <c r="BU47" s="88" t="n">
        <f aca="false">BT47-BT46</f>
        <v>0</v>
      </c>
      <c r="BV47" s="88" t="n">
        <f aca="false">IF(B47=2026,INDEX($C$14:$Q$14,1,B47-2025)*$AO$4*C47/MAX(0.0001,12-$AO$3),INDEX($C$14:$Q$14,1,B47-2025)/12)</f>
        <v>0</v>
      </c>
      <c r="BW47" s="88" t="n">
        <f aca="false">$AO$6*$X$14*C47/MAX(0.0001,12-$AO$3)</f>
        <v>0</v>
      </c>
      <c r="BX47" s="88" t="n">
        <f aca="false">BV47+BX46</f>
        <v>0</v>
      </c>
      <c r="BY47" s="88" t="n">
        <f aca="false">BW47+BY46</f>
        <v>0</v>
      </c>
      <c r="BZ47" s="88" t="n">
        <f aca="false">MAX(BZ46,BX47-BY47)</f>
        <v>0</v>
      </c>
      <c r="CA47" s="88" t="n">
        <f aca="false">BZ47-BZ46</f>
        <v>0</v>
      </c>
      <c r="CB47" s="88" t="n">
        <f aca="false">IF(B47=2026,INDEX($C$15:$Q$15,1,B47-2025)*$AO$4*C47/MAX(0.0001,12-$AO$3),INDEX($C$15:$Q$15,1,B47-2025)/12)</f>
        <v>0</v>
      </c>
      <c r="CC47" s="88" t="n">
        <f aca="false">$AO$6*$X$15*C47/MAX(0.0001,12-$AO$3)</f>
        <v>0</v>
      </c>
      <c r="CD47" s="88" t="n">
        <f aca="false">CB47+CD46</f>
        <v>0</v>
      </c>
      <c r="CE47" s="88" t="n">
        <f aca="false">CC47+CE46</f>
        <v>0</v>
      </c>
      <c r="CF47" s="88" t="n">
        <f aca="false">MAX(CF46,CD47-CE47)</f>
        <v>0</v>
      </c>
      <c r="CG47" s="88" t="n">
        <f aca="false">CF47-CF46</f>
        <v>0</v>
      </c>
      <c r="CH47" s="88" t="n">
        <f aca="false">IF(B47=2026,INDEX($C$16:$Q$16,1,B47-2025)*$AO$4*C47/MAX(0.0001,12-$AO$3),INDEX($C$16:$Q$16,1,B47-2025)/12)</f>
        <v>0</v>
      </c>
      <c r="CI47" s="88" t="n">
        <f aca="false">$AO$6*$X$16*C47/MAX(0.0001,12-$AO$3)</f>
        <v>0</v>
      </c>
      <c r="CJ47" s="88" t="n">
        <f aca="false">CH47+CJ46</f>
        <v>0</v>
      </c>
      <c r="CK47" s="88" t="n">
        <f aca="false">CI47+CK46</f>
        <v>0</v>
      </c>
      <c r="CL47" s="88" t="n">
        <f aca="false">MAX(CL46,CJ47-CK47)</f>
        <v>0</v>
      </c>
      <c r="CM47" s="88" t="n">
        <f aca="false">CL47-CL46</f>
        <v>0</v>
      </c>
      <c r="CN47" s="88" t="n">
        <f aca="false">IF(B47=2026,INDEX($C$17:$Q$17,1,B47-2025)*$AO$4*C47/MAX(0.0001,12-$AO$3),INDEX($C$17:$Q$17,1,B47-2025)/12)</f>
        <v>0</v>
      </c>
      <c r="CO47" s="88" t="n">
        <f aca="false">$AO$6*$X$17*C47/MAX(0.0001,12-$AO$3)</f>
        <v>0</v>
      </c>
      <c r="CP47" s="88" t="n">
        <f aca="false">CN47+CP46</f>
        <v>0</v>
      </c>
      <c r="CQ47" s="88" t="n">
        <f aca="false">CO47+CQ46</f>
        <v>0</v>
      </c>
      <c r="CR47" s="88" t="n">
        <f aca="false">MAX(CR46,CP47-CQ47)</f>
        <v>0</v>
      </c>
      <c r="CS47" s="88" t="n">
        <f aca="false">CR47-CR46</f>
        <v>0</v>
      </c>
      <c r="CT47" s="88" t="n">
        <f aca="false">IF(B47=2026,INDEX($C$18:$Q$18,1,B47-2025)*$AO$4*C47/MAX(0.0001,12-$AO$3),INDEX($C$18:$Q$18,1,B47-2025)/12)</f>
        <v>0</v>
      </c>
      <c r="CU47" s="88" t="n">
        <f aca="false">$AO$6*$X$18*C47/MAX(0.0001,12-$AO$3)</f>
        <v>0</v>
      </c>
      <c r="CV47" s="88" t="n">
        <f aca="false">CT47+CV46</f>
        <v>0</v>
      </c>
      <c r="CW47" s="88" t="n">
        <f aca="false">CU47+CW46</f>
        <v>0</v>
      </c>
      <c r="CX47" s="88" t="n">
        <f aca="false">MAX(CX46,CV47-CW47)</f>
        <v>0</v>
      </c>
      <c r="CY47" s="88" t="n">
        <f aca="false">CX47-CX46</f>
        <v>0</v>
      </c>
      <c r="CZ47" s="88" t="n">
        <f aca="false">IF(B47=2026,INDEX($C$19:$Q$19,1,B47-2025)*$AO$4*C47/MAX(0.0001,12-$AO$3),INDEX($C$19:$Q$19,1,B47-2025)/12)</f>
        <v>0</v>
      </c>
      <c r="DA47" s="88" t="n">
        <f aca="false">$AO$6*$X$19*C47/MAX(0.0001,12-$AO$3)</f>
        <v>0</v>
      </c>
      <c r="DB47" s="88" t="n">
        <f aca="false">CZ47+DB46</f>
        <v>0</v>
      </c>
      <c r="DC47" s="88" t="n">
        <f aca="false">DA47+DC46</f>
        <v>0</v>
      </c>
      <c r="DD47" s="88" t="n">
        <f aca="false">MAX(DD46,DB47-DC47)</f>
        <v>0</v>
      </c>
      <c r="DE47" s="88" t="n">
        <f aca="false">DD47-DD46</f>
        <v>0</v>
      </c>
      <c r="DF47" s="88" t="n">
        <f aca="false">IF(B47=2026,INDEX($C$20:$Q$20,1,B47-2025)*$AO$4*C47/MAX(0.0001,12-$AO$3),INDEX($C$20:$Q$20,1,B47-2025)/12)</f>
        <v>0</v>
      </c>
      <c r="DG47" s="88" t="n">
        <f aca="false">$AO$6*$X$20*C47/MAX(0.0001,12-$AO$3)</f>
        <v>0</v>
      </c>
      <c r="DH47" s="88" t="n">
        <f aca="false">DF47+DH46</f>
        <v>0</v>
      </c>
      <c r="DI47" s="88" t="n">
        <f aca="false">DG47+DI46</f>
        <v>0</v>
      </c>
      <c r="DJ47" s="88" t="n">
        <f aca="false">MAX(DJ46,DH47-DI47)</f>
        <v>0</v>
      </c>
      <c r="DK47" s="88" t="n">
        <f aca="false">DJ47-DJ46</f>
        <v>0</v>
      </c>
      <c r="DL47" s="88" t="n">
        <f aca="false">IF(B47=2026,INDEX($C$21:$Q$21,1,B47-2025)*$AO$4*C47/MAX(0.0001,12-$AO$3),INDEX($C$21:$Q$21,1,B47-2025)/12)</f>
        <v>0</v>
      </c>
      <c r="DM47" s="88" t="n">
        <f aca="false">$AO$6*$X$21*C47/MAX(0.0001,12-$AO$3)</f>
        <v>0</v>
      </c>
      <c r="DN47" s="88" t="n">
        <f aca="false">DL47+DN46</f>
        <v>0</v>
      </c>
      <c r="DO47" s="88" t="n">
        <f aca="false">DM47+DO46</f>
        <v>0</v>
      </c>
      <c r="DP47" s="88" t="n">
        <f aca="false">MAX(DP46,DN47-DO47)</f>
        <v>0</v>
      </c>
      <c r="DQ47" s="88" t="n">
        <f aca="false">DP47-DP46</f>
        <v>0</v>
      </c>
      <c r="DR47" s="88" t="n">
        <f aca="false">IF(B47=2026,INDEX($C$22:$Q$22,1,B47-2025)*$AO$4*C47/MAX(0.0001,12-$AO$3),INDEX($C$22:$Q$22,1,B47-2025)/12)</f>
        <v>0</v>
      </c>
      <c r="DS47" s="88" t="n">
        <f aca="false">$AO$6*$X$22*C47/MAX(0.0001,12-$AO$3)</f>
        <v>0</v>
      </c>
      <c r="DT47" s="88" t="n">
        <f aca="false">DR47+DT46</f>
        <v>0</v>
      </c>
      <c r="DU47" s="88" t="n">
        <f aca="false">DS47+DU46</f>
        <v>0</v>
      </c>
      <c r="DV47" s="88" t="n">
        <f aca="false">MAX(DV46,DT47-DU47)</f>
        <v>0</v>
      </c>
      <c r="DW47" s="88" t="n">
        <f aca="false">DV47-DV46</f>
        <v>0</v>
      </c>
      <c r="DX47" s="88" t="n">
        <f aca="false">IF(B47=2026,INDEX($C$23:$Q$23,1,B47-2025)*$AO$4*C47/MAX(0.0001,12-$AO$3),INDEX($C$23:$Q$23,1,B47-2025)/12)</f>
        <v>0</v>
      </c>
      <c r="DY47" s="88" t="n">
        <f aca="false">$AO$6*$X$23*C47/MAX(0.0001,12-$AO$3)</f>
        <v>0</v>
      </c>
      <c r="DZ47" s="88" t="n">
        <f aca="false">DX47+DZ46</f>
        <v>0</v>
      </c>
      <c r="EA47" s="88" t="n">
        <f aca="false">DY47+EA46</f>
        <v>0</v>
      </c>
      <c r="EB47" s="88" t="n">
        <f aca="false">MAX(EB46,DZ47-EA47)</f>
        <v>0</v>
      </c>
      <c r="EC47" s="88" t="n">
        <f aca="false">EB47-EB46</f>
        <v>0</v>
      </c>
      <c r="ED47" s="88" t="n">
        <f aca="false">IF(B47=2026,INDEX($C$24:$Q$24,1,B47-2025)*$AO$4*C47/MAX(0.0001,12-$AO$3),INDEX($C$24:$Q$24,1,B47-2025)/12)</f>
        <v>0</v>
      </c>
      <c r="EE47" s="88" t="n">
        <f aca="false">$AO$6*$X$24*C47/MAX(0.0001,12-$AO$3)</f>
        <v>0</v>
      </c>
      <c r="EF47" s="88" t="n">
        <f aca="false">ED47+EF46</f>
        <v>0</v>
      </c>
      <c r="EG47" s="88" t="n">
        <f aca="false">EE47+EG46</f>
        <v>0</v>
      </c>
      <c r="EH47" s="88" t="n">
        <f aca="false">MAX(EH46,EF47-EG47)</f>
        <v>0</v>
      </c>
      <c r="EI47" s="88" t="n">
        <f aca="false">EH47-EH46</f>
        <v>0</v>
      </c>
      <c r="EJ47" s="88" t="n">
        <f aca="false">IF(B47=2026,INDEX($C$25:$Q$25,1,B47-2025)*$AO$4*C47/MAX(0.0001,12-$AO$3),INDEX($C$25:$Q$25,1,B47-2025)/12)</f>
        <v>0</v>
      </c>
      <c r="EK47" s="88" t="n">
        <f aca="false">$AO$6*$X$25*C47/MAX(0.0001,12-$AO$3)</f>
        <v>0</v>
      </c>
      <c r="EL47" s="88" t="n">
        <f aca="false">EJ47+EL46</f>
        <v>0</v>
      </c>
      <c r="EM47" s="88" t="n">
        <f aca="false">EK47+EM46</f>
        <v>0</v>
      </c>
      <c r="EN47" s="88" t="n">
        <f aca="false">MAX(EN46,EL47-EM47)</f>
        <v>0</v>
      </c>
      <c r="EO47" s="88" t="n">
        <f aca="false">EN47-EN46</f>
        <v>0</v>
      </c>
      <c r="EP47" s="88" t="n">
        <f aca="false">IF(B47=2026,INDEX($C$26:$Q$26,1,B47-2025)*$AO$4*C47/MAX(0.0001,12-$AO$3),INDEX($C$26:$Q$26,1,B47-2025)/12)</f>
        <v>0</v>
      </c>
      <c r="EQ47" s="88" t="n">
        <f aca="false">$AO$6*$X$26*C47/MAX(0.0001,12-$AO$3)</f>
        <v>0</v>
      </c>
      <c r="ER47" s="88" t="n">
        <f aca="false">EP47+ER46</f>
        <v>0</v>
      </c>
      <c r="ES47" s="88" t="n">
        <f aca="false">EQ47+ES46</f>
        <v>0</v>
      </c>
      <c r="ET47" s="88" t="n">
        <f aca="false">MAX(ET46,ER47-ES47)</f>
        <v>0</v>
      </c>
      <c r="EU47" s="88" t="n">
        <f aca="false">ET47-ET46</f>
        <v>0</v>
      </c>
      <c r="EV47" s="88" t="n">
        <f aca="false">IF(B47=2026,INDEX($C$27:$Q$27,1,B47-2025)*$AO$4*C47/MAX(0.0001,12-$AO$3),INDEX($C$27:$Q$27,1,B47-2025)/12)</f>
        <v>0</v>
      </c>
      <c r="EW47" s="88" t="n">
        <f aca="false">$AO$6*$X$27*C47/MAX(0.0001,12-$AO$3)</f>
        <v>0</v>
      </c>
      <c r="EX47" s="88" t="n">
        <f aca="false">EV47+EX46</f>
        <v>0</v>
      </c>
      <c r="EY47" s="88" t="n">
        <f aca="false">EW47+EY46</f>
        <v>0</v>
      </c>
      <c r="EZ47" s="88" t="n">
        <f aca="false">MAX(EZ46,EX47-EY47)</f>
        <v>0</v>
      </c>
      <c r="FA47" s="88" t="n">
        <f aca="false">EZ47-EZ46</f>
        <v>0</v>
      </c>
      <c r="FB47" s="88" t="n">
        <f aca="false">IF(B47=2026,INDEX($C$28:$Q$28,1,B47-2025)*$AO$4*C47/MAX(0.0001,12-$AO$3),INDEX($C$28:$Q$28,1,B47-2025)/12)</f>
        <v>0</v>
      </c>
      <c r="FC47" s="88" t="n">
        <f aca="false">$AO$6*$X$28*C47/MAX(0.0001,12-$AO$3)</f>
        <v>0</v>
      </c>
      <c r="FD47" s="88" t="n">
        <f aca="false">FB47+FD46</f>
        <v>0</v>
      </c>
      <c r="FE47" s="88" t="n">
        <f aca="false">FC47+FE46</f>
        <v>0</v>
      </c>
      <c r="FF47" s="88" t="n">
        <f aca="false">MAX(FF46,FD47-FE47)</f>
        <v>0</v>
      </c>
      <c r="FG47" s="88" t="n">
        <f aca="false">FF47-FF46</f>
        <v>0</v>
      </c>
    </row>
    <row r="48" customFormat="false" ht="15" hidden="false" customHeight="false" outlineLevel="0" collapsed="false">
      <c r="A48" s="0" t="n">
        <v>8</v>
      </c>
      <c r="B48" s="88" t="n">
        <f aca="false">2026+INT(A48/12)</f>
        <v>2026</v>
      </c>
      <c r="C48" s="88" t="n">
        <f aca="false">MAX(0,MIN(1,A48+1-$AO$3))</f>
        <v>0</v>
      </c>
      <c r="D48" s="88" t="n">
        <f aca="false">IF((A48+0.5-(0))&lt;$AO$3,0,2026+INT((A48+0.5-(0))/12))</f>
        <v>0</v>
      </c>
      <c r="E48" s="88" t="n">
        <f aca="false">IF((A48+0.5-($AO$9))&lt;$AO$3,0,2026+INT((A48+0.5-($AO$9))/12))</f>
        <v>0</v>
      </c>
      <c r="F48" s="88" t="n">
        <f aca="false">IF((A48+0.5-($AO$9+$AO$8))&lt;$AO$3,0,2026+INT((A48+0.5-($AO$9+$AO$8))/12))</f>
        <v>0</v>
      </c>
      <c r="G48" s="88" t="n">
        <f aca="false">IF((A48+0.5-($AO$9+$AO$8+$AO$7))&lt;$AO$3,0,2026+INT((A48+0.5-($AO$9+$AO$8+$AO$7))/12))</f>
        <v>0</v>
      </c>
      <c r="H48" s="88" t="n">
        <f aca="false">IF(B48=2026,INDEX($C$3:$Q$3,1,B48-2025)*$AO$4*C48/MAX(0.0001,12-$AO$3),INDEX($C$3:$Q$3,1,B48-2025)/12)</f>
        <v>0</v>
      </c>
      <c r="I48" s="88" t="n">
        <f aca="false">$AO$6*$X$3*C48/MAX(0.0001,12-$AO$3)</f>
        <v>0</v>
      </c>
      <c r="J48" s="88" t="n">
        <f aca="false">H48+J47</f>
        <v>0</v>
      </c>
      <c r="K48" s="88" t="n">
        <f aca="false">I48+K47</f>
        <v>0</v>
      </c>
      <c r="L48" s="88" t="n">
        <f aca="false">MAX(L47,J48-K48)</f>
        <v>0</v>
      </c>
      <c r="M48" s="88" t="n">
        <f aca="false">L48-L47</f>
        <v>0</v>
      </c>
      <c r="N48" s="88" t="n">
        <f aca="false">IF(B48=2026,INDEX($C$4:$Q$4,1,B48-2025)*$AO$4*C48/MAX(0.0001,12-$AO$3),INDEX($C$4:$Q$4,1,B48-2025)/12)</f>
        <v>0</v>
      </c>
      <c r="O48" s="88" t="n">
        <f aca="false">$AO$6*$X$4*C48/MAX(0.0001,12-$AO$3)</f>
        <v>0</v>
      </c>
      <c r="P48" s="88" t="n">
        <f aca="false">N48+P47</f>
        <v>0</v>
      </c>
      <c r="Q48" s="88" t="n">
        <f aca="false">O48+Q47</f>
        <v>0</v>
      </c>
      <c r="R48" s="88" t="n">
        <f aca="false">MAX(R47,P48-Q48)</f>
        <v>0</v>
      </c>
      <c r="S48" s="88" t="n">
        <f aca="false">R48-R47</f>
        <v>0</v>
      </c>
      <c r="T48" s="88" t="n">
        <f aca="false">IF(B48=2026,INDEX($C$5:$Q$5,1,B48-2025)*$AO$4*C48/MAX(0.0001,12-$AO$3),INDEX($C$5:$Q$5,1,B48-2025)/12)</f>
        <v>0</v>
      </c>
      <c r="U48" s="88" t="n">
        <f aca="false">$AO$6*$X$5*C48/MAX(0.0001,12-$AO$3)</f>
        <v>0</v>
      </c>
      <c r="V48" s="88" t="n">
        <f aca="false">T48+V47</f>
        <v>0</v>
      </c>
      <c r="W48" s="88" t="n">
        <f aca="false">U48+W47</f>
        <v>0</v>
      </c>
      <c r="X48" s="88" t="n">
        <f aca="false">MAX(X47,V48-W48)</f>
        <v>0</v>
      </c>
      <c r="Y48" s="88" t="n">
        <f aca="false">X48-X47</f>
        <v>0</v>
      </c>
      <c r="Z48" s="88" t="n">
        <f aca="false">IF(B48=2026,INDEX($C$6:$Q$6,1,B48-2025)*$AO$4*C48/MAX(0.0001,12-$AO$3),INDEX($C$6:$Q$6,1,B48-2025)/12)</f>
        <v>0</v>
      </c>
      <c r="AA48" s="88" t="n">
        <f aca="false">$AO$6*$X$6*C48/MAX(0.0001,12-$AO$3)</f>
        <v>0</v>
      </c>
      <c r="AB48" s="88" t="n">
        <f aca="false">Z48+AB47</f>
        <v>0</v>
      </c>
      <c r="AC48" s="88" t="n">
        <f aca="false">AA48+AC47</f>
        <v>0</v>
      </c>
      <c r="AD48" s="88" t="n">
        <f aca="false">MAX(AD47,AB48-AC48)</f>
        <v>0</v>
      </c>
      <c r="AE48" s="88" t="n">
        <f aca="false">AD48-AD47</f>
        <v>0</v>
      </c>
      <c r="AF48" s="88" t="n">
        <f aca="false">IF(B48=2026,INDEX($C$7:$Q$7,1,B48-2025)*$AO$4*C48/MAX(0.0001,12-$AO$3),INDEX($C$7:$Q$7,1,B48-2025)/12)</f>
        <v>0</v>
      </c>
      <c r="AG48" s="88" t="n">
        <f aca="false">$AO$6*$X$7*C48/MAX(0.0001,12-$AO$3)</f>
        <v>0</v>
      </c>
      <c r="AH48" s="88" t="n">
        <f aca="false">AF48+AH47</f>
        <v>0</v>
      </c>
      <c r="AI48" s="88" t="n">
        <f aca="false">AG48+AI47</f>
        <v>0</v>
      </c>
      <c r="AJ48" s="88" t="n">
        <f aca="false">MAX(AJ47,AH48-AI48)</f>
        <v>0</v>
      </c>
      <c r="AK48" s="88" t="n">
        <f aca="false">AJ48-AJ47</f>
        <v>0</v>
      </c>
      <c r="AL48" s="88" t="n">
        <f aca="false">IF(B48=2026,INDEX($C$8:$Q$8,1,B48-2025)*$AO$4*C48/MAX(0.0001,12-$AO$3),INDEX($C$8:$Q$8,1,B48-2025)/12)</f>
        <v>0</v>
      </c>
      <c r="AM48" s="88" t="n">
        <f aca="false">$AO$6*$X$8*C48/MAX(0.0001,12-$AO$3)</f>
        <v>0</v>
      </c>
      <c r="AN48" s="88" t="n">
        <f aca="false">AL48+AN47</f>
        <v>0</v>
      </c>
      <c r="AO48" s="88" t="n">
        <f aca="false">AM48+AO47</f>
        <v>0</v>
      </c>
      <c r="AP48" s="88" t="n">
        <f aca="false">MAX(AP47,AN48-AO48)</f>
        <v>0</v>
      </c>
      <c r="AQ48" s="88" t="n">
        <f aca="false">AP48-AP47</f>
        <v>0</v>
      </c>
      <c r="AR48" s="88" t="n">
        <f aca="false">IF(B48=2026,INDEX($C$9:$Q$9,1,B48-2025)*$AO$4*C48/MAX(0.0001,12-$AO$3),INDEX($C$9:$Q$9,1,B48-2025)/12)</f>
        <v>0</v>
      </c>
      <c r="AS48" s="88" t="n">
        <f aca="false">$AO$6*$X$9*C48/MAX(0.0001,12-$AO$3)</f>
        <v>0</v>
      </c>
      <c r="AT48" s="88" t="n">
        <f aca="false">AR48+AT47</f>
        <v>0</v>
      </c>
      <c r="AU48" s="88" t="n">
        <f aca="false">AS48+AU47</f>
        <v>0</v>
      </c>
      <c r="AV48" s="88" t="n">
        <f aca="false">MAX(AV47,AT48-AU48)</f>
        <v>0</v>
      </c>
      <c r="AW48" s="88" t="n">
        <f aca="false">AV48-AV47</f>
        <v>0</v>
      </c>
      <c r="AX48" s="88" t="n">
        <f aca="false">IF(B48=2026,INDEX($C$10:$Q$10,1,B48-2025)*$AO$4*C48/MAX(0.0001,12-$AO$3),INDEX($C$10:$Q$10,1,B48-2025)/12)</f>
        <v>0</v>
      </c>
      <c r="AY48" s="88" t="n">
        <f aca="false">$AO$6*$X$10*C48/MAX(0.0001,12-$AO$3)</f>
        <v>0</v>
      </c>
      <c r="AZ48" s="88" t="n">
        <f aca="false">AX48+AZ47</f>
        <v>0</v>
      </c>
      <c r="BA48" s="88" t="n">
        <f aca="false">AY48+BA47</f>
        <v>0</v>
      </c>
      <c r="BB48" s="88" t="n">
        <f aca="false">MAX(BB47,AZ48-BA48)</f>
        <v>0</v>
      </c>
      <c r="BC48" s="88" t="n">
        <f aca="false">BB48-BB47</f>
        <v>0</v>
      </c>
      <c r="BD48" s="88" t="n">
        <f aca="false">IF(B48=2026,INDEX($C$11:$Q$11,1,B48-2025)*$AO$4*C48/MAX(0.0001,12-$AO$3),INDEX($C$11:$Q$11,1,B48-2025)/12)</f>
        <v>0</v>
      </c>
      <c r="BE48" s="88" t="n">
        <f aca="false">$AO$6*$X$11*C48/MAX(0.0001,12-$AO$3)</f>
        <v>0</v>
      </c>
      <c r="BF48" s="88" t="n">
        <f aca="false">BD48+BF47</f>
        <v>0</v>
      </c>
      <c r="BG48" s="88" t="n">
        <f aca="false">BE48+BG47</f>
        <v>0</v>
      </c>
      <c r="BH48" s="88" t="n">
        <f aca="false">MAX(BH47,BF48-BG48)</f>
        <v>0</v>
      </c>
      <c r="BI48" s="88" t="n">
        <f aca="false">BH48-BH47</f>
        <v>0</v>
      </c>
      <c r="BJ48" s="88" t="n">
        <f aca="false">IF(B48=2026,INDEX($C$12:$Q$12,1,B48-2025)*$AO$4*C48/MAX(0.0001,12-$AO$3),INDEX($C$12:$Q$12,1,B48-2025)/12)</f>
        <v>0</v>
      </c>
      <c r="BK48" s="88" t="n">
        <f aca="false">$AO$6*$X$12*C48/MAX(0.0001,12-$AO$3)</f>
        <v>0</v>
      </c>
      <c r="BL48" s="88" t="n">
        <f aca="false">BJ48+BL47</f>
        <v>0</v>
      </c>
      <c r="BM48" s="88" t="n">
        <f aca="false">BK48+BM47</f>
        <v>0</v>
      </c>
      <c r="BN48" s="88" t="n">
        <f aca="false">MAX(BN47,BL48-BM48)</f>
        <v>0</v>
      </c>
      <c r="BO48" s="88" t="n">
        <f aca="false">BN48-BN47</f>
        <v>0</v>
      </c>
      <c r="BP48" s="88" t="n">
        <f aca="false">IF(B48=2026,INDEX($C$13:$Q$13,1,B48-2025)*$AO$4*C48/MAX(0.0001,12-$AO$3),INDEX($C$13:$Q$13,1,B48-2025)/12)</f>
        <v>0</v>
      </c>
      <c r="BQ48" s="88" t="n">
        <f aca="false">$AO$6*$X$13*C48/MAX(0.0001,12-$AO$3)</f>
        <v>0</v>
      </c>
      <c r="BR48" s="88" t="n">
        <f aca="false">BP48+BR47</f>
        <v>0</v>
      </c>
      <c r="BS48" s="88" t="n">
        <f aca="false">BQ48+BS47</f>
        <v>0</v>
      </c>
      <c r="BT48" s="88" t="n">
        <f aca="false">MAX(BT47,BR48-BS48)</f>
        <v>0</v>
      </c>
      <c r="BU48" s="88" t="n">
        <f aca="false">BT48-BT47</f>
        <v>0</v>
      </c>
      <c r="BV48" s="88" t="n">
        <f aca="false">IF(B48=2026,INDEX($C$14:$Q$14,1,B48-2025)*$AO$4*C48/MAX(0.0001,12-$AO$3),INDEX($C$14:$Q$14,1,B48-2025)/12)</f>
        <v>0</v>
      </c>
      <c r="BW48" s="88" t="n">
        <f aca="false">$AO$6*$X$14*C48/MAX(0.0001,12-$AO$3)</f>
        <v>0</v>
      </c>
      <c r="BX48" s="88" t="n">
        <f aca="false">BV48+BX47</f>
        <v>0</v>
      </c>
      <c r="BY48" s="88" t="n">
        <f aca="false">BW48+BY47</f>
        <v>0</v>
      </c>
      <c r="BZ48" s="88" t="n">
        <f aca="false">MAX(BZ47,BX48-BY48)</f>
        <v>0</v>
      </c>
      <c r="CA48" s="88" t="n">
        <f aca="false">BZ48-BZ47</f>
        <v>0</v>
      </c>
      <c r="CB48" s="88" t="n">
        <f aca="false">IF(B48=2026,INDEX($C$15:$Q$15,1,B48-2025)*$AO$4*C48/MAX(0.0001,12-$AO$3),INDEX($C$15:$Q$15,1,B48-2025)/12)</f>
        <v>0</v>
      </c>
      <c r="CC48" s="88" t="n">
        <f aca="false">$AO$6*$X$15*C48/MAX(0.0001,12-$AO$3)</f>
        <v>0</v>
      </c>
      <c r="CD48" s="88" t="n">
        <f aca="false">CB48+CD47</f>
        <v>0</v>
      </c>
      <c r="CE48" s="88" t="n">
        <f aca="false">CC48+CE47</f>
        <v>0</v>
      </c>
      <c r="CF48" s="88" t="n">
        <f aca="false">MAX(CF47,CD48-CE48)</f>
        <v>0</v>
      </c>
      <c r="CG48" s="88" t="n">
        <f aca="false">CF48-CF47</f>
        <v>0</v>
      </c>
      <c r="CH48" s="88" t="n">
        <f aca="false">IF(B48=2026,INDEX($C$16:$Q$16,1,B48-2025)*$AO$4*C48/MAX(0.0001,12-$AO$3),INDEX($C$16:$Q$16,1,B48-2025)/12)</f>
        <v>0</v>
      </c>
      <c r="CI48" s="88" t="n">
        <f aca="false">$AO$6*$X$16*C48/MAX(0.0001,12-$AO$3)</f>
        <v>0</v>
      </c>
      <c r="CJ48" s="88" t="n">
        <f aca="false">CH48+CJ47</f>
        <v>0</v>
      </c>
      <c r="CK48" s="88" t="n">
        <f aca="false">CI48+CK47</f>
        <v>0</v>
      </c>
      <c r="CL48" s="88" t="n">
        <f aca="false">MAX(CL47,CJ48-CK48)</f>
        <v>0</v>
      </c>
      <c r="CM48" s="88" t="n">
        <f aca="false">CL48-CL47</f>
        <v>0</v>
      </c>
      <c r="CN48" s="88" t="n">
        <f aca="false">IF(B48=2026,INDEX($C$17:$Q$17,1,B48-2025)*$AO$4*C48/MAX(0.0001,12-$AO$3),INDEX($C$17:$Q$17,1,B48-2025)/12)</f>
        <v>0</v>
      </c>
      <c r="CO48" s="88" t="n">
        <f aca="false">$AO$6*$X$17*C48/MAX(0.0001,12-$AO$3)</f>
        <v>0</v>
      </c>
      <c r="CP48" s="88" t="n">
        <f aca="false">CN48+CP47</f>
        <v>0</v>
      </c>
      <c r="CQ48" s="88" t="n">
        <f aca="false">CO48+CQ47</f>
        <v>0</v>
      </c>
      <c r="CR48" s="88" t="n">
        <f aca="false">MAX(CR47,CP48-CQ48)</f>
        <v>0</v>
      </c>
      <c r="CS48" s="88" t="n">
        <f aca="false">CR48-CR47</f>
        <v>0</v>
      </c>
      <c r="CT48" s="88" t="n">
        <f aca="false">IF(B48=2026,INDEX($C$18:$Q$18,1,B48-2025)*$AO$4*C48/MAX(0.0001,12-$AO$3),INDEX($C$18:$Q$18,1,B48-2025)/12)</f>
        <v>0</v>
      </c>
      <c r="CU48" s="88" t="n">
        <f aca="false">$AO$6*$X$18*C48/MAX(0.0001,12-$AO$3)</f>
        <v>0</v>
      </c>
      <c r="CV48" s="88" t="n">
        <f aca="false">CT48+CV47</f>
        <v>0</v>
      </c>
      <c r="CW48" s="88" t="n">
        <f aca="false">CU48+CW47</f>
        <v>0</v>
      </c>
      <c r="CX48" s="88" t="n">
        <f aca="false">MAX(CX47,CV48-CW48)</f>
        <v>0</v>
      </c>
      <c r="CY48" s="88" t="n">
        <f aca="false">CX48-CX47</f>
        <v>0</v>
      </c>
      <c r="CZ48" s="88" t="n">
        <f aca="false">IF(B48=2026,INDEX($C$19:$Q$19,1,B48-2025)*$AO$4*C48/MAX(0.0001,12-$AO$3),INDEX($C$19:$Q$19,1,B48-2025)/12)</f>
        <v>0</v>
      </c>
      <c r="DA48" s="88" t="n">
        <f aca="false">$AO$6*$X$19*C48/MAX(0.0001,12-$AO$3)</f>
        <v>0</v>
      </c>
      <c r="DB48" s="88" t="n">
        <f aca="false">CZ48+DB47</f>
        <v>0</v>
      </c>
      <c r="DC48" s="88" t="n">
        <f aca="false">DA48+DC47</f>
        <v>0</v>
      </c>
      <c r="DD48" s="88" t="n">
        <f aca="false">MAX(DD47,DB48-DC48)</f>
        <v>0</v>
      </c>
      <c r="DE48" s="88" t="n">
        <f aca="false">DD48-DD47</f>
        <v>0</v>
      </c>
      <c r="DF48" s="88" t="n">
        <f aca="false">IF(B48=2026,INDEX($C$20:$Q$20,1,B48-2025)*$AO$4*C48/MAX(0.0001,12-$AO$3),INDEX($C$20:$Q$20,1,B48-2025)/12)</f>
        <v>0</v>
      </c>
      <c r="DG48" s="88" t="n">
        <f aca="false">$AO$6*$X$20*C48/MAX(0.0001,12-$AO$3)</f>
        <v>0</v>
      </c>
      <c r="DH48" s="88" t="n">
        <f aca="false">DF48+DH47</f>
        <v>0</v>
      </c>
      <c r="DI48" s="88" t="n">
        <f aca="false">DG48+DI47</f>
        <v>0</v>
      </c>
      <c r="DJ48" s="88" t="n">
        <f aca="false">MAX(DJ47,DH48-DI48)</f>
        <v>0</v>
      </c>
      <c r="DK48" s="88" t="n">
        <f aca="false">DJ48-DJ47</f>
        <v>0</v>
      </c>
      <c r="DL48" s="88" t="n">
        <f aca="false">IF(B48=2026,INDEX($C$21:$Q$21,1,B48-2025)*$AO$4*C48/MAX(0.0001,12-$AO$3),INDEX($C$21:$Q$21,1,B48-2025)/12)</f>
        <v>0</v>
      </c>
      <c r="DM48" s="88" t="n">
        <f aca="false">$AO$6*$X$21*C48/MAX(0.0001,12-$AO$3)</f>
        <v>0</v>
      </c>
      <c r="DN48" s="88" t="n">
        <f aca="false">DL48+DN47</f>
        <v>0</v>
      </c>
      <c r="DO48" s="88" t="n">
        <f aca="false">DM48+DO47</f>
        <v>0</v>
      </c>
      <c r="DP48" s="88" t="n">
        <f aca="false">MAX(DP47,DN48-DO48)</f>
        <v>0</v>
      </c>
      <c r="DQ48" s="88" t="n">
        <f aca="false">DP48-DP47</f>
        <v>0</v>
      </c>
      <c r="DR48" s="88" t="n">
        <f aca="false">IF(B48=2026,INDEX($C$22:$Q$22,1,B48-2025)*$AO$4*C48/MAX(0.0001,12-$AO$3),INDEX($C$22:$Q$22,1,B48-2025)/12)</f>
        <v>0</v>
      </c>
      <c r="DS48" s="88" t="n">
        <f aca="false">$AO$6*$X$22*C48/MAX(0.0001,12-$AO$3)</f>
        <v>0</v>
      </c>
      <c r="DT48" s="88" t="n">
        <f aca="false">DR48+DT47</f>
        <v>0</v>
      </c>
      <c r="DU48" s="88" t="n">
        <f aca="false">DS48+DU47</f>
        <v>0</v>
      </c>
      <c r="DV48" s="88" t="n">
        <f aca="false">MAX(DV47,DT48-DU48)</f>
        <v>0</v>
      </c>
      <c r="DW48" s="88" t="n">
        <f aca="false">DV48-DV47</f>
        <v>0</v>
      </c>
      <c r="DX48" s="88" t="n">
        <f aca="false">IF(B48=2026,INDEX($C$23:$Q$23,1,B48-2025)*$AO$4*C48/MAX(0.0001,12-$AO$3),INDEX($C$23:$Q$23,1,B48-2025)/12)</f>
        <v>0</v>
      </c>
      <c r="DY48" s="88" t="n">
        <f aca="false">$AO$6*$X$23*C48/MAX(0.0001,12-$AO$3)</f>
        <v>0</v>
      </c>
      <c r="DZ48" s="88" t="n">
        <f aca="false">DX48+DZ47</f>
        <v>0</v>
      </c>
      <c r="EA48" s="88" t="n">
        <f aca="false">DY48+EA47</f>
        <v>0</v>
      </c>
      <c r="EB48" s="88" t="n">
        <f aca="false">MAX(EB47,DZ48-EA48)</f>
        <v>0</v>
      </c>
      <c r="EC48" s="88" t="n">
        <f aca="false">EB48-EB47</f>
        <v>0</v>
      </c>
      <c r="ED48" s="88" t="n">
        <f aca="false">IF(B48=2026,INDEX($C$24:$Q$24,1,B48-2025)*$AO$4*C48/MAX(0.0001,12-$AO$3),INDEX($C$24:$Q$24,1,B48-2025)/12)</f>
        <v>0</v>
      </c>
      <c r="EE48" s="88" t="n">
        <f aca="false">$AO$6*$X$24*C48/MAX(0.0001,12-$AO$3)</f>
        <v>0</v>
      </c>
      <c r="EF48" s="88" t="n">
        <f aca="false">ED48+EF47</f>
        <v>0</v>
      </c>
      <c r="EG48" s="88" t="n">
        <f aca="false">EE48+EG47</f>
        <v>0</v>
      </c>
      <c r="EH48" s="88" t="n">
        <f aca="false">MAX(EH47,EF48-EG48)</f>
        <v>0</v>
      </c>
      <c r="EI48" s="88" t="n">
        <f aca="false">EH48-EH47</f>
        <v>0</v>
      </c>
      <c r="EJ48" s="88" t="n">
        <f aca="false">IF(B48=2026,INDEX($C$25:$Q$25,1,B48-2025)*$AO$4*C48/MAX(0.0001,12-$AO$3),INDEX($C$25:$Q$25,1,B48-2025)/12)</f>
        <v>0</v>
      </c>
      <c r="EK48" s="88" t="n">
        <f aca="false">$AO$6*$X$25*C48/MAX(0.0001,12-$AO$3)</f>
        <v>0</v>
      </c>
      <c r="EL48" s="88" t="n">
        <f aca="false">EJ48+EL47</f>
        <v>0</v>
      </c>
      <c r="EM48" s="88" t="n">
        <f aca="false">EK48+EM47</f>
        <v>0</v>
      </c>
      <c r="EN48" s="88" t="n">
        <f aca="false">MAX(EN47,EL48-EM48)</f>
        <v>0</v>
      </c>
      <c r="EO48" s="88" t="n">
        <f aca="false">EN48-EN47</f>
        <v>0</v>
      </c>
      <c r="EP48" s="88" t="n">
        <f aca="false">IF(B48=2026,INDEX($C$26:$Q$26,1,B48-2025)*$AO$4*C48/MAX(0.0001,12-$AO$3),INDEX($C$26:$Q$26,1,B48-2025)/12)</f>
        <v>0</v>
      </c>
      <c r="EQ48" s="88" t="n">
        <f aca="false">$AO$6*$X$26*C48/MAX(0.0001,12-$AO$3)</f>
        <v>0</v>
      </c>
      <c r="ER48" s="88" t="n">
        <f aca="false">EP48+ER47</f>
        <v>0</v>
      </c>
      <c r="ES48" s="88" t="n">
        <f aca="false">EQ48+ES47</f>
        <v>0</v>
      </c>
      <c r="ET48" s="88" t="n">
        <f aca="false">MAX(ET47,ER48-ES48)</f>
        <v>0</v>
      </c>
      <c r="EU48" s="88" t="n">
        <f aca="false">ET48-ET47</f>
        <v>0</v>
      </c>
      <c r="EV48" s="88" t="n">
        <f aca="false">IF(B48=2026,INDEX($C$27:$Q$27,1,B48-2025)*$AO$4*C48/MAX(0.0001,12-$AO$3),INDEX($C$27:$Q$27,1,B48-2025)/12)</f>
        <v>0</v>
      </c>
      <c r="EW48" s="88" t="n">
        <f aca="false">$AO$6*$X$27*C48/MAX(0.0001,12-$AO$3)</f>
        <v>0</v>
      </c>
      <c r="EX48" s="88" t="n">
        <f aca="false">EV48+EX47</f>
        <v>0</v>
      </c>
      <c r="EY48" s="88" t="n">
        <f aca="false">EW48+EY47</f>
        <v>0</v>
      </c>
      <c r="EZ48" s="88" t="n">
        <f aca="false">MAX(EZ47,EX48-EY48)</f>
        <v>0</v>
      </c>
      <c r="FA48" s="88" t="n">
        <f aca="false">EZ48-EZ47</f>
        <v>0</v>
      </c>
      <c r="FB48" s="88" t="n">
        <f aca="false">IF(B48=2026,INDEX($C$28:$Q$28,1,B48-2025)*$AO$4*C48/MAX(0.0001,12-$AO$3),INDEX($C$28:$Q$28,1,B48-2025)/12)</f>
        <v>0</v>
      </c>
      <c r="FC48" s="88" t="n">
        <f aca="false">$AO$6*$X$28*C48/MAX(0.0001,12-$AO$3)</f>
        <v>0</v>
      </c>
      <c r="FD48" s="88" t="n">
        <f aca="false">FB48+FD47</f>
        <v>0</v>
      </c>
      <c r="FE48" s="88" t="n">
        <f aca="false">FC48+FE47</f>
        <v>0</v>
      </c>
      <c r="FF48" s="88" t="n">
        <f aca="false">MAX(FF47,FD48-FE48)</f>
        <v>0</v>
      </c>
      <c r="FG48" s="88" t="n">
        <f aca="false">FF48-FF47</f>
        <v>0</v>
      </c>
    </row>
    <row r="49" customFormat="false" ht="15" hidden="false" customHeight="false" outlineLevel="0" collapsed="false">
      <c r="A49" s="0" t="n">
        <v>9</v>
      </c>
      <c r="B49" s="88" t="n">
        <f aca="false">2026+INT(A49/12)</f>
        <v>2026</v>
      </c>
      <c r="C49" s="88" t="n">
        <f aca="false">MAX(0,MIN(1,A49+1-$AO$3))</f>
        <v>0.770039421813403</v>
      </c>
      <c r="D49" s="88" t="n">
        <f aca="false">IF((A49+0.5-(0))&lt;$AO$3,0,2026+INT((A49+0.5-(0))/12))</f>
        <v>2026</v>
      </c>
      <c r="E49" s="88" t="n">
        <f aca="false">IF((A49+0.5-($AO$9))&lt;$AO$3,0,2026+INT((A49+0.5-($AO$9))/12))</f>
        <v>0</v>
      </c>
      <c r="F49" s="88" t="n">
        <f aca="false">IF((A49+0.5-($AO$9+$AO$8))&lt;$AO$3,0,2026+INT((A49+0.5-($AO$9+$AO$8))/12))</f>
        <v>0</v>
      </c>
      <c r="G49" s="88" t="n">
        <f aca="false">IF((A49+0.5-($AO$9+$AO$8+$AO$7))&lt;$AO$3,0,2026+INT((A49+0.5-($AO$9+$AO$8+$AO$7))/12))</f>
        <v>0</v>
      </c>
      <c r="H49" s="88" t="n">
        <f aca="false">IF(B49=2026,INDEX($C$3:$Q$3,1,B49-2025)*$AO$4*C49/MAX(0.0001,12-$AO$3),INDEX($C$3:$Q$3,1,B49-2025)/12)</f>
        <v>275.974149359257</v>
      </c>
      <c r="I49" s="88" t="n">
        <f aca="false">$AO$6*$X$3*C49/MAX(0.0001,12-$AO$3)</f>
        <v>140.717836812144</v>
      </c>
      <c r="J49" s="88" t="n">
        <f aca="false">H49+J48</f>
        <v>275.974149359257</v>
      </c>
      <c r="K49" s="88" t="n">
        <f aca="false">I49+K48</f>
        <v>140.717836812144</v>
      </c>
      <c r="L49" s="88" t="n">
        <f aca="false">MAX(L48,J49-K49)</f>
        <v>135.256312547113</v>
      </c>
      <c r="M49" s="88" t="n">
        <f aca="false">L49-L48</f>
        <v>135.256312547113</v>
      </c>
      <c r="N49" s="88" t="n">
        <f aca="false">IF(B49=2026,INDEX($C$4:$Q$4,1,B49-2025)*$AO$4*C49/MAX(0.0001,12-$AO$3),INDEX($C$4:$Q$4,1,B49-2025)/12)</f>
        <v>8.36666867313574</v>
      </c>
      <c r="O49" s="88" t="n">
        <f aca="false">$AO$6*$X$4*C49/MAX(0.0001,12-$AO$3)</f>
        <v>6.86631878557874</v>
      </c>
      <c r="P49" s="88" t="n">
        <f aca="false">N49+P48</f>
        <v>8.36666867313574</v>
      </c>
      <c r="Q49" s="88" t="n">
        <f aca="false">O49+Q48</f>
        <v>6.86631878557874</v>
      </c>
      <c r="R49" s="88" t="n">
        <f aca="false">MAX(R48,P49-Q49)</f>
        <v>1.500349887557</v>
      </c>
      <c r="S49" s="88" t="n">
        <f aca="false">R49-R48</f>
        <v>1.500349887557</v>
      </c>
      <c r="T49" s="88" t="n">
        <f aca="false">IF(B49=2026,INDEX($C$5:$Q$5,1,B49-2025)*$AO$4*C49/MAX(0.0001,12-$AO$3),INDEX($C$5:$Q$5,1,B49-2025)/12)</f>
        <v>34.0051616135578</v>
      </c>
      <c r="U49" s="88" t="n">
        <f aca="false">$AO$6*$X$5*C49/MAX(0.0001,12-$AO$3)</f>
        <v>17.9302656546489</v>
      </c>
      <c r="V49" s="88" t="n">
        <f aca="false">T49+V48</f>
        <v>34.0051616135578</v>
      </c>
      <c r="W49" s="88" t="n">
        <f aca="false">U49+W48</f>
        <v>17.9302656546489</v>
      </c>
      <c r="X49" s="88" t="n">
        <f aca="false">MAX(X48,V49-W49)</f>
        <v>16.0748959589089</v>
      </c>
      <c r="Y49" s="88" t="n">
        <f aca="false">X49-X48</f>
        <v>16.0748959589089</v>
      </c>
      <c r="Z49" s="88" t="n">
        <f aca="false">IF(B49=2026,INDEX($C$6:$Q$6,1,B49-2025)*$AO$4*C49/MAX(0.0001,12-$AO$3),INDEX($C$6:$Q$6,1,B49-2025)/12)</f>
        <v>40.3443599577478</v>
      </c>
      <c r="AA49" s="88" t="n">
        <f aca="false">$AO$6*$X$6*C49/MAX(0.0001,12-$AO$3)</f>
        <v>38.7794117647059</v>
      </c>
      <c r="AB49" s="88" t="n">
        <f aca="false">Z49+AB48</f>
        <v>40.3443599577478</v>
      </c>
      <c r="AC49" s="88" t="n">
        <f aca="false">AA49+AC48</f>
        <v>38.7794117647059</v>
      </c>
      <c r="AD49" s="88" t="n">
        <f aca="false">MAX(AD48,AB49-AC49)</f>
        <v>1.5649481930419</v>
      </c>
      <c r="AE49" s="88" t="n">
        <f aca="false">AD49-AD48</f>
        <v>1.5649481930419</v>
      </c>
      <c r="AF49" s="88" t="n">
        <f aca="false">IF(B49=2026,INDEX($C$7:$Q$7,1,B49-2025)*$AO$4*C49/MAX(0.0001,12-$AO$3),INDEX($C$7:$Q$7,1,B49-2025)/12)</f>
        <v>35.0457253079034</v>
      </c>
      <c r="AG49" s="88" t="n">
        <f aca="false">$AO$6*$X$7*C49/MAX(0.0001,12-$AO$3)</f>
        <v>3.83624288425047</v>
      </c>
      <c r="AH49" s="88" t="n">
        <f aca="false">AF49+AH48</f>
        <v>35.0457253079034</v>
      </c>
      <c r="AI49" s="88" t="n">
        <f aca="false">AG49+AI48</f>
        <v>3.83624288425047</v>
      </c>
      <c r="AJ49" s="88" t="n">
        <f aca="false">MAX(AJ48,AH49-AI49)</f>
        <v>31.2094824236529</v>
      </c>
      <c r="AK49" s="88" t="n">
        <f aca="false">AJ49-AJ48</f>
        <v>31.2094824236529</v>
      </c>
      <c r="AL49" s="88" t="n">
        <f aca="false">IF(B49=2026,INDEX($C$8:$Q$8,1,B49-2025)*$AO$4*C49/MAX(0.0001,12-$AO$3),INDEX($C$8:$Q$8,1,B49-2025)/12)</f>
        <v>8.86491279934171</v>
      </c>
      <c r="AM49" s="88" t="n">
        <f aca="false">$AO$6*$X$8*C49/MAX(0.0001,12-$AO$3)</f>
        <v>1.69573055028463</v>
      </c>
      <c r="AN49" s="88" t="n">
        <f aca="false">AL49+AN48</f>
        <v>8.86491279934171</v>
      </c>
      <c r="AO49" s="88" t="n">
        <f aca="false">AM49+AO48</f>
        <v>1.69573055028463</v>
      </c>
      <c r="AP49" s="88" t="n">
        <f aca="false">MAX(AP48,AN49-AO49)</f>
        <v>7.16918224905709</v>
      </c>
      <c r="AQ49" s="88" t="n">
        <f aca="false">AP49-AP48</f>
        <v>7.16918224905709</v>
      </c>
      <c r="AR49" s="88" t="n">
        <f aca="false">IF(B49=2026,INDEX($C$9:$Q$9,1,B49-2025)*$AO$4*C49/MAX(0.0001,12-$AO$3),INDEX($C$9:$Q$9,1,B49-2025)/12)</f>
        <v>37.7994822669727</v>
      </c>
      <c r="AS49" s="88" t="n">
        <f aca="false">$AO$6*$X$9*C49/MAX(0.0001,12-$AO$3)</f>
        <v>30.1339658444023</v>
      </c>
      <c r="AT49" s="88" t="n">
        <f aca="false">AR49+AT48</f>
        <v>37.7994822669727</v>
      </c>
      <c r="AU49" s="88" t="n">
        <f aca="false">AS49+AU48</f>
        <v>30.1339658444023</v>
      </c>
      <c r="AV49" s="88" t="n">
        <f aca="false">MAX(AV48,AT49-AU49)</f>
        <v>7.6655164225704</v>
      </c>
      <c r="AW49" s="88" t="n">
        <f aca="false">AV49-AV48</f>
        <v>7.6655164225704</v>
      </c>
      <c r="AX49" s="88" t="n">
        <f aca="false">IF(B49=2026,INDEX($C$10:$Q$10,1,B49-2025)*$AO$4*C49/MAX(0.0001,12-$AO$3),INDEX($C$10:$Q$10,1,B49-2025)/12)</f>
        <v>4.38454831061259</v>
      </c>
      <c r="AY49" s="88" t="n">
        <f aca="false">$AO$6*$X$10*C49/MAX(0.0001,12-$AO$3)</f>
        <v>0</v>
      </c>
      <c r="AZ49" s="88" t="n">
        <f aca="false">AX49+AZ48</f>
        <v>4.38454831061259</v>
      </c>
      <c r="BA49" s="88" t="n">
        <f aca="false">AY49+BA48</f>
        <v>0</v>
      </c>
      <c r="BB49" s="88" t="n">
        <f aca="false">MAX(BB48,AZ49-BA49)</f>
        <v>4.38454831061259</v>
      </c>
      <c r="BC49" s="88" t="n">
        <f aca="false">BB49-BB48</f>
        <v>4.38454831061259</v>
      </c>
      <c r="BD49" s="88" t="n">
        <f aca="false">IF(B49=2026,INDEX($C$11:$Q$11,1,B49-2025)*$AO$4*C49/MAX(0.0001,12-$AO$3),INDEX($C$11:$Q$11,1,B49-2025)/12)</f>
        <v>21.7885989036998</v>
      </c>
      <c r="BE49" s="88" t="n">
        <f aca="false">$AO$6*$X$11*C49/MAX(0.0001,12-$AO$3)</f>
        <v>5.00379506641366</v>
      </c>
      <c r="BF49" s="88" t="n">
        <f aca="false">BD49+BF48</f>
        <v>21.7885989036998</v>
      </c>
      <c r="BG49" s="88" t="n">
        <f aca="false">BE49+BG48</f>
        <v>5.00379506641366</v>
      </c>
      <c r="BH49" s="88" t="n">
        <f aca="false">MAX(BH48,BF49-BG49)</f>
        <v>16.7848038372862</v>
      </c>
      <c r="BI49" s="88" t="n">
        <f aca="false">BH49-BH48</f>
        <v>16.7848038372862</v>
      </c>
      <c r="BJ49" s="88" t="n">
        <f aca="false">IF(B49=2026,INDEX($C$12:$Q$12,1,B49-2025)*$AO$4*C49/MAX(0.0001,12-$AO$3),INDEX($C$12:$Q$12,1,B49-2025)/12)</f>
        <v>11.9463610875694</v>
      </c>
      <c r="BK49" s="88" t="n">
        <f aca="false">$AO$6*$X$12*C49/MAX(0.0001,12-$AO$3)</f>
        <v>1.02855787476281</v>
      </c>
      <c r="BL49" s="88" t="n">
        <f aca="false">BJ49+BL48</f>
        <v>11.9463610875694</v>
      </c>
      <c r="BM49" s="88" t="n">
        <f aca="false">BK49+BM48</f>
        <v>1.02855787476281</v>
      </c>
      <c r="BN49" s="88" t="n">
        <f aca="false">MAX(BN48,BL49-BM49)</f>
        <v>10.9178032128066</v>
      </c>
      <c r="BO49" s="88" t="n">
        <f aca="false">BN49-BN48</f>
        <v>10.9178032128066</v>
      </c>
      <c r="BP49" s="88" t="n">
        <f aca="false">IF(B49=2026,INDEX($C$13:$Q$13,1,B49-2025)*$AO$4*C49/MAX(0.0001,12-$AO$3),INDEX($C$13:$Q$13,1,B49-2025)/12)</f>
        <v>3.73320754334288</v>
      </c>
      <c r="BQ49" s="88" t="n">
        <f aca="false">$AO$6*$X$13*C49/MAX(0.0001,12-$AO$3)</f>
        <v>0</v>
      </c>
      <c r="BR49" s="88" t="n">
        <f aca="false">BP49+BR48</f>
        <v>3.73320754334288</v>
      </c>
      <c r="BS49" s="88" t="n">
        <f aca="false">BQ49+BS48</f>
        <v>0</v>
      </c>
      <c r="BT49" s="88" t="n">
        <f aca="false">MAX(BT48,BR49-BS49)</f>
        <v>3.73320754334288</v>
      </c>
      <c r="BU49" s="88" t="n">
        <f aca="false">BT49-BT48</f>
        <v>3.73320754334288</v>
      </c>
      <c r="BV49" s="88" t="n">
        <f aca="false">IF(B49=2026,INDEX($C$14:$Q$14,1,B49-2025)*$AO$4*C49/MAX(0.0001,12-$AO$3),INDEX($C$14:$Q$14,1,B49-2025)/12)</f>
        <v>2.21417826708612</v>
      </c>
      <c r="BW49" s="88" t="n">
        <f aca="false">$AO$6*$X$14*C49/MAX(0.0001,12-$AO$3)</f>
        <v>0</v>
      </c>
      <c r="BX49" s="88" t="n">
        <f aca="false">BV49+BX48</f>
        <v>2.21417826708612</v>
      </c>
      <c r="BY49" s="88" t="n">
        <f aca="false">BW49+BY48</f>
        <v>0</v>
      </c>
      <c r="BZ49" s="88" t="n">
        <f aca="false">MAX(BZ48,BX49-BY49)</f>
        <v>2.21417826708612</v>
      </c>
      <c r="CA49" s="88" t="n">
        <f aca="false">BZ49-BZ48</f>
        <v>2.21417826708612</v>
      </c>
      <c r="CB49" s="88" t="n">
        <f aca="false">IF(B49=2026,INDEX($C$15:$Q$15,1,B49-2025)*$AO$4*C49/MAX(0.0001,12-$AO$3),INDEX($C$15:$Q$15,1,B49-2025)/12)</f>
        <v>3.63022250766445</v>
      </c>
      <c r="CC49" s="88" t="n">
        <f aca="false">$AO$6*$X$15*C49/MAX(0.0001,12-$AO$3)</f>
        <v>4.78140417457305</v>
      </c>
      <c r="CD49" s="88" t="n">
        <f aca="false">CB49+CD48</f>
        <v>3.63022250766445</v>
      </c>
      <c r="CE49" s="88" t="n">
        <f aca="false">CC49+CE48</f>
        <v>4.78140417457305</v>
      </c>
      <c r="CF49" s="88" t="n">
        <f aca="false">MAX(CF48,CD49-CE49)</f>
        <v>0</v>
      </c>
      <c r="CG49" s="88" t="n">
        <f aca="false">CF49-CF48</f>
        <v>0</v>
      </c>
      <c r="CH49" s="88" t="n">
        <f aca="false">IF(B49=2026,INDEX($C$16:$Q$16,1,B49-2025)*$AO$4*C49/MAX(0.0001,12-$AO$3),INDEX($C$16:$Q$16,1,B49-2025)/12)</f>
        <v>2.87070786953608</v>
      </c>
      <c r="CI49" s="88" t="n">
        <f aca="false">$AO$6*$X$16*C49/MAX(0.0001,12-$AO$3)</f>
        <v>0.333586337760911</v>
      </c>
      <c r="CJ49" s="88" t="n">
        <f aca="false">CH49+CJ48</f>
        <v>2.87070786953608</v>
      </c>
      <c r="CK49" s="88" t="n">
        <f aca="false">CI49+CK48</f>
        <v>0.333586337760911</v>
      </c>
      <c r="CL49" s="88" t="n">
        <f aca="false">MAX(CL48,CJ49-CK49)</f>
        <v>2.53712153177517</v>
      </c>
      <c r="CM49" s="88" t="n">
        <f aca="false">CL49-CL48</f>
        <v>2.53712153177517</v>
      </c>
      <c r="CN49" s="88" t="n">
        <f aca="false">IF(B49=2026,INDEX($C$17:$Q$17,1,B49-2025)*$AO$4*C49/MAX(0.0001,12-$AO$3),INDEX($C$17:$Q$17,1,B49-2025)/12)</f>
        <v>12.4998087054687</v>
      </c>
      <c r="CO49" s="88" t="n">
        <f aca="false">$AO$6*$X$17*C49/MAX(0.0001,12-$AO$3)</f>
        <v>10.7581593927894</v>
      </c>
      <c r="CP49" s="88" t="n">
        <f aca="false">CN49+CP48</f>
        <v>12.4998087054687</v>
      </c>
      <c r="CQ49" s="88" t="n">
        <f aca="false">CO49+CQ48</f>
        <v>10.7581593927894</v>
      </c>
      <c r="CR49" s="88" t="n">
        <f aca="false">MAX(CR48,CP49-CQ49)</f>
        <v>1.74164931267938</v>
      </c>
      <c r="CS49" s="88" t="n">
        <f aca="false">CR49-CR48</f>
        <v>1.74164931267938</v>
      </c>
      <c r="CT49" s="88" t="n">
        <f aca="false">IF(B49=2026,INDEX($C$18:$Q$18,1,B49-2025)*$AO$4*C49/MAX(0.0001,12-$AO$3),INDEX($C$18:$Q$18,1,B49-2025)/12)</f>
        <v>2.60037215088021</v>
      </c>
      <c r="CU49" s="88" t="n">
        <f aca="false">$AO$6*$X$18*C49/MAX(0.0001,12-$AO$3)</f>
        <v>0.722770398481973</v>
      </c>
      <c r="CV49" s="88" t="n">
        <f aca="false">CT49+CV48</f>
        <v>2.60037215088021</v>
      </c>
      <c r="CW49" s="88" t="n">
        <f aca="false">CU49+CW48</f>
        <v>0.722770398481973</v>
      </c>
      <c r="CX49" s="88" t="n">
        <f aca="false">MAX(CX48,CV49-CW49)</f>
        <v>1.87760175239824</v>
      </c>
      <c r="CY49" s="88" t="n">
        <f aca="false">CX49-CX48</f>
        <v>1.87760175239824</v>
      </c>
      <c r="CZ49" s="88" t="n">
        <f aca="false">IF(B49=2026,INDEX($C$19:$Q$19,1,B49-2025)*$AO$4*C49/MAX(0.0001,12-$AO$3),INDEX($C$19:$Q$19,1,B49-2025)/12)</f>
        <v>2.57462589196061</v>
      </c>
      <c r="DA49" s="88" t="n">
        <f aca="false">$AO$6*$X$19*C49/MAX(0.0001,12-$AO$3)</f>
        <v>0.333586337760911</v>
      </c>
      <c r="DB49" s="88" t="n">
        <f aca="false">CZ49+DB48</f>
        <v>2.57462589196061</v>
      </c>
      <c r="DC49" s="88" t="n">
        <f aca="false">DA49+DC48</f>
        <v>0.333586337760911</v>
      </c>
      <c r="DD49" s="88" t="n">
        <f aca="false">MAX(DD48,DB49-DC49)</f>
        <v>2.2410395541997</v>
      </c>
      <c r="DE49" s="88" t="n">
        <f aca="false">DD49-DD48</f>
        <v>2.2410395541997</v>
      </c>
      <c r="DF49" s="88" t="n">
        <f aca="false">IF(B49=2026,INDEX($C$20:$Q$20,1,B49-2025)*$AO$4*C49/MAX(0.0001,12-$AO$3),INDEX($C$20:$Q$20,1,B49-2025)/12)</f>
        <v>2.09832010194789</v>
      </c>
      <c r="DG49" s="88" t="n">
        <f aca="false">$AO$6*$X$20*C49/MAX(0.0001,12-$AO$3)</f>
        <v>0</v>
      </c>
      <c r="DH49" s="88" t="n">
        <f aca="false">DF49+DH48</f>
        <v>2.09832010194789</v>
      </c>
      <c r="DI49" s="88" t="n">
        <f aca="false">DG49+DI48</f>
        <v>0</v>
      </c>
      <c r="DJ49" s="88" t="n">
        <f aca="false">MAX(DJ48,DH49-DI49)</f>
        <v>2.09832010194789</v>
      </c>
      <c r="DK49" s="88" t="n">
        <f aca="false">DJ49-DJ48</f>
        <v>2.09832010194789</v>
      </c>
      <c r="DL49" s="88" t="n">
        <f aca="false">IF(B49=2026,INDEX($C$21:$Q$21,1,B49-2025)*$AO$4*C49/MAX(0.0001,12-$AO$3),INDEX($C$21:$Q$21,1,B49-2025)/12)</f>
        <v>1.46753675841755</v>
      </c>
      <c r="DM49" s="88" t="n">
        <f aca="false">$AO$6*$X$21*C49/MAX(0.0001,12-$AO$3)</f>
        <v>0</v>
      </c>
      <c r="DN49" s="88" t="n">
        <f aca="false">DL49+DN48</f>
        <v>1.46753675841755</v>
      </c>
      <c r="DO49" s="88" t="n">
        <f aca="false">DM49+DO48</f>
        <v>0</v>
      </c>
      <c r="DP49" s="88" t="n">
        <f aca="false">MAX(DP48,DN49-DO49)</f>
        <v>1.46753675841755</v>
      </c>
      <c r="DQ49" s="88" t="n">
        <f aca="false">DP49-DP48</f>
        <v>1.46753675841755</v>
      </c>
      <c r="DR49" s="88" t="n">
        <f aca="false">IF(B49=2026,INDEX($C$22:$Q$22,1,B49-2025)*$AO$4*C49/MAX(0.0001,12-$AO$3),INDEX($C$22:$Q$22,1,B49-2025)/12)</f>
        <v>1.14570852192247</v>
      </c>
      <c r="DS49" s="88" t="n">
        <f aca="false">$AO$6*$X$22*C49/MAX(0.0001,12-$AO$3)</f>
        <v>0.861764705882352</v>
      </c>
      <c r="DT49" s="88" t="n">
        <f aca="false">DR49+DT48</f>
        <v>1.14570852192247</v>
      </c>
      <c r="DU49" s="88" t="n">
        <f aca="false">DS49+DU48</f>
        <v>0.861764705882352</v>
      </c>
      <c r="DV49" s="88" t="n">
        <f aca="false">MAX(DV48,DT49-DU49)</f>
        <v>0.283943816040118</v>
      </c>
      <c r="DW49" s="88" t="n">
        <f aca="false">DV49-DV48</f>
        <v>0.283943816040118</v>
      </c>
      <c r="DX49" s="88" t="n">
        <f aca="false">IF(B49=2026,INDEX($C$23:$Q$23,1,B49-2025)*$AO$4*C49/MAX(0.0001,12-$AO$3),INDEX($C$23:$Q$23,1,B49-2025)/12)</f>
        <v>1.84085751275183</v>
      </c>
      <c r="DY49" s="88" t="n">
        <f aca="false">$AO$6*$X$23*C49/MAX(0.0001,12-$AO$3)</f>
        <v>0</v>
      </c>
      <c r="DZ49" s="88" t="n">
        <f aca="false">DX49+DZ48</f>
        <v>1.84085751275183</v>
      </c>
      <c r="EA49" s="88" t="n">
        <f aca="false">DY49+EA48</f>
        <v>0</v>
      </c>
      <c r="EB49" s="88" t="n">
        <f aca="false">MAX(EB48,DZ49-EA49)</f>
        <v>1.84085751275183</v>
      </c>
      <c r="EC49" s="88" t="n">
        <f aca="false">EB49-EB48</f>
        <v>1.84085751275183</v>
      </c>
      <c r="ED49" s="88" t="n">
        <f aca="false">IF(B49=2026,INDEX($C$24:$Q$24,1,B49-2025)*$AO$4*C49/MAX(0.0001,12-$AO$3),INDEX($C$24:$Q$24,1,B49-2025)/12)</f>
        <v>1.13283539246267</v>
      </c>
      <c r="EE49" s="88" t="n">
        <f aca="false">$AO$6*$X$24*C49/MAX(0.0001,12-$AO$3)</f>
        <v>0</v>
      </c>
      <c r="EF49" s="88" t="n">
        <f aca="false">ED49+EF48</f>
        <v>1.13283539246267</v>
      </c>
      <c r="EG49" s="88" t="n">
        <f aca="false">EE49+EG48</f>
        <v>0</v>
      </c>
      <c r="EH49" s="88" t="n">
        <f aca="false">MAX(EH48,EF49-EG49)</f>
        <v>1.13283539246267</v>
      </c>
      <c r="EI49" s="88" t="n">
        <f aca="false">EH49-EH48</f>
        <v>1.13283539246267</v>
      </c>
      <c r="EJ49" s="88" t="n">
        <f aca="false">IF(B49=2026,INDEX($C$25:$Q$25,1,B49-2025)*$AO$4*C49/MAX(0.0001,12-$AO$3),INDEX($C$25:$Q$25,1,B49-2025)/12)</f>
        <v>1.44179049949794</v>
      </c>
      <c r="EK49" s="88" t="n">
        <f aca="false">$AO$6*$X$25*C49/MAX(0.0001,12-$AO$3)</f>
        <v>0.917362428842504</v>
      </c>
      <c r="EL49" s="88" t="n">
        <f aca="false">EJ49+EL48</f>
        <v>1.44179049949794</v>
      </c>
      <c r="EM49" s="88" t="n">
        <f aca="false">EK49+EM48</f>
        <v>0.917362428842504</v>
      </c>
      <c r="EN49" s="88" t="n">
        <f aca="false">MAX(EN48,EL49-EM49)</f>
        <v>0.524428070655436</v>
      </c>
      <c r="EO49" s="88" t="n">
        <f aca="false">EN49-EN48</f>
        <v>0.524428070655436</v>
      </c>
      <c r="EP49" s="88" t="n">
        <f aca="false">IF(B49=2026,INDEX($C$26:$Q$26,1,B49-2025)*$AO$4*C49/MAX(0.0001,12-$AO$3),INDEX($C$26:$Q$26,1,B49-2025)/12)</f>
        <v>2.07257384302829</v>
      </c>
      <c r="EQ49" s="88" t="n">
        <f aca="false">$AO$6*$X$26*C49/MAX(0.0001,12-$AO$3)</f>
        <v>0</v>
      </c>
      <c r="ER49" s="88" t="n">
        <f aca="false">EP49+ER48</f>
        <v>2.07257384302829</v>
      </c>
      <c r="ES49" s="88" t="n">
        <f aca="false">EQ49+ES48</f>
        <v>0</v>
      </c>
      <c r="ET49" s="88" t="n">
        <f aca="false">MAX(ET48,ER49-ES49)</f>
        <v>2.07257384302829</v>
      </c>
      <c r="EU49" s="88" t="n">
        <f aca="false">ET49-ET48</f>
        <v>2.07257384302829</v>
      </c>
      <c r="EV49" s="88" t="n">
        <f aca="false">IF(B49=2026,INDEX($C$27:$Q$27,1,B49-2025)*$AO$4*C49/MAX(0.0001,12-$AO$3),INDEX($C$27:$Q$27,1,B49-2025)/12)</f>
        <v>5.14925178392121</v>
      </c>
      <c r="EW49" s="88" t="n">
        <f aca="false">$AO$6*$X$27*C49/MAX(0.0001,12-$AO$3)</f>
        <v>10.0353889943074</v>
      </c>
      <c r="EX49" s="88" t="n">
        <f aca="false">EV49+EX48</f>
        <v>5.14925178392121</v>
      </c>
      <c r="EY49" s="88" t="n">
        <f aca="false">EW49+EY48</f>
        <v>10.0353889943074</v>
      </c>
      <c r="EZ49" s="88" t="n">
        <f aca="false">MAX(EZ48,EX49-EY49)</f>
        <v>0</v>
      </c>
      <c r="FA49" s="88" t="n">
        <f aca="false">EZ49-EZ48</f>
        <v>0</v>
      </c>
      <c r="FB49" s="88" t="n">
        <f aca="false">IF(B49=2026,INDEX($C$28:$Q$28,1,B49-2025)*$AO$4*C49/MAX(0.0001,12-$AO$3),INDEX($C$28:$Q$28,1,B49-2025)/12)</f>
        <v>26.9563330888275</v>
      </c>
      <c r="FC49" s="88" t="n">
        <f aca="false">$AO$6*$X$28*C49/MAX(0.0001,12-$AO$3)</f>
        <v>6.69952561669829</v>
      </c>
      <c r="FD49" s="88" t="n">
        <f aca="false">FB49+FD48</f>
        <v>26.9563330888275</v>
      </c>
      <c r="FE49" s="88" t="n">
        <f aca="false">FC49+FE48</f>
        <v>6.69952561669829</v>
      </c>
      <c r="FF49" s="88" t="n">
        <f aca="false">MAX(FF48,FD49-FE49)</f>
        <v>20.2568074721293</v>
      </c>
      <c r="FG49" s="88" t="n">
        <f aca="false">FF49-FF48</f>
        <v>20.2568074721293</v>
      </c>
    </row>
    <row r="50" customFormat="false" ht="15" hidden="false" customHeight="false" outlineLevel="0" collapsed="false">
      <c r="A50" s="0" t="n">
        <v>10</v>
      </c>
      <c r="B50" s="88" t="n">
        <f aca="false">2026+INT(A50/12)</f>
        <v>2026</v>
      </c>
      <c r="C50" s="88" t="n">
        <f aca="false">MAX(0,MIN(1,A50+1-$AO$3))</f>
        <v>1</v>
      </c>
      <c r="D50" s="88" t="n">
        <f aca="false">IF((A50+0.5-(0))&lt;$AO$3,0,2026+INT((A50+0.5-(0))/12))</f>
        <v>2026</v>
      </c>
      <c r="E50" s="88" t="n">
        <f aca="false">IF((A50+0.5-($AO$9))&lt;$AO$3,0,2026+INT((A50+0.5-($AO$9))/12))</f>
        <v>0</v>
      </c>
      <c r="F50" s="88" t="n">
        <f aca="false">IF((A50+0.5-($AO$9+$AO$8))&lt;$AO$3,0,2026+INT((A50+0.5-($AO$9+$AO$8))/12))</f>
        <v>0</v>
      </c>
      <c r="G50" s="88" t="n">
        <f aca="false">IF((A50+0.5-($AO$9+$AO$8+$AO$7))&lt;$AO$3,0,2026+INT((A50+0.5-($AO$9+$AO$8+$AO$7))/12))</f>
        <v>0</v>
      </c>
      <c r="H50" s="88" t="n">
        <f aca="false">IF(B50=2026,INDEX($C$3:$Q$3,1,B50-2025)*$AO$4*C50/MAX(0.0001,12-$AO$3),INDEX($C$3:$Q$3,1,B50-2025)/12)</f>
        <v>358.389637649138</v>
      </c>
      <c r="I50" s="88" t="n">
        <f aca="false">$AO$6*$X$3*C50/MAX(0.0001,12-$AO$3)</f>
        <v>182.741081593928</v>
      </c>
      <c r="J50" s="88" t="n">
        <f aca="false">H50+J49</f>
        <v>634.363787008396</v>
      </c>
      <c r="K50" s="88" t="n">
        <f aca="false">I50+K49</f>
        <v>323.458918406072</v>
      </c>
      <c r="L50" s="88" t="n">
        <f aca="false">MAX(L49,J50-K50)</f>
        <v>310.904868602324</v>
      </c>
      <c r="M50" s="88" t="n">
        <f aca="false">L50-L49</f>
        <v>175.64855605521</v>
      </c>
      <c r="N50" s="88" t="n">
        <f aca="false">IF(B50=2026,INDEX($C$4:$Q$4,1,B50-2025)*$AO$4*C50/MAX(0.0001,12-$AO$3),INDEX($C$4:$Q$4,1,B50-2025)/12)</f>
        <v>10.8652472018026</v>
      </c>
      <c r="O50" s="88" t="n">
        <f aca="false">$AO$6*$X$4*C50/MAX(0.0001,12-$AO$3)</f>
        <v>8.91684060721063</v>
      </c>
      <c r="P50" s="88" t="n">
        <f aca="false">N50+P49</f>
        <v>19.2319158749383</v>
      </c>
      <c r="Q50" s="88" t="n">
        <f aca="false">O50+Q49</f>
        <v>15.7831593927894</v>
      </c>
      <c r="R50" s="88" t="n">
        <f aca="false">MAX(R49,P50-Q50)</f>
        <v>3.44875648214894</v>
      </c>
      <c r="S50" s="88" t="n">
        <f aca="false">R50-R49</f>
        <v>1.94840659459194</v>
      </c>
      <c r="T50" s="88" t="n">
        <f aca="false">IF(B50=2026,INDEX($C$5:$Q$5,1,B50-2025)*$AO$4*C50/MAX(0.0001,12-$AO$3),INDEX($C$5:$Q$5,1,B50-2025)/12)</f>
        <v>44.1602866688012</v>
      </c>
      <c r="U50" s="88" t="n">
        <f aca="false">$AO$6*$X$5*C50/MAX(0.0001,12-$AO$3)</f>
        <v>23.2848671726755</v>
      </c>
      <c r="V50" s="88" t="n">
        <f aca="false">T50+V49</f>
        <v>78.1654482823591</v>
      </c>
      <c r="W50" s="88" t="n">
        <f aca="false">U50+W49</f>
        <v>41.2151328273245</v>
      </c>
      <c r="X50" s="88" t="n">
        <f aca="false">MAX(X49,V50-W50)</f>
        <v>36.9503154550346</v>
      </c>
      <c r="Y50" s="88" t="n">
        <f aca="false">X50-X49</f>
        <v>20.8754194961257</v>
      </c>
      <c r="Z50" s="88" t="n">
        <f aca="false">IF(B50=2026,INDEX($C$6:$Q$6,1,B50-2025)*$AO$4*C50/MAX(0.0001,12-$AO$3),INDEX($C$6:$Q$6,1,B50-2025)/12)</f>
        <v>52.3925903205564</v>
      </c>
      <c r="AA50" s="88" t="n">
        <f aca="false">$AO$6*$X$6*C50/MAX(0.0001,12-$AO$3)</f>
        <v>50.3602941176471</v>
      </c>
      <c r="AB50" s="88" t="n">
        <f aca="false">Z50+AB49</f>
        <v>92.7369502783042</v>
      </c>
      <c r="AC50" s="88" t="n">
        <f aca="false">AA50+AC49</f>
        <v>89.1397058823529</v>
      </c>
      <c r="AD50" s="88" t="n">
        <f aca="false">MAX(AD49,AB50-AC50)</f>
        <v>3.59724439595126</v>
      </c>
      <c r="AE50" s="88" t="n">
        <f aca="false">AD50-AD49</f>
        <v>2.03229620290936</v>
      </c>
      <c r="AF50" s="88" t="n">
        <f aca="false">IF(B50=2026,INDEX($C$7:$Q$7,1,B50-2025)*$AO$4*C50/MAX(0.0001,12-$AO$3),INDEX($C$7:$Q$7,1,B50-2025)/12)</f>
        <v>45.5115989066801</v>
      </c>
      <c r="AG50" s="88" t="n">
        <f aca="false">$AO$6*$X$7*C50/MAX(0.0001,12-$AO$3)</f>
        <v>4.98187855787476</v>
      </c>
      <c r="AH50" s="88" t="n">
        <f aca="false">AF50+AH49</f>
        <v>80.5573242145835</v>
      </c>
      <c r="AI50" s="88" t="n">
        <f aca="false">AG50+AI49</f>
        <v>8.81812144212524</v>
      </c>
      <c r="AJ50" s="88" t="n">
        <f aca="false">MAX(AJ49,AH50-AI50)</f>
        <v>71.7392027724582</v>
      </c>
      <c r="AK50" s="88" t="n">
        <f aca="false">AJ50-AJ49</f>
        <v>40.5297203488053</v>
      </c>
      <c r="AL50" s="88" t="n">
        <f aca="false">IF(B50=2026,INDEX($C$8:$Q$8,1,B50-2025)*$AO$4*C50/MAX(0.0001,12-$AO$3),INDEX($C$8:$Q$8,1,B50-2025)/12)</f>
        <v>11.512284369111</v>
      </c>
      <c r="AM50" s="88" t="n">
        <f aca="false">$AO$6*$X$8*C50/MAX(0.0001,12-$AO$3)</f>
        <v>2.20213472485769</v>
      </c>
      <c r="AN50" s="88" t="n">
        <f aca="false">AL50+AN49</f>
        <v>20.3771971684527</v>
      </c>
      <c r="AO50" s="88" t="n">
        <f aca="false">AM50+AO49</f>
        <v>3.89786527514231</v>
      </c>
      <c r="AP50" s="88" t="n">
        <f aca="false">MAX(AP49,AN50-AO50)</f>
        <v>16.4793318933104</v>
      </c>
      <c r="AQ50" s="88" t="n">
        <f aca="false">AP50-AP49</f>
        <v>9.31014964425332</v>
      </c>
      <c r="AR50" s="88" t="n">
        <f aca="false">IF(B50=2026,INDEX($C$9:$Q$9,1,B50-2025)*$AO$4*C50/MAX(0.0001,12-$AO$3),INDEX($C$9:$Q$9,1,B50-2025)/12)</f>
        <v>49.0877235583041</v>
      </c>
      <c r="AS50" s="88" t="n">
        <f aca="false">$AO$6*$X$9*C50/MAX(0.0001,12-$AO$3)</f>
        <v>39.1330170777989</v>
      </c>
      <c r="AT50" s="88" t="n">
        <f aca="false">AR50+AT49</f>
        <v>86.8872058252768</v>
      </c>
      <c r="AU50" s="88" t="n">
        <f aca="false">AS50+AU49</f>
        <v>69.2669829222011</v>
      </c>
      <c r="AV50" s="88" t="n">
        <f aca="false">MAX(AV49,AT50-AU50)</f>
        <v>17.6202229030757</v>
      </c>
      <c r="AW50" s="88" t="n">
        <f aca="false">AV50-AV49</f>
        <v>9.95470648050527</v>
      </c>
      <c r="AX50" s="88" t="n">
        <f aca="false">IF(B50=2026,INDEX($C$10:$Q$10,1,B50-2025)*$AO$4*C50/MAX(0.0001,12-$AO$3),INDEX($C$10:$Q$10,1,B50-2025)/12)</f>
        <v>5.69392707231431</v>
      </c>
      <c r="AY50" s="88" t="n">
        <f aca="false">$AO$6*$X$10*C50/MAX(0.0001,12-$AO$3)</f>
        <v>0</v>
      </c>
      <c r="AZ50" s="88" t="n">
        <f aca="false">AX50+AZ49</f>
        <v>10.0784753829269</v>
      </c>
      <c r="BA50" s="88" t="n">
        <f aca="false">AY50+BA49</f>
        <v>0</v>
      </c>
      <c r="BB50" s="88" t="n">
        <f aca="false">MAX(BB49,AZ50-BA50)</f>
        <v>10.0784753829269</v>
      </c>
      <c r="BC50" s="88" t="n">
        <f aca="false">BB50-BB49</f>
        <v>5.69392707231431</v>
      </c>
      <c r="BD50" s="88" t="n">
        <f aca="false">IF(B50=2026,INDEX($C$11:$Q$11,1,B50-2025)*$AO$4*C50/MAX(0.0001,12-$AO$3),INDEX($C$11:$Q$11,1,B50-2025)/12)</f>
        <v>28.2954330472962</v>
      </c>
      <c r="BE50" s="88" t="n">
        <f aca="false">$AO$6*$X$11*C50/MAX(0.0001,12-$AO$3)</f>
        <v>6.49810246679317</v>
      </c>
      <c r="BF50" s="88" t="n">
        <f aca="false">BD50+BF49</f>
        <v>50.0840319509961</v>
      </c>
      <c r="BG50" s="88" t="n">
        <f aca="false">BE50+BG49</f>
        <v>11.5018975332068</v>
      </c>
      <c r="BH50" s="88" t="n">
        <f aca="false">MAX(BH49,BF50-BG50)</f>
        <v>38.5821344177892</v>
      </c>
      <c r="BI50" s="88" t="n">
        <f aca="false">BH50-BH49</f>
        <v>21.7973305805031</v>
      </c>
      <c r="BJ50" s="88" t="n">
        <f aca="false">IF(B50=2026,INDEX($C$12:$Q$12,1,B50-2025)*$AO$4*C50/MAX(0.0001,12-$AO$3),INDEX($C$12:$Q$12,1,B50-2025)/12)</f>
        <v>15.5139603884648</v>
      </c>
      <c r="BK50" s="88" t="n">
        <f aca="false">$AO$6*$X$12*C50/MAX(0.0001,12-$AO$3)</f>
        <v>1.3357210626186</v>
      </c>
      <c r="BL50" s="88" t="n">
        <f aca="false">BJ50+BL49</f>
        <v>27.4603214760342</v>
      </c>
      <c r="BM50" s="88" t="n">
        <f aca="false">BK50+BM49</f>
        <v>2.3642789373814</v>
      </c>
      <c r="BN50" s="88" t="n">
        <f aca="false">MAX(BN49,BL50-BM50)</f>
        <v>25.0960425386528</v>
      </c>
      <c r="BO50" s="88" t="n">
        <f aca="false">BN50-BN49</f>
        <v>14.1782393258462</v>
      </c>
      <c r="BP50" s="88" t="n">
        <f aca="false">IF(B50=2026,INDEX($C$13:$Q$13,1,B50-2025)*$AO$4*C50/MAX(0.0001,12-$AO$3),INDEX($C$13:$Q$13,1,B50-2025)/12)</f>
        <v>4.84807327727634</v>
      </c>
      <c r="BQ50" s="88" t="n">
        <f aca="false">$AO$6*$X$13*C50/MAX(0.0001,12-$AO$3)</f>
        <v>0</v>
      </c>
      <c r="BR50" s="88" t="n">
        <f aca="false">BP50+BR49</f>
        <v>8.58128082061922</v>
      </c>
      <c r="BS50" s="88" t="n">
        <f aca="false">BQ50+BS49</f>
        <v>0</v>
      </c>
      <c r="BT50" s="88" t="n">
        <f aca="false">MAX(BT49,BR50-BS50)</f>
        <v>8.58128082061922</v>
      </c>
      <c r="BU50" s="88" t="n">
        <f aca="false">BT50-BT49</f>
        <v>4.84807327727634</v>
      </c>
      <c r="BV50" s="88" t="n">
        <f aca="false">IF(B50=2026,INDEX($C$14:$Q$14,1,B50-2025)*$AO$4*C50/MAX(0.0001,12-$AO$3),INDEX($C$14:$Q$14,1,B50-2025)/12)</f>
        <v>2.87540897824666</v>
      </c>
      <c r="BW50" s="88" t="n">
        <f aca="false">$AO$6*$X$14*C50/MAX(0.0001,12-$AO$3)</f>
        <v>0</v>
      </c>
      <c r="BX50" s="88" t="n">
        <f aca="false">BV50+BX49</f>
        <v>5.08958724533278</v>
      </c>
      <c r="BY50" s="88" t="n">
        <f aca="false">BW50+BY49</f>
        <v>0</v>
      </c>
      <c r="BZ50" s="88" t="n">
        <f aca="false">MAX(BZ49,BX50-BY50)</f>
        <v>5.08958724533278</v>
      </c>
      <c r="CA50" s="88" t="n">
        <f aca="false">BZ50-BZ49</f>
        <v>2.87540897824666</v>
      </c>
      <c r="CB50" s="88" t="n">
        <f aca="false">IF(B50=2026,INDEX($C$15:$Q$15,1,B50-2025)*$AO$4*C50/MAX(0.0001,12-$AO$3),INDEX($C$15:$Q$15,1,B50-2025)/12)</f>
        <v>4.71433332479975</v>
      </c>
      <c r="CC50" s="88" t="n">
        <f aca="false">$AO$6*$X$15*C50/MAX(0.0001,12-$AO$3)</f>
        <v>6.20929791271347</v>
      </c>
      <c r="CD50" s="88" t="n">
        <f aca="false">CB50+CD49</f>
        <v>8.3445558324642</v>
      </c>
      <c r="CE50" s="88" t="n">
        <f aca="false">CC50+CE49</f>
        <v>10.9907020872865</v>
      </c>
      <c r="CF50" s="88" t="n">
        <f aca="false">MAX(CF49,CD50-CE50)</f>
        <v>0</v>
      </c>
      <c r="CG50" s="88" t="n">
        <f aca="false">CF50-CF49</f>
        <v>0</v>
      </c>
      <c r="CH50" s="88" t="n">
        <f aca="false">IF(B50=2026,INDEX($C$16:$Q$16,1,B50-2025)*$AO$4*C50/MAX(0.0001,12-$AO$3),INDEX($C$16:$Q$16,1,B50-2025)/12)</f>
        <v>3.72800117528491</v>
      </c>
      <c r="CI50" s="88" t="n">
        <f aca="false">$AO$6*$X$16*C50/MAX(0.0001,12-$AO$3)</f>
        <v>0.433206831119545</v>
      </c>
      <c r="CJ50" s="88" t="n">
        <f aca="false">CH50+CJ49</f>
        <v>6.59870904482098</v>
      </c>
      <c r="CK50" s="88" t="n">
        <f aca="false">CI50+CK49</f>
        <v>0.766793168880455</v>
      </c>
      <c r="CL50" s="88" t="n">
        <f aca="false">MAX(CL49,CJ50-CK50)</f>
        <v>5.83191587594053</v>
      </c>
      <c r="CM50" s="88" t="n">
        <f aca="false">CL50-CL49</f>
        <v>3.29479434416536</v>
      </c>
      <c r="CN50" s="88" t="n">
        <f aca="false">IF(B50=2026,INDEX($C$17:$Q$17,1,B50-2025)*$AO$4*C50/MAX(0.0001,12-$AO$3),INDEX($C$17:$Q$17,1,B50-2025)/12)</f>
        <v>16.232686731846</v>
      </c>
      <c r="CO50" s="88" t="n">
        <f aca="false">$AO$6*$X$17*C50/MAX(0.0001,12-$AO$3)</f>
        <v>13.9709203036053</v>
      </c>
      <c r="CP50" s="88" t="n">
        <f aca="false">CN50+CP49</f>
        <v>28.7324954373147</v>
      </c>
      <c r="CQ50" s="88" t="n">
        <f aca="false">CO50+CQ49</f>
        <v>24.7290796963947</v>
      </c>
      <c r="CR50" s="88" t="n">
        <f aca="false">MAX(CR49,CP50-CQ50)</f>
        <v>4.00341574092001</v>
      </c>
      <c r="CS50" s="88" t="n">
        <f aca="false">CR50-CR49</f>
        <v>2.26176642824063</v>
      </c>
      <c r="CT50" s="88" t="n">
        <f aca="false">IF(B50=2026,INDEX($C$18:$Q$18,1,B50-2025)*$AO$4*C50/MAX(0.0001,12-$AO$3),INDEX($C$18:$Q$18,1,B50-2025)/12)</f>
        <v>3.37693380003386</v>
      </c>
      <c r="CU50" s="88" t="n">
        <f aca="false">$AO$6*$X$18*C50/MAX(0.0001,12-$AO$3)</f>
        <v>0.938614800759014</v>
      </c>
      <c r="CV50" s="88" t="n">
        <f aca="false">CT50+CV49</f>
        <v>5.97730595091408</v>
      </c>
      <c r="CW50" s="88" t="n">
        <f aca="false">CU50+CW49</f>
        <v>1.66138519924099</v>
      </c>
      <c r="CX50" s="88" t="n">
        <f aca="false">MAX(CX49,CV50-CW50)</f>
        <v>4.31592075167309</v>
      </c>
      <c r="CY50" s="88" t="n">
        <f aca="false">CX50-CX49</f>
        <v>2.43831899927485</v>
      </c>
      <c r="CZ50" s="88" t="n">
        <f aca="false">IF(B50=2026,INDEX($C$19:$Q$19,1,B50-2025)*$AO$4*C50/MAX(0.0001,12-$AO$3),INDEX($C$19:$Q$19,1,B50-2025)/12)</f>
        <v>3.34349881191472</v>
      </c>
      <c r="DA50" s="88" t="n">
        <f aca="false">$AO$6*$X$19*C50/MAX(0.0001,12-$AO$3)</f>
        <v>0.433206831119545</v>
      </c>
      <c r="DB50" s="88" t="n">
        <f aca="false">CZ50+DB49</f>
        <v>5.91812470387532</v>
      </c>
      <c r="DC50" s="88" t="n">
        <f aca="false">DA50+DC49</f>
        <v>0.766793168880455</v>
      </c>
      <c r="DD50" s="88" t="n">
        <f aca="false">MAX(DD49,DB50-DC50)</f>
        <v>5.15133153499487</v>
      </c>
      <c r="DE50" s="88" t="n">
        <f aca="false">DD50-DD49</f>
        <v>2.91029198079517</v>
      </c>
      <c r="DF50" s="88" t="n">
        <f aca="false">IF(B50=2026,INDEX($C$20:$Q$20,1,B50-2025)*$AO$4*C50/MAX(0.0001,12-$AO$3),INDEX($C$20:$Q$20,1,B50-2025)/12)</f>
        <v>2.72495153171049</v>
      </c>
      <c r="DG50" s="88" t="n">
        <f aca="false">$AO$6*$X$20*C50/MAX(0.0001,12-$AO$3)</f>
        <v>0</v>
      </c>
      <c r="DH50" s="88" t="n">
        <f aca="false">DF50+DH49</f>
        <v>4.82327163365839</v>
      </c>
      <c r="DI50" s="88" t="n">
        <f aca="false">DG50+DI49</f>
        <v>0</v>
      </c>
      <c r="DJ50" s="88" t="n">
        <f aca="false">MAX(DJ49,DH50-DI50)</f>
        <v>4.82327163365839</v>
      </c>
      <c r="DK50" s="88" t="n">
        <f aca="false">DJ50-DJ49</f>
        <v>2.72495153171049</v>
      </c>
      <c r="DL50" s="88" t="n">
        <f aca="false">IF(B50=2026,INDEX($C$21:$Q$21,1,B50-2025)*$AO$4*C50/MAX(0.0001,12-$AO$3),INDEX($C$21:$Q$21,1,B50-2025)/12)</f>
        <v>1.90579432279139</v>
      </c>
      <c r="DM50" s="88" t="n">
        <f aca="false">$AO$6*$X$21*C50/MAX(0.0001,12-$AO$3)</f>
        <v>0</v>
      </c>
      <c r="DN50" s="88" t="n">
        <f aca="false">DL50+DN49</f>
        <v>3.37333108120893</v>
      </c>
      <c r="DO50" s="88" t="n">
        <f aca="false">DM50+DO49</f>
        <v>0</v>
      </c>
      <c r="DP50" s="88" t="n">
        <f aca="false">MAX(DP49,DN50-DO50)</f>
        <v>3.37333108120893</v>
      </c>
      <c r="DQ50" s="88" t="n">
        <f aca="false">DP50-DP49</f>
        <v>1.90579432279139</v>
      </c>
      <c r="DR50" s="88" t="n">
        <f aca="false">IF(B50=2026,INDEX($C$22:$Q$22,1,B50-2025)*$AO$4*C50/MAX(0.0001,12-$AO$3),INDEX($C$22:$Q$22,1,B50-2025)/12)</f>
        <v>1.48785697130205</v>
      </c>
      <c r="DS50" s="88" t="n">
        <f aca="false">$AO$6*$X$22*C50/MAX(0.0001,12-$AO$3)</f>
        <v>1.11911764705882</v>
      </c>
      <c r="DT50" s="88" t="n">
        <f aca="false">DR50+DT49</f>
        <v>2.63356549322452</v>
      </c>
      <c r="DU50" s="88" t="n">
        <f aca="false">DS50+DU49</f>
        <v>1.98088235294118</v>
      </c>
      <c r="DV50" s="88" t="n">
        <f aca="false">MAX(DV49,DT50-DU50)</f>
        <v>0.652683140283342</v>
      </c>
      <c r="DW50" s="88" t="n">
        <f aca="false">DV50-DV49</f>
        <v>0.368739324243225</v>
      </c>
      <c r="DX50" s="88" t="n">
        <f aca="false">IF(B50=2026,INDEX($C$23:$Q$23,1,B50-2025)*$AO$4*C50/MAX(0.0001,12-$AO$3),INDEX($C$23:$Q$23,1,B50-2025)/12)</f>
        <v>2.39060165051902</v>
      </c>
      <c r="DY50" s="88" t="n">
        <f aca="false">$AO$6*$X$23*C50/MAX(0.0001,12-$AO$3)</f>
        <v>0</v>
      </c>
      <c r="DZ50" s="88" t="n">
        <f aca="false">DX50+DZ49</f>
        <v>4.23145916327086</v>
      </c>
      <c r="EA50" s="88" t="n">
        <f aca="false">DY50+EA49</f>
        <v>0</v>
      </c>
      <c r="EB50" s="88" t="n">
        <f aca="false">MAX(EB49,DZ50-EA50)</f>
        <v>4.23145916327086</v>
      </c>
      <c r="EC50" s="88" t="n">
        <f aca="false">EB50-EB49</f>
        <v>2.39060165051902</v>
      </c>
      <c r="ED50" s="88" t="n">
        <f aca="false">IF(B50=2026,INDEX($C$24:$Q$24,1,B50-2025)*$AO$4*C50/MAX(0.0001,12-$AO$3),INDEX($C$24:$Q$24,1,B50-2025)/12)</f>
        <v>1.47113947724247</v>
      </c>
      <c r="EE50" s="88" t="n">
        <f aca="false">$AO$6*$X$24*C50/MAX(0.0001,12-$AO$3)</f>
        <v>0</v>
      </c>
      <c r="EF50" s="88" t="n">
        <f aca="false">ED50+EF49</f>
        <v>2.60397486970514</v>
      </c>
      <c r="EG50" s="88" t="n">
        <f aca="false">EE50+EG49</f>
        <v>0</v>
      </c>
      <c r="EH50" s="88" t="n">
        <f aca="false">MAX(EH49,EF50-EG50)</f>
        <v>2.60397486970514</v>
      </c>
      <c r="EI50" s="88" t="n">
        <f aca="false">EH50-EH49</f>
        <v>1.47113947724248</v>
      </c>
      <c r="EJ50" s="88" t="n">
        <f aca="false">IF(B50=2026,INDEX($C$25:$Q$25,1,B50-2025)*$AO$4*C50/MAX(0.0001,12-$AO$3),INDEX($C$25:$Q$25,1,B50-2025)/12)</f>
        <v>1.87235933467224</v>
      </c>
      <c r="EK50" s="88" t="n">
        <f aca="false">$AO$6*$X$25*C50/MAX(0.0001,12-$AO$3)</f>
        <v>1.19131878557875</v>
      </c>
      <c r="EL50" s="88" t="n">
        <f aca="false">EJ50+EL49</f>
        <v>3.31414983417018</v>
      </c>
      <c r="EM50" s="88" t="n">
        <f aca="false">EK50+EM49</f>
        <v>2.10868121442125</v>
      </c>
      <c r="EN50" s="88" t="n">
        <f aca="false">MAX(EN49,EL50-EM50)</f>
        <v>1.20546861974893</v>
      </c>
      <c r="EO50" s="88" t="n">
        <f aca="false">EN50-EN49</f>
        <v>0.681040549093493</v>
      </c>
      <c r="EP50" s="88" t="n">
        <f aca="false">IF(B50=2026,INDEX($C$26:$Q$26,1,B50-2025)*$AO$4*C50/MAX(0.0001,12-$AO$3),INDEX($C$26:$Q$26,1,B50-2025)/12)</f>
        <v>2.69151654359135</v>
      </c>
      <c r="EQ50" s="88" t="n">
        <f aca="false">$AO$6*$X$26*C50/MAX(0.0001,12-$AO$3)</f>
        <v>0</v>
      </c>
      <c r="ER50" s="88" t="n">
        <f aca="false">EP50+ER49</f>
        <v>4.76409038661964</v>
      </c>
      <c r="ES50" s="88" t="n">
        <f aca="false">EQ50+ES49</f>
        <v>0</v>
      </c>
      <c r="ET50" s="88" t="n">
        <f aca="false">MAX(ET49,ER50-ES50)</f>
        <v>4.76409038661964</v>
      </c>
      <c r="EU50" s="88" t="n">
        <f aca="false">ET50-ET49</f>
        <v>2.69151654359135</v>
      </c>
      <c r="EV50" s="88" t="n">
        <f aca="false">IF(B50=2026,INDEX($C$27:$Q$27,1,B50-2025)*$AO$4*C50/MAX(0.0001,12-$AO$3),INDEX($C$27:$Q$27,1,B50-2025)/12)</f>
        <v>6.68699762382943</v>
      </c>
      <c r="EW50" s="88" t="n">
        <f aca="false">$AO$6*$X$27*C50/MAX(0.0001,12-$AO$3)</f>
        <v>13.0323055028463</v>
      </c>
      <c r="EX50" s="88" t="n">
        <f aca="false">EV50+EX49</f>
        <v>11.8362494077506</v>
      </c>
      <c r="EY50" s="88" t="n">
        <f aca="false">EW50+EY49</f>
        <v>23.0676944971537</v>
      </c>
      <c r="EZ50" s="88" t="n">
        <f aca="false">MAX(EZ49,EX50-EY50)</f>
        <v>0</v>
      </c>
      <c r="FA50" s="88" t="n">
        <f aca="false">EZ50-EZ49</f>
        <v>0</v>
      </c>
      <c r="FB50" s="88" t="n">
        <f aca="false">IF(B50=2026,INDEX($C$28:$Q$28,1,B50-2025)*$AO$4*C50/MAX(0.0001,12-$AO$3),INDEX($C$28:$Q$28,1,B50-2025)/12)</f>
        <v>35.0064325607471</v>
      </c>
      <c r="FC50" s="88" t="n">
        <f aca="false">$AO$6*$X$28*C50/MAX(0.0001,12-$AO$3)</f>
        <v>8.70023719165086</v>
      </c>
      <c r="FD50" s="88" t="n">
        <f aca="false">FB50+FD49</f>
        <v>61.9627656495746</v>
      </c>
      <c r="FE50" s="88" t="n">
        <f aca="false">FC50+FE49</f>
        <v>15.3997628083491</v>
      </c>
      <c r="FF50" s="88" t="n">
        <f aca="false">MAX(FF49,FD50-FE50)</f>
        <v>46.5630028412255</v>
      </c>
      <c r="FG50" s="88" t="n">
        <f aca="false">FF50-FF49</f>
        <v>26.3061953690962</v>
      </c>
    </row>
    <row r="51" customFormat="false" ht="15" hidden="false" customHeight="false" outlineLevel="0" collapsed="false">
      <c r="A51" s="0" t="n">
        <v>11</v>
      </c>
      <c r="B51" s="88" t="n">
        <f aca="false">2026+INT(A51/12)</f>
        <v>2026</v>
      </c>
      <c r="C51" s="88" t="n">
        <f aca="false">MAX(0,MIN(1,A51+1-$AO$3))</f>
        <v>1</v>
      </c>
      <c r="D51" s="88" t="n">
        <f aca="false">IF((A51+0.5-(0))&lt;$AO$3,0,2026+INT((A51+0.5-(0))/12))</f>
        <v>2026</v>
      </c>
      <c r="E51" s="88" t="n">
        <f aca="false">IF((A51+0.5-($AO$9))&lt;$AO$3,0,2026+INT((A51+0.5-($AO$9))/12))</f>
        <v>0</v>
      </c>
      <c r="F51" s="88" t="n">
        <f aca="false">IF((A51+0.5-($AO$9+$AO$8))&lt;$AO$3,0,2026+INT((A51+0.5-($AO$9+$AO$8))/12))</f>
        <v>0</v>
      </c>
      <c r="G51" s="88" t="n">
        <f aca="false">IF((A51+0.5-($AO$9+$AO$8+$AO$7))&lt;$AO$3,0,2026+INT((A51+0.5-($AO$9+$AO$8+$AO$7))/12))</f>
        <v>0</v>
      </c>
      <c r="H51" s="88" t="n">
        <f aca="false">IF(B51=2026,INDEX($C$3:$Q$3,1,B51-2025)*$AO$4*C51/MAX(0.0001,12-$AO$3),INDEX($C$3:$Q$3,1,B51-2025)/12)</f>
        <v>358.389637649138</v>
      </c>
      <c r="I51" s="88" t="n">
        <f aca="false">$AO$6*$X$3*C51/MAX(0.0001,12-$AO$3)</f>
        <v>182.741081593928</v>
      </c>
      <c r="J51" s="88" t="n">
        <f aca="false">H51+J50</f>
        <v>992.753424657534</v>
      </c>
      <c r="K51" s="88" t="n">
        <f aca="false">I51+K50</f>
        <v>506.2</v>
      </c>
      <c r="L51" s="88" t="n">
        <f aca="false">MAX(L50,J51-K51)</f>
        <v>486.553424657534</v>
      </c>
      <c r="M51" s="88" t="n">
        <f aca="false">L51-L50</f>
        <v>175.64855605521</v>
      </c>
      <c r="N51" s="88" t="n">
        <f aca="false">IF(B51=2026,INDEX($C$4:$Q$4,1,B51-2025)*$AO$4*C51/MAX(0.0001,12-$AO$3),INDEX($C$4:$Q$4,1,B51-2025)/12)</f>
        <v>10.8652472018026</v>
      </c>
      <c r="O51" s="88" t="n">
        <f aca="false">$AO$6*$X$4*C51/MAX(0.0001,12-$AO$3)</f>
        <v>8.91684060721063</v>
      </c>
      <c r="P51" s="88" t="n">
        <f aca="false">N51+P50</f>
        <v>30.0971630767409</v>
      </c>
      <c r="Q51" s="88" t="n">
        <f aca="false">O51+Q50</f>
        <v>24.7</v>
      </c>
      <c r="R51" s="88" t="n">
        <f aca="false">MAX(R50,P51-Q51)</f>
        <v>5.39716307674087</v>
      </c>
      <c r="S51" s="88" t="n">
        <f aca="false">R51-R50</f>
        <v>1.94840659459194</v>
      </c>
      <c r="T51" s="88" t="n">
        <f aca="false">IF(B51=2026,INDEX($C$5:$Q$5,1,B51-2025)*$AO$4*C51/MAX(0.0001,12-$AO$3),INDEX($C$5:$Q$5,1,B51-2025)/12)</f>
        <v>44.1602866688012</v>
      </c>
      <c r="U51" s="88" t="n">
        <f aca="false">$AO$6*$X$5*C51/MAX(0.0001,12-$AO$3)</f>
        <v>23.2848671726755</v>
      </c>
      <c r="V51" s="88" t="n">
        <f aca="false">T51+V50</f>
        <v>122.32573495116</v>
      </c>
      <c r="W51" s="88" t="n">
        <f aca="false">U51+W50</f>
        <v>64.5</v>
      </c>
      <c r="X51" s="88" t="n">
        <f aca="false">MAX(X50,V51-W51)</f>
        <v>57.8257349511603</v>
      </c>
      <c r="Y51" s="88" t="n">
        <f aca="false">X51-X50</f>
        <v>20.8754194961257</v>
      </c>
      <c r="Z51" s="88" t="n">
        <f aca="false">IF(B51=2026,INDEX($C$6:$Q$6,1,B51-2025)*$AO$4*C51/MAX(0.0001,12-$AO$3),INDEX($C$6:$Q$6,1,B51-2025)/12)</f>
        <v>52.3925903205564</v>
      </c>
      <c r="AA51" s="88" t="n">
        <f aca="false">$AO$6*$X$6*C51/MAX(0.0001,12-$AO$3)</f>
        <v>50.3602941176471</v>
      </c>
      <c r="AB51" s="88" t="n">
        <f aca="false">Z51+AB50</f>
        <v>145.129540598861</v>
      </c>
      <c r="AC51" s="88" t="n">
        <f aca="false">AA51+AC50</f>
        <v>139.5</v>
      </c>
      <c r="AD51" s="88" t="n">
        <f aca="false">MAX(AD50,AB51-AC51)</f>
        <v>5.62954059886064</v>
      </c>
      <c r="AE51" s="88" t="n">
        <f aca="false">AD51-AD50</f>
        <v>2.03229620290938</v>
      </c>
      <c r="AF51" s="88" t="n">
        <f aca="false">IF(B51=2026,INDEX($C$7:$Q$7,1,B51-2025)*$AO$4*C51/MAX(0.0001,12-$AO$3),INDEX($C$7:$Q$7,1,B51-2025)/12)</f>
        <v>45.5115989066801</v>
      </c>
      <c r="AG51" s="88" t="n">
        <f aca="false">$AO$6*$X$7*C51/MAX(0.0001,12-$AO$3)</f>
        <v>4.98187855787476</v>
      </c>
      <c r="AH51" s="88" t="n">
        <f aca="false">AF51+AH50</f>
        <v>126.068923121264</v>
      </c>
      <c r="AI51" s="88" t="n">
        <f aca="false">AG51+AI50</f>
        <v>13.8</v>
      </c>
      <c r="AJ51" s="88" t="n">
        <f aca="false">MAX(AJ50,AH51-AI51)</f>
        <v>112.268923121264</v>
      </c>
      <c r="AK51" s="88" t="n">
        <f aca="false">AJ51-AJ50</f>
        <v>40.5297203488053</v>
      </c>
      <c r="AL51" s="88" t="n">
        <f aca="false">IF(B51=2026,INDEX($C$8:$Q$8,1,B51-2025)*$AO$4*C51/MAX(0.0001,12-$AO$3),INDEX($C$8:$Q$8,1,B51-2025)/12)</f>
        <v>11.512284369111</v>
      </c>
      <c r="AM51" s="88" t="n">
        <f aca="false">$AO$6*$X$8*C51/MAX(0.0001,12-$AO$3)</f>
        <v>2.20213472485769</v>
      </c>
      <c r="AN51" s="88" t="n">
        <f aca="false">AL51+AN50</f>
        <v>31.8894815375637</v>
      </c>
      <c r="AO51" s="88" t="n">
        <f aca="false">AM51+AO50</f>
        <v>6.1</v>
      </c>
      <c r="AP51" s="88" t="n">
        <f aca="false">MAX(AP50,AN51-AO51)</f>
        <v>25.7894815375637</v>
      </c>
      <c r="AQ51" s="88" t="n">
        <f aca="false">AP51-AP50</f>
        <v>9.31014964425332</v>
      </c>
      <c r="AR51" s="88" t="n">
        <f aca="false">IF(B51=2026,INDEX($C$9:$Q$9,1,B51-2025)*$AO$4*C51/MAX(0.0001,12-$AO$3),INDEX($C$9:$Q$9,1,B51-2025)/12)</f>
        <v>49.0877235583041</v>
      </c>
      <c r="AS51" s="88" t="n">
        <f aca="false">$AO$6*$X$9*C51/MAX(0.0001,12-$AO$3)</f>
        <v>39.1330170777989</v>
      </c>
      <c r="AT51" s="88" t="n">
        <f aca="false">AR51+AT50</f>
        <v>135.974929383581</v>
      </c>
      <c r="AU51" s="88" t="n">
        <f aca="false">AS51+AU50</f>
        <v>108.4</v>
      </c>
      <c r="AV51" s="88" t="n">
        <f aca="false">MAX(AV50,AT51-AU51)</f>
        <v>27.5749293835809</v>
      </c>
      <c r="AW51" s="88" t="n">
        <f aca="false">AV51-AV50</f>
        <v>9.95470648050525</v>
      </c>
      <c r="AX51" s="88" t="n">
        <f aca="false">IF(B51=2026,INDEX($C$10:$Q$10,1,B51-2025)*$AO$4*C51/MAX(0.0001,12-$AO$3),INDEX($C$10:$Q$10,1,B51-2025)/12)</f>
        <v>5.69392707231431</v>
      </c>
      <c r="AY51" s="88" t="n">
        <f aca="false">$AO$6*$X$10*C51/MAX(0.0001,12-$AO$3)</f>
        <v>0</v>
      </c>
      <c r="AZ51" s="88" t="n">
        <f aca="false">AX51+AZ50</f>
        <v>15.7724024552412</v>
      </c>
      <c r="BA51" s="88" t="n">
        <f aca="false">AY51+BA50</f>
        <v>0</v>
      </c>
      <c r="BB51" s="88" t="n">
        <f aca="false">MAX(BB50,AZ51-BA51)</f>
        <v>15.7724024552412</v>
      </c>
      <c r="BC51" s="88" t="n">
        <f aca="false">BB51-BB50</f>
        <v>5.69392707231431</v>
      </c>
      <c r="BD51" s="88" t="n">
        <f aca="false">IF(B51=2026,INDEX($C$11:$Q$11,1,B51-2025)*$AO$4*C51/MAX(0.0001,12-$AO$3),INDEX($C$11:$Q$11,1,B51-2025)/12)</f>
        <v>28.2954330472962</v>
      </c>
      <c r="BE51" s="88" t="n">
        <f aca="false">$AO$6*$X$11*C51/MAX(0.0001,12-$AO$3)</f>
        <v>6.49810246679317</v>
      </c>
      <c r="BF51" s="88" t="n">
        <f aca="false">BD51+BF50</f>
        <v>78.3794649982923</v>
      </c>
      <c r="BG51" s="88" t="n">
        <f aca="false">BE51+BG50</f>
        <v>18</v>
      </c>
      <c r="BH51" s="88" t="n">
        <f aca="false">MAX(BH50,BF51-BG51)</f>
        <v>60.3794649982923</v>
      </c>
      <c r="BI51" s="88" t="n">
        <f aca="false">BH51-BH50</f>
        <v>21.7973305805031</v>
      </c>
      <c r="BJ51" s="88" t="n">
        <f aca="false">IF(B51=2026,INDEX($C$12:$Q$12,1,B51-2025)*$AO$4*C51/MAX(0.0001,12-$AO$3),INDEX($C$12:$Q$12,1,B51-2025)/12)</f>
        <v>15.5139603884648</v>
      </c>
      <c r="BK51" s="88" t="n">
        <f aca="false">$AO$6*$X$12*C51/MAX(0.0001,12-$AO$3)</f>
        <v>1.3357210626186</v>
      </c>
      <c r="BL51" s="88" t="n">
        <f aca="false">BJ51+BL50</f>
        <v>42.974281864499</v>
      </c>
      <c r="BM51" s="88" t="n">
        <f aca="false">BK51+BM50</f>
        <v>3.7</v>
      </c>
      <c r="BN51" s="88" t="n">
        <f aca="false">MAX(BN50,BL51-BM51)</f>
        <v>39.274281864499</v>
      </c>
      <c r="BO51" s="88" t="n">
        <f aca="false">BN51-BN50</f>
        <v>14.1782393258462</v>
      </c>
      <c r="BP51" s="88" t="n">
        <f aca="false">IF(B51=2026,INDEX($C$13:$Q$13,1,B51-2025)*$AO$4*C51/MAX(0.0001,12-$AO$3),INDEX($C$13:$Q$13,1,B51-2025)/12)</f>
        <v>4.84807327727634</v>
      </c>
      <c r="BQ51" s="88" t="n">
        <f aca="false">$AO$6*$X$13*C51/MAX(0.0001,12-$AO$3)</f>
        <v>0</v>
      </c>
      <c r="BR51" s="88" t="n">
        <f aca="false">BP51+BR50</f>
        <v>13.4293540978956</v>
      </c>
      <c r="BS51" s="88" t="n">
        <f aca="false">BQ51+BS50</f>
        <v>0</v>
      </c>
      <c r="BT51" s="88" t="n">
        <f aca="false">MAX(BT50,BR51-BS51)</f>
        <v>13.4293540978956</v>
      </c>
      <c r="BU51" s="88" t="n">
        <f aca="false">BT51-BT50</f>
        <v>4.84807327727634</v>
      </c>
      <c r="BV51" s="88" t="n">
        <f aca="false">IF(B51=2026,INDEX($C$14:$Q$14,1,B51-2025)*$AO$4*C51/MAX(0.0001,12-$AO$3),INDEX($C$14:$Q$14,1,B51-2025)/12)</f>
        <v>2.87540897824666</v>
      </c>
      <c r="BW51" s="88" t="n">
        <f aca="false">$AO$6*$X$14*C51/MAX(0.0001,12-$AO$3)</f>
        <v>0</v>
      </c>
      <c r="BX51" s="88" t="n">
        <f aca="false">BV51+BX50</f>
        <v>7.96499622357943</v>
      </c>
      <c r="BY51" s="88" t="n">
        <f aca="false">BW51+BY50</f>
        <v>0</v>
      </c>
      <c r="BZ51" s="88" t="n">
        <f aca="false">MAX(BZ50,BX51-BY51)</f>
        <v>7.96499622357943</v>
      </c>
      <c r="CA51" s="88" t="n">
        <f aca="false">BZ51-BZ50</f>
        <v>2.87540897824666</v>
      </c>
      <c r="CB51" s="88" t="n">
        <f aca="false">IF(B51=2026,INDEX($C$15:$Q$15,1,B51-2025)*$AO$4*C51/MAX(0.0001,12-$AO$3),INDEX($C$15:$Q$15,1,B51-2025)/12)</f>
        <v>4.71433332479975</v>
      </c>
      <c r="CC51" s="88" t="n">
        <f aca="false">$AO$6*$X$15*C51/MAX(0.0001,12-$AO$3)</f>
        <v>6.20929791271347</v>
      </c>
      <c r="CD51" s="88" t="n">
        <f aca="false">CB51+CD50</f>
        <v>13.058889157264</v>
      </c>
      <c r="CE51" s="88" t="n">
        <f aca="false">CC51+CE50</f>
        <v>17.2</v>
      </c>
      <c r="CF51" s="88" t="n">
        <f aca="false">MAX(CF50,CD51-CE51)</f>
        <v>0</v>
      </c>
      <c r="CG51" s="88" t="n">
        <f aca="false">CF51-CF50</f>
        <v>0</v>
      </c>
      <c r="CH51" s="88" t="n">
        <f aca="false">IF(B51=2026,INDEX($C$16:$Q$16,1,B51-2025)*$AO$4*C51/MAX(0.0001,12-$AO$3),INDEX($C$16:$Q$16,1,B51-2025)/12)</f>
        <v>3.72800117528491</v>
      </c>
      <c r="CI51" s="88" t="n">
        <f aca="false">$AO$6*$X$16*C51/MAX(0.0001,12-$AO$3)</f>
        <v>0.433206831119545</v>
      </c>
      <c r="CJ51" s="88" t="n">
        <f aca="false">CH51+CJ50</f>
        <v>10.3267102201059</v>
      </c>
      <c r="CK51" s="88" t="n">
        <f aca="false">CI51+CK50</f>
        <v>1.2</v>
      </c>
      <c r="CL51" s="88" t="n">
        <f aca="false">MAX(CL50,CJ51-CK51)</f>
        <v>9.12671022010589</v>
      </c>
      <c r="CM51" s="88" t="n">
        <f aca="false">CL51-CL50</f>
        <v>3.29479434416536</v>
      </c>
      <c r="CN51" s="88" t="n">
        <f aca="false">IF(B51=2026,INDEX($C$17:$Q$17,1,B51-2025)*$AO$4*C51/MAX(0.0001,12-$AO$3),INDEX($C$17:$Q$17,1,B51-2025)/12)</f>
        <v>16.232686731846</v>
      </c>
      <c r="CO51" s="88" t="n">
        <f aca="false">$AO$6*$X$17*C51/MAX(0.0001,12-$AO$3)</f>
        <v>13.9709203036053</v>
      </c>
      <c r="CP51" s="88" t="n">
        <f aca="false">CN51+CP50</f>
        <v>44.9651821691606</v>
      </c>
      <c r="CQ51" s="88" t="n">
        <f aca="false">CO51+CQ50</f>
        <v>38.7</v>
      </c>
      <c r="CR51" s="88" t="n">
        <f aca="false">MAX(CR50,CP51-CQ51)</f>
        <v>6.26518216916064</v>
      </c>
      <c r="CS51" s="88" t="n">
        <f aca="false">CR51-CR50</f>
        <v>2.26176642824063</v>
      </c>
      <c r="CT51" s="88" t="n">
        <f aca="false">IF(B51=2026,INDEX($C$18:$Q$18,1,B51-2025)*$AO$4*C51/MAX(0.0001,12-$AO$3),INDEX($C$18:$Q$18,1,B51-2025)/12)</f>
        <v>3.37693380003386</v>
      </c>
      <c r="CU51" s="88" t="n">
        <f aca="false">$AO$6*$X$18*C51/MAX(0.0001,12-$AO$3)</f>
        <v>0.938614800759014</v>
      </c>
      <c r="CV51" s="88" t="n">
        <f aca="false">CT51+CV50</f>
        <v>9.35423975094794</v>
      </c>
      <c r="CW51" s="88" t="n">
        <f aca="false">CU51+CW50</f>
        <v>2.6</v>
      </c>
      <c r="CX51" s="88" t="n">
        <f aca="false">MAX(CX50,CV51-CW51)</f>
        <v>6.75423975094794</v>
      </c>
      <c r="CY51" s="88" t="n">
        <f aca="false">CX51-CX50</f>
        <v>2.43831899927485</v>
      </c>
      <c r="CZ51" s="88" t="n">
        <f aca="false">IF(B51=2026,INDEX($C$19:$Q$19,1,B51-2025)*$AO$4*C51/MAX(0.0001,12-$AO$3),INDEX($C$19:$Q$19,1,B51-2025)/12)</f>
        <v>3.34349881191472</v>
      </c>
      <c r="DA51" s="88" t="n">
        <f aca="false">$AO$6*$X$19*C51/MAX(0.0001,12-$AO$3)</f>
        <v>0.433206831119545</v>
      </c>
      <c r="DB51" s="88" t="n">
        <f aca="false">CZ51+DB50</f>
        <v>9.26162351579004</v>
      </c>
      <c r="DC51" s="88" t="n">
        <f aca="false">DA51+DC50</f>
        <v>1.2</v>
      </c>
      <c r="DD51" s="88" t="n">
        <f aca="false">MAX(DD50,DB51-DC51)</f>
        <v>8.06162351579004</v>
      </c>
      <c r="DE51" s="88" t="n">
        <f aca="false">DD51-DD50</f>
        <v>2.91029198079517</v>
      </c>
      <c r="DF51" s="88" t="n">
        <f aca="false">IF(B51=2026,INDEX($C$20:$Q$20,1,B51-2025)*$AO$4*C51/MAX(0.0001,12-$AO$3),INDEX($C$20:$Q$20,1,B51-2025)/12)</f>
        <v>2.72495153171049</v>
      </c>
      <c r="DG51" s="88" t="n">
        <f aca="false">$AO$6*$X$20*C51/MAX(0.0001,12-$AO$3)</f>
        <v>0</v>
      </c>
      <c r="DH51" s="88" t="n">
        <f aca="false">DF51+DH50</f>
        <v>7.54822316536888</v>
      </c>
      <c r="DI51" s="88" t="n">
        <f aca="false">DG51+DI50</f>
        <v>0</v>
      </c>
      <c r="DJ51" s="88" t="n">
        <f aca="false">MAX(DJ50,DH51-DI51)</f>
        <v>7.54822316536888</v>
      </c>
      <c r="DK51" s="88" t="n">
        <f aca="false">DJ51-DJ50</f>
        <v>2.72495153171049</v>
      </c>
      <c r="DL51" s="88" t="n">
        <f aca="false">IF(B51=2026,INDEX($C$21:$Q$21,1,B51-2025)*$AO$4*C51/MAX(0.0001,12-$AO$3),INDEX($C$21:$Q$21,1,B51-2025)/12)</f>
        <v>1.90579432279139</v>
      </c>
      <c r="DM51" s="88" t="n">
        <f aca="false">$AO$6*$X$21*C51/MAX(0.0001,12-$AO$3)</f>
        <v>0</v>
      </c>
      <c r="DN51" s="88" t="n">
        <f aca="false">DL51+DN50</f>
        <v>5.27912540400032</v>
      </c>
      <c r="DO51" s="88" t="n">
        <f aca="false">DM51+DO50</f>
        <v>0</v>
      </c>
      <c r="DP51" s="88" t="n">
        <f aca="false">MAX(DP50,DN51-DO51)</f>
        <v>5.27912540400032</v>
      </c>
      <c r="DQ51" s="88" t="n">
        <f aca="false">DP51-DP50</f>
        <v>1.90579432279139</v>
      </c>
      <c r="DR51" s="88" t="n">
        <f aca="false">IF(B51=2026,INDEX($C$22:$Q$22,1,B51-2025)*$AO$4*C51/MAX(0.0001,12-$AO$3),INDEX($C$22:$Q$22,1,B51-2025)/12)</f>
        <v>1.48785697130205</v>
      </c>
      <c r="DS51" s="88" t="n">
        <f aca="false">$AO$6*$X$22*C51/MAX(0.0001,12-$AO$3)</f>
        <v>1.11911764705882</v>
      </c>
      <c r="DT51" s="88" t="n">
        <f aca="false">DR51+DT50</f>
        <v>4.12142246452657</v>
      </c>
      <c r="DU51" s="88" t="n">
        <f aca="false">DS51+DU50</f>
        <v>3.1</v>
      </c>
      <c r="DV51" s="88" t="n">
        <f aca="false">MAX(DV50,DT51-DU51)</f>
        <v>1.02142246452657</v>
      </c>
      <c r="DW51" s="88" t="n">
        <f aca="false">DV51-DV50</f>
        <v>0.368739324243225</v>
      </c>
      <c r="DX51" s="88" t="n">
        <f aca="false">IF(B51=2026,INDEX($C$23:$Q$23,1,B51-2025)*$AO$4*C51/MAX(0.0001,12-$AO$3),INDEX($C$23:$Q$23,1,B51-2025)/12)</f>
        <v>2.39060165051902</v>
      </c>
      <c r="DY51" s="88" t="n">
        <f aca="false">$AO$6*$X$23*C51/MAX(0.0001,12-$AO$3)</f>
        <v>0</v>
      </c>
      <c r="DZ51" s="88" t="n">
        <f aca="false">DX51+DZ50</f>
        <v>6.62206081378988</v>
      </c>
      <c r="EA51" s="88" t="n">
        <f aca="false">DY51+EA50</f>
        <v>0</v>
      </c>
      <c r="EB51" s="88" t="n">
        <f aca="false">MAX(EB50,DZ51-EA51)</f>
        <v>6.62206081378988</v>
      </c>
      <c r="EC51" s="88" t="n">
        <f aca="false">EB51-EB50</f>
        <v>2.39060165051902</v>
      </c>
      <c r="ED51" s="88" t="n">
        <f aca="false">IF(B51=2026,INDEX($C$24:$Q$24,1,B51-2025)*$AO$4*C51/MAX(0.0001,12-$AO$3),INDEX($C$24:$Q$24,1,B51-2025)/12)</f>
        <v>1.47113947724247</v>
      </c>
      <c r="EE51" s="88" t="n">
        <f aca="false">$AO$6*$X$24*C51/MAX(0.0001,12-$AO$3)</f>
        <v>0</v>
      </c>
      <c r="EF51" s="88" t="n">
        <f aca="false">ED51+EF50</f>
        <v>4.07511434694762</v>
      </c>
      <c r="EG51" s="88" t="n">
        <f aca="false">EE51+EG50</f>
        <v>0</v>
      </c>
      <c r="EH51" s="88" t="n">
        <f aca="false">MAX(EH50,EF51-EG51)</f>
        <v>4.07511434694762</v>
      </c>
      <c r="EI51" s="88" t="n">
        <f aca="false">EH51-EH50</f>
        <v>1.47113947724247</v>
      </c>
      <c r="EJ51" s="88" t="n">
        <f aca="false">IF(B51=2026,INDEX($C$25:$Q$25,1,B51-2025)*$AO$4*C51/MAX(0.0001,12-$AO$3),INDEX($C$25:$Q$25,1,B51-2025)/12)</f>
        <v>1.87235933467224</v>
      </c>
      <c r="EK51" s="88" t="n">
        <f aca="false">$AO$6*$X$25*C51/MAX(0.0001,12-$AO$3)</f>
        <v>1.19131878557875</v>
      </c>
      <c r="EL51" s="88" t="n">
        <f aca="false">EJ51+EL50</f>
        <v>5.18650916884242</v>
      </c>
      <c r="EM51" s="88" t="n">
        <f aca="false">EK51+EM50</f>
        <v>3.3</v>
      </c>
      <c r="EN51" s="88" t="n">
        <f aca="false">MAX(EN50,EL51-EM51)</f>
        <v>1.88650916884242</v>
      </c>
      <c r="EO51" s="88" t="n">
        <f aca="false">EN51-EN50</f>
        <v>0.681040549093493</v>
      </c>
      <c r="EP51" s="88" t="n">
        <f aca="false">IF(B51=2026,INDEX($C$26:$Q$26,1,B51-2025)*$AO$4*C51/MAX(0.0001,12-$AO$3),INDEX($C$26:$Q$26,1,B51-2025)/12)</f>
        <v>2.69151654359135</v>
      </c>
      <c r="EQ51" s="88" t="n">
        <f aca="false">$AO$6*$X$26*C51/MAX(0.0001,12-$AO$3)</f>
        <v>0</v>
      </c>
      <c r="ER51" s="88" t="n">
        <f aca="false">EP51+ER50</f>
        <v>7.45560693021098</v>
      </c>
      <c r="ES51" s="88" t="n">
        <f aca="false">EQ51+ES50</f>
        <v>0</v>
      </c>
      <c r="ET51" s="88" t="n">
        <f aca="false">MAX(ET50,ER51-ES51)</f>
        <v>7.45560693021098</v>
      </c>
      <c r="EU51" s="88" t="n">
        <f aca="false">ET51-ET50</f>
        <v>2.69151654359135</v>
      </c>
      <c r="EV51" s="88" t="n">
        <f aca="false">IF(B51=2026,INDEX($C$27:$Q$27,1,B51-2025)*$AO$4*C51/MAX(0.0001,12-$AO$3),INDEX($C$27:$Q$27,1,B51-2025)/12)</f>
        <v>6.68699762382943</v>
      </c>
      <c r="EW51" s="88" t="n">
        <f aca="false">$AO$6*$X$27*C51/MAX(0.0001,12-$AO$3)</f>
        <v>13.0323055028463</v>
      </c>
      <c r="EX51" s="88" t="n">
        <f aca="false">EV51+EX50</f>
        <v>18.5232470315801</v>
      </c>
      <c r="EY51" s="88" t="n">
        <f aca="false">EW51+EY50</f>
        <v>36.1</v>
      </c>
      <c r="EZ51" s="88" t="n">
        <f aca="false">MAX(EZ50,EX51-EY51)</f>
        <v>0</v>
      </c>
      <c r="FA51" s="88" t="n">
        <f aca="false">EZ51-EZ50</f>
        <v>0</v>
      </c>
      <c r="FB51" s="88" t="n">
        <f aca="false">IF(B51=2026,INDEX($C$28:$Q$28,1,B51-2025)*$AO$4*C51/MAX(0.0001,12-$AO$3),INDEX($C$28:$Q$28,1,B51-2025)/12)</f>
        <v>35.0064325607471</v>
      </c>
      <c r="FC51" s="88" t="n">
        <f aca="false">$AO$6*$X$28*C51/MAX(0.0001,12-$AO$3)</f>
        <v>8.70023719165086</v>
      </c>
      <c r="FD51" s="88" t="n">
        <f aca="false">FB51+FD50</f>
        <v>96.9691982103217</v>
      </c>
      <c r="FE51" s="88" t="n">
        <f aca="false">FC51+FE50</f>
        <v>24.1</v>
      </c>
      <c r="FF51" s="88" t="n">
        <f aca="false">MAX(FF50,FD51-FE51)</f>
        <v>72.8691982103217</v>
      </c>
      <c r="FG51" s="88" t="n">
        <f aca="false">FF51-FF50</f>
        <v>26.3061953690962</v>
      </c>
    </row>
    <row r="52" customFormat="false" ht="15" hidden="false" customHeight="false" outlineLevel="0" collapsed="false">
      <c r="A52" s="0" t="n">
        <v>12</v>
      </c>
      <c r="B52" s="88" t="n">
        <f aca="false">2026+INT(A52/12)</f>
        <v>2027</v>
      </c>
      <c r="C52" s="88" t="n">
        <f aca="false">MAX(0,MIN(1,A52+1-$AO$3))</f>
        <v>1</v>
      </c>
      <c r="D52" s="88" t="n">
        <f aca="false">IF((A52+0.5-(0))&lt;$AO$3,0,2026+INT((A52+0.5-(0))/12))</f>
        <v>2027</v>
      </c>
      <c r="E52" s="88" t="n">
        <f aca="false">IF((A52+0.5-($AO$9))&lt;$AO$3,0,2026+INT((A52+0.5-($AO$9))/12))</f>
        <v>0</v>
      </c>
      <c r="F52" s="88" t="n">
        <f aca="false">IF((A52+0.5-($AO$9+$AO$8))&lt;$AO$3,0,2026+INT((A52+0.5-($AO$9+$AO$8))/12))</f>
        <v>0</v>
      </c>
      <c r="G52" s="88" t="n">
        <f aca="false">IF((A52+0.5-($AO$9+$AO$8+$AO$7))&lt;$AO$3,0,2026+INT((A52+0.5-($AO$9+$AO$8+$AO$7))/12))</f>
        <v>0</v>
      </c>
      <c r="H52" s="88" t="n">
        <f aca="false">IF(B52=2026,INDEX($C$3:$Q$3,1,B52-2025)*$AO$4*C52/MAX(0.0001,12-$AO$3),INDEX($C$3:$Q$3,1,B52-2025)/12)</f>
        <v>355.25</v>
      </c>
      <c r="I52" s="88" t="n">
        <f aca="false">$AO$6*INDEX($Y$3:$AB$3,1,B52-2026)/12</f>
        <v>173.725</v>
      </c>
      <c r="J52" s="88" t="n">
        <f aca="false">H52+J51</f>
        <v>1348.00342465753</v>
      </c>
      <c r="K52" s="88" t="n">
        <f aca="false">I52+K51</f>
        <v>679.925</v>
      </c>
      <c r="L52" s="88" t="n">
        <f aca="false">MAX(L51,J52-K52)</f>
        <v>668.078424657534</v>
      </c>
      <c r="M52" s="88" t="n">
        <f aca="false">L52-L51</f>
        <v>181.525</v>
      </c>
      <c r="N52" s="88" t="n">
        <f aca="false">IF(B52=2026,INDEX($C$4:$Q$4,1,B52-2025)*$AO$4*C52/MAX(0.0001,12-$AO$3),INDEX($C$4:$Q$4,1,B52-2025)/12)</f>
        <v>10.7700632578534</v>
      </c>
      <c r="O52" s="88" t="n">
        <f aca="false">$AO$6*INDEX($Y$4:$AB$4,1,B52-2026)/12</f>
        <v>8.91666666666667</v>
      </c>
      <c r="P52" s="88" t="n">
        <f aca="false">N52+P51</f>
        <v>40.8672263345942</v>
      </c>
      <c r="Q52" s="88" t="n">
        <f aca="false">O52+Q51</f>
        <v>33.6166666666667</v>
      </c>
      <c r="R52" s="88" t="n">
        <f aca="false">MAX(R51,P52-Q52)</f>
        <v>7.25055966792756</v>
      </c>
      <c r="S52" s="88" t="n">
        <f aca="false">R52-R51</f>
        <v>1.85339659118669</v>
      </c>
      <c r="T52" s="88" t="n">
        <f aca="false">IF(B52=2026,INDEX($C$5:$Q$5,1,B52-2025)*$AO$4*C52/MAX(0.0001,12-$AO$3),INDEX($C$5:$Q$5,1,B52-2025)/12)</f>
        <v>43.7734247619348</v>
      </c>
      <c r="U52" s="88" t="n">
        <f aca="false">$AO$6*INDEX($Y$5:$AB$5,1,B52-2026)/12</f>
        <v>25.5166666666667</v>
      </c>
      <c r="V52" s="88" t="n">
        <f aca="false">T52+V51</f>
        <v>166.099159713095</v>
      </c>
      <c r="W52" s="88" t="n">
        <f aca="false">U52+W51</f>
        <v>90.0166666666667</v>
      </c>
      <c r="X52" s="88" t="n">
        <f aca="false">MAX(X51,V52-W52)</f>
        <v>76.0824930464284</v>
      </c>
      <c r="Y52" s="88" t="n">
        <f aca="false">X52-X51</f>
        <v>18.2567580952682</v>
      </c>
      <c r="Z52" s="88" t="n">
        <f aca="false">IF(B52=2026,INDEX($C$6:$Q$6,1,B52-2025)*$AO$4*C52/MAX(0.0001,12-$AO$3),INDEX($C$6:$Q$6,1,B52-2025)/12)</f>
        <v>51.933610116259</v>
      </c>
      <c r="AA52" s="88" t="n">
        <f aca="false">$AO$6*INDEX($Y$6:$AB$6,1,B52-2026)/12</f>
        <v>38.6</v>
      </c>
      <c r="AB52" s="88" t="n">
        <f aca="false">Z52+AB51</f>
        <v>197.06315071512</v>
      </c>
      <c r="AC52" s="88" t="n">
        <f aca="false">AA52+AC51</f>
        <v>178.1</v>
      </c>
      <c r="AD52" s="88" t="n">
        <f aca="false">MAX(AD51,AB52-AC52)</f>
        <v>18.9631507151196</v>
      </c>
      <c r="AE52" s="88" t="n">
        <f aca="false">AD52-AD51</f>
        <v>13.333610116259</v>
      </c>
      <c r="AF52" s="88" t="n">
        <f aca="false">IF(B52=2026,INDEX($C$7:$Q$7,1,B52-2025)*$AO$4*C52/MAX(0.0001,12-$AO$3),INDEX($C$7:$Q$7,1,B52-2025)/12)</f>
        <v>45.11289896006</v>
      </c>
      <c r="AG52" s="88" t="n">
        <f aca="false">$AO$6*INDEX($Y$7:$AB$7,1,B52-2026)/12</f>
        <v>7.125</v>
      </c>
      <c r="AH52" s="88" t="n">
        <f aca="false">AF52+AH51</f>
        <v>171.181822081324</v>
      </c>
      <c r="AI52" s="88" t="n">
        <f aca="false">AG52+AI51</f>
        <v>20.925</v>
      </c>
      <c r="AJ52" s="88" t="n">
        <f aca="false">MAX(AJ51,AH52-AI52)</f>
        <v>150.256822081324</v>
      </c>
      <c r="AK52" s="88" t="n">
        <f aca="false">AJ52-AJ51</f>
        <v>37.98789896006</v>
      </c>
      <c r="AL52" s="88" t="n">
        <f aca="false">IF(B52=2026,INDEX($C$8:$Q$8,1,B52-2025)*$AO$4*C52/MAX(0.0001,12-$AO$3),INDEX($C$8:$Q$8,1,B52-2025)/12)</f>
        <v>11.4114321188341</v>
      </c>
      <c r="AM52" s="88" t="n">
        <f aca="false">$AO$6*INDEX($Y$8:$AB$8,1,B52-2026)/12</f>
        <v>1.65833333333333</v>
      </c>
      <c r="AN52" s="88" t="n">
        <f aca="false">AL52+AN51</f>
        <v>43.3009136563978</v>
      </c>
      <c r="AO52" s="88" t="n">
        <f aca="false">AM52+AO51</f>
        <v>7.75833333333333</v>
      </c>
      <c r="AP52" s="88" t="n">
        <f aca="false">MAX(AP51,AN52-AO52)</f>
        <v>35.5425803230645</v>
      </c>
      <c r="AQ52" s="88" t="n">
        <f aca="false">AP52-AP51</f>
        <v>9.75309878550075</v>
      </c>
      <c r="AR52" s="88" t="n">
        <f aca="false">IF(B52=2026,INDEX($C$9:$Q$9,1,B52-2025)*$AO$4*C52/MAX(0.0001,12-$AO$3),INDEX($C$9:$Q$9,1,B52-2025)/12)</f>
        <v>48.6576953186344</v>
      </c>
      <c r="AS52" s="88" t="n">
        <f aca="false">$AO$6*INDEX($Y$9:$AB$9,1,B52-2026)/12</f>
        <v>36.6416666666667</v>
      </c>
      <c r="AT52" s="88" t="n">
        <f aca="false">AR52+AT51</f>
        <v>184.632624702215</v>
      </c>
      <c r="AU52" s="88" t="n">
        <f aca="false">AS52+AU51</f>
        <v>145.041666666667</v>
      </c>
      <c r="AV52" s="88" t="n">
        <f aca="false">MAX(AV51,AT52-AU52)</f>
        <v>39.5909580355486</v>
      </c>
      <c r="AW52" s="88" t="n">
        <f aca="false">AV52-AV51</f>
        <v>12.0160286519677</v>
      </c>
      <c r="AX52" s="88" t="n">
        <f aca="false">IF(B52=2026,INDEX($C$10:$Q$10,1,B52-2025)*$AO$4*C52/MAX(0.0001,12-$AO$3),INDEX($C$10:$Q$10,1,B52-2025)/12)</f>
        <v>5.64404597663043</v>
      </c>
      <c r="AY52" s="88" t="n">
        <f aca="false">$AO$6*INDEX($Y$10:$AB$10,1,B52-2026)/12</f>
        <v>0</v>
      </c>
      <c r="AZ52" s="88" t="n">
        <f aca="false">AX52+AZ51</f>
        <v>21.4164484318716</v>
      </c>
      <c r="BA52" s="88" t="n">
        <f aca="false">AY52+BA51</f>
        <v>0</v>
      </c>
      <c r="BB52" s="88" t="n">
        <f aca="false">MAX(BB51,AZ52-BA52)</f>
        <v>21.4164484318716</v>
      </c>
      <c r="BC52" s="88" t="n">
        <f aca="false">BB52-BB51</f>
        <v>5.64404597663043</v>
      </c>
      <c r="BD52" s="88" t="n">
        <f aca="false">IF(B52=2026,INDEX($C$11:$Q$11,1,B52-2025)*$AO$4*C52/MAX(0.0001,12-$AO$3),INDEX($C$11:$Q$11,1,B52-2025)/12)</f>
        <v>28.0475536513497</v>
      </c>
      <c r="BE52" s="88" t="n">
        <f aca="false">$AO$6*INDEX($Y$11:$AB$11,1,B52-2026)/12</f>
        <v>7.61666666666667</v>
      </c>
      <c r="BF52" s="88" t="n">
        <f aca="false">BD52+BF51</f>
        <v>106.427018649642</v>
      </c>
      <c r="BG52" s="88" t="n">
        <f aca="false">BE52+BG51</f>
        <v>25.6166666666667</v>
      </c>
      <c r="BH52" s="88" t="n">
        <f aca="false">MAX(BH51,BF52-BG52)</f>
        <v>80.8103519829753</v>
      </c>
      <c r="BI52" s="88" t="n">
        <f aca="false">BH52-BH51</f>
        <v>20.430886984683</v>
      </c>
      <c r="BJ52" s="88" t="n">
        <f aca="false">IF(B52=2026,INDEX($C$12:$Q$12,1,B52-2025)*$AO$4*C52/MAX(0.0001,12-$AO$3),INDEX($C$12:$Q$12,1,B52-2025)/12)</f>
        <v>15.3780518436687</v>
      </c>
      <c r="BK52" s="88" t="n">
        <f aca="false">$AO$6*INDEX($Y$12:$AB$12,1,B52-2026)/12</f>
        <v>3.4</v>
      </c>
      <c r="BL52" s="88" t="n">
        <f aca="false">BJ52+BL51</f>
        <v>58.3523337081677</v>
      </c>
      <c r="BM52" s="88" t="n">
        <f aca="false">BK52+BM51</f>
        <v>7.1</v>
      </c>
      <c r="BN52" s="88" t="n">
        <f aca="false">MAX(BN51,BL52-BM52)</f>
        <v>51.2523337081677</v>
      </c>
      <c r="BO52" s="88" t="n">
        <f aca="false">BN52-BN51</f>
        <v>11.9780518436688</v>
      </c>
      <c r="BP52" s="88" t="n">
        <f aca="false">IF(B52=2026,INDEX($C$13:$Q$13,1,B52-2025)*$AO$4*C52/MAX(0.0001,12-$AO$3),INDEX($C$13:$Q$13,1,B52-2025)/12)</f>
        <v>4.80560220169792</v>
      </c>
      <c r="BQ52" s="88" t="n">
        <f aca="false">$AO$6*INDEX($Y$13:$AB$13,1,B52-2026)/12</f>
        <v>0</v>
      </c>
      <c r="BR52" s="88" t="n">
        <f aca="false">BP52+BR51</f>
        <v>18.2349562995935</v>
      </c>
      <c r="BS52" s="88" t="n">
        <f aca="false">BQ52+BS51</f>
        <v>0</v>
      </c>
      <c r="BT52" s="88" t="n">
        <f aca="false">MAX(BT51,BR52-BS52)</f>
        <v>18.2349562995935</v>
      </c>
      <c r="BU52" s="88" t="n">
        <f aca="false">BT52-BT51</f>
        <v>4.80560220169792</v>
      </c>
      <c r="BV52" s="88" t="n">
        <f aca="false">IF(B52=2026,INDEX($C$14:$Q$14,1,B52-2025)*$AO$4*C52/MAX(0.0001,12-$AO$3),INDEX($C$14:$Q$14,1,B52-2025)/12)</f>
        <v>2.85021923686911</v>
      </c>
      <c r="BW52" s="88" t="n">
        <f aca="false">$AO$6*INDEX($Y$14:$AB$14,1,B52-2026)/12</f>
        <v>0</v>
      </c>
      <c r="BX52" s="88" t="n">
        <f aca="false">BV52+BX51</f>
        <v>10.8152154604485</v>
      </c>
      <c r="BY52" s="88" t="n">
        <f aca="false">BW52+BY51</f>
        <v>0</v>
      </c>
      <c r="BZ52" s="88" t="n">
        <f aca="false">MAX(BZ51,BX52-BY52)</f>
        <v>10.8152154604485</v>
      </c>
      <c r="CA52" s="88" t="n">
        <f aca="false">BZ52-BZ51</f>
        <v>2.85021923686911</v>
      </c>
      <c r="CB52" s="88" t="n">
        <f aca="false">IF(B52=2026,INDEX($C$15:$Q$15,1,B52-2025)*$AO$4*C52/MAX(0.0001,12-$AO$3),INDEX($C$15:$Q$15,1,B52-2025)/12)</f>
        <v>4.67303386509936</v>
      </c>
      <c r="CC52" s="88" t="n">
        <f aca="false">$AO$6*INDEX($Y$15:$AB$15,1,B52-2026)/12</f>
        <v>4.73333333333333</v>
      </c>
      <c r="CD52" s="88" t="n">
        <f aca="false">CB52+CD51</f>
        <v>17.7319230223633</v>
      </c>
      <c r="CE52" s="88" t="n">
        <f aca="false">CC52+CE51</f>
        <v>21.9333333333333</v>
      </c>
      <c r="CF52" s="88" t="n">
        <f aca="false">MAX(CF51,CD52-CE52)</f>
        <v>0</v>
      </c>
      <c r="CG52" s="88" t="n">
        <f aca="false">CF52-CF51</f>
        <v>0</v>
      </c>
      <c r="CH52" s="88" t="n">
        <f aca="false">IF(B52=2026,INDEX($C$16:$Q$16,1,B52-2025)*$AO$4*C52/MAX(0.0001,12-$AO$3),INDEX($C$16:$Q$16,1,B52-2025)/12)</f>
        <v>3.69534238268495</v>
      </c>
      <c r="CI52" s="88" t="n">
        <f aca="false">$AO$6*INDEX($Y$16:$AB$16,1,B52-2026)/12</f>
        <v>4.9</v>
      </c>
      <c r="CJ52" s="88" t="n">
        <f aca="false">CH52+CJ51</f>
        <v>14.0220526027908</v>
      </c>
      <c r="CK52" s="88" t="n">
        <f aca="false">CI52+CK51</f>
        <v>6.1</v>
      </c>
      <c r="CL52" s="88" t="n">
        <f aca="false">MAX(CL51,CJ52-CK52)</f>
        <v>9.12671022010589</v>
      </c>
      <c r="CM52" s="88" t="n">
        <f aca="false">CL52-CL51</f>
        <v>0</v>
      </c>
      <c r="CN52" s="88" t="n">
        <f aca="false">IF(B52=2026,INDEX($C$17:$Q$17,1,B52-2025)*$AO$4*C52/MAX(0.0001,12-$AO$3),INDEX($C$17:$Q$17,1,B52-2025)/12)</f>
        <v>16.0904818546506</v>
      </c>
      <c r="CO52" s="88" t="n">
        <f aca="false">$AO$6*INDEX($Y$17:$AB$17,1,B52-2026)/12</f>
        <v>10.6083333333333</v>
      </c>
      <c r="CP52" s="88" t="n">
        <f aca="false">CN52+CP51</f>
        <v>61.0556640238113</v>
      </c>
      <c r="CQ52" s="88" t="n">
        <f aca="false">CO52+CQ51</f>
        <v>49.3083333333333</v>
      </c>
      <c r="CR52" s="88" t="n">
        <f aca="false">MAX(CR51,CP52-CQ52)</f>
        <v>11.7473306904779</v>
      </c>
      <c r="CS52" s="88" t="n">
        <f aca="false">CR52-CR51</f>
        <v>5.48214852131729</v>
      </c>
      <c r="CT52" s="88" t="n">
        <f aca="false">IF(B52=2026,INDEX($C$18:$Q$18,1,B52-2025)*$AO$4*C52/MAX(0.0001,12-$AO$3),INDEX($C$18:$Q$18,1,B52-2025)/12)</f>
        <v>3.34735049911372</v>
      </c>
      <c r="CU52" s="88" t="n">
        <f aca="false">$AO$6*INDEX($Y$18:$AB$18,1,B52-2026)/12</f>
        <v>0.7</v>
      </c>
      <c r="CV52" s="88" t="n">
        <f aca="false">CT52+CV51</f>
        <v>12.7015902500617</v>
      </c>
      <c r="CW52" s="88" t="n">
        <f aca="false">CU52+CW51</f>
        <v>3.3</v>
      </c>
      <c r="CX52" s="88" t="n">
        <f aca="false">MAX(CX51,CV52-CW52)</f>
        <v>9.40159025006166</v>
      </c>
      <c r="CY52" s="88" t="n">
        <f aca="false">CX52-CX51</f>
        <v>2.64735049911372</v>
      </c>
      <c r="CZ52" s="88" t="n">
        <f aca="false">IF(B52=2026,INDEX($C$19:$Q$19,1,B52-2025)*$AO$4*C52/MAX(0.0001,12-$AO$3),INDEX($C$19:$Q$19,1,B52-2025)/12)</f>
        <v>3.31420841496408</v>
      </c>
      <c r="DA52" s="88" t="n">
        <f aca="false">$AO$6*INDEX($Y$19:$AB$19,1,B52-2026)/12</f>
        <v>0.891666666666667</v>
      </c>
      <c r="DB52" s="88" t="n">
        <f aca="false">CZ52+DB51</f>
        <v>12.5758319307541</v>
      </c>
      <c r="DC52" s="88" t="n">
        <f aca="false">DA52+DC51</f>
        <v>2.09166666666667</v>
      </c>
      <c r="DD52" s="88" t="n">
        <f aca="false">MAX(DD51,DB52-DC52)</f>
        <v>10.4841652640875</v>
      </c>
      <c r="DE52" s="88" t="n">
        <f aca="false">DD52-DD51</f>
        <v>2.42254174829741</v>
      </c>
      <c r="DF52" s="88" t="n">
        <f aca="false">IF(B52=2026,INDEX($C$20:$Q$20,1,B52-2025)*$AO$4*C52/MAX(0.0001,12-$AO$3),INDEX($C$20:$Q$20,1,B52-2025)/12)</f>
        <v>2.70107985819573</v>
      </c>
      <c r="DG52" s="88" t="n">
        <f aca="false">$AO$6*INDEX($Y$20:$AB$20,1,B52-2026)/12</f>
        <v>0</v>
      </c>
      <c r="DH52" s="88" t="n">
        <f aca="false">DF52+DH51</f>
        <v>10.2493030235646</v>
      </c>
      <c r="DI52" s="88" t="n">
        <f aca="false">DG52+DI51</f>
        <v>0</v>
      </c>
      <c r="DJ52" s="88" t="n">
        <f aca="false">MAX(DJ51,DH52-DI52)</f>
        <v>10.2493030235646</v>
      </c>
      <c r="DK52" s="88" t="n">
        <f aca="false">DJ52-DJ51</f>
        <v>2.70107985819573</v>
      </c>
      <c r="DL52" s="88" t="n">
        <f aca="false">IF(B52=2026,INDEX($C$21:$Q$21,1,B52-2025)*$AO$4*C52/MAX(0.0001,12-$AO$3),INDEX($C$21:$Q$21,1,B52-2025)/12)</f>
        <v>1.88909879652953</v>
      </c>
      <c r="DM52" s="88" t="n">
        <f aca="false">$AO$6*INDEX($Y$21:$AB$21,1,B52-2026)/12</f>
        <v>0.85</v>
      </c>
      <c r="DN52" s="88" t="n">
        <f aca="false">DL52+DN51</f>
        <v>7.16822420052985</v>
      </c>
      <c r="DO52" s="88" t="n">
        <f aca="false">DM52+DO51</f>
        <v>0.85</v>
      </c>
      <c r="DP52" s="88" t="n">
        <f aca="false">MAX(DP51,DN52-DO52)</f>
        <v>6.31822420052985</v>
      </c>
      <c r="DQ52" s="88" t="n">
        <f aca="false">DP52-DP51</f>
        <v>1.03909879652953</v>
      </c>
      <c r="DR52" s="88" t="n">
        <f aca="false">IF(B52=2026,INDEX($C$22:$Q$22,1,B52-2025)*$AO$4*C52/MAX(0.0001,12-$AO$3),INDEX($C$22:$Q$22,1,B52-2025)/12)</f>
        <v>1.47482274465902</v>
      </c>
      <c r="DS52" s="88" t="n">
        <f aca="false">$AO$6*INDEX($Y$22:$AB$22,1,B52-2026)/12</f>
        <v>1.125</v>
      </c>
      <c r="DT52" s="88" t="n">
        <f aca="false">DR52+DT51</f>
        <v>5.59624520918558</v>
      </c>
      <c r="DU52" s="88" t="n">
        <f aca="false">DS52+DU51</f>
        <v>4.225</v>
      </c>
      <c r="DV52" s="88" t="n">
        <f aca="false">MAX(DV51,DT52-DU52)</f>
        <v>1.37124520918558</v>
      </c>
      <c r="DW52" s="88" t="n">
        <f aca="false">DV52-DV51</f>
        <v>0.349822744659017</v>
      </c>
      <c r="DX52" s="88" t="n">
        <f aca="false">IF(B52=2026,INDEX($C$23:$Q$23,1,B52-2025)*$AO$4*C52/MAX(0.0001,12-$AO$3),INDEX($C$23:$Q$23,1,B52-2025)/12)</f>
        <v>2.36965901669932</v>
      </c>
      <c r="DY52" s="88" t="n">
        <f aca="false">$AO$6*INDEX($Y$23:$AB$23,1,B52-2026)/12</f>
        <v>0</v>
      </c>
      <c r="DZ52" s="88" t="n">
        <f aca="false">DX52+DZ51</f>
        <v>8.9917198304892</v>
      </c>
      <c r="EA52" s="88" t="n">
        <f aca="false">DY52+EA51</f>
        <v>0</v>
      </c>
      <c r="EB52" s="88" t="n">
        <f aca="false">MAX(EB51,DZ52-EA52)</f>
        <v>8.9917198304892</v>
      </c>
      <c r="EC52" s="88" t="n">
        <f aca="false">EB52-EB51</f>
        <v>2.36965901669932</v>
      </c>
      <c r="ED52" s="88" t="n">
        <f aca="false">IF(B52=2026,INDEX($C$24:$Q$24,1,B52-2025)*$AO$4*C52/MAX(0.0001,12-$AO$3),INDEX($C$24:$Q$24,1,B52-2025)/12)</f>
        <v>1.4582517025842</v>
      </c>
      <c r="EE52" s="88" t="n">
        <f aca="false">$AO$6*INDEX($Y$24:$AB$24,1,B52-2026)/12</f>
        <v>0</v>
      </c>
      <c r="EF52" s="88" t="n">
        <f aca="false">ED52+EF51</f>
        <v>5.53336604953181</v>
      </c>
      <c r="EG52" s="88" t="n">
        <f aca="false">EE52+EG51</f>
        <v>0</v>
      </c>
      <c r="EH52" s="88" t="n">
        <f aca="false">MAX(EH51,EF52-EG52)</f>
        <v>5.53336604953181</v>
      </c>
      <c r="EI52" s="88" t="n">
        <f aca="false">EH52-EH51</f>
        <v>1.4582517025842</v>
      </c>
      <c r="EJ52" s="88" t="n">
        <f aca="false">IF(B52=2026,INDEX($C$25:$Q$25,1,B52-2025)*$AO$4*C52/MAX(0.0001,12-$AO$3),INDEX($C$25:$Q$25,1,B52-2025)/12)</f>
        <v>1.85595671237989</v>
      </c>
      <c r="EK52" s="88" t="n">
        <f aca="false">$AO$6*INDEX($Y$25:$AB$25,1,B52-2026)/12</f>
        <v>0.891666666666667</v>
      </c>
      <c r="EL52" s="88" t="n">
        <f aca="false">EJ52+EL51</f>
        <v>7.04246588122231</v>
      </c>
      <c r="EM52" s="88" t="n">
        <f aca="false">EK52+EM51</f>
        <v>4.19166666666667</v>
      </c>
      <c r="EN52" s="88" t="n">
        <f aca="false">MAX(EN51,EL52-EM52)</f>
        <v>2.85079921455564</v>
      </c>
      <c r="EO52" s="88" t="n">
        <f aca="false">EN52-EN51</f>
        <v>0.96429004571322</v>
      </c>
      <c r="EP52" s="88" t="n">
        <f aca="false">IF(B52=2026,INDEX($C$26:$Q$26,1,B52-2025)*$AO$4*C52/MAX(0.0001,12-$AO$3),INDEX($C$26:$Q$26,1,B52-2025)/12)</f>
        <v>2.66793777404609</v>
      </c>
      <c r="EQ52" s="88" t="n">
        <f aca="false">$AO$6*INDEX($Y$26:$AB$26,1,B52-2026)/12</f>
        <v>0.308333333333333</v>
      </c>
      <c r="ER52" s="88" t="n">
        <f aca="false">EP52+ER51</f>
        <v>10.1235447042571</v>
      </c>
      <c r="ES52" s="88" t="n">
        <f aca="false">EQ52+ES51</f>
        <v>0.308333333333333</v>
      </c>
      <c r="ET52" s="88" t="n">
        <f aca="false">MAX(ET51,ER52-ES52)</f>
        <v>9.81521137092373</v>
      </c>
      <c r="EU52" s="88" t="n">
        <f aca="false">ET52-ET51</f>
        <v>2.35960444071275</v>
      </c>
      <c r="EV52" s="88" t="n">
        <f aca="false">IF(B52=2026,INDEX($C$27:$Q$27,1,B52-2025)*$AO$4*C52/MAX(0.0001,12-$AO$3),INDEX($C$27:$Q$27,1,B52-2025)/12)</f>
        <v>6.62841682992816</v>
      </c>
      <c r="EW52" s="88" t="n">
        <f aca="false">$AO$6*INDEX($Y$27:$AB$27,1,B52-2026)/12</f>
        <v>12.4166666666667</v>
      </c>
      <c r="EX52" s="88" t="n">
        <f aca="false">EV52+EX51</f>
        <v>25.1516638615082</v>
      </c>
      <c r="EY52" s="88" t="n">
        <f aca="false">EW52+EY51</f>
        <v>48.5166666666667</v>
      </c>
      <c r="EZ52" s="88" t="n">
        <f aca="false">MAX(EZ51,EX52-EY52)</f>
        <v>0</v>
      </c>
      <c r="FA52" s="88" t="n">
        <f aca="false">EZ52-EZ51</f>
        <v>0</v>
      </c>
      <c r="FB52" s="88" t="n">
        <f aca="false">IF(B52=2026,INDEX($C$28:$Q$28,1,B52-2025)*$AO$4*C52/MAX(0.0001,12-$AO$3),INDEX($C$28:$Q$28,1,B52-2025)/12)</f>
        <v>34.6997621046739</v>
      </c>
      <c r="FC52" s="88" t="n">
        <f aca="false">$AO$6*INDEX($Y$28:$AB$28,1,B52-2026)/12</f>
        <v>6.825</v>
      </c>
      <c r="FD52" s="88" t="n">
        <f aca="false">FB52+FD51</f>
        <v>131.668960314996</v>
      </c>
      <c r="FE52" s="88" t="n">
        <f aca="false">FC52+FE51</f>
        <v>30.925</v>
      </c>
      <c r="FF52" s="88" t="n">
        <f aca="false">MAX(FF51,FD52-FE52)</f>
        <v>100.743960314996</v>
      </c>
      <c r="FG52" s="88" t="n">
        <f aca="false">FF52-FF51</f>
        <v>27.874762104674</v>
      </c>
    </row>
    <row r="53" customFormat="false" ht="15" hidden="false" customHeight="false" outlineLevel="0" collapsed="false">
      <c r="A53" s="0" t="n">
        <v>13</v>
      </c>
      <c r="B53" s="88" t="n">
        <f aca="false">2026+INT(A53/12)</f>
        <v>2027</v>
      </c>
      <c r="C53" s="88" t="n">
        <f aca="false">MAX(0,MIN(1,A53+1-$AO$3))</f>
        <v>1</v>
      </c>
      <c r="D53" s="88" t="n">
        <f aca="false">IF((A53+0.5-(0))&lt;$AO$3,0,2026+INT((A53+0.5-(0))/12))</f>
        <v>2027</v>
      </c>
      <c r="E53" s="88" t="n">
        <f aca="false">IF((A53+0.5-($AO$9))&lt;$AO$3,0,2026+INT((A53+0.5-($AO$9))/12))</f>
        <v>0</v>
      </c>
      <c r="F53" s="88" t="n">
        <f aca="false">IF((A53+0.5-($AO$9+$AO$8))&lt;$AO$3,0,2026+INT((A53+0.5-($AO$9+$AO$8))/12))</f>
        <v>0</v>
      </c>
      <c r="G53" s="88" t="n">
        <f aca="false">IF((A53+0.5-($AO$9+$AO$8+$AO$7))&lt;$AO$3,0,2026+INT((A53+0.5-($AO$9+$AO$8+$AO$7))/12))</f>
        <v>0</v>
      </c>
      <c r="H53" s="88" t="n">
        <f aca="false">IF(B53=2026,INDEX($C$3:$Q$3,1,B53-2025)*$AO$4*C53/MAX(0.0001,12-$AO$3),INDEX($C$3:$Q$3,1,B53-2025)/12)</f>
        <v>355.25</v>
      </c>
      <c r="I53" s="88" t="n">
        <f aca="false">$AO$6*INDEX($Y$3:$AB$3,1,B53-2026)/12</f>
        <v>173.725</v>
      </c>
      <c r="J53" s="88" t="n">
        <f aca="false">H53+J52</f>
        <v>1703.25342465753</v>
      </c>
      <c r="K53" s="88" t="n">
        <f aca="false">I53+K52</f>
        <v>853.65</v>
      </c>
      <c r="L53" s="88" t="n">
        <f aca="false">MAX(L52,J53-K53)</f>
        <v>849.603424657534</v>
      </c>
      <c r="M53" s="88" t="n">
        <f aca="false">L53-L52</f>
        <v>181.525</v>
      </c>
      <c r="N53" s="88" t="n">
        <f aca="false">IF(B53=2026,INDEX($C$4:$Q$4,1,B53-2025)*$AO$4*C53/MAX(0.0001,12-$AO$3),INDEX($C$4:$Q$4,1,B53-2025)/12)</f>
        <v>10.7700632578534</v>
      </c>
      <c r="O53" s="88" t="n">
        <f aca="false">$AO$6*INDEX($Y$4:$AB$4,1,B53-2026)/12</f>
        <v>8.91666666666667</v>
      </c>
      <c r="P53" s="88" t="n">
        <f aca="false">N53+P52</f>
        <v>51.6372895924476</v>
      </c>
      <c r="Q53" s="88" t="n">
        <f aca="false">O53+Q52</f>
        <v>42.5333333333333</v>
      </c>
      <c r="R53" s="88" t="n">
        <f aca="false">MAX(R52,P53-Q53)</f>
        <v>9.10395625911425</v>
      </c>
      <c r="S53" s="88" t="n">
        <f aca="false">R53-R52</f>
        <v>1.85339659118669</v>
      </c>
      <c r="T53" s="88" t="n">
        <f aca="false">IF(B53=2026,INDEX($C$5:$Q$5,1,B53-2025)*$AO$4*C53/MAX(0.0001,12-$AO$3),INDEX($C$5:$Q$5,1,B53-2025)/12)</f>
        <v>43.7734247619348</v>
      </c>
      <c r="U53" s="88" t="n">
        <f aca="false">$AO$6*INDEX($Y$5:$AB$5,1,B53-2026)/12</f>
        <v>25.5166666666667</v>
      </c>
      <c r="V53" s="88" t="n">
        <f aca="false">T53+V52</f>
        <v>209.87258447503</v>
      </c>
      <c r="W53" s="88" t="n">
        <f aca="false">U53+W52</f>
        <v>115.533333333333</v>
      </c>
      <c r="X53" s="88" t="n">
        <f aca="false">MAX(X52,V53-W53)</f>
        <v>94.3392511416966</v>
      </c>
      <c r="Y53" s="88" t="n">
        <f aca="false">X53-X52</f>
        <v>18.2567580952682</v>
      </c>
      <c r="Z53" s="88" t="n">
        <f aca="false">IF(B53=2026,INDEX($C$6:$Q$6,1,B53-2025)*$AO$4*C53/MAX(0.0001,12-$AO$3),INDEX($C$6:$Q$6,1,B53-2025)/12)</f>
        <v>51.933610116259</v>
      </c>
      <c r="AA53" s="88" t="n">
        <f aca="false">$AO$6*INDEX($Y$6:$AB$6,1,B53-2026)/12</f>
        <v>38.6</v>
      </c>
      <c r="AB53" s="88" t="n">
        <f aca="false">Z53+AB52</f>
        <v>248.996760831379</v>
      </c>
      <c r="AC53" s="88" t="n">
        <f aca="false">AA53+AC52</f>
        <v>216.7</v>
      </c>
      <c r="AD53" s="88" t="n">
        <f aca="false">MAX(AD52,AB53-AC53)</f>
        <v>32.2967608313786</v>
      </c>
      <c r="AE53" s="88" t="n">
        <f aca="false">AD53-AD52</f>
        <v>13.333610116259</v>
      </c>
      <c r="AF53" s="88" t="n">
        <f aca="false">IF(B53=2026,INDEX($C$7:$Q$7,1,B53-2025)*$AO$4*C53/MAX(0.0001,12-$AO$3),INDEX($C$7:$Q$7,1,B53-2025)/12)</f>
        <v>45.11289896006</v>
      </c>
      <c r="AG53" s="88" t="n">
        <f aca="false">$AO$6*INDEX($Y$7:$AB$7,1,B53-2026)/12</f>
        <v>7.125</v>
      </c>
      <c r="AH53" s="88" t="n">
        <f aca="false">AF53+AH52</f>
        <v>216.294721041384</v>
      </c>
      <c r="AI53" s="88" t="n">
        <f aca="false">AG53+AI52</f>
        <v>28.05</v>
      </c>
      <c r="AJ53" s="88" t="n">
        <f aca="false">MAX(AJ52,AH53-AI53)</f>
        <v>188.244721041384</v>
      </c>
      <c r="AK53" s="88" t="n">
        <f aca="false">AJ53-AJ52</f>
        <v>37.98789896006</v>
      </c>
      <c r="AL53" s="88" t="n">
        <f aca="false">IF(B53=2026,INDEX($C$8:$Q$8,1,B53-2025)*$AO$4*C53/MAX(0.0001,12-$AO$3),INDEX($C$8:$Q$8,1,B53-2025)/12)</f>
        <v>11.4114321188341</v>
      </c>
      <c r="AM53" s="88" t="n">
        <f aca="false">$AO$6*INDEX($Y$8:$AB$8,1,B53-2026)/12</f>
        <v>1.65833333333333</v>
      </c>
      <c r="AN53" s="88" t="n">
        <f aca="false">AL53+AN52</f>
        <v>54.7123457752319</v>
      </c>
      <c r="AO53" s="88" t="n">
        <f aca="false">AM53+AO52</f>
        <v>9.41666666666667</v>
      </c>
      <c r="AP53" s="88" t="n">
        <f aca="false">MAX(AP52,AN53-AO53)</f>
        <v>45.2956791085652</v>
      </c>
      <c r="AQ53" s="88" t="n">
        <f aca="false">AP53-AP52</f>
        <v>9.75309878550075</v>
      </c>
      <c r="AR53" s="88" t="n">
        <f aca="false">IF(B53=2026,INDEX($C$9:$Q$9,1,B53-2025)*$AO$4*C53/MAX(0.0001,12-$AO$3),INDEX($C$9:$Q$9,1,B53-2025)/12)</f>
        <v>48.6576953186344</v>
      </c>
      <c r="AS53" s="88" t="n">
        <f aca="false">$AO$6*INDEX($Y$9:$AB$9,1,B53-2026)/12</f>
        <v>36.6416666666667</v>
      </c>
      <c r="AT53" s="88" t="n">
        <f aca="false">AR53+AT52</f>
        <v>233.29032002085</v>
      </c>
      <c r="AU53" s="88" t="n">
        <f aca="false">AS53+AU52</f>
        <v>181.683333333333</v>
      </c>
      <c r="AV53" s="88" t="n">
        <f aca="false">MAX(AV52,AT53-AU53)</f>
        <v>51.6069866875163</v>
      </c>
      <c r="AW53" s="88" t="n">
        <f aca="false">AV53-AV52</f>
        <v>12.0160286519677</v>
      </c>
      <c r="AX53" s="88" t="n">
        <f aca="false">IF(B53=2026,INDEX($C$10:$Q$10,1,B53-2025)*$AO$4*C53/MAX(0.0001,12-$AO$3),INDEX($C$10:$Q$10,1,B53-2025)/12)</f>
        <v>5.64404597663043</v>
      </c>
      <c r="AY53" s="88" t="n">
        <f aca="false">$AO$6*INDEX($Y$10:$AB$10,1,B53-2026)/12</f>
        <v>0</v>
      </c>
      <c r="AZ53" s="88" t="n">
        <f aca="false">AX53+AZ52</f>
        <v>27.0604944085021</v>
      </c>
      <c r="BA53" s="88" t="n">
        <f aca="false">AY53+BA52</f>
        <v>0</v>
      </c>
      <c r="BB53" s="88" t="n">
        <f aca="false">MAX(BB52,AZ53-BA53)</f>
        <v>27.0604944085021</v>
      </c>
      <c r="BC53" s="88" t="n">
        <f aca="false">BB53-BB52</f>
        <v>5.64404597663043</v>
      </c>
      <c r="BD53" s="88" t="n">
        <f aca="false">IF(B53=2026,INDEX($C$11:$Q$11,1,B53-2025)*$AO$4*C53/MAX(0.0001,12-$AO$3),INDEX($C$11:$Q$11,1,B53-2025)/12)</f>
        <v>28.0475536513497</v>
      </c>
      <c r="BE53" s="88" t="n">
        <f aca="false">$AO$6*INDEX($Y$11:$AB$11,1,B53-2026)/12</f>
        <v>7.61666666666667</v>
      </c>
      <c r="BF53" s="88" t="n">
        <f aca="false">BD53+BF52</f>
        <v>134.474572300992</v>
      </c>
      <c r="BG53" s="88" t="n">
        <f aca="false">BE53+BG52</f>
        <v>33.2333333333333</v>
      </c>
      <c r="BH53" s="88" t="n">
        <f aca="false">MAX(BH52,BF53-BG53)</f>
        <v>101.241238967658</v>
      </c>
      <c r="BI53" s="88" t="n">
        <f aca="false">BH53-BH52</f>
        <v>20.430886984683</v>
      </c>
      <c r="BJ53" s="88" t="n">
        <f aca="false">IF(B53=2026,INDEX($C$12:$Q$12,1,B53-2025)*$AO$4*C53/MAX(0.0001,12-$AO$3),INDEX($C$12:$Q$12,1,B53-2025)/12)</f>
        <v>15.3780518436687</v>
      </c>
      <c r="BK53" s="88" t="n">
        <f aca="false">$AO$6*INDEX($Y$12:$AB$12,1,B53-2026)/12</f>
        <v>3.4</v>
      </c>
      <c r="BL53" s="88" t="n">
        <f aca="false">BJ53+BL52</f>
        <v>73.7303855518365</v>
      </c>
      <c r="BM53" s="88" t="n">
        <f aca="false">BK53+BM52</f>
        <v>10.5</v>
      </c>
      <c r="BN53" s="88" t="n">
        <f aca="false">MAX(BN52,BL53-BM53)</f>
        <v>63.2303855518365</v>
      </c>
      <c r="BO53" s="88" t="n">
        <f aca="false">BN53-BN52</f>
        <v>11.9780518436688</v>
      </c>
      <c r="BP53" s="88" t="n">
        <f aca="false">IF(B53=2026,INDEX($C$13:$Q$13,1,B53-2025)*$AO$4*C53/MAX(0.0001,12-$AO$3),INDEX($C$13:$Q$13,1,B53-2025)/12)</f>
        <v>4.80560220169792</v>
      </c>
      <c r="BQ53" s="88" t="n">
        <f aca="false">$AO$6*INDEX($Y$13:$AB$13,1,B53-2026)/12</f>
        <v>0</v>
      </c>
      <c r="BR53" s="88" t="n">
        <f aca="false">BP53+BR52</f>
        <v>23.0405585012914</v>
      </c>
      <c r="BS53" s="88" t="n">
        <f aca="false">BQ53+BS52</f>
        <v>0</v>
      </c>
      <c r="BT53" s="88" t="n">
        <f aca="false">MAX(BT52,BR53-BS53)</f>
        <v>23.0405585012914</v>
      </c>
      <c r="BU53" s="88" t="n">
        <f aca="false">BT53-BT52</f>
        <v>4.80560220169792</v>
      </c>
      <c r="BV53" s="88" t="n">
        <f aca="false">IF(B53=2026,INDEX($C$14:$Q$14,1,B53-2025)*$AO$4*C53/MAX(0.0001,12-$AO$3),INDEX($C$14:$Q$14,1,B53-2025)/12)</f>
        <v>2.85021923686911</v>
      </c>
      <c r="BW53" s="88" t="n">
        <f aca="false">$AO$6*INDEX($Y$14:$AB$14,1,B53-2026)/12</f>
        <v>0</v>
      </c>
      <c r="BX53" s="88" t="n">
        <f aca="false">BV53+BX52</f>
        <v>13.6654346973177</v>
      </c>
      <c r="BY53" s="88" t="n">
        <f aca="false">BW53+BY52</f>
        <v>0</v>
      </c>
      <c r="BZ53" s="88" t="n">
        <f aca="false">MAX(BZ52,BX53-BY53)</f>
        <v>13.6654346973177</v>
      </c>
      <c r="CA53" s="88" t="n">
        <f aca="false">BZ53-BZ52</f>
        <v>2.85021923686911</v>
      </c>
      <c r="CB53" s="88" t="n">
        <f aca="false">IF(B53=2026,INDEX($C$15:$Q$15,1,B53-2025)*$AO$4*C53/MAX(0.0001,12-$AO$3),INDEX($C$15:$Q$15,1,B53-2025)/12)</f>
        <v>4.67303386509936</v>
      </c>
      <c r="CC53" s="88" t="n">
        <f aca="false">$AO$6*INDEX($Y$15:$AB$15,1,B53-2026)/12</f>
        <v>4.73333333333333</v>
      </c>
      <c r="CD53" s="88" t="n">
        <f aca="false">CB53+CD52</f>
        <v>22.4049568874627</v>
      </c>
      <c r="CE53" s="88" t="n">
        <f aca="false">CC53+CE52</f>
        <v>26.6666666666667</v>
      </c>
      <c r="CF53" s="88" t="n">
        <f aca="false">MAX(CF52,CD53-CE53)</f>
        <v>0</v>
      </c>
      <c r="CG53" s="88" t="n">
        <f aca="false">CF53-CF52</f>
        <v>0</v>
      </c>
      <c r="CH53" s="88" t="n">
        <f aca="false">IF(B53=2026,INDEX($C$16:$Q$16,1,B53-2025)*$AO$4*C53/MAX(0.0001,12-$AO$3),INDEX($C$16:$Q$16,1,B53-2025)/12)</f>
        <v>3.69534238268495</v>
      </c>
      <c r="CI53" s="88" t="n">
        <f aca="false">$AO$6*INDEX($Y$16:$AB$16,1,B53-2026)/12</f>
        <v>4.9</v>
      </c>
      <c r="CJ53" s="88" t="n">
        <f aca="false">CH53+CJ52</f>
        <v>17.7173949854758</v>
      </c>
      <c r="CK53" s="88" t="n">
        <f aca="false">CI53+CK52</f>
        <v>11</v>
      </c>
      <c r="CL53" s="88" t="n">
        <f aca="false">MAX(CL52,CJ53-CK53)</f>
        <v>9.12671022010589</v>
      </c>
      <c r="CM53" s="88" t="n">
        <f aca="false">CL53-CL52</f>
        <v>0</v>
      </c>
      <c r="CN53" s="88" t="n">
        <f aca="false">IF(B53=2026,INDEX($C$17:$Q$17,1,B53-2025)*$AO$4*C53/MAX(0.0001,12-$AO$3),INDEX($C$17:$Q$17,1,B53-2025)/12)</f>
        <v>16.0904818546506</v>
      </c>
      <c r="CO53" s="88" t="n">
        <f aca="false">$AO$6*INDEX($Y$17:$AB$17,1,B53-2026)/12</f>
        <v>10.6083333333333</v>
      </c>
      <c r="CP53" s="88" t="n">
        <f aca="false">CN53+CP52</f>
        <v>77.1461458784619</v>
      </c>
      <c r="CQ53" s="88" t="n">
        <f aca="false">CO53+CQ52</f>
        <v>59.9166666666667</v>
      </c>
      <c r="CR53" s="88" t="n">
        <f aca="false">MAX(CR52,CP53-CQ53)</f>
        <v>17.2294792117952</v>
      </c>
      <c r="CS53" s="88" t="n">
        <f aca="false">CR53-CR52</f>
        <v>5.48214852131729</v>
      </c>
      <c r="CT53" s="88" t="n">
        <f aca="false">IF(B53=2026,INDEX($C$18:$Q$18,1,B53-2025)*$AO$4*C53/MAX(0.0001,12-$AO$3),INDEX($C$18:$Q$18,1,B53-2025)/12)</f>
        <v>3.34735049911372</v>
      </c>
      <c r="CU53" s="88" t="n">
        <f aca="false">$AO$6*INDEX($Y$18:$AB$18,1,B53-2026)/12</f>
        <v>0.7</v>
      </c>
      <c r="CV53" s="88" t="n">
        <f aca="false">CT53+CV52</f>
        <v>16.0489407491754</v>
      </c>
      <c r="CW53" s="88" t="n">
        <f aca="false">CU53+CW52</f>
        <v>4</v>
      </c>
      <c r="CX53" s="88" t="n">
        <f aca="false">MAX(CX52,CV53-CW53)</f>
        <v>12.0489407491754</v>
      </c>
      <c r="CY53" s="88" t="n">
        <f aca="false">CX53-CX52</f>
        <v>2.64735049911373</v>
      </c>
      <c r="CZ53" s="88" t="n">
        <f aca="false">IF(B53=2026,INDEX($C$19:$Q$19,1,B53-2025)*$AO$4*C53/MAX(0.0001,12-$AO$3),INDEX($C$19:$Q$19,1,B53-2025)/12)</f>
        <v>3.31420841496408</v>
      </c>
      <c r="DA53" s="88" t="n">
        <f aca="false">$AO$6*INDEX($Y$19:$AB$19,1,B53-2026)/12</f>
        <v>0.891666666666667</v>
      </c>
      <c r="DB53" s="88" t="n">
        <f aca="false">CZ53+DB52</f>
        <v>15.8900403457182</v>
      </c>
      <c r="DC53" s="88" t="n">
        <f aca="false">DA53+DC52</f>
        <v>2.98333333333333</v>
      </c>
      <c r="DD53" s="88" t="n">
        <f aca="false">MAX(DD52,DB53-DC53)</f>
        <v>12.9067070123849</v>
      </c>
      <c r="DE53" s="88" t="n">
        <f aca="false">DD53-DD52</f>
        <v>2.42254174829742</v>
      </c>
      <c r="DF53" s="88" t="n">
        <f aca="false">IF(B53=2026,INDEX($C$20:$Q$20,1,B53-2025)*$AO$4*C53/MAX(0.0001,12-$AO$3),INDEX($C$20:$Q$20,1,B53-2025)/12)</f>
        <v>2.70107985819573</v>
      </c>
      <c r="DG53" s="88" t="n">
        <f aca="false">$AO$6*INDEX($Y$20:$AB$20,1,B53-2026)/12</f>
        <v>0</v>
      </c>
      <c r="DH53" s="88" t="n">
        <f aca="false">DF53+DH52</f>
        <v>12.9503828817603</v>
      </c>
      <c r="DI53" s="88" t="n">
        <f aca="false">DG53+DI52</f>
        <v>0</v>
      </c>
      <c r="DJ53" s="88" t="n">
        <f aca="false">MAX(DJ52,DH53-DI53)</f>
        <v>12.9503828817603</v>
      </c>
      <c r="DK53" s="88" t="n">
        <f aca="false">DJ53-DJ52</f>
        <v>2.70107985819573</v>
      </c>
      <c r="DL53" s="88" t="n">
        <f aca="false">IF(B53=2026,INDEX($C$21:$Q$21,1,B53-2025)*$AO$4*C53/MAX(0.0001,12-$AO$3),INDEX($C$21:$Q$21,1,B53-2025)/12)</f>
        <v>1.88909879652953</v>
      </c>
      <c r="DM53" s="88" t="n">
        <f aca="false">$AO$6*INDEX($Y$21:$AB$21,1,B53-2026)/12</f>
        <v>0.85</v>
      </c>
      <c r="DN53" s="88" t="n">
        <f aca="false">DL53+DN52</f>
        <v>9.05732299705938</v>
      </c>
      <c r="DO53" s="88" t="n">
        <f aca="false">DM53+DO52</f>
        <v>1.7</v>
      </c>
      <c r="DP53" s="88" t="n">
        <f aca="false">MAX(DP52,DN53-DO53)</f>
        <v>7.35732299705938</v>
      </c>
      <c r="DQ53" s="88" t="n">
        <f aca="false">DP53-DP52</f>
        <v>1.03909879652953</v>
      </c>
      <c r="DR53" s="88" t="n">
        <f aca="false">IF(B53=2026,INDEX($C$22:$Q$22,1,B53-2025)*$AO$4*C53/MAX(0.0001,12-$AO$3),INDEX($C$22:$Q$22,1,B53-2025)/12)</f>
        <v>1.47482274465902</v>
      </c>
      <c r="DS53" s="88" t="n">
        <f aca="false">$AO$6*INDEX($Y$22:$AB$22,1,B53-2026)/12</f>
        <v>1.125</v>
      </c>
      <c r="DT53" s="88" t="n">
        <f aca="false">DR53+DT52</f>
        <v>7.0710679538446</v>
      </c>
      <c r="DU53" s="88" t="n">
        <f aca="false">DS53+DU52</f>
        <v>5.35</v>
      </c>
      <c r="DV53" s="88" t="n">
        <f aca="false">MAX(DV52,DT53-DU53)</f>
        <v>1.7210679538446</v>
      </c>
      <c r="DW53" s="88" t="n">
        <f aca="false">DV53-DV52</f>
        <v>0.349822744659017</v>
      </c>
      <c r="DX53" s="88" t="n">
        <f aca="false">IF(B53=2026,INDEX($C$23:$Q$23,1,B53-2025)*$AO$4*C53/MAX(0.0001,12-$AO$3),INDEX($C$23:$Q$23,1,B53-2025)/12)</f>
        <v>2.36965901669932</v>
      </c>
      <c r="DY53" s="88" t="n">
        <f aca="false">$AO$6*INDEX($Y$23:$AB$23,1,B53-2026)/12</f>
        <v>0</v>
      </c>
      <c r="DZ53" s="88" t="n">
        <f aca="false">DX53+DZ52</f>
        <v>11.3613788471885</v>
      </c>
      <c r="EA53" s="88" t="n">
        <f aca="false">DY53+EA52</f>
        <v>0</v>
      </c>
      <c r="EB53" s="88" t="n">
        <f aca="false">MAX(EB52,DZ53-EA53)</f>
        <v>11.3613788471885</v>
      </c>
      <c r="EC53" s="88" t="n">
        <f aca="false">EB53-EB52</f>
        <v>2.36965901669932</v>
      </c>
      <c r="ED53" s="88" t="n">
        <f aca="false">IF(B53=2026,INDEX($C$24:$Q$24,1,B53-2025)*$AO$4*C53/MAX(0.0001,12-$AO$3),INDEX($C$24:$Q$24,1,B53-2025)/12)</f>
        <v>1.4582517025842</v>
      </c>
      <c r="EE53" s="88" t="n">
        <f aca="false">$AO$6*INDEX($Y$24:$AB$24,1,B53-2026)/12</f>
        <v>0</v>
      </c>
      <c r="EF53" s="88" t="n">
        <f aca="false">ED53+EF52</f>
        <v>6.99161775211601</v>
      </c>
      <c r="EG53" s="88" t="n">
        <f aca="false">EE53+EG52</f>
        <v>0</v>
      </c>
      <c r="EH53" s="88" t="n">
        <f aca="false">MAX(EH52,EF53-EG53)</f>
        <v>6.99161775211601</v>
      </c>
      <c r="EI53" s="88" t="n">
        <f aca="false">EH53-EH52</f>
        <v>1.4582517025842</v>
      </c>
      <c r="EJ53" s="88" t="n">
        <f aca="false">IF(B53=2026,INDEX($C$25:$Q$25,1,B53-2025)*$AO$4*C53/MAX(0.0001,12-$AO$3),INDEX($C$25:$Q$25,1,B53-2025)/12)</f>
        <v>1.85595671237989</v>
      </c>
      <c r="EK53" s="88" t="n">
        <f aca="false">$AO$6*INDEX($Y$25:$AB$25,1,B53-2026)/12</f>
        <v>0.891666666666667</v>
      </c>
      <c r="EL53" s="88" t="n">
        <f aca="false">EJ53+EL52</f>
        <v>8.8984225936022</v>
      </c>
      <c r="EM53" s="88" t="n">
        <f aca="false">EK53+EM52</f>
        <v>5.08333333333333</v>
      </c>
      <c r="EN53" s="88" t="n">
        <f aca="false">MAX(EN52,EL53-EM53)</f>
        <v>3.81508926026886</v>
      </c>
      <c r="EO53" s="88" t="n">
        <f aca="false">EN53-EN52</f>
        <v>0.96429004571322</v>
      </c>
      <c r="EP53" s="88" t="n">
        <f aca="false">IF(B53=2026,INDEX($C$26:$Q$26,1,B53-2025)*$AO$4*C53/MAX(0.0001,12-$AO$3),INDEX($C$26:$Q$26,1,B53-2025)/12)</f>
        <v>2.66793777404609</v>
      </c>
      <c r="EQ53" s="88" t="n">
        <f aca="false">$AO$6*INDEX($Y$26:$AB$26,1,B53-2026)/12</f>
        <v>0.308333333333333</v>
      </c>
      <c r="ER53" s="88" t="n">
        <f aca="false">EP53+ER52</f>
        <v>12.7914824783032</v>
      </c>
      <c r="ES53" s="88" t="n">
        <f aca="false">EQ53+ES52</f>
        <v>0.616666666666667</v>
      </c>
      <c r="ET53" s="88" t="n">
        <f aca="false">MAX(ET52,ER53-ES53)</f>
        <v>12.1748158116365</v>
      </c>
      <c r="EU53" s="88" t="n">
        <f aca="false">ET53-ET52</f>
        <v>2.35960444071275</v>
      </c>
      <c r="EV53" s="88" t="n">
        <f aca="false">IF(B53=2026,INDEX($C$27:$Q$27,1,B53-2025)*$AO$4*C53/MAX(0.0001,12-$AO$3),INDEX($C$27:$Q$27,1,B53-2025)/12)</f>
        <v>6.62841682992816</v>
      </c>
      <c r="EW53" s="88" t="n">
        <f aca="false">$AO$6*INDEX($Y$27:$AB$27,1,B53-2026)/12</f>
        <v>12.4166666666667</v>
      </c>
      <c r="EX53" s="88" t="n">
        <f aca="false">EV53+EX52</f>
        <v>31.7800806914364</v>
      </c>
      <c r="EY53" s="88" t="n">
        <f aca="false">EW53+EY52</f>
        <v>60.9333333333333</v>
      </c>
      <c r="EZ53" s="88" t="n">
        <f aca="false">MAX(EZ52,EX53-EY53)</f>
        <v>0</v>
      </c>
      <c r="FA53" s="88" t="n">
        <f aca="false">EZ53-EZ52</f>
        <v>0</v>
      </c>
      <c r="FB53" s="88" t="n">
        <f aca="false">IF(B53=2026,INDEX($C$28:$Q$28,1,B53-2025)*$AO$4*C53/MAX(0.0001,12-$AO$3),INDEX($C$28:$Q$28,1,B53-2025)/12)</f>
        <v>34.6997621046739</v>
      </c>
      <c r="FC53" s="88" t="n">
        <f aca="false">$AO$6*INDEX($Y$28:$AB$28,1,B53-2026)/12</f>
        <v>6.825</v>
      </c>
      <c r="FD53" s="88" t="n">
        <f aca="false">FB53+FD52</f>
        <v>166.36872241967</v>
      </c>
      <c r="FE53" s="88" t="n">
        <f aca="false">FC53+FE52</f>
        <v>37.75</v>
      </c>
      <c r="FF53" s="88" t="n">
        <f aca="false">MAX(FF52,FD53-FE53)</f>
        <v>128.61872241967</v>
      </c>
      <c r="FG53" s="88" t="n">
        <f aca="false">FF53-FF52</f>
        <v>27.8747621046739</v>
      </c>
    </row>
    <row r="54" customFormat="false" ht="15" hidden="false" customHeight="false" outlineLevel="0" collapsed="false">
      <c r="A54" s="0" t="n">
        <v>14</v>
      </c>
      <c r="B54" s="88" t="n">
        <f aca="false">2026+INT(A54/12)</f>
        <v>2027</v>
      </c>
      <c r="C54" s="88" t="n">
        <f aca="false">MAX(0,MIN(1,A54+1-$AO$3))</f>
        <v>1</v>
      </c>
      <c r="D54" s="88" t="n">
        <f aca="false">IF((A54+0.5-(0))&lt;$AO$3,0,2026+INT((A54+0.5-(0))/12))</f>
        <v>2027</v>
      </c>
      <c r="E54" s="88" t="n">
        <f aca="false">IF((A54+0.5-($AO$9))&lt;$AO$3,0,2026+INT((A54+0.5-($AO$9))/12))</f>
        <v>0</v>
      </c>
      <c r="F54" s="88" t="n">
        <f aca="false">IF((A54+0.5-($AO$9+$AO$8))&lt;$AO$3,0,2026+INT((A54+0.5-($AO$9+$AO$8))/12))</f>
        <v>0</v>
      </c>
      <c r="G54" s="88" t="n">
        <f aca="false">IF((A54+0.5-($AO$9+$AO$8+$AO$7))&lt;$AO$3,0,2026+INT((A54+0.5-($AO$9+$AO$8+$AO$7))/12))</f>
        <v>0</v>
      </c>
      <c r="H54" s="88" t="n">
        <f aca="false">IF(B54=2026,INDEX($C$3:$Q$3,1,B54-2025)*$AO$4*C54/MAX(0.0001,12-$AO$3),INDEX($C$3:$Q$3,1,B54-2025)/12)</f>
        <v>355.25</v>
      </c>
      <c r="I54" s="88" t="n">
        <f aca="false">$AO$6*INDEX($Y$3:$AB$3,1,B54-2026)/12</f>
        <v>173.725</v>
      </c>
      <c r="J54" s="88" t="n">
        <f aca="false">H54+J53</f>
        <v>2058.50342465753</v>
      </c>
      <c r="K54" s="88" t="n">
        <f aca="false">I54+K53</f>
        <v>1027.375</v>
      </c>
      <c r="L54" s="88" t="n">
        <f aca="false">MAX(L53,J54-K54)</f>
        <v>1031.12842465753</v>
      </c>
      <c r="M54" s="88" t="n">
        <f aca="false">L54-L53</f>
        <v>181.525</v>
      </c>
      <c r="N54" s="88" t="n">
        <f aca="false">IF(B54=2026,INDEX($C$4:$Q$4,1,B54-2025)*$AO$4*C54/MAX(0.0001,12-$AO$3),INDEX($C$4:$Q$4,1,B54-2025)/12)</f>
        <v>10.7700632578534</v>
      </c>
      <c r="O54" s="88" t="n">
        <f aca="false">$AO$6*INDEX($Y$4:$AB$4,1,B54-2026)/12</f>
        <v>8.91666666666667</v>
      </c>
      <c r="P54" s="88" t="n">
        <f aca="false">N54+P53</f>
        <v>62.4073528503009</v>
      </c>
      <c r="Q54" s="88" t="n">
        <f aca="false">O54+Q53</f>
        <v>51.45</v>
      </c>
      <c r="R54" s="88" t="n">
        <f aca="false">MAX(R53,P54-Q54)</f>
        <v>10.9573528503009</v>
      </c>
      <c r="S54" s="88" t="n">
        <f aca="false">R54-R53</f>
        <v>1.85339659118669</v>
      </c>
      <c r="T54" s="88" t="n">
        <f aca="false">IF(B54=2026,INDEX($C$5:$Q$5,1,B54-2025)*$AO$4*C54/MAX(0.0001,12-$AO$3),INDEX($C$5:$Q$5,1,B54-2025)/12)</f>
        <v>43.7734247619348</v>
      </c>
      <c r="U54" s="88" t="n">
        <f aca="false">$AO$6*INDEX($Y$5:$AB$5,1,B54-2026)/12</f>
        <v>25.5166666666667</v>
      </c>
      <c r="V54" s="88" t="n">
        <f aca="false">T54+V53</f>
        <v>253.646009236965</v>
      </c>
      <c r="W54" s="88" t="n">
        <f aca="false">U54+W53</f>
        <v>141.05</v>
      </c>
      <c r="X54" s="88" t="n">
        <f aca="false">MAX(X53,V54-W54)</f>
        <v>112.596009236965</v>
      </c>
      <c r="Y54" s="88" t="n">
        <f aca="false">X54-X53</f>
        <v>18.2567580952681</v>
      </c>
      <c r="Z54" s="88" t="n">
        <f aca="false">IF(B54=2026,INDEX($C$6:$Q$6,1,B54-2025)*$AO$4*C54/MAX(0.0001,12-$AO$3),INDEX($C$6:$Q$6,1,B54-2025)/12)</f>
        <v>51.933610116259</v>
      </c>
      <c r="AA54" s="88" t="n">
        <f aca="false">$AO$6*INDEX($Y$6:$AB$6,1,B54-2026)/12</f>
        <v>38.6</v>
      </c>
      <c r="AB54" s="88" t="n">
        <f aca="false">Z54+AB53</f>
        <v>300.930370947638</v>
      </c>
      <c r="AC54" s="88" t="n">
        <f aca="false">AA54+AC53</f>
        <v>255.3</v>
      </c>
      <c r="AD54" s="88" t="n">
        <f aca="false">MAX(AD53,AB54-AC54)</f>
        <v>45.6303709476375</v>
      </c>
      <c r="AE54" s="88" t="n">
        <f aca="false">AD54-AD53</f>
        <v>13.333610116259</v>
      </c>
      <c r="AF54" s="88" t="n">
        <f aca="false">IF(B54=2026,INDEX($C$7:$Q$7,1,B54-2025)*$AO$4*C54/MAX(0.0001,12-$AO$3),INDEX($C$7:$Q$7,1,B54-2025)/12)</f>
        <v>45.11289896006</v>
      </c>
      <c r="AG54" s="88" t="n">
        <f aca="false">$AO$6*INDEX($Y$7:$AB$7,1,B54-2026)/12</f>
        <v>7.125</v>
      </c>
      <c r="AH54" s="88" t="n">
        <f aca="false">AF54+AH53</f>
        <v>261.407620001444</v>
      </c>
      <c r="AI54" s="88" t="n">
        <f aca="false">AG54+AI53</f>
        <v>35.175</v>
      </c>
      <c r="AJ54" s="88" t="n">
        <f aca="false">MAX(AJ53,AH54-AI54)</f>
        <v>226.232620001444</v>
      </c>
      <c r="AK54" s="88" t="n">
        <f aca="false">AJ54-AJ53</f>
        <v>37.98789896006</v>
      </c>
      <c r="AL54" s="88" t="n">
        <f aca="false">IF(B54=2026,INDEX($C$8:$Q$8,1,B54-2025)*$AO$4*C54/MAX(0.0001,12-$AO$3),INDEX($C$8:$Q$8,1,B54-2025)/12)</f>
        <v>11.4114321188341</v>
      </c>
      <c r="AM54" s="88" t="n">
        <f aca="false">$AO$6*INDEX($Y$8:$AB$8,1,B54-2026)/12</f>
        <v>1.65833333333333</v>
      </c>
      <c r="AN54" s="88" t="n">
        <f aca="false">AL54+AN53</f>
        <v>66.123777894066</v>
      </c>
      <c r="AO54" s="88" t="n">
        <f aca="false">AM54+AO53</f>
        <v>11.075</v>
      </c>
      <c r="AP54" s="88" t="n">
        <f aca="false">MAX(AP53,AN54-AO54)</f>
        <v>55.048777894066</v>
      </c>
      <c r="AQ54" s="88" t="n">
        <f aca="false">AP54-AP53</f>
        <v>9.75309878550074</v>
      </c>
      <c r="AR54" s="88" t="n">
        <f aca="false">IF(B54=2026,INDEX($C$9:$Q$9,1,B54-2025)*$AO$4*C54/MAX(0.0001,12-$AO$3),INDEX($C$9:$Q$9,1,B54-2025)/12)</f>
        <v>48.6576953186344</v>
      </c>
      <c r="AS54" s="88" t="n">
        <f aca="false">$AO$6*INDEX($Y$9:$AB$9,1,B54-2026)/12</f>
        <v>36.6416666666667</v>
      </c>
      <c r="AT54" s="88" t="n">
        <f aca="false">AR54+AT53</f>
        <v>281.948015339484</v>
      </c>
      <c r="AU54" s="88" t="n">
        <f aca="false">AS54+AU53</f>
        <v>218.325</v>
      </c>
      <c r="AV54" s="88" t="n">
        <f aca="false">MAX(AV53,AT54-AU54)</f>
        <v>63.623015339484</v>
      </c>
      <c r="AW54" s="88" t="n">
        <f aca="false">AV54-AV53</f>
        <v>12.0160286519677</v>
      </c>
      <c r="AX54" s="88" t="n">
        <f aca="false">IF(B54=2026,INDEX($C$10:$Q$10,1,B54-2025)*$AO$4*C54/MAX(0.0001,12-$AO$3),INDEX($C$10:$Q$10,1,B54-2025)/12)</f>
        <v>5.64404597663043</v>
      </c>
      <c r="AY54" s="88" t="n">
        <f aca="false">$AO$6*INDEX($Y$10:$AB$10,1,B54-2026)/12</f>
        <v>0</v>
      </c>
      <c r="AZ54" s="88" t="n">
        <f aca="false">AX54+AZ53</f>
        <v>32.7045403851325</v>
      </c>
      <c r="BA54" s="88" t="n">
        <f aca="false">AY54+BA53</f>
        <v>0</v>
      </c>
      <c r="BB54" s="88" t="n">
        <f aca="false">MAX(BB53,AZ54-BA54)</f>
        <v>32.7045403851325</v>
      </c>
      <c r="BC54" s="88" t="n">
        <f aca="false">BB54-BB53</f>
        <v>5.64404597663043</v>
      </c>
      <c r="BD54" s="88" t="n">
        <f aca="false">IF(B54=2026,INDEX($C$11:$Q$11,1,B54-2025)*$AO$4*C54/MAX(0.0001,12-$AO$3),INDEX($C$11:$Q$11,1,B54-2025)/12)</f>
        <v>28.0475536513497</v>
      </c>
      <c r="BE54" s="88" t="n">
        <f aca="false">$AO$6*INDEX($Y$11:$AB$11,1,B54-2026)/12</f>
        <v>7.61666666666667</v>
      </c>
      <c r="BF54" s="88" t="n">
        <f aca="false">BD54+BF53</f>
        <v>162.522125952341</v>
      </c>
      <c r="BG54" s="88" t="n">
        <f aca="false">BE54+BG53</f>
        <v>40.85</v>
      </c>
      <c r="BH54" s="88" t="n">
        <f aca="false">MAX(BH53,BF54-BG54)</f>
        <v>121.672125952341</v>
      </c>
      <c r="BI54" s="88" t="n">
        <f aca="false">BH54-BH53</f>
        <v>20.430886984683</v>
      </c>
      <c r="BJ54" s="88" t="n">
        <f aca="false">IF(B54=2026,INDEX($C$12:$Q$12,1,B54-2025)*$AO$4*C54/MAX(0.0001,12-$AO$3),INDEX($C$12:$Q$12,1,B54-2025)/12)</f>
        <v>15.3780518436687</v>
      </c>
      <c r="BK54" s="88" t="n">
        <f aca="false">$AO$6*INDEX($Y$12:$AB$12,1,B54-2026)/12</f>
        <v>3.4</v>
      </c>
      <c r="BL54" s="88" t="n">
        <f aca="false">BJ54+BL53</f>
        <v>89.1084373955052</v>
      </c>
      <c r="BM54" s="88" t="n">
        <f aca="false">BK54+BM53</f>
        <v>13.9</v>
      </c>
      <c r="BN54" s="88" t="n">
        <f aca="false">MAX(BN53,BL54-BM54)</f>
        <v>75.2084373955052</v>
      </c>
      <c r="BO54" s="88" t="n">
        <f aca="false">BN54-BN53</f>
        <v>11.9780518436687</v>
      </c>
      <c r="BP54" s="88" t="n">
        <f aca="false">IF(B54=2026,INDEX($C$13:$Q$13,1,B54-2025)*$AO$4*C54/MAX(0.0001,12-$AO$3),INDEX($C$13:$Q$13,1,B54-2025)/12)</f>
        <v>4.80560220169792</v>
      </c>
      <c r="BQ54" s="88" t="n">
        <f aca="false">$AO$6*INDEX($Y$13:$AB$13,1,B54-2026)/12</f>
        <v>0</v>
      </c>
      <c r="BR54" s="88" t="n">
        <f aca="false">BP54+BR53</f>
        <v>27.8461607029893</v>
      </c>
      <c r="BS54" s="88" t="n">
        <f aca="false">BQ54+BS53</f>
        <v>0</v>
      </c>
      <c r="BT54" s="88" t="n">
        <f aca="false">MAX(BT53,BR54-BS54)</f>
        <v>27.8461607029893</v>
      </c>
      <c r="BU54" s="88" t="n">
        <f aca="false">BT54-BT53</f>
        <v>4.80560220169792</v>
      </c>
      <c r="BV54" s="88" t="n">
        <f aca="false">IF(B54=2026,INDEX($C$14:$Q$14,1,B54-2025)*$AO$4*C54/MAX(0.0001,12-$AO$3),INDEX($C$14:$Q$14,1,B54-2025)/12)</f>
        <v>2.85021923686911</v>
      </c>
      <c r="BW54" s="88" t="n">
        <f aca="false">$AO$6*INDEX($Y$14:$AB$14,1,B54-2026)/12</f>
        <v>0</v>
      </c>
      <c r="BX54" s="88" t="n">
        <f aca="false">BV54+BX53</f>
        <v>16.5156539341868</v>
      </c>
      <c r="BY54" s="88" t="n">
        <f aca="false">BW54+BY53</f>
        <v>0</v>
      </c>
      <c r="BZ54" s="88" t="n">
        <f aca="false">MAX(BZ53,BX54-BY54)</f>
        <v>16.5156539341868</v>
      </c>
      <c r="CA54" s="88" t="n">
        <f aca="false">BZ54-BZ53</f>
        <v>2.85021923686911</v>
      </c>
      <c r="CB54" s="88" t="n">
        <f aca="false">IF(B54=2026,INDEX($C$15:$Q$15,1,B54-2025)*$AO$4*C54/MAX(0.0001,12-$AO$3),INDEX($C$15:$Q$15,1,B54-2025)/12)</f>
        <v>4.67303386509936</v>
      </c>
      <c r="CC54" s="88" t="n">
        <f aca="false">$AO$6*INDEX($Y$15:$AB$15,1,B54-2026)/12</f>
        <v>4.73333333333333</v>
      </c>
      <c r="CD54" s="88" t="n">
        <f aca="false">CB54+CD53</f>
        <v>27.077990752562</v>
      </c>
      <c r="CE54" s="88" t="n">
        <f aca="false">CC54+CE53</f>
        <v>31.4</v>
      </c>
      <c r="CF54" s="88" t="n">
        <f aca="false">MAX(CF53,CD54-CE54)</f>
        <v>0</v>
      </c>
      <c r="CG54" s="88" t="n">
        <f aca="false">CF54-CF53</f>
        <v>0</v>
      </c>
      <c r="CH54" s="88" t="n">
        <f aca="false">IF(B54=2026,INDEX($C$16:$Q$16,1,B54-2025)*$AO$4*C54/MAX(0.0001,12-$AO$3),INDEX($C$16:$Q$16,1,B54-2025)/12)</f>
        <v>3.69534238268495</v>
      </c>
      <c r="CI54" s="88" t="n">
        <f aca="false">$AO$6*INDEX($Y$16:$AB$16,1,B54-2026)/12</f>
        <v>4.9</v>
      </c>
      <c r="CJ54" s="88" t="n">
        <f aca="false">CH54+CJ53</f>
        <v>21.4127373681607</v>
      </c>
      <c r="CK54" s="88" t="n">
        <f aca="false">CI54+CK53</f>
        <v>15.9</v>
      </c>
      <c r="CL54" s="88" t="n">
        <f aca="false">MAX(CL53,CJ54-CK54)</f>
        <v>9.12671022010589</v>
      </c>
      <c r="CM54" s="88" t="n">
        <f aca="false">CL54-CL53</f>
        <v>0</v>
      </c>
      <c r="CN54" s="88" t="n">
        <f aca="false">IF(B54=2026,INDEX($C$17:$Q$17,1,B54-2025)*$AO$4*C54/MAX(0.0001,12-$AO$3),INDEX($C$17:$Q$17,1,B54-2025)/12)</f>
        <v>16.0904818546506</v>
      </c>
      <c r="CO54" s="88" t="n">
        <f aca="false">$AO$6*INDEX($Y$17:$AB$17,1,B54-2026)/12</f>
        <v>10.6083333333333</v>
      </c>
      <c r="CP54" s="88" t="n">
        <f aca="false">CN54+CP53</f>
        <v>93.2366277331125</v>
      </c>
      <c r="CQ54" s="88" t="n">
        <f aca="false">CO54+CQ53</f>
        <v>70.525</v>
      </c>
      <c r="CR54" s="88" t="n">
        <f aca="false">MAX(CR53,CP54-CQ54)</f>
        <v>22.7116277331125</v>
      </c>
      <c r="CS54" s="88" t="n">
        <f aca="false">CR54-CR53</f>
        <v>5.48214852131729</v>
      </c>
      <c r="CT54" s="88" t="n">
        <f aca="false">IF(B54=2026,INDEX($C$18:$Q$18,1,B54-2025)*$AO$4*C54/MAX(0.0001,12-$AO$3),INDEX($C$18:$Q$18,1,B54-2025)/12)</f>
        <v>3.34735049911372</v>
      </c>
      <c r="CU54" s="88" t="n">
        <f aca="false">$AO$6*INDEX($Y$18:$AB$18,1,B54-2026)/12</f>
        <v>0.7</v>
      </c>
      <c r="CV54" s="88" t="n">
        <f aca="false">CT54+CV53</f>
        <v>19.3962912482891</v>
      </c>
      <c r="CW54" s="88" t="n">
        <f aca="false">CU54+CW53</f>
        <v>4.7</v>
      </c>
      <c r="CX54" s="88" t="n">
        <f aca="false">MAX(CX53,CV54-CW54)</f>
        <v>14.6962912482891</v>
      </c>
      <c r="CY54" s="88" t="n">
        <f aca="false">CX54-CX53</f>
        <v>2.64735049911372</v>
      </c>
      <c r="CZ54" s="88" t="n">
        <f aca="false">IF(B54=2026,INDEX($C$19:$Q$19,1,B54-2025)*$AO$4*C54/MAX(0.0001,12-$AO$3),INDEX($C$19:$Q$19,1,B54-2025)/12)</f>
        <v>3.31420841496408</v>
      </c>
      <c r="DA54" s="88" t="n">
        <f aca="false">$AO$6*INDEX($Y$19:$AB$19,1,B54-2026)/12</f>
        <v>0.891666666666667</v>
      </c>
      <c r="DB54" s="88" t="n">
        <f aca="false">CZ54+DB53</f>
        <v>19.2042487606823</v>
      </c>
      <c r="DC54" s="88" t="n">
        <f aca="false">DA54+DC53</f>
        <v>3.875</v>
      </c>
      <c r="DD54" s="88" t="n">
        <f aca="false">MAX(DD53,DB54-DC54)</f>
        <v>15.3292487606823</v>
      </c>
      <c r="DE54" s="88" t="n">
        <f aca="false">DD54-DD53</f>
        <v>2.42254174829742</v>
      </c>
      <c r="DF54" s="88" t="n">
        <f aca="false">IF(B54=2026,INDEX($C$20:$Q$20,1,B54-2025)*$AO$4*C54/MAX(0.0001,12-$AO$3),INDEX($C$20:$Q$20,1,B54-2025)/12)</f>
        <v>2.70107985819573</v>
      </c>
      <c r="DG54" s="88" t="n">
        <f aca="false">$AO$6*INDEX($Y$20:$AB$20,1,B54-2026)/12</f>
        <v>0</v>
      </c>
      <c r="DH54" s="88" t="n">
        <f aca="false">DF54+DH53</f>
        <v>15.6514627399561</v>
      </c>
      <c r="DI54" s="88" t="n">
        <f aca="false">DG54+DI53</f>
        <v>0</v>
      </c>
      <c r="DJ54" s="88" t="n">
        <f aca="false">MAX(DJ53,DH54-DI54)</f>
        <v>15.6514627399561</v>
      </c>
      <c r="DK54" s="88" t="n">
        <f aca="false">DJ54-DJ53</f>
        <v>2.70107985819573</v>
      </c>
      <c r="DL54" s="88" t="n">
        <f aca="false">IF(B54=2026,INDEX($C$21:$Q$21,1,B54-2025)*$AO$4*C54/MAX(0.0001,12-$AO$3),INDEX($C$21:$Q$21,1,B54-2025)/12)</f>
        <v>1.88909879652953</v>
      </c>
      <c r="DM54" s="88" t="n">
        <f aca="false">$AO$6*INDEX($Y$21:$AB$21,1,B54-2026)/12</f>
        <v>0.85</v>
      </c>
      <c r="DN54" s="88" t="n">
        <f aca="false">DL54+DN53</f>
        <v>10.9464217935889</v>
      </c>
      <c r="DO54" s="88" t="n">
        <f aca="false">DM54+DO53</f>
        <v>2.55</v>
      </c>
      <c r="DP54" s="88" t="n">
        <f aca="false">MAX(DP53,DN54-DO54)</f>
        <v>8.3964217935889</v>
      </c>
      <c r="DQ54" s="88" t="n">
        <f aca="false">DP54-DP53</f>
        <v>1.03909879652953</v>
      </c>
      <c r="DR54" s="88" t="n">
        <f aca="false">IF(B54=2026,INDEX($C$22:$Q$22,1,B54-2025)*$AO$4*C54/MAX(0.0001,12-$AO$3),INDEX($C$22:$Q$22,1,B54-2025)/12)</f>
        <v>1.47482274465902</v>
      </c>
      <c r="DS54" s="88" t="n">
        <f aca="false">$AO$6*INDEX($Y$22:$AB$22,1,B54-2026)/12</f>
        <v>1.125</v>
      </c>
      <c r="DT54" s="88" t="n">
        <f aca="false">DR54+DT53</f>
        <v>8.54589069850362</v>
      </c>
      <c r="DU54" s="88" t="n">
        <f aca="false">DS54+DU53</f>
        <v>6.475</v>
      </c>
      <c r="DV54" s="88" t="n">
        <f aca="false">MAX(DV53,DT54-DU54)</f>
        <v>2.07089069850362</v>
      </c>
      <c r="DW54" s="88" t="n">
        <f aca="false">DV54-DV53</f>
        <v>0.349822744659017</v>
      </c>
      <c r="DX54" s="88" t="n">
        <f aca="false">IF(B54=2026,INDEX($C$23:$Q$23,1,B54-2025)*$AO$4*C54/MAX(0.0001,12-$AO$3),INDEX($C$23:$Q$23,1,B54-2025)/12)</f>
        <v>2.36965901669932</v>
      </c>
      <c r="DY54" s="88" t="n">
        <f aca="false">$AO$6*INDEX($Y$23:$AB$23,1,B54-2026)/12</f>
        <v>0</v>
      </c>
      <c r="DZ54" s="88" t="n">
        <f aca="false">DX54+DZ53</f>
        <v>13.7310378638878</v>
      </c>
      <c r="EA54" s="88" t="n">
        <f aca="false">DY54+EA53</f>
        <v>0</v>
      </c>
      <c r="EB54" s="88" t="n">
        <f aca="false">MAX(EB53,DZ54-EA54)</f>
        <v>13.7310378638878</v>
      </c>
      <c r="EC54" s="88" t="n">
        <f aca="false">EB54-EB53</f>
        <v>2.36965901669932</v>
      </c>
      <c r="ED54" s="88" t="n">
        <f aca="false">IF(B54=2026,INDEX($C$24:$Q$24,1,B54-2025)*$AO$4*C54/MAX(0.0001,12-$AO$3),INDEX($C$24:$Q$24,1,B54-2025)/12)</f>
        <v>1.4582517025842</v>
      </c>
      <c r="EE54" s="88" t="n">
        <f aca="false">$AO$6*INDEX($Y$24:$AB$24,1,B54-2026)/12</f>
        <v>0</v>
      </c>
      <c r="EF54" s="88" t="n">
        <f aca="false">ED54+EF53</f>
        <v>8.4498694547002</v>
      </c>
      <c r="EG54" s="88" t="n">
        <f aca="false">EE54+EG53</f>
        <v>0</v>
      </c>
      <c r="EH54" s="88" t="n">
        <f aca="false">MAX(EH53,EF54-EG54)</f>
        <v>8.4498694547002</v>
      </c>
      <c r="EI54" s="88" t="n">
        <f aca="false">EH54-EH53</f>
        <v>1.4582517025842</v>
      </c>
      <c r="EJ54" s="88" t="n">
        <f aca="false">IF(B54=2026,INDEX($C$25:$Q$25,1,B54-2025)*$AO$4*C54/MAX(0.0001,12-$AO$3),INDEX($C$25:$Q$25,1,B54-2025)/12)</f>
        <v>1.85595671237989</v>
      </c>
      <c r="EK54" s="88" t="n">
        <f aca="false">$AO$6*INDEX($Y$25:$AB$25,1,B54-2026)/12</f>
        <v>0.891666666666667</v>
      </c>
      <c r="EL54" s="88" t="n">
        <f aca="false">EJ54+EL53</f>
        <v>10.7543793059821</v>
      </c>
      <c r="EM54" s="88" t="n">
        <f aca="false">EK54+EM53</f>
        <v>5.975</v>
      </c>
      <c r="EN54" s="88" t="n">
        <f aca="false">MAX(EN53,EL54-EM54)</f>
        <v>4.77937930598208</v>
      </c>
      <c r="EO54" s="88" t="n">
        <f aca="false">EN54-EN53</f>
        <v>0.964290045713219</v>
      </c>
      <c r="EP54" s="88" t="n">
        <f aca="false">IF(B54=2026,INDEX($C$26:$Q$26,1,B54-2025)*$AO$4*C54/MAX(0.0001,12-$AO$3),INDEX($C$26:$Q$26,1,B54-2025)/12)</f>
        <v>2.66793777404609</v>
      </c>
      <c r="EQ54" s="88" t="n">
        <f aca="false">$AO$6*INDEX($Y$26:$AB$26,1,B54-2026)/12</f>
        <v>0.308333333333333</v>
      </c>
      <c r="ER54" s="88" t="n">
        <f aca="false">EP54+ER53</f>
        <v>15.4594202523492</v>
      </c>
      <c r="ES54" s="88" t="n">
        <f aca="false">EQ54+ES53</f>
        <v>0.925</v>
      </c>
      <c r="ET54" s="88" t="n">
        <f aca="false">MAX(ET53,ER54-ES54)</f>
        <v>14.5344202523492</v>
      </c>
      <c r="EU54" s="88" t="n">
        <f aca="false">ET54-ET53</f>
        <v>2.35960444071275</v>
      </c>
      <c r="EV54" s="88" t="n">
        <f aca="false">IF(B54=2026,INDEX($C$27:$Q$27,1,B54-2025)*$AO$4*C54/MAX(0.0001,12-$AO$3),INDEX($C$27:$Q$27,1,B54-2025)/12)</f>
        <v>6.62841682992816</v>
      </c>
      <c r="EW54" s="88" t="n">
        <f aca="false">$AO$6*INDEX($Y$27:$AB$27,1,B54-2026)/12</f>
        <v>12.4166666666667</v>
      </c>
      <c r="EX54" s="88" t="n">
        <f aca="false">EV54+EX53</f>
        <v>38.4084975213646</v>
      </c>
      <c r="EY54" s="88" t="n">
        <f aca="false">EW54+EY53</f>
        <v>73.35</v>
      </c>
      <c r="EZ54" s="88" t="n">
        <f aca="false">MAX(EZ53,EX54-EY54)</f>
        <v>0</v>
      </c>
      <c r="FA54" s="88" t="n">
        <f aca="false">EZ54-EZ53</f>
        <v>0</v>
      </c>
      <c r="FB54" s="88" t="n">
        <f aca="false">IF(B54=2026,INDEX($C$28:$Q$28,1,B54-2025)*$AO$4*C54/MAX(0.0001,12-$AO$3),INDEX($C$28:$Q$28,1,B54-2025)/12)</f>
        <v>34.6997621046739</v>
      </c>
      <c r="FC54" s="88" t="n">
        <f aca="false">$AO$6*INDEX($Y$28:$AB$28,1,B54-2026)/12</f>
        <v>6.825</v>
      </c>
      <c r="FD54" s="88" t="n">
        <f aca="false">FB54+FD53</f>
        <v>201.068484524344</v>
      </c>
      <c r="FE54" s="88" t="n">
        <f aca="false">FC54+FE53</f>
        <v>44.575</v>
      </c>
      <c r="FF54" s="88" t="n">
        <f aca="false">MAX(FF53,FD54-FE54)</f>
        <v>156.493484524344</v>
      </c>
      <c r="FG54" s="88" t="n">
        <f aca="false">FF54-FF53</f>
        <v>27.8747621046739</v>
      </c>
    </row>
    <row r="55" customFormat="false" ht="15" hidden="false" customHeight="false" outlineLevel="0" collapsed="false">
      <c r="A55" s="0" t="n">
        <v>15</v>
      </c>
      <c r="B55" s="88" t="n">
        <f aca="false">2026+INT(A55/12)</f>
        <v>2027</v>
      </c>
      <c r="C55" s="88" t="n">
        <f aca="false">MAX(0,MIN(1,A55+1-$AO$3))</f>
        <v>1</v>
      </c>
      <c r="D55" s="88" t="n">
        <f aca="false">IF((A55+0.5-(0))&lt;$AO$3,0,2026+INT((A55+0.5-(0))/12))</f>
        <v>2027</v>
      </c>
      <c r="E55" s="88" t="n">
        <f aca="false">IF((A55+0.5-($AO$9))&lt;$AO$3,0,2026+INT((A55+0.5-($AO$9))/12))</f>
        <v>0</v>
      </c>
      <c r="F55" s="88" t="n">
        <f aca="false">IF((A55+0.5-($AO$9+$AO$8))&lt;$AO$3,0,2026+INT((A55+0.5-($AO$9+$AO$8))/12))</f>
        <v>0</v>
      </c>
      <c r="G55" s="88" t="n">
        <f aca="false">IF((A55+0.5-($AO$9+$AO$8+$AO$7))&lt;$AO$3,0,2026+INT((A55+0.5-($AO$9+$AO$8+$AO$7))/12))</f>
        <v>0</v>
      </c>
      <c r="H55" s="88" t="n">
        <f aca="false">IF(B55=2026,INDEX($C$3:$Q$3,1,B55-2025)*$AO$4*C55/MAX(0.0001,12-$AO$3),INDEX($C$3:$Q$3,1,B55-2025)/12)</f>
        <v>355.25</v>
      </c>
      <c r="I55" s="88" t="n">
        <f aca="false">$AO$6*INDEX($Y$3:$AB$3,1,B55-2026)/12</f>
        <v>173.725</v>
      </c>
      <c r="J55" s="88" t="n">
        <f aca="false">H55+J54</f>
        <v>2413.75342465753</v>
      </c>
      <c r="K55" s="88" t="n">
        <f aca="false">I55+K54</f>
        <v>1201.1</v>
      </c>
      <c r="L55" s="88" t="n">
        <f aca="false">MAX(L54,J55-K55)</f>
        <v>1212.65342465753</v>
      </c>
      <c r="M55" s="88" t="n">
        <f aca="false">L55-L54</f>
        <v>181.525</v>
      </c>
      <c r="N55" s="88" t="n">
        <f aca="false">IF(B55=2026,INDEX($C$4:$Q$4,1,B55-2025)*$AO$4*C55/MAX(0.0001,12-$AO$3),INDEX($C$4:$Q$4,1,B55-2025)/12)</f>
        <v>10.7700632578534</v>
      </c>
      <c r="O55" s="88" t="n">
        <f aca="false">$AO$6*INDEX($Y$4:$AB$4,1,B55-2026)/12</f>
        <v>8.91666666666667</v>
      </c>
      <c r="P55" s="88" t="n">
        <f aca="false">N55+P54</f>
        <v>73.1774161081543</v>
      </c>
      <c r="Q55" s="88" t="n">
        <f aca="false">O55+Q54</f>
        <v>60.3666666666667</v>
      </c>
      <c r="R55" s="88" t="n">
        <f aca="false">MAX(R54,P55-Q55)</f>
        <v>12.8107494414876</v>
      </c>
      <c r="S55" s="88" t="n">
        <f aca="false">R55-R54</f>
        <v>1.85339659118669</v>
      </c>
      <c r="T55" s="88" t="n">
        <f aca="false">IF(B55=2026,INDEX($C$5:$Q$5,1,B55-2025)*$AO$4*C55/MAX(0.0001,12-$AO$3),INDEX($C$5:$Q$5,1,B55-2025)/12)</f>
        <v>43.7734247619348</v>
      </c>
      <c r="U55" s="88" t="n">
        <f aca="false">$AO$6*INDEX($Y$5:$AB$5,1,B55-2026)/12</f>
        <v>25.5166666666667</v>
      </c>
      <c r="V55" s="88" t="n">
        <f aca="false">T55+V54</f>
        <v>297.4194339989</v>
      </c>
      <c r="W55" s="88" t="n">
        <f aca="false">U55+W54</f>
        <v>166.566666666667</v>
      </c>
      <c r="X55" s="88" t="n">
        <f aca="false">MAX(X54,V55-W55)</f>
        <v>130.852767332233</v>
      </c>
      <c r="Y55" s="88" t="n">
        <f aca="false">X55-X54</f>
        <v>18.2567580952681</v>
      </c>
      <c r="Z55" s="88" t="n">
        <f aca="false">IF(B55=2026,INDEX($C$6:$Q$6,1,B55-2025)*$AO$4*C55/MAX(0.0001,12-$AO$3),INDEX($C$6:$Q$6,1,B55-2025)/12)</f>
        <v>51.933610116259</v>
      </c>
      <c r="AA55" s="88" t="n">
        <f aca="false">$AO$6*INDEX($Y$6:$AB$6,1,B55-2026)/12</f>
        <v>38.6</v>
      </c>
      <c r="AB55" s="88" t="n">
        <f aca="false">Z55+AB54</f>
        <v>352.863981063897</v>
      </c>
      <c r="AC55" s="88" t="n">
        <f aca="false">AA55+AC54</f>
        <v>293.9</v>
      </c>
      <c r="AD55" s="88" t="n">
        <f aca="false">MAX(AD54,AB55-AC55)</f>
        <v>58.9639810638965</v>
      </c>
      <c r="AE55" s="88" t="n">
        <f aca="false">AD55-AD54</f>
        <v>13.333610116259</v>
      </c>
      <c r="AF55" s="88" t="n">
        <f aca="false">IF(B55=2026,INDEX($C$7:$Q$7,1,B55-2025)*$AO$4*C55/MAX(0.0001,12-$AO$3),INDEX($C$7:$Q$7,1,B55-2025)/12)</f>
        <v>45.11289896006</v>
      </c>
      <c r="AG55" s="88" t="n">
        <f aca="false">$AO$6*INDEX($Y$7:$AB$7,1,B55-2026)/12</f>
        <v>7.125</v>
      </c>
      <c r="AH55" s="88" t="n">
        <f aca="false">AF55+AH54</f>
        <v>306.520518961504</v>
      </c>
      <c r="AI55" s="88" t="n">
        <f aca="false">AG55+AI54</f>
        <v>42.3</v>
      </c>
      <c r="AJ55" s="88" t="n">
        <f aca="false">MAX(AJ54,AH55-AI55)</f>
        <v>264.220518961504</v>
      </c>
      <c r="AK55" s="88" t="n">
        <f aca="false">AJ55-AJ54</f>
        <v>37.98789896006</v>
      </c>
      <c r="AL55" s="88" t="n">
        <f aca="false">IF(B55=2026,INDEX($C$8:$Q$8,1,B55-2025)*$AO$4*C55/MAX(0.0001,12-$AO$3),INDEX($C$8:$Q$8,1,B55-2025)/12)</f>
        <v>11.4114321188341</v>
      </c>
      <c r="AM55" s="88" t="n">
        <f aca="false">$AO$6*INDEX($Y$8:$AB$8,1,B55-2026)/12</f>
        <v>1.65833333333333</v>
      </c>
      <c r="AN55" s="88" t="n">
        <f aca="false">AL55+AN54</f>
        <v>77.5352100129001</v>
      </c>
      <c r="AO55" s="88" t="n">
        <f aca="false">AM55+AO54</f>
        <v>12.7333333333333</v>
      </c>
      <c r="AP55" s="88" t="n">
        <f aca="false">MAX(AP54,AN55-AO55)</f>
        <v>64.8018766795667</v>
      </c>
      <c r="AQ55" s="88" t="n">
        <f aca="false">AP55-AP54</f>
        <v>9.75309878550075</v>
      </c>
      <c r="AR55" s="88" t="n">
        <f aca="false">IF(B55=2026,INDEX($C$9:$Q$9,1,B55-2025)*$AO$4*C55/MAX(0.0001,12-$AO$3),INDEX($C$9:$Q$9,1,B55-2025)/12)</f>
        <v>48.6576953186344</v>
      </c>
      <c r="AS55" s="88" t="n">
        <f aca="false">$AO$6*INDEX($Y$9:$AB$9,1,B55-2026)/12</f>
        <v>36.6416666666667</v>
      </c>
      <c r="AT55" s="88" t="n">
        <f aca="false">AR55+AT54</f>
        <v>330.605710658118</v>
      </c>
      <c r="AU55" s="88" t="n">
        <f aca="false">AS55+AU54</f>
        <v>254.966666666667</v>
      </c>
      <c r="AV55" s="88" t="n">
        <f aca="false">MAX(AV54,AT55-AU55)</f>
        <v>75.6390439914517</v>
      </c>
      <c r="AW55" s="88" t="n">
        <f aca="false">AV55-AV54</f>
        <v>12.0160286519677</v>
      </c>
      <c r="AX55" s="88" t="n">
        <f aca="false">IF(B55=2026,INDEX($C$10:$Q$10,1,B55-2025)*$AO$4*C55/MAX(0.0001,12-$AO$3),INDEX($C$10:$Q$10,1,B55-2025)/12)</f>
        <v>5.64404597663043</v>
      </c>
      <c r="AY55" s="88" t="n">
        <f aca="false">$AO$6*INDEX($Y$10:$AB$10,1,B55-2026)/12</f>
        <v>0</v>
      </c>
      <c r="AZ55" s="88" t="n">
        <f aca="false">AX55+AZ54</f>
        <v>38.3485863617629</v>
      </c>
      <c r="BA55" s="88" t="n">
        <f aca="false">AY55+BA54</f>
        <v>0</v>
      </c>
      <c r="BB55" s="88" t="n">
        <f aca="false">MAX(BB54,AZ55-BA55)</f>
        <v>38.3485863617629</v>
      </c>
      <c r="BC55" s="88" t="n">
        <f aca="false">BB55-BB54</f>
        <v>5.64404597663043</v>
      </c>
      <c r="BD55" s="88" t="n">
        <f aca="false">IF(B55=2026,INDEX($C$11:$Q$11,1,B55-2025)*$AO$4*C55/MAX(0.0001,12-$AO$3),INDEX($C$11:$Q$11,1,B55-2025)/12)</f>
        <v>28.0475536513497</v>
      </c>
      <c r="BE55" s="88" t="n">
        <f aca="false">$AO$6*INDEX($Y$11:$AB$11,1,B55-2026)/12</f>
        <v>7.61666666666667</v>
      </c>
      <c r="BF55" s="88" t="n">
        <f aca="false">BD55+BF54</f>
        <v>190.569679603691</v>
      </c>
      <c r="BG55" s="88" t="n">
        <f aca="false">BE55+BG54</f>
        <v>48.4666666666667</v>
      </c>
      <c r="BH55" s="88" t="n">
        <f aca="false">MAX(BH54,BF55-BG55)</f>
        <v>142.103012937024</v>
      </c>
      <c r="BI55" s="88" t="n">
        <f aca="false">BH55-BH54</f>
        <v>20.430886984683</v>
      </c>
      <c r="BJ55" s="88" t="n">
        <f aca="false">IF(B55=2026,INDEX($C$12:$Q$12,1,B55-2025)*$AO$4*C55/MAX(0.0001,12-$AO$3),INDEX($C$12:$Q$12,1,B55-2025)/12)</f>
        <v>15.3780518436687</v>
      </c>
      <c r="BK55" s="88" t="n">
        <f aca="false">$AO$6*INDEX($Y$12:$AB$12,1,B55-2026)/12</f>
        <v>3.4</v>
      </c>
      <c r="BL55" s="88" t="n">
        <f aca="false">BJ55+BL54</f>
        <v>104.486489239174</v>
      </c>
      <c r="BM55" s="88" t="n">
        <f aca="false">BK55+BM54</f>
        <v>17.3</v>
      </c>
      <c r="BN55" s="88" t="n">
        <f aca="false">MAX(BN54,BL55-BM55)</f>
        <v>87.186489239174</v>
      </c>
      <c r="BO55" s="88" t="n">
        <f aca="false">BN55-BN54</f>
        <v>11.9780518436688</v>
      </c>
      <c r="BP55" s="88" t="n">
        <f aca="false">IF(B55=2026,INDEX($C$13:$Q$13,1,B55-2025)*$AO$4*C55/MAX(0.0001,12-$AO$3),INDEX($C$13:$Q$13,1,B55-2025)/12)</f>
        <v>4.80560220169792</v>
      </c>
      <c r="BQ55" s="88" t="n">
        <f aca="false">$AO$6*INDEX($Y$13:$AB$13,1,B55-2026)/12</f>
        <v>0</v>
      </c>
      <c r="BR55" s="88" t="n">
        <f aca="false">BP55+BR54</f>
        <v>32.6517629046872</v>
      </c>
      <c r="BS55" s="88" t="n">
        <f aca="false">BQ55+BS54</f>
        <v>0</v>
      </c>
      <c r="BT55" s="88" t="n">
        <f aca="false">MAX(BT54,BR55-BS55)</f>
        <v>32.6517629046872</v>
      </c>
      <c r="BU55" s="88" t="n">
        <f aca="false">BT55-BT54</f>
        <v>4.80560220169792</v>
      </c>
      <c r="BV55" s="88" t="n">
        <f aca="false">IF(B55=2026,INDEX($C$14:$Q$14,1,B55-2025)*$AO$4*C55/MAX(0.0001,12-$AO$3),INDEX($C$14:$Q$14,1,B55-2025)/12)</f>
        <v>2.85021923686911</v>
      </c>
      <c r="BW55" s="88" t="n">
        <f aca="false">$AO$6*INDEX($Y$14:$AB$14,1,B55-2026)/12</f>
        <v>0</v>
      </c>
      <c r="BX55" s="88" t="n">
        <f aca="false">BV55+BX54</f>
        <v>19.3658731710559</v>
      </c>
      <c r="BY55" s="88" t="n">
        <f aca="false">BW55+BY54</f>
        <v>0</v>
      </c>
      <c r="BZ55" s="88" t="n">
        <f aca="false">MAX(BZ54,BX55-BY55)</f>
        <v>19.3658731710559</v>
      </c>
      <c r="CA55" s="88" t="n">
        <f aca="false">BZ55-BZ54</f>
        <v>2.85021923686911</v>
      </c>
      <c r="CB55" s="88" t="n">
        <f aca="false">IF(B55=2026,INDEX($C$15:$Q$15,1,B55-2025)*$AO$4*C55/MAX(0.0001,12-$AO$3),INDEX($C$15:$Q$15,1,B55-2025)/12)</f>
        <v>4.67303386509936</v>
      </c>
      <c r="CC55" s="88" t="n">
        <f aca="false">$AO$6*INDEX($Y$15:$AB$15,1,B55-2026)/12</f>
        <v>4.73333333333333</v>
      </c>
      <c r="CD55" s="88" t="n">
        <f aca="false">CB55+CD54</f>
        <v>31.7510246176614</v>
      </c>
      <c r="CE55" s="88" t="n">
        <f aca="false">CC55+CE54</f>
        <v>36.1333333333333</v>
      </c>
      <c r="CF55" s="88" t="n">
        <f aca="false">MAX(CF54,CD55-CE55)</f>
        <v>0</v>
      </c>
      <c r="CG55" s="88" t="n">
        <f aca="false">CF55-CF54</f>
        <v>0</v>
      </c>
      <c r="CH55" s="88" t="n">
        <f aca="false">IF(B55=2026,INDEX($C$16:$Q$16,1,B55-2025)*$AO$4*C55/MAX(0.0001,12-$AO$3),INDEX($C$16:$Q$16,1,B55-2025)/12)</f>
        <v>3.69534238268495</v>
      </c>
      <c r="CI55" s="88" t="n">
        <f aca="false">$AO$6*INDEX($Y$16:$AB$16,1,B55-2026)/12</f>
        <v>4.9</v>
      </c>
      <c r="CJ55" s="88" t="n">
        <f aca="false">CH55+CJ54</f>
        <v>25.1080797508457</v>
      </c>
      <c r="CK55" s="88" t="n">
        <f aca="false">CI55+CK54</f>
        <v>20.8</v>
      </c>
      <c r="CL55" s="88" t="n">
        <f aca="false">MAX(CL54,CJ55-CK55)</f>
        <v>9.12671022010589</v>
      </c>
      <c r="CM55" s="88" t="n">
        <f aca="false">CL55-CL54</f>
        <v>0</v>
      </c>
      <c r="CN55" s="88" t="n">
        <f aca="false">IF(B55=2026,INDEX($C$17:$Q$17,1,B55-2025)*$AO$4*C55/MAX(0.0001,12-$AO$3),INDEX($C$17:$Q$17,1,B55-2025)/12)</f>
        <v>16.0904818546506</v>
      </c>
      <c r="CO55" s="88" t="n">
        <f aca="false">$AO$6*INDEX($Y$17:$AB$17,1,B55-2026)/12</f>
        <v>10.6083333333333</v>
      </c>
      <c r="CP55" s="88" t="n">
        <f aca="false">CN55+CP54</f>
        <v>109.327109587763</v>
      </c>
      <c r="CQ55" s="88" t="n">
        <f aca="false">CO55+CQ54</f>
        <v>81.1333333333333</v>
      </c>
      <c r="CR55" s="88" t="n">
        <f aca="false">MAX(CR54,CP55-CQ55)</f>
        <v>28.1937762544298</v>
      </c>
      <c r="CS55" s="88" t="n">
        <f aca="false">CR55-CR54</f>
        <v>5.48214852131729</v>
      </c>
      <c r="CT55" s="88" t="n">
        <f aca="false">IF(B55=2026,INDEX($C$18:$Q$18,1,B55-2025)*$AO$4*C55/MAX(0.0001,12-$AO$3),INDEX($C$18:$Q$18,1,B55-2025)/12)</f>
        <v>3.34735049911372</v>
      </c>
      <c r="CU55" s="88" t="n">
        <f aca="false">$AO$6*INDEX($Y$18:$AB$18,1,B55-2026)/12</f>
        <v>0.7</v>
      </c>
      <c r="CV55" s="88" t="n">
        <f aca="false">CT55+CV54</f>
        <v>22.7436417474028</v>
      </c>
      <c r="CW55" s="88" t="n">
        <f aca="false">CU55+CW54</f>
        <v>5.4</v>
      </c>
      <c r="CX55" s="88" t="n">
        <f aca="false">MAX(CX54,CV55-CW55)</f>
        <v>17.3436417474028</v>
      </c>
      <c r="CY55" s="88" t="n">
        <f aca="false">CX55-CX54</f>
        <v>2.64735049911372</v>
      </c>
      <c r="CZ55" s="88" t="n">
        <f aca="false">IF(B55=2026,INDEX($C$19:$Q$19,1,B55-2025)*$AO$4*C55/MAX(0.0001,12-$AO$3),INDEX($C$19:$Q$19,1,B55-2025)/12)</f>
        <v>3.31420841496408</v>
      </c>
      <c r="DA55" s="88" t="n">
        <f aca="false">$AO$6*INDEX($Y$19:$AB$19,1,B55-2026)/12</f>
        <v>0.891666666666667</v>
      </c>
      <c r="DB55" s="88" t="n">
        <f aca="false">CZ55+DB54</f>
        <v>22.5184571756464</v>
      </c>
      <c r="DC55" s="88" t="n">
        <f aca="false">DA55+DC54</f>
        <v>4.76666666666667</v>
      </c>
      <c r="DD55" s="88" t="n">
        <f aca="false">MAX(DD54,DB55-DC55)</f>
        <v>17.7517905089797</v>
      </c>
      <c r="DE55" s="88" t="n">
        <f aca="false">DD55-DD54</f>
        <v>2.42254174829742</v>
      </c>
      <c r="DF55" s="88" t="n">
        <f aca="false">IF(B55=2026,INDEX($C$20:$Q$20,1,B55-2025)*$AO$4*C55/MAX(0.0001,12-$AO$3),INDEX($C$20:$Q$20,1,B55-2025)/12)</f>
        <v>2.70107985819573</v>
      </c>
      <c r="DG55" s="88" t="n">
        <f aca="false">$AO$6*INDEX($Y$20:$AB$20,1,B55-2026)/12</f>
        <v>0</v>
      </c>
      <c r="DH55" s="88" t="n">
        <f aca="false">DF55+DH54</f>
        <v>18.3525425981518</v>
      </c>
      <c r="DI55" s="88" t="n">
        <f aca="false">DG55+DI54</f>
        <v>0</v>
      </c>
      <c r="DJ55" s="88" t="n">
        <f aca="false">MAX(DJ54,DH55-DI55)</f>
        <v>18.3525425981518</v>
      </c>
      <c r="DK55" s="88" t="n">
        <f aca="false">DJ55-DJ54</f>
        <v>2.70107985819573</v>
      </c>
      <c r="DL55" s="88" t="n">
        <f aca="false">IF(B55=2026,INDEX($C$21:$Q$21,1,B55-2025)*$AO$4*C55/MAX(0.0001,12-$AO$3),INDEX($C$21:$Q$21,1,B55-2025)/12)</f>
        <v>1.88909879652953</v>
      </c>
      <c r="DM55" s="88" t="n">
        <f aca="false">$AO$6*INDEX($Y$21:$AB$21,1,B55-2026)/12</f>
        <v>0.85</v>
      </c>
      <c r="DN55" s="88" t="n">
        <f aca="false">DL55+DN54</f>
        <v>12.8355205901184</v>
      </c>
      <c r="DO55" s="88" t="n">
        <f aca="false">DM55+DO54</f>
        <v>3.4</v>
      </c>
      <c r="DP55" s="88" t="n">
        <f aca="false">MAX(DP54,DN55-DO55)</f>
        <v>9.43552059011843</v>
      </c>
      <c r="DQ55" s="88" t="n">
        <f aca="false">DP55-DP54</f>
        <v>1.03909879652953</v>
      </c>
      <c r="DR55" s="88" t="n">
        <f aca="false">IF(B55=2026,INDEX($C$22:$Q$22,1,B55-2025)*$AO$4*C55/MAX(0.0001,12-$AO$3),INDEX($C$22:$Q$22,1,B55-2025)/12)</f>
        <v>1.47482274465902</v>
      </c>
      <c r="DS55" s="88" t="n">
        <f aca="false">$AO$6*INDEX($Y$22:$AB$22,1,B55-2026)/12</f>
        <v>1.125</v>
      </c>
      <c r="DT55" s="88" t="n">
        <f aca="false">DR55+DT54</f>
        <v>10.0207134431626</v>
      </c>
      <c r="DU55" s="88" t="n">
        <f aca="false">DS55+DU54</f>
        <v>7.6</v>
      </c>
      <c r="DV55" s="88" t="n">
        <f aca="false">MAX(DV54,DT55-DU55)</f>
        <v>2.42071344316263</v>
      </c>
      <c r="DW55" s="88" t="n">
        <f aca="false">DV55-DV54</f>
        <v>0.349822744659017</v>
      </c>
      <c r="DX55" s="88" t="n">
        <f aca="false">IF(B55=2026,INDEX($C$23:$Q$23,1,B55-2025)*$AO$4*C55/MAX(0.0001,12-$AO$3),INDEX($C$23:$Q$23,1,B55-2025)/12)</f>
        <v>2.36965901669932</v>
      </c>
      <c r="DY55" s="88" t="n">
        <f aca="false">$AO$6*INDEX($Y$23:$AB$23,1,B55-2026)/12</f>
        <v>0</v>
      </c>
      <c r="DZ55" s="88" t="n">
        <f aca="false">DX55+DZ54</f>
        <v>16.1006968805872</v>
      </c>
      <c r="EA55" s="88" t="n">
        <f aca="false">DY55+EA54</f>
        <v>0</v>
      </c>
      <c r="EB55" s="88" t="n">
        <f aca="false">MAX(EB54,DZ55-EA55)</f>
        <v>16.1006968805872</v>
      </c>
      <c r="EC55" s="88" t="n">
        <f aca="false">EB55-EB54</f>
        <v>2.36965901669932</v>
      </c>
      <c r="ED55" s="88" t="n">
        <f aca="false">IF(B55=2026,INDEX($C$24:$Q$24,1,B55-2025)*$AO$4*C55/MAX(0.0001,12-$AO$3),INDEX($C$24:$Q$24,1,B55-2025)/12)</f>
        <v>1.4582517025842</v>
      </c>
      <c r="EE55" s="88" t="n">
        <f aca="false">$AO$6*INDEX($Y$24:$AB$24,1,B55-2026)/12</f>
        <v>0</v>
      </c>
      <c r="EF55" s="88" t="n">
        <f aca="false">ED55+EF54</f>
        <v>9.9081211572844</v>
      </c>
      <c r="EG55" s="88" t="n">
        <f aca="false">EE55+EG54</f>
        <v>0</v>
      </c>
      <c r="EH55" s="88" t="n">
        <f aca="false">MAX(EH54,EF55-EG55)</f>
        <v>9.9081211572844</v>
      </c>
      <c r="EI55" s="88" t="n">
        <f aca="false">EH55-EH54</f>
        <v>1.4582517025842</v>
      </c>
      <c r="EJ55" s="88" t="n">
        <f aca="false">IF(B55=2026,INDEX($C$25:$Q$25,1,B55-2025)*$AO$4*C55/MAX(0.0001,12-$AO$3),INDEX($C$25:$Q$25,1,B55-2025)/12)</f>
        <v>1.85595671237989</v>
      </c>
      <c r="EK55" s="88" t="n">
        <f aca="false">$AO$6*INDEX($Y$25:$AB$25,1,B55-2026)/12</f>
        <v>0.891666666666667</v>
      </c>
      <c r="EL55" s="88" t="n">
        <f aca="false">EJ55+EL54</f>
        <v>12.610336018362</v>
      </c>
      <c r="EM55" s="88" t="n">
        <f aca="false">EK55+EM54</f>
        <v>6.86666666666667</v>
      </c>
      <c r="EN55" s="88" t="n">
        <f aca="false">MAX(EN54,EL55-EM55)</f>
        <v>5.7436693516953</v>
      </c>
      <c r="EO55" s="88" t="n">
        <f aca="false">EN55-EN54</f>
        <v>0.964290045713219</v>
      </c>
      <c r="EP55" s="88" t="n">
        <f aca="false">IF(B55=2026,INDEX($C$26:$Q$26,1,B55-2025)*$AO$4*C55/MAX(0.0001,12-$AO$3),INDEX($C$26:$Q$26,1,B55-2025)/12)</f>
        <v>2.66793777404609</v>
      </c>
      <c r="EQ55" s="88" t="n">
        <f aca="false">$AO$6*INDEX($Y$26:$AB$26,1,B55-2026)/12</f>
        <v>0.308333333333333</v>
      </c>
      <c r="ER55" s="88" t="n">
        <f aca="false">EP55+ER54</f>
        <v>18.1273580263953</v>
      </c>
      <c r="ES55" s="88" t="n">
        <f aca="false">EQ55+ES54</f>
        <v>1.23333333333333</v>
      </c>
      <c r="ET55" s="88" t="n">
        <f aca="false">MAX(ET54,ER55-ES55)</f>
        <v>16.894024693062</v>
      </c>
      <c r="EU55" s="88" t="n">
        <f aca="false">ET55-ET54</f>
        <v>2.35960444071275</v>
      </c>
      <c r="EV55" s="88" t="n">
        <f aca="false">IF(B55=2026,INDEX($C$27:$Q$27,1,B55-2025)*$AO$4*C55/MAX(0.0001,12-$AO$3),INDEX($C$27:$Q$27,1,B55-2025)/12)</f>
        <v>6.62841682992816</v>
      </c>
      <c r="EW55" s="88" t="n">
        <f aca="false">$AO$6*INDEX($Y$27:$AB$27,1,B55-2026)/12</f>
        <v>12.4166666666667</v>
      </c>
      <c r="EX55" s="88" t="n">
        <f aca="false">EV55+EX54</f>
        <v>45.0369143512927</v>
      </c>
      <c r="EY55" s="88" t="n">
        <f aca="false">EW55+EY54</f>
        <v>85.7666666666667</v>
      </c>
      <c r="EZ55" s="88" t="n">
        <f aca="false">MAX(EZ54,EX55-EY55)</f>
        <v>0</v>
      </c>
      <c r="FA55" s="88" t="n">
        <f aca="false">EZ55-EZ54</f>
        <v>0</v>
      </c>
      <c r="FB55" s="88" t="n">
        <f aca="false">IF(B55=2026,INDEX($C$28:$Q$28,1,B55-2025)*$AO$4*C55/MAX(0.0001,12-$AO$3),INDEX($C$28:$Q$28,1,B55-2025)/12)</f>
        <v>34.6997621046739</v>
      </c>
      <c r="FC55" s="88" t="n">
        <f aca="false">$AO$6*INDEX($Y$28:$AB$28,1,B55-2026)/12</f>
        <v>6.825</v>
      </c>
      <c r="FD55" s="88" t="n">
        <f aca="false">FB55+FD54</f>
        <v>235.768246629017</v>
      </c>
      <c r="FE55" s="88" t="n">
        <f aca="false">FC55+FE54</f>
        <v>51.4</v>
      </c>
      <c r="FF55" s="88" t="n">
        <f aca="false">MAX(FF54,FD55-FE55)</f>
        <v>184.368246629017</v>
      </c>
      <c r="FG55" s="88" t="n">
        <f aca="false">FF55-FF54</f>
        <v>27.8747621046739</v>
      </c>
    </row>
    <row r="56" customFormat="false" ht="15" hidden="false" customHeight="false" outlineLevel="0" collapsed="false">
      <c r="A56" s="0" t="n">
        <v>16</v>
      </c>
      <c r="B56" s="88" t="n">
        <f aca="false">2026+INT(A56/12)</f>
        <v>2027</v>
      </c>
      <c r="C56" s="88" t="n">
        <f aca="false">MAX(0,MIN(1,A56+1-$AO$3))</f>
        <v>1</v>
      </c>
      <c r="D56" s="88" t="n">
        <f aca="false">IF((A56+0.5-(0))&lt;$AO$3,0,2026+INT((A56+0.5-(0))/12))</f>
        <v>2027</v>
      </c>
      <c r="E56" s="88" t="n">
        <f aca="false">IF((A56+0.5-($AO$9))&lt;$AO$3,0,2026+INT((A56+0.5-($AO$9))/12))</f>
        <v>0</v>
      </c>
      <c r="F56" s="88" t="n">
        <f aca="false">IF((A56+0.5-($AO$9+$AO$8))&lt;$AO$3,0,2026+INT((A56+0.5-($AO$9+$AO$8))/12))</f>
        <v>0</v>
      </c>
      <c r="G56" s="88" t="n">
        <f aca="false">IF((A56+0.5-($AO$9+$AO$8+$AO$7))&lt;$AO$3,0,2026+INT((A56+0.5-($AO$9+$AO$8+$AO$7))/12))</f>
        <v>0</v>
      </c>
      <c r="H56" s="88" t="n">
        <f aca="false">IF(B56=2026,INDEX($C$3:$Q$3,1,B56-2025)*$AO$4*C56/MAX(0.0001,12-$AO$3),INDEX($C$3:$Q$3,1,B56-2025)/12)</f>
        <v>355.25</v>
      </c>
      <c r="I56" s="88" t="n">
        <f aca="false">$AO$6*INDEX($Y$3:$AB$3,1,B56-2026)/12</f>
        <v>173.725</v>
      </c>
      <c r="J56" s="88" t="n">
        <f aca="false">H56+J55</f>
        <v>2769.00342465753</v>
      </c>
      <c r="K56" s="88" t="n">
        <f aca="false">I56+K55</f>
        <v>1374.825</v>
      </c>
      <c r="L56" s="88" t="n">
        <f aca="false">MAX(L55,J56-K56)</f>
        <v>1394.17842465753</v>
      </c>
      <c r="M56" s="88" t="n">
        <f aca="false">L56-L55</f>
        <v>181.525</v>
      </c>
      <c r="N56" s="88" t="n">
        <f aca="false">IF(B56=2026,INDEX($C$4:$Q$4,1,B56-2025)*$AO$4*C56/MAX(0.0001,12-$AO$3),INDEX($C$4:$Q$4,1,B56-2025)/12)</f>
        <v>10.7700632578534</v>
      </c>
      <c r="O56" s="88" t="n">
        <f aca="false">$AO$6*INDEX($Y$4:$AB$4,1,B56-2026)/12</f>
        <v>8.91666666666667</v>
      </c>
      <c r="P56" s="88" t="n">
        <f aca="false">N56+P55</f>
        <v>83.9474793660076</v>
      </c>
      <c r="Q56" s="88" t="n">
        <f aca="false">O56+Q55</f>
        <v>69.2833333333333</v>
      </c>
      <c r="R56" s="88" t="n">
        <f aca="false">MAX(R55,P56-Q56)</f>
        <v>14.6641460326743</v>
      </c>
      <c r="S56" s="88" t="n">
        <f aca="false">R56-R55</f>
        <v>1.85339659118668</v>
      </c>
      <c r="T56" s="88" t="n">
        <f aca="false">IF(B56=2026,INDEX($C$5:$Q$5,1,B56-2025)*$AO$4*C56/MAX(0.0001,12-$AO$3),INDEX($C$5:$Q$5,1,B56-2025)/12)</f>
        <v>43.7734247619348</v>
      </c>
      <c r="U56" s="88" t="n">
        <f aca="false">$AO$6*INDEX($Y$5:$AB$5,1,B56-2026)/12</f>
        <v>25.5166666666667</v>
      </c>
      <c r="V56" s="88" t="n">
        <f aca="false">T56+V55</f>
        <v>341.192858760834</v>
      </c>
      <c r="W56" s="88" t="n">
        <f aca="false">U56+W55</f>
        <v>192.083333333333</v>
      </c>
      <c r="X56" s="88" t="n">
        <f aca="false">MAX(X55,V56-W56)</f>
        <v>149.109525427501</v>
      </c>
      <c r="Y56" s="88" t="n">
        <f aca="false">X56-X55</f>
        <v>18.2567580952681</v>
      </c>
      <c r="Z56" s="88" t="n">
        <f aca="false">IF(B56=2026,INDEX($C$6:$Q$6,1,B56-2025)*$AO$4*C56/MAX(0.0001,12-$AO$3),INDEX($C$6:$Q$6,1,B56-2025)/12)</f>
        <v>51.933610116259</v>
      </c>
      <c r="AA56" s="88" t="n">
        <f aca="false">$AO$6*INDEX($Y$6:$AB$6,1,B56-2026)/12</f>
        <v>38.6</v>
      </c>
      <c r="AB56" s="88" t="n">
        <f aca="false">Z56+AB55</f>
        <v>404.797591180155</v>
      </c>
      <c r="AC56" s="88" t="n">
        <f aca="false">AA56+AC55</f>
        <v>332.5</v>
      </c>
      <c r="AD56" s="88" t="n">
        <f aca="false">MAX(AD55,AB56-AC56)</f>
        <v>72.2975911801555</v>
      </c>
      <c r="AE56" s="88" t="n">
        <f aca="false">AD56-AD55</f>
        <v>13.3336101162589</v>
      </c>
      <c r="AF56" s="88" t="n">
        <f aca="false">IF(B56=2026,INDEX($C$7:$Q$7,1,B56-2025)*$AO$4*C56/MAX(0.0001,12-$AO$3),INDEX($C$7:$Q$7,1,B56-2025)/12)</f>
        <v>45.11289896006</v>
      </c>
      <c r="AG56" s="88" t="n">
        <f aca="false">$AO$6*INDEX($Y$7:$AB$7,1,B56-2026)/12</f>
        <v>7.125</v>
      </c>
      <c r="AH56" s="88" t="n">
        <f aca="false">AF56+AH55</f>
        <v>351.633417921564</v>
      </c>
      <c r="AI56" s="88" t="n">
        <f aca="false">AG56+AI55</f>
        <v>49.425</v>
      </c>
      <c r="AJ56" s="88" t="n">
        <f aca="false">MAX(AJ55,AH56-AI56)</f>
        <v>302.208417921563</v>
      </c>
      <c r="AK56" s="88" t="n">
        <f aca="false">AJ56-AJ55</f>
        <v>37.98789896006</v>
      </c>
      <c r="AL56" s="88" t="n">
        <f aca="false">IF(B56=2026,INDEX($C$8:$Q$8,1,B56-2025)*$AO$4*C56/MAX(0.0001,12-$AO$3),INDEX($C$8:$Q$8,1,B56-2025)/12)</f>
        <v>11.4114321188341</v>
      </c>
      <c r="AM56" s="88" t="n">
        <f aca="false">$AO$6*INDEX($Y$8:$AB$8,1,B56-2026)/12</f>
        <v>1.65833333333333</v>
      </c>
      <c r="AN56" s="88" t="n">
        <f aca="false">AL56+AN55</f>
        <v>88.9466421317341</v>
      </c>
      <c r="AO56" s="88" t="n">
        <f aca="false">AM56+AO55</f>
        <v>14.3916666666667</v>
      </c>
      <c r="AP56" s="88" t="n">
        <f aca="false">MAX(AP55,AN56-AO56)</f>
        <v>74.5549754650675</v>
      </c>
      <c r="AQ56" s="88" t="n">
        <f aca="false">AP56-AP55</f>
        <v>9.75309878550075</v>
      </c>
      <c r="AR56" s="88" t="n">
        <f aca="false">IF(B56=2026,INDEX($C$9:$Q$9,1,B56-2025)*$AO$4*C56/MAX(0.0001,12-$AO$3),INDEX($C$9:$Q$9,1,B56-2025)/12)</f>
        <v>48.6576953186344</v>
      </c>
      <c r="AS56" s="88" t="n">
        <f aca="false">$AO$6*INDEX($Y$9:$AB$9,1,B56-2026)/12</f>
        <v>36.6416666666667</v>
      </c>
      <c r="AT56" s="88" t="n">
        <f aca="false">AR56+AT55</f>
        <v>379.263405976753</v>
      </c>
      <c r="AU56" s="88" t="n">
        <f aca="false">AS56+AU55</f>
        <v>291.608333333333</v>
      </c>
      <c r="AV56" s="88" t="n">
        <f aca="false">MAX(AV55,AT56-AU56)</f>
        <v>87.6550726434194</v>
      </c>
      <c r="AW56" s="88" t="n">
        <f aca="false">AV56-AV55</f>
        <v>12.0160286519677</v>
      </c>
      <c r="AX56" s="88" t="n">
        <f aca="false">IF(B56=2026,INDEX($C$10:$Q$10,1,B56-2025)*$AO$4*C56/MAX(0.0001,12-$AO$3),INDEX($C$10:$Q$10,1,B56-2025)/12)</f>
        <v>5.64404597663043</v>
      </c>
      <c r="AY56" s="88" t="n">
        <f aca="false">$AO$6*INDEX($Y$10:$AB$10,1,B56-2026)/12</f>
        <v>0</v>
      </c>
      <c r="AZ56" s="88" t="n">
        <f aca="false">AX56+AZ55</f>
        <v>43.9926323383934</v>
      </c>
      <c r="BA56" s="88" t="n">
        <f aca="false">AY56+BA55</f>
        <v>0</v>
      </c>
      <c r="BB56" s="88" t="n">
        <f aca="false">MAX(BB55,AZ56-BA56)</f>
        <v>43.9926323383934</v>
      </c>
      <c r="BC56" s="88" t="n">
        <f aca="false">BB56-BB55</f>
        <v>5.64404597663043</v>
      </c>
      <c r="BD56" s="88" t="n">
        <f aca="false">IF(B56=2026,INDEX($C$11:$Q$11,1,B56-2025)*$AO$4*C56/MAX(0.0001,12-$AO$3),INDEX($C$11:$Q$11,1,B56-2025)/12)</f>
        <v>28.0475536513497</v>
      </c>
      <c r="BE56" s="88" t="n">
        <f aca="false">$AO$6*INDEX($Y$11:$AB$11,1,B56-2026)/12</f>
        <v>7.61666666666667</v>
      </c>
      <c r="BF56" s="88" t="n">
        <f aca="false">BD56+BF55</f>
        <v>218.617233255041</v>
      </c>
      <c r="BG56" s="88" t="n">
        <f aca="false">BE56+BG55</f>
        <v>56.0833333333333</v>
      </c>
      <c r="BH56" s="88" t="n">
        <f aca="false">MAX(BH55,BF56-BG56)</f>
        <v>162.533899921707</v>
      </c>
      <c r="BI56" s="88" t="n">
        <f aca="false">BH56-BH55</f>
        <v>20.430886984683</v>
      </c>
      <c r="BJ56" s="88" t="n">
        <f aca="false">IF(B56=2026,INDEX($C$12:$Q$12,1,B56-2025)*$AO$4*C56/MAX(0.0001,12-$AO$3),INDEX($C$12:$Q$12,1,B56-2025)/12)</f>
        <v>15.3780518436687</v>
      </c>
      <c r="BK56" s="88" t="n">
        <f aca="false">$AO$6*INDEX($Y$12:$AB$12,1,B56-2026)/12</f>
        <v>3.4</v>
      </c>
      <c r="BL56" s="88" t="n">
        <f aca="false">BJ56+BL55</f>
        <v>119.864541082843</v>
      </c>
      <c r="BM56" s="88" t="n">
        <f aca="false">BK56+BM55</f>
        <v>20.7</v>
      </c>
      <c r="BN56" s="88" t="n">
        <f aca="false">MAX(BN55,BL56-BM56)</f>
        <v>99.1645410828427</v>
      </c>
      <c r="BO56" s="88" t="n">
        <f aca="false">BN56-BN55</f>
        <v>11.9780518436687</v>
      </c>
      <c r="BP56" s="88" t="n">
        <f aca="false">IF(B56=2026,INDEX($C$13:$Q$13,1,B56-2025)*$AO$4*C56/MAX(0.0001,12-$AO$3),INDEX($C$13:$Q$13,1,B56-2025)/12)</f>
        <v>4.80560220169792</v>
      </c>
      <c r="BQ56" s="88" t="n">
        <f aca="false">$AO$6*INDEX($Y$13:$AB$13,1,B56-2026)/12</f>
        <v>0</v>
      </c>
      <c r="BR56" s="88" t="n">
        <f aca="false">BP56+BR55</f>
        <v>37.4573651063852</v>
      </c>
      <c r="BS56" s="88" t="n">
        <f aca="false">BQ56+BS55</f>
        <v>0</v>
      </c>
      <c r="BT56" s="88" t="n">
        <f aca="false">MAX(BT55,BR56-BS56)</f>
        <v>37.4573651063852</v>
      </c>
      <c r="BU56" s="88" t="n">
        <f aca="false">BT56-BT55</f>
        <v>4.80560220169792</v>
      </c>
      <c r="BV56" s="88" t="n">
        <f aca="false">IF(B56=2026,INDEX($C$14:$Q$14,1,B56-2025)*$AO$4*C56/MAX(0.0001,12-$AO$3),INDEX($C$14:$Q$14,1,B56-2025)/12)</f>
        <v>2.85021923686911</v>
      </c>
      <c r="BW56" s="88" t="n">
        <f aca="false">$AO$6*INDEX($Y$14:$AB$14,1,B56-2026)/12</f>
        <v>0</v>
      </c>
      <c r="BX56" s="88" t="n">
        <f aca="false">BV56+BX55</f>
        <v>22.216092407925</v>
      </c>
      <c r="BY56" s="88" t="n">
        <f aca="false">BW56+BY55</f>
        <v>0</v>
      </c>
      <c r="BZ56" s="88" t="n">
        <f aca="false">MAX(BZ55,BX56-BY56)</f>
        <v>22.216092407925</v>
      </c>
      <c r="CA56" s="88" t="n">
        <f aca="false">BZ56-BZ55</f>
        <v>2.85021923686911</v>
      </c>
      <c r="CB56" s="88" t="n">
        <f aca="false">IF(B56=2026,INDEX($C$15:$Q$15,1,B56-2025)*$AO$4*C56/MAX(0.0001,12-$AO$3),INDEX($C$15:$Q$15,1,B56-2025)/12)</f>
        <v>4.67303386509936</v>
      </c>
      <c r="CC56" s="88" t="n">
        <f aca="false">$AO$6*INDEX($Y$15:$AB$15,1,B56-2026)/12</f>
        <v>4.73333333333333</v>
      </c>
      <c r="CD56" s="88" t="n">
        <f aca="false">CB56+CD55</f>
        <v>36.4240584827607</v>
      </c>
      <c r="CE56" s="88" t="n">
        <f aca="false">CC56+CE55</f>
        <v>40.8666666666667</v>
      </c>
      <c r="CF56" s="88" t="n">
        <f aca="false">MAX(CF55,CD56-CE56)</f>
        <v>0</v>
      </c>
      <c r="CG56" s="88" t="n">
        <f aca="false">CF56-CF55</f>
        <v>0</v>
      </c>
      <c r="CH56" s="88" t="n">
        <f aca="false">IF(B56=2026,INDEX($C$16:$Q$16,1,B56-2025)*$AO$4*C56/MAX(0.0001,12-$AO$3),INDEX($C$16:$Q$16,1,B56-2025)/12)</f>
        <v>3.69534238268495</v>
      </c>
      <c r="CI56" s="88" t="n">
        <f aca="false">$AO$6*INDEX($Y$16:$AB$16,1,B56-2026)/12</f>
        <v>4.9</v>
      </c>
      <c r="CJ56" s="88" t="n">
        <f aca="false">CH56+CJ55</f>
        <v>28.8034221335307</v>
      </c>
      <c r="CK56" s="88" t="n">
        <f aca="false">CI56+CK55</f>
        <v>25.7</v>
      </c>
      <c r="CL56" s="88" t="n">
        <f aca="false">MAX(CL55,CJ56-CK56)</f>
        <v>9.12671022010589</v>
      </c>
      <c r="CM56" s="88" t="n">
        <f aca="false">CL56-CL55</f>
        <v>0</v>
      </c>
      <c r="CN56" s="88" t="n">
        <f aca="false">IF(B56=2026,INDEX($C$17:$Q$17,1,B56-2025)*$AO$4*C56/MAX(0.0001,12-$AO$3),INDEX($C$17:$Q$17,1,B56-2025)/12)</f>
        <v>16.0904818546506</v>
      </c>
      <c r="CO56" s="88" t="n">
        <f aca="false">$AO$6*INDEX($Y$17:$AB$17,1,B56-2026)/12</f>
        <v>10.6083333333333</v>
      </c>
      <c r="CP56" s="88" t="n">
        <f aca="false">CN56+CP55</f>
        <v>125.417591442414</v>
      </c>
      <c r="CQ56" s="88" t="n">
        <f aca="false">CO56+CQ55</f>
        <v>91.7416666666667</v>
      </c>
      <c r="CR56" s="88" t="n">
        <f aca="false">MAX(CR55,CP56-CQ56)</f>
        <v>33.6759247757471</v>
      </c>
      <c r="CS56" s="88" t="n">
        <f aca="false">CR56-CR55</f>
        <v>5.48214852131729</v>
      </c>
      <c r="CT56" s="88" t="n">
        <f aca="false">IF(B56=2026,INDEX($C$18:$Q$18,1,B56-2025)*$AO$4*C56/MAX(0.0001,12-$AO$3),INDEX($C$18:$Q$18,1,B56-2025)/12)</f>
        <v>3.34735049911372</v>
      </c>
      <c r="CU56" s="88" t="n">
        <f aca="false">$AO$6*INDEX($Y$18:$AB$18,1,B56-2026)/12</f>
        <v>0.7</v>
      </c>
      <c r="CV56" s="88" t="n">
        <f aca="false">CT56+CV55</f>
        <v>26.0909922465166</v>
      </c>
      <c r="CW56" s="88" t="n">
        <f aca="false">CU56+CW55</f>
        <v>6.1</v>
      </c>
      <c r="CX56" s="88" t="n">
        <f aca="false">MAX(CX55,CV56-CW56)</f>
        <v>19.9909922465166</v>
      </c>
      <c r="CY56" s="88" t="n">
        <f aca="false">CX56-CX55</f>
        <v>2.64735049911372</v>
      </c>
      <c r="CZ56" s="88" t="n">
        <f aca="false">IF(B56=2026,INDEX($C$19:$Q$19,1,B56-2025)*$AO$4*C56/MAX(0.0001,12-$AO$3),INDEX($C$19:$Q$19,1,B56-2025)/12)</f>
        <v>3.31420841496408</v>
      </c>
      <c r="DA56" s="88" t="n">
        <f aca="false">$AO$6*INDEX($Y$19:$AB$19,1,B56-2026)/12</f>
        <v>0.891666666666667</v>
      </c>
      <c r="DB56" s="88" t="n">
        <f aca="false">CZ56+DB55</f>
        <v>25.8326655906104</v>
      </c>
      <c r="DC56" s="88" t="n">
        <f aca="false">DA56+DC55</f>
        <v>5.65833333333333</v>
      </c>
      <c r="DD56" s="88" t="n">
        <f aca="false">MAX(DD55,DB56-DC56)</f>
        <v>20.1743322572771</v>
      </c>
      <c r="DE56" s="88" t="n">
        <f aca="false">DD56-DD55</f>
        <v>2.42254174829742</v>
      </c>
      <c r="DF56" s="88" t="n">
        <f aca="false">IF(B56=2026,INDEX($C$20:$Q$20,1,B56-2025)*$AO$4*C56/MAX(0.0001,12-$AO$3),INDEX($C$20:$Q$20,1,B56-2025)/12)</f>
        <v>2.70107985819573</v>
      </c>
      <c r="DG56" s="88" t="n">
        <f aca="false">$AO$6*INDEX($Y$20:$AB$20,1,B56-2026)/12</f>
        <v>0</v>
      </c>
      <c r="DH56" s="88" t="n">
        <f aca="false">DF56+DH55</f>
        <v>21.0536224563475</v>
      </c>
      <c r="DI56" s="88" t="n">
        <f aca="false">DG56+DI55</f>
        <v>0</v>
      </c>
      <c r="DJ56" s="88" t="n">
        <f aca="false">MAX(DJ55,DH56-DI56)</f>
        <v>21.0536224563475</v>
      </c>
      <c r="DK56" s="88" t="n">
        <f aca="false">DJ56-DJ55</f>
        <v>2.70107985819573</v>
      </c>
      <c r="DL56" s="88" t="n">
        <f aca="false">IF(B56=2026,INDEX($C$21:$Q$21,1,B56-2025)*$AO$4*C56/MAX(0.0001,12-$AO$3),INDEX($C$21:$Q$21,1,B56-2025)/12)</f>
        <v>1.88909879652953</v>
      </c>
      <c r="DM56" s="88" t="n">
        <f aca="false">$AO$6*INDEX($Y$21:$AB$21,1,B56-2026)/12</f>
        <v>0.85</v>
      </c>
      <c r="DN56" s="88" t="n">
        <f aca="false">DL56+DN55</f>
        <v>14.724619386648</v>
      </c>
      <c r="DO56" s="88" t="n">
        <f aca="false">DM56+DO55</f>
        <v>4.25</v>
      </c>
      <c r="DP56" s="88" t="n">
        <f aca="false">MAX(DP55,DN56-DO56)</f>
        <v>10.474619386648</v>
      </c>
      <c r="DQ56" s="88" t="n">
        <f aca="false">DP56-DP55</f>
        <v>1.03909879652953</v>
      </c>
      <c r="DR56" s="88" t="n">
        <f aca="false">IF(B56=2026,INDEX($C$22:$Q$22,1,B56-2025)*$AO$4*C56/MAX(0.0001,12-$AO$3),INDEX($C$22:$Q$22,1,B56-2025)/12)</f>
        <v>1.47482274465902</v>
      </c>
      <c r="DS56" s="88" t="n">
        <f aca="false">$AO$6*INDEX($Y$22:$AB$22,1,B56-2026)/12</f>
        <v>1.125</v>
      </c>
      <c r="DT56" s="88" t="n">
        <f aca="false">DR56+DT55</f>
        <v>11.4955361878217</v>
      </c>
      <c r="DU56" s="88" t="n">
        <f aca="false">DS56+DU55</f>
        <v>8.725</v>
      </c>
      <c r="DV56" s="88" t="n">
        <f aca="false">MAX(DV55,DT56-DU56)</f>
        <v>2.77053618782165</v>
      </c>
      <c r="DW56" s="88" t="n">
        <f aca="false">DV56-DV55</f>
        <v>0.349822744659016</v>
      </c>
      <c r="DX56" s="88" t="n">
        <f aca="false">IF(B56=2026,INDEX($C$23:$Q$23,1,B56-2025)*$AO$4*C56/MAX(0.0001,12-$AO$3),INDEX($C$23:$Q$23,1,B56-2025)/12)</f>
        <v>2.36965901669932</v>
      </c>
      <c r="DY56" s="88" t="n">
        <f aca="false">$AO$6*INDEX($Y$23:$AB$23,1,B56-2026)/12</f>
        <v>0</v>
      </c>
      <c r="DZ56" s="88" t="n">
        <f aca="false">DX56+DZ55</f>
        <v>18.4703558972865</v>
      </c>
      <c r="EA56" s="88" t="n">
        <f aca="false">DY56+EA55</f>
        <v>0</v>
      </c>
      <c r="EB56" s="88" t="n">
        <f aca="false">MAX(EB55,DZ56-EA56)</f>
        <v>18.4703558972865</v>
      </c>
      <c r="EC56" s="88" t="n">
        <f aca="false">EB56-EB55</f>
        <v>2.36965901669932</v>
      </c>
      <c r="ED56" s="88" t="n">
        <f aca="false">IF(B56=2026,INDEX($C$24:$Q$24,1,B56-2025)*$AO$4*C56/MAX(0.0001,12-$AO$3),INDEX($C$24:$Q$24,1,B56-2025)/12)</f>
        <v>1.4582517025842</v>
      </c>
      <c r="EE56" s="88" t="n">
        <f aca="false">$AO$6*INDEX($Y$24:$AB$24,1,B56-2026)/12</f>
        <v>0</v>
      </c>
      <c r="EF56" s="88" t="n">
        <f aca="false">ED56+EF55</f>
        <v>11.3663728598686</v>
      </c>
      <c r="EG56" s="88" t="n">
        <f aca="false">EE56+EG55</f>
        <v>0</v>
      </c>
      <c r="EH56" s="88" t="n">
        <f aca="false">MAX(EH55,EF56-EG56)</f>
        <v>11.3663728598686</v>
      </c>
      <c r="EI56" s="88" t="n">
        <f aca="false">EH56-EH55</f>
        <v>1.4582517025842</v>
      </c>
      <c r="EJ56" s="88" t="n">
        <f aca="false">IF(B56=2026,INDEX($C$25:$Q$25,1,B56-2025)*$AO$4*C56/MAX(0.0001,12-$AO$3),INDEX($C$25:$Q$25,1,B56-2025)/12)</f>
        <v>1.85595671237989</v>
      </c>
      <c r="EK56" s="88" t="n">
        <f aca="false">$AO$6*INDEX($Y$25:$AB$25,1,B56-2026)/12</f>
        <v>0.891666666666667</v>
      </c>
      <c r="EL56" s="88" t="n">
        <f aca="false">EJ56+EL55</f>
        <v>14.4662927307419</v>
      </c>
      <c r="EM56" s="88" t="n">
        <f aca="false">EK56+EM55</f>
        <v>7.75833333333333</v>
      </c>
      <c r="EN56" s="88" t="n">
        <f aca="false">MAX(EN55,EL56-EM56)</f>
        <v>6.70795939740852</v>
      </c>
      <c r="EO56" s="88" t="n">
        <f aca="false">EN56-EN55</f>
        <v>0.964290045713219</v>
      </c>
      <c r="EP56" s="88" t="n">
        <f aca="false">IF(B56=2026,INDEX($C$26:$Q$26,1,B56-2025)*$AO$4*C56/MAX(0.0001,12-$AO$3),INDEX($C$26:$Q$26,1,B56-2025)/12)</f>
        <v>2.66793777404609</v>
      </c>
      <c r="EQ56" s="88" t="n">
        <f aca="false">$AO$6*INDEX($Y$26:$AB$26,1,B56-2026)/12</f>
        <v>0.308333333333333</v>
      </c>
      <c r="ER56" s="88" t="n">
        <f aca="false">EP56+ER55</f>
        <v>20.7952958004414</v>
      </c>
      <c r="ES56" s="88" t="n">
        <f aca="false">EQ56+ES55</f>
        <v>1.54166666666667</v>
      </c>
      <c r="ET56" s="88" t="n">
        <f aca="false">MAX(ET55,ER56-ES56)</f>
        <v>19.2536291337747</v>
      </c>
      <c r="EU56" s="88" t="n">
        <f aca="false">ET56-ET55</f>
        <v>2.35960444071275</v>
      </c>
      <c r="EV56" s="88" t="n">
        <f aca="false">IF(B56=2026,INDEX($C$27:$Q$27,1,B56-2025)*$AO$4*C56/MAX(0.0001,12-$AO$3),INDEX($C$27:$Q$27,1,B56-2025)/12)</f>
        <v>6.62841682992816</v>
      </c>
      <c r="EW56" s="88" t="n">
        <f aca="false">$AO$6*INDEX($Y$27:$AB$27,1,B56-2026)/12</f>
        <v>12.4166666666667</v>
      </c>
      <c r="EX56" s="88" t="n">
        <f aca="false">EV56+EX55</f>
        <v>51.6653311812209</v>
      </c>
      <c r="EY56" s="88" t="n">
        <f aca="false">EW56+EY55</f>
        <v>98.1833333333333</v>
      </c>
      <c r="EZ56" s="88" t="n">
        <f aca="false">MAX(EZ55,EX56-EY56)</f>
        <v>0</v>
      </c>
      <c r="FA56" s="88" t="n">
        <f aca="false">EZ56-EZ55</f>
        <v>0</v>
      </c>
      <c r="FB56" s="88" t="n">
        <f aca="false">IF(B56=2026,INDEX($C$28:$Q$28,1,B56-2025)*$AO$4*C56/MAX(0.0001,12-$AO$3),INDEX($C$28:$Q$28,1,B56-2025)/12)</f>
        <v>34.6997621046739</v>
      </c>
      <c r="FC56" s="88" t="n">
        <f aca="false">$AO$6*INDEX($Y$28:$AB$28,1,B56-2026)/12</f>
        <v>6.825</v>
      </c>
      <c r="FD56" s="88" t="n">
        <f aca="false">FB56+FD55</f>
        <v>270.468008733691</v>
      </c>
      <c r="FE56" s="88" t="n">
        <f aca="false">FC56+FE55</f>
        <v>58.225</v>
      </c>
      <c r="FF56" s="88" t="n">
        <f aca="false">MAX(FF55,FD56-FE56)</f>
        <v>212.243008733691</v>
      </c>
      <c r="FG56" s="88" t="n">
        <f aca="false">FF56-FF55</f>
        <v>27.8747621046739</v>
      </c>
    </row>
    <row r="57" customFormat="false" ht="15" hidden="false" customHeight="false" outlineLevel="0" collapsed="false">
      <c r="A57" s="0" t="n">
        <v>17</v>
      </c>
      <c r="B57" s="88" t="n">
        <f aca="false">2026+INT(A57/12)</f>
        <v>2027</v>
      </c>
      <c r="C57" s="88" t="n">
        <f aca="false">MAX(0,MIN(1,A57+1-$AO$3))</f>
        <v>1</v>
      </c>
      <c r="D57" s="88" t="n">
        <f aca="false">IF((A57+0.5-(0))&lt;$AO$3,0,2026+INT((A57+0.5-(0))/12))</f>
        <v>2027</v>
      </c>
      <c r="E57" s="88" t="n">
        <f aca="false">IF((A57+0.5-($AO$9))&lt;$AO$3,0,2026+INT((A57+0.5-($AO$9))/12))</f>
        <v>0</v>
      </c>
      <c r="F57" s="88" t="n">
        <f aca="false">IF((A57+0.5-($AO$9+$AO$8))&lt;$AO$3,0,2026+INT((A57+0.5-($AO$9+$AO$8))/12))</f>
        <v>0</v>
      </c>
      <c r="G57" s="88" t="n">
        <f aca="false">IF((A57+0.5-($AO$9+$AO$8+$AO$7))&lt;$AO$3,0,2026+INT((A57+0.5-($AO$9+$AO$8+$AO$7))/12))</f>
        <v>0</v>
      </c>
      <c r="H57" s="88" t="n">
        <f aca="false">IF(B57=2026,INDEX($C$3:$Q$3,1,B57-2025)*$AO$4*C57/MAX(0.0001,12-$AO$3),INDEX($C$3:$Q$3,1,B57-2025)/12)</f>
        <v>355.25</v>
      </c>
      <c r="I57" s="88" t="n">
        <f aca="false">$AO$6*INDEX($Y$3:$AB$3,1,B57-2026)/12</f>
        <v>173.725</v>
      </c>
      <c r="J57" s="88" t="n">
        <f aca="false">H57+J56</f>
        <v>3124.25342465753</v>
      </c>
      <c r="K57" s="88" t="n">
        <f aca="false">I57+K56</f>
        <v>1548.55</v>
      </c>
      <c r="L57" s="88" t="n">
        <f aca="false">MAX(L56,J57-K57)</f>
        <v>1575.70342465753</v>
      </c>
      <c r="M57" s="88" t="n">
        <f aca="false">L57-L56</f>
        <v>181.525</v>
      </c>
      <c r="N57" s="88" t="n">
        <f aca="false">IF(B57=2026,INDEX($C$4:$Q$4,1,B57-2025)*$AO$4*C57/MAX(0.0001,12-$AO$3),INDEX($C$4:$Q$4,1,B57-2025)/12)</f>
        <v>10.7700632578534</v>
      </c>
      <c r="O57" s="88" t="n">
        <f aca="false">$AO$6*INDEX($Y$4:$AB$4,1,B57-2026)/12</f>
        <v>8.91666666666667</v>
      </c>
      <c r="P57" s="88" t="n">
        <f aca="false">N57+P56</f>
        <v>94.717542623861</v>
      </c>
      <c r="Q57" s="88" t="n">
        <f aca="false">O57+Q56</f>
        <v>78.2</v>
      </c>
      <c r="R57" s="88" t="n">
        <f aca="false">MAX(R56,P57-Q57)</f>
        <v>16.517542623861</v>
      </c>
      <c r="S57" s="88" t="n">
        <f aca="false">R57-R56</f>
        <v>1.85339659118668</v>
      </c>
      <c r="T57" s="88" t="n">
        <f aca="false">IF(B57=2026,INDEX($C$5:$Q$5,1,B57-2025)*$AO$4*C57/MAX(0.0001,12-$AO$3),INDEX($C$5:$Q$5,1,B57-2025)/12)</f>
        <v>43.7734247619348</v>
      </c>
      <c r="U57" s="88" t="n">
        <f aca="false">$AO$6*INDEX($Y$5:$AB$5,1,B57-2026)/12</f>
        <v>25.5166666666667</v>
      </c>
      <c r="V57" s="88" t="n">
        <f aca="false">T57+V56</f>
        <v>384.966283522769</v>
      </c>
      <c r="W57" s="88" t="n">
        <f aca="false">U57+W56</f>
        <v>217.6</v>
      </c>
      <c r="X57" s="88" t="n">
        <f aca="false">MAX(X56,V57-W57)</f>
        <v>167.366283522769</v>
      </c>
      <c r="Y57" s="88" t="n">
        <f aca="false">X57-X56</f>
        <v>18.2567580952681</v>
      </c>
      <c r="Z57" s="88" t="n">
        <f aca="false">IF(B57=2026,INDEX($C$6:$Q$6,1,B57-2025)*$AO$4*C57/MAX(0.0001,12-$AO$3),INDEX($C$6:$Q$6,1,B57-2025)/12)</f>
        <v>51.933610116259</v>
      </c>
      <c r="AA57" s="88" t="n">
        <f aca="false">$AO$6*INDEX($Y$6:$AB$6,1,B57-2026)/12</f>
        <v>38.6</v>
      </c>
      <c r="AB57" s="88" t="n">
        <f aca="false">Z57+AB56</f>
        <v>456.731201296414</v>
      </c>
      <c r="AC57" s="88" t="n">
        <f aca="false">AA57+AC56</f>
        <v>371.1</v>
      </c>
      <c r="AD57" s="88" t="n">
        <f aca="false">MAX(AD56,AB57-AC57)</f>
        <v>85.6312012964144</v>
      </c>
      <c r="AE57" s="88" t="n">
        <f aca="false">AD57-AD56</f>
        <v>13.3336101162589</v>
      </c>
      <c r="AF57" s="88" t="n">
        <f aca="false">IF(B57=2026,INDEX($C$7:$Q$7,1,B57-2025)*$AO$4*C57/MAX(0.0001,12-$AO$3),INDEX($C$7:$Q$7,1,B57-2025)/12)</f>
        <v>45.11289896006</v>
      </c>
      <c r="AG57" s="88" t="n">
        <f aca="false">$AO$6*INDEX($Y$7:$AB$7,1,B57-2026)/12</f>
        <v>7.125</v>
      </c>
      <c r="AH57" s="88" t="n">
        <f aca="false">AF57+AH56</f>
        <v>396.746316881623</v>
      </c>
      <c r="AI57" s="88" t="n">
        <f aca="false">AG57+AI56</f>
        <v>56.55</v>
      </c>
      <c r="AJ57" s="88" t="n">
        <f aca="false">MAX(AJ56,AH57-AI57)</f>
        <v>340.196316881623</v>
      </c>
      <c r="AK57" s="88" t="n">
        <f aca="false">AJ57-AJ56</f>
        <v>37.98789896006</v>
      </c>
      <c r="AL57" s="88" t="n">
        <f aca="false">IF(B57=2026,INDEX($C$8:$Q$8,1,B57-2025)*$AO$4*C57/MAX(0.0001,12-$AO$3),INDEX($C$8:$Q$8,1,B57-2025)/12)</f>
        <v>11.4114321188341</v>
      </c>
      <c r="AM57" s="88" t="n">
        <f aca="false">$AO$6*INDEX($Y$8:$AB$8,1,B57-2026)/12</f>
        <v>1.65833333333333</v>
      </c>
      <c r="AN57" s="88" t="n">
        <f aca="false">AL57+AN56</f>
        <v>100.358074250568</v>
      </c>
      <c r="AO57" s="88" t="n">
        <f aca="false">AM57+AO56</f>
        <v>16.05</v>
      </c>
      <c r="AP57" s="88" t="n">
        <f aca="false">MAX(AP56,AN57-AO57)</f>
        <v>84.3080742505682</v>
      </c>
      <c r="AQ57" s="88" t="n">
        <f aca="false">AP57-AP56</f>
        <v>9.75309878550075</v>
      </c>
      <c r="AR57" s="88" t="n">
        <f aca="false">IF(B57=2026,INDEX($C$9:$Q$9,1,B57-2025)*$AO$4*C57/MAX(0.0001,12-$AO$3),INDEX($C$9:$Q$9,1,B57-2025)/12)</f>
        <v>48.6576953186344</v>
      </c>
      <c r="AS57" s="88" t="n">
        <f aca="false">$AO$6*INDEX($Y$9:$AB$9,1,B57-2026)/12</f>
        <v>36.6416666666667</v>
      </c>
      <c r="AT57" s="88" t="n">
        <f aca="false">AR57+AT56</f>
        <v>427.921101295387</v>
      </c>
      <c r="AU57" s="88" t="n">
        <f aca="false">AS57+AU56</f>
        <v>328.25</v>
      </c>
      <c r="AV57" s="88" t="n">
        <f aca="false">MAX(AV56,AT57-AU57)</f>
        <v>99.6711012953871</v>
      </c>
      <c r="AW57" s="88" t="n">
        <f aca="false">AV57-AV56</f>
        <v>12.0160286519677</v>
      </c>
      <c r="AX57" s="88" t="n">
        <f aca="false">IF(B57=2026,INDEX($C$10:$Q$10,1,B57-2025)*$AO$4*C57/MAX(0.0001,12-$AO$3),INDEX($C$10:$Q$10,1,B57-2025)/12)</f>
        <v>5.64404597663043</v>
      </c>
      <c r="AY57" s="88" t="n">
        <f aca="false">$AO$6*INDEX($Y$10:$AB$10,1,B57-2026)/12</f>
        <v>0</v>
      </c>
      <c r="AZ57" s="88" t="n">
        <f aca="false">AX57+AZ56</f>
        <v>49.6366783150238</v>
      </c>
      <c r="BA57" s="88" t="n">
        <f aca="false">AY57+BA56</f>
        <v>0</v>
      </c>
      <c r="BB57" s="88" t="n">
        <f aca="false">MAX(BB56,AZ57-BA57)</f>
        <v>49.6366783150238</v>
      </c>
      <c r="BC57" s="88" t="n">
        <f aca="false">BB57-BB56</f>
        <v>5.64404597663043</v>
      </c>
      <c r="BD57" s="88" t="n">
        <f aca="false">IF(B57=2026,INDEX($C$11:$Q$11,1,B57-2025)*$AO$4*C57/MAX(0.0001,12-$AO$3),INDEX($C$11:$Q$11,1,B57-2025)/12)</f>
        <v>28.0475536513497</v>
      </c>
      <c r="BE57" s="88" t="n">
        <f aca="false">$AO$6*INDEX($Y$11:$AB$11,1,B57-2026)/12</f>
        <v>7.61666666666667</v>
      </c>
      <c r="BF57" s="88" t="n">
        <f aca="false">BD57+BF56</f>
        <v>246.66478690639</v>
      </c>
      <c r="BG57" s="88" t="n">
        <f aca="false">BE57+BG56</f>
        <v>63.7</v>
      </c>
      <c r="BH57" s="88" t="n">
        <f aca="false">MAX(BH56,BF57-BG57)</f>
        <v>182.96478690639</v>
      </c>
      <c r="BI57" s="88" t="n">
        <f aca="false">BH57-BH56</f>
        <v>20.430886984683</v>
      </c>
      <c r="BJ57" s="88" t="n">
        <f aca="false">IF(B57=2026,INDEX($C$12:$Q$12,1,B57-2025)*$AO$4*C57/MAX(0.0001,12-$AO$3),INDEX($C$12:$Q$12,1,B57-2025)/12)</f>
        <v>15.3780518436687</v>
      </c>
      <c r="BK57" s="88" t="n">
        <f aca="false">$AO$6*INDEX($Y$12:$AB$12,1,B57-2026)/12</f>
        <v>3.4</v>
      </c>
      <c r="BL57" s="88" t="n">
        <f aca="false">BJ57+BL56</f>
        <v>135.242592926511</v>
      </c>
      <c r="BM57" s="88" t="n">
        <f aca="false">BK57+BM56</f>
        <v>24.1</v>
      </c>
      <c r="BN57" s="88" t="n">
        <f aca="false">MAX(BN56,BL57-BM57)</f>
        <v>111.142592926511</v>
      </c>
      <c r="BO57" s="88" t="n">
        <f aca="false">BN57-BN56</f>
        <v>11.9780518436688</v>
      </c>
      <c r="BP57" s="88" t="n">
        <f aca="false">IF(B57=2026,INDEX($C$13:$Q$13,1,B57-2025)*$AO$4*C57/MAX(0.0001,12-$AO$3),INDEX($C$13:$Q$13,1,B57-2025)/12)</f>
        <v>4.80560220169792</v>
      </c>
      <c r="BQ57" s="88" t="n">
        <f aca="false">$AO$6*INDEX($Y$13:$AB$13,1,B57-2026)/12</f>
        <v>0</v>
      </c>
      <c r="BR57" s="88" t="n">
        <f aca="false">BP57+BR56</f>
        <v>42.2629673080831</v>
      </c>
      <c r="BS57" s="88" t="n">
        <f aca="false">BQ57+BS56</f>
        <v>0</v>
      </c>
      <c r="BT57" s="88" t="n">
        <f aca="false">MAX(BT56,BR57-BS57)</f>
        <v>42.2629673080831</v>
      </c>
      <c r="BU57" s="88" t="n">
        <f aca="false">BT57-BT56</f>
        <v>4.80560220169792</v>
      </c>
      <c r="BV57" s="88" t="n">
        <f aca="false">IF(B57=2026,INDEX($C$14:$Q$14,1,B57-2025)*$AO$4*C57/MAX(0.0001,12-$AO$3),INDEX($C$14:$Q$14,1,B57-2025)/12)</f>
        <v>2.85021923686911</v>
      </c>
      <c r="BW57" s="88" t="n">
        <f aca="false">$AO$6*INDEX($Y$14:$AB$14,1,B57-2026)/12</f>
        <v>0</v>
      </c>
      <c r="BX57" s="88" t="n">
        <f aca="false">BV57+BX56</f>
        <v>25.0663116447941</v>
      </c>
      <c r="BY57" s="88" t="n">
        <f aca="false">BW57+BY56</f>
        <v>0</v>
      </c>
      <c r="BZ57" s="88" t="n">
        <f aca="false">MAX(BZ56,BX57-BY57)</f>
        <v>25.0663116447941</v>
      </c>
      <c r="CA57" s="88" t="n">
        <f aca="false">BZ57-BZ56</f>
        <v>2.85021923686911</v>
      </c>
      <c r="CB57" s="88" t="n">
        <f aca="false">IF(B57=2026,INDEX($C$15:$Q$15,1,B57-2025)*$AO$4*C57/MAX(0.0001,12-$AO$3),INDEX($C$15:$Q$15,1,B57-2025)/12)</f>
        <v>4.67303386509936</v>
      </c>
      <c r="CC57" s="88" t="n">
        <f aca="false">$AO$6*INDEX($Y$15:$AB$15,1,B57-2026)/12</f>
        <v>4.73333333333333</v>
      </c>
      <c r="CD57" s="88" t="n">
        <f aca="false">CB57+CD56</f>
        <v>41.0970923478601</v>
      </c>
      <c r="CE57" s="88" t="n">
        <f aca="false">CC57+CE56</f>
        <v>45.6</v>
      </c>
      <c r="CF57" s="88" t="n">
        <f aca="false">MAX(CF56,CD57-CE57)</f>
        <v>0</v>
      </c>
      <c r="CG57" s="88" t="n">
        <f aca="false">CF57-CF56</f>
        <v>0</v>
      </c>
      <c r="CH57" s="88" t="n">
        <f aca="false">IF(B57=2026,INDEX($C$16:$Q$16,1,B57-2025)*$AO$4*C57/MAX(0.0001,12-$AO$3),INDEX($C$16:$Q$16,1,B57-2025)/12)</f>
        <v>3.69534238268495</v>
      </c>
      <c r="CI57" s="88" t="n">
        <f aca="false">$AO$6*INDEX($Y$16:$AB$16,1,B57-2026)/12</f>
        <v>4.9</v>
      </c>
      <c r="CJ57" s="88" t="n">
        <f aca="false">CH57+CJ56</f>
        <v>32.4987645162156</v>
      </c>
      <c r="CK57" s="88" t="n">
        <f aca="false">CI57+CK56</f>
        <v>30.6</v>
      </c>
      <c r="CL57" s="88" t="n">
        <f aca="false">MAX(CL56,CJ57-CK57)</f>
        <v>9.12671022010589</v>
      </c>
      <c r="CM57" s="88" t="n">
        <f aca="false">CL57-CL56</f>
        <v>0</v>
      </c>
      <c r="CN57" s="88" t="n">
        <f aca="false">IF(B57=2026,INDEX($C$17:$Q$17,1,B57-2025)*$AO$4*C57/MAX(0.0001,12-$AO$3),INDEX($C$17:$Q$17,1,B57-2025)/12)</f>
        <v>16.0904818546506</v>
      </c>
      <c r="CO57" s="88" t="n">
        <f aca="false">$AO$6*INDEX($Y$17:$AB$17,1,B57-2026)/12</f>
        <v>10.6083333333333</v>
      </c>
      <c r="CP57" s="88" t="n">
        <f aca="false">CN57+CP56</f>
        <v>141.508073297064</v>
      </c>
      <c r="CQ57" s="88" t="n">
        <f aca="false">CO57+CQ56</f>
        <v>102.35</v>
      </c>
      <c r="CR57" s="88" t="n">
        <f aca="false">MAX(CR56,CP57-CQ57)</f>
        <v>39.1580732970644</v>
      </c>
      <c r="CS57" s="88" t="n">
        <f aca="false">CR57-CR56</f>
        <v>5.48214852131729</v>
      </c>
      <c r="CT57" s="88" t="n">
        <f aca="false">IF(B57=2026,INDEX($C$18:$Q$18,1,B57-2025)*$AO$4*C57/MAX(0.0001,12-$AO$3),INDEX($C$18:$Q$18,1,B57-2025)/12)</f>
        <v>3.34735049911372</v>
      </c>
      <c r="CU57" s="88" t="n">
        <f aca="false">$AO$6*INDEX($Y$18:$AB$18,1,B57-2026)/12</f>
        <v>0.7</v>
      </c>
      <c r="CV57" s="88" t="n">
        <f aca="false">CT57+CV56</f>
        <v>29.4383427456303</v>
      </c>
      <c r="CW57" s="88" t="n">
        <f aca="false">CU57+CW56</f>
        <v>6.8</v>
      </c>
      <c r="CX57" s="88" t="n">
        <f aca="false">MAX(CX56,CV57-CW57)</f>
        <v>22.6383427456303</v>
      </c>
      <c r="CY57" s="88" t="n">
        <f aca="false">CX57-CX56</f>
        <v>2.64735049911372</v>
      </c>
      <c r="CZ57" s="88" t="n">
        <f aca="false">IF(B57=2026,INDEX($C$19:$Q$19,1,B57-2025)*$AO$4*C57/MAX(0.0001,12-$AO$3),INDEX($C$19:$Q$19,1,B57-2025)/12)</f>
        <v>3.31420841496408</v>
      </c>
      <c r="DA57" s="88" t="n">
        <f aca="false">$AO$6*INDEX($Y$19:$AB$19,1,B57-2026)/12</f>
        <v>0.891666666666667</v>
      </c>
      <c r="DB57" s="88" t="n">
        <f aca="false">CZ57+DB56</f>
        <v>29.1468740055745</v>
      </c>
      <c r="DC57" s="88" t="n">
        <f aca="false">DA57+DC56</f>
        <v>6.55</v>
      </c>
      <c r="DD57" s="88" t="n">
        <f aca="false">MAX(DD56,DB57-DC57)</f>
        <v>22.5968740055745</v>
      </c>
      <c r="DE57" s="88" t="n">
        <f aca="false">DD57-DD56</f>
        <v>2.42254174829741</v>
      </c>
      <c r="DF57" s="88" t="n">
        <f aca="false">IF(B57=2026,INDEX($C$20:$Q$20,1,B57-2025)*$AO$4*C57/MAX(0.0001,12-$AO$3),INDEX($C$20:$Q$20,1,B57-2025)/12)</f>
        <v>2.70107985819573</v>
      </c>
      <c r="DG57" s="88" t="n">
        <f aca="false">$AO$6*INDEX($Y$20:$AB$20,1,B57-2026)/12</f>
        <v>0</v>
      </c>
      <c r="DH57" s="88" t="n">
        <f aca="false">DF57+DH56</f>
        <v>23.7547023145432</v>
      </c>
      <c r="DI57" s="88" t="n">
        <f aca="false">DG57+DI56</f>
        <v>0</v>
      </c>
      <c r="DJ57" s="88" t="n">
        <f aca="false">MAX(DJ56,DH57-DI57)</f>
        <v>23.7547023145432</v>
      </c>
      <c r="DK57" s="88" t="n">
        <f aca="false">DJ57-DJ56</f>
        <v>2.70107985819573</v>
      </c>
      <c r="DL57" s="88" t="n">
        <f aca="false">IF(B57=2026,INDEX($C$21:$Q$21,1,B57-2025)*$AO$4*C57/MAX(0.0001,12-$AO$3),INDEX($C$21:$Q$21,1,B57-2025)/12)</f>
        <v>1.88909879652953</v>
      </c>
      <c r="DM57" s="88" t="n">
        <f aca="false">$AO$6*INDEX($Y$21:$AB$21,1,B57-2026)/12</f>
        <v>0.85</v>
      </c>
      <c r="DN57" s="88" t="n">
        <f aca="false">DL57+DN56</f>
        <v>16.6137181831775</v>
      </c>
      <c r="DO57" s="88" t="n">
        <f aca="false">DM57+DO56</f>
        <v>5.1</v>
      </c>
      <c r="DP57" s="88" t="n">
        <f aca="false">MAX(DP56,DN57-DO57)</f>
        <v>11.5137181831775</v>
      </c>
      <c r="DQ57" s="88" t="n">
        <f aca="false">DP57-DP56</f>
        <v>1.03909879652953</v>
      </c>
      <c r="DR57" s="88" t="n">
        <f aca="false">IF(B57=2026,INDEX($C$22:$Q$22,1,B57-2025)*$AO$4*C57/MAX(0.0001,12-$AO$3),INDEX($C$22:$Q$22,1,B57-2025)/12)</f>
        <v>1.47482274465902</v>
      </c>
      <c r="DS57" s="88" t="n">
        <f aca="false">$AO$6*INDEX($Y$22:$AB$22,1,B57-2026)/12</f>
        <v>1.125</v>
      </c>
      <c r="DT57" s="88" t="n">
        <f aca="false">DR57+DT56</f>
        <v>12.9703589324807</v>
      </c>
      <c r="DU57" s="88" t="n">
        <f aca="false">DS57+DU56</f>
        <v>9.85</v>
      </c>
      <c r="DV57" s="88" t="n">
        <f aca="false">MAX(DV56,DT57-DU57)</f>
        <v>3.12035893248067</v>
      </c>
      <c r="DW57" s="88" t="n">
        <f aca="false">DV57-DV56</f>
        <v>0.349822744659017</v>
      </c>
      <c r="DX57" s="88" t="n">
        <f aca="false">IF(B57=2026,INDEX($C$23:$Q$23,1,B57-2025)*$AO$4*C57/MAX(0.0001,12-$AO$3),INDEX($C$23:$Q$23,1,B57-2025)/12)</f>
        <v>2.36965901669932</v>
      </c>
      <c r="DY57" s="88" t="n">
        <f aca="false">$AO$6*INDEX($Y$23:$AB$23,1,B57-2026)/12</f>
        <v>0</v>
      </c>
      <c r="DZ57" s="88" t="n">
        <f aca="false">DX57+DZ56</f>
        <v>20.8400149139858</v>
      </c>
      <c r="EA57" s="88" t="n">
        <f aca="false">DY57+EA56</f>
        <v>0</v>
      </c>
      <c r="EB57" s="88" t="n">
        <f aca="false">MAX(EB56,DZ57-EA57)</f>
        <v>20.8400149139858</v>
      </c>
      <c r="EC57" s="88" t="n">
        <f aca="false">EB57-EB56</f>
        <v>2.36965901669932</v>
      </c>
      <c r="ED57" s="88" t="n">
        <f aca="false">IF(B57=2026,INDEX($C$24:$Q$24,1,B57-2025)*$AO$4*C57/MAX(0.0001,12-$AO$3),INDEX($C$24:$Q$24,1,B57-2025)/12)</f>
        <v>1.4582517025842</v>
      </c>
      <c r="EE57" s="88" t="n">
        <f aca="false">$AO$6*INDEX($Y$24:$AB$24,1,B57-2026)/12</f>
        <v>0</v>
      </c>
      <c r="EF57" s="88" t="n">
        <f aca="false">ED57+EF56</f>
        <v>12.8246245624528</v>
      </c>
      <c r="EG57" s="88" t="n">
        <f aca="false">EE57+EG56</f>
        <v>0</v>
      </c>
      <c r="EH57" s="88" t="n">
        <f aca="false">MAX(EH56,EF57-EG57)</f>
        <v>12.8246245624528</v>
      </c>
      <c r="EI57" s="88" t="n">
        <f aca="false">EH57-EH56</f>
        <v>1.4582517025842</v>
      </c>
      <c r="EJ57" s="88" t="n">
        <f aca="false">IF(B57=2026,INDEX($C$25:$Q$25,1,B57-2025)*$AO$4*C57/MAX(0.0001,12-$AO$3),INDEX($C$25:$Q$25,1,B57-2025)/12)</f>
        <v>1.85595671237989</v>
      </c>
      <c r="EK57" s="88" t="n">
        <f aca="false">$AO$6*INDEX($Y$25:$AB$25,1,B57-2026)/12</f>
        <v>0.891666666666667</v>
      </c>
      <c r="EL57" s="88" t="n">
        <f aca="false">EJ57+EL56</f>
        <v>16.3222494431217</v>
      </c>
      <c r="EM57" s="88" t="n">
        <f aca="false">EK57+EM56</f>
        <v>8.65</v>
      </c>
      <c r="EN57" s="88" t="n">
        <f aca="false">MAX(EN56,EL57-EM57)</f>
        <v>7.67224944312174</v>
      </c>
      <c r="EO57" s="88" t="n">
        <f aca="false">EN57-EN56</f>
        <v>0.96429004571322</v>
      </c>
      <c r="EP57" s="88" t="n">
        <f aca="false">IF(B57=2026,INDEX($C$26:$Q$26,1,B57-2025)*$AO$4*C57/MAX(0.0001,12-$AO$3),INDEX($C$26:$Q$26,1,B57-2025)/12)</f>
        <v>2.66793777404609</v>
      </c>
      <c r="EQ57" s="88" t="n">
        <f aca="false">$AO$6*INDEX($Y$26:$AB$26,1,B57-2026)/12</f>
        <v>0.308333333333333</v>
      </c>
      <c r="ER57" s="88" t="n">
        <f aca="false">EP57+ER56</f>
        <v>23.4632335744875</v>
      </c>
      <c r="ES57" s="88" t="n">
        <f aca="false">EQ57+ES56</f>
        <v>1.85</v>
      </c>
      <c r="ET57" s="88" t="n">
        <f aca="false">MAX(ET56,ER57-ES57)</f>
        <v>21.6132335744875</v>
      </c>
      <c r="EU57" s="88" t="n">
        <f aca="false">ET57-ET56</f>
        <v>2.35960444071275</v>
      </c>
      <c r="EV57" s="88" t="n">
        <f aca="false">IF(B57=2026,INDEX($C$27:$Q$27,1,B57-2025)*$AO$4*C57/MAX(0.0001,12-$AO$3),INDEX($C$27:$Q$27,1,B57-2025)/12)</f>
        <v>6.62841682992816</v>
      </c>
      <c r="EW57" s="88" t="n">
        <f aca="false">$AO$6*INDEX($Y$27:$AB$27,1,B57-2026)/12</f>
        <v>12.4166666666667</v>
      </c>
      <c r="EX57" s="88" t="n">
        <f aca="false">EV57+EX56</f>
        <v>58.2937480111491</v>
      </c>
      <c r="EY57" s="88" t="n">
        <f aca="false">EW57+EY56</f>
        <v>110.6</v>
      </c>
      <c r="EZ57" s="88" t="n">
        <f aca="false">MAX(EZ56,EX57-EY57)</f>
        <v>0</v>
      </c>
      <c r="FA57" s="88" t="n">
        <f aca="false">EZ57-EZ56</f>
        <v>0</v>
      </c>
      <c r="FB57" s="88" t="n">
        <f aca="false">IF(B57=2026,INDEX($C$28:$Q$28,1,B57-2025)*$AO$4*C57/MAX(0.0001,12-$AO$3),INDEX($C$28:$Q$28,1,B57-2025)/12)</f>
        <v>34.6997621046739</v>
      </c>
      <c r="FC57" s="88" t="n">
        <f aca="false">$AO$6*INDEX($Y$28:$AB$28,1,B57-2026)/12</f>
        <v>6.825</v>
      </c>
      <c r="FD57" s="88" t="n">
        <f aca="false">FB57+FD56</f>
        <v>305.167770838365</v>
      </c>
      <c r="FE57" s="88" t="n">
        <f aca="false">FC57+FE56</f>
        <v>65.05</v>
      </c>
      <c r="FF57" s="88" t="n">
        <f aca="false">MAX(FF56,FD57-FE57)</f>
        <v>240.117770838365</v>
      </c>
      <c r="FG57" s="88" t="n">
        <f aca="false">FF57-FF56</f>
        <v>27.8747621046739</v>
      </c>
    </row>
    <row r="58" customFormat="false" ht="15" hidden="false" customHeight="false" outlineLevel="0" collapsed="false">
      <c r="A58" s="0" t="n">
        <v>18</v>
      </c>
      <c r="B58" s="88" t="n">
        <f aca="false">2026+INT(A58/12)</f>
        <v>2027</v>
      </c>
      <c r="C58" s="88" t="n">
        <f aca="false">MAX(0,MIN(1,A58+1-$AO$3))</f>
        <v>1</v>
      </c>
      <c r="D58" s="88" t="n">
        <f aca="false">IF((A58+0.5-(0))&lt;$AO$3,0,2026+INT((A58+0.5-(0))/12))</f>
        <v>2027</v>
      </c>
      <c r="E58" s="88" t="n">
        <f aca="false">IF((A58+0.5-($AO$9))&lt;$AO$3,0,2026+INT((A58+0.5-($AO$9))/12))</f>
        <v>0</v>
      </c>
      <c r="F58" s="88" t="n">
        <f aca="false">IF((A58+0.5-($AO$9+$AO$8))&lt;$AO$3,0,2026+INT((A58+0.5-($AO$9+$AO$8))/12))</f>
        <v>0</v>
      </c>
      <c r="G58" s="88" t="n">
        <f aca="false">IF((A58+0.5-($AO$9+$AO$8+$AO$7))&lt;$AO$3,0,2026+INT((A58+0.5-($AO$9+$AO$8+$AO$7))/12))</f>
        <v>0</v>
      </c>
      <c r="H58" s="88" t="n">
        <f aca="false">IF(B58=2026,INDEX($C$3:$Q$3,1,B58-2025)*$AO$4*C58/MAX(0.0001,12-$AO$3),INDEX($C$3:$Q$3,1,B58-2025)/12)</f>
        <v>355.25</v>
      </c>
      <c r="I58" s="88" t="n">
        <f aca="false">$AO$6*INDEX($Y$3:$AB$3,1,B58-2026)/12</f>
        <v>173.725</v>
      </c>
      <c r="J58" s="88" t="n">
        <f aca="false">H58+J57</f>
        <v>3479.50342465753</v>
      </c>
      <c r="K58" s="88" t="n">
        <f aca="false">I58+K57</f>
        <v>1722.275</v>
      </c>
      <c r="L58" s="88" t="n">
        <f aca="false">MAX(L57,J58-K58)</f>
        <v>1757.22842465753</v>
      </c>
      <c r="M58" s="88" t="n">
        <f aca="false">L58-L57</f>
        <v>181.525</v>
      </c>
      <c r="N58" s="88" t="n">
        <f aca="false">IF(B58=2026,INDEX($C$4:$Q$4,1,B58-2025)*$AO$4*C58/MAX(0.0001,12-$AO$3),INDEX($C$4:$Q$4,1,B58-2025)/12)</f>
        <v>10.7700632578534</v>
      </c>
      <c r="O58" s="88" t="n">
        <f aca="false">$AO$6*INDEX($Y$4:$AB$4,1,B58-2026)/12</f>
        <v>8.91666666666667</v>
      </c>
      <c r="P58" s="88" t="n">
        <f aca="false">N58+P57</f>
        <v>105.487605881714</v>
      </c>
      <c r="Q58" s="88" t="n">
        <f aca="false">O58+Q57</f>
        <v>87.1166666666667</v>
      </c>
      <c r="R58" s="88" t="n">
        <f aca="false">MAX(R57,P58-Q58)</f>
        <v>18.3709392150477</v>
      </c>
      <c r="S58" s="88" t="n">
        <f aca="false">R58-R57</f>
        <v>1.85339659118668</v>
      </c>
      <c r="T58" s="88" t="n">
        <f aca="false">IF(B58=2026,INDEX($C$5:$Q$5,1,B58-2025)*$AO$4*C58/MAX(0.0001,12-$AO$3),INDEX($C$5:$Q$5,1,B58-2025)/12)</f>
        <v>43.7734247619348</v>
      </c>
      <c r="U58" s="88" t="n">
        <f aca="false">$AO$6*INDEX($Y$5:$AB$5,1,B58-2026)/12</f>
        <v>25.5166666666667</v>
      </c>
      <c r="V58" s="88" t="n">
        <f aca="false">T58+V57</f>
        <v>428.739708284704</v>
      </c>
      <c r="W58" s="88" t="n">
        <f aca="false">U58+W57</f>
        <v>243.116666666667</v>
      </c>
      <c r="X58" s="88" t="n">
        <f aca="false">MAX(X57,V58-W58)</f>
        <v>185.623041618037</v>
      </c>
      <c r="Y58" s="88" t="n">
        <f aca="false">X58-X57</f>
        <v>18.2567580952681</v>
      </c>
      <c r="Z58" s="88" t="n">
        <f aca="false">IF(B58=2026,INDEX($C$6:$Q$6,1,B58-2025)*$AO$4*C58/MAX(0.0001,12-$AO$3),INDEX($C$6:$Q$6,1,B58-2025)/12)</f>
        <v>51.933610116259</v>
      </c>
      <c r="AA58" s="88" t="n">
        <f aca="false">$AO$6*INDEX($Y$6:$AB$6,1,B58-2026)/12</f>
        <v>38.6</v>
      </c>
      <c r="AB58" s="88" t="n">
        <f aca="false">Z58+AB57</f>
        <v>508.664811412673</v>
      </c>
      <c r="AC58" s="88" t="n">
        <f aca="false">AA58+AC57</f>
        <v>409.7</v>
      </c>
      <c r="AD58" s="88" t="n">
        <f aca="false">MAX(AD57,AB58-AC58)</f>
        <v>98.9648114126733</v>
      </c>
      <c r="AE58" s="88" t="n">
        <f aca="false">AD58-AD57</f>
        <v>13.3336101162589</v>
      </c>
      <c r="AF58" s="88" t="n">
        <f aca="false">IF(B58=2026,INDEX($C$7:$Q$7,1,B58-2025)*$AO$4*C58/MAX(0.0001,12-$AO$3),INDEX($C$7:$Q$7,1,B58-2025)/12)</f>
        <v>45.11289896006</v>
      </c>
      <c r="AG58" s="88" t="n">
        <f aca="false">$AO$6*INDEX($Y$7:$AB$7,1,B58-2026)/12</f>
        <v>7.125</v>
      </c>
      <c r="AH58" s="88" t="n">
        <f aca="false">AF58+AH57</f>
        <v>441.859215841683</v>
      </c>
      <c r="AI58" s="88" t="n">
        <f aca="false">AG58+AI57</f>
        <v>63.675</v>
      </c>
      <c r="AJ58" s="88" t="n">
        <f aca="false">MAX(AJ57,AH58-AI58)</f>
        <v>378.184215841683</v>
      </c>
      <c r="AK58" s="88" t="n">
        <f aca="false">AJ58-AJ57</f>
        <v>37.98789896006</v>
      </c>
      <c r="AL58" s="88" t="n">
        <f aca="false">IF(B58=2026,INDEX($C$8:$Q$8,1,B58-2025)*$AO$4*C58/MAX(0.0001,12-$AO$3),INDEX($C$8:$Q$8,1,B58-2025)/12)</f>
        <v>11.4114321188341</v>
      </c>
      <c r="AM58" s="88" t="n">
        <f aca="false">$AO$6*INDEX($Y$8:$AB$8,1,B58-2026)/12</f>
        <v>1.65833333333333</v>
      </c>
      <c r="AN58" s="88" t="n">
        <f aca="false">AL58+AN57</f>
        <v>111.769506369402</v>
      </c>
      <c r="AO58" s="88" t="n">
        <f aca="false">AM58+AO57</f>
        <v>17.7083333333333</v>
      </c>
      <c r="AP58" s="88" t="n">
        <f aca="false">MAX(AP57,AN58-AO58)</f>
        <v>94.061173036069</v>
      </c>
      <c r="AQ58" s="88" t="n">
        <f aca="false">AP58-AP57</f>
        <v>9.75309878550075</v>
      </c>
      <c r="AR58" s="88" t="n">
        <f aca="false">IF(B58=2026,INDEX($C$9:$Q$9,1,B58-2025)*$AO$4*C58/MAX(0.0001,12-$AO$3),INDEX($C$9:$Q$9,1,B58-2025)/12)</f>
        <v>48.6576953186344</v>
      </c>
      <c r="AS58" s="88" t="n">
        <f aca="false">$AO$6*INDEX($Y$9:$AB$9,1,B58-2026)/12</f>
        <v>36.6416666666667</v>
      </c>
      <c r="AT58" s="88" t="n">
        <f aca="false">AR58+AT57</f>
        <v>476.578796614021</v>
      </c>
      <c r="AU58" s="88" t="n">
        <f aca="false">AS58+AU57</f>
        <v>364.891666666667</v>
      </c>
      <c r="AV58" s="88" t="n">
        <f aca="false">MAX(AV57,AT58-AU58)</f>
        <v>111.687129947355</v>
      </c>
      <c r="AW58" s="88" t="n">
        <f aca="false">AV58-AV57</f>
        <v>12.0160286519677</v>
      </c>
      <c r="AX58" s="88" t="n">
        <f aca="false">IF(B58=2026,INDEX($C$10:$Q$10,1,B58-2025)*$AO$4*C58/MAX(0.0001,12-$AO$3),INDEX($C$10:$Q$10,1,B58-2025)/12)</f>
        <v>5.64404597663043</v>
      </c>
      <c r="AY58" s="88" t="n">
        <f aca="false">$AO$6*INDEX($Y$10:$AB$10,1,B58-2026)/12</f>
        <v>0</v>
      </c>
      <c r="AZ58" s="88" t="n">
        <f aca="false">AX58+AZ57</f>
        <v>55.2807242916542</v>
      </c>
      <c r="BA58" s="88" t="n">
        <f aca="false">AY58+BA57</f>
        <v>0</v>
      </c>
      <c r="BB58" s="88" t="n">
        <f aca="false">MAX(BB57,AZ58-BA58)</f>
        <v>55.2807242916542</v>
      </c>
      <c r="BC58" s="88" t="n">
        <f aca="false">BB58-BB57</f>
        <v>5.64404597663043</v>
      </c>
      <c r="BD58" s="88" t="n">
        <f aca="false">IF(B58=2026,INDEX($C$11:$Q$11,1,B58-2025)*$AO$4*C58/MAX(0.0001,12-$AO$3),INDEX($C$11:$Q$11,1,B58-2025)/12)</f>
        <v>28.0475536513497</v>
      </c>
      <c r="BE58" s="88" t="n">
        <f aca="false">$AO$6*INDEX($Y$11:$AB$11,1,B58-2026)/12</f>
        <v>7.61666666666667</v>
      </c>
      <c r="BF58" s="88" t="n">
        <f aca="false">BD58+BF57</f>
        <v>274.71234055774</v>
      </c>
      <c r="BG58" s="88" t="n">
        <f aca="false">BE58+BG57</f>
        <v>71.3166666666667</v>
      </c>
      <c r="BH58" s="88" t="n">
        <f aca="false">MAX(BH57,BF58-BG58)</f>
        <v>203.395673891073</v>
      </c>
      <c r="BI58" s="88" t="n">
        <f aca="false">BH58-BH57</f>
        <v>20.430886984683</v>
      </c>
      <c r="BJ58" s="88" t="n">
        <f aca="false">IF(B58=2026,INDEX($C$12:$Q$12,1,B58-2025)*$AO$4*C58/MAX(0.0001,12-$AO$3),INDEX($C$12:$Q$12,1,B58-2025)/12)</f>
        <v>15.3780518436687</v>
      </c>
      <c r="BK58" s="88" t="n">
        <f aca="false">$AO$6*INDEX($Y$12:$AB$12,1,B58-2026)/12</f>
        <v>3.4</v>
      </c>
      <c r="BL58" s="88" t="n">
        <f aca="false">BJ58+BL57</f>
        <v>150.62064477018</v>
      </c>
      <c r="BM58" s="88" t="n">
        <f aca="false">BK58+BM57</f>
        <v>27.5</v>
      </c>
      <c r="BN58" s="88" t="n">
        <f aca="false">MAX(BN57,BL58-BM58)</f>
        <v>123.12064477018</v>
      </c>
      <c r="BO58" s="88" t="n">
        <f aca="false">BN58-BN57</f>
        <v>11.9780518436687</v>
      </c>
      <c r="BP58" s="88" t="n">
        <f aca="false">IF(B58=2026,INDEX($C$13:$Q$13,1,B58-2025)*$AO$4*C58/MAX(0.0001,12-$AO$3),INDEX($C$13:$Q$13,1,B58-2025)/12)</f>
        <v>4.80560220169792</v>
      </c>
      <c r="BQ58" s="88" t="n">
        <f aca="false">$AO$6*INDEX($Y$13:$AB$13,1,B58-2026)/12</f>
        <v>0</v>
      </c>
      <c r="BR58" s="88" t="n">
        <f aca="false">BP58+BR57</f>
        <v>47.068569509781</v>
      </c>
      <c r="BS58" s="88" t="n">
        <f aca="false">BQ58+BS57</f>
        <v>0</v>
      </c>
      <c r="BT58" s="88" t="n">
        <f aca="false">MAX(BT57,BR58-BS58)</f>
        <v>47.068569509781</v>
      </c>
      <c r="BU58" s="88" t="n">
        <f aca="false">BT58-BT57</f>
        <v>4.80560220169792</v>
      </c>
      <c r="BV58" s="88" t="n">
        <f aca="false">IF(B58=2026,INDEX($C$14:$Q$14,1,B58-2025)*$AO$4*C58/MAX(0.0001,12-$AO$3),INDEX($C$14:$Q$14,1,B58-2025)/12)</f>
        <v>2.85021923686911</v>
      </c>
      <c r="BW58" s="88" t="n">
        <f aca="false">$AO$6*INDEX($Y$14:$AB$14,1,B58-2026)/12</f>
        <v>0</v>
      </c>
      <c r="BX58" s="88" t="n">
        <f aca="false">BV58+BX57</f>
        <v>27.9165308816632</v>
      </c>
      <c r="BY58" s="88" t="n">
        <f aca="false">BW58+BY57</f>
        <v>0</v>
      </c>
      <c r="BZ58" s="88" t="n">
        <f aca="false">MAX(BZ57,BX58-BY58)</f>
        <v>27.9165308816632</v>
      </c>
      <c r="CA58" s="88" t="n">
        <f aca="false">BZ58-BZ57</f>
        <v>2.85021923686911</v>
      </c>
      <c r="CB58" s="88" t="n">
        <f aca="false">IF(B58=2026,INDEX($C$15:$Q$15,1,B58-2025)*$AO$4*C58/MAX(0.0001,12-$AO$3),INDEX($C$15:$Q$15,1,B58-2025)/12)</f>
        <v>4.67303386509936</v>
      </c>
      <c r="CC58" s="88" t="n">
        <f aca="false">$AO$6*INDEX($Y$15:$AB$15,1,B58-2026)/12</f>
        <v>4.73333333333333</v>
      </c>
      <c r="CD58" s="88" t="n">
        <f aca="false">CB58+CD57</f>
        <v>45.7701262129595</v>
      </c>
      <c r="CE58" s="88" t="n">
        <f aca="false">CC58+CE57</f>
        <v>50.3333333333333</v>
      </c>
      <c r="CF58" s="88" t="n">
        <f aca="false">MAX(CF57,CD58-CE58)</f>
        <v>0</v>
      </c>
      <c r="CG58" s="88" t="n">
        <f aca="false">CF58-CF57</f>
        <v>0</v>
      </c>
      <c r="CH58" s="88" t="n">
        <f aca="false">IF(B58=2026,INDEX($C$16:$Q$16,1,B58-2025)*$AO$4*C58/MAX(0.0001,12-$AO$3),INDEX($C$16:$Q$16,1,B58-2025)/12)</f>
        <v>3.69534238268495</v>
      </c>
      <c r="CI58" s="88" t="n">
        <f aca="false">$AO$6*INDEX($Y$16:$AB$16,1,B58-2026)/12</f>
        <v>4.9</v>
      </c>
      <c r="CJ58" s="88" t="n">
        <f aca="false">CH58+CJ57</f>
        <v>36.1941068989006</v>
      </c>
      <c r="CK58" s="88" t="n">
        <f aca="false">CI58+CK57</f>
        <v>35.5</v>
      </c>
      <c r="CL58" s="88" t="n">
        <f aca="false">MAX(CL57,CJ58-CK58)</f>
        <v>9.12671022010589</v>
      </c>
      <c r="CM58" s="88" t="n">
        <f aca="false">CL58-CL57</f>
        <v>0</v>
      </c>
      <c r="CN58" s="88" t="n">
        <f aca="false">IF(B58=2026,INDEX($C$17:$Q$17,1,B58-2025)*$AO$4*C58/MAX(0.0001,12-$AO$3),INDEX($C$17:$Q$17,1,B58-2025)/12)</f>
        <v>16.0904818546506</v>
      </c>
      <c r="CO58" s="88" t="n">
        <f aca="false">$AO$6*INDEX($Y$17:$AB$17,1,B58-2026)/12</f>
        <v>10.6083333333333</v>
      </c>
      <c r="CP58" s="88" t="n">
        <f aca="false">CN58+CP57</f>
        <v>157.598555151715</v>
      </c>
      <c r="CQ58" s="88" t="n">
        <f aca="false">CO58+CQ57</f>
        <v>112.958333333333</v>
      </c>
      <c r="CR58" s="88" t="n">
        <f aca="false">MAX(CR57,CP58-CQ58)</f>
        <v>44.6402218183816</v>
      </c>
      <c r="CS58" s="88" t="n">
        <f aca="false">CR58-CR57</f>
        <v>5.48214852131729</v>
      </c>
      <c r="CT58" s="88" t="n">
        <f aca="false">IF(B58=2026,INDEX($C$18:$Q$18,1,B58-2025)*$AO$4*C58/MAX(0.0001,12-$AO$3),INDEX($C$18:$Q$18,1,B58-2025)/12)</f>
        <v>3.34735049911372</v>
      </c>
      <c r="CU58" s="88" t="n">
        <f aca="false">$AO$6*INDEX($Y$18:$AB$18,1,B58-2026)/12</f>
        <v>0.7</v>
      </c>
      <c r="CV58" s="88" t="n">
        <f aca="false">CT58+CV57</f>
        <v>32.785693244744</v>
      </c>
      <c r="CW58" s="88" t="n">
        <f aca="false">CU58+CW57</f>
        <v>7.5</v>
      </c>
      <c r="CX58" s="88" t="n">
        <f aca="false">MAX(CX57,CV58-CW58)</f>
        <v>25.285693244744</v>
      </c>
      <c r="CY58" s="88" t="n">
        <f aca="false">CX58-CX57</f>
        <v>2.64735049911372</v>
      </c>
      <c r="CZ58" s="88" t="n">
        <f aca="false">IF(B58=2026,INDEX($C$19:$Q$19,1,B58-2025)*$AO$4*C58/MAX(0.0001,12-$AO$3),INDEX($C$19:$Q$19,1,B58-2025)/12)</f>
        <v>3.31420841496408</v>
      </c>
      <c r="DA58" s="88" t="n">
        <f aca="false">$AO$6*INDEX($Y$19:$AB$19,1,B58-2026)/12</f>
        <v>0.891666666666667</v>
      </c>
      <c r="DB58" s="88" t="n">
        <f aca="false">CZ58+DB57</f>
        <v>32.4610824205386</v>
      </c>
      <c r="DC58" s="88" t="n">
        <f aca="false">DA58+DC57</f>
        <v>7.44166666666667</v>
      </c>
      <c r="DD58" s="88" t="n">
        <f aca="false">MAX(DD57,DB58-DC58)</f>
        <v>25.0194157538719</v>
      </c>
      <c r="DE58" s="88" t="n">
        <f aca="false">DD58-DD57</f>
        <v>2.42254174829742</v>
      </c>
      <c r="DF58" s="88" t="n">
        <f aca="false">IF(B58=2026,INDEX($C$20:$Q$20,1,B58-2025)*$AO$4*C58/MAX(0.0001,12-$AO$3),INDEX($C$20:$Q$20,1,B58-2025)/12)</f>
        <v>2.70107985819573</v>
      </c>
      <c r="DG58" s="88" t="n">
        <f aca="false">$AO$6*INDEX($Y$20:$AB$20,1,B58-2026)/12</f>
        <v>0</v>
      </c>
      <c r="DH58" s="88" t="n">
        <f aca="false">DF58+DH57</f>
        <v>26.455782172739</v>
      </c>
      <c r="DI58" s="88" t="n">
        <f aca="false">DG58+DI57</f>
        <v>0</v>
      </c>
      <c r="DJ58" s="88" t="n">
        <f aca="false">MAX(DJ57,DH58-DI58)</f>
        <v>26.455782172739</v>
      </c>
      <c r="DK58" s="88" t="n">
        <f aca="false">DJ58-DJ57</f>
        <v>2.70107985819573</v>
      </c>
      <c r="DL58" s="88" t="n">
        <f aca="false">IF(B58=2026,INDEX($C$21:$Q$21,1,B58-2025)*$AO$4*C58/MAX(0.0001,12-$AO$3),INDEX($C$21:$Q$21,1,B58-2025)/12)</f>
        <v>1.88909879652953</v>
      </c>
      <c r="DM58" s="88" t="n">
        <f aca="false">$AO$6*INDEX($Y$21:$AB$21,1,B58-2026)/12</f>
        <v>0.85</v>
      </c>
      <c r="DN58" s="88" t="n">
        <f aca="false">DL58+DN57</f>
        <v>18.502816979707</v>
      </c>
      <c r="DO58" s="88" t="n">
        <f aca="false">DM58+DO57</f>
        <v>5.95</v>
      </c>
      <c r="DP58" s="88" t="n">
        <f aca="false">MAX(DP57,DN58-DO58)</f>
        <v>12.552816979707</v>
      </c>
      <c r="DQ58" s="88" t="n">
        <f aca="false">DP58-DP57</f>
        <v>1.03909879652953</v>
      </c>
      <c r="DR58" s="88" t="n">
        <f aca="false">IF(B58=2026,INDEX($C$22:$Q$22,1,B58-2025)*$AO$4*C58/MAX(0.0001,12-$AO$3),INDEX($C$22:$Q$22,1,B58-2025)/12)</f>
        <v>1.47482274465902</v>
      </c>
      <c r="DS58" s="88" t="n">
        <f aca="false">$AO$6*INDEX($Y$22:$AB$22,1,B58-2026)/12</f>
        <v>1.125</v>
      </c>
      <c r="DT58" s="88" t="n">
        <f aca="false">DR58+DT57</f>
        <v>14.4451816771397</v>
      </c>
      <c r="DU58" s="88" t="n">
        <f aca="false">DS58+DU57</f>
        <v>10.975</v>
      </c>
      <c r="DV58" s="88" t="n">
        <f aca="false">MAX(DV57,DT58-DU58)</f>
        <v>3.47018167713968</v>
      </c>
      <c r="DW58" s="88" t="n">
        <f aca="false">DV58-DV57</f>
        <v>0.349822744659017</v>
      </c>
      <c r="DX58" s="88" t="n">
        <f aca="false">IF(B58=2026,INDEX($C$23:$Q$23,1,B58-2025)*$AO$4*C58/MAX(0.0001,12-$AO$3),INDEX($C$23:$Q$23,1,B58-2025)/12)</f>
        <v>2.36965901669932</v>
      </c>
      <c r="DY58" s="88" t="n">
        <f aca="false">$AO$6*INDEX($Y$23:$AB$23,1,B58-2026)/12</f>
        <v>0</v>
      </c>
      <c r="DZ58" s="88" t="n">
        <f aca="false">DX58+DZ57</f>
        <v>23.2096739306851</v>
      </c>
      <c r="EA58" s="88" t="n">
        <f aca="false">DY58+EA57</f>
        <v>0</v>
      </c>
      <c r="EB58" s="88" t="n">
        <f aca="false">MAX(EB57,DZ58-EA58)</f>
        <v>23.2096739306851</v>
      </c>
      <c r="EC58" s="88" t="n">
        <f aca="false">EB58-EB57</f>
        <v>2.36965901669932</v>
      </c>
      <c r="ED58" s="88" t="n">
        <f aca="false">IF(B58=2026,INDEX($C$24:$Q$24,1,B58-2025)*$AO$4*C58/MAX(0.0001,12-$AO$3),INDEX($C$24:$Q$24,1,B58-2025)/12)</f>
        <v>1.4582517025842</v>
      </c>
      <c r="EE58" s="88" t="n">
        <f aca="false">$AO$6*INDEX($Y$24:$AB$24,1,B58-2026)/12</f>
        <v>0</v>
      </c>
      <c r="EF58" s="88" t="n">
        <f aca="false">ED58+EF57</f>
        <v>14.282876265037</v>
      </c>
      <c r="EG58" s="88" t="n">
        <f aca="false">EE58+EG57</f>
        <v>0</v>
      </c>
      <c r="EH58" s="88" t="n">
        <f aca="false">MAX(EH57,EF58-EG58)</f>
        <v>14.282876265037</v>
      </c>
      <c r="EI58" s="88" t="n">
        <f aca="false">EH58-EH57</f>
        <v>1.4582517025842</v>
      </c>
      <c r="EJ58" s="88" t="n">
        <f aca="false">IF(B58=2026,INDEX($C$25:$Q$25,1,B58-2025)*$AO$4*C58/MAX(0.0001,12-$AO$3),INDEX($C$25:$Q$25,1,B58-2025)/12)</f>
        <v>1.85595671237989</v>
      </c>
      <c r="EK58" s="88" t="n">
        <f aca="false">$AO$6*INDEX($Y$25:$AB$25,1,B58-2026)/12</f>
        <v>0.891666666666667</v>
      </c>
      <c r="EL58" s="88" t="n">
        <f aca="false">EJ58+EL57</f>
        <v>18.1782061555016</v>
      </c>
      <c r="EM58" s="88" t="n">
        <f aca="false">EK58+EM57</f>
        <v>9.54166666666666</v>
      </c>
      <c r="EN58" s="88" t="n">
        <f aca="false">MAX(EN57,EL58-EM58)</f>
        <v>8.63653948883496</v>
      </c>
      <c r="EO58" s="88" t="n">
        <f aca="false">EN58-EN57</f>
        <v>0.96429004571322</v>
      </c>
      <c r="EP58" s="88" t="n">
        <f aca="false">IF(B58=2026,INDEX($C$26:$Q$26,1,B58-2025)*$AO$4*C58/MAX(0.0001,12-$AO$3),INDEX($C$26:$Q$26,1,B58-2025)/12)</f>
        <v>2.66793777404609</v>
      </c>
      <c r="EQ58" s="88" t="n">
        <f aca="false">$AO$6*INDEX($Y$26:$AB$26,1,B58-2026)/12</f>
        <v>0.308333333333333</v>
      </c>
      <c r="ER58" s="88" t="n">
        <f aca="false">EP58+ER57</f>
        <v>26.1311713485336</v>
      </c>
      <c r="ES58" s="88" t="n">
        <f aca="false">EQ58+ES57</f>
        <v>2.15833333333333</v>
      </c>
      <c r="ET58" s="88" t="n">
        <f aca="false">MAX(ET57,ER58-ES58)</f>
        <v>23.9728380152003</v>
      </c>
      <c r="EU58" s="88" t="n">
        <f aca="false">ET58-ET57</f>
        <v>2.35960444071276</v>
      </c>
      <c r="EV58" s="88" t="n">
        <f aca="false">IF(B58=2026,INDEX($C$27:$Q$27,1,B58-2025)*$AO$4*C58/MAX(0.0001,12-$AO$3),INDEX($C$27:$Q$27,1,B58-2025)/12)</f>
        <v>6.62841682992816</v>
      </c>
      <c r="EW58" s="88" t="n">
        <f aca="false">$AO$6*INDEX($Y$27:$AB$27,1,B58-2026)/12</f>
        <v>12.4166666666667</v>
      </c>
      <c r="EX58" s="88" t="n">
        <f aca="false">EV58+EX57</f>
        <v>64.9221648410772</v>
      </c>
      <c r="EY58" s="88" t="n">
        <f aca="false">EW58+EY57</f>
        <v>123.016666666667</v>
      </c>
      <c r="EZ58" s="88" t="n">
        <f aca="false">MAX(EZ57,EX58-EY58)</f>
        <v>0</v>
      </c>
      <c r="FA58" s="88" t="n">
        <f aca="false">EZ58-EZ57</f>
        <v>0</v>
      </c>
      <c r="FB58" s="88" t="n">
        <f aca="false">IF(B58=2026,INDEX($C$28:$Q$28,1,B58-2025)*$AO$4*C58/MAX(0.0001,12-$AO$3),INDEX($C$28:$Q$28,1,B58-2025)/12)</f>
        <v>34.6997621046739</v>
      </c>
      <c r="FC58" s="88" t="n">
        <f aca="false">$AO$6*INDEX($Y$28:$AB$28,1,B58-2026)/12</f>
        <v>6.825</v>
      </c>
      <c r="FD58" s="88" t="n">
        <f aca="false">FB58+FD57</f>
        <v>339.867532943039</v>
      </c>
      <c r="FE58" s="88" t="n">
        <f aca="false">FC58+FE57</f>
        <v>71.875</v>
      </c>
      <c r="FF58" s="88" t="n">
        <f aca="false">MAX(FF57,FD58-FE58)</f>
        <v>267.992532943039</v>
      </c>
      <c r="FG58" s="88" t="n">
        <f aca="false">FF58-FF57</f>
        <v>27.8747621046739</v>
      </c>
    </row>
    <row r="59" customFormat="false" ht="15" hidden="false" customHeight="false" outlineLevel="0" collapsed="false">
      <c r="A59" s="0" t="n">
        <v>19</v>
      </c>
      <c r="B59" s="88" t="n">
        <f aca="false">2026+INT(A59/12)</f>
        <v>2027</v>
      </c>
      <c r="C59" s="88" t="n">
        <f aca="false">MAX(0,MIN(1,A59+1-$AO$3))</f>
        <v>1</v>
      </c>
      <c r="D59" s="88" t="n">
        <f aca="false">IF((A59+0.5-(0))&lt;$AO$3,0,2026+INT((A59+0.5-(0))/12))</f>
        <v>2027</v>
      </c>
      <c r="E59" s="88" t="n">
        <f aca="false">IF((A59+0.5-($AO$9))&lt;$AO$3,0,2026+INT((A59+0.5-($AO$9))/12))</f>
        <v>0</v>
      </c>
      <c r="F59" s="88" t="n">
        <f aca="false">IF((A59+0.5-($AO$9+$AO$8))&lt;$AO$3,0,2026+INT((A59+0.5-($AO$9+$AO$8))/12))</f>
        <v>0</v>
      </c>
      <c r="G59" s="88" t="n">
        <f aca="false">IF((A59+0.5-($AO$9+$AO$8+$AO$7))&lt;$AO$3,0,2026+INT((A59+0.5-($AO$9+$AO$8+$AO$7))/12))</f>
        <v>0</v>
      </c>
      <c r="H59" s="88" t="n">
        <f aca="false">IF(B59=2026,INDEX($C$3:$Q$3,1,B59-2025)*$AO$4*C59/MAX(0.0001,12-$AO$3),INDEX($C$3:$Q$3,1,B59-2025)/12)</f>
        <v>355.25</v>
      </c>
      <c r="I59" s="88" t="n">
        <f aca="false">$AO$6*INDEX($Y$3:$AB$3,1,B59-2026)/12</f>
        <v>173.725</v>
      </c>
      <c r="J59" s="88" t="n">
        <f aca="false">H59+J58</f>
        <v>3834.75342465753</v>
      </c>
      <c r="K59" s="88" t="n">
        <f aca="false">I59+K58</f>
        <v>1896</v>
      </c>
      <c r="L59" s="88" t="n">
        <f aca="false">MAX(L58,J59-K59)</f>
        <v>1938.75342465753</v>
      </c>
      <c r="M59" s="88" t="n">
        <f aca="false">L59-L58</f>
        <v>181.525</v>
      </c>
      <c r="N59" s="88" t="n">
        <f aca="false">IF(B59=2026,INDEX($C$4:$Q$4,1,B59-2025)*$AO$4*C59/MAX(0.0001,12-$AO$3),INDEX($C$4:$Q$4,1,B59-2025)/12)</f>
        <v>10.7700632578534</v>
      </c>
      <c r="O59" s="88" t="n">
        <f aca="false">$AO$6*INDEX($Y$4:$AB$4,1,B59-2026)/12</f>
        <v>8.91666666666667</v>
      </c>
      <c r="P59" s="88" t="n">
        <f aca="false">N59+P58</f>
        <v>116.257669139568</v>
      </c>
      <c r="Q59" s="88" t="n">
        <f aca="false">O59+Q58</f>
        <v>96.0333333333334</v>
      </c>
      <c r="R59" s="88" t="n">
        <f aca="false">MAX(R58,P59-Q59)</f>
        <v>20.2243358062344</v>
      </c>
      <c r="S59" s="88" t="n">
        <f aca="false">R59-R58</f>
        <v>1.85339659118668</v>
      </c>
      <c r="T59" s="88" t="n">
        <f aca="false">IF(B59=2026,INDEX($C$5:$Q$5,1,B59-2025)*$AO$4*C59/MAX(0.0001,12-$AO$3),INDEX($C$5:$Q$5,1,B59-2025)/12)</f>
        <v>43.7734247619348</v>
      </c>
      <c r="U59" s="88" t="n">
        <f aca="false">$AO$6*INDEX($Y$5:$AB$5,1,B59-2026)/12</f>
        <v>25.5166666666667</v>
      </c>
      <c r="V59" s="88" t="n">
        <f aca="false">T59+V58</f>
        <v>472.513133046639</v>
      </c>
      <c r="W59" s="88" t="n">
        <f aca="false">U59+W58</f>
        <v>268.633333333333</v>
      </c>
      <c r="X59" s="88" t="n">
        <f aca="false">MAX(X58,V59-W59)</f>
        <v>203.879799713305</v>
      </c>
      <c r="Y59" s="88" t="n">
        <f aca="false">X59-X58</f>
        <v>18.2567580952681</v>
      </c>
      <c r="Z59" s="88" t="n">
        <f aca="false">IF(B59=2026,INDEX($C$6:$Q$6,1,B59-2025)*$AO$4*C59/MAX(0.0001,12-$AO$3),INDEX($C$6:$Q$6,1,B59-2025)/12)</f>
        <v>51.933610116259</v>
      </c>
      <c r="AA59" s="88" t="n">
        <f aca="false">$AO$6*INDEX($Y$6:$AB$6,1,B59-2026)/12</f>
        <v>38.6</v>
      </c>
      <c r="AB59" s="88" t="n">
        <f aca="false">Z59+AB58</f>
        <v>560.598421528932</v>
      </c>
      <c r="AC59" s="88" t="n">
        <f aca="false">AA59+AC58</f>
        <v>448.3</v>
      </c>
      <c r="AD59" s="88" t="n">
        <f aca="false">MAX(AD58,AB59-AC59)</f>
        <v>112.298421528932</v>
      </c>
      <c r="AE59" s="88" t="n">
        <f aca="false">AD59-AD58</f>
        <v>13.3336101162589</v>
      </c>
      <c r="AF59" s="88" t="n">
        <f aca="false">IF(B59=2026,INDEX($C$7:$Q$7,1,B59-2025)*$AO$4*C59/MAX(0.0001,12-$AO$3),INDEX($C$7:$Q$7,1,B59-2025)/12)</f>
        <v>45.11289896006</v>
      </c>
      <c r="AG59" s="88" t="n">
        <f aca="false">$AO$6*INDEX($Y$7:$AB$7,1,B59-2026)/12</f>
        <v>7.125</v>
      </c>
      <c r="AH59" s="88" t="n">
        <f aca="false">AF59+AH58</f>
        <v>486.972114801743</v>
      </c>
      <c r="AI59" s="88" t="n">
        <f aca="false">AG59+AI58</f>
        <v>70.8</v>
      </c>
      <c r="AJ59" s="88" t="n">
        <f aca="false">MAX(AJ58,AH59-AI59)</f>
        <v>416.172114801743</v>
      </c>
      <c r="AK59" s="88" t="n">
        <f aca="false">AJ59-AJ58</f>
        <v>37.98789896006</v>
      </c>
      <c r="AL59" s="88" t="n">
        <f aca="false">IF(B59=2026,INDEX($C$8:$Q$8,1,B59-2025)*$AO$4*C59/MAX(0.0001,12-$AO$3),INDEX($C$8:$Q$8,1,B59-2025)/12)</f>
        <v>11.4114321188341</v>
      </c>
      <c r="AM59" s="88" t="n">
        <f aca="false">$AO$6*INDEX($Y$8:$AB$8,1,B59-2026)/12</f>
        <v>1.65833333333333</v>
      </c>
      <c r="AN59" s="88" t="n">
        <f aca="false">AL59+AN58</f>
        <v>123.180938488236</v>
      </c>
      <c r="AO59" s="88" t="n">
        <f aca="false">AM59+AO58</f>
        <v>19.3666666666667</v>
      </c>
      <c r="AP59" s="88" t="n">
        <f aca="false">MAX(AP58,AN59-AO59)</f>
        <v>103.81427182157</v>
      </c>
      <c r="AQ59" s="88" t="n">
        <f aca="false">AP59-AP58</f>
        <v>9.75309878550075</v>
      </c>
      <c r="AR59" s="88" t="n">
        <f aca="false">IF(B59=2026,INDEX($C$9:$Q$9,1,B59-2025)*$AO$4*C59/MAX(0.0001,12-$AO$3),INDEX($C$9:$Q$9,1,B59-2025)/12)</f>
        <v>48.6576953186344</v>
      </c>
      <c r="AS59" s="88" t="n">
        <f aca="false">$AO$6*INDEX($Y$9:$AB$9,1,B59-2026)/12</f>
        <v>36.6416666666667</v>
      </c>
      <c r="AT59" s="88" t="n">
        <f aca="false">AR59+AT58</f>
        <v>525.236491932656</v>
      </c>
      <c r="AU59" s="88" t="n">
        <f aca="false">AS59+AU58</f>
        <v>401.533333333333</v>
      </c>
      <c r="AV59" s="88" t="n">
        <f aca="false">MAX(AV58,AT59-AU59)</f>
        <v>123.703158599323</v>
      </c>
      <c r="AW59" s="88" t="n">
        <f aca="false">AV59-AV58</f>
        <v>12.0160286519678</v>
      </c>
      <c r="AX59" s="88" t="n">
        <f aca="false">IF(B59=2026,INDEX($C$10:$Q$10,1,B59-2025)*$AO$4*C59/MAX(0.0001,12-$AO$3),INDEX($C$10:$Q$10,1,B59-2025)/12)</f>
        <v>5.64404597663043</v>
      </c>
      <c r="AY59" s="88" t="n">
        <f aca="false">$AO$6*INDEX($Y$10:$AB$10,1,B59-2026)/12</f>
        <v>0</v>
      </c>
      <c r="AZ59" s="88" t="n">
        <f aca="false">AX59+AZ58</f>
        <v>60.9247702682847</v>
      </c>
      <c r="BA59" s="88" t="n">
        <f aca="false">AY59+BA58</f>
        <v>0</v>
      </c>
      <c r="BB59" s="88" t="n">
        <f aca="false">MAX(BB58,AZ59-BA59)</f>
        <v>60.9247702682847</v>
      </c>
      <c r="BC59" s="88" t="n">
        <f aca="false">BB59-BB58</f>
        <v>5.64404597663043</v>
      </c>
      <c r="BD59" s="88" t="n">
        <f aca="false">IF(B59=2026,INDEX($C$11:$Q$11,1,B59-2025)*$AO$4*C59/MAX(0.0001,12-$AO$3),INDEX($C$11:$Q$11,1,B59-2025)/12)</f>
        <v>28.0475536513497</v>
      </c>
      <c r="BE59" s="88" t="n">
        <f aca="false">$AO$6*INDEX($Y$11:$AB$11,1,B59-2026)/12</f>
        <v>7.61666666666667</v>
      </c>
      <c r="BF59" s="88" t="n">
        <f aca="false">BD59+BF58</f>
        <v>302.75989420909</v>
      </c>
      <c r="BG59" s="88" t="n">
        <f aca="false">BE59+BG58</f>
        <v>78.9333333333333</v>
      </c>
      <c r="BH59" s="88" t="n">
        <f aca="false">MAX(BH58,BF59-BG59)</f>
        <v>223.826560875756</v>
      </c>
      <c r="BI59" s="88" t="n">
        <f aca="false">BH59-BH58</f>
        <v>20.430886984683</v>
      </c>
      <c r="BJ59" s="88" t="n">
        <f aca="false">IF(B59=2026,INDEX($C$12:$Q$12,1,B59-2025)*$AO$4*C59/MAX(0.0001,12-$AO$3),INDEX($C$12:$Q$12,1,B59-2025)/12)</f>
        <v>15.3780518436687</v>
      </c>
      <c r="BK59" s="88" t="n">
        <f aca="false">$AO$6*INDEX($Y$12:$AB$12,1,B59-2026)/12</f>
        <v>3.4</v>
      </c>
      <c r="BL59" s="88" t="n">
        <f aca="false">BJ59+BL58</f>
        <v>165.998696613849</v>
      </c>
      <c r="BM59" s="88" t="n">
        <f aca="false">BK59+BM58</f>
        <v>30.9</v>
      </c>
      <c r="BN59" s="88" t="n">
        <f aca="false">MAX(BN58,BL59-BM59)</f>
        <v>135.098696613849</v>
      </c>
      <c r="BO59" s="88" t="n">
        <f aca="false">BN59-BN58</f>
        <v>11.9780518436687</v>
      </c>
      <c r="BP59" s="88" t="n">
        <f aca="false">IF(B59=2026,INDEX($C$13:$Q$13,1,B59-2025)*$AO$4*C59/MAX(0.0001,12-$AO$3),INDEX($C$13:$Q$13,1,B59-2025)/12)</f>
        <v>4.80560220169792</v>
      </c>
      <c r="BQ59" s="88" t="n">
        <f aca="false">$AO$6*INDEX($Y$13:$AB$13,1,B59-2026)/12</f>
        <v>0</v>
      </c>
      <c r="BR59" s="88" t="n">
        <f aca="false">BP59+BR58</f>
        <v>51.8741717114789</v>
      </c>
      <c r="BS59" s="88" t="n">
        <f aca="false">BQ59+BS58</f>
        <v>0</v>
      </c>
      <c r="BT59" s="88" t="n">
        <f aca="false">MAX(BT58,BR59-BS59)</f>
        <v>51.8741717114789</v>
      </c>
      <c r="BU59" s="88" t="n">
        <f aca="false">BT59-BT58</f>
        <v>4.80560220169792</v>
      </c>
      <c r="BV59" s="88" t="n">
        <f aca="false">IF(B59=2026,INDEX($C$14:$Q$14,1,B59-2025)*$AO$4*C59/MAX(0.0001,12-$AO$3),INDEX($C$14:$Q$14,1,B59-2025)/12)</f>
        <v>2.85021923686911</v>
      </c>
      <c r="BW59" s="88" t="n">
        <f aca="false">$AO$6*INDEX($Y$14:$AB$14,1,B59-2026)/12</f>
        <v>0</v>
      </c>
      <c r="BX59" s="88" t="n">
        <f aca="false">BV59+BX58</f>
        <v>30.7667501185323</v>
      </c>
      <c r="BY59" s="88" t="n">
        <f aca="false">BW59+BY58</f>
        <v>0</v>
      </c>
      <c r="BZ59" s="88" t="n">
        <f aca="false">MAX(BZ58,BX59-BY59)</f>
        <v>30.7667501185323</v>
      </c>
      <c r="CA59" s="88" t="n">
        <f aca="false">BZ59-BZ58</f>
        <v>2.85021923686911</v>
      </c>
      <c r="CB59" s="88" t="n">
        <f aca="false">IF(B59=2026,INDEX($C$15:$Q$15,1,B59-2025)*$AO$4*C59/MAX(0.0001,12-$AO$3),INDEX($C$15:$Q$15,1,B59-2025)/12)</f>
        <v>4.67303386509936</v>
      </c>
      <c r="CC59" s="88" t="n">
        <f aca="false">$AO$6*INDEX($Y$15:$AB$15,1,B59-2026)/12</f>
        <v>4.73333333333333</v>
      </c>
      <c r="CD59" s="88" t="n">
        <f aca="false">CB59+CD58</f>
        <v>50.4431600780588</v>
      </c>
      <c r="CE59" s="88" t="n">
        <f aca="false">CC59+CE58</f>
        <v>55.0666666666667</v>
      </c>
      <c r="CF59" s="88" t="n">
        <f aca="false">MAX(CF58,CD59-CE59)</f>
        <v>0</v>
      </c>
      <c r="CG59" s="88" t="n">
        <f aca="false">CF59-CF58</f>
        <v>0</v>
      </c>
      <c r="CH59" s="88" t="n">
        <f aca="false">IF(B59=2026,INDEX($C$16:$Q$16,1,B59-2025)*$AO$4*C59/MAX(0.0001,12-$AO$3),INDEX($C$16:$Q$16,1,B59-2025)/12)</f>
        <v>3.69534238268495</v>
      </c>
      <c r="CI59" s="88" t="n">
        <f aca="false">$AO$6*INDEX($Y$16:$AB$16,1,B59-2026)/12</f>
        <v>4.9</v>
      </c>
      <c r="CJ59" s="88" t="n">
        <f aca="false">CH59+CJ58</f>
        <v>39.8894492815855</v>
      </c>
      <c r="CK59" s="88" t="n">
        <f aca="false">CI59+CK58</f>
        <v>40.4</v>
      </c>
      <c r="CL59" s="88" t="n">
        <f aca="false">MAX(CL58,CJ59-CK59)</f>
        <v>9.12671022010589</v>
      </c>
      <c r="CM59" s="88" t="n">
        <f aca="false">CL59-CL58</f>
        <v>0</v>
      </c>
      <c r="CN59" s="88" t="n">
        <f aca="false">IF(B59=2026,INDEX($C$17:$Q$17,1,B59-2025)*$AO$4*C59/MAX(0.0001,12-$AO$3),INDEX($C$17:$Q$17,1,B59-2025)/12)</f>
        <v>16.0904818546506</v>
      </c>
      <c r="CO59" s="88" t="n">
        <f aca="false">$AO$6*INDEX($Y$17:$AB$17,1,B59-2026)/12</f>
        <v>10.6083333333333</v>
      </c>
      <c r="CP59" s="88" t="n">
        <f aca="false">CN59+CP58</f>
        <v>173.689037006366</v>
      </c>
      <c r="CQ59" s="88" t="n">
        <f aca="false">CO59+CQ58</f>
        <v>123.566666666667</v>
      </c>
      <c r="CR59" s="88" t="n">
        <f aca="false">MAX(CR58,CP59-CQ59)</f>
        <v>50.1223703396989</v>
      </c>
      <c r="CS59" s="88" t="n">
        <f aca="false">CR59-CR58</f>
        <v>5.48214852131729</v>
      </c>
      <c r="CT59" s="88" t="n">
        <f aca="false">IF(B59=2026,INDEX($C$18:$Q$18,1,B59-2025)*$AO$4*C59/MAX(0.0001,12-$AO$3),INDEX($C$18:$Q$18,1,B59-2025)/12)</f>
        <v>3.34735049911372</v>
      </c>
      <c r="CU59" s="88" t="n">
        <f aca="false">$AO$6*INDEX($Y$18:$AB$18,1,B59-2026)/12</f>
        <v>0.7</v>
      </c>
      <c r="CV59" s="88" t="n">
        <f aca="false">CT59+CV58</f>
        <v>36.1330437438577</v>
      </c>
      <c r="CW59" s="88" t="n">
        <f aca="false">CU59+CW58</f>
        <v>8.2</v>
      </c>
      <c r="CX59" s="88" t="n">
        <f aca="false">MAX(CX58,CV59-CW59)</f>
        <v>27.9330437438577</v>
      </c>
      <c r="CY59" s="88" t="n">
        <f aca="false">CX59-CX58</f>
        <v>2.64735049911372</v>
      </c>
      <c r="CZ59" s="88" t="n">
        <f aca="false">IF(B59=2026,INDEX($C$19:$Q$19,1,B59-2025)*$AO$4*C59/MAX(0.0001,12-$AO$3),INDEX($C$19:$Q$19,1,B59-2025)/12)</f>
        <v>3.31420841496408</v>
      </c>
      <c r="DA59" s="88" t="n">
        <f aca="false">$AO$6*INDEX($Y$19:$AB$19,1,B59-2026)/12</f>
        <v>0.891666666666667</v>
      </c>
      <c r="DB59" s="88" t="n">
        <f aca="false">CZ59+DB58</f>
        <v>35.7752908355027</v>
      </c>
      <c r="DC59" s="88" t="n">
        <f aca="false">DA59+DC58</f>
        <v>8.33333333333333</v>
      </c>
      <c r="DD59" s="88" t="n">
        <f aca="false">MAX(DD58,DB59-DC59)</f>
        <v>27.4419575021694</v>
      </c>
      <c r="DE59" s="88" t="n">
        <f aca="false">DD59-DD58</f>
        <v>2.42254174829742</v>
      </c>
      <c r="DF59" s="88" t="n">
        <f aca="false">IF(B59=2026,INDEX($C$20:$Q$20,1,B59-2025)*$AO$4*C59/MAX(0.0001,12-$AO$3),INDEX($C$20:$Q$20,1,B59-2025)/12)</f>
        <v>2.70107985819573</v>
      </c>
      <c r="DG59" s="88" t="n">
        <f aca="false">$AO$6*INDEX($Y$20:$AB$20,1,B59-2026)/12</f>
        <v>0</v>
      </c>
      <c r="DH59" s="88" t="n">
        <f aca="false">DF59+DH58</f>
        <v>29.1568620309347</v>
      </c>
      <c r="DI59" s="88" t="n">
        <f aca="false">DG59+DI58</f>
        <v>0</v>
      </c>
      <c r="DJ59" s="88" t="n">
        <f aca="false">MAX(DJ58,DH59-DI59)</f>
        <v>29.1568620309347</v>
      </c>
      <c r="DK59" s="88" t="n">
        <f aca="false">DJ59-DJ58</f>
        <v>2.70107985819573</v>
      </c>
      <c r="DL59" s="88" t="n">
        <f aca="false">IF(B59=2026,INDEX($C$21:$Q$21,1,B59-2025)*$AO$4*C59/MAX(0.0001,12-$AO$3),INDEX($C$21:$Q$21,1,B59-2025)/12)</f>
        <v>1.88909879652953</v>
      </c>
      <c r="DM59" s="88" t="n">
        <f aca="false">$AO$6*INDEX($Y$21:$AB$21,1,B59-2026)/12</f>
        <v>0.85</v>
      </c>
      <c r="DN59" s="88" t="n">
        <f aca="false">DL59+DN58</f>
        <v>20.3919157762365</v>
      </c>
      <c r="DO59" s="88" t="n">
        <f aca="false">DM59+DO58</f>
        <v>6.8</v>
      </c>
      <c r="DP59" s="88" t="n">
        <f aca="false">MAX(DP58,DN59-DO59)</f>
        <v>13.5919157762365</v>
      </c>
      <c r="DQ59" s="88" t="n">
        <f aca="false">DP59-DP58</f>
        <v>1.03909879652953</v>
      </c>
      <c r="DR59" s="88" t="n">
        <f aca="false">IF(B59=2026,INDEX($C$22:$Q$22,1,B59-2025)*$AO$4*C59/MAX(0.0001,12-$AO$3),INDEX($C$22:$Q$22,1,B59-2025)/12)</f>
        <v>1.47482274465902</v>
      </c>
      <c r="DS59" s="88" t="n">
        <f aca="false">$AO$6*INDEX($Y$22:$AB$22,1,B59-2026)/12</f>
        <v>1.125</v>
      </c>
      <c r="DT59" s="88" t="n">
        <f aca="false">DR59+DT58</f>
        <v>15.9200044217987</v>
      </c>
      <c r="DU59" s="88" t="n">
        <f aca="false">DS59+DU58</f>
        <v>12.1</v>
      </c>
      <c r="DV59" s="88" t="n">
        <f aca="false">MAX(DV58,DT59-DU59)</f>
        <v>3.8200044217987</v>
      </c>
      <c r="DW59" s="88" t="n">
        <f aca="false">DV59-DV58</f>
        <v>0.349822744659017</v>
      </c>
      <c r="DX59" s="88" t="n">
        <f aca="false">IF(B59=2026,INDEX($C$23:$Q$23,1,B59-2025)*$AO$4*C59/MAX(0.0001,12-$AO$3),INDEX($C$23:$Q$23,1,B59-2025)/12)</f>
        <v>2.36965901669932</v>
      </c>
      <c r="DY59" s="88" t="n">
        <f aca="false">$AO$6*INDEX($Y$23:$AB$23,1,B59-2026)/12</f>
        <v>0</v>
      </c>
      <c r="DZ59" s="88" t="n">
        <f aca="false">DX59+DZ58</f>
        <v>25.5793329473844</v>
      </c>
      <c r="EA59" s="88" t="n">
        <f aca="false">DY59+EA58</f>
        <v>0</v>
      </c>
      <c r="EB59" s="88" t="n">
        <f aca="false">MAX(EB58,DZ59-EA59)</f>
        <v>25.5793329473844</v>
      </c>
      <c r="EC59" s="88" t="n">
        <f aca="false">EB59-EB58</f>
        <v>2.36965901669932</v>
      </c>
      <c r="ED59" s="88" t="n">
        <f aca="false">IF(B59=2026,INDEX($C$24:$Q$24,1,B59-2025)*$AO$4*C59/MAX(0.0001,12-$AO$3),INDEX($C$24:$Q$24,1,B59-2025)/12)</f>
        <v>1.4582517025842</v>
      </c>
      <c r="EE59" s="88" t="n">
        <f aca="false">$AO$6*INDEX($Y$24:$AB$24,1,B59-2026)/12</f>
        <v>0</v>
      </c>
      <c r="EF59" s="88" t="n">
        <f aca="false">ED59+EF58</f>
        <v>15.7411279676212</v>
      </c>
      <c r="EG59" s="88" t="n">
        <f aca="false">EE59+EG58</f>
        <v>0</v>
      </c>
      <c r="EH59" s="88" t="n">
        <f aca="false">MAX(EH58,EF59-EG59)</f>
        <v>15.7411279676212</v>
      </c>
      <c r="EI59" s="88" t="n">
        <f aca="false">EH59-EH58</f>
        <v>1.4582517025842</v>
      </c>
      <c r="EJ59" s="88" t="n">
        <f aca="false">IF(B59=2026,INDEX($C$25:$Q$25,1,B59-2025)*$AO$4*C59/MAX(0.0001,12-$AO$3),INDEX($C$25:$Q$25,1,B59-2025)/12)</f>
        <v>1.85595671237989</v>
      </c>
      <c r="EK59" s="88" t="n">
        <f aca="false">$AO$6*INDEX($Y$25:$AB$25,1,B59-2026)/12</f>
        <v>0.891666666666667</v>
      </c>
      <c r="EL59" s="88" t="n">
        <f aca="false">EJ59+EL58</f>
        <v>20.0341628678815</v>
      </c>
      <c r="EM59" s="88" t="n">
        <f aca="false">EK59+EM58</f>
        <v>10.4333333333333</v>
      </c>
      <c r="EN59" s="88" t="n">
        <f aca="false">MAX(EN58,EL59-EM59)</f>
        <v>9.60082953454818</v>
      </c>
      <c r="EO59" s="88" t="n">
        <f aca="false">EN59-EN58</f>
        <v>0.96429004571322</v>
      </c>
      <c r="EP59" s="88" t="n">
        <f aca="false">IF(B59=2026,INDEX($C$26:$Q$26,1,B59-2025)*$AO$4*C59/MAX(0.0001,12-$AO$3),INDEX($C$26:$Q$26,1,B59-2025)/12)</f>
        <v>2.66793777404609</v>
      </c>
      <c r="EQ59" s="88" t="n">
        <f aca="false">$AO$6*INDEX($Y$26:$AB$26,1,B59-2026)/12</f>
        <v>0.308333333333333</v>
      </c>
      <c r="ER59" s="88" t="n">
        <f aca="false">EP59+ER58</f>
        <v>28.7991091225797</v>
      </c>
      <c r="ES59" s="88" t="n">
        <f aca="false">EQ59+ES58</f>
        <v>2.46666666666667</v>
      </c>
      <c r="ET59" s="88" t="n">
        <f aca="false">MAX(ET58,ER59-ES59)</f>
        <v>26.332442455913</v>
      </c>
      <c r="EU59" s="88" t="n">
        <f aca="false">ET59-ET58</f>
        <v>2.35960444071275</v>
      </c>
      <c r="EV59" s="88" t="n">
        <f aca="false">IF(B59=2026,INDEX($C$27:$Q$27,1,B59-2025)*$AO$4*C59/MAX(0.0001,12-$AO$3),INDEX($C$27:$Q$27,1,B59-2025)/12)</f>
        <v>6.62841682992816</v>
      </c>
      <c r="EW59" s="88" t="n">
        <f aca="false">$AO$6*INDEX($Y$27:$AB$27,1,B59-2026)/12</f>
        <v>12.4166666666667</v>
      </c>
      <c r="EX59" s="88" t="n">
        <f aca="false">EV59+EX58</f>
        <v>71.5505816710054</v>
      </c>
      <c r="EY59" s="88" t="n">
        <f aca="false">EW59+EY58</f>
        <v>135.433333333333</v>
      </c>
      <c r="EZ59" s="88" t="n">
        <f aca="false">MAX(EZ58,EX59-EY59)</f>
        <v>0</v>
      </c>
      <c r="FA59" s="88" t="n">
        <f aca="false">EZ59-EZ58</f>
        <v>0</v>
      </c>
      <c r="FB59" s="88" t="n">
        <f aca="false">IF(B59=2026,INDEX($C$28:$Q$28,1,B59-2025)*$AO$4*C59/MAX(0.0001,12-$AO$3),INDEX($C$28:$Q$28,1,B59-2025)/12)</f>
        <v>34.6997621046739</v>
      </c>
      <c r="FC59" s="88" t="n">
        <f aca="false">$AO$6*INDEX($Y$28:$AB$28,1,B59-2026)/12</f>
        <v>6.825</v>
      </c>
      <c r="FD59" s="88" t="n">
        <f aca="false">FB59+FD58</f>
        <v>374.567295047713</v>
      </c>
      <c r="FE59" s="88" t="n">
        <f aca="false">FC59+FE58</f>
        <v>78.7</v>
      </c>
      <c r="FF59" s="88" t="n">
        <f aca="false">MAX(FF58,FD59-FE59)</f>
        <v>295.867295047713</v>
      </c>
      <c r="FG59" s="88" t="n">
        <f aca="false">FF59-FF58</f>
        <v>27.8747621046739</v>
      </c>
    </row>
    <row r="60" customFormat="false" ht="15" hidden="false" customHeight="false" outlineLevel="0" collapsed="false">
      <c r="A60" s="0" t="n">
        <v>20</v>
      </c>
      <c r="B60" s="88" t="n">
        <f aca="false">2026+INT(A60/12)</f>
        <v>2027</v>
      </c>
      <c r="C60" s="88" t="n">
        <f aca="false">MAX(0,MIN(1,A60+1-$AO$3))</f>
        <v>1</v>
      </c>
      <c r="D60" s="88" t="n">
        <f aca="false">IF((A60+0.5-(0))&lt;$AO$3,0,2026+INT((A60+0.5-(0))/12))</f>
        <v>2027</v>
      </c>
      <c r="E60" s="88" t="n">
        <f aca="false">IF((A60+0.5-($AO$9))&lt;$AO$3,0,2026+INT((A60+0.5-($AO$9))/12))</f>
        <v>0</v>
      </c>
      <c r="F60" s="88" t="n">
        <f aca="false">IF((A60+0.5-($AO$9+$AO$8))&lt;$AO$3,0,2026+INT((A60+0.5-($AO$9+$AO$8))/12))</f>
        <v>0</v>
      </c>
      <c r="G60" s="88" t="n">
        <f aca="false">IF((A60+0.5-($AO$9+$AO$8+$AO$7))&lt;$AO$3,0,2026+INT((A60+0.5-($AO$9+$AO$8+$AO$7))/12))</f>
        <v>0</v>
      </c>
      <c r="H60" s="88" t="n">
        <f aca="false">IF(B60=2026,INDEX($C$3:$Q$3,1,B60-2025)*$AO$4*C60/MAX(0.0001,12-$AO$3),INDEX($C$3:$Q$3,1,B60-2025)/12)</f>
        <v>355.25</v>
      </c>
      <c r="I60" s="88" t="n">
        <f aca="false">$AO$6*INDEX($Y$3:$AB$3,1,B60-2026)/12</f>
        <v>173.725</v>
      </c>
      <c r="J60" s="88" t="n">
        <f aca="false">H60+J59</f>
        <v>4190.00342465753</v>
      </c>
      <c r="K60" s="88" t="n">
        <f aca="false">I60+K59</f>
        <v>2069.725</v>
      </c>
      <c r="L60" s="88" t="n">
        <f aca="false">MAX(L59,J60-K60)</f>
        <v>2120.27842465753</v>
      </c>
      <c r="M60" s="88" t="n">
        <f aca="false">L60-L59</f>
        <v>181.525</v>
      </c>
      <c r="N60" s="88" t="n">
        <f aca="false">IF(B60=2026,INDEX($C$4:$Q$4,1,B60-2025)*$AO$4*C60/MAX(0.0001,12-$AO$3),INDEX($C$4:$Q$4,1,B60-2025)/12)</f>
        <v>10.7700632578534</v>
      </c>
      <c r="O60" s="88" t="n">
        <f aca="false">$AO$6*INDEX($Y$4:$AB$4,1,B60-2026)/12</f>
        <v>8.91666666666667</v>
      </c>
      <c r="P60" s="88" t="n">
        <f aca="false">N60+P59</f>
        <v>127.027732397421</v>
      </c>
      <c r="Q60" s="88" t="n">
        <f aca="false">O60+Q59</f>
        <v>104.95</v>
      </c>
      <c r="R60" s="88" t="n">
        <f aca="false">MAX(R59,P60-Q60)</f>
        <v>22.077732397421</v>
      </c>
      <c r="S60" s="88" t="n">
        <f aca="false">R60-R59</f>
        <v>1.85339659118668</v>
      </c>
      <c r="T60" s="88" t="n">
        <f aca="false">IF(B60=2026,INDEX($C$5:$Q$5,1,B60-2025)*$AO$4*C60/MAX(0.0001,12-$AO$3),INDEX($C$5:$Q$5,1,B60-2025)/12)</f>
        <v>43.7734247619348</v>
      </c>
      <c r="U60" s="88" t="n">
        <f aca="false">$AO$6*INDEX($Y$5:$AB$5,1,B60-2026)/12</f>
        <v>25.5166666666667</v>
      </c>
      <c r="V60" s="88" t="n">
        <f aca="false">T60+V59</f>
        <v>516.286557808574</v>
      </c>
      <c r="W60" s="88" t="n">
        <f aca="false">U60+W59</f>
        <v>294.15</v>
      </c>
      <c r="X60" s="88" t="n">
        <f aca="false">MAX(X59,V60-W60)</f>
        <v>222.136557808574</v>
      </c>
      <c r="Y60" s="88" t="n">
        <f aca="false">X60-X59</f>
        <v>18.2567580952682</v>
      </c>
      <c r="Z60" s="88" t="n">
        <f aca="false">IF(B60=2026,INDEX($C$6:$Q$6,1,B60-2025)*$AO$4*C60/MAX(0.0001,12-$AO$3),INDEX($C$6:$Q$6,1,B60-2025)/12)</f>
        <v>51.933610116259</v>
      </c>
      <c r="AA60" s="88" t="n">
        <f aca="false">$AO$6*INDEX($Y$6:$AB$6,1,B60-2026)/12</f>
        <v>38.6</v>
      </c>
      <c r="AB60" s="88" t="n">
        <f aca="false">Z60+AB59</f>
        <v>612.532031645191</v>
      </c>
      <c r="AC60" s="88" t="n">
        <f aca="false">AA60+AC59</f>
        <v>486.9</v>
      </c>
      <c r="AD60" s="88" t="n">
        <f aca="false">MAX(AD59,AB60-AC60)</f>
        <v>125.632031645191</v>
      </c>
      <c r="AE60" s="88" t="n">
        <f aca="false">AD60-AD59</f>
        <v>13.3336101162589</v>
      </c>
      <c r="AF60" s="88" t="n">
        <f aca="false">IF(B60=2026,INDEX($C$7:$Q$7,1,B60-2025)*$AO$4*C60/MAX(0.0001,12-$AO$3),INDEX($C$7:$Q$7,1,B60-2025)/12)</f>
        <v>45.11289896006</v>
      </c>
      <c r="AG60" s="88" t="n">
        <f aca="false">$AO$6*INDEX($Y$7:$AB$7,1,B60-2026)/12</f>
        <v>7.125</v>
      </c>
      <c r="AH60" s="88" t="n">
        <f aca="false">AF60+AH59</f>
        <v>532.085013761803</v>
      </c>
      <c r="AI60" s="88" t="n">
        <f aca="false">AG60+AI59</f>
        <v>77.925</v>
      </c>
      <c r="AJ60" s="88" t="n">
        <f aca="false">MAX(AJ59,AH60-AI60)</f>
        <v>454.160013761803</v>
      </c>
      <c r="AK60" s="88" t="n">
        <f aca="false">AJ60-AJ59</f>
        <v>37.98789896006</v>
      </c>
      <c r="AL60" s="88" t="n">
        <f aca="false">IF(B60=2026,INDEX($C$8:$Q$8,1,B60-2025)*$AO$4*C60/MAX(0.0001,12-$AO$3),INDEX($C$8:$Q$8,1,B60-2025)/12)</f>
        <v>11.4114321188341</v>
      </c>
      <c r="AM60" s="88" t="n">
        <f aca="false">$AO$6*INDEX($Y$8:$AB$8,1,B60-2026)/12</f>
        <v>1.65833333333333</v>
      </c>
      <c r="AN60" s="88" t="n">
        <f aca="false">AL60+AN59</f>
        <v>134.59237060707</v>
      </c>
      <c r="AO60" s="88" t="n">
        <f aca="false">AM60+AO59</f>
        <v>21.025</v>
      </c>
      <c r="AP60" s="88" t="n">
        <f aca="false">MAX(AP59,AN60-AO60)</f>
        <v>113.56737060707</v>
      </c>
      <c r="AQ60" s="88" t="n">
        <f aca="false">AP60-AP59</f>
        <v>9.75309878550075</v>
      </c>
      <c r="AR60" s="88" t="n">
        <f aca="false">IF(B60=2026,INDEX($C$9:$Q$9,1,B60-2025)*$AO$4*C60/MAX(0.0001,12-$AO$3),INDEX($C$9:$Q$9,1,B60-2025)/12)</f>
        <v>48.6576953186344</v>
      </c>
      <c r="AS60" s="88" t="n">
        <f aca="false">$AO$6*INDEX($Y$9:$AB$9,1,B60-2026)/12</f>
        <v>36.6416666666667</v>
      </c>
      <c r="AT60" s="88" t="n">
        <f aca="false">AR60+AT59</f>
        <v>573.89418725129</v>
      </c>
      <c r="AU60" s="88" t="n">
        <f aca="false">AS60+AU59</f>
        <v>438.175</v>
      </c>
      <c r="AV60" s="88" t="n">
        <f aca="false">MAX(AV59,AT60-AU60)</f>
        <v>135.71918725129</v>
      </c>
      <c r="AW60" s="88" t="n">
        <f aca="false">AV60-AV59</f>
        <v>12.0160286519676</v>
      </c>
      <c r="AX60" s="88" t="n">
        <f aca="false">IF(B60=2026,INDEX($C$10:$Q$10,1,B60-2025)*$AO$4*C60/MAX(0.0001,12-$AO$3),INDEX($C$10:$Q$10,1,B60-2025)/12)</f>
        <v>5.64404597663043</v>
      </c>
      <c r="AY60" s="88" t="n">
        <f aca="false">$AO$6*INDEX($Y$10:$AB$10,1,B60-2026)/12</f>
        <v>0</v>
      </c>
      <c r="AZ60" s="88" t="n">
        <f aca="false">AX60+AZ59</f>
        <v>66.5688162449151</v>
      </c>
      <c r="BA60" s="88" t="n">
        <f aca="false">AY60+BA59</f>
        <v>0</v>
      </c>
      <c r="BB60" s="88" t="n">
        <f aca="false">MAX(BB59,AZ60-BA60)</f>
        <v>66.5688162449151</v>
      </c>
      <c r="BC60" s="88" t="n">
        <f aca="false">BB60-BB59</f>
        <v>5.64404597663044</v>
      </c>
      <c r="BD60" s="88" t="n">
        <f aca="false">IF(B60=2026,INDEX($C$11:$Q$11,1,B60-2025)*$AO$4*C60/MAX(0.0001,12-$AO$3),INDEX($C$11:$Q$11,1,B60-2025)/12)</f>
        <v>28.0475536513497</v>
      </c>
      <c r="BE60" s="88" t="n">
        <f aca="false">$AO$6*INDEX($Y$11:$AB$11,1,B60-2026)/12</f>
        <v>7.61666666666667</v>
      </c>
      <c r="BF60" s="88" t="n">
        <f aca="false">BD60+BF59</f>
        <v>330.80744786044</v>
      </c>
      <c r="BG60" s="88" t="n">
        <f aca="false">BE60+BG59</f>
        <v>86.55</v>
      </c>
      <c r="BH60" s="88" t="n">
        <f aca="false">MAX(BH59,BF60-BG60)</f>
        <v>244.257447860439</v>
      </c>
      <c r="BI60" s="88" t="n">
        <f aca="false">BH60-BH59</f>
        <v>20.430886984683</v>
      </c>
      <c r="BJ60" s="88" t="n">
        <f aca="false">IF(B60=2026,INDEX($C$12:$Q$12,1,B60-2025)*$AO$4*C60/MAX(0.0001,12-$AO$3),INDEX($C$12:$Q$12,1,B60-2025)/12)</f>
        <v>15.3780518436687</v>
      </c>
      <c r="BK60" s="88" t="n">
        <f aca="false">$AO$6*INDEX($Y$12:$AB$12,1,B60-2026)/12</f>
        <v>3.4</v>
      </c>
      <c r="BL60" s="88" t="n">
        <f aca="false">BJ60+BL59</f>
        <v>181.376748457518</v>
      </c>
      <c r="BM60" s="88" t="n">
        <f aca="false">BK60+BM59</f>
        <v>34.3</v>
      </c>
      <c r="BN60" s="88" t="n">
        <f aca="false">MAX(BN59,BL60-BM60)</f>
        <v>147.076748457518</v>
      </c>
      <c r="BO60" s="88" t="n">
        <f aca="false">BN60-BN59</f>
        <v>11.9780518436688</v>
      </c>
      <c r="BP60" s="88" t="n">
        <f aca="false">IF(B60=2026,INDEX($C$13:$Q$13,1,B60-2025)*$AO$4*C60/MAX(0.0001,12-$AO$3),INDEX($C$13:$Q$13,1,B60-2025)/12)</f>
        <v>4.80560220169792</v>
      </c>
      <c r="BQ60" s="88" t="n">
        <f aca="false">$AO$6*INDEX($Y$13:$AB$13,1,B60-2026)/12</f>
        <v>0</v>
      </c>
      <c r="BR60" s="88" t="n">
        <f aca="false">BP60+BR59</f>
        <v>56.6797739131768</v>
      </c>
      <c r="BS60" s="88" t="n">
        <f aca="false">BQ60+BS59</f>
        <v>0</v>
      </c>
      <c r="BT60" s="88" t="n">
        <f aca="false">MAX(BT59,BR60-BS60)</f>
        <v>56.6797739131768</v>
      </c>
      <c r="BU60" s="88" t="n">
        <f aca="false">BT60-BT59</f>
        <v>4.80560220169792</v>
      </c>
      <c r="BV60" s="88" t="n">
        <f aca="false">IF(B60=2026,INDEX($C$14:$Q$14,1,B60-2025)*$AO$4*C60/MAX(0.0001,12-$AO$3),INDEX($C$14:$Q$14,1,B60-2025)/12)</f>
        <v>2.85021923686911</v>
      </c>
      <c r="BW60" s="88" t="n">
        <f aca="false">$AO$6*INDEX($Y$14:$AB$14,1,B60-2026)/12</f>
        <v>0</v>
      </c>
      <c r="BX60" s="88" t="n">
        <f aca="false">BV60+BX59</f>
        <v>33.6169693554014</v>
      </c>
      <c r="BY60" s="88" t="n">
        <f aca="false">BW60+BY59</f>
        <v>0</v>
      </c>
      <c r="BZ60" s="88" t="n">
        <f aca="false">MAX(BZ59,BX60-BY60)</f>
        <v>33.6169693554014</v>
      </c>
      <c r="CA60" s="88" t="n">
        <f aca="false">BZ60-BZ59</f>
        <v>2.85021923686911</v>
      </c>
      <c r="CB60" s="88" t="n">
        <f aca="false">IF(B60=2026,INDEX($C$15:$Q$15,1,B60-2025)*$AO$4*C60/MAX(0.0001,12-$AO$3),INDEX($C$15:$Q$15,1,B60-2025)/12)</f>
        <v>4.67303386509936</v>
      </c>
      <c r="CC60" s="88" t="n">
        <f aca="false">$AO$6*INDEX($Y$15:$AB$15,1,B60-2026)/12</f>
        <v>4.73333333333333</v>
      </c>
      <c r="CD60" s="88" t="n">
        <f aca="false">CB60+CD59</f>
        <v>55.1161939431582</v>
      </c>
      <c r="CE60" s="88" t="n">
        <f aca="false">CC60+CE59</f>
        <v>59.8</v>
      </c>
      <c r="CF60" s="88" t="n">
        <f aca="false">MAX(CF59,CD60-CE60)</f>
        <v>0</v>
      </c>
      <c r="CG60" s="88" t="n">
        <f aca="false">CF60-CF59</f>
        <v>0</v>
      </c>
      <c r="CH60" s="88" t="n">
        <f aca="false">IF(B60=2026,INDEX($C$16:$Q$16,1,B60-2025)*$AO$4*C60/MAX(0.0001,12-$AO$3),INDEX($C$16:$Q$16,1,B60-2025)/12)</f>
        <v>3.69534238268495</v>
      </c>
      <c r="CI60" s="88" t="n">
        <f aca="false">$AO$6*INDEX($Y$16:$AB$16,1,B60-2026)/12</f>
        <v>4.9</v>
      </c>
      <c r="CJ60" s="88" t="n">
        <f aca="false">CH60+CJ59</f>
        <v>43.5847916642705</v>
      </c>
      <c r="CK60" s="88" t="n">
        <f aca="false">CI60+CK59</f>
        <v>45.3</v>
      </c>
      <c r="CL60" s="88" t="n">
        <f aca="false">MAX(CL59,CJ60-CK60)</f>
        <v>9.12671022010589</v>
      </c>
      <c r="CM60" s="88" t="n">
        <f aca="false">CL60-CL59</f>
        <v>0</v>
      </c>
      <c r="CN60" s="88" t="n">
        <f aca="false">IF(B60=2026,INDEX($C$17:$Q$17,1,B60-2025)*$AO$4*C60/MAX(0.0001,12-$AO$3),INDEX($C$17:$Q$17,1,B60-2025)/12)</f>
        <v>16.0904818546506</v>
      </c>
      <c r="CO60" s="88" t="n">
        <f aca="false">$AO$6*INDEX($Y$17:$AB$17,1,B60-2026)/12</f>
        <v>10.6083333333333</v>
      </c>
      <c r="CP60" s="88" t="n">
        <f aca="false">CN60+CP59</f>
        <v>189.779518861016</v>
      </c>
      <c r="CQ60" s="88" t="n">
        <f aca="false">CO60+CQ59</f>
        <v>134.175</v>
      </c>
      <c r="CR60" s="88" t="n">
        <f aca="false">MAX(CR59,CP60-CQ60)</f>
        <v>55.6045188610162</v>
      </c>
      <c r="CS60" s="88" t="n">
        <f aca="false">CR60-CR59</f>
        <v>5.48214852131729</v>
      </c>
      <c r="CT60" s="88" t="n">
        <f aca="false">IF(B60=2026,INDEX($C$18:$Q$18,1,B60-2025)*$AO$4*C60/MAX(0.0001,12-$AO$3),INDEX($C$18:$Q$18,1,B60-2025)/12)</f>
        <v>3.34735049911372</v>
      </c>
      <c r="CU60" s="88" t="n">
        <f aca="false">$AO$6*INDEX($Y$18:$AB$18,1,B60-2026)/12</f>
        <v>0.7</v>
      </c>
      <c r="CV60" s="88" t="n">
        <f aca="false">CT60+CV59</f>
        <v>39.4803942429715</v>
      </c>
      <c r="CW60" s="88" t="n">
        <f aca="false">CU60+CW59</f>
        <v>8.9</v>
      </c>
      <c r="CX60" s="88" t="n">
        <f aca="false">MAX(CX59,CV60-CW60)</f>
        <v>30.5803942429715</v>
      </c>
      <c r="CY60" s="88" t="n">
        <f aca="false">CX60-CX59</f>
        <v>2.64735049911373</v>
      </c>
      <c r="CZ60" s="88" t="n">
        <f aca="false">IF(B60=2026,INDEX($C$19:$Q$19,1,B60-2025)*$AO$4*C60/MAX(0.0001,12-$AO$3),INDEX($C$19:$Q$19,1,B60-2025)/12)</f>
        <v>3.31420841496408</v>
      </c>
      <c r="DA60" s="88" t="n">
        <f aca="false">$AO$6*INDEX($Y$19:$AB$19,1,B60-2026)/12</f>
        <v>0.891666666666667</v>
      </c>
      <c r="DB60" s="88" t="n">
        <f aca="false">CZ60+DB59</f>
        <v>39.0894992504668</v>
      </c>
      <c r="DC60" s="88" t="n">
        <f aca="false">DA60+DC59</f>
        <v>9.225</v>
      </c>
      <c r="DD60" s="88" t="n">
        <f aca="false">MAX(DD59,DB60-DC60)</f>
        <v>29.8644992504668</v>
      </c>
      <c r="DE60" s="88" t="n">
        <f aca="false">DD60-DD59</f>
        <v>2.42254174829742</v>
      </c>
      <c r="DF60" s="88" t="n">
        <f aca="false">IF(B60=2026,INDEX($C$20:$Q$20,1,B60-2025)*$AO$4*C60/MAX(0.0001,12-$AO$3),INDEX($C$20:$Q$20,1,B60-2025)/12)</f>
        <v>2.70107985819573</v>
      </c>
      <c r="DG60" s="88" t="n">
        <f aca="false">$AO$6*INDEX($Y$20:$AB$20,1,B60-2026)/12</f>
        <v>0</v>
      </c>
      <c r="DH60" s="88" t="n">
        <f aca="false">DF60+DH59</f>
        <v>31.8579418891304</v>
      </c>
      <c r="DI60" s="88" t="n">
        <f aca="false">DG60+DI59</f>
        <v>0</v>
      </c>
      <c r="DJ60" s="88" t="n">
        <f aca="false">MAX(DJ59,DH60-DI60)</f>
        <v>31.8579418891304</v>
      </c>
      <c r="DK60" s="88" t="n">
        <f aca="false">DJ60-DJ59</f>
        <v>2.70107985819573</v>
      </c>
      <c r="DL60" s="88" t="n">
        <f aca="false">IF(B60=2026,INDEX($C$21:$Q$21,1,B60-2025)*$AO$4*C60/MAX(0.0001,12-$AO$3),INDEX($C$21:$Q$21,1,B60-2025)/12)</f>
        <v>1.88909879652953</v>
      </c>
      <c r="DM60" s="88" t="n">
        <f aca="false">$AO$6*INDEX($Y$21:$AB$21,1,B60-2026)/12</f>
        <v>0.85</v>
      </c>
      <c r="DN60" s="88" t="n">
        <f aca="false">DL60+DN59</f>
        <v>22.2810145727661</v>
      </c>
      <c r="DO60" s="88" t="n">
        <f aca="false">DM60+DO59</f>
        <v>7.65</v>
      </c>
      <c r="DP60" s="88" t="n">
        <f aca="false">MAX(DP59,DN60-DO60)</f>
        <v>14.6310145727661</v>
      </c>
      <c r="DQ60" s="88" t="n">
        <f aca="false">DP60-DP59</f>
        <v>1.03909879652953</v>
      </c>
      <c r="DR60" s="88" t="n">
        <f aca="false">IF(B60=2026,INDEX($C$22:$Q$22,1,B60-2025)*$AO$4*C60/MAX(0.0001,12-$AO$3),INDEX($C$22:$Q$22,1,B60-2025)/12)</f>
        <v>1.47482274465902</v>
      </c>
      <c r="DS60" s="88" t="n">
        <f aca="false">$AO$6*INDEX($Y$22:$AB$22,1,B60-2026)/12</f>
        <v>1.125</v>
      </c>
      <c r="DT60" s="88" t="n">
        <f aca="false">DR60+DT59</f>
        <v>17.3948271664577</v>
      </c>
      <c r="DU60" s="88" t="n">
        <f aca="false">DS60+DU59</f>
        <v>13.225</v>
      </c>
      <c r="DV60" s="88" t="n">
        <f aca="false">MAX(DV59,DT60-DU60)</f>
        <v>4.16982716645772</v>
      </c>
      <c r="DW60" s="88" t="n">
        <f aca="false">DV60-DV59</f>
        <v>0.349822744659015</v>
      </c>
      <c r="DX60" s="88" t="n">
        <f aca="false">IF(B60=2026,INDEX($C$23:$Q$23,1,B60-2025)*$AO$4*C60/MAX(0.0001,12-$AO$3),INDEX($C$23:$Q$23,1,B60-2025)/12)</f>
        <v>2.36965901669932</v>
      </c>
      <c r="DY60" s="88" t="n">
        <f aca="false">$AO$6*INDEX($Y$23:$AB$23,1,B60-2026)/12</f>
        <v>0</v>
      </c>
      <c r="DZ60" s="88" t="n">
        <f aca="false">DX60+DZ59</f>
        <v>27.9489919640838</v>
      </c>
      <c r="EA60" s="88" t="n">
        <f aca="false">DY60+EA59</f>
        <v>0</v>
      </c>
      <c r="EB60" s="88" t="n">
        <f aca="false">MAX(EB59,DZ60-EA60)</f>
        <v>27.9489919640838</v>
      </c>
      <c r="EC60" s="88" t="n">
        <f aca="false">EB60-EB59</f>
        <v>2.36965901669932</v>
      </c>
      <c r="ED60" s="88" t="n">
        <f aca="false">IF(B60=2026,INDEX($C$24:$Q$24,1,B60-2025)*$AO$4*C60/MAX(0.0001,12-$AO$3),INDEX($C$24:$Q$24,1,B60-2025)/12)</f>
        <v>1.4582517025842</v>
      </c>
      <c r="EE60" s="88" t="n">
        <f aca="false">$AO$6*INDEX($Y$24:$AB$24,1,B60-2026)/12</f>
        <v>0</v>
      </c>
      <c r="EF60" s="88" t="n">
        <f aca="false">ED60+EF59</f>
        <v>17.1993796702054</v>
      </c>
      <c r="EG60" s="88" t="n">
        <f aca="false">EE60+EG59</f>
        <v>0</v>
      </c>
      <c r="EH60" s="88" t="n">
        <f aca="false">MAX(EH59,EF60-EG60)</f>
        <v>17.1993796702054</v>
      </c>
      <c r="EI60" s="88" t="n">
        <f aca="false">EH60-EH59</f>
        <v>1.4582517025842</v>
      </c>
      <c r="EJ60" s="88" t="n">
        <f aca="false">IF(B60=2026,INDEX($C$25:$Q$25,1,B60-2025)*$AO$4*C60/MAX(0.0001,12-$AO$3),INDEX($C$25:$Q$25,1,B60-2025)/12)</f>
        <v>1.85595671237989</v>
      </c>
      <c r="EK60" s="88" t="n">
        <f aca="false">$AO$6*INDEX($Y$25:$AB$25,1,B60-2026)/12</f>
        <v>0.891666666666667</v>
      </c>
      <c r="EL60" s="88" t="n">
        <f aca="false">EJ60+EL59</f>
        <v>21.8901195802614</v>
      </c>
      <c r="EM60" s="88" t="n">
        <f aca="false">EK60+EM59</f>
        <v>11.325</v>
      </c>
      <c r="EN60" s="88" t="n">
        <f aca="false">MAX(EN59,EL60-EM60)</f>
        <v>10.5651195802614</v>
      </c>
      <c r="EO60" s="88" t="n">
        <f aca="false">EN60-EN59</f>
        <v>0.96429004571322</v>
      </c>
      <c r="EP60" s="88" t="n">
        <f aca="false">IF(B60=2026,INDEX($C$26:$Q$26,1,B60-2025)*$AO$4*C60/MAX(0.0001,12-$AO$3),INDEX($C$26:$Q$26,1,B60-2025)/12)</f>
        <v>2.66793777404609</v>
      </c>
      <c r="EQ60" s="88" t="n">
        <f aca="false">$AO$6*INDEX($Y$26:$AB$26,1,B60-2026)/12</f>
        <v>0.308333333333333</v>
      </c>
      <c r="ER60" s="88" t="n">
        <f aca="false">EP60+ER59</f>
        <v>31.4670468966258</v>
      </c>
      <c r="ES60" s="88" t="n">
        <f aca="false">EQ60+ES59</f>
        <v>2.775</v>
      </c>
      <c r="ET60" s="88" t="n">
        <f aca="false">MAX(ET59,ER60-ES60)</f>
        <v>28.6920468966258</v>
      </c>
      <c r="EU60" s="88" t="n">
        <f aca="false">ET60-ET59</f>
        <v>2.35960444071276</v>
      </c>
      <c r="EV60" s="88" t="n">
        <f aca="false">IF(B60=2026,INDEX($C$27:$Q$27,1,B60-2025)*$AO$4*C60/MAX(0.0001,12-$AO$3),INDEX($C$27:$Q$27,1,B60-2025)/12)</f>
        <v>6.62841682992816</v>
      </c>
      <c r="EW60" s="88" t="n">
        <f aca="false">$AO$6*INDEX($Y$27:$AB$27,1,B60-2026)/12</f>
        <v>12.4166666666667</v>
      </c>
      <c r="EX60" s="88" t="n">
        <f aca="false">EV60+EX59</f>
        <v>78.1789985009336</v>
      </c>
      <c r="EY60" s="88" t="n">
        <f aca="false">EW60+EY59</f>
        <v>147.85</v>
      </c>
      <c r="EZ60" s="88" t="n">
        <f aca="false">MAX(EZ59,EX60-EY60)</f>
        <v>0</v>
      </c>
      <c r="FA60" s="88" t="n">
        <f aca="false">EZ60-EZ59</f>
        <v>0</v>
      </c>
      <c r="FB60" s="88" t="n">
        <f aca="false">IF(B60=2026,INDEX($C$28:$Q$28,1,B60-2025)*$AO$4*C60/MAX(0.0001,12-$AO$3),INDEX($C$28:$Q$28,1,B60-2025)/12)</f>
        <v>34.6997621046739</v>
      </c>
      <c r="FC60" s="88" t="n">
        <f aca="false">$AO$6*INDEX($Y$28:$AB$28,1,B60-2026)/12</f>
        <v>6.825</v>
      </c>
      <c r="FD60" s="88" t="n">
        <f aca="false">FB60+FD59</f>
        <v>409.267057152387</v>
      </c>
      <c r="FE60" s="88" t="n">
        <f aca="false">FC60+FE59</f>
        <v>85.525</v>
      </c>
      <c r="FF60" s="88" t="n">
        <f aca="false">MAX(FF59,FD60-FE60)</f>
        <v>323.742057152387</v>
      </c>
      <c r="FG60" s="88" t="n">
        <f aca="false">FF60-FF59</f>
        <v>27.8747621046739</v>
      </c>
    </row>
    <row r="61" customFormat="false" ht="15" hidden="false" customHeight="false" outlineLevel="0" collapsed="false">
      <c r="A61" s="0" t="n">
        <v>21</v>
      </c>
      <c r="B61" s="88" t="n">
        <f aca="false">2026+INT(A61/12)</f>
        <v>2027</v>
      </c>
      <c r="C61" s="88" t="n">
        <f aca="false">MAX(0,MIN(1,A61+1-$AO$3))</f>
        <v>1</v>
      </c>
      <c r="D61" s="88" t="n">
        <f aca="false">IF((A61+0.5-(0))&lt;$AO$3,0,2026+INT((A61+0.5-(0))/12))</f>
        <v>2027</v>
      </c>
      <c r="E61" s="88" t="n">
        <f aca="false">IF((A61+0.5-($AO$9))&lt;$AO$3,0,2026+INT((A61+0.5-($AO$9))/12))</f>
        <v>0</v>
      </c>
      <c r="F61" s="88" t="n">
        <f aca="false">IF((A61+0.5-($AO$9+$AO$8))&lt;$AO$3,0,2026+INT((A61+0.5-($AO$9+$AO$8))/12))</f>
        <v>0</v>
      </c>
      <c r="G61" s="88" t="n">
        <f aca="false">IF((A61+0.5-($AO$9+$AO$8+$AO$7))&lt;$AO$3,0,2026+INT((A61+0.5-($AO$9+$AO$8+$AO$7))/12))</f>
        <v>0</v>
      </c>
      <c r="H61" s="88" t="n">
        <f aca="false">IF(B61=2026,INDEX($C$3:$Q$3,1,B61-2025)*$AO$4*C61/MAX(0.0001,12-$AO$3),INDEX($C$3:$Q$3,1,B61-2025)/12)</f>
        <v>355.25</v>
      </c>
      <c r="I61" s="88" t="n">
        <f aca="false">$AO$6*INDEX($Y$3:$AB$3,1,B61-2026)/12</f>
        <v>173.725</v>
      </c>
      <c r="J61" s="88" t="n">
        <f aca="false">H61+J60</f>
        <v>4545.25342465753</v>
      </c>
      <c r="K61" s="88" t="n">
        <f aca="false">I61+K60</f>
        <v>2243.45</v>
      </c>
      <c r="L61" s="88" t="n">
        <f aca="false">MAX(L60,J61-K61)</f>
        <v>2301.80342465754</v>
      </c>
      <c r="M61" s="88" t="n">
        <f aca="false">L61-L60</f>
        <v>181.525</v>
      </c>
      <c r="N61" s="88" t="n">
        <f aca="false">IF(B61=2026,INDEX($C$4:$Q$4,1,B61-2025)*$AO$4*C61/MAX(0.0001,12-$AO$3),INDEX($C$4:$Q$4,1,B61-2025)/12)</f>
        <v>10.7700632578534</v>
      </c>
      <c r="O61" s="88" t="n">
        <f aca="false">$AO$6*INDEX($Y$4:$AB$4,1,B61-2026)/12</f>
        <v>8.91666666666667</v>
      </c>
      <c r="P61" s="88" t="n">
        <f aca="false">N61+P60</f>
        <v>137.797795655274</v>
      </c>
      <c r="Q61" s="88" t="n">
        <f aca="false">O61+Q60</f>
        <v>113.866666666667</v>
      </c>
      <c r="R61" s="88" t="n">
        <f aca="false">MAX(R60,P61-Q61)</f>
        <v>23.9311289886077</v>
      </c>
      <c r="S61" s="88" t="n">
        <f aca="false">R61-R60</f>
        <v>1.85339659118668</v>
      </c>
      <c r="T61" s="88" t="n">
        <f aca="false">IF(B61=2026,INDEX($C$5:$Q$5,1,B61-2025)*$AO$4*C61/MAX(0.0001,12-$AO$3),INDEX($C$5:$Q$5,1,B61-2025)/12)</f>
        <v>43.7734247619348</v>
      </c>
      <c r="U61" s="88" t="n">
        <f aca="false">$AO$6*INDEX($Y$5:$AB$5,1,B61-2026)/12</f>
        <v>25.5166666666667</v>
      </c>
      <c r="V61" s="88" t="n">
        <f aca="false">T61+V60</f>
        <v>560.059982570508</v>
      </c>
      <c r="W61" s="88" t="n">
        <f aca="false">U61+W60</f>
        <v>319.666666666667</v>
      </c>
      <c r="X61" s="88" t="n">
        <f aca="false">MAX(X60,V61-W61)</f>
        <v>240.393315903842</v>
      </c>
      <c r="Y61" s="88" t="n">
        <f aca="false">X61-X60</f>
        <v>18.2567580952682</v>
      </c>
      <c r="Z61" s="88" t="n">
        <f aca="false">IF(B61=2026,INDEX($C$6:$Q$6,1,B61-2025)*$AO$4*C61/MAX(0.0001,12-$AO$3),INDEX($C$6:$Q$6,1,B61-2025)/12)</f>
        <v>51.933610116259</v>
      </c>
      <c r="AA61" s="88" t="n">
        <f aca="false">$AO$6*INDEX($Y$6:$AB$6,1,B61-2026)/12</f>
        <v>38.6</v>
      </c>
      <c r="AB61" s="88" t="n">
        <f aca="false">Z61+AB60</f>
        <v>664.46564176145</v>
      </c>
      <c r="AC61" s="88" t="n">
        <f aca="false">AA61+AC60</f>
        <v>525.5</v>
      </c>
      <c r="AD61" s="88" t="n">
        <f aca="false">MAX(AD60,AB61-AC61)</f>
        <v>138.96564176145</v>
      </c>
      <c r="AE61" s="88" t="n">
        <f aca="false">AD61-AD60</f>
        <v>13.3336101162589</v>
      </c>
      <c r="AF61" s="88" t="n">
        <f aca="false">IF(B61=2026,INDEX($C$7:$Q$7,1,B61-2025)*$AO$4*C61/MAX(0.0001,12-$AO$3),INDEX($C$7:$Q$7,1,B61-2025)/12)</f>
        <v>45.11289896006</v>
      </c>
      <c r="AG61" s="88" t="n">
        <f aca="false">$AO$6*INDEX($Y$7:$AB$7,1,B61-2026)/12</f>
        <v>7.125</v>
      </c>
      <c r="AH61" s="88" t="n">
        <f aca="false">AF61+AH60</f>
        <v>577.197912721863</v>
      </c>
      <c r="AI61" s="88" t="n">
        <f aca="false">AG61+AI60</f>
        <v>85.05</v>
      </c>
      <c r="AJ61" s="88" t="n">
        <f aca="false">MAX(AJ60,AH61-AI61)</f>
        <v>492.147912721863</v>
      </c>
      <c r="AK61" s="88" t="n">
        <f aca="false">AJ61-AJ60</f>
        <v>37.98789896006</v>
      </c>
      <c r="AL61" s="88" t="n">
        <f aca="false">IF(B61=2026,INDEX($C$8:$Q$8,1,B61-2025)*$AO$4*C61/MAX(0.0001,12-$AO$3),INDEX($C$8:$Q$8,1,B61-2025)/12)</f>
        <v>11.4114321188341</v>
      </c>
      <c r="AM61" s="88" t="n">
        <f aca="false">$AO$6*INDEX($Y$8:$AB$8,1,B61-2026)/12</f>
        <v>1.65833333333333</v>
      </c>
      <c r="AN61" s="88" t="n">
        <f aca="false">AL61+AN60</f>
        <v>146.003802725905</v>
      </c>
      <c r="AO61" s="88" t="n">
        <f aca="false">AM61+AO60</f>
        <v>22.6833333333333</v>
      </c>
      <c r="AP61" s="88" t="n">
        <f aca="false">MAX(AP60,AN61-AO61)</f>
        <v>123.320469392571</v>
      </c>
      <c r="AQ61" s="88" t="n">
        <f aca="false">AP61-AP60</f>
        <v>9.75309878550075</v>
      </c>
      <c r="AR61" s="88" t="n">
        <f aca="false">IF(B61=2026,INDEX($C$9:$Q$9,1,B61-2025)*$AO$4*C61/MAX(0.0001,12-$AO$3),INDEX($C$9:$Q$9,1,B61-2025)/12)</f>
        <v>48.6576953186344</v>
      </c>
      <c r="AS61" s="88" t="n">
        <f aca="false">$AO$6*INDEX($Y$9:$AB$9,1,B61-2026)/12</f>
        <v>36.6416666666667</v>
      </c>
      <c r="AT61" s="88" t="n">
        <f aca="false">AR61+AT60</f>
        <v>622.551882569924</v>
      </c>
      <c r="AU61" s="88" t="n">
        <f aca="false">AS61+AU60</f>
        <v>474.816666666667</v>
      </c>
      <c r="AV61" s="88" t="n">
        <f aca="false">MAX(AV60,AT61-AU61)</f>
        <v>147.735215903258</v>
      </c>
      <c r="AW61" s="88" t="n">
        <f aca="false">AV61-AV60</f>
        <v>12.0160286519676</v>
      </c>
      <c r="AX61" s="88" t="n">
        <f aca="false">IF(B61=2026,INDEX($C$10:$Q$10,1,B61-2025)*$AO$4*C61/MAX(0.0001,12-$AO$3),INDEX($C$10:$Q$10,1,B61-2025)/12)</f>
        <v>5.64404597663043</v>
      </c>
      <c r="AY61" s="88" t="n">
        <f aca="false">$AO$6*INDEX($Y$10:$AB$10,1,B61-2026)/12</f>
        <v>0</v>
      </c>
      <c r="AZ61" s="88" t="n">
        <f aca="false">AX61+AZ60</f>
        <v>72.2128622215455</v>
      </c>
      <c r="BA61" s="88" t="n">
        <f aca="false">AY61+BA60</f>
        <v>0</v>
      </c>
      <c r="BB61" s="88" t="n">
        <f aca="false">MAX(BB60,AZ61-BA61)</f>
        <v>72.2128622215455</v>
      </c>
      <c r="BC61" s="88" t="n">
        <f aca="false">BB61-BB60</f>
        <v>5.64404597663044</v>
      </c>
      <c r="BD61" s="88" t="n">
        <f aca="false">IF(B61=2026,INDEX($C$11:$Q$11,1,B61-2025)*$AO$4*C61/MAX(0.0001,12-$AO$3),INDEX($C$11:$Q$11,1,B61-2025)/12)</f>
        <v>28.0475536513497</v>
      </c>
      <c r="BE61" s="88" t="n">
        <f aca="false">$AO$6*INDEX($Y$11:$AB$11,1,B61-2026)/12</f>
        <v>7.61666666666667</v>
      </c>
      <c r="BF61" s="88" t="n">
        <f aca="false">BD61+BF60</f>
        <v>358.855001511789</v>
      </c>
      <c r="BG61" s="88" t="n">
        <f aca="false">BE61+BG60</f>
        <v>94.1666666666667</v>
      </c>
      <c r="BH61" s="88" t="n">
        <f aca="false">MAX(BH60,BF61-BG61)</f>
        <v>264.688334845123</v>
      </c>
      <c r="BI61" s="88" t="n">
        <f aca="false">BH61-BH60</f>
        <v>20.430886984683</v>
      </c>
      <c r="BJ61" s="88" t="n">
        <f aca="false">IF(B61=2026,INDEX($C$12:$Q$12,1,B61-2025)*$AO$4*C61/MAX(0.0001,12-$AO$3),INDEX($C$12:$Q$12,1,B61-2025)/12)</f>
        <v>15.3780518436687</v>
      </c>
      <c r="BK61" s="88" t="n">
        <f aca="false">$AO$6*INDEX($Y$12:$AB$12,1,B61-2026)/12</f>
        <v>3.4</v>
      </c>
      <c r="BL61" s="88" t="n">
        <f aca="false">BJ61+BL60</f>
        <v>196.754800301186</v>
      </c>
      <c r="BM61" s="88" t="n">
        <f aca="false">BK61+BM60</f>
        <v>37.7</v>
      </c>
      <c r="BN61" s="88" t="n">
        <f aca="false">MAX(BN60,BL61-BM61)</f>
        <v>159.054800301186</v>
      </c>
      <c r="BO61" s="88" t="n">
        <f aca="false">BN61-BN60</f>
        <v>11.9780518436687</v>
      </c>
      <c r="BP61" s="88" t="n">
        <f aca="false">IF(B61=2026,INDEX($C$13:$Q$13,1,B61-2025)*$AO$4*C61/MAX(0.0001,12-$AO$3),INDEX($C$13:$Q$13,1,B61-2025)/12)</f>
        <v>4.80560220169792</v>
      </c>
      <c r="BQ61" s="88" t="n">
        <f aca="false">$AO$6*INDEX($Y$13:$AB$13,1,B61-2026)/12</f>
        <v>0</v>
      </c>
      <c r="BR61" s="88" t="n">
        <f aca="false">BP61+BR60</f>
        <v>61.4853761148748</v>
      </c>
      <c r="BS61" s="88" t="n">
        <f aca="false">BQ61+BS60</f>
        <v>0</v>
      </c>
      <c r="BT61" s="88" t="n">
        <f aca="false">MAX(BT60,BR61-BS61)</f>
        <v>61.4853761148748</v>
      </c>
      <c r="BU61" s="88" t="n">
        <f aca="false">BT61-BT60</f>
        <v>4.80560220169792</v>
      </c>
      <c r="BV61" s="88" t="n">
        <f aca="false">IF(B61=2026,INDEX($C$14:$Q$14,1,B61-2025)*$AO$4*C61/MAX(0.0001,12-$AO$3),INDEX($C$14:$Q$14,1,B61-2025)/12)</f>
        <v>2.85021923686911</v>
      </c>
      <c r="BW61" s="88" t="n">
        <f aca="false">$AO$6*INDEX($Y$14:$AB$14,1,B61-2026)/12</f>
        <v>0</v>
      </c>
      <c r="BX61" s="88" t="n">
        <f aca="false">BV61+BX60</f>
        <v>36.4671885922705</v>
      </c>
      <c r="BY61" s="88" t="n">
        <f aca="false">BW61+BY60</f>
        <v>0</v>
      </c>
      <c r="BZ61" s="88" t="n">
        <f aca="false">MAX(BZ60,BX61-BY61)</f>
        <v>36.4671885922705</v>
      </c>
      <c r="CA61" s="88" t="n">
        <f aca="false">BZ61-BZ60</f>
        <v>2.85021923686911</v>
      </c>
      <c r="CB61" s="88" t="n">
        <f aca="false">IF(B61=2026,INDEX($C$15:$Q$15,1,B61-2025)*$AO$4*C61/MAX(0.0001,12-$AO$3),INDEX($C$15:$Q$15,1,B61-2025)/12)</f>
        <v>4.67303386509936</v>
      </c>
      <c r="CC61" s="88" t="n">
        <f aca="false">$AO$6*INDEX($Y$15:$AB$15,1,B61-2026)/12</f>
        <v>4.73333333333333</v>
      </c>
      <c r="CD61" s="88" t="n">
        <f aca="false">CB61+CD60</f>
        <v>59.7892278082575</v>
      </c>
      <c r="CE61" s="88" t="n">
        <f aca="false">CC61+CE60</f>
        <v>64.5333333333333</v>
      </c>
      <c r="CF61" s="88" t="n">
        <f aca="false">MAX(CF60,CD61-CE61)</f>
        <v>0</v>
      </c>
      <c r="CG61" s="88" t="n">
        <f aca="false">CF61-CF60</f>
        <v>0</v>
      </c>
      <c r="CH61" s="88" t="n">
        <f aca="false">IF(B61=2026,INDEX($C$16:$Q$16,1,B61-2025)*$AO$4*C61/MAX(0.0001,12-$AO$3),INDEX($C$16:$Q$16,1,B61-2025)/12)</f>
        <v>3.69534238268495</v>
      </c>
      <c r="CI61" s="88" t="n">
        <f aca="false">$AO$6*INDEX($Y$16:$AB$16,1,B61-2026)/12</f>
        <v>4.9</v>
      </c>
      <c r="CJ61" s="88" t="n">
        <f aca="false">CH61+CJ60</f>
        <v>47.2801340469554</v>
      </c>
      <c r="CK61" s="88" t="n">
        <f aca="false">CI61+CK60</f>
        <v>50.2</v>
      </c>
      <c r="CL61" s="88" t="n">
        <f aca="false">MAX(CL60,CJ61-CK61)</f>
        <v>9.12671022010589</v>
      </c>
      <c r="CM61" s="88" t="n">
        <f aca="false">CL61-CL60</f>
        <v>0</v>
      </c>
      <c r="CN61" s="88" t="n">
        <f aca="false">IF(B61=2026,INDEX($C$17:$Q$17,1,B61-2025)*$AO$4*C61/MAX(0.0001,12-$AO$3),INDEX($C$17:$Q$17,1,B61-2025)/12)</f>
        <v>16.0904818546506</v>
      </c>
      <c r="CO61" s="88" t="n">
        <f aca="false">$AO$6*INDEX($Y$17:$AB$17,1,B61-2026)/12</f>
        <v>10.6083333333333</v>
      </c>
      <c r="CP61" s="88" t="n">
        <f aca="false">CN61+CP60</f>
        <v>205.870000715667</v>
      </c>
      <c r="CQ61" s="88" t="n">
        <f aca="false">CO61+CQ60</f>
        <v>144.783333333333</v>
      </c>
      <c r="CR61" s="88" t="n">
        <f aca="false">MAX(CR60,CP61-CQ61)</f>
        <v>61.0866673823335</v>
      </c>
      <c r="CS61" s="88" t="n">
        <f aca="false">CR61-CR60</f>
        <v>5.4821485213173</v>
      </c>
      <c r="CT61" s="88" t="n">
        <f aca="false">IF(B61=2026,INDEX($C$18:$Q$18,1,B61-2025)*$AO$4*C61/MAX(0.0001,12-$AO$3),INDEX($C$18:$Q$18,1,B61-2025)/12)</f>
        <v>3.34735049911372</v>
      </c>
      <c r="CU61" s="88" t="n">
        <f aca="false">$AO$6*INDEX($Y$18:$AB$18,1,B61-2026)/12</f>
        <v>0.7</v>
      </c>
      <c r="CV61" s="88" t="n">
        <f aca="false">CT61+CV60</f>
        <v>42.8277447420852</v>
      </c>
      <c r="CW61" s="88" t="n">
        <f aca="false">CU61+CW60</f>
        <v>9.6</v>
      </c>
      <c r="CX61" s="88" t="n">
        <f aca="false">MAX(CX60,CV61-CW61)</f>
        <v>33.2277447420852</v>
      </c>
      <c r="CY61" s="88" t="n">
        <f aca="false">CX61-CX60</f>
        <v>2.64735049911372</v>
      </c>
      <c r="CZ61" s="88" t="n">
        <f aca="false">IF(B61=2026,INDEX($C$19:$Q$19,1,B61-2025)*$AO$4*C61/MAX(0.0001,12-$AO$3),INDEX($C$19:$Q$19,1,B61-2025)/12)</f>
        <v>3.31420841496408</v>
      </c>
      <c r="DA61" s="88" t="n">
        <f aca="false">$AO$6*INDEX($Y$19:$AB$19,1,B61-2026)/12</f>
        <v>0.891666666666667</v>
      </c>
      <c r="DB61" s="88" t="n">
        <f aca="false">CZ61+DB60</f>
        <v>42.4037076654309</v>
      </c>
      <c r="DC61" s="88" t="n">
        <f aca="false">DA61+DC60</f>
        <v>10.1166666666667</v>
      </c>
      <c r="DD61" s="88" t="n">
        <f aca="false">MAX(DD60,DB61-DC61)</f>
        <v>32.2870409987642</v>
      </c>
      <c r="DE61" s="88" t="n">
        <f aca="false">DD61-DD60</f>
        <v>2.42254174829742</v>
      </c>
      <c r="DF61" s="88" t="n">
        <f aca="false">IF(B61=2026,INDEX($C$20:$Q$20,1,B61-2025)*$AO$4*C61/MAX(0.0001,12-$AO$3),INDEX($C$20:$Q$20,1,B61-2025)/12)</f>
        <v>2.70107985819573</v>
      </c>
      <c r="DG61" s="88" t="n">
        <f aca="false">$AO$6*INDEX($Y$20:$AB$20,1,B61-2026)/12</f>
        <v>0</v>
      </c>
      <c r="DH61" s="88" t="n">
        <f aca="false">DF61+DH60</f>
        <v>34.5590217473262</v>
      </c>
      <c r="DI61" s="88" t="n">
        <f aca="false">DG61+DI60</f>
        <v>0</v>
      </c>
      <c r="DJ61" s="88" t="n">
        <f aca="false">MAX(DJ60,DH61-DI61)</f>
        <v>34.5590217473262</v>
      </c>
      <c r="DK61" s="88" t="n">
        <f aca="false">DJ61-DJ60</f>
        <v>2.70107985819573</v>
      </c>
      <c r="DL61" s="88" t="n">
        <f aca="false">IF(B61=2026,INDEX($C$21:$Q$21,1,B61-2025)*$AO$4*C61/MAX(0.0001,12-$AO$3),INDEX($C$21:$Q$21,1,B61-2025)/12)</f>
        <v>1.88909879652953</v>
      </c>
      <c r="DM61" s="88" t="n">
        <f aca="false">$AO$6*INDEX($Y$21:$AB$21,1,B61-2026)/12</f>
        <v>0.85</v>
      </c>
      <c r="DN61" s="88" t="n">
        <f aca="false">DL61+DN60</f>
        <v>24.1701133692956</v>
      </c>
      <c r="DO61" s="88" t="n">
        <f aca="false">DM61+DO60</f>
        <v>8.5</v>
      </c>
      <c r="DP61" s="88" t="n">
        <f aca="false">MAX(DP60,DN61-DO61)</f>
        <v>15.6701133692956</v>
      </c>
      <c r="DQ61" s="88" t="n">
        <f aca="false">DP61-DP60</f>
        <v>1.03909879652953</v>
      </c>
      <c r="DR61" s="88" t="n">
        <f aca="false">IF(B61=2026,INDEX($C$22:$Q$22,1,B61-2025)*$AO$4*C61/MAX(0.0001,12-$AO$3),INDEX($C$22:$Q$22,1,B61-2025)/12)</f>
        <v>1.47482274465902</v>
      </c>
      <c r="DS61" s="88" t="n">
        <f aca="false">$AO$6*INDEX($Y$22:$AB$22,1,B61-2026)/12</f>
        <v>1.125</v>
      </c>
      <c r="DT61" s="88" t="n">
        <f aca="false">DR61+DT60</f>
        <v>18.8696499111167</v>
      </c>
      <c r="DU61" s="88" t="n">
        <f aca="false">DS61+DU60</f>
        <v>14.35</v>
      </c>
      <c r="DV61" s="88" t="n">
        <f aca="false">MAX(DV60,DT61-DU61)</f>
        <v>4.51964991111673</v>
      </c>
      <c r="DW61" s="88" t="n">
        <f aca="false">DV61-DV60</f>
        <v>0.349822744659015</v>
      </c>
      <c r="DX61" s="88" t="n">
        <f aca="false">IF(B61=2026,INDEX($C$23:$Q$23,1,B61-2025)*$AO$4*C61/MAX(0.0001,12-$AO$3),INDEX($C$23:$Q$23,1,B61-2025)/12)</f>
        <v>2.36965901669932</v>
      </c>
      <c r="DY61" s="88" t="n">
        <f aca="false">$AO$6*INDEX($Y$23:$AB$23,1,B61-2026)/12</f>
        <v>0</v>
      </c>
      <c r="DZ61" s="88" t="n">
        <f aca="false">DX61+DZ60</f>
        <v>30.3186509807831</v>
      </c>
      <c r="EA61" s="88" t="n">
        <f aca="false">DY61+EA60</f>
        <v>0</v>
      </c>
      <c r="EB61" s="88" t="n">
        <f aca="false">MAX(EB60,DZ61-EA61)</f>
        <v>30.3186509807831</v>
      </c>
      <c r="EC61" s="88" t="n">
        <f aca="false">EB61-EB60</f>
        <v>2.36965901669932</v>
      </c>
      <c r="ED61" s="88" t="n">
        <f aca="false">IF(B61=2026,INDEX($C$24:$Q$24,1,B61-2025)*$AO$4*C61/MAX(0.0001,12-$AO$3),INDEX($C$24:$Q$24,1,B61-2025)/12)</f>
        <v>1.4582517025842</v>
      </c>
      <c r="EE61" s="88" t="n">
        <f aca="false">$AO$6*INDEX($Y$24:$AB$24,1,B61-2026)/12</f>
        <v>0</v>
      </c>
      <c r="EF61" s="88" t="n">
        <f aca="false">ED61+EF60</f>
        <v>18.6576313727896</v>
      </c>
      <c r="EG61" s="88" t="n">
        <f aca="false">EE61+EG60</f>
        <v>0</v>
      </c>
      <c r="EH61" s="88" t="n">
        <f aca="false">MAX(EH60,EF61-EG61)</f>
        <v>18.6576313727896</v>
      </c>
      <c r="EI61" s="88" t="n">
        <f aca="false">EH61-EH60</f>
        <v>1.4582517025842</v>
      </c>
      <c r="EJ61" s="88" t="n">
        <f aca="false">IF(B61=2026,INDEX($C$25:$Q$25,1,B61-2025)*$AO$4*C61/MAX(0.0001,12-$AO$3),INDEX($C$25:$Q$25,1,B61-2025)/12)</f>
        <v>1.85595671237989</v>
      </c>
      <c r="EK61" s="88" t="n">
        <f aca="false">$AO$6*INDEX($Y$25:$AB$25,1,B61-2026)/12</f>
        <v>0.891666666666667</v>
      </c>
      <c r="EL61" s="88" t="n">
        <f aca="false">EJ61+EL60</f>
        <v>23.7460762926413</v>
      </c>
      <c r="EM61" s="88" t="n">
        <f aca="false">EK61+EM60</f>
        <v>12.2166666666667</v>
      </c>
      <c r="EN61" s="88" t="n">
        <f aca="false">MAX(EN60,EL61-EM61)</f>
        <v>11.5294096259746</v>
      </c>
      <c r="EO61" s="88" t="n">
        <f aca="false">EN61-EN60</f>
        <v>0.96429004571322</v>
      </c>
      <c r="EP61" s="88" t="n">
        <f aca="false">IF(B61=2026,INDEX($C$26:$Q$26,1,B61-2025)*$AO$4*C61/MAX(0.0001,12-$AO$3),INDEX($C$26:$Q$26,1,B61-2025)/12)</f>
        <v>2.66793777404609</v>
      </c>
      <c r="EQ61" s="88" t="n">
        <f aca="false">$AO$6*INDEX($Y$26:$AB$26,1,B61-2026)/12</f>
        <v>0.308333333333333</v>
      </c>
      <c r="ER61" s="88" t="n">
        <f aca="false">EP61+ER60</f>
        <v>34.1349846706719</v>
      </c>
      <c r="ES61" s="88" t="n">
        <f aca="false">EQ61+ES60</f>
        <v>3.08333333333333</v>
      </c>
      <c r="ET61" s="88" t="n">
        <f aca="false">MAX(ET60,ER61-ES61)</f>
        <v>31.0516513373385</v>
      </c>
      <c r="EU61" s="88" t="n">
        <f aca="false">ET61-ET60</f>
        <v>2.35960444071275</v>
      </c>
      <c r="EV61" s="88" t="n">
        <f aca="false">IF(B61=2026,INDEX($C$27:$Q$27,1,B61-2025)*$AO$4*C61/MAX(0.0001,12-$AO$3),INDEX($C$27:$Q$27,1,B61-2025)/12)</f>
        <v>6.62841682992816</v>
      </c>
      <c r="EW61" s="88" t="n">
        <f aca="false">$AO$6*INDEX($Y$27:$AB$27,1,B61-2026)/12</f>
        <v>12.4166666666667</v>
      </c>
      <c r="EX61" s="88" t="n">
        <f aca="false">EV61+EX60</f>
        <v>84.8074153308617</v>
      </c>
      <c r="EY61" s="88" t="n">
        <f aca="false">EW61+EY60</f>
        <v>160.266666666667</v>
      </c>
      <c r="EZ61" s="88" t="n">
        <f aca="false">MAX(EZ60,EX61-EY61)</f>
        <v>0</v>
      </c>
      <c r="FA61" s="88" t="n">
        <f aca="false">EZ61-EZ60</f>
        <v>0</v>
      </c>
      <c r="FB61" s="88" t="n">
        <f aca="false">IF(B61=2026,INDEX($C$28:$Q$28,1,B61-2025)*$AO$4*C61/MAX(0.0001,12-$AO$3),INDEX($C$28:$Q$28,1,B61-2025)/12)</f>
        <v>34.6997621046739</v>
      </c>
      <c r="FC61" s="88" t="n">
        <f aca="false">$AO$6*INDEX($Y$28:$AB$28,1,B61-2026)/12</f>
        <v>6.825</v>
      </c>
      <c r="FD61" s="88" t="n">
        <f aca="false">FB61+FD60</f>
        <v>443.966819257061</v>
      </c>
      <c r="FE61" s="88" t="n">
        <f aca="false">FC61+FE60</f>
        <v>92.35</v>
      </c>
      <c r="FF61" s="88" t="n">
        <f aca="false">MAX(FF60,FD61-FE61)</f>
        <v>351.616819257061</v>
      </c>
      <c r="FG61" s="88" t="n">
        <f aca="false">FF61-FF60</f>
        <v>27.8747621046739</v>
      </c>
    </row>
    <row r="62" customFormat="false" ht="15" hidden="false" customHeight="false" outlineLevel="0" collapsed="false">
      <c r="A62" s="0" t="n">
        <v>22</v>
      </c>
      <c r="B62" s="88" t="n">
        <f aca="false">2026+INT(A62/12)</f>
        <v>2027</v>
      </c>
      <c r="C62" s="88" t="n">
        <f aca="false">MAX(0,MIN(1,A62+1-$AO$3))</f>
        <v>1</v>
      </c>
      <c r="D62" s="88" t="n">
        <f aca="false">IF((A62+0.5-(0))&lt;$AO$3,0,2026+INT((A62+0.5-(0))/12))</f>
        <v>2027</v>
      </c>
      <c r="E62" s="88" t="n">
        <f aca="false">IF((A62+0.5-($AO$9))&lt;$AO$3,0,2026+INT((A62+0.5-($AO$9))/12))</f>
        <v>0</v>
      </c>
      <c r="F62" s="88" t="n">
        <f aca="false">IF((A62+0.5-($AO$9+$AO$8))&lt;$AO$3,0,2026+INT((A62+0.5-($AO$9+$AO$8))/12))</f>
        <v>0</v>
      </c>
      <c r="G62" s="88" t="n">
        <f aca="false">IF((A62+0.5-($AO$9+$AO$8+$AO$7))&lt;$AO$3,0,2026+INT((A62+0.5-($AO$9+$AO$8+$AO$7))/12))</f>
        <v>0</v>
      </c>
      <c r="H62" s="88" t="n">
        <f aca="false">IF(B62=2026,INDEX($C$3:$Q$3,1,B62-2025)*$AO$4*C62/MAX(0.0001,12-$AO$3),INDEX($C$3:$Q$3,1,B62-2025)/12)</f>
        <v>355.25</v>
      </c>
      <c r="I62" s="88" t="n">
        <f aca="false">$AO$6*INDEX($Y$3:$AB$3,1,B62-2026)/12</f>
        <v>173.725</v>
      </c>
      <c r="J62" s="88" t="n">
        <f aca="false">H62+J61</f>
        <v>4900.50342465753</v>
      </c>
      <c r="K62" s="88" t="n">
        <f aca="false">I62+K61</f>
        <v>2417.175</v>
      </c>
      <c r="L62" s="88" t="n">
        <f aca="false">MAX(L61,J62-K62)</f>
        <v>2483.32842465754</v>
      </c>
      <c r="M62" s="88" t="n">
        <f aca="false">L62-L61</f>
        <v>181.525</v>
      </c>
      <c r="N62" s="88" t="n">
        <f aca="false">IF(B62=2026,INDEX($C$4:$Q$4,1,B62-2025)*$AO$4*C62/MAX(0.0001,12-$AO$3),INDEX($C$4:$Q$4,1,B62-2025)/12)</f>
        <v>10.7700632578534</v>
      </c>
      <c r="O62" s="88" t="n">
        <f aca="false">$AO$6*INDEX($Y$4:$AB$4,1,B62-2026)/12</f>
        <v>8.91666666666667</v>
      </c>
      <c r="P62" s="88" t="n">
        <f aca="false">N62+P61</f>
        <v>148.567858913128</v>
      </c>
      <c r="Q62" s="88" t="n">
        <f aca="false">O62+Q61</f>
        <v>122.783333333333</v>
      </c>
      <c r="R62" s="88" t="n">
        <f aca="false">MAX(R61,P62-Q62)</f>
        <v>25.7845255797944</v>
      </c>
      <c r="S62" s="88" t="n">
        <f aca="false">R62-R61</f>
        <v>1.85339659118669</v>
      </c>
      <c r="T62" s="88" t="n">
        <f aca="false">IF(B62=2026,INDEX($C$5:$Q$5,1,B62-2025)*$AO$4*C62/MAX(0.0001,12-$AO$3),INDEX($C$5:$Q$5,1,B62-2025)/12)</f>
        <v>43.7734247619348</v>
      </c>
      <c r="U62" s="88" t="n">
        <f aca="false">$AO$6*INDEX($Y$5:$AB$5,1,B62-2026)/12</f>
        <v>25.5166666666667</v>
      </c>
      <c r="V62" s="88" t="n">
        <f aca="false">T62+V61</f>
        <v>603.833407332443</v>
      </c>
      <c r="W62" s="88" t="n">
        <f aca="false">U62+W61</f>
        <v>345.183333333333</v>
      </c>
      <c r="X62" s="88" t="n">
        <f aca="false">MAX(X61,V62-W62)</f>
        <v>258.65007399911</v>
      </c>
      <c r="Y62" s="88" t="n">
        <f aca="false">X62-X61</f>
        <v>18.2567580952682</v>
      </c>
      <c r="Z62" s="88" t="n">
        <f aca="false">IF(B62=2026,INDEX($C$6:$Q$6,1,B62-2025)*$AO$4*C62/MAX(0.0001,12-$AO$3),INDEX($C$6:$Q$6,1,B62-2025)/12)</f>
        <v>51.933610116259</v>
      </c>
      <c r="AA62" s="88" t="n">
        <f aca="false">$AO$6*INDEX($Y$6:$AB$6,1,B62-2026)/12</f>
        <v>38.6</v>
      </c>
      <c r="AB62" s="88" t="n">
        <f aca="false">Z62+AB61</f>
        <v>716.399251877709</v>
      </c>
      <c r="AC62" s="88" t="n">
        <f aca="false">AA62+AC61</f>
        <v>564.1</v>
      </c>
      <c r="AD62" s="88" t="n">
        <f aca="false">MAX(AD61,AB62-AC62)</f>
        <v>152.299251877709</v>
      </c>
      <c r="AE62" s="88" t="n">
        <f aca="false">AD62-AD61</f>
        <v>13.3336101162589</v>
      </c>
      <c r="AF62" s="88" t="n">
        <f aca="false">IF(B62=2026,INDEX($C$7:$Q$7,1,B62-2025)*$AO$4*C62/MAX(0.0001,12-$AO$3),INDEX($C$7:$Q$7,1,B62-2025)/12)</f>
        <v>45.11289896006</v>
      </c>
      <c r="AG62" s="88" t="n">
        <f aca="false">$AO$6*INDEX($Y$7:$AB$7,1,B62-2026)/12</f>
        <v>7.125</v>
      </c>
      <c r="AH62" s="88" t="n">
        <f aca="false">AF62+AH61</f>
        <v>622.310811681923</v>
      </c>
      <c r="AI62" s="88" t="n">
        <f aca="false">AG62+AI61</f>
        <v>92.175</v>
      </c>
      <c r="AJ62" s="88" t="n">
        <f aca="false">MAX(AJ61,AH62-AI62)</f>
        <v>530.135811681923</v>
      </c>
      <c r="AK62" s="88" t="n">
        <f aca="false">AJ62-AJ61</f>
        <v>37.98789896006</v>
      </c>
      <c r="AL62" s="88" t="n">
        <f aca="false">IF(B62=2026,INDEX($C$8:$Q$8,1,B62-2025)*$AO$4*C62/MAX(0.0001,12-$AO$3),INDEX($C$8:$Q$8,1,B62-2025)/12)</f>
        <v>11.4114321188341</v>
      </c>
      <c r="AM62" s="88" t="n">
        <f aca="false">$AO$6*INDEX($Y$8:$AB$8,1,B62-2026)/12</f>
        <v>1.65833333333333</v>
      </c>
      <c r="AN62" s="88" t="n">
        <f aca="false">AL62+AN61</f>
        <v>157.415234844739</v>
      </c>
      <c r="AO62" s="88" t="n">
        <f aca="false">AM62+AO61</f>
        <v>24.3416666666667</v>
      </c>
      <c r="AP62" s="88" t="n">
        <f aca="false">MAX(AP61,AN62-AO62)</f>
        <v>133.073568178072</v>
      </c>
      <c r="AQ62" s="88" t="n">
        <f aca="false">AP62-AP61</f>
        <v>9.75309878550074</v>
      </c>
      <c r="AR62" s="88" t="n">
        <f aca="false">IF(B62=2026,INDEX($C$9:$Q$9,1,B62-2025)*$AO$4*C62/MAX(0.0001,12-$AO$3),INDEX($C$9:$Q$9,1,B62-2025)/12)</f>
        <v>48.6576953186344</v>
      </c>
      <c r="AS62" s="88" t="n">
        <f aca="false">$AO$6*INDEX($Y$9:$AB$9,1,B62-2026)/12</f>
        <v>36.6416666666667</v>
      </c>
      <c r="AT62" s="88" t="n">
        <f aca="false">AR62+AT61</f>
        <v>671.209577888559</v>
      </c>
      <c r="AU62" s="88" t="n">
        <f aca="false">AS62+AU61</f>
        <v>511.458333333333</v>
      </c>
      <c r="AV62" s="88" t="n">
        <f aca="false">MAX(AV61,AT62-AU62)</f>
        <v>159.751244555225</v>
      </c>
      <c r="AW62" s="88" t="n">
        <f aca="false">AV62-AV61</f>
        <v>12.0160286519676</v>
      </c>
      <c r="AX62" s="88" t="n">
        <f aca="false">IF(B62=2026,INDEX($C$10:$Q$10,1,B62-2025)*$AO$4*C62/MAX(0.0001,12-$AO$3),INDEX($C$10:$Q$10,1,B62-2025)/12)</f>
        <v>5.64404597663043</v>
      </c>
      <c r="AY62" s="88" t="n">
        <f aca="false">$AO$6*INDEX($Y$10:$AB$10,1,B62-2026)/12</f>
        <v>0</v>
      </c>
      <c r="AZ62" s="88" t="n">
        <f aca="false">AX62+AZ61</f>
        <v>77.856908198176</v>
      </c>
      <c r="BA62" s="88" t="n">
        <f aca="false">AY62+BA61</f>
        <v>0</v>
      </c>
      <c r="BB62" s="88" t="n">
        <f aca="false">MAX(BB61,AZ62-BA62)</f>
        <v>77.856908198176</v>
      </c>
      <c r="BC62" s="88" t="n">
        <f aca="false">BB62-BB61</f>
        <v>5.64404597663044</v>
      </c>
      <c r="BD62" s="88" t="n">
        <f aca="false">IF(B62=2026,INDEX($C$11:$Q$11,1,B62-2025)*$AO$4*C62/MAX(0.0001,12-$AO$3),INDEX($C$11:$Q$11,1,B62-2025)/12)</f>
        <v>28.0475536513497</v>
      </c>
      <c r="BE62" s="88" t="n">
        <f aca="false">$AO$6*INDEX($Y$11:$AB$11,1,B62-2026)/12</f>
        <v>7.61666666666667</v>
      </c>
      <c r="BF62" s="88" t="n">
        <f aca="false">BD62+BF61</f>
        <v>386.902555163139</v>
      </c>
      <c r="BG62" s="88" t="n">
        <f aca="false">BE62+BG61</f>
        <v>101.783333333333</v>
      </c>
      <c r="BH62" s="88" t="n">
        <f aca="false">MAX(BH61,BF62-BG62)</f>
        <v>285.119221829806</v>
      </c>
      <c r="BI62" s="88" t="n">
        <f aca="false">BH62-BH61</f>
        <v>20.430886984683</v>
      </c>
      <c r="BJ62" s="88" t="n">
        <f aca="false">IF(B62=2026,INDEX($C$12:$Q$12,1,B62-2025)*$AO$4*C62/MAX(0.0001,12-$AO$3),INDEX($C$12:$Q$12,1,B62-2025)/12)</f>
        <v>15.3780518436687</v>
      </c>
      <c r="BK62" s="88" t="n">
        <f aca="false">$AO$6*INDEX($Y$12:$AB$12,1,B62-2026)/12</f>
        <v>3.4</v>
      </c>
      <c r="BL62" s="88" t="n">
        <f aca="false">BJ62+BL61</f>
        <v>212.132852144855</v>
      </c>
      <c r="BM62" s="88" t="n">
        <f aca="false">BK62+BM61</f>
        <v>41.1</v>
      </c>
      <c r="BN62" s="88" t="n">
        <f aca="false">MAX(BN61,BL62-BM62)</f>
        <v>171.032852144855</v>
      </c>
      <c r="BO62" s="88" t="n">
        <f aca="false">BN62-BN61</f>
        <v>11.9780518436687</v>
      </c>
      <c r="BP62" s="88" t="n">
        <f aca="false">IF(B62=2026,INDEX($C$13:$Q$13,1,B62-2025)*$AO$4*C62/MAX(0.0001,12-$AO$3),INDEX($C$13:$Q$13,1,B62-2025)/12)</f>
        <v>4.80560220169792</v>
      </c>
      <c r="BQ62" s="88" t="n">
        <f aca="false">$AO$6*INDEX($Y$13:$AB$13,1,B62-2026)/12</f>
        <v>0</v>
      </c>
      <c r="BR62" s="88" t="n">
        <f aca="false">BP62+BR61</f>
        <v>66.2909783165727</v>
      </c>
      <c r="BS62" s="88" t="n">
        <f aca="false">BQ62+BS61</f>
        <v>0</v>
      </c>
      <c r="BT62" s="88" t="n">
        <f aca="false">MAX(BT61,BR62-BS62)</f>
        <v>66.2909783165727</v>
      </c>
      <c r="BU62" s="88" t="n">
        <f aca="false">BT62-BT61</f>
        <v>4.80560220169792</v>
      </c>
      <c r="BV62" s="88" t="n">
        <f aca="false">IF(B62=2026,INDEX($C$14:$Q$14,1,B62-2025)*$AO$4*C62/MAX(0.0001,12-$AO$3),INDEX($C$14:$Q$14,1,B62-2025)/12)</f>
        <v>2.85021923686911</v>
      </c>
      <c r="BW62" s="88" t="n">
        <f aca="false">$AO$6*INDEX($Y$14:$AB$14,1,B62-2026)/12</f>
        <v>0</v>
      </c>
      <c r="BX62" s="88" t="n">
        <f aca="false">BV62+BX61</f>
        <v>39.3174078291397</v>
      </c>
      <c r="BY62" s="88" t="n">
        <f aca="false">BW62+BY61</f>
        <v>0</v>
      </c>
      <c r="BZ62" s="88" t="n">
        <f aca="false">MAX(BZ61,BX62-BY62)</f>
        <v>39.3174078291397</v>
      </c>
      <c r="CA62" s="88" t="n">
        <f aca="false">BZ62-BZ61</f>
        <v>2.85021923686911</v>
      </c>
      <c r="CB62" s="88" t="n">
        <f aca="false">IF(B62=2026,INDEX($C$15:$Q$15,1,B62-2025)*$AO$4*C62/MAX(0.0001,12-$AO$3),INDEX($C$15:$Q$15,1,B62-2025)/12)</f>
        <v>4.67303386509936</v>
      </c>
      <c r="CC62" s="88" t="n">
        <f aca="false">$AO$6*INDEX($Y$15:$AB$15,1,B62-2026)/12</f>
        <v>4.73333333333333</v>
      </c>
      <c r="CD62" s="88" t="n">
        <f aca="false">CB62+CD61</f>
        <v>64.4622616733569</v>
      </c>
      <c r="CE62" s="88" t="n">
        <f aca="false">CC62+CE61</f>
        <v>69.2666666666667</v>
      </c>
      <c r="CF62" s="88" t="n">
        <f aca="false">MAX(CF61,CD62-CE62)</f>
        <v>0</v>
      </c>
      <c r="CG62" s="88" t="n">
        <f aca="false">CF62-CF61</f>
        <v>0</v>
      </c>
      <c r="CH62" s="88" t="n">
        <f aca="false">IF(B62=2026,INDEX($C$16:$Q$16,1,B62-2025)*$AO$4*C62/MAX(0.0001,12-$AO$3),INDEX($C$16:$Q$16,1,B62-2025)/12)</f>
        <v>3.69534238268495</v>
      </c>
      <c r="CI62" s="88" t="n">
        <f aca="false">$AO$6*INDEX($Y$16:$AB$16,1,B62-2026)/12</f>
        <v>4.9</v>
      </c>
      <c r="CJ62" s="88" t="n">
        <f aca="false">CH62+CJ61</f>
        <v>50.9754764296403</v>
      </c>
      <c r="CK62" s="88" t="n">
        <f aca="false">CI62+CK61</f>
        <v>55.1</v>
      </c>
      <c r="CL62" s="88" t="n">
        <f aca="false">MAX(CL61,CJ62-CK62)</f>
        <v>9.12671022010589</v>
      </c>
      <c r="CM62" s="88" t="n">
        <f aca="false">CL62-CL61</f>
        <v>0</v>
      </c>
      <c r="CN62" s="88" t="n">
        <f aca="false">IF(B62=2026,INDEX($C$17:$Q$17,1,B62-2025)*$AO$4*C62/MAX(0.0001,12-$AO$3),INDEX($C$17:$Q$17,1,B62-2025)/12)</f>
        <v>16.0904818546506</v>
      </c>
      <c r="CO62" s="88" t="n">
        <f aca="false">$AO$6*INDEX($Y$17:$AB$17,1,B62-2026)/12</f>
        <v>10.6083333333333</v>
      </c>
      <c r="CP62" s="88" t="n">
        <f aca="false">CN62+CP61</f>
        <v>221.960482570317</v>
      </c>
      <c r="CQ62" s="88" t="n">
        <f aca="false">CO62+CQ61</f>
        <v>155.391666666667</v>
      </c>
      <c r="CR62" s="88" t="n">
        <f aca="false">MAX(CR61,CP62-CQ62)</f>
        <v>66.5688159036508</v>
      </c>
      <c r="CS62" s="88" t="n">
        <f aca="false">CR62-CR61</f>
        <v>5.4821485213173</v>
      </c>
      <c r="CT62" s="88" t="n">
        <f aca="false">IF(B62=2026,INDEX($C$18:$Q$18,1,B62-2025)*$AO$4*C62/MAX(0.0001,12-$AO$3),INDEX($C$18:$Q$18,1,B62-2025)/12)</f>
        <v>3.34735049911372</v>
      </c>
      <c r="CU62" s="88" t="n">
        <f aca="false">$AO$6*INDEX($Y$18:$AB$18,1,B62-2026)/12</f>
        <v>0.7</v>
      </c>
      <c r="CV62" s="88" t="n">
        <f aca="false">CT62+CV61</f>
        <v>46.1750952411989</v>
      </c>
      <c r="CW62" s="88" t="n">
        <f aca="false">CU62+CW61</f>
        <v>10.3</v>
      </c>
      <c r="CX62" s="88" t="n">
        <f aca="false">MAX(CX61,CV62-CW62)</f>
        <v>35.8750952411989</v>
      </c>
      <c r="CY62" s="88" t="n">
        <f aca="false">CX62-CX61</f>
        <v>2.64735049911373</v>
      </c>
      <c r="CZ62" s="88" t="n">
        <f aca="false">IF(B62=2026,INDEX($C$19:$Q$19,1,B62-2025)*$AO$4*C62/MAX(0.0001,12-$AO$3),INDEX($C$19:$Q$19,1,B62-2025)/12)</f>
        <v>3.31420841496408</v>
      </c>
      <c r="DA62" s="88" t="n">
        <f aca="false">$AO$6*INDEX($Y$19:$AB$19,1,B62-2026)/12</f>
        <v>0.891666666666667</v>
      </c>
      <c r="DB62" s="88" t="n">
        <f aca="false">CZ62+DB61</f>
        <v>45.717916080395</v>
      </c>
      <c r="DC62" s="88" t="n">
        <f aca="false">DA62+DC61</f>
        <v>11.0083333333333</v>
      </c>
      <c r="DD62" s="88" t="n">
        <f aca="false">MAX(DD61,DB62-DC62)</f>
        <v>34.7095827470616</v>
      </c>
      <c r="DE62" s="88" t="n">
        <f aca="false">DD62-DD61</f>
        <v>2.42254174829742</v>
      </c>
      <c r="DF62" s="88" t="n">
        <f aca="false">IF(B62=2026,INDEX($C$20:$Q$20,1,B62-2025)*$AO$4*C62/MAX(0.0001,12-$AO$3),INDEX($C$20:$Q$20,1,B62-2025)/12)</f>
        <v>2.70107985819573</v>
      </c>
      <c r="DG62" s="88" t="n">
        <f aca="false">$AO$6*INDEX($Y$20:$AB$20,1,B62-2026)/12</f>
        <v>0</v>
      </c>
      <c r="DH62" s="88" t="n">
        <f aca="false">DF62+DH61</f>
        <v>37.2601016055219</v>
      </c>
      <c r="DI62" s="88" t="n">
        <f aca="false">DG62+DI61</f>
        <v>0</v>
      </c>
      <c r="DJ62" s="88" t="n">
        <f aca="false">MAX(DJ61,DH62-DI62)</f>
        <v>37.2601016055219</v>
      </c>
      <c r="DK62" s="88" t="n">
        <f aca="false">DJ62-DJ61</f>
        <v>2.70107985819573</v>
      </c>
      <c r="DL62" s="88" t="n">
        <f aca="false">IF(B62=2026,INDEX($C$21:$Q$21,1,B62-2025)*$AO$4*C62/MAX(0.0001,12-$AO$3),INDEX($C$21:$Q$21,1,B62-2025)/12)</f>
        <v>1.88909879652953</v>
      </c>
      <c r="DM62" s="88" t="n">
        <f aca="false">$AO$6*INDEX($Y$21:$AB$21,1,B62-2026)/12</f>
        <v>0.85</v>
      </c>
      <c r="DN62" s="88" t="n">
        <f aca="false">DL62+DN61</f>
        <v>26.0592121658251</v>
      </c>
      <c r="DO62" s="88" t="n">
        <f aca="false">DM62+DO61</f>
        <v>9.35</v>
      </c>
      <c r="DP62" s="88" t="n">
        <f aca="false">MAX(DP61,DN62-DO62)</f>
        <v>16.7092121658251</v>
      </c>
      <c r="DQ62" s="88" t="n">
        <f aca="false">DP62-DP61</f>
        <v>1.03909879652953</v>
      </c>
      <c r="DR62" s="88" t="n">
        <f aca="false">IF(B62=2026,INDEX($C$22:$Q$22,1,B62-2025)*$AO$4*C62/MAX(0.0001,12-$AO$3),INDEX($C$22:$Q$22,1,B62-2025)/12)</f>
        <v>1.47482274465902</v>
      </c>
      <c r="DS62" s="88" t="n">
        <f aca="false">$AO$6*INDEX($Y$22:$AB$22,1,B62-2026)/12</f>
        <v>1.125</v>
      </c>
      <c r="DT62" s="88" t="n">
        <f aca="false">DR62+DT61</f>
        <v>20.3444726557757</v>
      </c>
      <c r="DU62" s="88" t="n">
        <f aca="false">DS62+DU61</f>
        <v>15.475</v>
      </c>
      <c r="DV62" s="88" t="n">
        <f aca="false">MAX(DV61,DT62-DU62)</f>
        <v>4.86947265577575</v>
      </c>
      <c r="DW62" s="88" t="n">
        <f aca="false">DV62-DV61</f>
        <v>0.349822744659015</v>
      </c>
      <c r="DX62" s="88" t="n">
        <f aca="false">IF(B62=2026,INDEX($C$23:$Q$23,1,B62-2025)*$AO$4*C62/MAX(0.0001,12-$AO$3),INDEX($C$23:$Q$23,1,B62-2025)/12)</f>
        <v>2.36965901669932</v>
      </c>
      <c r="DY62" s="88" t="n">
        <f aca="false">$AO$6*INDEX($Y$23:$AB$23,1,B62-2026)/12</f>
        <v>0</v>
      </c>
      <c r="DZ62" s="88" t="n">
        <f aca="false">DX62+DZ61</f>
        <v>32.6883099974824</v>
      </c>
      <c r="EA62" s="88" t="n">
        <f aca="false">DY62+EA61</f>
        <v>0</v>
      </c>
      <c r="EB62" s="88" t="n">
        <f aca="false">MAX(EB61,DZ62-EA62)</f>
        <v>32.6883099974824</v>
      </c>
      <c r="EC62" s="88" t="n">
        <f aca="false">EB62-EB61</f>
        <v>2.36965901669932</v>
      </c>
      <c r="ED62" s="88" t="n">
        <f aca="false">IF(B62=2026,INDEX($C$24:$Q$24,1,B62-2025)*$AO$4*C62/MAX(0.0001,12-$AO$3),INDEX($C$24:$Q$24,1,B62-2025)/12)</f>
        <v>1.4582517025842</v>
      </c>
      <c r="EE62" s="88" t="n">
        <f aca="false">$AO$6*INDEX($Y$24:$AB$24,1,B62-2026)/12</f>
        <v>0</v>
      </c>
      <c r="EF62" s="88" t="n">
        <f aca="false">ED62+EF61</f>
        <v>20.1158830753738</v>
      </c>
      <c r="EG62" s="88" t="n">
        <f aca="false">EE62+EG61</f>
        <v>0</v>
      </c>
      <c r="EH62" s="88" t="n">
        <f aca="false">MAX(EH61,EF62-EG62)</f>
        <v>20.1158830753738</v>
      </c>
      <c r="EI62" s="88" t="n">
        <f aca="false">EH62-EH61</f>
        <v>1.4582517025842</v>
      </c>
      <c r="EJ62" s="88" t="n">
        <f aca="false">IF(B62=2026,INDEX($C$25:$Q$25,1,B62-2025)*$AO$4*C62/MAX(0.0001,12-$AO$3),INDEX($C$25:$Q$25,1,B62-2025)/12)</f>
        <v>1.85595671237989</v>
      </c>
      <c r="EK62" s="88" t="n">
        <f aca="false">$AO$6*INDEX($Y$25:$AB$25,1,B62-2026)/12</f>
        <v>0.891666666666667</v>
      </c>
      <c r="EL62" s="88" t="n">
        <f aca="false">EJ62+EL61</f>
        <v>25.6020330050212</v>
      </c>
      <c r="EM62" s="88" t="n">
        <f aca="false">EK62+EM61</f>
        <v>13.1083333333333</v>
      </c>
      <c r="EN62" s="88" t="n">
        <f aca="false">MAX(EN61,EL62-EM62)</f>
        <v>12.4936996716878</v>
      </c>
      <c r="EO62" s="88" t="n">
        <f aca="false">EN62-EN61</f>
        <v>0.96429004571322</v>
      </c>
      <c r="EP62" s="88" t="n">
        <f aca="false">IF(B62=2026,INDEX($C$26:$Q$26,1,B62-2025)*$AO$4*C62/MAX(0.0001,12-$AO$3),INDEX($C$26:$Q$26,1,B62-2025)/12)</f>
        <v>2.66793777404609</v>
      </c>
      <c r="EQ62" s="88" t="n">
        <f aca="false">$AO$6*INDEX($Y$26:$AB$26,1,B62-2026)/12</f>
        <v>0.308333333333333</v>
      </c>
      <c r="ER62" s="88" t="n">
        <f aca="false">EP62+ER61</f>
        <v>36.8029224447179</v>
      </c>
      <c r="ES62" s="88" t="n">
        <f aca="false">EQ62+ES61</f>
        <v>3.39166666666667</v>
      </c>
      <c r="ET62" s="88" t="n">
        <f aca="false">MAX(ET61,ER62-ES62)</f>
        <v>33.4112557780513</v>
      </c>
      <c r="EU62" s="88" t="n">
        <f aca="false">ET62-ET61</f>
        <v>2.35960444071276</v>
      </c>
      <c r="EV62" s="88" t="n">
        <f aca="false">IF(B62=2026,INDEX($C$27:$Q$27,1,B62-2025)*$AO$4*C62/MAX(0.0001,12-$AO$3),INDEX($C$27:$Q$27,1,B62-2025)/12)</f>
        <v>6.62841682992816</v>
      </c>
      <c r="EW62" s="88" t="n">
        <f aca="false">$AO$6*INDEX($Y$27:$AB$27,1,B62-2026)/12</f>
        <v>12.4166666666667</v>
      </c>
      <c r="EX62" s="88" t="n">
        <f aca="false">EV62+EX61</f>
        <v>91.4358321607899</v>
      </c>
      <c r="EY62" s="88" t="n">
        <f aca="false">EW62+EY61</f>
        <v>172.683333333333</v>
      </c>
      <c r="EZ62" s="88" t="n">
        <f aca="false">MAX(EZ61,EX62-EY62)</f>
        <v>0</v>
      </c>
      <c r="FA62" s="88" t="n">
        <f aca="false">EZ62-EZ61</f>
        <v>0</v>
      </c>
      <c r="FB62" s="88" t="n">
        <f aca="false">IF(B62=2026,INDEX($C$28:$Q$28,1,B62-2025)*$AO$4*C62/MAX(0.0001,12-$AO$3),INDEX($C$28:$Q$28,1,B62-2025)/12)</f>
        <v>34.6997621046739</v>
      </c>
      <c r="FC62" s="88" t="n">
        <f aca="false">$AO$6*INDEX($Y$28:$AB$28,1,B62-2026)/12</f>
        <v>6.825</v>
      </c>
      <c r="FD62" s="88" t="n">
        <f aca="false">FB62+FD61</f>
        <v>478.666581361735</v>
      </c>
      <c r="FE62" s="88" t="n">
        <f aca="false">FC62+FE61</f>
        <v>99.175</v>
      </c>
      <c r="FF62" s="88" t="n">
        <f aca="false">MAX(FF61,FD62-FE62)</f>
        <v>379.491581361735</v>
      </c>
      <c r="FG62" s="88" t="n">
        <f aca="false">FF62-FF61</f>
        <v>27.8747621046739</v>
      </c>
    </row>
    <row r="63" customFormat="false" ht="15" hidden="false" customHeight="false" outlineLevel="0" collapsed="false">
      <c r="A63" s="0" t="n">
        <v>23</v>
      </c>
      <c r="B63" s="88" t="n">
        <f aca="false">2026+INT(A63/12)</f>
        <v>2027</v>
      </c>
      <c r="C63" s="88" t="n">
        <f aca="false">MAX(0,MIN(1,A63+1-$AO$3))</f>
        <v>1</v>
      </c>
      <c r="D63" s="88" t="n">
        <f aca="false">IF((A63+0.5-(0))&lt;$AO$3,0,2026+INT((A63+0.5-(0))/12))</f>
        <v>2027</v>
      </c>
      <c r="E63" s="88" t="n">
        <f aca="false">IF((A63+0.5-($AO$9))&lt;$AO$3,0,2026+INT((A63+0.5-($AO$9))/12))</f>
        <v>0</v>
      </c>
      <c r="F63" s="88" t="n">
        <f aca="false">IF((A63+0.5-($AO$9+$AO$8))&lt;$AO$3,0,2026+INT((A63+0.5-($AO$9+$AO$8))/12))</f>
        <v>0</v>
      </c>
      <c r="G63" s="88" t="n">
        <f aca="false">IF((A63+0.5-($AO$9+$AO$8+$AO$7))&lt;$AO$3,0,2026+INT((A63+0.5-($AO$9+$AO$8+$AO$7))/12))</f>
        <v>0</v>
      </c>
      <c r="H63" s="88" t="n">
        <f aca="false">IF(B63=2026,INDEX($C$3:$Q$3,1,B63-2025)*$AO$4*C63/MAX(0.0001,12-$AO$3),INDEX($C$3:$Q$3,1,B63-2025)/12)</f>
        <v>355.25</v>
      </c>
      <c r="I63" s="88" t="n">
        <f aca="false">$AO$6*INDEX($Y$3:$AB$3,1,B63-2026)/12</f>
        <v>173.725</v>
      </c>
      <c r="J63" s="88" t="n">
        <f aca="false">H63+J62</f>
        <v>5255.75342465753</v>
      </c>
      <c r="K63" s="88" t="n">
        <f aca="false">I63+K62</f>
        <v>2590.9</v>
      </c>
      <c r="L63" s="88" t="n">
        <f aca="false">MAX(L62,J63-K63)</f>
        <v>2664.85342465754</v>
      </c>
      <c r="M63" s="88" t="n">
        <f aca="false">L63-L62</f>
        <v>181.525</v>
      </c>
      <c r="N63" s="88" t="n">
        <f aca="false">IF(B63=2026,INDEX($C$4:$Q$4,1,B63-2025)*$AO$4*C63/MAX(0.0001,12-$AO$3),INDEX($C$4:$Q$4,1,B63-2025)/12)</f>
        <v>10.7700632578534</v>
      </c>
      <c r="O63" s="88" t="n">
        <f aca="false">$AO$6*INDEX($Y$4:$AB$4,1,B63-2026)/12</f>
        <v>8.91666666666667</v>
      </c>
      <c r="P63" s="88" t="n">
        <f aca="false">N63+P62</f>
        <v>159.337922170981</v>
      </c>
      <c r="Q63" s="88" t="n">
        <f aca="false">O63+Q62</f>
        <v>131.7</v>
      </c>
      <c r="R63" s="88" t="n">
        <f aca="false">MAX(R62,P63-Q63)</f>
        <v>27.6379221709811</v>
      </c>
      <c r="S63" s="88" t="n">
        <f aca="false">R63-R62</f>
        <v>1.85339659118671</v>
      </c>
      <c r="T63" s="88" t="n">
        <f aca="false">IF(B63=2026,INDEX($C$5:$Q$5,1,B63-2025)*$AO$4*C63/MAX(0.0001,12-$AO$3),INDEX($C$5:$Q$5,1,B63-2025)/12)</f>
        <v>43.7734247619348</v>
      </c>
      <c r="U63" s="88" t="n">
        <f aca="false">$AO$6*INDEX($Y$5:$AB$5,1,B63-2026)/12</f>
        <v>25.5166666666667</v>
      </c>
      <c r="V63" s="88" t="n">
        <f aca="false">T63+V62</f>
        <v>647.606832094378</v>
      </c>
      <c r="W63" s="88" t="n">
        <f aca="false">U63+W62</f>
        <v>370.7</v>
      </c>
      <c r="X63" s="88" t="n">
        <f aca="false">MAX(X62,V63-W63)</f>
        <v>276.906832094378</v>
      </c>
      <c r="Y63" s="88" t="n">
        <f aca="false">X63-X62</f>
        <v>18.2567580952682</v>
      </c>
      <c r="Z63" s="88" t="n">
        <f aca="false">IF(B63=2026,INDEX($C$6:$Q$6,1,B63-2025)*$AO$4*C63/MAX(0.0001,12-$AO$3),INDEX($C$6:$Q$6,1,B63-2025)/12)</f>
        <v>51.933610116259</v>
      </c>
      <c r="AA63" s="88" t="n">
        <f aca="false">$AO$6*INDEX($Y$6:$AB$6,1,B63-2026)/12</f>
        <v>38.6</v>
      </c>
      <c r="AB63" s="88" t="n">
        <f aca="false">Z63+AB62</f>
        <v>768.332861993968</v>
      </c>
      <c r="AC63" s="88" t="n">
        <f aca="false">AA63+AC62</f>
        <v>602.7</v>
      </c>
      <c r="AD63" s="88" t="n">
        <f aca="false">MAX(AD62,AB63-AC63)</f>
        <v>165.632861993968</v>
      </c>
      <c r="AE63" s="88" t="n">
        <f aca="false">AD63-AD62</f>
        <v>13.3336101162589</v>
      </c>
      <c r="AF63" s="88" t="n">
        <f aca="false">IF(B63=2026,INDEX($C$7:$Q$7,1,B63-2025)*$AO$4*C63/MAX(0.0001,12-$AO$3),INDEX($C$7:$Q$7,1,B63-2025)/12)</f>
        <v>45.11289896006</v>
      </c>
      <c r="AG63" s="88" t="n">
        <f aca="false">$AO$6*INDEX($Y$7:$AB$7,1,B63-2026)/12</f>
        <v>7.125</v>
      </c>
      <c r="AH63" s="88" t="n">
        <f aca="false">AF63+AH62</f>
        <v>667.423710641983</v>
      </c>
      <c r="AI63" s="88" t="n">
        <f aca="false">AG63+AI62</f>
        <v>99.3</v>
      </c>
      <c r="AJ63" s="88" t="n">
        <f aca="false">MAX(AJ62,AH63-AI63)</f>
        <v>568.123710641983</v>
      </c>
      <c r="AK63" s="88" t="n">
        <f aca="false">AJ63-AJ62</f>
        <v>37.98789896006</v>
      </c>
      <c r="AL63" s="88" t="n">
        <f aca="false">IF(B63=2026,INDEX($C$8:$Q$8,1,B63-2025)*$AO$4*C63/MAX(0.0001,12-$AO$3),INDEX($C$8:$Q$8,1,B63-2025)/12)</f>
        <v>11.4114321188341</v>
      </c>
      <c r="AM63" s="88" t="n">
        <f aca="false">$AO$6*INDEX($Y$8:$AB$8,1,B63-2026)/12</f>
        <v>1.65833333333333</v>
      </c>
      <c r="AN63" s="88" t="n">
        <f aca="false">AL63+AN62</f>
        <v>168.826666963573</v>
      </c>
      <c r="AO63" s="88" t="n">
        <f aca="false">AM63+AO62</f>
        <v>26</v>
      </c>
      <c r="AP63" s="88" t="n">
        <f aca="false">MAX(AP62,AN63-AO63)</f>
        <v>142.826666963573</v>
      </c>
      <c r="AQ63" s="88" t="n">
        <f aca="false">AP63-AP62</f>
        <v>9.75309878550075</v>
      </c>
      <c r="AR63" s="88" t="n">
        <f aca="false">IF(B63=2026,INDEX($C$9:$Q$9,1,B63-2025)*$AO$4*C63/MAX(0.0001,12-$AO$3),INDEX($C$9:$Q$9,1,B63-2025)/12)</f>
        <v>48.6576953186344</v>
      </c>
      <c r="AS63" s="88" t="n">
        <f aca="false">$AO$6*INDEX($Y$9:$AB$9,1,B63-2026)/12</f>
        <v>36.6416666666667</v>
      </c>
      <c r="AT63" s="88" t="n">
        <f aca="false">AR63+AT62</f>
        <v>719.867273207193</v>
      </c>
      <c r="AU63" s="88" t="n">
        <f aca="false">AS63+AU62</f>
        <v>548.1</v>
      </c>
      <c r="AV63" s="88" t="n">
        <f aca="false">MAX(AV62,AT63-AU63)</f>
        <v>171.767273207193</v>
      </c>
      <c r="AW63" s="88" t="n">
        <f aca="false">AV63-AV62</f>
        <v>12.0160286519676</v>
      </c>
      <c r="AX63" s="88" t="n">
        <f aca="false">IF(B63=2026,INDEX($C$10:$Q$10,1,B63-2025)*$AO$4*C63/MAX(0.0001,12-$AO$3),INDEX($C$10:$Q$10,1,B63-2025)/12)</f>
        <v>5.64404597663043</v>
      </c>
      <c r="AY63" s="88" t="n">
        <f aca="false">$AO$6*INDEX($Y$10:$AB$10,1,B63-2026)/12</f>
        <v>0</v>
      </c>
      <c r="AZ63" s="88" t="n">
        <f aca="false">AX63+AZ62</f>
        <v>83.5009541748064</v>
      </c>
      <c r="BA63" s="88" t="n">
        <f aca="false">AY63+BA62</f>
        <v>0</v>
      </c>
      <c r="BB63" s="88" t="n">
        <f aca="false">MAX(BB62,AZ63-BA63)</f>
        <v>83.5009541748064</v>
      </c>
      <c r="BC63" s="88" t="n">
        <f aca="false">BB63-BB62</f>
        <v>5.64404597663044</v>
      </c>
      <c r="BD63" s="88" t="n">
        <f aca="false">IF(B63=2026,INDEX($C$11:$Q$11,1,B63-2025)*$AO$4*C63/MAX(0.0001,12-$AO$3),INDEX($C$11:$Q$11,1,B63-2025)/12)</f>
        <v>28.0475536513497</v>
      </c>
      <c r="BE63" s="88" t="n">
        <f aca="false">$AO$6*INDEX($Y$11:$AB$11,1,B63-2026)/12</f>
        <v>7.61666666666667</v>
      </c>
      <c r="BF63" s="88" t="n">
        <f aca="false">BD63+BF62</f>
        <v>414.950108814489</v>
      </c>
      <c r="BG63" s="88" t="n">
        <f aca="false">BE63+BG62</f>
        <v>109.4</v>
      </c>
      <c r="BH63" s="88" t="n">
        <f aca="false">MAX(BH62,BF63-BG63)</f>
        <v>305.550108814489</v>
      </c>
      <c r="BI63" s="88" t="n">
        <f aca="false">BH63-BH62</f>
        <v>20.430886984683</v>
      </c>
      <c r="BJ63" s="88" t="n">
        <f aca="false">IF(B63=2026,INDEX($C$12:$Q$12,1,B63-2025)*$AO$4*C63/MAX(0.0001,12-$AO$3),INDEX($C$12:$Q$12,1,B63-2025)/12)</f>
        <v>15.3780518436687</v>
      </c>
      <c r="BK63" s="88" t="n">
        <f aca="false">$AO$6*INDEX($Y$12:$AB$12,1,B63-2026)/12</f>
        <v>3.4</v>
      </c>
      <c r="BL63" s="88" t="n">
        <f aca="false">BJ63+BL62</f>
        <v>227.510903988524</v>
      </c>
      <c r="BM63" s="88" t="n">
        <f aca="false">BK63+BM62</f>
        <v>44.5</v>
      </c>
      <c r="BN63" s="88" t="n">
        <f aca="false">MAX(BN62,BL63-BM63)</f>
        <v>183.010903988524</v>
      </c>
      <c r="BO63" s="88" t="n">
        <f aca="false">BN63-BN62</f>
        <v>11.9780518436687</v>
      </c>
      <c r="BP63" s="88" t="n">
        <f aca="false">IF(B63=2026,INDEX($C$13:$Q$13,1,B63-2025)*$AO$4*C63/MAX(0.0001,12-$AO$3),INDEX($C$13:$Q$13,1,B63-2025)/12)</f>
        <v>4.80560220169792</v>
      </c>
      <c r="BQ63" s="88" t="n">
        <f aca="false">$AO$6*INDEX($Y$13:$AB$13,1,B63-2026)/12</f>
        <v>0</v>
      </c>
      <c r="BR63" s="88" t="n">
        <f aca="false">BP63+BR62</f>
        <v>71.0965805182706</v>
      </c>
      <c r="BS63" s="88" t="n">
        <f aca="false">BQ63+BS62</f>
        <v>0</v>
      </c>
      <c r="BT63" s="88" t="n">
        <f aca="false">MAX(BT62,BR63-BS63)</f>
        <v>71.0965805182706</v>
      </c>
      <c r="BU63" s="88" t="n">
        <f aca="false">BT63-BT62</f>
        <v>4.80560220169792</v>
      </c>
      <c r="BV63" s="88" t="n">
        <f aca="false">IF(B63=2026,INDEX($C$14:$Q$14,1,B63-2025)*$AO$4*C63/MAX(0.0001,12-$AO$3),INDEX($C$14:$Q$14,1,B63-2025)/12)</f>
        <v>2.85021923686911</v>
      </c>
      <c r="BW63" s="88" t="n">
        <f aca="false">$AO$6*INDEX($Y$14:$AB$14,1,B63-2026)/12</f>
        <v>0</v>
      </c>
      <c r="BX63" s="88" t="n">
        <f aca="false">BV63+BX62</f>
        <v>42.1676270660088</v>
      </c>
      <c r="BY63" s="88" t="n">
        <f aca="false">BW63+BY62</f>
        <v>0</v>
      </c>
      <c r="BZ63" s="88" t="n">
        <f aca="false">MAX(BZ62,BX63-BY63)</f>
        <v>42.1676270660088</v>
      </c>
      <c r="CA63" s="88" t="n">
        <f aca="false">BZ63-BZ62</f>
        <v>2.85021923686911</v>
      </c>
      <c r="CB63" s="88" t="n">
        <f aca="false">IF(B63=2026,INDEX($C$15:$Q$15,1,B63-2025)*$AO$4*C63/MAX(0.0001,12-$AO$3),INDEX($C$15:$Q$15,1,B63-2025)/12)</f>
        <v>4.67303386509936</v>
      </c>
      <c r="CC63" s="88" t="n">
        <f aca="false">$AO$6*INDEX($Y$15:$AB$15,1,B63-2026)/12</f>
        <v>4.73333333333333</v>
      </c>
      <c r="CD63" s="88" t="n">
        <f aca="false">CB63+CD62</f>
        <v>69.1352955384562</v>
      </c>
      <c r="CE63" s="88" t="n">
        <f aca="false">CC63+CE62</f>
        <v>74</v>
      </c>
      <c r="CF63" s="88" t="n">
        <f aca="false">MAX(CF62,CD63-CE63)</f>
        <v>0</v>
      </c>
      <c r="CG63" s="88" t="n">
        <f aca="false">CF63-CF62</f>
        <v>0</v>
      </c>
      <c r="CH63" s="88" t="n">
        <f aca="false">IF(B63=2026,INDEX($C$16:$Q$16,1,B63-2025)*$AO$4*C63/MAX(0.0001,12-$AO$3),INDEX($C$16:$Q$16,1,B63-2025)/12)</f>
        <v>3.69534238268495</v>
      </c>
      <c r="CI63" s="88" t="n">
        <f aca="false">$AO$6*INDEX($Y$16:$AB$16,1,B63-2026)/12</f>
        <v>4.9</v>
      </c>
      <c r="CJ63" s="88" t="n">
        <f aca="false">CH63+CJ62</f>
        <v>54.6708188123253</v>
      </c>
      <c r="CK63" s="88" t="n">
        <f aca="false">CI63+CK62</f>
        <v>60</v>
      </c>
      <c r="CL63" s="88" t="n">
        <f aca="false">MAX(CL62,CJ63-CK63)</f>
        <v>9.12671022010589</v>
      </c>
      <c r="CM63" s="88" t="n">
        <f aca="false">CL63-CL62</f>
        <v>0</v>
      </c>
      <c r="CN63" s="88" t="n">
        <f aca="false">IF(B63=2026,INDEX($C$17:$Q$17,1,B63-2025)*$AO$4*C63/MAX(0.0001,12-$AO$3),INDEX($C$17:$Q$17,1,B63-2025)/12)</f>
        <v>16.0904818546506</v>
      </c>
      <c r="CO63" s="88" t="n">
        <f aca="false">$AO$6*INDEX($Y$17:$AB$17,1,B63-2026)/12</f>
        <v>10.6083333333333</v>
      </c>
      <c r="CP63" s="88" t="n">
        <f aca="false">CN63+CP62</f>
        <v>238.050964424968</v>
      </c>
      <c r="CQ63" s="88" t="n">
        <f aca="false">CO63+CQ62</f>
        <v>166</v>
      </c>
      <c r="CR63" s="88" t="n">
        <f aca="false">MAX(CR62,CP63-CQ63)</f>
        <v>72.0509644249681</v>
      </c>
      <c r="CS63" s="88" t="n">
        <f aca="false">CR63-CR62</f>
        <v>5.4821485213173</v>
      </c>
      <c r="CT63" s="88" t="n">
        <f aca="false">IF(B63=2026,INDEX($C$18:$Q$18,1,B63-2025)*$AO$4*C63/MAX(0.0001,12-$AO$3),INDEX($C$18:$Q$18,1,B63-2025)/12)</f>
        <v>3.34735049911372</v>
      </c>
      <c r="CU63" s="88" t="n">
        <f aca="false">$AO$6*INDEX($Y$18:$AB$18,1,B63-2026)/12</f>
        <v>0.7</v>
      </c>
      <c r="CV63" s="88" t="n">
        <f aca="false">CT63+CV62</f>
        <v>49.5224457403126</v>
      </c>
      <c r="CW63" s="88" t="n">
        <f aca="false">CU63+CW62</f>
        <v>11</v>
      </c>
      <c r="CX63" s="88" t="n">
        <f aca="false">MAX(CX62,CV63-CW63)</f>
        <v>38.5224457403126</v>
      </c>
      <c r="CY63" s="88" t="n">
        <f aca="false">CX63-CX62</f>
        <v>2.64735049911372</v>
      </c>
      <c r="CZ63" s="88" t="n">
        <f aca="false">IF(B63=2026,INDEX($C$19:$Q$19,1,B63-2025)*$AO$4*C63/MAX(0.0001,12-$AO$3),INDEX($C$19:$Q$19,1,B63-2025)/12)</f>
        <v>3.31420841496408</v>
      </c>
      <c r="DA63" s="88" t="n">
        <f aca="false">$AO$6*INDEX($Y$19:$AB$19,1,B63-2026)/12</f>
        <v>0.891666666666667</v>
      </c>
      <c r="DB63" s="88" t="n">
        <f aca="false">CZ63+DB62</f>
        <v>49.032124495359</v>
      </c>
      <c r="DC63" s="88" t="n">
        <f aca="false">DA63+DC62</f>
        <v>11.9</v>
      </c>
      <c r="DD63" s="88" t="n">
        <f aca="false">MAX(DD62,DB63-DC63)</f>
        <v>37.132124495359</v>
      </c>
      <c r="DE63" s="88" t="n">
        <f aca="false">DD63-DD62</f>
        <v>2.42254174829742</v>
      </c>
      <c r="DF63" s="88" t="n">
        <f aca="false">IF(B63=2026,INDEX($C$20:$Q$20,1,B63-2025)*$AO$4*C63/MAX(0.0001,12-$AO$3),INDEX($C$20:$Q$20,1,B63-2025)/12)</f>
        <v>2.70107985819573</v>
      </c>
      <c r="DG63" s="88" t="n">
        <f aca="false">$AO$6*INDEX($Y$20:$AB$20,1,B63-2026)/12</f>
        <v>0</v>
      </c>
      <c r="DH63" s="88" t="n">
        <f aca="false">DF63+DH62</f>
        <v>39.9611814637176</v>
      </c>
      <c r="DI63" s="88" t="n">
        <f aca="false">DG63+DI62</f>
        <v>0</v>
      </c>
      <c r="DJ63" s="88" t="n">
        <f aca="false">MAX(DJ62,DH63-DI63)</f>
        <v>39.9611814637176</v>
      </c>
      <c r="DK63" s="88" t="n">
        <f aca="false">DJ63-DJ62</f>
        <v>2.70107985819573</v>
      </c>
      <c r="DL63" s="88" t="n">
        <f aca="false">IF(B63=2026,INDEX($C$21:$Q$21,1,B63-2025)*$AO$4*C63/MAX(0.0001,12-$AO$3),INDEX($C$21:$Q$21,1,B63-2025)/12)</f>
        <v>1.88909879652953</v>
      </c>
      <c r="DM63" s="88" t="n">
        <f aca="false">$AO$6*INDEX($Y$21:$AB$21,1,B63-2026)/12</f>
        <v>0.85</v>
      </c>
      <c r="DN63" s="88" t="n">
        <f aca="false">DL63+DN62</f>
        <v>27.9483109623547</v>
      </c>
      <c r="DO63" s="88" t="n">
        <f aca="false">DM63+DO62</f>
        <v>10.2</v>
      </c>
      <c r="DP63" s="88" t="n">
        <f aca="false">MAX(DP62,DN63-DO63)</f>
        <v>17.7483109623547</v>
      </c>
      <c r="DQ63" s="88" t="n">
        <f aca="false">DP63-DP62</f>
        <v>1.03909879652953</v>
      </c>
      <c r="DR63" s="88" t="n">
        <f aca="false">IF(B63=2026,INDEX($C$22:$Q$22,1,B63-2025)*$AO$4*C63/MAX(0.0001,12-$AO$3),INDEX($C$22:$Q$22,1,B63-2025)/12)</f>
        <v>1.47482274465902</v>
      </c>
      <c r="DS63" s="88" t="n">
        <f aca="false">$AO$6*INDEX($Y$22:$AB$22,1,B63-2026)/12</f>
        <v>1.125</v>
      </c>
      <c r="DT63" s="88" t="n">
        <f aca="false">DR63+DT62</f>
        <v>21.8192954004348</v>
      </c>
      <c r="DU63" s="88" t="n">
        <f aca="false">DS63+DU62</f>
        <v>16.6</v>
      </c>
      <c r="DV63" s="88" t="n">
        <f aca="false">MAX(DV62,DT63-DU63)</f>
        <v>5.21929540043476</v>
      </c>
      <c r="DW63" s="88" t="n">
        <f aca="false">DV63-DV62</f>
        <v>0.349822744659015</v>
      </c>
      <c r="DX63" s="88" t="n">
        <f aca="false">IF(B63=2026,INDEX($C$23:$Q$23,1,B63-2025)*$AO$4*C63/MAX(0.0001,12-$AO$3),INDEX($C$23:$Q$23,1,B63-2025)/12)</f>
        <v>2.36965901669932</v>
      </c>
      <c r="DY63" s="88" t="n">
        <f aca="false">$AO$6*INDEX($Y$23:$AB$23,1,B63-2026)/12</f>
        <v>0</v>
      </c>
      <c r="DZ63" s="88" t="n">
        <f aca="false">DX63+DZ62</f>
        <v>35.0579690141817</v>
      </c>
      <c r="EA63" s="88" t="n">
        <f aca="false">DY63+EA62</f>
        <v>0</v>
      </c>
      <c r="EB63" s="88" t="n">
        <f aca="false">MAX(EB62,DZ63-EA63)</f>
        <v>35.0579690141817</v>
      </c>
      <c r="EC63" s="88" t="n">
        <f aca="false">EB63-EB62</f>
        <v>2.36965901669932</v>
      </c>
      <c r="ED63" s="88" t="n">
        <f aca="false">IF(B63=2026,INDEX($C$24:$Q$24,1,B63-2025)*$AO$4*C63/MAX(0.0001,12-$AO$3),INDEX($C$24:$Q$24,1,B63-2025)/12)</f>
        <v>1.4582517025842</v>
      </c>
      <c r="EE63" s="88" t="n">
        <f aca="false">$AO$6*INDEX($Y$24:$AB$24,1,B63-2026)/12</f>
        <v>0</v>
      </c>
      <c r="EF63" s="88" t="n">
        <f aca="false">ED63+EF62</f>
        <v>21.574134777958</v>
      </c>
      <c r="EG63" s="88" t="n">
        <f aca="false">EE63+EG62</f>
        <v>0</v>
      </c>
      <c r="EH63" s="88" t="n">
        <f aca="false">MAX(EH62,EF63-EG63)</f>
        <v>21.574134777958</v>
      </c>
      <c r="EI63" s="88" t="n">
        <f aca="false">EH63-EH62</f>
        <v>1.4582517025842</v>
      </c>
      <c r="EJ63" s="88" t="n">
        <f aca="false">IF(B63=2026,INDEX($C$25:$Q$25,1,B63-2025)*$AO$4*C63/MAX(0.0001,12-$AO$3),INDEX($C$25:$Q$25,1,B63-2025)/12)</f>
        <v>1.85595671237989</v>
      </c>
      <c r="EK63" s="88" t="n">
        <f aca="false">$AO$6*INDEX($Y$25:$AB$25,1,B63-2026)/12</f>
        <v>0.891666666666667</v>
      </c>
      <c r="EL63" s="88" t="n">
        <f aca="false">EJ63+EL62</f>
        <v>27.4579897174011</v>
      </c>
      <c r="EM63" s="88" t="n">
        <f aca="false">EK63+EM62</f>
        <v>14</v>
      </c>
      <c r="EN63" s="88" t="n">
        <f aca="false">MAX(EN62,EL63-EM63)</f>
        <v>13.4579897174011</v>
      </c>
      <c r="EO63" s="88" t="n">
        <f aca="false">EN63-EN62</f>
        <v>0.96429004571322</v>
      </c>
      <c r="EP63" s="88" t="n">
        <f aca="false">IF(B63=2026,INDEX($C$26:$Q$26,1,B63-2025)*$AO$4*C63/MAX(0.0001,12-$AO$3),INDEX($C$26:$Q$26,1,B63-2025)/12)</f>
        <v>2.66793777404609</v>
      </c>
      <c r="EQ63" s="88" t="n">
        <f aca="false">$AO$6*INDEX($Y$26:$AB$26,1,B63-2026)/12</f>
        <v>0.308333333333333</v>
      </c>
      <c r="ER63" s="88" t="n">
        <f aca="false">EP63+ER62</f>
        <v>39.470860218764</v>
      </c>
      <c r="ES63" s="88" t="n">
        <f aca="false">EQ63+ES62</f>
        <v>3.7</v>
      </c>
      <c r="ET63" s="88" t="n">
        <f aca="false">MAX(ET62,ER63-ES63)</f>
        <v>35.770860218764</v>
      </c>
      <c r="EU63" s="88" t="n">
        <f aca="false">ET63-ET62</f>
        <v>2.35960444071275</v>
      </c>
      <c r="EV63" s="88" t="n">
        <f aca="false">IF(B63=2026,INDEX($C$27:$Q$27,1,B63-2025)*$AO$4*C63/MAX(0.0001,12-$AO$3),INDEX($C$27:$Q$27,1,B63-2025)/12)</f>
        <v>6.62841682992816</v>
      </c>
      <c r="EW63" s="88" t="n">
        <f aca="false">$AO$6*INDEX($Y$27:$AB$27,1,B63-2026)/12</f>
        <v>12.4166666666667</v>
      </c>
      <c r="EX63" s="88" t="n">
        <f aca="false">EV63+EX62</f>
        <v>98.0642489907181</v>
      </c>
      <c r="EY63" s="88" t="n">
        <f aca="false">EW63+EY62</f>
        <v>185.1</v>
      </c>
      <c r="EZ63" s="88" t="n">
        <f aca="false">MAX(EZ62,EX63-EY63)</f>
        <v>0</v>
      </c>
      <c r="FA63" s="88" t="n">
        <f aca="false">EZ63-EZ62</f>
        <v>0</v>
      </c>
      <c r="FB63" s="88" t="n">
        <f aca="false">IF(B63=2026,INDEX($C$28:$Q$28,1,B63-2025)*$AO$4*C63/MAX(0.0001,12-$AO$3),INDEX($C$28:$Q$28,1,B63-2025)/12)</f>
        <v>34.6997621046739</v>
      </c>
      <c r="FC63" s="88" t="n">
        <f aca="false">$AO$6*INDEX($Y$28:$AB$28,1,B63-2026)/12</f>
        <v>6.825</v>
      </c>
      <c r="FD63" s="88" t="n">
        <f aca="false">FB63+FD62</f>
        <v>513.366343466409</v>
      </c>
      <c r="FE63" s="88" t="n">
        <f aca="false">FC63+FE62</f>
        <v>106</v>
      </c>
      <c r="FF63" s="88" t="n">
        <f aca="false">MAX(FF62,FD63-FE63)</f>
        <v>407.366343466409</v>
      </c>
      <c r="FG63" s="88" t="n">
        <f aca="false">FF63-FF62</f>
        <v>27.874762104674</v>
      </c>
    </row>
    <row r="64" customFormat="false" ht="15" hidden="false" customHeight="false" outlineLevel="0" collapsed="false">
      <c r="A64" s="0" t="n">
        <v>24</v>
      </c>
      <c r="B64" s="88" t="n">
        <f aca="false">2026+INT(A64/12)</f>
        <v>2028</v>
      </c>
      <c r="C64" s="88" t="n">
        <f aca="false">MAX(0,MIN(1,A64+1-$AO$3))</f>
        <v>1</v>
      </c>
      <c r="D64" s="88" t="n">
        <f aca="false">IF((A64+0.5-(0))&lt;$AO$3,0,2026+INT((A64+0.5-(0))/12))</f>
        <v>2028</v>
      </c>
      <c r="E64" s="88" t="n">
        <f aca="false">IF((A64+0.5-($AO$9))&lt;$AO$3,0,2026+INT((A64+0.5-($AO$9))/12))</f>
        <v>2026</v>
      </c>
      <c r="F64" s="88" t="n">
        <f aca="false">IF((A64+0.5-($AO$9+$AO$8))&lt;$AO$3,0,2026+INT((A64+0.5-($AO$9+$AO$8))/12))</f>
        <v>0</v>
      </c>
      <c r="G64" s="88" t="n">
        <f aca="false">IF((A64+0.5-($AO$9+$AO$8+$AO$7))&lt;$AO$3,0,2026+INT((A64+0.5-($AO$9+$AO$8+$AO$7))/12))</f>
        <v>0</v>
      </c>
      <c r="H64" s="88" t="n">
        <f aca="false">IF(B64=2026,INDEX($C$3:$Q$3,1,B64-2025)*$AO$4*C64/MAX(0.0001,12-$AO$3),INDEX($C$3:$Q$3,1,B64-2025)/12)</f>
        <v>355.25</v>
      </c>
      <c r="I64" s="88" t="n">
        <f aca="false">$AO$6*INDEX($Y$3:$AB$3,1,B64-2026)/12</f>
        <v>143.766666666667</v>
      </c>
      <c r="J64" s="88" t="n">
        <f aca="false">H64+J63</f>
        <v>5611.00342465753</v>
      </c>
      <c r="K64" s="88" t="n">
        <f aca="false">I64+K63</f>
        <v>2734.66666666667</v>
      </c>
      <c r="L64" s="88" t="n">
        <f aca="false">MAX(L63,J64-K64)</f>
        <v>2876.33675799087</v>
      </c>
      <c r="M64" s="88" t="n">
        <f aca="false">L64-L63</f>
        <v>211.483333333333</v>
      </c>
      <c r="N64" s="88" t="n">
        <f aca="false">IF(B64=2026,INDEX($C$4:$Q$4,1,B64-2025)*$AO$4*C64/MAX(0.0001,12-$AO$3),INDEX($C$4:$Q$4,1,B64-2025)/12)</f>
        <v>10.7700632578534</v>
      </c>
      <c r="O64" s="88" t="n">
        <f aca="false">$AO$6*INDEX($Y$4:$AB$4,1,B64-2026)/12</f>
        <v>7.75</v>
      </c>
      <c r="P64" s="88" t="n">
        <f aca="false">N64+P63</f>
        <v>170.107985428835</v>
      </c>
      <c r="Q64" s="88" t="n">
        <f aca="false">O64+Q63</f>
        <v>139.45</v>
      </c>
      <c r="R64" s="88" t="n">
        <f aca="false">MAX(R63,P64-Q64)</f>
        <v>30.6579854288345</v>
      </c>
      <c r="S64" s="88" t="n">
        <f aca="false">R64-R63</f>
        <v>3.02006325785337</v>
      </c>
      <c r="T64" s="88" t="n">
        <f aca="false">IF(B64=2026,INDEX($C$5:$Q$5,1,B64-2025)*$AO$4*C64/MAX(0.0001,12-$AO$3),INDEX($C$5:$Q$5,1,B64-2025)/12)</f>
        <v>43.7734247619348</v>
      </c>
      <c r="U64" s="88" t="n">
        <f aca="false">$AO$6*INDEX($Y$5:$AB$5,1,B64-2026)/12</f>
        <v>28.1083333333333</v>
      </c>
      <c r="V64" s="88" t="n">
        <f aca="false">T64+V63</f>
        <v>691.380256856313</v>
      </c>
      <c r="W64" s="88" t="n">
        <f aca="false">U64+W63</f>
        <v>398.808333333333</v>
      </c>
      <c r="X64" s="88" t="n">
        <f aca="false">MAX(X63,V64-W64)</f>
        <v>292.57192352298</v>
      </c>
      <c r="Y64" s="88" t="n">
        <f aca="false">X64-X63</f>
        <v>15.6650914286015</v>
      </c>
      <c r="Z64" s="88" t="n">
        <f aca="false">IF(B64=2026,INDEX($C$6:$Q$6,1,B64-2025)*$AO$4*C64/MAX(0.0001,12-$AO$3),INDEX($C$6:$Q$6,1,B64-2025)/12)</f>
        <v>51.933610116259</v>
      </c>
      <c r="AA64" s="88" t="n">
        <f aca="false">$AO$6*INDEX($Y$6:$AB$6,1,B64-2026)/12</f>
        <v>1.95</v>
      </c>
      <c r="AB64" s="88" t="n">
        <f aca="false">Z64+AB63</f>
        <v>820.266472110227</v>
      </c>
      <c r="AC64" s="88" t="n">
        <f aca="false">AA64+AC63</f>
        <v>604.65</v>
      </c>
      <c r="AD64" s="88" t="n">
        <f aca="false">MAX(AD63,AB64-AC64)</f>
        <v>215.616472110227</v>
      </c>
      <c r="AE64" s="88" t="n">
        <f aca="false">AD64-AD63</f>
        <v>49.9836101162589</v>
      </c>
      <c r="AF64" s="88" t="n">
        <f aca="false">IF(B64=2026,INDEX($C$7:$Q$7,1,B64-2025)*$AO$4*C64/MAX(0.0001,12-$AO$3),INDEX($C$7:$Q$7,1,B64-2025)/12)</f>
        <v>45.11289896006</v>
      </c>
      <c r="AG64" s="88" t="n">
        <f aca="false">$AO$6*INDEX($Y$7:$AB$7,1,B64-2026)/12</f>
        <v>20.2</v>
      </c>
      <c r="AH64" s="88" t="n">
        <f aca="false">AF64+AH63</f>
        <v>712.536609602043</v>
      </c>
      <c r="AI64" s="88" t="n">
        <f aca="false">AG64+AI63</f>
        <v>119.5</v>
      </c>
      <c r="AJ64" s="88" t="n">
        <f aca="false">MAX(AJ63,AH64-AI64)</f>
        <v>593.036609602043</v>
      </c>
      <c r="AK64" s="88" t="n">
        <f aca="false">AJ64-AJ63</f>
        <v>24.9128989600599</v>
      </c>
      <c r="AL64" s="88" t="n">
        <f aca="false">IF(B64=2026,INDEX($C$8:$Q$8,1,B64-2025)*$AO$4*C64/MAX(0.0001,12-$AO$3),INDEX($C$8:$Q$8,1,B64-2025)/12)</f>
        <v>11.4114321188341</v>
      </c>
      <c r="AM64" s="88" t="n">
        <f aca="false">$AO$6*INDEX($Y$8:$AB$8,1,B64-2026)/12</f>
        <v>1.95833333333333</v>
      </c>
      <c r="AN64" s="88" t="n">
        <f aca="false">AL64+AN63</f>
        <v>180.238099082407</v>
      </c>
      <c r="AO64" s="88" t="n">
        <f aca="false">AM64+AO63</f>
        <v>27.9583333333333</v>
      </c>
      <c r="AP64" s="88" t="n">
        <f aca="false">MAX(AP63,AN64-AO64)</f>
        <v>152.279765749074</v>
      </c>
      <c r="AQ64" s="88" t="n">
        <f aca="false">AP64-AP63</f>
        <v>9.45309878550077</v>
      </c>
      <c r="AR64" s="88" t="n">
        <f aca="false">IF(B64=2026,INDEX($C$9:$Q$9,1,B64-2025)*$AO$4*C64/MAX(0.0001,12-$AO$3),INDEX($C$9:$Q$9,1,B64-2025)/12)</f>
        <v>48.6576953186344</v>
      </c>
      <c r="AS64" s="88" t="n">
        <f aca="false">$AO$6*INDEX($Y$9:$AB$9,1,B64-2026)/12</f>
        <v>28.6333333333333</v>
      </c>
      <c r="AT64" s="88" t="n">
        <f aca="false">AR64+AT63</f>
        <v>768.524968525827</v>
      </c>
      <c r="AU64" s="88" t="n">
        <f aca="false">AS64+AU63</f>
        <v>576.733333333333</v>
      </c>
      <c r="AV64" s="88" t="n">
        <f aca="false">MAX(AV63,AT64-AU64)</f>
        <v>191.791635192494</v>
      </c>
      <c r="AW64" s="88" t="n">
        <f aca="false">AV64-AV63</f>
        <v>20.024361985301</v>
      </c>
      <c r="AX64" s="88" t="n">
        <f aca="false">IF(B64=2026,INDEX($C$10:$Q$10,1,B64-2025)*$AO$4*C64/MAX(0.0001,12-$AO$3),INDEX($C$10:$Q$10,1,B64-2025)/12)</f>
        <v>5.64404597663043</v>
      </c>
      <c r="AY64" s="88" t="n">
        <f aca="false">$AO$6*INDEX($Y$10:$AB$10,1,B64-2026)/12</f>
        <v>2.50833333333333</v>
      </c>
      <c r="AZ64" s="88" t="n">
        <f aca="false">AX64+AZ63</f>
        <v>89.1450001514369</v>
      </c>
      <c r="BA64" s="88" t="n">
        <f aca="false">AY64+BA63</f>
        <v>2.50833333333333</v>
      </c>
      <c r="BB64" s="88" t="n">
        <f aca="false">MAX(BB63,AZ64-BA64)</f>
        <v>86.6366668181035</v>
      </c>
      <c r="BC64" s="88" t="n">
        <f aca="false">BB64-BB63</f>
        <v>3.1357126432971</v>
      </c>
      <c r="BD64" s="88" t="n">
        <f aca="false">IF(B64=2026,INDEX($C$11:$Q$11,1,B64-2025)*$AO$4*C64/MAX(0.0001,12-$AO$3),INDEX($C$11:$Q$11,1,B64-2025)/12)</f>
        <v>28.0475536513497</v>
      </c>
      <c r="BE64" s="88" t="n">
        <f aca="false">$AO$6*INDEX($Y$11:$AB$11,1,B64-2026)/12</f>
        <v>8.70833333333333</v>
      </c>
      <c r="BF64" s="88" t="n">
        <f aca="false">BD64+BF63</f>
        <v>442.997662465838</v>
      </c>
      <c r="BG64" s="88" t="n">
        <f aca="false">BE64+BG63</f>
        <v>118.108333333333</v>
      </c>
      <c r="BH64" s="88" t="n">
        <f aca="false">MAX(BH63,BF64-BG64)</f>
        <v>324.889329132505</v>
      </c>
      <c r="BI64" s="88" t="n">
        <f aca="false">BH64-BH63</f>
        <v>19.3392203180164</v>
      </c>
      <c r="BJ64" s="88" t="n">
        <f aca="false">IF(B64=2026,INDEX($C$12:$Q$12,1,B64-2025)*$AO$4*C64/MAX(0.0001,12-$AO$3),INDEX($C$12:$Q$12,1,B64-2025)/12)</f>
        <v>15.3780518436687</v>
      </c>
      <c r="BK64" s="88" t="n">
        <f aca="false">$AO$6*INDEX($Y$12:$AB$12,1,B64-2026)/12</f>
        <v>1.275</v>
      </c>
      <c r="BL64" s="88" t="n">
        <f aca="false">BJ64+BL63</f>
        <v>242.888955832193</v>
      </c>
      <c r="BM64" s="88" t="n">
        <f aca="false">BK64+BM63</f>
        <v>45.775</v>
      </c>
      <c r="BN64" s="88" t="n">
        <f aca="false">MAX(BN63,BL64-BM64)</f>
        <v>197.113955832193</v>
      </c>
      <c r="BO64" s="88" t="n">
        <f aca="false">BN64-BN63</f>
        <v>14.1030518436687</v>
      </c>
      <c r="BP64" s="88" t="n">
        <f aca="false">IF(B64=2026,INDEX($C$13:$Q$13,1,B64-2025)*$AO$4*C64/MAX(0.0001,12-$AO$3),INDEX($C$13:$Q$13,1,B64-2025)/12)</f>
        <v>4.80560220169792</v>
      </c>
      <c r="BQ64" s="88" t="n">
        <f aca="false">$AO$6*INDEX($Y$13:$AB$13,1,B64-2026)/12</f>
        <v>4.78333333333333</v>
      </c>
      <c r="BR64" s="88" t="n">
        <f aca="false">BP64+BR63</f>
        <v>75.9021827199685</v>
      </c>
      <c r="BS64" s="88" t="n">
        <f aca="false">BQ64+BS63</f>
        <v>4.78333333333333</v>
      </c>
      <c r="BT64" s="88" t="n">
        <f aca="false">MAX(BT63,BR64-BS64)</f>
        <v>71.1188493866352</v>
      </c>
      <c r="BU64" s="88" t="n">
        <f aca="false">BT64-BT63</f>
        <v>0.0222688683645913</v>
      </c>
      <c r="BV64" s="88" t="n">
        <f aca="false">IF(B64=2026,INDEX($C$14:$Q$14,1,B64-2025)*$AO$4*C64/MAX(0.0001,12-$AO$3),INDEX($C$14:$Q$14,1,B64-2025)/12)</f>
        <v>2.85021923686911</v>
      </c>
      <c r="BW64" s="88" t="n">
        <f aca="false">$AO$6*INDEX($Y$14:$AB$14,1,B64-2026)/12</f>
        <v>0</v>
      </c>
      <c r="BX64" s="88" t="n">
        <f aca="false">BV64+BX63</f>
        <v>45.0178463028779</v>
      </c>
      <c r="BY64" s="88" t="n">
        <f aca="false">BW64+BY63</f>
        <v>0</v>
      </c>
      <c r="BZ64" s="88" t="n">
        <f aca="false">MAX(BZ63,BX64-BY64)</f>
        <v>45.0178463028779</v>
      </c>
      <c r="CA64" s="88" t="n">
        <f aca="false">BZ64-BZ63</f>
        <v>2.85021923686911</v>
      </c>
      <c r="CB64" s="88" t="n">
        <f aca="false">IF(B64=2026,INDEX($C$15:$Q$15,1,B64-2025)*$AO$4*C64/MAX(0.0001,12-$AO$3),INDEX($C$15:$Q$15,1,B64-2025)/12)</f>
        <v>4.67303386509936</v>
      </c>
      <c r="CC64" s="88" t="n">
        <f aca="false">$AO$6*INDEX($Y$15:$AB$15,1,B64-2026)/12</f>
        <v>0.683333333333333</v>
      </c>
      <c r="CD64" s="88" t="n">
        <f aca="false">CB64+CD63</f>
        <v>73.8083294035556</v>
      </c>
      <c r="CE64" s="88" t="n">
        <f aca="false">CC64+CE63</f>
        <v>74.6833333333333</v>
      </c>
      <c r="CF64" s="88" t="n">
        <f aca="false">MAX(CF63,CD64-CE64)</f>
        <v>0</v>
      </c>
      <c r="CG64" s="88" t="n">
        <f aca="false">CF64-CF63</f>
        <v>0</v>
      </c>
      <c r="CH64" s="88" t="n">
        <f aca="false">IF(B64=2026,INDEX($C$16:$Q$16,1,B64-2025)*$AO$4*C64/MAX(0.0001,12-$AO$3),INDEX($C$16:$Q$16,1,B64-2025)/12)</f>
        <v>3.69534238268495</v>
      </c>
      <c r="CI64" s="88" t="n">
        <f aca="false">$AO$6*INDEX($Y$16:$AB$16,1,B64-2026)/12</f>
        <v>0.833333333333333</v>
      </c>
      <c r="CJ64" s="88" t="n">
        <f aca="false">CH64+CJ63</f>
        <v>58.3661611950102</v>
      </c>
      <c r="CK64" s="88" t="n">
        <f aca="false">CI64+CK63</f>
        <v>60.8333333333333</v>
      </c>
      <c r="CL64" s="88" t="n">
        <f aca="false">MAX(CL63,CJ64-CK64)</f>
        <v>9.12671022010589</v>
      </c>
      <c r="CM64" s="88" t="n">
        <f aca="false">CL64-CL63</f>
        <v>0</v>
      </c>
      <c r="CN64" s="88" t="n">
        <f aca="false">IF(B64=2026,INDEX($C$17:$Q$17,1,B64-2025)*$AO$4*C64/MAX(0.0001,12-$AO$3),INDEX($C$17:$Q$17,1,B64-2025)/12)</f>
        <v>16.0904818546506</v>
      </c>
      <c r="CO64" s="88" t="n">
        <f aca="false">$AO$6*INDEX($Y$17:$AB$17,1,B64-2026)/12</f>
        <v>3.35</v>
      </c>
      <c r="CP64" s="88" t="n">
        <f aca="false">CN64+CP63</f>
        <v>254.141446279619</v>
      </c>
      <c r="CQ64" s="88" t="n">
        <f aca="false">CO64+CQ63</f>
        <v>169.35</v>
      </c>
      <c r="CR64" s="88" t="n">
        <f aca="false">MAX(CR63,CP64-CQ64)</f>
        <v>84.7914462796187</v>
      </c>
      <c r="CS64" s="88" t="n">
        <f aca="false">CR64-CR63</f>
        <v>12.7404818546506</v>
      </c>
      <c r="CT64" s="88" t="n">
        <f aca="false">IF(B64=2026,INDEX($C$18:$Q$18,1,B64-2025)*$AO$4*C64/MAX(0.0001,12-$AO$3),INDEX($C$18:$Q$18,1,B64-2025)/12)</f>
        <v>3.34735049911372</v>
      </c>
      <c r="CU64" s="88" t="n">
        <f aca="false">$AO$6*INDEX($Y$18:$AB$18,1,B64-2026)/12</f>
        <v>0</v>
      </c>
      <c r="CV64" s="88" t="n">
        <f aca="false">CT64+CV63</f>
        <v>52.8697962394263</v>
      </c>
      <c r="CW64" s="88" t="n">
        <f aca="false">CU64+CW63</f>
        <v>11</v>
      </c>
      <c r="CX64" s="88" t="n">
        <f aca="false">MAX(CX63,CV64-CW64)</f>
        <v>41.8697962394263</v>
      </c>
      <c r="CY64" s="88" t="n">
        <f aca="false">CX64-CX63</f>
        <v>3.34735049911372</v>
      </c>
      <c r="CZ64" s="88" t="n">
        <f aca="false">IF(B64=2026,INDEX($C$19:$Q$19,1,B64-2025)*$AO$4*C64/MAX(0.0001,12-$AO$3),INDEX($C$19:$Q$19,1,B64-2025)/12)</f>
        <v>3.31420841496408</v>
      </c>
      <c r="DA64" s="88" t="n">
        <f aca="false">$AO$6*INDEX($Y$19:$AB$19,1,B64-2026)/12</f>
        <v>7.675</v>
      </c>
      <c r="DB64" s="88" t="n">
        <f aca="false">CZ64+DB63</f>
        <v>52.3463329103231</v>
      </c>
      <c r="DC64" s="88" t="n">
        <f aca="false">DA64+DC63</f>
        <v>19.575</v>
      </c>
      <c r="DD64" s="88" t="n">
        <f aca="false">MAX(DD63,DB64-DC64)</f>
        <v>37.132124495359</v>
      </c>
      <c r="DE64" s="88" t="n">
        <f aca="false">DD64-DD63</f>
        <v>0</v>
      </c>
      <c r="DF64" s="88" t="n">
        <f aca="false">IF(B64=2026,INDEX($C$20:$Q$20,1,B64-2025)*$AO$4*C64/MAX(0.0001,12-$AO$3),INDEX($C$20:$Q$20,1,B64-2025)/12)</f>
        <v>2.70107985819573</v>
      </c>
      <c r="DG64" s="88" t="n">
        <f aca="false">$AO$6*INDEX($Y$20:$AB$20,1,B64-2026)/12</f>
        <v>0</v>
      </c>
      <c r="DH64" s="88" t="n">
        <f aca="false">DF64+DH63</f>
        <v>42.6622613219133</v>
      </c>
      <c r="DI64" s="88" t="n">
        <f aca="false">DG64+DI63</f>
        <v>0</v>
      </c>
      <c r="DJ64" s="88" t="n">
        <f aca="false">MAX(DJ63,DH64-DI64)</f>
        <v>42.6622613219133</v>
      </c>
      <c r="DK64" s="88" t="n">
        <f aca="false">DJ64-DJ63</f>
        <v>2.70107985819573</v>
      </c>
      <c r="DL64" s="88" t="n">
        <f aca="false">IF(B64=2026,INDEX($C$21:$Q$21,1,B64-2025)*$AO$4*C64/MAX(0.0001,12-$AO$3),INDEX($C$21:$Q$21,1,B64-2025)/12)</f>
        <v>1.88909879652953</v>
      </c>
      <c r="DM64" s="88" t="n">
        <f aca="false">$AO$6*INDEX($Y$21:$AB$21,1,B64-2026)/12</f>
        <v>3.05833333333333</v>
      </c>
      <c r="DN64" s="88" t="n">
        <f aca="false">DL64+DN63</f>
        <v>29.8374097588842</v>
      </c>
      <c r="DO64" s="88" t="n">
        <f aca="false">DM64+DO63</f>
        <v>13.2583333333333</v>
      </c>
      <c r="DP64" s="88" t="n">
        <f aca="false">MAX(DP63,DN64-DO64)</f>
        <v>17.7483109623547</v>
      </c>
      <c r="DQ64" s="88" t="n">
        <f aca="false">DP64-DP63</f>
        <v>0</v>
      </c>
      <c r="DR64" s="88" t="n">
        <f aca="false">IF(B64=2026,INDEX($C$22:$Q$22,1,B64-2025)*$AO$4*C64/MAX(0.0001,12-$AO$3),INDEX($C$22:$Q$22,1,B64-2025)/12)</f>
        <v>1.47482274465902</v>
      </c>
      <c r="DS64" s="88" t="n">
        <f aca="false">$AO$6*INDEX($Y$22:$AB$22,1,B64-2026)/12</f>
        <v>0.816666666666667</v>
      </c>
      <c r="DT64" s="88" t="n">
        <f aca="false">DR64+DT63</f>
        <v>23.2941181450938</v>
      </c>
      <c r="DU64" s="88" t="n">
        <f aca="false">DS64+DU63</f>
        <v>17.4166666666667</v>
      </c>
      <c r="DV64" s="88" t="n">
        <f aca="false">MAX(DV63,DT64-DU64)</f>
        <v>5.87745147842711</v>
      </c>
      <c r="DW64" s="88" t="n">
        <f aca="false">DV64-DV63</f>
        <v>0.658156077992349</v>
      </c>
      <c r="DX64" s="88" t="n">
        <f aca="false">IF(B64=2026,INDEX($C$23:$Q$23,1,B64-2025)*$AO$4*C64/MAX(0.0001,12-$AO$3),INDEX($C$23:$Q$23,1,B64-2025)/12)</f>
        <v>2.36965901669932</v>
      </c>
      <c r="DY64" s="88" t="n">
        <f aca="false">$AO$6*INDEX($Y$23:$AB$23,1,B64-2026)/12</f>
        <v>7.14166666666667</v>
      </c>
      <c r="DZ64" s="88" t="n">
        <f aca="false">DX64+DZ63</f>
        <v>37.427628030881</v>
      </c>
      <c r="EA64" s="88" t="n">
        <f aca="false">DY64+EA63</f>
        <v>7.14166666666667</v>
      </c>
      <c r="EB64" s="88" t="n">
        <f aca="false">MAX(EB63,DZ64-EA64)</f>
        <v>35.0579690141817</v>
      </c>
      <c r="EC64" s="88" t="n">
        <f aca="false">EB64-EB63</f>
        <v>0</v>
      </c>
      <c r="ED64" s="88" t="n">
        <f aca="false">IF(B64=2026,INDEX($C$24:$Q$24,1,B64-2025)*$AO$4*C64/MAX(0.0001,12-$AO$3),INDEX($C$24:$Q$24,1,B64-2025)/12)</f>
        <v>1.4582517025842</v>
      </c>
      <c r="EE64" s="88" t="n">
        <f aca="false">$AO$6*INDEX($Y$24:$AB$24,1,B64-2026)/12</f>
        <v>0</v>
      </c>
      <c r="EF64" s="88" t="n">
        <f aca="false">ED64+EF63</f>
        <v>23.0323864805422</v>
      </c>
      <c r="EG64" s="88" t="n">
        <f aca="false">EE64+EG63</f>
        <v>0</v>
      </c>
      <c r="EH64" s="88" t="n">
        <f aca="false">MAX(EH63,EF64-EG64)</f>
        <v>23.0323864805422</v>
      </c>
      <c r="EI64" s="88" t="n">
        <f aca="false">EH64-EH63</f>
        <v>1.4582517025842</v>
      </c>
      <c r="EJ64" s="88" t="n">
        <f aca="false">IF(B64=2026,INDEX($C$25:$Q$25,1,B64-2025)*$AO$4*C64/MAX(0.0001,12-$AO$3),INDEX($C$25:$Q$25,1,B64-2025)/12)</f>
        <v>1.85595671237989</v>
      </c>
      <c r="EK64" s="88" t="n">
        <f aca="false">$AO$6*INDEX($Y$25:$AB$25,1,B64-2026)/12</f>
        <v>0</v>
      </c>
      <c r="EL64" s="88" t="n">
        <f aca="false">EJ64+EL63</f>
        <v>29.3139464297809</v>
      </c>
      <c r="EM64" s="88" t="n">
        <f aca="false">EK64+EM63</f>
        <v>14</v>
      </c>
      <c r="EN64" s="88" t="n">
        <f aca="false">MAX(EN63,EL64-EM64)</f>
        <v>15.3139464297809</v>
      </c>
      <c r="EO64" s="88" t="n">
        <f aca="false">EN64-EN63</f>
        <v>1.85595671237989</v>
      </c>
      <c r="EP64" s="88" t="n">
        <f aca="false">IF(B64=2026,INDEX($C$26:$Q$26,1,B64-2025)*$AO$4*C64/MAX(0.0001,12-$AO$3),INDEX($C$26:$Q$26,1,B64-2025)/12)</f>
        <v>2.66793777404609</v>
      </c>
      <c r="EQ64" s="88" t="n">
        <f aca="false">$AO$6*INDEX($Y$26:$AB$26,1,B64-2026)/12</f>
        <v>0.025</v>
      </c>
      <c r="ER64" s="88" t="n">
        <f aca="false">EP64+ER63</f>
        <v>42.1387979928101</v>
      </c>
      <c r="ES64" s="88" t="n">
        <f aca="false">EQ64+ES63</f>
        <v>3.725</v>
      </c>
      <c r="ET64" s="88" t="n">
        <f aca="false">MAX(ET63,ER64-ES64)</f>
        <v>38.4137979928101</v>
      </c>
      <c r="EU64" s="88" t="n">
        <f aca="false">ET64-ET63</f>
        <v>2.64293777404609</v>
      </c>
      <c r="EV64" s="88" t="n">
        <f aca="false">IF(B64=2026,INDEX($C$27:$Q$27,1,B64-2025)*$AO$4*C64/MAX(0.0001,12-$AO$3),INDEX($C$27:$Q$27,1,B64-2025)/12)</f>
        <v>6.62841682992816</v>
      </c>
      <c r="EW64" s="88" t="n">
        <f aca="false">$AO$6*INDEX($Y$27:$AB$27,1,B64-2026)/12</f>
        <v>11.1166666666667</v>
      </c>
      <c r="EX64" s="88" t="n">
        <f aca="false">EV64+EX63</f>
        <v>104.692665820646</v>
      </c>
      <c r="EY64" s="88" t="n">
        <f aca="false">EW64+EY63</f>
        <v>196.216666666667</v>
      </c>
      <c r="EZ64" s="88" t="n">
        <f aca="false">MAX(EZ63,EX64-EY64)</f>
        <v>0</v>
      </c>
      <c r="FA64" s="88" t="n">
        <f aca="false">EZ64-EZ63</f>
        <v>0</v>
      </c>
      <c r="FB64" s="88" t="n">
        <f aca="false">IF(B64=2026,INDEX($C$28:$Q$28,1,B64-2025)*$AO$4*C64/MAX(0.0001,12-$AO$3),INDEX($C$28:$Q$28,1,B64-2025)/12)</f>
        <v>34.6997621046739</v>
      </c>
      <c r="FC64" s="88" t="n">
        <f aca="false">$AO$6*INDEX($Y$28:$AB$28,1,B64-2026)/12</f>
        <v>3.19166666666667</v>
      </c>
      <c r="FD64" s="88" t="n">
        <f aca="false">FB64+FD63</f>
        <v>548.066105571083</v>
      </c>
      <c r="FE64" s="88" t="n">
        <f aca="false">FC64+FE63</f>
        <v>109.191666666667</v>
      </c>
      <c r="FF64" s="88" t="n">
        <f aca="false">MAX(FF63,FD64-FE64)</f>
        <v>438.874438904416</v>
      </c>
      <c r="FG64" s="88" t="n">
        <f aca="false">FF64-FF63</f>
        <v>31.5080954380072</v>
      </c>
    </row>
    <row r="65" customFormat="false" ht="15" hidden="false" customHeight="false" outlineLevel="0" collapsed="false">
      <c r="A65" s="0" t="n">
        <v>25</v>
      </c>
      <c r="B65" s="88" t="n">
        <f aca="false">2026+INT(A65/12)</f>
        <v>2028</v>
      </c>
      <c r="C65" s="88" t="n">
        <f aca="false">MAX(0,MIN(1,A65+1-$AO$3))</f>
        <v>1</v>
      </c>
      <c r="D65" s="88" t="n">
        <f aca="false">IF((A65+0.5-(0))&lt;$AO$3,0,2026+INT((A65+0.5-(0))/12))</f>
        <v>2028</v>
      </c>
      <c r="E65" s="88" t="n">
        <f aca="false">IF((A65+0.5-($AO$9))&lt;$AO$3,0,2026+INT((A65+0.5-($AO$9))/12))</f>
        <v>2026</v>
      </c>
      <c r="F65" s="88" t="n">
        <f aca="false">IF((A65+0.5-($AO$9+$AO$8))&lt;$AO$3,0,2026+INT((A65+0.5-($AO$9+$AO$8))/12))</f>
        <v>0</v>
      </c>
      <c r="G65" s="88" t="n">
        <f aca="false">IF((A65+0.5-($AO$9+$AO$8+$AO$7))&lt;$AO$3,0,2026+INT((A65+0.5-($AO$9+$AO$8+$AO$7))/12))</f>
        <v>0</v>
      </c>
      <c r="H65" s="88" t="n">
        <f aca="false">IF(B65=2026,INDEX($C$3:$Q$3,1,B65-2025)*$AO$4*C65/MAX(0.0001,12-$AO$3),INDEX($C$3:$Q$3,1,B65-2025)/12)</f>
        <v>355.25</v>
      </c>
      <c r="I65" s="88" t="n">
        <f aca="false">$AO$6*INDEX($Y$3:$AB$3,1,B65-2026)/12</f>
        <v>143.766666666667</v>
      </c>
      <c r="J65" s="88" t="n">
        <f aca="false">H65+J64</f>
        <v>5966.25342465753</v>
      </c>
      <c r="K65" s="88" t="n">
        <f aca="false">I65+K64</f>
        <v>2878.43333333333</v>
      </c>
      <c r="L65" s="88" t="n">
        <f aca="false">MAX(L64,J65-K65)</f>
        <v>3087.8200913242</v>
      </c>
      <c r="M65" s="88" t="n">
        <f aca="false">L65-L64</f>
        <v>211.483333333333</v>
      </c>
      <c r="N65" s="88" t="n">
        <f aca="false">IF(B65=2026,INDEX($C$4:$Q$4,1,B65-2025)*$AO$4*C65/MAX(0.0001,12-$AO$3),INDEX($C$4:$Q$4,1,B65-2025)/12)</f>
        <v>10.7700632578534</v>
      </c>
      <c r="O65" s="88" t="n">
        <f aca="false">$AO$6*INDEX($Y$4:$AB$4,1,B65-2026)/12</f>
        <v>7.75</v>
      </c>
      <c r="P65" s="88" t="n">
        <f aca="false">N65+P64</f>
        <v>180.878048686688</v>
      </c>
      <c r="Q65" s="88" t="n">
        <f aca="false">O65+Q64</f>
        <v>147.2</v>
      </c>
      <c r="R65" s="88" t="n">
        <f aca="false">MAX(R64,P65-Q65)</f>
        <v>33.6780486866878</v>
      </c>
      <c r="S65" s="88" t="n">
        <f aca="false">R65-R64</f>
        <v>3.02006325785337</v>
      </c>
      <c r="T65" s="88" t="n">
        <f aca="false">IF(B65=2026,INDEX($C$5:$Q$5,1,B65-2025)*$AO$4*C65/MAX(0.0001,12-$AO$3),INDEX($C$5:$Q$5,1,B65-2025)/12)</f>
        <v>43.7734247619348</v>
      </c>
      <c r="U65" s="88" t="n">
        <f aca="false">$AO$6*INDEX($Y$5:$AB$5,1,B65-2026)/12</f>
        <v>28.1083333333333</v>
      </c>
      <c r="V65" s="88" t="n">
        <f aca="false">T65+V64</f>
        <v>735.153681618248</v>
      </c>
      <c r="W65" s="88" t="n">
        <f aca="false">U65+W64</f>
        <v>426.916666666667</v>
      </c>
      <c r="X65" s="88" t="n">
        <f aca="false">MAX(X64,V65-W65)</f>
        <v>308.237014951581</v>
      </c>
      <c r="Y65" s="88" t="n">
        <f aca="false">X65-X64</f>
        <v>15.6650914286015</v>
      </c>
      <c r="Z65" s="88" t="n">
        <f aca="false">IF(B65=2026,INDEX($C$6:$Q$6,1,B65-2025)*$AO$4*C65/MAX(0.0001,12-$AO$3),INDEX($C$6:$Q$6,1,B65-2025)/12)</f>
        <v>51.933610116259</v>
      </c>
      <c r="AA65" s="88" t="n">
        <f aca="false">$AO$6*INDEX($Y$6:$AB$6,1,B65-2026)/12</f>
        <v>1.95</v>
      </c>
      <c r="AB65" s="88" t="n">
        <f aca="false">Z65+AB64</f>
        <v>872.200082226486</v>
      </c>
      <c r="AC65" s="88" t="n">
        <f aca="false">AA65+AC64</f>
        <v>606.6</v>
      </c>
      <c r="AD65" s="88" t="n">
        <f aca="false">MAX(AD64,AB65-AC65)</f>
        <v>265.600082226486</v>
      </c>
      <c r="AE65" s="88" t="n">
        <f aca="false">AD65-AD64</f>
        <v>49.9836101162589</v>
      </c>
      <c r="AF65" s="88" t="n">
        <f aca="false">IF(B65=2026,INDEX($C$7:$Q$7,1,B65-2025)*$AO$4*C65/MAX(0.0001,12-$AO$3),INDEX($C$7:$Q$7,1,B65-2025)/12)</f>
        <v>45.11289896006</v>
      </c>
      <c r="AG65" s="88" t="n">
        <f aca="false">$AO$6*INDEX($Y$7:$AB$7,1,B65-2026)/12</f>
        <v>20.2</v>
      </c>
      <c r="AH65" s="88" t="n">
        <f aca="false">AF65+AH64</f>
        <v>757.649508562103</v>
      </c>
      <c r="AI65" s="88" t="n">
        <f aca="false">AG65+AI64</f>
        <v>139.7</v>
      </c>
      <c r="AJ65" s="88" t="n">
        <f aca="false">MAX(AJ64,AH65-AI65)</f>
        <v>617.949508562103</v>
      </c>
      <c r="AK65" s="88" t="n">
        <f aca="false">AJ65-AJ64</f>
        <v>24.9128989600599</v>
      </c>
      <c r="AL65" s="88" t="n">
        <f aca="false">IF(B65=2026,INDEX($C$8:$Q$8,1,B65-2025)*$AO$4*C65/MAX(0.0001,12-$AO$3),INDEX($C$8:$Q$8,1,B65-2025)/12)</f>
        <v>11.4114321188341</v>
      </c>
      <c r="AM65" s="88" t="n">
        <f aca="false">$AO$6*INDEX($Y$8:$AB$8,1,B65-2026)/12</f>
        <v>1.95833333333333</v>
      </c>
      <c r="AN65" s="88" t="n">
        <f aca="false">AL65+AN64</f>
        <v>191.649531201241</v>
      </c>
      <c r="AO65" s="88" t="n">
        <f aca="false">AM65+AO64</f>
        <v>29.9166666666667</v>
      </c>
      <c r="AP65" s="88" t="n">
        <f aca="false">MAX(AP64,AN65-AO65)</f>
        <v>161.732864534574</v>
      </c>
      <c r="AQ65" s="88" t="n">
        <f aca="false">AP65-AP64</f>
        <v>9.45309878550074</v>
      </c>
      <c r="AR65" s="88" t="n">
        <f aca="false">IF(B65=2026,INDEX($C$9:$Q$9,1,B65-2025)*$AO$4*C65/MAX(0.0001,12-$AO$3),INDEX($C$9:$Q$9,1,B65-2025)/12)</f>
        <v>48.6576953186344</v>
      </c>
      <c r="AS65" s="88" t="n">
        <f aca="false">$AO$6*INDEX($Y$9:$AB$9,1,B65-2026)/12</f>
        <v>28.6333333333333</v>
      </c>
      <c r="AT65" s="88" t="n">
        <f aca="false">AR65+AT64</f>
        <v>817.182663844462</v>
      </c>
      <c r="AU65" s="88" t="n">
        <f aca="false">AS65+AU64</f>
        <v>605.366666666667</v>
      </c>
      <c r="AV65" s="88" t="n">
        <f aca="false">MAX(AV64,AT65-AU65)</f>
        <v>211.815997177795</v>
      </c>
      <c r="AW65" s="88" t="n">
        <f aca="false">AV65-AV64</f>
        <v>20.024361985301</v>
      </c>
      <c r="AX65" s="88" t="n">
        <f aca="false">IF(B65=2026,INDEX($C$10:$Q$10,1,B65-2025)*$AO$4*C65/MAX(0.0001,12-$AO$3),INDEX($C$10:$Q$10,1,B65-2025)/12)</f>
        <v>5.64404597663043</v>
      </c>
      <c r="AY65" s="88" t="n">
        <f aca="false">$AO$6*INDEX($Y$10:$AB$10,1,B65-2026)/12</f>
        <v>2.50833333333333</v>
      </c>
      <c r="AZ65" s="88" t="n">
        <f aca="false">AX65+AZ64</f>
        <v>94.7890461280673</v>
      </c>
      <c r="BA65" s="88" t="n">
        <f aca="false">AY65+BA64</f>
        <v>5.01666666666667</v>
      </c>
      <c r="BB65" s="88" t="n">
        <f aca="false">MAX(BB64,AZ65-BA65)</f>
        <v>89.7723794614006</v>
      </c>
      <c r="BC65" s="88" t="n">
        <f aca="false">BB65-BB64</f>
        <v>3.13571264329711</v>
      </c>
      <c r="BD65" s="88" t="n">
        <f aca="false">IF(B65=2026,INDEX($C$11:$Q$11,1,B65-2025)*$AO$4*C65/MAX(0.0001,12-$AO$3),INDEX($C$11:$Q$11,1,B65-2025)/12)</f>
        <v>28.0475536513497</v>
      </c>
      <c r="BE65" s="88" t="n">
        <f aca="false">$AO$6*INDEX($Y$11:$AB$11,1,B65-2026)/12</f>
        <v>8.70833333333333</v>
      </c>
      <c r="BF65" s="88" t="n">
        <f aca="false">BD65+BF64</f>
        <v>471.045216117188</v>
      </c>
      <c r="BG65" s="88" t="n">
        <f aca="false">BE65+BG64</f>
        <v>126.816666666667</v>
      </c>
      <c r="BH65" s="88" t="n">
        <f aca="false">MAX(BH64,BF65-BG65)</f>
        <v>344.228549450521</v>
      </c>
      <c r="BI65" s="88" t="n">
        <f aca="false">BH65-BH64</f>
        <v>19.3392203180163</v>
      </c>
      <c r="BJ65" s="88" t="n">
        <f aca="false">IF(B65=2026,INDEX($C$12:$Q$12,1,B65-2025)*$AO$4*C65/MAX(0.0001,12-$AO$3),INDEX($C$12:$Q$12,1,B65-2025)/12)</f>
        <v>15.3780518436687</v>
      </c>
      <c r="BK65" s="88" t="n">
        <f aca="false">$AO$6*INDEX($Y$12:$AB$12,1,B65-2026)/12</f>
        <v>1.275</v>
      </c>
      <c r="BL65" s="88" t="n">
        <f aca="false">BJ65+BL64</f>
        <v>258.267007675861</v>
      </c>
      <c r="BM65" s="88" t="n">
        <f aca="false">BK65+BM64</f>
        <v>47.05</v>
      </c>
      <c r="BN65" s="88" t="n">
        <f aca="false">MAX(BN64,BL65-BM65)</f>
        <v>211.217007675861</v>
      </c>
      <c r="BO65" s="88" t="n">
        <f aca="false">BN65-BN64</f>
        <v>14.1030518436688</v>
      </c>
      <c r="BP65" s="88" t="n">
        <f aca="false">IF(B65=2026,INDEX($C$13:$Q$13,1,B65-2025)*$AO$4*C65/MAX(0.0001,12-$AO$3),INDEX($C$13:$Q$13,1,B65-2025)/12)</f>
        <v>4.80560220169792</v>
      </c>
      <c r="BQ65" s="88" t="n">
        <f aca="false">$AO$6*INDEX($Y$13:$AB$13,1,B65-2026)/12</f>
        <v>4.78333333333333</v>
      </c>
      <c r="BR65" s="88" t="n">
        <f aca="false">BP65+BR64</f>
        <v>80.7077849216665</v>
      </c>
      <c r="BS65" s="88" t="n">
        <f aca="false">BQ65+BS64</f>
        <v>9.56666666666667</v>
      </c>
      <c r="BT65" s="88" t="n">
        <f aca="false">MAX(BT64,BR65-BS65)</f>
        <v>71.1411182549998</v>
      </c>
      <c r="BU65" s="88" t="n">
        <f aca="false">BT65-BT64</f>
        <v>0.0222688683645913</v>
      </c>
      <c r="BV65" s="88" t="n">
        <f aca="false">IF(B65=2026,INDEX($C$14:$Q$14,1,B65-2025)*$AO$4*C65/MAX(0.0001,12-$AO$3),INDEX($C$14:$Q$14,1,B65-2025)/12)</f>
        <v>2.85021923686911</v>
      </c>
      <c r="BW65" s="88" t="n">
        <f aca="false">$AO$6*INDEX($Y$14:$AB$14,1,B65-2026)/12</f>
        <v>0</v>
      </c>
      <c r="BX65" s="88" t="n">
        <f aca="false">BV65+BX64</f>
        <v>47.868065539747</v>
      </c>
      <c r="BY65" s="88" t="n">
        <f aca="false">BW65+BY64</f>
        <v>0</v>
      </c>
      <c r="BZ65" s="88" t="n">
        <f aca="false">MAX(BZ64,BX65-BY65)</f>
        <v>47.868065539747</v>
      </c>
      <c r="CA65" s="88" t="n">
        <f aca="false">BZ65-BZ64</f>
        <v>2.85021923686911</v>
      </c>
      <c r="CB65" s="88" t="n">
        <f aca="false">IF(B65=2026,INDEX($C$15:$Q$15,1,B65-2025)*$AO$4*C65/MAX(0.0001,12-$AO$3),INDEX($C$15:$Q$15,1,B65-2025)/12)</f>
        <v>4.67303386509936</v>
      </c>
      <c r="CC65" s="88" t="n">
        <f aca="false">$AO$6*INDEX($Y$15:$AB$15,1,B65-2026)/12</f>
        <v>0.683333333333333</v>
      </c>
      <c r="CD65" s="88" t="n">
        <f aca="false">CB65+CD64</f>
        <v>78.4813632686549</v>
      </c>
      <c r="CE65" s="88" t="n">
        <f aca="false">CC65+CE64</f>
        <v>75.3666666666667</v>
      </c>
      <c r="CF65" s="88" t="n">
        <f aca="false">MAX(CF64,CD65-CE65)</f>
        <v>3.11469660198826</v>
      </c>
      <c r="CG65" s="88" t="n">
        <f aca="false">CF65-CF64</f>
        <v>3.11469660198826</v>
      </c>
      <c r="CH65" s="88" t="n">
        <f aca="false">IF(B65=2026,INDEX($C$16:$Q$16,1,B65-2025)*$AO$4*C65/MAX(0.0001,12-$AO$3),INDEX($C$16:$Q$16,1,B65-2025)/12)</f>
        <v>3.69534238268495</v>
      </c>
      <c r="CI65" s="88" t="n">
        <f aca="false">$AO$6*INDEX($Y$16:$AB$16,1,B65-2026)/12</f>
        <v>0.833333333333333</v>
      </c>
      <c r="CJ65" s="88" t="n">
        <f aca="false">CH65+CJ64</f>
        <v>62.0615035776952</v>
      </c>
      <c r="CK65" s="88" t="n">
        <f aca="false">CI65+CK64</f>
        <v>61.6666666666667</v>
      </c>
      <c r="CL65" s="88" t="n">
        <f aca="false">MAX(CL64,CJ65-CK65)</f>
        <v>9.12671022010589</v>
      </c>
      <c r="CM65" s="88" t="n">
        <f aca="false">CL65-CL64</f>
        <v>0</v>
      </c>
      <c r="CN65" s="88" t="n">
        <f aca="false">IF(B65=2026,INDEX($C$17:$Q$17,1,B65-2025)*$AO$4*C65/MAX(0.0001,12-$AO$3),INDEX($C$17:$Q$17,1,B65-2025)/12)</f>
        <v>16.0904818546506</v>
      </c>
      <c r="CO65" s="88" t="n">
        <f aca="false">$AO$6*INDEX($Y$17:$AB$17,1,B65-2026)/12</f>
        <v>3.35</v>
      </c>
      <c r="CP65" s="88" t="n">
        <f aca="false">CN65+CP64</f>
        <v>270.231928134269</v>
      </c>
      <c r="CQ65" s="88" t="n">
        <f aca="false">CO65+CQ64</f>
        <v>172.7</v>
      </c>
      <c r="CR65" s="88" t="n">
        <f aca="false">MAX(CR64,CP65-CQ65)</f>
        <v>97.5319281342694</v>
      </c>
      <c r="CS65" s="88" t="n">
        <f aca="false">CR65-CR64</f>
        <v>12.7404818546506</v>
      </c>
      <c r="CT65" s="88" t="n">
        <f aca="false">IF(B65=2026,INDEX($C$18:$Q$18,1,B65-2025)*$AO$4*C65/MAX(0.0001,12-$AO$3),INDEX($C$18:$Q$18,1,B65-2025)/12)</f>
        <v>3.34735049911372</v>
      </c>
      <c r="CU65" s="88" t="n">
        <f aca="false">$AO$6*INDEX($Y$18:$AB$18,1,B65-2026)/12</f>
        <v>0</v>
      </c>
      <c r="CV65" s="88" t="n">
        <f aca="false">CT65+CV64</f>
        <v>56.2171467385401</v>
      </c>
      <c r="CW65" s="88" t="n">
        <f aca="false">CU65+CW64</f>
        <v>11</v>
      </c>
      <c r="CX65" s="88" t="n">
        <f aca="false">MAX(CX64,CV65-CW65)</f>
        <v>45.2171467385401</v>
      </c>
      <c r="CY65" s="88" t="n">
        <f aca="false">CX65-CX64</f>
        <v>3.34735049911372</v>
      </c>
      <c r="CZ65" s="88" t="n">
        <f aca="false">IF(B65=2026,INDEX($C$19:$Q$19,1,B65-2025)*$AO$4*C65/MAX(0.0001,12-$AO$3),INDEX($C$19:$Q$19,1,B65-2025)/12)</f>
        <v>3.31420841496408</v>
      </c>
      <c r="DA65" s="88" t="n">
        <f aca="false">$AO$6*INDEX($Y$19:$AB$19,1,B65-2026)/12</f>
        <v>7.675</v>
      </c>
      <c r="DB65" s="88" t="n">
        <f aca="false">CZ65+DB64</f>
        <v>55.6605413252872</v>
      </c>
      <c r="DC65" s="88" t="n">
        <f aca="false">DA65+DC64</f>
        <v>27.25</v>
      </c>
      <c r="DD65" s="88" t="n">
        <f aca="false">MAX(DD64,DB65-DC65)</f>
        <v>37.132124495359</v>
      </c>
      <c r="DE65" s="88" t="n">
        <f aca="false">DD65-DD64</f>
        <v>0</v>
      </c>
      <c r="DF65" s="88" t="n">
        <f aca="false">IF(B65=2026,INDEX($C$20:$Q$20,1,B65-2025)*$AO$4*C65/MAX(0.0001,12-$AO$3),INDEX($C$20:$Q$20,1,B65-2025)/12)</f>
        <v>2.70107985819573</v>
      </c>
      <c r="DG65" s="88" t="n">
        <f aca="false">$AO$6*INDEX($Y$20:$AB$20,1,B65-2026)/12</f>
        <v>0</v>
      </c>
      <c r="DH65" s="88" t="n">
        <f aca="false">DF65+DH64</f>
        <v>45.3633411801091</v>
      </c>
      <c r="DI65" s="88" t="n">
        <f aca="false">DG65+DI64</f>
        <v>0</v>
      </c>
      <c r="DJ65" s="88" t="n">
        <f aca="false">MAX(DJ64,DH65-DI65)</f>
        <v>45.3633411801091</v>
      </c>
      <c r="DK65" s="88" t="n">
        <f aca="false">DJ65-DJ64</f>
        <v>2.70107985819573</v>
      </c>
      <c r="DL65" s="88" t="n">
        <f aca="false">IF(B65=2026,INDEX($C$21:$Q$21,1,B65-2025)*$AO$4*C65/MAX(0.0001,12-$AO$3),INDEX($C$21:$Q$21,1,B65-2025)/12)</f>
        <v>1.88909879652953</v>
      </c>
      <c r="DM65" s="88" t="n">
        <f aca="false">$AO$6*INDEX($Y$21:$AB$21,1,B65-2026)/12</f>
        <v>3.05833333333333</v>
      </c>
      <c r="DN65" s="88" t="n">
        <f aca="false">DL65+DN64</f>
        <v>31.7265085554137</v>
      </c>
      <c r="DO65" s="88" t="n">
        <f aca="false">DM65+DO64</f>
        <v>16.3166666666667</v>
      </c>
      <c r="DP65" s="88" t="n">
        <f aca="false">MAX(DP64,DN65-DO65)</f>
        <v>17.7483109623547</v>
      </c>
      <c r="DQ65" s="88" t="n">
        <f aca="false">DP65-DP64</f>
        <v>0</v>
      </c>
      <c r="DR65" s="88" t="n">
        <f aca="false">IF(B65=2026,INDEX($C$22:$Q$22,1,B65-2025)*$AO$4*C65/MAX(0.0001,12-$AO$3),INDEX($C$22:$Q$22,1,B65-2025)/12)</f>
        <v>1.47482274465902</v>
      </c>
      <c r="DS65" s="88" t="n">
        <f aca="false">$AO$6*INDEX($Y$22:$AB$22,1,B65-2026)/12</f>
        <v>0.816666666666667</v>
      </c>
      <c r="DT65" s="88" t="n">
        <f aca="false">DR65+DT64</f>
        <v>24.7689408897528</v>
      </c>
      <c r="DU65" s="88" t="n">
        <f aca="false">DS65+DU64</f>
        <v>18.2333333333333</v>
      </c>
      <c r="DV65" s="88" t="n">
        <f aca="false">MAX(DV64,DT65-DU65)</f>
        <v>6.53560755641946</v>
      </c>
      <c r="DW65" s="88" t="n">
        <f aca="false">DV65-DV64</f>
        <v>0.658156077992349</v>
      </c>
      <c r="DX65" s="88" t="n">
        <f aca="false">IF(B65=2026,INDEX($C$23:$Q$23,1,B65-2025)*$AO$4*C65/MAX(0.0001,12-$AO$3),INDEX($C$23:$Q$23,1,B65-2025)/12)</f>
        <v>2.36965901669932</v>
      </c>
      <c r="DY65" s="88" t="n">
        <f aca="false">$AO$6*INDEX($Y$23:$AB$23,1,B65-2026)/12</f>
        <v>7.14166666666667</v>
      </c>
      <c r="DZ65" s="88" t="n">
        <f aca="false">DX65+DZ64</f>
        <v>39.7972870475803</v>
      </c>
      <c r="EA65" s="88" t="n">
        <f aca="false">DY65+EA64</f>
        <v>14.2833333333333</v>
      </c>
      <c r="EB65" s="88" t="n">
        <f aca="false">MAX(EB64,DZ65-EA65)</f>
        <v>35.0579690141817</v>
      </c>
      <c r="EC65" s="88" t="n">
        <f aca="false">EB65-EB64</f>
        <v>0</v>
      </c>
      <c r="ED65" s="88" t="n">
        <f aca="false">IF(B65=2026,INDEX($C$24:$Q$24,1,B65-2025)*$AO$4*C65/MAX(0.0001,12-$AO$3),INDEX($C$24:$Q$24,1,B65-2025)/12)</f>
        <v>1.4582517025842</v>
      </c>
      <c r="EE65" s="88" t="n">
        <f aca="false">$AO$6*INDEX($Y$24:$AB$24,1,B65-2026)/12</f>
        <v>0</v>
      </c>
      <c r="EF65" s="88" t="n">
        <f aca="false">ED65+EF64</f>
        <v>24.4906381831264</v>
      </c>
      <c r="EG65" s="88" t="n">
        <f aca="false">EE65+EG64</f>
        <v>0</v>
      </c>
      <c r="EH65" s="88" t="n">
        <f aca="false">MAX(EH64,EF65-EG65)</f>
        <v>24.4906381831264</v>
      </c>
      <c r="EI65" s="88" t="n">
        <f aca="false">EH65-EH64</f>
        <v>1.4582517025842</v>
      </c>
      <c r="EJ65" s="88" t="n">
        <f aca="false">IF(B65=2026,INDEX($C$25:$Q$25,1,B65-2025)*$AO$4*C65/MAX(0.0001,12-$AO$3),INDEX($C$25:$Q$25,1,B65-2025)/12)</f>
        <v>1.85595671237989</v>
      </c>
      <c r="EK65" s="88" t="n">
        <f aca="false">$AO$6*INDEX($Y$25:$AB$25,1,B65-2026)/12</f>
        <v>0</v>
      </c>
      <c r="EL65" s="88" t="n">
        <f aca="false">EJ65+EL64</f>
        <v>31.1699031421608</v>
      </c>
      <c r="EM65" s="88" t="n">
        <f aca="false">EK65+EM64</f>
        <v>14</v>
      </c>
      <c r="EN65" s="88" t="n">
        <f aca="false">MAX(EN64,EL65-EM65)</f>
        <v>17.1699031421608</v>
      </c>
      <c r="EO65" s="88" t="n">
        <f aca="false">EN65-EN64</f>
        <v>1.85595671237989</v>
      </c>
      <c r="EP65" s="88" t="n">
        <f aca="false">IF(B65=2026,INDEX($C$26:$Q$26,1,B65-2025)*$AO$4*C65/MAX(0.0001,12-$AO$3),INDEX($C$26:$Q$26,1,B65-2025)/12)</f>
        <v>2.66793777404609</v>
      </c>
      <c r="EQ65" s="88" t="n">
        <f aca="false">$AO$6*INDEX($Y$26:$AB$26,1,B65-2026)/12</f>
        <v>0.025</v>
      </c>
      <c r="ER65" s="88" t="n">
        <f aca="false">EP65+ER64</f>
        <v>44.8067357668562</v>
      </c>
      <c r="ES65" s="88" t="n">
        <f aca="false">EQ65+ES64</f>
        <v>3.75</v>
      </c>
      <c r="ET65" s="88" t="n">
        <f aca="false">MAX(ET64,ER65-ES65)</f>
        <v>41.0567357668562</v>
      </c>
      <c r="EU65" s="88" t="n">
        <f aca="false">ET65-ET64</f>
        <v>2.64293777404609</v>
      </c>
      <c r="EV65" s="88" t="n">
        <f aca="false">IF(B65=2026,INDEX($C$27:$Q$27,1,B65-2025)*$AO$4*C65/MAX(0.0001,12-$AO$3),INDEX($C$27:$Q$27,1,B65-2025)/12)</f>
        <v>6.62841682992816</v>
      </c>
      <c r="EW65" s="88" t="n">
        <f aca="false">$AO$6*INDEX($Y$27:$AB$27,1,B65-2026)/12</f>
        <v>11.1166666666667</v>
      </c>
      <c r="EX65" s="88" t="n">
        <f aca="false">EV65+EX64</f>
        <v>111.321082650574</v>
      </c>
      <c r="EY65" s="88" t="n">
        <f aca="false">EW65+EY64</f>
        <v>207.333333333333</v>
      </c>
      <c r="EZ65" s="88" t="n">
        <f aca="false">MAX(EZ64,EX65-EY65)</f>
        <v>0</v>
      </c>
      <c r="FA65" s="88" t="n">
        <f aca="false">EZ65-EZ64</f>
        <v>0</v>
      </c>
      <c r="FB65" s="88" t="n">
        <f aca="false">IF(B65=2026,INDEX($C$28:$Q$28,1,B65-2025)*$AO$4*C65/MAX(0.0001,12-$AO$3),INDEX($C$28:$Q$28,1,B65-2025)/12)</f>
        <v>34.6997621046739</v>
      </c>
      <c r="FC65" s="88" t="n">
        <f aca="false">$AO$6*INDEX($Y$28:$AB$28,1,B65-2026)/12</f>
        <v>3.19166666666667</v>
      </c>
      <c r="FD65" s="88" t="n">
        <f aca="false">FB65+FD64</f>
        <v>582.765867675757</v>
      </c>
      <c r="FE65" s="88" t="n">
        <f aca="false">FC65+FE64</f>
        <v>112.383333333333</v>
      </c>
      <c r="FF65" s="88" t="n">
        <f aca="false">MAX(FF64,FD65-FE65)</f>
        <v>470.382534342424</v>
      </c>
      <c r="FG65" s="88" t="n">
        <f aca="false">FF65-FF64</f>
        <v>31.5080954380073</v>
      </c>
    </row>
    <row r="66" customFormat="false" ht="15" hidden="false" customHeight="false" outlineLevel="0" collapsed="false">
      <c r="A66" s="0" t="n">
        <v>26</v>
      </c>
      <c r="B66" s="88" t="n">
        <f aca="false">2026+INT(A66/12)</f>
        <v>2028</v>
      </c>
      <c r="C66" s="88" t="n">
        <f aca="false">MAX(0,MIN(1,A66+1-$AO$3))</f>
        <v>1</v>
      </c>
      <c r="D66" s="88" t="n">
        <f aca="false">IF((A66+0.5-(0))&lt;$AO$3,0,2026+INT((A66+0.5-(0))/12))</f>
        <v>2028</v>
      </c>
      <c r="E66" s="88" t="n">
        <f aca="false">IF((A66+0.5-($AO$9))&lt;$AO$3,0,2026+INT((A66+0.5-($AO$9))/12))</f>
        <v>2026</v>
      </c>
      <c r="F66" s="88" t="n">
        <f aca="false">IF((A66+0.5-($AO$9+$AO$8))&lt;$AO$3,0,2026+INT((A66+0.5-($AO$9+$AO$8))/12))</f>
        <v>0</v>
      </c>
      <c r="G66" s="88" t="n">
        <f aca="false">IF((A66+0.5-($AO$9+$AO$8+$AO$7))&lt;$AO$3,0,2026+INT((A66+0.5-($AO$9+$AO$8+$AO$7))/12))</f>
        <v>0</v>
      </c>
      <c r="H66" s="88" t="n">
        <f aca="false">IF(B66=2026,INDEX($C$3:$Q$3,1,B66-2025)*$AO$4*C66/MAX(0.0001,12-$AO$3),INDEX($C$3:$Q$3,1,B66-2025)/12)</f>
        <v>355.25</v>
      </c>
      <c r="I66" s="88" t="n">
        <f aca="false">$AO$6*INDEX($Y$3:$AB$3,1,B66-2026)/12</f>
        <v>143.766666666667</v>
      </c>
      <c r="J66" s="88" t="n">
        <f aca="false">H66+J65</f>
        <v>6321.50342465753</v>
      </c>
      <c r="K66" s="88" t="n">
        <f aca="false">I66+K65</f>
        <v>3022.2</v>
      </c>
      <c r="L66" s="88" t="n">
        <f aca="false">MAX(L65,J66-K66)</f>
        <v>3299.30342465753</v>
      </c>
      <c r="M66" s="88" t="n">
        <f aca="false">L66-L65</f>
        <v>211.483333333333</v>
      </c>
      <c r="N66" s="88" t="n">
        <f aca="false">IF(B66=2026,INDEX($C$4:$Q$4,1,B66-2025)*$AO$4*C66/MAX(0.0001,12-$AO$3),INDEX($C$4:$Q$4,1,B66-2025)/12)</f>
        <v>10.7700632578534</v>
      </c>
      <c r="O66" s="88" t="n">
        <f aca="false">$AO$6*INDEX($Y$4:$AB$4,1,B66-2026)/12</f>
        <v>7.75</v>
      </c>
      <c r="P66" s="88" t="n">
        <f aca="false">N66+P65</f>
        <v>191.648111944541</v>
      </c>
      <c r="Q66" s="88" t="n">
        <f aca="false">O66+Q65</f>
        <v>154.95</v>
      </c>
      <c r="R66" s="88" t="n">
        <f aca="false">MAX(R65,P66-Q66)</f>
        <v>36.6981119445412</v>
      </c>
      <c r="S66" s="88" t="n">
        <f aca="false">R66-R65</f>
        <v>3.02006325785337</v>
      </c>
      <c r="T66" s="88" t="n">
        <f aca="false">IF(B66=2026,INDEX($C$5:$Q$5,1,B66-2025)*$AO$4*C66/MAX(0.0001,12-$AO$3),INDEX($C$5:$Q$5,1,B66-2025)/12)</f>
        <v>43.7734247619348</v>
      </c>
      <c r="U66" s="88" t="n">
        <f aca="false">$AO$6*INDEX($Y$5:$AB$5,1,B66-2026)/12</f>
        <v>28.1083333333333</v>
      </c>
      <c r="V66" s="88" t="n">
        <f aca="false">T66+V65</f>
        <v>778.927106380183</v>
      </c>
      <c r="W66" s="88" t="n">
        <f aca="false">U66+W65</f>
        <v>455.025</v>
      </c>
      <c r="X66" s="88" t="n">
        <f aca="false">MAX(X65,V66-W66)</f>
        <v>323.902106380183</v>
      </c>
      <c r="Y66" s="88" t="n">
        <f aca="false">X66-X65</f>
        <v>15.6650914286015</v>
      </c>
      <c r="Z66" s="88" t="n">
        <f aca="false">IF(B66=2026,INDEX($C$6:$Q$6,1,B66-2025)*$AO$4*C66/MAX(0.0001,12-$AO$3),INDEX($C$6:$Q$6,1,B66-2025)/12)</f>
        <v>51.933610116259</v>
      </c>
      <c r="AA66" s="88" t="n">
        <f aca="false">$AO$6*INDEX($Y$6:$AB$6,1,B66-2026)/12</f>
        <v>1.95</v>
      </c>
      <c r="AB66" s="88" t="n">
        <f aca="false">Z66+AB65</f>
        <v>924.133692342745</v>
      </c>
      <c r="AC66" s="88" t="n">
        <f aca="false">AA66+AC65</f>
        <v>608.55</v>
      </c>
      <c r="AD66" s="88" t="n">
        <f aca="false">MAX(AD65,AB66-AC66)</f>
        <v>315.583692342745</v>
      </c>
      <c r="AE66" s="88" t="n">
        <f aca="false">AD66-AD65</f>
        <v>49.9836101162589</v>
      </c>
      <c r="AF66" s="88" t="n">
        <f aca="false">IF(B66=2026,INDEX($C$7:$Q$7,1,B66-2025)*$AO$4*C66/MAX(0.0001,12-$AO$3),INDEX($C$7:$Q$7,1,B66-2025)/12)</f>
        <v>45.11289896006</v>
      </c>
      <c r="AG66" s="88" t="n">
        <f aca="false">$AO$6*INDEX($Y$7:$AB$7,1,B66-2026)/12</f>
        <v>20.2</v>
      </c>
      <c r="AH66" s="88" t="n">
        <f aca="false">AF66+AH65</f>
        <v>802.762407522163</v>
      </c>
      <c r="AI66" s="88" t="n">
        <f aca="false">AG66+AI65</f>
        <v>159.9</v>
      </c>
      <c r="AJ66" s="88" t="n">
        <f aca="false">MAX(AJ65,AH66-AI66)</f>
        <v>642.862407522163</v>
      </c>
      <c r="AK66" s="88" t="n">
        <f aca="false">AJ66-AJ65</f>
        <v>24.91289896006</v>
      </c>
      <c r="AL66" s="88" t="n">
        <f aca="false">IF(B66=2026,INDEX($C$8:$Q$8,1,B66-2025)*$AO$4*C66/MAX(0.0001,12-$AO$3),INDEX($C$8:$Q$8,1,B66-2025)/12)</f>
        <v>11.4114321188341</v>
      </c>
      <c r="AM66" s="88" t="n">
        <f aca="false">$AO$6*INDEX($Y$8:$AB$8,1,B66-2026)/12</f>
        <v>1.95833333333333</v>
      </c>
      <c r="AN66" s="88" t="n">
        <f aca="false">AL66+AN65</f>
        <v>203.060963320075</v>
      </c>
      <c r="AO66" s="88" t="n">
        <f aca="false">AM66+AO65</f>
        <v>31.875</v>
      </c>
      <c r="AP66" s="88" t="n">
        <f aca="false">MAX(AP65,AN66-AO66)</f>
        <v>171.185963320075</v>
      </c>
      <c r="AQ66" s="88" t="n">
        <f aca="false">AP66-AP65</f>
        <v>9.45309878550077</v>
      </c>
      <c r="AR66" s="88" t="n">
        <f aca="false">IF(B66=2026,INDEX($C$9:$Q$9,1,B66-2025)*$AO$4*C66/MAX(0.0001,12-$AO$3),INDEX($C$9:$Q$9,1,B66-2025)/12)</f>
        <v>48.6576953186344</v>
      </c>
      <c r="AS66" s="88" t="n">
        <f aca="false">$AO$6*INDEX($Y$9:$AB$9,1,B66-2026)/12</f>
        <v>28.6333333333333</v>
      </c>
      <c r="AT66" s="88" t="n">
        <f aca="false">AR66+AT65</f>
        <v>865.840359163096</v>
      </c>
      <c r="AU66" s="88" t="n">
        <f aca="false">AS66+AU65</f>
        <v>634</v>
      </c>
      <c r="AV66" s="88" t="n">
        <f aca="false">MAX(AV65,AT66-AU66)</f>
        <v>231.840359163096</v>
      </c>
      <c r="AW66" s="88" t="n">
        <f aca="false">AV66-AV65</f>
        <v>20.024361985301</v>
      </c>
      <c r="AX66" s="88" t="n">
        <f aca="false">IF(B66=2026,INDEX($C$10:$Q$10,1,B66-2025)*$AO$4*C66/MAX(0.0001,12-$AO$3),INDEX($C$10:$Q$10,1,B66-2025)/12)</f>
        <v>5.64404597663043</v>
      </c>
      <c r="AY66" s="88" t="n">
        <f aca="false">$AO$6*INDEX($Y$10:$AB$10,1,B66-2026)/12</f>
        <v>2.50833333333333</v>
      </c>
      <c r="AZ66" s="88" t="n">
        <f aca="false">AX66+AZ65</f>
        <v>100.433092104698</v>
      </c>
      <c r="BA66" s="88" t="n">
        <f aca="false">AY66+BA65</f>
        <v>7.525</v>
      </c>
      <c r="BB66" s="88" t="n">
        <f aca="false">MAX(BB65,AZ66-BA66)</f>
        <v>92.9080921046977</v>
      </c>
      <c r="BC66" s="88" t="n">
        <f aca="false">BB66-BB65</f>
        <v>3.1357126432971</v>
      </c>
      <c r="BD66" s="88" t="n">
        <f aca="false">IF(B66=2026,INDEX($C$11:$Q$11,1,B66-2025)*$AO$4*C66/MAX(0.0001,12-$AO$3),INDEX($C$11:$Q$11,1,B66-2025)/12)</f>
        <v>28.0475536513497</v>
      </c>
      <c r="BE66" s="88" t="n">
        <f aca="false">$AO$6*INDEX($Y$11:$AB$11,1,B66-2026)/12</f>
        <v>8.70833333333333</v>
      </c>
      <c r="BF66" s="88" t="n">
        <f aca="false">BD66+BF65</f>
        <v>499.092769768538</v>
      </c>
      <c r="BG66" s="88" t="n">
        <f aca="false">BE66+BG65</f>
        <v>135.525</v>
      </c>
      <c r="BH66" s="88" t="n">
        <f aca="false">MAX(BH65,BF66-BG66)</f>
        <v>363.567769768538</v>
      </c>
      <c r="BI66" s="88" t="n">
        <f aca="false">BH66-BH65</f>
        <v>19.3392203180164</v>
      </c>
      <c r="BJ66" s="88" t="n">
        <f aca="false">IF(B66=2026,INDEX($C$12:$Q$12,1,B66-2025)*$AO$4*C66/MAX(0.0001,12-$AO$3),INDEX($C$12:$Q$12,1,B66-2025)/12)</f>
        <v>15.3780518436687</v>
      </c>
      <c r="BK66" s="88" t="n">
        <f aca="false">$AO$6*INDEX($Y$12:$AB$12,1,B66-2026)/12</f>
        <v>1.275</v>
      </c>
      <c r="BL66" s="88" t="n">
        <f aca="false">BJ66+BL65</f>
        <v>273.64505951953</v>
      </c>
      <c r="BM66" s="88" t="n">
        <f aca="false">BK66+BM65</f>
        <v>48.325</v>
      </c>
      <c r="BN66" s="88" t="n">
        <f aca="false">MAX(BN65,BL66-BM66)</f>
        <v>225.32005951953</v>
      </c>
      <c r="BO66" s="88" t="n">
        <f aca="false">BN66-BN65</f>
        <v>14.1030518436687</v>
      </c>
      <c r="BP66" s="88" t="n">
        <f aca="false">IF(B66=2026,INDEX($C$13:$Q$13,1,B66-2025)*$AO$4*C66/MAX(0.0001,12-$AO$3),INDEX($C$13:$Q$13,1,B66-2025)/12)</f>
        <v>4.80560220169792</v>
      </c>
      <c r="BQ66" s="88" t="n">
        <f aca="false">$AO$6*INDEX($Y$13:$AB$13,1,B66-2026)/12</f>
        <v>4.78333333333333</v>
      </c>
      <c r="BR66" s="88" t="n">
        <f aca="false">BP66+BR65</f>
        <v>85.5133871233644</v>
      </c>
      <c r="BS66" s="88" t="n">
        <f aca="false">BQ66+BS65</f>
        <v>14.35</v>
      </c>
      <c r="BT66" s="88" t="n">
        <f aca="false">MAX(BT65,BR66-BS66)</f>
        <v>71.1633871233644</v>
      </c>
      <c r="BU66" s="88" t="n">
        <f aca="false">BT66-BT65</f>
        <v>0.0222688683645913</v>
      </c>
      <c r="BV66" s="88" t="n">
        <f aca="false">IF(B66=2026,INDEX($C$14:$Q$14,1,B66-2025)*$AO$4*C66/MAX(0.0001,12-$AO$3),INDEX($C$14:$Q$14,1,B66-2025)/12)</f>
        <v>2.85021923686911</v>
      </c>
      <c r="BW66" s="88" t="n">
        <f aca="false">$AO$6*INDEX($Y$14:$AB$14,1,B66-2026)/12</f>
        <v>0</v>
      </c>
      <c r="BX66" s="88" t="n">
        <f aca="false">BV66+BX65</f>
        <v>50.7182847766161</v>
      </c>
      <c r="BY66" s="88" t="n">
        <f aca="false">BW66+BY65</f>
        <v>0</v>
      </c>
      <c r="BZ66" s="88" t="n">
        <f aca="false">MAX(BZ65,BX66-BY66)</f>
        <v>50.7182847766161</v>
      </c>
      <c r="CA66" s="88" t="n">
        <f aca="false">BZ66-BZ65</f>
        <v>2.85021923686911</v>
      </c>
      <c r="CB66" s="88" t="n">
        <f aca="false">IF(B66=2026,INDEX($C$15:$Q$15,1,B66-2025)*$AO$4*C66/MAX(0.0001,12-$AO$3),INDEX($C$15:$Q$15,1,B66-2025)/12)</f>
        <v>4.67303386509936</v>
      </c>
      <c r="CC66" s="88" t="n">
        <f aca="false">$AO$6*INDEX($Y$15:$AB$15,1,B66-2026)/12</f>
        <v>0.683333333333333</v>
      </c>
      <c r="CD66" s="88" t="n">
        <f aca="false">CB66+CD65</f>
        <v>83.1543971337543</v>
      </c>
      <c r="CE66" s="88" t="n">
        <f aca="false">CC66+CE65</f>
        <v>76.05</v>
      </c>
      <c r="CF66" s="88" t="n">
        <f aca="false">MAX(CF65,CD66-CE66)</f>
        <v>7.10439713375428</v>
      </c>
      <c r="CG66" s="88" t="n">
        <f aca="false">CF66-CF65</f>
        <v>3.98970053176602</v>
      </c>
      <c r="CH66" s="88" t="n">
        <f aca="false">IF(B66=2026,INDEX($C$16:$Q$16,1,B66-2025)*$AO$4*C66/MAX(0.0001,12-$AO$3),INDEX($C$16:$Q$16,1,B66-2025)/12)</f>
        <v>3.69534238268495</v>
      </c>
      <c r="CI66" s="88" t="n">
        <f aca="false">$AO$6*INDEX($Y$16:$AB$16,1,B66-2026)/12</f>
        <v>0.833333333333333</v>
      </c>
      <c r="CJ66" s="88" t="n">
        <f aca="false">CH66+CJ65</f>
        <v>65.7568459603802</v>
      </c>
      <c r="CK66" s="88" t="n">
        <f aca="false">CI66+CK65</f>
        <v>62.5</v>
      </c>
      <c r="CL66" s="88" t="n">
        <f aca="false">MAX(CL65,CJ66-CK66)</f>
        <v>9.12671022010589</v>
      </c>
      <c r="CM66" s="88" t="n">
        <f aca="false">CL66-CL65</f>
        <v>0</v>
      </c>
      <c r="CN66" s="88" t="n">
        <f aca="false">IF(B66=2026,INDEX($C$17:$Q$17,1,B66-2025)*$AO$4*C66/MAX(0.0001,12-$AO$3),INDEX($C$17:$Q$17,1,B66-2025)/12)</f>
        <v>16.0904818546506</v>
      </c>
      <c r="CO66" s="88" t="n">
        <f aca="false">$AO$6*INDEX($Y$17:$AB$17,1,B66-2026)/12</f>
        <v>3.35</v>
      </c>
      <c r="CP66" s="88" t="n">
        <f aca="false">CN66+CP65</f>
        <v>286.32240998892</v>
      </c>
      <c r="CQ66" s="88" t="n">
        <f aca="false">CO66+CQ65</f>
        <v>176.05</v>
      </c>
      <c r="CR66" s="88" t="n">
        <f aca="false">MAX(CR65,CP66-CQ66)</f>
        <v>110.27240998892</v>
      </c>
      <c r="CS66" s="88" t="n">
        <f aca="false">CR66-CR65</f>
        <v>12.7404818546507</v>
      </c>
      <c r="CT66" s="88" t="n">
        <f aca="false">IF(B66=2026,INDEX($C$18:$Q$18,1,B66-2025)*$AO$4*C66/MAX(0.0001,12-$AO$3),INDEX($C$18:$Q$18,1,B66-2025)/12)</f>
        <v>3.34735049911372</v>
      </c>
      <c r="CU66" s="88" t="n">
        <f aca="false">$AO$6*INDEX($Y$18:$AB$18,1,B66-2026)/12</f>
        <v>0</v>
      </c>
      <c r="CV66" s="88" t="n">
        <f aca="false">CT66+CV65</f>
        <v>59.5644972376538</v>
      </c>
      <c r="CW66" s="88" t="n">
        <f aca="false">CU66+CW65</f>
        <v>11</v>
      </c>
      <c r="CX66" s="88" t="n">
        <f aca="false">MAX(CX65,CV66-CW66)</f>
        <v>48.5644972376538</v>
      </c>
      <c r="CY66" s="88" t="n">
        <f aca="false">CX66-CX65</f>
        <v>3.34735049911372</v>
      </c>
      <c r="CZ66" s="88" t="n">
        <f aca="false">IF(B66=2026,INDEX($C$19:$Q$19,1,B66-2025)*$AO$4*C66/MAX(0.0001,12-$AO$3),INDEX($C$19:$Q$19,1,B66-2025)/12)</f>
        <v>3.31420841496408</v>
      </c>
      <c r="DA66" s="88" t="n">
        <f aca="false">$AO$6*INDEX($Y$19:$AB$19,1,B66-2026)/12</f>
        <v>7.675</v>
      </c>
      <c r="DB66" s="88" t="n">
        <f aca="false">CZ66+DB65</f>
        <v>58.9747497402513</v>
      </c>
      <c r="DC66" s="88" t="n">
        <f aca="false">DA66+DC65</f>
        <v>34.925</v>
      </c>
      <c r="DD66" s="88" t="n">
        <f aca="false">MAX(DD65,DB66-DC66)</f>
        <v>37.132124495359</v>
      </c>
      <c r="DE66" s="88" t="n">
        <f aca="false">DD66-DD65</f>
        <v>0</v>
      </c>
      <c r="DF66" s="88" t="n">
        <f aca="false">IF(B66=2026,INDEX($C$20:$Q$20,1,B66-2025)*$AO$4*C66/MAX(0.0001,12-$AO$3),INDEX($C$20:$Q$20,1,B66-2025)/12)</f>
        <v>2.70107985819573</v>
      </c>
      <c r="DG66" s="88" t="n">
        <f aca="false">$AO$6*INDEX($Y$20:$AB$20,1,B66-2026)/12</f>
        <v>0</v>
      </c>
      <c r="DH66" s="88" t="n">
        <f aca="false">DF66+DH65</f>
        <v>48.0644210383048</v>
      </c>
      <c r="DI66" s="88" t="n">
        <f aca="false">DG66+DI65</f>
        <v>0</v>
      </c>
      <c r="DJ66" s="88" t="n">
        <f aca="false">MAX(DJ65,DH66-DI66)</f>
        <v>48.0644210383048</v>
      </c>
      <c r="DK66" s="88" t="n">
        <f aca="false">DJ66-DJ65</f>
        <v>2.70107985819573</v>
      </c>
      <c r="DL66" s="88" t="n">
        <f aca="false">IF(B66=2026,INDEX($C$21:$Q$21,1,B66-2025)*$AO$4*C66/MAX(0.0001,12-$AO$3),INDEX($C$21:$Q$21,1,B66-2025)/12)</f>
        <v>1.88909879652953</v>
      </c>
      <c r="DM66" s="88" t="n">
        <f aca="false">$AO$6*INDEX($Y$21:$AB$21,1,B66-2026)/12</f>
        <v>3.05833333333333</v>
      </c>
      <c r="DN66" s="88" t="n">
        <f aca="false">DL66+DN65</f>
        <v>33.6156073519432</v>
      </c>
      <c r="DO66" s="88" t="n">
        <f aca="false">DM66+DO65</f>
        <v>19.375</v>
      </c>
      <c r="DP66" s="88" t="n">
        <f aca="false">MAX(DP65,DN66-DO66)</f>
        <v>17.7483109623547</v>
      </c>
      <c r="DQ66" s="88" t="n">
        <f aca="false">DP66-DP65</f>
        <v>0</v>
      </c>
      <c r="DR66" s="88" t="n">
        <f aca="false">IF(B66=2026,INDEX($C$22:$Q$22,1,B66-2025)*$AO$4*C66/MAX(0.0001,12-$AO$3),INDEX($C$22:$Q$22,1,B66-2025)/12)</f>
        <v>1.47482274465902</v>
      </c>
      <c r="DS66" s="88" t="n">
        <f aca="false">$AO$6*INDEX($Y$22:$AB$22,1,B66-2026)/12</f>
        <v>0.816666666666667</v>
      </c>
      <c r="DT66" s="88" t="n">
        <f aca="false">DR66+DT65</f>
        <v>26.2437636344118</v>
      </c>
      <c r="DU66" s="88" t="n">
        <f aca="false">DS66+DU65</f>
        <v>19.05</v>
      </c>
      <c r="DV66" s="88" t="n">
        <f aca="false">MAX(DV65,DT66-DU66)</f>
        <v>7.19376363441181</v>
      </c>
      <c r="DW66" s="88" t="n">
        <f aca="false">DV66-DV65</f>
        <v>0.658156077992349</v>
      </c>
      <c r="DX66" s="88" t="n">
        <f aca="false">IF(B66=2026,INDEX($C$23:$Q$23,1,B66-2025)*$AO$4*C66/MAX(0.0001,12-$AO$3),INDEX($C$23:$Q$23,1,B66-2025)/12)</f>
        <v>2.36965901669932</v>
      </c>
      <c r="DY66" s="88" t="n">
        <f aca="false">$AO$6*INDEX($Y$23:$AB$23,1,B66-2026)/12</f>
        <v>7.14166666666667</v>
      </c>
      <c r="DZ66" s="88" t="n">
        <f aca="false">DX66+DZ65</f>
        <v>42.1669460642797</v>
      </c>
      <c r="EA66" s="88" t="n">
        <f aca="false">DY66+EA65</f>
        <v>21.425</v>
      </c>
      <c r="EB66" s="88" t="n">
        <f aca="false">MAX(EB65,DZ66-EA66)</f>
        <v>35.0579690141817</v>
      </c>
      <c r="EC66" s="88" t="n">
        <f aca="false">EB66-EB65</f>
        <v>0</v>
      </c>
      <c r="ED66" s="88" t="n">
        <f aca="false">IF(B66=2026,INDEX($C$24:$Q$24,1,B66-2025)*$AO$4*C66/MAX(0.0001,12-$AO$3),INDEX($C$24:$Q$24,1,B66-2025)/12)</f>
        <v>1.4582517025842</v>
      </c>
      <c r="EE66" s="88" t="n">
        <f aca="false">$AO$6*INDEX($Y$24:$AB$24,1,B66-2026)/12</f>
        <v>0</v>
      </c>
      <c r="EF66" s="88" t="n">
        <f aca="false">ED66+EF65</f>
        <v>25.9488898857106</v>
      </c>
      <c r="EG66" s="88" t="n">
        <f aca="false">EE66+EG65</f>
        <v>0</v>
      </c>
      <c r="EH66" s="88" t="n">
        <f aca="false">MAX(EH65,EF66-EG66)</f>
        <v>25.9488898857106</v>
      </c>
      <c r="EI66" s="88" t="n">
        <f aca="false">EH66-EH65</f>
        <v>1.4582517025842</v>
      </c>
      <c r="EJ66" s="88" t="n">
        <f aca="false">IF(B66=2026,INDEX($C$25:$Q$25,1,B66-2025)*$AO$4*C66/MAX(0.0001,12-$AO$3),INDEX($C$25:$Q$25,1,B66-2025)/12)</f>
        <v>1.85595671237989</v>
      </c>
      <c r="EK66" s="88" t="n">
        <f aca="false">$AO$6*INDEX($Y$25:$AB$25,1,B66-2026)/12</f>
        <v>0</v>
      </c>
      <c r="EL66" s="88" t="n">
        <f aca="false">EJ66+EL65</f>
        <v>33.0258598545407</v>
      </c>
      <c r="EM66" s="88" t="n">
        <f aca="false">EK66+EM65</f>
        <v>14</v>
      </c>
      <c r="EN66" s="88" t="n">
        <f aca="false">MAX(EN65,EL66-EM66)</f>
        <v>19.0258598545407</v>
      </c>
      <c r="EO66" s="88" t="n">
        <f aca="false">EN66-EN65</f>
        <v>1.85595671237989</v>
      </c>
      <c r="EP66" s="88" t="n">
        <f aca="false">IF(B66=2026,INDEX($C$26:$Q$26,1,B66-2025)*$AO$4*C66/MAX(0.0001,12-$AO$3),INDEX($C$26:$Q$26,1,B66-2025)/12)</f>
        <v>2.66793777404609</v>
      </c>
      <c r="EQ66" s="88" t="n">
        <f aca="false">$AO$6*INDEX($Y$26:$AB$26,1,B66-2026)/12</f>
        <v>0.025</v>
      </c>
      <c r="ER66" s="88" t="n">
        <f aca="false">EP66+ER65</f>
        <v>47.4746735409023</v>
      </c>
      <c r="ES66" s="88" t="n">
        <f aca="false">EQ66+ES65</f>
        <v>3.775</v>
      </c>
      <c r="ET66" s="88" t="n">
        <f aca="false">MAX(ET65,ER66-ES66)</f>
        <v>43.6996735409023</v>
      </c>
      <c r="EU66" s="88" t="n">
        <f aca="false">ET66-ET65</f>
        <v>2.64293777404609</v>
      </c>
      <c r="EV66" s="88" t="n">
        <f aca="false">IF(B66=2026,INDEX($C$27:$Q$27,1,B66-2025)*$AO$4*C66/MAX(0.0001,12-$AO$3),INDEX($C$27:$Q$27,1,B66-2025)/12)</f>
        <v>6.62841682992816</v>
      </c>
      <c r="EW66" s="88" t="n">
        <f aca="false">$AO$6*INDEX($Y$27:$AB$27,1,B66-2026)/12</f>
        <v>11.1166666666667</v>
      </c>
      <c r="EX66" s="88" t="n">
        <f aca="false">EV66+EX65</f>
        <v>117.949499480503</v>
      </c>
      <c r="EY66" s="88" t="n">
        <f aca="false">EW66+EY65</f>
        <v>218.45</v>
      </c>
      <c r="EZ66" s="88" t="n">
        <f aca="false">MAX(EZ65,EX66-EY66)</f>
        <v>0</v>
      </c>
      <c r="FA66" s="88" t="n">
        <f aca="false">EZ66-EZ65</f>
        <v>0</v>
      </c>
      <c r="FB66" s="88" t="n">
        <f aca="false">IF(B66=2026,INDEX($C$28:$Q$28,1,B66-2025)*$AO$4*C66/MAX(0.0001,12-$AO$3),INDEX($C$28:$Q$28,1,B66-2025)/12)</f>
        <v>34.6997621046739</v>
      </c>
      <c r="FC66" s="88" t="n">
        <f aca="false">$AO$6*INDEX($Y$28:$AB$28,1,B66-2026)/12</f>
        <v>3.19166666666667</v>
      </c>
      <c r="FD66" s="88" t="n">
        <f aca="false">FB66+FD65</f>
        <v>617.465629780431</v>
      </c>
      <c r="FE66" s="88" t="n">
        <f aca="false">FC66+FE65</f>
        <v>115.575</v>
      </c>
      <c r="FF66" s="88" t="n">
        <f aca="false">MAX(FF65,FD66-FE66)</f>
        <v>501.890629780431</v>
      </c>
      <c r="FG66" s="88" t="n">
        <f aca="false">FF66-FF65</f>
        <v>31.5080954380072</v>
      </c>
    </row>
    <row r="67" customFormat="false" ht="15" hidden="false" customHeight="false" outlineLevel="0" collapsed="false">
      <c r="A67" s="0" t="n">
        <v>27</v>
      </c>
      <c r="B67" s="88" t="n">
        <f aca="false">2026+INT(A67/12)</f>
        <v>2028</v>
      </c>
      <c r="C67" s="88" t="n">
        <f aca="false">MAX(0,MIN(1,A67+1-$AO$3))</f>
        <v>1</v>
      </c>
      <c r="D67" s="88" t="n">
        <f aca="false">IF((A67+0.5-(0))&lt;$AO$3,0,2026+INT((A67+0.5-(0))/12))</f>
        <v>2028</v>
      </c>
      <c r="E67" s="88" t="n">
        <f aca="false">IF((A67+0.5-($AO$9))&lt;$AO$3,0,2026+INT((A67+0.5-($AO$9))/12))</f>
        <v>2027</v>
      </c>
      <c r="F67" s="88" t="n">
        <f aca="false">IF((A67+0.5-($AO$9+$AO$8))&lt;$AO$3,0,2026+INT((A67+0.5-($AO$9+$AO$8))/12))</f>
        <v>0</v>
      </c>
      <c r="G67" s="88" t="n">
        <f aca="false">IF((A67+0.5-($AO$9+$AO$8+$AO$7))&lt;$AO$3,0,2026+INT((A67+0.5-($AO$9+$AO$8+$AO$7))/12))</f>
        <v>0</v>
      </c>
      <c r="H67" s="88" t="n">
        <f aca="false">IF(B67=2026,INDEX($C$3:$Q$3,1,B67-2025)*$AO$4*C67/MAX(0.0001,12-$AO$3),INDEX($C$3:$Q$3,1,B67-2025)/12)</f>
        <v>355.25</v>
      </c>
      <c r="I67" s="88" t="n">
        <f aca="false">$AO$6*INDEX($Y$3:$AB$3,1,B67-2026)/12</f>
        <v>143.766666666667</v>
      </c>
      <c r="J67" s="88" t="n">
        <f aca="false">H67+J66</f>
        <v>6676.75342465753</v>
      </c>
      <c r="K67" s="88" t="n">
        <f aca="false">I67+K66</f>
        <v>3165.96666666667</v>
      </c>
      <c r="L67" s="88" t="n">
        <f aca="false">MAX(L66,J67-K67)</f>
        <v>3510.78675799087</v>
      </c>
      <c r="M67" s="88" t="n">
        <f aca="false">L67-L66</f>
        <v>211.483333333333</v>
      </c>
      <c r="N67" s="88" t="n">
        <f aca="false">IF(B67=2026,INDEX($C$4:$Q$4,1,B67-2025)*$AO$4*C67/MAX(0.0001,12-$AO$3),INDEX($C$4:$Q$4,1,B67-2025)/12)</f>
        <v>10.7700632578534</v>
      </c>
      <c r="O67" s="88" t="n">
        <f aca="false">$AO$6*INDEX($Y$4:$AB$4,1,B67-2026)/12</f>
        <v>7.75</v>
      </c>
      <c r="P67" s="88" t="n">
        <f aca="false">N67+P66</f>
        <v>202.418175202395</v>
      </c>
      <c r="Q67" s="88" t="n">
        <f aca="false">O67+Q66</f>
        <v>162.7</v>
      </c>
      <c r="R67" s="88" t="n">
        <f aca="false">MAX(R66,P67-Q67)</f>
        <v>39.7181752023946</v>
      </c>
      <c r="S67" s="88" t="n">
        <f aca="false">R67-R66</f>
        <v>3.02006325785337</v>
      </c>
      <c r="T67" s="88" t="n">
        <f aca="false">IF(B67=2026,INDEX($C$5:$Q$5,1,B67-2025)*$AO$4*C67/MAX(0.0001,12-$AO$3),INDEX($C$5:$Q$5,1,B67-2025)/12)</f>
        <v>43.7734247619348</v>
      </c>
      <c r="U67" s="88" t="n">
        <f aca="false">$AO$6*INDEX($Y$5:$AB$5,1,B67-2026)/12</f>
        <v>28.1083333333333</v>
      </c>
      <c r="V67" s="88" t="n">
        <f aca="false">T67+V66</f>
        <v>822.700531142118</v>
      </c>
      <c r="W67" s="88" t="n">
        <f aca="false">U67+W66</f>
        <v>483.133333333333</v>
      </c>
      <c r="X67" s="88" t="n">
        <f aca="false">MAX(X66,V67-W67)</f>
        <v>339.567197808784</v>
      </c>
      <c r="Y67" s="88" t="n">
        <f aca="false">X67-X66</f>
        <v>15.6650914286015</v>
      </c>
      <c r="Z67" s="88" t="n">
        <f aca="false">IF(B67=2026,INDEX($C$6:$Q$6,1,B67-2025)*$AO$4*C67/MAX(0.0001,12-$AO$3),INDEX($C$6:$Q$6,1,B67-2025)/12)</f>
        <v>51.933610116259</v>
      </c>
      <c r="AA67" s="88" t="n">
        <f aca="false">$AO$6*INDEX($Y$6:$AB$6,1,B67-2026)/12</f>
        <v>1.95</v>
      </c>
      <c r="AB67" s="88" t="n">
        <f aca="false">Z67+AB66</f>
        <v>976.067302459004</v>
      </c>
      <c r="AC67" s="88" t="n">
        <f aca="false">AA67+AC66</f>
        <v>610.5</v>
      </c>
      <c r="AD67" s="88" t="n">
        <f aca="false">MAX(AD66,AB67-AC67)</f>
        <v>365.567302459003</v>
      </c>
      <c r="AE67" s="88" t="n">
        <f aca="false">AD67-AD66</f>
        <v>49.9836101162589</v>
      </c>
      <c r="AF67" s="88" t="n">
        <f aca="false">IF(B67=2026,INDEX($C$7:$Q$7,1,B67-2025)*$AO$4*C67/MAX(0.0001,12-$AO$3),INDEX($C$7:$Q$7,1,B67-2025)/12)</f>
        <v>45.11289896006</v>
      </c>
      <c r="AG67" s="88" t="n">
        <f aca="false">$AO$6*INDEX($Y$7:$AB$7,1,B67-2026)/12</f>
        <v>20.2</v>
      </c>
      <c r="AH67" s="88" t="n">
        <f aca="false">AF67+AH66</f>
        <v>847.875306482223</v>
      </c>
      <c r="AI67" s="88" t="n">
        <f aca="false">AG67+AI66</f>
        <v>180.1</v>
      </c>
      <c r="AJ67" s="88" t="n">
        <f aca="false">MAX(AJ66,AH67-AI67)</f>
        <v>667.775306482223</v>
      </c>
      <c r="AK67" s="88" t="n">
        <f aca="false">AJ67-AJ66</f>
        <v>24.91289896006</v>
      </c>
      <c r="AL67" s="88" t="n">
        <f aca="false">IF(B67=2026,INDEX($C$8:$Q$8,1,B67-2025)*$AO$4*C67/MAX(0.0001,12-$AO$3),INDEX($C$8:$Q$8,1,B67-2025)/12)</f>
        <v>11.4114321188341</v>
      </c>
      <c r="AM67" s="88" t="n">
        <f aca="false">$AO$6*INDEX($Y$8:$AB$8,1,B67-2026)/12</f>
        <v>1.95833333333333</v>
      </c>
      <c r="AN67" s="88" t="n">
        <f aca="false">AL67+AN66</f>
        <v>214.472395438909</v>
      </c>
      <c r="AO67" s="88" t="n">
        <f aca="false">AM67+AO66</f>
        <v>33.8333333333333</v>
      </c>
      <c r="AP67" s="88" t="n">
        <f aca="false">MAX(AP66,AN67-AO67)</f>
        <v>180.639062105576</v>
      </c>
      <c r="AQ67" s="88" t="n">
        <f aca="false">AP67-AP66</f>
        <v>9.45309878550074</v>
      </c>
      <c r="AR67" s="88" t="n">
        <f aca="false">IF(B67=2026,INDEX($C$9:$Q$9,1,B67-2025)*$AO$4*C67/MAX(0.0001,12-$AO$3),INDEX($C$9:$Q$9,1,B67-2025)/12)</f>
        <v>48.6576953186344</v>
      </c>
      <c r="AS67" s="88" t="n">
        <f aca="false">$AO$6*INDEX($Y$9:$AB$9,1,B67-2026)/12</f>
        <v>28.6333333333333</v>
      </c>
      <c r="AT67" s="88" t="n">
        <f aca="false">AR67+AT66</f>
        <v>914.49805448173</v>
      </c>
      <c r="AU67" s="88" t="n">
        <f aca="false">AS67+AU66</f>
        <v>662.633333333333</v>
      </c>
      <c r="AV67" s="88" t="n">
        <f aca="false">MAX(AV66,AT67-AU67)</f>
        <v>251.864721148397</v>
      </c>
      <c r="AW67" s="88" t="n">
        <f aca="false">AV67-AV66</f>
        <v>20.024361985301</v>
      </c>
      <c r="AX67" s="88" t="n">
        <f aca="false">IF(B67=2026,INDEX($C$10:$Q$10,1,B67-2025)*$AO$4*C67/MAX(0.0001,12-$AO$3),INDEX($C$10:$Q$10,1,B67-2025)/12)</f>
        <v>5.64404597663043</v>
      </c>
      <c r="AY67" s="88" t="n">
        <f aca="false">$AO$6*INDEX($Y$10:$AB$10,1,B67-2026)/12</f>
        <v>2.50833333333333</v>
      </c>
      <c r="AZ67" s="88" t="n">
        <f aca="false">AX67+AZ66</f>
        <v>106.077138081328</v>
      </c>
      <c r="BA67" s="88" t="n">
        <f aca="false">AY67+BA66</f>
        <v>10.0333333333333</v>
      </c>
      <c r="BB67" s="88" t="n">
        <f aca="false">MAX(BB66,AZ67-BA67)</f>
        <v>96.0438047479948</v>
      </c>
      <c r="BC67" s="88" t="n">
        <f aca="false">BB67-BB66</f>
        <v>3.13571264329711</v>
      </c>
      <c r="BD67" s="88" t="n">
        <f aca="false">IF(B67=2026,INDEX($C$11:$Q$11,1,B67-2025)*$AO$4*C67/MAX(0.0001,12-$AO$3),INDEX($C$11:$Q$11,1,B67-2025)/12)</f>
        <v>28.0475536513497</v>
      </c>
      <c r="BE67" s="88" t="n">
        <f aca="false">$AO$6*INDEX($Y$11:$AB$11,1,B67-2026)/12</f>
        <v>8.70833333333333</v>
      </c>
      <c r="BF67" s="88" t="n">
        <f aca="false">BD67+BF66</f>
        <v>527.140323419887</v>
      </c>
      <c r="BG67" s="88" t="n">
        <f aca="false">BE67+BG66</f>
        <v>144.233333333333</v>
      </c>
      <c r="BH67" s="88" t="n">
        <f aca="false">MAX(BH66,BF67-BG67)</f>
        <v>382.906990086554</v>
      </c>
      <c r="BI67" s="88" t="n">
        <f aca="false">BH67-BH66</f>
        <v>19.3392203180164</v>
      </c>
      <c r="BJ67" s="88" t="n">
        <f aca="false">IF(B67=2026,INDEX($C$12:$Q$12,1,B67-2025)*$AO$4*C67/MAX(0.0001,12-$AO$3),INDEX($C$12:$Q$12,1,B67-2025)/12)</f>
        <v>15.3780518436687</v>
      </c>
      <c r="BK67" s="88" t="n">
        <f aca="false">$AO$6*INDEX($Y$12:$AB$12,1,B67-2026)/12</f>
        <v>1.275</v>
      </c>
      <c r="BL67" s="88" t="n">
        <f aca="false">BJ67+BL66</f>
        <v>289.023111363199</v>
      </c>
      <c r="BM67" s="88" t="n">
        <f aca="false">BK67+BM66</f>
        <v>49.6</v>
      </c>
      <c r="BN67" s="88" t="n">
        <f aca="false">MAX(BN66,BL67-BM67)</f>
        <v>239.423111363199</v>
      </c>
      <c r="BO67" s="88" t="n">
        <f aca="false">BN67-BN66</f>
        <v>14.1030518436687</v>
      </c>
      <c r="BP67" s="88" t="n">
        <f aca="false">IF(B67=2026,INDEX($C$13:$Q$13,1,B67-2025)*$AO$4*C67/MAX(0.0001,12-$AO$3),INDEX($C$13:$Q$13,1,B67-2025)/12)</f>
        <v>4.80560220169792</v>
      </c>
      <c r="BQ67" s="88" t="n">
        <f aca="false">$AO$6*INDEX($Y$13:$AB$13,1,B67-2026)/12</f>
        <v>4.78333333333333</v>
      </c>
      <c r="BR67" s="88" t="n">
        <f aca="false">BP67+BR66</f>
        <v>90.3189893250623</v>
      </c>
      <c r="BS67" s="88" t="n">
        <f aca="false">BQ67+BS66</f>
        <v>19.1333333333333</v>
      </c>
      <c r="BT67" s="88" t="n">
        <f aca="false">MAX(BT66,BR67-BS67)</f>
        <v>71.185655991729</v>
      </c>
      <c r="BU67" s="88" t="n">
        <f aca="false">BT67-BT66</f>
        <v>0.0222688683645771</v>
      </c>
      <c r="BV67" s="88" t="n">
        <f aca="false">IF(B67=2026,INDEX($C$14:$Q$14,1,B67-2025)*$AO$4*C67/MAX(0.0001,12-$AO$3),INDEX($C$14:$Q$14,1,B67-2025)/12)</f>
        <v>2.85021923686911</v>
      </c>
      <c r="BW67" s="88" t="n">
        <f aca="false">$AO$6*INDEX($Y$14:$AB$14,1,B67-2026)/12</f>
        <v>0</v>
      </c>
      <c r="BX67" s="88" t="n">
        <f aca="false">BV67+BX66</f>
        <v>53.5685040134852</v>
      </c>
      <c r="BY67" s="88" t="n">
        <f aca="false">BW67+BY66</f>
        <v>0</v>
      </c>
      <c r="BZ67" s="88" t="n">
        <f aca="false">MAX(BZ66,BX67-BY67)</f>
        <v>53.5685040134852</v>
      </c>
      <c r="CA67" s="88" t="n">
        <f aca="false">BZ67-BZ66</f>
        <v>2.85021923686911</v>
      </c>
      <c r="CB67" s="88" t="n">
        <f aca="false">IF(B67=2026,INDEX($C$15:$Q$15,1,B67-2025)*$AO$4*C67/MAX(0.0001,12-$AO$3),INDEX($C$15:$Q$15,1,B67-2025)/12)</f>
        <v>4.67303386509936</v>
      </c>
      <c r="CC67" s="88" t="n">
        <f aca="false">$AO$6*INDEX($Y$15:$AB$15,1,B67-2026)/12</f>
        <v>0.683333333333333</v>
      </c>
      <c r="CD67" s="88" t="n">
        <f aca="false">CB67+CD66</f>
        <v>87.8274309988536</v>
      </c>
      <c r="CE67" s="88" t="n">
        <f aca="false">CC67+CE66</f>
        <v>76.7333333333334</v>
      </c>
      <c r="CF67" s="88" t="n">
        <f aca="false">MAX(CF66,CD67-CE67)</f>
        <v>11.0940976655203</v>
      </c>
      <c r="CG67" s="88" t="n">
        <f aca="false">CF67-CF66</f>
        <v>3.98970053176602</v>
      </c>
      <c r="CH67" s="88" t="n">
        <f aca="false">IF(B67=2026,INDEX($C$16:$Q$16,1,B67-2025)*$AO$4*C67/MAX(0.0001,12-$AO$3),INDEX($C$16:$Q$16,1,B67-2025)/12)</f>
        <v>3.69534238268495</v>
      </c>
      <c r="CI67" s="88" t="n">
        <f aca="false">$AO$6*INDEX($Y$16:$AB$16,1,B67-2026)/12</f>
        <v>0.833333333333333</v>
      </c>
      <c r="CJ67" s="88" t="n">
        <f aca="false">CH67+CJ66</f>
        <v>69.4521883430651</v>
      </c>
      <c r="CK67" s="88" t="n">
        <f aca="false">CI67+CK66</f>
        <v>63.3333333333333</v>
      </c>
      <c r="CL67" s="88" t="n">
        <f aca="false">MAX(CL66,CJ67-CK67)</f>
        <v>9.12671022010589</v>
      </c>
      <c r="CM67" s="88" t="n">
        <f aca="false">CL67-CL66</f>
        <v>0</v>
      </c>
      <c r="CN67" s="88" t="n">
        <f aca="false">IF(B67=2026,INDEX($C$17:$Q$17,1,B67-2025)*$AO$4*C67/MAX(0.0001,12-$AO$3),INDEX($C$17:$Q$17,1,B67-2025)/12)</f>
        <v>16.0904818546506</v>
      </c>
      <c r="CO67" s="88" t="n">
        <f aca="false">$AO$6*INDEX($Y$17:$AB$17,1,B67-2026)/12</f>
        <v>3.35</v>
      </c>
      <c r="CP67" s="88" t="n">
        <f aca="false">CN67+CP66</f>
        <v>302.412891843571</v>
      </c>
      <c r="CQ67" s="88" t="n">
        <f aca="false">CO67+CQ66</f>
        <v>179.4</v>
      </c>
      <c r="CR67" s="88" t="n">
        <f aca="false">MAX(CR66,CP67-CQ67)</f>
        <v>123.012891843571</v>
      </c>
      <c r="CS67" s="88" t="n">
        <f aca="false">CR67-CR66</f>
        <v>12.7404818546507</v>
      </c>
      <c r="CT67" s="88" t="n">
        <f aca="false">IF(B67=2026,INDEX($C$18:$Q$18,1,B67-2025)*$AO$4*C67/MAX(0.0001,12-$AO$3),INDEX($C$18:$Q$18,1,B67-2025)/12)</f>
        <v>3.34735049911372</v>
      </c>
      <c r="CU67" s="88" t="n">
        <f aca="false">$AO$6*INDEX($Y$18:$AB$18,1,B67-2026)/12</f>
        <v>0</v>
      </c>
      <c r="CV67" s="88" t="n">
        <f aca="false">CT67+CV66</f>
        <v>62.9118477367675</v>
      </c>
      <c r="CW67" s="88" t="n">
        <f aca="false">CU67+CW66</f>
        <v>11</v>
      </c>
      <c r="CX67" s="88" t="n">
        <f aca="false">MAX(CX66,CV67-CW67)</f>
        <v>51.9118477367675</v>
      </c>
      <c r="CY67" s="88" t="n">
        <f aca="false">CX67-CX66</f>
        <v>3.34735049911372</v>
      </c>
      <c r="CZ67" s="88" t="n">
        <f aca="false">IF(B67=2026,INDEX($C$19:$Q$19,1,B67-2025)*$AO$4*C67/MAX(0.0001,12-$AO$3),INDEX($C$19:$Q$19,1,B67-2025)/12)</f>
        <v>3.31420841496408</v>
      </c>
      <c r="DA67" s="88" t="n">
        <f aca="false">$AO$6*INDEX($Y$19:$AB$19,1,B67-2026)/12</f>
        <v>7.675</v>
      </c>
      <c r="DB67" s="88" t="n">
        <f aca="false">CZ67+DB66</f>
        <v>62.2889581552154</v>
      </c>
      <c r="DC67" s="88" t="n">
        <f aca="false">DA67+DC66</f>
        <v>42.6</v>
      </c>
      <c r="DD67" s="88" t="n">
        <f aca="false">MAX(DD66,DB67-DC67)</f>
        <v>37.132124495359</v>
      </c>
      <c r="DE67" s="88" t="n">
        <f aca="false">DD67-DD66</f>
        <v>0</v>
      </c>
      <c r="DF67" s="88" t="n">
        <f aca="false">IF(B67=2026,INDEX($C$20:$Q$20,1,B67-2025)*$AO$4*C67/MAX(0.0001,12-$AO$3),INDEX($C$20:$Q$20,1,B67-2025)/12)</f>
        <v>2.70107985819573</v>
      </c>
      <c r="DG67" s="88" t="n">
        <f aca="false">$AO$6*INDEX($Y$20:$AB$20,1,B67-2026)/12</f>
        <v>0</v>
      </c>
      <c r="DH67" s="88" t="n">
        <f aca="false">DF67+DH66</f>
        <v>50.7655008965005</v>
      </c>
      <c r="DI67" s="88" t="n">
        <f aca="false">DG67+DI66</f>
        <v>0</v>
      </c>
      <c r="DJ67" s="88" t="n">
        <f aca="false">MAX(DJ66,DH67-DI67)</f>
        <v>50.7655008965005</v>
      </c>
      <c r="DK67" s="88" t="n">
        <f aca="false">DJ67-DJ66</f>
        <v>2.70107985819573</v>
      </c>
      <c r="DL67" s="88" t="n">
        <f aca="false">IF(B67=2026,INDEX($C$21:$Q$21,1,B67-2025)*$AO$4*C67/MAX(0.0001,12-$AO$3),INDEX($C$21:$Q$21,1,B67-2025)/12)</f>
        <v>1.88909879652953</v>
      </c>
      <c r="DM67" s="88" t="n">
        <f aca="false">$AO$6*INDEX($Y$21:$AB$21,1,B67-2026)/12</f>
        <v>3.05833333333333</v>
      </c>
      <c r="DN67" s="88" t="n">
        <f aca="false">DL67+DN66</f>
        <v>35.5047061484728</v>
      </c>
      <c r="DO67" s="88" t="n">
        <f aca="false">DM67+DO66</f>
        <v>22.4333333333333</v>
      </c>
      <c r="DP67" s="88" t="n">
        <f aca="false">MAX(DP66,DN67-DO67)</f>
        <v>17.7483109623547</v>
      </c>
      <c r="DQ67" s="88" t="n">
        <f aca="false">DP67-DP66</f>
        <v>0</v>
      </c>
      <c r="DR67" s="88" t="n">
        <f aca="false">IF(B67=2026,INDEX($C$22:$Q$22,1,B67-2025)*$AO$4*C67/MAX(0.0001,12-$AO$3),INDEX($C$22:$Q$22,1,B67-2025)/12)</f>
        <v>1.47482274465902</v>
      </c>
      <c r="DS67" s="88" t="n">
        <f aca="false">$AO$6*INDEX($Y$22:$AB$22,1,B67-2026)/12</f>
        <v>0.816666666666667</v>
      </c>
      <c r="DT67" s="88" t="n">
        <f aca="false">DR67+DT66</f>
        <v>27.7185863790708</v>
      </c>
      <c r="DU67" s="88" t="n">
        <f aca="false">DS67+DU66</f>
        <v>19.8666666666667</v>
      </c>
      <c r="DV67" s="88" t="n">
        <f aca="false">MAX(DV66,DT67-DU67)</f>
        <v>7.85191971240415</v>
      </c>
      <c r="DW67" s="88" t="n">
        <f aca="false">DV67-DV66</f>
        <v>0.658156077992349</v>
      </c>
      <c r="DX67" s="88" t="n">
        <f aca="false">IF(B67=2026,INDEX($C$23:$Q$23,1,B67-2025)*$AO$4*C67/MAX(0.0001,12-$AO$3),INDEX($C$23:$Q$23,1,B67-2025)/12)</f>
        <v>2.36965901669932</v>
      </c>
      <c r="DY67" s="88" t="n">
        <f aca="false">$AO$6*INDEX($Y$23:$AB$23,1,B67-2026)/12</f>
        <v>7.14166666666667</v>
      </c>
      <c r="DZ67" s="88" t="n">
        <f aca="false">DX67+DZ66</f>
        <v>44.536605080979</v>
      </c>
      <c r="EA67" s="88" t="n">
        <f aca="false">DY67+EA66</f>
        <v>28.5666666666667</v>
      </c>
      <c r="EB67" s="88" t="n">
        <f aca="false">MAX(EB66,DZ67-EA67)</f>
        <v>35.0579690141817</v>
      </c>
      <c r="EC67" s="88" t="n">
        <f aca="false">EB67-EB66</f>
        <v>0</v>
      </c>
      <c r="ED67" s="88" t="n">
        <f aca="false">IF(B67=2026,INDEX($C$24:$Q$24,1,B67-2025)*$AO$4*C67/MAX(0.0001,12-$AO$3),INDEX($C$24:$Q$24,1,B67-2025)/12)</f>
        <v>1.4582517025842</v>
      </c>
      <c r="EE67" s="88" t="n">
        <f aca="false">$AO$6*INDEX($Y$24:$AB$24,1,B67-2026)/12</f>
        <v>0</v>
      </c>
      <c r="EF67" s="88" t="n">
        <f aca="false">ED67+EF66</f>
        <v>27.4071415882948</v>
      </c>
      <c r="EG67" s="88" t="n">
        <f aca="false">EE67+EG66</f>
        <v>0</v>
      </c>
      <c r="EH67" s="88" t="n">
        <f aca="false">MAX(EH66,EF67-EG67)</f>
        <v>27.4071415882948</v>
      </c>
      <c r="EI67" s="88" t="n">
        <f aca="false">EH67-EH66</f>
        <v>1.4582517025842</v>
      </c>
      <c r="EJ67" s="88" t="n">
        <f aca="false">IF(B67=2026,INDEX($C$25:$Q$25,1,B67-2025)*$AO$4*C67/MAX(0.0001,12-$AO$3),INDEX($C$25:$Q$25,1,B67-2025)/12)</f>
        <v>1.85595671237989</v>
      </c>
      <c r="EK67" s="88" t="n">
        <f aca="false">$AO$6*INDEX($Y$25:$AB$25,1,B67-2026)/12</f>
        <v>0</v>
      </c>
      <c r="EL67" s="88" t="n">
        <f aca="false">EJ67+EL66</f>
        <v>34.8818165669206</v>
      </c>
      <c r="EM67" s="88" t="n">
        <f aca="false">EK67+EM66</f>
        <v>14</v>
      </c>
      <c r="EN67" s="88" t="n">
        <f aca="false">MAX(EN66,EL67-EM67)</f>
        <v>20.8818165669206</v>
      </c>
      <c r="EO67" s="88" t="n">
        <f aca="false">EN67-EN66</f>
        <v>1.85595671237989</v>
      </c>
      <c r="EP67" s="88" t="n">
        <f aca="false">IF(B67=2026,INDEX($C$26:$Q$26,1,B67-2025)*$AO$4*C67/MAX(0.0001,12-$AO$3),INDEX($C$26:$Q$26,1,B67-2025)/12)</f>
        <v>2.66793777404609</v>
      </c>
      <c r="EQ67" s="88" t="n">
        <f aca="false">$AO$6*INDEX($Y$26:$AB$26,1,B67-2026)/12</f>
        <v>0.025</v>
      </c>
      <c r="ER67" s="88" t="n">
        <f aca="false">EP67+ER66</f>
        <v>50.1426113149484</v>
      </c>
      <c r="ES67" s="88" t="n">
        <f aca="false">EQ67+ES66</f>
        <v>3.8</v>
      </c>
      <c r="ET67" s="88" t="n">
        <f aca="false">MAX(ET66,ER67-ES67)</f>
        <v>46.3426113149484</v>
      </c>
      <c r="EU67" s="88" t="n">
        <f aca="false">ET67-ET66</f>
        <v>2.64293777404609</v>
      </c>
      <c r="EV67" s="88" t="n">
        <f aca="false">IF(B67=2026,INDEX($C$27:$Q$27,1,B67-2025)*$AO$4*C67/MAX(0.0001,12-$AO$3),INDEX($C$27:$Q$27,1,B67-2025)/12)</f>
        <v>6.62841682992816</v>
      </c>
      <c r="EW67" s="88" t="n">
        <f aca="false">$AO$6*INDEX($Y$27:$AB$27,1,B67-2026)/12</f>
        <v>11.1166666666667</v>
      </c>
      <c r="EX67" s="88" t="n">
        <f aca="false">EV67+EX66</f>
        <v>124.577916310431</v>
      </c>
      <c r="EY67" s="88" t="n">
        <f aca="false">EW67+EY66</f>
        <v>229.566666666667</v>
      </c>
      <c r="EZ67" s="88" t="n">
        <f aca="false">MAX(EZ66,EX67-EY67)</f>
        <v>0</v>
      </c>
      <c r="FA67" s="88" t="n">
        <f aca="false">EZ67-EZ66</f>
        <v>0</v>
      </c>
      <c r="FB67" s="88" t="n">
        <f aca="false">IF(B67=2026,INDEX($C$28:$Q$28,1,B67-2025)*$AO$4*C67/MAX(0.0001,12-$AO$3),INDEX($C$28:$Q$28,1,B67-2025)/12)</f>
        <v>34.6997621046739</v>
      </c>
      <c r="FC67" s="88" t="n">
        <f aca="false">$AO$6*INDEX($Y$28:$AB$28,1,B67-2026)/12</f>
        <v>3.19166666666667</v>
      </c>
      <c r="FD67" s="88" t="n">
        <f aca="false">FB67+FD66</f>
        <v>652.165391885105</v>
      </c>
      <c r="FE67" s="88" t="n">
        <f aca="false">FC67+FE66</f>
        <v>118.766666666667</v>
      </c>
      <c r="FF67" s="88" t="n">
        <f aca="false">MAX(FF66,FD67-FE67)</f>
        <v>533.398725218438</v>
      </c>
      <c r="FG67" s="88" t="n">
        <f aca="false">FF67-FF66</f>
        <v>31.5080954380073</v>
      </c>
    </row>
    <row r="68" customFormat="false" ht="15" hidden="false" customHeight="false" outlineLevel="0" collapsed="false">
      <c r="A68" s="0" t="n">
        <v>28</v>
      </c>
      <c r="B68" s="88" t="n">
        <f aca="false">2026+INT(A68/12)</f>
        <v>2028</v>
      </c>
      <c r="C68" s="88" t="n">
        <f aca="false">MAX(0,MIN(1,A68+1-$AO$3))</f>
        <v>1</v>
      </c>
      <c r="D68" s="88" t="n">
        <f aca="false">IF((A68+0.5-(0))&lt;$AO$3,0,2026+INT((A68+0.5-(0))/12))</f>
        <v>2028</v>
      </c>
      <c r="E68" s="88" t="n">
        <f aca="false">IF((A68+0.5-($AO$9))&lt;$AO$3,0,2026+INT((A68+0.5-($AO$9))/12))</f>
        <v>2027</v>
      </c>
      <c r="F68" s="88" t="n">
        <f aca="false">IF((A68+0.5-($AO$9+$AO$8))&lt;$AO$3,0,2026+INT((A68+0.5-($AO$9+$AO$8))/12))</f>
        <v>0</v>
      </c>
      <c r="G68" s="88" t="n">
        <f aca="false">IF((A68+0.5-($AO$9+$AO$8+$AO$7))&lt;$AO$3,0,2026+INT((A68+0.5-($AO$9+$AO$8+$AO$7))/12))</f>
        <v>0</v>
      </c>
      <c r="H68" s="88" t="n">
        <f aca="false">IF(B68=2026,INDEX($C$3:$Q$3,1,B68-2025)*$AO$4*C68/MAX(0.0001,12-$AO$3),INDEX($C$3:$Q$3,1,B68-2025)/12)</f>
        <v>355.25</v>
      </c>
      <c r="I68" s="88" t="n">
        <f aca="false">$AO$6*INDEX($Y$3:$AB$3,1,B68-2026)/12</f>
        <v>143.766666666667</v>
      </c>
      <c r="J68" s="88" t="n">
        <f aca="false">H68+J67</f>
        <v>7032.00342465753</v>
      </c>
      <c r="K68" s="88" t="n">
        <f aca="false">I68+K67</f>
        <v>3309.73333333333</v>
      </c>
      <c r="L68" s="88" t="n">
        <f aca="false">MAX(L67,J68-K68)</f>
        <v>3722.2700913242</v>
      </c>
      <c r="M68" s="88" t="n">
        <f aca="false">L68-L67</f>
        <v>211.483333333333</v>
      </c>
      <c r="N68" s="88" t="n">
        <f aca="false">IF(B68=2026,INDEX($C$4:$Q$4,1,B68-2025)*$AO$4*C68/MAX(0.0001,12-$AO$3),INDEX($C$4:$Q$4,1,B68-2025)/12)</f>
        <v>10.7700632578534</v>
      </c>
      <c r="O68" s="88" t="n">
        <f aca="false">$AO$6*INDEX($Y$4:$AB$4,1,B68-2026)/12</f>
        <v>7.75</v>
      </c>
      <c r="P68" s="88" t="n">
        <f aca="false">N68+P67</f>
        <v>213.188238460248</v>
      </c>
      <c r="Q68" s="88" t="n">
        <f aca="false">O68+Q67</f>
        <v>170.45</v>
      </c>
      <c r="R68" s="88" t="n">
        <f aca="false">MAX(R67,P68-Q68)</f>
        <v>42.7382384602479</v>
      </c>
      <c r="S68" s="88" t="n">
        <f aca="false">R68-R67</f>
        <v>3.02006325785337</v>
      </c>
      <c r="T68" s="88" t="n">
        <f aca="false">IF(B68=2026,INDEX($C$5:$Q$5,1,B68-2025)*$AO$4*C68/MAX(0.0001,12-$AO$3),INDEX($C$5:$Q$5,1,B68-2025)/12)</f>
        <v>43.7734247619348</v>
      </c>
      <c r="U68" s="88" t="n">
        <f aca="false">$AO$6*INDEX($Y$5:$AB$5,1,B68-2026)/12</f>
        <v>28.1083333333333</v>
      </c>
      <c r="V68" s="88" t="n">
        <f aca="false">T68+V67</f>
        <v>866.473955904052</v>
      </c>
      <c r="W68" s="88" t="n">
        <f aca="false">U68+W67</f>
        <v>511.241666666667</v>
      </c>
      <c r="X68" s="88" t="n">
        <f aca="false">MAX(X67,V68-W68)</f>
        <v>355.232289237386</v>
      </c>
      <c r="Y68" s="88" t="n">
        <f aca="false">X68-X67</f>
        <v>15.6650914286015</v>
      </c>
      <c r="Z68" s="88" t="n">
        <f aca="false">IF(B68=2026,INDEX($C$6:$Q$6,1,B68-2025)*$AO$4*C68/MAX(0.0001,12-$AO$3),INDEX($C$6:$Q$6,1,B68-2025)/12)</f>
        <v>51.933610116259</v>
      </c>
      <c r="AA68" s="88" t="n">
        <f aca="false">$AO$6*INDEX($Y$6:$AB$6,1,B68-2026)/12</f>
        <v>1.95</v>
      </c>
      <c r="AB68" s="88" t="n">
        <f aca="false">Z68+AB67</f>
        <v>1028.00091257526</v>
      </c>
      <c r="AC68" s="88" t="n">
        <f aca="false">AA68+AC67</f>
        <v>612.45</v>
      </c>
      <c r="AD68" s="88" t="n">
        <f aca="false">MAX(AD67,AB68-AC68)</f>
        <v>415.550912575262</v>
      </c>
      <c r="AE68" s="88" t="n">
        <f aca="false">AD68-AD67</f>
        <v>49.9836101162589</v>
      </c>
      <c r="AF68" s="88" t="n">
        <f aca="false">IF(B68=2026,INDEX($C$7:$Q$7,1,B68-2025)*$AO$4*C68/MAX(0.0001,12-$AO$3),INDEX($C$7:$Q$7,1,B68-2025)/12)</f>
        <v>45.11289896006</v>
      </c>
      <c r="AG68" s="88" t="n">
        <f aca="false">$AO$6*INDEX($Y$7:$AB$7,1,B68-2026)/12</f>
        <v>20.2</v>
      </c>
      <c r="AH68" s="88" t="n">
        <f aca="false">AF68+AH67</f>
        <v>892.988205442283</v>
      </c>
      <c r="AI68" s="88" t="n">
        <f aca="false">AG68+AI67</f>
        <v>200.3</v>
      </c>
      <c r="AJ68" s="88" t="n">
        <f aca="false">MAX(AJ67,AH68-AI68)</f>
        <v>692.688205442283</v>
      </c>
      <c r="AK68" s="88" t="n">
        <f aca="false">AJ68-AJ67</f>
        <v>24.9128989600599</v>
      </c>
      <c r="AL68" s="88" t="n">
        <f aca="false">IF(B68=2026,INDEX($C$8:$Q$8,1,B68-2025)*$AO$4*C68/MAX(0.0001,12-$AO$3),INDEX($C$8:$Q$8,1,B68-2025)/12)</f>
        <v>11.4114321188341</v>
      </c>
      <c r="AM68" s="88" t="n">
        <f aca="false">$AO$6*INDEX($Y$8:$AB$8,1,B68-2026)/12</f>
        <v>1.95833333333333</v>
      </c>
      <c r="AN68" s="88" t="n">
        <f aca="false">AL68+AN67</f>
        <v>225.883827557743</v>
      </c>
      <c r="AO68" s="88" t="n">
        <f aca="false">AM68+AO67</f>
        <v>35.7916666666667</v>
      </c>
      <c r="AP68" s="88" t="n">
        <f aca="false">MAX(AP67,AN68-AO68)</f>
        <v>190.092160891077</v>
      </c>
      <c r="AQ68" s="88" t="n">
        <f aca="false">AP68-AP67</f>
        <v>9.45309878550074</v>
      </c>
      <c r="AR68" s="88" t="n">
        <f aca="false">IF(B68=2026,INDEX($C$9:$Q$9,1,B68-2025)*$AO$4*C68/MAX(0.0001,12-$AO$3),INDEX($C$9:$Q$9,1,B68-2025)/12)</f>
        <v>48.6576953186344</v>
      </c>
      <c r="AS68" s="88" t="n">
        <f aca="false">$AO$6*INDEX($Y$9:$AB$9,1,B68-2026)/12</f>
        <v>28.6333333333333</v>
      </c>
      <c r="AT68" s="88" t="n">
        <f aca="false">AR68+AT67</f>
        <v>963.155749800364</v>
      </c>
      <c r="AU68" s="88" t="n">
        <f aca="false">AS68+AU67</f>
        <v>691.266666666667</v>
      </c>
      <c r="AV68" s="88" t="n">
        <f aca="false">MAX(AV67,AT68-AU68)</f>
        <v>271.889083133698</v>
      </c>
      <c r="AW68" s="88" t="n">
        <f aca="false">AV68-AV67</f>
        <v>20.024361985301</v>
      </c>
      <c r="AX68" s="88" t="n">
        <f aca="false">IF(B68=2026,INDEX($C$10:$Q$10,1,B68-2025)*$AO$4*C68/MAX(0.0001,12-$AO$3),INDEX($C$10:$Q$10,1,B68-2025)/12)</f>
        <v>5.64404597663043</v>
      </c>
      <c r="AY68" s="88" t="n">
        <f aca="false">$AO$6*INDEX($Y$10:$AB$10,1,B68-2026)/12</f>
        <v>2.50833333333333</v>
      </c>
      <c r="AZ68" s="88" t="n">
        <f aca="false">AX68+AZ67</f>
        <v>111.721184057959</v>
      </c>
      <c r="BA68" s="88" t="n">
        <f aca="false">AY68+BA67</f>
        <v>12.5416666666667</v>
      </c>
      <c r="BB68" s="88" t="n">
        <f aca="false">MAX(BB67,AZ68-BA68)</f>
        <v>99.1795173912919</v>
      </c>
      <c r="BC68" s="88" t="n">
        <f aca="false">BB68-BB67</f>
        <v>3.1357126432971</v>
      </c>
      <c r="BD68" s="88" t="n">
        <f aca="false">IF(B68=2026,INDEX($C$11:$Q$11,1,B68-2025)*$AO$4*C68/MAX(0.0001,12-$AO$3),INDEX($C$11:$Q$11,1,B68-2025)/12)</f>
        <v>28.0475536513497</v>
      </c>
      <c r="BE68" s="88" t="n">
        <f aca="false">$AO$6*INDEX($Y$11:$AB$11,1,B68-2026)/12</f>
        <v>8.70833333333333</v>
      </c>
      <c r="BF68" s="88" t="n">
        <f aca="false">BD68+BF67</f>
        <v>555.187877071237</v>
      </c>
      <c r="BG68" s="88" t="n">
        <f aca="false">BE68+BG67</f>
        <v>152.941666666667</v>
      </c>
      <c r="BH68" s="88" t="n">
        <f aca="false">MAX(BH67,BF68-BG68)</f>
        <v>402.24621040457</v>
      </c>
      <c r="BI68" s="88" t="n">
        <f aca="false">BH68-BH67</f>
        <v>19.3392203180164</v>
      </c>
      <c r="BJ68" s="88" t="n">
        <f aca="false">IF(B68=2026,INDEX($C$12:$Q$12,1,B68-2025)*$AO$4*C68/MAX(0.0001,12-$AO$3),INDEX($C$12:$Q$12,1,B68-2025)/12)</f>
        <v>15.3780518436687</v>
      </c>
      <c r="BK68" s="88" t="n">
        <f aca="false">$AO$6*INDEX($Y$12:$AB$12,1,B68-2026)/12</f>
        <v>1.275</v>
      </c>
      <c r="BL68" s="88" t="n">
        <f aca="false">BJ68+BL67</f>
        <v>304.401163206868</v>
      </c>
      <c r="BM68" s="88" t="n">
        <f aca="false">BK68+BM67</f>
        <v>50.875</v>
      </c>
      <c r="BN68" s="88" t="n">
        <f aca="false">MAX(BN67,BL68-BM68)</f>
        <v>253.526163206868</v>
      </c>
      <c r="BO68" s="88" t="n">
        <f aca="false">BN68-BN67</f>
        <v>14.1030518436687</v>
      </c>
      <c r="BP68" s="88" t="n">
        <f aca="false">IF(B68=2026,INDEX($C$13:$Q$13,1,B68-2025)*$AO$4*C68/MAX(0.0001,12-$AO$3),INDEX($C$13:$Q$13,1,B68-2025)/12)</f>
        <v>4.80560220169792</v>
      </c>
      <c r="BQ68" s="88" t="n">
        <f aca="false">$AO$6*INDEX($Y$13:$AB$13,1,B68-2026)/12</f>
        <v>4.78333333333333</v>
      </c>
      <c r="BR68" s="88" t="n">
        <f aca="false">BP68+BR67</f>
        <v>95.1245915267602</v>
      </c>
      <c r="BS68" s="88" t="n">
        <f aca="false">BQ68+BS67</f>
        <v>23.9166666666667</v>
      </c>
      <c r="BT68" s="88" t="n">
        <f aca="false">MAX(BT67,BR68-BS68)</f>
        <v>71.2079248600936</v>
      </c>
      <c r="BU68" s="88" t="n">
        <f aca="false">BT68-BT67</f>
        <v>0.0222688683645913</v>
      </c>
      <c r="BV68" s="88" t="n">
        <f aca="false">IF(B68=2026,INDEX($C$14:$Q$14,1,B68-2025)*$AO$4*C68/MAX(0.0001,12-$AO$3),INDEX($C$14:$Q$14,1,B68-2025)/12)</f>
        <v>2.85021923686911</v>
      </c>
      <c r="BW68" s="88" t="n">
        <f aca="false">$AO$6*INDEX($Y$14:$AB$14,1,B68-2026)/12</f>
        <v>0</v>
      </c>
      <c r="BX68" s="88" t="n">
        <f aca="false">BV68+BX67</f>
        <v>56.4187232503543</v>
      </c>
      <c r="BY68" s="88" t="n">
        <f aca="false">BW68+BY67</f>
        <v>0</v>
      </c>
      <c r="BZ68" s="88" t="n">
        <f aca="false">MAX(BZ67,BX68-BY68)</f>
        <v>56.4187232503543</v>
      </c>
      <c r="CA68" s="88" t="n">
        <f aca="false">BZ68-BZ67</f>
        <v>2.85021923686911</v>
      </c>
      <c r="CB68" s="88" t="n">
        <f aca="false">IF(B68=2026,INDEX($C$15:$Q$15,1,B68-2025)*$AO$4*C68/MAX(0.0001,12-$AO$3),INDEX($C$15:$Q$15,1,B68-2025)/12)</f>
        <v>4.67303386509936</v>
      </c>
      <c r="CC68" s="88" t="n">
        <f aca="false">$AO$6*INDEX($Y$15:$AB$15,1,B68-2026)/12</f>
        <v>0.683333333333333</v>
      </c>
      <c r="CD68" s="88" t="n">
        <f aca="false">CB68+CD67</f>
        <v>92.500464863953</v>
      </c>
      <c r="CE68" s="88" t="n">
        <f aca="false">CC68+CE67</f>
        <v>77.4166666666667</v>
      </c>
      <c r="CF68" s="88" t="n">
        <f aca="false">MAX(CF67,CD68-CE68)</f>
        <v>15.0837981972863</v>
      </c>
      <c r="CG68" s="88" t="n">
        <f aca="false">CF68-CF67</f>
        <v>3.98970053176602</v>
      </c>
      <c r="CH68" s="88" t="n">
        <f aca="false">IF(B68=2026,INDEX($C$16:$Q$16,1,B68-2025)*$AO$4*C68/MAX(0.0001,12-$AO$3),INDEX($C$16:$Q$16,1,B68-2025)/12)</f>
        <v>3.69534238268495</v>
      </c>
      <c r="CI68" s="88" t="n">
        <f aca="false">$AO$6*INDEX($Y$16:$AB$16,1,B68-2026)/12</f>
        <v>0.833333333333333</v>
      </c>
      <c r="CJ68" s="88" t="n">
        <f aca="false">CH68+CJ67</f>
        <v>73.1475307257501</v>
      </c>
      <c r="CK68" s="88" t="n">
        <f aca="false">CI68+CK67</f>
        <v>64.1666666666667</v>
      </c>
      <c r="CL68" s="88" t="n">
        <f aca="false">MAX(CL67,CJ68-CK68)</f>
        <v>9.12671022010589</v>
      </c>
      <c r="CM68" s="88" t="n">
        <f aca="false">CL68-CL67</f>
        <v>0</v>
      </c>
      <c r="CN68" s="88" t="n">
        <f aca="false">IF(B68=2026,INDEX($C$17:$Q$17,1,B68-2025)*$AO$4*C68/MAX(0.0001,12-$AO$3),INDEX($C$17:$Q$17,1,B68-2025)/12)</f>
        <v>16.0904818546506</v>
      </c>
      <c r="CO68" s="88" t="n">
        <f aca="false">$AO$6*INDEX($Y$17:$AB$17,1,B68-2026)/12</f>
        <v>3.35</v>
      </c>
      <c r="CP68" s="88" t="n">
        <f aca="false">CN68+CP67</f>
        <v>318.503373698221</v>
      </c>
      <c r="CQ68" s="88" t="n">
        <f aca="false">CO68+CQ67</f>
        <v>182.75</v>
      </c>
      <c r="CR68" s="88" t="n">
        <f aca="false">MAX(CR67,CP68-CQ68)</f>
        <v>135.753373698221</v>
      </c>
      <c r="CS68" s="88" t="n">
        <f aca="false">CR68-CR67</f>
        <v>12.7404818546507</v>
      </c>
      <c r="CT68" s="88" t="n">
        <f aca="false">IF(B68=2026,INDEX($C$18:$Q$18,1,B68-2025)*$AO$4*C68/MAX(0.0001,12-$AO$3),INDEX($C$18:$Q$18,1,B68-2025)/12)</f>
        <v>3.34735049911372</v>
      </c>
      <c r="CU68" s="88" t="n">
        <f aca="false">$AO$6*INDEX($Y$18:$AB$18,1,B68-2026)/12</f>
        <v>0</v>
      </c>
      <c r="CV68" s="88" t="n">
        <f aca="false">CT68+CV67</f>
        <v>66.2591982358812</v>
      </c>
      <c r="CW68" s="88" t="n">
        <f aca="false">CU68+CW67</f>
        <v>11</v>
      </c>
      <c r="CX68" s="88" t="n">
        <f aca="false">MAX(CX67,CV68-CW68)</f>
        <v>55.2591982358812</v>
      </c>
      <c r="CY68" s="88" t="n">
        <f aca="false">CX68-CX67</f>
        <v>3.34735049911372</v>
      </c>
      <c r="CZ68" s="88" t="n">
        <f aca="false">IF(B68=2026,INDEX($C$19:$Q$19,1,B68-2025)*$AO$4*C68/MAX(0.0001,12-$AO$3),INDEX($C$19:$Q$19,1,B68-2025)/12)</f>
        <v>3.31420841496408</v>
      </c>
      <c r="DA68" s="88" t="n">
        <f aca="false">$AO$6*INDEX($Y$19:$AB$19,1,B68-2026)/12</f>
        <v>7.675</v>
      </c>
      <c r="DB68" s="88" t="n">
        <f aca="false">CZ68+DB67</f>
        <v>65.6031665701795</v>
      </c>
      <c r="DC68" s="88" t="n">
        <f aca="false">DA68+DC67</f>
        <v>50.275</v>
      </c>
      <c r="DD68" s="88" t="n">
        <f aca="false">MAX(DD67,DB68-DC68)</f>
        <v>37.132124495359</v>
      </c>
      <c r="DE68" s="88" t="n">
        <f aca="false">DD68-DD67</f>
        <v>0</v>
      </c>
      <c r="DF68" s="88" t="n">
        <f aca="false">IF(B68=2026,INDEX($C$20:$Q$20,1,B68-2025)*$AO$4*C68/MAX(0.0001,12-$AO$3),INDEX($C$20:$Q$20,1,B68-2025)/12)</f>
        <v>2.70107985819573</v>
      </c>
      <c r="DG68" s="88" t="n">
        <f aca="false">$AO$6*INDEX($Y$20:$AB$20,1,B68-2026)/12</f>
        <v>0</v>
      </c>
      <c r="DH68" s="88" t="n">
        <f aca="false">DF68+DH67</f>
        <v>53.4665807546962</v>
      </c>
      <c r="DI68" s="88" t="n">
        <f aca="false">DG68+DI67</f>
        <v>0</v>
      </c>
      <c r="DJ68" s="88" t="n">
        <f aca="false">MAX(DJ67,DH68-DI68)</f>
        <v>53.4665807546962</v>
      </c>
      <c r="DK68" s="88" t="n">
        <f aca="false">DJ68-DJ67</f>
        <v>2.70107985819573</v>
      </c>
      <c r="DL68" s="88" t="n">
        <f aca="false">IF(B68=2026,INDEX($C$21:$Q$21,1,B68-2025)*$AO$4*C68/MAX(0.0001,12-$AO$3),INDEX($C$21:$Q$21,1,B68-2025)/12)</f>
        <v>1.88909879652953</v>
      </c>
      <c r="DM68" s="88" t="n">
        <f aca="false">$AO$6*INDEX($Y$21:$AB$21,1,B68-2026)/12</f>
        <v>3.05833333333333</v>
      </c>
      <c r="DN68" s="88" t="n">
        <f aca="false">DL68+DN67</f>
        <v>37.3938049450023</v>
      </c>
      <c r="DO68" s="88" t="n">
        <f aca="false">DM68+DO67</f>
        <v>25.4916666666667</v>
      </c>
      <c r="DP68" s="88" t="n">
        <f aca="false">MAX(DP67,DN68-DO68)</f>
        <v>17.7483109623547</v>
      </c>
      <c r="DQ68" s="88" t="n">
        <f aca="false">DP68-DP67</f>
        <v>0</v>
      </c>
      <c r="DR68" s="88" t="n">
        <f aca="false">IF(B68=2026,INDEX($C$22:$Q$22,1,B68-2025)*$AO$4*C68/MAX(0.0001,12-$AO$3),INDEX($C$22:$Q$22,1,B68-2025)/12)</f>
        <v>1.47482274465902</v>
      </c>
      <c r="DS68" s="88" t="n">
        <f aca="false">$AO$6*INDEX($Y$22:$AB$22,1,B68-2026)/12</f>
        <v>0.816666666666667</v>
      </c>
      <c r="DT68" s="88" t="n">
        <f aca="false">DR68+DT67</f>
        <v>29.1934091237298</v>
      </c>
      <c r="DU68" s="88" t="n">
        <f aca="false">DS68+DU67</f>
        <v>20.6833333333333</v>
      </c>
      <c r="DV68" s="88" t="n">
        <f aca="false">MAX(DV67,DT68-DU68)</f>
        <v>8.5100757903965</v>
      </c>
      <c r="DW68" s="88" t="n">
        <f aca="false">DV68-DV67</f>
        <v>0.658156077992349</v>
      </c>
      <c r="DX68" s="88" t="n">
        <f aca="false">IF(B68=2026,INDEX($C$23:$Q$23,1,B68-2025)*$AO$4*C68/MAX(0.0001,12-$AO$3),INDEX($C$23:$Q$23,1,B68-2025)/12)</f>
        <v>2.36965901669932</v>
      </c>
      <c r="DY68" s="88" t="n">
        <f aca="false">$AO$6*INDEX($Y$23:$AB$23,1,B68-2026)/12</f>
        <v>7.14166666666667</v>
      </c>
      <c r="DZ68" s="88" t="n">
        <f aca="false">DX68+DZ67</f>
        <v>46.9062640976783</v>
      </c>
      <c r="EA68" s="88" t="n">
        <f aca="false">DY68+EA67</f>
        <v>35.7083333333333</v>
      </c>
      <c r="EB68" s="88" t="n">
        <f aca="false">MAX(EB67,DZ68-EA68)</f>
        <v>35.0579690141817</v>
      </c>
      <c r="EC68" s="88" t="n">
        <f aca="false">EB68-EB67</f>
        <v>0</v>
      </c>
      <c r="ED68" s="88" t="n">
        <f aca="false">IF(B68=2026,INDEX($C$24:$Q$24,1,B68-2025)*$AO$4*C68/MAX(0.0001,12-$AO$3),INDEX($C$24:$Q$24,1,B68-2025)/12)</f>
        <v>1.4582517025842</v>
      </c>
      <c r="EE68" s="88" t="n">
        <f aca="false">$AO$6*INDEX($Y$24:$AB$24,1,B68-2026)/12</f>
        <v>0</v>
      </c>
      <c r="EF68" s="88" t="n">
        <f aca="false">ED68+EF67</f>
        <v>28.865393290879</v>
      </c>
      <c r="EG68" s="88" t="n">
        <f aca="false">EE68+EG67</f>
        <v>0</v>
      </c>
      <c r="EH68" s="88" t="n">
        <f aca="false">MAX(EH67,EF68-EG68)</f>
        <v>28.865393290879</v>
      </c>
      <c r="EI68" s="88" t="n">
        <f aca="false">EH68-EH67</f>
        <v>1.4582517025842</v>
      </c>
      <c r="EJ68" s="88" t="n">
        <f aca="false">IF(B68=2026,INDEX($C$25:$Q$25,1,B68-2025)*$AO$4*C68/MAX(0.0001,12-$AO$3),INDEX($C$25:$Q$25,1,B68-2025)/12)</f>
        <v>1.85595671237989</v>
      </c>
      <c r="EK68" s="88" t="n">
        <f aca="false">$AO$6*INDEX($Y$25:$AB$25,1,B68-2026)/12</f>
        <v>0</v>
      </c>
      <c r="EL68" s="88" t="n">
        <f aca="false">EJ68+EL67</f>
        <v>36.7377732793005</v>
      </c>
      <c r="EM68" s="88" t="n">
        <f aca="false">EK68+EM67</f>
        <v>14</v>
      </c>
      <c r="EN68" s="88" t="n">
        <f aca="false">MAX(EN67,EL68-EM68)</f>
        <v>22.7377732793005</v>
      </c>
      <c r="EO68" s="88" t="n">
        <f aca="false">EN68-EN67</f>
        <v>1.85595671237989</v>
      </c>
      <c r="EP68" s="88" t="n">
        <f aca="false">IF(B68=2026,INDEX($C$26:$Q$26,1,B68-2025)*$AO$4*C68/MAX(0.0001,12-$AO$3),INDEX($C$26:$Q$26,1,B68-2025)/12)</f>
        <v>2.66793777404609</v>
      </c>
      <c r="EQ68" s="88" t="n">
        <f aca="false">$AO$6*INDEX($Y$26:$AB$26,1,B68-2026)/12</f>
        <v>0.025</v>
      </c>
      <c r="ER68" s="88" t="n">
        <f aca="false">EP68+ER67</f>
        <v>52.8105490889945</v>
      </c>
      <c r="ES68" s="88" t="n">
        <f aca="false">EQ68+ES67</f>
        <v>3.825</v>
      </c>
      <c r="ET68" s="88" t="n">
        <f aca="false">MAX(ET67,ER68-ES68)</f>
        <v>48.9855490889945</v>
      </c>
      <c r="EU68" s="88" t="n">
        <f aca="false">ET68-ET67</f>
        <v>2.64293777404608</v>
      </c>
      <c r="EV68" s="88" t="n">
        <f aca="false">IF(B68=2026,INDEX($C$27:$Q$27,1,B68-2025)*$AO$4*C68/MAX(0.0001,12-$AO$3),INDEX($C$27:$Q$27,1,B68-2025)/12)</f>
        <v>6.62841682992816</v>
      </c>
      <c r="EW68" s="88" t="n">
        <f aca="false">$AO$6*INDEX($Y$27:$AB$27,1,B68-2026)/12</f>
        <v>11.1166666666667</v>
      </c>
      <c r="EX68" s="88" t="n">
        <f aca="false">EV68+EX67</f>
        <v>131.206333140359</v>
      </c>
      <c r="EY68" s="88" t="n">
        <f aca="false">EW68+EY67</f>
        <v>240.683333333333</v>
      </c>
      <c r="EZ68" s="88" t="n">
        <f aca="false">MAX(EZ67,EX68-EY68)</f>
        <v>0</v>
      </c>
      <c r="FA68" s="88" t="n">
        <f aca="false">EZ68-EZ67</f>
        <v>0</v>
      </c>
      <c r="FB68" s="88" t="n">
        <f aca="false">IF(B68=2026,INDEX($C$28:$Q$28,1,B68-2025)*$AO$4*C68/MAX(0.0001,12-$AO$3),INDEX($C$28:$Q$28,1,B68-2025)/12)</f>
        <v>34.6997621046739</v>
      </c>
      <c r="FC68" s="88" t="n">
        <f aca="false">$AO$6*INDEX($Y$28:$AB$28,1,B68-2026)/12</f>
        <v>3.19166666666667</v>
      </c>
      <c r="FD68" s="88" t="n">
        <f aca="false">FB68+FD67</f>
        <v>686.865153989779</v>
      </c>
      <c r="FE68" s="88" t="n">
        <f aca="false">FC68+FE67</f>
        <v>121.958333333333</v>
      </c>
      <c r="FF68" s="88" t="n">
        <f aca="false">MAX(FF67,FD68-FE68)</f>
        <v>564.906820656445</v>
      </c>
      <c r="FG68" s="88" t="n">
        <f aca="false">FF68-FF67</f>
        <v>31.5080954380072</v>
      </c>
    </row>
    <row r="69" customFormat="false" ht="15" hidden="false" customHeight="false" outlineLevel="0" collapsed="false">
      <c r="A69" s="0" t="n">
        <v>29</v>
      </c>
      <c r="B69" s="88" t="n">
        <f aca="false">2026+INT(A69/12)</f>
        <v>2028</v>
      </c>
      <c r="C69" s="88" t="n">
        <f aca="false">MAX(0,MIN(1,A69+1-$AO$3))</f>
        <v>1</v>
      </c>
      <c r="D69" s="88" t="n">
        <f aca="false">IF((A69+0.5-(0))&lt;$AO$3,0,2026+INT((A69+0.5-(0))/12))</f>
        <v>2028</v>
      </c>
      <c r="E69" s="88" t="n">
        <f aca="false">IF((A69+0.5-($AO$9))&lt;$AO$3,0,2026+INT((A69+0.5-($AO$9))/12))</f>
        <v>2027</v>
      </c>
      <c r="F69" s="88" t="n">
        <f aca="false">IF((A69+0.5-($AO$9+$AO$8))&lt;$AO$3,0,2026+INT((A69+0.5-($AO$9+$AO$8))/12))</f>
        <v>0</v>
      </c>
      <c r="G69" s="88" t="n">
        <f aca="false">IF((A69+0.5-($AO$9+$AO$8+$AO$7))&lt;$AO$3,0,2026+INT((A69+0.5-($AO$9+$AO$8+$AO$7))/12))</f>
        <v>0</v>
      </c>
      <c r="H69" s="88" t="n">
        <f aca="false">IF(B69=2026,INDEX($C$3:$Q$3,1,B69-2025)*$AO$4*C69/MAX(0.0001,12-$AO$3),INDEX($C$3:$Q$3,1,B69-2025)/12)</f>
        <v>355.25</v>
      </c>
      <c r="I69" s="88" t="n">
        <f aca="false">$AO$6*INDEX($Y$3:$AB$3,1,B69-2026)/12</f>
        <v>143.766666666667</v>
      </c>
      <c r="J69" s="88" t="n">
        <f aca="false">H69+J68</f>
        <v>7387.25342465753</v>
      </c>
      <c r="K69" s="88" t="n">
        <f aca="false">I69+K68</f>
        <v>3453.5</v>
      </c>
      <c r="L69" s="88" t="n">
        <f aca="false">MAX(L68,J69-K69)</f>
        <v>3933.75342465753</v>
      </c>
      <c r="M69" s="88" t="n">
        <f aca="false">L69-L68</f>
        <v>211.483333333333</v>
      </c>
      <c r="N69" s="88" t="n">
        <f aca="false">IF(B69=2026,INDEX($C$4:$Q$4,1,B69-2025)*$AO$4*C69/MAX(0.0001,12-$AO$3),INDEX($C$4:$Q$4,1,B69-2025)/12)</f>
        <v>10.7700632578534</v>
      </c>
      <c r="O69" s="88" t="n">
        <f aca="false">$AO$6*INDEX($Y$4:$AB$4,1,B69-2026)/12</f>
        <v>7.75</v>
      </c>
      <c r="P69" s="88" t="n">
        <f aca="false">N69+P68</f>
        <v>223.958301718101</v>
      </c>
      <c r="Q69" s="88" t="n">
        <f aca="false">O69+Q68</f>
        <v>178.2</v>
      </c>
      <c r="R69" s="88" t="n">
        <f aca="false">MAX(R68,P69-Q69)</f>
        <v>45.7583017181013</v>
      </c>
      <c r="S69" s="88" t="n">
        <f aca="false">R69-R68</f>
        <v>3.02006325785337</v>
      </c>
      <c r="T69" s="88" t="n">
        <f aca="false">IF(B69=2026,INDEX($C$5:$Q$5,1,B69-2025)*$AO$4*C69/MAX(0.0001,12-$AO$3),INDEX($C$5:$Q$5,1,B69-2025)/12)</f>
        <v>43.7734247619348</v>
      </c>
      <c r="U69" s="88" t="n">
        <f aca="false">$AO$6*INDEX($Y$5:$AB$5,1,B69-2026)/12</f>
        <v>28.1083333333333</v>
      </c>
      <c r="V69" s="88" t="n">
        <f aca="false">T69+V68</f>
        <v>910.247380665987</v>
      </c>
      <c r="W69" s="88" t="n">
        <f aca="false">U69+W68</f>
        <v>539.35</v>
      </c>
      <c r="X69" s="88" t="n">
        <f aca="false">MAX(X68,V69-W69)</f>
        <v>370.897380665987</v>
      </c>
      <c r="Y69" s="88" t="n">
        <f aca="false">X69-X68</f>
        <v>15.6650914286016</v>
      </c>
      <c r="Z69" s="88" t="n">
        <f aca="false">IF(B69=2026,INDEX($C$6:$Q$6,1,B69-2025)*$AO$4*C69/MAX(0.0001,12-$AO$3),INDEX($C$6:$Q$6,1,B69-2025)/12)</f>
        <v>51.933610116259</v>
      </c>
      <c r="AA69" s="88" t="n">
        <f aca="false">$AO$6*INDEX($Y$6:$AB$6,1,B69-2026)/12</f>
        <v>1.95</v>
      </c>
      <c r="AB69" s="88" t="n">
        <f aca="false">Z69+AB68</f>
        <v>1079.93452269152</v>
      </c>
      <c r="AC69" s="88" t="n">
        <f aca="false">AA69+AC68</f>
        <v>614.4</v>
      </c>
      <c r="AD69" s="88" t="n">
        <f aca="false">MAX(AD68,AB69-AC69)</f>
        <v>465.534522691521</v>
      </c>
      <c r="AE69" s="88" t="n">
        <f aca="false">AD69-AD68</f>
        <v>49.9836101162589</v>
      </c>
      <c r="AF69" s="88" t="n">
        <f aca="false">IF(B69=2026,INDEX($C$7:$Q$7,1,B69-2025)*$AO$4*C69/MAX(0.0001,12-$AO$3),INDEX($C$7:$Q$7,1,B69-2025)/12)</f>
        <v>45.11289896006</v>
      </c>
      <c r="AG69" s="88" t="n">
        <f aca="false">$AO$6*INDEX($Y$7:$AB$7,1,B69-2026)/12</f>
        <v>20.2</v>
      </c>
      <c r="AH69" s="88" t="n">
        <f aca="false">AF69+AH68</f>
        <v>938.101104402343</v>
      </c>
      <c r="AI69" s="88" t="n">
        <f aca="false">AG69+AI68</f>
        <v>220.5</v>
      </c>
      <c r="AJ69" s="88" t="n">
        <f aca="false">MAX(AJ68,AH69-AI69)</f>
        <v>717.601104402343</v>
      </c>
      <c r="AK69" s="88" t="n">
        <f aca="false">AJ69-AJ68</f>
        <v>24.9128989600599</v>
      </c>
      <c r="AL69" s="88" t="n">
        <f aca="false">IF(B69=2026,INDEX($C$8:$Q$8,1,B69-2025)*$AO$4*C69/MAX(0.0001,12-$AO$3),INDEX($C$8:$Q$8,1,B69-2025)/12)</f>
        <v>11.4114321188341</v>
      </c>
      <c r="AM69" s="88" t="n">
        <f aca="false">$AO$6*INDEX($Y$8:$AB$8,1,B69-2026)/12</f>
        <v>1.95833333333333</v>
      </c>
      <c r="AN69" s="88" t="n">
        <f aca="false">AL69+AN68</f>
        <v>237.295259676577</v>
      </c>
      <c r="AO69" s="88" t="n">
        <f aca="false">AM69+AO68</f>
        <v>37.75</v>
      </c>
      <c r="AP69" s="88" t="n">
        <f aca="false">MAX(AP68,AN69-AO69)</f>
        <v>199.545259676577</v>
      </c>
      <c r="AQ69" s="88" t="n">
        <f aca="false">AP69-AP68</f>
        <v>9.45309878550074</v>
      </c>
      <c r="AR69" s="88" t="n">
        <f aca="false">IF(B69=2026,INDEX($C$9:$Q$9,1,B69-2025)*$AO$4*C69/MAX(0.0001,12-$AO$3),INDEX($C$9:$Q$9,1,B69-2025)/12)</f>
        <v>48.6576953186344</v>
      </c>
      <c r="AS69" s="88" t="n">
        <f aca="false">$AO$6*INDEX($Y$9:$AB$9,1,B69-2026)/12</f>
        <v>28.6333333333333</v>
      </c>
      <c r="AT69" s="88" t="n">
        <f aca="false">AR69+AT68</f>
        <v>1011.813445119</v>
      </c>
      <c r="AU69" s="88" t="n">
        <f aca="false">AS69+AU68</f>
        <v>719.9</v>
      </c>
      <c r="AV69" s="88" t="n">
        <f aca="false">MAX(AV68,AT69-AU69)</f>
        <v>291.913445118999</v>
      </c>
      <c r="AW69" s="88" t="n">
        <f aca="false">AV69-AV68</f>
        <v>20.024361985301</v>
      </c>
      <c r="AX69" s="88" t="n">
        <f aca="false">IF(B69=2026,INDEX($C$10:$Q$10,1,B69-2025)*$AO$4*C69/MAX(0.0001,12-$AO$3),INDEX($C$10:$Q$10,1,B69-2025)/12)</f>
        <v>5.64404597663043</v>
      </c>
      <c r="AY69" s="88" t="n">
        <f aca="false">$AO$6*INDEX($Y$10:$AB$10,1,B69-2026)/12</f>
        <v>2.50833333333333</v>
      </c>
      <c r="AZ69" s="88" t="n">
        <f aca="false">AX69+AZ68</f>
        <v>117.365230034589</v>
      </c>
      <c r="BA69" s="88" t="n">
        <f aca="false">AY69+BA68</f>
        <v>15.05</v>
      </c>
      <c r="BB69" s="88" t="n">
        <f aca="false">MAX(BB68,AZ69-BA69)</f>
        <v>102.315230034589</v>
      </c>
      <c r="BC69" s="88" t="n">
        <f aca="false">BB69-BB68</f>
        <v>3.13571264329711</v>
      </c>
      <c r="BD69" s="88" t="n">
        <f aca="false">IF(B69=2026,INDEX($C$11:$Q$11,1,B69-2025)*$AO$4*C69/MAX(0.0001,12-$AO$3),INDEX($C$11:$Q$11,1,B69-2025)/12)</f>
        <v>28.0475536513497</v>
      </c>
      <c r="BE69" s="88" t="n">
        <f aca="false">$AO$6*INDEX($Y$11:$AB$11,1,B69-2026)/12</f>
        <v>8.70833333333333</v>
      </c>
      <c r="BF69" s="88" t="n">
        <f aca="false">BD69+BF68</f>
        <v>583.235430722587</v>
      </c>
      <c r="BG69" s="88" t="n">
        <f aca="false">BE69+BG68</f>
        <v>161.65</v>
      </c>
      <c r="BH69" s="88" t="n">
        <f aca="false">MAX(BH68,BF69-BG69)</f>
        <v>421.585430722587</v>
      </c>
      <c r="BI69" s="88" t="n">
        <f aca="false">BH69-BH68</f>
        <v>19.3392203180164</v>
      </c>
      <c r="BJ69" s="88" t="n">
        <f aca="false">IF(B69=2026,INDEX($C$12:$Q$12,1,B69-2025)*$AO$4*C69/MAX(0.0001,12-$AO$3),INDEX($C$12:$Q$12,1,B69-2025)/12)</f>
        <v>15.3780518436687</v>
      </c>
      <c r="BK69" s="88" t="n">
        <f aca="false">$AO$6*INDEX($Y$12:$AB$12,1,B69-2026)/12</f>
        <v>1.275</v>
      </c>
      <c r="BL69" s="88" t="n">
        <f aca="false">BJ69+BL68</f>
        <v>319.779215050536</v>
      </c>
      <c r="BM69" s="88" t="n">
        <f aca="false">BK69+BM68</f>
        <v>52.15</v>
      </c>
      <c r="BN69" s="88" t="n">
        <f aca="false">MAX(BN68,BL69-BM69)</f>
        <v>267.629215050536</v>
      </c>
      <c r="BO69" s="88" t="n">
        <f aca="false">BN69-BN68</f>
        <v>14.1030518436688</v>
      </c>
      <c r="BP69" s="88" t="n">
        <f aca="false">IF(B69=2026,INDEX($C$13:$Q$13,1,B69-2025)*$AO$4*C69/MAX(0.0001,12-$AO$3),INDEX($C$13:$Q$13,1,B69-2025)/12)</f>
        <v>4.80560220169792</v>
      </c>
      <c r="BQ69" s="88" t="n">
        <f aca="false">$AO$6*INDEX($Y$13:$AB$13,1,B69-2026)/12</f>
        <v>4.78333333333333</v>
      </c>
      <c r="BR69" s="88" t="n">
        <f aca="false">BP69+BR68</f>
        <v>99.9301937284582</v>
      </c>
      <c r="BS69" s="88" t="n">
        <f aca="false">BQ69+BS68</f>
        <v>28.7</v>
      </c>
      <c r="BT69" s="88" t="n">
        <f aca="false">MAX(BT68,BR69-BS69)</f>
        <v>71.2301937284582</v>
      </c>
      <c r="BU69" s="88" t="n">
        <f aca="false">BT69-BT68</f>
        <v>0.0222688683645913</v>
      </c>
      <c r="BV69" s="88" t="n">
        <f aca="false">IF(B69=2026,INDEX($C$14:$Q$14,1,B69-2025)*$AO$4*C69/MAX(0.0001,12-$AO$3),INDEX($C$14:$Q$14,1,B69-2025)/12)</f>
        <v>2.85021923686911</v>
      </c>
      <c r="BW69" s="88" t="n">
        <f aca="false">$AO$6*INDEX($Y$14:$AB$14,1,B69-2026)/12</f>
        <v>0</v>
      </c>
      <c r="BX69" s="88" t="n">
        <f aca="false">BV69+BX68</f>
        <v>59.2689424872234</v>
      </c>
      <c r="BY69" s="88" t="n">
        <f aca="false">BW69+BY68</f>
        <v>0</v>
      </c>
      <c r="BZ69" s="88" t="n">
        <f aca="false">MAX(BZ68,BX69-BY69)</f>
        <v>59.2689424872234</v>
      </c>
      <c r="CA69" s="88" t="n">
        <f aca="false">BZ69-BZ68</f>
        <v>2.85021923686911</v>
      </c>
      <c r="CB69" s="88" t="n">
        <f aca="false">IF(B69=2026,INDEX($C$15:$Q$15,1,B69-2025)*$AO$4*C69/MAX(0.0001,12-$AO$3),INDEX($C$15:$Q$15,1,B69-2025)/12)</f>
        <v>4.67303386509936</v>
      </c>
      <c r="CC69" s="88" t="n">
        <f aca="false">$AO$6*INDEX($Y$15:$AB$15,1,B69-2026)/12</f>
        <v>0.683333333333333</v>
      </c>
      <c r="CD69" s="88" t="n">
        <f aca="false">CB69+CD68</f>
        <v>97.1734987290524</v>
      </c>
      <c r="CE69" s="88" t="n">
        <f aca="false">CC69+CE68</f>
        <v>78.1</v>
      </c>
      <c r="CF69" s="88" t="n">
        <f aca="false">MAX(CF68,CD69-CE69)</f>
        <v>19.0734987290523</v>
      </c>
      <c r="CG69" s="88" t="n">
        <f aca="false">CF69-CF68</f>
        <v>3.98970053176602</v>
      </c>
      <c r="CH69" s="88" t="n">
        <f aca="false">IF(B69=2026,INDEX($C$16:$Q$16,1,B69-2025)*$AO$4*C69/MAX(0.0001,12-$AO$3),INDEX($C$16:$Q$16,1,B69-2025)/12)</f>
        <v>3.69534238268495</v>
      </c>
      <c r="CI69" s="88" t="n">
        <f aca="false">$AO$6*INDEX($Y$16:$AB$16,1,B69-2026)/12</f>
        <v>0.833333333333333</v>
      </c>
      <c r="CJ69" s="88" t="n">
        <f aca="false">CH69+CJ68</f>
        <v>76.842873108435</v>
      </c>
      <c r="CK69" s="88" t="n">
        <f aca="false">CI69+CK68</f>
        <v>65</v>
      </c>
      <c r="CL69" s="88" t="n">
        <f aca="false">MAX(CL68,CJ69-CK69)</f>
        <v>11.842873108435</v>
      </c>
      <c r="CM69" s="88" t="n">
        <f aca="false">CL69-CL68</f>
        <v>2.71616288832914</v>
      </c>
      <c r="CN69" s="88" t="n">
        <f aca="false">IF(B69=2026,INDEX($C$17:$Q$17,1,B69-2025)*$AO$4*C69/MAX(0.0001,12-$AO$3),INDEX($C$17:$Q$17,1,B69-2025)/12)</f>
        <v>16.0904818546506</v>
      </c>
      <c r="CO69" s="88" t="n">
        <f aca="false">$AO$6*INDEX($Y$17:$AB$17,1,B69-2026)/12</f>
        <v>3.35</v>
      </c>
      <c r="CP69" s="88" t="n">
        <f aca="false">CN69+CP68</f>
        <v>334.593855552872</v>
      </c>
      <c r="CQ69" s="88" t="n">
        <f aca="false">CO69+CQ68</f>
        <v>186.1</v>
      </c>
      <c r="CR69" s="88" t="n">
        <f aca="false">MAX(CR68,CP69-CQ69)</f>
        <v>148.493855552872</v>
      </c>
      <c r="CS69" s="88" t="n">
        <f aca="false">CR69-CR68</f>
        <v>12.7404818546507</v>
      </c>
      <c r="CT69" s="88" t="n">
        <f aca="false">IF(B69=2026,INDEX($C$18:$Q$18,1,B69-2025)*$AO$4*C69/MAX(0.0001,12-$AO$3),INDEX($C$18:$Q$18,1,B69-2025)/12)</f>
        <v>3.34735049911372</v>
      </c>
      <c r="CU69" s="88" t="n">
        <f aca="false">$AO$6*INDEX($Y$18:$AB$18,1,B69-2026)/12</f>
        <v>0</v>
      </c>
      <c r="CV69" s="88" t="n">
        <f aca="false">CT69+CV68</f>
        <v>69.606548734995</v>
      </c>
      <c r="CW69" s="88" t="n">
        <f aca="false">CU69+CW68</f>
        <v>11</v>
      </c>
      <c r="CX69" s="88" t="n">
        <f aca="false">MAX(CX68,CV69-CW69)</f>
        <v>58.606548734995</v>
      </c>
      <c r="CY69" s="88" t="n">
        <f aca="false">CX69-CX68</f>
        <v>3.34735049911373</v>
      </c>
      <c r="CZ69" s="88" t="n">
        <f aca="false">IF(B69=2026,INDEX($C$19:$Q$19,1,B69-2025)*$AO$4*C69/MAX(0.0001,12-$AO$3),INDEX($C$19:$Q$19,1,B69-2025)/12)</f>
        <v>3.31420841496408</v>
      </c>
      <c r="DA69" s="88" t="n">
        <f aca="false">$AO$6*INDEX($Y$19:$AB$19,1,B69-2026)/12</f>
        <v>7.675</v>
      </c>
      <c r="DB69" s="88" t="n">
        <f aca="false">CZ69+DB68</f>
        <v>68.9173749851435</v>
      </c>
      <c r="DC69" s="88" t="n">
        <f aca="false">DA69+DC68</f>
        <v>57.95</v>
      </c>
      <c r="DD69" s="88" t="n">
        <f aca="false">MAX(DD68,DB69-DC69)</f>
        <v>37.132124495359</v>
      </c>
      <c r="DE69" s="88" t="n">
        <f aca="false">DD69-DD68</f>
        <v>0</v>
      </c>
      <c r="DF69" s="88" t="n">
        <f aca="false">IF(B69=2026,INDEX($C$20:$Q$20,1,B69-2025)*$AO$4*C69/MAX(0.0001,12-$AO$3),INDEX($C$20:$Q$20,1,B69-2025)/12)</f>
        <v>2.70107985819573</v>
      </c>
      <c r="DG69" s="88" t="n">
        <f aca="false">$AO$6*INDEX($Y$20:$AB$20,1,B69-2026)/12</f>
        <v>0</v>
      </c>
      <c r="DH69" s="88" t="n">
        <f aca="false">DF69+DH68</f>
        <v>56.167660612892</v>
      </c>
      <c r="DI69" s="88" t="n">
        <f aca="false">DG69+DI68</f>
        <v>0</v>
      </c>
      <c r="DJ69" s="88" t="n">
        <f aca="false">MAX(DJ68,DH69-DI69)</f>
        <v>56.167660612892</v>
      </c>
      <c r="DK69" s="88" t="n">
        <f aca="false">DJ69-DJ68</f>
        <v>2.70107985819573</v>
      </c>
      <c r="DL69" s="88" t="n">
        <f aca="false">IF(B69=2026,INDEX($C$21:$Q$21,1,B69-2025)*$AO$4*C69/MAX(0.0001,12-$AO$3),INDEX($C$21:$Q$21,1,B69-2025)/12)</f>
        <v>1.88909879652953</v>
      </c>
      <c r="DM69" s="88" t="n">
        <f aca="false">$AO$6*INDEX($Y$21:$AB$21,1,B69-2026)/12</f>
        <v>3.05833333333333</v>
      </c>
      <c r="DN69" s="88" t="n">
        <f aca="false">DL69+DN68</f>
        <v>39.2829037415318</v>
      </c>
      <c r="DO69" s="88" t="n">
        <f aca="false">DM69+DO68</f>
        <v>28.55</v>
      </c>
      <c r="DP69" s="88" t="n">
        <f aca="false">MAX(DP68,DN69-DO69)</f>
        <v>17.7483109623547</v>
      </c>
      <c r="DQ69" s="88" t="n">
        <f aca="false">DP69-DP68</f>
        <v>0</v>
      </c>
      <c r="DR69" s="88" t="n">
        <f aca="false">IF(B69=2026,INDEX($C$22:$Q$22,1,B69-2025)*$AO$4*C69/MAX(0.0001,12-$AO$3),INDEX($C$22:$Q$22,1,B69-2025)/12)</f>
        <v>1.47482274465902</v>
      </c>
      <c r="DS69" s="88" t="n">
        <f aca="false">$AO$6*INDEX($Y$22:$AB$22,1,B69-2026)/12</f>
        <v>0.816666666666667</v>
      </c>
      <c r="DT69" s="88" t="n">
        <f aca="false">DR69+DT68</f>
        <v>30.6682318683889</v>
      </c>
      <c r="DU69" s="88" t="n">
        <f aca="false">DS69+DU68</f>
        <v>21.5</v>
      </c>
      <c r="DV69" s="88" t="n">
        <f aca="false">MAX(DV68,DT69-DU69)</f>
        <v>9.16823186838885</v>
      </c>
      <c r="DW69" s="88" t="n">
        <f aca="false">DV69-DV68</f>
        <v>0.658156077992349</v>
      </c>
      <c r="DX69" s="88" t="n">
        <f aca="false">IF(B69=2026,INDEX($C$23:$Q$23,1,B69-2025)*$AO$4*C69/MAX(0.0001,12-$AO$3),INDEX($C$23:$Q$23,1,B69-2025)/12)</f>
        <v>2.36965901669932</v>
      </c>
      <c r="DY69" s="88" t="n">
        <f aca="false">$AO$6*INDEX($Y$23:$AB$23,1,B69-2026)/12</f>
        <v>7.14166666666667</v>
      </c>
      <c r="DZ69" s="88" t="n">
        <f aca="false">DX69+DZ68</f>
        <v>49.2759231143776</v>
      </c>
      <c r="EA69" s="88" t="n">
        <f aca="false">DY69+EA68</f>
        <v>42.85</v>
      </c>
      <c r="EB69" s="88" t="n">
        <f aca="false">MAX(EB68,DZ69-EA69)</f>
        <v>35.0579690141817</v>
      </c>
      <c r="EC69" s="88" t="n">
        <f aca="false">EB69-EB68</f>
        <v>0</v>
      </c>
      <c r="ED69" s="88" t="n">
        <f aca="false">IF(B69=2026,INDEX($C$24:$Q$24,1,B69-2025)*$AO$4*C69/MAX(0.0001,12-$AO$3),INDEX($C$24:$Q$24,1,B69-2025)/12)</f>
        <v>1.4582517025842</v>
      </c>
      <c r="EE69" s="88" t="n">
        <f aca="false">$AO$6*INDEX($Y$24:$AB$24,1,B69-2026)/12</f>
        <v>0</v>
      </c>
      <c r="EF69" s="88" t="n">
        <f aca="false">ED69+EF68</f>
        <v>30.3236449934631</v>
      </c>
      <c r="EG69" s="88" t="n">
        <f aca="false">EE69+EG68</f>
        <v>0</v>
      </c>
      <c r="EH69" s="88" t="n">
        <f aca="false">MAX(EH68,EF69-EG69)</f>
        <v>30.3236449934631</v>
      </c>
      <c r="EI69" s="88" t="n">
        <f aca="false">EH69-EH68</f>
        <v>1.4582517025842</v>
      </c>
      <c r="EJ69" s="88" t="n">
        <f aca="false">IF(B69=2026,INDEX($C$25:$Q$25,1,B69-2025)*$AO$4*C69/MAX(0.0001,12-$AO$3),INDEX($C$25:$Q$25,1,B69-2025)/12)</f>
        <v>1.85595671237989</v>
      </c>
      <c r="EK69" s="88" t="n">
        <f aca="false">$AO$6*INDEX($Y$25:$AB$25,1,B69-2026)/12</f>
        <v>0</v>
      </c>
      <c r="EL69" s="88" t="n">
        <f aca="false">EJ69+EL68</f>
        <v>38.5937299916804</v>
      </c>
      <c r="EM69" s="88" t="n">
        <f aca="false">EK69+EM68</f>
        <v>14</v>
      </c>
      <c r="EN69" s="88" t="n">
        <f aca="false">MAX(EN68,EL69-EM69)</f>
        <v>24.5937299916804</v>
      </c>
      <c r="EO69" s="88" t="n">
        <f aca="false">EN69-EN68</f>
        <v>1.85595671237989</v>
      </c>
      <c r="EP69" s="88" t="n">
        <f aca="false">IF(B69=2026,INDEX($C$26:$Q$26,1,B69-2025)*$AO$4*C69/MAX(0.0001,12-$AO$3),INDEX($C$26:$Q$26,1,B69-2025)/12)</f>
        <v>2.66793777404609</v>
      </c>
      <c r="EQ69" s="88" t="n">
        <f aca="false">$AO$6*INDEX($Y$26:$AB$26,1,B69-2026)/12</f>
        <v>0.025</v>
      </c>
      <c r="ER69" s="88" t="n">
        <f aca="false">EP69+ER68</f>
        <v>55.4784868630406</v>
      </c>
      <c r="ES69" s="88" t="n">
        <f aca="false">EQ69+ES68</f>
        <v>3.85</v>
      </c>
      <c r="ET69" s="88" t="n">
        <f aca="false">MAX(ET68,ER69-ES69)</f>
        <v>51.6284868630406</v>
      </c>
      <c r="EU69" s="88" t="n">
        <f aca="false">ET69-ET68</f>
        <v>2.64293777404609</v>
      </c>
      <c r="EV69" s="88" t="n">
        <f aca="false">IF(B69=2026,INDEX($C$27:$Q$27,1,B69-2025)*$AO$4*C69/MAX(0.0001,12-$AO$3),INDEX($C$27:$Q$27,1,B69-2025)/12)</f>
        <v>6.62841682992816</v>
      </c>
      <c r="EW69" s="88" t="n">
        <f aca="false">$AO$6*INDEX($Y$27:$AB$27,1,B69-2026)/12</f>
        <v>11.1166666666667</v>
      </c>
      <c r="EX69" s="88" t="n">
        <f aca="false">EV69+EX68</f>
        <v>137.834749970287</v>
      </c>
      <c r="EY69" s="88" t="n">
        <f aca="false">EW69+EY68</f>
        <v>251.8</v>
      </c>
      <c r="EZ69" s="88" t="n">
        <f aca="false">MAX(EZ68,EX69-EY69)</f>
        <v>0</v>
      </c>
      <c r="FA69" s="88" t="n">
        <f aca="false">EZ69-EZ68</f>
        <v>0</v>
      </c>
      <c r="FB69" s="88" t="n">
        <f aca="false">IF(B69=2026,INDEX($C$28:$Q$28,1,B69-2025)*$AO$4*C69/MAX(0.0001,12-$AO$3),INDEX($C$28:$Q$28,1,B69-2025)/12)</f>
        <v>34.6997621046739</v>
      </c>
      <c r="FC69" s="88" t="n">
        <f aca="false">$AO$6*INDEX($Y$28:$AB$28,1,B69-2026)/12</f>
        <v>3.19166666666667</v>
      </c>
      <c r="FD69" s="88" t="n">
        <f aca="false">FB69+FD68</f>
        <v>721.564916094453</v>
      </c>
      <c r="FE69" s="88" t="n">
        <f aca="false">FC69+FE68</f>
        <v>125.15</v>
      </c>
      <c r="FF69" s="88" t="n">
        <f aca="false">MAX(FF68,FD69-FE69)</f>
        <v>596.414916094453</v>
      </c>
      <c r="FG69" s="88" t="n">
        <f aca="false">FF69-FF68</f>
        <v>31.5080954380073</v>
      </c>
    </row>
    <row r="70" customFormat="false" ht="15" hidden="false" customHeight="false" outlineLevel="0" collapsed="false">
      <c r="A70" s="0" t="n">
        <v>30</v>
      </c>
      <c r="B70" s="88" t="n">
        <f aca="false">2026+INT(A70/12)</f>
        <v>2028</v>
      </c>
      <c r="C70" s="88" t="n">
        <f aca="false">MAX(0,MIN(1,A70+1-$AO$3))</f>
        <v>1</v>
      </c>
      <c r="D70" s="88" t="n">
        <f aca="false">IF((A70+0.5-(0))&lt;$AO$3,0,2026+INT((A70+0.5-(0))/12))</f>
        <v>2028</v>
      </c>
      <c r="E70" s="88" t="n">
        <f aca="false">IF((A70+0.5-($AO$9))&lt;$AO$3,0,2026+INT((A70+0.5-($AO$9))/12))</f>
        <v>2027</v>
      </c>
      <c r="F70" s="88" t="n">
        <f aca="false">IF((A70+0.5-($AO$9+$AO$8))&lt;$AO$3,0,2026+INT((A70+0.5-($AO$9+$AO$8))/12))</f>
        <v>0</v>
      </c>
      <c r="G70" s="88" t="n">
        <f aca="false">IF((A70+0.5-($AO$9+$AO$8+$AO$7))&lt;$AO$3,0,2026+INT((A70+0.5-($AO$9+$AO$8+$AO$7))/12))</f>
        <v>0</v>
      </c>
      <c r="H70" s="88" t="n">
        <f aca="false">IF(B70=2026,INDEX($C$3:$Q$3,1,B70-2025)*$AO$4*C70/MAX(0.0001,12-$AO$3),INDEX($C$3:$Q$3,1,B70-2025)/12)</f>
        <v>355.25</v>
      </c>
      <c r="I70" s="88" t="n">
        <f aca="false">$AO$6*INDEX($Y$3:$AB$3,1,B70-2026)/12</f>
        <v>143.766666666667</v>
      </c>
      <c r="J70" s="88" t="n">
        <f aca="false">H70+J69</f>
        <v>7742.50342465753</v>
      </c>
      <c r="K70" s="88" t="n">
        <f aca="false">I70+K69</f>
        <v>3597.26666666667</v>
      </c>
      <c r="L70" s="88" t="n">
        <f aca="false">MAX(L69,J70-K70)</f>
        <v>4145.23675799087</v>
      </c>
      <c r="M70" s="88" t="n">
        <f aca="false">L70-L69</f>
        <v>211.483333333333</v>
      </c>
      <c r="N70" s="88" t="n">
        <f aca="false">IF(B70=2026,INDEX($C$4:$Q$4,1,B70-2025)*$AO$4*C70/MAX(0.0001,12-$AO$3),INDEX($C$4:$Q$4,1,B70-2025)/12)</f>
        <v>10.7700632578534</v>
      </c>
      <c r="O70" s="88" t="n">
        <f aca="false">$AO$6*INDEX($Y$4:$AB$4,1,B70-2026)/12</f>
        <v>7.75</v>
      </c>
      <c r="P70" s="88" t="n">
        <f aca="false">N70+P69</f>
        <v>234.728364975955</v>
      </c>
      <c r="Q70" s="88" t="n">
        <f aca="false">O70+Q69</f>
        <v>185.95</v>
      </c>
      <c r="R70" s="88" t="n">
        <f aca="false">MAX(R69,P70-Q70)</f>
        <v>48.7783649759547</v>
      </c>
      <c r="S70" s="88" t="n">
        <f aca="false">R70-R69</f>
        <v>3.02006325785337</v>
      </c>
      <c r="T70" s="88" t="n">
        <f aca="false">IF(B70=2026,INDEX($C$5:$Q$5,1,B70-2025)*$AO$4*C70/MAX(0.0001,12-$AO$3),INDEX($C$5:$Q$5,1,B70-2025)/12)</f>
        <v>43.7734247619348</v>
      </c>
      <c r="U70" s="88" t="n">
        <f aca="false">$AO$6*INDEX($Y$5:$AB$5,1,B70-2026)/12</f>
        <v>28.1083333333333</v>
      </c>
      <c r="V70" s="88" t="n">
        <f aca="false">T70+V69</f>
        <v>954.020805427922</v>
      </c>
      <c r="W70" s="88" t="n">
        <f aca="false">U70+W69</f>
        <v>567.458333333333</v>
      </c>
      <c r="X70" s="88" t="n">
        <f aca="false">MAX(X69,V70-W70)</f>
        <v>386.562472094589</v>
      </c>
      <c r="Y70" s="88" t="n">
        <f aca="false">X70-X69</f>
        <v>15.6650914286015</v>
      </c>
      <c r="Z70" s="88" t="n">
        <f aca="false">IF(B70=2026,INDEX($C$6:$Q$6,1,B70-2025)*$AO$4*C70/MAX(0.0001,12-$AO$3),INDEX($C$6:$Q$6,1,B70-2025)/12)</f>
        <v>51.933610116259</v>
      </c>
      <c r="AA70" s="88" t="n">
        <f aca="false">$AO$6*INDEX($Y$6:$AB$6,1,B70-2026)/12</f>
        <v>1.95</v>
      </c>
      <c r="AB70" s="88" t="n">
        <f aca="false">Z70+AB69</f>
        <v>1131.86813280778</v>
      </c>
      <c r="AC70" s="88" t="n">
        <f aca="false">AA70+AC69</f>
        <v>616.350000000001</v>
      </c>
      <c r="AD70" s="88" t="n">
        <f aca="false">MAX(AD69,AB70-AC70)</f>
        <v>515.51813280778</v>
      </c>
      <c r="AE70" s="88" t="n">
        <f aca="false">AD70-AD69</f>
        <v>49.9836101162589</v>
      </c>
      <c r="AF70" s="88" t="n">
        <f aca="false">IF(B70=2026,INDEX($C$7:$Q$7,1,B70-2025)*$AO$4*C70/MAX(0.0001,12-$AO$3),INDEX($C$7:$Q$7,1,B70-2025)/12)</f>
        <v>45.11289896006</v>
      </c>
      <c r="AG70" s="88" t="n">
        <f aca="false">$AO$6*INDEX($Y$7:$AB$7,1,B70-2026)/12</f>
        <v>20.2</v>
      </c>
      <c r="AH70" s="88" t="n">
        <f aca="false">AF70+AH69</f>
        <v>983.214003362403</v>
      </c>
      <c r="AI70" s="88" t="n">
        <f aca="false">AG70+AI69</f>
        <v>240.7</v>
      </c>
      <c r="AJ70" s="88" t="n">
        <f aca="false">MAX(AJ69,AH70-AI70)</f>
        <v>742.514003362403</v>
      </c>
      <c r="AK70" s="88" t="n">
        <f aca="false">AJ70-AJ69</f>
        <v>24.91289896006</v>
      </c>
      <c r="AL70" s="88" t="n">
        <f aca="false">IF(B70=2026,INDEX($C$8:$Q$8,1,B70-2025)*$AO$4*C70/MAX(0.0001,12-$AO$3),INDEX($C$8:$Q$8,1,B70-2025)/12)</f>
        <v>11.4114321188341</v>
      </c>
      <c r="AM70" s="88" t="n">
        <f aca="false">$AO$6*INDEX($Y$8:$AB$8,1,B70-2026)/12</f>
        <v>1.95833333333333</v>
      </c>
      <c r="AN70" s="88" t="n">
        <f aca="false">AL70+AN69</f>
        <v>248.706691795411</v>
      </c>
      <c r="AO70" s="88" t="n">
        <f aca="false">AM70+AO69</f>
        <v>39.7083333333333</v>
      </c>
      <c r="AP70" s="88" t="n">
        <f aca="false">MAX(AP69,AN70-AO70)</f>
        <v>208.998358462078</v>
      </c>
      <c r="AQ70" s="88" t="n">
        <f aca="false">AP70-AP69</f>
        <v>9.45309878550077</v>
      </c>
      <c r="AR70" s="88" t="n">
        <f aca="false">IF(B70=2026,INDEX($C$9:$Q$9,1,B70-2025)*$AO$4*C70/MAX(0.0001,12-$AO$3),INDEX($C$9:$Q$9,1,B70-2025)/12)</f>
        <v>48.6576953186344</v>
      </c>
      <c r="AS70" s="88" t="n">
        <f aca="false">$AO$6*INDEX($Y$9:$AB$9,1,B70-2026)/12</f>
        <v>28.6333333333333</v>
      </c>
      <c r="AT70" s="88" t="n">
        <f aca="false">AR70+AT69</f>
        <v>1060.47114043763</v>
      </c>
      <c r="AU70" s="88" t="n">
        <f aca="false">AS70+AU69</f>
        <v>748.533333333333</v>
      </c>
      <c r="AV70" s="88" t="n">
        <f aca="false">MAX(AV69,AT70-AU70)</f>
        <v>311.9378071043</v>
      </c>
      <c r="AW70" s="88" t="n">
        <f aca="false">AV70-AV69</f>
        <v>20.024361985301</v>
      </c>
      <c r="AX70" s="88" t="n">
        <f aca="false">IF(B70=2026,INDEX($C$10:$Q$10,1,B70-2025)*$AO$4*C70/MAX(0.0001,12-$AO$3),INDEX($C$10:$Q$10,1,B70-2025)/12)</f>
        <v>5.64404597663043</v>
      </c>
      <c r="AY70" s="88" t="n">
        <f aca="false">$AO$6*INDEX($Y$10:$AB$10,1,B70-2026)/12</f>
        <v>2.50833333333333</v>
      </c>
      <c r="AZ70" s="88" t="n">
        <f aca="false">AX70+AZ69</f>
        <v>123.009276011219</v>
      </c>
      <c r="BA70" s="88" t="n">
        <f aca="false">AY70+BA69</f>
        <v>17.5583333333333</v>
      </c>
      <c r="BB70" s="88" t="n">
        <f aca="false">MAX(BB69,AZ70-BA70)</f>
        <v>105.450942677886</v>
      </c>
      <c r="BC70" s="88" t="n">
        <f aca="false">BB70-BB69</f>
        <v>3.1357126432971</v>
      </c>
      <c r="BD70" s="88" t="n">
        <f aca="false">IF(B70=2026,INDEX($C$11:$Q$11,1,B70-2025)*$AO$4*C70/MAX(0.0001,12-$AO$3),INDEX($C$11:$Q$11,1,B70-2025)/12)</f>
        <v>28.0475536513497</v>
      </c>
      <c r="BE70" s="88" t="n">
        <f aca="false">$AO$6*INDEX($Y$11:$AB$11,1,B70-2026)/12</f>
        <v>8.70833333333333</v>
      </c>
      <c r="BF70" s="88" t="n">
        <f aca="false">BD70+BF69</f>
        <v>611.282984373937</v>
      </c>
      <c r="BG70" s="88" t="n">
        <f aca="false">BE70+BG69</f>
        <v>170.358333333333</v>
      </c>
      <c r="BH70" s="88" t="n">
        <f aca="false">MAX(BH69,BF70-BG70)</f>
        <v>440.924651040603</v>
      </c>
      <c r="BI70" s="88" t="n">
        <f aca="false">BH70-BH69</f>
        <v>19.3392203180164</v>
      </c>
      <c r="BJ70" s="88" t="n">
        <f aca="false">IF(B70=2026,INDEX($C$12:$Q$12,1,B70-2025)*$AO$4*C70/MAX(0.0001,12-$AO$3),INDEX($C$12:$Q$12,1,B70-2025)/12)</f>
        <v>15.3780518436687</v>
      </c>
      <c r="BK70" s="88" t="n">
        <f aca="false">$AO$6*INDEX($Y$12:$AB$12,1,B70-2026)/12</f>
        <v>1.275</v>
      </c>
      <c r="BL70" s="88" t="n">
        <f aca="false">BJ70+BL69</f>
        <v>335.157266894205</v>
      </c>
      <c r="BM70" s="88" t="n">
        <f aca="false">BK70+BM69</f>
        <v>53.425</v>
      </c>
      <c r="BN70" s="88" t="n">
        <f aca="false">MAX(BN69,BL70-BM70)</f>
        <v>281.732266894205</v>
      </c>
      <c r="BO70" s="88" t="n">
        <f aca="false">BN70-BN69</f>
        <v>14.1030518436688</v>
      </c>
      <c r="BP70" s="88" t="n">
        <f aca="false">IF(B70=2026,INDEX($C$13:$Q$13,1,B70-2025)*$AO$4*C70/MAX(0.0001,12-$AO$3),INDEX($C$13:$Q$13,1,B70-2025)/12)</f>
        <v>4.80560220169792</v>
      </c>
      <c r="BQ70" s="88" t="n">
        <f aca="false">$AO$6*INDEX($Y$13:$AB$13,1,B70-2026)/12</f>
        <v>4.78333333333333</v>
      </c>
      <c r="BR70" s="88" t="n">
        <f aca="false">BP70+BR69</f>
        <v>104.735795930156</v>
      </c>
      <c r="BS70" s="88" t="n">
        <f aca="false">BQ70+BS69</f>
        <v>33.4833333333333</v>
      </c>
      <c r="BT70" s="88" t="n">
        <f aca="false">MAX(BT69,BR70-BS70)</f>
        <v>71.2524625968227</v>
      </c>
      <c r="BU70" s="88" t="n">
        <f aca="false">BT70-BT69</f>
        <v>0.0222688683645913</v>
      </c>
      <c r="BV70" s="88" t="n">
        <f aca="false">IF(B70=2026,INDEX($C$14:$Q$14,1,B70-2025)*$AO$4*C70/MAX(0.0001,12-$AO$3),INDEX($C$14:$Q$14,1,B70-2025)/12)</f>
        <v>2.85021923686911</v>
      </c>
      <c r="BW70" s="88" t="n">
        <f aca="false">$AO$6*INDEX($Y$14:$AB$14,1,B70-2026)/12</f>
        <v>0</v>
      </c>
      <c r="BX70" s="88" t="n">
        <f aca="false">BV70+BX69</f>
        <v>62.1191617240925</v>
      </c>
      <c r="BY70" s="88" t="n">
        <f aca="false">BW70+BY69</f>
        <v>0</v>
      </c>
      <c r="BZ70" s="88" t="n">
        <f aca="false">MAX(BZ69,BX70-BY70)</f>
        <v>62.1191617240925</v>
      </c>
      <c r="CA70" s="88" t="n">
        <f aca="false">BZ70-BZ69</f>
        <v>2.85021923686911</v>
      </c>
      <c r="CB70" s="88" t="n">
        <f aca="false">IF(B70=2026,INDEX($C$15:$Q$15,1,B70-2025)*$AO$4*C70/MAX(0.0001,12-$AO$3),INDEX($C$15:$Q$15,1,B70-2025)/12)</f>
        <v>4.67303386509936</v>
      </c>
      <c r="CC70" s="88" t="n">
        <f aca="false">$AO$6*INDEX($Y$15:$AB$15,1,B70-2026)/12</f>
        <v>0.683333333333333</v>
      </c>
      <c r="CD70" s="88" t="n">
        <f aca="false">CB70+CD69</f>
        <v>101.846532594152</v>
      </c>
      <c r="CE70" s="88" t="n">
        <f aca="false">CC70+CE69</f>
        <v>78.7833333333334</v>
      </c>
      <c r="CF70" s="88" t="n">
        <f aca="false">MAX(CF69,CD70-CE70)</f>
        <v>23.0631992608184</v>
      </c>
      <c r="CG70" s="88" t="n">
        <f aca="false">CF70-CF69</f>
        <v>3.98970053176602</v>
      </c>
      <c r="CH70" s="88" t="n">
        <f aca="false">IF(B70=2026,INDEX($C$16:$Q$16,1,B70-2025)*$AO$4*C70/MAX(0.0001,12-$AO$3),INDEX($C$16:$Q$16,1,B70-2025)/12)</f>
        <v>3.69534238268495</v>
      </c>
      <c r="CI70" s="88" t="n">
        <f aca="false">$AO$6*INDEX($Y$16:$AB$16,1,B70-2026)/12</f>
        <v>0.833333333333333</v>
      </c>
      <c r="CJ70" s="88" t="n">
        <f aca="false">CH70+CJ69</f>
        <v>80.53821549112</v>
      </c>
      <c r="CK70" s="88" t="n">
        <f aca="false">CI70+CK69</f>
        <v>65.8333333333333</v>
      </c>
      <c r="CL70" s="88" t="n">
        <f aca="false">MAX(CL69,CJ70-CK70)</f>
        <v>14.7048821577867</v>
      </c>
      <c r="CM70" s="88" t="n">
        <f aca="false">CL70-CL69</f>
        <v>2.86200904935163</v>
      </c>
      <c r="CN70" s="88" t="n">
        <f aca="false">IF(B70=2026,INDEX($C$17:$Q$17,1,B70-2025)*$AO$4*C70/MAX(0.0001,12-$AO$3),INDEX($C$17:$Q$17,1,B70-2025)/12)</f>
        <v>16.0904818546506</v>
      </c>
      <c r="CO70" s="88" t="n">
        <f aca="false">$AO$6*INDEX($Y$17:$AB$17,1,B70-2026)/12</f>
        <v>3.35</v>
      </c>
      <c r="CP70" s="88" t="n">
        <f aca="false">CN70+CP69</f>
        <v>350.684337407523</v>
      </c>
      <c r="CQ70" s="88" t="n">
        <f aca="false">CO70+CQ69</f>
        <v>189.45</v>
      </c>
      <c r="CR70" s="88" t="n">
        <f aca="false">MAX(CR69,CP70-CQ70)</f>
        <v>161.234337407523</v>
      </c>
      <c r="CS70" s="88" t="n">
        <f aca="false">CR70-CR69</f>
        <v>12.7404818546507</v>
      </c>
      <c r="CT70" s="88" t="n">
        <f aca="false">IF(B70=2026,INDEX($C$18:$Q$18,1,B70-2025)*$AO$4*C70/MAX(0.0001,12-$AO$3),INDEX($C$18:$Q$18,1,B70-2025)/12)</f>
        <v>3.34735049911372</v>
      </c>
      <c r="CU70" s="88" t="n">
        <f aca="false">$AO$6*INDEX($Y$18:$AB$18,1,B70-2026)/12</f>
        <v>0</v>
      </c>
      <c r="CV70" s="88" t="n">
        <f aca="false">CT70+CV69</f>
        <v>72.9538992341087</v>
      </c>
      <c r="CW70" s="88" t="n">
        <f aca="false">CU70+CW69</f>
        <v>11</v>
      </c>
      <c r="CX70" s="88" t="n">
        <f aca="false">MAX(CX69,CV70-CW70)</f>
        <v>61.9538992341087</v>
      </c>
      <c r="CY70" s="88" t="n">
        <f aca="false">CX70-CX69</f>
        <v>3.34735049911373</v>
      </c>
      <c r="CZ70" s="88" t="n">
        <f aca="false">IF(B70=2026,INDEX($C$19:$Q$19,1,B70-2025)*$AO$4*C70/MAX(0.0001,12-$AO$3),INDEX($C$19:$Q$19,1,B70-2025)/12)</f>
        <v>3.31420841496408</v>
      </c>
      <c r="DA70" s="88" t="n">
        <f aca="false">$AO$6*INDEX($Y$19:$AB$19,1,B70-2026)/12</f>
        <v>7.675</v>
      </c>
      <c r="DB70" s="88" t="n">
        <f aca="false">CZ70+DB69</f>
        <v>72.2315834001076</v>
      </c>
      <c r="DC70" s="88" t="n">
        <f aca="false">DA70+DC69</f>
        <v>65.625</v>
      </c>
      <c r="DD70" s="88" t="n">
        <f aca="false">MAX(DD69,DB70-DC70)</f>
        <v>37.132124495359</v>
      </c>
      <c r="DE70" s="88" t="n">
        <f aca="false">DD70-DD69</f>
        <v>0</v>
      </c>
      <c r="DF70" s="88" t="n">
        <f aca="false">IF(B70=2026,INDEX($C$20:$Q$20,1,B70-2025)*$AO$4*C70/MAX(0.0001,12-$AO$3),INDEX($C$20:$Q$20,1,B70-2025)/12)</f>
        <v>2.70107985819573</v>
      </c>
      <c r="DG70" s="88" t="n">
        <f aca="false">$AO$6*INDEX($Y$20:$AB$20,1,B70-2026)/12</f>
        <v>0</v>
      </c>
      <c r="DH70" s="88" t="n">
        <f aca="false">DF70+DH69</f>
        <v>58.8687404710877</v>
      </c>
      <c r="DI70" s="88" t="n">
        <f aca="false">DG70+DI69</f>
        <v>0</v>
      </c>
      <c r="DJ70" s="88" t="n">
        <f aca="false">MAX(DJ69,DH70-DI70)</f>
        <v>58.8687404710877</v>
      </c>
      <c r="DK70" s="88" t="n">
        <f aca="false">DJ70-DJ69</f>
        <v>2.70107985819573</v>
      </c>
      <c r="DL70" s="88" t="n">
        <f aca="false">IF(B70=2026,INDEX($C$21:$Q$21,1,B70-2025)*$AO$4*C70/MAX(0.0001,12-$AO$3),INDEX($C$21:$Q$21,1,B70-2025)/12)</f>
        <v>1.88909879652953</v>
      </c>
      <c r="DM70" s="88" t="n">
        <f aca="false">$AO$6*INDEX($Y$21:$AB$21,1,B70-2026)/12</f>
        <v>3.05833333333333</v>
      </c>
      <c r="DN70" s="88" t="n">
        <f aca="false">DL70+DN69</f>
        <v>41.1720025380613</v>
      </c>
      <c r="DO70" s="88" t="n">
        <f aca="false">DM70+DO69</f>
        <v>31.6083333333333</v>
      </c>
      <c r="DP70" s="88" t="n">
        <f aca="false">MAX(DP69,DN70-DO70)</f>
        <v>17.7483109623547</v>
      </c>
      <c r="DQ70" s="88" t="n">
        <f aca="false">DP70-DP69</f>
        <v>0</v>
      </c>
      <c r="DR70" s="88" t="n">
        <f aca="false">IF(B70=2026,INDEX($C$22:$Q$22,1,B70-2025)*$AO$4*C70/MAX(0.0001,12-$AO$3),INDEX($C$22:$Q$22,1,B70-2025)/12)</f>
        <v>1.47482274465902</v>
      </c>
      <c r="DS70" s="88" t="n">
        <f aca="false">$AO$6*INDEX($Y$22:$AB$22,1,B70-2026)/12</f>
        <v>0.816666666666667</v>
      </c>
      <c r="DT70" s="88" t="n">
        <f aca="false">DR70+DT69</f>
        <v>32.1430546130479</v>
      </c>
      <c r="DU70" s="88" t="n">
        <f aca="false">DS70+DU69</f>
        <v>22.3166666666667</v>
      </c>
      <c r="DV70" s="88" t="n">
        <f aca="false">MAX(DV69,DT70-DU70)</f>
        <v>9.8263879463812</v>
      </c>
      <c r="DW70" s="88" t="n">
        <f aca="false">DV70-DV69</f>
        <v>0.658156077992349</v>
      </c>
      <c r="DX70" s="88" t="n">
        <f aca="false">IF(B70=2026,INDEX($C$23:$Q$23,1,B70-2025)*$AO$4*C70/MAX(0.0001,12-$AO$3),INDEX($C$23:$Q$23,1,B70-2025)/12)</f>
        <v>2.36965901669932</v>
      </c>
      <c r="DY70" s="88" t="n">
        <f aca="false">$AO$6*INDEX($Y$23:$AB$23,1,B70-2026)/12</f>
        <v>7.14166666666667</v>
      </c>
      <c r="DZ70" s="88" t="n">
        <f aca="false">DX70+DZ69</f>
        <v>51.6455821310769</v>
      </c>
      <c r="EA70" s="88" t="n">
        <f aca="false">DY70+EA69</f>
        <v>49.9916666666667</v>
      </c>
      <c r="EB70" s="88" t="n">
        <f aca="false">MAX(EB69,DZ70-EA70)</f>
        <v>35.0579690141817</v>
      </c>
      <c r="EC70" s="88" t="n">
        <f aca="false">EB70-EB69</f>
        <v>0</v>
      </c>
      <c r="ED70" s="88" t="n">
        <f aca="false">IF(B70=2026,INDEX($C$24:$Q$24,1,B70-2025)*$AO$4*C70/MAX(0.0001,12-$AO$3),INDEX($C$24:$Q$24,1,B70-2025)/12)</f>
        <v>1.4582517025842</v>
      </c>
      <c r="EE70" s="88" t="n">
        <f aca="false">$AO$6*INDEX($Y$24:$AB$24,1,B70-2026)/12</f>
        <v>0</v>
      </c>
      <c r="EF70" s="88" t="n">
        <f aca="false">ED70+EF69</f>
        <v>31.7818966960473</v>
      </c>
      <c r="EG70" s="88" t="n">
        <f aca="false">EE70+EG69</f>
        <v>0</v>
      </c>
      <c r="EH70" s="88" t="n">
        <f aca="false">MAX(EH69,EF70-EG70)</f>
        <v>31.7818966960473</v>
      </c>
      <c r="EI70" s="88" t="n">
        <f aca="false">EH70-EH69</f>
        <v>1.4582517025842</v>
      </c>
      <c r="EJ70" s="88" t="n">
        <f aca="false">IF(B70=2026,INDEX($C$25:$Q$25,1,B70-2025)*$AO$4*C70/MAX(0.0001,12-$AO$3),INDEX($C$25:$Q$25,1,B70-2025)/12)</f>
        <v>1.85595671237989</v>
      </c>
      <c r="EK70" s="88" t="n">
        <f aca="false">$AO$6*INDEX($Y$25:$AB$25,1,B70-2026)/12</f>
        <v>0</v>
      </c>
      <c r="EL70" s="88" t="n">
        <f aca="false">EJ70+EL69</f>
        <v>40.4496867040603</v>
      </c>
      <c r="EM70" s="88" t="n">
        <f aca="false">EK70+EM69</f>
        <v>14</v>
      </c>
      <c r="EN70" s="88" t="n">
        <f aca="false">MAX(EN69,EL70-EM70)</f>
        <v>26.4496867040603</v>
      </c>
      <c r="EO70" s="88" t="n">
        <f aca="false">EN70-EN69</f>
        <v>1.85595671237989</v>
      </c>
      <c r="EP70" s="88" t="n">
        <f aca="false">IF(B70=2026,INDEX($C$26:$Q$26,1,B70-2025)*$AO$4*C70/MAX(0.0001,12-$AO$3),INDEX($C$26:$Q$26,1,B70-2025)/12)</f>
        <v>2.66793777404609</v>
      </c>
      <c r="EQ70" s="88" t="n">
        <f aca="false">$AO$6*INDEX($Y$26:$AB$26,1,B70-2026)/12</f>
        <v>0.025</v>
      </c>
      <c r="ER70" s="88" t="n">
        <f aca="false">EP70+ER69</f>
        <v>58.1464246370866</v>
      </c>
      <c r="ES70" s="88" t="n">
        <f aca="false">EQ70+ES69</f>
        <v>3.875</v>
      </c>
      <c r="ET70" s="88" t="n">
        <f aca="false">MAX(ET69,ER70-ES70)</f>
        <v>54.2714246370866</v>
      </c>
      <c r="EU70" s="88" t="n">
        <f aca="false">ET70-ET69</f>
        <v>2.64293777404609</v>
      </c>
      <c r="EV70" s="88" t="n">
        <f aca="false">IF(B70=2026,INDEX($C$27:$Q$27,1,B70-2025)*$AO$4*C70/MAX(0.0001,12-$AO$3),INDEX($C$27:$Q$27,1,B70-2025)/12)</f>
        <v>6.62841682992816</v>
      </c>
      <c r="EW70" s="88" t="n">
        <f aca="false">$AO$6*INDEX($Y$27:$AB$27,1,B70-2026)/12</f>
        <v>11.1166666666667</v>
      </c>
      <c r="EX70" s="88" t="n">
        <f aca="false">EV70+EX69</f>
        <v>144.463166800215</v>
      </c>
      <c r="EY70" s="88" t="n">
        <f aca="false">EW70+EY69</f>
        <v>262.916666666667</v>
      </c>
      <c r="EZ70" s="88" t="n">
        <f aca="false">MAX(EZ69,EX70-EY70)</f>
        <v>0</v>
      </c>
      <c r="FA70" s="88" t="n">
        <f aca="false">EZ70-EZ69</f>
        <v>0</v>
      </c>
      <c r="FB70" s="88" t="n">
        <f aca="false">IF(B70=2026,INDEX($C$28:$Q$28,1,B70-2025)*$AO$4*C70/MAX(0.0001,12-$AO$3),INDEX($C$28:$Q$28,1,B70-2025)/12)</f>
        <v>34.6997621046739</v>
      </c>
      <c r="FC70" s="88" t="n">
        <f aca="false">$AO$6*INDEX($Y$28:$AB$28,1,B70-2026)/12</f>
        <v>3.19166666666667</v>
      </c>
      <c r="FD70" s="88" t="n">
        <f aca="false">FB70+FD69</f>
        <v>756.264678199127</v>
      </c>
      <c r="FE70" s="88" t="n">
        <f aca="false">FC70+FE69</f>
        <v>128.341666666667</v>
      </c>
      <c r="FF70" s="88" t="n">
        <f aca="false">MAX(FF69,FD70-FE70)</f>
        <v>627.92301153246</v>
      </c>
      <c r="FG70" s="88" t="n">
        <f aca="false">FF70-FF69</f>
        <v>31.5080954380072</v>
      </c>
    </row>
    <row r="71" customFormat="false" ht="15" hidden="false" customHeight="false" outlineLevel="0" collapsed="false">
      <c r="A71" s="0" t="n">
        <v>31</v>
      </c>
      <c r="B71" s="88" t="n">
        <f aca="false">2026+INT(A71/12)</f>
        <v>2028</v>
      </c>
      <c r="C71" s="88" t="n">
        <f aca="false">MAX(0,MIN(1,A71+1-$AO$3))</f>
        <v>1</v>
      </c>
      <c r="D71" s="88" t="n">
        <f aca="false">IF((A71+0.5-(0))&lt;$AO$3,0,2026+INT((A71+0.5-(0))/12))</f>
        <v>2028</v>
      </c>
      <c r="E71" s="88" t="n">
        <f aca="false">IF((A71+0.5-($AO$9))&lt;$AO$3,0,2026+INT((A71+0.5-($AO$9))/12))</f>
        <v>2027</v>
      </c>
      <c r="F71" s="88" t="n">
        <f aca="false">IF((A71+0.5-($AO$9+$AO$8))&lt;$AO$3,0,2026+INT((A71+0.5-($AO$9+$AO$8))/12))</f>
        <v>0</v>
      </c>
      <c r="G71" s="88" t="n">
        <f aca="false">IF((A71+0.5-($AO$9+$AO$8+$AO$7))&lt;$AO$3,0,2026+INT((A71+0.5-($AO$9+$AO$8+$AO$7))/12))</f>
        <v>0</v>
      </c>
      <c r="H71" s="88" t="n">
        <f aca="false">IF(B71=2026,INDEX($C$3:$Q$3,1,B71-2025)*$AO$4*C71/MAX(0.0001,12-$AO$3),INDEX($C$3:$Q$3,1,B71-2025)/12)</f>
        <v>355.25</v>
      </c>
      <c r="I71" s="88" t="n">
        <f aca="false">$AO$6*INDEX($Y$3:$AB$3,1,B71-2026)/12</f>
        <v>143.766666666667</v>
      </c>
      <c r="J71" s="88" t="n">
        <f aca="false">H71+J70</f>
        <v>8097.75342465753</v>
      </c>
      <c r="K71" s="88" t="n">
        <f aca="false">I71+K70</f>
        <v>3741.03333333333</v>
      </c>
      <c r="L71" s="88" t="n">
        <f aca="false">MAX(L70,J71-K71)</f>
        <v>4356.7200913242</v>
      </c>
      <c r="M71" s="88" t="n">
        <f aca="false">L71-L70</f>
        <v>211.483333333333</v>
      </c>
      <c r="N71" s="88" t="n">
        <f aca="false">IF(B71=2026,INDEX($C$4:$Q$4,1,B71-2025)*$AO$4*C71/MAX(0.0001,12-$AO$3),INDEX($C$4:$Q$4,1,B71-2025)/12)</f>
        <v>10.7700632578534</v>
      </c>
      <c r="O71" s="88" t="n">
        <f aca="false">$AO$6*INDEX($Y$4:$AB$4,1,B71-2026)/12</f>
        <v>7.75</v>
      </c>
      <c r="P71" s="88" t="n">
        <f aca="false">N71+P70</f>
        <v>245.498428233808</v>
      </c>
      <c r="Q71" s="88" t="n">
        <f aca="false">O71+Q70</f>
        <v>193.7</v>
      </c>
      <c r="R71" s="88" t="n">
        <f aca="false">MAX(R70,P71-Q71)</f>
        <v>51.798428233808</v>
      </c>
      <c r="S71" s="88" t="n">
        <f aca="false">R71-R70</f>
        <v>3.02006325785337</v>
      </c>
      <c r="T71" s="88" t="n">
        <f aca="false">IF(B71=2026,INDEX($C$5:$Q$5,1,B71-2025)*$AO$4*C71/MAX(0.0001,12-$AO$3),INDEX($C$5:$Q$5,1,B71-2025)/12)</f>
        <v>43.7734247619348</v>
      </c>
      <c r="U71" s="88" t="n">
        <f aca="false">$AO$6*INDEX($Y$5:$AB$5,1,B71-2026)/12</f>
        <v>28.1083333333333</v>
      </c>
      <c r="V71" s="88" t="n">
        <f aca="false">T71+V70</f>
        <v>997.794230189857</v>
      </c>
      <c r="W71" s="88" t="n">
        <f aca="false">U71+W70</f>
        <v>595.566666666667</v>
      </c>
      <c r="X71" s="88" t="n">
        <f aca="false">MAX(X70,V71-W71)</f>
        <v>402.22756352319</v>
      </c>
      <c r="Y71" s="88" t="n">
        <f aca="false">X71-X70</f>
        <v>15.6650914286015</v>
      </c>
      <c r="Z71" s="88" t="n">
        <f aca="false">IF(B71=2026,INDEX($C$6:$Q$6,1,B71-2025)*$AO$4*C71/MAX(0.0001,12-$AO$3),INDEX($C$6:$Q$6,1,B71-2025)/12)</f>
        <v>51.933610116259</v>
      </c>
      <c r="AA71" s="88" t="n">
        <f aca="false">$AO$6*INDEX($Y$6:$AB$6,1,B71-2026)/12</f>
        <v>1.95</v>
      </c>
      <c r="AB71" s="88" t="n">
        <f aca="false">Z71+AB70</f>
        <v>1183.80174292404</v>
      </c>
      <c r="AC71" s="88" t="n">
        <f aca="false">AA71+AC70</f>
        <v>618.300000000001</v>
      </c>
      <c r="AD71" s="88" t="n">
        <f aca="false">MAX(AD70,AB71-AC71)</f>
        <v>565.501742924039</v>
      </c>
      <c r="AE71" s="88" t="n">
        <f aca="false">AD71-AD70</f>
        <v>49.9836101162589</v>
      </c>
      <c r="AF71" s="88" t="n">
        <f aca="false">IF(B71=2026,INDEX($C$7:$Q$7,1,B71-2025)*$AO$4*C71/MAX(0.0001,12-$AO$3),INDEX($C$7:$Q$7,1,B71-2025)/12)</f>
        <v>45.11289896006</v>
      </c>
      <c r="AG71" s="88" t="n">
        <f aca="false">$AO$6*INDEX($Y$7:$AB$7,1,B71-2026)/12</f>
        <v>20.2</v>
      </c>
      <c r="AH71" s="88" t="n">
        <f aca="false">AF71+AH70</f>
        <v>1028.32690232246</v>
      </c>
      <c r="AI71" s="88" t="n">
        <f aca="false">AG71+AI70</f>
        <v>260.9</v>
      </c>
      <c r="AJ71" s="88" t="n">
        <f aca="false">MAX(AJ70,AH71-AI71)</f>
        <v>767.426902322463</v>
      </c>
      <c r="AK71" s="88" t="n">
        <f aca="false">AJ71-AJ70</f>
        <v>24.91289896006</v>
      </c>
      <c r="AL71" s="88" t="n">
        <f aca="false">IF(B71=2026,INDEX($C$8:$Q$8,1,B71-2025)*$AO$4*C71/MAX(0.0001,12-$AO$3),INDEX($C$8:$Q$8,1,B71-2025)/12)</f>
        <v>11.4114321188341</v>
      </c>
      <c r="AM71" s="88" t="n">
        <f aca="false">$AO$6*INDEX($Y$8:$AB$8,1,B71-2026)/12</f>
        <v>1.95833333333333</v>
      </c>
      <c r="AN71" s="88" t="n">
        <f aca="false">AL71+AN70</f>
        <v>260.118123914245</v>
      </c>
      <c r="AO71" s="88" t="n">
        <f aca="false">AM71+AO70</f>
        <v>41.6666666666667</v>
      </c>
      <c r="AP71" s="88" t="n">
        <f aca="false">MAX(AP70,AN71-AO71)</f>
        <v>218.451457247579</v>
      </c>
      <c r="AQ71" s="88" t="n">
        <f aca="false">AP71-AP70</f>
        <v>9.45309878550074</v>
      </c>
      <c r="AR71" s="88" t="n">
        <f aca="false">IF(B71=2026,INDEX($C$9:$Q$9,1,B71-2025)*$AO$4*C71/MAX(0.0001,12-$AO$3),INDEX($C$9:$Q$9,1,B71-2025)/12)</f>
        <v>48.6576953186344</v>
      </c>
      <c r="AS71" s="88" t="n">
        <f aca="false">$AO$6*INDEX($Y$9:$AB$9,1,B71-2026)/12</f>
        <v>28.6333333333333</v>
      </c>
      <c r="AT71" s="88" t="n">
        <f aca="false">AR71+AT70</f>
        <v>1109.12883575627</v>
      </c>
      <c r="AU71" s="88" t="n">
        <f aca="false">AS71+AU70</f>
        <v>777.166666666667</v>
      </c>
      <c r="AV71" s="88" t="n">
        <f aca="false">MAX(AV70,AT71-AU71)</f>
        <v>331.962169089601</v>
      </c>
      <c r="AW71" s="88" t="n">
        <f aca="false">AV71-AV70</f>
        <v>20.024361985301</v>
      </c>
      <c r="AX71" s="88" t="n">
        <f aca="false">IF(B71=2026,INDEX($C$10:$Q$10,1,B71-2025)*$AO$4*C71/MAX(0.0001,12-$AO$3),INDEX($C$10:$Q$10,1,B71-2025)/12)</f>
        <v>5.64404597663043</v>
      </c>
      <c r="AY71" s="88" t="n">
        <f aca="false">$AO$6*INDEX($Y$10:$AB$10,1,B71-2026)/12</f>
        <v>2.50833333333333</v>
      </c>
      <c r="AZ71" s="88" t="n">
        <f aca="false">AX71+AZ70</f>
        <v>128.65332198785</v>
      </c>
      <c r="BA71" s="88" t="n">
        <f aca="false">AY71+BA70</f>
        <v>20.0666666666667</v>
      </c>
      <c r="BB71" s="88" t="n">
        <f aca="false">MAX(BB70,AZ71-BA71)</f>
        <v>108.586655321183</v>
      </c>
      <c r="BC71" s="88" t="n">
        <f aca="false">BB71-BB70</f>
        <v>3.1357126432971</v>
      </c>
      <c r="BD71" s="88" t="n">
        <f aca="false">IF(B71=2026,INDEX($C$11:$Q$11,1,B71-2025)*$AO$4*C71/MAX(0.0001,12-$AO$3),INDEX($C$11:$Q$11,1,B71-2025)/12)</f>
        <v>28.0475536513497</v>
      </c>
      <c r="BE71" s="88" t="n">
        <f aca="false">$AO$6*INDEX($Y$11:$AB$11,1,B71-2026)/12</f>
        <v>8.70833333333333</v>
      </c>
      <c r="BF71" s="88" t="n">
        <f aca="false">BD71+BF70</f>
        <v>639.330538025286</v>
      </c>
      <c r="BG71" s="88" t="n">
        <f aca="false">BE71+BG70</f>
        <v>179.066666666667</v>
      </c>
      <c r="BH71" s="88" t="n">
        <f aca="false">MAX(BH70,BF71-BG71)</f>
        <v>460.26387135862</v>
      </c>
      <c r="BI71" s="88" t="n">
        <f aca="false">BH71-BH70</f>
        <v>19.3392203180164</v>
      </c>
      <c r="BJ71" s="88" t="n">
        <f aca="false">IF(B71=2026,INDEX($C$12:$Q$12,1,B71-2025)*$AO$4*C71/MAX(0.0001,12-$AO$3),INDEX($C$12:$Q$12,1,B71-2025)/12)</f>
        <v>15.3780518436687</v>
      </c>
      <c r="BK71" s="88" t="n">
        <f aca="false">$AO$6*INDEX($Y$12:$AB$12,1,B71-2026)/12</f>
        <v>1.275</v>
      </c>
      <c r="BL71" s="88" t="n">
        <f aca="false">BJ71+BL70</f>
        <v>350.535318737874</v>
      </c>
      <c r="BM71" s="88" t="n">
        <f aca="false">BK71+BM70</f>
        <v>54.7</v>
      </c>
      <c r="BN71" s="88" t="n">
        <f aca="false">MAX(BN70,BL71-BM71)</f>
        <v>295.835318737874</v>
      </c>
      <c r="BO71" s="88" t="n">
        <f aca="false">BN71-BN70</f>
        <v>14.1030518436687</v>
      </c>
      <c r="BP71" s="88" t="n">
        <f aca="false">IF(B71=2026,INDEX($C$13:$Q$13,1,B71-2025)*$AO$4*C71/MAX(0.0001,12-$AO$3),INDEX($C$13:$Q$13,1,B71-2025)/12)</f>
        <v>4.80560220169792</v>
      </c>
      <c r="BQ71" s="88" t="n">
        <f aca="false">$AO$6*INDEX($Y$13:$AB$13,1,B71-2026)/12</f>
        <v>4.78333333333333</v>
      </c>
      <c r="BR71" s="88" t="n">
        <f aca="false">BP71+BR70</f>
        <v>109.541398131854</v>
      </c>
      <c r="BS71" s="88" t="n">
        <f aca="false">BQ71+BS70</f>
        <v>38.2666666666667</v>
      </c>
      <c r="BT71" s="88" t="n">
        <f aca="false">MAX(BT70,BR71-BS71)</f>
        <v>71.2747314651873</v>
      </c>
      <c r="BU71" s="88" t="n">
        <f aca="false">BT71-BT70</f>
        <v>0.0222688683645913</v>
      </c>
      <c r="BV71" s="88" t="n">
        <f aca="false">IF(B71=2026,INDEX($C$14:$Q$14,1,B71-2025)*$AO$4*C71/MAX(0.0001,12-$AO$3),INDEX($C$14:$Q$14,1,B71-2025)/12)</f>
        <v>2.85021923686911</v>
      </c>
      <c r="BW71" s="88" t="n">
        <f aca="false">$AO$6*INDEX($Y$14:$AB$14,1,B71-2026)/12</f>
        <v>0</v>
      </c>
      <c r="BX71" s="88" t="n">
        <f aca="false">BV71+BX70</f>
        <v>64.9693809609616</v>
      </c>
      <c r="BY71" s="88" t="n">
        <f aca="false">BW71+BY70</f>
        <v>0</v>
      </c>
      <c r="BZ71" s="88" t="n">
        <f aca="false">MAX(BZ70,BX71-BY71)</f>
        <v>64.9693809609616</v>
      </c>
      <c r="CA71" s="88" t="n">
        <f aca="false">BZ71-BZ70</f>
        <v>2.85021923686911</v>
      </c>
      <c r="CB71" s="88" t="n">
        <f aca="false">IF(B71=2026,INDEX($C$15:$Q$15,1,B71-2025)*$AO$4*C71/MAX(0.0001,12-$AO$3),INDEX($C$15:$Q$15,1,B71-2025)/12)</f>
        <v>4.67303386509936</v>
      </c>
      <c r="CC71" s="88" t="n">
        <f aca="false">$AO$6*INDEX($Y$15:$AB$15,1,B71-2026)/12</f>
        <v>0.683333333333333</v>
      </c>
      <c r="CD71" s="88" t="n">
        <f aca="false">CB71+CD70</f>
        <v>106.519566459251</v>
      </c>
      <c r="CE71" s="88" t="n">
        <f aca="false">CC71+CE70</f>
        <v>79.4666666666667</v>
      </c>
      <c r="CF71" s="88" t="n">
        <f aca="false">MAX(CF70,CD71-CE71)</f>
        <v>27.0528997925844</v>
      </c>
      <c r="CG71" s="88" t="n">
        <f aca="false">CF71-CF70</f>
        <v>3.98970053176602</v>
      </c>
      <c r="CH71" s="88" t="n">
        <f aca="false">IF(B71=2026,INDEX($C$16:$Q$16,1,B71-2025)*$AO$4*C71/MAX(0.0001,12-$AO$3),INDEX($C$16:$Q$16,1,B71-2025)/12)</f>
        <v>3.69534238268495</v>
      </c>
      <c r="CI71" s="88" t="n">
        <f aca="false">$AO$6*INDEX($Y$16:$AB$16,1,B71-2026)/12</f>
        <v>0.833333333333333</v>
      </c>
      <c r="CJ71" s="88" t="n">
        <f aca="false">CH71+CJ70</f>
        <v>84.2335578738049</v>
      </c>
      <c r="CK71" s="88" t="n">
        <f aca="false">CI71+CK70</f>
        <v>66.6666666666666</v>
      </c>
      <c r="CL71" s="88" t="n">
        <f aca="false">MAX(CL70,CJ71-CK71)</f>
        <v>17.5668912071383</v>
      </c>
      <c r="CM71" s="88" t="n">
        <f aca="false">CL71-CL70</f>
        <v>2.86200904935163</v>
      </c>
      <c r="CN71" s="88" t="n">
        <f aca="false">IF(B71=2026,INDEX($C$17:$Q$17,1,B71-2025)*$AO$4*C71/MAX(0.0001,12-$AO$3),INDEX($C$17:$Q$17,1,B71-2025)/12)</f>
        <v>16.0904818546506</v>
      </c>
      <c r="CO71" s="88" t="n">
        <f aca="false">$AO$6*INDEX($Y$17:$AB$17,1,B71-2026)/12</f>
        <v>3.35</v>
      </c>
      <c r="CP71" s="88" t="n">
        <f aca="false">CN71+CP70</f>
        <v>366.774819262173</v>
      </c>
      <c r="CQ71" s="88" t="n">
        <f aca="false">CO71+CQ70</f>
        <v>192.8</v>
      </c>
      <c r="CR71" s="88" t="n">
        <f aca="false">MAX(CR70,CP71-CQ71)</f>
        <v>173.974819262173</v>
      </c>
      <c r="CS71" s="88" t="n">
        <f aca="false">CR71-CR70</f>
        <v>12.7404818546507</v>
      </c>
      <c r="CT71" s="88" t="n">
        <f aca="false">IF(B71=2026,INDEX($C$18:$Q$18,1,B71-2025)*$AO$4*C71/MAX(0.0001,12-$AO$3),INDEX($C$18:$Q$18,1,B71-2025)/12)</f>
        <v>3.34735049911372</v>
      </c>
      <c r="CU71" s="88" t="n">
        <f aca="false">$AO$6*INDEX($Y$18:$AB$18,1,B71-2026)/12</f>
        <v>0</v>
      </c>
      <c r="CV71" s="88" t="n">
        <f aca="false">CT71+CV70</f>
        <v>76.3012497332224</v>
      </c>
      <c r="CW71" s="88" t="n">
        <f aca="false">CU71+CW70</f>
        <v>11</v>
      </c>
      <c r="CX71" s="88" t="n">
        <f aca="false">MAX(CX70,CV71-CW71)</f>
        <v>65.3012497332224</v>
      </c>
      <c r="CY71" s="88" t="n">
        <f aca="false">CX71-CX70</f>
        <v>3.34735049911373</v>
      </c>
      <c r="CZ71" s="88" t="n">
        <f aca="false">IF(B71=2026,INDEX($C$19:$Q$19,1,B71-2025)*$AO$4*C71/MAX(0.0001,12-$AO$3),INDEX($C$19:$Q$19,1,B71-2025)/12)</f>
        <v>3.31420841496408</v>
      </c>
      <c r="DA71" s="88" t="n">
        <f aca="false">$AO$6*INDEX($Y$19:$AB$19,1,B71-2026)/12</f>
        <v>7.675</v>
      </c>
      <c r="DB71" s="88" t="n">
        <f aca="false">CZ71+DB70</f>
        <v>75.5457918150717</v>
      </c>
      <c r="DC71" s="88" t="n">
        <f aca="false">DA71+DC70</f>
        <v>73.3</v>
      </c>
      <c r="DD71" s="88" t="n">
        <f aca="false">MAX(DD70,DB71-DC71)</f>
        <v>37.132124495359</v>
      </c>
      <c r="DE71" s="88" t="n">
        <f aca="false">DD71-DD70</f>
        <v>0</v>
      </c>
      <c r="DF71" s="88" t="n">
        <f aca="false">IF(B71=2026,INDEX($C$20:$Q$20,1,B71-2025)*$AO$4*C71/MAX(0.0001,12-$AO$3),INDEX($C$20:$Q$20,1,B71-2025)/12)</f>
        <v>2.70107985819573</v>
      </c>
      <c r="DG71" s="88" t="n">
        <f aca="false">$AO$6*INDEX($Y$20:$AB$20,1,B71-2026)/12</f>
        <v>0</v>
      </c>
      <c r="DH71" s="88" t="n">
        <f aca="false">DF71+DH70</f>
        <v>61.5698203292834</v>
      </c>
      <c r="DI71" s="88" t="n">
        <f aca="false">DG71+DI70</f>
        <v>0</v>
      </c>
      <c r="DJ71" s="88" t="n">
        <f aca="false">MAX(DJ70,DH71-DI71)</f>
        <v>61.5698203292834</v>
      </c>
      <c r="DK71" s="88" t="n">
        <f aca="false">DJ71-DJ70</f>
        <v>2.70107985819573</v>
      </c>
      <c r="DL71" s="88" t="n">
        <f aca="false">IF(B71=2026,INDEX($C$21:$Q$21,1,B71-2025)*$AO$4*C71/MAX(0.0001,12-$AO$3),INDEX($C$21:$Q$21,1,B71-2025)/12)</f>
        <v>1.88909879652953</v>
      </c>
      <c r="DM71" s="88" t="n">
        <f aca="false">$AO$6*INDEX($Y$21:$AB$21,1,B71-2026)/12</f>
        <v>3.05833333333333</v>
      </c>
      <c r="DN71" s="88" t="n">
        <f aca="false">DL71+DN70</f>
        <v>43.0611013345909</v>
      </c>
      <c r="DO71" s="88" t="n">
        <f aca="false">DM71+DO70</f>
        <v>34.6666666666667</v>
      </c>
      <c r="DP71" s="88" t="n">
        <f aca="false">MAX(DP70,DN71-DO71)</f>
        <v>17.7483109623547</v>
      </c>
      <c r="DQ71" s="88" t="n">
        <f aca="false">DP71-DP70</f>
        <v>0</v>
      </c>
      <c r="DR71" s="88" t="n">
        <f aca="false">IF(B71=2026,INDEX($C$22:$Q$22,1,B71-2025)*$AO$4*C71/MAX(0.0001,12-$AO$3),INDEX($C$22:$Q$22,1,B71-2025)/12)</f>
        <v>1.47482274465902</v>
      </c>
      <c r="DS71" s="88" t="n">
        <f aca="false">$AO$6*INDEX($Y$22:$AB$22,1,B71-2026)/12</f>
        <v>0.816666666666667</v>
      </c>
      <c r="DT71" s="88" t="n">
        <f aca="false">DR71+DT70</f>
        <v>33.6178773577069</v>
      </c>
      <c r="DU71" s="88" t="n">
        <f aca="false">DS71+DU70</f>
        <v>23.1333333333333</v>
      </c>
      <c r="DV71" s="88" t="n">
        <f aca="false">MAX(DV70,DT71-DU71)</f>
        <v>10.4845440243735</v>
      </c>
      <c r="DW71" s="88" t="n">
        <f aca="false">DV71-DV70</f>
        <v>0.658156077992349</v>
      </c>
      <c r="DX71" s="88" t="n">
        <f aca="false">IF(B71=2026,INDEX($C$23:$Q$23,1,B71-2025)*$AO$4*C71/MAX(0.0001,12-$AO$3),INDEX($C$23:$Q$23,1,B71-2025)/12)</f>
        <v>2.36965901669932</v>
      </c>
      <c r="DY71" s="88" t="n">
        <f aca="false">$AO$6*INDEX($Y$23:$AB$23,1,B71-2026)/12</f>
        <v>7.14166666666667</v>
      </c>
      <c r="DZ71" s="88" t="n">
        <f aca="false">DX71+DZ70</f>
        <v>54.0152411477762</v>
      </c>
      <c r="EA71" s="88" t="n">
        <f aca="false">DY71+EA70</f>
        <v>57.1333333333333</v>
      </c>
      <c r="EB71" s="88" t="n">
        <f aca="false">MAX(EB70,DZ71-EA71)</f>
        <v>35.0579690141817</v>
      </c>
      <c r="EC71" s="88" t="n">
        <f aca="false">EB71-EB70</f>
        <v>0</v>
      </c>
      <c r="ED71" s="88" t="n">
        <f aca="false">IF(B71=2026,INDEX($C$24:$Q$24,1,B71-2025)*$AO$4*C71/MAX(0.0001,12-$AO$3),INDEX($C$24:$Q$24,1,B71-2025)/12)</f>
        <v>1.4582517025842</v>
      </c>
      <c r="EE71" s="88" t="n">
        <f aca="false">$AO$6*INDEX($Y$24:$AB$24,1,B71-2026)/12</f>
        <v>0</v>
      </c>
      <c r="EF71" s="88" t="n">
        <f aca="false">ED71+EF70</f>
        <v>33.2401483986315</v>
      </c>
      <c r="EG71" s="88" t="n">
        <f aca="false">EE71+EG70</f>
        <v>0</v>
      </c>
      <c r="EH71" s="88" t="n">
        <f aca="false">MAX(EH70,EF71-EG71)</f>
        <v>33.2401483986315</v>
      </c>
      <c r="EI71" s="88" t="n">
        <f aca="false">EH71-EH70</f>
        <v>1.4582517025842</v>
      </c>
      <c r="EJ71" s="88" t="n">
        <f aca="false">IF(B71=2026,INDEX($C$25:$Q$25,1,B71-2025)*$AO$4*C71/MAX(0.0001,12-$AO$3),INDEX($C$25:$Q$25,1,B71-2025)/12)</f>
        <v>1.85595671237989</v>
      </c>
      <c r="EK71" s="88" t="n">
        <f aca="false">$AO$6*INDEX($Y$25:$AB$25,1,B71-2026)/12</f>
        <v>0</v>
      </c>
      <c r="EL71" s="88" t="n">
        <f aca="false">EJ71+EL70</f>
        <v>42.3056434164401</v>
      </c>
      <c r="EM71" s="88" t="n">
        <f aca="false">EK71+EM70</f>
        <v>14</v>
      </c>
      <c r="EN71" s="88" t="n">
        <f aca="false">MAX(EN70,EL71-EM71)</f>
        <v>28.3056434164401</v>
      </c>
      <c r="EO71" s="88" t="n">
        <f aca="false">EN71-EN70</f>
        <v>1.85595671237989</v>
      </c>
      <c r="EP71" s="88" t="n">
        <f aca="false">IF(B71=2026,INDEX($C$26:$Q$26,1,B71-2025)*$AO$4*C71/MAX(0.0001,12-$AO$3),INDEX($C$26:$Q$26,1,B71-2025)/12)</f>
        <v>2.66793777404609</v>
      </c>
      <c r="EQ71" s="88" t="n">
        <f aca="false">$AO$6*INDEX($Y$26:$AB$26,1,B71-2026)/12</f>
        <v>0.025</v>
      </c>
      <c r="ER71" s="88" t="n">
        <f aca="false">EP71+ER70</f>
        <v>60.8143624111327</v>
      </c>
      <c r="ES71" s="88" t="n">
        <f aca="false">EQ71+ES70</f>
        <v>3.9</v>
      </c>
      <c r="ET71" s="88" t="n">
        <f aca="false">MAX(ET70,ER71-ES71)</f>
        <v>56.9143624111327</v>
      </c>
      <c r="EU71" s="88" t="n">
        <f aca="false">ET71-ET70</f>
        <v>2.64293777404609</v>
      </c>
      <c r="EV71" s="88" t="n">
        <f aca="false">IF(B71=2026,INDEX($C$27:$Q$27,1,B71-2025)*$AO$4*C71/MAX(0.0001,12-$AO$3),INDEX($C$27:$Q$27,1,B71-2025)/12)</f>
        <v>6.62841682992816</v>
      </c>
      <c r="EW71" s="88" t="n">
        <f aca="false">$AO$6*INDEX($Y$27:$AB$27,1,B71-2026)/12</f>
        <v>11.1166666666667</v>
      </c>
      <c r="EX71" s="88" t="n">
        <f aca="false">EV71+EX70</f>
        <v>151.091583630143</v>
      </c>
      <c r="EY71" s="88" t="n">
        <f aca="false">EW71+EY70</f>
        <v>274.033333333333</v>
      </c>
      <c r="EZ71" s="88" t="n">
        <f aca="false">MAX(EZ70,EX71-EY71)</f>
        <v>0</v>
      </c>
      <c r="FA71" s="88" t="n">
        <f aca="false">EZ71-EZ70</f>
        <v>0</v>
      </c>
      <c r="FB71" s="88" t="n">
        <f aca="false">IF(B71=2026,INDEX($C$28:$Q$28,1,B71-2025)*$AO$4*C71/MAX(0.0001,12-$AO$3),INDEX($C$28:$Q$28,1,B71-2025)/12)</f>
        <v>34.6997621046739</v>
      </c>
      <c r="FC71" s="88" t="n">
        <f aca="false">$AO$6*INDEX($Y$28:$AB$28,1,B71-2026)/12</f>
        <v>3.19166666666667</v>
      </c>
      <c r="FD71" s="88" t="n">
        <f aca="false">FB71+FD70</f>
        <v>790.964440303801</v>
      </c>
      <c r="FE71" s="88" t="n">
        <f aca="false">FC71+FE70</f>
        <v>131.533333333333</v>
      </c>
      <c r="FF71" s="88" t="n">
        <f aca="false">MAX(FF70,FD71-FE71)</f>
        <v>659.431106970467</v>
      </c>
      <c r="FG71" s="88" t="n">
        <f aca="false">FF71-FF70</f>
        <v>31.5080954380073</v>
      </c>
    </row>
    <row r="72" customFormat="false" ht="15" hidden="false" customHeight="false" outlineLevel="0" collapsed="false">
      <c r="A72" s="0" t="n">
        <v>32</v>
      </c>
      <c r="B72" s="88" t="n">
        <f aca="false">2026+INT(A72/12)</f>
        <v>2028</v>
      </c>
      <c r="C72" s="88" t="n">
        <f aca="false">MAX(0,MIN(1,A72+1-$AO$3))</f>
        <v>1</v>
      </c>
      <c r="D72" s="88" t="n">
        <f aca="false">IF((A72+0.5-(0))&lt;$AO$3,0,2026+INT((A72+0.5-(0))/12))</f>
        <v>2028</v>
      </c>
      <c r="E72" s="88" t="n">
        <f aca="false">IF((A72+0.5-($AO$9))&lt;$AO$3,0,2026+INT((A72+0.5-($AO$9))/12))</f>
        <v>2027</v>
      </c>
      <c r="F72" s="88" t="n">
        <f aca="false">IF((A72+0.5-($AO$9+$AO$8))&lt;$AO$3,0,2026+INT((A72+0.5-($AO$9+$AO$8))/12))</f>
        <v>0</v>
      </c>
      <c r="G72" s="88" t="n">
        <f aca="false">IF((A72+0.5-($AO$9+$AO$8+$AO$7))&lt;$AO$3,0,2026+INT((A72+0.5-($AO$9+$AO$8+$AO$7))/12))</f>
        <v>0</v>
      </c>
      <c r="H72" s="88" t="n">
        <f aca="false">IF(B72=2026,INDEX($C$3:$Q$3,1,B72-2025)*$AO$4*C72/MAX(0.0001,12-$AO$3),INDEX($C$3:$Q$3,1,B72-2025)/12)</f>
        <v>355.25</v>
      </c>
      <c r="I72" s="88" t="n">
        <f aca="false">$AO$6*INDEX($Y$3:$AB$3,1,B72-2026)/12</f>
        <v>143.766666666667</v>
      </c>
      <c r="J72" s="88" t="n">
        <f aca="false">H72+J71</f>
        <v>8453.00342465753</v>
      </c>
      <c r="K72" s="88" t="n">
        <f aca="false">I72+K71</f>
        <v>3884.8</v>
      </c>
      <c r="L72" s="88" t="n">
        <f aca="false">MAX(L71,J72-K72)</f>
        <v>4568.20342465753</v>
      </c>
      <c r="M72" s="88" t="n">
        <f aca="false">L72-L71</f>
        <v>211.483333333334</v>
      </c>
      <c r="N72" s="88" t="n">
        <f aca="false">IF(B72=2026,INDEX($C$4:$Q$4,1,B72-2025)*$AO$4*C72/MAX(0.0001,12-$AO$3),INDEX($C$4:$Q$4,1,B72-2025)/12)</f>
        <v>10.7700632578534</v>
      </c>
      <c r="O72" s="88" t="n">
        <f aca="false">$AO$6*INDEX($Y$4:$AB$4,1,B72-2026)/12</f>
        <v>7.75</v>
      </c>
      <c r="P72" s="88" t="n">
        <f aca="false">N72+P71</f>
        <v>256.268491491661</v>
      </c>
      <c r="Q72" s="88" t="n">
        <f aca="false">O72+Q71</f>
        <v>201.45</v>
      </c>
      <c r="R72" s="88" t="n">
        <f aca="false">MAX(R71,P72-Q72)</f>
        <v>54.8184914916614</v>
      </c>
      <c r="S72" s="88" t="n">
        <f aca="false">R72-R71</f>
        <v>3.02006325785334</v>
      </c>
      <c r="T72" s="88" t="n">
        <f aca="false">IF(B72=2026,INDEX($C$5:$Q$5,1,B72-2025)*$AO$4*C72/MAX(0.0001,12-$AO$3),INDEX($C$5:$Q$5,1,B72-2025)/12)</f>
        <v>43.7734247619348</v>
      </c>
      <c r="U72" s="88" t="n">
        <f aca="false">$AO$6*INDEX($Y$5:$AB$5,1,B72-2026)/12</f>
        <v>28.1083333333333</v>
      </c>
      <c r="V72" s="88" t="n">
        <f aca="false">T72+V71</f>
        <v>1041.56765495179</v>
      </c>
      <c r="W72" s="88" t="n">
        <f aca="false">U72+W71</f>
        <v>623.675</v>
      </c>
      <c r="X72" s="88" t="n">
        <f aca="false">MAX(X71,V72-W72)</f>
        <v>417.892654951792</v>
      </c>
      <c r="Y72" s="88" t="n">
        <f aca="false">X72-X71</f>
        <v>15.6650914286014</v>
      </c>
      <c r="Z72" s="88" t="n">
        <f aca="false">IF(B72=2026,INDEX($C$6:$Q$6,1,B72-2025)*$AO$4*C72/MAX(0.0001,12-$AO$3),INDEX($C$6:$Q$6,1,B72-2025)/12)</f>
        <v>51.933610116259</v>
      </c>
      <c r="AA72" s="88" t="n">
        <f aca="false">$AO$6*INDEX($Y$6:$AB$6,1,B72-2026)/12</f>
        <v>1.95</v>
      </c>
      <c r="AB72" s="88" t="n">
        <f aca="false">Z72+AB71</f>
        <v>1235.7353530403</v>
      </c>
      <c r="AC72" s="88" t="n">
        <f aca="false">AA72+AC71</f>
        <v>620.250000000001</v>
      </c>
      <c r="AD72" s="88" t="n">
        <f aca="false">MAX(AD71,AB72-AC72)</f>
        <v>615.485353040298</v>
      </c>
      <c r="AE72" s="88" t="n">
        <f aca="false">AD72-AD71</f>
        <v>49.9836101162589</v>
      </c>
      <c r="AF72" s="88" t="n">
        <f aca="false">IF(B72=2026,INDEX($C$7:$Q$7,1,B72-2025)*$AO$4*C72/MAX(0.0001,12-$AO$3),INDEX($C$7:$Q$7,1,B72-2025)/12)</f>
        <v>45.11289896006</v>
      </c>
      <c r="AG72" s="88" t="n">
        <f aca="false">$AO$6*INDEX($Y$7:$AB$7,1,B72-2026)/12</f>
        <v>20.2</v>
      </c>
      <c r="AH72" s="88" t="n">
        <f aca="false">AF72+AH71</f>
        <v>1073.43980128252</v>
      </c>
      <c r="AI72" s="88" t="n">
        <f aca="false">AG72+AI71</f>
        <v>281.1</v>
      </c>
      <c r="AJ72" s="88" t="n">
        <f aca="false">MAX(AJ71,AH72-AI72)</f>
        <v>792.339801282523</v>
      </c>
      <c r="AK72" s="88" t="n">
        <f aca="false">AJ72-AJ71</f>
        <v>24.9128989600599</v>
      </c>
      <c r="AL72" s="88" t="n">
        <f aca="false">IF(B72=2026,INDEX($C$8:$Q$8,1,B72-2025)*$AO$4*C72/MAX(0.0001,12-$AO$3),INDEX($C$8:$Q$8,1,B72-2025)/12)</f>
        <v>11.4114321188341</v>
      </c>
      <c r="AM72" s="88" t="n">
        <f aca="false">$AO$6*INDEX($Y$8:$AB$8,1,B72-2026)/12</f>
        <v>1.95833333333333</v>
      </c>
      <c r="AN72" s="88" t="n">
        <f aca="false">AL72+AN71</f>
        <v>271.52955603308</v>
      </c>
      <c r="AO72" s="88" t="n">
        <f aca="false">AM72+AO71</f>
        <v>43.625</v>
      </c>
      <c r="AP72" s="88" t="n">
        <f aca="false">MAX(AP71,AN72-AO72)</f>
        <v>227.904556033079</v>
      </c>
      <c r="AQ72" s="88" t="n">
        <f aca="false">AP72-AP71</f>
        <v>9.45309878550071</v>
      </c>
      <c r="AR72" s="88" t="n">
        <f aca="false">IF(B72=2026,INDEX($C$9:$Q$9,1,B72-2025)*$AO$4*C72/MAX(0.0001,12-$AO$3),INDEX($C$9:$Q$9,1,B72-2025)/12)</f>
        <v>48.6576953186344</v>
      </c>
      <c r="AS72" s="88" t="n">
        <f aca="false">$AO$6*INDEX($Y$9:$AB$9,1,B72-2026)/12</f>
        <v>28.6333333333333</v>
      </c>
      <c r="AT72" s="88" t="n">
        <f aca="false">AR72+AT71</f>
        <v>1157.7865310749</v>
      </c>
      <c r="AU72" s="88" t="n">
        <f aca="false">AS72+AU71</f>
        <v>805.8</v>
      </c>
      <c r="AV72" s="88" t="n">
        <f aca="false">MAX(AV71,AT72-AU72)</f>
        <v>351.986531074902</v>
      </c>
      <c r="AW72" s="88" t="n">
        <f aca="false">AV72-AV71</f>
        <v>20.024361985301</v>
      </c>
      <c r="AX72" s="88" t="n">
        <f aca="false">IF(B72=2026,INDEX($C$10:$Q$10,1,B72-2025)*$AO$4*C72/MAX(0.0001,12-$AO$3),INDEX($C$10:$Q$10,1,B72-2025)/12)</f>
        <v>5.64404597663043</v>
      </c>
      <c r="AY72" s="88" t="n">
        <f aca="false">$AO$6*INDEX($Y$10:$AB$10,1,B72-2026)/12</f>
        <v>2.50833333333333</v>
      </c>
      <c r="AZ72" s="88" t="n">
        <f aca="false">AX72+AZ71</f>
        <v>134.29736796448</v>
      </c>
      <c r="BA72" s="88" t="n">
        <f aca="false">AY72+BA71</f>
        <v>22.575</v>
      </c>
      <c r="BB72" s="88" t="n">
        <f aca="false">MAX(BB71,AZ72-BA72)</f>
        <v>111.72236796448</v>
      </c>
      <c r="BC72" s="88" t="n">
        <f aca="false">BB72-BB71</f>
        <v>3.13571264329708</v>
      </c>
      <c r="BD72" s="88" t="n">
        <f aca="false">IF(B72=2026,INDEX($C$11:$Q$11,1,B72-2025)*$AO$4*C72/MAX(0.0001,12-$AO$3),INDEX($C$11:$Q$11,1,B72-2025)/12)</f>
        <v>28.0475536513497</v>
      </c>
      <c r="BE72" s="88" t="n">
        <f aca="false">$AO$6*INDEX($Y$11:$AB$11,1,B72-2026)/12</f>
        <v>8.70833333333333</v>
      </c>
      <c r="BF72" s="88" t="n">
        <f aca="false">BD72+BF71</f>
        <v>667.378091676636</v>
      </c>
      <c r="BG72" s="88" t="n">
        <f aca="false">BE72+BG71</f>
        <v>187.775</v>
      </c>
      <c r="BH72" s="88" t="n">
        <f aca="false">MAX(BH71,BF72-BG72)</f>
        <v>479.603091676636</v>
      </c>
      <c r="BI72" s="88" t="n">
        <f aca="false">BH72-BH71</f>
        <v>19.3392203180164</v>
      </c>
      <c r="BJ72" s="88" t="n">
        <f aca="false">IF(B72=2026,INDEX($C$12:$Q$12,1,B72-2025)*$AO$4*C72/MAX(0.0001,12-$AO$3),INDEX($C$12:$Q$12,1,B72-2025)/12)</f>
        <v>15.3780518436687</v>
      </c>
      <c r="BK72" s="88" t="n">
        <f aca="false">$AO$6*INDEX($Y$12:$AB$12,1,B72-2026)/12</f>
        <v>1.275</v>
      </c>
      <c r="BL72" s="88" t="n">
        <f aca="false">BJ72+BL71</f>
        <v>365.913370581543</v>
      </c>
      <c r="BM72" s="88" t="n">
        <f aca="false">BK72+BM71</f>
        <v>55.975</v>
      </c>
      <c r="BN72" s="88" t="n">
        <f aca="false">MAX(BN71,BL72-BM72)</f>
        <v>309.938370581543</v>
      </c>
      <c r="BO72" s="88" t="n">
        <f aca="false">BN72-BN71</f>
        <v>14.1030518436688</v>
      </c>
      <c r="BP72" s="88" t="n">
        <f aca="false">IF(B72=2026,INDEX($C$13:$Q$13,1,B72-2025)*$AO$4*C72/MAX(0.0001,12-$AO$3),INDEX($C$13:$Q$13,1,B72-2025)/12)</f>
        <v>4.80560220169792</v>
      </c>
      <c r="BQ72" s="88" t="n">
        <f aca="false">$AO$6*INDEX($Y$13:$AB$13,1,B72-2026)/12</f>
        <v>4.78333333333333</v>
      </c>
      <c r="BR72" s="88" t="n">
        <f aca="false">BP72+BR71</f>
        <v>114.347000333552</v>
      </c>
      <c r="BS72" s="88" t="n">
        <f aca="false">BQ72+BS71</f>
        <v>43.05</v>
      </c>
      <c r="BT72" s="88" t="n">
        <f aca="false">MAX(BT71,BR72-BS72)</f>
        <v>71.2970003335519</v>
      </c>
      <c r="BU72" s="88" t="n">
        <f aca="false">BT72-BT71</f>
        <v>0.0222688683645913</v>
      </c>
      <c r="BV72" s="88" t="n">
        <f aca="false">IF(B72=2026,INDEX($C$14:$Q$14,1,B72-2025)*$AO$4*C72/MAX(0.0001,12-$AO$3),INDEX($C$14:$Q$14,1,B72-2025)/12)</f>
        <v>2.85021923686911</v>
      </c>
      <c r="BW72" s="88" t="n">
        <f aca="false">$AO$6*INDEX($Y$14:$AB$14,1,B72-2026)/12</f>
        <v>0</v>
      </c>
      <c r="BX72" s="88" t="n">
        <f aca="false">BV72+BX71</f>
        <v>67.8196001978307</v>
      </c>
      <c r="BY72" s="88" t="n">
        <f aca="false">BW72+BY71</f>
        <v>0</v>
      </c>
      <c r="BZ72" s="88" t="n">
        <f aca="false">MAX(BZ71,BX72-BY72)</f>
        <v>67.8196001978307</v>
      </c>
      <c r="CA72" s="88" t="n">
        <f aca="false">BZ72-BZ71</f>
        <v>2.85021923686911</v>
      </c>
      <c r="CB72" s="88" t="n">
        <f aca="false">IF(B72=2026,INDEX($C$15:$Q$15,1,B72-2025)*$AO$4*C72/MAX(0.0001,12-$AO$3),INDEX($C$15:$Q$15,1,B72-2025)/12)</f>
        <v>4.67303386509936</v>
      </c>
      <c r="CC72" s="88" t="n">
        <f aca="false">$AO$6*INDEX($Y$15:$AB$15,1,B72-2026)/12</f>
        <v>0.683333333333333</v>
      </c>
      <c r="CD72" s="88" t="n">
        <f aca="false">CB72+CD71</f>
        <v>111.19260032435</v>
      </c>
      <c r="CE72" s="88" t="n">
        <f aca="false">CC72+CE71</f>
        <v>80.15</v>
      </c>
      <c r="CF72" s="88" t="n">
        <f aca="false">MAX(CF71,CD72-CE72)</f>
        <v>31.0426003243504</v>
      </c>
      <c r="CG72" s="88" t="n">
        <f aca="false">CF72-CF71</f>
        <v>3.98970053176602</v>
      </c>
      <c r="CH72" s="88" t="n">
        <f aca="false">IF(B72=2026,INDEX($C$16:$Q$16,1,B72-2025)*$AO$4*C72/MAX(0.0001,12-$AO$3),INDEX($C$16:$Q$16,1,B72-2025)/12)</f>
        <v>3.69534238268495</v>
      </c>
      <c r="CI72" s="88" t="n">
        <f aca="false">$AO$6*INDEX($Y$16:$AB$16,1,B72-2026)/12</f>
        <v>0.833333333333333</v>
      </c>
      <c r="CJ72" s="88" t="n">
        <f aca="false">CH72+CJ71</f>
        <v>87.9289002564899</v>
      </c>
      <c r="CK72" s="88" t="n">
        <f aca="false">CI72+CK71</f>
        <v>67.5</v>
      </c>
      <c r="CL72" s="88" t="n">
        <f aca="false">MAX(CL71,CJ72-CK72)</f>
        <v>20.4289002564899</v>
      </c>
      <c r="CM72" s="88" t="n">
        <f aca="false">CL72-CL71</f>
        <v>2.86200904935163</v>
      </c>
      <c r="CN72" s="88" t="n">
        <f aca="false">IF(B72=2026,INDEX($C$17:$Q$17,1,B72-2025)*$AO$4*C72/MAX(0.0001,12-$AO$3),INDEX($C$17:$Q$17,1,B72-2025)/12)</f>
        <v>16.0904818546506</v>
      </c>
      <c r="CO72" s="88" t="n">
        <f aca="false">$AO$6*INDEX($Y$17:$AB$17,1,B72-2026)/12</f>
        <v>3.35</v>
      </c>
      <c r="CP72" s="88" t="n">
        <f aca="false">CN72+CP71</f>
        <v>382.865301116824</v>
      </c>
      <c r="CQ72" s="88" t="n">
        <f aca="false">CO72+CQ71</f>
        <v>196.15</v>
      </c>
      <c r="CR72" s="88" t="n">
        <f aca="false">MAX(CR71,CP72-CQ72)</f>
        <v>186.715301116824</v>
      </c>
      <c r="CS72" s="88" t="n">
        <f aca="false">CR72-CR71</f>
        <v>12.7404818546507</v>
      </c>
      <c r="CT72" s="88" t="n">
        <f aca="false">IF(B72=2026,INDEX($C$18:$Q$18,1,B72-2025)*$AO$4*C72/MAX(0.0001,12-$AO$3),INDEX($C$18:$Q$18,1,B72-2025)/12)</f>
        <v>3.34735049911372</v>
      </c>
      <c r="CU72" s="88" t="n">
        <f aca="false">$AO$6*INDEX($Y$18:$AB$18,1,B72-2026)/12</f>
        <v>0</v>
      </c>
      <c r="CV72" s="88" t="n">
        <f aca="false">CT72+CV71</f>
        <v>79.6486002323362</v>
      </c>
      <c r="CW72" s="88" t="n">
        <f aca="false">CU72+CW71</f>
        <v>11</v>
      </c>
      <c r="CX72" s="88" t="n">
        <f aca="false">MAX(CX71,CV72-CW72)</f>
        <v>68.6486002323362</v>
      </c>
      <c r="CY72" s="88" t="n">
        <f aca="false">CX72-CX71</f>
        <v>3.34735049911373</v>
      </c>
      <c r="CZ72" s="88" t="n">
        <f aca="false">IF(B72=2026,INDEX($C$19:$Q$19,1,B72-2025)*$AO$4*C72/MAX(0.0001,12-$AO$3),INDEX($C$19:$Q$19,1,B72-2025)/12)</f>
        <v>3.31420841496408</v>
      </c>
      <c r="DA72" s="88" t="n">
        <f aca="false">$AO$6*INDEX($Y$19:$AB$19,1,B72-2026)/12</f>
        <v>7.675</v>
      </c>
      <c r="DB72" s="88" t="n">
        <f aca="false">CZ72+DB71</f>
        <v>78.8600002300358</v>
      </c>
      <c r="DC72" s="88" t="n">
        <f aca="false">DA72+DC71</f>
        <v>80.975</v>
      </c>
      <c r="DD72" s="88" t="n">
        <f aca="false">MAX(DD71,DB72-DC72)</f>
        <v>37.132124495359</v>
      </c>
      <c r="DE72" s="88" t="n">
        <f aca="false">DD72-DD71</f>
        <v>0</v>
      </c>
      <c r="DF72" s="88" t="n">
        <f aca="false">IF(B72=2026,INDEX($C$20:$Q$20,1,B72-2025)*$AO$4*C72/MAX(0.0001,12-$AO$3),INDEX($C$20:$Q$20,1,B72-2025)/12)</f>
        <v>2.70107985819573</v>
      </c>
      <c r="DG72" s="88" t="n">
        <f aca="false">$AO$6*INDEX($Y$20:$AB$20,1,B72-2026)/12</f>
        <v>0</v>
      </c>
      <c r="DH72" s="88" t="n">
        <f aca="false">DF72+DH71</f>
        <v>64.2709001874791</v>
      </c>
      <c r="DI72" s="88" t="n">
        <f aca="false">DG72+DI71</f>
        <v>0</v>
      </c>
      <c r="DJ72" s="88" t="n">
        <f aca="false">MAX(DJ71,DH72-DI72)</f>
        <v>64.2709001874791</v>
      </c>
      <c r="DK72" s="88" t="n">
        <f aca="false">DJ72-DJ71</f>
        <v>2.70107985819573</v>
      </c>
      <c r="DL72" s="88" t="n">
        <f aca="false">IF(B72=2026,INDEX($C$21:$Q$21,1,B72-2025)*$AO$4*C72/MAX(0.0001,12-$AO$3),INDEX($C$21:$Q$21,1,B72-2025)/12)</f>
        <v>1.88909879652953</v>
      </c>
      <c r="DM72" s="88" t="n">
        <f aca="false">$AO$6*INDEX($Y$21:$AB$21,1,B72-2026)/12</f>
        <v>3.05833333333333</v>
      </c>
      <c r="DN72" s="88" t="n">
        <f aca="false">DL72+DN71</f>
        <v>44.9502001311204</v>
      </c>
      <c r="DO72" s="88" t="n">
        <f aca="false">DM72+DO71</f>
        <v>37.725</v>
      </c>
      <c r="DP72" s="88" t="n">
        <f aca="false">MAX(DP71,DN72-DO72)</f>
        <v>17.7483109623547</v>
      </c>
      <c r="DQ72" s="88" t="n">
        <f aca="false">DP72-DP71</f>
        <v>0</v>
      </c>
      <c r="DR72" s="88" t="n">
        <f aca="false">IF(B72=2026,INDEX($C$22:$Q$22,1,B72-2025)*$AO$4*C72/MAX(0.0001,12-$AO$3),INDEX($C$22:$Q$22,1,B72-2025)/12)</f>
        <v>1.47482274465902</v>
      </c>
      <c r="DS72" s="88" t="n">
        <f aca="false">$AO$6*INDEX($Y$22:$AB$22,1,B72-2026)/12</f>
        <v>0.816666666666667</v>
      </c>
      <c r="DT72" s="88" t="n">
        <f aca="false">DR72+DT71</f>
        <v>35.0927001023659</v>
      </c>
      <c r="DU72" s="88" t="n">
        <f aca="false">DS72+DU71</f>
        <v>23.95</v>
      </c>
      <c r="DV72" s="88" t="n">
        <f aca="false">MAX(DV71,DT72-DU72)</f>
        <v>11.1427001023659</v>
      </c>
      <c r="DW72" s="88" t="n">
        <f aca="false">DV72-DV71</f>
        <v>0.658156077992349</v>
      </c>
      <c r="DX72" s="88" t="n">
        <f aca="false">IF(B72=2026,INDEX($C$23:$Q$23,1,B72-2025)*$AO$4*C72/MAX(0.0001,12-$AO$3),INDEX($C$23:$Q$23,1,B72-2025)/12)</f>
        <v>2.36965901669932</v>
      </c>
      <c r="DY72" s="88" t="n">
        <f aca="false">$AO$6*INDEX($Y$23:$AB$23,1,B72-2026)/12</f>
        <v>7.14166666666667</v>
      </c>
      <c r="DZ72" s="88" t="n">
        <f aca="false">DX72+DZ71</f>
        <v>56.3849001644756</v>
      </c>
      <c r="EA72" s="88" t="n">
        <f aca="false">DY72+EA71</f>
        <v>64.275</v>
      </c>
      <c r="EB72" s="88" t="n">
        <f aca="false">MAX(EB71,DZ72-EA72)</f>
        <v>35.0579690141817</v>
      </c>
      <c r="EC72" s="88" t="n">
        <f aca="false">EB72-EB71</f>
        <v>0</v>
      </c>
      <c r="ED72" s="88" t="n">
        <f aca="false">IF(B72=2026,INDEX($C$24:$Q$24,1,B72-2025)*$AO$4*C72/MAX(0.0001,12-$AO$3),INDEX($C$24:$Q$24,1,B72-2025)/12)</f>
        <v>1.4582517025842</v>
      </c>
      <c r="EE72" s="88" t="n">
        <f aca="false">$AO$6*INDEX($Y$24:$AB$24,1,B72-2026)/12</f>
        <v>0</v>
      </c>
      <c r="EF72" s="88" t="n">
        <f aca="false">ED72+EF71</f>
        <v>34.6984001012157</v>
      </c>
      <c r="EG72" s="88" t="n">
        <f aca="false">EE72+EG71</f>
        <v>0</v>
      </c>
      <c r="EH72" s="88" t="n">
        <f aca="false">MAX(EH71,EF72-EG72)</f>
        <v>34.6984001012157</v>
      </c>
      <c r="EI72" s="88" t="n">
        <f aca="false">EH72-EH71</f>
        <v>1.4582517025842</v>
      </c>
      <c r="EJ72" s="88" t="n">
        <f aca="false">IF(B72=2026,INDEX($C$25:$Q$25,1,B72-2025)*$AO$4*C72/MAX(0.0001,12-$AO$3),INDEX($C$25:$Q$25,1,B72-2025)/12)</f>
        <v>1.85595671237989</v>
      </c>
      <c r="EK72" s="88" t="n">
        <f aca="false">$AO$6*INDEX($Y$25:$AB$25,1,B72-2026)/12</f>
        <v>0</v>
      </c>
      <c r="EL72" s="88" t="n">
        <f aca="false">EJ72+EL71</f>
        <v>44.16160012882</v>
      </c>
      <c r="EM72" s="88" t="n">
        <f aca="false">EK72+EM71</f>
        <v>14</v>
      </c>
      <c r="EN72" s="88" t="n">
        <f aca="false">MAX(EN71,EL72-EM72)</f>
        <v>30.16160012882</v>
      </c>
      <c r="EO72" s="88" t="n">
        <f aca="false">EN72-EN71</f>
        <v>1.85595671237989</v>
      </c>
      <c r="EP72" s="88" t="n">
        <f aca="false">IF(B72=2026,INDEX($C$26:$Q$26,1,B72-2025)*$AO$4*C72/MAX(0.0001,12-$AO$3),INDEX($C$26:$Q$26,1,B72-2025)/12)</f>
        <v>2.66793777404609</v>
      </c>
      <c r="EQ72" s="88" t="n">
        <f aca="false">$AO$6*INDEX($Y$26:$AB$26,1,B72-2026)/12</f>
        <v>0.025</v>
      </c>
      <c r="ER72" s="88" t="n">
        <f aca="false">EP72+ER71</f>
        <v>63.4823001851788</v>
      </c>
      <c r="ES72" s="88" t="n">
        <f aca="false">EQ72+ES71</f>
        <v>3.925</v>
      </c>
      <c r="ET72" s="88" t="n">
        <f aca="false">MAX(ET71,ER72-ES72)</f>
        <v>59.5573001851788</v>
      </c>
      <c r="EU72" s="88" t="n">
        <f aca="false">ET72-ET71</f>
        <v>2.64293777404609</v>
      </c>
      <c r="EV72" s="88" t="n">
        <f aca="false">IF(B72=2026,INDEX($C$27:$Q$27,1,B72-2025)*$AO$4*C72/MAX(0.0001,12-$AO$3),INDEX($C$27:$Q$27,1,B72-2025)/12)</f>
        <v>6.62841682992816</v>
      </c>
      <c r="EW72" s="88" t="n">
        <f aca="false">$AO$6*INDEX($Y$27:$AB$27,1,B72-2026)/12</f>
        <v>11.1166666666667</v>
      </c>
      <c r="EX72" s="88" t="n">
        <f aca="false">EV72+EX71</f>
        <v>157.720000460072</v>
      </c>
      <c r="EY72" s="88" t="n">
        <f aca="false">EW72+EY71</f>
        <v>285.15</v>
      </c>
      <c r="EZ72" s="88" t="n">
        <f aca="false">MAX(EZ71,EX72-EY72)</f>
        <v>0</v>
      </c>
      <c r="FA72" s="88" t="n">
        <f aca="false">EZ72-EZ71</f>
        <v>0</v>
      </c>
      <c r="FB72" s="88" t="n">
        <f aca="false">IF(B72=2026,INDEX($C$28:$Q$28,1,B72-2025)*$AO$4*C72/MAX(0.0001,12-$AO$3),INDEX($C$28:$Q$28,1,B72-2025)/12)</f>
        <v>34.6997621046739</v>
      </c>
      <c r="FC72" s="88" t="n">
        <f aca="false">$AO$6*INDEX($Y$28:$AB$28,1,B72-2026)/12</f>
        <v>3.19166666666667</v>
      </c>
      <c r="FD72" s="88" t="n">
        <f aca="false">FB72+FD71</f>
        <v>825.664202408475</v>
      </c>
      <c r="FE72" s="88" t="n">
        <f aca="false">FC72+FE71</f>
        <v>134.725</v>
      </c>
      <c r="FF72" s="88" t="n">
        <f aca="false">MAX(FF71,FD72-FE72)</f>
        <v>690.939202408474</v>
      </c>
      <c r="FG72" s="88" t="n">
        <f aca="false">FF72-FF71</f>
        <v>31.5080954380072</v>
      </c>
    </row>
    <row r="73" customFormat="false" ht="15" hidden="false" customHeight="false" outlineLevel="0" collapsed="false">
      <c r="A73" s="0" t="n">
        <v>33</v>
      </c>
      <c r="B73" s="88" t="n">
        <f aca="false">2026+INT(A73/12)</f>
        <v>2028</v>
      </c>
      <c r="C73" s="88" t="n">
        <f aca="false">MAX(0,MIN(1,A73+1-$AO$3))</f>
        <v>1</v>
      </c>
      <c r="D73" s="88" t="n">
        <f aca="false">IF((A73+0.5-(0))&lt;$AO$3,0,2026+INT((A73+0.5-(0))/12))</f>
        <v>2028</v>
      </c>
      <c r="E73" s="88" t="n">
        <f aca="false">IF((A73+0.5-($AO$9))&lt;$AO$3,0,2026+INT((A73+0.5-($AO$9))/12))</f>
        <v>2027</v>
      </c>
      <c r="F73" s="88" t="n">
        <f aca="false">IF((A73+0.5-($AO$9+$AO$8))&lt;$AO$3,0,2026+INT((A73+0.5-($AO$9+$AO$8))/12))</f>
        <v>0</v>
      </c>
      <c r="G73" s="88" t="n">
        <f aca="false">IF((A73+0.5-($AO$9+$AO$8+$AO$7))&lt;$AO$3,0,2026+INT((A73+0.5-($AO$9+$AO$8+$AO$7))/12))</f>
        <v>0</v>
      </c>
      <c r="H73" s="88" t="n">
        <f aca="false">IF(B73=2026,INDEX($C$3:$Q$3,1,B73-2025)*$AO$4*C73/MAX(0.0001,12-$AO$3),INDEX($C$3:$Q$3,1,B73-2025)/12)</f>
        <v>355.25</v>
      </c>
      <c r="I73" s="88" t="n">
        <f aca="false">$AO$6*INDEX($Y$3:$AB$3,1,B73-2026)/12</f>
        <v>143.766666666667</v>
      </c>
      <c r="J73" s="88" t="n">
        <f aca="false">H73+J72</f>
        <v>8808.25342465753</v>
      </c>
      <c r="K73" s="88" t="n">
        <f aca="false">I73+K72</f>
        <v>4028.56666666667</v>
      </c>
      <c r="L73" s="88" t="n">
        <f aca="false">MAX(L72,J73-K73)</f>
        <v>4779.68675799087</v>
      </c>
      <c r="M73" s="88" t="n">
        <f aca="false">L73-L72</f>
        <v>211.483333333334</v>
      </c>
      <c r="N73" s="88" t="n">
        <f aca="false">IF(B73=2026,INDEX($C$4:$Q$4,1,B73-2025)*$AO$4*C73/MAX(0.0001,12-$AO$3),INDEX($C$4:$Q$4,1,B73-2025)/12)</f>
        <v>10.7700632578534</v>
      </c>
      <c r="O73" s="88" t="n">
        <f aca="false">$AO$6*INDEX($Y$4:$AB$4,1,B73-2026)/12</f>
        <v>7.75</v>
      </c>
      <c r="P73" s="88" t="n">
        <f aca="false">N73+P72</f>
        <v>267.038554749515</v>
      </c>
      <c r="Q73" s="88" t="n">
        <f aca="false">O73+Q72</f>
        <v>209.2</v>
      </c>
      <c r="R73" s="88" t="n">
        <f aca="false">MAX(R72,P73-Q73)</f>
        <v>57.8385547495147</v>
      </c>
      <c r="S73" s="88" t="n">
        <f aca="false">R73-R72</f>
        <v>3.02006325785334</v>
      </c>
      <c r="T73" s="88" t="n">
        <f aca="false">IF(B73=2026,INDEX($C$5:$Q$5,1,B73-2025)*$AO$4*C73/MAX(0.0001,12-$AO$3),INDEX($C$5:$Q$5,1,B73-2025)/12)</f>
        <v>43.7734247619348</v>
      </c>
      <c r="U73" s="88" t="n">
        <f aca="false">$AO$6*INDEX($Y$5:$AB$5,1,B73-2026)/12</f>
        <v>28.1083333333333</v>
      </c>
      <c r="V73" s="88" t="n">
        <f aca="false">T73+V72</f>
        <v>1085.34107971373</v>
      </c>
      <c r="W73" s="88" t="n">
        <f aca="false">U73+W72</f>
        <v>651.783333333333</v>
      </c>
      <c r="X73" s="88" t="n">
        <f aca="false">MAX(X72,V73-W73)</f>
        <v>433.557746380393</v>
      </c>
      <c r="Y73" s="88" t="n">
        <f aca="false">X73-X72</f>
        <v>15.6650914286015</v>
      </c>
      <c r="Z73" s="88" t="n">
        <f aca="false">IF(B73=2026,INDEX($C$6:$Q$6,1,B73-2025)*$AO$4*C73/MAX(0.0001,12-$AO$3),INDEX($C$6:$Q$6,1,B73-2025)/12)</f>
        <v>51.933610116259</v>
      </c>
      <c r="AA73" s="88" t="n">
        <f aca="false">$AO$6*INDEX($Y$6:$AB$6,1,B73-2026)/12</f>
        <v>1.95</v>
      </c>
      <c r="AB73" s="88" t="n">
        <f aca="false">Z73+AB72</f>
        <v>1287.66896315656</v>
      </c>
      <c r="AC73" s="88" t="n">
        <f aca="false">AA73+AC72</f>
        <v>622.200000000001</v>
      </c>
      <c r="AD73" s="88" t="n">
        <f aca="false">MAX(AD72,AB73-AC73)</f>
        <v>665.468963156557</v>
      </c>
      <c r="AE73" s="88" t="n">
        <f aca="false">AD73-AD72</f>
        <v>49.9836101162589</v>
      </c>
      <c r="AF73" s="88" t="n">
        <f aca="false">IF(B73=2026,INDEX($C$7:$Q$7,1,B73-2025)*$AO$4*C73/MAX(0.0001,12-$AO$3),INDEX($C$7:$Q$7,1,B73-2025)/12)</f>
        <v>45.11289896006</v>
      </c>
      <c r="AG73" s="88" t="n">
        <f aca="false">$AO$6*INDEX($Y$7:$AB$7,1,B73-2026)/12</f>
        <v>20.2</v>
      </c>
      <c r="AH73" s="88" t="n">
        <f aca="false">AF73+AH72</f>
        <v>1118.55270024258</v>
      </c>
      <c r="AI73" s="88" t="n">
        <f aca="false">AG73+AI72</f>
        <v>301.3</v>
      </c>
      <c r="AJ73" s="88" t="n">
        <f aca="false">MAX(AJ72,AH73-AI73)</f>
        <v>817.252700242583</v>
      </c>
      <c r="AK73" s="88" t="n">
        <f aca="false">AJ73-AJ72</f>
        <v>24.9128989600599</v>
      </c>
      <c r="AL73" s="88" t="n">
        <f aca="false">IF(B73=2026,INDEX($C$8:$Q$8,1,B73-2025)*$AO$4*C73/MAX(0.0001,12-$AO$3),INDEX($C$8:$Q$8,1,B73-2025)/12)</f>
        <v>11.4114321188341</v>
      </c>
      <c r="AM73" s="88" t="n">
        <f aca="false">$AO$6*INDEX($Y$8:$AB$8,1,B73-2026)/12</f>
        <v>1.95833333333333</v>
      </c>
      <c r="AN73" s="88" t="n">
        <f aca="false">AL73+AN72</f>
        <v>282.940988151914</v>
      </c>
      <c r="AO73" s="88" t="n">
        <f aca="false">AM73+AO72</f>
        <v>45.5833333333333</v>
      </c>
      <c r="AP73" s="88" t="n">
        <f aca="false">MAX(AP72,AN73-AO73)</f>
        <v>237.35765481858</v>
      </c>
      <c r="AQ73" s="88" t="n">
        <f aca="false">AP73-AP72</f>
        <v>9.45309878550074</v>
      </c>
      <c r="AR73" s="88" t="n">
        <f aca="false">IF(B73=2026,INDEX($C$9:$Q$9,1,B73-2025)*$AO$4*C73/MAX(0.0001,12-$AO$3),INDEX($C$9:$Q$9,1,B73-2025)/12)</f>
        <v>48.6576953186344</v>
      </c>
      <c r="AS73" s="88" t="n">
        <f aca="false">$AO$6*INDEX($Y$9:$AB$9,1,B73-2026)/12</f>
        <v>28.6333333333333</v>
      </c>
      <c r="AT73" s="88" t="n">
        <f aca="false">AR73+AT72</f>
        <v>1206.44422639354</v>
      </c>
      <c r="AU73" s="88" t="n">
        <f aca="false">AS73+AU72</f>
        <v>834.433333333333</v>
      </c>
      <c r="AV73" s="88" t="n">
        <f aca="false">MAX(AV72,AT73-AU73)</f>
        <v>372.010893060203</v>
      </c>
      <c r="AW73" s="88" t="n">
        <f aca="false">AV73-AV72</f>
        <v>20.024361985301</v>
      </c>
      <c r="AX73" s="88" t="n">
        <f aca="false">IF(B73=2026,INDEX($C$10:$Q$10,1,B73-2025)*$AO$4*C73/MAX(0.0001,12-$AO$3),INDEX($C$10:$Q$10,1,B73-2025)/12)</f>
        <v>5.64404597663043</v>
      </c>
      <c r="AY73" s="88" t="n">
        <f aca="false">$AO$6*INDEX($Y$10:$AB$10,1,B73-2026)/12</f>
        <v>2.50833333333333</v>
      </c>
      <c r="AZ73" s="88" t="n">
        <f aca="false">AX73+AZ72</f>
        <v>139.941413941111</v>
      </c>
      <c r="BA73" s="88" t="n">
        <f aca="false">AY73+BA72</f>
        <v>25.0833333333333</v>
      </c>
      <c r="BB73" s="88" t="n">
        <f aca="false">MAX(BB72,AZ73-BA73)</f>
        <v>114.858080607777</v>
      </c>
      <c r="BC73" s="88" t="n">
        <f aca="false">BB73-BB72</f>
        <v>3.1357126432971</v>
      </c>
      <c r="BD73" s="88" t="n">
        <f aca="false">IF(B73=2026,INDEX($C$11:$Q$11,1,B73-2025)*$AO$4*C73/MAX(0.0001,12-$AO$3),INDEX($C$11:$Q$11,1,B73-2025)/12)</f>
        <v>28.0475536513497</v>
      </c>
      <c r="BE73" s="88" t="n">
        <f aca="false">$AO$6*INDEX($Y$11:$AB$11,1,B73-2026)/12</f>
        <v>8.70833333333333</v>
      </c>
      <c r="BF73" s="88" t="n">
        <f aca="false">BD73+BF72</f>
        <v>695.425645327986</v>
      </c>
      <c r="BG73" s="88" t="n">
        <f aca="false">BE73+BG72</f>
        <v>196.483333333333</v>
      </c>
      <c r="BH73" s="88" t="n">
        <f aca="false">MAX(BH72,BF73-BG73)</f>
        <v>498.942311994652</v>
      </c>
      <c r="BI73" s="88" t="n">
        <f aca="false">BH73-BH72</f>
        <v>19.3392203180164</v>
      </c>
      <c r="BJ73" s="88" t="n">
        <f aca="false">IF(B73=2026,INDEX($C$12:$Q$12,1,B73-2025)*$AO$4*C73/MAX(0.0001,12-$AO$3),INDEX($C$12:$Q$12,1,B73-2025)/12)</f>
        <v>15.3780518436687</v>
      </c>
      <c r="BK73" s="88" t="n">
        <f aca="false">$AO$6*INDEX($Y$12:$AB$12,1,B73-2026)/12</f>
        <v>1.275</v>
      </c>
      <c r="BL73" s="88" t="n">
        <f aca="false">BJ73+BL72</f>
        <v>381.291422425211</v>
      </c>
      <c r="BM73" s="88" t="n">
        <f aca="false">BK73+BM72</f>
        <v>57.25</v>
      </c>
      <c r="BN73" s="88" t="n">
        <f aca="false">MAX(BN72,BL73-BM73)</f>
        <v>324.041422425211</v>
      </c>
      <c r="BO73" s="88" t="n">
        <f aca="false">BN73-BN72</f>
        <v>14.1030518436687</v>
      </c>
      <c r="BP73" s="88" t="n">
        <f aca="false">IF(B73=2026,INDEX($C$13:$Q$13,1,B73-2025)*$AO$4*C73/MAX(0.0001,12-$AO$3),INDEX($C$13:$Q$13,1,B73-2025)/12)</f>
        <v>4.80560220169792</v>
      </c>
      <c r="BQ73" s="88" t="n">
        <f aca="false">$AO$6*INDEX($Y$13:$AB$13,1,B73-2026)/12</f>
        <v>4.78333333333333</v>
      </c>
      <c r="BR73" s="88" t="n">
        <f aca="false">BP73+BR72</f>
        <v>119.15260253525</v>
      </c>
      <c r="BS73" s="88" t="n">
        <f aca="false">BQ73+BS72</f>
        <v>47.8333333333333</v>
      </c>
      <c r="BT73" s="88" t="n">
        <f aca="false">MAX(BT72,BR73-BS73)</f>
        <v>71.3192692019165</v>
      </c>
      <c r="BU73" s="88" t="n">
        <f aca="false">BT73-BT72</f>
        <v>0.0222688683645913</v>
      </c>
      <c r="BV73" s="88" t="n">
        <f aca="false">IF(B73=2026,INDEX($C$14:$Q$14,1,B73-2025)*$AO$4*C73/MAX(0.0001,12-$AO$3),INDEX($C$14:$Q$14,1,B73-2025)/12)</f>
        <v>2.85021923686911</v>
      </c>
      <c r="BW73" s="88" t="n">
        <f aca="false">$AO$6*INDEX($Y$14:$AB$14,1,B73-2026)/12</f>
        <v>0</v>
      </c>
      <c r="BX73" s="88" t="n">
        <f aca="false">BV73+BX72</f>
        <v>70.6698194346999</v>
      </c>
      <c r="BY73" s="88" t="n">
        <f aca="false">BW73+BY72</f>
        <v>0</v>
      </c>
      <c r="BZ73" s="88" t="n">
        <f aca="false">MAX(BZ72,BX73-BY73)</f>
        <v>70.6698194346999</v>
      </c>
      <c r="CA73" s="88" t="n">
        <f aca="false">BZ73-BZ72</f>
        <v>2.85021923686911</v>
      </c>
      <c r="CB73" s="88" t="n">
        <f aca="false">IF(B73=2026,INDEX($C$15:$Q$15,1,B73-2025)*$AO$4*C73/MAX(0.0001,12-$AO$3),INDEX($C$15:$Q$15,1,B73-2025)/12)</f>
        <v>4.67303386509936</v>
      </c>
      <c r="CC73" s="88" t="n">
        <f aca="false">$AO$6*INDEX($Y$15:$AB$15,1,B73-2026)/12</f>
        <v>0.683333333333333</v>
      </c>
      <c r="CD73" s="88" t="n">
        <f aca="false">CB73+CD72</f>
        <v>115.86563418945</v>
      </c>
      <c r="CE73" s="88" t="n">
        <f aca="false">CC73+CE72</f>
        <v>80.8333333333334</v>
      </c>
      <c r="CF73" s="88" t="n">
        <f aca="false">MAX(CF72,CD73-CE73)</f>
        <v>35.0323008561164</v>
      </c>
      <c r="CG73" s="88" t="n">
        <f aca="false">CF73-CF72</f>
        <v>3.98970053176602</v>
      </c>
      <c r="CH73" s="88" t="n">
        <f aca="false">IF(B73=2026,INDEX($C$16:$Q$16,1,B73-2025)*$AO$4*C73/MAX(0.0001,12-$AO$3),INDEX($C$16:$Q$16,1,B73-2025)/12)</f>
        <v>3.69534238268495</v>
      </c>
      <c r="CI73" s="88" t="n">
        <f aca="false">$AO$6*INDEX($Y$16:$AB$16,1,B73-2026)/12</f>
        <v>0.833333333333333</v>
      </c>
      <c r="CJ73" s="88" t="n">
        <f aca="false">CH73+CJ72</f>
        <v>91.6242426391748</v>
      </c>
      <c r="CK73" s="88" t="n">
        <f aca="false">CI73+CK72</f>
        <v>68.3333333333333</v>
      </c>
      <c r="CL73" s="88" t="n">
        <f aca="false">MAX(CL72,CJ73-CK73)</f>
        <v>23.2909093058415</v>
      </c>
      <c r="CM73" s="88" t="n">
        <f aca="false">CL73-CL72</f>
        <v>2.86200904935163</v>
      </c>
      <c r="CN73" s="88" t="n">
        <f aca="false">IF(B73=2026,INDEX($C$17:$Q$17,1,B73-2025)*$AO$4*C73/MAX(0.0001,12-$AO$3),INDEX($C$17:$Q$17,1,B73-2025)/12)</f>
        <v>16.0904818546506</v>
      </c>
      <c r="CO73" s="88" t="n">
        <f aca="false">$AO$6*INDEX($Y$17:$AB$17,1,B73-2026)/12</f>
        <v>3.35</v>
      </c>
      <c r="CP73" s="88" t="n">
        <f aca="false">CN73+CP72</f>
        <v>398.955782971475</v>
      </c>
      <c r="CQ73" s="88" t="n">
        <f aca="false">CO73+CQ72</f>
        <v>199.5</v>
      </c>
      <c r="CR73" s="88" t="n">
        <f aca="false">MAX(CR72,CP73-CQ73)</f>
        <v>199.455782971475</v>
      </c>
      <c r="CS73" s="88" t="n">
        <f aca="false">CR73-CR72</f>
        <v>12.7404818546507</v>
      </c>
      <c r="CT73" s="88" t="n">
        <f aca="false">IF(B73=2026,INDEX($C$18:$Q$18,1,B73-2025)*$AO$4*C73/MAX(0.0001,12-$AO$3),INDEX($C$18:$Q$18,1,B73-2025)/12)</f>
        <v>3.34735049911372</v>
      </c>
      <c r="CU73" s="88" t="n">
        <f aca="false">$AO$6*INDEX($Y$18:$AB$18,1,B73-2026)/12</f>
        <v>0</v>
      </c>
      <c r="CV73" s="88" t="n">
        <f aca="false">CT73+CV72</f>
        <v>82.9959507314499</v>
      </c>
      <c r="CW73" s="88" t="n">
        <f aca="false">CU73+CW72</f>
        <v>11</v>
      </c>
      <c r="CX73" s="88" t="n">
        <f aca="false">MAX(CX72,CV73-CW73)</f>
        <v>71.9959507314499</v>
      </c>
      <c r="CY73" s="88" t="n">
        <f aca="false">CX73-CX72</f>
        <v>3.34735049911373</v>
      </c>
      <c r="CZ73" s="88" t="n">
        <f aca="false">IF(B73=2026,INDEX($C$19:$Q$19,1,B73-2025)*$AO$4*C73/MAX(0.0001,12-$AO$3),INDEX($C$19:$Q$19,1,B73-2025)/12)</f>
        <v>3.31420841496408</v>
      </c>
      <c r="DA73" s="88" t="n">
        <f aca="false">$AO$6*INDEX($Y$19:$AB$19,1,B73-2026)/12</f>
        <v>7.675</v>
      </c>
      <c r="DB73" s="88" t="n">
        <f aca="false">CZ73+DB72</f>
        <v>82.1742086449999</v>
      </c>
      <c r="DC73" s="88" t="n">
        <f aca="false">DA73+DC72</f>
        <v>88.65</v>
      </c>
      <c r="DD73" s="88" t="n">
        <f aca="false">MAX(DD72,DB73-DC73)</f>
        <v>37.132124495359</v>
      </c>
      <c r="DE73" s="88" t="n">
        <f aca="false">DD73-DD72</f>
        <v>0</v>
      </c>
      <c r="DF73" s="88" t="n">
        <f aca="false">IF(B73=2026,INDEX($C$20:$Q$20,1,B73-2025)*$AO$4*C73/MAX(0.0001,12-$AO$3),INDEX($C$20:$Q$20,1,B73-2025)/12)</f>
        <v>2.70107985819573</v>
      </c>
      <c r="DG73" s="88" t="n">
        <f aca="false">$AO$6*INDEX($Y$20:$AB$20,1,B73-2026)/12</f>
        <v>0</v>
      </c>
      <c r="DH73" s="88" t="n">
        <f aca="false">DF73+DH72</f>
        <v>66.9719800456749</v>
      </c>
      <c r="DI73" s="88" t="n">
        <f aca="false">DG73+DI72</f>
        <v>0</v>
      </c>
      <c r="DJ73" s="88" t="n">
        <f aca="false">MAX(DJ72,DH73-DI73)</f>
        <v>66.9719800456749</v>
      </c>
      <c r="DK73" s="88" t="n">
        <f aca="false">DJ73-DJ72</f>
        <v>2.70107985819573</v>
      </c>
      <c r="DL73" s="88" t="n">
        <f aca="false">IF(B73=2026,INDEX($C$21:$Q$21,1,B73-2025)*$AO$4*C73/MAX(0.0001,12-$AO$3),INDEX($C$21:$Q$21,1,B73-2025)/12)</f>
        <v>1.88909879652953</v>
      </c>
      <c r="DM73" s="88" t="n">
        <f aca="false">$AO$6*INDEX($Y$21:$AB$21,1,B73-2026)/12</f>
        <v>3.05833333333333</v>
      </c>
      <c r="DN73" s="88" t="n">
        <f aca="false">DL73+DN72</f>
        <v>46.8392989276499</v>
      </c>
      <c r="DO73" s="88" t="n">
        <f aca="false">DM73+DO72</f>
        <v>40.7833333333333</v>
      </c>
      <c r="DP73" s="88" t="n">
        <f aca="false">MAX(DP72,DN73-DO73)</f>
        <v>17.7483109623547</v>
      </c>
      <c r="DQ73" s="88" t="n">
        <f aca="false">DP73-DP72</f>
        <v>0</v>
      </c>
      <c r="DR73" s="88" t="n">
        <f aca="false">IF(B73=2026,INDEX($C$22:$Q$22,1,B73-2025)*$AO$4*C73/MAX(0.0001,12-$AO$3),INDEX($C$22:$Q$22,1,B73-2025)/12)</f>
        <v>1.47482274465902</v>
      </c>
      <c r="DS73" s="88" t="n">
        <f aca="false">$AO$6*INDEX($Y$22:$AB$22,1,B73-2026)/12</f>
        <v>0.816666666666667</v>
      </c>
      <c r="DT73" s="88" t="n">
        <f aca="false">DR73+DT72</f>
        <v>36.5675228470249</v>
      </c>
      <c r="DU73" s="88" t="n">
        <f aca="false">DS73+DU72</f>
        <v>24.7666666666667</v>
      </c>
      <c r="DV73" s="88" t="n">
        <f aca="false">MAX(DV72,DT73-DU73)</f>
        <v>11.8008561803582</v>
      </c>
      <c r="DW73" s="88" t="n">
        <f aca="false">DV73-DV72</f>
        <v>0.658156077992349</v>
      </c>
      <c r="DX73" s="88" t="n">
        <f aca="false">IF(B73=2026,INDEX($C$23:$Q$23,1,B73-2025)*$AO$4*C73/MAX(0.0001,12-$AO$3),INDEX($C$23:$Q$23,1,B73-2025)/12)</f>
        <v>2.36965901669932</v>
      </c>
      <c r="DY73" s="88" t="n">
        <f aca="false">$AO$6*INDEX($Y$23:$AB$23,1,B73-2026)/12</f>
        <v>7.14166666666667</v>
      </c>
      <c r="DZ73" s="88" t="n">
        <f aca="false">DX73+DZ72</f>
        <v>58.7545591811749</v>
      </c>
      <c r="EA73" s="88" t="n">
        <f aca="false">DY73+EA72</f>
        <v>71.4166666666667</v>
      </c>
      <c r="EB73" s="88" t="n">
        <f aca="false">MAX(EB72,DZ73-EA73)</f>
        <v>35.0579690141817</v>
      </c>
      <c r="EC73" s="88" t="n">
        <f aca="false">EB73-EB72</f>
        <v>0</v>
      </c>
      <c r="ED73" s="88" t="n">
        <f aca="false">IF(B73=2026,INDEX($C$24:$Q$24,1,B73-2025)*$AO$4*C73/MAX(0.0001,12-$AO$3),INDEX($C$24:$Q$24,1,B73-2025)/12)</f>
        <v>1.4582517025842</v>
      </c>
      <c r="EE73" s="88" t="n">
        <f aca="false">$AO$6*INDEX($Y$24:$AB$24,1,B73-2026)/12</f>
        <v>0</v>
      </c>
      <c r="EF73" s="88" t="n">
        <f aca="false">ED73+EF72</f>
        <v>36.1566518037999</v>
      </c>
      <c r="EG73" s="88" t="n">
        <f aca="false">EE73+EG72</f>
        <v>0</v>
      </c>
      <c r="EH73" s="88" t="n">
        <f aca="false">MAX(EH72,EF73-EG73)</f>
        <v>36.1566518037999</v>
      </c>
      <c r="EI73" s="88" t="n">
        <f aca="false">EH73-EH72</f>
        <v>1.4582517025842</v>
      </c>
      <c r="EJ73" s="88" t="n">
        <f aca="false">IF(B73=2026,INDEX($C$25:$Q$25,1,B73-2025)*$AO$4*C73/MAX(0.0001,12-$AO$3),INDEX($C$25:$Q$25,1,B73-2025)/12)</f>
        <v>1.85595671237989</v>
      </c>
      <c r="EK73" s="88" t="n">
        <f aca="false">$AO$6*INDEX($Y$25:$AB$25,1,B73-2026)/12</f>
        <v>0</v>
      </c>
      <c r="EL73" s="88" t="n">
        <f aca="false">EJ73+EL72</f>
        <v>46.0175568411999</v>
      </c>
      <c r="EM73" s="88" t="n">
        <f aca="false">EK73+EM72</f>
        <v>14</v>
      </c>
      <c r="EN73" s="88" t="n">
        <f aca="false">MAX(EN72,EL73-EM73)</f>
        <v>32.0175568411999</v>
      </c>
      <c r="EO73" s="88" t="n">
        <f aca="false">EN73-EN72</f>
        <v>1.85595671237989</v>
      </c>
      <c r="EP73" s="88" t="n">
        <f aca="false">IF(B73=2026,INDEX($C$26:$Q$26,1,B73-2025)*$AO$4*C73/MAX(0.0001,12-$AO$3),INDEX($C$26:$Q$26,1,B73-2025)/12)</f>
        <v>2.66793777404609</v>
      </c>
      <c r="EQ73" s="88" t="n">
        <f aca="false">$AO$6*INDEX($Y$26:$AB$26,1,B73-2026)/12</f>
        <v>0.025</v>
      </c>
      <c r="ER73" s="88" t="n">
        <f aca="false">EP73+ER72</f>
        <v>66.1502379592249</v>
      </c>
      <c r="ES73" s="88" t="n">
        <f aca="false">EQ73+ES72</f>
        <v>3.95</v>
      </c>
      <c r="ET73" s="88" t="n">
        <f aca="false">MAX(ET72,ER73-ES73)</f>
        <v>62.2002379592249</v>
      </c>
      <c r="EU73" s="88" t="n">
        <f aca="false">ET73-ET72</f>
        <v>2.64293777404608</v>
      </c>
      <c r="EV73" s="88" t="n">
        <f aca="false">IF(B73=2026,INDEX($C$27:$Q$27,1,B73-2025)*$AO$4*C73/MAX(0.0001,12-$AO$3),INDEX($C$27:$Q$27,1,B73-2025)/12)</f>
        <v>6.62841682992816</v>
      </c>
      <c r="EW73" s="88" t="n">
        <f aca="false">$AO$6*INDEX($Y$27:$AB$27,1,B73-2026)/12</f>
        <v>11.1166666666667</v>
      </c>
      <c r="EX73" s="88" t="n">
        <f aca="false">EV73+EX72</f>
        <v>164.34841729</v>
      </c>
      <c r="EY73" s="88" t="n">
        <f aca="false">EW73+EY72</f>
        <v>296.266666666667</v>
      </c>
      <c r="EZ73" s="88" t="n">
        <f aca="false">MAX(EZ72,EX73-EY73)</f>
        <v>0</v>
      </c>
      <c r="FA73" s="88" t="n">
        <f aca="false">EZ73-EZ72</f>
        <v>0</v>
      </c>
      <c r="FB73" s="88" t="n">
        <f aca="false">IF(B73=2026,INDEX($C$28:$Q$28,1,B73-2025)*$AO$4*C73/MAX(0.0001,12-$AO$3),INDEX($C$28:$Q$28,1,B73-2025)/12)</f>
        <v>34.6997621046739</v>
      </c>
      <c r="FC73" s="88" t="n">
        <f aca="false">$AO$6*INDEX($Y$28:$AB$28,1,B73-2026)/12</f>
        <v>3.19166666666667</v>
      </c>
      <c r="FD73" s="88" t="n">
        <f aca="false">FB73+FD72</f>
        <v>860.363964513148</v>
      </c>
      <c r="FE73" s="88" t="n">
        <f aca="false">FC73+FE72</f>
        <v>137.916666666667</v>
      </c>
      <c r="FF73" s="88" t="n">
        <f aca="false">MAX(FF72,FD73-FE73)</f>
        <v>722.447297846482</v>
      </c>
      <c r="FG73" s="88" t="n">
        <f aca="false">FF73-FF72</f>
        <v>31.5080954380073</v>
      </c>
    </row>
    <row r="74" customFormat="false" ht="15" hidden="false" customHeight="false" outlineLevel="0" collapsed="false">
      <c r="A74" s="0" t="n">
        <v>34</v>
      </c>
      <c r="B74" s="88" t="n">
        <f aca="false">2026+INT(A74/12)</f>
        <v>2028</v>
      </c>
      <c r="C74" s="88" t="n">
        <f aca="false">MAX(0,MIN(1,A74+1-$AO$3))</f>
        <v>1</v>
      </c>
      <c r="D74" s="88" t="n">
        <f aca="false">IF((A74+0.5-(0))&lt;$AO$3,0,2026+INT((A74+0.5-(0))/12))</f>
        <v>2028</v>
      </c>
      <c r="E74" s="88" t="n">
        <f aca="false">IF((A74+0.5-($AO$9))&lt;$AO$3,0,2026+INT((A74+0.5-($AO$9))/12))</f>
        <v>2027</v>
      </c>
      <c r="F74" s="88" t="n">
        <f aca="false">IF((A74+0.5-($AO$9+$AO$8))&lt;$AO$3,0,2026+INT((A74+0.5-($AO$9+$AO$8))/12))</f>
        <v>0</v>
      </c>
      <c r="G74" s="88" t="n">
        <f aca="false">IF((A74+0.5-($AO$9+$AO$8+$AO$7))&lt;$AO$3,0,2026+INT((A74+0.5-($AO$9+$AO$8+$AO$7))/12))</f>
        <v>0</v>
      </c>
      <c r="H74" s="88" t="n">
        <f aca="false">IF(B74=2026,INDEX($C$3:$Q$3,1,B74-2025)*$AO$4*C74/MAX(0.0001,12-$AO$3),INDEX($C$3:$Q$3,1,B74-2025)/12)</f>
        <v>355.25</v>
      </c>
      <c r="I74" s="88" t="n">
        <f aca="false">$AO$6*INDEX($Y$3:$AB$3,1,B74-2026)/12</f>
        <v>143.766666666667</v>
      </c>
      <c r="J74" s="88" t="n">
        <f aca="false">H74+J73</f>
        <v>9163.50342465753</v>
      </c>
      <c r="K74" s="88" t="n">
        <f aca="false">I74+K73</f>
        <v>4172.33333333334</v>
      </c>
      <c r="L74" s="88" t="n">
        <f aca="false">MAX(L73,J74-K74)</f>
        <v>4991.1700913242</v>
      </c>
      <c r="M74" s="88" t="n">
        <f aca="false">L74-L73</f>
        <v>211.483333333333</v>
      </c>
      <c r="N74" s="88" t="n">
        <f aca="false">IF(B74=2026,INDEX($C$4:$Q$4,1,B74-2025)*$AO$4*C74/MAX(0.0001,12-$AO$3),INDEX($C$4:$Q$4,1,B74-2025)/12)</f>
        <v>10.7700632578534</v>
      </c>
      <c r="O74" s="88" t="n">
        <f aca="false">$AO$6*INDEX($Y$4:$AB$4,1,B74-2026)/12</f>
        <v>7.75</v>
      </c>
      <c r="P74" s="88" t="n">
        <f aca="false">N74+P73</f>
        <v>277.808618007368</v>
      </c>
      <c r="Q74" s="88" t="n">
        <f aca="false">O74+Q73</f>
        <v>216.95</v>
      </c>
      <c r="R74" s="88" t="n">
        <f aca="false">MAX(R73,P74-Q74)</f>
        <v>60.8586180073681</v>
      </c>
      <c r="S74" s="88" t="n">
        <f aca="false">R74-R73</f>
        <v>3.02006325785334</v>
      </c>
      <c r="T74" s="88" t="n">
        <f aca="false">IF(B74=2026,INDEX($C$5:$Q$5,1,B74-2025)*$AO$4*C74/MAX(0.0001,12-$AO$3),INDEX($C$5:$Q$5,1,B74-2025)/12)</f>
        <v>43.7734247619348</v>
      </c>
      <c r="U74" s="88" t="n">
        <f aca="false">$AO$6*INDEX($Y$5:$AB$5,1,B74-2026)/12</f>
        <v>28.1083333333333</v>
      </c>
      <c r="V74" s="88" t="n">
        <f aca="false">T74+V73</f>
        <v>1129.11450447566</v>
      </c>
      <c r="W74" s="88" t="n">
        <f aca="false">U74+W73</f>
        <v>679.891666666667</v>
      </c>
      <c r="X74" s="88" t="n">
        <f aca="false">MAX(X73,V74-W74)</f>
        <v>449.222837808995</v>
      </c>
      <c r="Y74" s="88" t="n">
        <f aca="false">X74-X73</f>
        <v>15.6650914286015</v>
      </c>
      <c r="Z74" s="88" t="n">
        <f aca="false">IF(B74=2026,INDEX($C$6:$Q$6,1,B74-2025)*$AO$4*C74/MAX(0.0001,12-$AO$3),INDEX($C$6:$Q$6,1,B74-2025)/12)</f>
        <v>51.933610116259</v>
      </c>
      <c r="AA74" s="88" t="n">
        <f aca="false">$AO$6*INDEX($Y$6:$AB$6,1,B74-2026)/12</f>
        <v>1.95</v>
      </c>
      <c r="AB74" s="88" t="n">
        <f aca="false">Z74+AB73</f>
        <v>1339.60257327282</v>
      </c>
      <c r="AC74" s="88" t="n">
        <f aca="false">AA74+AC73</f>
        <v>624.150000000001</v>
      </c>
      <c r="AD74" s="88" t="n">
        <f aca="false">MAX(AD73,AB74-AC74)</f>
        <v>715.452573272816</v>
      </c>
      <c r="AE74" s="88" t="n">
        <f aca="false">AD74-AD73</f>
        <v>49.9836101162589</v>
      </c>
      <c r="AF74" s="88" t="n">
        <f aca="false">IF(B74=2026,INDEX($C$7:$Q$7,1,B74-2025)*$AO$4*C74/MAX(0.0001,12-$AO$3),INDEX($C$7:$Q$7,1,B74-2025)/12)</f>
        <v>45.11289896006</v>
      </c>
      <c r="AG74" s="88" t="n">
        <f aca="false">$AO$6*INDEX($Y$7:$AB$7,1,B74-2026)/12</f>
        <v>20.2</v>
      </c>
      <c r="AH74" s="88" t="n">
        <f aca="false">AF74+AH73</f>
        <v>1163.66559920264</v>
      </c>
      <c r="AI74" s="88" t="n">
        <f aca="false">AG74+AI73</f>
        <v>321.5</v>
      </c>
      <c r="AJ74" s="88" t="n">
        <f aca="false">MAX(AJ73,AH74-AI74)</f>
        <v>842.165599202643</v>
      </c>
      <c r="AK74" s="88" t="n">
        <f aca="false">AJ74-AJ73</f>
        <v>24.91289896006</v>
      </c>
      <c r="AL74" s="88" t="n">
        <f aca="false">IF(B74=2026,INDEX($C$8:$Q$8,1,B74-2025)*$AO$4*C74/MAX(0.0001,12-$AO$3),INDEX($C$8:$Q$8,1,B74-2025)/12)</f>
        <v>11.4114321188341</v>
      </c>
      <c r="AM74" s="88" t="n">
        <f aca="false">$AO$6*INDEX($Y$8:$AB$8,1,B74-2026)/12</f>
        <v>1.95833333333333</v>
      </c>
      <c r="AN74" s="88" t="n">
        <f aca="false">AL74+AN73</f>
        <v>294.352420270748</v>
      </c>
      <c r="AO74" s="88" t="n">
        <f aca="false">AM74+AO73</f>
        <v>47.5416666666667</v>
      </c>
      <c r="AP74" s="88" t="n">
        <f aca="false">MAX(AP73,AN74-AO74)</f>
        <v>246.810753604081</v>
      </c>
      <c r="AQ74" s="88" t="n">
        <f aca="false">AP74-AP73</f>
        <v>9.45309878550071</v>
      </c>
      <c r="AR74" s="88" t="n">
        <f aca="false">IF(B74=2026,INDEX($C$9:$Q$9,1,B74-2025)*$AO$4*C74/MAX(0.0001,12-$AO$3),INDEX($C$9:$Q$9,1,B74-2025)/12)</f>
        <v>48.6576953186344</v>
      </c>
      <c r="AS74" s="88" t="n">
        <f aca="false">$AO$6*INDEX($Y$9:$AB$9,1,B74-2026)/12</f>
        <v>28.6333333333333</v>
      </c>
      <c r="AT74" s="88" t="n">
        <f aca="false">AR74+AT73</f>
        <v>1255.10192171217</v>
      </c>
      <c r="AU74" s="88" t="n">
        <f aca="false">AS74+AU73</f>
        <v>863.066666666667</v>
      </c>
      <c r="AV74" s="88" t="n">
        <f aca="false">MAX(AV73,AT74-AU74)</f>
        <v>392.035255045504</v>
      </c>
      <c r="AW74" s="88" t="n">
        <f aca="false">AV74-AV73</f>
        <v>20.024361985301</v>
      </c>
      <c r="AX74" s="88" t="n">
        <f aca="false">IF(B74=2026,INDEX($C$10:$Q$10,1,B74-2025)*$AO$4*C74/MAX(0.0001,12-$AO$3),INDEX($C$10:$Q$10,1,B74-2025)/12)</f>
        <v>5.64404597663043</v>
      </c>
      <c r="AY74" s="88" t="n">
        <f aca="false">$AO$6*INDEX($Y$10:$AB$10,1,B74-2026)/12</f>
        <v>2.50833333333333</v>
      </c>
      <c r="AZ74" s="88" t="n">
        <f aca="false">AX74+AZ73</f>
        <v>145.585459917741</v>
      </c>
      <c r="BA74" s="88" t="n">
        <f aca="false">AY74+BA73</f>
        <v>27.5916666666667</v>
      </c>
      <c r="BB74" s="88" t="n">
        <f aca="false">MAX(BB73,AZ74-BA74)</f>
        <v>117.993793251075</v>
      </c>
      <c r="BC74" s="88" t="n">
        <f aca="false">BB74-BB73</f>
        <v>3.13571264329708</v>
      </c>
      <c r="BD74" s="88" t="n">
        <f aca="false">IF(B74=2026,INDEX($C$11:$Q$11,1,B74-2025)*$AO$4*C74/MAX(0.0001,12-$AO$3),INDEX($C$11:$Q$11,1,B74-2025)/12)</f>
        <v>28.0475536513497</v>
      </c>
      <c r="BE74" s="88" t="n">
        <f aca="false">$AO$6*INDEX($Y$11:$AB$11,1,B74-2026)/12</f>
        <v>8.70833333333333</v>
      </c>
      <c r="BF74" s="88" t="n">
        <f aca="false">BD74+BF73</f>
        <v>723.473198979336</v>
      </c>
      <c r="BG74" s="88" t="n">
        <f aca="false">BE74+BG73</f>
        <v>205.191666666667</v>
      </c>
      <c r="BH74" s="88" t="n">
        <f aca="false">MAX(BH73,BF74-BG74)</f>
        <v>518.281532312669</v>
      </c>
      <c r="BI74" s="88" t="n">
        <f aca="false">BH74-BH73</f>
        <v>19.3392203180165</v>
      </c>
      <c r="BJ74" s="88" t="n">
        <f aca="false">IF(B74=2026,INDEX($C$12:$Q$12,1,B74-2025)*$AO$4*C74/MAX(0.0001,12-$AO$3),INDEX($C$12:$Q$12,1,B74-2025)/12)</f>
        <v>15.3780518436687</v>
      </c>
      <c r="BK74" s="88" t="n">
        <f aca="false">$AO$6*INDEX($Y$12:$AB$12,1,B74-2026)/12</f>
        <v>1.275</v>
      </c>
      <c r="BL74" s="88" t="n">
        <f aca="false">BJ74+BL73</f>
        <v>396.66947426888</v>
      </c>
      <c r="BM74" s="88" t="n">
        <f aca="false">BK74+BM73</f>
        <v>58.525</v>
      </c>
      <c r="BN74" s="88" t="n">
        <f aca="false">MAX(BN73,BL74-BM74)</f>
        <v>338.14447426888</v>
      </c>
      <c r="BO74" s="88" t="n">
        <f aca="false">BN74-BN73</f>
        <v>14.1030518436688</v>
      </c>
      <c r="BP74" s="88" t="n">
        <f aca="false">IF(B74=2026,INDEX($C$13:$Q$13,1,B74-2025)*$AO$4*C74/MAX(0.0001,12-$AO$3),INDEX($C$13:$Q$13,1,B74-2025)/12)</f>
        <v>4.80560220169792</v>
      </c>
      <c r="BQ74" s="88" t="n">
        <f aca="false">$AO$6*INDEX($Y$13:$AB$13,1,B74-2026)/12</f>
        <v>4.78333333333333</v>
      </c>
      <c r="BR74" s="88" t="n">
        <f aca="false">BP74+BR73</f>
        <v>123.958204736948</v>
      </c>
      <c r="BS74" s="88" t="n">
        <f aca="false">BQ74+BS73</f>
        <v>52.6166666666667</v>
      </c>
      <c r="BT74" s="88" t="n">
        <f aca="false">MAX(BT73,BR74-BS74)</f>
        <v>71.3415380702811</v>
      </c>
      <c r="BU74" s="88" t="n">
        <f aca="false">BT74-BT73</f>
        <v>0.0222688683645913</v>
      </c>
      <c r="BV74" s="88" t="n">
        <f aca="false">IF(B74=2026,INDEX($C$14:$Q$14,1,B74-2025)*$AO$4*C74/MAX(0.0001,12-$AO$3),INDEX($C$14:$Q$14,1,B74-2025)/12)</f>
        <v>2.85021923686911</v>
      </c>
      <c r="BW74" s="88" t="n">
        <f aca="false">$AO$6*INDEX($Y$14:$AB$14,1,B74-2026)/12</f>
        <v>0</v>
      </c>
      <c r="BX74" s="88" t="n">
        <f aca="false">BV74+BX73</f>
        <v>73.520038671569</v>
      </c>
      <c r="BY74" s="88" t="n">
        <f aca="false">BW74+BY73</f>
        <v>0</v>
      </c>
      <c r="BZ74" s="88" t="n">
        <f aca="false">MAX(BZ73,BX74-BY74)</f>
        <v>73.520038671569</v>
      </c>
      <c r="CA74" s="88" t="n">
        <f aca="false">BZ74-BZ73</f>
        <v>2.85021923686911</v>
      </c>
      <c r="CB74" s="88" t="n">
        <f aca="false">IF(B74=2026,INDEX($C$15:$Q$15,1,B74-2025)*$AO$4*C74/MAX(0.0001,12-$AO$3),INDEX($C$15:$Q$15,1,B74-2025)/12)</f>
        <v>4.67303386509936</v>
      </c>
      <c r="CC74" s="88" t="n">
        <f aca="false">$AO$6*INDEX($Y$15:$AB$15,1,B74-2026)/12</f>
        <v>0.683333333333333</v>
      </c>
      <c r="CD74" s="88" t="n">
        <f aca="false">CB74+CD73</f>
        <v>120.538668054549</v>
      </c>
      <c r="CE74" s="88" t="n">
        <f aca="false">CC74+CE73</f>
        <v>81.5166666666667</v>
      </c>
      <c r="CF74" s="88" t="n">
        <f aca="false">MAX(CF73,CD74-CE74)</f>
        <v>39.0220013878824</v>
      </c>
      <c r="CG74" s="88" t="n">
        <f aca="false">CF74-CF73</f>
        <v>3.98970053176602</v>
      </c>
      <c r="CH74" s="88" t="n">
        <f aca="false">IF(B74=2026,INDEX($C$16:$Q$16,1,B74-2025)*$AO$4*C74/MAX(0.0001,12-$AO$3),INDEX($C$16:$Q$16,1,B74-2025)/12)</f>
        <v>3.69534238268495</v>
      </c>
      <c r="CI74" s="88" t="n">
        <f aca="false">$AO$6*INDEX($Y$16:$AB$16,1,B74-2026)/12</f>
        <v>0.833333333333333</v>
      </c>
      <c r="CJ74" s="88" t="n">
        <f aca="false">CH74+CJ73</f>
        <v>95.3195850218598</v>
      </c>
      <c r="CK74" s="88" t="n">
        <f aca="false">CI74+CK73</f>
        <v>69.1666666666666</v>
      </c>
      <c r="CL74" s="88" t="n">
        <f aca="false">MAX(CL73,CJ74-CK74)</f>
        <v>26.1529183551932</v>
      </c>
      <c r="CM74" s="88" t="n">
        <f aca="false">CL74-CL73</f>
        <v>2.86200904935163</v>
      </c>
      <c r="CN74" s="88" t="n">
        <f aca="false">IF(B74=2026,INDEX($C$17:$Q$17,1,B74-2025)*$AO$4*C74/MAX(0.0001,12-$AO$3),INDEX($C$17:$Q$17,1,B74-2025)/12)</f>
        <v>16.0904818546506</v>
      </c>
      <c r="CO74" s="88" t="n">
        <f aca="false">$AO$6*INDEX($Y$17:$AB$17,1,B74-2026)/12</f>
        <v>3.35</v>
      </c>
      <c r="CP74" s="88" t="n">
        <f aca="false">CN74+CP73</f>
        <v>415.046264826125</v>
      </c>
      <c r="CQ74" s="88" t="n">
        <f aca="false">CO74+CQ73</f>
        <v>202.85</v>
      </c>
      <c r="CR74" s="88" t="n">
        <f aca="false">MAX(CR73,CP74-CQ74)</f>
        <v>212.196264826125</v>
      </c>
      <c r="CS74" s="88" t="n">
        <f aca="false">CR74-CR73</f>
        <v>12.7404818546507</v>
      </c>
      <c r="CT74" s="88" t="n">
        <f aca="false">IF(B74=2026,INDEX($C$18:$Q$18,1,B74-2025)*$AO$4*C74/MAX(0.0001,12-$AO$3),INDEX($C$18:$Q$18,1,B74-2025)/12)</f>
        <v>3.34735049911372</v>
      </c>
      <c r="CU74" s="88" t="n">
        <f aca="false">$AO$6*INDEX($Y$18:$AB$18,1,B74-2026)/12</f>
        <v>0</v>
      </c>
      <c r="CV74" s="88" t="n">
        <f aca="false">CT74+CV73</f>
        <v>86.3433012305636</v>
      </c>
      <c r="CW74" s="88" t="n">
        <f aca="false">CU74+CW73</f>
        <v>11</v>
      </c>
      <c r="CX74" s="88" t="n">
        <f aca="false">MAX(CX73,CV74-CW74)</f>
        <v>75.3433012305636</v>
      </c>
      <c r="CY74" s="88" t="n">
        <f aca="false">CX74-CX73</f>
        <v>3.34735049911373</v>
      </c>
      <c r="CZ74" s="88" t="n">
        <f aca="false">IF(B74=2026,INDEX($C$19:$Q$19,1,B74-2025)*$AO$4*C74/MAX(0.0001,12-$AO$3),INDEX($C$19:$Q$19,1,B74-2025)/12)</f>
        <v>3.31420841496408</v>
      </c>
      <c r="DA74" s="88" t="n">
        <f aca="false">$AO$6*INDEX($Y$19:$AB$19,1,B74-2026)/12</f>
        <v>7.675</v>
      </c>
      <c r="DB74" s="88" t="n">
        <f aca="false">CZ74+DB73</f>
        <v>85.488417059964</v>
      </c>
      <c r="DC74" s="88" t="n">
        <f aca="false">DA74+DC73</f>
        <v>96.325</v>
      </c>
      <c r="DD74" s="88" t="n">
        <f aca="false">MAX(DD73,DB74-DC74)</f>
        <v>37.132124495359</v>
      </c>
      <c r="DE74" s="88" t="n">
        <f aca="false">DD74-DD73</f>
        <v>0</v>
      </c>
      <c r="DF74" s="88" t="n">
        <f aca="false">IF(B74=2026,INDEX($C$20:$Q$20,1,B74-2025)*$AO$4*C74/MAX(0.0001,12-$AO$3),INDEX($C$20:$Q$20,1,B74-2025)/12)</f>
        <v>2.70107985819573</v>
      </c>
      <c r="DG74" s="88" t="n">
        <f aca="false">$AO$6*INDEX($Y$20:$AB$20,1,B74-2026)/12</f>
        <v>0</v>
      </c>
      <c r="DH74" s="88" t="n">
        <f aca="false">DF74+DH73</f>
        <v>69.6730599038706</v>
      </c>
      <c r="DI74" s="88" t="n">
        <f aca="false">DG74+DI73</f>
        <v>0</v>
      </c>
      <c r="DJ74" s="88" t="n">
        <f aca="false">MAX(DJ73,DH74-DI74)</f>
        <v>69.6730599038706</v>
      </c>
      <c r="DK74" s="88" t="n">
        <f aca="false">DJ74-DJ73</f>
        <v>2.70107985819573</v>
      </c>
      <c r="DL74" s="88" t="n">
        <f aca="false">IF(B74=2026,INDEX($C$21:$Q$21,1,B74-2025)*$AO$4*C74/MAX(0.0001,12-$AO$3),INDEX($C$21:$Q$21,1,B74-2025)/12)</f>
        <v>1.88909879652953</v>
      </c>
      <c r="DM74" s="88" t="n">
        <f aca="false">$AO$6*INDEX($Y$21:$AB$21,1,B74-2026)/12</f>
        <v>3.05833333333333</v>
      </c>
      <c r="DN74" s="88" t="n">
        <f aca="false">DL74+DN73</f>
        <v>48.7283977241794</v>
      </c>
      <c r="DO74" s="88" t="n">
        <f aca="false">DM74+DO73</f>
        <v>43.8416666666667</v>
      </c>
      <c r="DP74" s="88" t="n">
        <f aca="false">MAX(DP73,DN74-DO74)</f>
        <v>17.7483109623547</v>
      </c>
      <c r="DQ74" s="88" t="n">
        <f aca="false">DP74-DP73</f>
        <v>0</v>
      </c>
      <c r="DR74" s="88" t="n">
        <f aca="false">IF(B74=2026,INDEX($C$22:$Q$22,1,B74-2025)*$AO$4*C74/MAX(0.0001,12-$AO$3),INDEX($C$22:$Q$22,1,B74-2025)/12)</f>
        <v>1.47482274465902</v>
      </c>
      <c r="DS74" s="88" t="n">
        <f aca="false">$AO$6*INDEX($Y$22:$AB$22,1,B74-2026)/12</f>
        <v>0.816666666666667</v>
      </c>
      <c r="DT74" s="88" t="n">
        <f aca="false">DR74+DT73</f>
        <v>38.0423455916839</v>
      </c>
      <c r="DU74" s="88" t="n">
        <f aca="false">DS74+DU73</f>
        <v>25.5833333333333</v>
      </c>
      <c r="DV74" s="88" t="n">
        <f aca="false">MAX(DV73,DT74-DU74)</f>
        <v>12.4590122583506</v>
      </c>
      <c r="DW74" s="88" t="n">
        <f aca="false">DV74-DV73</f>
        <v>0.658156077992349</v>
      </c>
      <c r="DX74" s="88" t="n">
        <f aca="false">IF(B74=2026,INDEX($C$23:$Q$23,1,B74-2025)*$AO$4*C74/MAX(0.0001,12-$AO$3),INDEX($C$23:$Q$23,1,B74-2025)/12)</f>
        <v>2.36965901669932</v>
      </c>
      <c r="DY74" s="88" t="n">
        <f aca="false">$AO$6*INDEX($Y$23:$AB$23,1,B74-2026)/12</f>
        <v>7.14166666666667</v>
      </c>
      <c r="DZ74" s="88" t="n">
        <f aca="false">DX74+DZ73</f>
        <v>61.1242181978742</v>
      </c>
      <c r="EA74" s="88" t="n">
        <f aca="false">DY74+EA73</f>
        <v>78.5583333333333</v>
      </c>
      <c r="EB74" s="88" t="n">
        <f aca="false">MAX(EB73,DZ74-EA74)</f>
        <v>35.0579690141817</v>
      </c>
      <c r="EC74" s="88" t="n">
        <f aca="false">EB74-EB73</f>
        <v>0</v>
      </c>
      <c r="ED74" s="88" t="n">
        <f aca="false">IF(B74=2026,INDEX($C$24:$Q$24,1,B74-2025)*$AO$4*C74/MAX(0.0001,12-$AO$3),INDEX($C$24:$Q$24,1,B74-2025)/12)</f>
        <v>1.4582517025842</v>
      </c>
      <c r="EE74" s="88" t="n">
        <f aca="false">$AO$6*INDEX($Y$24:$AB$24,1,B74-2026)/12</f>
        <v>0</v>
      </c>
      <c r="EF74" s="88" t="n">
        <f aca="false">ED74+EF73</f>
        <v>37.6149035063841</v>
      </c>
      <c r="EG74" s="88" t="n">
        <f aca="false">EE74+EG73</f>
        <v>0</v>
      </c>
      <c r="EH74" s="88" t="n">
        <f aca="false">MAX(EH73,EF74-EG74)</f>
        <v>37.6149035063841</v>
      </c>
      <c r="EI74" s="88" t="n">
        <f aca="false">EH74-EH73</f>
        <v>1.4582517025842</v>
      </c>
      <c r="EJ74" s="88" t="n">
        <f aca="false">IF(B74=2026,INDEX($C$25:$Q$25,1,B74-2025)*$AO$4*C74/MAX(0.0001,12-$AO$3),INDEX($C$25:$Q$25,1,B74-2025)/12)</f>
        <v>1.85595671237989</v>
      </c>
      <c r="EK74" s="88" t="n">
        <f aca="false">$AO$6*INDEX($Y$25:$AB$25,1,B74-2026)/12</f>
        <v>0</v>
      </c>
      <c r="EL74" s="88" t="n">
        <f aca="false">EJ74+EL73</f>
        <v>47.8735135535798</v>
      </c>
      <c r="EM74" s="88" t="n">
        <f aca="false">EK74+EM73</f>
        <v>14</v>
      </c>
      <c r="EN74" s="88" t="n">
        <f aca="false">MAX(EN73,EL74-EM74)</f>
        <v>33.8735135535798</v>
      </c>
      <c r="EO74" s="88" t="n">
        <f aca="false">EN74-EN73</f>
        <v>1.85595671237989</v>
      </c>
      <c r="EP74" s="88" t="n">
        <f aca="false">IF(B74=2026,INDEX($C$26:$Q$26,1,B74-2025)*$AO$4*C74/MAX(0.0001,12-$AO$3),INDEX($C$26:$Q$26,1,B74-2025)/12)</f>
        <v>2.66793777404609</v>
      </c>
      <c r="EQ74" s="88" t="n">
        <f aca="false">$AO$6*INDEX($Y$26:$AB$26,1,B74-2026)/12</f>
        <v>0.025</v>
      </c>
      <c r="ER74" s="88" t="n">
        <f aca="false">EP74+ER73</f>
        <v>68.818175733271</v>
      </c>
      <c r="ES74" s="88" t="n">
        <f aca="false">EQ74+ES73</f>
        <v>3.975</v>
      </c>
      <c r="ET74" s="88" t="n">
        <f aca="false">MAX(ET73,ER74-ES74)</f>
        <v>64.843175733271</v>
      </c>
      <c r="EU74" s="88" t="n">
        <f aca="false">ET74-ET73</f>
        <v>2.64293777404609</v>
      </c>
      <c r="EV74" s="88" t="n">
        <f aca="false">IF(B74=2026,INDEX($C$27:$Q$27,1,B74-2025)*$AO$4*C74/MAX(0.0001,12-$AO$3),INDEX($C$27:$Q$27,1,B74-2025)/12)</f>
        <v>6.62841682992816</v>
      </c>
      <c r="EW74" s="88" t="n">
        <f aca="false">$AO$6*INDEX($Y$27:$AB$27,1,B74-2026)/12</f>
        <v>11.1166666666667</v>
      </c>
      <c r="EX74" s="88" t="n">
        <f aca="false">EV74+EX73</f>
        <v>170.976834119928</v>
      </c>
      <c r="EY74" s="88" t="n">
        <f aca="false">EW74+EY73</f>
        <v>307.383333333333</v>
      </c>
      <c r="EZ74" s="88" t="n">
        <f aca="false">MAX(EZ73,EX74-EY74)</f>
        <v>0</v>
      </c>
      <c r="FA74" s="88" t="n">
        <f aca="false">EZ74-EZ73</f>
        <v>0</v>
      </c>
      <c r="FB74" s="88" t="n">
        <f aca="false">IF(B74=2026,INDEX($C$28:$Q$28,1,B74-2025)*$AO$4*C74/MAX(0.0001,12-$AO$3),INDEX($C$28:$Q$28,1,B74-2025)/12)</f>
        <v>34.6997621046739</v>
      </c>
      <c r="FC74" s="88" t="n">
        <f aca="false">$AO$6*INDEX($Y$28:$AB$28,1,B74-2026)/12</f>
        <v>3.19166666666667</v>
      </c>
      <c r="FD74" s="88" t="n">
        <f aca="false">FB74+FD73</f>
        <v>895.063726617822</v>
      </c>
      <c r="FE74" s="88" t="n">
        <f aca="false">FC74+FE73</f>
        <v>141.108333333333</v>
      </c>
      <c r="FF74" s="88" t="n">
        <f aca="false">MAX(FF73,FD74-FE74)</f>
        <v>753.955393284489</v>
      </c>
      <c r="FG74" s="88" t="n">
        <f aca="false">FF74-FF73</f>
        <v>31.5080954380072</v>
      </c>
    </row>
    <row r="75" customFormat="false" ht="15" hidden="false" customHeight="false" outlineLevel="0" collapsed="false">
      <c r="A75" s="0" t="n">
        <v>35</v>
      </c>
      <c r="B75" s="88" t="n">
        <f aca="false">2026+INT(A75/12)</f>
        <v>2028</v>
      </c>
      <c r="C75" s="88" t="n">
        <f aca="false">MAX(0,MIN(1,A75+1-$AO$3))</f>
        <v>1</v>
      </c>
      <c r="D75" s="88" t="n">
        <f aca="false">IF((A75+0.5-(0))&lt;$AO$3,0,2026+INT((A75+0.5-(0))/12))</f>
        <v>2028</v>
      </c>
      <c r="E75" s="88" t="n">
        <f aca="false">IF((A75+0.5-($AO$9))&lt;$AO$3,0,2026+INT((A75+0.5-($AO$9))/12))</f>
        <v>2027</v>
      </c>
      <c r="F75" s="88" t="n">
        <f aca="false">IF((A75+0.5-($AO$9+$AO$8))&lt;$AO$3,0,2026+INT((A75+0.5-($AO$9+$AO$8))/12))</f>
        <v>0</v>
      </c>
      <c r="G75" s="88" t="n">
        <f aca="false">IF((A75+0.5-($AO$9+$AO$8+$AO$7))&lt;$AO$3,0,2026+INT((A75+0.5-($AO$9+$AO$8+$AO$7))/12))</f>
        <v>0</v>
      </c>
      <c r="H75" s="88" t="n">
        <f aca="false">IF(B75=2026,INDEX($C$3:$Q$3,1,B75-2025)*$AO$4*C75/MAX(0.0001,12-$AO$3),INDEX($C$3:$Q$3,1,B75-2025)/12)</f>
        <v>355.25</v>
      </c>
      <c r="I75" s="88" t="n">
        <f aca="false">$AO$6*INDEX($Y$3:$AB$3,1,B75-2026)/12</f>
        <v>143.766666666667</v>
      </c>
      <c r="J75" s="88" t="n">
        <f aca="false">H75+J74</f>
        <v>9518.75342465753</v>
      </c>
      <c r="K75" s="88" t="n">
        <f aca="false">I75+K74</f>
        <v>4316.1</v>
      </c>
      <c r="L75" s="88" t="n">
        <f aca="false">MAX(L74,J75-K75)</f>
        <v>5202.65342465753</v>
      </c>
      <c r="M75" s="88" t="n">
        <f aca="false">L75-L74</f>
        <v>211.483333333334</v>
      </c>
      <c r="N75" s="88" t="n">
        <f aca="false">IF(B75=2026,INDEX($C$4:$Q$4,1,B75-2025)*$AO$4*C75/MAX(0.0001,12-$AO$3),INDEX($C$4:$Q$4,1,B75-2025)/12)</f>
        <v>10.7700632578534</v>
      </c>
      <c r="O75" s="88" t="n">
        <f aca="false">$AO$6*INDEX($Y$4:$AB$4,1,B75-2026)/12</f>
        <v>7.75</v>
      </c>
      <c r="P75" s="88" t="n">
        <f aca="false">N75+P74</f>
        <v>288.578681265221</v>
      </c>
      <c r="Q75" s="88" t="n">
        <f aca="false">O75+Q74</f>
        <v>224.7</v>
      </c>
      <c r="R75" s="88" t="n">
        <f aca="false">MAX(R74,P75-Q75)</f>
        <v>63.8786812652214</v>
      </c>
      <c r="S75" s="88" t="n">
        <f aca="false">R75-R74</f>
        <v>3.02006325785334</v>
      </c>
      <c r="T75" s="88" t="n">
        <f aca="false">IF(B75=2026,INDEX($C$5:$Q$5,1,B75-2025)*$AO$4*C75/MAX(0.0001,12-$AO$3),INDEX($C$5:$Q$5,1,B75-2025)/12)</f>
        <v>43.7734247619348</v>
      </c>
      <c r="U75" s="88" t="n">
        <f aca="false">$AO$6*INDEX($Y$5:$AB$5,1,B75-2026)/12</f>
        <v>28.1083333333333</v>
      </c>
      <c r="V75" s="88" t="n">
        <f aca="false">T75+V74</f>
        <v>1172.8879292376</v>
      </c>
      <c r="W75" s="88" t="n">
        <f aca="false">U75+W74</f>
        <v>708</v>
      </c>
      <c r="X75" s="88" t="n">
        <f aca="false">MAX(X74,V75-W75)</f>
        <v>464.887929237596</v>
      </c>
      <c r="Y75" s="88" t="n">
        <f aca="false">X75-X74</f>
        <v>15.6650914286015</v>
      </c>
      <c r="Z75" s="88" t="n">
        <f aca="false">IF(B75=2026,INDEX($C$6:$Q$6,1,B75-2025)*$AO$4*C75/MAX(0.0001,12-$AO$3),INDEX($C$6:$Q$6,1,B75-2025)/12)</f>
        <v>51.933610116259</v>
      </c>
      <c r="AA75" s="88" t="n">
        <f aca="false">$AO$6*INDEX($Y$6:$AB$6,1,B75-2026)/12</f>
        <v>1.95</v>
      </c>
      <c r="AB75" s="88" t="n">
        <f aca="false">Z75+AB74</f>
        <v>1391.53618338908</v>
      </c>
      <c r="AC75" s="88" t="n">
        <f aca="false">AA75+AC74</f>
        <v>626.100000000001</v>
      </c>
      <c r="AD75" s="88" t="n">
        <f aca="false">MAX(AD74,AB75-AC75)</f>
        <v>765.436183389075</v>
      </c>
      <c r="AE75" s="88" t="n">
        <f aca="false">AD75-AD74</f>
        <v>49.9836101162589</v>
      </c>
      <c r="AF75" s="88" t="n">
        <f aca="false">IF(B75=2026,INDEX($C$7:$Q$7,1,B75-2025)*$AO$4*C75/MAX(0.0001,12-$AO$3),INDEX($C$7:$Q$7,1,B75-2025)/12)</f>
        <v>45.11289896006</v>
      </c>
      <c r="AG75" s="88" t="n">
        <f aca="false">$AO$6*INDEX($Y$7:$AB$7,1,B75-2026)/12</f>
        <v>20.2</v>
      </c>
      <c r="AH75" s="88" t="n">
        <f aca="false">AF75+AH74</f>
        <v>1208.7784981627</v>
      </c>
      <c r="AI75" s="88" t="n">
        <f aca="false">AG75+AI74</f>
        <v>341.7</v>
      </c>
      <c r="AJ75" s="88" t="n">
        <f aca="false">MAX(AJ74,AH75-AI75)</f>
        <v>867.078498162703</v>
      </c>
      <c r="AK75" s="88" t="n">
        <f aca="false">AJ75-AJ74</f>
        <v>24.91289896006</v>
      </c>
      <c r="AL75" s="88" t="n">
        <f aca="false">IF(B75=2026,INDEX($C$8:$Q$8,1,B75-2025)*$AO$4*C75/MAX(0.0001,12-$AO$3),INDEX($C$8:$Q$8,1,B75-2025)/12)</f>
        <v>11.4114321188341</v>
      </c>
      <c r="AM75" s="88" t="n">
        <f aca="false">$AO$6*INDEX($Y$8:$AB$8,1,B75-2026)/12</f>
        <v>1.95833333333333</v>
      </c>
      <c r="AN75" s="88" t="n">
        <f aca="false">AL75+AN74</f>
        <v>305.763852389582</v>
      </c>
      <c r="AO75" s="88" t="n">
        <f aca="false">AM75+AO74</f>
        <v>49.5</v>
      </c>
      <c r="AP75" s="88" t="n">
        <f aca="false">MAX(AP74,AN75-AO75)</f>
        <v>256.263852389582</v>
      </c>
      <c r="AQ75" s="88" t="n">
        <f aca="false">AP75-AP74</f>
        <v>9.45309878550071</v>
      </c>
      <c r="AR75" s="88" t="n">
        <f aca="false">IF(B75=2026,INDEX($C$9:$Q$9,1,B75-2025)*$AO$4*C75/MAX(0.0001,12-$AO$3),INDEX($C$9:$Q$9,1,B75-2025)/12)</f>
        <v>48.6576953186344</v>
      </c>
      <c r="AS75" s="88" t="n">
        <f aca="false">$AO$6*INDEX($Y$9:$AB$9,1,B75-2026)/12</f>
        <v>28.6333333333333</v>
      </c>
      <c r="AT75" s="88" t="n">
        <f aca="false">AR75+AT74</f>
        <v>1303.7596170308</v>
      </c>
      <c r="AU75" s="88" t="n">
        <f aca="false">AS75+AU74</f>
        <v>891.7</v>
      </c>
      <c r="AV75" s="88" t="n">
        <f aca="false">MAX(AV74,AT75-AU75)</f>
        <v>412.059617030805</v>
      </c>
      <c r="AW75" s="88" t="n">
        <f aca="false">AV75-AV74</f>
        <v>20.024361985301</v>
      </c>
      <c r="AX75" s="88" t="n">
        <f aca="false">IF(B75=2026,INDEX($C$10:$Q$10,1,B75-2025)*$AO$4*C75/MAX(0.0001,12-$AO$3),INDEX($C$10:$Q$10,1,B75-2025)/12)</f>
        <v>5.64404597663043</v>
      </c>
      <c r="AY75" s="88" t="n">
        <f aca="false">$AO$6*INDEX($Y$10:$AB$10,1,B75-2026)/12</f>
        <v>2.50833333333333</v>
      </c>
      <c r="AZ75" s="88" t="n">
        <f aca="false">AX75+AZ74</f>
        <v>151.229505894372</v>
      </c>
      <c r="BA75" s="88" t="n">
        <f aca="false">AY75+BA74</f>
        <v>30.1</v>
      </c>
      <c r="BB75" s="88" t="n">
        <f aca="false">MAX(BB74,AZ75-BA75)</f>
        <v>121.129505894372</v>
      </c>
      <c r="BC75" s="88" t="n">
        <f aca="false">BB75-BB74</f>
        <v>3.1357126432971</v>
      </c>
      <c r="BD75" s="88" t="n">
        <f aca="false">IF(B75=2026,INDEX($C$11:$Q$11,1,B75-2025)*$AO$4*C75/MAX(0.0001,12-$AO$3),INDEX($C$11:$Q$11,1,B75-2025)/12)</f>
        <v>28.0475536513497</v>
      </c>
      <c r="BE75" s="88" t="n">
        <f aca="false">$AO$6*INDEX($Y$11:$AB$11,1,B75-2026)/12</f>
        <v>8.70833333333333</v>
      </c>
      <c r="BF75" s="88" t="n">
        <f aca="false">BD75+BF74</f>
        <v>751.520752630685</v>
      </c>
      <c r="BG75" s="88" t="n">
        <f aca="false">BE75+BG74</f>
        <v>213.9</v>
      </c>
      <c r="BH75" s="88" t="n">
        <f aca="false">MAX(BH74,BF75-BG75)</f>
        <v>537.620752630685</v>
      </c>
      <c r="BI75" s="88" t="n">
        <f aca="false">BH75-BH74</f>
        <v>19.3392203180164</v>
      </c>
      <c r="BJ75" s="88" t="n">
        <f aca="false">IF(B75=2026,INDEX($C$12:$Q$12,1,B75-2025)*$AO$4*C75/MAX(0.0001,12-$AO$3),INDEX($C$12:$Q$12,1,B75-2025)/12)</f>
        <v>15.3780518436687</v>
      </c>
      <c r="BK75" s="88" t="n">
        <f aca="false">$AO$6*INDEX($Y$12:$AB$12,1,B75-2026)/12</f>
        <v>1.275</v>
      </c>
      <c r="BL75" s="88" t="n">
        <f aca="false">BJ75+BL74</f>
        <v>412.047526112549</v>
      </c>
      <c r="BM75" s="88" t="n">
        <f aca="false">BK75+BM74</f>
        <v>59.8</v>
      </c>
      <c r="BN75" s="88" t="n">
        <f aca="false">MAX(BN74,BL75-BM75)</f>
        <v>352.247526112549</v>
      </c>
      <c r="BO75" s="88" t="n">
        <f aca="false">BN75-BN74</f>
        <v>14.1030518436688</v>
      </c>
      <c r="BP75" s="88" t="n">
        <f aca="false">IF(B75=2026,INDEX($C$13:$Q$13,1,B75-2025)*$AO$4*C75/MAX(0.0001,12-$AO$3),INDEX($C$13:$Q$13,1,B75-2025)/12)</f>
        <v>4.80560220169792</v>
      </c>
      <c r="BQ75" s="88" t="n">
        <f aca="false">$AO$6*INDEX($Y$13:$AB$13,1,B75-2026)/12</f>
        <v>4.78333333333333</v>
      </c>
      <c r="BR75" s="88" t="n">
        <f aca="false">BP75+BR74</f>
        <v>128.763806938646</v>
      </c>
      <c r="BS75" s="88" t="n">
        <f aca="false">BQ75+BS74</f>
        <v>57.4</v>
      </c>
      <c r="BT75" s="88" t="n">
        <f aca="false">MAX(BT74,BR75-BS75)</f>
        <v>71.3638069386457</v>
      </c>
      <c r="BU75" s="88" t="n">
        <f aca="false">BT75-BT74</f>
        <v>0.0222688683645913</v>
      </c>
      <c r="BV75" s="88" t="n">
        <f aca="false">IF(B75=2026,INDEX($C$14:$Q$14,1,B75-2025)*$AO$4*C75/MAX(0.0001,12-$AO$3),INDEX($C$14:$Q$14,1,B75-2025)/12)</f>
        <v>2.85021923686911</v>
      </c>
      <c r="BW75" s="88" t="n">
        <f aca="false">$AO$6*INDEX($Y$14:$AB$14,1,B75-2026)/12</f>
        <v>0</v>
      </c>
      <c r="BX75" s="88" t="n">
        <f aca="false">BV75+BX74</f>
        <v>76.3702579084381</v>
      </c>
      <c r="BY75" s="88" t="n">
        <f aca="false">BW75+BY74</f>
        <v>0</v>
      </c>
      <c r="BZ75" s="88" t="n">
        <f aca="false">MAX(BZ74,BX75-BY75)</f>
        <v>76.3702579084381</v>
      </c>
      <c r="CA75" s="88" t="n">
        <f aca="false">BZ75-BZ74</f>
        <v>2.85021923686911</v>
      </c>
      <c r="CB75" s="88" t="n">
        <f aca="false">IF(B75=2026,INDEX($C$15:$Q$15,1,B75-2025)*$AO$4*C75/MAX(0.0001,12-$AO$3),INDEX($C$15:$Q$15,1,B75-2025)/12)</f>
        <v>4.67303386509936</v>
      </c>
      <c r="CC75" s="88" t="n">
        <f aca="false">$AO$6*INDEX($Y$15:$AB$15,1,B75-2026)/12</f>
        <v>0.683333333333333</v>
      </c>
      <c r="CD75" s="88" t="n">
        <f aca="false">CB75+CD74</f>
        <v>125.211701919648</v>
      </c>
      <c r="CE75" s="88" t="n">
        <f aca="false">CC75+CE74</f>
        <v>82.2000000000001</v>
      </c>
      <c r="CF75" s="88" t="n">
        <f aca="false">MAX(CF74,CD75-CE75)</f>
        <v>43.0117019196484</v>
      </c>
      <c r="CG75" s="88" t="n">
        <f aca="false">CF75-CF74</f>
        <v>3.98970053176602</v>
      </c>
      <c r="CH75" s="88" t="n">
        <f aca="false">IF(B75=2026,INDEX($C$16:$Q$16,1,B75-2025)*$AO$4*C75/MAX(0.0001,12-$AO$3),INDEX($C$16:$Q$16,1,B75-2025)/12)</f>
        <v>3.69534238268495</v>
      </c>
      <c r="CI75" s="88" t="n">
        <f aca="false">$AO$6*INDEX($Y$16:$AB$16,1,B75-2026)/12</f>
        <v>0.833333333333333</v>
      </c>
      <c r="CJ75" s="88" t="n">
        <f aca="false">CH75+CJ74</f>
        <v>99.0149274045448</v>
      </c>
      <c r="CK75" s="88" t="n">
        <f aca="false">CI75+CK74</f>
        <v>70</v>
      </c>
      <c r="CL75" s="88" t="n">
        <f aca="false">MAX(CL74,CJ75-CK75)</f>
        <v>29.0149274045448</v>
      </c>
      <c r="CM75" s="88" t="n">
        <f aca="false">CL75-CL74</f>
        <v>2.86200904935163</v>
      </c>
      <c r="CN75" s="88" t="n">
        <f aca="false">IF(B75=2026,INDEX($C$17:$Q$17,1,B75-2025)*$AO$4*C75/MAX(0.0001,12-$AO$3),INDEX($C$17:$Q$17,1,B75-2025)/12)</f>
        <v>16.0904818546506</v>
      </c>
      <c r="CO75" s="88" t="n">
        <f aca="false">$AO$6*INDEX($Y$17:$AB$17,1,B75-2026)/12</f>
        <v>3.35</v>
      </c>
      <c r="CP75" s="88" t="n">
        <f aca="false">CN75+CP74</f>
        <v>431.136746680776</v>
      </c>
      <c r="CQ75" s="88" t="n">
        <f aca="false">CO75+CQ74</f>
        <v>206.2</v>
      </c>
      <c r="CR75" s="88" t="n">
        <f aca="false">MAX(CR74,CP75-CQ75)</f>
        <v>224.936746680776</v>
      </c>
      <c r="CS75" s="88" t="n">
        <f aca="false">CR75-CR74</f>
        <v>12.7404818546507</v>
      </c>
      <c r="CT75" s="88" t="n">
        <f aca="false">IF(B75=2026,INDEX($C$18:$Q$18,1,B75-2025)*$AO$4*C75/MAX(0.0001,12-$AO$3),INDEX($C$18:$Q$18,1,B75-2025)/12)</f>
        <v>3.34735049911372</v>
      </c>
      <c r="CU75" s="88" t="n">
        <f aca="false">$AO$6*INDEX($Y$18:$AB$18,1,B75-2026)/12</f>
        <v>0</v>
      </c>
      <c r="CV75" s="88" t="n">
        <f aca="false">CT75+CV74</f>
        <v>89.6906517296773</v>
      </c>
      <c r="CW75" s="88" t="n">
        <f aca="false">CU75+CW74</f>
        <v>11</v>
      </c>
      <c r="CX75" s="88" t="n">
        <f aca="false">MAX(CX74,CV75-CW75)</f>
        <v>78.6906517296773</v>
      </c>
      <c r="CY75" s="88" t="n">
        <f aca="false">CX75-CX74</f>
        <v>3.34735049911373</v>
      </c>
      <c r="CZ75" s="88" t="n">
        <f aca="false">IF(B75=2026,INDEX($C$19:$Q$19,1,B75-2025)*$AO$4*C75/MAX(0.0001,12-$AO$3),INDEX($C$19:$Q$19,1,B75-2025)/12)</f>
        <v>3.31420841496408</v>
      </c>
      <c r="DA75" s="88" t="n">
        <f aca="false">$AO$6*INDEX($Y$19:$AB$19,1,B75-2026)/12</f>
        <v>7.675</v>
      </c>
      <c r="DB75" s="88" t="n">
        <f aca="false">CZ75+DB74</f>
        <v>88.8026254749281</v>
      </c>
      <c r="DC75" s="88" t="n">
        <f aca="false">DA75+DC74</f>
        <v>104</v>
      </c>
      <c r="DD75" s="88" t="n">
        <f aca="false">MAX(DD74,DB75-DC75)</f>
        <v>37.132124495359</v>
      </c>
      <c r="DE75" s="88" t="n">
        <f aca="false">DD75-DD74</f>
        <v>0</v>
      </c>
      <c r="DF75" s="88" t="n">
        <f aca="false">IF(B75=2026,INDEX($C$20:$Q$20,1,B75-2025)*$AO$4*C75/MAX(0.0001,12-$AO$3),INDEX($C$20:$Q$20,1,B75-2025)/12)</f>
        <v>2.70107985819573</v>
      </c>
      <c r="DG75" s="88" t="n">
        <f aca="false">$AO$6*INDEX($Y$20:$AB$20,1,B75-2026)/12</f>
        <v>0</v>
      </c>
      <c r="DH75" s="88" t="n">
        <f aca="false">DF75+DH74</f>
        <v>72.3741397620663</v>
      </c>
      <c r="DI75" s="88" t="n">
        <f aca="false">DG75+DI74</f>
        <v>0</v>
      </c>
      <c r="DJ75" s="88" t="n">
        <f aca="false">MAX(DJ74,DH75-DI75)</f>
        <v>72.3741397620663</v>
      </c>
      <c r="DK75" s="88" t="n">
        <f aca="false">DJ75-DJ74</f>
        <v>2.70107985819573</v>
      </c>
      <c r="DL75" s="88" t="n">
        <f aca="false">IF(B75=2026,INDEX($C$21:$Q$21,1,B75-2025)*$AO$4*C75/MAX(0.0001,12-$AO$3),INDEX($C$21:$Q$21,1,B75-2025)/12)</f>
        <v>1.88909879652953</v>
      </c>
      <c r="DM75" s="88" t="n">
        <f aca="false">$AO$6*INDEX($Y$21:$AB$21,1,B75-2026)/12</f>
        <v>3.05833333333333</v>
      </c>
      <c r="DN75" s="88" t="n">
        <f aca="false">DL75+DN74</f>
        <v>50.617496520709</v>
      </c>
      <c r="DO75" s="88" t="n">
        <f aca="false">DM75+DO74</f>
        <v>46.9</v>
      </c>
      <c r="DP75" s="88" t="n">
        <f aca="false">MAX(DP74,DN75-DO75)</f>
        <v>17.7483109623547</v>
      </c>
      <c r="DQ75" s="88" t="n">
        <f aca="false">DP75-DP74</f>
        <v>0</v>
      </c>
      <c r="DR75" s="88" t="n">
        <f aca="false">IF(B75=2026,INDEX($C$22:$Q$22,1,B75-2025)*$AO$4*C75/MAX(0.0001,12-$AO$3),INDEX($C$22:$Q$22,1,B75-2025)/12)</f>
        <v>1.47482274465902</v>
      </c>
      <c r="DS75" s="88" t="n">
        <f aca="false">$AO$6*INDEX($Y$22:$AB$22,1,B75-2026)/12</f>
        <v>0.816666666666667</v>
      </c>
      <c r="DT75" s="88" t="n">
        <f aca="false">DR75+DT74</f>
        <v>39.5171683363429</v>
      </c>
      <c r="DU75" s="88" t="n">
        <f aca="false">DS75+DU74</f>
        <v>26.4</v>
      </c>
      <c r="DV75" s="88" t="n">
        <f aca="false">MAX(DV74,DT75-DU75)</f>
        <v>13.1171683363429</v>
      </c>
      <c r="DW75" s="88" t="n">
        <f aca="false">DV75-DV74</f>
        <v>0.658156077992349</v>
      </c>
      <c r="DX75" s="88" t="n">
        <f aca="false">IF(B75=2026,INDEX($C$23:$Q$23,1,B75-2025)*$AO$4*C75/MAX(0.0001,12-$AO$3),INDEX($C$23:$Q$23,1,B75-2025)/12)</f>
        <v>2.36965901669932</v>
      </c>
      <c r="DY75" s="88" t="n">
        <f aca="false">$AO$6*INDEX($Y$23:$AB$23,1,B75-2026)/12</f>
        <v>7.14166666666667</v>
      </c>
      <c r="DZ75" s="88" t="n">
        <f aca="false">DX75+DZ74</f>
        <v>63.4938772145735</v>
      </c>
      <c r="EA75" s="88" t="n">
        <f aca="false">DY75+EA74</f>
        <v>85.7</v>
      </c>
      <c r="EB75" s="88" t="n">
        <f aca="false">MAX(EB74,DZ75-EA75)</f>
        <v>35.0579690141817</v>
      </c>
      <c r="EC75" s="88" t="n">
        <f aca="false">EB75-EB74</f>
        <v>0</v>
      </c>
      <c r="ED75" s="88" t="n">
        <f aca="false">IF(B75=2026,INDEX($C$24:$Q$24,1,B75-2025)*$AO$4*C75/MAX(0.0001,12-$AO$3),INDEX($C$24:$Q$24,1,B75-2025)/12)</f>
        <v>1.4582517025842</v>
      </c>
      <c r="EE75" s="88" t="n">
        <f aca="false">$AO$6*INDEX($Y$24:$AB$24,1,B75-2026)/12</f>
        <v>0</v>
      </c>
      <c r="EF75" s="88" t="n">
        <f aca="false">ED75+EF74</f>
        <v>39.0731552089683</v>
      </c>
      <c r="EG75" s="88" t="n">
        <f aca="false">EE75+EG74</f>
        <v>0</v>
      </c>
      <c r="EH75" s="88" t="n">
        <f aca="false">MAX(EH74,EF75-EG75)</f>
        <v>39.0731552089683</v>
      </c>
      <c r="EI75" s="88" t="n">
        <f aca="false">EH75-EH74</f>
        <v>1.4582517025842</v>
      </c>
      <c r="EJ75" s="88" t="n">
        <f aca="false">IF(B75=2026,INDEX($C$25:$Q$25,1,B75-2025)*$AO$4*C75/MAX(0.0001,12-$AO$3),INDEX($C$25:$Q$25,1,B75-2025)/12)</f>
        <v>1.85595671237989</v>
      </c>
      <c r="EK75" s="88" t="n">
        <f aca="false">$AO$6*INDEX($Y$25:$AB$25,1,B75-2026)/12</f>
        <v>0</v>
      </c>
      <c r="EL75" s="88" t="n">
        <f aca="false">EJ75+EL74</f>
        <v>49.7294702659597</v>
      </c>
      <c r="EM75" s="88" t="n">
        <f aca="false">EK75+EM74</f>
        <v>14</v>
      </c>
      <c r="EN75" s="88" t="n">
        <f aca="false">MAX(EN74,EL75-EM75)</f>
        <v>35.7294702659597</v>
      </c>
      <c r="EO75" s="88" t="n">
        <f aca="false">EN75-EN74</f>
        <v>1.85595671237989</v>
      </c>
      <c r="EP75" s="88" t="n">
        <f aca="false">IF(B75=2026,INDEX($C$26:$Q$26,1,B75-2025)*$AO$4*C75/MAX(0.0001,12-$AO$3),INDEX($C$26:$Q$26,1,B75-2025)/12)</f>
        <v>2.66793777404609</v>
      </c>
      <c r="EQ75" s="88" t="n">
        <f aca="false">$AO$6*INDEX($Y$26:$AB$26,1,B75-2026)/12</f>
        <v>0.025</v>
      </c>
      <c r="ER75" s="88" t="n">
        <f aca="false">EP75+ER74</f>
        <v>71.4861135073171</v>
      </c>
      <c r="ES75" s="88" t="n">
        <f aca="false">EQ75+ES74</f>
        <v>4</v>
      </c>
      <c r="ET75" s="88" t="n">
        <f aca="false">MAX(ET74,ER75-ES75)</f>
        <v>67.4861135073171</v>
      </c>
      <c r="EU75" s="88" t="n">
        <f aca="false">ET75-ET74</f>
        <v>2.64293777404608</v>
      </c>
      <c r="EV75" s="88" t="n">
        <f aca="false">IF(B75=2026,INDEX($C$27:$Q$27,1,B75-2025)*$AO$4*C75/MAX(0.0001,12-$AO$3),INDEX($C$27:$Q$27,1,B75-2025)/12)</f>
        <v>6.62841682992816</v>
      </c>
      <c r="EW75" s="88" t="n">
        <f aca="false">$AO$6*INDEX($Y$27:$AB$27,1,B75-2026)/12</f>
        <v>11.1166666666667</v>
      </c>
      <c r="EX75" s="88" t="n">
        <f aca="false">EV75+EX74</f>
        <v>177.605250949856</v>
      </c>
      <c r="EY75" s="88" t="n">
        <f aca="false">EW75+EY74</f>
        <v>318.5</v>
      </c>
      <c r="EZ75" s="88" t="n">
        <f aca="false">MAX(EZ74,EX75-EY75)</f>
        <v>0</v>
      </c>
      <c r="FA75" s="88" t="n">
        <f aca="false">EZ75-EZ74</f>
        <v>0</v>
      </c>
      <c r="FB75" s="88" t="n">
        <f aca="false">IF(B75=2026,INDEX($C$28:$Q$28,1,B75-2025)*$AO$4*C75/MAX(0.0001,12-$AO$3),INDEX($C$28:$Q$28,1,B75-2025)/12)</f>
        <v>34.6997621046739</v>
      </c>
      <c r="FC75" s="88" t="n">
        <f aca="false">$AO$6*INDEX($Y$28:$AB$28,1,B75-2026)/12</f>
        <v>3.19166666666667</v>
      </c>
      <c r="FD75" s="88" t="n">
        <f aca="false">FB75+FD74</f>
        <v>929.763488722496</v>
      </c>
      <c r="FE75" s="88" t="n">
        <f aca="false">FC75+FE74</f>
        <v>144.3</v>
      </c>
      <c r="FF75" s="88" t="n">
        <f aca="false">MAX(FF74,FD75-FE75)</f>
        <v>785.463488722496</v>
      </c>
      <c r="FG75" s="88" t="n">
        <f aca="false">FF75-FF74</f>
        <v>31.5080954380073</v>
      </c>
    </row>
    <row r="76" customFormat="false" ht="15" hidden="false" customHeight="false" outlineLevel="0" collapsed="false">
      <c r="A76" s="0" t="n">
        <v>36</v>
      </c>
      <c r="B76" s="88" t="n">
        <f aca="false">2026+INT(A76/12)</f>
        <v>2029</v>
      </c>
      <c r="C76" s="88" t="n">
        <f aca="false">MAX(0,MIN(1,A76+1-$AO$3))</f>
        <v>1</v>
      </c>
      <c r="D76" s="88" t="n">
        <f aca="false">IF((A76+0.5-(0))&lt;$AO$3,0,2026+INT((A76+0.5-(0))/12))</f>
        <v>2029</v>
      </c>
      <c r="E76" s="88" t="n">
        <f aca="false">IF((A76+0.5-($AO$9))&lt;$AO$3,0,2026+INT((A76+0.5-($AO$9))/12))</f>
        <v>2027</v>
      </c>
      <c r="F76" s="88" t="n">
        <f aca="false">IF((A76+0.5-($AO$9+$AO$8))&lt;$AO$3,0,2026+INT((A76+0.5-($AO$9+$AO$8))/12))</f>
        <v>0</v>
      </c>
      <c r="G76" s="88" t="n">
        <f aca="false">IF((A76+0.5-($AO$9+$AO$8+$AO$7))&lt;$AO$3,0,2026+INT((A76+0.5-($AO$9+$AO$8+$AO$7))/12))</f>
        <v>0</v>
      </c>
      <c r="H76" s="88" t="n">
        <f aca="false">IF(B76=2026,INDEX($C$3:$Q$3,1,B76-2025)*$AO$4*C76/MAX(0.0001,12-$AO$3),INDEX($C$3:$Q$3,1,B76-2025)/12)</f>
        <v>355.25</v>
      </c>
      <c r="I76" s="88" t="n">
        <f aca="false">$AO$6*INDEX($Y$3:$AB$3,1,B76-2026)/12</f>
        <v>162.891666666667</v>
      </c>
      <c r="J76" s="88" t="n">
        <f aca="false">H76+J75</f>
        <v>9874.00342465753</v>
      </c>
      <c r="K76" s="88" t="n">
        <f aca="false">I76+K75</f>
        <v>4478.99166666667</v>
      </c>
      <c r="L76" s="88" t="n">
        <f aca="false">MAX(L75,J76-K76)</f>
        <v>5395.01175799087</v>
      </c>
      <c r="M76" s="88" t="n">
        <f aca="false">L76-L75</f>
        <v>192.358333333334</v>
      </c>
      <c r="N76" s="88" t="n">
        <f aca="false">IF(B76=2026,INDEX($C$4:$Q$4,1,B76-2025)*$AO$4*C76/MAX(0.0001,12-$AO$3),INDEX($C$4:$Q$4,1,B76-2025)/12)</f>
        <v>10.7700632578534</v>
      </c>
      <c r="O76" s="88" t="n">
        <f aca="false">$AO$6*INDEX($Y$4:$AB$4,1,B76-2026)/12</f>
        <v>7.375</v>
      </c>
      <c r="P76" s="88" t="n">
        <f aca="false">N76+P75</f>
        <v>299.348744523075</v>
      </c>
      <c r="Q76" s="88" t="n">
        <f aca="false">O76+Q75</f>
        <v>232.075</v>
      </c>
      <c r="R76" s="88" t="n">
        <f aca="false">MAX(R75,P76-Q76)</f>
        <v>67.2737445230747</v>
      </c>
      <c r="S76" s="88" t="n">
        <f aca="false">R76-R75</f>
        <v>3.39506325785334</v>
      </c>
      <c r="T76" s="88" t="n">
        <f aca="false">IF(B76=2026,INDEX($C$5:$Q$5,1,B76-2025)*$AO$4*C76/MAX(0.0001,12-$AO$3),INDEX($C$5:$Q$5,1,B76-2025)/12)</f>
        <v>43.7734247619348</v>
      </c>
      <c r="U76" s="88" t="n">
        <f aca="false">$AO$6*INDEX($Y$5:$AB$5,1,B76-2026)/12</f>
        <v>25.3416666666667</v>
      </c>
      <c r="V76" s="88" t="n">
        <f aca="false">T76+V75</f>
        <v>1216.66135399953</v>
      </c>
      <c r="W76" s="88" t="n">
        <f aca="false">U76+W75</f>
        <v>733.341666666667</v>
      </c>
      <c r="X76" s="88" t="n">
        <f aca="false">MAX(X75,V76-W76)</f>
        <v>483.319687332864</v>
      </c>
      <c r="Y76" s="88" t="n">
        <f aca="false">X76-X75</f>
        <v>18.4317580952682</v>
      </c>
      <c r="Z76" s="88" t="n">
        <f aca="false">IF(B76=2026,INDEX($C$6:$Q$6,1,B76-2025)*$AO$4*C76/MAX(0.0001,12-$AO$3),INDEX($C$6:$Q$6,1,B76-2025)/12)</f>
        <v>51.933610116259</v>
      </c>
      <c r="AA76" s="88" t="n">
        <f aca="false">$AO$6*INDEX($Y$6:$AB$6,1,B76-2026)/12</f>
        <v>39.4666666666667</v>
      </c>
      <c r="AB76" s="88" t="n">
        <f aca="false">Z76+AB75</f>
        <v>1443.46979350533</v>
      </c>
      <c r="AC76" s="88" t="n">
        <f aca="false">AA76+AC75</f>
        <v>665.566666666667</v>
      </c>
      <c r="AD76" s="88" t="n">
        <f aca="false">MAX(AD75,AB76-AC76)</f>
        <v>777.903126838667</v>
      </c>
      <c r="AE76" s="88" t="n">
        <f aca="false">AD76-AD75</f>
        <v>12.4669434495922</v>
      </c>
      <c r="AF76" s="88" t="n">
        <f aca="false">IF(B76=2026,INDEX($C$7:$Q$7,1,B76-2025)*$AO$4*C76/MAX(0.0001,12-$AO$3),INDEX($C$7:$Q$7,1,B76-2025)/12)</f>
        <v>45.11289896006</v>
      </c>
      <c r="AG76" s="88" t="n">
        <f aca="false">$AO$6*INDEX($Y$7:$AB$7,1,B76-2026)/12</f>
        <v>21.575</v>
      </c>
      <c r="AH76" s="88" t="n">
        <f aca="false">AF76+AH75</f>
        <v>1253.89139712276</v>
      </c>
      <c r="AI76" s="88" t="n">
        <f aca="false">AG76+AI75</f>
        <v>363.275</v>
      </c>
      <c r="AJ76" s="88" t="n">
        <f aca="false">MAX(AJ75,AH76-AI76)</f>
        <v>890.616397122763</v>
      </c>
      <c r="AK76" s="88" t="n">
        <f aca="false">AJ76-AJ75</f>
        <v>23.5378989600599</v>
      </c>
      <c r="AL76" s="88" t="n">
        <f aca="false">IF(B76=2026,INDEX($C$8:$Q$8,1,B76-2025)*$AO$4*C76/MAX(0.0001,12-$AO$3),INDEX($C$8:$Q$8,1,B76-2025)/12)</f>
        <v>11.4114321188341</v>
      </c>
      <c r="AM76" s="88" t="n">
        <f aca="false">$AO$6*INDEX($Y$8:$AB$8,1,B76-2026)/12</f>
        <v>1.375</v>
      </c>
      <c r="AN76" s="88" t="n">
        <f aca="false">AL76+AN75</f>
        <v>317.175284508416</v>
      </c>
      <c r="AO76" s="88" t="n">
        <f aca="false">AM76+AO75</f>
        <v>50.875</v>
      </c>
      <c r="AP76" s="88" t="n">
        <f aca="false">MAX(AP75,AN76-AO76)</f>
        <v>266.300284508416</v>
      </c>
      <c r="AQ76" s="88" t="n">
        <f aca="false">AP76-AP75</f>
        <v>10.0364321188341</v>
      </c>
      <c r="AR76" s="88" t="n">
        <f aca="false">IF(B76=2026,INDEX($C$9:$Q$9,1,B76-2025)*$AO$4*C76/MAX(0.0001,12-$AO$3),INDEX($C$9:$Q$9,1,B76-2025)/12)</f>
        <v>48.6576953186344</v>
      </c>
      <c r="AS76" s="88" t="n">
        <f aca="false">$AO$6*INDEX($Y$9:$AB$9,1,B76-2026)/12</f>
        <v>32.5916666666667</v>
      </c>
      <c r="AT76" s="88" t="n">
        <f aca="false">AR76+AT75</f>
        <v>1352.41731234944</v>
      </c>
      <c r="AU76" s="88" t="n">
        <f aca="false">AS76+AU75</f>
        <v>924.291666666667</v>
      </c>
      <c r="AV76" s="88" t="n">
        <f aca="false">MAX(AV75,AT76-AU76)</f>
        <v>428.125645682772</v>
      </c>
      <c r="AW76" s="88" t="n">
        <f aca="false">AV76-AV75</f>
        <v>16.0660286519676</v>
      </c>
      <c r="AX76" s="88" t="n">
        <f aca="false">IF(B76=2026,INDEX($C$10:$Q$10,1,B76-2025)*$AO$4*C76/MAX(0.0001,12-$AO$3),INDEX($C$10:$Q$10,1,B76-2025)/12)</f>
        <v>5.64404597663043</v>
      </c>
      <c r="AY76" s="88" t="n">
        <f aca="false">$AO$6*INDEX($Y$10:$AB$10,1,B76-2026)/12</f>
        <v>1.63333333333333</v>
      </c>
      <c r="AZ76" s="88" t="n">
        <f aca="false">AX76+AZ75</f>
        <v>156.873551871002</v>
      </c>
      <c r="BA76" s="88" t="n">
        <f aca="false">AY76+BA75</f>
        <v>31.7333333333333</v>
      </c>
      <c r="BB76" s="88" t="n">
        <f aca="false">MAX(BB75,AZ76-BA76)</f>
        <v>125.140218537669</v>
      </c>
      <c r="BC76" s="88" t="n">
        <f aca="false">BB76-BB75</f>
        <v>4.01071264329708</v>
      </c>
      <c r="BD76" s="88" t="n">
        <f aca="false">IF(B76=2026,INDEX($C$11:$Q$11,1,B76-2025)*$AO$4*C76/MAX(0.0001,12-$AO$3),INDEX($C$11:$Q$11,1,B76-2025)/12)</f>
        <v>28.0475536513497</v>
      </c>
      <c r="BE76" s="88" t="n">
        <f aca="false">$AO$6*INDEX($Y$11:$AB$11,1,B76-2026)/12</f>
        <v>2.175</v>
      </c>
      <c r="BF76" s="88" t="n">
        <f aca="false">BD76+BF75</f>
        <v>779.568306282035</v>
      </c>
      <c r="BG76" s="88" t="n">
        <f aca="false">BE76+BG75</f>
        <v>216.075</v>
      </c>
      <c r="BH76" s="88" t="n">
        <f aca="false">MAX(BH75,BF76-BG76)</f>
        <v>563.493306282035</v>
      </c>
      <c r="BI76" s="88" t="n">
        <f aca="false">BH76-BH75</f>
        <v>25.8725536513497</v>
      </c>
      <c r="BJ76" s="88" t="n">
        <f aca="false">IF(B76=2026,INDEX($C$12:$Q$12,1,B76-2025)*$AO$4*C76/MAX(0.0001,12-$AO$3),INDEX($C$12:$Q$12,1,B76-2025)/12)</f>
        <v>15.3780518436687</v>
      </c>
      <c r="BK76" s="88" t="n">
        <f aca="false">$AO$6*INDEX($Y$12:$AB$12,1,B76-2026)/12</f>
        <v>3.65</v>
      </c>
      <c r="BL76" s="88" t="n">
        <f aca="false">BJ76+BL75</f>
        <v>427.425577956218</v>
      </c>
      <c r="BM76" s="88" t="n">
        <f aca="false">BK76+BM75</f>
        <v>63.45</v>
      </c>
      <c r="BN76" s="88" t="n">
        <f aca="false">MAX(BN75,BL76-BM76)</f>
        <v>363.975577956218</v>
      </c>
      <c r="BO76" s="88" t="n">
        <f aca="false">BN76-BN75</f>
        <v>11.7280518436687</v>
      </c>
      <c r="BP76" s="88" t="n">
        <f aca="false">IF(B76=2026,INDEX($C$13:$Q$13,1,B76-2025)*$AO$4*C76/MAX(0.0001,12-$AO$3),INDEX($C$13:$Q$13,1,B76-2025)/12)</f>
        <v>4.80560220169792</v>
      </c>
      <c r="BQ76" s="88" t="n">
        <f aca="false">$AO$6*INDEX($Y$13:$AB$13,1,B76-2026)/12</f>
        <v>2.40833333333333</v>
      </c>
      <c r="BR76" s="88" t="n">
        <f aca="false">BP76+BR75</f>
        <v>133.569409140344</v>
      </c>
      <c r="BS76" s="88" t="n">
        <f aca="false">BQ76+BS75</f>
        <v>59.8083333333333</v>
      </c>
      <c r="BT76" s="88" t="n">
        <f aca="false">MAX(BT75,BR76-BS76)</f>
        <v>73.7610758070103</v>
      </c>
      <c r="BU76" s="88" t="n">
        <f aca="false">BT76-BT75</f>
        <v>2.39726886836459</v>
      </c>
      <c r="BV76" s="88" t="n">
        <f aca="false">IF(B76=2026,INDEX($C$14:$Q$14,1,B76-2025)*$AO$4*C76/MAX(0.0001,12-$AO$3),INDEX($C$14:$Q$14,1,B76-2025)/12)</f>
        <v>2.85021923686911</v>
      </c>
      <c r="BW76" s="88" t="n">
        <f aca="false">$AO$6*INDEX($Y$14:$AB$14,1,B76-2026)/12</f>
        <v>0</v>
      </c>
      <c r="BX76" s="88" t="n">
        <f aca="false">BV76+BX75</f>
        <v>79.2204771453072</v>
      </c>
      <c r="BY76" s="88" t="n">
        <f aca="false">BW76+BY75</f>
        <v>0</v>
      </c>
      <c r="BZ76" s="88" t="n">
        <f aca="false">MAX(BZ75,BX76-BY76)</f>
        <v>79.2204771453072</v>
      </c>
      <c r="CA76" s="88" t="n">
        <f aca="false">BZ76-BZ75</f>
        <v>2.85021923686911</v>
      </c>
      <c r="CB76" s="88" t="n">
        <f aca="false">IF(B76=2026,INDEX($C$15:$Q$15,1,B76-2025)*$AO$4*C76/MAX(0.0001,12-$AO$3),INDEX($C$15:$Q$15,1,B76-2025)/12)</f>
        <v>4.67303386509936</v>
      </c>
      <c r="CC76" s="88" t="n">
        <f aca="false">$AO$6*INDEX($Y$15:$AB$15,1,B76-2026)/12</f>
        <v>0.483333333333333</v>
      </c>
      <c r="CD76" s="88" t="n">
        <f aca="false">CB76+CD75</f>
        <v>129.884735784748</v>
      </c>
      <c r="CE76" s="88" t="n">
        <f aca="false">CC76+CE75</f>
        <v>82.6833333333334</v>
      </c>
      <c r="CF76" s="88" t="n">
        <f aca="false">MAX(CF75,CD76-CE76)</f>
        <v>47.2014024514145</v>
      </c>
      <c r="CG76" s="88" t="n">
        <f aca="false">CF76-CF75</f>
        <v>4.18970053176602</v>
      </c>
      <c r="CH76" s="88" t="n">
        <f aca="false">IF(B76=2026,INDEX($C$16:$Q$16,1,B76-2025)*$AO$4*C76/MAX(0.0001,12-$AO$3),INDEX($C$16:$Q$16,1,B76-2025)/12)</f>
        <v>3.69534238268495</v>
      </c>
      <c r="CI76" s="88" t="n">
        <f aca="false">$AO$6*INDEX($Y$16:$AB$16,1,B76-2026)/12</f>
        <v>0</v>
      </c>
      <c r="CJ76" s="88" t="n">
        <f aca="false">CH76+CJ75</f>
        <v>102.71026978723</v>
      </c>
      <c r="CK76" s="88" t="n">
        <f aca="false">CI76+CK75</f>
        <v>70</v>
      </c>
      <c r="CL76" s="88" t="n">
        <f aca="false">MAX(CL75,CJ76-CK76)</f>
        <v>32.7102697872298</v>
      </c>
      <c r="CM76" s="88" t="n">
        <f aca="false">CL76-CL75</f>
        <v>3.69534238268496</v>
      </c>
      <c r="CN76" s="88" t="n">
        <f aca="false">IF(B76=2026,INDEX($C$17:$Q$17,1,B76-2025)*$AO$4*C76/MAX(0.0001,12-$AO$3),INDEX($C$17:$Q$17,1,B76-2025)/12)</f>
        <v>16.0904818546506</v>
      </c>
      <c r="CO76" s="88" t="n">
        <f aca="false">$AO$6*INDEX($Y$17:$AB$17,1,B76-2026)/12</f>
        <v>1.23333333333333</v>
      </c>
      <c r="CP76" s="88" t="n">
        <f aca="false">CN76+CP75</f>
        <v>447.227228535426</v>
      </c>
      <c r="CQ76" s="88" t="n">
        <f aca="false">CO76+CQ75</f>
        <v>207.433333333333</v>
      </c>
      <c r="CR76" s="88" t="n">
        <f aca="false">MAX(CR75,CP76-CQ76)</f>
        <v>239.793895202093</v>
      </c>
      <c r="CS76" s="88" t="n">
        <f aca="false">CR76-CR75</f>
        <v>14.8571485213173</v>
      </c>
      <c r="CT76" s="88" t="n">
        <f aca="false">IF(B76=2026,INDEX($C$18:$Q$18,1,B76-2025)*$AO$4*C76/MAX(0.0001,12-$AO$3),INDEX($C$18:$Q$18,1,B76-2025)/12)</f>
        <v>3.34735049911372</v>
      </c>
      <c r="CU76" s="88" t="n">
        <f aca="false">$AO$6*INDEX($Y$18:$AB$18,1,B76-2026)/12</f>
        <v>0</v>
      </c>
      <c r="CV76" s="88" t="n">
        <f aca="false">CT76+CV75</f>
        <v>93.0380022287911</v>
      </c>
      <c r="CW76" s="88" t="n">
        <f aca="false">CU76+CW75</f>
        <v>11</v>
      </c>
      <c r="CX76" s="88" t="n">
        <f aca="false">MAX(CX75,CV76-CW76)</f>
        <v>82.0380022287911</v>
      </c>
      <c r="CY76" s="88" t="n">
        <f aca="false">CX76-CX75</f>
        <v>3.34735049911373</v>
      </c>
      <c r="CZ76" s="88" t="n">
        <f aca="false">IF(B76=2026,INDEX($C$19:$Q$19,1,B76-2025)*$AO$4*C76/MAX(0.0001,12-$AO$3),INDEX($C$19:$Q$19,1,B76-2025)/12)</f>
        <v>3.31420841496408</v>
      </c>
      <c r="DA76" s="88" t="n">
        <f aca="false">$AO$6*INDEX($Y$19:$AB$19,1,B76-2026)/12</f>
        <v>8.31666666666667</v>
      </c>
      <c r="DB76" s="88" t="n">
        <f aca="false">CZ76+DB75</f>
        <v>92.1168338898921</v>
      </c>
      <c r="DC76" s="88" t="n">
        <f aca="false">DA76+DC75</f>
        <v>112.316666666667</v>
      </c>
      <c r="DD76" s="88" t="n">
        <f aca="false">MAX(DD75,DB76-DC76)</f>
        <v>37.132124495359</v>
      </c>
      <c r="DE76" s="88" t="n">
        <f aca="false">DD76-DD75</f>
        <v>0</v>
      </c>
      <c r="DF76" s="88" t="n">
        <f aca="false">IF(B76=2026,INDEX($C$20:$Q$20,1,B76-2025)*$AO$4*C76/MAX(0.0001,12-$AO$3),INDEX($C$20:$Q$20,1,B76-2025)/12)</f>
        <v>2.70107985819573</v>
      </c>
      <c r="DG76" s="88" t="n">
        <f aca="false">$AO$6*INDEX($Y$20:$AB$20,1,B76-2026)/12</f>
        <v>0</v>
      </c>
      <c r="DH76" s="88" t="n">
        <f aca="false">DF76+DH75</f>
        <v>75.0752196202621</v>
      </c>
      <c r="DI76" s="88" t="n">
        <f aca="false">DG76+DI75</f>
        <v>0</v>
      </c>
      <c r="DJ76" s="88" t="n">
        <f aca="false">MAX(DJ75,DH76-DI76)</f>
        <v>75.0752196202621</v>
      </c>
      <c r="DK76" s="88" t="n">
        <f aca="false">DJ76-DJ75</f>
        <v>2.70107985819573</v>
      </c>
      <c r="DL76" s="88" t="n">
        <f aca="false">IF(B76=2026,INDEX($C$21:$Q$21,1,B76-2025)*$AO$4*C76/MAX(0.0001,12-$AO$3),INDEX($C$21:$Q$21,1,B76-2025)/12)</f>
        <v>1.88909879652953</v>
      </c>
      <c r="DM76" s="88" t="n">
        <f aca="false">$AO$6*INDEX($Y$21:$AB$21,1,B76-2026)/12</f>
        <v>4.425</v>
      </c>
      <c r="DN76" s="88" t="n">
        <f aca="false">DL76+DN75</f>
        <v>52.5065953172385</v>
      </c>
      <c r="DO76" s="88" t="n">
        <f aca="false">DM76+DO75</f>
        <v>51.325</v>
      </c>
      <c r="DP76" s="88" t="n">
        <f aca="false">MAX(DP75,DN76-DO76)</f>
        <v>17.7483109623547</v>
      </c>
      <c r="DQ76" s="88" t="n">
        <f aca="false">DP76-DP75</f>
        <v>0</v>
      </c>
      <c r="DR76" s="88" t="n">
        <f aca="false">IF(B76=2026,INDEX($C$22:$Q$22,1,B76-2025)*$AO$4*C76/MAX(0.0001,12-$AO$3),INDEX($C$22:$Q$22,1,B76-2025)/12)</f>
        <v>1.47482274465902</v>
      </c>
      <c r="DS76" s="88" t="n">
        <f aca="false">$AO$6*INDEX($Y$22:$AB$22,1,B76-2026)/12</f>
        <v>0.216666666666667</v>
      </c>
      <c r="DT76" s="88" t="n">
        <f aca="false">DR76+DT75</f>
        <v>40.991991081002</v>
      </c>
      <c r="DU76" s="88" t="n">
        <f aca="false">DS76+DU75</f>
        <v>26.6166666666667</v>
      </c>
      <c r="DV76" s="88" t="n">
        <f aca="false">MAX(DV75,DT76-DU76)</f>
        <v>14.3753244143353</v>
      </c>
      <c r="DW76" s="88" t="n">
        <f aca="false">DV76-DV75</f>
        <v>1.25815607799235</v>
      </c>
      <c r="DX76" s="88" t="n">
        <f aca="false">IF(B76=2026,INDEX($C$23:$Q$23,1,B76-2025)*$AO$4*C76/MAX(0.0001,12-$AO$3),INDEX($C$23:$Q$23,1,B76-2025)/12)</f>
        <v>2.36965901669932</v>
      </c>
      <c r="DY76" s="88" t="n">
        <f aca="false">$AO$6*INDEX($Y$23:$AB$23,1,B76-2026)/12</f>
        <v>2.94166666666667</v>
      </c>
      <c r="DZ76" s="88" t="n">
        <f aca="false">DX76+DZ75</f>
        <v>65.8635362312728</v>
      </c>
      <c r="EA76" s="88" t="n">
        <f aca="false">DY76+EA75</f>
        <v>88.6416666666667</v>
      </c>
      <c r="EB76" s="88" t="n">
        <f aca="false">MAX(EB75,DZ76-EA76)</f>
        <v>35.0579690141817</v>
      </c>
      <c r="EC76" s="88" t="n">
        <f aca="false">EB76-EB75</f>
        <v>0</v>
      </c>
      <c r="ED76" s="88" t="n">
        <f aca="false">IF(B76=2026,INDEX($C$24:$Q$24,1,B76-2025)*$AO$4*C76/MAX(0.0001,12-$AO$3),INDEX($C$24:$Q$24,1,B76-2025)/12)</f>
        <v>1.4582517025842</v>
      </c>
      <c r="EE76" s="88" t="n">
        <f aca="false">$AO$6*INDEX($Y$24:$AB$24,1,B76-2026)/12</f>
        <v>0</v>
      </c>
      <c r="EF76" s="88" t="n">
        <f aca="false">ED76+EF75</f>
        <v>40.5314069115525</v>
      </c>
      <c r="EG76" s="88" t="n">
        <f aca="false">EE76+EG75</f>
        <v>0</v>
      </c>
      <c r="EH76" s="88" t="n">
        <f aca="false">MAX(EH75,EF76-EG76)</f>
        <v>40.5314069115525</v>
      </c>
      <c r="EI76" s="88" t="n">
        <f aca="false">EH76-EH75</f>
        <v>1.4582517025842</v>
      </c>
      <c r="EJ76" s="88" t="n">
        <f aca="false">IF(B76=2026,INDEX($C$25:$Q$25,1,B76-2025)*$AO$4*C76/MAX(0.0001,12-$AO$3),INDEX($C$25:$Q$25,1,B76-2025)/12)</f>
        <v>1.85595671237989</v>
      </c>
      <c r="EK76" s="88" t="n">
        <f aca="false">$AO$6*INDEX($Y$25:$AB$25,1,B76-2026)/12</f>
        <v>0</v>
      </c>
      <c r="EL76" s="88" t="n">
        <f aca="false">EJ76+EL75</f>
        <v>51.5854269783396</v>
      </c>
      <c r="EM76" s="88" t="n">
        <f aca="false">EK76+EM75</f>
        <v>14</v>
      </c>
      <c r="EN76" s="88" t="n">
        <f aca="false">MAX(EN75,EL76-EM76)</f>
        <v>37.5854269783396</v>
      </c>
      <c r="EO76" s="88" t="n">
        <f aca="false">EN76-EN75</f>
        <v>1.85595671237989</v>
      </c>
      <c r="EP76" s="88" t="n">
        <f aca="false">IF(B76=2026,INDEX($C$26:$Q$26,1,B76-2025)*$AO$4*C76/MAX(0.0001,12-$AO$3),INDEX($C$26:$Q$26,1,B76-2025)/12)</f>
        <v>2.66793777404609</v>
      </c>
      <c r="EQ76" s="88" t="n">
        <f aca="false">$AO$6*INDEX($Y$26:$AB$26,1,B76-2026)/12</f>
        <v>0</v>
      </c>
      <c r="ER76" s="88" t="n">
        <f aca="false">EP76+ER75</f>
        <v>74.1540512813632</v>
      </c>
      <c r="ES76" s="88" t="n">
        <f aca="false">EQ76+ES75</f>
        <v>4</v>
      </c>
      <c r="ET76" s="88" t="n">
        <f aca="false">MAX(ET75,ER76-ES76)</f>
        <v>70.1540512813632</v>
      </c>
      <c r="EU76" s="88" t="n">
        <f aca="false">ET76-ET75</f>
        <v>2.66793777404608</v>
      </c>
      <c r="EV76" s="88" t="n">
        <f aca="false">IF(B76=2026,INDEX($C$27:$Q$27,1,B76-2025)*$AO$4*C76/MAX(0.0001,12-$AO$3),INDEX($C$27:$Q$27,1,B76-2025)/12)</f>
        <v>6.62841682992816</v>
      </c>
      <c r="EW76" s="88" t="n">
        <f aca="false">$AO$6*INDEX($Y$27:$AB$27,1,B76-2026)/12</f>
        <v>5.625</v>
      </c>
      <c r="EX76" s="88" t="n">
        <f aca="false">EV76+EX75</f>
        <v>184.233667779784</v>
      </c>
      <c r="EY76" s="88" t="n">
        <f aca="false">EW76+EY75</f>
        <v>324.125</v>
      </c>
      <c r="EZ76" s="88" t="n">
        <f aca="false">MAX(EZ75,EX76-EY76)</f>
        <v>0</v>
      </c>
      <c r="FA76" s="88" t="n">
        <f aca="false">EZ76-EZ75</f>
        <v>0</v>
      </c>
      <c r="FB76" s="88" t="n">
        <f aca="false">IF(B76=2026,INDEX($C$28:$Q$28,1,B76-2025)*$AO$4*C76/MAX(0.0001,12-$AO$3),INDEX($C$28:$Q$28,1,B76-2025)/12)</f>
        <v>34.6997621046739</v>
      </c>
      <c r="FC76" s="88" t="n">
        <f aca="false">$AO$6*INDEX($Y$28:$AB$28,1,B76-2026)/12</f>
        <v>2.05833333333333</v>
      </c>
      <c r="FD76" s="88" t="n">
        <f aca="false">FB76+FD75</f>
        <v>964.46325082717</v>
      </c>
      <c r="FE76" s="88" t="n">
        <f aca="false">FC76+FE75</f>
        <v>146.358333333333</v>
      </c>
      <c r="FF76" s="88" t="n">
        <f aca="false">MAX(FF75,FD76-FE76)</f>
        <v>818.104917493837</v>
      </c>
      <c r="FG76" s="88" t="n">
        <f aca="false">FF76-FF75</f>
        <v>32.6414287713405</v>
      </c>
    </row>
    <row r="77" customFormat="false" ht="15" hidden="false" customHeight="false" outlineLevel="0" collapsed="false">
      <c r="A77" s="0" t="n">
        <v>37</v>
      </c>
      <c r="B77" s="88" t="n">
        <f aca="false">2026+INT(A77/12)</f>
        <v>2029</v>
      </c>
      <c r="C77" s="88" t="n">
        <f aca="false">MAX(0,MIN(1,A77+1-$AO$3))</f>
        <v>1</v>
      </c>
      <c r="D77" s="88" t="n">
        <f aca="false">IF((A77+0.5-(0))&lt;$AO$3,0,2026+INT((A77+0.5-(0))/12))</f>
        <v>2029</v>
      </c>
      <c r="E77" s="88" t="n">
        <f aca="false">IF((A77+0.5-($AO$9))&lt;$AO$3,0,2026+INT((A77+0.5-($AO$9))/12))</f>
        <v>2027</v>
      </c>
      <c r="F77" s="88" t="n">
        <f aca="false">IF((A77+0.5-($AO$9+$AO$8))&lt;$AO$3,0,2026+INT((A77+0.5-($AO$9+$AO$8))/12))</f>
        <v>0</v>
      </c>
      <c r="G77" s="88" t="n">
        <f aca="false">IF((A77+0.5-($AO$9+$AO$8+$AO$7))&lt;$AO$3,0,2026+INT((A77+0.5-($AO$9+$AO$8+$AO$7))/12))</f>
        <v>0</v>
      </c>
      <c r="H77" s="88" t="n">
        <f aca="false">IF(B77=2026,INDEX($C$3:$Q$3,1,B77-2025)*$AO$4*C77/MAX(0.0001,12-$AO$3),INDEX($C$3:$Q$3,1,B77-2025)/12)</f>
        <v>355.25</v>
      </c>
      <c r="I77" s="88" t="n">
        <f aca="false">$AO$6*INDEX($Y$3:$AB$3,1,B77-2026)/12</f>
        <v>162.891666666667</v>
      </c>
      <c r="J77" s="88" t="n">
        <f aca="false">H77+J76</f>
        <v>10229.2534246575</v>
      </c>
      <c r="K77" s="88" t="n">
        <f aca="false">I77+K76</f>
        <v>4641.88333333333</v>
      </c>
      <c r="L77" s="88" t="n">
        <f aca="false">MAX(L76,J77-K77)</f>
        <v>5587.3700913242</v>
      </c>
      <c r="M77" s="88" t="n">
        <f aca="false">L77-L76</f>
        <v>192.358333333334</v>
      </c>
      <c r="N77" s="88" t="n">
        <f aca="false">IF(B77=2026,INDEX($C$4:$Q$4,1,B77-2025)*$AO$4*C77/MAX(0.0001,12-$AO$3),INDEX($C$4:$Q$4,1,B77-2025)/12)</f>
        <v>10.7700632578534</v>
      </c>
      <c r="O77" s="88" t="n">
        <f aca="false">$AO$6*INDEX($Y$4:$AB$4,1,B77-2026)/12</f>
        <v>7.375</v>
      </c>
      <c r="P77" s="88" t="n">
        <f aca="false">N77+P76</f>
        <v>310.118807780928</v>
      </c>
      <c r="Q77" s="88" t="n">
        <f aca="false">O77+Q76</f>
        <v>239.45</v>
      </c>
      <c r="R77" s="88" t="n">
        <f aca="false">MAX(R76,P77-Q77)</f>
        <v>70.6688077809281</v>
      </c>
      <c r="S77" s="88" t="n">
        <f aca="false">R77-R76</f>
        <v>3.39506325785334</v>
      </c>
      <c r="T77" s="88" t="n">
        <f aca="false">IF(B77=2026,INDEX($C$5:$Q$5,1,B77-2025)*$AO$4*C77/MAX(0.0001,12-$AO$3),INDEX($C$5:$Q$5,1,B77-2025)/12)</f>
        <v>43.7734247619348</v>
      </c>
      <c r="U77" s="88" t="n">
        <f aca="false">$AO$6*INDEX($Y$5:$AB$5,1,B77-2026)/12</f>
        <v>25.3416666666667</v>
      </c>
      <c r="V77" s="88" t="n">
        <f aca="false">T77+V76</f>
        <v>1260.43477876147</v>
      </c>
      <c r="W77" s="88" t="n">
        <f aca="false">U77+W76</f>
        <v>758.683333333333</v>
      </c>
      <c r="X77" s="88" t="n">
        <f aca="false">MAX(X76,V77-W77)</f>
        <v>501.751445428132</v>
      </c>
      <c r="Y77" s="88" t="n">
        <f aca="false">X77-X76</f>
        <v>18.4317580952682</v>
      </c>
      <c r="Z77" s="88" t="n">
        <f aca="false">IF(B77=2026,INDEX($C$6:$Q$6,1,B77-2025)*$AO$4*C77/MAX(0.0001,12-$AO$3),INDEX($C$6:$Q$6,1,B77-2025)/12)</f>
        <v>51.933610116259</v>
      </c>
      <c r="AA77" s="88" t="n">
        <f aca="false">$AO$6*INDEX($Y$6:$AB$6,1,B77-2026)/12</f>
        <v>39.4666666666667</v>
      </c>
      <c r="AB77" s="88" t="n">
        <f aca="false">Z77+AB76</f>
        <v>1495.40340362159</v>
      </c>
      <c r="AC77" s="88" t="n">
        <f aca="false">AA77+AC76</f>
        <v>705.033333333334</v>
      </c>
      <c r="AD77" s="88" t="n">
        <f aca="false">MAX(AD76,AB77-AC77)</f>
        <v>790.370070288259</v>
      </c>
      <c r="AE77" s="88" t="n">
        <f aca="false">AD77-AD76</f>
        <v>12.4669434495922</v>
      </c>
      <c r="AF77" s="88" t="n">
        <f aca="false">IF(B77=2026,INDEX($C$7:$Q$7,1,B77-2025)*$AO$4*C77/MAX(0.0001,12-$AO$3),INDEX($C$7:$Q$7,1,B77-2025)/12)</f>
        <v>45.11289896006</v>
      </c>
      <c r="AG77" s="88" t="n">
        <f aca="false">$AO$6*INDEX($Y$7:$AB$7,1,B77-2026)/12</f>
        <v>21.575</v>
      </c>
      <c r="AH77" s="88" t="n">
        <f aca="false">AF77+AH76</f>
        <v>1299.00429608282</v>
      </c>
      <c r="AI77" s="88" t="n">
        <f aca="false">AG77+AI76</f>
        <v>384.85</v>
      </c>
      <c r="AJ77" s="88" t="n">
        <f aca="false">MAX(AJ76,AH77-AI77)</f>
        <v>914.154296082823</v>
      </c>
      <c r="AK77" s="88" t="n">
        <f aca="false">AJ77-AJ76</f>
        <v>23.5378989600599</v>
      </c>
      <c r="AL77" s="88" t="n">
        <f aca="false">IF(B77=2026,INDEX($C$8:$Q$8,1,B77-2025)*$AO$4*C77/MAX(0.0001,12-$AO$3),INDEX($C$8:$Q$8,1,B77-2025)/12)</f>
        <v>11.4114321188341</v>
      </c>
      <c r="AM77" s="88" t="n">
        <f aca="false">$AO$6*INDEX($Y$8:$AB$8,1,B77-2026)/12</f>
        <v>1.375</v>
      </c>
      <c r="AN77" s="88" t="n">
        <f aca="false">AL77+AN76</f>
        <v>328.58671662725</v>
      </c>
      <c r="AO77" s="88" t="n">
        <f aca="false">AM77+AO76</f>
        <v>52.25</v>
      </c>
      <c r="AP77" s="88" t="n">
        <f aca="false">MAX(AP76,AN77-AO77)</f>
        <v>276.33671662725</v>
      </c>
      <c r="AQ77" s="88" t="n">
        <f aca="false">AP77-AP76</f>
        <v>10.0364321188341</v>
      </c>
      <c r="AR77" s="88" t="n">
        <f aca="false">IF(B77=2026,INDEX($C$9:$Q$9,1,B77-2025)*$AO$4*C77/MAX(0.0001,12-$AO$3),INDEX($C$9:$Q$9,1,B77-2025)/12)</f>
        <v>48.6576953186344</v>
      </c>
      <c r="AS77" s="88" t="n">
        <f aca="false">$AO$6*INDEX($Y$9:$AB$9,1,B77-2026)/12</f>
        <v>32.5916666666667</v>
      </c>
      <c r="AT77" s="88" t="n">
        <f aca="false">AR77+AT76</f>
        <v>1401.07500766807</v>
      </c>
      <c r="AU77" s="88" t="n">
        <f aca="false">AS77+AU76</f>
        <v>956.883333333333</v>
      </c>
      <c r="AV77" s="88" t="n">
        <f aca="false">MAX(AV76,AT77-AU77)</f>
        <v>444.19167433474</v>
      </c>
      <c r="AW77" s="88" t="n">
        <f aca="false">AV77-AV76</f>
        <v>16.0660286519676</v>
      </c>
      <c r="AX77" s="88" t="n">
        <f aca="false">IF(B77=2026,INDEX($C$10:$Q$10,1,B77-2025)*$AO$4*C77/MAX(0.0001,12-$AO$3),INDEX($C$10:$Q$10,1,B77-2025)/12)</f>
        <v>5.64404597663043</v>
      </c>
      <c r="AY77" s="88" t="n">
        <f aca="false">$AO$6*INDEX($Y$10:$AB$10,1,B77-2026)/12</f>
        <v>1.63333333333333</v>
      </c>
      <c r="AZ77" s="88" t="n">
        <f aca="false">AX77+AZ76</f>
        <v>162.517597847632</v>
      </c>
      <c r="BA77" s="88" t="n">
        <f aca="false">AY77+BA76</f>
        <v>33.3666666666667</v>
      </c>
      <c r="BB77" s="88" t="n">
        <f aca="false">MAX(BB76,AZ77-BA77)</f>
        <v>129.150931180966</v>
      </c>
      <c r="BC77" s="88" t="n">
        <f aca="false">BB77-BB76</f>
        <v>4.01071264329708</v>
      </c>
      <c r="BD77" s="88" t="n">
        <f aca="false">IF(B77=2026,INDEX($C$11:$Q$11,1,B77-2025)*$AO$4*C77/MAX(0.0001,12-$AO$3),INDEX($C$11:$Q$11,1,B77-2025)/12)</f>
        <v>28.0475536513497</v>
      </c>
      <c r="BE77" s="88" t="n">
        <f aca="false">$AO$6*INDEX($Y$11:$AB$11,1,B77-2026)/12</f>
        <v>2.175</v>
      </c>
      <c r="BF77" s="88" t="n">
        <f aca="false">BD77+BF76</f>
        <v>807.615859933385</v>
      </c>
      <c r="BG77" s="88" t="n">
        <f aca="false">BE77+BG76</f>
        <v>218.25</v>
      </c>
      <c r="BH77" s="88" t="n">
        <f aca="false">MAX(BH76,BF77-BG77)</f>
        <v>589.365859933385</v>
      </c>
      <c r="BI77" s="88" t="n">
        <f aca="false">BH77-BH76</f>
        <v>25.8725536513498</v>
      </c>
      <c r="BJ77" s="88" t="n">
        <f aca="false">IF(B77=2026,INDEX($C$12:$Q$12,1,B77-2025)*$AO$4*C77/MAX(0.0001,12-$AO$3),INDEX($C$12:$Q$12,1,B77-2025)/12)</f>
        <v>15.3780518436687</v>
      </c>
      <c r="BK77" s="88" t="n">
        <f aca="false">$AO$6*INDEX($Y$12:$AB$12,1,B77-2026)/12</f>
        <v>3.65</v>
      </c>
      <c r="BL77" s="88" t="n">
        <f aca="false">BJ77+BL76</f>
        <v>442.803629799886</v>
      </c>
      <c r="BM77" s="88" t="n">
        <f aca="false">BK77+BM76</f>
        <v>67.1</v>
      </c>
      <c r="BN77" s="88" t="n">
        <f aca="false">MAX(BN76,BL77-BM77)</f>
        <v>375.703629799886</v>
      </c>
      <c r="BO77" s="88" t="n">
        <f aca="false">BN77-BN76</f>
        <v>11.7280518436688</v>
      </c>
      <c r="BP77" s="88" t="n">
        <f aca="false">IF(B77=2026,INDEX($C$13:$Q$13,1,B77-2025)*$AO$4*C77/MAX(0.0001,12-$AO$3),INDEX($C$13:$Q$13,1,B77-2025)/12)</f>
        <v>4.80560220169792</v>
      </c>
      <c r="BQ77" s="88" t="n">
        <f aca="false">$AO$6*INDEX($Y$13:$AB$13,1,B77-2026)/12</f>
        <v>2.40833333333333</v>
      </c>
      <c r="BR77" s="88" t="n">
        <f aca="false">BP77+BR76</f>
        <v>138.375011342042</v>
      </c>
      <c r="BS77" s="88" t="n">
        <f aca="false">BQ77+BS76</f>
        <v>62.2166666666667</v>
      </c>
      <c r="BT77" s="88" t="n">
        <f aca="false">MAX(BT76,BR77-BS77)</f>
        <v>76.1583446753749</v>
      </c>
      <c r="BU77" s="88" t="n">
        <f aca="false">BT77-BT76</f>
        <v>2.39726886836459</v>
      </c>
      <c r="BV77" s="88" t="n">
        <f aca="false">IF(B77=2026,INDEX($C$14:$Q$14,1,B77-2025)*$AO$4*C77/MAX(0.0001,12-$AO$3),INDEX($C$14:$Q$14,1,B77-2025)/12)</f>
        <v>2.85021923686911</v>
      </c>
      <c r="BW77" s="88" t="n">
        <f aca="false">$AO$6*INDEX($Y$14:$AB$14,1,B77-2026)/12</f>
        <v>0</v>
      </c>
      <c r="BX77" s="88" t="n">
        <f aca="false">BV77+BX76</f>
        <v>82.0706963821763</v>
      </c>
      <c r="BY77" s="88" t="n">
        <f aca="false">BW77+BY76</f>
        <v>0</v>
      </c>
      <c r="BZ77" s="88" t="n">
        <f aca="false">MAX(BZ76,BX77-BY77)</f>
        <v>82.0706963821763</v>
      </c>
      <c r="CA77" s="88" t="n">
        <f aca="false">BZ77-BZ76</f>
        <v>2.85021923686911</v>
      </c>
      <c r="CB77" s="88" t="n">
        <f aca="false">IF(B77=2026,INDEX($C$15:$Q$15,1,B77-2025)*$AO$4*C77/MAX(0.0001,12-$AO$3),INDEX($C$15:$Q$15,1,B77-2025)/12)</f>
        <v>4.67303386509936</v>
      </c>
      <c r="CC77" s="88" t="n">
        <f aca="false">$AO$6*INDEX($Y$15:$AB$15,1,B77-2026)/12</f>
        <v>0.483333333333333</v>
      </c>
      <c r="CD77" s="88" t="n">
        <f aca="false">CB77+CD76</f>
        <v>134.557769649847</v>
      </c>
      <c r="CE77" s="88" t="n">
        <f aca="false">CC77+CE76</f>
        <v>83.1666666666667</v>
      </c>
      <c r="CF77" s="88" t="n">
        <f aca="false">MAX(CF76,CD77-CE77)</f>
        <v>51.3911029831805</v>
      </c>
      <c r="CG77" s="88" t="n">
        <f aca="false">CF77-CF76</f>
        <v>4.18970053176604</v>
      </c>
      <c r="CH77" s="88" t="n">
        <f aca="false">IF(B77=2026,INDEX($C$16:$Q$16,1,B77-2025)*$AO$4*C77/MAX(0.0001,12-$AO$3),INDEX($C$16:$Q$16,1,B77-2025)/12)</f>
        <v>3.69534238268495</v>
      </c>
      <c r="CI77" s="88" t="n">
        <f aca="false">$AO$6*INDEX($Y$16:$AB$16,1,B77-2026)/12</f>
        <v>0</v>
      </c>
      <c r="CJ77" s="88" t="n">
        <f aca="false">CH77+CJ76</f>
        <v>106.405612169915</v>
      </c>
      <c r="CK77" s="88" t="n">
        <f aca="false">CI77+CK76</f>
        <v>70</v>
      </c>
      <c r="CL77" s="88" t="n">
        <f aca="false">MAX(CL76,CJ77-CK77)</f>
        <v>36.4056121699147</v>
      </c>
      <c r="CM77" s="88" t="n">
        <f aca="false">CL77-CL76</f>
        <v>3.69534238268496</v>
      </c>
      <c r="CN77" s="88" t="n">
        <f aca="false">IF(B77=2026,INDEX($C$17:$Q$17,1,B77-2025)*$AO$4*C77/MAX(0.0001,12-$AO$3),INDEX($C$17:$Q$17,1,B77-2025)/12)</f>
        <v>16.0904818546506</v>
      </c>
      <c r="CO77" s="88" t="n">
        <f aca="false">$AO$6*INDEX($Y$17:$AB$17,1,B77-2026)/12</f>
        <v>1.23333333333333</v>
      </c>
      <c r="CP77" s="88" t="n">
        <f aca="false">CN77+CP76</f>
        <v>463.317710390077</v>
      </c>
      <c r="CQ77" s="88" t="n">
        <f aca="false">CO77+CQ76</f>
        <v>208.666666666667</v>
      </c>
      <c r="CR77" s="88" t="n">
        <f aca="false">MAX(CR76,CP77-CQ77)</f>
        <v>254.651043723411</v>
      </c>
      <c r="CS77" s="88" t="n">
        <f aca="false">CR77-CR76</f>
        <v>14.8571485213173</v>
      </c>
      <c r="CT77" s="88" t="n">
        <f aca="false">IF(B77=2026,INDEX($C$18:$Q$18,1,B77-2025)*$AO$4*C77/MAX(0.0001,12-$AO$3),INDEX($C$18:$Q$18,1,B77-2025)/12)</f>
        <v>3.34735049911372</v>
      </c>
      <c r="CU77" s="88" t="n">
        <f aca="false">$AO$6*INDEX($Y$18:$AB$18,1,B77-2026)/12</f>
        <v>0</v>
      </c>
      <c r="CV77" s="88" t="n">
        <f aca="false">CT77+CV76</f>
        <v>96.3853527279048</v>
      </c>
      <c r="CW77" s="88" t="n">
        <f aca="false">CU77+CW76</f>
        <v>11</v>
      </c>
      <c r="CX77" s="88" t="n">
        <f aca="false">MAX(CX76,CV77-CW77)</f>
        <v>85.3853527279048</v>
      </c>
      <c r="CY77" s="88" t="n">
        <f aca="false">CX77-CX76</f>
        <v>3.34735049911373</v>
      </c>
      <c r="CZ77" s="88" t="n">
        <f aca="false">IF(B77=2026,INDEX($C$19:$Q$19,1,B77-2025)*$AO$4*C77/MAX(0.0001,12-$AO$3),INDEX($C$19:$Q$19,1,B77-2025)/12)</f>
        <v>3.31420841496408</v>
      </c>
      <c r="DA77" s="88" t="n">
        <f aca="false">$AO$6*INDEX($Y$19:$AB$19,1,B77-2026)/12</f>
        <v>8.31666666666667</v>
      </c>
      <c r="DB77" s="88" t="n">
        <f aca="false">CZ77+DB76</f>
        <v>95.4310423048562</v>
      </c>
      <c r="DC77" s="88" t="n">
        <f aca="false">DA77+DC76</f>
        <v>120.633333333333</v>
      </c>
      <c r="DD77" s="88" t="n">
        <f aca="false">MAX(DD76,DB77-DC77)</f>
        <v>37.132124495359</v>
      </c>
      <c r="DE77" s="88" t="n">
        <f aca="false">DD77-DD76</f>
        <v>0</v>
      </c>
      <c r="DF77" s="88" t="n">
        <f aca="false">IF(B77=2026,INDEX($C$20:$Q$20,1,B77-2025)*$AO$4*C77/MAX(0.0001,12-$AO$3),INDEX($C$20:$Q$20,1,B77-2025)/12)</f>
        <v>2.70107985819573</v>
      </c>
      <c r="DG77" s="88" t="n">
        <f aca="false">$AO$6*INDEX($Y$20:$AB$20,1,B77-2026)/12</f>
        <v>0</v>
      </c>
      <c r="DH77" s="88" t="n">
        <f aca="false">DF77+DH76</f>
        <v>77.7762994784578</v>
      </c>
      <c r="DI77" s="88" t="n">
        <f aca="false">DG77+DI76</f>
        <v>0</v>
      </c>
      <c r="DJ77" s="88" t="n">
        <f aca="false">MAX(DJ76,DH77-DI77)</f>
        <v>77.7762994784578</v>
      </c>
      <c r="DK77" s="88" t="n">
        <f aca="false">DJ77-DJ76</f>
        <v>2.70107985819573</v>
      </c>
      <c r="DL77" s="88" t="n">
        <f aca="false">IF(B77=2026,INDEX($C$21:$Q$21,1,B77-2025)*$AO$4*C77/MAX(0.0001,12-$AO$3),INDEX($C$21:$Q$21,1,B77-2025)/12)</f>
        <v>1.88909879652953</v>
      </c>
      <c r="DM77" s="88" t="n">
        <f aca="false">$AO$6*INDEX($Y$21:$AB$21,1,B77-2026)/12</f>
        <v>4.425</v>
      </c>
      <c r="DN77" s="88" t="n">
        <f aca="false">DL77+DN76</f>
        <v>54.395694113768</v>
      </c>
      <c r="DO77" s="88" t="n">
        <f aca="false">DM77+DO76</f>
        <v>55.75</v>
      </c>
      <c r="DP77" s="88" t="n">
        <f aca="false">MAX(DP76,DN77-DO77)</f>
        <v>17.7483109623547</v>
      </c>
      <c r="DQ77" s="88" t="n">
        <f aca="false">DP77-DP76</f>
        <v>0</v>
      </c>
      <c r="DR77" s="88" t="n">
        <f aca="false">IF(B77=2026,INDEX($C$22:$Q$22,1,B77-2025)*$AO$4*C77/MAX(0.0001,12-$AO$3),INDEX($C$22:$Q$22,1,B77-2025)/12)</f>
        <v>1.47482274465902</v>
      </c>
      <c r="DS77" s="88" t="n">
        <f aca="false">$AO$6*INDEX($Y$22:$AB$22,1,B77-2026)/12</f>
        <v>0.216666666666667</v>
      </c>
      <c r="DT77" s="88" t="n">
        <f aca="false">DR77+DT76</f>
        <v>42.466813825661</v>
      </c>
      <c r="DU77" s="88" t="n">
        <f aca="false">DS77+DU76</f>
        <v>26.8333333333333</v>
      </c>
      <c r="DV77" s="88" t="n">
        <f aca="false">MAX(DV76,DT77-DU77)</f>
        <v>15.6334804923276</v>
      </c>
      <c r="DW77" s="88" t="n">
        <f aca="false">DV77-DV76</f>
        <v>1.25815607799235</v>
      </c>
      <c r="DX77" s="88" t="n">
        <f aca="false">IF(B77=2026,INDEX($C$23:$Q$23,1,B77-2025)*$AO$4*C77/MAX(0.0001,12-$AO$3),INDEX($C$23:$Q$23,1,B77-2025)/12)</f>
        <v>2.36965901669932</v>
      </c>
      <c r="DY77" s="88" t="n">
        <f aca="false">$AO$6*INDEX($Y$23:$AB$23,1,B77-2026)/12</f>
        <v>2.94166666666667</v>
      </c>
      <c r="DZ77" s="88" t="n">
        <f aca="false">DX77+DZ76</f>
        <v>68.2331952479721</v>
      </c>
      <c r="EA77" s="88" t="n">
        <f aca="false">DY77+EA76</f>
        <v>91.5833333333333</v>
      </c>
      <c r="EB77" s="88" t="n">
        <f aca="false">MAX(EB76,DZ77-EA77)</f>
        <v>35.0579690141817</v>
      </c>
      <c r="EC77" s="88" t="n">
        <f aca="false">EB77-EB76</f>
        <v>0</v>
      </c>
      <c r="ED77" s="88" t="n">
        <f aca="false">IF(B77=2026,INDEX($C$24:$Q$24,1,B77-2025)*$AO$4*C77/MAX(0.0001,12-$AO$3),INDEX($C$24:$Q$24,1,B77-2025)/12)</f>
        <v>1.4582517025842</v>
      </c>
      <c r="EE77" s="88" t="n">
        <f aca="false">$AO$6*INDEX($Y$24:$AB$24,1,B77-2026)/12</f>
        <v>0</v>
      </c>
      <c r="EF77" s="88" t="n">
        <f aca="false">ED77+EF76</f>
        <v>41.9896586141367</v>
      </c>
      <c r="EG77" s="88" t="n">
        <f aca="false">EE77+EG76</f>
        <v>0</v>
      </c>
      <c r="EH77" s="88" t="n">
        <f aca="false">MAX(EH76,EF77-EG77)</f>
        <v>41.9896586141367</v>
      </c>
      <c r="EI77" s="88" t="n">
        <f aca="false">EH77-EH76</f>
        <v>1.4582517025842</v>
      </c>
      <c r="EJ77" s="88" t="n">
        <f aca="false">IF(B77=2026,INDEX($C$25:$Q$25,1,B77-2025)*$AO$4*C77/MAX(0.0001,12-$AO$3),INDEX($C$25:$Q$25,1,B77-2025)/12)</f>
        <v>1.85595671237989</v>
      </c>
      <c r="EK77" s="88" t="n">
        <f aca="false">$AO$6*INDEX($Y$25:$AB$25,1,B77-2026)/12</f>
        <v>0</v>
      </c>
      <c r="EL77" s="88" t="n">
        <f aca="false">EJ77+EL76</f>
        <v>53.4413836907195</v>
      </c>
      <c r="EM77" s="88" t="n">
        <f aca="false">EK77+EM76</f>
        <v>14</v>
      </c>
      <c r="EN77" s="88" t="n">
        <f aca="false">MAX(EN76,EL77-EM77)</f>
        <v>39.4413836907195</v>
      </c>
      <c r="EO77" s="88" t="n">
        <f aca="false">EN77-EN76</f>
        <v>1.85595671237989</v>
      </c>
      <c r="EP77" s="88" t="n">
        <f aca="false">IF(B77=2026,INDEX($C$26:$Q$26,1,B77-2025)*$AO$4*C77/MAX(0.0001,12-$AO$3),INDEX($C$26:$Q$26,1,B77-2025)/12)</f>
        <v>2.66793777404609</v>
      </c>
      <c r="EQ77" s="88" t="n">
        <f aca="false">$AO$6*INDEX($Y$26:$AB$26,1,B77-2026)/12</f>
        <v>0</v>
      </c>
      <c r="ER77" s="88" t="n">
        <f aca="false">EP77+ER76</f>
        <v>76.8219890554092</v>
      </c>
      <c r="ES77" s="88" t="n">
        <f aca="false">EQ77+ES76</f>
        <v>4</v>
      </c>
      <c r="ET77" s="88" t="n">
        <f aca="false">MAX(ET76,ER77-ES77)</f>
        <v>72.8219890554092</v>
      </c>
      <c r="EU77" s="88" t="n">
        <f aca="false">ET77-ET76</f>
        <v>2.66793777404608</v>
      </c>
      <c r="EV77" s="88" t="n">
        <f aca="false">IF(B77=2026,INDEX($C$27:$Q$27,1,B77-2025)*$AO$4*C77/MAX(0.0001,12-$AO$3),INDEX($C$27:$Q$27,1,B77-2025)/12)</f>
        <v>6.62841682992816</v>
      </c>
      <c r="EW77" s="88" t="n">
        <f aca="false">$AO$6*INDEX($Y$27:$AB$27,1,B77-2026)/12</f>
        <v>5.625</v>
      </c>
      <c r="EX77" s="88" t="n">
        <f aca="false">EV77+EX76</f>
        <v>190.862084609712</v>
      </c>
      <c r="EY77" s="88" t="n">
        <f aca="false">EW77+EY76</f>
        <v>329.75</v>
      </c>
      <c r="EZ77" s="88" t="n">
        <f aca="false">MAX(EZ76,EX77-EY77)</f>
        <v>0</v>
      </c>
      <c r="FA77" s="88" t="n">
        <f aca="false">EZ77-EZ76</f>
        <v>0</v>
      </c>
      <c r="FB77" s="88" t="n">
        <f aca="false">IF(B77=2026,INDEX($C$28:$Q$28,1,B77-2025)*$AO$4*C77/MAX(0.0001,12-$AO$3),INDEX($C$28:$Q$28,1,B77-2025)/12)</f>
        <v>34.6997621046739</v>
      </c>
      <c r="FC77" s="88" t="n">
        <f aca="false">$AO$6*INDEX($Y$28:$AB$28,1,B77-2026)/12</f>
        <v>2.05833333333333</v>
      </c>
      <c r="FD77" s="88" t="n">
        <f aca="false">FB77+FD76</f>
        <v>999.163012931844</v>
      </c>
      <c r="FE77" s="88" t="n">
        <f aca="false">FC77+FE76</f>
        <v>148.416666666667</v>
      </c>
      <c r="FF77" s="88" t="n">
        <f aca="false">MAX(FF76,FD77-FE77)</f>
        <v>850.746346265178</v>
      </c>
      <c r="FG77" s="88" t="n">
        <f aca="false">FF77-FF76</f>
        <v>32.6414287713407</v>
      </c>
    </row>
    <row r="78" customFormat="false" ht="15" hidden="false" customHeight="false" outlineLevel="0" collapsed="false">
      <c r="A78" s="0" t="n">
        <v>38</v>
      </c>
      <c r="B78" s="88" t="n">
        <f aca="false">2026+INT(A78/12)</f>
        <v>2029</v>
      </c>
      <c r="C78" s="88" t="n">
        <f aca="false">MAX(0,MIN(1,A78+1-$AO$3))</f>
        <v>1</v>
      </c>
      <c r="D78" s="88" t="n">
        <f aca="false">IF((A78+0.5-(0))&lt;$AO$3,0,2026+INT((A78+0.5-(0))/12))</f>
        <v>2029</v>
      </c>
      <c r="E78" s="88" t="n">
        <f aca="false">IF((A78+0.5-($AO$9))&lt;$AO$3,0,2026+INT((A78+0.5-($AO$9))/12))</f>
        <v>2027</v>
      </c>
      <c r="F78" s="88" t="n">
        <f aca="false">IF((A78+0.5-($AO$9+$AO$8))&lt;$AO$3,0,2026+INT((A78+0.5-($AO$9+$AO$8))/12))</f>
        <v>0</v>
      </c>
      <c r="G78" s="88" t="n">
        <f aca="false">IF((A78+0.5-($AO$9+$AO$8+$AO$7))&lt;$AO$3,0,2026+INT((A78+0.5-($AO$9+$AO$8+$AO$7))/12))</f>
        <v>0</v>
      </c>
      <c r="H78" s="88" t="n">
        <f aca="false">IF(B78=2026,INDEX($C$3:$Q$3,1,B78-2025)*$AO$4*C78/MAX(0.0001,12-$AO$3),INDEX($C$3:$Q$3,1,B78-2025)/12)</f>
        <v>355.25</v>
      </c>
      <c r="I78" s="88" t="n">
        <f aca="false">$AO$6*INDEX($Y$3:$AB$3,1,B78-2026)/12</f>
        <v>162.891666666667</v>
      </c>
      <c r="J78" s="88" t="n">
        <f aca="false">H78+J77</f>
        <v>10584.5034246575</v>
      </c>
      <c r="K78" s="88" t="n">
        <f aca="false">I78+K77</f>
        <v>4804.775</v>
      </c>
      <c r="L78" s="88" t="n">
        <f aca="false">MAX(L77,J78-K78)</f>
        <v>5779.72842465753</v>
      </c>
      <c r="M78" s="88" t="n">
        <f aca="false">L78-L77</f>
        <v>192.358333333334</v>
      </c>
      <c r="N78" s="88" t="n">
        <f aca="false">IF(B78=2026,INDEX($C$4:$Q$4,1,B78-2025)*$AO$4*C78/MAX(0.0001,12-$AO$3),INDEX($C$4:$Q$4,1,B78-2025)/12)</f>
        <v>10.7700632578534</v>
      </c>
      <c r="O78" s="88" t="n">
        <f aca="false">$AO$6*INDEX($Y$4:$AB$4,1,B78-2026)/12</f>
        <v>7.375</v>
      </c>
      <c r="P78" s="88" t="n">
        <f aca="false">N78+P77</f>
        <v>320.888871038781</v>
      </c>
      <c r="Q78" s="88" t="n">
        <f aca="false">O78+Q77</f>
        <v>246.825</v>
      </c>
      <c r="R78" s="88" t="n">
        <f aca="false">MAX(R77,P78-Q78)</f>
        <v>74.0638710387814</v>
      </c>
      <c r="S78" s="88" t="n">
        <f aca="false">R78-R77</f>
        <v>3.39506325785334</v>
      </c>
      <c r="T78" s="88" t="n">
        <f aca="false">IF(B78=2026,INDEX($C$5:$Q$5,1,B78-2025)*$AO$4*C78/MAX(0.0001,12-$AO$3),INDEX($C$5:$Q$5,1,B78-2025)/12)</f>
        <v>43.7734247619348</v>
      </c>
      <c r="U78" s="88" t="n">
        <f aca="false">$AO$6*INDEX($Y$5:$AB$5,1,B78-2026)/12</f>
        <v>25.3416666666667</v>
      </c>
      <c r="V78" s="88" t="n">
        <f aca="false">T78+V77</f>
        <v>1304.2082035234</v>
      </c>
      <c r="W78" s="88" t="n">
        <f aca="false">U78+W77</f>
        <v>784.025</v>
      </c>
      <c r="X78" s="88" t="n">
        <f aca="false">MAX(X77,V78-W78)</f>
        <v>520.183203523401</v>
      </c>
      <c r="Y78" s="88" t="n">
        <f aca="false">X78-X77</f>
        <v>18.4317580952682</v>
      </c>
      <c r="Z78" s="88" t="n">
        <f aca="false">IF(B78=2026,INDEX($C$6:$Q$6,1,B78-2025)*$AO$4*C78/MAX(0.0001,12-$AO$3),INDEX($C$6:$Q$6,1,B78-2025)/12)</f>
        <v>51.933610116259</v>
      </c>
      <c r="AA78" s="88" t="n">
        <f aca="false">$AO$6*INDEX($Y$6:$AB$6,1,B78-2026)/12</f>
        <v>39.4666666666667</v>
      </c>
      <c r="AB78" s="88" t="n">
        <f aca="false">Z78+AB77</f>
        <v>1547.33701373785</v>
      </c>
      <c r="AC78" s="88" t="n">
        <f aca="false">AA78+AC77</f>
        <v>744.500000000001</v>
      </c>
      <c r="AD78" s="88" t="n">
        <f aca="false">MAX(AD77,AB78-AC78)</f>
        <v>802.837013737851</v>
      </c>
      <c r="AE78" s="88" t="n">
        <f aca="false">AD78-AD77</f>
        <v>12.4669434495922</v>
      </c>
      <c r="AF78" s="88" t="n">
        <f aca="false">IF(B78=2026,INDEX($C$7:$Q$7,1,B78-2025)*$AO$4*C78/MAX(0.0001,12-$AO$3),INDEX($C$7:$Q$7,1,B78-2025)/12)</f>
        <v>45.11289896006</v>
      </c>
      <c r="AG78" s="88" t="n">
        <f aca="false">$AO$6*INDEX($Y$7:$AB$7,1,B78-2026)/12</f>
        <v>21.575</v>
      </c>
      <c r="AH78" s="88" t="n">
        <f aca="false">AF78+AH77</f>
        <v>1344.11719504288</v>
      </c>
      <c r="AI78" s="88" t="n">
        <f aca="false">AG78+AI77</f>
        <v>406.425</v>
      </c>
      <c r="AJ78" s="88" t="n">
        <f aca="false">MAX(AJ77,AH78-AI78)</f>
        <v>937.692195042883</v>
      </c>
      <c r="AK78" s="88" t="n">
        <f aca="false">AJ78-AJ77</f>
        <v>23.53789896006</v>
      </c>
      <c r="AL78" s="88" t="n">
        <f aca="false">IF(B78=2026,INDEX($C$8:$Q$8,1,B78-2025)*$AO$4*C78/MAX(0.0001,12-$AO$3),INDEX($C$8:$Q$8,1,B78-2025)/12)</f>
        <v>11.4114321188341</v>
      </c>
      <c r="AM78" s="88" t="n">
        <f aca="false">$AO$6*INDEX($Y$8:$AB$8,1,B78-2026)/12</f>
        <v>1.375</v>
      </c>
      <c r="AN78" s="88" t="n">
        <f aca="false">AL78+AN77</f>
        <v>339.998148746084</v>
      </c>
      <c r="AO78" s="88" t="n">
        <f aca="false">AM78+AO77</f>
        <v>53.625</v>
      </c>
      <c r="AP78" s="88" t="n">
        <f aca="false">MAX(AP77,AN78-AO78)</f>
        <v>286.373148746084</v>
      </c>
      <c r="AQ78" s="88" t="n">
        <f aca="false">AP78-AP77</f>
        <v>10.0364321188341</v>
      </c>
      <c r="AR78" s="88" t="n">
        <f aca="false">IF(B78=2026,INDEX($C$9:$Q$9,1,B78-2025)*$AO$4*C78/MAX(0.0001,12-$AO$3),INDEX($C$9:$Q$9,1,B78-2025)/12)</f>
        <v>48.6576953186344</v>
      </c>
      <c r="AS78" s="88" t="n">
        <f aca="false">$AO$6*INDEX($Y$9:$AB$9,1,B78-2026)/12</f>
        <v>32.5916666666667</v>
      </c>
      <c r="AT78" s="88" t="n">
        <f aca="false">AR78+AT77</f>
        <v>1449.73270298671</v>
      </c>
      <c r="AU78" s="88" t="n">
        <f aca="false">AS78+AU77</f>
        <v>989.475</v>
      </c>
      <c r="AV78" s="88" t="n">
        <f aca="false">MAX(AV77,AT78-AU78)</f>
        <v>460.257702986708</v>
      </c>
      <c r="AW78" s="88" t="n">
        <f aca="false">AV78-AV77</f>
        <v>16.0660286519676</v>
      </c>
      <c r="AX78" s="88" t="n">
        <f aca="false">IF(B78=2026,INDEX($C$10:$Q$10,1,B78-2025)*$AO$4*C78/MAX(0.0001,12-$AO$3),INDEX($C$10:$Q$10,1,B78-2025)/12)</f>
        <v>5.64404597663043</v>
      </c>
      <c r="AY78" s="88" t="n">
        <f aca="false">$AO$6*INDEX($Y$10:$AB$10,1,B78-2026)/12</f>
        <v>1.63333333333333</v>
      </c>
      <c r="AZ78" s="88" t="n">
        <f aca="false">AX78+AZ77</f>
        <v>168.161643824263</v>
      </c>
      <c r="BA78" s="88" t="n">
        <f aca="false">AY78+BA77</f>
        <v>35</v>
      </c>
      <c r="BB78" s="88" t="n">
        <f aca="false">MAX(BB77,AZ78-BA78)</f>
        <v>133.161643824263</v>
      </c>
      <c r="BC78" s="88" t="n">
        <f aca="false">BB78-BB77</f>
        <v>4.0107126432971</v>
      </c>
      <c r="BD78" s="88" t="n">
        <f aca="false">IF(B78=2026,INDEX($C$11:$Q$11,1,B78-2025)*$AO$4*C78/MAX(0.0001,12-$AO$3),INDEX($C$11:$Q$11,1,B78-2025)/12)</f>
        <v>28.0475536513497</v>
      </c>
      <c r="BE78" s="88" t="n">
        <f aca="false">$AO$6*INDEX($Y$11:$AB$11,1,B78-2026)/12</f>
        <v>2.175</v>
      </c>
      <c r="BF78" s="88" t="n">
        <f aca="false">BD78+BF77</f>
        <v>835.663413584735</v>
      </c>
      <c r="BG78" s="88" t="n">
        <f aca="false">BE78+BG77</f>
        <v>220.425</v>
      </c>
      <c r="BH78" s="88" t="n">
        <f aca="false">MAX(BH77,BF78-BG78)</f>
        <v>615.238413584734</v>
      </c>
      <c r="BI78" s="88" t="n">
        <f aca="false">BH78-BH77</f>
        <v>25.8725536513497</v>
      </c>
      <c r="BJ78" s="88" t="n">
        <f aca="false">IF(B78=2026,INDEX($C$12:$Q$12,1,B78-2025)*$AO$4*C78/MAX(0.0001,12-$AO$3),INDEX($C$12:$Q$12,1,B78-2025)/12)</f>
        <v>15.3780518436687</v>
      </c>
      <c r="BK78" s="88" t="n">
        <f aca="false">$AO$6*INDEX($Y$12:$AB$12,1,B78-2026)/12</f>
        <v>3.65</v>
      </c>
      <c r="BL78" s="88" t="n">
        <f aca="false">BJ78+BL77</f>
        <v>458.181681643555</v>
      </c>
      <c r="BM78" s="88" t="n">
        <f aca="false">BK78+BM77</f>
        <v>70.75</v>
      </c>
      <c r="BN78" s="88" t="n">
        <f aca="false">MAX(BN77,BL78-BM78)</f>
        <v>387.431681643555</v>
      </c>
      <c r="BO78" s="88" t="n">
        <f aca="false">BN78-BN77</f>
        <v>11.7280518436687</v>
      </c>
      <c r="BP78" s="88" t="n">
        <f aca="false">IF(B78=2026,INDEX($C$13:$Q$13,1,B78-2025)*$AO$4*C78/MAX(0.0001,12-$AO$3),INDEX($C$13:$Q$13,1,B78-2025)/12)</f>
        <v>4.80560220169792</v>
      </c>
      <c r="BQ78" s="88" t="n">
        <f aca="false">$AO$6*INDEX($Y$13:$AB$13,1,B78-2026)/12</f>
        <v>2.40833333333333</v>
      </c>
      <c r="BR78" s="88" t="n">
        <f aca="false">BP78+BR77</f>
        <v>143.180613543739</v>
      </c>
      <c r="BS78" s="88" t="n">
        <f aca="false">BQ78+BS77</f>
        <v>64.625</v>
      </c>
      <c r="BT78" s="88" t="n">
        <f aca="false">MAX(BT77,BR78-BS78)</f>
        <v>78.5556135437395</v>
      </c>
      <c r="BU78" s="88" t="n">
        <f aca="false">BT78-BT77</f>
        <v>2.39726886836458</v>
      </c>
      <c r="BV78" s="88" t="n">
        <f aca="false">IF(B78=2026,INDEX($C$14:$Q$14,1,B78-2025)*$AO$4*C78/MAX(0.0001,12-$AO$3),INDEX($C$14:$Q$14,1,B78-2025)/12)</f>
        <v>2.85021923686911</v>
      </c>
      <c r="BW78" s="88" t="n">
        <f aca="false">$AO$6*INDEX($Y$14:$AB$14,1,B78-2026)/12</f>
        <v>0</v>
      </c>
      <c r="BX78" s="88" t="n">
        <f aca="false">BV78+BX77</f>
        <v>84.9209156190454</v>
      </c>
      <c r="BY78" s="88" t="n">
        <f aca="false">BW78+BY77</f>
        <v>0</v>
      </c>
      <c r="BZ78" s="88" t="n">
        <f aca="false">MAX(BZ77,BX78-BY78)</f>
        <v>84.9209156190454</v>
      </c>
      <c r="CA78" s="88" t="n">
        <f aca="false">BZ78-BZ77</f>
        <v>2.85021923686911</v>
      </c>
      <c r="CB78" s="88" t="n">
        <f aca="false">IF(B78=2026,INDEX($C$15:$Q$15,1,B78-2025)*$AO$4*C78/MAX(0.0001,12-$AO$3),INDEX($C$15:$Q$15,1,B78-2025)/12)</f>
        <v>4.67303386509936</v>
      </c>
      <c r="CC78" s="88" t="n">
        <f aca="false">$AO$6*INDEX($Y$15:$AB$15,1,B78-2026)/12</f>
        <v>0.483333333333333</v>
      </c>
      <c r="CD78" s="88" t="n">
        <f aca="false">CB78+CD77</f>
        <v>139.230803514947</v>
      </c>
      <c r="CE78" s="88" t="n">
        <f aca="false">CC78+CE77</f>
        <v>83.6500000000001</v>
      </c>
      <c r="CF78" s="88" t="n">
        <f aca="false">MAX(CF77,CD78-CE78)</f>
        <v>55.5808035149465</v>
      </c>
      <c r="CG78" s="88" t="n">
        <f aca="false">CF78-CF77</f>
        <v>4.18970053176601</v>
      </c>
      <c r="CH78" s="88" t="n">
        <f aca="false">IF(B78=2026,INDEX($C$16:$Q$16,1,B78-2025)*$AO$4*C78/MAX(0.0001,12-$AO$3),INDEX($C$16:$Q$16,1,B78-2025)/12)</f>
        <v>3.69534238268495</v>
      </c>
      <c r="CI78" s="88" t="n">
        <f aca="false">$AO$6*INDEX($Y$16:$AB$16,1,B78-2026)/12</f>
        <v>0</v>
      </c>
      <c r="CJ78" s="88" t="n">
        <f aca="false">CH78+CJ77</f>
        <v>110.1009545526</v>
      </c>
      <c r="CK78" s="88" t="n">
        <f aca="false">CI78+CK77</f>
        <v>70</v>
      </c>
      <c r="CL78" s="88" t="n">
        <f aca="false">MAX(CL77,CJ78-CK78)</f>
        <v>40.1009545525997</v>
      </c>
      <c r="CM78" s="88" t="n">
        <f aca="false">CL78-CL77</f>
        <v>3.69534238268496</v>
      </c>
      <c r="CN78" s="88" t="n">
        <f aca="false">IF(B78=2026,INDEX($C$17:$Q$17,1,B78-2025)*$AO$4*C78/MAX(0.0001,12-$AO$3),INDEX($C$17:$Q$17,1,B78-2025)/12)</f>
        <v>16.0904818546506</v>
      </c>
      <c r="CO78" s="88" t="n">
        <f aca="false">$AO$6*INDEX($Y$17:$AB$17,1,B78-2026)/12</f>
        <v>1.23333333333333</v>
      </c>
      <c r="CP78" s="88" t="n">
        <f aca="false">CN78+CP77</f>
        <v>479.408192244728</v>
      </c>
      <c r="CQ78" s="88" t="n">
        <f aca="false">CO78+CQ77</f>
        <v>209.9</v>
      </c>
      <c r="CR78" s="88" t="n">
        <f aca="false">MAX(CR77,CP78-CQ78)</f>
        <v>269.508192244728</v>
      </c>
      <c r="CS78" s="88" t="n">
        <f aca="false">CR78-CR77</f>
        <v>14.8571485213173</v>
      </c>
      <c r="CT78" s="88" t="n">
        <f aca="false">IF(B78=2026,INDEX($C$18:$Q$18,1,B78-2025)*$AO$4*C78/MAX(0.0001,12-$AO$3),INDEX($C$18:$Q$18,1,B78-2025)/12)</f>
        <v>3.34735049911372</v>
      </c>
      <c r="CU78" s="88" t="n">
        <f aca="false">$AO$6*INDEX($Y$18:$AB$18,1,B78-2026)/12</f>
        <v>0</v>
      </c>
      <c r="CV78" s="88" t="n">
        <f aca="false">CT78+CV77</f>
        <v>99.7327032270185</v>
      </c>
      <c r="CW78" s="88" t="n">
        <f aca="false">CU78+CW77</f>
        <v>11</v>
      </c>
      <c r="CX78" s="88" t="n">
        <f aca="false">MAX(CX77,CV78-CW78)</f>
        <v>88.7327032270185</v>
      </c>
      <c r="CY78" s="88" t="n">
        <f aca="false">CX78-CX77</f>
        <v>3.34735049911373</v>
      </c>
      <c r="CZ78" s="88" t="n">
        <f aca="false">IF(B78=2026,INDEX($C$19:$Q$19,1,B78-2025)*$AO$4*C78/MAX(0.0001,12-$AO$3),INDEX($C$19:$Q$19,1,B78-2025)/12)</f>
        <v>3.31420841496408</v>
      </c>
      <c r="DA78" s="88" t="n">
        <f aca="false">$AO$6*INDEX($Y$19:$AB$19,1,B78-2026)/12</f>
        <v>8.31666666666667</v>
      </c>
      <c r="DB78" s="88" t="n">
        <f aca="false">CZ78+DB77</f>
        <v>98.7452507198203</v>
      </c>
      <c r="DC78" s="88" t="n">
        <f aca="false">DA78+DC77</f>
        <v>128.95</v>
      </c>
      <c r="DD78" s="88" t="n">
        <f aca="false">MAX(DD77,DB78-DC78)</f>
        <v>37.132124495359</v>
      </c>
      <c r="DE78" s="88" t="n">
        <f aca="false">DD78-DD77</f>
        <v>0</v>
      </c>
      <c r="DF78" s="88" t="n">
        <f aca="false">IF(B78=2026,INDEX($C$20:$Q$20,1,B78-2025)*$AO$4*C78/MAX(0.0001,12-$AO$3),INDEX($C$20:$Q$20,1,B78-2025)/12)</f>
        <v>2.70107985819573</v>
      </c>
      <c r="DG78" s="88" t="n">
        <f aca="false">$AO$6*INDEX($Y$20:$AB$20,1,B78-2026)/12</f>
        <v>0</v>
      </c>
      <c r="DH78" s="88" t="n">
        <f aca="false">DF78+DH77</f>
        <v>80.4773793366535</v>
      </c>
      <c r="DI78" s="88" t="n">
        <f aca="false">DG78+DI77</f>
        <v>0</v>
      </c>
      <c r="DJ78" s="88" t="n">
        <f aca="false">MAX(DJ77,DH78-DI78)</f>
        <v>80.4773793366535</v>
      </c>
      <c r="DK78" s="88" t="n">
        <f aca="false">DJ78-DJ77</f>
        <v>2.70107985819573</v>
      </c>
      <c r="DL78" s="88" t="n">
        <f aca="false">IF(B78=2026,INDEX($C$21:$Q$21,1,B78-2025)*$AO$4*C78/MAX(0.0001,12-$AO$3),INDEX($C$21:$Q$21,1,B78-2025)/12)</f>
        <v>1.88909879652953</v>
      </c>
      <c r="DM78" s="88" t="n">
        <f aca="false">$AO$6*INDEX($Y$21:$AB$21,1,B78-2026)/12</f>
        <v>4.425</v>
      </c>
      <c r="DN78" s="88" t="n">
        <f aca="false">DL78+DN77</f>
        <v>56.2847929102975</v>
      </c>
      <c r="DO78" s="88" t="n">
        <f aca="false">DM78+DO77</f>
        <v>60.175</v>
      </c>
      <c r="DP78" s="88" t="n">
        <f aca="false">MAX(DP77,DN78-DO78)</f>
        <v>17.7483109623547</v>
      </c>
      <c r="DQ78" s="88" t="n">
        <f aca="false">DP78-DP77</f>
        <v>0</v>
      </c>
      <c r="DR78" s="88" t="n">
        <f aca="false">IF(B78=2026,INDEX($C$22:$Q$22,1,B78-2025)*$AO$4*C78/MAX(0.0001,12-$AO$3),INDEX($C$22:$Q$22,1,B78-2025)/12)</f>
        <v>1.47482274465902</v>
      </c>
      <c r="DS78" s="88" t="n">
        <f aca="false">$AO$6*INDEX($Y$22:$AB$22,1,B78-2026)/12</f>
        <v>0.216666666666667</v>
      </c>
      <c r="DT78" s="88" t="n">
        <f aca="false">DR78+DT77</f>
        <v>43.94163657032</v>
      </c>
      <c r="DU78" s="88" t="n">
        <f aca="false">DS78+DU77</f>
        <v>27.05</v>
      </c>
      <c r="DV78" s="88" t="n">
        <f aca="false">MAX(DV77,DT78-DU78)</f>
        <v>16.89163657032</v>
      </c>
      <c r="DW78" s="88" t="n">
        <f aca="false">DV78-DV77</f>
        <v>1.25815607799235</v>
      </c>
      <c r="DX78" s="88" t="n">
        <f aca="false">IF(B78=2026,INDEX($C$23:$Q$23,1,B78-2025)*$AO$4*C78/MAX(0.0001,12-$AO$3),INDEX($C$23:$Q$23,1,B78-2025)/12)</f>
        <v>2.36965901669932</v>
      </c>
      <c r="DY78" s="88" t="n">
        <f aca="false">$AO$6*INDEX($Y$23:$AB$23,1,B78-2026)/12</f>
        <v>2.94166666666667</v>
      </c>
      <c r="DZ78" s="88" t="n">
        <f aca="false">DX78+DZ77</f>
        <v>70.6028542646715</v>
      </c>
      <c r="EA78" s="88" t="n">
        <f aca="false">DY78+EA77</f>
        <v>94.525</v>
      </c>
      <c r="EB78" s="88" t="n">
        <f aca="false">MAX(EB77,DZ78-EA78)</f>
        <v>35.0579690141817</v>
      </c>
      <c r="EC78" s="88" t="n">
        <f aca="false">EB78-EB77</f>
        <v>0</v>
      </c>
      <c r="ED78" s="88" t="n">
        <f aca="false">IF(B78=2026,INDEX($C$24:$Q$24,1,B78-2025)*$AO$4*C78/MAX(0.0001,12-$AO$3),INDEX($C$24:$Q$24,1,B78-2025)/12)</f>
        <v>1.4582517025842</v>
      </c>
      <c r="EE78" s="88" t="n">
        <f aca="false">$AO$6*INDEX($Y$24:$AB$24,1,B78-2026)/12</f>
        <v>0</v>
      </c>
      <c r="EF78" s="88" t="n">
        <f aca="false">ED78+EF77</f>
        <v>43.4479103167209</v>
      </c>
      <c r="EG78" s="88" t="n">
        <f aca="false">EE78+EG77</f>
        <v>0</v>
      </c>
      <c r="EH78" s="88" t="n">
        <f aca="false">MAX(EH77,EF78-EG78)</f>
        <v>43.4479103167209</v>
      </c>
      <c r="EI78" s="88" t="n">
        <f aca="false">EH78-EH77</f>
        <v>1.4582517025842</v>
      </c>
      <c r="EJ78" s="88" t="n">
        <f aca="false">IF(B78=2026,INDEX($C$25:$Q$25,1,B78-2025)*$AO$4*C78/MAX(0.0001,12-$AO$3),INDEX($C$25:$Q$25,1,B78-2025)/12)</f>
        <v>1.85595671237989</v>
      </c>
      <c r="EK78" s="88" t="n">
        <f aca="false">$AO$6*INDEX($Y$25:$AB$25,1,B78-2026)/12</f>
        <v>0</v>
      </c>
      <c r="EL78" s="88" t="n">
        <f aca="false">EJ78+EL77</f>
        <v>55.2973404030993</v>
      </c>
      <c r="EM78" s="88" t="n">
        <f aca="false">EK78+EM77</f>
        <v>14</v>
      </c>
      <c r="EN78" s="88" t="n">
        <f aca="false">MAX(EN77,EL78-EM78)</f>
        <v>41.2973404030994</v>
      </c>
      <c r="EO78" s="88" t="n">
        <f aca="false">EN78-EN77</f>
        <v>1.85595671237989</v>
      </c>
      <c r="EP78" s="88" t="n">
        <f aca="false">IF(B78=2026,INDEX($C$26:$Q$26,1,B78-2025)*$AO$4*C78/MAX(0.0001,12-$AO$3),INDEX($C$26:$Q$26,1,B78-2025)/12)</f>
        <v>2.66793777404609</v>
      </c>
      <c r="EQ78" s="88" t="n">
        <f aca="false">$AO$6*INDEX($Y$26:$AB$26,1,B78-2026)/12</f>
        <v>0</v>
      </c>
      <c r="ER78" s="88" t="n">
        <f aca="false">EP78+ER77</f>
        <v>79.4899268294553</v>
      </c>
      <c r="ES78" s="88" t="n">
        <f aca="false">EQ78+ES77</f>
        <v>4</v>
      </c>
      <c r="ET78" s="88" t="n">
        <f aca="false">MAX(ET77,ER78-ES78)</f>
        <v>75.4899268294553</v>
      </c>
      <c r="EU78" s="88" t="n">
        <f aca="false">ET78-ET77</f>
        <v>2.66793777404608</v>
      </c>
      <c r="EV78" s="88" t="n">
        <f aca="false">IF(B78=2026,INDEX($C$27:$Q$27,1,B78-2025)*$AO$4*C78/MAX(0.0001,12-$AO$3),INDEX($C$27:$Q$27,1,B78-2025)/12)</f>
        <v>6.62841682992816</v>
      </c>
      <c r="EW78" s="88" t="n">
        <f aca="false">$AO$6*INDEX($Y$27:$AB$27,1,B78-2026)/12</f>
        <v>5.625</v>
      </c>
      <c r="EX78" s="88" t="n">
        <f aca="false">EV78+EX77</f>
        <v>197.490501439641</v>
      </c>
      <c r="EY78" s="88" t="n">
        <f aca="false">EW78+EY77</f>
        <v>335.375</v>
      </c>
      <c r="EZ78" s="88" t="n">
        <f aca="false">MAX(EZ77,EX78-EY78)</f>
        <v>0</v>
      </c>
      <c r="FA78" s="88" t="n">
        <f aca="false">EZ78-EZ77</f>
        <v>0</v>
      </c>
      <c r="FB78" s="88" t="n">
        <f aca="false">IF(B78=2026,INDEX($C$28:$Q$28,1,B78-2025)*$AO$4*C78/MAX(0.0001,12-$AO$3),INDEX($C$28:$Q$28,1,B78-2025)/12)</f>
        <v>34.6997621046739</v>
      </c>
      <c r="FC78" s="88" t="n">
        <f aca="false">$AO$6*INDEX($Y$28:$AB$28,1,B78-2026)/12</f>
        <v>2.05833333333333</v>
      </c>
      <c r="FD78" s="88" t="n">
        <f aca="false">FB78+FD77</f>
        <v>1033.86277503652</v>
      </c>
      <c r="FE78" s="88" t="n">
        <f aca="false">FC78+FE77</f>
        <v>150.475</v>
      </c>
      <c r="FF78" s="88" t="n">
        <f aca="false">MAX(FF77,FD78-FE78)</f>
        <v>883.387775036518</v>
      </c>
      <c r="FG78" s="88" t="n">
        <f aca="false">FF78-FF77</f>
        <v>32.6414287713405</v>
      </c>
    </row>
    <row r="79" customFormat="false" ht="15" hidden="false" customHeight="false" outlineLevel="0" collapsed="false">
      <c r="A79" s="0" t="n">
        <v>39</v>
      </c>
      <c r="B79" s="88" t="n">
        <f aca="false">2026+INT(A79/12)</f>
        <v>2029</v>
      </c>
      <c r="C79" s="88" t="n">
        <f aca="false">MAX(0,MIN(1,A79+1-$AO$3))</f>
        <v>1</v>
      </c>
      <c r="D79" s="88" t="n">
        <f aca="false">IF((A79+0.5-(0))&lt;$AO$3,0,2026+INT((A79+0.5-(0))/12))</f>
        <v>2029</v>
      </c>
      <c r="E79" s="88" t="n">
        <f aca="false">IF((A79+0.5-($AO$9))&lt;$AO$3,0,2026+INT((A79+0.5-($AO$9))/12))</f>
        <v>2028</v>
      </c>
      <c r="F79" s="88" t="n">
        <f aca="false">IF((A79+0.5-($AO$9+$AO$8))&lt;$AO$3,0,2026+INT((A79+0.5-($AO$9+$AO$8))/12))</f>
        <v>0</v>
      </c>
      <c r="G79" s="88" t="n">
        <f aca="false">IF((A79+0.5-($AO$9+$AO$8+$AO$7))&lt;$AO$3,0,2026+INT((A79+0.5-($AO$9+$AO$8+$AO$7))/12))</f>
        <v>0</v>
      </c>
      <c r="H79" s="88" t="n">
        <f aca="false">IF(B79=2026,INDEX($C$3:$Q$3,1,B79-2025)*$AO$4*C79/MAX(0.0001,12-$AO$3),INDEX($C$3:$Q$3,1,B79-2025)/12)</f>
        <v>355.25</v>
      </c>
      <c r="I79" s="88" t="n">
        <f aca="false">$AO$6*INDEX($Y$3:$AB$3,1,B79-2026)/12</f>
        <v>162.891666666667</v>
      </c>
      <c r="J79" s="88" t="n">
        <f aca="false">H79+J78</f>
        <v>10939.7534246575</v>
      </c>
      <c r="K79" s="88" t="n">
        <f aca="false">I79+K78</f>
        <v>4967.66666666667</v>
      </c>
      <c r="L79" s="88" t="n">
        <f aca="false">MAX(L78,J79-K79)</f>
        <v>5972.08675799087</v>
      </c>
      <c r="M79" s="88" t="n">
        <f aca="false">L79-L78</f>
        <v>192.358333333334</v>
      </c>
      <c r="N79" s="88" t="n">
        <f aca="false">IF(B79=2026,INDEX($C$4:$Q$4,1,B79-2025)*$AO$4*C79/MAX(0.0001,12-$AO$3),INDEX($C$4:$Q$4,1,B79-2025)/12)</f>
        <v>10.7700632578534</v>
      </c>
      <c r="O79" s="88" t="n">
        <f aca="false">$AO$6*INDEX($Y$4:$AB$4,1,B79-2026)/12</f>
        <v>7.375</v>
      </c>
      <c r="P79" s="88" t="n">
        <f aca="false">N79+P78</f>
        <v>331.658934296635</v>
      </c>
      <c r="Q79" s="88" t="n">
        <f aca="false">O79+Q78</f>
        <v>254.2</v>
      </c>
      <c r="R79" s="88" t="n">
        <f aca="false">MAX(R78,P79-Q79)</f>
        <v>77.4589342966347</v>
      </c>
      <c r="S79" s="88" t="n">
        <f aca="false">R79-R78</f>
        <v>3.39506325785334</v>
      </c>
      <c r="T79" s="88" t="n">
        <f aca="false">IF(B79=2026,INDEX($C$5:$Q$5,1,B79-2025)*$AO$4*C79/MAX(0.0001,12-$AO$3),INDEX($C$5:$Q$5,1,B79-2025)/12)</f>
        <v>43.7734247619348</v>
      </c>
      <c r="U79" s="88" t="n">
        <f aca="false">$AO$6*INDEX($Y$5:$AB$5,1,B79-2026)/12</f>
        <v>25.3416666666667</v>
      </c>
      <c r="V79" s="88" t="n">
        <f aca="false">T79+V78</f>
        <v>1347.98162828534</v>
      </c>
      <c r="W79" s="88" t="n">
        <f aca="false">U79+W78</f>
        <v>809.366666666667</v>
      </c>
      <c r="X79" s="88" t="n">
        <f aca="false">MAX(X78,V79-W79)</f>
        <v>538.614961618669</v>
      </c>
      <c r="Y79" s="88" t="n">
        <f aca="false">X79-X78</f>
        <v>18.4317580952682</v>
      </c>
      <c r="Z79" s="88" t="n">
        <f aca="false">IF(B79=2026,INDEX($C$6:$Q$6,1,B79-2025)*$AO$4*C79/MAX(0.0001,12-$AO$3),INDEX($C$6:$Q$6,1,B79-2025)/12)</f>
        <v>51.933610116259</v>
      </c>
      <c r="AA79" s="88" t="n">
        <f aca="false">$AO$6*INDEX($Y$6:$AB$6,1,B79-2026)/12</f>
        <v>39.4666666666667</v>
      </c>
      <c r="AB79" s="88" t="n">
        <f aca="false">Z79+AB78</f>
        <v>1599.27062385411</v>
      </c>
      <c r="AC79" s="88" t="n">
        <f aca="false">AA79+AC78</f>
        <v>783.966666666668</v>
      </c>
      <c r="AD79" s="88" t="n">
        <f aca="false">MAX(AD78,AB79-AC79)</f>
        <v>815.303957187443</v>
      </c>
      <c r="AE79" s="88" t="n">
        <f aca="false">AD79-AD78</f>
        <v>12.4669434495922</v>
      </c>
      <c r="AF79" s="88" t="n">
        <f aca="false">IF(B79=2026,INDEX($C$7:$Q$7,1,B79-2025)*$AO$4*C79/MAX(0.0001,12-$AO$3),INDEX($C$7:$Q$7,1,B79-2025)/12)</f>
        <v>45.11289896006</v>
      </c>
      <c r="AG79" s="88" t="n">
        <f aca="false">$AO$6*INDEX($Y$7:$AB$7,1,B79-2026)/12</f>
        <v>21.575</v>
      </c>
      <c r="AH79" s="88" t="n">
        <f aca="false">AF79+AH78</f>
        <v>1389.23009400294</v>
      </c>
      <c r="AI79" s="88" t="n">
        <f aca="false">AG79+AI78</f>
        <v>428</v>
      </c>
      <c r="AJ79" s="88" t="n">
        <f aca="false">MAX(AJ78,AH79-AI79)</f>
        <v>961.230094002943</v>
      </c>
      <c r="AK79" s="88" t="n">
        <f aca="false">AJ79-AJ78</f>
        <v>23.53789896006</v>
      </c>
      <c r="AL79" s="88" t="n">
        <f aca="false">IF(B79=2026,INDEX($C$8:$Q$8,1,B79-2025)*$AO$4*C79/MAX(0.0001,12-$AO$3),INDEX($C$8:$Q$8,1,B79-2025)/12)</f>
        <v>11.4114321188341</v>
      </c>
      <c r="AM79" s="88" t="n">
        <f aca="false">$AO$6*INDEX($Y$8:$AB$8,1,B79-2026)/12</f>
        <v>1.375</v>
      </c>
      <c r="AN79" s="88" t="n">
        <f aca="false">AL79+AN78</f>
        <v>351.409580864918</v>
      </c>
      <c r="AO79" s="88" t="n">
        <f aca="false">AM79+AO78</f>
        <v>55</v>
      </c>
      <c r="AP79" s="88" t="n">
        <f aca="false">MAX(AP78,AN79-AO79)</f>
        <v>296.409580864918</v>
      </c>
      <c r="AQ79" s="88" t="n">
        <f aca="false">AP79-AP78</f>
        <v>10.0364321188341</v>
      </c>
      <c r="AR79" s="88" t="n">
        <f aca="false">IF(B79=2026,INDEX($C$9:$Q$9,1,B79-2025)*$AO$4*C79/MAX(0.0001,12-$AO$3),INDEX($C$9:$Q$9,1,B79-2025)/12)</f>
        <v>48.6576953186344</v>
      </c>
      <c r="AS79" s="88" t="n">
        <f aca="false">$AO$6*INDEX($Y$9:$AB$9,1,B79-2026)/12</f>
        <v>32.5916666666667</v>
      </c>
      <c r="AT79" s="88" t="n">
        <f aca="false">AR79+AT78</f>
        <v>1498.39039830534</v>
      </c>
      <c r="AU79" s="88" t="n">
        <f aca="false">AS79+AU78</f>
        <v>1022.06666666667</v>
      </c>
      <c r="AV79" s="88" t="n">
        <f aca="false">MAX(AV78,AT79-AU79)</f>
        <v>476.323731638675</v>
      </c>
      <c r="AW79" s="88" t="n">
        <f aca="false">AV79-AV78</f>
        <v>16.0660286519676</v>
      </c>
      <c r="AX79" s="88" t="n">
        <f aca="false">IF(B79=2026,INDEX($C$10:$Q$10,1,B79-2025)*$AO$4*C79/MAX(0.0001,12-$AO$3),INDEX($C$10:$Q$10,1,B79-2025)/12)</f>
        <v>5.64404597663043</v>
      </c>
      <c r="AY79" s="88" t="n">
        <f aca="false">$AO$6*INDEX($Y$10:$AB$10,1,B79-2026)/12</f>
        <v>1.63333333333333</v>
      </c>
      <c r="AZ79" s="88" t="n">
        <f aca="false">AX79+AZ78</f>
        <v>173.805689800893</v>
      </c>
      <c r="BA79" s="88" t="n">
        <f aca="false">AY79+BA78</f>
        <v>36.6333333333333</v>
      </c>
      <c r="BB79" s="88" t="n">
        <f aca="false">MAX(BB78,AZ79-BA79)</f>
        <v>137.17235646756</v>
      </c>
      <c r="BC79" s="88" t="n">
        <f aca="false">BB79-BB78</f>
        <v>4.0107126432971</v>
      </c>
      <c r="BD79" s="88" t="n">
        <f aca="false">IF(B79=2026,INDEX($C$11:$Q$11,1,B79-2025)*$AO$4*C79/MAX(0.0001,12-$AO$3),INDEX($C$11:$Q$11,1,B79-2025)/12)</f>
        <v>28.0475536513497</v>
      </c>
      <c r="BE79" s="88" t="n">
        <f aca="false">$AO$6*INDEX($Y$11:$AB$11,1,B79-2026)/12</f>
        <v>2.175</v>
      </c>
      <c r="BF79" s="88" t="n">
        <f aca="false">BD79+BF78</f>
        <v>863.710967236084</v>
      </c>
      <c r="BG79" s="88" t="n">
        <f aca="false">BE79+BG78</f>
        <v>222.6</v>
      </c>
      <c r="BH79" s="88" t="n">
        <f aca="false">MAX(BH78,BF79-BG79)</f>
        <v>641.110967236084</v>
      </c>
      <c r="BI79" s="88" t="n">
        <f aca="false">BH79-BH78</f>
        <v>25.8725536513498</v>
      </c>
      <c r="BJ79" s="88" t="n">
        <f aca="false">IF(B79=2026,INDEX($C$12:$Q$12,1,B79-2025)*$AO$4*C79/MAX(0.0001,12-$AO$3),INDEX($C$12:$Q$12,1,B79-2025)/12)</f>
        <v>15.3780518436687</v>
      </c>
      <c r="BK79" s="88" t="n">
        <f aca="false">$AO$6*INDEX($Y$12:$AB$12,1,B79-2026)/12</f>
        <v>3.65</v>
      </c>
      <c r="BL79" s="88" t="n">
        <f aca="false">BJ79+BL78</f>
        <v>473.559733487224</v>
      </c>
      <c r="BM79" s="88" t="n">
        <f aca="false">BK79+BM78</f>
        <v>74.4</v>
      </c>
      <c r="BN79" s="88" t="n">
        <f aca="false">MAX(BN78,BL79-BM79)</f>
        <v>399.159733487224</v>
      </c>
      <c r="BO79" s="88" t="n">
        <f aca="false">BN79-BN78</f>
        <v>11.7280518436688</v>
      </c>
      <c r="BP79" s="88" t="n">
        <f aca="false">IF(B79=2026,INDEX($C$13:$Q$13,1,B79-2025)*$AO$4*C79/MAX(0.0001,12-$AO$3),INDEX($C$13:$Q$13,1,B79-2025)/12)</f>
        <v>4.80560220169792</v>
      </c>
      <c r="BQ79" s="88" t="n">
        <f aca="false">$AO$6*INDEX($Y$13:$AB$13,1,B79-2026)/12</f>
        <v>2.40833333333333</v>
      </c>
      <c r="BR79" s="88" t="n">
        <f aca="false">BP79+BR78</f>
        <v>147.986215745437</v>
      </c>
      <c r="BS79" s="88" t="n">
        <f aca="false">BQ79+BS78</f>
        <v>67.0333333333333</v>
      </c>
      <c r="BT79" s="88" t="n">
        <f aca="false">MAX(BT78,BR79-BS79)</f>
        <v>80.9528824121041</v>
      </c>
      <c r="BU79" s="88" t="n">
        <f aca="false">BT79-BT78</f>
        <v>2.39726886836459</v>
      </c>
      <c r="BV79" s="88" t="n">
        <f aca="false">IF(B79=2026,INDEX($C$14:$Q$14,1,B79-2025)*$AO$4*C79/MAX(0.0001,12-$AO$3),INDEX($C$14:$Q$14,1,B79-2025)/12)</f>
        <v>2.85021923686911</v>
      </c>
      <c r="BW79" s="88" t="n">
        <f aca="false">$AO$6*INDEX($Y$14:$AB$14,1,B79-2026)/12</f>
        <v>0</v>
      </c>
      <c r="BX79" s="88" t="n">
        <f aca="false">BV79+BX78</f>
        <v>87.7711348559145</v>
      </c>
      <c r="BY79" s="88" t="n">
        <f aca="false">BW79+BY78</f>
        <v>0</v>
      </c>
      <c r="BZ79" s="88" t="n">
        <f aca="false">MAX(BZ78,BX79-BY79)</f>
        <v>87.7711348559145</v>
      </c>
      <c r="CA79" s="88" t="n">
        <f aca="false">BZ79-BZ78</f>
        <v>2.85021923686911</v>
      </c>
      <c r="CB79" s="88" t="n">
        <f aca="false">IF(B79=2026,INDEX($C$15:$Q$15,1,B79-2025)*$AO$4*C79/MAX(0.0001,12-$AO$3),INDEX($C$15:$Q$15,1,B79-2025)/12)</f>
        <v>4.67303386509936</v>
      </c>
      <c r="CC79" s="88" t="n">
        <f aca="false">$AO$6*INDEX($Y$15:$AB$15,1,B79-2026)/12</f>
        <v>0.483333333333333</v>
      </c>
      <c r="CD79" s="88" t="n">
        <f aca="false">CB79+CD78</f>
        <v>143.903837380046</v>
      </c>
      <c r="CE79" s="88" t="n">
        <f aca="false">CC79+CE78</f>
        <v>84.1333333333334</v>
      </c>
      <c r="CF79" s="88" t="n">
        <f aca="false">MAX(CF78,CD79-CE79)</f>
        <v>59.7705040467125</v>
      </c>
      <c r="CG79" s="88" t="n">
        <f aca="false">CF79-CF78</f>
        <v>4.18970053176601</v>
      </c>
      <c r="CH79" s="88" t="n">
        <f aca="false">IF(B79=2026,INDEX($C$16:$Q$16,1,B79-2025)*$AO$4*C79/MAX(0.0001,12-$AO$3),INDEX($C$16:$Q$16,1,B79-2025)/12)</f>
        <v>3.69534238268495</v>
      </c>
      <c r="CI79" s="88" t="n">
        <f aca="false">$AO$6*INDEX($Y$16:$AB$16,1,B79-2026)/12</f>
        <v>0</v>
      </c>
      <c r="CJ79" s="88" t="n">
        <f aca="false">CH79+CJ78</f>
        <v>113.796296935285</v>
      </c>
      <c r="CK79" s="88" t="n">
        <f aca="false">CI79+CK78</f>
        <v>70</v>
      </c>
      <c r="CL79" s="88" t="n">
        <f aca="false">MAX(CL78,CJ79-CK79)</f>
        <v>43.7962969352846</v>
      </c>
      <c r="CM79" s="88" t="n">
        <f aca="false">CL79-CL78</f>
        <v>3.69534238268496</v>
      </c>
      <c r="CN79" s="88" t="n">
        <f aca="false">IF(B79=2026,INDEX($C$17:$Q$17,1,B79-2025)*$AO$4*C79/MAX(0.0001,12-$AO$3),INDEX($C$17:$Q$17,1,B79-2025)/12)</f>
        <v>16.0904818546506</v>
      </c>
      <c r="CO79" s="88" t="n">
        <f aca="false">$AO$6*INDEX($Y$17:$AB$17,1,B79-2026)/12</f>
        <v>1.23333333333333</v>
      </c>
      <c r="CP79" s="88" t="n">
        <f aca="false">CN79+CP78</f>
        <v>495.498674099378</v>
      </c>
      <c r="CQ79" s="88" t="n">
        <f aca="false">CO79+CQ78</f>
        <v>211.133333333333</v>
      </c>
      <c r="CR79" s="88" t="n">
        <f aca="false">MAX(CR78,CP79-CQ79)</f>
        <v>284.365340766045</v>
      </c>
      <c r="CS79" s="88" t="n">
        <f aca="false">CR79-CR78</f>
        <v>14.8571485213173</v>
      </c>
      <c r="CT79" s="88" t="n">
        <f aca="false">IF(B79=2026,INDEX($C$18:$Q$18,1,B79-2025)*$AO$4*C79/MAX(0.0001,12-$AO$3),INDEX($C$18:$Q$18,1,B79-2025)/12)</f>
        <v>3.34735049911372</v>
      </c>
      <c r="CU79" s="88" t="n">
        <f aca="false">$AO$6*INDEX($Y$18:$AB$18,1,B79-2026)/12</f>
        <v>0</v>
      </c>
      <c r="CV79" s="88" t="n">
        <f aca="false">CT79+CV78</f>
        <v>103.080053726132</v>
      </c>
      <c r="CW79" s="88" t="n">
        <f aca="false">CU79+CW78</f>
        <v>11</v>
      </c>
      <c r="CX79" s="88" t="n">
        <f aca="false">MAX(CX78,CV79-CW79)</f>
        <v>92.0800537261323</v>
      </c>
      <c r="CY79" s="88" t="n">
        <f aca="false">CX79-CX78</f>
        <v>3.34735049911373</v>
      </c>
      <c r="CZ79" s="88" t="n">
        <f aca="false">IF(B79=2026,INDEX($C$19:$Q$19,1,B79-2025)*$AO$4*C79/MAX(0.0001,12-$AO$3),INDEX($C$19:$Q$19,1,B79-2025)/12)</f>
        <v>3.31420841496408</v>
      </c>
      <c r="DA79" s="88" t="n">
        <f aca="false">$AO$6*INDEX($Y$19:$AB$19,1,B79-2026)/12</f>
        <v>8.31666666666667</v>
      </c>
      <c r="DB79" s="88" t="n">
        <f aca="false">CZ79+DB78</f>
        <v>102.059459134784</v>
      </c>
      <c r="DC79" s="88" t="n">
        <f aca="false">DA79+DC78</f>
        <v>137.266666666667</v>
      </c>
      <c r="DD79" s="88" t="n">
        <f aca="false">MAX(DD78,DB79-DC79)</f>
        <v>37.132124495359</v>
      </c>
      <c r="DE79" s="88" t="n">
        <f aca="false">DD79-DD78</f>
        <v>0</v>
      </c>
      <c r="DF79" s="88" t="n">
        <f aca="false">IF(B79=2026,INDEX($C$20:$Q$20,1,B79-2025)*$AO$4*C79/MAX(0.0001,12-$AO$3),INDEX($C$20:$Q$20,1,B79-2025)/12)</f>
        <v>2.70107985819573</v>
      </c>
      <c r="DG79" s="88" t="n">
        <f aca="false">$AO$6*INDEX($Y$20:$AB$20,1,B79-2026)/12</f>
        <v>0</v>
      </c>
      <c r="DH79" s="88" t="n">
        <f aca="false">DF79+DH78</f>
        <v>83.1784591948492</v>
      </c>
      <c r="DI79" s="88" t="n">
        <f aca="false">DG79+DI78</f>
        <v>0</v>
      </c>
      <c r="DJ79" s="88" t="n">
        <f aca="false">MAX(DJ78,DH79-DI79)</f>
        <v>83.1784591948492</v>
      </c>
      <c r="DK79" s="88" t="n">
        <f aca="false">DJ79-DJ78</f>
        <v>2.70107985819573</v>
      </c>
      <c r="DL79" s="88" t="n">
        <f aca="false">IF(B79=2026,INDEX($C$21:$Q$21,1,B79-2025)*$AO$4*C79/MAX(0.0001,12-$AO$3),INDEX($C$21:$Q$21,1,B79-2025)/12)</f>
        <v>1.88909879652953</v>
      </c>
      <c r="DM79" s="88" t="n">
        <f aca="false">$AO$6*INDEX($Y$21:$AB$21,1,B79-2026)/12</f>
        <v>4.425</v>
      </c>
      <c r="DN79" s="88" t="n">
        <f aca="false">DL79+DN78</f>
        <v>58.173891706827</v>
      </c>
      <c r="DO79" s="88" t="n">
        <f aca="false">DM79+DO78</f>
        <v>64.6</v>
      </c>
      <c r="DP79" s="88" t="n">
        <f aca="false">MAX(DP78,DN79-DO79)</f>
        <v>17.7483109623547</v>
      </c>
      <c r="DQ79" s="88" t="n">
        <f aca="false">DP79-DP78</f>
        <v>0</v>
      </c>
      <c r="DR79" s="88" t="n">
        <f aca="false">IF(B79=2026,INDEX($C$22:$Q$22,1,B79-2025)*$AO$4*C79/MAX(0.0001,12-$AO$3),INDEX($C$22:$Q$22,1,B79-2025)/12)</f>
        <v>1.47482274465902</v>
      </c>
      <c r="DS79" s="88" t="n">
        <f aca="false">$AO$6*INDEX($Y$22:$AB$22,1,B79-2026)/12</f>
        <v>0.216666666666667</v>
      </c>
      <c r="DT79" s="88" t="n">
        <f aca="false">DR79+DT78</f>
        <v>45.416459314979</v>
      </c>
      <c r="DU79" s="88" t="n">
        <f aca="false">DS79+DU78</f>
        <v>27.2666666666667</v>
      </c>
      <c r="DV79" s="88" t="n">
        <f aca="false">MAX(DV78,DT79-DU79)</f>
        <v>18.1497926483123</v>
      </c>
      <c r="DW79" s="88" t="n">
        <f aca="false">DV79-DV78</f>
        <v>1.25815607799235</v>
      </c>
      <c r="DX79" s="88" t="n">
        <f aca="false">IF(B79=2026,INDEX($C$23:$Q$23,1,B79-2025)*$AO$4*C79/MAX(0.0001,12-$AO$3),INDEX($C$23:$Q$23,1,B79-2025)/12)</f>
        <v>2.36965901669932</v>
      </c>
      <c r="DY79" s="88" t="n">
        <f aca="false">$AO$6*INDEX($Y$23:$AB$23,1,B79-2026)/12</f>
        <v>2.94166666666667</v>
      </c>
      <c r="DZ79" s="88" t="n">
        <f aca="false">DX79+DZ78</f>
        <v>72.9725132813708</v>
      </c>
      <c r="EA79" s="88" t="n">
        <f aca="false">DY79+EA78</f>
        <v>97.4666666666667</v>
      </c>
      <c r="EB79" s="88" t="n">
        <f aca="false">MAX(EB78,DZ79-EA79)</f>
        <v>35.0579690141817</v>
      </c>
      <c r="EC79" s="88" t="n">
        <f aca="false">EB79-EB78</f>
        <v>0</v>
      </c>
      <c r="ED79" s="88" t="n">
        <f aca="false">IF(B79=2026,INDEX($C$24:$Q$24,1,B79-2025)*$AO$4*C79/MAX(0.0001,12-$AO$3),INDEX($C$24:$Q$24,1,B79-2025)/12)</f>
        <v>1.4582517025842</v>
      </c>
      <c r="EE79" s="88" t="n">
        <f aca="false">$AO$6*INDEX($Y$24:$AB$24,1,B79-2026)/12</f>
        <v>0</v>
      </c>
      <c r="EF79" s="88" t="n">
        <f aca="false">ED79+EF78</f>
        <v>44.9061620193051</v>
      </c>
      <c r="EG79" s="88" t="n">
        <f aca="false">EE79+EG78</f>
        <v>0</v>
      </c>
      <c r="EH79" s="88" t="n">
        <f aca="false">MAX(EH78,EF79-EG79)</f>
        <v>44.9061620193051</v>
      </c>
      <c r="EI79" s="88" t="n">
        <f aca="false">EH79-EH78</f>
        <v>1.4582517025842</v>
      </c>
      <c r="EJ79" s="88" t="n">
        <f aca="false">IF(B79=2026,INDEX($C$25:$Q$25,1,B79-2025)*$AO$4*C79/MAX(0.0001,12-$AO$3),INDEX($C$25:$Q$25,1,B79-2025)/12)</f>
        <v>1.85595671237989</v>
      </c>
      <c r="EK79" s="88" t="n">
        <f aca="false">$AO$6*INDEX($Y$25:$AB$25,1,B79-2026)/12</f>
        <v>0</v>
      </c>
      <c r="EL79" s="88" t="n">
        <f aca="false">EJ79+EL78</f>
        <v>57.1532971154792</v>
      </c>
      <c r="EM79" s="88" t="n">
        <f aca="false">EK79+EM78</f>
        <v>14</v>
      </c>
      <c r="EN79" s="88" t="n">
        <f aca="false">MAX(EN78,EL79-EM79)</f>
        <v>43.1532971154792</v>
      </c>
      <c r="EO79" s="88" t="n">
        <f aca="false">EN79-EN78</f>
        <v>1.85595671237989</v>
      </c>
      <c r="EP79" s="88" t="n">
        <f aca="false">IF(B79=2026,INDEX($C$26:$Q$26,1,B79-2025)*$AO$4*C79/MAX(0.0001,12-$AO$3),INDEX($C$26:$Q$26,1,B79-2025)/12)</f>
        <v>2.66793777404609</v>
      </c>
      <c r="EQ79" s="88" t="n">
        <f aca="false">$AO$6*INDEX($Y$26:$AB$26,1,B79-2026)/12</f>
        <v>0</v>
      </c>
      <c r="ER79" s="88" t="n">
        <f aca="false">EP79+ER78</f>
        <v>82.1578646035014</v>
      </c>
      <c r="ES79" s="88" t="n">
        <f aca="false">EQ79+ES78</f>
        <v>4</v>
      </c>
      <c r="ET79" s="88" t="n">
        <f aca="false">MAX(ET78,ER79-ES79)</f>
        <v>78.1578646035014</v>
      </c>
      <c r="EU79" s="88" t="n">
        <f aca="false">ET79-ET78</f>
        <v>2.66793777404608</v>
      </c>
      <c r="EV79" s="88" t="n">
        <f aca="false">IF(B79=2026,INDEX($C$27:$Q$27,1,B79-2025)*$AO$4*C79/MAX(0.0001,12-$AO$3),INDEX($C$27:$Q$27,1,B79-2025)/12)</f>
        <v>6.62841682992816</v>
      </c>
      <c r="EW79" s="88" t="n">
        <f aca="false">$AO$6*INDEX($Y$27:$AB$27,1,B79-2026)/12</f>
        <v>5.625</v>
      </c>
      <c r="EX79" s="88" t="n">
        <f aca="false">EV79+EX78</f>
        <v>204.118918269569</v>
      </c>
      <c r="EY79" s="88" t="n">
        <f aca="false">EW79+EY78</f>
        <v>341</v>
      </c>
      <c r="EZ79" s="88" t="n">
        <f aca="false">MAX(EZ78,EX79-EY79)</f>
        <v>0</v>
      </c>
      <c r="FA79" s="88" t="n">
        <f aca="false">EZ79-EZ78</f>
        <v>0</v>
      </c>
      <c r="FB79" s="88" t="n">
        <f aca="false">IF(B79=2026,INDEX($C$28:$Q$28,1,B79-2025)*$AO$4*C79/MAX(0.0001,12-$AO$3),INDEX($C$28:$Q$28,1,B79-2025)/12)</f>
        <v>34.6997621046739</v>
      </c>
      <c r="FC79" s="88" t="n">
        <f aca="false">$AO$6*INDEX($Y$28:$AB$28,1,B79-2026)/12</f>
        <v>2.05833333333333</v>
      </c>
      <c r="FD79" s="88" t="n">
        <f aca="false">FB79+FD78</f>
        <v>1068.56253714119</v>
      </c>
      <c r="FE79" s="88" t="n">
        <f aca="false">FC79+FE78</f>
        <v>152.533333333333</v>
      </c>
      <c r="FF79" s="88" t="n">
        <f aca="false">MAX(FF78,FD79-FE79)</f>
        <v>916.029203807859</v>
      </c>
      <c r="FG79" s="88" t="n">
        <f aca="false">FF79-FF78</f>
        <v>32.6414287713407</v>
      </c>
    </row>
    <row r="80" customFormat="false" ht="15" hidden="false" customHeight="false" outlineLevel="0" collapsed="false">
      <c r="A80" s="0" t="n">
        <v>40</v>
      </c>
      <c r="B80" s="88" t="n">
        <f aca="false">2026+INT(A80/12)</f>
        <v>2029</v>
      </c>
      <c r="C80" s="88" t="n">
        <f aca="false">MAX(0,MIN(1,A80+1-$AO$3))</f>
        <v>1</v>
      </c>
      <c r="D80" s="88" t="n">
        <f aca="false">IF((A80+0.5-(0))&lt;$AO$3,0,2026+INT((A80+0.5-(0))/12))</f>
        <v>2029</v>
      </c>
      <c r="E80" s="88" t="n">
        <f aca="false">IF((A80+0.5-($AO$9))&lt;$AO$3,0,2026+INT((A80+0.5-($AO$9))/12))</f>
        <v>2028</v>
      </c>
      <c r="F80" s="88" t="n">
        <f aca="false">IF((A80+0.5-($AO$9+$AO$8))&lt;$AO$3,0,2026+INT((A80+0.5-($AO$9+$AO$8))/12))</f>
        <v>2026</v>
      </c>
      <c r="G80" s="88" t="n">
        <f aca="false">IF((A80+0.5-($AO$9+$AO$8+$AO$7))&lt;$AO$3,0,2026+INT((A80+0.5-($AO$9+$AO$8+$AO$7))/12))</f>
        <v>0</v>
      </c>
      <c r="H80" s="88" t="n">
        <f aca="false">IF(B80=2026,INDEX($C$3:$Q$3,1,B80-2025)*$AO$4*C80/MAX(0.0001,12-$AO$3),INDEX($C$3:$Q$3,1,B80-2025)/12)</f>
        <v>355.25</v>
      </c>
      <c r="I80" s="88" t="n">
        <f aca="false">$AO$6*INDEX($Y$3:$AB$3,1,B80-2026)/12</f>
        <v>162.891666666667</v>
      </c>
      <c r="J80" s="88" t="n">
        <f aca="false">H80+J79</f>
        <v>11295.0034246575</v>
      </c>
      <c r="K80" s="88" t="n">
        <f aca="false">I80+K79</f>
        <v>5130.55833333333</v>
      </c>
      <c r="L80" s="88" t="n">
        <f aca="false">MAX(L79,J80-K80)</f>
        <v>6164.4450913242</v>
      </c>
      <c r="M80" s="88" t="n">
        <f aca="false">L80-L79</f>
        <v>192.358333333334</v>
      </c>
      <c r="N80" s="88" t="n">
        <f aca="false">IF(B80=2026,INDEX($C$4:$Q$4,1,B80-2025)*$AO$4*C80/MAX(0.0001,12-$AO$3),INDEX($C$4:$Q$4,1,B80-2025)/12)</f>
        <v>10.7700632578534</v>
      </c>
      <c r="O80" s="88" t="n">
        <f aca="false">$AO$6*INDEX($Y$4:$AB$4,1,B80-2026)/12</f>
        <v>7.375</v>
      </c>
      <c r="P80" s="88" t="n">
        <f aca="false">N80+P79</f>
        <v>342.428997554488</v>
      </c>
      <c r="Q80" s="88" t="n">
        <f aca="false">O80+Q79</f>
        <v>261.575</v>
      </c>
      <c r="R80" s="88" t="n">
        <f aca="false">MAX(R79,P80-Q80)</f>
        <v>80.8539975544881</v>
      </c>
      <c r="S80" s="88" t="n">
        <f aca="false">R80-R79</f>
        <v>3.39506325785331</v>
      </c>
      <c r="T80" s="88" t="n">
        <f aca="false">IF(B80=2026,INDEX($C$5:$Q$5,1,B80-2025)*$AO$4*C80/MAX(0.0001,12-$AO$3),INDEX($C$5:$Q$5,1,B80-2025)/12)</f>
        <v>43.7734247619348</v>
      </c>
      <c r="U80" s="88" t="n">
        <f aca="false">$AO$6*INDEX($Y$5:$AB$5,1,B80-2026)/12</f>
        <v>25.3416666666667</v>
      </c>
      <c r="V80" s="88" t="n">
        <f aca="false">T80+V79</f>
        <v>1391.75505304727</v>
      </c>
      <c r="W80" s="88" t="n">
        <f aca="false">U80+W79</f>
        <v>834.708333333334</v>
      </c>
      <c r="X80" s="88" t="n">
        <f aca="false">MAX(X79,V80-W80)</f>
        <v>557.046719713937</v>
      </c>
      <c r="Y80" s="88" t="n">
        <f aca="false">X80-X79</f>
        <v>18.4317580952682</v>
      </c>
      <c r="Z80" s="88" t="n">
        <f aca="false">IF(B80=2026,INDEX($C$6:$Q$6,1,B80-2025)*$AO$4*C80/MAX(0.0001,12-$AO$3),INDEX($C$6:$Q$6,1,B80-2025)/12)</f>
        <v>51.933610116259</v>
      </c>
      <c r="AA80" s="88" t="n">
        <f aca="false">$AO$6*INDEX($Y$6:$AB$6,1,B80-2026)/12</f>
        <v>39.4666666666667</v>
      </c>
      <c r="AB80" s="88" t="n">
        <f aca="false">Z80+AB79</f>
        <v>1651.20423397037</v>
      </c>
      <c r="AC80" s="88" t="n">
        <f aca="false">AA80+AC79</f>
        <v>823.433333333334</v>
      </c>
      <c r="AD80" s="88" t="n">
        <f aca="false">MAX(AD79,AB80-AC80)</f>
        <v>827.770900637036</v>
      </c>
      <c r="AE80" s="88" t="n">
        <f aca="false">AD80-AD79</f>
        <v>12.4669434495922</v>
      </c>
      <c r="AF80" s="88" t="n">
        <f aca="false">IF(B80=2026,INDEX($C$7:$Q$7,1,B80-2025)*$AO$4*C80/MAX(0.0001,12-$AO$3),INDEX($C$7:$Q$7,1,B80-2025)/12)</f>
        <v>45.11289896006</v>
      </c>
      <c r="AG80" s="88" t="n">
        <f aca="false">$AO$6*INDEX($Y$7:$AB$7,1,B80-2026)/12</f>
        <v>21.575</v>
      </c>
      <c r="AH80" s="88" t="n">
        <f aca="false">AF80+AH79</f>
        <v>1434.342992963</v>
      </c>
      <c r="AI80" s="88" t="n">
        <f aca="false">AG80+AI79</f>
        <v>449.575</v>
      </c>
      <c r="AJ80" s="88" t="n">
        <f aca="false">MAX(AJ79,AH80-AI80)</f>
        <v>984.767992963003</v>
      </c>
      <c r="AK80" s="88" t="n">
        <f aca="false">AJ80-AJ79</f>
        <v>23.5378989600599</v>
      </c>
      <c r="AL80" s="88" t="n">
        <f aca="false">IF(B80=2026,INDEX($C$8:$Q$8,1,B80-2025)*$AO$4*C80/MAX(0.0001,12-$AO$3),INDEX($C$8:$Q$8,1,B80-2025)/12)</f>
        <v>11.4114321188341</v>
      </c>
      <c r="AM80" s="88" t="n">
        <f aca="false">$AO$6*INDEX($Y$8:$AB$8,1,B80-2026)/12</f>
        <v>1.375</v>
      </c>
      <c r="AN80" s="88" t="n">
        <f aca="false">AL80+AN79</f>
        <v>362.821012983752</v>
      </c>
      <c r="AO80" s="88" t="n">
        <f aca="false">AM80+AO79</f>
        <v>56.375</v>
      </c>
      <c r="AP80" s="88" t="n">
        <f aca="false">MAX(AP79,AN80-AO80)</f>
        <v>306.446012983752</v>
      </c>
      <c r="AQ80" s="88" t="n">
        <f aca="false">AP80-AP79</f>
        <v>10.0364321188341</v>
      </c>
      <c r="AR80" s="88" t="n">
        <f aca="false">IF(B80=2026,INDEX($C$9:$Q$9,1,B80-2025)*$AO$4*C80/MAX(0.0001,12-$AO$3),INDEX($C$9:$Q$9,1,B80-2025)/12)</f>
        <v>48.6576953186344</v>
      </c>
      <c r="AS80" s="88" t="n">
        <f aca="false">$AO$6*INDEX($Y$9:$AB$9,1,B80-2026)/12</f>
        <v>32.5916666666667</v>
      </c>
      <c r="AT80" s="88" t="n">
        <f aca="false">AR80+AT79</f>
        <v>1547.04809362398</v>
      </c>
      <c r="AU80" s="88" t="n">
        <f aca="false">AS80+AU79</f>
        <v>1054.65833333333</v>
      </c>
      <c r="AV80" s="88" t="n">
        <f aca="false">MAX(AV79,AT80-AU80)</f>
        <v>492.389760290643</v>
      </c>
      <c r="AW80" s="88" t="n">
        <f aca="false">AV80-AV79</f>
        <v>16.0660286519676</v>
      </c>
      <c r="AX80" s="88" t="n">
        <f aca="false">IF(B80=2026,INDEX($C$10:$Q$10,1,B80-2025)*$AO$4*C80/MAX(0.0001,12-$AO$3),INDEX($C$10:$Q$10,1,B80-2025)/12)</f>
        <v>5.64404597663043</v>
      </c>
      <c r="AY80" s="88" t="n">
        <f aca="false">$AO$6*INDEX($Y$10:$AB$10,1,B80-2026)/12</f>
        <v>1.63333333333333</v>
      </c>
      <c r="AZ80" s="88" t="n">
        <f aca="false">AX80+AZ79</f>
        <v>179.449735777524</v>
      </c>
      <c r="BA80" s="88" t="n">
        <f aca="false">AY80+BA79</f>
        <v>38.2666666666667</v>
      </c>
      <c r="BB80" s="88" t="n">
        <f aca="false">MAX(BB79,AZ80-BA80)</f>
        <v>141.183069110857</v>
      </c>
      <c r="BC80" s="88" t="n">
        <f aca="false">BB80-BB79</f>
        <v>4.0107126432971</v>
      </c>
      <c r="BD80" s="88" t="n">
        <f aca="false">IF(B80=2026,INDEX($C$11:$Q$11,1,B80-2025)*$AO$4*C80/MAX(0.0001,12-$AO$3),INDEX($C$11:$Q$11,1,B80-2025)/12)</f>
        <v>28.0475536513497</v>
      </c>
      <c r="BE80" s="88" t="n">
        <f aca="false">$AO$6*INDEX($Y$11:$AB$11,1,B80-2026)/12</f>
        <v>2.175</v>
      </c>
      <c r="BF80" s="88" t="n">
        <f aca="false">BD80+BF79</f>
        <v>891.758520887434</v>
      </c>
      <c r="BG80" s="88" t="n">
        <f aca="false">BE80+BG79</f>
        <v>224.775</v>
      </c>
      <c r="BH80" s="88" t="n">
        <f aca="false">MAX(BH79,BF80-BG80)</f>
        <v>666.983520887434</v>
      </c>
      <c r="BI80" s="88" t="n">
        <f aca="false">BH80-BH79</f>
        <v>25.8725536513497</v>
      </c>
      <c r="BJ80" s="88" t="n">
        <f aca="false">IF(B80=2026,INDEX($C$12:$Q$12,1,B80-2025)*$AO$4*C80/MAX(0.0001,12-$AO$3),INDEX($C$12:$Q$12,1,B80-2025)/12)</f>
        <v>15.3780518436687</v>
      </c>
      <c r="BK80" s="88" t="n">
        <f aca="false">$AO$6*INDEX($Y$12:$AB$12,1,B80-2026)/12</f>
        <v>3.65</v>
      </c>
      <c r="BL80" s="88" t="n">
        <f aca="false">BJ80+BL79</f>
        <v>488.937785330893</v>
      </c>
      <c r="BM80" s="88" t="n">
        <f aca="false">BK80+BM79</f>
        <v>78.05</v>
      </c>
      <c r="BN80" s="88" t="n">
        <f aca="false">MAX(BN79,BL80-BM80)</f>
        <v>410.887785330893</v>
      </c>
      <c r="BO80" s="88" t="n">
        <f aca="false">BN80-BN79</f>
        <v>11.7280518436687</v>
      </c>
      <c r="BP80" s="88" t="n">
        <f aca="false">IF(B80=2026,INDEX($C$13:$Q$13,1,B80-2025)*$AO$4*C80/MAX(0.0001,12-$AO$3),INDEX($C$13:$Q$13,1,B80-2025)/12)</f>
        <v>4.80560220169792</v>
      </c>
      <c r="BQ80" s="88" t="n">
        <f aca="false">$AO$6*INDEX($Y$13:$AB$13,1,B80-2026)/12</f>
        <v>2.40833333333333</v>
      </c>
      <c r="BR80" s="88" t="n">
        <f aca="false">BP80+BR79</f>
        <v>152.791817947135</v>
      </c>
      <c r="BS80" s="88" t="n">
        <f aca="false">BQ80+BS79</f>
        <v>69.4416666666667</v>
      </c>
      <c r="BT80" s="88" t="n">
        <f aca="false">MAX(BT79,BR80-BS80)</f>
        <v>83.3501512804686</v>
      </c>
      <c r="BU80" s="88" t="n">
        <f aca="false">BT80-BT79</f>
        <v>2.39726886836459</v>
      </c>
      <c r="BV80" s="88" t="n">
        <f aca="false">IF(B80=2026,INDEX($C$14:$Q$14,1,B80-2025)*$AO$4*C80/MAX(0.0001,12-$AO$3),INDEX($C$14:$Q$14,1,B80-2025)/12)</f>
        <v>2.85021923686911</v>
      </c>
      <c r="BW80" s="88" t="n">
        <f aca="false">$AO$6*INDEX($Y$14:$AB$14,1,B80-2026)/12</f>
        <v>0</v>
      </c>
      <c r="BX80" s="88" t="n">
        <f aca="false">BV80+BX79</f>
        <v>90.6213540927836</v>
      </c>
      <c r="BY80" s="88" t="n">
        <f aca="false">BW80+BY79</f>
        <v>0</v>
      </c>
      <c r="BZ80" s="88" t="n">
        <f aca="false">MAX(BZ79,BX80-BY80)</f>
        <v>90.6213540927836</v>
      </c>
      <c r="CA80" s="88" t="n">
        <f aca="false">BZ80-BZ79</f>
        <v>2.85021923686911</v>
      </c>
      <c r="CB80" s="88" t="n">
        <f aca="false">IF(B80=2026,INDEX($C$15:$Q$15,1,B80-2025)*$AO$4*C80/MAX(0.0001,12-$AO$3),INDEX($C$15:$Q$15,1,B80-2025)/12)</f>
        <v>4.67303386509936</v>
      </c>
      <c r="CC80" s="88" t="n">
        <f aca="false">$AO$6*INDEX($Y$15:$AB$15,1,B80-2026)/12</f>
        <v>0.483333333333333</v>
      </c>
      <c r="CD80" s="88" t="n">
        <f aca="false">CB80+CD79</f>
        <v>148.576871245145</v>
      </c>
      <c r="CE80" s="88" t="n">
        <f aca="false">CC80+CE79</f>
        <v>84.6166666666667</v>
      </c>
      <c r="CF80" s="88" t="n">
        <f aca="false">MAX(CF79,CD80-CE80)</f>
        <v>63.9602045784785</v>
      </c>
      <c r="CG80" s="88" t="n">
        <f aca="false">CF80-CF79</f>
        <v>4.18970053176601</v>
      </c>
      <c r="CH80" s="88" t="n">
        <f aca="false">IF(B80=2026,INDEX($C$16:$Q$16,1,B80-2025)*$AO$4*C80/MAX(0.0001,12-$AO$3),INDEX($C$16:$Q$16,1,B80-2025)/12)</f>
        <v>3.69534238268495</v>
      </c>
      <c r="CI80" s="88" t="n">
        <f aca="false">$AO$6*INDEX($Y$16:$AB$16,1,B80-2026)/12</f>
        <v>0</v>
      </c>
      <c r="CJ80" s="88" t="n">
        <f aca="false">CH80+CJ79</f>
        <v>117.49163931797</v>
      </c>
      <c r="CK80" s="88" t="n">
        <f aca="false">CI80+CK79</f>
        <v>70</v>
      </c>
      <c r="CL80" s="88" t="n">
        <f aca="false">MAX(CL79,CJ80-CK80)</f>
        <v>47.4916393179696</v>
      </c>
      <c r="CM80" s="88" t="n">
        <f aca="false">CL80-CL79</f>
        <v>3.69534238268496</v>
      </c>
      <c r="CN80" s="88" t="n">
        <f aca="false">IF(B80=2026,INDEX($C$17:$Q$17,1,B80-2025)*$AO$4*C80/MAX(0.0001,12-$AO$3),INDEX($C$17:$Q$17,1,B80-2025)/12)</f>
        <v>16.0904818546506</v>
      </c>
      <c r="CO80" s="88" t="n">
        <f aca="false">$AO$6*INDEX($Y$17:$AB$17,1,B80-2026)/12</f>
        <v>1.23333333333333</v>
      </c>
      <c r="CP80" s="88" t="n">
        <f aca="false">CN80+CP79</f>
        <v>511.589155954029</v>
      </c>
      <c r="CQ80" s="88" t="n">
        <f aca="false">CO80+CQ79</f>
        <v>212.366666666667</v>
      </c>
      <c r="CR80" s="88" t="n">
        <f aca="false">MAX(CR79,CP80-CQ80)</f>
        <v>299.222489287363</v>
      </c>
      <c r="CS80" s="88" t="n">
        <f aca="false">CR80-CR79</f>
        <v>14.8571485213174</v>
      </c>
      <c r="CT80" s="88" t="n">
        <f aca="false">IF(B80=2026,INDEX($C$18:$Q$18,1,B80-2025)*$AO$4*C80/MAX(0.0001,12-$AO$3),INDEX($C$18:$Q$18,1,B80-2025)/12)</f>
        <v>3.34735049911372</v>
      </c>
      <c r="CU80" s="88" t="n">
        <f aca="false">$AO$6*INDEX($Y$18:$AB$18,1,B80-2026)/12</f>
        <v>0</v>
      </c>
      <c r="CV80" s="88" t="n">
        <f aca="false">CT80+CV79</f>
        <v>106.427404225246</v>
      </c>
      <c r="CW80" s="88" t="n">
        <f aca="false">CU80+CW79</f>
        <v>11</v>
      </c>
      <c r="CX80" s="88" t="n">
        <f aca="false">MAX(CX79,CV80-CW80)</f>
        <v>95.427404225246</v>
      </c>
      <c r="CY80" s="88" t="n">
        <f aca="false">CX80-CX79</f>
        <v>3.34735049911373</v>
      </c>
      <c r="CZ80" s="88" t="n">
        <f aca="false">IF(B80=2026,INDEX($C$19:$Q$19,1,B80-2025)*$AO$4*C80/MAX(0.0001,12-$AO$3),INDEX($C$19:$Q$19,1,B80-2025)/12)</f>
        <v>3.31420841496408</v>
      </c>
      <c r="DA80" s="88" t="n">
        <f aca="false">$AO$6*INDEX($Y$19:$AB$19,1,B80-2026)/12</f>
        <v>8.31666666666667</v>
      </c>
      <c r="DB80" s="88" t="n">
        <f aca="false">CZ80+DB79</f>
        <v>105.373667549748</v>
      </c>
      <c r="DC80" s="88" t="n">
        <f aca="false">DA80+DC79</f>
        <v>145.583333333333</v>
      </c>
      <c r="DD80" s="88" t="n">
        <f aca="false">MAX(DD79,DB80-DC80)</f>
        <v>37.132124495359</v>
      </c>
      <c r="DE80" s="88" t="n">
        <f aca="false">DD80-DD79</f>
        <v>0</v>
      </c>
      <c r="DF80" s="88" t="n">
        <f aca="false">IF(B80=2026,INDEX($C$20:$Q$20,1,B80-2025)*$AO$4*C80/MAX(0.0001,12-$AO$3),INDEX($C$20:$Q$20,1,B80-2025)/12)</f>
        <v>2.70107985819573</v>
      </c>
      <c r="DG80" s="88" t="n">
        <f aca="false">$AO$6*INDEX($Y$20:$AB$20,1,B80-2026)/12</f>
        <v>0</v>
      </c>
      <c r="DH80" s="88" t="n">
        <f aca="false">DF80+DH79</f>
        <v>85.879539053045</v>
      </c>
      <c r="DI80" s="88" t="n">
        <f aca="false">DG80+DI79</f>
        <v>0</v>
      </c>
      <c r="DJ80" s="88" t="n">
        <f aca="false">MAX(DJ79,DH80-DI80)</f>
        <v>85.879539053045</v>
      </c>
      <c r="DK80" s="88" t="n">
        <f aca="false">DJ80-DJ79</f>
        <v>2.70107985819573</v>
      </c>
      <c r="DL80" s="88" t="n">
        <f aca="false">IF(B80=2026,INDEX($C$21:$Q$21,1,B80-2025)*$AO$4*C80/MAX(0.0001,12-$AO$3),INDEX($C$21:$Q$21,1,B80-2025)/12)</f>
        <v>1.88909879652953</v>
      </c>
      <c r="DM80" s="88" t="n">
        <f aca="false">$AO$6*INDEX($Y$21:$AB$21,1,B80-2026)/12</f>
        <v>4.425</v>
      </c>
      <c r="DN80" s="88" t="n">
        <f aca="false">DL80+DN79</f>
        <v>60.0629905033566</v>
      </c>
      <c r="DO80" s="88" t="n">
        <f aca="false">DM80+DO79</f>
        <v>69.025</v>
      </c>
      <c r="DP80" s="88" t="n">
        <f aca="false">MAX(DP79,DN80-DO80)</f>
        <v>17.7483109623547</v>
      </c>
      <c r="DQ80" s="88" t="n">
        <f aca="false">DP80-DP79</f>
        <v>0</v>
      </c>
      <c r="DR80" s="88" t="n">
        <f aca="false">IF(B80=2026,INDEX($C$22:$Q$22,1,B80-2025)*$AO$4*C80/MAX(0.0001,12-$AO$3),INDEX($C$22:$Q$22,1,B80-2025)/12)</f>
        <v>1.47482274465902</v>
      </c>
      <c r="DS80" s="88" t="n">
        <f aca="false">$AO$6*INDEX($Y$22:$AB$22,1,B80-2026)/12</f>
        <v>0.216666666666667</v>
      </c>
      <c r="DT80" s="88" t="n">
        <f aca="false">DR80+DT79</f>
        <v>46.891282059638</v>
      </c>
      <c r="DU80" s="88" t="n">
        <f aca="false">DS80+DU79</f>
        <v>27.4833333333333</v>
      </c>
      <c r="DV80" s="88" t="n">
        <f aca="false">MAX(DV79,DT80-DU80)</f>
        <v>19.4079487263047</v>
      </c>
      <c r="DW80" s="88" t="n">
        <f aca="false">DV80-DV79</f>
        <v>1.25815607799235</v>
      </c>
      <c r="DX80" s="88" t="n">
        <f aca="false">IF(B80=2026,INDEX($C$23:$Q$23,1,B80-2025)*$AO$4*C80/MAX(0.0001,12-$AO$3),INDEX($C$23:$Q$23,1,B80-2025)/12)</f>
        <v>2.36965901669932</v>
      </c>
      <c r="DY80" s="88" t="n">
        <f aca="false">$AO$6*INDEX($Y$23:$AB$23,1,B80-2026)/12</f>
        <v>2.94166666666667</v>
      </c>
      <c r="DZ80" s="88" t="n">
        <f aca="false">DX80+DZ79</f>
        <v>75.3421722980701</v>
      </c>
      <c r="EA80" s="88" t="n">
        <f aca="false">DY80+EA79</f>
        <v>100.408333333333</v>
      </c>
      <c r="EB80" s="88" t="n">
        <f aca="false">MAX(EB79,DZ80-EA80)</f>
        <v>35.0579690141817</v>
      </c>
      <c r="EC80" s="88" t="n">
        <f aca="false">EB80-EB79</f>
        <v>0</v>
      </c>
      <c r="ED80" s="88" t="n">
        <f aca="false">IF(B80=2026,INDEX($C$24:$Q$24,1,B80-2025)*$AO$4*C80/MAX(0.0001,12-$AO$3),INDEX($C$24:$Q$24,1,B80-2025)/12)</f>
        <v>1.4582517025842</v>
      </c>
      <c r="EE80" s="88" t="n">
        <f aca="false">$AO$6*INDEX($Y$24:$AB$24,1,B80-2026)/12</f>
        <v>0</v>
      </c>
      <c r="EF80" s="88" t="n">
        <f aca="false">ED80+EF79</f>
        <v>46.3644137218893</v>
      </c>
      <c r="EG80" s="88" t="n">
        <f aca="false">EE80+EG79</f>
        <v>0</v>
      </c>
      <c r="EH80" s="88" t="n">
        <f aca="false">MAX(EH79,EF80-EG80)</f>
        <v>46.3644137218893</v>
      </c>
      <c r="EI80" s="88" t="n">
        <f aca="false">EH80-EH79</f>
        <v>1.4582517025842</v>
      </c>
      <c r="EJ80" s="88" t="n">
        <f aca="false">IF(B80=2026,INDEX($C$25:$Q$25,1,B80-2025)*$AO$4*C80/MAX(0.0001,12-$AO$3),INDEX($C$25:$Q$25,1,B80-2025)/12)</f>
        <v>1.85595671237989</v>
      </c>
      <c r="EK80" s="88" t="n">
        <f aca="false">$AO$6*INDEX($Y$25:$AB$25,1,B80-2026)/12</f>
        <v>0</v>
      </c>
      <c r="EL80" s="88" t="n">
        <f aca="false">EJ80+EL79</f>
        <v>59.0092538278591</v>
      </c>
      <c r="EM80" s="88" t="n">
        <f aca="false">EK80+EM79</f>
        <v>14</v>
      </c>
      <c r="EN80" s="88" t="n">
        <f aca="false">MAX(EN79,EL80-EM80)</f>
        <v>45.0092538278591</v>
      </c>
      <c r="EO80" s="88" t="n">
        <f aca="false">EN80-EN79</f>
        <v>1.85595671237989</v>
      </c>
      <c r="EP80" s="88" t="n">
        <f aca="false">IF(B80=2026,INDEX($C$26:$Q$26,1,B80-2025)*$AO$4*C80/MAX(0.0001,12-$AO$3),INDEX($C$26:$Q$26,1,B80-2025)/12)</f>
        <v>2.66793777404609</v>
      </c>
      <c r="EQ80" s="88" t="n">
        <f aca="false">$AO$6*INDEX($Y$26:$AB$26,1,B80-2026)/12</f>
        <v>0</v>
      </c>
      <c r="ER80" s="88" t="n">
        <f aca="false">EP80+ER79</f>
        <v>84.8258023775475</v>
      </c>
      <c r="ES80" s="88" t="n">
        <f aca="false">EQ80+ES79</f>
        <v>4</v>
      </c>
      <c r="ET80" s="88" t="n">
        <f aca="false">MAX(ET79,ER80-ES80)</f>
        <v>80.8258023775475</v>
      </c>
      <c r="EU80" s="88" t="n">
        <f aca="false">ET80-ET79</f>
        <v>2.66793777404608</v>
      </c>
      <c r="EV80" s="88" t="n">
        <f aca="false">IF(B80=2026,INDEX($C$27:$Q$27,1,B80-2025)*$AO$4*C80/MAX(0.0001,12-$AO$3),INDEX($C$27:$Q$27,1,B80-2025)/12)</f>
        <v>6.62841682992816</v>
      </c>
      <c r="EW80" s="88" t="n">
        <f aca="false">$AO$6*INDEX($Y$27:$AB$27,1,B80-2026)/12</f>
        <v>5.625</v>
      </c>
      <c r="EX80" s="88" t="n">
        <f aca="false">EV80+EX79</f>
        <v>210.747335099497</v>
      </c>
      <c r="EY80" s="88" t="n">
        <f aca="false">EW80+EY79</f>
        <v>346.625</v>
      </c>
      <c r="EZ80" s="88" t="n">
        <f aca="false">MAX(EZ79,EX80-EY80)</f>
        <v>0</v>
      </c>
      <c r="FA80" s="88" t="n">
        <f aca="false">EZ80-EZ79</f>
        <v>0</v>
      </c>
      <c r="FB80" s="88" t="n">
        <f aca="false">IF(B80=2026,INDEX($C$28:$Q$28,1,B80-2025)*$AO$4*C80/MAX(0.0001,12-$AO$3),INDEX($C$28:$Q$28,1,B80-2025)/12)</f>
        <v>34.6997621046739</v>
      </c>
      <c r="FC80" s="88" t="n">
        <f aca="false">$AO$6*INDEX($Y$28:$AB$28,1,B80-2026)/12</f>
        <v>2.05833333333333</v>
      </c>
      <c r="FD80" s="88" t="n">
        <f aca="false">FB80+FD79</f>
        <v>1103.26229924587</v>
      </c>
      <c r="FE80" s="88" t="n">
        <f aca="false">FC80+FE79</f>
        <v>154.591666666667</v>
      </c>
      <c r="FF80" s="88" t="n">
        <f aca="false">MAX(FF79,FD80-FE80)</f>
        <v>948.670632579199</v>
      </c>
      <c r="FG80" s="88" t="n">
        <f aca="false">FF80-FF79</f>
        <v>32.6414287713405</v>
      </c>
    </row>
    <row r="81" customFormat="false" ht="15" hidden="false" customHeight="false" outlineLevel="0" collapsed="false">
      <c r="A81" s="0" t="n">
        <v>41</v>
      </c>
      <c r="B81" s="88" t="n">
        <f aca="false">2026+INT(A81/12)</f>
        <v>2029</v>
      </c>
      <c r="C81" s="88" t="n">
        <f aca="false">MAX(0,MIN(1,A81+1-$AO$3))</f>
        <v>1</v>
      </c>
      <c r="D81" s="88" t="n">
        <f aca="false">IF((A81+0.5-(0))&lt;$AO$3,0,2026+INT((A81+0.5-(0))/12))</f>
        <v>2029</v>
      </c>
      <c r="E81" s="88" t="n">
        <f aca="false">IF((A81+0.5-($AO$9))&lt;$AO$3,0,2026+INT((A81+0.5-($AO$9))/12))</f>
        <v>2028</v>
      </c>
      <c r="F81" s="88" t="n">
        <f aca="false">IF((A81+0.5-($AO$9+$AO$8))&lt;$AO$3,0,2026+INT((A81+0.5-($AO$9+$AO$8))/12))</f>
        <v>2026</v>
      </c>
      <c r="G81" s="88" t="n">
        <f aca="false">IF((A81+0.5-($AO$9+$AO$8+$AO$7))&lt;$AO$3,0,2026+INT((A81+0.5-($AO$9+$AO$8+$AO$7))/12))</f>
        <v>0</v>
      </c>
      <c r="H81" s="88" t="n">
        <f aca="false">IF(B81=2026,INDEX($C$3:$Q$3,1,B81-2025)*$AO$4*C81/MAX(0.0001,12-$AO$3),INDEX($C$3:$Q$3,1,B81-2025)/12)</f>
        <v>355.25</v>
      </c>
      <c r="I81" s="88" t="n">
        <f aca="false">$AO$6*INDEX($Y$3:$AB$3,1,B81-2026)/12</f>
        <v>162.891666666667</v>
      </c>
      <c r="J81" s="88" t="n">
        <f aca="false">H81+J80</f>
        <v>11650.2534246575</v>
      </c>
      <c r="K81" s="88" t="n">
        <f aca="false">I81+K80</f>
        <v>5293.45</v>
      </c>
      <c r="L81" s="88" t="n">
        <f aca="false">MAX(L80,J81-K81)</f>
        <v>6356.80342465753</v>
      </c>
      <c r="M81" s="88" t="n">
        <f aca="false">L81-L80</f>
        <v>192.358333333334</v>
      </c>
      <c r="N81" s="88" t="n">
        <f aca="false">IF(B81=2026,INDEX($C$4:$Q$4,1,B81-2025)*$AO$4*C81/MAX(0.0001,12-$AO$3),INDEX($C$4:$Q$4,1,B81-2025)/12)</f>
        <v>10.7700632578534</v>
      </c>
      <c r="O81" s="88" t="n">
        <f aca="false">$AO$6*INDEX($Y$4:$AB$4,1,B81-2026)/12</f>
        <v>7.375</v>
      </c>
      <c r="P81" s="88" t="n">
        <f aca="false">N81+P80</f>
        <v>353.199060812341</v>
      </c>
      <c r="Q81" s="88" t="n">
        <f aca="false">O81+Q80</f>
        <v>268.95</v>
      </c>
      <c r="R81" s="88" t="n">
        <f aca="false">MAX(R80,P81-Q81)</f>
        <v>84.2490608123414</v>
      </c>
      <c r="S81" s="88" t="n">
        <f aca="false">R81-R80</f>
        <v>3.39506325785334</v>
      </c>
      <c r="T81" s="88" t="n">
        <f aca="false">IF(B81=2026,INDEX($C$5:$Q$5,1,B81-2025)*$AO$4*C81/MAX(0.0001,12-$AO$3),INDEX($C$5:$Q$5,1,B81-2025)/12)</f>
        <v>43.7734247619348</v>
      </c>
      <c r="U81" s="88" t="n">
        <f aca="false">$AO$6*INDEX($Y$5:$AB$5,1,B81-2026)/12</f>
        <v>25.3416666666667</v>
      </c>
      <c r="V81" s="88" t="n">
        <f aca="false">T81+V80</f>
        <v>1435.52847780921</v>
      </c>
      <c r="W81" s="88" t="n">
        <f aca="false">U81+W80</f>
        <v>860.05</v>
      </c>
      <c r="X81" s="88" t="n">
        <f aca="false">MAX(X80,V81-W81)</f>
        <v>575.478477809205</v>
      </c>
      <c r="Y81" s="88" t="n">
        <f aca="false">X81-X80</f>
        <v>18.4317580952682</v>
      </c>
      <c r="Z81" s="88" t="n">
        <f aca="false">IF(B81=2026,INDEX($C$6:$Q$6,1,B81-2025)*$AO$4*C81/MAX(0.0001,12-$AO$3),INDEX($C$6:$Q$6,1,B81-2025)/12)</f>
        <v>51.933610116259</v>
      </c>
      <c r="AA81" s="88" t="n">
        <f aca="false">$AO$6*INDEX($Y$6:$AB$6,1,B81-2026)/12</f>
        <v>39.4666666666667</v>
      </c>
      <c r="AB81" s="88" t="n">
        <f aca="false">Z81+AB80</f>
        <v>1703.13784408663</v>
      </c>
      <c r="AC81" s="88" t="n">
        <f aca="false">AA81+AC80</f>
        <v>862.900000000001</v>
      </c>
      <c r="AD81" s="88" t="n">
        <f aca="false">MAX(AD80,AB81-AC81)</f>
        <v>840.237844086628</v>
      </c>
      <c r="AE81" s="88" t="n">
        <f aca="false">AD81-AD80</f>
        <v>12.4669434495922</v>
      </c>
      <c r="AF81" s="88" t="n">
        <f aca="false">IF(B81=2026,INDEX($C$7:$Q$7,1,B81-2025)*$AO$4*C81/MAX(0.0001,12-$AO$3),INDEX($C$7:$Q$7,1,B81-2025)/12)</f>
        <v>45.11289896006</v>
      </c>
      <c r="AG81" s="88" t="n">
        <f aca="false">$AO$6*INDEX($Y$7:$AB$7,1,B81-2026)/12</f>
        <v>21.575</v>
      </c>
      <c r="AH81" s="88" t="n">
        <f aca="false">AF81+AH80</f>
        <v>1479.45589192306</v>
      </c>
      <c r="AI81" s="88" t="n">
        <f aca="false">AG81+AI80</f>
        <v>471.15</v>
      </c>
      <c r="AJ81" s="88" t="n">
        <f aca="false">MAX(AJ80,AH81-AI81)</f>
        <v>1008.30589192306</v>
      </c>
      <c r="AK81" s="88" t="n">
        <f aca="false">AJ81-AJ80</f>
        <v>23.5378989600599</v>
      </c>
      <c r="AL81" s="88" t="n">
        <f aca="false">IF(B81=2026,INDEX($C$8:$Q$8,1,B81-2025)*$AO$4*C81/MAX(0.0001,12-$AO$3),INDEX($C$8:$Q$8,1,B81-2025)/12)</f>
        <v>11.4114321188341</v>
      </c>
      <c r="AM81" s="88" t="n">
        <f aca="false">$AO$6*INDEX($Y$8:$AB$8,1,B81-2026)/12</f>
        <v>1.375</v>
      </c>
      <c r="AN81" s="88" t="n">
        <f aca="false">AL81+AN80</f>
        <v>374.232445102586</v>
      </c>
      <c r="AO81" s="88" t="n">
        <f aca="false">AM81+AO80</f>
        <v>57.75</v>
      </c>
      <c r="AP81" s="88" t="n">
        <f aca="false">MAX(AP80,AN81-AO81)</f>
        <v>316.482445102586</v>
      </c>
      <c r="AQ81" s="88" t="n">
        <f aca="false">AP81-AP80</f>
        <v>10.0364321188341</v>
      </c>
      <c r="AR81" s="88" t="n">
        <f aca="false">IF(B81=2026,INDEX($C$9:$Q$9,1,B81-2025)*$AO$4*C81/MAX(0.0001,12-$AO$3),INDEX($C$9:$Q$9,1,B81-2025)/12)</f>
        <v>48.6576953186344</v>
      </c>
      <c r="AS81" s="88" t="n">
        <f aca="false">$AO$6*INDEX($Y$9:$AB$9,1,B81-2026)/12</f>
        <v>32.5916666666667</v>
      </c>
      <c r="AT81" s="88" t="n">
        <f aca="false">AR81+AT80</f>
        <v>1595.70578894261</v>
      </c>
      <c r="AU81" s="88" t="n">
        <f aca="false">AS81+AU80</f>
        <v>1087.25</v>
      </c>
      <c r="AV81" s="88" t="n">
        <f aca="false">MAX(AV80,AT81-AU81)</f>
        <v>508.45578894261</v>
      </c>
      <c r="AW81" s="88" t="n">
        <f aca="false">AV81-AV80</f>
        <v>16.0660286519676</v>
      </c>
      <c r="AX81" s="88" t="n">
        <f aca="false">IF(B81=2026,INDEX($C$10:$Q$10,1,B81-2025)*$AO$4*C81/MAX(0.0001,12-$AO$3),INDEX($C$10:$Q$10,1,B81-2025)/12)</f>
        <v>5.64404597663043</v>
      </c>
      <c r="AY81" s="88" t="n">
        <f aca="false">$AO$6*INDEX($Y$10:$AB$10,1,B81-2026)/12</f>
        <v>1.63333333333333</v>
      </c>
      <c r="AZ81" s="88" t="n">
        <f aca="false">AX81+AZ80</f>
        <v>185.093781754154</v>
      </c>
      <c r="BA81" s="88" t="n">
        <f aca="false">AY81+BA80</f>
        <v>39.9</v>
      </c>
      <c r="BB81" s="88" t="n">
        <f aca="false">MAX(BB80,AZ81-BA81)</f>
        <v>145.193781754154</v>
      </c>
      <c r="BC81" s="88" t="n">
        <f aca="false">BB81-BB80</f>
        <v>4.01071264329707</v>
      </c>
      <c r="BD81" s="88" t="n">
        <f aca="false">IF(B81=2026,INDEX($C$11:$Q$11,1,B81-2025)*$AO$4*C81/MAX(0.0001,12-$AO$3),INDEX($C$11:$Q$11,1,B81-2025)/12)</f>
        <v>28.0475536513497</v>
      </c>
      <c r="BE81" s="88" t="n">
        <f aca="false">$AO$6*INDEX($Y$11:$AB$11,1,B81-2026)/12</f>
        <v>2.175</v>
      </c>
      <c r="BF81" s="88" t="n">
        <f aca="false">BD81+BF80</f>
        <v>919.806074538784</v>
      </c>
      <c r="BG81" s="88" t="n">
        <f aca="false">BE81+BG80</f>
        <v>226.95</v>
      </c>
      <c r="BH81" s="88" t="n">
        <f aca="false">MAX(BH80,BF81-BG81)</f>
        <v>692.856074538784</v>
      </c>
      <c r="BI81" s="88" t="n">
        <f aca="false">BH81-BH80</f>
        <v>25.8725536513498</v>
      </c>
      <c r="BJ81" s="88" t="n">
        <f aca="false">IF(B81=2026,INDEX($C$12:$Q$12,1,B81-2025)*$AO$4*C81/MAX(0.0001,12-$AO$3),INDEX($C$12:$Q$12,1,B81-2025)/12)</f>
        <v>15.3780518436687</v>
      </c>
      <c r="BK81" s="88" t="n">
        <f aca="false">$AO$6*INDEX($Y$12:$AB$12,1,B81-2026)/12</f>
        <v>3.65</v>
      </c>
      <c r="BL81" s="88" t="n">
        <f aca="false">BJ81+BL80</f>
        <v>504.315837174561</v>
      </c>
      <c r="BM81" s="88" t="n">
        <f aca="false">BK81+BM80</f>
        <v>81.7</v>
      </c>
      <c r="BN81" s="88" t="n">
        <f aca="false">MAX(BN80,BL81-BM81)</f>
        <v>422.615837174561</v>
      </c>
      <c r="BO81" s="88" t="n">
        <f aca="false">BN81-BN80</f>
        <v>11.7280518436688</v>
      </c>
      <c r="BP81" s="88" t="n">
        <f aca="false">IF(B81=2026,INDEX($C$13:$Q$13,1,B81-2025)*$AO$4*C81/MAX(0.0001,12-$AO$3),INDEX($C$13:$Q$13,1,B81-2025)/12)</f>
        <v>4.80560220169792</v>
      </c>
      <c r="BQ81" s="88" t="n">
        <f aca="false">$AO$6*INDEX($Y$13:$AB$13,1,B81-2026)/12</f>
        <v>2.40833333333333</v>
      </c>
      <c r="BR81" s="88" t="n">
        <f aca="false">BP81+BR80</f>
        <v>157.597420148833</v>
      </c>
      <c r="BS81" s="88" t="n">
        <f aca="false">BQ81+BS80</f>
        <v>71.85</v>
      </c>
      <c r="BT81" s="88" t="n">
        <f aca="false">MAX(BT80,BR81-BS81)</f>
        <v>85.7474201488332</v>
      </c>
      <c r="BU81" s="88" t="n">
        <f aca="false">BT81-BT80</f>
        <v>2.39726886836459</v>
      </c>
      <c r="BV81" s="88" t="n">
        <f aca="false">IF(B81=2026,INDEX($C$14:$Q$14,1,B81-2025)*$AO$4*C81/MAX(0.0001,12-$AO$3),INDEX($C$14:$Q$14,1,B81-2025)/12)</f>
        <v>2.85021923686911</v>
      </c>
      <c r="BW81" s="88" t="n">
        <f aca="false">$AO$6*INDEX($Y$14:$AB$14,1,B81-2026)/12</f>
        <v>0</v>
      </c>
      <c r="BX81" s="88" t="n">
        <f aca="false">BV81+BX80</f>
        <v>93.4715733296527</v>
      </c>
      <c r="BY81" s="88" t="n">
        <f aca="false">BW81+BY80</f>
        <v>0</v>
      </c>
      <c r="BZ81" s="88" t="n">
        <f aca="false">MAX(BZ80,BX81-BY81)</f>
        <v>93.4715733296527</v>
      </c>
      <c r="CA81" s="88" t="n">
        <f aca="false">BZ81-BZ80</f>
        <v>2.85021923686911</v>
      </c>
      <c r="CB81" s="88" t="n">
        <f aca="false">IF(B81=2026,INDEX($C$15:$Q$15,1,B81-2025)*$AO$4*C81/MAX(0.0001,12-$AO$3),INDEX($C$15:$Q$15,1,B81-2025)/12)</f>
        <v>4.67303386509936</v>
      </c>
      <c r="CC81" s="88" t="n">
        <f aca="false">$AO$6*INDEX($Y$15:$AB$15,1,B81-2026)/12</f>
        <v>0.483333333333333</v>
      </c>
      <c r="CD81" s="88" t="n">
        <f aca="false">CB81+CD80</f>
        <v>153.249905110245</v>
      </c>
      <c r="CE81" s="88" t="n">
        <f aca="false">CC81+CE80</f>
        <v>85.1000000000001</v>
      </c>
      <c r="CF81" s="88" t="n">
        <f aca="false">MAX(CF80,CD81-CE81)</f>
        <v>68.1499051102445</v>
      </c>
      <c r="CG81" s="88" t="n">
        <f aca="false">CF81-CF80</f>
        <v>4.18970053176601</v>
      </c>
      <c r="CH81" s="88" t="n">
        <f aca="false">IF(B81=2026,INDEX($C$16:$Q$16,1,B81-2025)*$AO$4*C81/MAX(0.0001,12-$AO$3),INDEX($C$16:$Q$16,1,B81-2025)/12)</f>
        <v>3.69534238268495</v>
      </c>
      <c r="CI81" s="88" t="n">
        <f aca="false">$AO$6*INDEX($Y$16:$AB$16,1,B81-2026)/12</f>
        <v>0</v>
      </c>
      <c r="CJ81" s="88" t="n">
        <f aca="false">CH81+CJ80</f>
        <v>121.186981700654</v>
      </c>
      <c r="CK81" s="88" t="n">
        <f aca="false">CI81+CK80</f>
        <v>70</v>
      </c>
      <c r="CL81" s="88" t="n">
        <f aca="false">MAX(CL80,CJ81-CK81)</f>
        <v>51.1869817006545</v>
      </c>
      <c r="CM81" s="88" t="n">
        <f aca="false">CL81-CL80</f>
        <v>3.69534238268496</v>
      </c>
      <c r="CN81" s="88" t="n">
        <f aca="false">IF(B81=2026,INDEX($C$17:$Q$17,1,B81-2025)*$AO$4*C81/MAX(0.0001,12-$AO$3),INDEX($C$17:$Q$17,1,B81-2025)/12)</f>
        <v>16.0904818546506</v>
      </c>
      <c r="CO81" s="88" t="n">
        <f aca="false">$AO$6*INDEX($Y$17:$AB$17,1,B81-2026)/12</f>
        <v>1.23333333333333</v>
      </c>
      <c r="CP81" s="88" t="n">
        <f aca="false">CN81+CP80</f>
        <v>527.67963780868</v>
      </c>
      <c r="CQ81" s="88" t="n">
        <f aca="false">CO81+CQ80</f>
        <v>213.6</v>
      </c>
      <c r="CR81" s="88" t="n">
        <f aca="false">MAX(CR80,CP81-CQ81)</f>
        <v>314.07963780868</v>
      </c>
      <c r="CS81" s="88" t="n">
        <f aca="false">CR81-CR80</f>
        <v>14.8571485213174</v>
      </c>
      <c r="CT81" s="88" t="n">
        <f aca="false">IF(B81=2026,INDEX($C$18:$Q$18,1,B81-2025)*$AO$4*C81/MAX(0.0001,12-$AO$3),INDEX($C$18:$Q$18,1,B81-2025)/12)</f>
        <v>3.34735049911372</v>
      </c>
      <c r="CU81" s="88" t="n">
        <f aca="false">$AO$6*INDEX($Y$18:$AB$18,1,B81-2026)/12</f>
        <v>0</v>
      </c>
      <c r="CV81" s="88" t="n">
        <f aca="false">CT81+CV80</f>
        <v>109.77475472436</v>
      </c>
      <c r="CW81" s="88" t="n">
        <f aca="false">CU81+CW80</f>
        <v>11</v>
      </c>
      <c r="CX81" s="88" t="n">
        <f aca="false">MAX(CX80,CV81-CW81)</f>
        <v>98.7747547243597</v>
      </c>
      <c r="CY81" s="88" t="n">
        <f aca="false">CX81-CX80</f>
        <v>3.34735049911373</v>
      </c>
      <c r="CZ81" s="88" t="n">
        <f aca="false">IF(B81=2026,INDEX($C$19:$Q$19,1,B81-2025)*$AO$4*C81/MAX(0.0001,12-$AO$3),INDEX($C$19:$Q$19,1,B81-2025)/12)</f>
        <v>3.31420841496408</v>
      </c>
      <c r="DA81" s="88" t="n">
        <f aca="false">$AO$6*INDEX($Y$19:$AB$19,1,B81-2026)/12</f>
        <v>8.31666666666667</v>
      </c>
      <c r="DB81" s="88" t="n">
        <f aca="false">CZ81+DB80</f>
        <v>108.687875964713</v>
      </c>
      <c r="DC81" s="88" t="n">
        <f aca="false">DA81+DC80</f>
        <v>153.9</v>
      </c>
      <c r="DD81" s="88" t="n">
        <f aca="false">MAX(DD80,DB81-DC81)</f>
        <v>37.132124495359</v>
      </c>
      <c r="DE81" s="88" t="n">
        <f aca="false">DD81-DD80</f>
        <v>0</v>
      </c>
      <c r="DF81" s="88" t="n">
        <f aca="false">IF(B81=2026,INDEX($C$20:$Q$20,1,B81-2025)*$AO$4*C81/MAX(0.0001,12-$AO$3),INDEX($C$20:$Q$20,1,B81-2025)/12)</f>
        <v>2.70107985819573</v>
      </c>
      <c r="DG81" s="88" t="n">
        <f aca="false">$AO$6*INDEX($Y$20:$AB$20,1,B81-2026)/12</f>
        <v>0</v>
      </c>
      <c r="DH81" s="88" t="n">
        <f aca="false">DF81+DH80</f>
        <v>88.5806189112407</v>
      </c>
      <c r="DI81" s="88" t="n">
        <f aca="false">DG81+DI80</f>
        <v>0</v>
      </c>
      <c r="DJ81" s="88" t="n">
        <f aca="false">MAX(DJ80,DH81-DI81)</f>
        <v>88.5806189112407</v>
      </c>
      <c r="DK81" s="88" t="n">
        <f aca="false">DJ81-DJ80</f>
        <v>2.70107985819573</v>
      </c>
      <c r="DL81" s="88" t="n">
        <f aca="false">IF(B81=2026,INDEX($C$21:$Q$21,1,B81-2025)*$AO$4*C81/MAX(0.0001,12-$AO$3),INDEX($C$21:$Q$21,1,B81-2025)/12)</f>
        <v>1.88909879652953</v>
      </c>
      <c r="DM81" s="88" t="n">
        <f aca="false">$AO$6*INDEX($Y$21:$AB$21,1,B81-2026)/12</f>
        <v>4.425</v>
      </c>
      <c r="DN81" s="88" t="n">
        <f aca="false">DL81+DN80</f>
        <v>61.9520892998861</v>
      </c>
      <c r="DO81" s="88" t="n">
        <f aca="false">DM81+DO80</f>
        <v>73.45</v>
      </c>
      <c r="DP81" s="88" t="n">
        <f aca="false">MAX(DP80,DN81-DO81)</f>
        <v>17.7483109623547</v>
      </c>
      <c r="DQ81" s="88" t="n">
        <f aca="false">DP81-DP80</f>
        <v>0</v>
      </c>
      <c r="DR81" s="88" t="n">
        <f aca="false">IF(B81=2026,INDEX($C$22:$Q$22,1,B81-2025)*$AO$4*C81/MAX(0.0001,12-$AO$3),INDEX($C$22:$Q$22,1,B81-2025)/12)</f>
        <v>1.47482274465902</v>
      </c>
      <c r="DS81" s="88" t="n">
        <f aca="false">$AO$6*INDEX($Y$22:$AB$22,1,B81-2026)/12</f>
        <v>0.216666666666667</v>
      </c>
      <c r="DT81" s="88" t="n">
        <f aca="false">DR81+DT80</f>
        <v>48.366104804297</v>
      </c>
      <c r="DU81" s="88" t="n">
        <f aca="false">DS81+DU80</f>
        <v>27.7</v>
      </c>
      <c r="DV81" s="88" t="n">
        <f aca="false">MAX(DV80,DT81-DU81)</f>
        <v>20.666104804297</v>
      </c>
      <c r="DW81" s="88" t="n">
        <f aca="false">DV81-DV80</f>
        <v>1.25815607799235</v>
      </c>
      <c r="DX81" s="88" t="n">
        <f aca="false">IF(B81=2026,INDEX($C$23:$Q$23,1,B81-2025)*$AO$4*C81/MAX(0.0001,12-$AO$3),INDEX($C$23:$Q$23,1,B81-2025)/12)</f>
        <v>2.36965901669932</v>
      </c>
      <c r="DY81" s="88" t="n">
        <f aca="false">$AO$6*INDEX($Y$23:$AB$23,1,B81-2026)/12</f>
        <v>2.94166666666667</v>
      </c>
      <c r="DZ81" s="88" t="n">
        <f aca="false">DX81+DZ80</f>
        <v>77.7118313147694</v>
      </c>
      <c r="EA81" s="88" t="n">
        <f aca="false">DY81+EA80</f>
        <v>103.35</v>
      </c>
      <c r="EB81" s="88" t="n">
        <f aca="false">MAX(EB80,DZ81-EA81)</f>
        <v>35.0579690141817</v>
      </c>
      <c r="EC81" s="88" t="n">
        <f aca="false">EB81-EB80</f>
        <v>0</v>
      </c>
      <c r="ED81" s="88" t="n">
        <f aca="false">IF(B81=2026,INDEX($C$24:$Q$24,1,B81-2025)*$AO$4*C81/MAX(0.0001,12-$AO$3),INDEX($C$24:$Q$24,1,B81-2025)/12)</f>
        <v>1.4582517025842</v>
      </c>
      <c r="EE81" s="88" t="n">
        <f aca="false">$AO$6*INDEX($Y$24:$AB$24,1,B81-2026)/12</f>
        <v>0</v>
      </c>
      <c r="EF81" s="88" t="n">
        <f aca="false">ED81+EF80</f>
        <v>47.8226654244735</v>
      </c>
      <c r="EG81" s="88" t="n">
        <f aca="false">EE81+EG80</f>
        <v>0</v>
      </c>
      <c r="EH81" s="88" t="n">
        <f aca="false">MAX(EH80,EF81-EG81)</f>
        <v>47.8226654244735</v>
      </c>
      <c r="EI81" s="88" t="n">
        <f aca="false">EH81-EH80</f>
        <v>1.4582517025842</v>
      </c>
      <c r="EJ81" s="88" t="n">
        <f aca="false">IF(B81=2026,INDEX($C$25:$Q$25,1,B81-2025)*$AO$4*C81/MAX(0.0001,12-$AO$3),INDEX($C$25:$Q$25,1,B81-2025)/12)</f>
        <v>1.85595671237989</v>
      </c>
      <c r="EK81" s="88" t="n">
        <f aca="false">$AO$6*INDEX($Y$25:$AB$25,1,B81-2026)/12</f>
        <v>0</v>
      </c>
      <c r="EL81" s="88" t="n">
        <f aca="false">EJ81+EL80</f>
        <v>60.865210540239</v>
      </c>
      <c r="EM81" s="88" t="n">
        <f aca="false">EK81+EM80</f>
        <v>14</v>
      </c>
      <c r="EN81" s="88" t="n">
        <f aca="false">MAX(EN80,EL81-EM81)</f>
        <v>46.865210540239</v>
      </c>
      <c r="EO81" s="88" t="n">
        <f aca="false">EN81-EN80</f>
        <v>1.85595671237989</v>
      </c>
      <c r="EP81" s="88" t="n">
        <f aca="false">IF(B81=2026,INDEX($C$26:$Q$26,1,B81-2025)*$AO$4*C81/MAX(0.0001,12-$AO$3),INDEX($C$26:$Q$26,1,B81-2025)/12)</f>
        <v>2.66793777404609</v>
      </c>
      <c r="EQ81" s="88" t="n">
        <f aca="false">$AO$6*INDEX($Y$26:$AB$26,1,B81-2026)/12</f>
        <v>0</v>
      </c>
      <c r="ER81" s="88" t="n">
        <f aca="false">EP81+ER80</f>
        <v>87.4937401515936</v>
      </c>
      <c r="ES81" s="88" t="n">
        <f aca="false">EQ81+ES80</f>
        <v>4</v>
      </c>
      <c r="ET81" s="88" t="n">
        <f aca="false">MAX(ET80,ER81-ES81)</f>
        <v>83.4937401515936</v>
      </c>
      <c r="EU81" s="88" t="n">
        <f aca="false">ET81-ET80</f>
        <v>2.66793777404608</v>
      </c>
      <c r="EV81" s="88" t="n">
        <f aca="false">IF(B81=2026,INDEX($C$27:$Q$27,1,B81-2025)*$AO$4*C81/MAX(0.0001,12-$AO$3),INDEX($C$27:$Q$27,1,B81-2025)/12)</f>
        <v>6.62841682992816</v>
      </c>
      <c r="EW81" s="88" t="n">
        <f aca="false">$AO$6*INDEX($Y$27:$AB$27,1,B81-2026)/12</f>
        <v>5.625</v>
      </c>
      <c r="EX81" s="88" t="n">
        <f aca="false">EV81+EX80</f>
        <v>217.375751929425</v>
      </c>
      <c r="EY81" s="88" t="n">
        <f aca="false">EW81+EY80</f>
        <v>352.25</v>
      </c>
      <c r="EZ81" s="88" t="n">
        <f aca="false">MAX(EZ80,EX81-EY81)</f>
        <v>0</v>
      </c>
      <c r="FA81" s="88" t="n">
        <f aca="false">EZ81-EZ80</f>
        <v>0</v>
      </c>
      <c r="FB81" s="88" t="n">
        <f aca="false">IF(B81=2026,INDEX($C$28:$Q$28,1,B81-2025)*$AO$4*C81/MAX(0.0001,12-$AO$3),INDEX($C$28:$Q$28,1,B81-2025)/12)</f>
        <v>34.6997621046739</v>
      </c>
      <c r="FC81" s="88" t="n">
        <f aca="false">$AO$6*INDEX($Y$28:$AB$28,1,B81-2026)/12</f>
        <v>2.05833333333333</v>
      </c>
      <c r="FD81" s="88" t="n">
        <f aca="false">FB81+FD80</f>
        <v>1137.96206135054</v>
      </c>
      <c r="FE81" s="88" t="n">
        <f aca="false">FC81+FE80</f>
        <v>156.65</v>
      </c>
      <c r="FF81" s="88" t="n">
        <f aca="false">MAX(FF80,FD81-FE81)</f>
        <v>981.31206135054</v>
      </c>
      <c r="FG81" s="88" t="n">
        <f aca="false">FF81-FF80</f>
        <v>32.6414287713407</v>
      </c>
    </row>
    <row r="82" customFormat="false" ht="15" hidden="false" customHeight="false" outlineLevel="0" collapsed="false">
      <c r="A82" s="0" t="n">
        <v>42</v>
      </c>
      <c r="B82" s="88" t="n">
        <f aca="false">2026+INT(A82/12)</f>
        <v>2029</v>
      </c>
      <c r="C82" s="88" t="n">
        <f aca="false">MAX(0,MIN(1,A82+1-$AO$3))</f>
        <v>1</v>
      </c>
      <c r="D82" s="88" t="n">
        <f aca="false">IF((A82+0.5-(0))&lt;$AO$3,0,2026+INT((A82+0.5-(0))/12))</f>
        <v>2029</v>
      </c>
      <c r="E82" s="88" t="n">
        <f aca="false">IF((A82+0.5-($AO$9))&lt;$AO$3,0,2026+INT((A82+0.5-($AO$9))/12))</f>
        <v>2028</v>
      </c>
      <c r="F82" s="88" t="n">
        <f aca="false">IF((A82+0.5-($AO$9+$AO$8))&lt;$AO$3,0,2026+INT((A82+0.5-($AO$9+$AO$8))/12))</f>
        <v>2026</v>
      </c>
      <c r="G82" s="88" t="n">
        <f aca="false">IF((A82+0.5-($AO$9+$AO$8+$AO$7))&lt;$AO$3,0,2026+INT((A82+0.5-($AO$9+$AO$8+$AO$7))/12))</f>
        <v>0</v>
      </c>
      <c r="H82" s="88" t="n">
        <f aca="false">IF(B82=2026,INDEX($C$3:$Q$3,1,B82-2025)*$AO$4*C82/MAX(0.0001,12-$AO$3),INDEX($C$3:$Q$3,1,B82-2025)/12)</f>
        <v>355.25</v>
      </c>
      <c r="I82" s="88" t="n">
        <f aca="false">$AO$6*INDEX($Y$3:$AB$3,1,B82-2026)/12</f>
        <v>162.891666666667</v>
      </c>
      <c r="J82" s="88" t="n">
        <f aca="false">H82+J81</f>
        <v>12005.5034246575</v>
      </c>
      <c r="K82" s="88" t="n">
        <f aca="false">I82+K81</f>
        <v>5456.34166666667</v>
      </c>
      <c r="L82" s="88" t="n">
        <f aca="false">MAX(L81,J82-K82)</f>
        <v>6549.16175799087</v>
      </c>
      <c r="M82" s="88" t="n">
        <f aca="false">L82-L81</f>
        <v>192.358333333334</v>
      </c>
      <c r="N82" s="88" t="n">
        <f aca="false">IF(B82=2026,INDEX($C$4:$Q$4,1,B82-2025)*$AO$4*C82/MAX(0.0001,12-$AO$3),INDEX($C$4:$Q$4,1,B82-2025)/12)</f>
        <v>10.7700632578534</v>
      </c>
      <c r="O82" s="88" t="n">
        <f aca="false">$AO$6*INDEX($Y$4:$AB$4,1,B82-2026)/12</f>
        <v>7.375</v>
      </c>
      <c r="P82" s="88" t="n">
        <f aca="false">N82+P81</f>
        <v>363.969124070195</v>
      </c>
      <c r="Q82" s="88" t="n">
        <f aca="false">O82+Q81</f>
        <v>276.325</v>
      </c>
      <c r="R82" s="88" t="n">
        <f aca="false">MAX(R81,P82-Q82)</f>
        <v>87.6441240701947</v>
      </c>
      <c r="S82" s="88" t="n">
        <f aca="false">R82-R81</f>
        <v>3.39506325785334</v>
      </c>
      <c r="T82" s="88" t="n">
        <f aca="false">IF(B82=2026,INDEX($C$5:$Q$5,1,B82-2025)*$AO$4*C82/MAX(0.0001,12-$AO$3),INDEX($C$5:$Q$5,1,B82-2025)/12)</f>
        <v>43.7734247619348</v>
      </c>
      <c r="U82" s="88" t="n">
        <f aca="false">$AO$6*INDEX($Y$5:$AB$5,1,B82-2026)/12</f>
        <v>25.3416666666667</v>
      </c>
      <c r="V82" s="88" t="n">
        <f aca="false">T82+V81</f>
        <v>1479.30190257114</v>
      </c>
      <c r="W82" s="88" t="n">
        <f aca="false">U82+W81</f>
        <v>885.391666666667</v>
      </c>
      <c r="X82" s="88" t="n">
        <f aca="false">MAX(X81,V82-W82)</f>
        <v>593.910235904473</v>
      </c>
      <c r="Y82" s="88" t="n">
        <f aca="false">X82-X81</f>
        <v>18.4317580952682</v>
      </c>
      <c r="Z82" s="88" t="n">
        <f aca="false">IF(B82=2026,INDEX($C$6:$Q$6,1,B82-2025)*$AO$4*C82/MAX(0.0001,12-$AO$3),INDEX($C$6:$Q$6,1,B82-2025)/12)</f>
        <v>51.933610116259</v>
      </c>
      <c r="AA82" s="88" t="n">
        <f aca="false">$AO$6*INDEX($Y$6:$AB$6,1,B82-2026)/12</f>
        <v>39.4666666666667</v>
      </c>
      <c r="AB82" s="88" t="n">
        <f aca="false">Z82+AB81</f>
        <v>1755.07145420289</v>
      </c>
      <c r="AC82" s="88" t="n">
        <f aca="false">AA82+AC81</f>
        <v>902.366666666668</v>
      </c>
      <c r="AD82" s="88" t="n">
        <f aca="false">MAX(AD81,AB82-AC82)</f>
        <v>852.70478753622</v>
      </c>
      <c r="AE82" s="88" t="n">
        <f aca="false">AD82-AD81</f>
        <v>12.4669434495922</v>
      </c>
      <c r="AF82" s="88" t="n">
        <f aca="false">IF(B82=2026,INDEX($C$7:$Q$7,1,B82-2025)*$AO$4*C82/MAX(0.0001,12-$AO$3),INDEX($C$7:$Q$7,1,B82-2025)/12)</f>
        <v>45.11289896006</v>
      </c>
      <c r="AG82" s="88" t="n">
        <f aca="false">$AO$6*INDEX($Y$7:$AB$7,1,B82-2026)/12</f>
        <v>21.575</v>
      </c>
      <c r="AH82" s="88" t="n">
        <f aca="false">AF82+AH81</f>
        <v>1524.56879088312</v>
      </c>
      <c r="AI82" s="88" t="n">
        <f aca="false">AG82+AI81</f>
        <v>492.725</v>
      </c>
      <c r="AJ82" s="88" t="n">
        <f aca="false">MAX(AJ81,AH82-AI82)</f>
        <v>1031.84379088312</v>
      </c>
      <c r="AK82" s="88" t="n">
        <f aca="false">AJ82-AJ81</f>
        <v>23.5378989600601</v>
      </c>
      <c r="AL82" s="88" t="n">
        <f aca="false">IF(B82=2026,INDEX($C$8:$Q$8,1,B82-2025)*$AO$4*C82/MAX(0.0001,12-$AO$3),INDEX($C$8:$Q$8,1,B82-2025)/12)</f>
        <v>11.4114321188341</v>
      </c>
      <c r="AM82" s="88" t="n">
        <f aca="false">$AO$6*INDEX($Y$8:$AB$8,1,B82-2026)/12</f>
        <v>1.375</v>
      </c>
      <c r="AN82" s="88" t="n">
        <f aca="false">AL82+AN81</f>
        <v>385.64387722142</v>
      </c>
      <c r="AO82" s="88" t="n">
        <f aca="false">AM82+AO81</f>
        <v>59.125</v>
      </c>
      <c r="AP82" s="88" t="n">
        <f aca="false">MAX(AP81,AN82-AO82)</f>
        <v>326.51887722142</v>
      </c>
      <c r="AQ82" s="88" t="n">
        <f aca="false">AP82-AP81</f>
        <v>10.0364321188341</v>
      </c>
      <c r="AR82" s="88" t="n">
        <f aca="false">IF(B82=2026,INDEX($C$9:$Q$9,1,B82-2025)*$AO$4*C82/MAX(0.0001,12-$AO$3),INDEX($C$9:$Q$9,1,B82-2025)/12)</f>
        <v>48.6576953186344</v>
      </c>
      <c r="AS82" s="88" t="n">
        <f aca="false">$AO$6*INDEX($Y$9:$AB$9,1,B82-2026)/12</f>
        <v>32.5916666666667</v>
      </c>
      <c r="AT82" s="88" t="n">
        <f aca="false">AR82+AT81</f>
        <v>1644.36348426124</v>
      </c>
      <c r="AU82" s="88" t="n">
        <f aca="false">AS82+AU81</f>
        <v>1119.84166666667</v>
      </c>
      <c r="AV82" s="88" t="n">
        <f aca="false">MAX(AV81,AT82-AU82)</f>
        <v>524.521817594578</v>
      </c>
      <c r="AW82" s="88" t="n">
        <f aca="false">AV82-AV81</f>
        <v>16.0660286519676</v>
      </c>
      <c r="AX82" s="88" t="n">
        <f aca="false">IF(B82=2026,INDEX($C$10:$Q$10,1,B82-2025)*$AO$4*C82/MAX(0.0001,12-$AO$3),INDEX($C$10:$Q$10,1,B82-2025)/12)</f>
        <v>5.64404597663043</v>
      </c>
      <c r="AY82" s="88" t="n">
        <f aca="false">$AO$6*INDEX($Y$10:$AB$10,1,B82-2026)/12</f>
        <v>1.63333333333333</v>
      </c>
      <c r="AZ82" s="88" t="n">
        <f aca="false">AX82+AZ81</f>
        <v>190.737827730785</v>
      </c>
      <c r="BA82" s="88" t="n">
        <f aca="false">AY82+BA81</f>
        <v>41.5333333333333</v>
      </c>
      <c r="BB82" s="88" t="n">
        <f aca="false">MAX(BB81,AZ82-BA82)</f>
        <v>149.204494397451</v>
      </c>
      <c r="BC82" s="88" t="n">
        <f aca="false">BB82-BB81</f>
        <v>4.0107126432971</v>
      </c>
      <c r="BD82" s="88" t="n">
        <f aca="false">IF(B82=2026,INDEX($C$11:$Q$11,1,B82-2025)*$AO$4*C82/MAX(0.0001,12-$AO$3),INDEX($C$11:$Q$11,1,B82-2025)/12)</f>
        <v>28.0475536513497</v>
      </c>
      <c r="BE82" s="88" t="n">
        <f aca="false">$AO$6*INDEX($Y$11:$AB$11,1,B82-2026)/12</f>
        <v>2.175</v>
      </c>
      <c r="BF82" s="88" t="n">
        <f aca="false">BD82+BF81</f>
        <v>947.853628190134</v>
      </c>
      <c r="BG82" s="88" t="n">
        <f aca="false">BE82+BG81</f>
        <v>229.125</v>
      </c>
      <c r="BH82" s="88" t="n">
        <f aca="false">MAX(BH81,BF82-BG82)</f>
        <v>718.728628190133</v>
      </c>
      <c r="BI82" s="88" t="n">
        <f aca="false">BH82-BH81</f>
        <v>25.8725536513497</v>
      </c>
      <c r="BJ82" s="88" t="n">
        <f aca="false">IF(B82=2026,INDEX($C$12:$Q$12,1,B82-2025)*$AO$4*C82/MAX(0.0001,12-$AO$3),INDEX($C$12:$Q$12,1,B82-2025)/12)</f>
        <v>15.3780518436687</v>
      </c>
      <c r="BK82" s="88" t="n">
        <f aca="false">$AO$6*INDEX($Y$12:$AB$12,1,B82-2026)/12</f>
        <v>3.65</v>
      </c>
      <c r="BL82" s="88" t="n">
        <f aca="false">BJ82+BL81</f>
        <v>519.69388901823</v>
      </c>
      <c r="BM82" s="88" t="n">
        <f aca="false">BK82+BM81</f>
        <v>85.35</v>
      </c>
      <c r="BN82" s="88" t="n">
        <f aca="false">MAX(BN81,BL82-BM82)</f>
        <v>434.34388901823</v>
      </c>
      <c r="BO82" s="88" t="n">
        <f aca="false">BN82-BN81</f>
        <v>11.7280518436687</v>
      </c>
      <c r="BP82" s="88" t="n">
        <f aca="false">IF(B82=2026,INDEX($C$13:$Q$13,1,B82-2025)*$AO$4*C82/MAX(0.0001,12-$AO$3),INDEX($C$13:$Q$13,1,B82-2025)/12)</f>
        <v>4.80560220169792</v>
      </c>
      <c r="BQ82" s="88" t="n">
        <f aca="false">$AO$6*INDEX($Y$13:$AB$13,1,B82-2026)/12</f>
        <v>2.40833333333333</v>
      </c>
      <c r="BR82" s="88" t="n">
        <f aca="false">BP82+BR81</f>
        <v>162.403022350531</v>
      </c>
      <c r="BS82" s="88" t="n">
        <f aca="false">BQ82+BS81</f>
        <v>74.2583333333333</v>
      </c>
      <c r="BT82" s="88" t="n">
        <f aca="false">MAX(BT81,BR82-BS82)</f>
        <v>88.1446890171978</v>
      </c>
      <c r="BU82" s="88" t="n">
        <f aca="false">BT82-BT81</f>
        <v>2.39726886836459</v>
      </c>
      <c r="BV82" s="88" t="n">
        <f aca="false">IF(B82=2026,INDEX($C$14:$Q$14,1,B82-2025)*$AO$4*C82/MAX(0.0001,12-$AO$3),INDEX($C$14:$Q$14,1,B82-2025)/12)</f>
        <v>2.85021923686911</v>
      </c>
      <c r="BW82" s="88" t="n">
        <f aca="false">$AO$6*INDEX($Y$14:$AB$14,1,B82-2026)/12</f>
        <v>0</v>
      </c>
      <c r="BX82" s="88" t="n">
        <f aca="false">BV82+BX81</f>
        <v>96.3217925665218</v>
      </c>
      <c r="BY82" s="88" t="n">
        <f aca="false">BW82+BY81</f>
        <v>0</v>
      </c>
      <c r="BZ82" s="88" t="n">
        <f aca="false">MAX(BZ81,BX82-BY82)</f>
        <v>96.3217925665218</v>
      </c>
      <c r="CA82" s="88" t="n">
        <f aca="false">BZ82-BZ81</f>
        <v>2.85021923686911</v>
      </c>
      <c r="CB82" s="88" t="n">
        <f aca="false">IF(B82=2026,INDEX($C$15:$Q$15,1,B82-2025)*$AO$4*C82/MAX(0.0001,12-$AO$3),INDEX($C$15:$Q$15,1,B82-2025)/12)</f>
        <v>4.67303386509936</v>
      </c>
      <c r="CC82" s="88" t="n">
        <f aca="false">$AO$6*INDEX($Y$15:$AB$15,1,B82-2026)/12</f>
        <v>0.483333333333333</v>
      </c>
      <c r="CD82" s="88" t="n">
        <f aca="false">CB82+CD81</f>
        <v>157.922938975344</v>
      </c>
      <c r="CE82" s="88" t="n">
        <f aca="false">CC82+CE81</f>
        <v>85.5833333333334</v>
      </c>
      <c r="CF82" s="88" t="n">
        <f aca="false">MAX(CF81,CD82-CE82)</f>
        <v>72.3396056420105</v>
      </c>
      <c r="CG82" s="88" t="n">
        <f aca="false">CF82-CF81</f>
        <v>4.18970053176601</v>
      </c>
      <c r="CH82" s="88" t="n">
        <f aca="false">IF(B82=2026,INDEX($C$16:$Q$16,1,B82-2025)*$AO$4*C82/MAX(0.0001,12-$AO$3),INDEX($C$16:$Q$16,1,B82-2025)/12)</f>
        <v>3.69534238268495</v>
      </c>
      <c r="CI82" s="88" t="n">
        <f aca="false">$AO$6*INDEX($Y$16:$AB$16,1,B82-2026)/12</f>
        <v>0</v>
      </c>
      <c r="CJ82" s="88" t="n">
        <f aca="false">CH82+CJ81</f>
        <v>124.882324083339</v>
      </c>
      <c r="CK82" s="88" t="n">
        <f aca="false">CI82+CK81</f>
        <v>70</v>
      </c>
      <c r="CL82" s="88" t="n">
        <f aca="false">MAX(CL81,CJ82-CK82)</f>
        <v>54.8823240833395</v>
      </c>
      <c r="CM82" s="88" t="n">
        <f aca="false">CL82-CL81</f>
        <v>3.69534238268496</v>
      </c>
      <c r="CN82" s="88" t="n">
        <f aca="false">IF(B82=2026,INDEX($C$17:$Q$17,1,B82-2025)*$AO$4*C82/MAX(0.0001,12-$AO$3),INDEX($C$17:$Q$17,1,B82-2025)/12)</f>
        <v>16.0904818546506</v>
      </c>
      <c r="CO82" s="88" t="n">
        <f aca="false">$AO$6*INDEX($Y$17:$AB$17,1,B82-2026)/12</f>
        <v>1.23333333333333</v>
      </c>
      <c r="CP82" s="88" t="n">
        <f aca="false">CN82+CP81</f>
        <v>543.77011966333</v>
      </c>
      <c r="CQ82" s="88" t="n">
        <f aca="false">CO82+CQ81</f>
        <v>214.833333333333</v>
      </c>
      <c r="CR82" s="88" t="n">
        <f aca="false">MAX(CR81,CP82-CQ82)</f>
        <v>328.936786329997</v>
      </c>
      <c r="CS82" s="88" t="n">
        <f aca="false">CR82-CR81</f>
        <v>14.8571485213173</v>
      </c>
      <c r="CT82" s="88" t="n">
        <f aca="false">IF(B82=2026,INDEX($C$18:$Q$18,1,B82-2025)*$AO$4*C82/MAX(0.0001,12-$AO$3),INDEX($C$18:$Q$18,1,B82-2025)/12)</f>
        <v>3.34735049911372</v>
      </c>
      <c r="CU82" s="88" t="n">
        <f aca="false">$AO$6*INDEX($Y$18:$AB$18,1,B82-2026)/12</f>
        <v>0</v>
      </c>
      <c r="CV82" s="88" t="n">
        <f aca="false">CT82+CV81</f>
        <v>113.122105223473</v>
      </c>
      <c r="CW82" s="88" t="n">
        <f aca="false">CU82+CW81</f>
        <v>11</v>
      </c>
      <c r="CX82" s="88" t="n">
        <f aca="false">MAX(CX81,CV82-CW82)</f>
        <v>102.122105223473</v>
      </c>
      <c r="CY82" s="88" t="n">
        <f aca="false">CX82-CX81</f>
        <v>3.34735049911373</v>
      </c>
      <c r="CZ82" s="88" t="n">
        <f aca="false">IF(B82=2026,INDEX($C$19:$Q$19,1,B82-2025)*$AO$4*C82/MAX(0.0001,12-$AO$3),INDEX($C$19:$Q$19,1,B82-2025)/12)</f>
        <v>3.31420841496408</v>
      </c>
      <c r="DA82" s="88" t="n">
        <f aca="false">$AO$6*INDEX($Y$19:$AB$19,1,B82-2026)/12</f>
        <v>8.31666666666667</v>
      </c>
      <c r="DB82" s="88" t="n">
        <f aca="false">CZ82+DB81</f>
        <v>112.002084379677</v>
      </c>
      <c r="DC82" s="88" t="n">
        <f aca="false">DA82+DC81</f>
        <v>162.216666666667</v>
      </c>
      <c r="DD82" s="88" t="n">
        <f aca="false">MAX(DD81,DB82-DC82)</f>
        <v>37.132124495359</v>
      </c>
      <c r="DE82" s="88" t="n">
        <f aca="false">DD82-DD81</f>
        <v>0</v>
      </c>
      <c r="DF82" s="88" t="n">
        <f aca="false">IF(B82=2026,INDEX($C$20:$Q$20,1,B82-2025)*$AO$4*C82/MAX(0.0001,12-$AO$3),INDEX($C$20:$Q$20,1,B82-2025)/12)</f>
        <v>2.70107985819573</v>
      </c>
      <c r="DG82" s="88" t="n">
        <f aca="false">$AO$6*INDEX($Y$20:$AB$20,1,B82-2026)/12</f>
        <v>0</v>
      </c>
      <c r="DH82" s="88" t="n">
        <f aca="false">DF82+DH81</f>
        <v>91.2816987694364</v>
      </c>
      <c r="DI82" s="88" t="n">
        <f aca="false">DG82+DI81</f>
        <v>0</v>
      </c>
      <c r="DJ82" s="88" t="n">
        <f aca="false">MAX(DJ81,DH82-DI82)</f>
        <v>91.2816987694364</v>
      </c>
      <c r="DK82" s="88" t="n">
        <f aca="false">DJ82-DJ81</f>
        <v>2.70107985819573</v>
      </c>
      <c r="DL82" s="88" t="n">
        <f aca="false">IF(B82=2026,INDEX($C$21:$Q$21,1,B82-2025)*$AO$4*C82/MAX(0.0001,12-$AO$3),INDEX($C$21:$Q$21,1,B82-2025)/12)</f>
        <v>1.88909879652953</v>
      </c>
      <c r="DM82" s="88" t="n">
        <f aca="false">$AO$6*INDEX($Y$21:$AB$21,1,B82-2026)/12</f>
        <v>4.425</v>
      </c>
      <c r="DN82" s="88" t="n">
        <f aca="false">DL82+DN81</f>
        <v>63.8411880964156</v>
      </c>
      <c r="DO82" s="88" t="n">
        <f aca="false">DM82+DO81</f>
        <v>77.875</v>
      </c>
      <c r="DP82" s="88" t="n">
        <f aca="false">MAX(DP81,DN82-DO82)</f>
        <v>17.7483109623547</v>
      </c>
      <c r="DQ82" s="88" t="n">
        <f aca="false">DP82-DP81</f>
        <v>0</v>
      </c>
      <c r="DR82" s="88" t="n">
        <f aca="false">IF(B82=2026,INDEX($C$22:$Q$22,1,B82-2025)*$AO$4*C82/MAX(0.0001,12-$AO$3),INDEX($C$22:$Q$22,1,B82-2025)/12)</f>
        <v>1.47482274465902</v>
      </c>
      <c r="DS82" s="88" t="n">
        <f aca="false">$AO$6*INDEX($Y$22:$AB$22,1,B82-2026)/12</f>
        <v>0.216666666666667</v>
      </c>
      <c r="DT82" s="88" t="n">
        <f aca="false">DR82+DT81</f>
        <v>49.840927548956</v>
      </c>
      <c r="DU82" s="88" t="n">
        <f aca="false">DS82+DU81</f>
        <v>27.9166666666667</v>
      </c>
      <c r="DV82" s="88" t="n">
        <f aca="false">MAX(DV81,DT82-DU82)</f>
        <v>21.9242608822894</v>
      </c>
      <c r="DW82" s="88" t="n">
        <f aca="false">DV82-DV81</f>
        <v>1.25815607799235</v>
      </c>
      <c r="DX82" s="88" t="n">
        <f aca="false">IF(B82=2026,INDEX($C$23:$Q$23,1,B82-2025)*$AO$4*C82/MAX(0.0001,12-$AO$3),INDEX($C$23:$Q$23,1,B82-2025)/12)</f>
        <v>2.36965901669932</v>
      </c>
      <c r="DY82" s="88" t="n">
        <f aca="false">$AO$6*INDEX($Y$23:$AB$23,1,B82-2026)/12</f>
        <v>2.94166666666667</v>
      </c>
      <c r="DZ82" s="88" t="n">
        <f aca="false">DX82+DZ81</f>
        <v>80.0814903314687</v>
      </c>
      <c r="EA82" s="88" t="n">
        <f aca="false">DY82+EA81</f>
        <v>106.291666666667</v>
      </c>
      <c r="EB82" s="88" t="n">
        <f aca="false">MAX(EB81,DZ82-EA82)</f>
        <v>35.0579690141817</v>
      </c>
      <c r="EC82" s="88" t="n">
        <f aca="false">EB82-EB81</f>
        <v>0</v>
      </c>
      <c r="ED82" s="88" t="n">
        <f aca="false">IF(B82=2026,INDEX($C$24:$Q$24,1,B82-2025)*$AO$4*C82/MAX(0.0001,12-$AO$3),INDEX($C$24:$Q$24,1,B82-2025)/12)</f>
        <v>1.4582517025842</v>
      </c>
      <c r="EE82" s="88" t="n">
        <f aca="false">$AO$6*INDEX($Y$24:$AB$24,1,B82-2026)/12</f>
        <v>0</v>
      </c>
      <c r="EF82" s="88" t="n">
        <f aca="false">ED82+EF81</f>
        <v>49.2809171270577</v>
      </c>
      <c r="EG82" s="88" t="n">
        <f aca="false">EE82+EG81</f>
        <v>0</v>
      </c>
      <c r="EH82" s="88" t="n">
        <f aca="false">MAX(EH81,EF82-EG82)</f>
        <v>49.2809171270577</v>
      </c>
      <c r="EI82" s="88" t="n">
        <f aca="false">EH82-EH81</f>
        <v>1.4582517025842</v>
      </c>
      <c r="EJ82" s="88" t="n">
        <f aca="false">IF(B82=2026,INDEX($C$25:$Q$25,1,B82-2025)*$AO$4*C82/MAX(0.0001,12-$AO$3),INDEX($C$25:$Q$25,1,B82-2025)/12)</f>
        <v>1.85595671237989</v>
      </c>
      <c r="EK82" s="88" t="n">
        <f aca="false">$AO$6*INDEX($Y$25:$AB$25,1,B82-2026)/12</f>
        <v>0</v>
      </c>
      <c r="EL82" s="88" t="n">
        <f aca="false">EJ82+EL81</f>
        <v>62.7211672526189</v>
      </c>
      <c r="EM82" s="88" t="n">
        <f aca="false">EK82+EM81</f>
        <v>14</v>
      </c>
      <c r="EN82" s="88" t="n">
        <f aca="false">MAX(EN81,EL82-EM82)</f>
        <v>48.7211672526189</v>
      </c>
      <c r="EO82" s="88" t="n">
        <f aca="false">EN82-EN81</f>
        <v>1.85595671237989</v>
      </c>
      <c r="EP82" s="88" t="n">
        <f aca="false">IF(B82=2026,INDEX($C$26:$Q$26,1,B82-2025)*$AO$4*C82/MAX(0.0001,12-$AO$3),INDEX($C$26:$Q$26,1,B82-2025)/12)</f>
        <v>2.66793777404609</v>
      </c>
      <c r="EQ82" s="88" t="n">
        <f aca="false">$AO$6*INDEX($Y$26:$AB$26,1,B82-2026)/12</f>
        <v>0</v>
      </c>
      <c r="ER82" s="88" t="n">
        <f aca="false">EP82+ER81</f>
        <v>90.1616779256396</v>
      </c>
      <c r="ES82" s="88" t="n">
        <f aca="false">EQ82+ES81</f>
        <v>4</v>
      </c>
      <c r="ET82" s="88" t="n">
        <f aca="false">MAX(ET81,ER82-ES82)</f>
        <v>86.1616779256396</v>
      </c>
      <c r="EU82" s="88" t="n">
        <f aca="false">ET82-ET81</f>
        <v>2.66793777404608</v>
      </c>
      <c r="EV82" s="88" t="n">
        <f aca="false">IF(B82=2026,INDEX($C$27:$Q$27,1,B82-2025)*$AO$4*C82/MAX(0.0001,12-$AO$3),INDEX($C$27:$Q$27,1,B82-2025)/12)</f>
        <v>6.62841682992816</v>
      </c>
      <c r="EW82" s="88" t="n">
        <f aca="false">$AO$6*INDEX($Y$27:$AB$27,1,B82-2026)/12</f>
        <v>5.625</v>
      </c>
      <c r="EX82" s="88" t="n">
        <f aca="false">EV82+EX81</f>
        <v>224.004168759353</v>
      </c>
      <c r="EY82" s="88" t="n">
        <f aca="false">EW82+EY81</f>
        <v>357.875</v>
      </c>
      <c r="EZ82" s="88" t="n">
        <f aca="false">MAX(EZ81,EX82-EY82)</f>
        <v>0</v>
      </c>
      <c r="FA82" s="88" t="n">
        <f aca="false">EZ82-EZ81</f>
        <v>0</v>
      </c>
      <c r="FB82" s="88" t="n">
        <f aca="false">IF(B82=2026,INDEX($C$28:$Q$28,1,B82-2025)*$AO$4*C82/MAX(0.0001,12-$AO$3),INDEX($C$28:$Q$28,1,B82-2025)/12)</f>
        <v>34.6997621046739</v>
      </c>
      <c r="FC82" s="88" t="n">
        <f aca="false">$AO$6*INDEX($Y$28:$AB$28,1,B82-2026)/12</f>
        <v>2.05833333333333</v>
      </c>
      <c r="FD82" s="88" t="n">
        <f aca="false">FB82+FD81</f>
        <v>1172.66182345521</v>
      </c>
      <c r="FE82" s="88" t="n">
        <f aca="false">FC82+FE81</f>
        <v>158.708333333333</v>
      </c>
      <c r="FF82" s="88" t="n">
        <f aca="false">MAX(FF81,FD82-FE82)</f>
        <v>1013.95349012188</v>
      </c>
      <c r="FG82" s="88" t="n">
        <f aca="false">FF82-FF81</f>
        <v>32.6414287713405</v>
      </c>
    </row>
    <row r="83" customFormat="false" ht="15" hidden="false" customHeight="false" outlineLevel="0" collapsed="false">
      <c r="A83" s="0" t="n">
        <v>43</v>
      </c>
      <c r="B83" s="88" t="n">
        <f aca="false">2026+INT(A83/12)</f>
        <v>2029</v>
      </c>
      <c r="C83" s="88" t="n">
        <f aca="false">MAX(0,MIN(1,A83+1-$AO$3))</f>
        <v>1</v>
      </c>
      <c r="D83" s="88" t="n">
        <f aca="false">IF((A83+0.5-(0))&lt;$AO$3,0,2026+INT((A83+0.5-(0))/12))</f>
        <v>2029</v>
      </c>
      <c r="E83" s="88" t="n">
        <f aca="false">IF((A83+0.5-($AO$9))&lt;$AO$3,0,2026+INT((A83+0.5-($AO$9))/12))</f>
        <v>2028</v>
      </c>
      <c r="F83" s="88" t="n">
        <f aca="false">IF((A83+0.5-($AO$9+$AO$8))&lt;$AO$3,0,2026+INT((A83+0.5-($AO$9+$AO$8))/12))</f>
        <v>2027</v>
      </c>
      <c r="G83" s="88" t="n">
        <f aca="false">IF((A83+0.5-($AO$9+$AO$8+$AO$7))&lt;$AO$3,0,2026+INT((A83+0.5-($AO$9+$AO$8+$AO$7))/12))</f>
        <v>0</v>
      </c>
      <c r="H83" s="88" t="n">
        <f aca="false">IF(B83=2026,INDEX($C$3:$Q$3,1,B83-2025)*$AO$4*C83/MAX(0.0001,12-$AO$3),INDEX($C$3:$Q$3,1,B83-2025)/12)</f>
        <v>355.25</v>
      </c>
      <c r="I83" s="88" t="n">
        <f aca="false">$AO$6*INDEX($Y$3:$AB$3,1,B83-2026)/12</f>
        <v>162.891666666667</v>
      </c>
      <c r="J83" s="88" t="n">
        <f aca="false">H83+J82</f>
        <v>12360.7534246575</v>
      </c>
      <c r="K83" s="88" t="n">
        <f aca="false">I83+K82</f>
        <v>5619.23333333333</v>
      </c>
      <c r="L83" s="88" t="n">
        <f aca="false">MAX(L82,J83-K83)</f>
        <v>6741.5200913242</v>
      </c>
      <c r="M83" s="88" t="n">
        <f aca="false">L83-L82</f>
        <v>192.358333333334</v>
      </c>
      <c r="N83" s="88" t="n">
        <f aca="false">IF(B83=2026,INDEX($C$4:$Q$4,1,B83-2025)*$AO$4*C83/MAX(0.0001,12-$AO$3),INDEX($C$4:$Q$4,1,B83-2025)/12)</f>
        <v>10.7700632578534</v>
      </c>
      <c r="O83" s="88" t="n">
        <f aca="false">$AO$6*INDEX($Y$4:$AB$4,1,B83-2026)/12</f>
        <v>7.375</v>
      </c>
      <c r="P83" s="88" t="n">
        <f aca="false">N83+P82</f>
        <v>374.739187328048</v>
      </c>
      <c r="Q83" s="88" t="n">
        <f aca="false">O83+Q82</f>
        <v>283.7</v>
      </c>
      <c r="R83" s="88" t="n">
        <f aca="false">MAX(R82,P83-Q83)</f>
        <v>91.0391873280481</v>
      </c>
      <c r="S83" s="88" t="n">
        <f aca="false">R83-R82</f>
        <v>3.39506325785334</v>
      </c>
      <c r="T83" s="88" t="n">
        <f aca="false">IF(B83=2026,INDEX($C$5:$Q$5,1,B83-2025)*$AO$4*C83/MAX(0.0001,12-$AO$3),INDEX($C$5:$Q$5,1,B83-2025)/12)</f>
        <v>43.7734247619348</v>
      </c>
      <c r="U83" s="88" t="n">
        <f aca="false">$AO$6*INDEX($Y$5:$AB$5,1,B83-2026)/12</f>
        <v>25.3416666666667</v>
      </c>
      <c r="V83" s="88" t="n">
        <f aca="false">T83+V82</f>
        <v>1523.07532733308</v>
      </c>
      <c r="W83" s="88" t="n">
        <f aca="false">U83+W82</f>
        <v>910.733333333334</v>
      </c>
      <c r="X83" s="88" t="n">
        <f aca="false">MAX(X82,V83-W83)</f>
        <v>612.341993999741</v>
      </c>
      <c r="Y83" s="88" t="n">
        <f aca="false">X83-X82</f>
        <v>18.4317580952682</v>
      </c>
      <c r="Z83" s="88" t="n">
        <f aca="false">IF(B83=2026,INDEX($C$6:$Q$6,1,B83-2025)*$AO$4*C83/MAX(0.0001,12-$AO$3),INDEX($C$6:$Q$6,1,B83-2025)/12)</f>
        <v>51.933610116259</v>
      </c>
      <c r="AA83" s="88" t="n">
        <f aca="false">$AO$6*INDEX($Y$6:$AB$6,1,B83-2026)/12</f>
        <v>39.4666666666667</v>
      </c>
      <c r="AB83" s="88" t="n">
        <f aca="false">Z83+AB82</f>
        <v>1807.00506431915</v>
      </c>
      <c r="AC83" s="88" t="n">
        <f aca="false">AA83+AC82</f>
        <v>941.833333333334</v>
      </c>
      <c r="AD83" s="88" t="n">
        <f aca="false">MAX(AD82,AB83-AC83)</f>
        <v>865.171730985812</v>
      </c>
      <c r="AE83" s="88" t="n">
        <f aca="false">AD83-AD82</f>
        <v>12.4669434495922</v>
      </c>
      <c r="AF83" s="88" t="n">
        <f aca="false">IF(B83=2026,INDEX($C$7:$Q$7,1,B83-2025)*$AO$4*C83/MAX(0.0001,12-$AO$3),INDEX($C$7:$Q$7,1,B83-2025)/12)</f>
        <v>45.11289896006</v>
      </c>
      <c r="AG83" s="88" t="n">
        <f aca="false">$AO$6*INDEX($Y$7:$AB$7,1,B83-2026)/12</f>
        <v>21.575</v>
      </c>
      <c r="AH83" s="88" t="n">
        <f aca="false">AF83+AH82</f>
        <v>1569.68168984318</v>
      </c>
      <c r="AI83" s="88" t="n">
        <f aca="false">AG83+AI82</f>
        <v>514.3</v>
      </c>
      <c r="AJ83" s="88" t="n">
        <f aca="false">MAX(AJ82,AH83-AI83)</f>
        <v>1055.38168984318</v>
      </c>
      <c r="AK83" s="88" t="n">
        <f aca="false">AJ83-AJ82</f>
        <v>23.5378989600599</v>
      </c>
      <c r="AL83" s="88" t="n">
        <f aca="false">IF(B83=2026,INDEX($C$8:$Q$8,1,B83-2025)*$AO$4*C83/MAX(0.0001,12-$AO$3),INDEX($C$8:$Q$8,1,B83-2025)/12)</f>
        <v>11.4114321188341</v>
      </c>
      <c r="AM83" s="88" t="n">
        <f aca="false">$AO$6*INDEX($Y$8:$AB$8,1,B83-2026)/12</f>
        <v>1.375</v>
      </c>
      <c r="AN83" s="88" t="n">
        <f aca="false">AL83+AN82</f>
        <v>397.055309340254</v>
      </c>
      <c r="AO83" s="88" t="n">
        <f aca="false">AM83+AO82</f>
        <v>60.5</v>
      </c>
      <c r="AP83" s="88" t="n">
        <f aca="false">MAX(AP82,AN83-AO83)</f>
        <v>336.555309340254</v>
      </c>
      <c r="AQ83" s="88" t="n">
        <f aca="false">AP83-AP82</f>
        <v>10.0364321188341</v>
      </c>
      <c r="AR83" s="88" t="n">
        <f aca="false">IF(B83=2026,INDEX($C$9:$Q$9,1,B83-2025)*$AO$4*C83/MAX(0.0001,12-$AO$3),INDEX($C$9:$Q$9,1,B83-2025)/12)</f>
        <v>48.6576953186344</v>
      </c>
      <c r="AS83" s="88" t="n">
        <f aca="false">$AO$6*INDEX($Y$9:$AB$9,1,B83-2026)/12</f>
        <v>32.5916666666667</v>
      </c>
      <c r="AT83" s="88" t="n">
        <f aca="false">AR83+AT82</f>
        <v>1693.02117957988</v>
      </c>
      <c r="AU83" s="88" t="n">
        <f aca="false">AS83+AU82</f>
        <v>1152.43333333333</v>
      </c>
      <c r="AV83" s="88" t="n">
        <f aca="false">MAX(AV82,AT83-AU83)</f>
        <v>540.587846246546</v>
      </c>
      <c r="AW83" s="88" t="n">
        <f aca="false">AV83-AV82</f>
        <v>16.0660286519676</v>
      </c>
      <c r="AX83" s="88" t="n">
        <f aca="false">IF(B83=2026,INDEX($C$10:$Q$10,1,B83-2025)*$AO$4*C83/MAX(0.0001,12-$AO$3),INDEX($C$10:$Q$10,1,B83-2025)/12)</f>
        <v>5.64404597663043</v>
      </c>
      <c r="AY83" s="88" t="n">
        <f aca="false">$AO$6*INDEX($Y$10:$AB$10,1,B83-2026)/12</f>
        <v>1.63333333333333</v>
      </c>
      <c r="AZ83" s="88" t="n">
        <f aca="false">AX83+AZ82</f>
        <v>196.381873707415</v>
      </c>
      <c r="BA83" s="88" t="n">
        <f aca="false">AY83+BA82</f>
        <v>43.1666666666667</v>
      </c>
      <c r="BB83" s="88" t="n">
        <f aca="false">MAX(BB82,AZ83-BA83)</f>
        <v>153.215207040748</v>
      </c>
      <c r="BC83" s="88" t="n">
        <f aca="false">BB83-BB82</f>
        <v>4.0107126432971</v>
      </c>
      <c r="BD83" s="88" t="n">
        <f aca="false">IF(B83=2026,INDEX($C$11:$Q$11,1,B83-2025)*$AO$4*C83/MAX(0.0001,12-$AO$3),INDEX($C$11:$Q$11,1,B83-2025)/12)</f>
        <v>28.0475536513497</v>
      </c>
      <c r="BE83" s="88" t="n">
        <f aca="false">$AO$6*INDEX($Y$11:$AB$11,1,B83-2026)/12</f>
        <v>2.175</v>
      </c>
      <c r="BF83" s="88" t="n">
        <f aca="false">BD83+BF82</f>
        <v>975.901181841483</v>
      </c>
      <c r="BG83" s="88" t="n">
        <f aca="false">BE83+BG82</f>
        <v>231.3</v>
      </c>
      <c r="BH83" s="88" t="n">
        <f aca="false">MAX(BH82,BF83-BG83)</f>
        <v>744.601181841483</v>
      </c>
      <c r="BI83" s="88" t="n">
        <f aca="false">BH83-BH82</f>
        <v>25.8725536513498</v>
      </c>
      <c r="BJ83" s="88" t="n">
        <f aca="false">IF(B83=2026,INDEX($C$12:$Q$12,1,B83-2025)*$AO$4*C83/MAX(0.0001,12-$AO$3),INDEX($C$12:$Q$12,1,B83-2025)/12)</f>
        <v>15.3780518436687</v>
      </c>
      <c r="BK83" s="88" t="n">
        <f aca="false">$AO$6*INDEX($Y$12:$AB$12,1,B83-2026)/12</f>
        <v>3.65</v>
      </c>
      <c r="BL83" s="88" t="n">
        <f aca="false">BJ83+BL82</f>
        <v>535.071940861899</v>
      </c>
      <c r="BM83" s="88" t="n">
        <f aca="false">BK83+BM82</f>
        <v>89</v>
      </c>
      <c r="BN83" s="88" t="n">
        <f aca="false">MAX(BN82,BL83-BM83)</f>
        <v>446.071940861899</v>
      </c>
      <c r="BO83" s="88" t="n">
        <f aca="false">BN83-BN82</f>
        <v>11.7280518436688</v>
      </c>
      <c r="BP83" s="88" t="n">
        <f aca="false">IF(B83=2026,INDEX($C$13:$Q$13,1,B83-2025)*$AO$4*C83/MAX(0.0001,12-$AO$3),INDEX($C$13:$Q$13,1,B83-2025)/12)</f>
        <v>4.80560220169792</v>
      </c>
      <c r="BQ83" s="88" t="n">
        <f aca="false">$AO$6*INDEX($Y$13:$AB$13,1,B83-2026)/12</f>
        <v>2.40833333333333</v>
      </c>
      <c r="BR83" s="88" t="n">
        <f aca="false">BP83+BR82</f>
        <v>167.208624552229</v>
      </c>
      <c r="BS83" s="88" t="n">
        <f aca="false">BQ83+BS82</f>
        <v>76.6666666666666</v>
      </c>
      <c r="BT83" s="88" t="n">
        <f aca="false">MAX(BT82,BR83-BS83)</f>
        <v>90.5419578855624</v>
      </c>
      <c r="BU83" s="88" t="n">
        <f aca="false">BT83-BT82</f>
        <v>2.39726886836459</v>
      </c>
      <c r="BV83" s="88" t="n">
        <f aca="false">IF(B83=2026,INDEX($C$14:$Q$14,1,B83-2025)*$AO$4*C83/MAX(0.0001,12-$AO$3),INDEX($C$14:$Q$14,1,B83-2025)/12)</f>
        <v>2.85021923686911</v>
      </c>
      <c r="BW83" s="88" t="n">
        <f aca="false">$AO$6*INDEX($Y$14:$AB$14,1,B83-2026)/12</f>
        <v>0</v>
      </c>
      <c r="BX83" s="88" t="n">
        <f aca="false">BV83+BX82</f>
        <v>99.1720118033909</v>
      </c>
      <c r="BY83" s="88" t="n">
        <f aca="false">BW83+BY82</f>
        <v>0</v>
      </c>
      <c r="BZ83" s="88" t="n">
        <f aca="false">MAX(BZ82,BX83-BY83)</f>
        <v>99.1720118033909</v>
      </c>
      <c r="CA83" s="88" t="n">
        <f aca="false">BZ83-BZ82</f>
        <v>2.85021923686911</v>
      </c>
      <c r="CB83" s="88" t="n">
        <f aca="false">IF(B83=2026,INDEX($C$15:$Q$15,1,B83-2025)*$AO$4*C83/MAX(0.0001,12-$AO$3),INDEX($C$15:$Q$15,1,B83-2025)/12)</f>
        <v>4.67303386509936</v>
      </c>
      <c r="CC83" s="88" t="n">
        <f aca="false">$AO$6*INDEX($Y$15:$AB$15,1,B83-2026)/12</f>
        <v>0.483333333333333</v>
      </c>
      <c r="CD83" s="88" t="n">
        <f aca="false">CB83+CD82</f>
        <v>162.595972840443</v>
      </c>
      <c r="CE83" s="88" t="n">
        <f aca="false">CC83+CE82</f>
        <v>86.0666666666667</v>
      </c>
      <c r="CF83" s="88" t="n">
        <f aca="false">MAX(CF82,CD83-CE83)</f>
        <v>76.5293061737766</v>
      </c>
      <c r="CG83" s="88" t="n">
        <f aca="false">CF83-CF82</f>
        <v>4.18970053176601</v>
      </c>
      <c r="CH83" s="88" t="n">
        <f aca="false">IF(B83=2026,INDEX($C$16:$Q$16,1,B83-2025)*$AO$4*C83/MAX(0.0001,12-$AO$3),INDEX($C$16:$Q$16,1,B83-2025)/12)</f>
        <v>3.69534238268495</v>
      </c>
      <c r="CI83" s="88" t="n">
        <f aca="false">$AO$6*INDEX($Y$16:$AB$16,1,B83-2026)/12</f>
        <v>0</v>
      </c>
      <c r="CJ83" s="88" t="n">
        <f aca="false">CH83+CJ82</f>
        <v>128.577666466024</v>
      </c>
      <c r="CK83" s="88" t="n">
        <f aca="false">CI83+CK82</f>
        <v>70</v>
      </c>
      <c r="CL83" s="88" t="n">
        <f aca="false">MAX(CL82,CJ83-CK83)</f>
        <v>58.5776664660244</v>
      </c>
      <c r="CM83" s="88" t="n">
        <f aca="false">CL83-CL82</f>
        <v>3.69534238268496</v>
      </c>
      <c r="CN83" s="88" t="n">
        <f aca="false">IF(B83=2026,INDEX($C$17:$Q$17,1,B83-2025)*$AO$4*C83/MAX(0.0001,12-$AO$3),INDEX($C$17:$Q$17,1,B83-2025)/12)</f>
        <v>16.0904818546506</v>
      </c>
      <c r="CO83" s="88" t="n">
        <f aca="false">$AO$6*INDEX($Y$17:$AB$17,1,B83-2026)/12</f>
        <v>1.23333333333333</v>
      </c>
      <c r="CP83" s="88" t="n">
        <f aca="false">CN83+CP82</f>
        <v>559.860601517981</v>
      </c>
      <c r="CQ83" s="88" t="n">
        <f aca="false">CO83+CQ82</f>
        <v>216.066666666666</v>
      </c>
      <c r="CR83" s="88" t="n">
        <f aca="false">MAX(CR82,CP83-CQ83)</f>
        <v>343.793934851315</v>
      </c>
      <c r="CS83" s="88" t="n">
        <f aca="false">CR83-CR82</f>
        <v>14.8571485213173</v>
      </c>
      <c r="CT83" s="88" t="n">
        <f aca="false">IF(B83=2026,INDEX($C$18:$Q$18,1,B83-2025)*$AO$4*C83/MAX(0.0001,12-$AO$3),INDEX($C$18:$Q$18,1,B83-2025)/12)</f>
        <v>3.34735049911372</v>
      </c>
      <c r="CU83" s="88" t="n">
        <f aca="false">$AO$6*INDEX($Y$18:$AB$18,1,B83-2026)/12</f>
        <v>0</v>
      </c>
      <c r="CV83" s="88" t="n">
        <f aca="false">CT83+CV82</f>
        <v>116.469455722587</v>
      </c>
      <c r="CW83" s="88" t="n">
        <f aca="false">CU83+CW82</f>
        <v>11</v>
      </c>
      <c r="CX83" s="88" t="n">
        <f aca="false">MAX(CX82,CV83-CW83)</f>
        <v>105.469455722587</v>
      </c>
      <c r="CY83" s="88" t="n">
        <f aca="false">CX83-CX82</f>
        <v>3.34735049911373</v>
      </c>
      <c r="CZ83" s="88" t="n">
        <f aca="false">IF(B83=2026,INDEX($C$19:$Q$19,1,B83-2025)*$AO$4*C83/MAX(0.0001,12-$AO$3),INDEX($C$19:$Q$19,1,B83-2025)/12)</f>
        <v>3.31420841496408</v>
      </c>
      <c r="DA83" s="88" t="n">
        <f aca="false">$AO$6*INDEX($Y$19:$AB$19,1,B83-2026)/12</f>
        <v>8.31666666666667</v>
      </c>
      <c r="DB83" s="88" t="n">
        <f aca="false">CZ83+DB82</f>
        <v>115.316292794641</v>
      </c>
      <c r="DC83" s="88" t="n">
        <f aca="false">DA83+DC82</f>
        <v>170.533333333333</v>
      </c>
      <c r="DD83" s="88" t="n">
        <f aca="false">MAX(DD82,DB83-DC83)</f>
        <v>37.132124495359</v>
      </c>
      <c r="DE83" s="88" t="n">
        <f aca="false">DD83-DD82</f>
        <v>0</v>
      </c>
      <c r="DF83" s="88" t="n">
        <f aca="false">IF(B83=2026,INDEX($C$20:$Q$20,1,B83-2025)*$AO$4*C83/MAX(0.0001,12-$AO$3),INDEX($C$20:$Q$20,1,B83-2025)/12)</f>
        <v>2.70107985819573</v>
      </c>
      <c r="DG83" s="88" t="n">
        <f aca="false">$AO$6*INDEX($Y$20:$AB$20,1,B83-2026)/12</f>
        <v>0</v>
      </c>
      <c r="DH83" s="88" t="n">
        <f aca="false">DF83+DH82</f>
        <v>93.9827786276321</v>
      </c>
      <c r="DI83" s="88" t="n">
        <f aca="false">DG83+DI82</f>
        <v>0</v>
      </c>
      <c r="DJ83" s="88" t="n">
        <f aca="false">MAX(DJ82,DH83-DI83)</f>
        <v>93.9827786276321</v>
      </c>
      <c r="DK83" s="88" t="n">
        <f aca="false">DJ83-DJ82</f>
        <v>2.70107985819573</v>
      </c>
      <c r="DL83" s="88" t="n">
        <f aca="false">IF(B83=2026,INDEX($C$21:$Q$21,1,B83-2025)*$AO$4*C83/MAX(0.0001,12-$AO$3),INDEX($C$21:$Q$21,1,B83-2025)/12)</f>
        <v>1.88909879652953</v>
      </c>
      <c r="DM83" s="88" t="n">
        <f aca="false">$AO$6*INDEX($Y$21:$AB$21,1,B83-2026)/12</f>
        <v>4.425</v>
      </c>
      <c r="DN83" s="88" t="n">
        <f aca="false">DL83+DN82</f>
        <v>65.7302868929451</v>
      </c>
      <c r="DO83" s="88" t="n">
        <f aca="false">DM83+DO82</f>
        <v>82.3</v>
      </c>
      <c r="DP83" s="88" t="n">
        <f aca="false">MAX(DP82,DN83-DO83)</f>
        <v>17.7483109623547</v>
      </c>
      <c r="DQ83" s="88" t="n">
        <f aca="false">DP83-DP82</f>
        <v>0</v>
      </c>
      <c r="DR83" s="88" t="n">
        <f aca="false">IF(B83=2026,INDEX($C$22:$Q$22,1,B83-2025)*$AO$4*C83/MAX(0.0001,12-$AO$3),INDEX($C$22:$Q$22,1,B83-2025)/12)</f>
        <v>1.47482274465902</v>
      </c>
      <c r="DS83" s="88" t="n">
        <f aca="false">$AO$6*INDEX($Y$22:$AB$22,1,B83-2026)/12</f>
        <v>0.216666666666667</v>
      </c>
      <c r="DT83" s="88" t="n">
        <f aca="false">DR83+DT82</f>
        <v>51.3157502936151</v>
      </c>
      <c r="DU83" s="88" t="n">
        <f aca="false">DS83+DU82</f>
        <v>28.1333333333333</v>
      </c>
      <c r="DV83" s="88" t="n">
        <f aca="false">MAX(DV82,DT83-DU83)</f>
        <v>23.1824169602817</v>
      </c>
      <c r="DW83" s="88" t="n">
        <f aca="false">DV83-DV82</f>
        <v>1.25815607799235</v>
      </c>
      <c r="DX83" s="88" t="n">
        <f aca="false">IF(B83=2026,INDEX($C$23:$Q$23,1,B83-2025)*$AO$4*C83/MAX(0.0001,12-$AO$3),INDEX($C$23:$Q$23,1,B83-2025)/12)</f>
        <v>2.36965901669932</v>
      </c>
      <c r="DY83" s="88" t="n">
        <f aca="false">$AO$6*INDEX($Y$23:$AB$23,1,B83-2026)/12</f>
        <v>2.94166666666667</v>
      </c>
      <c r="DZ83" s="88" t="n">
        <f aca="false">DX83+DZ82</f>
        <v>82.451149348168</v>
      </c>
      <c r="EA83" s="88" t="n">
        <f aca="false">DY83+EA82</f>
        <v>109.233333333333</v>
      </c>
      <c r="EB83" s="88" t="n">
        <f aca="false">MAX(EB82,DZ83-EA83)</f>
        <v>35.0579690141817</v>
      </c>
      <c r="EC83" s="88" t="n">
        <f aca="false">EB83-EB82</f>
        <v>0</v>
      </c>
      <c r="ED83" s="88" t="n">
        <f aca="false">IF(B83=2026,INDEX($C$24:$Q$24,1,B83-2025)*$AO$4*C83/MAX(0.0001,12-$AO$3),INDEX($C$24:$Q$24,1,B83-2025)/12)</f>
        <v>1.4582517025842</v>
      </c>
      <c r="EE83" s="88" t="n">
        <f aca="false">$AO$6*INDEX($Y$24:$AB$24,1,B83-2026)/12</f>
        <v>0</v>
      </c>
      <c r="EF83" s="88" t="n">
        <f aca="false">ED83+EF82</f>
        <v>50.7391688296419</v>
      </c>
      <c r="EG83" s="88" t="n">
        <f aca="false">EE83+EG82</f>
        <v>0</v>
      </c>
      <c r="EH83" s="88" t="n">
        <f aca="false">MAX(EH82,EF83-EG83)</f>
        <v>50.7391688296419</v>
      </c>
      <c r="EI83" s="88" t="n">
        <f aca="false">EH83-EH82</f>
        <v>1.4582517025842</v>
      </c>
      <c r="EJ83" s="88" t="n">
        <f aca="false">IF(B83=2026,INDEX($C$25:$Q$25,1,B83-2025)*$AO$4*C83/MAX(0.0001,12-$AO$3),INDEX($C$25:$Q$25,1,B83-2025)/12)</f>
        <v>1.85595671237989</v>
      </c>
      <c r="EK83" s="88" t="n">
        <f aca="false">$AO$6*INDEX($Y$25:$AB$25,1,B83-2026)/12</f>
        <v>0</v>
      </c>
      <c r="EL83" s="88" t="n">
        <f aca="false">EJ83+EL82</f>
        <v>64.5771239649988</v>
      </c>
      <c r="EM83" s="88" t="n">
        <f aca="false">EK83+EM82</f>
        <v>14</v>
      </c>
      <c r="EN83" s="88" t="n">
        <f aca="false">MAX(EN82,EL83-EM83)</f>
        <v>50.5771239649988</v>
      </c>
      <c r="EO83" s="88" t="n">
        <f aca="false">EN83-EN82</f>
        <v>1.85595671237989</v>
      </c>
      <c r="EP83" s="88" t="n">
        <f aca="false">IF(B83=2026,INDEX($C$26:$Q$26,1,B83-2025)*$AO$4*C83/MAX(0.0001,12-$AO$3),INDEX($C$26:$Q$26,1,B83-2025)/12)</f>
        <v>2.66793777404609</v>
      </c>
      <c r="EQ83" s="88" t="n">
        <f aca="false">$AO$6*INDEX($Y$26:$AB$26,1,B83-2026)/12</f>
        <v>0</v>
      </c>
      <c r="ER83" s="88" t="n">
        <f aca="false">EP83+ER82</f>
        <v>92.8296156996857</v>
      </c>
      <c r="ES83" s="88" t="n">
        <f aca="false">EQ83+ES82</f>
        <v>4</v>
      </c>
      <c r="ET83" s="88" t="n">
        <f aca="false">MAX(ET82,ER83-ES83)</f>
        <v>88.8296156996857</v>
      </c>
      <c r="EU83" s="88" t="n">
        <f aca="false">ET83-ET82</f>
        <v>2.66793777404608</v>
      </c>
      <c r="EV83" s="88" t="n">
        <f aca="false">IF(B83=2026,INDEX($C$27:$Q$27,1,B83-2025)*$AO$4*C83/MAX(0.0001,12-$AO$3),INDEX($C$27:$Q$27,1,B83-2025)/12)</f>
        <v>6.62841682992816</v>
      </c>
      <c r="EW83" s="88" t="n">
        <f aca="false">$AO$6*INDEX($Y$27:$AB$27,1,B83-2026)/12</f>
        <v>5.625</v>
      </c>
      <c r="EX83" s="88" t="n">
        <f aca="false">EV83+EX82</f>
        <v>230.632585589281</v>
      </c>
      <c r="EY83" s="88" t="n">
        <f aca="false">EW83+EY82</f>
        <v>363.5</v>
      </c>
      <c r="EZ83" s="88" t="n">
        <f aca="false">MAX(EZ82,EX83-EY83)</f>
        <v>0</v>
      </c>
      <c r="FA83" s="88" t="n">
        <f aca="false">EZ83-EZ82</f>
        <v>0</v>
      </c>
      <c r="FB83" s="88" t="n">
        <f aca="false">IF(B83=2026,INDEX($C$28:$Q$28,1,B83-2025)*$AO$4*C83/MAX(0.0001,12-$AO$3),INDEX($C$28:$Q$28,1,B83-2025)/12)</f>
        <v>34.6997621046739</v>
      </c>
      <c r="FC83" s="88" t="n">
        <f aca="false">$AO$6*INDEX($Y$28:$AB$28,1,B83-2026)/12</f>
        <v>2.05833333333333</v>
      </c>
      <c r="FD83" s="88" t="n">
        <f aca="false">FB83+FD82</f>
        <v>1207.36158555989</v>
      </c>
      <c r="FE83" s="88" t="n">
        <f aca="false">FC83+FE82</f>
        <v>160.766666666667</v>
      </c>
      <c r="FF83" s="88" t="n">
        <f aca="false">MAX(FF82,FD83-FE83)</f>
        <v>1046.59491889322</v>
      </c>
      <c r="FG83" s="88" t="n">
        <f aca="false">FF83-FF82</f>
        <v>32.6414287713407</v>
      </c>
    </row>
    <row r="84" customFormat="false" ht="15" hidden="false" customHeight="false" outlineLevel="0" collapsed="false">
      <c r="A84" s="0" t="n">
        <v>44</v>
      </c>
      <c r="B84" s="88" t="n">
        <f aca="false">2026+INT(A84/12)</f>
        <v>2029</v>
      </c>
      <c r="C84" s="88" t="n">
        <f aca="false">MAX(0,MIN(1,A84+1-$AO$3))</f>
        <v>1</v>
      </c>
      <c r="D84" s="88" t="n">
        <f aca="false">IF((A84+0.5-(0))&lt;$AO$3,0,2026+INT((A84+0.5-(0))/12))</f>
        <v>2029</v>
      </c>
      <c r="E84" s="88" t="n">
        <f aca="false">IF((A84+0.5-($AO$9))&lt;$AO$3,0,2026+INT((A84+0.5-($AO$9))/12))</f>
        <v>2028</v>
      </c>
      <c r="F84" s="88" t="n">
        <f aca="false">IF((A84+0.5-($AO$9+$AO$8))&lt;$AO$3,0,2026+INT((A84+0.5-($AO$9+$AO$8))/12))</f>
        <v>2027</v>
      </c>
      <c r="G84" s="88" t="n">
        <f aca="false">IF((A84+0.5-($AO$9+$AO$8+$AO$7))&lt;$AO$3,0,2026+INT((A84+0.5-($AO$9+$AO$8+$AO$7))/12))</f>
        <v>0</v>
      </c>
      <c r="H84" s="88" t="n">
        <f aca="false">IF(B84=2026,INDEX($C$3:$Q$3,1,B84-2025)*$AO$4*C84/MAX(0.0001,12-$AO$3),INDEX($C$3:$Q$3,1,B84-2025)/12)</f>
        <v>355.25</v>
      </c>
      <c r="I84" s="88" t="n">
        <f aca="false">$AO$6*INDEX($Y$3:$AB$3,1,B84-2026)/12</f>
        <v>162.891666666667</v>
      </c>
      <c r="J84" s="88" t="n">
        <f aca="false">H84+J83</f>
        <v>12716.0034246575</v>
      </c>
      <c r="K84" s="88" t="n">
        <f aca="false">I84+K83</f>
        <v>5782.125</v>
      </c>
      <c r="L84" s="88" t="n">
        <f aca="false">MAX(L83,J84-K84)</f>
        <v>6933.87842465754</v>
      </c>
      <c r="M84" s="88" t="n">
        <f aca="false">L84-L83</f>
        <v>192.358333333334</v>
      </c>
      <c r="N84" s="88" t="n">
        <f aca="false">IF(B84=2026,INDEX($C$4:$Q$4,1,B84-2025)*$AO$4*C84/MAX(0.0001,12-$AO$3),INDEX($C$4:$Q$4,1,B84-2025)/12)</f>
        <v>10.7700632578534</v>
      </c>
      <c r="O84" s="88" t="n">
        <f aca="false">$AO$6*INDEX($Y$4:$AB$4,1,B84-2026)/12</f>
        <v>7.375</v>
      </c>
      <c r="P84" s="88" t="n">
        <f aca="false">N84+P83</f>
        <v>385.509250585901</v>
      </c>
      <c r="Q84" s="88" t="n">
        <f aca="false">O84+Q83</f>
        <v>291.075</v>
      </c>
      <c r="R84" s="88" t="n">
        <f aca="false">MAX(R83,P84-Q84)</f>
        <v>94.4342505859014</v>
      </c>
      <c r="S84" s="88" t="n">
        <f aca="false">R84-R83</f>
        <v>3.39506325785334</v>
      </c>
      <c r="T84" s="88" t="n">
        <f aca="false">IF(B84=2026,INDEX($C$5:$Q$5,1,B84-2025)*$AO$4*C84/MAX(0.0001,12-$AO$3),INDEX($C$5:$Q$5,1,B84-2025)/12)</f>
        <v>43.7734247619348</v>
      </c>
      <c r="U84" s="88" t="n">
        <f aca="false">$AO$6*INDEX($Y$5:$AB$5,1,B84-2026)/12</f>
        <v>25.3416666666667</v>
      </c>
      <c r="V84" s="88" t="n">
        <f aca="false">T84+V83</f>
        <v>1566.84875209501</v>
      </c>
      <c r="W84" s="88" t="n">
        <f aca="false">U84+W83</f>
        <v>936.075</v>
      </c>
      <c r="X84" s="88" t="n">
        <f aca="false">MAX(X83,V84-W84)</f>
        <v>630.77375209501</v>
      </c>
      <c r="Y84" s="88" t="n">
        <f aca="false">X84-X83</f>
        <v>18.4317580952682</v>
      </c>
      <c r="Z84" s="88" t="n">
        <f aca="false">IF(B84=2026,INDEX($C$6:$Q$6,1,B84-2025)*$AO$4*C84/MAX(0.0001,12-$AO$3),INDEX($C$6:$Q$6,1,B84-2025)/12)</f>
        <v>51.933610116259</v>
      </c>
      <c r="AA84" s="88" t="n">
        <f aca="false">$AO$6*INDEX($Y$6:$AB$6,1,B84-2026)/12</f>
        <v>39.4666666666667</v>
      </c>
      <c r="AB84" s="88" t="n">
        <f aca="false">Z84+AB83</f>
        <v>1858.93867443541</v>
      </c>
      <c r="AC84" s="88" t="n">
        <f aca="false">AA84+AC83</f>
        <v>981.300000000001</v>
      </c>
      <c r="AD84" s="88" t="n">
        <f aca="false">MAX(AD83,AB84-AC84)</f>
        <v>877.638674435405</v>
      </c>
      <c r="AE84" s="88" t="n">
        <f aca="false">AD84-AD83</f>
        <v>12.4669434495922</v>
      </c>
      <c r="AF84" s="88" t="n">
        <f aca="false">IF(B84=2026,INDEX($C$7:$Q$7,1,B84-2025)*$AO$4*C84/MAX(0.0001,12-$AO$3),INDEX($C$7:$Q$7,1,B84-2025)/12)</f>
        <v>45.11289896006</v>
      </c>
      <c r="AG84" s="88" t="n">
        <f aca="false">$AO$6*INDEX($Y$7:$AB$7,1,B84-2026)/12</f>
        <v>21.575</v>
      </c>
      <c r="AH84" s="88" t="n">
        <f aca="false">AF84+AH83</f>
        <v>1614.79458880324</v>
      </c>
      <c r="AI84" s="88" t="n">
        <f aca="false">AG84+AI83</f>
        <v>535.875</v>
      </c>
      <c r="AJ84" s="88" t="n">
        <f aca="false">MAX(AJ83,AH84-AI84)</f>
        <v>1078.91958880324</v>
      </c>
      <c r="AK84" s="88" t="n">
        <f aca="false">AJ84-AJ83</f>
        <v>23.5378989600599</v>
      </c>
      <c r="AL84" s="88" t="n">
        <f aca="false">IF(B84=2026,INDEX($C$8:$Q$8,1,B84-2025)*$AO$4*C84/MAX(0.0001,12-$AO$3),INDEX($C$8:$Q$8,1,B84-2025)/12)</f>
        <v>11.4114321188341</v>
      </c>
      <c r="AM84" s="88" t="n">
        <f aca="false">$AO$6*INDEX($Y$8:$AB$8,1,B84-2026)/12</f>
        <v>1.375</v>
      </c>
      <c r="AN84" s="88" t="n">
        <f aca="false">AL84+AN83</f>
        <v>408.466741459088</v>
      </c>
      <c r="AO84" s="88" t="n">
        <f aca="false">AM84+AO83</f>
        <v>61.875</v>
      </c>
      <c r="AP84" s="88" t="n">
        <f aca="false">MAX(AP83,AN84-AO84)</f>
        <v>346.591741459088</v>
      </c>
      <c r="AQ84" s="88" t="n">
        <f aca="false">AP84-AP83</f>
        <v>10.0364321188341</v>
      </c>
      <c r="AR84" s="88" t="n">
        <f aca="false">IF(B84=2026,INDEX($C$9:$Q$9,1,B84-2025)*$AO$4*C84/MAX(0.0001,12-$AO$3),INDEX($C$9:$Q$9,1,B84-2025)/12)</f>
        <v>48.6576953186344</v>
      </c>
      <c r="AS84" s="88" t="n">
        <f aca="false">$AO$6*INDEX($Y$9:$AB$9,1,B84-2026)/12</f>
        <v>32.5916666666667</v>
      </c>
      <c r="AT84" s="88" t="n">
        <f aca="false">AR84+AT83</f>
        <v>1741.67887489851</v>
      </c>
      <c r="AU84" s="88" t="n">
        <f aca="false">AS84+AU83</f>
        <v>1185.025</v>
      </c>
      <c r="AV84" s="88" t="n">
        <f aca="false">MAX(AV83,AT84-AU84)</f>
        <v>556.653874898513</v>
      </c>
      <c r="AW84" s="88" t="n">
        <f aca="false">AV84-AV83</f>
        <v>16.0660286519676</v>
      </c>
      <c r="AX84" s="88" t="n">
        <f aca="false">IF(B84=2026,INDEX($C$10:$Q$10,1,B84-2025)*$AO$4*C84/MAX(0.0001,12-$AO$3),INDEX($C$10:$Q$10,1,B84-2025)/12)</f>
        <v>5.64404597663043</v>
      </c>
      <c r="AY84" s="88" t="n">
        <f aca="false">$AO$6*INDEX($Y$10:$AB$10,1,B84-2026)/12</f>
        <v>1.63333333333333</v>
      </c>
      <c r="AZ84" s="88" t="n">
        <f aca="false">AX84+AZ83</f>
        <v>202.025919684045</v>
      </c>
      <c r="BA84" s="88" t="n">
        <f aca="false">AY84+BA83</f>
        <v>44.8</v>
      </c>
      <c r="BB84" s="88" t="n">
        <f aca="false">MAX(BB83,AZ84-BA84)</f>
        <v>157.225919684045</v>
      </c>
      <c r="BC84" s="88" t="n">
        <f aca="false">BB84-BB83</f>
        <v>4.01071264329707</v>
      </c>
      <c r="BD84" s="88" t="n">
        <f aca="false">IF(B84=2026,INDEX($C$11:$Q$11,1,B84-2025)*$AO$4*C84/MAX(0.0001,12-$AO$3),INDEX($C$11:$Q$11,1,B84-2025)/12)</f>
        <v>28.0475536513497</v>
      </c>
      <c r="BE84" s="88" t="n">
        <f aca="false">$AO$6*INDEX($Y$11:$AB$11,1,B84-2026)/12</f>
        <v>2.175</v>
      </c>
      <c r="BF84" s="88" t="n">
        <f aca="false">BD84+BF83</f>
        <v>1003.94873549283</v>
      </c>
      <c r="BG84" s="88" t="n">
        <f aca="false">BE84+BG83</f>
        <v>233.475</v>
      </c>
      <c r="BH84" s="88" t="n">
        <f aca="false">MAX(BH83,BF84-BG84)</f>
        <v>770.473735492833</v>
      </c>
      <c r="BI84" s="88" t="n">
        <f aca="false">BH84-BH83</f>
        <v>25.8725536513497</v>
      </c>
      <c r="BJ84" s="88" t="n">
        <f aca="false">IF(B84=2026,INDEX($C$12:$Q$12,1,B84-2025)*$AO$4*C84/MAX(0.0001,12-$AO$3),INDEX($C$12:$Q$12,1,B84-2025)/12)</f>
        <v>15.3780518436687</v>
      </c>
      <c r="BK84" s="88" t="n">
        <f aca="false">$AO$6*INDEX($Y$12:$AB$12,1,B84-2026)/12</f>
        <v>3.65</v>
      </c>
      <c r="BL84" s="88" t="n">
        <f aca="false">BJ84+BL83</f>
        <v>550.449992705568</v>
      </c>
      <c r="BM84" s="88" t="n">
        <f aca="false">BK84+BM83</f>
        <v>92.65</v>
      </c>
      <c r="BN84" s="88" t="n">
        <f aca="false">MAX(BN83,BL84-BM84)</f>
        <v>457.799992705568</v>
      </c>
      <c r="BO84" s="88" t="n">
        <f aca="false">BN84-BN83</f>
        <v>11.7280518436688</v>
      </c>
      <c r="BP84" s="88" t="n">
        <f aca="false">IF(B84=2026,INDEX($C$13:$Q$13,1,B84-2025)*$AO$4*C84/MAX(0.0001,12-$AO$3),INDEX($C$13:$Q$13,1,B84-2025)/12)</f>
        <v>4.80560220169792</v>
      </c>
      <c r="BQ84" s="88" t="n">
        <f aca="false">$AO$6*INDEX($Y$13:$AB$13,1,B84-2026)/12</f>
        <v>2.40833333333333</v>
      </c>
      <c r="BR84" s="88" t="n">
        <f aca="false">BP84+BR83</f>
        <v>172.014226753927</v>
      </c>
      <c r="BS84" s="88" t="n">
        <f aca="false">BQ84+BS83</f>
        <v>79.075</v>
      </c>
      <c r="BT84" s="88" t="n">
        <f aca="false">MAX(BT83,BR84-BS84)</f>
        <v>92.939226753927</v>
      </c>
      <c r="BU84" s="88" t="n">
        <f aca="false">BT84-BT83</f>
        <v>2.39726886836459</v>
      </c>
      <c r="BV84" s="88" t="n">
        <f aca="false">IF(B84=2026,INDEX($C$14:$Q$14,1,B84-2025)*$AO$4*C84/MAX(0.0001,12-$AO$3),INDEX($C$14:$Q$14,1,B84-2025)/12)</f>
        <v>2.85021923686911</v>
      </c>
      <c r="BW84" s="88" t="n">
        <f aca="false">$AO$6*INDEX($Y$14:$AB$14,1,B84-2026)/12</f>
        <v>0</v>
      </c>
      <c r="BX84" s="88" t="n">
        <f aca="false">BV84+BX83</f>
        <v>102.02223104026</v>
      </c>
      <c r="BY84" s="88" t="n">
        <f aca="false">BW84+BY83</f>
        <v>0</v>
      </c>
      <c r="BZ84" s="88" t="n">
        <f aca="false">MAX(BZ83,BX84-BY84)</f>
        <v>102.02223104026</v>
      </c>
      <c r="CA84" s="88" t="n">
        <f aca="false">BZ84-BZ83</f>
        <v>2.85021923686911</v>
      </c>
      <c r="CB84" s="88" t="n">
        <f aca="false">IF(B84=2026,INDEX($C$15:$Q$15,1,B84-2025)*$AO$4*C84/MAX(0.0001,12-$AO$3),INDEX($C$15:$Q$15,1,B84-2025)/12)</f>
        <v>4.67303386509936</v>
      </c>
      <c r="CC84" s="88" t="n">
        <f aca="false">$AO$6*INDEX($Y$15:$AB$15,1,B84-2026)/12</f>
        <v>0.483333333333333</v>
      </c>
      <c r="CD84" s="88" t="n">
        <f aca="false">CB84+CD83</f>
        <v>167.269006705543</v>
      </c>
      <c r="CE84" s="88" t="n">
        <f aca="false">CC84+CE83</f>
        <v>86.5500000000001</v>
      </c>
      <c r="CF84" s="88" t="n">
        <f aca="false">MAX(CF83,CD84-CE84)</f>
        <v>80.7190067055426</v>
      </c>
      <c r="CG84" s="88" t="n">
        <f aca="false">CF84-CF83</f>
        <v>4.18970053176601</v>
      </c>
      <c r="CH84" s="88" t="n">
        <f aca="false">IF(B84=2026,INDEX($C$16:$Q$16,1,B84-2025)*$AO$4*C84/MAX(0.0001,12-$AO$3),INDEX($C$16:$Q$16,1,B84-2025)/12)</f>
        <v>3.69534238268495</v>
      </c>
      <c r="CI84" s="88" t="n">
        <f aca="false">$AO$6*INDEX($Y$16:$AB$16,1,B84-2026)/12</f>
        <v>0</v>
      </c>
      <c r="CJ84" s="88" t="n">
        <f aca="false">CH84+CJ83</f>
        <v>132.273008848709</v>
      </c>
      <c r="CK84" s="88" t="n">
        <f aca="false">CI84+CK83</f>
        <v>70</v>
      </c>
      <c r="CL84" s="88" t="n">
        <f aca="false">MAX(CL83,CJ84-CK84)</f>
        <v>62.2730088487094</v>
      </c>
      <c r="CM84" s="88" t="n">
        <f aca="false">CL84-CL83</f>
        <v>3.69534238268494</v>
      </c>
      <c r="CN84" s="88" t="n">
        <f aca="false">IF(B84=2026,INDEX($C$17:$Q$17,1,B84-2025)*$AO$4*C84/MAX(0.0001,12-$AO$3),INDEX($C$17:$Q$17,1,B84-2025)/12)</f>
        <v>16.0904818546506</v>
      </c>
      <c r="CO84" s="88" t="n">
        <f aca="false">$AO$6*INDEX($Y$17:$AB$17,1,B84-2026)/12</f>
        <v>1.23333333333333</v>
      </c>
      <c r="CP84" s="88" t="n">
        <f aca="false">CN84+CP83</f>
        <v>575.951083372632</v>
      </c>
      <c r="CQ84" s="88" t="n">
        <f aca="false">CO84+CQ83</f>
        <v>217.3</v>
      </c>
      <c r="CR84" s="88" t="n">
        <f aca="false">MAX(CR83,CP84-CQ84)</f>
        <v>358.651083372632</v>
      </c>
      <c r="CS84" s="88" t="n">
        <f aca="false">CR84-CR83</f>
        <v>14.8571485213174</v>
      </c>
      <c r="CT84" s="88" t="n">
        <f aca="false">IF(B84=2026,INDEX($C$18:$Q$18,1,B84-2025)*$AO$4*C84/MAX(0.0001,12-$AO$3),INDEX($C$18:$Q$18,1,B84-2025)/12)</f>
        <v>3.34735049911372</v>
      </c>
      <c r="CU84" s="88" t="n">
        <f aca="false">$AO$6*INDEX($Y$18:$AB$18,1,B84-2026)/12</f>
        <v>0</v>
      </c>
      <c r="CV84" s="88" t="n">
        <f aca="false">CT84+CV83</f>
        <v>119.816806221701</v>
      </c>
      <c r="CW84" s="88" t="n">
        <f aca="false">CU84+CW83</f>
        <v>11</v>
      </c>
      <c r="CX84" s="88" t="n">
        <f aca="false">MAX(CX83,CV84-CW84)</f>
        <v>108.816806221701</v>
      </c>
      <c r="CY84" s="88" t="n">
        <f aca="false">CX84-CX83</f>
        <v>3.34735049911373</v>
      </c>
      <c r="CZ84" s="88" t="n">
        <f aca="false">IF(B84=2026,INDEX($C$19:$Q$19,1,B84-2025)*$AO$4*C84/MAX(0.0001,12-$AO$3),INDEX($C$19:$Q$19,1,B84-2025)/12)</f>
        <v>3.31420841496408</v>
      </c>
      <c r="DA84" s="88" t="n">
        <f aca="false">$AO$6*INDEX($Y$19:$AB$19,1,B84-2026)/12</f>
        <v>8.31666666666667</v>
      </c>
      <c r="DB84" s="88" t="n">
        <f aca="false">CZ84+DB83</f>
        <v>118.630501209605</v>
      </c>
      <c r="DC84" s="88" t="n">
        <f aca="false">DA84+DC83</f>
        <v>178.85</v>
      </c>
      <c r="DD84" s="88" t="n">
        <f aca="false">MAX(DD83,DB84-DC84)</f>
        <v>37.132124495359</v>
      </c>
      <c r="DE84" s="88" t="n">
        <f aca="false">DD84-DD83</f>
        <v>0</v>
      </c>
      <c r="DF84" s="88" t="n">
        <f aca="false">IF(B84=2026,INDEX($C$20:$Q$20,1,B84-2025)*$AO$4*C84/MAX(0.0001,12-$AO$3),INDEX($C$20:$Q$20,1,B84-2025)/12)</f>
        <v>2.70107985819573</v>
      </c>
      <c r="DG84" s="88" t="n">
        <f aca="false">$AO$6*INDEX($Y$20:$AB$20,1,B84-2026)/12</f>
        <v>0</v>
      </c>
      <c r="DH84" s="88" t="n">
        <f aca="false">DF84+DH83</f>
        <v>96.6838584858279</v>
      </c>
      <c r="DI84" s="88" t="n">
        <f aca="false">DG84+DI83</f>
        <v>0</v>
      </c>
      <c r="DJ84" s="88" t="n">
        <f aca="false">MAX(DJ83,DH84-DI84)</f>
        <v>96.6838584858279</v>
      </c>
      <c r="DK84" s="88" t="n">
        <f aca="false">DJ84-DJ83</f>
        <v>2.70107985819573</v>
      </c>
      <c r="DL84" s="88" t="n">
        <f aca="false">IF(B84=2026,INDEX($C$21:$Q$21,1,B84-2025)*$AO$4*C84/MAX(0.0001,12-$AO$3),INDEX($C$21:$Q$21,1,B84-2025)/12)</f>
        <v>1.88909879652953</v>
      </c>
      <c r="DM84" s="88" t="n">
        <f aca="false">$AO$6*INDEX($Y$21:$AB$21,1,B84-2026)/12</f>
        <v>4.425</v>
      </c>
      <c r="DN84" s="88" t="n">
        <f aca="false">DL84+DN83</f>
        <v>67.6193856894747</v>
      </c>
      <c r="DO84" s="88" t="n">
        <f aca="false">DM84+DO83</f>
        <v>86.725</v>
      </c>
      <c r="DP84" s="88" t="n">
        <f aca="false">MAX(DP83,DN84-DO84)</f>
        <v>17.7483109623547</v>
      </c>
      <c r="DQ84" s="88" t="n">
        <f aca="false">DP84-DP83</f>
        <v>0</v>
      </c>
      <c r="DR84" s="88" t="n">
        <f aca="false">IF(B84=2026,INDEX($C$22:$Q$22,1,B84-2025)*$AO$4*C84/MAX(0.0001,12-$AO$3),INDEX($C$22:$Q$22,1,B84-2025)/12)</f>
        <v>1.47482274465902</v>
      </c>
      <c r="DS84" s="88" t="n">
        <f aca="false">$AO$6*INDEX($Y$22:$AB$22,1,B84-2026)/12</f>
        <v>0.216666666666667</v>
      </c>
      <c r="DT84" s="88" t="n">
        <f aca="false">DR84+DT83</f>
        <v>52.7905730382741</v>
      </c>
      <c r="DU84" s="88" t="n">
        <f aca="false">DS84+DU83</f>
        <v>28.35</v>
      </c>
      <c r="DV84" s="88" t="n">
        <f aca="false">MAX(DV83,DT84-DU84)</f>
        <v>24.4405730382741</v>
      </c>
      <c r="DW84" s="88" t="n">
        <f aca="false">DV84-DV83</f>
        <v>1.25815607799235</v>
      </c>
      <c r="DX84" s="88" t="n">
        <f aca="false">IF(B84=2026,INDEX($C$23:$Q$23,1,B84-2025)*$AO$4*C84/MAX(0.0001,12-$AO$3),INDEX($C$23:$Q$23,1,B84-2025)/12)</f>
        <v>2.36965901669932</v>
      </c>
      <c r="DY84" s="88" t="n">
        <f aca="false">$AO$6*INDEX($Y$23:$AB$23,1,B84-2026)/12</f>
        <v>2.94166666666667</v>
      </c>
      <c r="DZ84" s="88" t="n">
        <f aca="false">DX84+DZ83</f>
        <v>84.8208083648674</v>
      </c>
      <c r="EA84" s="88" t="n">
        <f aca="false">DY84+EA83</f>
        <v>112.175</v>
      </c>
      <c r="EB84" s="88" t="n">
        <f aca="false">MAX(EB83,DZ84-EA84)</f>
        <v>35.0579690141817</v>
      </c>
      <c r="EC84" s="88" t="n">
        <f aca="false">EB84-EB83</f>
        <v>0</v>
      </c>
      <c r="ED84" s="88" t="n">
        <f aca="false">IF(B84=2026,INDEX($C$24:$Q$24,1,B84-2025)*$AO$4*C84/MAX(0.0001,12-$AO$3),INDEX($C$24:$Q$24,1,B84-2025)/12)</f>
        <v>1.4582517025842</v>
      </c>
      <c r="EE84" s="88" t="n">
        <f aca="false">$AO$6*INDEX($Y$24:$AB$24,1,B84-2026)/12</f>
        <v>0</v>
      </c>
      <c r="EF84" s="88" t="n">
        <f aca="false">ED84+EF83</f>
        <v>52.1974205322261</v>
      </c>
      <c r="EG84" s="88" t="n">
        <f aca="false">EE84+EG83</f>
        <v>0</v>
      </c>
      <c r="EH84" s="88" t="n">
        <f aca="false">MAX(EH83,EF84-EG84)</f>
        <v>52.1974205322261</v>
      </c>
      <c r="EI84" s="88" t="n">
        <f aca="false">EH84-EH83</f>
        <v>1.4582517025842</v>
      </c>
      <c r="EJ84" s="88" t="n">
        <f aca="false">IF(B84=2026,INDEX($C$25:$Q$25,1,B84-2025)*$AO$4*C84/MAX(0.0001,12-$AO$3),INDEX($C$25:$Q$25,1,B84-2025)/12)</f>
        <v>1.85595671237989</v>
      </c>
      <c r="EK84" s="88" t="n">
        <f aca="false">$AO$6*INDEX($Y$25:$AB$25,1,B84-2026)/12</f>
        <v>0</v>
      </c>
      <c r="EL84" s="88" t="n">
        <f aca="false">EJ84+EL83</f>
        <v>66.4330806773787</v>
      </c>
      <c r="EM84" s="88" t="n">
        <f aca="false">EK84+EM83</f>
        <v>14</v>
      </c>
      <c r="EN84" s="88" t="n">
        <f aca="false">MAX(EN83,EL84-EM84)</f>
        <v>52.4330806773787</v>
      </c>
      <c r="EO84" s="88" t="n">
        <f aca="false">EN84-EN83</f>
        <v>1.85595671237989</v>
      </c>
      <c r="EP84" s="88" t="n">
        <f aca="false">IF(B84=2026,INDEX($C$26:$Q$26,1,B84-2025)*$AO$4*C84/MAX(0.0001,12-$AO$3),INDEX($C$26:$Q$26,1,B84-2025)/12)</f>
        <v>2.66793777404609</v>
      </c>
      <c r="EQ84" s="88" t="n">
        <f aca="false">$AO$6*INDEX($Y$26:$AB$26,1,B84-2026)/12</f>
        <v>0</v>
      </c>
      <c r="ER84" s="88" t="n">
        <f aca="false">EP84+ER83</f>
        <v>95.4975534737318</v>
      </c>
      <c r="ES84" s="88" t="n">
        <f aca="false">EQ84+ES83</f>
        <v>4</v>
      </c>
      <c r="ET84" s="88" t="n">
        <f aca="false">MAX(ET83,ER84-ES84)</f>
        <v>91.4975534737318</v>
      </c>
      <c r="EU84" s="88" t="n">
        <f aca="false">ET84-ET83</f>
        <v>2.66793777404608</v>
      </c>
      <c r="EV84" s="88" t="n">
        <f aca="false">IF(B84=2026,INDEX($C$27:$Q$27,1,B84-2025)*$AO$4*C84/MAX(0.0001,12-$AO$3),INDEX($C$27:$Q$27,1,B84-2025)/12)</f>
        <v>6.62841682992816</v>
      </c>
      <c r="EW84" s="88" t="n">
        <f aca="false">$AO$6*INDEX($Y$27:$AB$27,1,B84-2026)/12</f>
        <v>5.625</v>
      </c>
      <c r="EX84" s="88" t="n">
        <f aca="false">EV84+EX83</f>
        <v>237.26100241921</v>
      </c>
      <c r="EY84" s="88" t="n">
        <f aca="false">EW84+EY83</f>
        <v>369.125</v>
      </c>
      <c r="EZ84" s="88" t="n">
        <f aca="false">MAX(EZ83,EX84-EY84)</f>
        <v>0</v>
      </c>
      <c r="FA84" s="88" t="n">
        <f aca="false">EZ84-EZ83</f>
        <v>0</v>
      </c>
      <c r="FB84" s="88" t="n">
        <f aca="false">IF(B84=2026,INDEX($C$28:$Q$28,1,B84-2025)*$AO$4*C84/MAX(0.0001,12-$AO$3),INDEX($C$28:$Q$28,1,B84-2025)/12)</f>
        <v>34.6997621046739</v>
      </c>
      <c r="FC84" s="88" t="n">
        <f aca="false">$AO$6*INDEX($Y$28:$AB$28,1,B84-2026)/12</f>
        <v>2.05833333333333</v>
      </c>
      <c r="FD84" s="88" t="n">
        <f aca="false">FB84+FD83</f>
        <v>1242.06134766456</v>
      </c>
      <c r="FE84" s="88" t="n">
        <f aca="false">FC84+FE83</f>
        <v>162.825</v>
      </c>
      <c r="FF84" s="88" t="n">
        <f aca="false">MAX(FF83,FD84-FE84)</f>
        <v>1079.23634766456</v>
      </c>
      <c r="FG84" s="88" t="n">
        <f aca="false">FF84-FF83</f>
        <v>32.6414287713405</v>
      </c>
    </row>
    <row r="85" customFormat="false" ht="15" hidden="false" customHeight="false" outlineLevel="0" collapsed="false">
      <c r="A85" s="0" t="n">
        <v>45</v>
      </c>
      <c r="B85" s="88" t="n">
        <f aca="false">2026+INT(A85/12)</f>
        <v>2029</v>
      </c>
      <c r="C85" s="88" t="n">
        <f aca="false">MAX(0,MIN(1,A85+1-$AO$3))</f>
        <v>1</v>
      </c>
      <c r="D85" s="88" t="n">
        <f aca="false">IF((A85+0.5-(0))&lt;$AO$3,0,2026+INT((A85+0.5-(0))/12))</f>
        <v>2029</v>
      </c>
      <c r="E85" s="88" t="n">
        <f aca="false">IF((A85+0.5-($AO$9))&lt;$AO$3,0,2026+INT((A85+0.5-($AO$9))/12))</f>
        <v>2028</v>
      </c>
      <c r="F85" s="88" t="n">
        <f aca="false">IF((A85+0.5-($AO$9+$AO$8))&lt;$AO$3,0,2026+INT((A85+0.5-($AO$9+$AO$8))/12))</f>
        <v>2027</v>
      </c>
      <c r="G85" s="88" t="n">
        <f aca="false">IF((A85+0.5-($AO$9+$AO$8+$AO$7))&lt;$AO$3,0,2026+INT((A85+0.5-($AO$9+$AO$8+$AO$7))/12))</f>
        <v>2026</v>
      </c>
      <c r="H85" s="88" t="n">
        <f aca="false">IF(B85=2026,INDEX($C$3:$Q$3,1,B85-2025)*$AO$4*C85/MAX(0.0001,12-$AO$3),INDEX($C$3:$Q$3,1,B85-2025)/12)</f>
        <v>355.25</v>
      </c>
      <c r="I85" s="88" t="n">
        <f aca="false">$AO$6*INDEX($Y$3:$AB$3,1,B85-2026)/12</f>
        <v>162.891666666667</v>
      </c>
      <c r="J85" s="88" t="n">
        <f aca="false">H85+J84</f>
        <v>13071.2534246575</v>
      </c>
      <c r="K85" s="88" t="n">
        <f aca="false">I85+K84</f>
        <v>5945.01666666667</v>
      </c>
      <c r="L85" s="88" t="n">
        <f aca="false">MAX(L84,J85-K85)</f>
        <v>7126.23675799087</v>
      </c>
      <c r="M85" s="88" t="n">
        <f aca="false">L85-L84</f>
        <v>192.358333333334</v>
      </c>
      <c r="N85" s="88" t="n">
        <f aca="false">IF(B85=2026,INDEX($C$4:$Q$4,1,B85-2025)*$AO$4*C85/MAX(0.0001,12-$AO$3),INDEX($C$4:$Q$4,1,B85-2025)/12)</f>
        <v>10.7700632578534</v>
      </c>
      <c r="O85" s="88" t="n">
        <f aca="false">$AO$6*INDEX($Y$4:$AB$4,1,B85-2026)/12</f>
        <v>7.375</v>
      </c>
      <c r="P85" s="88" t="n">
        <f aca="false">N85+P84</f>
        <v>396.279313843755</v>
      </c>
      <c r="Q85" s="88" t="n">
        <f aca="false">O85+Q84</f>
        <v>298.45</v>
      </c>
      <c r="R85" s="88" t="n">
        <f aca="false">MAX(R84,P85-Q85)</f>
        <v>97.8293138437547</v>
      </c>
      <c r="S85" s="88" t="n">
        <f aca="false">R85-R84</f>
        <v>3.39506325785334</v>
      </c>
      <c r="T85" s="88" t="n">
        <f aca="false">IF(B85=2026,INDEX($C$5:$Q$5,1,B85-2025)*$AO$4*C85/MAX(0.0001,12-$AO$3),INDEX($C$5:$Q$5,1,B85-2025)/12)</f>
        <v>43.7734247619348</v>
      </c>
      <c r="U85" s="88" t="n">
        <f aca="false">$AO$6*INDEX($Y$5:$AB$5,1,B85-2026)/12</f>
        <v>25.3416666666667</v>
      </c>
      <c r="V85" s="88" t="n">
        <f aca="false">T85+V84</f>
        <v>1610.62217685694</v>
      </c>
      <c r="W85" s="88" t="n">
        <f aca="false">U85+W84</f>
        <v>961.416666666667</v>
      </c>
      <c r="X85" s="88" t="n">
        <f aca="false">MAX(X84,V85-W85)</f>
        <v>649.205510190278</v>
      </c>
      <c r="Y85" s="88" t="n">
        <f aca="false">X85-X84</f>
        <v>18.4317580952682</v>
      </c>
      <c r="Z85" s="88" t="n">
        <f aca="false">IF(B85=2026,INDEX($C$6:$Q$6,1,B85-2025)*$AO$4*C85/MAX(0.0001,12-$AO$3),INDEX($C$6:$Q$6,1,B85-2025)/12)</f>
        <v>51.933610116259</v>
      </c>
      <c r="AA85" s="88" t="n">
        <f aca="false">$AO$6*INDEX($Y$6:$AB$6,1,B85-2026)/12</f>
        <v>39.4666666666667</v>
      </c>
      <c r="AB85" s="88" t="n">
        <f aca="false">Z85+AB84</f>
        <v>1910.87228455166</v>
      </c>
      <c r="AC85" s="88" t="n">
        <f aca="false">AA85+AC84</f>
        <v>1020.76666666667</v>
      </c>
      <c r="AD85" s="88" t="n">
        <f aca="false">MAX(AD84,AB85-AC85)</f>
        <v>890.105617884997</v>
      </c>
      <c r="AE85" s="88" t="n">
        <f aca="false">AD85-AD84</f>
        <v>12.4669434495922</v>
      </c>
      <c r="AF85" s="88" t="n">
        <f aca="false">IF(B85=2026,INDEX($C$7:$Q$7,1,B85-2025)*$AO$4*C85/MAX(0.0001,12-$AO$3),INDEX($C$7:$Q$7,1,B85-2025)/12)</f>
        <v>45.11289896006</v>
      </c>
      <c r="AG85" s="88" t="n">
        <f aca="false">$AO$6*INDEX($Y$7:$AB$7,1,B85-2026)/12</f>
        <v>21.575</v>
      </c>
      <c r="AH85" s="88" t="n">
        <f aca="false">AF85+AH84</f>
        <v>1659.9074877633</v>
      </c>
      <c r="AI85" s="88" t="n">
        <f aca="false">AG85+AI84</f>
        <v>557.45</v>
      </c>
      <c r="AJ85" s="88" t="n">
        <f aca="false">MAX(AJ84,AH85-AI85)</f>
        <v>1102.4574877633</v>
      </c>
      <c r="AK85" s="88" t="n">
        <f aca="false">AJ85-AJ84</f>
        <v>23.5378989600599</v>
      </c>
      <c r="AL85" s="88" t="n">
        <f aca="false">IF(B85=2026,INDEX($C$8:$Q$8,1,B85-2025)*$AO$4*C85/MAX(0.0001,12-$AO$3),INDEX($C$8:$Q$8,1,B85-2025)/12)</f>
        <v>11.4114321188341</v>
      </c>
      <c r="AM85" s="88" t="n">
        <f aca="false">$AO$6*INDEX($Y$8:$AB$8,1,B85-2026)/12</f>
        <v>1.375</v>
      </c>
      <c r="AN85" s="88" t="n">
        <f aca="false">AL85+AN84</f>
        <v>419.878173577922</v>
      </c>
      <c r="AO85" s="88" t="n">
        <f aca="false">AM85+AO84</f>
        <v>63.25</v>
      </c>
      <c r="AP85" s="88" t="n">
        <f aca="false">MAX(AP84,AN85-AO85)</f>
        <v>356.628173577922</v>
      </c>
      <c r="AQ85" s="88" t="n">
        <f aca="false">AP85-AP84</f>
        <v>10.0364321188341</v>
      </c>
      <c r="AR85" s="88" t="n">
        <f aca="false">IF(B85=2026,INDEX($C$9:$Q$9,1,B85-2025)*$AO$4*C85/MAX(0.0001,12-$AO$3),INDEX($C$9:$Q$9,1,B85-2025)/12)</f>
        <v>48.6576953186344</v>
      </c>
      <c r="AS85" s="88" t="n">
        <f aca="false">$AO$6*INDEX($Y$9:$AB$9,1,B85-2026)/12</f>
        <v>32.5916666666667</v>
      </c>
      <c r="AT85" s="88" t="n">
        <f aca="false">AR85+AT84</f>
        <v>1790.33657021715</v>
      </c>
      <c r="AU85" s="88" t="n">
        <f aca="false">AS85+AU84</f>
        <v>1217.61666666667</v>
      </c>
      <c r="AV85" s="88" t="n">
        <f aca="false">MAX(AV84,AT85-AU85)</f>
        <v>572.719903550481</v>
      </c>
      <c r="AW85" s="88" t="n">
        <f aca="false">AV85-AV84</f>
        <v>16.0660286519676</v>
      </c>
      <c r="AX85" s="88" t="n">
        <f aca="false">IF(B85=2026,INDEX($C$10:$Q$10,1,B85-2025)*$AO$4*C85/MAX(0.0001,12-$AO$3),INDEX($C$10:$Q$10,1,B85-2025)/12)</f>
        <v>5.64404597663043</v>
      </c>
      <c r="AY85" s="88" t="n">
        <f aca="false">$AO$6*INDEX($Y$10:$AB$10,1,B85-2026)/12</f>
        <v>1.63333333333333</v>
      </c>
      <c r="AZ85" s="88" t="n">
        <f aca="false">AX85+AZ84</f>
        <v>207.669965660676</v>
      </c>
      <c r="BA85" s="88" t="n">
        <f aca="false">AY85+BA84</f>
        <v>46.4333333333333</v>
      </c>
      <c r="BB85" s="88" t="n">
        <f aca="false">MAX(BB84,AZ85-BA85)</f>
        <v>161.236632327342</v>
      </c>
      <c r="BC85" s="88" t="n">
        <f aca="false">BB85-BB84</f>
        <v>4.0107126432971</v>
      </c>
      <c r="BD85" s="88" t="n">
        <f aca="false">IF(B85=2026,INDEX($C$11:$Q$11,1,B85-2025)*$AO$4*C85/MAX(0.0001,12-$AO$3),INDEX($C$11:$Q$11,1,B85-2025)/12)</f>
        <v>28.0475536513497</v>
      </c>
      <c r="BE85" s="88" t="n">
        <f aca="false">$AO$6*INDEX($Y$11:$AB$11,1,B85-2026)/12</f>
        <v>2.175</v>
      </c>
      <c r="BF85" s="88" t="n">
        <f aca="false">BD85+BF84</f>
        <v>1031.99628914418</v>
      </c>
      <c r="BG85" s="88" t="n">
        <f aca="false">BE85+BG84</f>
        <v>235.65</v>
      </c>
      <c r="BH85" s="88" t="n">
        <f aca="false">MAX(BH84,BF85-BG85)</f>
        <v>796.346289144182</v>
      </c>
      <c r="BI85" s="88" t="n">
        <f aca="false">BH85-BH84</f>
        <v>25.8725536513497</v>
      </c>
      <c r="BJ85" s="88" t="n">
        <f aca="false">IF(B85=2026,INDEX($C$12:$Q$12,1,B85-2025)*$AO$4*C85/MAX(0.0001,12-$AO$3),INDEX($C$12:$Q$12,1,B85-2025)/12)</f>
        <v>15.3780518436687</v>
      </c>
      <c r="BK85" s="88" t="n">
        <f aca="false">$AO$6*INDEX($Y$12:$AB$12,1,B85-2026)/12</f>
        <v>3.65</v>
      </c>
      <c r="BL85" s="88" t="n">
        <f aca="false">BJ85+BL84</f>
        <v>565.828044549236</v>
      </c>
      <c r="BM85" s="88" t="n">
        <f aca="false">BK85+BM84</f>
        <v>96.3</v>
      </c>
      <c r="BN85" s="88" t="n">
        <f aca="false">MAX(BN84,BL85-BM85)</f>
        <v>469.528044549236</v>
      </c>
      <c r="BO85" s="88" t="n">
        <f aca="false">BN85-BN84</f>
        <v>11.7280518436688</v>
      </c>
      <c r="BP85" s="88" t="n">
        <f aca="false">IF(B85=2026,INDEX($C$13:$Q$13,1,B85-2025)*$AO$4*C85/MAX(0.0001,12-$AO$3),INDEX($C$13:$Q$13,1,B85-2025)/12)</f>
        <v>4.80560220169792</v>
      </c>
      <c r="BQ85" s="88" t="n">
        <f aca="false">$AO$6*INDEX($Y$13:$AB$13,1,B85-2026)/12</f>
        <v>2.40833333333333</v>
      </c>
      <c r="BR85" s="88" t="n">
        <f aca="false">BP85+BR84</f>
        <v>176.819828955625</v>
      </c>
      <c r="BS85" s="88" t="n">
        <f aca="false">BQ85+BS84</f>
        <v>81.4833333333333</v>
      </c>
      <c r="BT85" s="88" t="n">
        <f aca="false">MAX(BT84,BR85-BS85)</f>
        <v>95.3364956222916</v>
      </c>
      <c r="BU85" s="88" t="n">
        <f aca="false">BT85-BT84</f>
        <v>2.39726886836459</v>
      </c>
      <c r="BV85" s="88" t="n">
        <f aca="false">IF(B85=2026,INDEX($C$14:$Q$14,1,B85-2025)*$AO$4*C85/MAX(0.0001,12-$AO$3),INDEX($C$14:$Q$14,1,B85-2025)/12)</f>
        <v>2.85021923686911</v>
      </c>
      <c r="BW85" s="88" t="n">
        <f aca="false">$AO$6*INDEX($Y$14:$AB$14,1,B85-2026)/12</f>
        <v>0</v>
      </c>
      <c r="BX85" s="88" t="n">
        <f aca="false">BV85+BX84</f>
        <v>104.872450277129</v>
      </c>
      <c r="BY85" s="88" t="n">
        <f aca="false">BW85+BY84</f>
        <v>0</v>
      </c>
      <c r="BZ85" s="88" t="n">
        <f aca="false">MAX(BZ84,BX85-BY85)</f>
        <v>104.872450277129</v>
      </c>
      <c r="CA85" s="88" t="n">
        <f aca="false">BZ85-BZ84</f>
        <v>2.85021923686911</v>
      </c>
      <c r="CB85" s="88" t="n">
        <f aca="false">IF(B85=2026,INDEX($C$15:$Q$15,1,B85-2025)*$AO$4*C85/MAX(0.0001,12-$AO$3),INDEX($C$15:$Q$15,1,B85-2025)/12)</f>
        <v>4.67303386509936</v>
      </c>
      <c r="CC85" s="88" t="n">
        <f aca="false">$AO$6*INDEX($Y$15:$AB$15,1,B85-2026)/12</f>
        <v>0.483333333333333</v>
      </c>
      <c r="CD85" s="88" t="n">
        <f aca="false">CB85+CD84</f>
        <v>171.942040570642</v>
      </c>
      <c r="CE85" s="88" t="n">
        <f aca="false">CC85+CE84</f>
        <v>87.0333333333334</v>
      </c>
      <c r="CF85" s="88" t="n">
        <f aca="false">MAX(CF84,CD85-CE85)</f>
        <v>84.9087072373086</v>
      </c>
      <c r="CG85" s="88" t="n">
        <f aca="false">CF85-CF84</f>
        <v>4.18970053176601</v>
      </c>
      <c r="CH85" s="88" t="n">
        <f aca="false">IF(B85=2026,INDEX($C$16:$Q$16,1,B85-2025)*$AO$4*C85/MAX(0.0001,12-$AO$3),INDEX($C$16:$Q$16,1,B85-2025)/12)</f>
        <v>3.69534238268495</v>
      </c>
      <c r="CI85" s="88" t="n">
        <f aca="false">$AO$6*INDEX($Y$16:$AB$16,1,B85-2026)/12</f>
        <v>0</v>
      </c>
      <c r="CJ85" s="88" t="n">
        <f aca="false">CH85+CJ84</f>
        <v>135.968351231394</v>
      </c>
      <c r="CK85" s="88" t="n">
        <f aca="false">CI85+CK84</f>
        <v>70</v>
      </c>
      <c r="CL85" s="88" t="n">
        <f aca="false">MAX(CL84,CJ85-CK85)</f>
        <v>65.9683512313943</v>
      </c>
      <c r="CM85" s="88" t="n">
        <f aca="false">CL85-CL84</f>
        <v>3.69534238268494</v>
      </c>
      <c r="CN85" s="88" t="n">
        <f aca="false">IF(B85=2026,INDEX($C$17:$Q$17,1,B85-2025)*$AO$4*C85/MAX(0.0001,12-$AO$3),INDEX($C$17:$Q$17,1,B85-2025)/12)</f>
        <v>16.0904818546506</v>
      </c>
      <c r="CO85" s="88" t="n">
        <f aca="false">$AO$6*INDEX($Y$17:$AB$17,1,B85-2026)/12</f>
        <v>1.23333333333333</v>
      </c>
      <c r="CP85" s="88" t="n">
        <f aca="false">CN85+CP84</f>
        <v>592.041565227282</v>
      </c>
      <c r="CQ85" s="88" t="n">
        <f aca="false">CO85+CQ84</f>
        <v>218.533333333333</v>
      </c>
      <c r="CR85" s="88" t="n">
        <f aca="false">MAX(CR84,CP85-CQ85)</f>
        <v>373.508231893949</v>
      </c>
      <c r="CS85" s="88" t="n">
        <f aca="false">CR85-CR84</f>
        <v>14.8571485213174</v>
      </c>
      <c r="CT85" s="88" t="n">
        <f aca="false">IF(B85=2026,INDEX($C$18:$Q$18,1,B85-2025)*$AO$4*C85/MAX(0.0001,12-$AO$3),INDEX($C$18:$Q$18,1,B85-2025)/12)</f>
        <v>3.34735049911372</v>
      </c>
      <c r="CU85" s="88" t="n">
        <f aca="false">$AO$6*INDEX($Y$18:$AB$18,1,B85-2026)/12</f>
        <v>0</v>
      </c>
      <c r="CV85" s="88" t="n">
        <f aca="false">CT85+CV84</f>
        <v>123.164156720815</v>
      </c>
      <c r="CW85" s="88" t="n">
        <f aca="false">CU85+CW84</f>
        <v>11</v>
      </c>
      <c r="CX85" s="88" t="n">
        <f aca="false">MAX(CX84,CV85-CW85)</f>
        <v>112.164156720815</v>
      </c>
      <c r="CY85" s="88" t="n">
        <f aca="false">CX85-CX84</f>
        <v>3.34735049911373</v>
      </c>
      <c r="CZ85" s="88" t="n">
        <f aca="false">IF(B85=2026,INDEX($C$19:$Q$19,1,B85-2025)*$AO$4*C85/MAX(0.0001,12-$AO$3),INDEX($C$19:$Q$19,1,B85-2025)/12)</f>
        <v>3.31420841496408</v>
      </c>
      <c r="DA85" s="88" t="n">
        <f aca="false">$AO$6*INDEX($Y$19:$AB$19,1,B85-2026)/12</f>
        <v>8.31666666666667</v>
      </c>
      <c r="DB85" s="88" t="n">
        <f aca="false">CZ85+DB84</f>
        <v>121.944709624569</v>
      </c>
      <c r="DC85" s="88" t="n">
        <f aca="false">DA85+DC84</f>
        <v>187.166666666667</v>
      </c>
      <c r="DD85" s="88" t="n">
        <f aca="false">MAX(DD84,DB85-DC85)</f>
        <v>37.132124495359</v>
      </c>
      <c r="DE85" s="88" t="n">
        <f aca="false">DD85-DD84</f>
        <v>0</v>
      </c>
      <c r="DF85" s="88" t="n">
        <f aca="false">IF(B85=2026,INDEX($C$20:$Q$20,1,B85-2025)*$AO$4*C85/MAX(0.0001,12-$AO$3),INDEX($C$20:$Q$20,1,B85-2025)/12)</f>
        <v>2.70107985819573</v>
      </c>
      <c r="DG85" s="88" t="n">
        <f aca="false">$AO$6*INDEX($Y$20:$AB$20,1,B85-2026)/12</f>
        <v>0</v>
      </c>
      <c r="DH85" s="88" t="n">
        <f aca="false">DF85+DH84</f>
        <v>99.3849383440236</v>
      </c>
      <c r="DI85" s="88" t="n">
        <f aca="false">DG85+DI84</f>
        <v>0</v>
      </c>
      <c r="DJ85" s="88" t="n">
        <f aca="false">MAX(DJ84,DH85-DI85)</f>
        <v>99.3849383440236</v>
      </c>
      <c r="DK85" s="88" t="n">
        <f aca="false">DJ85-DJ84</f>
        <v>2.70107985819573</v>
      </c>
      <c r="DL85" s="88" t="n">
        <f aca="false">IF(B85=2026,INDEX($C$21:$Q$21,1,B85-2025)*$AO$4*C85/MAX(0.0001,12-$AO$3),INDEX($C$21:$Q$21,1,B85-2025)/12)</f>
        <v>1.88909879652953</v>
      </c>
      <c r="DM85" s="88" t="n">
        <f aca="false">$AO$6*INDEX($Y$21:$AB$21,1,B85-2026)/12</f>
        <v>4.425</v>
      </c>
      <c r="DN85" s="88" t="n">
        <f aca="false">DL85+DN84</f>
        <v>69.5084844860042</v>
      </c>
      <c r="DO85" s="88" t="n">
        <f aca="false">DM85+DO84</f>
        <v>91.15</v>
      </c>
      <c r="DP85" s="88" t="n">
        <f aca="false">MAX(DP84,DN85-DO85)</f>
        <v>17.7483109623547</v>
      </c>
      <c r="DQ85" s="88" t="n">
        <f aca="false">DP85-DP84</f>
        <v>0</v>
      </c>
      <c r="DR85" s="88" t="n">
        <f aca="false">IF(B85=2026,INDEX($C$22:$Q$22,1,B85-2025)*$AO$4*C85/MAX(0.0001,12-$AO$3),INDEX($C$22:$Q$22,1,B85-2025)/12)</f>
        <v>1.47482274465902</v>
      </c>
      <c r="DS85" s="88" t="n">
        <f aca="false">$AO$6*INDEX($Y$22:$AB$22,1,B85-2026)/12</f>
        <v>0.216666666666667</v>
      </c>
      <c r="DT85" s="88" t="n">
        <f aca="false">DR85+DT84</f>
        <v>54.2653957829331</v>
      </c>
      <c r="DU85" s="88" t="n">
        <f aca="false">DS85+DU84</f>
        <v>28.5666666666667</v>
      </c>
      <c r="DV85" s="88" t="n">
        <f aca="false">MAX(DV84,DT85-DU85)</f>
        <v>25.6987291162664</v>
      </c>
      <c r="DW85" s="88" t="n">
        <f aca="false">DV85-DV84</f>
        <v>1.25815607799235</v>
      </c>
      <c r="DX85" s="88" t="n">
        <f aca="false">IF(B85=2026,INDEX($C$23:$Q$23,1,B85-2025)*$AO$4*C85/MAX(0.0001,12-$AO$3),INDEX($C$23:$Q$23,1,B85-2025)/12)</f>
        <v>2.36965901669932</v>
      </c>
      <c r="DY85" s="88" t="n">
        <f aca="false">$AO$6*INDEX($Y$23:$AB$23,1,B85-2026)/12</f>
        <v>2.94166666666667</v>
      </c>
      <c r="DZ85" s="88" t="n">
        <f aca="false">DX85+DZ84</f>
        <v>87.1904673815667</v>
      </c>
      <c r="EA85" s="88" t="n">
        <f aca="false">DY85+EA84</f>
        <v>115.116666666667</v>
      </c>
      <c r="EB85" s="88" t="n">
        <f aca="false">MAX(EB84,DZ85-EA85)</f>
        <v>35.0579690141817</v>
      </c>
      <c r="EC85" s="88" t="n">
        <f aca="false">EB85-EB84</f>
        <v>0</v>
      </c>
      <c r="ED85" s="88" t="n">
        <f aca="false">IF(B85=2026,INDEX($C$24:$Q$24,1,B85-2025)*$AO$4*C85/MAX(0.0001,12-$AO$3),INDEX($C$24:$Q$24,1,B85-2025)/12)</f>
        <v>1.4582517025842</v>
      </c>
      <c r="EE85" s="88" t="n">
        <f aca="false">$AO$6*INDEX($Y$24:$AB$24,1,B85-2026)/12</f>
        <v>0</v>
      </c>
      <c r="EF85" s="88" t="n">
        <f aca="false">ED85+EF84</f>
        <v>53.6556722348103</v>
      </c>
      <c r="EG85" s="88" t="n">
        <f aca="false">EE85+EG84</f>
        <v>0</v>
      </c>
      <c r="EH85" s="88" t="n">
        <f aca="false">MAX(EH84,EF85-EG85)</f>
        <v>53.6556722348103</v>
      </c>
      <c r="EI85" s="88" t="n">
        <f aca="false">EH85-EH84</f>
        <v>1.4582517025842</v>
      </c>
      <c r="EJ85" s="88" t="n">
        <f aca="false">IF(B85=2026,INDEX($C$25:$Q$25,1,B85-2025)*$AO$4*C85/MAX(0.0001,12-$AO$3),INDEX($C$25:$Q$25,1,B85-2025)/12)</f>
        <v>1.85595671237989</v>
      </c>
      <c r="EK85" s="88" t="n">
        <f aca="false">$AO$6*INDEX($Y$25:$AB$25,1,B85-2026)/12</f>
        <v>0</v>
      </c>
      <c r="EL85" s="88" t="n">
        <f aca="false">EJ85+EL84</f>
        <v>68.2890373897586</v>
      </c>
      <c r="EM85" s="88" t="n">
        <f aca="false">EK85+EM84</f>
        <v>14</v>
      </c>
      <c r="EN85" s="88" t="n">
        <f aca="false">MAX(EN84,EL85-EM85)</f>
        <v>54.2890373897586</v>
      </c>
      <c r="EO85" s="88" t="n">
        <f aca="false">EN85-EN84</f>
        <v>1.85595671237989</v>
      </c>
      <c r="EP85" s="88" t="n">
        <f aca="false">IF(B85=2026,INDEX($C$26:$Q$26,1,B85-2025)*$AO$4*C85/MAX(0.0001,12-$AO$3),INDEX($C$26:$Q$26,1,B85-2025)/12)</f>
        <v>2.66793777404609</v>
      </c>
      <c r="EQ85" s="88" t="n">
        <f aca="false">$AO$6*INDEX($Y$26:$AB$26,1,B85-2026)/12</f>
        <v>0</v>
      </c>
      <c r="ER85" s="88" t="n">
        <f aca="false">EP85+ER84</f>
        <v>98.1654912477779</v>
      </c>
      <c r="ES85" s="88" t="n">
        <f aca="false">EQ85+ES84</f>
        <v>4</v>
      </c>
      <c r="ET85" s="88" t="n">
        <f aca="false">MAX(ET84,ER85-ES85)</f>
        <v>94.1654912477779</v>
      </c>
      <c r="EU85" s="88" t="n">
        <f aca="false">ET85-ET84</f>
        <v>2.66793777404608</v>
      </c>
      <c r="EV85" s="88" t="n">
        <f aca="false">IF(B85=2026,INDEX($C$27:$Q$27,1,B85-2025)*$AO$4*C85/MAX(0.0001,12-$AO$3),INDEX($C$27:$Q$27,1,B85-2025)/12)</f>
        <v>6.62841682992816</v>
      </c>
      <c r="EW85" s="88" t="n">
        <f aca="false">$AO$6*INDEX($Y$27:$AB$27,1,B85-2026)/12</f>
        <v>5.625</v>
      </c>
      <c r="EX85" s="88" t="n">
        <f aca="false">EV85+EX84</f>
        <v>243.889419249138</v>
      </c>
      <c r="EY85" s="88" t="n">
        <f aca="false">EW85+EY84</f>
        <v>374.75</v>
      </c>
      <c r="EZ85" s="88" t="n">
        <f aca="false">MAX(EZ84,EX85-EY85)</f>
        <v>0</v>
      </c>
      <c r="FA85" s="88" t="n">
        <f aca="false">EZ85-EZ84</f>
        <v>0</v>
      </c>
      <c r="FB85" s="88" t="n">
        <f aca="false">IF(B85=2026,INDEX($C$28:$Q$28,1,B85-2025)*$AO$4*C85/MAX(0.0001,12-$AO$3),INDEX($C$28:$Q$28,1,B85-2025)/12)</f>
        <v>34.6997621046739</v>
      </c>
      <c r="FC85" s="88" t="n">
        <f aca="false">$AO$6*INDEX($Y$28:$AB$28,1,B85-2026)/12</f>
        <v>2.05833333333333</v>
      </c>
      <c r="FD85" s="88" t="n">
        <f aca="false">FB85+FD84</f>
        <v>1276.76110976924</v>
      </c>
      <c r="FE85" s="88" t="n">
        <f aca="false">FC85+FE84</f>
        <v>164.883333333333</v>
      </c>
      <c r="FF85" s="88" t="n">
        <f aca="false">MAX(FF84,FD85-FE85)</f>
        <v>1111.8777764359</v>
      </c>
      <c r="FG85" s="88" t="n">
        <f aca="false">FF85-FF84</f>
        <v>32.6414287713405</v>
      </c>
    </row>
    <row r="86" customFormat="false" ht="15" hidden="false" customHeight="false" outlineLevel="0" collapsed="false">
      <c r="A86" s="0" t="n">
        <v>46</v>
      </c>
      <c r="B86" s="88" t="n">
        <f aca="false">2026+INT(A86/12)</f>
        <v>2029</v>
      </c>
      <c r="C86" s="88" t="n">
        <f aca="false">MAX(0,MIN(1,A86+1-$AO$3))</f>
        <v>1</v>
      </c>
      <c r="D86" s="88" t="n">
        <f aca="false">IF((A86+0.5-(0))&lt;$AO$3,0,2026+INT((A86+0.5-(0))/12))</f>
        <v>2029</v>
      </c>
      <c r="E86" s="88" t="n">
        <f aca="false">IF((A86+0.5-($AO$9))&lt;$AO$3,0,2026+INT((A86+0.5-($AO$9))/12))</f>
        <v>2028</v>
      </c>
      <c r="F86" s="88" t="n">
        <f aca="false">IF((A86+0.5-($AO$9+$AO$8))&lt;$AO$3,0,2026+INT((A86+0.5-($AO$9+$AO$8))/12))</f>
        <v>2027</v>
      </c>
      <c r="G86" s="88" t="n">
        <f aca="false">IF((A86+0.5-($AO$9+$AO$8+$AO$7))&lt;$AO$3,0,2026+INT((A86+0.5-($AO$9+$AO$8+$AO$7))/12))</f>
        <v>2026</v>
      </c>
      <c r="H86" s="88" t="n">
        <f aca="false">IF(B86=2026,INDEX($C$3:$Q$3,1,B86-2025)*$AO$4*C86/MAX(0.0001,12-$AO$3),INDEX($C$3:$Q$3,1,B86-2025)/12)</f>
        <v>355.25</v>
      </c>
      <c r="I86" s="88" t="n">
        <f aca="false">$AO$6*INDEX($Y$3:$AB$3,1,B86-2026)/12</f>
        <v>162.891666666667</v>
      </c>
      <c r="J86" s="88" t="n">
        <f aca="false">H86+J85</f>
        <v>13426.5034246575</v>
      </c>
      <c r="K86" s="88" t="n">
        <f aca="false">I86+K85</f>
        <v>6107.90833333333</v>
      </c>
      <c r="L86" s="88" t="n">
        <f aca="false">MAX(L85,J86-K86)</f>
        <v>7318.5950913242</v>
      </c>
      <c r="M86" s="88" t="n">
        <f aca="false">L86-L85</f>
        <v>192.358333333334</v>
      </c>
      <c r="N86" s="88" t="n">
        <f aca="false">IF(B86=2026,INDEX($C$4:$Q$4,1,B86-2025)*$AO$4*C86/MAX(0.0001,12-$AO$3),INDEX($C$4:$Q$4,1,B86-2025)/12)</f>
        <v>10.7700632578534</v>
      </c>
      <c r="O86" s="88" t="n">
        <f aca="false">$AO$6*INDEX($Y$4:$AB$4,1,B86-2026)/12</f>
        <v>7.375</v>
      </c>
      <c r="P86" s="88" t="n">
        <f aca="false">N86+P85</f>
        <v>407.049377101608</v>
      </c>
      <c r="Q86" s="88" t="n">
        <f aca="false">O86+Q85</f>
        <v>305.825</v>
      </c>
      <c r="R86" s="88" t="n">
        <f aca="false">MAX(R85,P86-Q86)</f>
        <v>101.224377101608</v>
      </c>
      <c r="S86" s="88" t="n">
        <f aca="false">R86-R85</f>
        <v>3.39506325785334</v>
      </c>
      <c r="T86" s="88" t="n">
        <f aca="false">IF(B86=2026,INDEX($C$5:$Q$5,1,B86-2025)*$AO$4*C86/MAX(0.0001,12-$AO$3),INDEX($C$5:$Q$5,1,B86-2025)/12)</f>
        <v>43.7734247619348</v>
      </c>
      <c r="U86" s="88" t="n">
        <f aca="false">$AO$6*INDEX($Y$5:$AB$5,1,B86-2026)/12</f>
        <v>25.3416666666667</v>
      </c>
      <c r="V86" s="88" t="n">
        <f aca="false">T86+V85</f>
        <v>1654.39560161888</v>
      </c>
      <c r="W86" s="88" t="n">
        <f aca="false">U86+W85</f>
        <v>986.758333333334</v>
      </c>
      <c r="X86" s="88" t="n">
        <f aca="false">MAX(X85,V86-W86)</f>
        <v>667.637268285546</v>
      </c>
      <c r="Y86" s="88" t="n">
        <f aca="false">X86-X85</f>
        <v>18.4317580952682</v>
      </c>
      <c r="Z86" s="88" t="n">
        <f aca="false">IF(B86=2026,INDEX($C$6:$Q$6,1,B86-2025)*$AO$4*C86/MAX(0.0001,12-$AO$3),INDEX($C$6:$Q$6,1,B86-2025)/12)</f>
        <v>51.933610116259</v>
      </c>
      <c r="AA86" s="88" t="n">
        <f aca="false">$AO$6*INDEX($Y$6:$AB$6,1,B86-2026)/12</f>
        <v>39.4666666666667</v>
      </c>
      <c r="AB86" s="88" t="n">
        <f aca="false">Z86+AB85</f>
        <v>1962.80589466792</v>
      </c>
      <c r="AC86" s="88" t="n">
        <f aca="false">AA86+AC85</f>
        <v>1060.23333333333</v>
      </c>
      <c r="AD86" s="88" t="n">
        <f aca="false">MAX(AD85,AB86-AC86)</f>
        <v>902.572561334589</v>
      </c>
      <c r="AE86" s="88" t="n">
        <f aca="false">AD86-AD85</f>
        <v>12.4669434495924</v>
      </c>
      <c r="AF86" s="88" t="n">
        <f aca="false">IF(B86=2026,INDEX($C$7:$Q$7,1,B86-2025)*$AO$4*C86/MAX(0.0001,12-$AO$3),INDEX($C$7:$Q$7,1,B86-2025)/12)</f>
        <v>45.11289896006</v>
      </c>
      <c r="AG86" s="88" t="n">
        <f aca="false">$AO$6*INDEX($Y$7:$AB$7,1,B86-2026)/12</f>
        <v>21.575</v>
      </c>
      <c r="AH86" s="88" t="n">
        <f aca="false">AF86+AH85</f>
        <v>1705.02038672336</v>
      </c>
      <c r="AI86" s="88" t="n">
        <f aca="false">AG86+AI85</f>
        <v>579.025</v>
      </c>
      <c r="AJ86" s="88" t="n">
        <f aca="false">MAX(AJ85,AH86-AI86)</f>
        <v>1125.99538672336</v>
      </c>
      <c r="AK86" s="88" t="n">
        <f aca="false">AJ86-AJ85</f>
        <v>23.5378989600599</v>
      </c>
      <c r="AL86" s="88" t="n">
        <f aca="false">IF(B86=2026,INDEX($C$8:$Q$8,1,B86-2025)*$AO$4*C86/MAX(0.0001,12-$AO$3),INDEX($C$8:$Q$8,1,B86-2025)/12)</f>
        <v>11.4114321188341</v>
      </c>
      <c r="AM86" s="88" t="n">
        <f aca="false">$AO$6*INDEX($Y$8:$AB$8,1,B86-2026)/12</f>
        <v>1.375</v>
      </c>
      <c r="AN86" s="88" t="n">
        <f aca="false">AL86+AN85</f>
        <v>431.289605696756</v>
      </c>
      <c r="AO86" s="88" t="n">
        <f aca="false">AM86+AO85</f>
        <v>64.625</v>
      </c>
      <c r="AP86" s="88" t="n">
        <f aca="false">MAX(AP85,AN86-AO86)</f>
        <v>366.664605696756</v>
      </c>
      <c r="AQ86" s="88" t="n">
        <f aca="false">AP86-AP85</f>
        <v>10.0364321188341</v>
      </c>
      <c r="AR86" s="88" t="n">
        <f aca="false">IF(B86=2026,INDEX($C$9:$Q$9,1,B86-2025)*$AO$4*C86/MAX(0.0001,12-$AO$3),INDEX($C$9:$Q$9,1,B86-2025)/12)</f>
        <v>48.6576953186344</v>
      </c>
      <c r="AS86" s="88" t="n">
        <f aca="false">$AO$6*INDEX($Y$9:$AB$9,1,B86-2026)/12</f>
        <v>32.5916666666667</v>
      </c>
      <c r="AT86" s="88" t="n">
        <f aca="false">AR86+AT85</f>
        <v>1838.99426553578</v>
      </c>
      <c r="AU86" s="88" t="n">
        <f aca="false">AS86+AU85</f>
        <v>1250.20833333333</v>
      </c>
      <c r="AV86" s="88" t="n">
        <f aca="false">MAX(AV85,AT86-AU86)</f>
        <v>588.785932202448</v>
      </c>
      <c r="AW86" s="88" t="n">
        <f aca="false">AV86-AV85</f>
        <v>16.0660286519676</v>
      </c>
      <c r="AX86" s="88" t="n">
        <f aca="false">IF(B86=2026,INDEX($C$10:$Q$10,1,B86-2025)*$AO$4*C86/MAX(0.0001,12-$AO$3),INDEX($C$10:$Q$10,1,B86-2025)/12)</f>
        <v>5.64404597663043</v>
      </c>
      <c r="AY86" s="88" t="n">
        <f aca="false">$AO$6*INDEX($Y$10:$AB$10,1,B86-2026)/12</f>
        <v>1.63333333333333</v>
      </c>
      <c r="AZ86" s="88" t="n">
        <f aca="false">AX86+AZ85</f>
        <v>213.314011637306</v>
      </c>
      <c r="BA86" s="88" t="n">
        <f aca="false">AY86+BA85</f>
        <v>48.0666666666667</v>
      </c>
      <c r="BB86" s="88" t="n">
        <f aca="false">MAX(BB85,AZ86-BA86)</f>
        <v>165.24734497064</v>
      </c>
      <c r="BC86" s="88" t="n">
        <f aca="false">BB86-BB85</f>
        <v>4.0107126432971</v>
      </c>
      <c r="BD86" s="88" t="n">
        <f aca="false">IF(B86=2026,INDEX($C$11:$Q$11,1,B86-2025)*$AO$4*C86/MAX(0.0001,12-$AO$3),INDEX($C$11:$Q$11,1,B86-2025)/12)</f>
        <v>28.0475536513497</v>
      </c>
      <c r="BE86" s="88" t="n">
        <f aca="false">$AO$6*INDEX($Y$11:$AB$11,1,B86-2026)/12</f>
        <v>2.175</v>
      </c>
      <c r="BF86" s="88" t="n">
        <f aca="false">BD86+BF85</f>
        <v>1060.04384279553</v>
      </c>
      <c r="BG86" s="88" t="n">
        <f aca="false">BE86+BG85</f>
        <v>237.825</v>
      </c>
      <c r="BH86" s="88" t="n">
        <f aca="false">MAX(BH85,BF86-BG86)</f>
        <v>822.218842795532</v>
      </c>
      <c r="BI86" s="88" t="n">
        <f aca="false">BH86-BH85</f>
        <v>25.8725536513497</v>
      </c>
      <c r="BJ86" s="88" t="n">
        <f aca="false">IF(B86=2026,INDEX($C$12:$Q$12,1,B86-2025)*$AO$4*C86/MAX(0.0001,12-$AO$3),INDEX($C$12:$Q$12,1,B86-2025)/12)</f>
        <v>15.3780518436687</v>
      </c>
      <c r="BK86" s="88" t="n">
        <f aca="false">$AO$6*INDEX($Y$12:$AB$12,1,B86-2026)/12</f>
        <v>3.65</v>
      </c>
      <c r="BL86" s="88" t="n">
        <f aca="false">BJ86+BL85</f>
        <v>581.206096392905</v>
      </c>
      <c r="BM86" s="88" t="n">
        <f aca="false">BK86+BM85</f>
        <v>99.95</v>
      </c>
      <c r="BN86" s="88" t="n">
        <f aca="false">MAX(BN85,BL86-BM86)</f>
        <v>481.256096392905</v>
      </c>
      <c r="BO86" s="88" t="n">
        <f aca="false">BN86-BN85</f>
        <v>11.7280518436688</v>
      </c>
      <c r="BP86" s="88" t="n">
        <f aca="false">IF(B86=2026,INDEX($C$13:$Q$13,1,B86-2025)*$AO$4*C86/MAX(0.0001,12-$AO$3),INDEX($C$13:$Q$13,1,B86-2025)/12)</f>
        <v>4.80560220169792</v>
      </c>
      <c r="BQ86" s="88" t="n">
        <f aca="false">$AO$6*INDEX($Y$13:$AB$13,1,B86-2026)/12</f>
        <v>2.40833333333333</v>
      </c>
      <c r="BR86" s="88" t="n">
        <f aca="false">BP86+BR85</f>
        <v>181.625431157323</v>
      </c>
      <c r="BS86" s="88" t="n">
        <f aca="false">BQ86+BS85</f>
        <v>83.8916666666666</v>
      </c>
      <c r="BT86" s="88" t="n">
        <f aca="false">MAX(BT85,BR86-BS86)</f>
        <v>97.7337644906562</v>
      </c>
      <c r="BU86" s="88" t="n">
        <f aca="false">BT86-BT85</f>
        <v>2.39726886836459</v>
      </c>
      <c r="BV86" s="88" t="n">
        <f aca="false">IF(B86=2026,INDEX($C$14:$Q$14,1,B86-2025)*$AO$4*C86/MAX(0.0001,12-$AO$3),INDEX($C$14:$Q$14,1,B86-2025)/12)</f>
        <v>2.85021923686911</v>
      </c>
      <c r="BW86" s="88" t="n">
        <f aca="false">$AO$6*INDEX($Y$14:$AB$14,1,B86-2026)/12</f>
        <v>0</v>
      </c>
      <c r="BX86" s="88" t="n">
        <f aca="false">BV86+BX85</f>
        <v>107.722669513998</v>
      </c>
      <c r="BY86" s="88" t="n">
        <f aca="false">BW86+BY85</f>
        <v>0</v>
      </c>
      <c r="BZ86" s="88" t="n">
        <f aca="false">MAX(BZ85,BX86-BY86)</f>
        <v>107.722669513998</v>
      </c>
      <c r="CA86" s="88" t="n">
        <f aca="false">BZ86-BZ85</f>
        <v>2.85021923686911</v>
      </c>
      <c r="CB86" s="88" t="n">
        <f aca="false">IF(B86=2026,INDEX($C$15:$Q$15,1,B86-2025)*$AO$4*C86/MAX(0.0001,12-$AO$3),INDEX($C$15:$Q$15,1,B86-2025)/12)</f>
        <v>4.67303386509936</v>
      </c>
      <c r="CC86" s="88" t="n">
        <f aca="false">$AO$6*INDEX($Y$15:$AB$15,1,B86-2026)/12</f>
        <v>0.483333333333333</v>
      </c>
      <c r="CD86" s="88" t="n">
        <f aca="false">CB86+CD85</f>
        <v>176.615074435741</v>
      </c>
      <c r="CE86" s="88" t="n">
        <f aca="false">CC86+CE85</f>
        <v>87.5166666666667</v>
      </c>
      <c r="CF86" s="88" t="n">
        <f aca="false">MAX(CF85,CD86-CE86)</f>
        <v>89.0984077690746</v>
      </c>
      <c r="CG86" s="88" t="n">
        <f aca="false">CF86-CF85</f>
        <v>4.18970053176601</v>
      </c>
      <c r="CH86" s="88" t="n">
        <f aca="false">IF(B86=2026,INDEX($C$16:$Q$16,1,B86-2025)*$AO$4*C86/MAX(0.0001,12-$AO$3),INDEX($C$16:$Q$16,1,B86-2025)/12)</f>
        <v>3.69534238268495</v>
      </c>
      <c r="CI86" s="88" t="n">
        <f aca="false">$AO$6*INDEX($Y$16:$AB$16,1,B86-2026)/12</f>
        <v>0</v>
      </c>
      <c r="CJ86" s="88" t="n">
        <f aca="false">CH86+CJ85</f>
        <v>139.663693614079</v>
      </c>
      <c r="CK86" s="88" t="n">
        <f aca="false">CI86+CK85</f>
        <v>70</v>
      </c>
      <c r="CL86" s="88" t="n">
        <f aca="false">MAX(CL85,CJ86-CK86)</f>
        <v>69.6636936140793</v>
      </c>
      <c r="CM86" s="88" t="n">
        <f aca="false">CL86-CL85</f>
        <v>3.69534238268494</v>
      </c>
      <c r="CN86" s="88" t="n">
        <f aca="false">IF(B86=2026,INDEX($C$17:$Q$17,1,B86-2025)*$AO$4*C86/MAX(0.0001,12-$AO$3),INDEX($C$17:$Q$17,1,B86-2025)/12)</f>
        <v>16.0904818546506</v>
      </c>
      <c r="CO86" s="88" t="n">
        <f aca="false">$AO$6*INDEX($Y$17:$AB$17,1,B86-2026)/12</f>
        <v>1.23333333333333</v>
      </c>
      <c r="CP86" s="88" t="n">
        <f aca="false">CN86+CP85</f>
        <v>608.132047081933</v>
      </c>
      <c r="CQ86" s="88" t="n">
        <f aca="false">CO86+CQ85</f>
        <v>219.766666666666</v>
      </c>
      <c r="CR86" s="88" t="n">
        <f aca="false">MAX(CR85,CP86-CQ86)</f>
        <v>388.365380415267</v>
      </c>
      <c r="CS86" s="88" t="n">
        <f aca="false">CR86-CR85</f>
        <v>14.8571485213173</v>
      </c>
      <c r="CT86" s="88" t="n">
        <f aca="false">IF(B86=2026,INDEX($C$18:$Q$18,1,B86-2025)*$AO$4*C86/MAX(0.0001,12-$AO$3),INDEX($C$18:$Q$18,1,B86-2025)/12)</f>
        <v>3.34735049911372</v>
      </c>
      <c r="CU86" s="88" t="n">
        <f aca="false">$AO$6*INDEX($Y$18:$AB$18,1,B86-2026)/12</f>
        <v>0</v>
      </c>
      <c r="CV86" s="88" t="n">
        <f aca="false">CT86+CV85</f>
        <v>126.511507219928</v>
      </c>
      <c r="CW86" s="88" t="n">
        <f aca="false">CU86+CW85</f>
        <v>11</v>
      </c>
      <c r="CX86" s="88" t="n">
        <f aca="false">MAX(CX85,CV86-CW86)</f>
        <v>115.511507219928</v>
      </c>
      <c r="CY86" s="88" t="n">
        <f aca="false">CX86-CX85</f>
        <v>3.34735049911373</v>
      </c>
      <c r="CZ86" s="88" t="n">
        <f aca="false">IF(B86=2026,INDEX($C$19:$Q$19,1,B86-2025)*$AO$4*C86/MAX(0.0001,12-$AO$3),INDEX($C$19:$Q$19,1,B86-2025)/12)</f>
        <v>3.31420841496408</v>
      </c>
      <c r="DA86" s="88" t="n">
        <f aca="false">$AO$6*INDEX($Y$19:$AB$19,1,B86-2026)/12</f>
        <v>8.31666666666667</v>
      </c>
      <c r="DB86" s="88" t="n">
        <f aca="false">CZ86+DB85</f>
        <v>125.258918039533</v>
      </c>
      <c r="DC86" s="88" t="n">
        <f aca="false">DA86+DC85</f>
        <v>195.483333333333</v>
      </c>
      <c r="DD86" s="88" t="n">
        <f aca="false">MAX(DD85,DB86-DC86)</f>
        <v>37.132124495359</v>
      </c>
      <c r="DE86" s="88" t="n">
        <f aca="false">DD86-DD85</f>
        <v>0</v>
      </c>
      <c r="DF86" s="88" t="n">
        <f aca="false">IF(B86=2026,INDEX($C$20:$Q$20,1,B86-2025)*$AO$4*C86/MAX(0.0001,12-$AO$3),INDEX($C$20:$Q$20,1,B86-2025)/12)</f>
        <v>2.70107985819573</v>
      </c>
      <c r="DG86" s="88" t="n">
        <f aca="false">$AO$6*INDEX($Y$20:$AB$20,1,B86-2026)/12</f>
        <v>0</v>
      </c>
      <c r="DH86" s="88" t="n">
        <f aca="false">DF86+DH85</f>
        <v>102.086018202219</v>
      </c>
      <c r="DI86" s="88" t="n">
        <f aca="false">DG86+DI85</f>
        <v>0</v>
      </c>
      <c r="DJ86" s="88" t="n">
        <f aca="false">MAX(DJ85,DH86-DI86)</f>
        <v>102.086018202219</v>
      </c>
      <c r="DK86" s="88" t="n">
        <f aca="false">DJ86-DJ85</f>
        <v>2.70107985819573</v>
      </c>
      <c r="DL86" s="88" t="n">
        <f aca="false">IF(B86=2026,INDEX($C$21:$Q$21,1,B86-2025)*$AO$4*C86/MAX(0.0001,12-$AO$3),INDEX($C$21:$Q$21,1,B86-2025)/12)</f>
        <v>1.88909879652953</v>
      </c>
      <c r="DM86" s="88" t="n">
        <f aca="false">$AO$6*INDEX($Y$21:$AB$21,1,B86-2026)/12</f>
        <v>4.425</v>
      </c>
      <c r="DN86" s="88" t="n">
        <f aca="false">DL86+DN85</f>
        <v>71.3975832825337</v>
      </c>
      <c r="DO86" s="88" t="n">
        <f aca="false">DM86+DO85</f>
        <v>95.575</v>
      </c>
      <c r="DP86" s="88" t="n">
        <f aca="false">MAX(DP85,DN86-DO86)</f>
        <v>17.7483109623547</v>
      </c>
      <c r="DQ86" s="88" t="n">
        <f aca="false">DP86-DP85</f>
        <v>0</v>
      </c>
      <c r="DR86" s="88" t="n">
        <f aca="false">IF(B86=2026,INDEX($C$22:$Q$22,1,B86-2025)*$AO$4*C86/MAX(0.0001,12-$AO$3),INDEX($C$22:$Q$22,1,B86-2025)/12)</f>
        <v>1.47482274465902</v>
      </c>
      <c r="DS86" s="88" t="n">
        <f aca="false">$AO$6*INDEX($Y$22:$AB$22,1,B86-2026)/12</f>
        <v>0.216666666666667</v>
      </c>
      <c r="DT86" s="88" t="n">
        <f aca="false">DR86+DT85</f>
        <v>55.7402185275921</v>
      </c>
      <c r="DU86" s="88" t="n">
        <f aca="false">DS86+DU85</f>
        <v>28.7833333333333</v>
      </c>
      <c r="DV86" s="88" t="n">
        <f aca="false">MAX(DV85,DT86-DU86)</f>
        <v>26.9568851942588</v>
      </c>
      <c r="DW86" s="88" t="n">
        <f aca="false">DV86-DV85</f>
        <v>1.25815607799235</v>
      </c>
      <c r="DX86" s="88" t="n">
        <f aca="false">IF(B86=2026,INDEX($C$23:$Q$23,1,B86-2025)*$AO$4*C86/MAX(0.0001,12-$AO$3),INDEX($C$23:$Q$23,1,B86-2025)/12)</f>
        <v>2.36965901669932</v>
      </c>
      <c r="DY86" s="88" t="n">
        <f aca="false">$AO$6*INDEX($Y$23:$AB$23,1,B86-2026)/12</f>
        <v>2.94166666666667</v>
      </c>
      <c r="DZ86" s="88" t="n">
        <f aca="false">DX86+DZ85</f>
        <v>89.560126398266</v>
      </c>
      <c r="EA86" s="88" t="n">
        <f aca="false">DY86+EA85</f>
        <v>118.058333333333</v>
      </c>
      <c r="EB86" s="88" t="n">
        <f aca="false">MAX(EB85,DZ86-EA86)</f>
        <v>35.0579690141817</v>
      </c>
      <c r="EC86" s="88" t="n">
        <f aca="false">EB86-EB85</f>
        <v>0</v>
      </c>
      <c r="ED86" s="88" t="n">
        <f aca="false">IF(B86=2026,INDEX($C$24:$Q$24,1,B86-2025)*$AO$4*C86/MAX(0.0001,12-$AO$3),INDEX($C$24:$Q$24,1,B86-2025)/12)</f>
        <v>1.4582517025842</v>
      </c>
      <c r="EE86" s="88" t="n">
        <f aca="false">$AO$6*INDEX($Y$24:$AB$24,1,B86-2026)/12</f>
        <v>0</v>
      </c>
      <c r="EF86" s="88" t="n">
        <f aca="false">ED86+EF85</f>
        <v>55.1139239373945</v>
      </c>
      <c r="EG86" s="88" t="n">
        <f aca="false">EE86+EG85</f>
        <v>0</v>
      </c>
      <c r="EH86" s="88" t="n">
        <f aca="false">MAX(EH85,EF86-EG86)</f>
        <v>55.1139239373945</v>
      </c>
      <c r="EI86" s="88" t="n">
        <f aca="false">EH86-EH85</f>
        <v>1.4582517025842</v>
      </c>
      <c r="EJ86" s="88" t="n">
        <f aca="false">IF(B86=2026,INDEX($C$25:$Q$25,1,B86-2025)*$AO$4*C86/MAX(0.0001,12-$AO$3),INDEX($C$25:$Q$25,1,B86-2025)/12)</f>
        <v>1.85595671237989</v>
      </c>
      <c r="EK86" s="88" t="n">
        <f aca="false">$AO$6*INDEX($Y$25:$AB$25,1,B86-2026)/12</f>
        <v>0</v>
      </c>
      <c r="EL86" s="88" t="n">
        <f aca="false">EJ86+EL85</f>
        <v>70.1449941021385</v>
      </c>
      <c r="EM86" s="88" t="n">
        <f aca="false">EK86+EM85</f>
        <v>14</v>
      </c>
      <c r="EN86" s="88" t="n">
        <f aca="false">MAX(EN85,EL86-EM86)</f>
        <v>56.1449941021385</v>
      </c>
      <c r="EO86" s="88" t="n">
        <f aca="false">EN86-EN85</f>
        <v>1.85595671237989</v>
      </c>
      <c r="EP86" s="88" t="n">
        <f aca="false">IF(B86=2026,INDEX($C$26:$Q$26,1,B86-2025)*$AO$4*C86/MAX(0.0001,12-$AO$3),INDEX($C$26:$Q$26,1,B86-2025)/12)</f>
        <v>2.66793777404609</v>
      </c>
      <c r="EQ86" s="88" t="n">
        <f aca="false">$AO$6*INDEX($Y$26:$AB$26,1,B86-2026)/12</f>
        <v>0</v>
      </c>
      <c r="ER86" s="88" t="n">
        <f aca="false">EP86+ER85</f>
        <v>100.833429021824</v>
      </c>
      <c r="ES86" s="88" t="n">
        <f aca="false">EQ86+ES85</f>
        <v>4</v>
      </c>
      <c r="ET86" s="88" t="n">
        <f aca="false">MAX(ET85,ER86-ES86)</f>
        <v>96.833429021824</v>
      </c>
      <c r="EU86" s="88" t="n">
        <f aca="false">ET86-ET85</f>
        <v>2.66793777404608</v>
      </c>
      <c r="EV86" s="88" t="n">
        <f aca="false">IF(B86=2026,INDEX($C$27:$Q$27,1,B86-2025)*$AO$4*C86/MAX(0.0001,12-$AO$3),INDEX($C$27:$Q$27,1,B86-2025)/12)</f>
        <v>6.62841682992816</v>
      </c>
      <c r="EW86" s="88" t="n">
        <f aca="false">$AO$6*INDEX($Y$27:$AB$27,1,B86-2026)/12</f>
        <v>5.625</v>
      </c>
      <c r="EX86" s="88" t="n">
        <f aca="false">EV86+EX85</f>
        <v>250.517836079066</v>
      </c>
      <c r="EY86" s="88" t="n">
        <f aca="false">EW86+EY85</f>
        <v>380.375</v>
      </c>
      <c r="EZ86" s="88" t="n">
        <f aca="false">MAX(EZ85,EX86-EY86)</f>
        <v>0</v>
      </c>
      <c r="FA86" s="88" t="n">
        <f aca="false">EZ86-EZ85</f>
        <v>0</v>
      </c>
      <c r="FB86" s="88" t="n">
        <f aca="false">IF(B86=2026,INDEX($C$28:$Q$28,1,B86-2025)*$AO$4*C86/MAX(0.0001,12-$AO$3),INDEX($C$28:$Q$28,1,B86-2025)/12)</f>
        <v>34.6997621046739</v>
      </c>
      <c r="FC86" s="88" t="n">
        <f aca="false">$AO$6*INDEX($Y$28:$AB$28,1,B86-2026)/12</f>
        <v>2.05833333333333</v>
      </c>
      <c r="FD86" s="88" t="n">
        <f aca="false">FB86+FD85</f>
        <v>1311.46087187391</v>
      </c>
      <c r="FE86" s="88" t="n">
        <f aca="false">FC86+FE85</f>
        <v>166.941666666667</v>
      </c>
      <c r="FF86" s="88" t="n">
        <f aca="false">MAX(FF85,FD86-FE86)</f>
        <v>1144.51920520724</v>
      </c>
      <c r="FG86" s="88" t="n">
        <f aca="false">FF86-FF85</f>
        <v>32.6414287713408</v>
      </c>
    </row>
    <row r="87" customFormat="false" ht="15" hidden="false" customHeight="false" outlineLevel="0" collapsed="false">
      <c r="A87" s="0" t="n">
        <v>47</v>
      </c>
      <c r="B87" s="88" t="n">
        <f aca="false">2026+INT(A87/12)</f>
        <v>2029</v>
      </c>
      <c r="C87" s="88" t="n">
        <f aca="false">MAX(0,MIN(1,A87+1-$AO$3))</f>
        <v>1</v>
      </c>
      <c r="D87" s="88" t="n">
        <f aca="false">IF((A87+0.5-(0))&lt;$AO$3,0,2026+INT((A87+0.5-(0))/12))</f>
        <v>2029</v>
      </c>
      <c r="E87" s="88" t="n">
        <f aca="false">IF((A87+0.5-($AO$9))&lt;$AO$3,0,2026+INT((A87+0.5-($AO$9))/12))</f>
        <v>2028</v>
      </c>
      <c r="F87" s="88" t="n">
        <f aca="false">IF((A87+0.5-($AO$9+$AO$8))&lt;$AO$3,0,2026+INT((A87+0.5-($AO$9+$AO$8))/12))</f>
        <v>2027</v>
      </c>
      <c r="G87" s="88" t="n">
        <f aca="false">IF((A87+0.5-($AO$9+$AO$8+$AO$7))&lt;$AO$3,0,2026+INT((A87+0.5-($AO$9+$AO$8+$AO$7))/12))</f>
        <v>2027</v>
      </c>
      <c r="H87" s="88" t="n">
        <f aca="false">IF(B87=2026,INDEX($C$3:$Q$3,1,B87-2025)*$AO$4*C87/MAX(0.0001,12-$AO$3),INDEX($C$3:$Q$3,1,B87-2025)/12)</f>
        <v>355.25</v>
      </c>
      <c r="I87" s="88" t="n">
        <f aca="false">$AO$6*INDEX($Y$3:$AB$3,1,B87-2026)/12</f>
        <v>162.891666666667</v>
      </c>
      <c r="J87" s="88" t="n">
        <f aca="false">H87+J86</f>
        <v>13781.7534246575</v>
      </c>
      <c r="K87" s="88" t="n">
        <f aca="false">I87+K86</f>
        <v>6270.8</v>
      </c>
      <c r="L87" s="88" t="n">
        <f aca="false">MAX(L86,J87-K87)</f>
        <v>7510.95342465754</v>
      </c>
      <c r="M87" s="88" t="n">
        <f aca="false">L87-L86</f>
        <v>192.358333333334</v>
      </c>
      <c r="N87" s="88" t="n">
        <f aca="false">IF(B87=2026,INDEX($C$4:$Q$4,1,B87-2025)*$AO$4*C87/MAX(0.0001,12-$AO$3),INDEX($C$4:$Q$4,1,B87-2025)/12)</f>
        <v>10.7700632578534</v>
      </c>
      <c r="O87" s="88" t="n">
        <f aca="false">$AO$6*INDEX($Y$4:$AB$4,1,B87-2026)/12</f>
        <v>7.375</v>
      </c>
      <c r="P87" s="88" t="n">
        <f aca="false">N87+P86</f>
        <v>417.819440359461</v>
      </c>
      <c r="Q87" s="88" t="n">
        <f aca="false">O87+Q86</f>
        <v>313.2</v>
      </c>
      <c r="R87" s="88" t="n">
        <f aca="false">MAX(R86,P87-Q87)</f>
        <v>104.619440359461</v>
      </c>
      <c r="S87" s="88" t="n">
        <f aca="false">R87-R86</f>
        <v>3.39506325785334</v>
      </c>
      <c r="T87" s="88" t="n">
        <f aca="false">IF(B87=2026,INDEX($C$5:$Q$5,1,B87-2025)*$AO$4*C87/MAX(0.0001,12-$AO$3),INDEX($C$5:$Q$5,1,B87-2025)/12)</f>
        <v>43.7734247619348</v>
      </c>
      <c r="U87" s="88" t="n">
        <f aca="false">$AO$6*INDEX($Y$5:$AB$5,1,B87-2026)/12</f>
        <v>25.3416666666667</v>
      </c>
      <c r="V87" s="88" t="n">
        <f aca="false">T87+V86</f>
        <v>1698.16902638081</v>
      </c>
      <c r="W87" s="88" t="n">
        <f aca="false">U87+W86</f>
        <v>1012.1</v>
      </c>
      <c r="X87" s="88" t="n">
        <f aca="false">MAX(X86,V87-W87)</f>
        <v>686.069026380814</v>
      </c>
      <c r="Y87" s="88" t="n">
        <f aca="false">X87-X86</f>
        <v>18.4317580952682</v>
      </c>
      <c r="Z87" s="88" t="n">
        <f aca="false">IF(B87=2026,INDEX($C$6:$Q$6,1,B87-2025)*$AO$4*C87/MAX(0.0001,12-$AO$3),INDEX($C$6:$Q$6,1,B87-2025)/12)</f>
        <v>51.933610116259</v>
      </c>
      <c r="AA87" s="88" t="n">
        <f aca="false">$AO$6*INDEX($Y$6:$AB$6,1,B87-2026)/12</f>
        <v>39.4666666666667</v>
      </c>
      <c r="AB87" s="88" t="n">
        <f aca="false">Z87+AB86</f>
        <v>2014.73950478418</v>
      </c>
      <c r="AC87" s="88" t="n">
        <f aca="false">AA87+AC86</f>
        <v>1099.7</v>
      </c>
      <c r="AD87" s="88" t="n">
        <f aca="false">MAX(AD86,AB87-AC87)</f>
        <v>915.039504784181</v>
      </c>
      <c r="AE87" s="88" t="n">
        <f aca="false">AD87-AD86</f>
        <v>12.4669434495922</v>
      </c>
      <c r="AF87" s="88" t="n">
        <f aca="false">IF(B87=2026,INDEX($C$7:$Q$7,1,B87-2025)*$AO$4*C87/MAX(0.0001,12-$AO$3),INDEX($C$7:$Q$7,1,B87-2025)/12)</f>
        <v>45.11289896006</v>
      </c>
      <c r="AG87" s="88" t="n">
        <f aca="false">$AO$6*INDEX($Y$7:$AB$7,1,B87-2026)/12</f>
        <v>21.575</v>
      </c>
      <c r="AH87" s="88" t="n">
        <f aca="false">AF87+AH86</f>
        <v>1750.13328568342</v>
      </c>
      <c r="AI87" s="88" t="n">
        <f aca="false">AG87+AI86</f>
        <v>600.6</v>
      </c>
      <c r="AJ87" s="88" t="n">
        <f aca="false">MAX(AJ86,AH87-AI87)</f>
        <v>1149.53328568342</v>
      </c>
      <c r="AK87" s="88" t="n">
        <f aca="false">AJ87-AJ86</f>
        <v>23.5378989600599</v>
      </c>
      <c r="AL87" s="88" t="n">
        <f aca="false">IF(B87=2026,INDEX($C$8:$Q$8,1,B87-2025)*$AO$4*C87/MAX(0.0001,12-$AO$3),INDEX($C$8:$Q$8,1,B87-2025)/12)</f>
        <v>11.4114321188341</v>
      </c>
      <c r="AM87" s="88" t="n">
        <f aca="false">$AO$6*INDEX($Y$8:$AB$8,1,B87-2026)/12</f>
        <v>1.375</v>
      </c>
      <c r="AN87" s="88" t="n">
        <f aca="false">AL87+AN86</f>
        <v>442.70103781559</v>
      </c>
      <c r="AO87" s="88" t="n">
        <f aca="false">AM87+AO86</f>
        <v>66</v>
      </c>
      <c r="AP87" s="88" t="n">
        <f aca="false">MAX(AP86,AN87-AO87)</f>
        <v>376.70103781559</v>
      </c>
      <c r="AQ87" s="88" t="n">
        <f aca="false">AP87-AP86</f>
        <v>10.0364321188341</v>
      </c>
      <c r="AR87" s="88" t="n">
        <f aca="false">IF(B87=2026,INDEX($C$9:$Q$9,1,B87-2025)*$AO$4*C87/MAX(0.0001,12-$AO$3),INDEX($C$9:$Q$9,1,B87-2025)/12)</f>
        <v>48.6576953186344</v>
      </c>
      <c r="AS87" s="88" t="n">
        <f aca="false">$AO$6*INDEX($Y$9:$AB$9,1,B87-2026)/12</f>
        <v>32.5916666666667</v>
      </c>
      <c r="AT87" s="88" t="n">
        <f aca="false">AR87+AT86</f>
        <v>1887.65196085442</v>
      </c>
      <c r="AU87" s="88" t="n">
        <f aca="false">AS87+AU86</f>
        <v>1282.8</v>
      </c>
      <c r="AV87" s="88" t="n">
        <f aca="false">MAX(AV86,AT87-AU87)</f>
        <v>604.851960854416</v>
      </c>
      <c r="AW87" s="88" t="n">
        <f aca="false">AV87-AV86</f>
        <v>16.0660286519676</v>
      </c>
      <c r="AX87" s="88" t="n">
        <f aca="false">IF(B87=2026,INDEX($C$10:$Q$10,1,B87-2025)*$AO$4*C87/MAX(0.0001,12-$AO$3),INDEX($C$10:$Q$10,1,B87-2025)/12)</f>
        <v>5.64404597663043</v>
      </c>
      <c r="AY87" s="88" t="n">
        <f aca="false">$AO$6*INDEX($Y$10:$AB$10,1,B87-2026)/12</f>
        <v>1.63333333333333</v>
      </c>
      <c r="AZ87" s="88" t="n">
        <f aca="false">AX87+AZ86</f>
        <v>218.958057613937</v>
      </c>
      <c r="BA87" s="88" t="n">
        <f aca="false">AY87+BA86</f>
        <v>49.7</v>
      </c>
      <c r="BB87" s="88" t="n">
        <f aca="false">MAX(BB86,AZ87-BA87)</f>
        <v>169.258057613937</v>
      </c>
      <c r="BC87" s="88" t="n">
        <f aca="false">BB87-BB86</f>
        <v>4.0107126432971</v>
      </c>
      <c r="BD87" s="88" t="n">
        <f aca="false">IF(B87=2026,INDEX($C$11:$Q$11,1,B87-2025)*$AO$4*C87/MAX(0.0001,12-$AO$3),INDEX($C$11:$Q$11,1,B87-2025)/12)</f>
        <v>28.0475536513497</v>
      </c>
      <c r="BE87" s="88" t="n">
        <f aca="false">$AO$6*INDEX($Y$11:$AB$11,1,B87-2026)/12</f>
        <v>2.175</v>
      </c>
      <c r="BF87" s="88" t="n">
        <f aca="false">BD87+BF86</f>
        <v>1088.09139644688</v>
      </c>
      <c r="BG87" s="88" t="n">
        <f aca="false">BE87+BG86</f>
        <v>240</v>
      </c>
      <c r="BH87" s="88" t="n">
        <f aca="false">MAX(BH86,BF87-BG87)</f>
        <v>848.091396446882</v>
      </c>
      <c r="BI87" s="88" t="n">
        <f aca="false">BH87-BH86</f>
        <v>25.8725536513498</v>
      </c>
      <c r="BJ87" s="88" t="n">
        <f aca="false">IF(B87=2026,INDEX($C$12:$Q$12,1,B87-2025)*$AO$4*C87/MAX(0.0001,12-$AO$3),INDEX($C$12:$Q$12,1,B87-2025)/12)</f>
        <v>15.3780518436687</v>
      </c>
      <c r="BK87" s="88" t="n">
        <f aca="false">$AO$6*INDEX($Y$12:$AB$12,1,B87-2026)/12</f>
        <v>3.65</v>
      </c>
      <c r="BL87" s="88" t="n">
        <f aca="false">BJ87+BL86</f>
        <v>596.584148236574</v>
      </c>
      <c r="BM87" s="88" t="n">
        <f aca="false">BK87+BM86</f>
        <v>103.6</v>
      </c>
      <c r="BN87" s="88" t="n">
        <f aca="false">MAX(BN86,BL87-BM87)</f>
        <v>492.984148236574</v>
      </c>
      <c r="BO87" s="88" t="n">
        <f aca="false">BN87-BN86</f>
        <v>11.7280518436688</v>
      </c>
      <c r="BP87" s="88" t="n">
        <f aca="false">IF(B87=2026,INDEX($C$13:$Q$13,1,B87-2025)*$AO$4*C87/MAX(0.0001,12-$AO$3),INDEX($C$13:$Q$13,1,B87-2025)/12)</f>
        <v>4.80560220169792</v>
      </c>
      <c r="BQ87" s="88" t="n">
        <f aca="false">$AO$6*INDEX($Y$13:$AB$13,1,B87-2026)/12</f>
        <v>2.40833333333333</v>
      </c>
      <c r="BR87" s="88" t="n">
        <f aca="false">BP87+BR86</f>
        <v>186.431033359021</v>
      </c>
      <c r="BS87" s="88" t="n">
        <f aca="false">BQ87+BS86</f>
        <v>86.3</v>
      </c>
      <c r="BT87" s="88" t="n">
        <f aca="false">MAX(BT86,BR87-BS87)</f>
        <v>100.131033359021</v>
      </c>
      <c r="BU87" s="88" t="n">
        <f aca="false">BT87-BT86</f>
        <v>2.39726886836459</v>
      </c>
      <c r="BV87" s="88" t="n">
        <f aca="false">IF(B87=2026,INDEX($C$14:$Q$14,1,B87-2025)*$AO$4*C87/MAX(0.0001,12-$AO$3),INDEX($C$14:$Q$14,1,B87-2025)/12)</f>
        <v>2.85021923686911</v>
      </c>
      <c r="BW87" s="88" t="n">
        <f aca="false">$AO$6*INDEX($Y$14:$AB$14,1,B87-2026)/12</f>
        <v>0</v>
      </c>
      <c r="BX87" s="88" t="n">
        <f aca="false">BV87+BX86</f>
        <v>110.572888750867</v>
      </c>
      <c r="BY87" s="88" t="n">
        <f aca="false">BW87+BY86</f>
        <v>0</v>
      </c>
      <c r="BZ87" s="88" t="n">
        <f aca="false">MAX(BZ86,BX87-BY87)</f>
        <v>110.572888750867</v>
      </c>
      <c r="CA87" s="88" t="n">
        <f aca="false">BZ87-BZ86</f>
        <v>2.85021923686911</v>
      </c>
      <c r="CB87" s="88" t="n">
        <f aca="false">IF(B87=2026,INDEX($C$15:$Q$15,1,B87-2025)*$AO$4*C87/MAX(0.0001,12-$AO$3),INDEX($C$15:$Q$15,1,B87-2025)/12)</f>
        <v>4.67303386509936</v>
      </c>
      <c r="CC87" s="88" t="n">
        <f aca="false">$AO$6*INDEX($Y$15:$AB$15,1,B87-2026)/12</f>
        <v>0.483333333333333</v>
      </c>
      <c r="CD87" s="88" t="n">
        <f aca="false">CB87+CD86</f>
        <v>181.288108300841</v>
      </c>
      <c r="CE87" s="88" t="n">
        <f aca="false">CC87+CE86</f>
        <v>88.0000000000001</v>
      </c>
      <c r="CF87" s="88" t="n">
        <f aca="false">MAX(CF86,CD87-CE87)</f>
        <v>93.2881083008406</v>
      </c>
      <c r="CG87" s="88" t="n">
        <f aca="false">CF87-CF86</f>
        <v>4.18970053176601</v>
      </c>
      <c r="CH87" s="88" t="n">
        <f aca="false">IF(B87=2026,INDEX($C$16:$Q$16,1,B87-2025)*$AO$4*C87/MAX(0.0001,12-$AO$3),INDEX($C$16:$Q$16,1,B87-2025)/12)</f>
        <v>3.69534238268495</v>
      </c>
      <c r="CI87" s="88" t="n">
        <f aca="false">$AO$6*INDEX($Y$16:$AB$16,1,B87-2026)/12</f>
        <v>0</v>
      </c>
      <c r="CJ87" s="88" t="n">
        <f aca="false">CH87+CJ86</f>
        <v>143.359035996764</v>
      </c>
      <c r="CK87" s="88" t="n">
        <f aca="false">CI87+CK86</f>
        <v>70</v>
      </c>
      <c r="CL87" s="88" t="n">
        <f aca="false">MAX(CL86,CJ87-CK87)</f>
        <v>73.3590359967642</v>
      </c>
      <c r="CM87" s="88" t="n">
        <f aca="false">CL87-CL86</f>
        <v>3.69534238268494</v>
      </c>
      <c r="CN87" s="88" t="n">
        <f aca="false">IF(B87=2026,INDEX($C$17:$Q$17,1,B87-2025)*$AO$4*C87/MAX(0.0001,12-$AO$3),INDEX($C$17:$Q$17,1,B87-2025)/12)</f>
        <v>16.0904818546506</v>
      </c>
      <c r="CO87" s="88" t="n">
        <f aca="false">$AO$6*INDEX($Y$17:$AB$17,1,B87-2026)/12</f>
        <v>1.23333333333333</v>
      </c>
      <c r="CP87" s="88" t="n">
        <f aca="false">CN87+CP86</f>
        <v>624.222528936584</v>
      </c>
      <c r="CQ87" s="88" t="n">
        <f aca="false">CO87+CQ86</f>
        <v>221</v>
      </c>
      <c r="CR87" s="88" t="n">
        <f aca="false">MAX(CR86,CP87-CQ87)</f>
        <v>403.222528936584</v>
      </c>
      <c r="CS87" s="88" t="n">
        <f aca="false">CR87-CR86</f>
        <v>14.8571485213173</v>
      </c>
      <c r="CT87" s="88" t="n">
        <f aca="false">IF(B87=2026,INDEX($C$18:$Q$18,1,B87-2025)*$AO$4*C87/MAX(0.0001,12-$AO$3),INDEX($C$18:$Q$18,1,B87-2025)/12)</f>
        <v>3.34735049911372</v>
      </c>
      <c r="CU87" s="88" t="n">
        <f aca="false">$AO$6*INDEX($Y$18:$AB$18,1,B87-2026)/12</f>
        <v>0</v>
      </c>
      <c r="CV87" s="88" t="n">
        <f aca="false">CT87+CV86</f>
        <v>129.858857719042</v>
      </c>
      <c r="CW87" s="88" t="n">
        <f aca="false">CU87+CW86</f>
        <v>11</v>
      </c>
      <c r="CX87" s="88" t="n">
        <f aca="false">MAX(CX86,CV87-CW87)</f>
        <v>118.858857719042</v>
      </c>
      <c r="CY87" s="88" t="n">
        <f aca="false">CX87-CX86</f>
        <v>3.34735049911373</v>
      </c>
      <c r="CZ87" s="88" t="n">
        <f aca="false">IF(B87=2026,INDEX($C$19:$Q$19,1,B87-2025)*$AO$4*C87/MAX(0.0001,12-$AO$3),INDEX($C$19:$Q$19,1,B87-2025)/12)</f>
        <v>3.31420841496408</v>
      </c>
      <c r="DA87" s="88" t="n">
        <f aca="false">$AO$6*INDEX($Y$19:$AB$19,1,B87-2026)/12</f>
        <v>8.31666666666667</v>
      </c>
      <c r="DB87" s="88" t="n">
        <f aca="false">CZ87+DB86</f>
        <v>128.573126454497</v>
      </c>
      <c r="DC87" s="88" t="n">
        <f aca="false">DA87+DC86</f>
        <v>203.8</v>
      </c>
      <c r="DD87" s="88" t="n">
        <f aca="false">MAX(DD86,DB87-DC87)</f>
        <v>37.132124495359</v>
      </c>
      <c r="DE87" s="88" t="n">
        <f aca="false">DD87-DD86</f>
        <v>0</v>
      </c>
      <c r="DF87" s="88" t="n">
        <f aca="false">IF(B87=2026,INDEX($C$20:$Q$20,1,B87-2025)*$AO$4*C87/MAX(0.0001,12-$AO$3),INDEX($C$20:$Q$20,1,B87-2025)/12)</f>
        <v>2.70107985819573</v>
      </c>
      <c r="DG87" s="88" t="n">
        <f aca="false">$AO$6*INDEX($Y$20:$AB$20,1,B87-2026)/12</f>
        <v>0</v>
      </c>
      <c r="DH87" s="88" t="n">
        <f aca="false">DF87+DH86</f>
        <v>104.787098060415</v>
      </c>
      <c r="DI87" s="88" t="n">
        <f aca="false">DG87+DI86</f>
        <v>0</v>
      </c>
      <c r="DJ87" s="88" t="n">
        <f aca="false">MAX(DJ86,DH87-DI87)</f>
        <v>104.787098060415</v>
      </c>
      <c r="DK87" s="88" t="n">
        <f aca="false">DJ87-DJ86</f>
        <v>2.70107985819573</v>
      </c>
      <c r="DL87" s="88" t="n">
        <f aca="false">IF(B87=2026,INDEX($C$21:$Q$21,1,B87-2025)*$AO$4*C87/MAX(0.0001,12-$AO$3),INDEX($C$21:$Q$21,1,B87-2025)/12)</f>
        <v>1.88909879652953</v>
      </c>
      <c r="DM87" s="88" t="n">
        <f aca="false">$AO$6*INDEX($Y$21:$AB$21,1,B87-2026)/12</f>
        <v>4.425</v>
      </c>
      <c r="DN87" s="88" t="n">
        <f aca="false">DL87+DN86</f>
        <v>73.2866820790632</v>
      </c>
      <c r="DO87" s="88" t="n">
        <f aca="false">DM87+DO86</f>
        <v>100</v>
      </c>
      <c r="DP87" s="88" t="n">
        <f aca="false">MAX(DP86,DN87-DO87)</f>
        <v>17.7483109623547</v>
      </c>
      <c r="DQ87" s="88" t="n">
        <f aca="false">DP87-DP86</f>
        <v>0</v>
      </c>
      <c r="DR87" s="88" t="n">
        <f aca="false">IF(B87=2026,INDEX($C$22:$Q$22,1,B87-2025)*$AO$4*C87/MAX(0.0001,12-$AO$3),INDEX($C$22:$Q$22,1,B87-2025)/12)</f>
        <v>1.47482274465902</v>
      </c>
      <c r="DS87" s="88" t="n">
        <f aca="false">$AO$6*INDEX($Y$22:$AB$22,1,B87-2026)/12</f>
        <v>0.216666666666667</v>
      </c>
      <c r="DT87" s="88" t="n">
        <f aca="false">DR87+DT86</f>
        <v>57.2150412722511</v>
      </c>
      <c r="DU87" s="88" t="n">
        <f aca="false">DS87+DU86</f>
        <v>29</v>
      </c>
      <c r="DV87" s="88" t="n">
        <f aca="false">MAX(DV86,DT87-DU87)</f>
        <v>28.2150412722511</v>
      </c>
      <c r="DW87" s="88" t="n">
        <f aca="false">DV87-DV86</f>
        <v>1.25815607799235</v>
      </c>
      <c r="DX87" s="88" t="n">
        <f aca="false">IF(B87=2026,INDEX($C$23:$Q$23,1,B87-2025)*$AO$4*C87/MAX(0.0001,12-$AO$3),INDEX($C$23:$Q$23,1,B87-2025)/12)</f>
        <v>2.36965901669932</v>
      </c>
      <c r="DY87" s="88" t="n">
        <f aca="false">$AO$6*INDEX($Y$23:$AB$23,1,B87-2026)/12</f>
        <v>2.94166666666667</v>
      </c>
      <c r="DZ87" s="88" t="n">
        <f aca="false">DX87+DZ86</f>
        <v>91.9297854149653</v>
      </c>
      <c r="EA87" s="88" t="n">
        <f aca="false">DY87+EA86</f>
        <v>121</v>
      </c>
      <c r="EB87" s="88" t="n">
        <f aca="false">MAX(EB86,DZ87-EA87)</f>
        <v>35.0579690141817</v>
      </c>
      <c r="EC87" s="88" t="n">
        <f aca="false">EB87-EB86</f>
        <v>0</v>
      </c>
      <c r="ED87" s="88" t="n">
        <f aca="false">IF(B87=2026,INDEX($C$24:$Q$24,1,B87-2025)*$AO$4*C87/MAX(0.0001,12-$AO$3),INDEX($C$24:$Q$24,1,B87-2025)/12)</f>
        <v>1.4582517025842</v>
      </c>
      <c r="EE87" s="88" t="n">
        <f aca="false">$AO$6*INDEX($Y$24:$AB$24,1,B87-2026)/12</f>
        <v>0</v>
      </c>
      <c r="EF87" s="88" t="n">
        <f aca="false">ED87+EF86</f>
        <v>56.5721756399787</v>
      </c>
      <c r="EG87" s="88" t="n">
        <f aca="false">EE87+EG86</f>
        <v>0</v>
      </c>
      <c r="EH87" s="88" t="n">
        <f aca="false">MAX(EH86,EF87-EG87)</f>
        <v>56.5721756399787</v>
      </c>
      <c r="EI87" s="88" t="n">
        <f aca="false">EH87-EH86</f>
        <v>1.4582517025842</v>
      </c>
      <c r="EJ87" s="88" t="n">
        <f aca="false">IF(B87=2026,INDEX($C$25:$Q$25,1,B87-2025)*$AO$4*C87/MAX(0.0001,12-$AO$3),INDEX($C$25:$Q$25,1,B87-2025)/12)</f>
        <v>1.85595671237989</v>
      </c>
      <c r="EK87" s="88" t="n">
        <f aca="false">$AO$6*INDEX($Y$25:$AB$25,1,B87-2026)/12</f>
        <v>0</v>
      </c>
      <c r="EL87" s="88" t="n">
        <f aca="false">EJ87+EL86</f>
        <v>72.0009508145184</v>
      </c>
      <c r="EM87" s="88" t="n">
        <f aca="false">EK87+EM86</f>
        <v>14</v>
      </c>
      <c r="EN87" s="88" t="n">
        <f aca="false">MAX(EN86,EL87-EM87)</f>
        <v>58.0009508145184</v>
      </c>
      <c r="EO87" s="88" t="n">
        <f aca="false">EN87-EN86</f>
        <v>1.85595671237989</v>
      </c>
      <c r="EP87" s="88" t="n">
        <f aca="false">IF(B87=2026,INDEX($C$26:$Q$26,1,B87-2025)*$AO$4*C87/MAX(0.0001,12-$AO$3),INDEX($C$26:$Q$26,1,B87-2025)/12)</f>
        <v>2.66793777404609</v>
      </c>
      <c r="EQ87" s="88" t="n">
        <f aca="false">$AO$6*INDEX($Y$26:$AB$26,1,B87-2026)/12</f>
        <v>0</v>
      </c>
      <c r="ER87" s="88" t="n">
        <f aca="false">EP87+ER86</f>
        <v>103.50136679587</v>
      </c>
      <c r="ES87" s="88" t="n">
        <f aca="false">EQ87+ES86</f>
        <v>4</v>
      </c>
      <c r="ET87" s="88" t="n">
        <f aca="false">MAX(ET86,ER87-ES87)</f>
        <v>99.50136679587</v>
      </c>
      <c r="EU87" s="88" t="n">
        <f aca="false">ET87-ET86</f>
        <v>2.66793777404608</v>
      </c>
      <c r="EV87" s="88" t="n">
        <f aca="false">IF(B87=2026,INDEX($C$27:$Q$27,1,B87-2025)*$AO$4*C87/MAX(0.0001,12-$AO$3),INDEX($C$27:$Q$27,1,B87-2025)/12)</f>
        <v>6.62841682992816</v>
      </c>
      <c r="EW87" s="88" t="n">
        <f aca="false">$AO$6*INDEX($Y$27:$AB$27,1,B87-2026)/12</f>
        <v>5.625</v>
      </c>
      <c r="EX87" s="88" t="n">
        <f aca="false">EV87+EX86</f>
        <v>257.146252908994</v>
      </c>
      <c r="EY87" s="88" t="n">
        <f aca="false">EW87+EY86</f>
        <v>386</v>
      </c>
      <c r="EZ87" s="88" t="n">
        <f aca="false">MAX(EZ86,EX87-EY87)</f>
        <v>0</v>
      </c>
      <c r="FA87" s="88" t="n">
        <f aca="false">EZ87-EZ86</f>
        <v>0</v>
      </c>
      <c r="FB87" s="88" t="n">
        <f aca="false">IF(B87=2026,INDEX($C$28:$Q$28,1,B87-2025)*$AO$4*C87/MAX(0.0001,12-$AO$3),INDEX($C$28:$Q$28,1,B87-2025)/12)</f>
        <v>34.6997621046739</v>
      </c>
      <c r="FC87" s="88" t="n">
        <f aca="false">$AO$6*INDEX($Y$28:$AB$28,1,B87-2026)/12</f>
        <v>2.05833333333333</v>
      </c>
      <c r="FD87" s="88" t="n">
        <f aca="false">FB87+FD86</f>
        <v>1346.16063397858</v>
      </c>
      <c r="FE87" s="88" t="n">
        <f aca="false">FC87+FE86</f>
        <v>169</v>
      </c>
      <c r="FF87" s="88" t="n">
        <f aca="false">MAX(FF86,FD87-FE87)</f>
        <v>1177.16063397858</v>
      </c>
      <c r="FG87" s="88" t="n">
        <f aca="false">FF87-FF86</f>
        <v>32.6414287713405</v>
      </c>
    </row>
    <row r="88" customFormat="false" ht="15" hidden="false" customHeight="false" outlineLevel="0" collapsed="false">
      <c r="A88" s="0" t="n">
        <v>48</v>
      </c>
      <c r="B88" s="88" t="n">
        <f aca="false">2026+INT(A88/12)</f>
        <v>2030</v>
      </c>
      <c r="C88" s="88" t="n">
        <f aca="false">MAX(0,MIN(1,A88+1-$AO$3))</f>
        <v>1</v>
      </c>
      <c r="D88" s="88" t="n">
        <f aca="false">IF((A88+0.5-(0))&lt;$AO$3,0,2026+INT((A88+0.5-(0))/12))</f>
        <v>2030</v>
      </c>
      <c r="E88" s="88" t="n">
        <f aca="false">IF((A88+0.5-($AO$9))&lt;$AO$3,0,2026+INT((A88+0.5-($AO$9))/12))</f>
        <v>2028</v>
      </c>
      <c r="F88" s="88" t="n">
        <f aca="false">IF((A88+0.5-($AO$9+$AO$8))&lt;$AO$3,0,2026+INT((A88+0.5-($AO$9+$AO$8))/12))</f>
        <v>2027</v>
      </c>
      <c r="G88" s="88" t="n">
        <f aca="false">IF((A88+0.5-($AO$9+$AO$8+$AO$7))&lt;$AO$3,0,2026+INT((A88+0.5-($AO$9+$AO$8+$AO$7))/12))</f>
        <v>2027</v>
      </c>
      <c r="H88" s="88" t="n">
        <f aca="false">IF(B88=2026,INDEX($C$3:$Q$3,1,B88-2025)*$AO$4*C88/MAX(0.0001,12-$AO$3),INDEX($C$3:$Q$3,1,B88-2025)/12)</f>
        <v>355.25</v>
      </c>
      <c r="I88" s="88" t="n">
        <f aca="false">$AO$6*INDEX($Y$3:$AB$3,1,B88-2026)/12</f>
        <v>70.9166666666667</v>
      </c>
      <c r="J88" s="88" t="n">
        <f aca="false">H88+J87</f>
        <v>14137.0034246575</v>
      </c>
      <c r="K88" s="88" t="n">
        <f aca="false">I88+K87</f>
        <v>6341.71666666667</v>
      </c>
      <c r="L88" s="88" t="n">
        <f aca="false">MAX(L87,J88-K88)</f>
        <v>7795.28675799087</v>
      </c>
      <c r="M88" s="88" t="n">
        <f aca="false">L88-L87</f>
        <v>284.333333333333</v>
      </c>
      <c r="N88" s="88" t="n">
        <f aca="false">IF(B88=2026,INDEX($C$4:$Q$4,1,B88-2025)*$AO$4*C88/MAX(0.0001,12-$AO$3),INDEX($C$4:$Q$4,1,B88-2025)/12)</f>
        <v>10.7700632578534</v>
      </c>
      <c r="O88" s="88" t="n">
        <f aca="false">$AO$6*INDEX($Y$4:$AB$4,1,B88-2026)/12</f>
        <v>7.075</v>
      </c>
      <c r="P88" s="88" t="n">
        <f aca="false">N88+P87</f>
        <v>428.589503617315</v>
      </c>
      <c r="Q88" s="88" t="n">
        <f aca="false">O88+Q87</f>
        <v>320.275</v>
      </c>
      <c r="R88" s="88" t="n">
        <f aca="false">MAX(R87,P88-Q88)</f>
        <v>108.314503617315</v>
      </c>
      <c r="S88" s="88" t="n">
        <f aca="false">R88-R87</f>
        <v>3.69506325785335</v>
      </c>
      <c r="T88" s="88" t="n">
        <f aca="false">IF(B88=2026,INDEX($C$5:$Q$5,1,B88-2025)*$AO$4*C88/MAX(0.0001,12-$AO$3),INDEX($C$5:$Q$5,1,B88-2025)/12)</f>
        <v>43.7734247619348</v>
      </c>
      <c r="U88" s="88" t="n">
        <f aca="false">$AO$6*INDEX($Y$5:$AB$5,1,B88-2026)/12</f>
        <v>8.56666666666667</v>
      </c>
      <c r="V88" s="88" t="n">
        <f aca="false">T88+V87</f>
        <v>1741.94245114275</v>
      </c>
      <c r="W88" s="88" t="n">
        <f aca="false">U88+W87</f>
        <v>1020.66666666667</v>
      </c>
      <c r="X88" s="88" t="n">
        <f aca="false">MAX(X87,V88-W88)</f>
        <v>721.275784476082</v>
      </c>
      <c r="Y88" s="88" t="n">
        <f aca="false">X88-X87</f>
        <v>35.2067580952681</v>
      </c>
      <c r="Z88" s="88" t="n">
        <f aca="false">IF(B88=2026,INDEX($C$6:$Q$6,1,B88-2025)*$AO$4*C88/MAX(0.0001,12-$AO$3),INDEX($C$6:$Q$6,1,B88-2025)/12)</f>
        <v>51.933610116259</v>
      </c>
      <c r="AA88" s="88" t="n">
        <f aca="false">$AO$6*INDEX($Y$6:$AB$6,1,B88-2026)/12</f>
        <v>16.8833333333333</v>
      </c>
      <c r="AB88" s="88" t="n">
        <f aca="false">Z88+AB87</f>
        <v>2066.67311490044</v>
      </c>
      <c r="AC88" s="88" t="n">
        <f aca="false">AA88+AC87</f>
        <v>1116.58333333333</v>
      </c>
      <c r="AD88" s="88" t="n">
        <f aca="false">MAX(AD87,AB88-AC88)</f>
        <v>950.089781567107</v>
      </c>
      <c r="AE88" s="88" t="n">
        <f aca="false">AD88-AD87</f>
        <v>35.0502767829255</v>
      </c>
      <c r="AF88" s="88" t="n">
        <f aca="false">IF(B88=2026,INDEX($C$7:$Q$7,1,B88-2025)*$AO$4*C88/MAX(0.0001,12-$AO$3),INDEX($C$7:$Q$7,1,B88-2025)/12)</f>
        <v>45.11289896006</v>
      </c>
      <c r="AG88" s="88" t="n">
        <f aca="false">$AO$6*INDEX($Y$7:$AB$7,1,B88-2026)/12</f>
        <v>6.05833333333333</v>
      </c>
      <c r="AH88" s="88" t="n">
        <f aca="false">AF88+AH87</f>
        <v>1795.24618464348</v>
      </c>
      <c r="AI88" s="88" t="n">
        <f aca="false">AG88+AI87</f>
        <v>606.658333333333</v>
      </c>
      <c r="AJ88" s="88" t="n">
        <f aca="false">MAX(AJ87,AH88-AI88)</f>
        <v>1188.58785131015</v>
      </c>
      <c r="AK88" s="88" t="n">
        <f aca="false">AJ88-AJ87</f>
        <v>39.0545656267266</v>
      </c>
      <c r="AL88" s="88" t="n">
        <f aca="false">IF(B88=2026,INDEX($C$8:$Q$8,1,B88-2025)*$AO$4*C88/MAX(0.0001,12-$AO$3),INDEX($C$8:$Q$8,1,B88-2025)/12)</f>
        <v>11.4114321188341</v>
      </c>
      <c r="AM88" s="88" t="n">
        <f aca="false">$AO$6*INDEX($Y$8:$AB$8,1,B88-2026)/12</f>
        <v>0</v>
      </c>
      <c r="AN88" s="88" t="n">
        <f aca="false">AL88+AN87</f>
        <v>454.112469934424</v>
      </c>
      <c r="AO88" s="88" t="n">
        <f aca="false">AM88+AO87</f>
        <v>66</v>
      </c>
      <c r="AP88" s="88" t="n">
        <f aca="false">MAX(AP87,AN88-AO88)</f>
        <v>388.112469934424</v>
      </c>
      <c r="AQ88" s="88" t="n">
        <f aca="false">AP88-AP87</f>
        <v>11.4114321188341</v>
      </c>
      <c r="AR88" s="88" t="n">
        <f aca="false">IF(B88=2026,INDEX($C$9:$Q$9,1,B88-2025)*$AO$4*C88/MAX(0.0001,12-$AO$3),INDEX($C$9:$Q$9,1,B88-2025)/12)</f>
        <v>48.6576953186344</v>
      </c>
      <c r="AS88" s="88" t="n">
        <f aca="false">$AO$6*INDEX($Y$9:$AB$9,1,B88-2026)/12</f>
        <v>25.2</v>
      </c>
      <c r="AT88" s="88" t="n">
        <f aca="false">AR88+AT87</f>
        <v>1936.30965617305</v>
      </c>
      <c r="AU88" s="88" t="n">
        <f aca="false">AS88+AU87</f>
        <v>1308</v>
      </c>
      <c r="AV88" s="88" t="n">
        <f aca="false">MAX(AV87,AT88-AU88)</f>
        <v>628.30965617305</v>
      </c>
      <c r="AW88" s="88" t="n">
        <f aca="false">AV88-AV87</f>
        <v>23.4576953186343</v>
      </c>
      <c r="AX88" s="88" t="n">
        <f aca="false">IF(B88=2026,INDEX($C$10:$Q$10,1,B88-2025)*$AO$4*C88/MAX(0.0001,12-$AO$3),INDEX($C$10:$Q$10,1,B88-2025)/12)</f>
        <v>5.64404597663043</v>
      </c>
      <c r="AY88" s="88" t="n">
        <f aca="false">$AO$6*INDEX($Y$10:$AB$10,1,B88-2026)/12</f>
        <v>0.025</v>
      </c>
      <c r="AZ88" s="88" t="n">
        <f aca="false">AX88+AZ87</f>
        <v>224.602103590567</v>
      </c>
      <c r="BA88" s="88" t="n">
        <f aca="false">AY88+BA87</f>
        <v>49.725</v>
      </c>
      <c r="BB88" s="88" t="n">
        <f aca="false">MAX(BB87,AZ88-BA88)</f>
        <v>174.877103590567</v>
      </c>
      <c r="BC88" s="88" t="n">
        <f aca="false">BB88-BB87</f>
        <v>5.61904597663042</v>
      </c>
      <c r="BD88" s="88" t="n">
        <f aca="false">IF(B88=2026,INDEX($C$11:$Q$11,1,B88-2025)*$AO$4*C88/MAX(0.0001,12-$AO$3),INDEX($C$11:$Q$11,1,B88-2025)/12)</f>
        <v>28.0475536513497</v>
      </c>
      <c r="BE88" s="88" t="n">
        <f aca="false">$AO$6*INDEX($Y$11:$AB$11,1,B88-2026)/12</f>
        <v>0</v>
      </c>
      <c r="BF88" s="88" t="n">
        <f aca="false">BD88+BF87</f>
        <v>1116.13895009823</v>
      </c>
      <c r="BG88" s="88" t="n">
        <f aca="false">BE88+BG87</f>
        <v>240</v>
      </c>
      <c r="BH88" s="88" t="n">
        <f aca="false">MAX(BH87,BF88-BG88)</f>
        <v>876.138950098232</v>
      </c>
      <c r="BI88" s="88" t="n">
        <f aca="false">BH88-BH87</f>
        <v>28.0475536513497</v>
      </c>
      <c r="BJ88" s="88" t="n">
        <f aca="false">IF(B88=2026,INDEX($C$12:$Q$12,1,B88-2025)*$AO$4*C88/MAX(0.0001,12-$AO$3),INDEX($C$12:$Q$12,1,B88-2025)/12)</f>
        <v>15.3780518436687</v>
      </c>
      <c r="BK88" s="88" t="n">
        <f aca="false">$AO$6*INDEX($Y$12:$AB$12,1,B88-2026)/12</f>
        <v>4.78333333333333</v>
      </c>
      <c r="BL88" s="88" t="n">
        <f aca="false">BJ88+BL87</f>
        <v>611.962200080243</v>
      </c>
      <c r="BM88" s="88" t="n">
        <f aca="false">BK88+BM87</f>
        <v>108.383333333333</v>
      </c>
      <c r="BN88" s="88" t="n">
        <f aca="false">MAX(BN87,BL88-BM88)</f>
        <v>503.578866746909</v>
      </c>
      <c r="BO88" s="88" t="n">
        <f aca="false">BN88-BN87</f>
        <v>10.5947185103354</v>
      </c>
      <c r="BP88" s="88" t="n">
        <f aca="false">IF(B88=2026,INDEX($C$13:$Q$13,1,B88-2025)*$AO$4*C88/MAX(0.0001,12-$AO$3),INDEX($C$13:$Q$13,1,B88-2025)/12)</f>
        <v>4.80560220169792</v>
      </c>
      <c r="BQ88" s="88" t="n">
        <f aca="false">$AO$6*INDEX($Y$13:$AB$13,1,B88-2026)/12</f>
        <v>0.0583333333333333</v>
      </c>
      <c r="BR88" s="88" t="n">
        <f aca="false">BP88+BR87</f>
        <v>191.236635560719</v>
      </c>
      <c r="BS88" s="88" t="n">
        <f aca="false">BQ88+BS87</f>
        <v>86.3583333333333</v>
      </c>
      <c r="BT88" s="88" t="n">
        <f aca="false">MAX(BT87,BR88-BS88)</f>
        <v>104.878302227385</v>
      </c>
      <c r="BU88" s="88" t="n">
        <f aca="false">BT88-BT87</f>
        <v>4.74726886836459</v>
      </c>
      <c r="BV88" s="88" t="n">
        <f aca="false">IF(B88=2026,INDEX($C$14:$Q$14,1,B88-2025)*$AO$4*C88/MAX(0.0001,12-$AO$3),INDEX($C$14:$Q$14,1,B88-2025)/12)</f>
        <v>2.85021923686911</v>
      </c>
      <c r="BW88" s="88" t="n">
        <f aca="false">$AO$6*INDEX($Y$14:$AB$14,1,B88-2026)/12</f>
        <v>0</v>
      </c>
      <c r="BX88" s="88" t="n">
        <f aca="false">BV88+BX87</f>
        <v>113.423107987736</v>
      </c>
      <c r="BY88" s="88" t="n">
        <f aca="false">BW88+BY87</f>
        <v>0</v>
      </c>
      <c r="BZ88" s="88" t="n">
        <f aca="false">MAX(BZ87,BX88-BY88)</f>
        <v>113.423107987736</v>
      </c>
      <c r="CA88" s="88" t="n">
        <f aca="false">BZ88-BZ87</f>
        <v>2.85021923686911</v>
      </c>
      <c r="CB88" s="88" t="n">
        <f aca="false">IF(B88=2026,INDEX($C$15:$Q$15,1,B88-2025)*$AO$4*C88/MAX(0.0001,12-$AO$3),INDEX($C$15:$Q$15,1,B88-2025)/12)</f>
        <v>4.67303386509936</v>
      </c>
      <c r="CC88" s="88" t="n">
        <f aca="false">$AO$6*INDEX($Y$15:$AB$15,1,B88-2026)/12</f>
        <v>0</v>
      </c>
      <c r="CD88" s="88" t="n">
        <f aca="false">CB88+CD87</f>
        <v>185.96114216594</v>
      </c>
      <c r="CE88" s="88" t="n">
        <f aca="false">CC88+CE87</f>
        <v>88.0000000000001</v>
      </c>
      <c r="CF88" s="88" t="n">
        <f aca="false">MAX(CF87,CD88-CE88)</f>
        <v>97.9611421659399</v>
      </c>
      <c r="CG88" s="88" t="n">
        <f aca="false">CF88-CF87</f>
        <v>4.67303386509934</v>
      </c>
      <c r="CH88" s="88" t="n">
        <f aca="false">IF(B88=2026,INDEX($C$16:$Q$16,1,B88-2025)*$AO$4*C88/MAX(0.0001,12-$AO$3),INDEX($C$16:$Q$16,1,B88-2025)/12)</f>
        <v>3.69534238268495</v>
      </c>
      <c r="CI88" s="88" t="n">
        <f aca="false">$AO$6*INDEX($Y$16:$AB$16,1,B88-2026)/12</f>
        <v>0</v>
      </c>
      <c r="CJ88" s="88" t="n">
        <f aca="false">CH88+CJ87</f>
        <v>147.054378379449</v>
      </c>
      <c r="CK88" s="88" t="n">
        <f aca="false">CI88+CK87</f>
        <v>70</v>
      </c>
      <c r="CL88" s="88" t="n">
        <f aca="false">MAX(CL87,CJ88-CK88)</f>
        <v>77.0543783794492</v>
      </c>
      <c r="CM88" s="88" t="n">
        <f aca="false">CL88-CL87</f>
        <v>3.69534238268494</v>
      </c>
      <c r="CN88" s="88" t="n">
        <f aca="false">IF(B88=2026,INDEX($C$17:$Q$17,1,B88-2025)*$AO$4*C88/MAX(0.0001,12-$AO$3),INDEX($C$17:$Q$17,1,B88-2025)/12)</f>
        <v>16.0904818546506</v>
      </c>
      <c r="CO88" s="88" t="n">
        <f aca="false">$AO$6*INDEX($Y$17:$AB$17,1,B88-2026)/12</f>
        <v>0</v>
      </c>
      <c r="CP88" s="88" t="n">
        <f aca="false">CN88+CP87</f>
        <v>640.313010791234</v>
      </c>
      <c r="CQ88" s="88" t="n">
        <f aca="false">CO88+CQ87</f>
        <v>221</v>
      </c>
      <c r="CR88" s="88" t="n">
        <f aca="false">MAX(CR87,CP88-CQ88)</f>
        <v>419.313010791234</v>
      </c>
      <c r="CS88" s="88" t="n">
        <f aca="false">CR88-CR87</f>
        <v>16.0904818546506</v>
      </c>
      <c r="CT88" s="88" t="n">
        <f aca="false">IF(B88=2026,INDEX($C$18:$Q$18,1,B88-2025)*$AO$4*C88/MAX(0.0001,12-$AO$3),INDEX($C$18:$Q$18,1,B88-2025)/12)</f>
        <v>3.34735049911372</v>
      </c>
      <c r="CU88" s="88" t="n">
        <f aca="false">$AO$6*INDEX($Y$18:$AB$18,1,B88-2026)/12</f>
        <v>0</v>
      </c>
      <c r="CV88" s="88" t="n">
        <f aca="false">CT88+CV87</f>
        <v>133.206208218156</v>
      </c>
      <c r="CW88" s="88" t="n">
        <f aca="false">CU88+CW87</f>
        <v>11</v>
      </c>
      <c r="CX88" s="88" t="n">
        <f aca="false">MAX(CX87,CV88-CW88)</f>
        <v>122.206208218156</v>
      </c>
      <c r="CY88" s="88" t="n">
        <f aca="false">CX88-CX87</f>
        <v>3.34735049911373</v>
      </c>
      <c r="CZ88" s="88" t="n">
        <f aca="false">IF(B88=2026,INDEX($C$19:$Q$19,1,B88-2025)*$AO$4*C88/MAX(0.0001,12-$AO$3),INDEX($C$19:$Q$19,1,B88-2025)/12)</f>
        <v>3.31420841496408</v>
      </c>
      <c r="DA88" s="88" t="n">
        <f aca="false">$AO$6*INDEX($Y$19:$AB$19,1,B88-2026)/12</f>
        <v>1.85</v>
      </c>
      <c r="DB88" s="88" t="n">
        <f aca="false">CZ88+DB87</f>
        <v>131.887334869461</v>
      </c>
      <c r="DC88" s="88" t="n">
        <f aca="false">DA88+DC87</f>
        <v>205.65</v>
      </c>
      <c r="DD88" s="88" t="n">
        <f aca="false">MAX(DD87,DB88-DC88)</f>
        <v>37.132124495359</v>
      </c>
      <c r="DE88" s="88" t="n">
        <f aca="false">DD88-DD87</f>
        <v>0</v>
      </c>
      <c r="DF88" s="88" t="n">
        <f aca="false">IF(B88=2026,INDEX($C$20:$Q$20,1,B88-2025)*$AO$4*C88/MAX(0.0001,12-$AO$3),INDEX($C$20:$Q$20,1,B88-2025)/12)</f>
        <v>2.70107985819573</v>
      </c>
      <c r="DG88" s="88" t="n">
        <f aca="false">$AO$6*INDEX($Y$20:$AB$20,1,B88-2026)/12</f>
        <v>0</v>
      </c>
      <c r="DH88" s="88" t="n">
        <f aca="false">DF88+DH87</f>
        <v>107.488177918611</v>
      </c>
      <c r="DI88" s="88" t="n">
        <f aca="false">DG88+DI87</f>
        <v>0</v>
      </c>
      <c r="DJ88" s="88" t="n">
        <f aca="false">MAX(DJ87,DH88-DI88)</f>
        <v>107.488177918611</v>
      </c>
      <c r="DK88" s="88" t="n">
        <f aca="false">DJ88-DJ87</f>
        <v>2.70107985819573</v>
      </c>
      <c r="DL88" s="88" t="n">
        <f aca="false">IF(B88=2026,INDEX($C$21:$Q$21,1,B88-2025)*$AO$4*C88/MAX(0.0001,12-$AO$3),INDEX($C$21:$Q$21,1,B88-2025)/12)</f>
        <v>1.88909879652953</v>
      </c>
      <c r="DM88" s="88" t="n">
        <f aca="false">$AO$6*INDEX($Y$21:$AB$21,1,B88-2026)/12</f>
        <v>0</v>
      </c>
      <c r="DN88" s="88" t="n">
        <f aca="false">DL88+DN87</f>
        <v>75.1757808755928</v>
      </c>
      <c r="DO88" s="88" t="n">
        <f aca="false">DM88+DO87</f>
        <v>100</v>
      </c>
      <c r="DP88" s="88" t="n">
        <f aca="false">MAX(DP87,DN88-DO88)</f>
        <v>17.7483109623547</v>
      </c>
      <c r="DQ88" s="88" t="n">
        <f aca="false">DP88-DP87</f>
        <v>0</v>
      </c>
      <c r="DR88" s="88" t="n">
        <f aca="false">IF(B88=2026,INDEX($C$22:$Q$22,1,B88-2025)*$AO$4*C88/MAX(0.0001,12-$AO$3),INDEX($C$22:$Q$22,1,B88-2025)/12)</f>
        <v>1.47482274465902</v>
      </c>
      <c r="DS88" s="88" t="n">
        <f aca="false">$AO$6*INDEX($Y$22:$AB$22,1,B88-2026)/12</f>
        <v>0</v>
      </c>
      <c r="DT88" s="88" t="n">
        <f aca="false">DR88+DT87</f>
        <v>58.6898640169101</v>
      </c>
      <c r="DU88" s="88" t="n">
        <f aca="false">DS88+DU87</f>
        <v>29</v>
      </c>
      <c r="DV88" s="88" t="n">
        <f aca="false">MAX(DV87,DT88-DU88)</f>
        <v>29.6898640169102</v>
      </c>
      <c r="DW88" s="88" t="n">
        <f aca="false">DV88-DV87</f>
        <v>1.47482274465902</v>
      </c>
      <c r="DX88" s="88" t="n">
        <f aca="false">IF(B88=2026,INDEX($C$23:$Q$23,1,B88-2025)*$AO$4*C88/MAX(0.0001,12-$AO$3),INDEX($C$23:$Q$23,1,B88-2025)/12)</f>
        <v>2.36965901669932</v>
      </c>
      <c r="DY88" s="88" t="n">
        <f aca="false">$AO$6*INDEX($Y$23:$AB$23,1,B88-2026)/12</f>
        <v>0</v>
      </c>
      <c r="DZ88" s="88" t="n">
        <f aca="false">DX88+DZ87</f>
        <v>94.2994444316646</v>
      </c>
      <c r="EA88" s="88" t="n">
        <f aca="false">DY88+EA87</f>
        <v>121</v>
      </c>
      <c r="EB88" s="88" t="n">
        <f aca="false">MAX(EB87,DZ88-EA88)</f>
        <v>35.0579690141817</v>
      </c>
      <c r="EC88" s="88" t="n">
        <f aca="false">EB88-EB87</f>
        <v>0</v>
      </c>
      <c r="ED88" s="88" t="n">
        <f aca="false">IF(B88=2026,INDEX($C$24:$Q$24,1,B88-2025)*$AO$4*C88/MAX(0.0001,12-$AO$3),INDEX($C$24:$Q$24,1,B88-2025)/12)</f>
        <v>1.4582517025842</v>
      </c>
      <c r="EE88" s="88" t="n">
        <f aca="false">$AO$6*INDEX($Y$24:$AB$24,1,B88-2026)/12</f>
        <v>0</v>
      </c>
      <c r="EF88" s="88" t="n">
        <f aca="false">ED88+EF87</f>
        <v>58.0304273425629</v>
      </c>
      <c r="EG88" s="88" t="n">
        <f aca="false">EE88+EG87</f>
        <v>0</v>
      </c>
      <c r="EH88" s="88" t="n">
        <f aca="false">MAX(EH87,EF88-EG88)</f>
        <v>58.0304273425629</v>
      </c>
      <c r="EI88" s="88" t="n">
        <f aca="false">EH88-EH87</f>
        <v>1.4582517025842</v>
      </c>
      <c r="EJ88" s="88" t="n">
        <f aca="false">IF(B88=2026,INDEX($C$25:$Q$25,1,B88-2025)*$AO$4*C88/MAX(0.0001,12-$AO$3),INDEX($C$25:$Q$25,1,B88-2025)/12)</f>
        <v>1.85595671237989</v>
      </c>
      <c r="EK88" s="88" t="n">
        <f aca="false">$AO$6*INDEX($Y$25:$AB$25,1,B88-2026)/12</f>
        <v>0</v>
      </c>
      <c r="EL88" s="88" t="n">
        <f aca="false">EJ88+EL87</f>
        <v>73.8569075268982</v>
      </c>
      <c r="EM88" s="88" t="n">
        <f aca="false">EK88+EM87</f>
        <v>14</v>
      </c>
      <c r="EN88" s="88" t="n">
        <f aca="false">MAX(EN87,EL88-EM88)</f>
        <v>59.8569075268983</v>
      </c>
      <c r="EO88" s="88" t="n">
        <f aca="false">EN88-EN87</f>
        <v>1.85595671237989</v>
      </c>
      <c r="EP88" s="88" t="n">
        <f aca="false">IF(B88=2026,INDEX($C$26:$Q$26,1,B88-2025)*$AO$4*C88/MAX(0.0001,12-$AO$3),INDEX($C$26:$Q$26,1,B88-2025)/12)</f>
        <v>2.66793777404609</v>
      </c>
      <c r="EQ88" s="88" t="n">
        <f aca="false">$AO$6*INDEX($Y$26:$AB$26,1,B88-2026)/12</f>
        <v>0</v>
      </c>
      <c r="ER88" s="88" t="n">
        <f aca="false">EP88+ER87</f>
        <v>106.169304569916</v>
      </c>
      <c r="ES88" s="88" t="n">
        <f aca="false">EQ88+ES87</f>
        <v>4</v>
      </c>
      <c r="ET88" s="88" t="n">
        <f aca="false">MAX(ET87,ER88-ES88)</f>
        <v>102.169304569916</v>
      </c>
      <c r="EU88" s="88" t="n">
        <f aca="false">ET88-ET87</f>
        <v>2.66793777404608</v>
      </c>
      <c r="EV88" s="88" t="n">
        <f aca="false">IF(B88=2026,INDEX($C$27:$Q$27,1,B88-2025)*$AO$4*C88/MAX(0.0001,12-$AO$3),INDEX($C$27:$Q$27,1,B88-2025)/12)</f>
        <v>6.62841682992816</v>
      </c>
      <c r="EW88" s="88" t="n">
        <f aca="false">$AO$6*INDEX($Y$27:$AB$27,1,B88-2026)/12</f>
        <v>0.416666666666667</v>
      </c>
      <c r="EX88" s="88" t="n">
        <f aca="false">EV88+EX87</f>
        <v>263.774669738922</v>
      </c>
      <c r="EY88" s="88" t="n">
        <f aca="false">EW88+EY87</f>
        <v>386.416666666667</v>
      </c>
      <c r="EZ88" s="88" t="n">
        <f aca="false">MAX(EZ87,EX88-EY88)</f>
        <v>0</v>
      </c>
      <c r="FA88" s="88" t="n">
        <f aca="false">EZ88-EZ87</f>
        <v>0</v>
      </c>
      <c r="FB88" s="88" t="n">
        <f aca="false">IF(B88=2026,INDEX($C$28:$Q$28,1,B88-2025)*$AO$4*C88/MAX(0.0001,12-$AO$3),INDEX($C$28:$Q$28,1,B88-2025)/12)</f>
        <v>34.6997621046739</v>
      </c>
      <c r="FC88" s="88" t="n">
        <f aca="false">$AO$6*INDEX($Y$28:$AB$28,1,B88-2026)/12</f>
        <v>0</v>
      </c>
      <c r="FD88" s="88" t="n">
        <f aca="false">FB88+FD87</f>
        <v>1380.86039608326</v>
      </c>
      <c r="FE88" s="88" t="n">
        <f aca="false">FC88+FE87</f>
        <v>169</v>
      </c>
      <c r="FF88" s="88" t="n">
        <f aca="false">MAX(FF87,FD88-FE88)</f>
        <v>1211.86039608326</v>
      </c>
      <c r="FG88" s="88" t="n">
        <f aca="false">FF88-FF87</f>
        <v>34.6997621046739</v>
      </c>
    </row>
    <row r="89" customFormat="false" ht="15" hidden="false" customHeight="false" outlineLevel="0" collapsed="false">
      <c r="A89" s="0" t="n">
        <v>49</v>
      </c>
      <c r="B89" s="88" t="n">
        <f aca="false">2026+INT(A89/12)</f>
        <v>2030</v>
      </c>
      <c r="C89" s="88" t="n">
        <f aca="false">MAX(0,MIN(1,A89+1-$AO$3))</f>
        <v>1</v>
      </c>
      <c r="D89" s="88" t="n">
        <f aca="false">IF((A89+0.5-(0))&lt;$AO$3,0,2026+INT((A89+0.5-(0))/12))</f>
        <v>2030</v>
      </c>
      <c r="E89" s="88" t="n">
        <f aca="false">IF((A89+0.5-($AO$9))&lt;$AO$3,0,2026+INT((A89+0.5-($AO$9))/12))</f>
        <v>2028</v>
      </c>
      <c r="F89" s="88" t="n">
        <f aca="false">IF((A89+0.5-($AO$9+$AO$8))&lt;$AO$3,0,2026+INT((A89+0.5-($AO$9+$AO$8))/12))</f>
        <v>2027</v>
      </c>
      <c r="G89" s="88" t="n">
        <f aca="false">IF((A89+0.5-($AO$9+$AO$8+$AO$7))&lt;$AO$3,0,2026+INT((A89+0.5-($AO$9+$AO$8+$AO$7))/12))</f>
        <v>2027</v>
      </c>
      <c r="H89" s="88" t="n">
        <f aca="false">IF(B89=2026,INDEX($C$3:$Q$3,1,B89-2025)*$AO$4*C89/MAX(0.0001,12-$AO$3),INDEX($C$3:$Q$3,1,B89-2025)/12)</f>
        <v>355.25</v>
      </c>
      <c r="I89" s="88" t="n">
        <f aca="false">$AO$6*INDEX($Y$3:$AB$3,1,B89-2026)/12</f>
        <v>70.9166666666667</v>
      </c>
      <c r="J89" s="88" t="n">
        <f aca="false">H89+J88</f>
        <v>14492.2534246575</v>
      </c>
      <c r="K89" s="88" t="n">
        <f aca="false">I89+K88</f>
        <v>6412.63333333333</v>
      </c>
      <c r="L89" s="88" t="n">
        <f aca="false">MAX(L88,J89-K89)</f>
        <v>8079.6200913242</v>
      </c>
      <c r="M89" s="88" t="n">
        <f aca="false">L89-L88</f>
        <v>284.333333333333</v>
      </c>
      <c r="N89" s="88" t="n">
        <f aca="false">IF(B89=2026,INDEX($C$4:$Q$4,1,B89-2025)*$AO$4*C89/MAX(0.0001,12-$AO$3),INDEX($C$4:$Q$4,1,B89-2025)/12)</f>
        <v>10.7700632578534</v>
      </c>
      <c r="O89" s="88" t="n">
        <f aca="false">$AO$6*INDEX($Y$4:$AB$4,1,B89-2026)/12</f>
        <v>7.075</v>
      </c>
      <c r="P89" s="88" t="n">
        <f aca="false">N89+P88</f>
        <v>439.359566875168</v>
      </c>
      <c r="Q89" s="88" t="n">
        <f aca="false">O89+Q88</f>
        <v>327.35</v>
      </c>
      <c r="R89" s="88" t="n">
        <f aca="false">MAX(R88,P89-Q89)</f>
        <v>112.009566875168</v>
      </c>
      <c r="S89" s="88" t="n">
        <f aca="false">R89-R88</f>
        <v>3.69506325785335</v>
      </c>
      <c r="T89" s="88" t="n">
        <f aca="false">IF(B89=2026,INDEX($C$5:$Q$5,1,B89-2025)*$AO$4*C89/MAX(0.0001,12-$AO$3),INDEX($C$5:$Q$5,1,B89-2025)/12)</f>
        <v>43.7734247619348</v>
      </c>
      <c r="U89" s="88" t="n">
        <f aca="false">$AO$6*INDEX($Y$5:$AB$5,1,B89-2026)/12</f>
        <v>8.56666666666667</v>
      </c>
      <c r="V89" s="88" t="n">
        <f aca="false">T89+V88</f>
        <v>1785.71587590468</v>
      </c>
      <c r="W89" s="88" t="n">
        <f aca="false">U89+W88</f>
        <v>1029.23333333333</v>
      </c>
      <c r="X89" s="88" t="n">
        <f aca="false">MAX(X88,V89-W89)</f>
        <v>756.48254257135</v>
      </c>
      <c r="Y89" s="88" t="n">
        <f aca="false">X89-X88</f>
        <v>35.2067580952681</v>
      </c>
      <c r="Z89" s="88" t="n">
        <f aca="false">IF(B89=2026,INDEX($C$6:$Q$6,1,B89-2025)*$AO$4*C89/MAX(0.0001,12-$AO$3),INDEX($C$6:$Q$6,1,B89-2025)/12)</f>
        <v>51.933610116259</v>
      </c>
      <c r="AA89" s="88" t="n">
        <f aca="false">$AO$6*INDEX($Y$6:$AB$6,1,B89-2026)/12</f>
        <v>16.8833333333333</v>
      </c>
      <c r="AB89" s="88" t="n">
        <f aca="false">Z89+AB88</f>
        <v>2118.6067250167</v>
      </c>
      <c r="AC89" s="88" t="n">
        <f aca="false">AA89+AC88</f>
        <v>1133.46666666667</v>
      </c>
      <c r="AD89" s="88" t="n">
        <f aca="false">MAX(AD88,AB89-AC89)</f>
        <v>985.140058350032</v>
      </c>
      <c r="AE89" s="88" t="n">
        <f aca="false">AD89-AD88</f>
        <v>35.0502767829255</v>
      </c>
      <c r="AF89" s="88" t="n">
        <f aca="false">IF(B89=2026,INDEX($C$7:$Q$7,1,B89-2025)*$AO$4*C89/MAX(0.0001,12-$AO$3),INDEX($C$7:$Q$7,1,B89-2025)/12)</f>
        <v>45.11289896006</v>
      </c>
      <c r="AG89" s="88" t="n">
        <f aca="false">$AO$6*INDEX($Y$7:$AB$7,1,B89-2026)/12</f>
        <v>6.05833333333333</v>
      </c>
      <c r="AH89" s="88" t="n">
        <f aca="false">AF89+AH88</f>
        <v>1840.35908360354</v>
      </c>
      <c r="AI89" s="88" t="n">
        <f aca="false">AG89+AI88</f>
        <v>612.716666666667</v>
      </c>
      <c r="AJ89" s="88" t="n">
        <f aca="false">MAX(AJ88,AH89-AI89)</f>
        <v>1227.64241693688</v>
      </c>
      <c r="AK89" s="88" t="n">
        <f aca="false">AJ89-AJ88</f>
        <v>39.0545656267266</v>
      </c>
      <c r="AL89" s="88" t="n">
        <f aca="false">IF(B89=2026,INDEX($C$8:$Q$8,1,B89-2025)*$AO$4*C89/MAX(0.0001,12-$AO$3),INDEX($C$8:$Q$8,1,B89-2025)/12)</f>
        <v>11.4114321188341</v>
      </c>
      <c r="AM89" s="88" t="n">
        <f aca="false">$AO$6*INDEX($Y$8:$AB$8,1,B89-2026)/12</f>
        <v>0</v>
      </c>
      <c r="AN89" s="88" t="n">
        <f aca="false">AL89+AN88</f>
        <v>465.523902053258</v>
      </c>
      <c r="AO89" s="88" t="n">
        <f aca="false">AM89+AO88</f>
        <v>66</v>
      </c>
      <c r="AP89" s="88" t="n">
        <f aca="false">MAX(AP88,AN89-AO89)</f>
        <v>399.523902053258</v>
      </c>
      <c r="AQ89" s="88" t="n">
        <f aca="false">AP89-AP88</f>
        <v>11.4114321188341</v>
      </c>
      <c r="AR89" s="88" t="n">
        <f aca="false">IF(B89=2026,INDEX($C$9:$Q$9,1,B89-2025)*$AO$4*C89/MAX(0.0001,12-$AO$3),INDEX($C$9:$Q$9,1,B89-2025)/12)</f>
        <v>48.6576953186344</v>
      </c>
      <c r="AS89" s="88" t="n">
        <f aca="false">$AO$6*INDEX($Y$9:$AB$9,1,B89-2026)/12</f>
        <v>25.2</v>
      </c>
      <c r="AT89" s="88" t="n">
        <f aca="false">AR89+AT88</f>
        <v>1984.96735149168</v>
      </c>
      <c r="AU89" s="88" t="n">
        <f aca="false">AS89+AU88</f>
        <v>1333.2</v>
      </c>
      <c r="AV89" s="88" t="n">
        <f aca="false">MAX(AV88,AT89-AU89)</f>
        <v>651.767351491684</v>
      </c>
      <c r="AW89" s="88" t="n">
        <f aca="false">AV89-AV88</f>
        <v>23.4576953186343</v>
      </c>
      <c r="AX89" s="88" t="n">
        <f aca="false">IF(B89=2026,INDEX($C$10:$Q$10,1,B89-2025)*$AO$4*C89/MAX(0.0001,12-$AO$3),INDEX($C$10:$Q$10,1,B89-2025)/12)</f>
        <v>5.64404597663043</v>
      </c>
      <c r="AY89" s="88" t="n">
        <f aca="false">$AO$6*INDEX($Y$10:$AB$10,1,B89-2026)/12</f>
        <v>0.025</v>
      </c>
      <c r="AZ89" s="88" t="n">
        <f aca="false">AX89+AZ88</f>
        <v>230.246149567198</v>
      </c>
      <c r="BA89" s="88" t="n">
        <f aca="false">AY89+BA88</f>
        <v>49.75</v>
      </c>
      <c r="BB89" s="88" t="n">
        <f aca="false">MAX(BB88,AZ89-BA89)</f>
        <v>180.496149567198</v>
      </c>
      <c r="BC89" s="88" t="n">
        <f aca="false">BB89-BB88</f>
        <v>5.61904597663042</v>
      </c>
      <c r="BD89" s="88" t="n">
        <f aca="false">IF(B89=2026,INDEX($C$11:$Q$11,1,B89-2025)*$AO$4*C89/MAX(0.0001,12-$AO$3),INDEX($C$11:$Q$11,1,B89-2025)/12)</f>
        <v>28.0475536513497</v>
      </c>
      <c r="BE89" s="88" t="n">
        <f aca="false">$AO$6*INDEX($Y$11:$AB$11,1,B89-2026)/12</f>
        <v>0</v>
      </c>
      <c r="BF89" s="88" t="n">
        <f aca="false">BD89+BF88</f>
        <v>1144.18650374958</v>
      </c>
      <c r="BG89" s="88" t="n">
        <f aca="false">BE89+BG88</f>
        <v>240</v>
      </c>
      <c r="BH89" s="88" t="n">
        <f aca="false">MAX(BH88,BF89-BG89)</f>
        <v>904.186503749581</v>
      </c>
      <c r="BI89" s="88" t="n">
        <f aca="false">BH89-BH88</f>
        <v>28.0475536513497</v>
      </c>
      <c r="BJ89" s="88" t="n">
        <f aca="false">IF(B89=2026,INDEX($C$12:$Q$12,1,B89-2025)*$AO$4*C89/MAX(0.0001,12-$AO$3),INDEX($C$12:$Q$12,1,B89-2025)/12)</f>
        <v>15.3780518436687</v>
      </c>
      <c r="BK89" s="88" t="n">
        <f aca="false">$AO$6*INDEX($Y$12:$AB$12,1,B89-2026)/12</f>
        <v>4.78333333333333</v>
      </c>
      <c r="BL89" s="88" t="n">
        <f aca="false">BJ89+BL88</f>
        <v>627.340251923912</v>
      </c>
      <c r="BM89" s="88" t="n">
        <f aca="false">BK89+BM88</f>
        <v>113.166666666667</v>
      </c>
      <c r="BN89" s="88" t="n">
        <f aca="false">MAX(BN88,BL89-BM89)</f>
        <v>514.173585257245</v>
      </c>
      <c r="BO89" s="88" t="n">
        <f aca="false">BN89-BN88</f>
        <v>10.5947185103354</v>
      </c>
      <c r="BP89" s="88" t="n">
        <f aca="false">IF(B89=2026,INDEX($C$13:$Q$13,1,B89-2025)*$AO$4*C89/MAX(0.0001,12-$AO$3),INDEX($C$13:$Q$13,1,B89-2025)/12)</f>
        <v>4.80560220169792</v>
      </c>
      <c r="BQ89" s="88" t="n">
        <f aca="false">$AO$6*INDEX($Y$13:$AB$13,1,B89-2026)/12</f>
        <v>0.0583333333333333</v>
      </c>
      <c r="BR89" s="88" t="n">
        <f aca="false">BP89+BR88</f>
        <v>196.042237762417</v>
      </c>
      <c r="BS89" s="88" t="n">
        <f aca="false">BQ89+BS88</f>
        <v>86.4166666666666</v>
      </c>
      <c r="BT89" s="88" t="n">
        <f aca="false">MAX(BT88,BR89-BS89)</f>
        <v>109.62557109575</v>
      </c>
      <c r="BU89" s="88" t="n">
        <f aca="false">BT89-BT88</f>
        <v>4.74726886836459</v>
      </c>
      <c r="BV89" s="88" t="n">
        <f aca="false">IF(B89=2026,INDEX($C$14:$Q$14,1,B89-2025)*$AO$4*C89/MAX(0.0001,12-$AO$3),INDEX($C$14:$Q$14,1,B89-2025)/12)</f>
        <v>2.85021923686911</v>
      </c>
      <c r="BW89" s="88" t="n">
        <f aca="false">$AO$6*INDEX($Y$14:$AB$14,1,B89-2026)/12</f>
        <v>0</v>
      </c>
      <c r="BX89" s="88" t="n">
        <f aca="false">BV89+BX88</f>
        <v>116.273327224606</v>
      </c>
      <c r="BY89" s="88" t="n">
        <f aca="false">BW89+BY88</f>
        <v>0</v>
      </c>
      <c r="BZ89" s="88" t="n">
        <f aca="false">MAX(BZ88,BX89-BY89)</f>
        <v>116.273327224606</v>
      </c>
      <c r="CA89" s="88" t="n">
        <f aca="false">BZ89-BZ88</f>
        <v>2.85021923686911</v>
      </c>
      <c r="CB89" s="88" t="n">
        <f aca="false">IF(B89=2026,INDEX($C$15:$Q$15,1,B89-2025)*$AO$4*C89/MAX(0.0001,12-$AO$3),INDEX($C$15:$Q$15,1,B89-2025)/12)</f>
        <v>4.67303386509936</v>
      </c>
      <c r="CC89" s="88" t="n">
        <f aca="false">$AO$6*INDEX($Y$15:$AB$15,1,B89-2026)/12</f>
        <v>0</v>
      </c>
      <c r="CD89" s="88" t="n">
        <f aca="false">CB89+CD88</f>
        <v>190.634176031039</v>
      </c>
      <c r="CE89" s="88" t="n">
        <f aca="false">CC89+CE88</f>
        <v>88.0000000000001</v>
      </c>
      <c r="CF89" s="88" t="n">
        <f aca="false">MAX(CF88,CD89-CE89)</f>
        <v>102.634176031039</v>
      </c>
      <c r="CG89" s="88" t="n">
        <f aca="false">CF89-CF88</f>
        <v>4.67303386509934</v>
      </c>
      <c r="CH89" s="88" t="n">
        <f aca="false">IF(B89=2026,INDEX($C$16:$Q$16,1,B89-2025)*$AO$4*C89/MAX(0.0001,12-$AO$3),INDEX($C$16:$Q$16,1,B89-2025)/12)</f>
        <v>3.69534238268495</v>
      </c>
      <c r="CI89" s="88" t="n">
        <f aca="false">$AO$6*INDEX($Y$16:$AB$16,1,B89-2026)/12</f>
        <v>0</v>
      </c>
      <c r="CJ89" s="88" t="n">
        <f aca="false">CH89+CJ88</f>
        <v>150.749720762134</v>
      </c>
      <c r="CK89" s="88" t="n">
        <f aca="false">CI89+CK88</f>
        <v>70</v>
      </c>
      <c r="CL89" s="88" t="n">
        <f aca="false">MAX(CL88,CJ89-CK89)</f>
        <v>80.7497207621341</v>
      </c>
      <c r="CM89" s="88" t="n">
        <f aca="false">CL89-CL88</f>
        <v>3.69534238268494</v>
      </c>
      <c r="CN89" s="88" t="n">
        <f aca="false">IF(B89=2026,INDEX($C$17:$Q$17,1,B89-2025)*$AO$4*C89/MAX(0.0001,12-$AO$3),INDEX($C$17:$Q$17,1,B89-2025)/12)</f>
        <v>16.0904818546506</v>
      </c>
      <c r="CO89" s="88" t="n">
        <f aca="false">$AO$6*INDEX($Y$17:$AB$17,1,B89-2026)/12</f>
        <v>0</v>
      </c>
      <c r="CP89" s="88" t="n">
        <f aca="false">CN89+CP88</f>
        <v>656.403492645885</v>
      </c>
      <c r="CQ89" s="88" t="n">
        <f aca="false">CO89+CQ88</f>
        <v>221</v>
      </c>
      <c r="CR89" s="88" t="n">
        <f aca="false">MAX(CR88,CP89-CQ89)</f>
        <v>435.403492645885</v>
      </c>
      <c r="CS89" s="88" t="n">
        <f aca="false">CR89-CR88</f>
        <v>16.0904818546506</v>
      </c>
      <c r="CT89" s="88" t="n">
        <f aca="false">IF(B89=2026,INDEX($C$18:$Q$18,1,B89-2025)*$AO$4*C89/MAX(0.0001,12-$AO$3),INDEX($C$18:$Q$18,1,B89-2025)/12)</f>
        <v>3.34735049911372</v>
      </c>
      <c r="CU89" s="88" t="n">
        <f aca="false">$AO$6*INDEX($Y$18:$AB$18,1,B89-2026)/12</f>
        <v>0</v>
      </c>
      <c r="CV89" s="88" t="n">
        <f aca="false">CT89+CV88</f>
        <v>136.55355871727</v>
      </c>
      <c r="CW89" s="88" t="n">
        <f aca="false">CU89+CW88</f>
        <v>11</v>
      </c>
      <c r="CX89" s="88" t="n">
        <f aca="false">MAX(CX88,CV89-CW89)</f>
        <v>125.55355871727</v>
      </c>
      <c r="CY89" s="88" t="n">
        <f aca="false">CX89-CX88</f>
        <v>3.34735049911373</v>
      </c>
      <c r="CZ89" s="88" t="n">
        <f aca="false">IF(B89=2026,INDEX($C$19:$Q$19,1,B89-2025)*$AO$4*C89/MAX(0.0001,12-$AO$3),INDEX($C$19:$Q$19,1,B89-2025)/12)</f>
        <v>3.31420841496408</v>
      </c>
      <c r="DA89" s="88" t="n">
        <f aca="false">$AO$6*INDEX($Y$19:$AB$19,1,B89-2026)/12</f>
        <v>1.85</v>
      </c>
      <c r="DB89" s="88" t="n">
        <f aca="false">CZ89+DB88</f>
        <v>135.201543284425</v>
      </c>
      <c r="DC89" s="88" t="n">
        <f aca="false">DA89+DC88</f>
        <v>207.5</v>
      </c>
      <c r="DD89" s="88" t="n">
        <f aca="false">MAX(DD88,DB89-DC89)</f>
        <v>37.132124495359</v>
      </c>
      <c r="DE89" s="88" t="n">
        <f aca="false">DD89-DD88</f>
        <v>0</v>
      </c>
      <c r="DF89" s="88" t="n">
        <f aca="false">IF(B89=2026,INDEX($C$20:$Q$20,1,B89-2025)*$AO$4*C89/MAX(0.0001,12-$AO$3),INDEX($C$20:$Q$20,1,B89-2025)/12)</f>
        <v>2.70107985819573</v>
      </c>
      <c r="DG89" s="88" t="n">
        <f aca="false">$AO$6*INDEX($Y$20:$AB$20,1,B89-2026)/12</f>
        <v>0</v>
      </c>
      <c r="DH89" s="88" t="n">
        <f aca="false">DF89+DH88</f>
        <v>110.189257776806</v>
      </c>
      <c r="DI89" s="88" t="n">
        <f aca="false">DG89+DI88</f>
        <v>0</v>
      </c>
      <c r="DJ89" s="88" t="n">
        <f aca="false">MAX(DJ88,DH89-DI89)</f>
        <v>110.189257776806</v>
      </c>
      <c r="DK89" s="88" t="n">
        <f aca="false">DJ89-DJ88</f>
        <v>2.70107985819573</v>
      </c>
      <c r="DL89" s="88" t="n">
        <f aca="false">IF(B89=2026,INDEX($C$21:$Q$21,1,B89-2025)*$AO$4*C89/MAX(0.0001,12-$AO$3),INDEX($C$21:$Q$21,1,B89-2025)/12)</f>
        <v>1.88909879652953</v>
      </c>
      <c r="DM89" s="88" t="n">
        <f aca="false">$AO$6*INDEX($Y$21:$AB$21,1,B89-2026)/12</f>
        <v>0</v>
      </c>
      <c r="DN89" s="88" t="n">
        <f aca="false">DL89+DN88</f>
        <v>77.0648796721223</v>
      </c>
      <c r="DO89" s="88" t="n">
        <f aca="false">DM89+DO88</f>
        <v>100</v>
      </c>
      <c r="DP89" s="88" t="n">
        <f aca="false">MAX(DP88,DN89-DO89)</f>
        <v>17.7483109623547</v>
      </c>
      <c r="DQ89" s="88" t="n">
        <f aca="false">DP89-DP88</f>
        <v>0</v>
      </c>
      <c r="DR89" s="88" t="n">
        <f aca="false">IF(B89=2026,INDEX($C$22:$Q$22,1,B89-2025)*$AO$4*C89/MAX(0.0001,12-$AO$3),INDEX($C$22:$Q$22,1,B89-2025)/12)</f>
        <v>1.47482274465902</v>
      </c>
      <c r="DS89" s="88" t="n">
        <f aca="false">$AO$6*INDEX($Y$22:$AB$22,1,B89-2026)/12</f>
        <v>0</v>
      </c>
      <c r="DT89" s="88" t="n">
        <f aca="false">DR89+DT88</f>
        <v>60.1646867615692</v>
      </c>
      <c r="DU89" s="88" t="n">
        <f aca="false">DS89+DU88</f>
        <v>29</v>
      </c>
      <c r="DV89" s="88" t="n">
        <f aca="false">MAX(DV88,DT89-DU89)</f>
        <v>31.1646867615692</v>
      </c>
      <c r="DW89" s="88" t="n">
        <f aca="false">DV89-DV88</f>
        <v>1.47482274465902</v>
      </c>
      <c r="DX89" s="88" t="n">
        <f aca="false">IF(B89=2026,INDEX($C$23:$Q$23,1,B89-2025)*$AO$4*C89/MAX(0.0001,12-$AO$3),INDEX($C$23:$Q$23,1,B89-2025)/12)</f>
        <v>2.36965901669932</v>
      </c>
      <c r="DY89" s="88" t="n">
        <f aca="false">$AO$6*INDEX($Y$23:$AB$23,1,B89-2026)/12</f>
        <v>0</v>
      </c>
      <c r="DZ89" s="88" t="n">
        <f aca="false">DX89+DZ88</f>
        <v>96.6691034483639</v>
      </c>
      <c r="EA89" s="88" t="n">
        <f aca="false">DY89+EA88</f>
        <v>121</v>
      </c>
      <c r="EB89" s="88" t="n">
        <f aca="false">MAX(EB88,DZ89-EA89)</f>
        <v>35.0579690141817</v>
      </c>
      <c r="EC89" s="88" t="n">
        <f aca="false">EB89-EB88</f>
        <v>0</v>
      </c>
      <c r="ED89" s="88" t="n">
        <f aca="false">IF(B89=2026,INDEX($C$24:$Q$24,1,B89-2025)*$AO$4*C89/MAX(0.0001,12-$AO$3),INDEX($C$24:$Q$24,1,B89-2025)/12)</f>
        <v>1.4582517025842</v>
      </c>
      <c r="EE89" s="88" t="n">
        <f aca="false">$AO$6*INDEX($Y$24:$AB$24,1,B89-2026)/12</f>
        <v>0</v>
      </c>
      <c r="EF89" s="88" t="n">
        <f aca="false">ED89+EF88</f>
        <v>59.4886790451471</v>
      </c>
      <c r="EG89" s="88" t="n">
        <f aca="false">EE89+EG88</f>
        <v>0</v>
      </c>
      <c r="EH89" s="88" t="n">
        <f aca="false">MAX(EH88,EF89-EG89)</f>
        <v>59.4886790451471</v>
      </c>
      <c r="EI89" s="88" t="n">
        <f aca="false">EH89-EH88</f>
        <v>1.4582517025842</v>
      </c>
      <c r="EJ89" s="88" t="n">
        <f aca="false">IF(B89=2026,INDEX($C$25:$Q$25,1,B89-2025)*$AO$4*C89/MAX(0.0001,12-$AO$3),INDEX($C$25:$Q$25,1,B89-2025)/12)</f>
        <v>1.85595671237989</v>
      </c>
      <c r="EK89" s="88" t="n">
        <f aca="false">$AO$6*INDEX($Y$25:$AB$25,1,B89-2026)/12</f>
        <v>0</v>
      </c>
      <c r="EL89" s="88" t="n">
        <f aca="false">EJ89+EL88</f>
        <v>75.7128642392781</v>
      </c>
      <c r="EM89" s="88" t="n">
        <f aca="false">EK89+EM88</f>
        <v>14</v>
      </c>
      <c r="EN89" s="88" t="n">
        <f aca="false">MAX(EN88,EL89-EM89)</f>
        <v>61.7128642392781</v>
      </c>
      <c r="EO89" s="88" t="n">
        <f aca="false">EN89-EN88</f>
        <v>1.85595671237989</v>
      </c>
      <c r="EP89" s="88" t="n">
        <f aca="false">IF(B89=2026,INDEX($C$26:$Q$26,1,B89-2025)*$AO$4*C89/MAX(0.0001,12-$AO$3),INDEX($C$26:$Q$26,1,B89-2025)/12)</f>
        <v>2.66793777404609</v>
      </c>
      <c r="EQ89" s="88" t="n">
        <f aca="false">$AO$6*INDEX($Y$26:$AB$26,1,B89-2026)/12</f>
        <v>0</v>
      </c>
      <c r="ER89" s="88" t="n">
        <f aca="false">EP89+ER88</f>
        <v>108.837242343962</v>
      </c>
      <c r="ES89" s="88" t="n">
        <f aca="false">EQ89+ES88</f>
        <v>4</v>
      </c>
      <c r="ET89" s="88" t="n">
        <f aca="false">MAX(ET88,ER89-ES89)</f>
        <v>104.837242343962</v>
      </c>
      <c r="EU89" s="88" t="n">
        <f aca="false">ET89-ET88</f>
        <v>2.66793777404608</v>
      </c>
      <c r="EV89" s="88" t="n">
        <f aca="false">IF(B89=2026,INDEX($C$27:$Q$27,1,B89-2025)*$AO$4*C89/MAX(0.0001,12-$AO$3),INDEX($C$27:$Q$27,1,B89-2025)/12)</f>
        <v>6.62841682992816</v>
      </c>
      <c r="EW89" s="88" t="n">
        <f aca="false">$AO$6*INDEX($Y$27:$AB$27,1,B89-2026)/12</f>
        <v>0.416666666666667</v>
      </c>
      <c r="EX89" s="88" t="n">
        <f aca="false">EV89+EX88</f>
        <v>270.40308656885</v>
      </c>
      <c r="EY89" s="88" t="n">
        <f aca="false">EW89+EY88</f>
        <v>386.833333333333</v>
      </c>
      <c r="EZ89" s="88" t="n">
        <f aca="false">MAX(EZ88,EX89-EY89)</f>
        <v>0</v>
      </c>
      <c r="FA89" s="88" t="n">
        <f aca="false">EZ89-EZ88</f>
        <v>0</v>
      </c>
      <c r="FB89" s="88" t="n">
        <f aca="false">IF(B89=2026,INDEX($C$28:$Q$28,1,B89-2025)*$AO$4*C89/MAX(0.0001,12-$AO$3),INDEX($C$28:$Q$28,1,B89-2025)/12)</f>
        <v>34.6997621046739</v>
      </c>
      <c r="FC89" s="88" t="n">
        <f aca="false">$AO$6*INDEX($Y$28:$AB$28,1,B89-2026)/12</f>
        <v>0</v>
      </c>
      <c r="FD89" s="88" t="n">
        <f aca="false">FB89+FD88</f>
        <v>1415.56015818793</v>
      </c>
      <c r="FE89" s="88" t="n">
        <f aca="false">FC89+FE88</f>
        <v>169</v>
      </c>
      <c r="FF89" s="88" t="n">
        <f aca="false">MAX(FF88,FD89-FE89)</f>
        <v>1246.56015818793</v>
      </c>
      <c r="FG89" s="88" t="n">
        <f aca="false">FF89-FF88</f>
        <v>34.6997621046739</v>
      </c>
    </row>
    <row r="90" customFormat="false" ht="15" hidden="false" customHeight="false" outlineLevel="0" collapsed="false">
      <c r="A90" s="0" t="n">
        <v>50</v>
      </c>
      <c r="B90" s="88" t="n">
        <f aca="false">2026+INT(A90/12)</f>
        <v>2030</v>
      </c>
      <c r="C90" s="88" t="n">
        <f aca="false">MAX(0,MIN(1,A90+1-$AO$3))</f>
        <v>1</v>
      </c>
      <c r="D90" s="88" t="n">
        <f aca="false">IF((A90+0.5-(0))&lt;$AO$3,0,2026+INT((A90+0.5-(0))/12))</f>
        <v>2030</v>
      </c>
      <c r="E90" s="88" t="n">
        <f aca="false">IF((A90+0.5-($AO$9))&lt;$AO$3,0,2026+INT((A90+0.5-($AO$9))/12))</f>
        <v>2028</v>
      </c>
      <c r="F90" s="88" t="n">
        <f aca="false">IF((A90+0.5-($AO$9+$AO$8))&lt;$AO$3,0,2026+INT((A90+0.5-($AO$9+$AO$8))/12))</f>
        <v>2027</v>
      </c>
      <c r="G90" s="88" t="n">
        <f aca="false">IF((A90+0.5-($AO$9+$AO$8+$AO$7))&lt;$AO$3,0,2026+INT((A90+0.5-($AO$9+$AO$8+$AO$7))/12))</f>
        <v>2027</v>
      </c>
      <c r="H90" s="88" t="n">
        <f aca="false">IF(B90=2026,INDEX($C$3:$Q$3,1,B90-2025)*$AO$4*C90/MAX(0.0001,12-$AO$3),INDEX($C$3:$Q$3,1,B90-2025)/12)</f>
        <v>355.25</v>
      </c>
      <c r="I90" s="88" t="n">
        <f aca="false">$AO$6*INDEX($Y$3:$AB$3,1,B90-2026)/12</f>
        <v>70.9166666666667</v>
      </c>
      <c r="J90" s="88" t="n">
        <f aca="false">H90+J89</f>
        <v>14847.5034246575</v>
      </c>
      <c r="K90" s="88" t="n">
        <f aca="false">I90+K89</f>
        <v>6483.55</v>
      </c>
      <c r="L90" s="88" t="n">
        <f aca="false">MAX(L89,J90-K90)</f>
        <v>8363.95342465754</v>
      </c>
      <c r="M90" s="88" t="n">
        <f aca="false">L90-L89</f>
        <v>284.333333333333</v>
      </c>
      <c r="N90" s="88" t="n">
        <f aca="false">IF(B90=2026,INDEX($C$4:$Q$4,1,B90-2025)*$AO$4*C90/MAX(0.0001,12-$AO$3),INDEX($C$4:$Q$4,1,B90-2025)/12)</f>
        <v>10.7700632578534</v>
      </c>
      <c r="O90" s="88" t="n">
        <f aca="false">$AO$6*INDEX($Y$4:$AB$4,1,B90-2026)/12</f>
        <v>7.075</v>
      </c>
      <c r="P90" s="88" t="n">
        <f aca="false">N90+P89</f>
        <v>450.129630133021</v>
      </c>
      <c r="Q90" s="88" t="n">
        <f aca="false">O90+Q89</f>
        <v>334.425</v>
      </c>
      <c r="R90" s="88" t="n">
        <f aca="false">MAX(R89,P90-Q90)</f>
        <v>115.704630133021</v>
      </c>
      <c r="S90" s="88" t="n">
        <f aca="false">R90-R89</f>
        <v>3.69506325785335</v>
      </c>
      <c r="T90" s="88" t="n">
        <f aca="false">IF(B90=2026,INDEX($C$5:$Q$5,1,B90-2025)*$AO$4*C90/MAX(0.0001,12-$AO$3),INDEX($C$5:$Q$5,1,B90-2025)/12)</f>
        <v>43.7734247619348</v>
      </c>
      <c r="U90" s="88" t="n">
        <f aca="false">$AO$6*INDEX($Y$5:$AB$5,1,B90-2026)/12</f>
        <v>8.56666666666667</v>
      </c>
      <c r="V90" s="88" t="n">
        <f aca="false">T90+V89</f>
        <v>1829.48930066662</v>
      </c>
      <c r="W90" s="88" t="n">
        <f aca="false">U90+W89</f>
        <v>1037.8</v>
      </c>
      <c r="X90" s="88" t="n">
        <f aca="false">MAX(X89,V90-W90)</f>
        <v>791.689300666619</v>
      </c>
      <c r="Y90" s="88" t="n">
        <f aca="false">X90-X89</f>
        <v>35.2067580952682</v>
      </c>
      <c r="Z90" s="88" t="n">
        <f aca="false">IF(B90=2026,INDEX($C$6:$Q$6,1,B90-2025)*$AO$4*C90/MAX(0.0001,12-$AO$3),INDEX($C$6:$Q$6,1,B90-2025)/12)</f>
        <v>51.933610116259</v>
      </c>
      <c r="AA90" s="88" t="n">
        <f aca="false">$AO$6*INDEX($Y$6:$AB$6,1,B90-2026)/12</f>
        <v>16.8833333333333</v>
      </c>
      <c r="AB90" s="88" t="n">
        <f aca="false">Z90+AB89</f>
        <v>2170.54033513296</v>
      </c>
      <c r="AC90" s="88" t="n">
        <f aca="false">AA90+AC89</f>
        <v>1150.35</v>
      </c>
      <c r="AD90" s="88" t="n">
        <f aca="false">MAX(AD89,AB90-AC90)</f>
        <v>1020.19033513296</v>
      </c>
      <c r="AE90" s="88" t="n">
        <f aca="false">AD90-AD89</f>
        <v>35.0502767829255</v>
      </c>
      <c r="AF90" s="88" t="n">
        <f aca="false">IF(B90=2026,INDEX($C$7:$Q$7,1,B90-2025)*$AO$4*C90/MAX(0.0001,12-$AO$3),INDEX($C$7:$Q$7,1,B90-2025)/12)</f>
        <v>45.11289896006</v>
      </c>
      <c r="AG90" s="88" t="n">
        <f aca="false">$AO$6*INDEX($Y$7:$AB$7,1,B90-2026)/12</f>
        <v>6.05833333333333</v>
      </c>
      <c r="AH90" s="88" t="n">
        <f aca="false">AF90+AH89</f>
        <v>1885.4719825636</v>
      </c>
      <c r="AI90" s="88" t="n">
        <f aca="false">AG90+AI89</f>
        <v>618.775</v>
      </c>
      <c r="AJ90" s="88" t="n">
        <f aca="false">MAX(AJ89,AH90-AI90)</f>
        <v>1266.6969825636</v>
      </c>
      <c r="AK90" s="88" t="n">
        <f aca="false">AJ90-AJ89</f>
        <v>39.0545656267268</v>
      </c>
      <c r="AL90" s="88" t="n">
        <f aca="false">IF(B90=2026,INDEX($C$8:$Q$8,1,B90-2025)*$AO$4*C90/MAX(0.0001,12-$AO$3),INDEX($C$8:$Q$8,1,B90-2025)/12)</f>
        <v>11.4114321188341</v>
      </c>
      <c r="AM90" s="88" t="n">
        <f aca="false">$AO$6*INDEX($Y$8:$AB$8,1,B90-2026)/12</f>
        <v>0</v>
      </c>
      <c r="AN90" s="88" t="n">
        <f aca="false">AL90+AN89</f>
        <v>476.935334172093</v>
      </c>
      <c r="AO90" s="88" t="n">
        <f aca="false">AM90+AO89</f>
        <v>66</v>
      </c>
      <c r="AP90" s="88" t="n">
        <f aca="false">MAX(AP89,AN90-AO90)</f>
        <v>410.935334172093</v>
      </c>
      <c r="AQ90" s="88" t="n">
        <f aca="false">AP90-AP89</f>
        <v>11.4114321188341</v>
      </c>
      <c r="AR90" s="88" t="n">
        <f aca="false">IF(B90=2026,INDEX($C$9:$Q$9,1,B90-2025)*$AO$4*C90/MAX(0.0001,12-$AO$3),INDEX($C$9:$Q$9,1,B90-2025)/12)</f>
        <v>48.6576953186344</v>
      </c>
      <c r="AS90" s="88" t="n">
        <f aca="false">$AO$6*INDEX($Y$9:$AB$9,1,B90-2026)/12</f>
        <v>25.2</v>
      </c>
      <c r="AT90" s="88" t="n">
        <f aca="false">AR90+AT89</f>
        <v>2033.62504681032</v>
      </c>
      <c r="AU90" s="88" t="n">
        <f aca="false">AS90+AU89</f>
        <v>1358.4</v>
      </c>
      <c r="AV90" s="88" t="n">
        <f aca="false">MAX(AV89,AT90-AU90)</f>
        <v>675.225046810319</v>
      </c>
      <c r="AW90" s="88" t="n">
        <f aca="false">AV90-AV89</f>
        <v>23.4576953186343</v>
      </c>
      <c r="AX90" s="88" t="n">
        <f aca="false">IF(B90=2026,INDEX($C$10:$Q$10,1,B90-2025)*$AO$4*C90/MAX(0.0001,12-$AO$3),INDEX($C$10:$Q$10,1,B90-2025)/12)</f>
        <v>5.64404597663043</v>
      </c>
      <c r="AY90" s="88" t="n">
        <f aca="false">$AO$6*INDEX($Y$10:$AB$10,1,B90-2026)/12</f>
        <v>0.025</v>
      </c>
      <c r="AZ90" s="88" t="n">
        <f aca="false">AX90+AZ89</f>
        <v>235.890195543828</v>
      </c>
      <c r="BA90" s="88" t="n">
        <f aca="false">AY90+BA89</f>
        <v>49.775</v>
      </c>
      <c r="BB90" s="88" t="n">
        <f aca="false">MAX(BB89,AZ90-BA90)</f>
        <v>186.115195543828</v>
      </c>
      <c r="BC90" s="88" t="n">
        <f aca="false">BB90-BB89</f>
        <v>5.61904597663045</v>
      </c>
      <c r="BD90" s="88" t="n">
        <f aca="false">IF(B90=2026,INDEX($C$11:$Q$11,1,B90-2025)*$AO$4*C90/MAX(0.0001,12-$AO$3),INDEX($C$11:$Q$11,1,B90-2025)/12)</f>
        <v>28.0475536513497</v>
      </c>
      <c r="BE90" s="88" t="n">
        <f aca="false">$AO$6*INDEX($Y$11:$AB$11,1,B90-2026)/12</f>
        <v>0</v>
      </c>
      <c r="BF90" s="88" t="n">
        <f aca="false">BD90+BF89</f>
        <v>1172.23405740093</v>
      </c>
      <c r="BG90" s="88" t="n">
        <f aca="false">BE90+BG89</f>
        <v>240</v>
      </c>
      <c r="BH90" s="88" t="n">
        <f aca="false">MAX(BH89,BF90-BG90)</f>
        <v>932.234057400931</v>
      </c>
      <c r="BI90" s="88" t="n">
        <f aca="false">BH90-BH89</f>
        <v>28.0475536513497</v>
      </c>
      <c r="BJ90" s="88" t="n">
        <f aca="false">IF(B90=2026,INDEX($C$12:$Q$12,1,B90-2025)*$AO$4*C90/MAX(0.0001,12-$AO$3),INDEX($C$12:$Q$12,1,B90-2025)/12)</f>
        <v>15.3780518436687</v>
      </c>
      <c r="BK90" s="88" t="n">
        <f aca="false">$AO$6*INDEX($Y$12:$AB$12,1,B90-2026)/12</f>
        <v>4.78333333333333</v>
      </c>
      <c r="BL90" s="88" t="n">
        <f aca="false">BJ90+BL89</f>
        <v>642.71830376758</v>
      </c>
      <c r="BM90" s="88" t="n">
        <f aca="false">BK90+BM89</f>
        <v>117.95</v>
      </c>
      <c r="BN90" s="88" t="n">
        <f aca="false">MAX(BN89,BL90-BM90)</f>
        <v>524.76830376758</v>
      </c>
      <c r="BO90" s="88" t="n">
        <f aca="false">BN90-BN89</f>
        <v>10.5947185103355</v>
      </c>
      <c r="BP90" s="88" t="n">
        <f aca="false">IF(B90=2026,INDEX($C$13:$Q$13,1,B90-2025)*$AO$4*C90/MAX(0.0001,12-$AO$3),INDEX($C$13:$Q$13,1,B90-2025)/12)</f>
        <v>4.80560220169792</v>
      </c>
      <c r="BQ90" s="88" t="n">
        <f aca="false">$AO$6*INDEX($Y$13:$AB$13,1,B90-2026)/12</f>
        <v>0.0583333333333333</v>
      </c>
      <c r="BR90" s="88" t="n">
        <f aca="false">BP90+BR89</f>
        <v>200.847839964115</v>
      </c>
      <c r="BS90" s="88" t="n">
        <f aca="false">BQ90+BS89</f>
        <v>86.475</v>
      </c>
      <c r="BT90" s="88" t="n">
        <f aca="false">MAX(BT89,BR90-BS90)</f>
        <v>114.372839964115</v>
      </c>
      <c r="BU90" s="88" t="n">
        <f aca="false">BT90-BT89</f>
        <v>4.74726886836459</v>
      </c>
      <c r="BV90" s="88" t="n">
        <f aca="false">IF(B90=2026,INDEX($C$14:$Q$14,1,B90-2025)*$AO$4*C90/MAX(0.0001,12-$AO$3),INDEX($C$14:$Q$14,1,B90-2025)/12)</f>
        <v>2.85021923686911</v>
      </c>
      <c r="BW90" s="88" t="n">
        <f aca="false">$AO$6*INDEX($Y$14:$AB$14,1,B90-2026)/12</f>
        <v>0</v>
      </c>
      <c r="BX90" s="88" t="n">
        <f aca="false">BV90+BX89</f>
        <v>119.123546461475</v>
      </c>
      <c r="BY90" s="88" t="n">
        <f aca="false">BW90+BY89</f>
        <v>0</v>
      </c>
      <c r="BZ90" s="88" t="n">
        <f aca="false">MAX(BZ89,BX90-BY90)</f>
        <v>119.123546461475</v>
      </c>
      <c r="CA90" s="88" t="n">
        <f aca="false">BZ90-BZ89</f>
        <v>2.85021923686911</v>
      </c>
      <c r="CB90" s="88" t="n">
        <f aca="false">IF(B90=2026,INDEX($C$15:$Q$15,1,B90-2025)*$AO$4*C90/MAX(0.0001,12-$AO$3),INDEX($C$15:$Q$15,1,B90-2025)/12)</f>
        <v>4.67303386509936</v>
      </c>
      <c r="CC90" s="88" t="n">
        <f aca="false">$AO$6*INDEX($Y$15:$AB$15,1,B90-2026)/12</f>
        <v>0</v>
      </c>
      <c r="CD90" s="88" t="n">
        <f aca="false">CB90+CD89</f>
        <v>195.307209896139</v>
      </c>
      <c r="CE90" s="88" t="n">
        <f aca="false">CC90+CE89</f>
        <v>88.0000000000001</v>
      </c>
      <c r="CF90" s="88" t="n">
        <f aca="false">MAX(CF89,CD90-CE90)</f>
        <v>107.307209896139</v>
      </c>
      <c r="CG90" s="88" t="n">
        <f aca="false">CF90-CF89</f>
        <v>4.67303386509934</v>
      </c>
      <c r="CH90" s="88" t="n">
        <f aca="false">IF(B90=2026,INDEX($C$16:$Q$16,1,B90-2025)*$AO$4*C90/MAX(0.0001,12-$AO$3),INDEX($C$16:$Q$16,1,B90-2025)/12)</f>
        <v>3.69534238268495</v>
      </c>
      <c r="CI90" s="88" t="n">
        <f aca="false">$AO$6*INDEX($Y$16:$AB$16,1,B90-2026)/12</f>
        <v>0</v>
      </c>
      <c r="CJ90" s="88" t="n">
        <f aca="false">CH90+CJ89</f>
        <v>154.445063144819</v>
      </c>
      <c r="CK90" s="88" t="n">
        <f aca="false">CI90+CK89</f>
        <v>70</v>
      </c>
      <c r="CL90" s="88" t="n">
        <f aca="false">MAX(CL89,CJ90-CK90)</f>
        <v>84.445063144819</v>
      </c>
      <c r="CM90" s="88" t="n">
        <f aca="false">CL90-CL89</f>
        <v>3.69534238268494</v>
      </c>
      <c r="CN90" s="88" t="n">
        <f aca="false">IF(B90=2026,INDEX($C$17:$Q$17,1,B90-2025)*$AO$4*C90/MAX(0.0001,12-$AO$3),INDEX($C$17:$Q$17,1,B90-2025)/12)</f>
        <v>16.0904818546506</v>
      </c>
      <c r="CO90" s="88" t="n">
        <f aca="false">$AO$6*INDEX($Y$17:$AB$17,1,B90-2026)/12</f>
        <v>0</v>
      </c>
      <c r="CP90" s="88" t="n">
        <f aca="false">CN90+CP89</f>
        <v>672.493974500536</v>
      </c>
      <c r="CQ90" s="88" t="n">
        <f aca="false">CO90+CQ89</f>
        <v>221</v>
      </c>
      <c r="CR90" s="88" t="n">
        <f aca="false">MAX(CR89,CP90-CQ90)</f>
        <v>451.493974500536</v>
      </c>
      <c r="CS90" s="88" t="n">
        <f aca="false">CR90-CR89</f>
        <v>16.0904818546506</v>
      </c>
      <c r="CT90" s="88" t="n">
        <f aca="false">IF(B90=2026,INDEX($C$18:$Q$18,1,B90-2025)*$AO$4*C90/MAX(0.0001,12-$AO$3),INDEX($C$18:$Q$18,1,B90-2025)/12)</f>
        <v>3.34735049911372</v>
      </c>
      <c r="CU90" s="88" t="n">
        <f aca="false">$AO$6*INDEX($Y$18:$AB$18,1,B90-2026)/12</f>
        <v>0</v>
      </c>
      <c r="CV90" s="88" t="n">
        <f aca="false">CT90+CV89</f>
        <v>139.900909216383</v>
      </c>
      <c r="CW90" s="88" t="n">
        <f aca="false">CU90+CW89</f>
        <v>11</v>
      </c>
      <c r="CX90" s="88" t="n">
        <f aca="false">MAX(CX89,CV90-CW90)</f>
        <v>128.900909216383</v>
      </c>
      <c r="CY90" s="88" t="n">
        <f aca="false">CX90-CX89</f>
        <v>3.34735049911373</v>
      </c>
      <c r="CZ90" s="88" t="n">
        <f aca="false">IF(B90=2026,INDEX($C$19:$Q$19,1,B90-2025)*$AO$4*C90/MAX(0.0001,12-$AO$3),INDEX($C$19:$Q$19,1,B90-2025)/12)</f>
        <v>3.31420841496408</v>
      </c>
      <c r="DA90" s="88" t="n">
        <f aca="false">$AO$6*INDEX($Y$19:$AB$19,1,B90-2026)/12</f>
        <v>1.85</v>
      </c>
      <c r="DB90" s="88" t="n">
        <f aca="false">CZ90+DB89</f>
        <v>138.515751699389</v>
      </c>
      <c r="DC90" s="88" t="n">
        <f aca="false">DA90+DC89</f>
        <v>209.35</v>
      </c>
      <c r="DD90" s="88" t="n">
        <f aca="false">MAX(DD89,DB90-DC90)</f>
        <v>37.132124495359</v>
      </c>
      <c r="DE90" s="88" t="n">
        <f aca="false">DD90-DD89</f>
        <v>0</v>
      </c>
      <c r="DF90" s="88" t="n">
        <f aca="false">IF(B90=2026,INDEX($C$20:$Q$20,1,B90-2025)*$AO$4*C90/MAX(0.0001,12-$AO$3),INDEX($C$20:$Q$20,1,B90-2025)/12)</f>
        <v>2.70107985819573</v>
      </c>
      <c r="DG90" s="88" t="n">
        <f aca="false">$AO$6*INDEX($Y$20:$AB$20,1,B90-2026)/12</f>
        <v>0</v>
      </c>
      <c r="DH90" s="88" t="n">
        <f aca="false">DF90+DH89</f>
        <v>112.890337635002</v>
      </c>
      <c r="DI90" s="88" t="n">
        <f aca="false">DG90+DI89</f>
        <v>0</v>
      </c>
      <c r="DJ90" s="88" t="n">
        <f aca="false">MAX(DJ89,DH90-DI90)</f>
        <v>112.890337635002</v>
      </c>
      <c r="DK90" s="88" t="n">
        <f aca="false">DJ90-DJ89</f>
        <v>2.70107985819573</v>
      </c>
      <c r="DL90" s="88" t="n">
        <f aca="false">IF(B90=2026,INDEX($C$21:$Q$21,1,B90-2025)*$AO$4*C90/MAX(0.0001,12-$AO$3),INDEX($C$21:$Q$21,1,B90-2025)/12)</f>
        <v>1.88909879652953</v>
      </c>
      <c r="DM90" s="88" t="n">
        <f aca="false">$AO$6*INDEX($Y$21:$AB$21,1,B90-2026)/12</f>
        <v>0</v>
      </c>
      <c r="DN90" s="88" t="n">
        <f aca="false">DL90+DN89</f>
        <v>78.9539784686518</v>
      </c>
      <c r="DO90" s="88" t="n">
        <f aca="false">DM90+DO89</f>
        <v>100</v>
      </c>
      <c r="DP90" s="88" t="n">
        <f aca="false">MAX(DP89,DN90-DO90)</f>
        <v>17.7483109623547</v>
      </c>
      <c r="DQ90" s="88" t="n">
        <f aca="false">DP90-DP89</f>
        <v>0</v>
      </c>
      <c r="DR90" s="88" t="n">
        <f aca="false">IF(B90=2026,INDEX($C$22:$Q$22,1,B90-2025)*$AO$4*C90/MAX(0.0001,12-$AO$3),INDEX($C$22:$Q$22,1,B90-2025)/12)</f>
        <v>1.47482274465902</v>
      </c>
      <c r="DS90" s="88" t="n">
        <f aca="false">$AO$6*INDEX($Y$22:$AB$22,1,B90-2026)/12</f>
        <v>0</v>
      </c>
      <c r="DT90" s="88" t="n">
        <f aca="false">DR90+DT89</f>
        <v>61.6395095062282</v>
      </c>
      <c r="DU90" s="88" t="n">
        <f aca="false">DS90+DU89</f>
        <v>29</v>
      </c>
      <c r="DV90" s="88" t="n">
        <f aca="false">MAX(DV89,DT90-DU90)</f>
        <v>32.6395095062282</v>
      </c>
      <c r="DW90" s="88" t="n">
        <f aca="false">DV90-DV89</f>
        <v>1.47482274465902</v>
      </c>
      <c r="DX90" s="88" t="n">
        <f aca="false">IF(B90=2026,INDEX($C$23:$Q$23,1,B90-2025)*$AO$4*C90/MAX(0.0001,12-$AO$3),INDEX($C$23:$Q$23,1,B90-2025)/12)</f>
        <v>2.36965901669932</v>
      </c>
      <c r="DY90" s="88" t="n">
        <f aca="false">$AO$6*INDEX($Y$23:$AB$23,1,B90-2026)/12</f>
        <v>0</v>
      </c>
      <c r="DZ90" s="88" t="n">
        <f aca="false">DX90+DZ89</f>
        <v>99.0387624650632</v>
      </c>
      <c r="EA90" s="88" t="n">
        <f aca="false">DY90+EA89</f>
        <v>121</v>
      </c>
      <c r="EB90" s="88" t="n">
        <f aca="false">MAX(EB89,DZ90-EA90)</f>
        <v>35.0579690141817</v>
      </c>
      <c r="EC90" s="88" t="n">
        <f aca="false">EB90-EB89</f>
        <v>0</v>
      </c>
      <c r="ED90" s="88" t="n">
        <f aca="false">IF(B90=2026,INDEX($C$24:$Q$24,1,B90-2025)*$AO$4*C90/MAX(0.0001,12-$AO$3),INDEX($C$24:$Q$24,1,B90-2025)/12)</f>
        <v>1.4582517025842</v>
      </c>
      <c r="EE90" s="88" t="n">
        <f aca="false">$AO$6*INDEX($Y$24:$AB$24,1,B90-2026)/12</f>
        <v>0</v>
      </c>
      <c r="EF90" s="88" t="n">
        <f aca="false">ED90+EF89</f>
        <v>60.9469307477313</v>
      </c>
      <c r="EG90" s="88" t="n">
        <f aca="false">EE90+EG89</f>
        <v>0</v>
      </c>
      <c r="EH90" s="88" t="n">
        <f aca="false">MAX(EH89,EF90-EG90)</f>
        <v>60.9469307477313</v>
      </c>
      <c r="EI90" s="88" t="n">
        <f aca="false">EH90-EH89</f>
        <v>1.4582517025842</v>
      </c>
      <c r="EJ90" s="88" t="n">
        <f aca="false">IF(B90=2026,INDEX($C$25:$Q$25,1,B90-2025)*$AO$4*C90/MAX(0.0001,12-$AO$3),INDEX($C$25:$Q$25,1,B90-2025)/12)</f>
        <v>1.85595671237989</v>
      </c>
      <c r="EK90" s="88" t="n">
        <f aca="false">$AO$6*INDEX($Y$25:$AB$25,1,B90-2026)/12</f>
        <v>0</v>
      </c>
      <c r="EL90" s="88" t="n">
        <f aca="false">EJ90+EL89</f>
        <v>77.568820951658</v>
      </c>
      <c r="EM90" s="88" t="n">
        <f aca="false">EK90+EM89</f>
        <v>14</v>
      </c>
      <c r="EN90" s="88" t="n">
        <f aca="false">MAX(EN89,EL90-EM90)</f>
        <v>63.568820951658</v>
      </c>
      <c r="EO90" s="88" t="n">
        <f aca="false">EN90-EN89</f>
        <v>1.85595671237989</v>
      </c>
      <c r="EP90" s="88" t="n">
        <f aca="false">IF(B90=2026,INDEX($C$26:$Q$26,1,B90-2025)*$AO$4*C90/MAX(0.0001,12-$AO$3),INDEX($C$26:$Q$26,1,B90-2025)/12)</f>
        <v>2.66793777404609</v>
      </c>
      <c r="EQ90" s="88" t="n">
        <f aca="false">$AO$6*INDEX($Y$26:$AB$26,1,B90-2026)/12</f>
        <v>0</v>
      </c>
      <c r="ER90" s="88" t="n">
        <f aca="false">EP90+ER89</f>
        <v>111.505180118008</v>
      </c>
      <c r="ES90" s="88" t="n">
        <f aca="false">EQ90+ES89</f>
        <v>4</v>
      </c>
      <c r="ET90" s="88" t="n">
        <f aca="false">MAX(ET89,ER90-ES90)</f>
        <v>107.505180118008</v>
      </c>
      <c r="EU90" s="88" t="n">
        <f aca="false">ET90-ET89</f>
        <v>2.66793777404608</v>
      </c>
      <c r="EV90" s="88" t="n">
        <f aca="false">IF(B90=2026,INDEX($C$27:$Q$27,1,B90-2025)*$AO$4*C90/MAX(0.0001,12-$AO$3),INDEX($C$27:$Q$27,1,B90-2025)/12)</f>
        <v>6.62841682992816</v>
      </c>
      <c r="EW90" s="88" t="n">
        <f aca="false">$AO$6*INDEX($Y$27:$AB$27,1,B90-2026)/12</f>
        <v>0.416666666666667</v>
      </c>
      <c r="EX90" s="88" t="n">
        <f aca="false">EV90+EX89</f>
        <v>277.031503398779</v>
      </c>
      <c r="EY90" s="88" t="n">
        <f aca="false">EW90+EY89</f>
        <v>387.25</v>
      </c>
      <c r="EZ90" s="88" t="n">
        <f aca="false">MAX(EZ89,EX90-EY90)</f>
        <v>0</v>
      </c>
      <c r="FA90" s="88" t="n">
        <f aca="false">EZ90-EZ89</f>
        <v>0</v>
      </c>
      <c r="FB90" s="88" t="n">
        <f aca="false">IF(B90=2026,INDEX($C$28:$Q$28,1,B90-2025)*$AO$4*C90/MAX(0.0001,12-$AO$3),INDEX($C$28:$Q$28,1,B90-2025)/12)</f>
        <v>34.6997621046739</v>
      </c>
      <c r="FC90" s="88" t="n">
        <f aca="false">$AO$6*INDEX($Y$28:$AB$28,1,B90-2026)/12</f>
        <v>0</v>
      </c>
      <c r="FD90" s="88" t="n">
        <f aca="false">FB90+FD89</f>
        <v>1450.25992029261</v>
      </c>
      <c r="FE90" s="88" t="n">
        <f aca="false">FC90+FE89</f>
        <v>169</v>
      </c>
      <c r="FF90" s="88" t="n">
        <f aca="false">MAX(FF89,FD90-FE90)</f>
        <v>1281.25992029261</v>
      </c>
      <c r="FG90" s="88" t="n">
        <f aca="false">FF90-FF89</f>
        <v>34.6997621046739</v>
      </c>
    </row>
    <row r="91" customFormat="false" ht="15" hidden="false" customHeight="false" outlineLevel="0" collapsed="false">
      <c r="A91" s="0" t="n">
        <v>51</v>
      </c>
      <c r="B91" s="88" t="n">
        <f aca="false">2026+INT(A91/12)</f>
        <v>2030</v>
      </c>
      <c r="C91" s="88" t="n">
        <f aca="false">MAX(0,MIN(1,A91+1-$AO$3))</f>
        <v>1</v>
      </c>
      <c r="D91" s="88" t="n">
        <f aca="false">IF((A91+0.5-(0))&lt;$AO$3,0,2026+INT((A91+0.5-(0))/12))</f>
        <v>2030</v>
      </c>
      <c r="E91" s="88" t="n">
        <f aca="false">IF((A91+0.5-($AO$9))&lt;$AO$3,0,2026+INT((A91+0.5-($AO$9))/12))</f>
        <v>2029</v>
      </c>
      <c r="F91" s="88" t="n">
        <f aca="false">IF((A91+0.5-($AO$9+$AO$8))&lt;$AO$3,0,2026+INT((A91+0.5-($AO$9+$AO$8))/12))</f>
        <v>2027</v>
      </c>
      <c r="G91" s="88" t="n">
        <f aca="false">IF((A91+0.5-($AO$9+$AO$8+$AO$7))&lt;$AO$3,0,2026+INT((A91+0.5-($AO$9+$AO$8+$AO$7))/12))</f>
        <v>2027</v>
      </c>
      <c r="H91" s="88" t="n">
        <f aca="false">IF(B91=2026,INDEX($C$3:$Q$3,1,B91-2025)*$AO$4*C91/MAX(0.0001,12-$AO$3),INDEX($C$3:$Q$3,1,B91-2025)/12)</f>
        <v>355.25</v>
      </c>
      <c r="I91" s="88" t="n">
        <f aca="false">$AO$6*INDEX($Y$3:$AB$3,1,B91-2026)/12</f>
        <v>70.9166666666667</v>
      </c>
      <c r="J91" s="88" t="n">
        <f aca="false">H91+J90</f>
        <v>15202.7534246575</v>
      </c>
      <c r="K91" s="88" t="n">
        <f aca="false">I91+K90</f>
        <v>6554.46666666667</v>
      </c>
      <c r="L91" s="88" t="n">
        <f aca="false">MAX(L90,J91-K91)</f>
        <v>8648.28675799087</v>
      </c>
      <c r="M91" s="88" t="n">
        <f aca="false">L91-L90</f>
        <v>284.333333333332</v>
      </c>
      <c r="N91" s="88" t="n">
        <f aca="false">IF(B91=2026,INDEX($C$4:$Q$4,1,B91-2025)*$AO$4*C91/MAX(0.0001,12-$AO$3),INDEX($C$4:$Q$4,1,B91-2025)/12)</f>
        <v>10.7700632578534</v>
      </c>
      <c r="O91" s="88" t="n">
        <f aca="false">$AO$6*INDEX($Y$4:$AB$4,1,B91-2026)/12</f>
        <v>7.075</v>
      </c>
      <c r="P91" s="88" t="n">
        <f aca="false">N91+P90</f>
        <v>460.899693390875</v>
      </c>
      <c r="Q91" s="88" t="n">
        <f aca="false">O91+Q90</f>
        <v>341.5</v>
      </c>
      <c r="R91" s="88" t="n">
        <f aca="false">MAX(R90,P91-Q91)</f>
        <v>119.399693390875</v>
      </c>
      <c r="S91" s="88" t="n">
        <f aca="false">R91-R90</f>
        <v>3.69506325785335</v>
      </c>
      <c r="T91" s="88" t="n">
        <f aca="false">IF(B91=2026,INDEX($C$5:$Q$5,1,B91-2025)*$AO$4*C91/MAX(0.0001,12-$AO$3),INDEX($C$5:$Q$5,1,B91-2025)/12)</f>
        <v>43.7734247619348</v>
      </c>
      <c r="U91" s="88" t="n">
        <f aca="false">$AO$6*INDEX($Y$5:$AB$5,1,B91-2026)/12</f>
        <v>8.56666666666667</v>
      </c>
      <c r="V91" s="88" t="n">
        <f aca="false">T91+V90</f>
        <v>1873.26272542855</v>
      </c>
      <c r="W91" s="88" t="n">
        <f aca="false">U91+W90</f>
        <v>1046.36666666667</v>
      </c>
      <c r="X91" s="88" t="n">
        <f aca="false">MAX(X90,V91-W91)</f>
        <v>826.896058761887</v>
      </c>
      <c r="Y91" s="88" t="n">
        <f aca="false">X91-X90</f>
        <v>35.2067580952682</v>
      </c>
      <c r="Z91" s="88" t="n">
        <f aca="false">IF(B91=2026,INDEX($C$6:$Q$6,1,B91-2025)*$AO$4*C91/MAX(0.0001,12-$AO$3),INDEX($C$6:$Q$6,1,B91-2025)/12)</f>
        <v>51.933610116259</v>
      </c>
      <c r="AA91" s="88" t="n">
        <f aca="false">$AO$6*INDEX($Y$6:$AB$6,1,B91-2026)/12</f>
        <v>16.8833333333333</v>
      </c>
      <c r="AB91" s="88" t="n">
        <f aca="false">Z91+AB90</f>
        <v>2222.47394524922</v>
      </c>
      <c r="AC91" s="88" t="n">
        <f aca="false">AA91+AC90</f>
        <v>1167.23333333333</v>
      </c>
      <c r="AD91" s="88" t="n">
        <f aca="false">MAX(AD90,AB91-AC91)</f>
        <v>1055.24061191588</v>
      </c>
      <c r="AE91" s="88" t="n">
        <f aca="false">AD91-AD90</f>
        <v>35.0502767829255</v>
      </c>
      <c r="AF91" s="88" t="n">
        <f aca="false">IF(B91=2026,INDEX($C$7:$Q$7,1,B91-2025)*$AO$4*C91/MAX(0.0001,12-$AO$3),INDEX($C$7:$Q$7,1,B91-2025)/12)</f>
        <v>45.11289896006</v>
      </c>
      <c r="AG91" s="88" t="n">
        <f aca="false">$AO$6*INDEX($Y$7:$AB$7,1,B91-2026)/12</f>
        <v>6.05833333333333</v>
      </c>
      <c r="AH91" s="88" t="n">
        <f aca="false">AF91+AH90</f>
        <v>1930.58488152366</v>
      </c>
      <c r="AI91" s="88" t="n">
        <f aca="false">AG91+AI90</f>
        <v>624.833333333333</v>
      </c>
      <c r="AJ91" s="88" t="n">
        <f aca="false">MAX(AJ90,AH91-AI91)</f>
        <v>1305.75154819033</v>
      </c>
      <c r="AK91" s="88" t="n">
        <f aca="false">AJ91-AJ90</f>
        <v>39.0545656267268</v>
      </c>
      <c r="AL91" s="88" t="n">
        <f aca="false">IF(B91=2026,INDEX($C$8:$Q$8,1,B91-2025)*$AO$4*C91/MAX(0.0001,12-$AO$3),INDEX($C$8:$Q$8,1,B91-2025)/12)</f>
        <v>11.4114321188341</v>
      </c>
      <c r="AM91" s="88" t="n">
        <f aca="false">$AO$6*INDEX($Y$8:$AB$8,1,B91-2026)/12</f>
        <v>0</v>
      </c>
      <c r="AN91" s="88" t="n">
        <f aca="false">AL91+AN90</f>
        <v>488.346766290927</v>
      </c>
      <c r="AO91" s="88" t="n">
        <f aca="false">AM91+AO90</f>
        <v>66</v>
      </c>
      <c r="AP91" s="88" t="n">
        <f aca="false">MAX(AP90,AN91-AO91)</f>
        <v>422.346766290927</v>
      </c>
      <c r="AQ91" s="88" t="n">
        <f aca="false">AP91-AP90</f>
        <v>11.4114321188341</v>
      </c>
      <c r="AR91" s="88" t="n">
        <f aca="false">IF(B91=2026,INDEX($C$9:$Q$9,1,B91-2025)*$AO$4*C91/MAX(0.0001,12-$AO$3),INDEX($C$9:$Q$9,1,B91-2025)/12)</f>
        <v>48.6576953186344</v>
      </c>
      <c r="AS91" s="88" t="n">
        <f aca="false">$AO$6*INDEX($Y$9:$AB$9,1,B91-2026)/12</f>
        <v>25.2</v>
      </c>
      <c r="AT91" s="88" t="n">
        <f aca="false">AR91+AT90</f>
        <v>2082.28274212895</v>
      </c>
      <c r="AU91" s="88" t="n">
        <f aca="false">AS91+AU90</f>
        <v>1383.6</v>
      </c>
      <c r="AV91" s="88" t="n">
        <f aca="false">MAX(AV90,AT91-AU91)</f>
        <v>698.682742128953</v>
      </c>
      <c r="AW91" s="88" t="n">
        <f aca="false">AV91-AV90</f>
        <v>23.4576953186345</v>
      </c>
      <c r="AX91" s="88" t="n">
        <f aca="false">IF(B91=2026,INDEX($C$10:$Q$10,1,B91-2025)*$AO$4*C91/MAX(0.0001,12-$AO$3),INDEX($C$10:$Q$10,1,B91-2025)/12)</f>
        <v>5.64404597663043</v>
      </c>
      <c r="AY91" s="88" t="n">
        <f aca="false">$AO$6*INDEX($Y$10:$AB$10,1,B91-2026)/12</f>
        <v>0.025</v>
      </c>
      <c r="AZ91" s="88" t="n">
        <f aca="false">AX91+AZ90</f>
        <v>241.534241520458</v>
      </c>
      <c r="BA91" s="88" t="n">
        <f aca="false">AY91+BA90</f>
        <v>49.8</v>
      </c>
      <c r="BB91" s="88" t="n">
        <f aca="false">MAX(BB90,AZ91-BA91)</f>
        <v>191.734241520458</v>
      </c>
      <c r="BC91" s="88" t="n">
        <f aca="false">BB91-BB90</f>
        <v>5.61904597663042</v>
      </c>
      <c r="BD91" s="88" t="n">
        <f aca="false">IF(B91=2026,INDEX($C$11:$Q$11,1,B91-2025)*$AO$4*C91/MAX(0.0001,12-$AO$3),INDEX($C$11:$Q$11,1,B91-2025)/12)</f>
        <v>28.0475536513497</v>
      </c>
      <c r="BE91" s="88" t="n">
        <f aca="false">$AO$6*INDEX($Y$11:$AB$11,1,B91-2026)/12</f>
        <v>0</v>
      </c>
      <c r="BF91" s="88" t="n">
        <f aca="false">BD91+BF90</f>
        <v>1200.28161105228</v>
      </c>
      <c r="BG91" s="88" t="n">
        <f aca="false">BE91+BG90</f>
        <v>240</v>
      </c>
      <c r="BH91" s="88" t="n">
        <f aca="false">MAX(BH90,BF91-BG91)</f>
        <v>960.281611052281</v>
      </c>
      <c r="BI91" s="88" t="n">
        <f aca="false">BH91-BH90</f>
        <v>28.0475536513497</v>
      </c>
      <c r="BJ91" s="88" t="n">
        <f aca="false">IF(B91=2026,INDEX($C$12:$Q$12,1,B91-2025)*$AO$4*C91/MAX(0.0001,12-$AO$3),INDEX($C$12:$Q$12,1,B91-2025)/12)</f>
        <v>15.3780518436687</v>
      </c>
      <c r="BK91" s="88" t="n">
        <f aca="false">$AO$6*INDEX($Y$12:$AB$12,1,B91-2026)/12</f>
        <v>4.78333333333333</v>
      </c>
      <c r="BL91" s="88" t="n">
        <f aca="false">BJ91+BL90</f>
        <v>658.096355611249</v>
      </c>
      <c r="BM91" s="88" t="n">
        <f aca="false">BK91+BM90</f>
        <v>122.733333333333</v>
      </c>
      <c r="BN91" s="88" t="n">
        <f aca="false">MAX(BN90,BL91-BM91)</f>
        <v>535.363022277916</v>
      </c>
      <c r="BO91" s="88" t="n">
        <f aca="false">BN91-BN90</f>
        <v>10.5947185103355</v>
      </c>
      <c r="BP91" s="88" t="n">
        <f aca="false">IF(B91=2026,INDEX($C$13:$Q$13,1,B91-2025)*$AO$4*C91/MAX(0.0001,12-$AO$3),INDEX($C$13:$Q$13,1,B91-2025)/12)</f>
        <v>4.80560220169792</v>
      </c>
      <c r="BQ91" s="88" t="n">
        <f aca="false">$AO$6*INDEX($Y$13:$AB$13,1,B91-2026)/12</f>
        <v>0.0583333333333333</v>
      </c>
      <c r="BR91" s="88" t="n">
        <f aca="false">BP91+BR90</f>
        <v>205.653442165812</v>
      </c>
      <c r="BS91" s="88" t="n">
        <f aca="false">BQ91+BS90</f>
        <v>86.5333333333333</v>
      </c>
      <c r="BT91" s="88" t="n">
        <f aca="false">MAX(BT90,BR91-BS91)</f>
        <v>119.120108832479</v>
      </c>
      <c r="BU91" s="88" t="n">
        <f aca="false">BT91-BT90</f>
        <v>4.74726886836459</v>
      </c>
      <c r="BV91" s="88" t="n">
        <f aca="false">IF(B91=2026,INDEX($C$14:$Q$14,1,B91-2025)*$AO$4*C91/MAX(0.0001,12-$AO$3),INDEX($C$14:$Q$14,1,B91-2025)/12)</f>
        <v>2.85021923686911</v>
      </c>
      <c r="BW91" s="88" t="n">
        <f aca="false">$AO$6*INDEX($Y$14:$AB$14,1,B91-2026)/12</f>
        <v>0</v>
      </c>
      <c r="BX91" s="88" t="n">
        <f aca="false">BV91+BX90</f>
        <v>121.973765698344</v>
      </c>
      <c r="BY91" s="88" t="n">
        <f aca="false">BW91+BY90</f>
        <v>0</v>
      </c>
      <c r="BZ91" s="88" t="n">
        <f aca="false">MAX(BZ90,BX91-BY91)</f>
        <v>121.973765698344</v>
      </c>
      <c r="CA91" s="88" t="n">
        <f aca="false">BZ91-BZ90</f>
        <v>2.85021923686911</v>
      </c>
      <c r="CB91" s="88" t="n">
        <f aca="false">IF(B91=2026,INDEX($C$15:$Q$15,1,B91-2025)*$AO$4*C91/MAX(0.0001,12-$AO$3),INDEX($C$15:$Q$15,1,B91-2025)/12)</f>
        <v>4.67303386509936</v>
      </c>
      <c r="CC91" s="88" t="n">
        <f aca="false">$AO$6*INDEX($Y$15:$AB$15,1,B91-2026)/12</f>
        <v>0</v>
      </c>
      <c r="CD91" s="88" t="n">
        <f aca="false">CB91+CD90</f>
        <v>199.980243761238</v>
      </c>
      <c r="CE91" s="88" t="n">
        <f aca="false">CC91+CE90</f>
        <v>88.0000000000001</v>
      </c>
      <c r="CF91" s="88" t="n">
        <f aca="false">MAX(CF90,CD91-CE91)</f>
        <v>111.980243761238</v>
      </c>
      <c r="CG91" s="88" t="n">
        <f aca="false">CF91-CF90</f>
        <v>4.67303386509934</v>
      </c>
      <c r="CH91" s="88" t="n">
        <f aca="false">IF(B91=2026,INDEX($C$16:$Q$16,1,B91-2025)*$AO$4*C91/MAX(0.0001,12-$AO$3),INDEX($C$16:$Q$16,1,B91-2025)/12)</f>
        <v>3.69534238268495</v>
      </c>
      <c r="CI91" s="88" t="n">
        <f aca="false">$AO$6*INDEX($Y$16:$AB$16,1,B91-2026)/12</f>
        <v>0</v>
      </c>
      <c r="CJ91" s="88" t="n">
        <f aca="false">CH91+CJ90</f>
        <v>158.140405527504</v>
      </c>
      <c r="CK91" s="88" t="n">
        <f aca="false">CI91+CK90</f>
        <v>70</v>
      </c>
      <c r="CL91" s="88" t="n">
        <f aca="false">MAX(CL90,CJ91-CK91)</f>
        <v>88.140405527504</v>
      </c>
      <c r="CM91" s="88" t="n">
        <f aca="false">CL91-CL90</f>
        <v>3.69534238268494</v>
      </c>
      <c r="CN91" s="88" t="n">
        <f aca="false">IF(B91=2026,INDEX($C$17:$Q$17,1,B91-2025)*$AO$4*C91/MAX(0.0001,12-$AO$3),INDEX($C$17:$Q$17,1,B91-2025)/12)</f>
        <v>16.0904818546506</v>
      </c>
      <c r="CO91" s="88" t="n">
        <f aca="false">$AO$6*INDEX($Y$17:$AB$17,1,B91-2026)/12</f>
        <v>0</v>
      </c>
      <c r="CP91" s="88" t="n">
        <f aca="false">CN91+CP90</f>
        <v>688.584456355186</v>
      </c>
      <c r="CQ91" s="88" t="n">
        <f aca="false">CO91+CQ90</f>
        <v>221</v>
      </c>
      <c r="CR91" s="88" t="n">
        <f aca="false">MAX(CR90,CP91-CQ91)</f>
        <v>467.584456355186</v>
      </c>
      <c r="CS91" s="88" t="n">
        <f aca="false">CR91-CR90</f>
        <v>16.0904818546506</v>
      </c>
      <c r="CT91" s="88" t="n">
        <f aca="false">IF(B91=2026,INDEX($C$18:$Q$18,1,B91-2025)*$AO$4*C91/MAX(0.0001,12-$AO$3),INDEX($C$18:$Q$18,1,B91-2025)/12)</f>
        <v>3.34735049911372</v>
      </c>
      <c r="CU91" s="88" t="n">
        <f aca="false">$AO$6*INDEX($Y$18:$AB$18,1,B91-2026)/12</f>
        <v>0</v>
      </c>
      <c r="CV91" s="88" t="n">
        <f aca="false">CT91+CV90</f>
        <v>143.248259715497</v>
      </c>
      <c r="CW91" s="88" t="n">
        <f aca="false">CU91+CW90</f>
        <v>11</v>
      </c>
      <c r="CX91" s="88" t="n">
        <f aca="false">MAX(CX90,CV91-CW91)</f>
        <v>132.248259715497</v>
      </c>
      <c r="CY91" s="88" t="n">
        <f aca="false">CX91-CX90</f>
        <v>3.34735049911373</v>
      </c>
      <c r="CZ91" s="88" t="n">
        <f aca="false">IF(B91=2026,INDEX($C$19:$Q$19,1,B91-2025)*$AO$4*C91/MAX(0.0001,12-$AO$3),INDEX($C$19:$Q$19,1,B91-2025)/12)</f>
        <v>3.31420841496408</v>
      </c>
      <c r="DA91" s="88" t="n">
        <f aca="false">$AO$6*INDEX($Y$19:$AB$19,1,B91-2026)/12</f>
        <v>1.85</v>
      </c>
      <c r="DB91" s="88" t="n">
        <f aca="false">CZ91+DB90</f>
        <v>141.829960114353</v>
      </c>
      <c r="DC91" s="88" t="n">
        <f aca="false">DA91+DC90</f>
        <v>211.2</v>
      </c>
      <c r="DD91" s="88" t="n">
        <f aca="false">MAX(DD90,DB91-DC91)</f>
        <v>37.132124495359</v>
      </c>
      <c r="DE91" s="88" t="n">
        <f aca="false">DD91-DD90</f>
        <v>0</v>
      </c>
      <c r="DF91" s="88" t="n">
        <f aca="false">IF(B91=2026,INDEX($C$20:$Q$20,1,B91-2025)*$AO$4*C91/MAX(0.0001,12-$AO$3),INDEX($C$20:$Q$20,1,B91-2025)/12)</f>
        <v>2.70107985819573</v>
      </c>
      <c r="DG91" s="88" t="n">
        <f aca="false">$AO$6*INDEX($Y$20:$AB$20,1,B91-2026)/12</f>
        <v>0</v>
      </c>
      <c r="DH91" s="88" t="n">
        <f aca="false">DF91+DH90</f>
        <v>115.591417493198</v>
      </c>
      <c r="DI91" s="88" t="n">
        <f aca="false">DG91+DI90</f>
        <v>0</v>
      </c>
      <c r="DJ91" s="88" t="n">
        <f aca="false">MAX(DJ90,DH91-DI91)</f>
        <v>115.591417493198</v>
      </c>
      <c r="DK91" s="88" t="n">
        <f aca="false">DJ91-DJ90</f>
        <v>2.70107985819573</v>
      </c>
      <c r="DL91" s="88" t="n">
        <f aca="false">IF(B91=2026,INDEX($C$21:$Q$21,1,B91-2025)*$AO$4*C91/MAX(0.0001,12-$AO$3),INDEX($C$21:$Q$21,1,B91-2025)/12)</f>
        <v>1.88909879652953</v>
      </c>
      <c r="DM91" s="88" t="n">
        <f aca="false">$AO$6*INDEX($Y$21:$AB$21,1,B91-2026)/12</f>
        <v>0</v>
      </c>
      <c r="DN91" s="88" t="n">
        <f aca="false">DL91+DN90</f>
        <v>80.8430772651813</v>
      </c>
      <c r="DO91" s="88" t="n">
        <f aca="false">DM91+DO90</f>
        <v>100</v>
      </c>
      <c r="DP91" s="88" t="n">
        <f aca="false">MAX(DP90,DN91-DO91)</f>
        <v>17.7483109623547</v>
      </c>
      <c r="DQ91" s="88" t="n">
        <f aca="false">DP91-DP90</f>
        <v>0</v>
      </c>
      <c r="DR91" s="88" t="n">
        <f aca="false">IF(B91=2026,INDEX($C$22:$Q$22,1,B91-2025)*$AO$4*C91/MAX(0.0001,12-$AO$3),INDEX($C$22:$Q$22,1,B91-2025)/12)</f>
        <v>1.47482274465902</v>
      </c>
      <c r="DS91" s="88" t="n">
        <f aca="false">$AO$6*INDEX($Y$22:$AB$22,1,B91-2026)/12</f>
        <v>0</v>
      </c>
      <c r="DT91" s="88" t="n">
        <f aca="false">DR91+DT90</f>
        <v>63.1143322508872</v>
      </c>
      <c r="DU91" s="88" t="n">
        <f aca="false">DS91+DU90</f>
        <v>29</v>
      </c>
      <c r="DV91" s="88" t="n">
        <f aca="false">MAX(DV90,DT91-DU91)</f>
        <v>34.1143322508872</v>
      </c>
      <c r="DW91" s="88" t="n">
        <f aca="false">DV91-DV90</f>
        <v>1.47482274465902</v>
      </c>
      <c r="DX91" s="88" t="n">
        <f aca="false">IF(B91=2026,INDEX($C$23:$Q$23,1,B91-2025)*$AO$4*C91/MAX(0.0001,12-$AO$3),INDEX($C$23:$Q$23,1,B91-2025)/12)</f>
        <v>2.36965901669932</v>
      </c>
      <c r="DY91" s="88" t="n">
        <f aca="false">$AO$6*INDEX($Y$23:$AB$23,1,B91-2026)/12</f>
        <v>0</v>
      </c>
      <c r="DZ91" s="88" t="n">
        <f aca="false">DX91+DZ90</f>
        <v>101.408421481763</v>
      </c>
      <c r="EA91" s="88" t="n">
        <f aca="false">DY91+EA90</f>
        <v>121</v>
      </c>
      <c r="EB91" s="88" t="n">
        <f aca="false">MAX(EB90,DZ91-EA91)</f>
        <v>35.0579690141817</v>
      </c>
      <c r="EC91" s="88" t="n">
        <f aca="false">EB91-EB90</f>
        <v>0</v>
      </c>
      <c r="ED91" s="88" t="n">
        <f aca="false">IF(B91=2026,INDEX($C$24:$Q$24,1,B91-2025)*$AO$4*C91/MAX(0.0001,12-$AO$3),INDEX($C$24:$Q$24,1,B91-2025)/12)</f>
        <v>1.4582517025842</v>
      </c>
      <c r="EE91" s="88" t="n">
        <f aca="false">$AO$6*INDEX($Y$24:$AB$24,1,B91-2026)/12</f>
        <v>0</v>
      </c>
      <c r="EF91" s="88" t="n">
        <f aca="false">ED91+EF90</f>
        <v>62.4051824503155</v>
      </c>
      <c r="EG91" s="88" t="n">
        <f aca="false">EE91+EG90</f>
        <v>0</v>
      </c>
      <c r="EH91" s="88" t="n">
        <f aca="false">MAX(EH90,EF91-EG91)</f>
        <v>62.4051824503155</v>
      </c>
      <c r="EI91" s="88" t="n">
        <f aca="false">EH91-EH90</f>
        <v>1.4582517025842</v>
      </c>
      <c r="EJ91" s="88" t="n">
        <f aca="false">IF(B91=2026,INDEX($C$25:$Q$25,1,B91-2025)*$AO$4*C91/MAX(0.0001,12-$AO$3),INDEX($C$25:$Q$25,1,B91-2025)/12)</f>
        <v>1.85595671237989</v>
      </c>
      <c r="EK91" s="88" t="n">
        <f aca="false">$AO$6*INDEX($Y$25:$AB$25,1,B91-2026)/12</f>
        <v>0</v>
      </c>
      <c r="EL91" s="88" t="n">
        <f aca="false">EJ91+EL90</f>
        <v>79.4247776640379</v>
      </c>
      <c r="EM91" s="88" t="n">
        <f aca="false">EK91+EM90</f>
        <v>14</v>
      </c>
      <c r="EN91" s="88" t="n">
        <f aca="false">MAX(EN90,EL91-EM91)</f>
        <v>65.4247776640379</v>
      </c>
      <c r="EO91" s="88" t="n">
        <f aca="false">EN91-EN90</f>
        <v>1.85595671237989</v>
      </c>
      <c r="EP91" s="88" t="n">
        <f aca="false">IF(B91=2026,INDEX($C$26:$Q$26,1,B91-2025)*$AO$4*C91/MAX(0.0001,12-$AO$3),INDEX($C$26:$Q$26,1,B91-2025)/12)</f>
        <v>2.66793777404609</v>
      </c>
      <c r="EQ91" s="88" t="n">
        <f aca="false">$AO$6*INDEX($Y$26:$AB$26,1,B91-2026)/12</f>
        <v>0</v>
      </c>
      <c r="ER91" s="88" t="n">
        <f aca="false">EP91+ER90</f>
        <v>114.173117892054</v>
      </c>
      <c r="ES91" s="88" t="n">
        <f aca="false">EQ91+ES90</f>
        <v>4</v>
      </c>
      <c r="ET91" s="88" t="n">
        <f aca="false">MAX(ET90,ER91-ES91)</f>
        <v>110.173117892054</v>
      </c>
      <c r="EU91" s="88" t="n">
        <f aca="false">ET91-ET90</f>
        <v>2.66793777404608</v>
      </c>
      <c r="EV91" s="88" t="n">
        <f aca="false">IF(B91=2026,INDEX($C$27:$Q$27,1,B91-2025)*$AO$4*C91/MAX(0.0001,12-$AO$3),INDEX($C$27:$Q$27,1,B91-2025)/12)</f>
        <v>6.62841682992816</v>
      </c>
      <c r="EW91" s="88" t="n">
        <f aca="false">$AO$6*INDEX($Y$27:$AB$27,1,B91-2026)/12</f>
        <v>0.416666666666667</v>
      </c>
      <c r="EX91" s="88" t="n">
        <f aca="false">EV91+EX90</f>
        <v>283.659920228707</v>
      </c>
      <c r="EY91" s="88" t="n">
        <f aca="false">EW91+EY90</f>
        <v>387.666666666667</v>
      </c>
      <c r="EZ91" s="88" t="n">
        <f aca="false">MAX(EZ90,EX91-EY91)</f>
        <v>0</v>
      </c>
      <c r="FA91" s="88" t="n">
        <f aca="false">EZ91-EZ90</f>
        <v>0</v>
      </c>
      <c r="FB91" s="88" t="n">
        <f aca="false">IF(B91=2026,INDEX($C$28:$Q$28,1,B91-2025)*$AO$4*C91/MAX(0.0001,12-$AO$3),INDEX($C$28:$Q$28,1,B91-2025)/12)</f>
        <v>34.6997621046739</v>
      </c>
      <c r="FC91" s="88" t="n">
        <f aca="false">$AO$6*INDEX($Y$28:$AB$28,1,B91-2026)/12</f>
        <v>0</v>
      </c>
      <c r="FD91" s="88" t="n">
        <f aca="false">FB91+FD90</f>
        <v>1484.95968239728</v>
      </c>
      <c r="FE91" s="88" t="n">
        <f aca="false">FC91+FE90</f>
        <v>169</v>
      </c>
      <c r="FF91" s="88" t="n">
        <f aca="false">MAX(FF90,FD91-FE91)</f>
        <v>1315.95968239728</v>
      </c>
      <c r="FG91" s="88" t="n">
        <f aca="false">FF91-FF90</f>
        <v>34.6997621046739</v>
      </c>
    </row>
    <row r="92" customFormat="false" ht="15" hidden="false" customHeight="false" outlineLevel="0" collapsed="false">
      <c r="A92" s="0" t="n">
        <v>52</v>
      </c>
      <c r="B92" s="88" t="n">
        <f aca="false">2026+INT(A92/12)</f>
        <v>2030</v>
      </c>
      <c r="C92" s="88" t="n">
        <f aca="false">MAX(0,MIN(1,A92+1-$AO$3))</f>
        <v>1</v>
      </c>
      <c r="D92" s="88" t="n">
        <f aca="false">IF((A92+0.5-(0))&lt;$AO$3,0,2026+INT((A92+0.5-(0))/12))</f>
        <v>2030</v>
      </c>
      <c r="E92" s="88" t="n">
        <f aca="false">IF((A92+0.5-($AO$9))&lt;$AO$3,0,2026+INT((A92+0.5-($AO$9))/12))</f>
        <v>2029</v>
      </c>
      <c r="F92" s="88" t="n">
        <f aca="false">IF((A92+0.5-($AO$9+$AO$8))&lt;$AO$3,0,2026+INT((A92+0.5-($AO$9+$AO$8))/12))</f>
        <v>2027</v>
      </c>
      <c r="G92" s="88" t="n">
        <f aca="false">IF((A92+0.5-($AO$9+$AO$8+$AO$7))&lt;$AO$3,0,2026+INT((A92+0.5-($AO$9+$AO$8+$AO$7))/12))</f>
        <v>2027</v>
      </c>
      <c r="H92" s="88" t="n">
        <f aca="false">IF(B92=2026,INDEX($C$3:$Q$3,1,B92-2025)*$AO$4*C92/MAX(0.0001,12-$AO$3),INDEX($C$3:$Q$3,1,B92-2025)/12)</f>
        <v>355.25</v>
      </c>
      <c r="I92" s="88" t="n">
        <f aca="false">$AO$6*INDEX($Y$3:$AB$3,1,B92-2026)/12</f>
        <v>70.9166666666667</v>
      </c>
      <c r="J92" s="88" t="n">
        <f aca="false">H92+J91</f>
        <v>15558.0034246575</v>
      </c>
      <c r="K92" s="88" t="n">
        <f aca="false">I92+K91</f>
        <v>6625.38333333333</v>
      </c>
      <c r="L92" s="88" t="n">
        <f aca="false">MAX(L91,J92-K92)</f>
        <v>8932.6200913242</v>
      </c>
      <c r="M92" s="88" t="n">
        <f aca="false">L92-L91</f>
        <v>284.333333333334</v>
      </c>
      <c r="N92" s="88" t="n">
        <f aca="false">IF(B92=2026,INDEX($C$4:$Q$4,1,B92-2025)*$AO$4*C92/MAX(0.0001,12-$AO$3),INDEX($C$4:$Q$4,1,B92-2025)/12)</f>
        <v>10.7700632578534</v>
      </c>
      <c r="O92" s="88" t="n">
        <f aca="false">$AO$6*INDEX($Y$4:$AB$4,1,B92-2026)/12</f>
        <v>7.075</v>
      </c>
      <c r="P92" s="88" t="n">
        <f aca="false">N92+P91</f>
        <v>471.669756648728</v>
      </c>
      <c r="Q92" s="88" t="n">
        <f aca="false">O92+Q91</f>
        <v>348.575</v>
      </c>
      <c r="R92" s="88" t="n">
        <f aca="false">MAX(R91,P92-Q92)</f>
        <v>123.094756648728</v>
      </c>
      <c r="S92" s="88" t="n">
        <f aca="false">R92-R91</f>
        <v>3.69506325785335</v>
      </c>
      <c r="T92" s="88" t="n">
        <f aca="false">IF(B92=2026,INDEX($C$5:$Q$5,1,B92-2025)*$AO$4*C92/MAX(0.0001,12-$AO$3),INDEX($C$5:$Q$5,1,B92-2025)/12)</f>
        <v>43.7734247619348</v>
      </c>
      <c r="U92" s="88" t="n">
        <f aca="false">$AO$6*INDEX($Y$5:$AB$5,1,B92-2026)/12</f>
        <v>8.56666666666667</v>
      </c>
      <c r="V92" s="88" t="n">
        <f aca="false">T92+V91</f>
        <v>1917.03615019049</v>
      </c>
      <c r="W92" s="88" t="n">
        <f aca="false">U92+W91</f>
        <v>1054.93333333333</v>
      </c>
      <c r="X92" s="88" t="n">
        <f aca="false">MAX(X91,V92-W92)</f>
        <v>862.102816857155</v>
      </c>
      <c r="Y92" s="88" t="n">
        <f aca="false">X92-X91</f>
        <v>35.2067580952682</v>
      </c>
      <c r="Z92" s="88" t="n">
        <f aca="false">IF(B92=2026,INDEX($C$6:$Q$6,1,B92-2025)*$AO$4*C92/MAX(0.0001,12-$AO$3),INDEX($C$6:$Q$6,1,B92-2025)/12)</f>
        <v>51.933610116259</v>
      </c>
      <c r="AA92" s="88" t="n">
        <f aca="false">$AO$6*INDEX($Y$6:$AB$6,1,B92-2026)/12</f>
        <v>16.8833333333333</v>
      </c>
      <c r="AB92" s="88" t="n">
        <f aca="false">Z92+AB91</f>
        <v>2274.40755536548</v>
      </c>
      <c r="AC92" s="88" t="n">
        <f aca="false">AA92+AC91</f>
        <v>1184.11666666667</v>
      </c>
      <c r="AD92" s="88" t="n">
        <f aca="false">MAX(AD91,AB92-AC92)</f>
        <v>1090.29088869881</v>
      </c>
      <c r="AE92" s="88" t="n">
        <f aca="false">AD92-AD91</f>
        <v>35.0502767829255</v>
      </c>
      <c r="AF92" s="88" t="n">
        <f aca="false">IF(B92=2026,INDEX($C$7:$Q$7,1,B92-2025)*$AO$4*C92/MAX(0.0001,12-$AO$3),INDEX($C$7:$Q$7,1,B92-2025)/12)</f>
        <v>45.11289896006</v>
      </c>
      <c r="AG92" s="88" t="n">
        <f aca="false">$AO$6*INDEX($Y$7:$AB$7,1,B92-2026)/12</f>
        <v>6.05833333333333</v>
      </c>
      <c r="AH92" s="88" t="n">
        <f aca="false">AF92+AH91</f>
        <v>1975.69778048372</v>
      </c>
      <c r="AI92" s="88" t="n">
        <f aca="false">AG92+AI91</f>
        <v>630.891666666666</v>
      </c>
      <c r="AJ92" s="88" t="n">
        <f aca="false">MAX(AJ91,AH92-AI92)</f>
        <v>1344.80611381706</v>
      </c>
      <c r="AK92" s="88" t="n">
        <f aca="false">AJ92-AJ91</f>
        <v>39.0545656267266</v>
      </c>
      <c r="AL92" s="88" t="n">
        <f aca="false">IF(B92=2026,INDEX($C$8:$Q$8,1,B92-2025)*$AO$4*C92/MAX(0.0001,12-$AO$3),INDEX($C$8:$Q$8,1,B92-2025)/12)</f>
        <v>11.4114321188341</v>
      </c>
      <c r="AM92" s="88" t="n">
        <f aca="false">$AO$6*INDEX($Y$8:$AB$8,1,B92-2026)/12</f>
        <v>0</v>
      </c>
      <c r="AN92" s="88" t="n">
        <f aca="false">AL92+AN91</f>
        <v>499.758198409761</v>
      </c>
      <c r="AO92" s="88" t="n">
        <f aca="false">AM92+AO91</f>
        <v>66</v>
      </c>
      <c r="AP92" s="88" t="n">
        <f aca="false">MAX(AP91,AN92-AO92)</f>
        <v>433.758198409761</v>
      </c>
      <c r="AQ92" s="88" t="n">
        <f aca="false">AP92-AP91</f>
        <v>11.4114321188341</v>
      </c>
      <c r="AR92" s="88" t="n">
        <f aca="false">IF(B92=2026,INDEX($C$9:$Q$9,1,B92-2025)*$AO$4*C92/MAX(0.0001,12-$AO$3),INDEX($C$9:$Q$9,1,B92-2025)/12)</f>
        <v>48.6576953186344</v>
      </c>
      <c r="AS92" s="88" t="n">
        <f aca="false">$AO$6*INDEX($Y$9:$AB$9,1,B92-2026)/12</f>
        <v>25.2</v>
      </c>
      <c r="AT92" s="88" t="n">
        <f aca="false">AR92+AT91</f>
        <v>2130.94043744759</v>
      </c>
      <c r="AU92" s="88" t="n">
        <f aca="false">AS92+AU91</f>
        <v>1408.8</v>
      </c>
      <c r="AV92" s="88" t="n">
        <f aca="false">MAX(AV91,AT92-AU92)</f>
        <v>722.140437447588</v>
      </c>
      <c r="AW92" s="88" t="n">
        <f aca="false">AV92-AV91</f>
        <v>23.4576953186345</v>
      </c>
      <c r="AX92" s="88" t="n">
        <f aca="false">IF(B92=2026,INDEX($C$10:$Q$10,1,B92-2025)*$AO$4*C92/MAX(0.0001,12-$AO$3),INDEX($C$10:$Q$10,1,B92-2025)/12)</f>
        <v>5.64404597663043</v>
      </c>
      <c r="AY92" s="88" t="n">
        <f aca="false">$AO$6*INDEX($Y$10:$AB$10,1,B92-2026)/12</f>
        <v>0.025</v>
      </c>
      <c r="AZ92" s="88" t="n">
        <f aca="false">AX92+AZ91</f>
        <v>247.178287497089</v>
      </c>
      <c r="BA92" s="88" t="n">
        <f aca="false">AY92+BA91</f>
        <v>49.825</v>
      </c>
      <c r="BB92" s="88" t="n">
        <f aca="false">MAX(BB91,AZ92-BA92)</f>
        <v>197.353287497089</v>
      </c>
      <c r="BC92" s="88" t="n">
        <f aca="false">BB92-BB91</f>
        <v>5.61904597663042</v>
      </c>
      <c r="BD92" s="88" t="n">
        <f aca="false">IF(B92=2026,INDEX($C$11:$Q$11,1,B92-2025)*$AO$4*C92/MAX(0.0001,12-$AO$3),INDEX($C$11:$Q$11,1,B92-2025)/12)</f>
        <v>28.0475536513497</v>
      </c>
      <c r="BE92" s="88" t="n">
        <f aca="false">$AO$6*INDEX($Y$11:$AB$11,1,B92-2026)/12</f>
        <v>0</v>
      </c>
      <c r="BF92" s="88" t="n">
        <f aca="false">BD92+BF91</f>
        <v>1228.32916470363</v>
      </c>
      <c r="BG92" s="88" t="n">
        <f aca="false">BE92+BG91</f>
        <v>240</v>
      </c>
      <c r="BH92" s="88" t="n">
        <f aca="false">MAX(BH91,BF92-BG92)</f>
        <v>988.329164703631</v>
      </c>
      <c r="BI92" s="88" t="n">
        <f aca="false">BH92-BH91</f>
        <v>28.0475536513497</v>
      </c>
      <c r="BJ92" s="88" t="n">
        <f aca="false">IF(B92=2026,INDEX($C$12:$Q$12,1,B92-2025)*$AO$4*C92/MAX(0.0001,12-$AO$3),INDEX($C$12:$Q$12,1,B92-2025)/12)</f>
        <v>15.3780518436687</v>
      </c>
      <c r="BK92" s="88" t="n">
        <f aca="false">$AO$6*INDEX($Y$12:$AB$12,1,B92-2026)/12</f>
        <v>4.78333333333333</v>
      </c>
      <c r="BL92" s="88" t="n">
        <f aca="false">BJ92+BL91</f>
        <v>673.474407454918</v>
      </c>
      <c r="BM92" s="88" t="n">
        <f aca="false">BK92+BM91</f>
        <v>127.516666666667</v>
      </c>
      <c r="BN92" s="88" t="n">
        <f aca="false">MAX(BN91,BL92-BM92)</f>
        <v>545.957740788251</v>
      </c>
      <c r="BO92" s="88" t="n">
        <f aca="false">BN92-BN91</f>
        <v>10.5947185103355</v>
      </c>
      <c r="BP92" s="88" t="n">
        <f aca="false">IF(B92=2026,INDEX($C$13:$Q$13,1,B92-2025)*$AO$4*C92/MAX(0.0001,12-$AO$3),INDEX($C$13:$Q$13,1,B92-2025)/12)</f>
        <v>4.80560220169792</v>
      </c>
      <c r="BQ92" s="88" t="n">
        <f aca="false">$AO$6*INDEX($Y$13:$AB$13,1,B92-2026)/12</f>
        <v>0.0583333333333333</v>
      </c>
      <c r="BR92" s="88" t="n">
        <f aca="false">BP92+BR91</f>
        <v>210.45904436751</v>
      </c>
      <c r="BS92" s="88" t="n">
        <f aca="false">BQ92+BS91</f>
        <v>86.5916666666667</v>
      </c>
      <c r="BT92" s="88" t="n">
        <f aca="false">MAX(BT91,BR92-BS92)</f>
        <v>123.867377700844</v>
      </c>
      <c r="BU92" s="88" t="n">
        <f aca="false">BT92-BT91</f>
        <v>4.74726886836459</v>
      </c>
      <c r="BV92" s="88" t="n">
        <f aca="false">IF(B92=2026,INDEX($C$14:$Q$14,1,B92-2025)*$AO$4*C92/MAX(0.0001,12-$AO$3),INDEX($C$14:$Q$14,1,B92-2025)/12)</f>
        <v>2.85021923686911</v>
      </c>
      <c r="BW92" s="88" t="n">
        <f aca="false">$AO$6*INDEX($Y$14:$AB$14,1,B92-2026)/12</f>
        <v>0</v>
      </c>
      <c r="BX92" s="88" t="n">
        <f aca="false">BV92+BX91</f>
        <v>124.823984935213</v>
      </c>
      <c r="BY92" s="88" t="n">
        <f aca="false">BW92+BY91</f>
        <v>0</v>
      </c>
      <c r="BZ92" s="88" t="n">
        <f aca="false">MAX(BZ91,BX92-BY92)</f>
        <v>124.823984935213</v>
      </c>
      <c r="CA92" s="88" t="n">
        <f aca="false">BZ92-BZ91</f>
        <v>2.85021923686911</v>
      </c>
      <c r="CB92" s="88" t="n">
        <f aca="false">IF(B92=2026,INDEX($C$15:$Q$15,1,B92-2025)*$AO$4*C92/MAX(0.0001,12-$AO$3),INDEX($C$15:$Q$15,1,B92-2025)/12)</f>
        <v>4.67303386509936</v>
      </c>
      <c r="CC92" s="88" t="n">
        <f aca="false">$AO$6*INDEX($Y$15:$AB$15,1,B92-2026)/12</f>
        <v>0</v>
      </c>
      <c r="CD92" s="88" t="n">
        <f aca="false">CB92+CD91</f>
        <v>204.653277626337</v>
      </c>
      <c r="CE92" s="88" t="n">
        <f aca="false">CC92+CE91</f>
        <v>88.0000000000001</v>
      </c>
      <c r="CF92" s="88" t="n">
        <f aca="false">MAX(CF91,CD92-CE92)</f>
        <v>116.653277626337</v>
      </c>
      <c r="CG92" s="88" t="n">
        <f aca="false">CF92-CF91</f>
        <v>4.67303386509934</v>
      </c>
      <c r="CH92" s="88" t="n">
        <f aca="false">IF(B92=2026,INDEX($C$16:$Q$16,1,B92-2025)*$AO$4*C92/MAX(0.0001,12-$AO$3),INDEX($C$16:$Q$16,1,B92-2025)/12)</f>
        <v>3.69534238268495</v>
      </c>
      <c r="CI92" s="88" t="n">
        <f aca="false">$AO$6*INDEX($Y$16:$AB$16,1,B92-2026)/12</f>
        <v>0</v>
      </c>
      <c r="CJ92" s="88" t="n">
        <f aca="false">CH92+CJ91</f>
        <v>161.835747910189</v>
      </c>
      <c r="CK92" s="88" t="n">
        <f aca="false">CI92+CK91</f>
        <v>70</v>
      </c>
      <c r="CL92" s="88" t="n">
        <f aca="false">MAX(CL91,CJ92-CK92)</f>
        <v>91.8357479101889</v>
      </c>
      <c r="CM92" s="88" t="n">
        <f aca="false">CL92-CL91</f>
        <v>3.69534238268494</v>
      </c>
      <c r="CN92" s="88" t="n">
        <f aca="false">IF(B92=2026,INDEX($C$17:$Q$17,1,B92-2025)*$AO$4*C92/MAX(0.0001,12-$AO$3),INDEX($C$17:$Q$17,1,B92-2025)/12)</f>
        <v>16.0904818546506</v>
      </c>
      <c r="CO92" s="88" t="n">
        <f aca="false">$AO$6*INDEX($Y$17:$AB$17,1,B92-2026)/12</f>
        <v>0</v>
      </c>
      <c r="CP92" s="88" t="n">
        <f aca="false">CN92+CP91</f>
        <v>704.674938209837</v>
      </c>
      <c r="CQ92" s="88" t="n">
        <f aca="false">CO92+CQ91</f>
        <v>221</v>
      </c>
      <c r="CR92" s="88" t="n">
        <f aca="false">MAX(CR91,CP92-CQ92)</f>
        <v>483.674938209837</v>
      </c>
      <c r="CS92" s="88" t="n">
        <f aca="false">CR92-CR91</f>
        <v>16.0904818546506</v>
      </c>
      <c r="CT92" s="88" t="n">
        <f aca="false">IF(B92=2026,INDEX($C$18:$Q$18,1,B92-2025)*$AO$4*C92/MAX(0.0001,12-$AO$3),INDEX($C$18:$Q$18,1,B92-2025)/12)</f>
        <v>3.34735049911372</v>
      </c>
      <c r="CU92" s="88" t="n">
        <f aca="false">$AO$6*INDEX($Y$18:$AB$18,1,B92-2026)/12</f>
        <v>0</v>
      </c>
      <c r="CV92" s="88" t="n">
        <f aca="false">CT92+CV91</f>
        <v>146.595610214611</v>
      </c>
      <c r="CW92" s="88" t="n">
        <f aca="false">CU92+CW91</f>
        <v>11</v>
      </c>
      <c r="CX92" s="88" t="n">
        <f aca="false">MAX(CX91,CV92-CW92)</f>
        <v>135.595610214611</v>
      </c>
      <c r="CY92" s="88" t="n">
        <f aca="false">CX92-CX91</f>
        <v>3.34735049911373</v>
      </c>
      <c r="CZ92" s="88" t="n">
        <f aca="false">IF(B92=2026,INDEX($C$19:$Q$19,1,B92-2025)*$AO$4*C92/MAX(0.0001,12-$AO$3),INDEX($C$19:$Q$19,1,B92-2025)/12)</f>
        <v>3.31420841496408</v>
      </c>
      <c r="DA92" s="88" t="n">
        <f aca="false">$AO$6*INDEX($Y$19:$AB$19,1,B92-2026)/12</f>
        <v>1.85</v>
      </c>
      <c r="DB92" s="88" t="n">
        <f aca="false">CZ92+DB91</f>
        <v>145.144168529317</v>
      </c>
      <c r="DC92" s="88" t="n">
        <f aca="false">DA92+DC91</f>
        <v>213.05</v>
      </c>
      <c r="DD92" s="88" t="n">
        <f aca="false">MAX(DD91,DB92-DC92)</f>
        <v>37.132124495359</v>
      </c>
      <c r="DE92" s="88" t="n">
        <f aca="false">DD92-DD91</f>
        <v>0</v>
      </c>
      <c r="DF92" s="88" t="n">
        <f aca="false">IF(B92=2026,INDEX($C$20:$Q$20,1,B92-2025)*$AO$4*C92/MAX(0.0001,12-$AO$3),INDEX($C$20:$Q$20,1,B92-2025)/12)</f>
        <v>2.70107985819573</v>
      </c>
      <c r="DG92" s="88" t="n">
        <f aca="false">$AO$6*INDEX($Y$20:$AB$20,1,B92-2026)/12</f>
        <v>0</v>
      </c>
      <c r="DH92" s="88" t="n">
        <f aca="false">DF92+DH91</f>
        <v>118.292497351394</v>
      </c>
      <c r="DI92" s="88" t="n">
        <f aca="false">DG92+DI91</f>
        <v>0</v>
      </c>
      <c r="DJ92" s="88" t="n">
        <f aca="false">MAX(DJ91,DH92-DI92)</f>
        <v>118.292497351394</v>
      </c>
      <c r="DK92" s="88" t="n">
        <f aca="false">DJ92-DJ91</f>
        <v>2.70107985819573</v>
      </c>
      <c r="DL92" s="88" t="n">
        <f aca="false">IF(B92=2026,INDEX($C$21:$Q$21,1,B92-2025)*$AO$4*C92/MAX(0.0001,12-$AO$3),INDEX($C$21:$Q$21,1,B92-2025)/12)</f>
        <v>1.88909879652953</v>
      </c>
      <c r="DM92" s="88" t="n">
        <f aca="false">$AO$6*INDEX($Y$21:$AB$21,1,B92-2026)/12</f>
        <v>0</v>
      </c>
      <c r="DN92" s="88" t="n">
        <f aca="false">DL92+DN91</f>
        <v>82.7321760617109</v>
      </c>
      <c r="DO92" s="88" t="n">
        <f aca="false">DM92+DO91</f>
        <v>100</v>
      </c>
      <c r="DP92" s="88" t="n">
        <f aca="false">MAX(DP91,DN92-DO92)</f>
        <v>17.7483109623547</v>
      </c>
      <c r="DQ92" s="88" t="n">
        <f aca="false">DP92-DP91</f>
        <v>0</v>
      </c>
      <c r="DR92" s="88" t="n">
        <f aca="false">IF(B92=2026,INDEX($C$22:$Q$22,1,B92-2025)*$AO$4*C92/MAX(0.0001,12-$AO$3),INDEX($C$22:$Q$22,1,B92-2025)/12)</f>
        <v>1.47482274465902</v>
      </c>
      <c r="DS92" s="88" t="n">
        <f aca="false">$AO$6*INDEX($Y$22:$AB$22,1,B92-2026)/12</f>
        <v>0</v>
      </c>
      <c r="DT92" s="88" t="n">
        <f aca="false">DR92+DT91</f>
        <v>64.5891549955462</v>
      </c>
      <c r="DU92" s="88" t="n">
        <f aca="false">DS92+DU91</f>
        <v>29</v>
      </c>
      <c r="DV92" s="88" t="n">
        <f aca="false">MAX(DV91,DT92-DU92)</f>
        <v>35.5891549955462</v>
      </c>
      <c r="DW92" s="88" t="n">
        <f aca="false">DV92-DV91</f>
        <v>1.47482274465902</v>
      </c>
      <c r="DX92" s="88" t="n">
        <f aca="false">IF(B92=2026,INDEX($C$23:$Q$23,1,B92-2025)*$AO$4*C92/MAX(0.0001,12-$AO$3),INDEX($C$23:$Q$23,1,B92-2025)/12)</f>
        <v>2.36965901669932</v>
      </c>
      <c r="DY92" s="88" t="n">
        <f aca="false">$AO$6*INDEX($Y$23:$AB$23,1,B92-2026)/12</f>
        <v>0</v>
      </c>
      <c r="DZ92" s="88" t="n">
        <f aca="false">DX92+DZ91</f>
        <v>103.778080498462</v>
      </c>
      <c r="EA92" s="88" t="n">
        <f aca="false">DY92+EA91</f>
        <v>121</v>
      </c>
      <c r="EB92" s="88" t="n">
        <f aca="false">MAX(EB91,DZ92-EA92)</f>
        <v>35.0579690141817</v>
      </c>
      <c r="EC92" s="88" t="n">
        <f aca="false">EB92-EB91</f>
        <v>0</v>
      </c>
      <c r="ED92" s="88" t="n">
        <f aca="false">IF(B92=2026,INDEX($C$24:$Q$24,1,B92-2025)*$AO$4*C92/MAX(0.0001,12-$AO$3),INDEX($C$24:$Q$24,1,B92-2025)/12)</f>
        <v>1.4582517025842</v>
      </c>
      <c r="EE92" s="88" t="n">
        <f aca="false">$AO$6*INDEX($Y$24:$AB$24,1,B92-2026)/12</f>
        <v>0</v>
      </c>
      <c r="EF92" s="88" t="n">
        <f aca="false">ED92+EF91</f>
        <v>63.8634341528997</v>
      </c>
      <c r="EG92" s="88" t="n">
        <f aca="false">EE92+EG91</f>
        <v>0</v>
      </c>
      <c r="EH92" s="88" t="n">
        <f aca="false">MAX(EH91,EF92-EG92)</f>
        <v>63.8634341528997</v>
      </c>
      <c r="EI92" s="88" t="n">
        <f aca="false">EH92-EH91</f>
        <v>1.4582517025842</v>
      </c>
      <c r="EJ92" s="88" t="n">
        <f aca="false">IF(B92=2026,INDEX($C$25:$Q$25,1,B92-2025)*$AO$4*C92/MAX(0.0001,12-$AO$3),INDEX($C$25:$Q$25,1,B92-2025)/12)</f>
        <v>1.85595671237989</v>
      </c>
      <c r="EK92" s="88" t="n">
        <f aca="false">$AO$6*INDEX($Y$25:$AB$25,1,B92-2026)/12</f>
        <v>0</v>
      </c>
      <c r="EL92" s="88" t="n">
        <f aca="false">EJ92+EL91</f>
        <v>81.2807343764178</v>
      </c>
      <c r="EM92" s="88" t="n">
        <f aca="false">EK92+EM91</f>
        <v>14</v>
      </c>
      <c r="EN92" s="88" t="n">
        <f aca="false">MAX(EN91,EL92-EM92)</f>
        <v>67.2807343764178</v>
      </c>
      <c r="EO92" s="88" t="n">
        <f aca="false">EN92-EN91</f>
        <v>1.85595671237991</v>
      </c>
      <c r="EP92" s="88" t="n">
        <f aca="false">IF(B92=2026,INDEX($C$26:$Q$26,1,B92-2025)*$AO$4*C92/MAX(0.0001,12-$AO$3),INDEX($C$26:$Q$26,1,B92-2025)/12)</f>
        <v>2.66793777404609</v>
      </c>
      <c r="EQ92" s="88" t="n">
        <f aca="false">$AO$6*INDEX($Y$26:$AB$26,1,B92-2026)/12</f>
        <v>0</v>
      </c>
      <c r="ER92" s="88" t="n">
        <f aca="false">EP92+ER91</f>
        <v>116.8410556661</v>
      </c>
      <c r="ES92" s="88" t="n">
        <f aca="false">EQ92+ES91</f>
        <v>4</v>
      </c>
      <c r="ET92" s="88" t="n">
        <f aca="false">MAX(ET91,ER92-ES92)</f>
        <v>112.8410556661</v>
      </c>
      <c r="EU92" s="88" t="n">
        <f aca="false">ET92-ET91</f>
        <v>2.66793777404608</v>
      </c>
      <c r="EV92" s="88" t="n">
        <f aca="false">IF(B92=2026,INDEX($C$27:$Q$27,1,B92-2025)*$AO$4*C92/MAX(0.0001,12-$AO$3),INDEX($C$27:$Q$27,1,B92-2025)/12)</f>
        <v>6.62841682992816</v>
      </c>
      <c r="EW92" s="88" t="n">
        <f aca="false">$AO$6*INDEX($Y$27:$AB$27,1,B92-2026)/12</f>
        <v>0.416666666666667</v>
      </c>
      <c r="EX92" s="88" t="n">
        <f aca="false">EV92+EX91</f>
        <v>290.288337058635</v>
      </c>
      <c r="EY92" s="88" t="n">
        <f aca="false">EW92+EY91</f>
        <v>388.083333333334</v>
      </c>
      <c r="EZ92" s="88" t="n">
        <f aca="false">MAX(EZ91,EX92-EY92)</f>
        <v>0</v>
      </c>
      <c r="FA92" s="88" t="n">
        <f aca="false">EZ92-EZ91</f>
        <v>0</v>
      </c>
      <c r="FB92" s="88" t="n">
        <f aca="false">IF(B92=2026,INDEX($C$28:$Q$28,1,B92-2025)*$AO$4*C92/MAX(0.0001,12-$AO$3),INDEX($C$28:$Q$28,1,B92-2025)/12)</f>
        <v>34.6997621046739</v>
      </c>
      <c r="FC92" s="88" t="n">
        <f aca="false">$AO$6*INDEX($Y$28:$AB$28,1,B92-2026)/12</f>
        <v>0</v>
      </c>
      <c r="FD92" s="88" t="n">
        <f aca="false">FB92+FD91</f>
        <v>1519.65944450195</v>
      </c>
      <c r="FE92" s="88" t="n">
        <f aca="false">FC92+FE91</f>
        <v>169</v>
      </c>
      <c r="FF92" s="88" t="n">
        <f aca="false">MAX(FF91,FD92-FE92)</f>
        <v>1350.65944450195</v>
      </c>
      <c r="FG92" s="88" t="n">
        <f aca="false">FF92-FF91</f>
        <v>34.6997621046739</v>
      </c>
    </row>
    <row r="93" customFormat="false" ht="15" hidden="false" customHeight="false" outlineLevel="0" collapsed="false">
      <c r="A93" s="0" t="n">
        <v>53</v>
      </c>
      <c r="B93" s="88" t="n">
        <f aca="false">2026+INT(A93/12)</f>
        <v>2030</v>
      </c>
      <c r="C93" s="88" t="n">
        <f aca="false">MAX(0,MIN(1,A93+1-$AO$3))</f>
        <v>1</v>
      </c>
      <c r="D93" s="88" t="n">
        <f aca="false">IF((A93+0.5-(0))&lt;$AO$3,0,2026+INT((A93+0.5-(0))/12))</f>
        <v>2030</v>
      </c>
      <c r="E93" s="88" t="n">
        <f aca="false">IF((A93+0.5-($AO$9))&lt;$AO$3,0,2026+INT((A93+0.5-($AO$9))/12))</f>
        <v>2029</v>
      </c>
      <c r="F93" s="88" t="n">
        <f aca="false">IF((A93+0.5-($AO$9+$AO$8))&lt;$AO$3,0,2026+INT((A93+0.5-($AO$9+$AO$8))/12))</f>
        <v>2027</v>
      </c>
      <c r="G93" s="88" t="n">
        <f aca="false">IF((A93+0.5-($AO$9+$AO$8+$AO$7))&lt;$AO$3,0,2026+INT((A93+0.5-($AO$9+$AO$8+$AO$7))/12))</f>
        <v>2027</v>
      </c>
      <c r="H93" s="88" t="n">
        <f aca="false">IF(B93=2026,INDEX($C$3:$Q$3,1,B93-2025)*$AO$4*C93/MAX(0.0001,12-$AO$3),INDEX($C$3:$Q$3,1,B93-2025)/12)</f>
        <v>355.25</v>
      </c>
      <c r="I93" s="88" t="n">
        <f aca="false">$AO$6*INDEX($Y$3:$AB$3,1,B93-2026)/12</f>
        <v>70.9166666666667</v>
      </c>
      <c r="J93" s="88" t="n">
        <f aca="false">H93+J92</f>
        <v>15913.2534246575</v>
      </c>
      <c r="K93" s="88" t="n">
        <f aca="false">I93+K92</f>
        <v>6696.3</v>
      </c>
      <c r="L93" s="88" t="n">
        <f aca="false">MAX(L92,J93-K93)</f>
        <v>9216.95342465754</v>
      </c>
      <c r="M93" s="88" t="n">
        <f aca="false">L93-L92</f>
        <v>284.333333333334</v>
      </c>
      <c r="N93" s="88" t="n">
        <f aca="false">IF(B93=2026,INDEX($C$4:$Q$4,1,B93-2025)*$AO$4*C93/MAX(0.0001,12-$AO$3),INDEX($C$4:$Q$4,1,B93-2025)/12)</f>
        <v>10.7700632578534</v>
      </c>
      <c r="O93" s="88" t="n">
        <f aca="false">$AO$6*INDEX($Y$4:$AB$4,1,B93-2026)/12</f>
        <v>7.075</v>
      </c>
      <c r="P93" s="88" t="n">
        <f aca="false">N93+P92</f>
        <v>482.439819906582</v>
      </c>
      <c r="Q93" s="88" t="n">
        <f aca="false">O93+Q92</f>
        <v>355.65</v>
      </c>
      <c r="R93" s="88" t="n">
        <f aca="false">MAX(R92,P93-Q93)</f>
        <v>126.789819906582</v>
      </c>
      <c r="S93" s="88" t="n">
        <f aca="false">R93-R92</f>
        <v>3.69506325785335</v>
      </c>
      <c r="T93" s="88" t="n">
        <f aca="false">IF(B93=2026,INDEX($C$5:$Q$5,1,B93-2025)*$AO$4*C93/MAX(0.0001,12-$AO$3),INDEX($C$5:$Q$5,1,B93-2025)/12)</f>
        <v>43.7734247619348</v>
      </c>
      <c r="U93" s="88" t="n">
        <f aca="false">$AO$6*INDEX($Y$5:$AB$5,1,B93-2026)/12</f>
        <v>8.56666666666667</v>
      </c>
      <c r="V93" s="88" t="n">
        <f aca="false">T93+V92</f>
        <v>1960.80957495242</v>
      </c>
      <c r="W93" s="88" t="n">
        <f aca="false">U93+W92</f>
        <v>1063.5</v>
      </c>
      <c r="X93" s="88" t="n">
        <f aca="false">MAX(X92,V93-W93)</f>
        <v>897.309574952423</v>
      </c>
      <c r="Y93" s="88" t="n">
        <f aca="false">X93-X92</f>
        <v>35.2067580952682</v>
      </c>
      <c r="Z93" s="88" t="n">
        <f aca="false">IF(B93=2026,INDEX($C$6:$Q$6,1,B93-2025)*$AO$4*C93/MAX(0.0001,12-$AO$3),INDEX($C$6:$Q$6,1,B93-2025)/12)</f>
        <v>51.933610116259</v>
      </c>
      <c r="AA93" s="88" t="n">
        <f aca="false">$AO$6*INDEX($Y$6:$AB$6,1,B93-2026)/12</f>
        <v>16.8833333333333</v>
      </c>
      <c r="AB93" s="88" t="n">
        <f aca="false">Z93+AB92</f>
        <v>2326.34116548174</v>
      </c>
      <c r="AC93" s="88" t="n">
        <f aca="false">AA93+AC92</f>
        <v>1201</v>
      </c>
      <c r="AD93" s="88" t="n">
        <f aca="false">MAX(AD92,AB93-AC93)</f>
        <v>1125.34116548173</v>
      </c>
      <c r="AE93" s="88" t="n">
        <f aca="false">AD93-AD92</f>
        <v>35.0502767829255</v>
      </c>
      <c r="AF93" s="88" t="n">
        <f aca="false">IF(B93=2026,INDEX($C$7:$Q$7,1,B93-2025)*$AO$4*C93/MAX(0.0001,12-$AO$3),INDEX($C$7:$Q$7,1,B93-2025)/12)</f>
        <v>45.11289896006</v>
      </c>
      <c r="AG93" s="88" t="n">
        <f aca="false">$AO$6*INDEX($Y$7:$AB$7,1,B93-2026)/12</f>
        <v>6.05833333333333</v>
      </c>
      <c r="AH93" s="88" t="n">
        <f aca="false">AF93+AH92</f>
        <v>2020.81067944378</v>
      </c>
      <c r="AI93" s="88" t="n">
        <f aca="false">AG93+AI92</f>
        <v>636.95</v>
      </c>
      <c r="AJ93" s="88" t="n">
        <f aca="false">MAX(AJ92,AH93-AI93)</f>
        <v>1383.86067944378</v>
      </c>
      <c r="AK93" s="88" t="n">
        <f aca="false">AJ93-AJ92</f>
        <v>39.0545656267266</v>
      </c>
      <c r="AL93" s="88" t="n">
        <f aca="false">IF(B93=2026,INDEX($C$8:$Q$8,1,B93-2025)*$AO$4*C93/MAX(0.0001,12-$AO$3),INDEX($C$8:$Q$8,1,B93-2025)/12)</f>
        <v>11.4114321188341</v>
      </c>
      <c r="AM93" s="88" t="n">
        <f aca="false">$AO$6*INDEX($Y$8:$AB$8,1,B93-2026)/12</f>
        <v>0</v>
      </c>
      <c r="AN93" s="88" t="n">
        <f aca="false">AL93+AN92</f>
        <v>511.169630528595</v>
      </c>
      <c r="AO93" s="88" t="n">
        <f aca="false">AM93+AO92</f>
        <v>66</v>
      </c>
      <c r="AP93" s="88" t="n">
        <f aca="false">MAX(AP92,AN93-AO93)</f>
        <v>445.169630528595</v>
      </c>
      <c r="AQ93" s="88" t="n">
        <f aca="false">AP93-AP92</f>
        <v>11.4114321188341</v>
      </c>
      <c r="AR93" s="88" t="n">
        <f aca="false">IF(B93=2026,INDEX($C$9:$Q$9,1,B93-2025)*$AO$4*C93/MAX(0.0001,12-$AO$3),INDEX($C$9:$Q$9,1,B93-2025)/12)</f>
        <v>48.6576953186344</v>
      </c>
      <c r="AS93" s="88" t="n">
        <f aca="false">$AO$6*INDEX($Y$9:$AB$9,1,B93-2026)/12</f>
        <v>25.2</v>
      </c>
      <c r="AT93" s="88" t="n">
        <f aca="false">AR93+AT92</f>
        <v>2179.59813276622</v>
      </c>
      <c r="AU93" s="88" t="n">
        <f aca="false">AS93+AU92</f>
        <v>1434</v>
      </c>
      <c r="AV93" s="88" t="n">
        <f aca="false">MAX(AV92,AT93-AU93)</f>
        <v>745.598132766222</v>
      </c>
      <c r="AW93" s="88" t="n">
        <f aca="false">AV93-AV92</f>
        <v>23.4576953186345</v>
      </c>
      <c r="AX93" s="88" t="n">
        <f aca="false">IF(B93=2026,INDEX($C$10:$Q$10,1,B93-2025)*$AO$4*C93/MAX(0.0001,12-$AO$3),INDEX($C$10:$Q$10,1,B93-2025)/12)</f>
        <v>5.64404597663043</v>
      </c>
      <c r="AY93" s="88" t="n">
        <f aca="false">$AO$6*INDEX($Y$10:$AB$10,1,B93-2026)/12</f>
        <v>0.025</v>
      </c>
      <c r="AZ93" s="88" t="n">
        <f aca="false">AX93+AZ92</f>
        <v>252.822333473719</v>
      </c>
      <c r="BA93" s="88" t="n">
        <f aca="false">AY93+BA92</f>
        <v>49.85</v>
      </c>
      <c r="BB93" s="88" t="n">
        <f aca="false">MAX(BB92,AZ93-BA93)</f>
        <v>202.972333473719</v>
      </c>
      <c r="BC93" s="88" t="n">
        <f aca="false">BB93-BB92</f>
        <v>5.61904597663042</v>
      </c>
      <c r="BD93" s="88" t="n">
        <f aca="false">IF(B93=2026,INDEX($C$11:$Q$11,1,B93-2025)*$AO$4*C93/MAX(0.0001,12-$AO$3),INDEX($C$11:$Q$11,1,B93-2025)/12)</f>
        <v>28.0475536513497</v>
      </c>
      <c r="BE93" s="88" t="n">
        <f aca="false">$AO$6*INDEX($Y$11:$AB$11,1,B93-2026)/12</f>
        <v>0</v>
      </c>
      <c r="BF93" s="88" t="n">
        <f aca="false">BD93+BF92</f>
        <v>1256.37671835498</v>
      </c>
      <c r="BG93" s="88" t="n">
        <f aca="false">BE93+BG92</f>
        <v>240</v>
      </c>
      <c r="BH93" s="88" t="n">
        <f aca="false">MAX(BH92,BF93-BG93)</f>
        <v>1016.37671835498</v>
      </c>
      <c r="BI93" s="88" t="n">
        <f aca="false">BH93-BH92</f>
        <v>28.0475536513497</v>
      </c>
      <c r="BJ93" s="88" t="n">
        <f aca="false">IF(B93=2026,INDEX($C$12:$Q$12,1,B93-2025)*$AO$4*C93/MAX(0.0001,12-$AO$3),INDEX($C$12:$Q$12,1,B93-2025)/12)</f>
        <v>15.3780518436687</v>
      </c>
      <c r="BK93" s="88" t="n">
        <f aca="false">$AO$6*INDEX($Y$12:$AB$12,1,B93-2026)/12</f>
        <v>4.78333333333333</v>
      </c>
      <c r="BL93" s="88" t="n">
        <f aca="false">BJ93+BL92</f>
        <v>688.852459298587</v>
      </c>
      <c r="BM93" s="88" t="n">
        <f aca="false">BK93+BM92</f>
        <v>132.3</v>
      </c>
      <c r="BN93" s="88" t="n">
        <f aca="false">MAX(BN92,BL93-BM93)</f>
        <v>556.552459298587</v>
      </c>
      <c r="BO93" s="88" t="n">
        <f aca="false">BN93-BN92</f>
        <v>10.5947185103354</v>
      </c>
      <c r="BP93" s="88" t="n">
        <f aca="false">IF(B93=2026,INDEX($C$13:$Q$13,1,B93-2025)*$AO$4*C93/MAX(0.0001,12-$AO$3),INDEX($C$13:$Q$13,1,B93-2025)/12)</f>
        <v>4.80560220169792</v>
      </c>
      <c r="BQ93" s="88" t="n">
        <f aca="false">$AO$6*INDEX($Y$13:$AB$13,1,B93-2026)/12</f>
        <v>0.0583333333333333</v>
      </c>
      <c r="BR93" s="88" t="n">
        <f aca="false">BP93+BR92</f>
        <v>215.264646569208</v>
      </c>
      <c r="BS93" s="88" t="n">
        <f aca="false">BQ93+BS92</f>
        <v>86.65</v>
      </c>
      <c r="BT93" s="88" t="n">
        <f aca="false">MAX(BT92,BR93-BS93)</f>
        <v>128.614646569208</v>
      </c>
      <c r="BU93" s="88" t="n">
        <f aca="false">BT93-BT92</f>
        <v>4.74726886836457</v>
      </c>
      <c r="BV93" s="88" t="n">
        <f aca="false">IF(B93=2026,INDEX($C$14:$Q$14,1,B93-2025)*$AO$4*C93/MAX(0.0001,12-$AO$3),INDEX($C$14:$Q$14,1,B93-2025)/12)</f>
        <v>2.85021923686911</v>
      </c>
      <c r="BW93" s="88" t="n">
        <f aca="false">$AO$6*INDEX($Y$14:$AB$14,1,B93-2026)/12</f>
        <v>0</v>
      </c>
      <c r="BX93" s="88" t="n">
        <f aca="false">BV93+BX92</f>
        <v>127.674204172082</v>
      </c>
      <c r="BY93" s="88" t="n">
        <f aca="false">BW93+BY92</f>
        <v>0</v>
      </c>
      <c r="BZ93" s="88" t="n">
        <f aca="false">MAX(BZ92,BX93-BY93)</f>
        <v>127.674204172082</v>
      </c>
      <c r="CA93" s="88" t="n">
        <f aca="false">BZ93-BZ92</f>
        <v>2.85021923686911</v>
      </c>
      <c r="CB93" s="88" t="n">
        <f aca="false">IF(B93=2026,INDEX($C$15:$Q$15,1,B93-2025)*$AO$4*C93/MAX(0.0001,12-$AO$3),INDEX($C$15:$Q$15,1,B93-2025)/12)</f>
        <v>4.67303386509936</v>
      </c>
      <c r="CC93" s="88" t="n">
        <f aca="false">$AO$6*INDEX($Y$15:$AB$15,1,B93-2026)/12</f>
        <v>0</v>
      </c>
      <c r="CD93" s="88" t="n">
        <f aca="false">CB93+CD92</f>
        <v>209.326311491437</v>
      </c>
      <c r="CE93" s="88" t="n">
        <f aca="false">CC93+CE92</f>
        <v>88.0000000000001</v>
      </c>
      <c r="CF93" s="88" t="n">
        <f aca="false">MAX(CF92,CD93-CE93)</f>
        <v>121.326311491437</v>
      </c>
      <c r="CG93" s="88" t="n">
        <f aca="false">CF93-CF92</f>
        <v>4.67303386509934</v>
      </c>
      <c r="CH93" s="88" t="n">
        <f aca="false">IF(B93=2026,INDEX($C$16:$Q$16,1,B93-2025)*$AO$4*C93/MAX(0.0001,12-$AO$3),INDEX($C$16:$Q$16,1,B93-2025)/12)</f>
        <v>3.69534238268495</v>
      </c>
      <c r="CI93" s="88" t="n">
        <f aca="false">$AO$6*INDEX($Y$16:$AB$16,1,B93-2026)/12</f>
        <v>0</v>
      </c>
      <c r="CJ93" s="88" t="n">
        <f aca="false">CH93+CJ92</f>
        <v>165.531090292874</v>
      </c>
      <c r="CK93" s="88" t="n">
        <f aca="false">CI93+CK92</f>
        <v>70</v>
      </c>
      <c r="CL93" s="88" t="n">
        <f aca="false">MAX(CL92,CJ93-CK93)</f>
        <v>95.5310902928739</v>
      </c>
      <c r="CM93" s="88" t="n">
        <f aca="false">CL93-CL92</f>
        <v>3.69534238268494</v>
      </c>
      <c r="CN93" s="88" t="n">
        <f aca="false">IF(B93=2026,INDEX($C$17:$Q$17,1,B93-2025)*$AO$4*C93/MAX(0.0001,12-$AO$3),INDEX($C$17:$Q$17,1,B93-2025)/12)</f>
        <v>16.0904818546506</v>
      </c>
      <c r="CO93" s="88" t="n">
        <f aca="false">$AO$6*INDEX($Y$17:$AB$17,1,B93-2026)/12</f>
        <v>0</v>
      </c>
      <c r="CP93" s="88" t="n">
        <f aca="false">CN93+CP92</f>
        <v>720.765420064487</v>
      </c>
      <c r="CQ93" s="88" t="n">
        <f aca="false">CO93+CQ92</f>
        <v>221</v>
      </c>
      <c r="CR93" s="88" t="n">
        <f aca="false">MAX(CR92,CP93-CQ93)</f>
        <v>499.765420064488</v>
      </c>
      <c r="CS93" s="88" t="n">
        <f aca="false">CR93-CR92</f>
        <v>16.0904818546506</v>
      </c>
      <c r="CT93" s="88" t="n">
        <f aca="false">IF(B93=2026,INDEX($C$18:$Q$18,1,B93-2025)*$AO$4*C93/MAX(0.0001,12-$AO$3),INDEX($C$18:$Q$18,1,B93-2025)/12)</f>
        <v>3.34735049911372</v>
      </c>
      <c r="CU93" s="88" t="n">
        <f aca="false">$AO$6*INDEX($Y$18:$AB$18,1,B93-2026)/12</f>
        <v>0</v>
      </c>
      <c r="CV93" s="88" t="n">
        <f aca="false">CT93+CV92</f>
        <v>149.942960713725</v>
      </c>
      <c r="CW93" s="88" t="n">
        <f aca="false">CU93+CW92</f>
        <v>11</v>
      </c>
      <c r="CX93" s="88" t="n">
        <f aca="false">MAX(CX92,CV93-CW93)</f>
        <v>138.942960713725</v>
      </c>
      <c r="CY93" s="88" t="n">
        <f aca="false">CX93-CX92</f>
        <v>3.34735049911373</v>
      </c>
      <c r="CZ93" s="88" t="n">
        <f aca="false">IF(B93=2026,INDEX($C$19:$Q$19,1,B93-2025)*$AO$4*C93/MAX(0.0001,12-$AO$3),INDEX($C$19:$Q$19,1,B93-2025)/12)</f>
        <v>3.31420841496408</v>
      </c>
      <c r="DA93" s="88" t="n">
        <f aca="false">$AO$6*INDEX($Y$19:$AB$19,1,B93-2026)/12</f>
        <v>1.85</v>
      </c>
      <c r="DB93" s="88" t="n">
        <f aca="false">CZ93+DB92</f>
        <v>148.458376944282</v>
      </c>
      <c r="DC93" s="88" t="n">
        <f aca="false">DA93+DC92</f>
        <v>214.9</v>
      </c>
      <c r="DD93" s="88" t="n">
        <f aca="false">MAX(DD92,DB93-DC93)</f>
        <v>37.132124495359</v>
      </c>
      <c r="DE93" s="88" t="n">
        <f aca="false">DD93-DD92</f>
        <v>0</v>
      </c>
      <c r="DF93" s="88" t="n">
        <f aca="false">IF(B93=2026,INDEX($C$20:$Q$20,1,B93-2025)*$AO$4*C93/MAX(0.0001,12-$AO$3),INDEX($C$20:$Q$20,1,B93-2025)/12)</f>
        <v>2.70107985819573</v>
      </c>
      <c r="DG93" s="88" t="n">
        <f aca="false">$AO$6*INDEX($Y$20:$AB$20,1,B93-2026)/12</f>
        <v>0</v>
      </c>
      <c r="DH93" s="88" t="n">
        <f aca="false">DF93+DH92</f>
        <v>120.993577209589</v>
      </c>
      <c r="DI93" s="88" t="n">
        <f aca="false">DG93+DI92</f>
        <v>0</v>
      </c>
      <c r="DJ93" s="88" t="n">
        <f aca="false">MAX(DJ92,DH93-DI93)</f>
        <v>120.993577209589</v>
      </c>
      <c r="DK93" s="88" t="n">
        <f aca="false">DJ93-DJ92</f>
        <v>2.70107985819573</v>
      </c>
      <c r="DL93" s="88" t="n">
        <f aca="false">IF(B93=2026,INDEX($C$21:$Q$21,1,B93-2025)*$AO$4*C93/MAX(0.0001,12-$AO$3),INDEX($C$21:$Q$21,1,B93-2025)/12)</f>
        <v>1.88909879652953</v>
      </c>
      <c r="DM93" s="88" t="n">
        <f aca="false">$AO$6*INDEX($Y$21:$AB$21,1,B93-2026)/12</f>
        <v>0</v>
      </c>
      <c r="DN93" s="88" t="n">
        <f aca="false">DL93+DN92</f>
        <v>84.6212748582404</v>
      </c>
      <c r="DO93" s="88" t="n">
        <f aca="false">DM93+DO92</f>
        <v>100</v>
      </c>
      <c r="DP93" s="88" t="n">
        <f aca="false">MAX(DP92,DN93-DO93)</f>
        <v>17.7483109623547</v>
      </c>
      <c r="DQ93" s="88" t="n">
        <f aca="false">DP93-DP92</f>
        <v>0</v>
      </c>
      <c r="DR93" s="88" t="n">
        <f aca="false">IF(B93=2026,INDEX($C$22:$Q$22,1,B93-2025)*$AO$4*C93/MAX(0.0001,12-$AO$3),INDEX($C$22:$Q$22,1,B93-2025)/12)</f>
        <v>1.47482274465902</v>
      </c>
      <c r="DS93" s="88" t="n">
        <f aca="false">$AO$6*INDEX($Y$22:$AB$22,1,B93-2026)/12</f>
        <v>0</v>
      </c>
      <c r="DT93" s="88" t="n">
        <f aca="false">DR93+DT92</f>
        <v>66.0639777402052</v>
      </c>
      <c r="DU93" s="88" t="n">
        <f aca="false">DS93+DU92</f>
        <v>29</v>
      </c>
      <c r="DV93" s="88" t="n">
        <f aca="false">MAX(DV92,DT93-DU93)</f>
        <v>37.0639777402052</v>
      </c>
      <c r="DW93" s="88" t="n">
        <f aca="false">DV93-DV92</f>
        <v>1.47482274465902</v>
      </c>
      <c r="DX93" s="88" t="n">
        <f aca="false">IF(B93=2026,INDEX($C$23:$Q$23,1,B93-2025)*$AO$4*C93/MAX(0.0001,12-$AO$3),INDEX($C$23:$Q$23,1,B93-2025)/12)</f>
        <v>2.36965901669932</v>
      </c>
      <c r="DY93" s="88" t="n">
        <f aca="false">$AO$6*INDEX($Y$23:$AB$23,1,B93-2026)/12</f>
        <v>0</v>
      </c>
      <c r="DZ93" s="88" t="n">
        <f aca="false">DX93+DZ92</f>
        <v>106.147739515161</v>
      </c>
      <c r="EA93" s="88" t="n">
        <f aca="false">DY93+EA92</f>
        <v>121</v>
      </c>
      <c r="EB93" s="88" t="n">
        <f aca="false">MAX(EB92,DZ93-EA93)</f>
        <v>35.0579690141817</v>
      </c>
      <c r="EC93" s="88" t="n">
        <f aca="false">EB93-EB92</f>
        <v>0</v>
      </c>
      <c r="ED93" s="88" t="n">
        <f aca="false">IF(B93=2026,INDEX($C$24:$Q$24,1,B93-2025)*$AO$4*C93/MAX(0.0001,12-$AO$3),INDEX($C$24:$Q$24,1,B93-2025)/12)</f>
        <v>1.4582517025842</v>
      </c>
      <c r="EE93" s="88" t="n">
        <f aca="false">$AO$6*INDEX($Y$24:$AB$24,1,B93-2026)/12</f>
        <v>0</v>
      </c>
      <c r="EF93" s="88" t="n">
        <f aca="false">ED93+EF92</f>
        <v>65.3216858554839</v>
      </c>
      <c r="EG93" s="88" t="n">
        <f aca="false">EE93+EG92</f>
        <v>0</v>
      </c>
      <c r="EH93" s="88" t="n">
        <f aca="false">MAX(EH92,EF93-EG93)</f>
        <v>65.3216858554839</v>
      </c>
      <c r="EI93" s="88" t="n">
        <f aca="false">EH93-EH92</f>
        <v>1.45825170258419</v>
      </c>
      <c r="EJ93" s="88" t="n">
        <f aca="false">IF(B93=2026,INDEX($C$25:$Q$25,1,B93-2025)*$AO$4*C93/MAX(0.0001,12-$AO$3),INDEX($C$25:$Q$25,1,B93-2025)/12)</f>
        <v>1.85595671237989</v>
      </c>
      <c r="EK93" s="88" t="n">
        <f aca="false">$AO$6*INDEX($Y$25:$AB$25,1,B93-2026)/12</f>
        <v>0</v>
      </c>
      <c r="EL93" s="88" t="n">
        <f aca="false">EJ93+EL92</f>
        <v>83.1366910887977</v>
      </c>
      <c r="EM93" s="88" t="n">
        <f aca="false">EK93+EM92</f>
        <v>14</v>
      </c>
      <c r="EN93" s="88" t="n">
        <f aca="false">MAX(EN92,EL93-EM93)</f>
        <v>69.1366910887977</v>
      </c>
      <c r="EO93" s="88" t="n">
        <f aca="false">EN93-EN92</f>
        <v>1.85595671237988</v>
      </c>
      <c r="EP93" s="88" t="n">
        <f aca="false">IF(B93=2026,INDEX($C$26:$Q$26,1,B93-2025)*$AO$4*C93/MAX(0.0001,12-$AO$3),INDEX($C$26:$Q$26,1,B93-2025)/12)</f>
        <v>2.66793777404609</v>
      </c>
      <c r="EQ93" s="88" t="n">
        <f aca="false">$AO$6*INDEX($Y$26:$AB$26,1,B93-2026)/12</f>
        <v>0</v>
      </c>
      <c r="ER93" s="88" t="n">
        <f aca="false">EP93+ER92</f>
        <v>119.508993440147</v>
      </c>
      <c r="ES93" s="88" t="n">
        <f aca="false">EQ93+ES92</f>
        <v>4</v>
      </c>
      <c r="ET93" s="88" t="n">
        <f aca="false">MAX(ET92,ER93-ES93)</f>
        <v>115.508993440147</v>
      </c>
      <c r="EU93" s="88" t="n">
        <f aca="false">ET93-ET92</f>
        <v>2.66793777404608</v>
      </c>
      <c r="EV93" s="88" t="n">
        <f aca="false">IF(B93=2026,INDEX($C$27:$Q$27,1,B93-2025)*$AO$4*C93/MAX(0.0001,12-$AO$3),INDEX($C$27:$Q$27,1,B93-2025)/12)</f>
        <v>6.62841682992816</v>
      </c>
      <c r="EW93" s="88" t="n">
        <f aca="false">$AO$6*INDEX($Y$27:$AB$27,1,B93-2026)/12</f>
        <v>0.416666666666667</v>
      </c>
      <c r="EX93" s="88" t="n">
        <f aca="false">EV93+EX92</f>
        <v>296.916753888563</v>
      </c>
      <c r="EY93" s="88" t="n">
        <f aca="false">EW93+EY92</f>
        <v>388.5</v>
      </c>
      <c r="EZ93" s="88" t="n">
        <f aca="false">MAX(EZ92,EX93-EY93)</f>
        <v>0</v>
      </c>
      <c r="FA93" s="88" t="n">
        <f aca="false">EZ93-EZ92</f>
        <v>0</v>
      </c>
      <c r="FB93" s="88" t="n">
        <f aca="false">IF(B93=2026,INDEX($C$28:$Q$28,1,B93-2025)*$AO$4*C93/MAX(0.0001,12-$AO$3),INDEX($C$28:$Q$28,1,B93-2025)/12)</f>
        <v>34.6997621046739</v>
      </c>
      <c r="FC93" s="88" t="n">
        <f aca="false">$AO$6*INDEX($Y$28:$AB$28,1,B93-2026)/12</f>
        <v>0</v>
      </c>
      <c r="FD93" s="88" t="n">
        <f aca="false">FB93+FD92</f>
        <v>1554.35920660663</v>
      </c>
      <c r="FE93" s="88" t="n">
        <f aca="false">FC93+FE92</f>
        <v>169</v>
      </c>
      <c r="FF93" s="88" t="n">
        <f aca="false">MAX(FF92,FD93-FE93)</f>
        <v>1385.35920660663</v>
      </c>
      <c r="FG93" s="88" t="n">
        <f aca="false">FF93-FF92</f>
        <v>34.6997621046739</v>
      </c>
    </row>
    <row r="94" customFormat="false" ht="15" hidden="false" customHeight="false" outlineLevel="0" collapsed="false">
      <c r="A94" s="0" t="n">
        <v>54</v>
      </c>
      <c r="B94" s="88" t="n">
        <f aca="false">2026+INT(A94/12)</f>
        <v>2030</v>
      </c>
      <c r="C94" s="88" t="n">
        <f aca="false">MAX(0,MIN(1,A94+1-$AO$3))</f>
        <v>1</v>
      </c>
      <c r="D94" s="88" t="n">
        <f aca="false">IF((A94+0.5-(0))&lt;$AO$3,0,2026+INT((A94+0.5-(0))/12))</f>
        <v>2030</v>
      </c>
      <c r="E94" s="88" t="n">
        <f aca="false">IF((A94+0.5-($AO$9))&lt;$AO$3,0,2026+INT((A94+0.5-($AO$9))/12))</f>
        <v>2029</v>
      </c>
      <c r="F94" s="88" t="n">
        <f aca="false">IF((A94+0.5-($AO$9+$AO$8))&lt;$AO$3,0,2026+INT((A94+0.5-($AO$9+$AO$8))/12))</f>
        <v>2027</v>
      </c>
      <c r="G94" s="88" t="n">
        <f aca="false">IF((A94+0.5-($AO$9+$AO$8+$AO$7))&lt;$AO$3,0,2026+INT((A94+0.5-($AO$9+$AO$8+$AO$7))/12))</f>
        <v>2027</v>
      </c>
      <c r="H94" s="88" t="n">
        <f aca="false">IF(B94=2026,INDEX($C$3:$Q$3,1,B94-2025)*$AO$4*C94/MAX(0.0001,12-$AO$3),INDEX($C$3:$Q$3,1,B94-2025)/12)</f>
        <v>355.25</v>
      </c>
      <c r="I94" s="88" t="n">
        <f aca="false">$AO$6*INDEX($Y$3:$AB$3,1,B94-2026)/12</f>
        <v>70.9166666666667</v>
      </c>
      <c r="J94" s="88" t="n">
        <f aca="false">H94+J93</f>
        <v>16268.5034246575</v>
      </c>
      <c r="K94" s="88" t="n">
        <f aca="false">I94+K93</f>
        <v>6767.21666666667</v>
      </c>
      <c r="L94" s="88" t="n">
        <f aca="false">MAX(L93,J94-K94)</f>
        <v>9501.28675799087</v>
      </c>
      <c r="M94" s="88" t="n">
        <f aca="false">L94-L93</f>
        <v>284.333333333332</v>
      </c>
      <c r="N94" s="88" t="n">
        <f aca="false">IF(B94=2026,INDEX($C$4:$Q$4,1,B94-2025)*$AO$4*C94/MAX(0.0001,12-$AO$3),INDEX($C$4:$Q$4,1,B94-2025)/12)</f>
        <v>10.7700632578534</v>
      </c>
      <c r="O94" s="88" t="n">
        <f aca="false">$AO$6*INDEX($Y$4:$AB$4,1,B94-2026)/12</f>
        <v>7.075</v>
      </c>
      <c r="P94" s="88" t="n">
        <f aca="false">N94+P93</f>
        <v>493.209883164435</v>
      </c>
      <c r="Q94" s="88" t="n">
        <f aca="false">O94+Q93</f>
        <v>362.725</v>
      </c>
      <c r="R94" s="88" t="n">
        <f aca="false">MAX(R93,P94-Q94)</f>
        <v>130.484883164435</v>
      </c>
      <c r="S94" s="88" t="n">
        <f aca="false">R94-R93</f>
        <v>3.69506325785335</v>
      </c>
      <c r="T94" s="88" t="n">
        <f aca="false">IF(B94=2026,INDEX($C$5:$Q$5,1,B94-2025)*$AO$4*C94/MAX(0.0001,12-$AO$3),INDEX($C$5:$Q$5,1,B94-2025)/12)</f>
        <v>43.7734247619348</v>
      </c>
      <c r="U94" s="88" t="n">
        <f aca="false">$AO$6*INDEX($Y$5:$AB$5,1,B94-2026)/12</f>
        <v>8.56666666666667</v>
      </c>
      <c r="V94" s="88" t="n">
        <f aca="false">T94+V93</f>
        <v>2004.58299971436</v>
      </c>
      <c r="W94" s="88" t="n">
        <f aca="false">U94+W93</f>
        <v>1072.06666666667</v>
      </c>
      <c r="X94" s="88" t="n">
        <f aca="false">MAX(X93,V94-W94)</f>
        <v>932.516333047691</v>
      </c>
      <c r="Y94" s="88" t="n">
        <f aca="false">X94-X93</f>
        <v>35.2067580952682</v>
      </c>
      <c r="Z94" s="88" t="n">
        <f aca="false">IF(B94=2026,INDEX($C$6:$Q$6,1,B94-2025)*$AO$4*C94/MAX(0.0001,12-$AO$3),INDEX($C$6:$Q$6,1,B94-2025)/12)</f>
        <v>51.933610116259</v>
      </c>
      <c r="AA94" s="88" t="n">
        <f aca="false">$AO$6*INDEX($Y$6:$AB$6,1,B94-2026)/12</f>
        <v>16.8833333333333</v>
      </c>
      <c r="AB94" s="88" t="n">
        <f aca="false">Z94+AB93</f>
        <v>2378.274775598</v>
      </c>
      <c r="AC94" s="88" t="n">
        <f aca="false">AA94+AC93</f>
        <v>1217.88333333334</v>
      </c>
      <c r="AD94" s="88" t="n">
        <f aca="false">MAX(AD93,AB94-AC94)</f>
        <v>1160.39144226466</v>
      </c>
      <c r="AE94" s="88" t="n">
        <f aca="false">AD94-AD93</f>
        <v>35.0502767829255</v>
      </c>
      <c r="AF94" s="88" t="n">
        <f aca="false">IF(B94=2026,INDEX($C$7:$Q$7,1,B94-2025)*$AO$4*C94/MAX(0.0001,12-$AO$3),INDEX($C$7:$Q$7,1,B94-2025)/12)</f>
        <v>45.11289896006</v>
      </c>
      <c r="AG94" s="88" t="n">
        <f aca="false">$AO$6*INDEX($Y$7:$AB$7,1,B94-2026)/12</f>
        <v>6.05833333333333</v>
      </c>
      <c r="AH94" s="88" t="n">
        <f aca="false">AF94+AH93</f>
        <v>2065.92357840384</v>
      </c>
      <c r="AI94" s="88" t="n">
        <f aca="false">AG94+AI93</f>
        <v>643.008333333333</v>
      </c>
      <c r="AJ94" s="88" t="n">
        <f aca="false">MAX(AJ93,AH94-AI94)</f>
        <v>1422.91524507051</v>
      </c>
      <c r="AK94" s="88" t="n">
        <f aca="false">AJ94-AJ93</f>
        <v>39.054565626727</v>
      </c>
      <c r="AL94" s="88" t="n">
        <f aca="false">IF(B94=2026,INDEX($C$8:$Q$8,1,B94-2025)*$AO$4*C94/MAX(0.0001,12-$AO$3),INDEX($C$8:$Q$8,1,B94-2025)/12)</f>
        <v>11.4114321188341</v>
      </c>
      <c r="AM94" s="88" t="n">
        <f aca="false">$AO$6*INDEX($Y$8:$AB$8,1,B94-2026)/12</f>
        <v>0</v>
      </c>
      <c r="AN94" s="88" t="n">
        <f aca="false">AL94+AN93</f>
        <v>522.581062647429</v>
      </c>
      <c r="AO94" s="88" t="n">
        <f aca="false">AM94+AO93</f>
        <v>66</v>
      </c>
      <c r="AP94" s="88" t="n">
        <f aca="false">MAX(AP93,AN94-AO94)</f>
        <v>456.581062647429</v>
      </c>
      <c r="AQ94" s="88" t="n">
        <f aca="false">AP94-AP93</f>
        <v>11.4114321188341</v>
      </c>
      <c r="AR94" s="88" t="n">
        <f aca="false">IF(B94=2026,INDEX($C$9:$Q$9,1,B94-2025)*$AO$4*C94/MAX(0.0001,12-$AO$3),INDEX($C$9:$Q$9,1,B94-2025)/12)</f>
        <v>48.6576953186344</v>
      </c>
      <c r="AS94" s="88" t="n">
        <f aca="false">$AO$6*INDEX($Y$9:$AB$9,1,B94-2026)/12</f>
        <v>25.2</v>
      </c>
      <c r="AT94" s="88" t="n">
        <f aca="false">AR94+AT93</f>
        <v>2228.25582808486</v>
      </c>
      <c r="AU94" s="88" t="n">
        <f aca="false">AS94+AU93</f>
        <v>1459.2</v>
      </c>
      <c r="AV94" s="88" t="n">
        <f aca="false">MAX(AV93,AT94-AU94)</f>
        <v>769.055828084857</v>
      </c>
      <c r="AW94" s="88" t="n">
        <f aca="false">AV94-AV93</f>
        <v>23.4576953186345</v>
      </c>
      <c r="AX94" s="88" t="n">
        <f aca="false">IF(B94=2026,INDEX($C$10:$Q$10,1,B94-2025)*$AO$4*C94/MAX(0.0001,12-$AO$3),INDEX($C$10:$Q$10,1,B94-2025)/12)</f>
        <v>5.64404597663043</v>
      </c>
      <c r="AY94" s="88" t="n">
        <f aca="false">$AO$6*INDEX($Y$10:$AB$10,1,B94-2026)/12</f>
        <v>0.025</v>
      </c>
      <c r="AZ94" s="88" t="n">
        <f aca="false">AX94+AZ93</f>
        <v>258.46637945035</v>
      </c>
      <c r="BA94" s="88" t="n">
        <f aca="false">AY94+BA93</f>
        <v>49.875</v>
      </c>
      <c r="BB94" s="88" t="n">
        <f aca="false">MAX(BB93,AZ94-BA94)</f>
        <v>208.59137945035</v>
      </c>
      <c r="BC94" s="88" t="n">
        <f aca="false">BB94-BB93</f>
        <v>5.61904597663042</v>
      </c>
      <c r="BD94" s="88" t="n">
        <f aca="false">IF(B94=2026,INDEX($C$11:$Q$11,1,B94-2025)*$AO$4*C94/MAX(0.0001,12-$AO$3),INDEX($C$11:$Q$11,1,B94-2025)/12)</f>
        <v>28.0475536513497</v>
      </c>
      <c r="BE94" s="88" t="n">
        <f aca="false">$AO$6*INDEX($Y$11:$AB$11,1,B94-2026)/12</f>
        <v>0</v>
      </c>
      <c r="BF94" s="88" t="n">
        <f aca="false">BD94+BF93</f>
        <v>1284.42427200633</v>
      </c>
      <c r="BG94" s="88" t="n">
        <f aca="false">BE94+BG93</f>
        <v>240</v>
      </c>
      <c r="BH94" s="88" t="n">
        <f aca="false">MAX(BH93,BF94-BG94)</f>
        <v>1044.42427200633</v>
      </c>
      <c r="BI94" s="88" t="n">
        <f aca="false">BH94-BH93</f>
        <v>28.0475536513497</v>
      </c>
      <c r="BJ94" s="88" t="n">
        <f aca="false">IF(B94=2026,INDEX($C$12:$Q$12,1,B94-2025)*$AO$4*C94/MAX(0.0001,12-$AO$3),INDEX($C$12:$Q$12,1,B94-2025)/12)</f>
        <v>15.3780518436687</v>
      </c>
      <c r="BK94" s="88" t="n">
        <f aca="false">$AO$6*INDEX($Y$12:$AB$12,1,B94-2026)/12</f>
        <v>4.78333333333333</v>
      </c>
      <c r="BL94" s="88" t="n">
        <f aca="false">BJ94+BL93</f>
        <v>704.230511142256</v>
      </c>
      <c r="BM94" s="88" t="n">
        <f aca="false">BK94+BM93</f>
        <v>137.083333333333</v>
      </c>
      <c r="BN94" s="88" t="n">
        <f aca="false">MAX(BN93,BL94-BM94)</f>
        <v>567.147177808922</v>
      </c>
      <c r="BO94" s="88" t="n">
        <f aca="false">BN94-BN93</f>
        <v>10.5947185103355</v>
      </c>
      <c r="BP94" s="88" t="n">
        <f aca="false">IF(B94=2026,INDEX($C$13:$Q$13,1,B94-2025)*$AO$4*C94/MAX(0.0001,12-$AO$3),INDEX($C$13:$Q$13,1,B94-2025)/12)</f>
        <v>4.80560220169792</v>
      </c>
      <c r="BQ94" s="88" t="n">
        <f aca="false">$AO$6*INDEX($Y$13:$AB$13,1,B94-2026)/12</f>
        <v>0.0583333333333333</v>
      </c>
      <c r="BR94" s="88" t="n">
        <f aca="false">BP94+BR93</f>
        <v>220.070248770906</v>
      </c>
      <c r="BS94" s="88" t="n">
        <f aca="false">BQ94+BS93</f>
        <v>86.7083333333333</v>
      </c>
      <c r="BT94" s="88" t="n">
        <f aca="false">MAX(BT93,BR94-BS94)</f>
        <v>133.361915437573</v>
      </c>
      <c r="BU94" s="88" t="n">
        <f aca="false">BT94-BT93</f>
        <v>4.74726886836459</v>
      </c>
      <c r="BV94" s="88" t="n">
        <f aca="false">IF(B94=2026,INDEX($C$14:$Q$14,1,B94-2025)*$AO$4*C94/MAX(0.0001,12-$AO$3),INDEX($C$14:$Q$14,1,B94-2025)/12)</f>
        <v>2.85021923686911</v>
      </c>
      <c r="BW94" s="88" t="n">
        <f aca="false">$AO$6*INDEX($Y$14:$AB$14,1,B94-2026)/12</f>
        <v>0</v>
      </c>
      <c r="BX94" s="88" t="n">
        <f aca="false">BV94+BX93</f>
        <v>130.524423408951</v>
      </c>
      <c r="BY94" s="88" t="n">
        <f aca="false">BW94+BY93</f>
        <v>0</v>
      </c>
      <c r="BZ94" s="88" t="n">
        <f aca="false">MAX(BZ93,BX94-BY94)</f>
        <v>130.524423408951</v>
      </c>
      <c r="CA94" s="88" t="n">
        <f aca="false">BZ94-BZ93</f>
        <v>2.85021923686911</v>
      </c>
      <c r="CB94" s="88" t="n">
        <f aca="false">IF(B94=2026,INDEX($C$15:$Q$15,1,B94-2025)*$AO$4*C94/MAX(0.0001,12-$AO$3),INDEX($C$15:$Q$15,1,B94-2025)/12)</f>
        <v>4.67303386509936</v>
      </c>
      <c r="CC94" s="88" t="n">
        <f aca="false">$AO$6*INDEX($Y$15:$AB$15,1,B94-2026)/12</f>
        <v>0</v>
      </c>
      <c r="CD94" s="88" t="n">
        <f aca="false">CB94+CD93</f>
        <v>213.999345356536</v>
      </c>
      <c r="CE94" s="88" t="n">
        <f aca="false">CC94+CE93</f>
        <v>88.0000000000001</v>
      </c>
      <c r="CF94" s="88" t="n">
        <f aca="false">MAX(CF93,CD94-CE94)</f>
        <v>125.999345356536</v>
      </c>
      <c r="CG94" s="88" t="n">
        <f aca="false">CF94-CF93</f>
        <v>4.67303386509934</v>
      </c>
      <c r="CH94" s="88" t="n">
        <f aca="false">IF(B94=2026,INDEX($C$16:$Q$16,1,B94-2025)*$AO$4*C94/MAX(0.0001,12-$AO$3),INDEX($C$16:$Q$16,1,B94-2025)/12)</f>
        <v>3.69534238268495</v>
      </c>
      <c r="CI94" s="88" t="n">
        <f aca="false">$AO$6*INDEX($Y$16:$AB$16,1,B94-2026)/12</f>
        <v>0</v>
      </c>
      <c r="CJ94" s="88" t="n">
        <f aca="false">CH94+CJ93</f>
        <v>169.226432675559</v>
      </c>
      <c r="CK94" s="88" t="n">
        <f aca="false">CI94+CK93</f>
        <v>70</v>
      </c>
      <c r="CL94" s="88" t="n">
        <f aca="false">MAX(CL93,CJ94-CK94)</f>
        <v>99.2264326755588</v>
      </c>
      <c r="CM94" s="88" t="n">
        <f aca="false">CL94-CL93</f>
        <v>3.69534238268494</v>
      </c>
      <c r="CN94" s="88" t="n">
        <f aca="false">IF(B94=2026,INDEX($C$17:$Q$17,1,B94-2025)*$AO$4*C94/MAX(0.0001,12-$AO$3),INDEX($C$17:$Q$17,1,B94-2025)/12)</f>
        <v>16.0904818546506</v>
      </c>
      <c r="CO94" s="88" t="n">
        <f aca="false">$AO$6*INDEX($Y$17:$AB$17,1,B94-2026)/12</f>
        <v>0</v>
      </c>
      <c r="CP94" s="88" t="n">
        <f aca="false">CN94+CP93</f>
        <v>736.855901919138</v>
      </c>
      <c r="CQ94" s="88" t="n">
        <f aca="false">CO94+CQ93</f>
        <v>221</v>
      </c>
      <c r="CR94" s="88" t="n">
        <f aca="false">MAX(CR93,CP94-CQ94)</f>
        <v>515.855901919138</v>
      </c>
      <c r="CS94" s="88" t="n">
        <f aca="false">CR94-CR93</f>
        <v>16.0904818546506</v>
      </c>
      <c r="CT94" s="88" t="n">
        <f aca="false">IF(B94=2026,INDEX($C$18:$Q$18,1,B94-2025)*$AO$4*C94/MAX(0.0001,12-$AO$3),INDEX($C$18:$Q$18,1,B94-2025)/12)</f>
        <v>3.34735049911372</v>
      </c>
      <c r="CU94" s="88" t="n">
        <f aca="false">$AO$6*INDEX($Y$18:$AB$18,1,B94-2026)/12</f>
        <v>0</v>
      </c>
      <c r="CV94" s="88" t="n">
        <f aca="false">CT94+CV93</f>
        <v>153.290311212838</v>
      </c>
      <c r="CW94" s="88" t="n">
        <f aca="false">CU94+CW93</f>
        <v>11</v>
      </c>
      <c r="CX94" s="88" t="n">
        <f aca="false">MAX(CX93,CV94-CW94)</f>
        <v>142.290311212838</v>
      </c>
      <c r="CY94" s="88" t="n">
        <f aca="false">CX94-CX93</f>
        <v>3.34735049911373</v>
      </c>
      <c r="CZ94" s="88" t="n">
        <f aca="false">IF(B94=2026,INDEX($C$19:$Q$19,1,B94-2025)*$AO$4*C94/MAX(0.0001,12-$AO$3),INDEX($C$19:$Q$19,1,B94-2025)/12)</f>
        <v>3.31420841496408</v>
      </c>
      <c r="DA94" s="88" t="n">
        <f aca="false">$AO$6*INDEX($Y$19:$AB$19,1,B94-2026)/12</f>
        <v>1.85</v>
      </c>
      <c r="DB94" s="88" t="n">
        <f aca="false">CZ94+DB93</f>
        <v>151.772585359246</v>
      </c>
      <c r="DC94" s="88" t="n">
        <f aca="false">DA94+DC93</f>
        <v>216.75</v>
      </c>
      <c r="DD94" s="88" t="n">
        <f aca="false">MAX(DD93,DB94-DC94)</f>
        <v>37.132124495359</v>
      </c>
      <c r="DE94" s="88" t="n">
        <f aca="false">DD94-DD93</f>
        <v>0</v>
      </c>
      <c r="DF94" s="88" t="n">
        <f aca="false">IF(B94=2026,INDEX($C$20:$Q$20,1,B94-2025)*$AO$4*C94/MAX(0.0001,12-$AO$3),INDEX($C$20:$Q$20,1,B94-2025)/12)</f>
        <v>2.70107985819573</v>
      </c>
      <c r="DG94" s="88" t="n">
        <f aca="false">$AO$6*INDEX($Y$20:$AB$20,1,B94-2026)/12</f>
        <v>0</v>
      </c>
      <c r="DH94" s="88" t="n">
        <f aca="false">DF94+DH93</f>
        <v>123.694657067785</v>
      </c>
      <c r="DI94" s="88" t="n">
        <f aca="false">DG94+DI93</f>
        <v>0</v>
      </c>
      <c r="DJ94" s="88" t="n">
        <f aca="false">MAX(DJ93,DH94-DI94)</f>
        <v>123.694657067785</v>
      </c>
      <c r="DK94" s="88" t="n">
        <f aca="false">DJ94-DJ93</f>
        <v>2.70107985819573</v>
      </c>
      <c r="DL94" s="88" t="n">
        <f aca="false">IF(B94=2026,INDEX($C$21:$Q$21,1,B94-2025)*$AO$4*C94/MAX(0.0001,12-$AO$3),INDEX($C$21:$Q$21,1,B94-2025)/12)</f>
        <v>1.88909879652953</v>
      </c>
      <c r="DM94" s="88" t="n">
        <f aca="false">$AO$6*INDEX($Y$21:$AB$21,1,B94-2026)/12</f>
        <v>0</v>
      </c>
      <c r="DN94" s="88" t="n">
        <f aca="false">DL94+DN93</f>
        <v>86.5103736547699</v>
      </c>
      <c r="DO94" s="88" t="n">
        <f aca="false">DM94+DO93</f>
        <v>100</v>
      </c>
      <c r="DP94" s="88" t="n">
        <f aca="false">MAX(DP93,DN94-DO94)</f>
        <v>17.7483109623547</v>
      </c>
      <c r="DQ94" s="88" t="n">
        <f aca="false">DP94-DP93</f>
        <v>0</v>
      </c>
      <c r="DR94" s="88" t="n">
        <f aca="false">IF(B94=2026,INDEX($C$22:$Q$22,1,B94-2025)*$AO$4*C94/MAX(0.0001,12-$AO$3),INDEX($C$22:$Q$22,1,B94-2025)/12)</f>
        <v>1.47482274465902</v>
      </c>
      <c r="DS94" s="88" t="n">
        <f aca="false">$AO$6*INDEX($Y$22:$AB$22,1,B94-2026)/12</f>
        <v>0</v>
      </c>
      <c r="DT94" s="88" t="n">
        <f aca="false">DR94+DT93</f>
        <v>67.5388004848642</v>
      </c>
      <c r="DU94" s="88" t="n">
        <f aca="false">DS94+DU93</f>
        <v>29</v>
      </c>
      <c r="DV94" s="88" t="n">
        <f aca="false">MAX(DV93,DT94-DU94)</f>
        <v>38.5388004848643</v>
      </c>
      <c r="DW94" s="88" t="n">
        <f aca="false">DV94-DV93</f>
        <v>1.47482274465902</v>
      </c>
      <c r="DX94" s="88" t="n">
        <f aca="false">IF(B94=2026,INDEX($C$23:$Q$23,1,B94-2025)*$AO$4*C94/MAX(0.0001,12-$AO$3),INDEX($C$23:$Q$23,1,B94-2025)/12)</f>
        <v>2.36965901669932</v>
      </c>
      <c r="DY94" s="88" t="n">
        <f aca="false">$AO$6*INDEX($Y$23:$AB$23,1,B94-2026)/12</f>
        <v>0</v>
      </c>
      <c r="DZ94" s="88" t="n">
        <f aca="false">DX94+DZ93</f>
        <v>108.517398531861</v>
      </c>
      <c r="EA94" s="88" t="n">
        <f aca="false">DY94+EA93</f>
        <v>121</v>
      </c>
      <c r="EB94" s="88" t="n">
        <f aca="false">MAX(EB93,DZ94-EA94)</f>
        <v>35.0579690141817</v>
      </c>
      <c r="EC94" s="88" t="n">
        <f aca="false">EB94-EB93</f>
        <v>0</v>
      </c>
      <c r="ED94" s="88" t="n">
        <f aca="false">IF(B94=2026,INDEX($C$24:$Q$24,1,B94-2025)*$AO$4*C94/MAX(0.0001,12-$AO$3),INDEX($C$24:$Q$24,1,B94-2025)/12)</f>
        <v>1.4582517025842</v>
      </c>
      <c r="EE94" s="88" t="n">
        <f aca="false">$AO$6*INDEX($Y$24:$AB$24,1,B94-2026)/12</f>
        <v>0</v>
      </c>
      <c r="EF94" s="88" t="n">
        <f aca="false">ED94+EF93</f>
        <v>66.7799375580681</v>
      </c>
      <c r="EG94" s="88" t="n">
        <f aca="false">EE94+EG93</f>
        <v>0</v>
      </c>
      <c r="EH94" s="88" t="n">
        <f aca="false">MAX(EH93,EF94-EG94)</f>
        <v>66.7799375580681</v>
      </c>
      <c r="EI94" s="88" t="n">
        <f aca="false">EH94-EH93</f>
        <v>1.45825170258419</v>
      </c>
      <c r="EJ94" s="88" t="n">
        <f aca="false">IF(B94=2026,INDEX($C$25:$Q$25,1,B94-2025)*$AO$4*C94/MAX(0.0001,12-$AO$3),INDEX($C$25:$Q$25,1,B94-2025)/12)</f>
        <v>1.85595671237989</v>
      </c>
      <c r="EK94" s="88" t="n">
        <f aca="false">$AO$6*INDEX($Y$25:$AB$25,1,B94-2026)/12</f>
        <v>0</v>
      </c>
      <c r="EL94" s="88" t="n">
        <f aca="false">EJ94+EL93</f>
        <v>84.9926478011776</v>
      </c>
      <c r="EM94" s="88" t="n">
        <f aca="false">EK94+EM93</f>
        <v>14</v>
      </c>
      <c r="EN94" s="88" t="n">
        <f aca="false">MAX(EN93,EL94-EM94)</f>
        <v>70.9926478011776</v>
      </c>
      <c r="EO94" s="88" t="n">
        <f aca="false">EN94-EN93</f>
        <v>1.85595671237991</v>
      </c>
      <c r="EP94" s="88" t="n">
        <f aca="false">IF(B94=2026,INDEX($C$26:$Q$26,1,B94-2025)*$AO$4*C94/MAX(0.0001,12-$AO$3),INDEX($C$26:$Q$26,1,B94-2025)/12)</f>
        <v>2.66793777404609</v>
      </c>
      <c r="EQ94" s="88" t="n">
        <f aca="false">$AO$6*INDEX($Y$26:$AB$26,1,B94-2026)/12</f>
        <v>0</v>
      </c>
      <c r="ER94" s="88" t="n">
        <f aca="false">EP94+ER93</f>
        <v>122.176931214193</v>
      </c>
      <c r="ES94" s="88" t="n">
        <f aca="false">EQ94+ES93</f>
        <v>4</v>
      </c>
      <c r="ET94" s="88" t="n">
        <f aca="false">MAX(ET93,ER94-ES94)</f>
        <v>118.176931214193</v>
      </c>
      <c r="EU94" s="88" t="n">
        <f aca="false">ET94-ET93</f>
        <v>2.66793777404608</v>
      </c>
      <c r="EV94" s="88" t="n">
        <f aca="false">IF(B94=2026,INDEX($C$27:$Q$27,1,B94-2025)*$AO$4*C94/MAX(0.0001,12-$AO$3),INDEX($C$27:$Q$27,1,B94-2025)/12)</f>
        <v>6.62841682992816</v>
      </c>
      <c r="EW94" s="88" t="n">
        <f aca="false">$AO$6*INDEX($Y$27:$AB$27,1,B94-2026)/12</f>
        <v>0.416666666666667</v>
      </c>
      <c r="EX94" s="88" t="n">
        <f aca="false">EV94+EX93</f>
        <v>303.545170718491</v>
      </c>
      <c r="EY94" s="88" t="n">
        <f aca="false">EW94+EY93</f>
        <v>388.916666666667</v>
      </c>
      <c r="EZ94" s="88" t="n">
        <f aca="false">MAX(EZ93,EX94-EY94)</f>
        <v>0</v>
      </c>
      <c r="FA94" s="88" t="n">
        <f aca="false">EZ94-EZ93</f>
        <v>0</v>
      </c>
      <c r="FB94" s="88" t="n">
        <f aca="false">IF(B94=2026,INDEX($C$28:$Q$28,1,B94-2025)*$AO$4*C94/MAX(0.0001,12-$AO$3),INDEX($C$28:$Q$28,1,B94-2025)/12)</f>
        <v>34.6997621046739</v>
      </c>
      <c r="FC94" s="88" t="n">
        <f aca="false">$AO$6*INDEX($Y$28:$AB$28,1,B94-2026)/12</f>
        <v>0</v>
      </c>
      <c r="FD94" s="88" t="n">
        <f aca="false">FB94+FD93</f>
        <v>1589.0589687113</v>
      </c>
      <c r="FE94" s="88" t="n">
        <f aca="false">FC94+FE93</f>
        <v>169</v>
      </c>
      <c r="FF94" s="88" t="n">
        <f aca="false">MAX(FF93,FD94-FE94)</f>
        <v>1420.0589687113</v>
      </c>
      <c r="FG94" s="88" t="n">
        <f aca="false">FF94-FF93</f>
        <v>34.6997621046739</v>
      </c>
    </row>
    <row r="95" customFormat="false" ht="15" hidden="false" customHeight="false" outlineLevel="0" collapsed="false">
      <c r="A95" s="0" t="n">
        <v>55</v>
      </c>
      <c r="B95" s="88" t="n">
        <f aca="false">2026+INT(A95/12)</f>
        <v>2030</v>
      </c>
      <c r="C95" s="88" t="n">
        <f aca="false">MAX(0,MIN(1,A95+1-$AO$3))</f>
        <v>1</v>
      </c>
      <c r="D95" s="88" t="n">
        <f aca="false">IF((A95+0.5-(0))&lt;$AO$3,0,2026+INT((A95+0.5-(0))/12))</f>
        <v>2030</v>
      </c>
      <c r="E95" s="88" t="n">
        <f aca="false">IF((A95+0.5-($AO$9))&lt;$AO$3,0,2026+INT((A95+0.5-($AO$9))/12))</f>
        <v>2029</v>
      </c>
      <c r="F95" s="88" t="n">
        <f aca="false">IF((A95+0.5-($AO$9+$AO$8))&lt;$AO$3,0,2026+INT((A95+0.5-($AO$9+$AO$8))/12))</f>
        <v>2028</v>
      </c>
      <c r="G95" s="88" t="n">
        <f aca="false">IF((A95+0.5-($AO$9+$AO$8+$AO$7))&lt;$AO$3,0,2026+INT((A95+0.5-($AO$9+$AO$8+$AO$7))/12))</f>
        <v>2027</v>
      </c>
      <c r="H95" s="88" t="n">
        <f aca="false">IF(B95=2026,INDEX($C$3:$Q$3,1,B95-2025)*$AO$4*C95/MAX(0.0001,12-$AO$3),INDEX($C$3:$Q$3,1,B95-2025)/12)</f>
        <v>355.25</v>
      </c>
      <c r="I95" s="88" t="n">
        <f aca="false">$AO$6*INDEX($Y$3:$AB$3,1,B95-2026)/12</f>
        <v>70.9166666666667</v>
      </c>
      <c r="J95" s="88" t="n">
        <f aca="false">H95+J94</f>
        <v>16623.7534246575</v>
      </c>
      <c r="K95" s="88" t="n">
        <f aca="false">I95+K94</f>
        <v>6838.13333333333</v>
      </c>
      <c r="L95" s="88" t="n">
        <f aca="false">MAX(L94,J95-K95)</f>
        <v>9785.6200913242</v>
      </c>
      <c r="M95" s="88" t="n">
        <f aca="false">L95-L94</f>
        <v>284.333333333332</v>
      </c>
      <c r="N95" s="88" t="n">
        <f aca="false">IF(B95=2026,INDEX($C$4:$Q$4,1,B95-2025)*$AO$4*C95/MAX(0.0001,12-$AO$3),INDEX($C$4:$Q$4,1,B95-2025)/12)</f>
        <v>10.7700632578534</v>
      </c>
      <c r="O95" s="88" t="n">
        <f aca="false">$AO$6*INDEX($Y$4:$AB$4,1,B95-2026)/12</f>
        <v>7.075</v>
      </c>
      <c r="P95" s="88" t="n">
        <f aca="false">N95+P94</f>
        <v>503.979946422288</v>
      </c>
      <c r="Q95" s="88" t="n">
        <f aca="false">O95+Q94</f>
        <v>369.8</v>
      </c>
      <c r="R95" s="88" t="n">
        <f aca="false">MAX(R94,P95-Q95)</f>
        <v>134.179946422288</v>
      </c>
      <c r="S95" s="88" t="n">
        <f aca="false">R95-R94</f>
        <v>3.69506325785335</v>
      </c>
      <c r="T95" s="88" t="n">
        <f aca="false">IF(B95=2026,INDEX($C$5:$Q$5,1,B95-2025)*$AO$4*C95/MAX(0.0001,12-$AO$3),INDEX($C$5:$Q$5,1,B95-2025)/12)</f>
        <v>43.7734247619348</v>
      </c>
      <c r="U95" s="88" t="n">
        <f aca="false">$AO$6*INDEX($Y$5:$AB$5,1,B95-2026)/12</f>
        <v>8.56666666666667</v>
      </c>
      <c r="V95" s="88" t="n">
        <f aca="false">T95+V94</f>
        <v>2048.35642447629</v>
      </c>
      <c r="W95" s="88" t="n">
        <f aca="false">U95+W94</f>
        <v>1080.63333333333</v>
      </c>
      <c r="X95" s="88" t="n">
        <f aca="false">MAX(X94,V95-W95)</f>
        <v>967.723091142959</v>
      </c>
      <c r="Y95" s="88" t="n">
        <f aca="false">X95-X94</f>
        <v>35.206758095268</v>
      </c>
      <c r="Z95" s="88" t="n">
        <f aca="false">IF(B95=2026,INDEX($C$6:$Q$6,1,B95-2025)*$AO$4*C95/MAX(0.0001,12-$AO$3),INDEX($C$6:$Q$6,1,B95-2025)/12)</f>
        <v>51.933610116259</v>
      </c>
      <c r="AA95" s="88" t="n">
        <f aca="false">$AO$6*INDEX($Y$6:$AB$6,1,B95-2026)/12</f>
        <v>16.8833333333333</v>
      </c>
      <c r="AB95" s="88" t="n">
        <f aca="false">Z95+AB94</f>
        <v>2430.20838571425</v>
      </c>
      <c r="AC95" s="88" t="n">
        <f aca="false">AA95+AC94</f>
        <v>1234.76666666667</v>
      </c>
      <c r="AD95" s="88" t="n">
        <f aca="false">MAX(AD94,AB95-AC95)</f>
        <v>1195.44171904759</v>
      </c>
      <c r="AE95" s="88" t="n">
        <f aca="false">AD95-AD94</f>
        <v>35.0502767829255</v>
      </c>
      <c r="AF95" s="88" t="n">
        <f aca="false">IF(B95=2026,INDEX($C$7:$Q$7,1,B95-2025)*$AO$4*C95/MAX(0.0001,12-$AO$3),INDEX($C$7:$Q$7,1,B95-2025)/12)</f>
        <v>45.11289896006</v>
      </c>
      <c r="AG95" s="88" t="n">
        <f aca="false">$AO$6*INDEX($Y$7:$AB$7,1,B95-2026)/12</f>
        <v>6.05833333333333</v>
      </c>
      <c r="AH95" s="88" t="n">
        <f aca="false">AF95+AH94</f>
        <v>2111.0364773639</v>
      </c>
      <c r="AI95" s="88" t="n">
        <f aca="false">AG95+AI94</f>
        <v>649.066666666666</v>
      </c>
      <c r="AJ95" s="88" t="n">
        <f aca="false">MAX(AJ94,AH95-AI95)</f>
        <v>1461.96981069724</v>
      </c>
      <c r="AK95" s="88" t="n">
        <f aca="false">AJ95-AJ94</f>
        <v>39.054565626727</v>
      </c>
      <c r="AL95" s="88" t="n">
        <f aca="false">IF(B95=2026,INDEX($C$8:$Q$8,1,B95-2025)*$AO$4*C95/MAX(0.0001,12-$AO$3),INDEX($C$8:$Q$8,1,B95-2025)/12)</f>
        <v>11.4114321188341</v>
      </c>
      <c r="AM95" s="88" t="n">
        <f aca="false">$AO$6*INDEX($Y$8:$AB$8,1,B95-2026)/12</f>
        <v>0</v>
      </c>
      <c r="AN95" s="88" t="n">
        <f aca="false">AL95+AN94</f>
        <v>533.992494766263</v>
      </c>
      <c r="AO95" s="88" t="n">
        <f aca="false">AM95+AO94</f>
        <v>66</v>
      </c>
      <c r="AP95" s="88" t="n">
        <f aca="false">MAX(AP94,AN95-AO95)</f>
        <v>467.992494766263</v>
      </c>
      <c r="AQ95" s="88" t="n">
        <f aca="false">AP95-AP94</f>
        <v>11.4114321188341</v>
      </c>
      <c r="AR95" s="88" t="n">
        <f aca="false">IF(B95=2026,INDEX($C$9:$Q$9,1,B95-2025)*$AO$4*C95/MAX(0.0001,12-$AO$3),INDEX($C$9:$Q$9,1,B95-2025)/12)</f>
        <v>48.6576953186344</v>
      </c>
      <c r="AS95" s="88" t="n">
        <f aca="false">$AO$6*INDEX($Y$9:$AB$9,1,B95-2026)/12</f>
        <v>25.2</v>
      </c>
      <c r="AT95" s="88" t="n">
        <f aca="false">AR95+AT94</f>
        <v>2276.91352340349</v>
      </c>
      <c r="AU95" s="88" t="n">
        <f aca="false">AS95+AU94</f>
        <v>1484.4</v>
      </c>
      <c r="AV95" s="88" t="n">
        <f aca="false">MAX(AV94,AT95-AU95)</f>
        <v>792.513523403491</v>
      </c>
      <c r="AW95" s="88" t="n">
        <f aca="false">AV95-AV94</f>
        <v>23.4576953186345</v>
      </c>
      <c r="AX95" s="88" t="n">
        <f aca="false">IF(B95=2026,INDEX($C$10:$Q$10,1,B95-2025)*$AO$4*C95/MAX(0.0001,12-$AO$3),INDEX($C$10:$Q$10,1,B95-2025)/12)</f>
        <v>5.64404597663043</v>
      </c>
      <c r="AY95" s="88" t="n">
        <f aca="false">$AO$6*INDEX($Y$10:$AB$10,1,B95-2026)/12</f>
        <v>0.025</v>
      </c>
      <c r="AZ95" s="88" t="n">
        <f aca="false">AX95+AZ94</f>
        <v>264.11042542698</v>
      </c>
      <c r="BA95" s="88" t="n">
        <f aca="false">AY95+BA94</f>
        <v>49.9</v>
      </c>
      <c r="BB95" s="88" t="n">
        <f aca="false">MAX(BB94,AZ95-BA95)</f>
        <v>214.21042542698</v>
      </c>
      <c r="BC95" s="88" t="n">
        <f aca="false">BB95-BB94</f>
        <v>5.61904597663045</v>
      </c>
      <c r="BD95" s="88" t="n">
        <f aca="false">IF(B95=2026,INDEX($C$11:$Q$11,1,B95-2025)*$AO$4*C95/MAX(0.0001,12-$AO$3),INDEX($C$11:$Q$11,1,B95-2025)/12)</f>
        <v>28.0475536513497</v>
      </c>
      <c r="BE95" s="88" t="n">
        <f aca="false">$AO$6*INDEX($Y$11:$AB$11,1,B95-2026)/12</f>
        <v>0</v>
      </c>
      <c r="BF95" s="88" t="n">
        <f aca="false">BD95+BF94</f>
        <v>1312.47182565768</v>
      </c>
      <c r="BG95" s="88" t="n">
        <f aca="false">BE95+BG94</f>
        <v>240</v>
      </c>
      <c r="BH95" s="88" t="n">
        <f aca="false">MAX(BH94,BF95-BG95)</f>
        <v>1072.47182565768</v>
      </c>
      <c r="BI95" s="88" t="n">
        <f aca="false">BH95-BH94</f>
        <v>28.0475536513497</v>
      </c>
      <c r="BJ95" s="88" t="n">
        <f aca="false">IF(B95=2026,INDEX($C$12:$Q$12,1,B95-2025)*$AO$4*C95/MAX(0.0001,12-$AO$3),INDEX($C$12:$Q$12,1,B95-2025)/12)</f>
        <v>15.3780518436687</v>
      </c>
      <c r="BK95" s="88" t="n">
        <f aca="false">$AO$6*INDEX($Y$12:$AB$12,1,B95-2026)/12</f>
        <v>4.78333333333333</v>
      </c>
      <c r="BL95" s="88" t="n">
        <f aca="false">BJ95+BL94</f>
        <v>719.608562985924</v>
      </c>
      <c r="BM95" s="88" t="n">
        <f aca="false">BK95+BM94</f>
        <v>141.866666666667</v>
      </c>
      <c r="BN95" s="88" t="n">
        <f aca="false">MAX(BN94,BL95-BM95)</f>
        <v>577.741896319258</v>
      </c>
      <c r="BO95" s="88" t="n">
        <f aca="false">BN95-BN94</f>
        <v>10.5947185103355</v>
      </c>
      <c r="BP95" s="88" t="n">
        <f aca="false">IF(B95=2026,INDEX($C$13:$Q$13,1,B95-2025)*$AO$4*C95/MAX(0.0001,12-$AO$3),INDEX($C$13:$Q$13,1,B95-2025)/12)</f>
        <v>4.80560220169792</v>
      </c>
      <c r="BQ95" s="88" t="n">
        <f aca="false">$AO$6*INDEX($Y$13:$AB$13,1,B95-2026)/12</f>
        <v>0.0583333333333333</v>
      </c>
      <c r="BR95" s="88" t="n">
        <f aca="false">BP95+BR94</f>
        <v>224.875850972604</v>
      </c>
      <c r="BS95" s="88" t="n">
        <f aca="false">BQ95+BS94</f>
        <v>86.7666666666667</v>
      </c>
      <c r="BT95" s="88" t="n">
        <f aca="false">MAX(BT94,BR95-BS95)</f>
        <v>138.109184305937</v>
      </c>
      <c r="BU95" s="88" t="n">
        <f aca="false">BT95-BT94</f>
        <v>4.74726886836459</v>
      </c>
      <c r="BV95" s="88" t="n">
        <f aca="false">IF(B95=2026,INDEX($C$14:$Q$14,1,B95-2025)*$AO$4*C95/MAX(0.0001,12-$AO$3),INDEX($C$14:$Q$14,1,B95-2025)/12)</f>
        <v>2.85021923686911</v>
      </c>
      <c r="BW95" s="88" t="n">
        <f aca="false">$AO$6*INDEX($Y$14:$AB$14,1,B95-2026)/12</f>
        <v>0</v>
      </c>
      <c r="BX95" s="88" t="n">
        <f aca="false">BV95+BX94</f>
        <v>133.37464264582</v>
      </c>
      <c r="BY95" s="88" t="n">
        <f aca="false">BW95+BY94</f>
        <v>0</v>
      </c>
      <c r="BZ95" s="88" t="n">
        <f aca="false">MAX(BZ94,BX95-BY95)</f>
        <v>133.37464264582</v>
      </c>
      <c r="CA95" s="88" t="n">
        <f aca="false">BZ95-BZ94</f>
        <v>2.85021923686912</v>
      </c>
      <c r="CB95" s="88" t="n">
        <f aca="false">IF(B95=2026,INDEX($C$15:$Q$15,1,B95-2025)*$AO$4*C95/MAX(0.0001,12-$AO$3),INDEX($C$15:$Q$15,1,B95-2025)/12)</f>
        <v>4.67303386509936</v>
      </c>
      <c r="CC95" s="88" t="n">
        <f aca="false">$AO$6*INDEX($Y$15:$AB$15,1,B95-2026)/12</f>
        <v>0</v>
      </c>
      <c r="CD95" s="88" t="n">
        <f aca="false">CB95+CD94</f>
        <v>218.672379221635</v>
      </c>
      <c r="CE95" s="88" t="n">
        <f aca="false">CC95+CE94</f>
        <v>88.0000000000001</v>
      </c>
      <c r="CF95" s="88" t="n">
        <f aca="false">MAX(CF94,CD95-CE95)</f>
        <v>130.672379221635</v>
      </c>
      <c r="CG95" s="88" t="n">
        <f aca="false">CF95-CF94</f>
        <v>4.67303386509934</v>
      </c>
      <c r="CH95" s="88" t="n">
        <f aca="false">IF(B95=2026,INDEX($C$16:$Q$16,1,B95-2025)*$AO$4*C95/MAX(0.0001,12-$AO$3),INDEX($C$16:$Q$16,1,B95-2025)/12)</f>
        <v>3.69534238268495</v>
      </c>
      <c r="CI95" s="88" t="n">
        <f aca="false">$AO$6*INDEX($Y$16:$AB$16,1,B95-2026)/12</f>
        <v>0</v>
      </c>
      <c r="CJ95" s="88" t="n">
        <f aca="false">CH95+CJ94</f>
        <v>172.921775058244</v>
      </c>
      <c r="CK95" s="88" t="n">
        <f aca="false">CI95+CK94</f>
        <v>70</v>
      </c>
      <c r="CL95" s="88" t="n">
        <f aca="false">MAX(CL94,CJ95-CK95)</f>
        <v>102.921775058244</v>
      </c>
      <c r="CM95" s="88" t="n">
        <f aca="false">CL95-CL94</f>
        <v>3.69534238268494</v>
      </c>
      <c r="CN95" s="88" t="n">
        <f aca="false">IF(B95=2026,INDEX($C$17:$Q$17,1,B95-2025)*$AO$4*C95/MAX(0.0001,12-$AO$3),INDEX($C$17:$Q$17,1,B95-2025)/12)</f>
        <v>16.0904818546506</v>
      </c>
      <c r="CO95" s="88" t="n">
        <f aca="false">$AO$6*INDEX($Y$17:$AB$17,1,B95-2026)/12</f>
        <v>0</v>
      </c>
      <c r="CP95" s="88" t="n">
        <f aca="false">CN95+CP94</f>
        <v>752.946383773789</v>
      </c>
      <c r="CQ95" s="88" t="n">
        <f aca="false">CO95+CQ94</f>
        <v>221</v>
      </c>
      <c r="CR95" s="88" t="n">
        <f aca="false">MAX(CR94,CP95-CQ95)</f>
        <v>531.946383773789</v>
      </c>
      <c r="CS95" s="88" t="n">
        <f aca="false">CR95-CR94</f>
        <v>16.0904818546506</v>
      </c>
      <c r="CT95" s="88" t="n">
        <f aca="false">IF(B95=2026,INDEX($C$18:$Q$18,1,B95-2025)*$AO$4*C95/MAX(0.0001,12-$AO$3),INDEX($C$18:$Q$18,1,B95-2025)/12)</f>
        <v>3.34735049911372</v>
      </c>
      <c r="CU95" s="88" t="n">
        <f aca="false">$AO$6*INDEX($Y$18:$AB$18,1,B95-2026)/12</f>
        <v>0</v>
      </c>
      <c r="CV95" s="88" t="n">
        <f aca="false">CT95+CV94</f>
        <v>156.637661711952</v>
      </c>
      <c r="CW95" s="88" t="n">
        <f aca="false">CU95+CW94</f>
        <v>11</v>
      </c>
      <c r="CX95" s="88" t="n">
        <f aca="false">MAX(CX94,CV95-CW95)</f>
        <v>145.637661711952</v>
      </c>
      <c r="CY95" s="88" t="n">
        <f aca="false">CX95-CX94</f>
        <v>3.34735049911373</v>
      </c>
      <c r="CZ95" s="88" t="n">
        <f aca="false">IF(B95=2026,INDEX($C$19:$Q$19,1,B95-2025)*$AO$4*C95/MAX(0.0001,12-$AO$3),INDEX($C$19:$Q$19,1,B95-2025)/12)</f>
        <v>3.31420841496408</v>
      </c>
      <c r="DA95" s="88" t="n">
        <f aca="false">$AO$6*INDEX($Y$19:$AB$19,1,B95-2026)/12</f>
        <v>1.85</v>
      </c>
      <c r="DB95" s="88" t="n">
        <f aca="false">CZ95+DB94</f>
        <v>155.08679377421</v>
      </c>
      <c r="DC95" s="88" t="n">
        <f aca="false">DA95+DC94</f>
        <v>218.6</v>
      </c>
      <c r="DD95" s="88" t="n">
        <f aca="false">MAX(DD94,DB95-DC95)</f>
        <v>37.132124495359</v>
      </c>
      <c r="DE95" s="88" t="n">
        <f aca="false">DD95-DD94</f>
        <v>0</v>
      </c>
      <c r="DF95" s="88" t="n">
        <f aca="false">IF(B95=2026,INDEX($C$20:$Q$20,1,B95-2025)*$AO$4*C95/MAX(0.0001,12-$AO$3),INDEX($C$20:$Q$20,1,B95-2025)/12)</f>
        <v>2.70107985819573</v>
      </c>
      <c r="DG95" s="88" t="n">
        <f aca="false">$AO$6*INDEX($Y$20:$AB$20,1,B95-2026)/12</f>
        <v>0</v>
      </c>
      <c r="DH95" s="88" t="n">
        <f aca="false">DF95+DH94</f>
        <v>126.395736925981</v>
      </c>
      <c r="DI95" s="88" t="n">
        <f aca="false">DG95+DI94</f>
        <v>0</v>
      </c>
      <c r="DJ95" s="88" t="n">
        <f aca="false">MAX(DJ94,DH95-DI95)</f>
        <v>126.395736925981</v>
      </c>
      <c r="DK95" s="88" t="n">
        <f aca="false">DJ95-DJ94</f>
        <v>2.70107985819573</v>
      </c>
      <c r="DL95" s="88" t="n">
        <f aca="false">IF(B95=2026,INDEX($C$21:$Q$21,1,B95-2025)*$AO$4*C95/MAX(0.0001,12-$AO$3),INDEX($C$21:$Q$21,1,B95-2025)/12)</f>
        <v>1.88909879652953</v>
      </c>
      <c r="DM95" s="88" t="n">
        <f aca="false">$AO$6*INDEX($Y$21:$AB$21,1,B95-2026)/12</f>
        <v>0</v>
      </c>
      <c r="DN95" s="88" t="n">
        <f aca="false">DL95+DN94</f>
        <v>88.3994724512994</v>
      </c>
      <c r="DO95" s="88" t="n">
        <f aca="false">DM95+DO94</f>
        <v>100</v>
      </c>
      <c r="DP95" s="88" t="n">
        <f aca="false">MAX(DP94,DN95-DO95)</f>
        <v>17.7483109623547</v>
      </c>
      <c r="DQ95" s="88" t="n">
        <f aca="false">DP95-DP94</f>
        <v>0</v>
      </c>
      <c r="DR95" s="88" t="n">
        <f aca="false">IF(B95=2026,INDEX($C$22:$Q$22,1,B95-2025)*$AO$4*C95/MAX(0.0001,12-$AO$3),INDEX($C$22:$Q$22,1,B95-2025)/12)</f>
        <v>1.47482274465902</v>
      </c>
      <c r="DS95" s="88" t="n">
        <f aca="false">$AO$6*INDEX($Y$22:$AB$22,1,B95-2026)/12</f>
        <v>0</v>
      </c>
      <c r="DT95" s="88" t="n">
        <f aca="false">DR95+DT94</f>
        <v>69.0136232295233</v>
      </c>
      <c r="DU95" s="88" t="n">
        <f aca="false">DS95+DU94</f>
        <v>29</v>
      </c>
      <c r="DV95" s="88" t="n">
        <f aca="false">MAX(DV94,DT95-DU95)</f>
        <v>40.0136232295233</v>
      </c>
      <c r="DW95" s="88" t="n">
        <f aca="false">DV95-DV94</f>
        <v>1.47482274465902</v>
      </c>
      <c r="DX95" s="88" t="n">
        <f aca="false">IF(B95=2026,INDEX($C$23:$Q$23,1,B95-2025)*$AO$4*C95/MAX(0.0001,12-$AO$3),INDEX($C$23:$Q$23,1,B95-2025)/12)</f>
        <v>2.36965901669932</v>
      </c>
      <c r="DY95" s="88" t="n">
        <f aca="false">$AO$6*INDEX($Y$23:$AB$23,1,B95-2026)/12</f>
        <v>0</v>
      </c>
      <c r="DZ95" s="88" t="n">
        <f aca="false">DX95+DZ94</f>
        <v>110.88705754856</v>
      </c>
      <c r="EA95" s="88" t="n">
        <f aca="false">DY95+EA94</f>
        <v>121</v>
      </c>
      <c r="EB95" s="88" t="n">
        <f aca="false">MAX(EB94,DZ95-EA95)</f>
        <v>35.0579690141817</v>
      </c>
      <c r="EC95" s="88" t="n">
        <f aca="false">EB95-EB94</f>
        <v>0</v>
      </c>
      <c r="ED95" s="88" t="n">
        <f aca="false">IF(B95=2026,INDEX($C$24:$Q$24,1,B95-2025)*$AO$4*C95/MAX(0.0001,12-$AO$3),INDEX($C$24:$Q$24,1,B95-2025)/12)</f>
        <v>1.4582517025842</v>
      </c>
      <c r="EE95" s="88" t="n">
        <f aca="false">$AO$6*INDEX($Y$24:$AB$24,1,B95-2026)/12</f>
        <v>0</v>
      </c>
      <c r="EF95" s="88" t="n">
        <f aca="false">ED95+EF94</f>
        <v>68.2381892606523</v>
      </c>
      <c r="EG95" s="88" t="n">
        <f aca="false">EE95+EG94</f>
        <v>0</v>
      </c>
      <c r="EH95" s="88" t="n">
        <f aca="false">MAX(EH94,EF95-EG95)</f>
        <v>68.2381892606523</v>
      </c>
      <c r="EI95" s="88" t="n">
        <f aca="false">EH95-EH94</f>
        <v>1.45825170258419</v>
      </c>
      <c r="EJ95" s="88" t="n">
        <f aca="false">IF(B95=2026,INDEX($C$25:$Q$25,1,B95-2025)*$AO$4*C95/MAX(0.0001,12-$AO$3),INDEX($C$25:$Q$25,1,B95-2025)/12)</f>
        <v>1.85595671237989</v>
      </c>
      <c r="EK95" s="88" t="n">
        <f aca="false">$AO$6*INDEX($Y$25:$AB$25,1,B95-2026)/12</f>
        <v>0</v>
      </c>
      <c r="EL95" s="88" t="n">
        <f aca="false">EJ95+EL94</f>
        <v>86.8486045135575</v>
      </c>
      <c r="EM95" s="88" t="n">
        <f aca="false">EK95+EM94</f>
        <v>14</v>
      </c>
      <c r="EN95" s="88" t="n">
        <f aca="false">MAX(EN94,EL95-EM95)</f>
        <v>72.8486045135575</v>
      </c>
      <c r="EO95" s="88" t="n">
        <f aca="false">EN95-EN94</f>
        <v>1.85595671237988</v>
      </c>
      <c r="EP95" s="88" t="n">
        <f aca="false">IF(B95=2026,INDEX($C$26:$Q$26,1,B95-2025)*$AO$4*C95/MAX(0.0001,12-$AO$3),INDEX($C$26:$Q$26,1,B95-2025)/12)</f>
        <v>2.66793777404609</v>
      </c>
      <c r="EQ95" s="88" t="n">
        <f aca="false">$AO$6*INDEX($Y$26:$AB$26,1,B95-2026)/12</f>
        <v>0</v>
      </c>
      <c r="ER95" s="88" t="n">
        <f aca="false">EP95+ER94</f>
        <v>124.844868988239</v>
      </c>
      <c r="ES95" s="88" t="n">
        <f aca="false">EQ95+ES94</f>
        <v>4</v>
      </c>
      <c r="ET95" s="88" t="n">
        <f aca="false">MAX(ET94,ER95-ES95)</f>
        <v>120.844868988239</v>
      </c>
      <c r="EU95" s="88" t="n">
        <f aca="false">ET95-ET94</f>
        <v>2.66793777404608</v>
      </c>
      <c r="EV95" s="88" t="n">
        <f aca="false">IF(B95=2026,INDEX($C$27:$Q$27,1,B95-2025)*$AO$4*C95/MAX(0.0001,12-$AO$3),INDEX($C$27:$Q$27,1,B95-2025)/12)</f>
        <v>6.62841682992816</v>
      </c>
      <c r="EW95" s="88" t="n">
        <f aca="false">$AO$6*INDEX($Y$27:$AB$27,1,B95-2026)/12</f>
        <v>0.416666666666667</v>
      </c>
      <c r="EX95" s="88" t="n">
        <f aca="false">EV95+EX94</f>
        <v>310.173587548419</v>
      </c>
      <c r="EY95" s="88" t="n">
        <f aca="false">EW95+EY94</f>
        <v>389.333333333334</v>
      </c>
      <c r="EZ95" s="88" t="n">
        <f aca="false">MAX(EZ94,EX95-EY95)</f>
        <v>0</v>
      </c>
      <c r="FA95" s="88" t="n">
        <f aca="false">EZ95-EZ94</f>
        <v>0</v>
      </c>
      <c r="FB95" s="88" t="n">
        <f aca="false">IF(B95=2026,INDEX($C$28:$Q$28,1,B95-2025)*$AO$4*C95/MAX(0.0001,12-$AO$3),INDEX($C$28:$Q$28,1,B95-2025)/12)</f>
        <v>34.6997621046739</v>
      </c>
      <c r="FC95" s="88" t="n">
        <f aca="false">$AO$6*INDEX($Y$28:$AB$28,1,B95-2026)/12</f>
        <v>0</v>
      </c>
      <c r="FD95" s="88" t="n">
        <f aca="false">FB95+FD94</f>
        <v>1623.75873081598</v>
      </c>
      <c r="FE95" s="88" t="n">
        <f aca="false">FC95+FE94</f>
        <v>169</v>
      </c>
      <c r="FF95" s="88" t="n">
        <f aca="false">MAX(FF94,FD95-FE95)</f>
        <v>1454.75873081598</v>
      </c>
      <c r="FG95" s="88" t="n">
        <f aca="false">FF95-FF94</f>
        <v>34.6997621046739</v>
      </c>
    </row>
    <row r="96" customFormat="false" ht="15" hidden="false" customHeight="false" outlineLevel="0" collapsed="false">
      <c r="A96" s="0" t="n">
        <v>56</v>
      </c>
      <c r="B96" s="88" t="n">
        <f aca="false">2026+INT(A96/12)</f>
        <v>2030</v>
      </c>
      <c r="C96" s="88" t="n">
        <f aca="false">MAX(0,MIN(1,A96+1-$AO$3))</f>
        <v>1</v>
      </c>
      <c r="D96" s="88" t="n">
        <f aca="false">IF((A96+0.5-(0))&lt;$AO$3,0,2026+INT((A96+0.5-(0))/12))</f>
        <v>2030</v>
      </c>
      <c r="E96" s="88" t="n">
        <f aca="false">IF((A96+0.5-($AO$9))&lt;$AO$3,0,2026+INT((A96+0.5-($AO$9))/12))</f>
        <v>2029</v>
      </c>
      <c r="F96" s="88" t="n">
        <f aca="false">IF((A96+0.5-($AO$9+$AO$8))&lt;$AO$3,0,2026+INT((A96+0.5-($AO$9+$AO$8))/12))</f>
        <v>2028</v>
      </c>
      <c r="G96" s="88" t="n">
        <f aca="false">IF((A96+0.5-($AO$9+$AO$8+$AO$7))&lt;$AO$3,0,2026+INT((A96+0.5-($AO$9+$AO$8+$AO$7))/12))</f>
        <v>2027</v>
      </c>
      <c r="H96" s="88" t="n">
        <f aca="false">IF(B96=2026,INDEX($C$3:$Q$3,1,B96-2025)*$AO$4*C96/MAX(0.0001,12-$AO$3),INDEX($C$3:$Q$3,1,B96-2025)/12)</f>
        <v>355.25</v>
      </c>
      <c r="I96" s="88" t="n">
        <f aca="false">$AO$6*INDEX($Y$3:$AB$3,1,B96-2026)/12</f>
        <v>70.9166666666667</v>
      </c>
      <c r="J96" s="88" t="n">
        <f aca="false">H96+J95</f>
        <v>16979.0034246575</v>
      </c>
      <c r="K96" s="88" t="n">
        <f aca="false">I96+K95</f>
        <v>6909.05</v>
      </c>
      <c r="L96" s="88" t="n">
        <f aca="false">MAX(L95,J96-K96)</f>
        <v>10069.9534246575</v>
      </c>
      <c r="M96" s="88" t="n">
        <f aca="false">L96-L95</f>
        <v>284.333333333334</v>
      </c>
      <c r="N96" s="88" t="n">
        <f aca="false">IF(B96=2026,INDEX($C$4:$Q$4,1,B96-2025)*$AO$4*C96/MAX(0.0001,12-$AO$3),INDEX($C$4:$Q$4,1,B96-2025)/12)</f>
        <v>10.7700632578534</v>
      </c>
      <c r="O96" s="88" t="n">
        <f aca="false">$AO$6*INDEX($Y$4:$AB$4,1,B96-2026)/12</f>
        <v>7.075</v>
      </c>
      <c r="P96" s="88" t="n">
        <f aca="false">N96+P95</f>
        <v>514.750009680142</v>
      </c>
      <c r="Q96" s="88" t="n">
        <f aca="false">O96+Q95</f>
        <v>376.875</v>
      </c>
      <c r="R96" s="88" t="n">
        <f aca="false">MAX(R95,P96-Q96)</f>
        <v>137.875009680142</v>
      </c>
      <c r="S96" s="88" t="n">
        <f aca="false">R96-R95</f>
        <v>3.69506325785335</v>
      </c>
      <c r="T96" s="88" t="n">
        <f aca="false">IF(B96=2026,INDEX($C$5:$Q$5,1,B96-2025)*$AO$4*C96/MAX(0.0001,12-$AO$3),INDEX($C$5:$Q$5,1,B96-2025)/12)</f>
        <v>43.7734247619348</v>
      </c>
      <c r="U96" s="88" t="n">
        <f aca="false">$AO$6*INDEX($Y$5:$AB$5,1,B96-2026)/12</f>
        <v>8.56666666666667</v>
      </c>
      <c r="V96" s="88" t="n">
        <f aca="false">T96+V95</f>
        <v>2092.12984923823</v>
      </c>
      <c r="W96" s="88" t="n">
        <f aca="false">U96+W95</f>
        <v>1089.2</v>
      </c>
      <c r="X96" s="88" t="n">
        <f aca="false">MAX(X95,V96-W96)</f>
        <v>1002.92984923823</v>
      </c>
      <c r="Y96" s="88" t="n">
        <f aca="false">X96-X95</f>
        <v>35.206758095268</v>
      </c>
      <c r="Z96" s="88" t="n">
        <f aca="false">IF(B96=2026,INDEX($C$6:$Q$6,1,B96-2025)*$AO$4*C96/MAX(0.0001,12-$AO$3),INDEX($C$6:$Q$6,1,B96-2025)/12)</f>
        <v>51.933610116259</v>
      </c>
      <c r="AA96" s="88" t="n">
        <f aca="false">$AO$6*INDEX($Y$6:$AB$6,1,B96-2026)/12</f>
        <v>16.8833333333333</v>
      </c>
      <c r="AB96" s="88" t="n">
        <f aca="false">Z96+AB95</f>
        <v>2482.14199583051</v>
      </c>
      <c r="AC96" s="88" t="n">
        <f aca="false">AA96+AC95</f>
        <v>1251.65</v>
      </c>
      <c r="AD96" s="88" t="n">
        <f aca="false">MAX(AD95,AB96-AC96)</f>
        <v>1230.49199583051</v>
      </c>
      <c r="AE96" s="88" t="n">
        <f aca="false">AD96-AD95</f>
        <v>35.0502767829255</v>
      </c>
      <c r="AF96" s="88" t="n">
        <f aca="false">IF(B96=2026,INDEX($C$7:$Q$7,1,B96-2025)*$AO$4*C96/MAX(0.0001,12-$AO$3),INDEX($C$7:$Q$7,1,B96-2025)/12)</f>
        <v>45.11289896006</v>
      </c>
      <c r="AG96" s="88" t="n">
        <f aca="false">$AO$6*INDEX($Y$7:$AB$7,1,B96-2026)/12</f>
        <v>6.05833333333333</v>
      </c>
      <c r="AH96" s="88" t="n">
        <f aca="false">AF96+AH95</f>
        <v>2156.14937632396</v>
      </c>
      <c r="AI96" s="88" t="n">
        <f aca="false">AG96+AI95</f>
        <v>655.125</v>
      </c>
      <c r="AJ96" s="88" t="n">
        <f aca="false">MAX(AJ95,AH96-AI96)</f>
        <v>1501.02437632396</v>
      </c>
      <c r="AK96" s="88" t="n">
        <f aca="false">AJ96-AJ95</f>
        <v>39.0545656267268</v>
      </c>
      <c r="AL96" s="88" t="n">
        <f aca="false">IF(B96=2026,INDEX($C$8:$Q$8,1,B96-2025)*$AO$4*C96/MAX(0.0001,12-$AO$3),INDEX($C$8:$Q$8,1,B96-2025)/12)</f>
        <v>11.4114321188341</v>
      </c>
      <c r="AM96" s="88" t="n">
        <f aca="false">$AO$6*INDEX($Y$8:$AB$8,1,B96-2026)/12</f>
        <v>0</v>
      </c>
      <c r="AN96" s="88" t="n">
        <f aca="false">AL96+AN95</f>
        <v>545.403926885097</v>
      </c>
      <c r="AO96" s="88" t="n">
        <f aca="false">AM96+AO95</f>
        <v>66</v>
      </c>
      <c r="AP96" s="88" t="n">
        <f aca="false">MAX(AP95,AN96-AO96)</f>
        <v>479.403926885097</v>
      </c>
      <c r="AQ96" s="88" t="n">
        <f aca="false">AP96-AP95</f>
        <v>11.4114321188341</v>
      </c>
      <c r="AR96" s="88" t="n">
        <f aca="false">IF(B96=2026,INDEX($C$9:$Q$9,1,B96-2025)*$AO$4*C96/MAX(0.0001,12-$AO$3),INDEX($C$9:$Q$9,1,B96-2025)/12)</f>
        <v>48.6576953186344</v>
      </c>
      <c r="AS96" s="88" t="n">
        <f aca="false">$AO$6*INDEX($Y$9:$AB$9,1,B96-2026)/12</f>
        <v>25.2</v>
      </c>
      <c r="AT96" s="88" t="n">
        <f aca="false">AR96+AT95</f>
        <v>2325.57121872213</v>
      </c>
      <c r="AU96" s="88" t="n">
        <f aca="false">AS96+AU95</f>
        <v>1509.6</v>
      </c>
      <c r="AV96" s="88" t="n">
        <f aca="false">MAX(AV95,AT96-AU96)</f>
        <v>815.971218722126</v>
      </c>
      <c r="AW96" s="88" t="n">
        <f aca="false">AV96-AV95</f>
        <v>23.4576953186345</v>
      </c>
      <c r="AX96" s="88" t="n">
        <f aca="false">IF(B96=2026,INDEX($C$10:$Q$10,1,B96-2025)*$AO$4*C96/MAX(0.0001,12-$AO$3),INDEX($C$10:$Q$10,1,B96-2025)/12)</f>
        <v>5.64404597663043</v>
      </c>
      <c r="AY96" s="88" t="n">
        <f aca="false">$AO$6*INDEX($Y$10:$AB$10,1,B96-2026)/12</f>
        <v>0.025</v>
      </c>
      <c r="AZ96" s="88" t="n">
        <f aca="false">AX96+AZ95</f>
        <v>269.75447140361</v>
      </c>
      <c r="BA96" s="88" t="n">
        <f aca="false">AY96+BA95</f>
        <v>49.925</v>
      </c>
      <c r="BB96" s="88" t="n">
        <f aca="false">MAX(BB95,AZ96-BA96)</f>
        <v>219.82947140361</v>
      </c>
      <c r="BC96" s="88" t="n">
        <f aca="false">BB96-BB95</f>
        <v>5.61904597663042</v>
      </c>
      <c r="BD96" s="88" t="n">
        <f aca="false">IF(B96=2026,INDEX($C$11:$Q$11,1,B96-2025)*$AO$4*C96/MAX(0.0001,12-$AO$3),INDEX($C$11:$Q$11,1,B96-2025)/12)</f>
        <v>28.0475536513497</v>
      </c>
      <c r="BE96" s="88" t="n">
        <f aca="false">$AO$6*INDEX($Y$11:$AB$11,1,B96-2026)/12</f>
        <v>0</v>
      </c>
      <c r="BF96" s="88" t="n">
        <f aca="false">BD96+BF95</f>
        <v>1340.51937930903</v>
      </c>
      <c r="BG96" s="88" t="n">
        <f aca="false">BE96+BG95</f>
        <v>240</v>
      </c>
      <c r="BH96" s="88" t="n">
        <f aca="false">MAX(BH95,BF96-BG96)</f>
        <v>1100.51937930903</v>
      </c>
      <c r="BI96" s="88" t="n">
        <f aca="false">BH96-BH95</f>
        <v>28.0475536513497</v>
      </c>
      <c r="BJ96" s="88" t="n">
        <f aca="false">IF(B96=2026,INDEX($C$12:$Q$12,1,B96-2025)*$AO$4*C96/MAX(0.0001,12-$AO$3),INDEX($C$12:$Q$12,1,B96-2025)/12)</f>
        <v>15.3780518436687</v>
      </c>
      <c r="BK96" s="88" t="n">
        <f aca="false">$AO$6*INDEX($Y$12:$AB$12,1,B96-2026)/12</f>
        <v>4.78333333333333</v>
      </c>
      <c r="BL96" s="88" t="n">
        <f aca="false">BJ96+BL95</f>
        <v>734.986614829593</v>
      </c>
      <c r="BM96" s="88" t="n">
        <f aca="false">BK96+BM95</f>
        <v>146.65</v>
      </c>
      <c r="BN96" s="88" t="n">
        <f aca="false">MAX(BN95,BL96-BM96)</f>
        <v>588.336614829593</v>
      </c>
      <c r="BO96" s="88" t="n">
        <f aca="false">BN96-BN95</f>
        <v>10.5947185103354</v>
      </c>
      <c r="BP96" s="88" t="n">
        <f aca="false">IF(B96=2026,INDEX($C$13:$Q$13,1,B96-2025)*$AO$4*C96/MAX(0.0001,12-$AO$3),INDEX($C$13:$Q$13,1,B96-2025)/12)</f>
        <v>4.80560220169792</v>
      </c>
      <c r="BQ96" s="88" t="n">
        <f aca="false">$AO$6*INDEX($Y$13:$AB$13,1,B96-2026)/12</f>
        <v>0.0583333333333333</v>
      </c>
      <c r="BR96" s="88" t="n">
        <f aca="false">BP96+BR95</f>
        <v>229.681453174302</v>
      </c>
      <c r="BS96" s="88" t="n">
        <f aca="false">BQ96+BS95</f>
        <v>86.825</v>
      </c>
      <c r="BT96" s="88" t="n">
        <f aca="false">MAX(BT95,BR96-BS96)</f>
        <v>142.856453174302</v>
      </c>
      <c r="BU96" s="88" t="n">
        <f aca="false">BT96-BT95</f>
        <v>4.74726886836459</v>
      </c>
      <c r="BV96" s="88" t="n">
        <f aca="false">IF(B96=2026,INDEX($C$14:$Q$14,1,B96-2025)*$AO$4*C96/MAX(0.0001,12-$AO$3),INDEX($C$14:$Q$14,1,B96-2025)/12)</f>
        <v>2.85021923686911</v>
      </c>
      <c r="BW96" s="88" t="n">
        <f aca="false">$AO$6*INDEX($Y$14:$AB$14,1,B96-2026)/12</f>
        <v>0</v>
      </c>
      <c r="BX96" s="88" t="n">
        <f aca="false">BV96+BX95</f>
        <v>136.224861882689</v>
      </c>
      <c r="BY96" s="88" t="n">
        <f aca="false">BW96+BY95</f>
        <v>0</v>
      </c>
      <c r="BZ96" s="88" t="n">
        <f aca="false">MAX(BZ95,BX96-BY96)</f>
        <v>136.224861882689</v>
      </c>
      <c r="CA96" s="88" t="n">
        <f aca="false">BZ96-BZ95</f>
        <v>2.85021923686912</v>
      </c>
      <c r="CB96" s="88" t="n">
        <f aca="false">IF(B96=2026,INDEX($C$15:$Q$15,1,B96-2025)*$AO$4*C96/MAX(0.0001,12-$AO$3),INDEX($C$15:$Q$15,1,B96-2025)/12)</f>
        <v>4.67303386509936</v>
      </c>
      <c r="CC96" s="88" t="n">
        <f aca="false">$AO$6*INDEX($Y$15:$AB$15,1,B96-2026)/12</f>
        <v>0</v>
      </c>
      <c r="CD96" s="88" t="n">
        <f aca="false">CB96+CD95</f>
        <v>223.345413086735</v>
      </c>
      <c r="CE96" s="88" t="n">
        <f aca="false">CC96+CE95</f>
        <v>88.0000000000001</v>
      </c>
      <c r="CF96" s="88" t="n">
        <f aca="false">MAX(CF95,CD96-CE96)</f>
        <v>135.345413086735</v>
      </c>
      <c r="CG96" s="88" t="n">
        <f aca="false">CF96-CF95</f>
        <v>4.67303386509934</v>
      </c>
      <c r="CH96" s="88" t="n">
        <f aca="false">IF(B96=2026,INDEX($C$16:$Q$16,1,B96-2025)*$AO$4*C96/MAX(0.0001,12-$AO$3),INDEX($C$16:$Q$16,1,B96-2025)/12)</f>
        <v>3.69534238268495</v>
      </c>
      <c r="CI96" s="88" t="n">
        <f aca="false">$AO$6*INDEX($Y$16:$AB$16,1,B96-2026)/12</f>
        <v>0</v>
      </c>
      <c r="CJ96" s="88" t="n">
        <f aca="false">CH96+CJ95</f>
        <v>176.617117440929</v>
      </c>
      <c r="CK96" s="88" t="n">
        <f aca="false">CI96+CK95</f>
        <v>70</v>
      </c>
      <c r="CL96" s="88" t="n">
        <f aca="false">MAX(CL95,CJ96-CK96)</f>
        <v>106.617117440929</v>
      </c>
      <c r="CM96" s="88" t="n">
        <f aca="false">CL96-CL95</f>
        <v>3.69534238268494</v>
      </c>
      <c r="CN96" s="88" t="n">
        <f aca="false">IF(B96=2026,INDEX($C$17:$Q$17,1,B96-2025)*$AO$4*C96/MAX(0.0001,12-$AO$3),INDEX($C$17:$Q$17,1,B96-2025)/12)</f>
        <v>16.0904818546506</v>
      </c>
      <c r="CO96" s="88" t="n">
        <f aca="false">$AO$6*INDEX($Y$17:$AB$17,1,B96-2026)/12</f>
        <v>0</v>
      </c>
      <c r="CP96" s="88" t="n">
        <f aca="false">CN96+CP95</f>
        <v>769.036865628439</v>
      </c>
      <c r="CQ96" s="88" t="n">
        <f aca="false">CO96+CQ95</f>
        <v>221</v>
      </c>
      <c r="CR96" s="88" t="n">
        <f aca="false">MAX(CR95,CP96-CQ96)</f>
        <v>548.03686562844</v>
      </c>
      <c r="CS96" s="88" t="n">
        <f aca="false">CR96-CR95</f>
        <v>16.0904818546506</v>
      </c>
      <c r="CT96" s="88" t="n">
        <f aca="false">IF(B96=2026,INDEX($C$18:$Q$18,1,B96-2025)*$AO$4*C96/MAX(0.0001,12-$AO$3),INDEX($C$18:$Q$18,1,B96-2025)/12)</f>
        <v>3.34735049911372</v>
      </c>
      <c r="CU96" s="88" t="n">
        <f aca="false">$AO$6*INDEX($Y$18:$AB$18,1,B96-2026)/12</f>
        <v>0</v>
      </c>
      <c r="CV96" s="88" t="n">
        <f aca="false">CT96+CV95</f>
        <v>159.985012211066</v>
      </c>
      <c r="CW96" s="88" t="n">
        <f aca="false">CU96+CW95</f>
        <v>11</v>
      </c>
      <c r="CX96" s="88" t="n">
        <f aca="false">MAX(CX95,CV96-CW96)</f>
        <v>148.985012211066</v>
      </c>
      <c r="CY96" s="88" t="n">
        <f aca="false">CX96-CX95</f>
        <v>3.34735049911373</v>
      </c>
      <c r="CZ96" s="88" t="n">
        <f aca="false">IF(B96=2026,INDEX($C$19:$Q$19,1,B96-2025)*$AO$4*C96/MAX(0.0001,12-$AO$3),INDEX($C$19:$Q$19,1,B96-2025)/12)</f>
        <v>3.31420841496408</v>
      </c>
      <c r="DA96" s="88" t="n">
        <f aca="false">$AO$6*INDEX($Y$19:$AB$19,1,B96-2026)/12</f>
        <v>1.85</v>
      </c>
      <c r="DB96" s="88" t="n">
        <f aca="false">CZ96+DB95</f>
        <v>158.401002189174</v>
      </c>
      <c r="DC96" s="88" t="n">
        <f aca="false">DA96+DC95</f>
        <v>220.45</v>
      </c>
      <c r="DD96" s="88" t="n">
        <f aca="false">MAX(DD95,DB96-DC96)</f>
        <v>37.132124495359</v>
      </c>
      <c r="DE96" s="88" t="n">
        <f aca="false">DD96-DD95</f>
        <v>0</v>
      </c>
      <c r="DF96" s="88" t="n">
        <f aca="false">IF(B96=2026,INDEX($C$20:$Q$20,1,B96-2025)*$AO$4*C96/MAX(0.0001,12-$AO$3),INDEX($C$20:$Q$20,1,B96-2025)/12)</f>
        <v>2.70107985819573</v>
      </c>
      <c r="DG96" s="88" t="n">
        <f aca="false">$AO$6*INDEX($Y$20:$AB$20,1,B96-2026)/12</f>
        <v>0</v>
      </c>
      <c r="DH96" s="88" t="n">
        <f aca="false">DF96+DH95</f>
        <v>129.096816784177</v>
      </c>
      <c r="DI96" s="88" t="n">
        <f aca="false">DG96+DI95</f>
        <v>0</v>
      </c>
      <c r="DJ96" s="88" t="n">
        <f aca="false">MAX(DJ95,DH96-DI96)</f>
        <v>129.096816784177</v>
      </c>
      <c r="DK96" s="88" t="n">
        <f aca="false">DJ96-DJ95</f>
        <v>2.70107985819574</v>
      </c>
      <c r="DL96" s="88" t="n">
        <f aca="false">IF(B96=2026,INDEX($C$21:$Q$21,1,B96-2025)*$AO$4*C96/MAX(0.0001,12-$AO$3),INDEX($C$21:$Q$21,1,B96-2025)/12)</f>
        <v>1.88909879652953</v>
      </c>
      <c r="DM96" s="88" t="n">
        <f aca="false">$AO$6*INDEX($Y$21:$AB$21,1,B96-2026)/12</f>
        <v>0</v>
      </c>
      <c r="DN96" s="88" t="n">
        <f aca="false">DL96+DN95</f>
        <v>90.288571247829</v>
      </c>
      <c r="DO96" s="88" t="n">
        <f aca="false">DM96+DO95</f>
        <v>100</v>
      </c>
      <c r="DP96" s="88" t="n">
        <f aca="false">MAX(DP95,DN96-DO96)</f>
        <v>17.7483109623547</v>
      </c>
      <c r="DQ96" s="88" t="n">
        <f aca="false">DP96-DP95</f>
        <v>0</v>
      </c>
      <c r="DR96" s="88" t="n">
        <f aca="false">IF(B96=2026,INDEX($C$22:$Q$22,1,B96-2025)*$AO$4*C96/MAX(0.0001,12-$AO$3),INDEX($C$22:$Q$22,1,B96-2025)/12)</f>
        <v>1.47482274465902</v>
      </c>
      <c r="DS96" s="88" t="n">
        <f aca="false">$AO$6*INDEX($Y$22:$AB$22,1,B96-2026)/12</f>
        <v>0</v>
      </c>
      <c r="DT96" s="88" t="n">
        <f aca="false">DR96+DT95</f>
        <v>70.4884459741823</v>
      </c>
      <c r="DU96" s="88" t="n">
        <f aca="false">DS96+DU95</f>
        <v>29</v>
      </c>
      <c r="DV96" s="88" t="n">
        <f aca="false">MAX(DV95,DT96-DU96)</f>
        <v>41.4884459741823</v>
      </c>
      <c r="DW96" s="88" t="n">
        <f aca="false">DV96-DV95</f>
        <v>1.47482274465902</v>
      </c>
      <c r="DX96" s="88" t="n">
        <f aca="false">IF(B96=2026,INDEX($C$23:$Q$23,1,B96-2025)*$AO$4*C96/MAX(0.0001,12-$AO$3),INDEX($C$23:$Q$23,1,B96-2025)/12)</f>
        <v>2.36965901669932</v>
      </c>
      <c r="DY96" s="88" t="n">
        <f aca="false">$AO$6*INDEX($Y$23:$AB$23,1,B96-2026)/12</f>
        <v>0</v>
      </c>
      <c r="DZ96" s="88" t="n">
        <f aca="false">DX96+DZ95</f>
        <v>113.256716565259</v>
      </c>
      <c r="EA96" s="88" t="n">
        <f aca="false">DY96+EA95</f>
        <v>121</v>
      </c>
      <c r="EB96" s="88" t="n">
        <f aca="false">MAX(EB95,DZ96-EA96)</f>
        <v>35.0579690141817</v>
      </c>
      <c r="EC96" s="88" t="n">
        <f aca="false">EB96-EB95</f>
        <v>0</v>
      </c>
      <c r="ED96" s="88" t="n">
        <f aca="false">IF(B96=2026,INDEX($C$24:$Q$24,1,B96-2025)*$AO$4*C96/MAX(0.0001,12-$AO$3),INDEX($C$24:$Q$24,1,B96-2025)/12)</f>
        <v>1.4582517025842</v>
      </c>
      <c r="EE96" s="88" t="n">
        <f aca="false">$AO$6*INDEX($Y$24:$AB$24,1,B96-2026)/12</f>
        <v>0</v>
      </c>
      <c r="EF96" s="88" t="n">
        <f aca="false">ED96+EF95</f>
        <v>69.6964409632365</v>
      </c>
      <c r="EG96" s="88" t="n">
        <f aca="false">EE96+EG95</f>
        <v>0</v>
      </c>
      <c r="EH96" s="88" t="n">
        <f aca="false">MAX(EH95,EF96-EG96)</f>
        <v>69.6964409632365</v>
      </c>
      <c r="EI96" s="88" t="n">
        <f aca="false">EH96-EH95</f>
        <v>1.45825170258419</v>
      </c>
      <c r="EJ96" s="88" t="n">
        <f aca="false">IF(B96=2026,INDEX($C$25:$Q$25,1,B96-2025)*$AO$4*C96/MAX(0.0001,12-$AO$3),INDEX($C$25:$Q$25,1,B96-2025)/12)</f>
        <v>1.85595671237989</v>
      </c>
      <c r="EK96" s="88" t="n">
        <f aca="false">$AO$6*INDEX($Y$25:$AB$25,1,B96-2026)/12</f>
        <v>0</v>
      </c>
      <c r="EL96" s="88" t="n">
        <f aca="false">EJ96+EL95</f>
        <v>88.7045612259374</v>
      </c>
      <c r="EM96" s="88" t="n">
        <f aca="false">EK96+EM95</f>
        <v>14</v>
      </c>
      <c r="EN96" s="88" t="n">
        <f aca="false">MAX(EN95,EL96-EM96)</f>
        <v>74.7045612259374</v>
      </c>
      <c r="EO96" s="88" t="n">
        <f aca="false">EN96-EN95</f>
        <v>1.85595671237991</v>
      </c>
      <c r="EP96" s="88" t="n">
        <f aca="false">IF(B96=2026,INDEX($C$26:$Q$26,1,B96-2025)*$AO$4*C96/MAX(0.0001,12-$AO$3),INDEX($C$26:$Q$26,1,B96-2025)/12)</f>
        <v>2.66793777404609</v>
      </c>
      <c r="EQ96" s="88" t="n">
        <f aca="false">$AO$6*INDEX($Y$26:$AB$26,1,B96-2026)/12</f>
        <v>0</v>
      </c>
      <c r="ER96" s="88" t="n">
        <f aca="false">EP96+ER95</f>
        <v>127.512806762285</v>
      </c>
      <c r="ES96" s="88" t="n">
        <f aca="false">EQ96+ES95</f>
        <v>4</v>
      </c>
      <c r="ET96" s="88" t="n">
        <f aca="false">MAX(ET95,ER96-ES96)</f>
        <v>123.512806762285</v>
      </c>
      <c r="EU96" s="88" t="n">
        <f aca="false">ET96-ET95</f>
        <v>2.66793777404608</v>
      </c>
      <c r="EV96" s="88" t="n">
        <f aca="false">IF(B96=2026,INDEX($C$27:$Q$27,1,B96-2025)*$AO$4*C96/MAX(0.0001,12-$AO$3),INDEX($C$27:$Q$27,1,B96-2025)/12)</f>
        <v>6.62841682992816</v>
      </c>
      <c r="EW96" s="88" t="n">
        <f aca="false">$AO$6*INDEX($Y$27:$AB$27,1,B96-2026)/12</f>
        <v>0.416666666666667</v>
      </c>
      <c r="EX96" s="88" t="n">
        <f aca="false">EV96+EX95</f>
        <v>316.802004378347</v>
      </c>
      <c r="EY96" s="88" t="n">
        <f aca="false">EW96+EY95</f>
        <v>389.75</v>
      </c>
      <c r="EZ96" s="88" t="n">
        <f aca="false">MAX(EZ95,EX96-EY96)</f>
        <v>0</v>
      </c>
      <c r="FA96" s="88" t="n">
        <f aca="false">EZ96-EZ95</f>
        <v>0</v>
      </c>
      <c r="FB96" s="88" t="n">
        <f aca="false">IF(B96=2026,INDEX($C$28:$Q$28,1,B96-2025)*$AO$4*C96/MAX(0.0001,12-$AO$3),INDEX($C$28:$Q$28,1,B96-2025)/12)</f>
        <v>34.6997621046739</v>
      </c>
      <c r="FC96" s="88" t="n">
        <f aca="false">$AO$6*INDEX($Y$28:$AB$28,1,B96-2026)/12</f>
        <v>0</v>
      </c>
      <c r="FD96" s="88" t="n">
        <f aca="false">FB96+FD95</f>
        <v>1658.45849292065</v>
      </c>
      <c r="FE96" s="88" t="n">
        <f aca="false">FC96+FE95</f>
        <v>169</v>
      </c>
      <c r="FF96" s="88" t="n">
        <f aca="false">MAX(FF95,FD96-FE96)</f>
        <v>1489.45849292065</v>
      </c>
      <c r="FG96" s="88" t="n">
        <f aca="false">FF96-FF95</f>
        <v>34.6997621046739</v>
      </c>
    </row>
    <row r="97" customFormat="false" ht="15" hidden="false" customHeight="false" outlineLevel="0" collapsed="false">
      <c r="A97" s="0" t="n">
        <v>57</v>
      </c>
      <c r="B97" s="88" t="n">
        <f aca="false">2026+INT(A97/12)</f>
        <v>2030</v>
      </c>
      <c r="C97" s="88" t="n">
        <f aca="false">MAX(0,MIN(1,A97+1-$AO$3))</f>
        <v>1</v>
      </c>
      <c r="D97" s="88" t="n">
        <f aca="false">IF((A97+0.5-(0))&lt;$AO$3,0,2026+INT((A97+0.5-(0))/12))</f>
        <v>2030</v>
      </c>
      <c r="E97" s="88" t="n">
        <f aca="false">IF((A97+0.5-($AO$9))&lt;$AO$3,0,2026+INT((A97+0.5-($AO$9))/12))</f>
        <v>2029</v>
      </c>
      <c r="F97" s="88" t="n">
        <f aca="false">IF((A97+0.5-($AO$9+$AO$8))&lt;$AO$3,0,2026+INT((A97+0.5-($AO$9+$AO$8))/12))</f>
        <v>2028</v>
      </c>
      <c r="G97" s="88" t="n">
        <f aca="false">IF((A97+0.5-($AO$9+$AO$8+$AO$7))&lt;$AO$3,0,2026+INT((A97+0.5-($AO$9+$AO$8+$AO$7))/12))</f>
        <v>2027</v>
      </c>
      <c r="H97" s="88" t="n">
        <f aca="false">IF(B97=2026,INDEX($C$3:$Q$3,1,B97-2025)*$AO$4*C97/MAX(0.0001,12-$AO$3),INDEX($C$3:$Q$3,1,B97-2025)/12)</f>
        <v>355.25</v>
      </c>
      <c r="I97" s="88" t="n">
        <f aca="false">$AO$6*INDEX($Y$3:$AB$3,1,B97-2026)/12</f>
        <v>70.9166666666667</v>
      </c>
      <c r="J97" s="88" t="n">
        <f aca="false">H97+J96</f>
        <v>17334.2534246575</v>
      </c>
      <c r="K97" s="88" t="n">
        <f aca="false">I97+K96</f>
        <v>6979.96666666667</v>
      </c>
      <c r="L97" s="88" t="n">
        <f aca="false">MAX(L96,J97-K97)</f>
        <v>10354.2867579909</v>
      </c>
      <c r="M97" s="88" t="n">
        <f aca="false">L97-L96</f>
        <v>284.333333333334</v>
      </c>
      <c r="N97" s="88" t="n">
        <f aca="false">IF(B97=2026,INDEX($C$4:$Q$4,1,B97-2025)*$AO$4*C97/MAX(0.0001,12-$AO$3),INDEX($C$4:$Q$4,1,B97-2025)/12)</f>
        <v>10.7700632578534</v>
      </c>
      <c r="O97" s="88" t="n">
        <f aca="false">$AO$6*INDEX($Y$4:$AB$4,1,B97-2026)/12</f>
        <v>7.075</v>
      </c>
      <c r="P97" s="88" t="n">
        <f aca="false">N97+P96</f>
        <v>525.520072937995</v>
      </c>
      <c r="Q97" s="88" t="n">
        <f aca="false">O97+Q96</f>
        <v>383.95</v>
      </c>
      <c r="R97" s="88" t="n">
        <f aca="false">MAX(R96,P97-Q97)</f>
        <v>141.570072937995</v>
      </c>
      <c r="S97" s="88" t="n">
        <f aca="false">R97-R96</f>
        <v>3.69506325785341</v>
      </c>
      <c r="T97" s="88" t="n">
        <f aca="false">IF(B97=2026,INDEX($C$5:$Q$5,1,B97-2025)*$AO$4*C97/MAX(0.0001,12-$AO$3),INDEX($C$5:$Q$5,1,B97-2025)/12)</f>
        <v>43.7734247619348</v>
      </c>
      <c r="U97" s="88" t="n">
        <f aca="false">$AO$6*INDEX($Y$5:$AB$5,1,B97-2026)/12</f>
        <v>8.56666666666667</v>
      </c>
      <c r="V97" s="88" t="n">
        <f aca="false">T97+V96</f>
        <v>2135.90327400016</v>
      </c>
      <c r="W97" s="88" t="n">
        <f aca="false">U97+W96</f>
        <v>1097.76666666667</v>
      </c>
      <c r="X97" s="88" t="n">
        <f aca="false">MAX(X96,V97-W97)</f>
        <v>1038.1366073335</v>
      </c>
      <c r="Y97" s="88" t="n">
        <f aca="false">X97-X96</f>
        <v>35.206758095268</v>
      </c>
      <c r="Z97" s="88" t="n">
        <f aca="false">IF(B97=2026,INDEX($C$6:$Q$6,1,B97-2025)*$AO$4*C97/MAX(0.0001,12-$AO$3),INDEX($C$6:$Q$6,1,B97-2025)/12)</f>
        <v>51.933610116259</v>
      </c>
      <c r="AA97" s="88" t="n">
        <f aca="false">$AO$6*INDEX($Y$6:$AB$6,1,B97-2026)/12</f>
        <v>16.8833333333333</v>
      </c>
      <c r="AB97" s="88" t="n">
        <f aca="false">Z97+AB96</f>
        <v>2534.07560594677</v>
      </c>
      <c r="AC97" s="88" t="n">
        <f aca="false">AA97+AC96</f>
        <v>1268.53333333334</v>
      </c>
      <c r="AD97" s="88" t="n">
        <f aca="false">MAX(AD96,AB97-AC97)</f>
        <v>1265.54227261344</v>
      </c>
      <c r="AE97" s="88" t="n">
        <f aca="false">AD97-AD96</f>
        <v>35.0502767829255</v>
      </c>
      <c r="AF97" s="88" t="n">
        <f aca="false">IF(B97=2026,INDEX($C$7:$Q$7,1,B97-2025)*$AO$4*C97/MAX(0.0001,12-$AO$3),INDEX($C$7:$Q$7,1,B97-2025)/12)</f>
        <v>45.11289896006</v>
      </c>
      <c r="AG97" s="88" t="n">
        <f aca="false">$AO$6*INDEX($Y$7:$AB$7,1,B97-2026)/12</f>
        <v>6.05833333333333</v>
      </c>
      <c r="AH97" s="88" t="n">
        <f aca="false">AF97+AH96</f>
        <v>2201.26227528402</v>
      </c>
      <c r="AI97" s="88" t="n">
        <f aca="false">AG97+AI96</f>
        <v>661.183333333333</v>
      </c>
      <c r="AJ97" s="88" t="n">
        <f aca="false">MAX(AJ96,AH97-AI97)</f>
        <v>1540.07894195069</v>
      </c>
      <c r="AK97" s="88" t="n">
        <f aca="false">AJ97-AJ96</f>
        <v>39.0545656267268</v>
      </c>
      <c r="AL97" s="88" t="n">
        <f aca="false">IF(B97=2026,INDEX($C$8:$Q$8,1,B97-2025)*$AO$4*C97/MAX(0.0001,12-$AO$3),INDEX($C$8:$Q$8,1,B97-2025)/12)</f>
        <v>11.4114321188341</v>
      </c>
      <c r="AM97" s="88" t="n">
        <f aca="false">$AO$6*INDEX($Y$8:$AB$8,1,B97-2026)/12</f>
        <v>0</v>
      </c>
      <c r="AN97" s="88" t="n">
        <f aca="false">AL97+AN96</f>
        <v>556.815359003931</v>
      </c>
      <c r="AO97" s="88" t="n">
        <f aca="false">AM97+AO96</f>
        <v>66</v>
      </c>
      <c r="AP97" s="88" t="n">
        <f aca="false">MAX(AP96,AN97-AO97)</f>
        <v>490.815359003931</v>
      </c>
      <c r="AQ97" s="88" t="n">
        <f aca="false">AP97-AP96</f>
        <v>11.4114321188341</v>
      </c>
      <c r="AR97" s="88" t="n">
        <f aca="false">IF(B97=2026,INDEX($C$9:$Q$9,1,B97-2025)*$AO$4*C97/MAX(0.0001,12-$AO$3),INDEX($C$9:$Q$9,1,B97-2025)/12)</f>
        <v>48.6576953186344</v>
      </c>
      <c r="AS97" s="88" t="n">
        <f aca="false">$AO$6*INDEX($Y$9:$AB$9,1,B97-2026)/12</f>
        <v>25.2</v>
      </c>
      <c r="AT97" s="88" t="n">
        <f aca="false">AR97+AT96</f>
        <v>2374.22891404076</v>
      </c>
      <c r="AU97" s="88" t="n">
        <f aca="false">AS97+AU96</f>
        <v>1534.8</v>
      </c>
      <c r="AV97" s="88" t="n">
        <f aca="false">MAX(AV96,AT97-AU97)</f>
        <v>839.42891404076</v>
      </c>
      <c r="AW97" s="88" t="n">
        <f aca="false">AV97-AV96</f>
        <v>23.4576953186345</v>
      </c>
      <c r="AX97" s="88" t="n">
        <f aca="false">IF(B97=2026,INDEX($C$10:$Q$10,1,B97-2025)*$AO$4*C97/MAX(0.0001,12-$AO$3),INDEX($C$10:$Q$10,1,B97-2025)/12)</f>
        <v>5.64404597663043</v>
      </c>
      <c r="AY97" s="88" t="n">
        <f aca="false">$AO$6*INDEX($Y$10:$AB$10,1,B97-2026)/12</f>
        <v>0.025</v>
      </c>
      <c r="AZ97" s="88" t="n">
        <f aca="false">AX97+AZ96</f>
        <v>275.398517380241</v>
      </c>
      <c r="BA97" s="88" t="n">
        <f aca="false">AY97+BA96</f>
        <v>49.95</v>
      </c>
      <c r="BB97" s="88" t="n">
        <f aca="false">MAX(BB96,AZ97-BA97)</f>
        <v>225.448517380241</v>
      </c>
      <c r="BC97" s="88" t="n">
        <f aca="false">BB97-BB96</f>
        <v>5.61904597663042</v>
      </c>
      <c r="BD97" s="88" t="n">
        <f aca="false">IF(B97=2026,INDEX($C$11:$Q$11,1,B97-2025)*$AO$4*C97/MAX(0.0001,12-$AO$3),INDEX($C$11:$Q$11,1,B97-2025)/12)</f>
        <v>28.0475536513497</v>
      </c>
      <c r="BE97" s="88" t="n">
        <f aca="false">$AO$6*INDEX($Y$11:$AB$11,1,B97-2026)/12</f>
        <v>0</v>
      </c>
      <c r="BF97" s="88" t="n">
        <f aca="false">BD97+BF96</f>
        <v>1368.56693296038</v>
      </c>
      <c r="BG97" s="88" t="n">
        <f aca="false">BE97+BG96</f>
        <v>240</v>
      </c>
      <c r="BH97" s="88" t="n">
        <f aca="false">MAX(BH96,BF97-BG97)</f>
        <v>1128.56693296038</v>
      </c>
      <c r="BI97" s="88" t="n">
        <f aca="false">BH97-BH96</f>
        <v>28.0475536513497</v>
      </c>
      <c r="BJ97" s="88" t="n">
        <f aca="false">IF(B97=2026,INDEX($C$12:$Q$12,1,B97-2025)*$AO$4*C97/MAX(0.0001,12-$AO$3),INDEX($C$12:$Q$12,1,B97-2025)/12)</f>
        <v>15.3780518436687</v>
      </c>
      <c r="BK97" s="88" t="n">
        <f aca="false">$AO$6*INDEX($Y$12:$AB$12,1,B97-2026)/12</f>
        <v>4.78333333333333</v>
      </c>
      <c r="BL97" s="88" t="n">
        <f aca="false">BJ97+BL96</f>
        <v>750.364666673262</v>
      </c>
      <c r="BM97" s="88" t="n">
        <f aca="false">BK97+BM96</f>
        <v>151.433333333333</v>
      </c>
      <c r="BN97" s="88" t="n">
        <f aca="false">MAX(BN96,BL97-BM97)</f>
        <v>598.931333339929</v>
      </c>
      <c r="BO97" s="88" t="n">
        <f aca="false">BN97-BN96</f>
        <v>10.5947185103355</v>
      </c>
      <c r="BP97" s="88" t="n">
        <f aca="false">IF(B97=2026,INDEX($C$13:$Q$13,1,B97-2025)*$AO$4*C97/MAX(0.0001,12-$AO$3),INDEX($C$13:$Q$13,1,B97-2025)/12)</f>
        <v>4.80560220169792</v>
      </c>
      <c r="BQ97" s="88" t="n">
        <f aca="false">$AO$6*INDEX($Y$13:$AB$13,1,B97-2026)/12</f>
        <v>0.0583333333333333</v>
      </c>
      <c r="BR97" s="88" t="n">
        <f aca="false">BP97+BR96</f>
        <v>234.487055376</v>
      </c>
      <c r="BS97" s="88" t="n">
        <f aca="false">BQ97+BS96</f>
        <v>86.8833333333333</v>
      </c>
      <c r="BT97" s="88" t="n">
        <f aca="false">MAX(BT96,BR97-BS97)</f>
        <v>147.603722042667</v>
      </c>
      <c r="BU97" s="88" t="n">
        <f aca="false">BT97-BT96</f>
        <v>4.74726886836459</v>
      </c>
      <c r="BV97" s="88" t="n">
        <f aca="false">IF(B97=2026,INDEX($C$14:$Q$14,1,B97-2025)*$AO$4*C97/MAX(0.0001,12-$AO$3),INDEX($C$14:$Q$14,1,B97-2025)/12)</f>
        <v>2.85021923686911</v>
      </c>
      <c r="BW97" s="88" t="n">
        <f aca="false">$AO$6*INDEX($Y$14:$AB$14,1,B97-2026)/12</f>
        <v>0</v>
      </c>
      <c r="BX97" s="88" t="n">
        <f aca="false">BV97+BX96</f>
        <v>139.075081119559</v>
      </c>
      <c r="BY97" s="88" t="n">
        <f aca="false">BW97+BY96</f>
        <v>0</v>
      </c>
      <c r="BZ97" s="88" t="n">
        <f aca="false">MAX(BZ96,BX97-BY97)</f>
        <v>139.075081119559</v>
      </c>
      <c r="CA97" s="88" t="n">
        <f aca="false">BZ97-BZ96</f>
        <v>2.85021923686912</v>
      </c>
      <c r="CB97" s="88" t="n">
        <f aca="false">IF(B97=2026,INDEX($C$15:$Q$15,1,B97-2025)*$AO$4*C97/MAX(0.0001,12-$AO$3),INDEX($C$15:$Q$15,1,B97-2025)/12)</f>
        <v>4.67303386509936</v>
      </c>
      <c r="CC97" s="88" t="n">
        <f aca="false">$AO$6*INDEX($Y$15:$AB$15,1,B97-2026)/12</f>
        <v>0</v>
      </c>
      <c r="CD97" s="88" t="n">
        <f aca="false">CB97+CD96</f>
        <v>228.018446951834</v>
      </c>
      <c r="CE97" s="88" t="n">
        <f aca="false">CC97+CE96</f>
        <v>88.0000000000001</v>
      </c>
      <c r="CF97" s="88" t="n">
        <f aca="false">MAX(CF96,CD97-CE97)</f>
        <v>140.018446951834</v>
      </c>
      <c r="CG97" s="88" t="n">
        <f aca="false">CF97-CF96</f>
        <v>4.67303386509934</v>
      </c>
      <c r="CH97" s="88" t="n">
        <f aca="false">IF(B97=2026,INDEX($C$16:$Q$16,1,B97-2025)*$AO$4*C97/MAX(0.0001,12-$AO$3),INDEX($C$16:$Q$16,1,B97-2025)/12)</f>
        <v>3.69534238268495</v>
      </c>
      <c r="CI97" s="88" t="n">
        <f aca="false">$AO$6*INDEX($Y$16:$AB$16,1,B97-2026)/12</f>
        <v>0</v>
      </c>
      <c r="CJ97" s="88" t="n">
        <f aca="false">CH97+CJ96</f>
        <v>180.312459823614</v>
      </c>
      <c r="CK97" s="88" t="n">
        <f aca="false">CI97+CK96</f>
        <v>70</v>
      </c>
      <c r="CL97" s="88" t="n">
        <f aca="false">MAX(CL96,CJ97-CK97)</f>
        <v>110.312459823614</v>
      </c>
      <c r="CM97" s="88" t="n">
        <f aca="false">CL97-CL96</f>
        <v>3.69534238268494</v>
      </c>
      <c r="CN97" s="88" t="n">
        <f aca="false">IF(B97=2026,INDEX($C$17:$Q$17,1,B97-2025)*$AO$4*C97/MAX(0.0001,12-$AO$3),INDEX($C$17:$Q$17,1,B97-2025)/12)</f>
        <v>16.0904818546506</v>
      </c>
      <c r="CO97" s="88" t="n">
        <f aca="false">$AO$6*INDEX($Y$17:$AB$17,1,B97-2026)/12</f>
        <v>0</v>
      </c>
      <c r="CP97" s="88" t="n">
        <f aca="false">CN97+CP96</f>
        <v>785.12734748309</v>
      </c>
      <c r="CQ97" s="88" t="n">
        <f aca="false">CO97+CQ96</f>
        <v>221</v>
      </c>
      <c r="CR97" s="88" t="n">
        <f aca="false">MAX(CR96,CP97-CQ97)</f>
        <v>564.12734748309</v>
      </c>
      <c r="CS97" s="88" t="n">
        <f aca="false">CR97-CR96</f>
        <v>16.0904818546506</v>
      </c>
      <c r="CT97" s="88" t="n">
        <f aca="false">IF(B97=2026,INDEX($C$18:$Q$18,1,B97-2025)*$AO$4*C97/MAX(0.0001,12-$AO$3),INDEX($C$18:$Q$18,1,B97-2025)/12)</f>
        <v>3.34735049911372</v>
      </c>
      <c r="CU97" s="88" t="n">
        <f aca="false">$AO$6*INDEX($Y$18:$AB$18,1,B97-2026)/12</f>
        <v>0</v>
      </c>
      <c r="CV97" s="88" t="n">
        <f aca="false">CT97+CV96</f>
        <v>163.332362710179</v>
      </c>
      <c r="CW97" s="88" t="n">
        <f aca="false">CU97+CW96</f>
        <v>11</v>
      </c>
      <c r="CX97" s="88" t="n">
        <f aca="false">MAX(CX96,CV97-CW97)</f>
        <v>152.332362710179</v>
      </c>
      <c r="CY97" s="88" t="n">
        <f aca="false">CX97-CX96</f>
        <v>3.34735049911373</v>
      </c>
      <c r="CZ97" s="88" t="n">
        <f aca="false">IF(B97=2026,INDEX($C$19:$Q$19,1,B97-2025)*$AO$4*C97/MAX(0.0001,12-$AO$3),INDEX($C$19:$Q$19,1,B97-2025)/12)</f>
        <v>3.31420841496408</v>
      </c>
      <c r="DA97" s="88" t="n">
        <f aca="false">$AO$6*INDEX($Y$19:$AB$19,1,B97-2026)/12</f>
        <v>1.85</v>
      </c>
      <c r="DB97" s="88" t="n">
        <f aca="false">CZ97+DB96</f>
        <v>161.715210604138</v>
      </c>
      <c r="DC97" s="88" t="n">
        <f aca="false">DA97+DC96</f>
        <v>222.3</v>
      </c>
      <c r="DD97" s="88" t="n">
        <f aca="false">MAX(DD96,DB97-DC97)</f>
        <v>37.132124495359</v>
      </c>
      <c r="DE97" s="88" t="n">
        <f aca="false">DD97-DD96</f>
        <v>0</v>
      </c>
      <c r="DF97" s="88" t="n">
        <f aca="false">IF(B97=2026,INDEX($C$20:$Q$20,1,B97-2025)*$AO$4*C97/MAX(0.0001,12-$AO$3),INDEX($C$20:$Q$20,1,B97-2025)/12)</f>
        <v>2.70107985819573</v>
      </c>
      <c r="DG97" s="88" t="n">
        <f aca="false">$AO$6*INDEX($Y$20:$AB$20,1,B97-2026)/12</f>
        <v>0</v>
      </c>
      <c r="DH97" s="88" t="n">
        <f aca="false">DF97+DH96</f>
        <v>131.797896642372</v>
      </c>
      <c r="DI97" s="88" t="n">
        <f aca="false">DG97+DI96</f>
        <v>0</v>
      </c>
      <c r="DJ97" s="88" t="n">
        <f aca="false">MAX(DJ96,DH97-DI97)</f>
        <v>131.797896642372</v>
      </c>
      <c r="DK97" s="88" t="n">
        <f aca="false">DJ97-DJ96</f>
        <v>2.70107985819573</v>
      </c>
      <c r="DL97" s="88" t="n">
        <f aca="false">IF(B97=2026,INDEX($C$21:$Q$21,1,B97-2025)*$AO$4*C97/MAX(0.0001,12-$AO$3),INDEX($C$21:$Q$21,1,B97-2025)/12)</f>
        <v>1.88909879652953</v>
      </c>
      <c r="DM97" s="88" t="n">
        <f aca="false">$AO$6*INDEX($Y$21:$AB$21,1,B97-2026)/12</f>
        <v>0</v>
      </c>
      <c r="DN97" s="88" t="n">
        <f aca="false">DL97+DN96</f>
        <v>92.1776700443585</v>
      </c>
      <c r="DO97" s="88" t="n">
        <f aca="false">DM97+DO96</f>
        <v>100</v>
      </c>
      <c r="DP97" s="88" t="n">
        <f aca="false">MAX(DP96,DN97-DO97)</f>
        <v>17.7483109623547</v>
      </c>
      <c r="DQ97" s="88" t="n">
        <f aca="false">DP97-DP96</f>
        <v>0</v>
      </c>
      <c r="DR97" s="88" t="n">
        <f aca="false">IF(B97=2026,INDEX($C$22:$Q$22,1,B97-2025)*$AO$4*C97/MAX(0.0001,12-$AO$3),INDEX($C$22:$Q$22,1,B97-2025)/12)</f>
        <v>1.47482274465902</v>
      </c>
      <c r="DS97" s="88" t="n">
        <f aca="false">$AO$6*INDEX($Y$22:$AB$22,1,B97-2026)/12</f>
        <v>0</v>
      </c>
      <c r="DT97" s="88" t="n">
        <f aca="false">DR97+DT96</f>
        <v>71.9632687188413</v>
      </c>
      <c r="DU97" s="88" t="n">
        <f aca="false">DS97+DU96</f>
        <v>29</v>
      </c>
      <c r="DV97" s="88" t="n">
        <f aca="false">MAX(DV96,DT97-DU97)</f>
        <v>42.9632687188413</v>
      </c>
      <c r="DW97" s="88" t="n">
        <f aca="false">DV97-DV96</f>
        <v>1.47482274465902</v>
      </c>
      <c r="DX97" s="88" t="n">
        <f aca="false">IF(B97=2026,INDEX($C$23:$Q$23,1,B97-2025)*$AO$4*C97/MAX(0.0001,12-$AO$3),INDEX($C$23:$Q$23,1,B97-2025)/12)</f>
        <v>2.36965901669932</v>
      </c>
      <c r="DY97" s="88" t="n">
        <f aca="false">$AO$6*INDEX($Y$23:$AB$23,1,B97-2026)/12</f>
        <v>0</v>
      </c>
      <c r="DZ97" s="88" t="n">
        <f aca="false">DX97+DZ96</f>
        <v>115.626375581958</v>
      </c>
      <c r="EA97" s="88" t="n">
        <f aca="false">DY97+EA96</f>
        <v>121</v>
      </c>
      <c r="EB97" s="88" t="n">
        <f aca="false">MAX(EB96,DZ97-EA97)</f>
        <v>35.0579690141817</v>
      </c>
      <c r="EC97" s="88" t="n">
        <f aca="false">EB97-EB96</f>
        <v>0</v>
      </c>
      <c r="ED97" s="88" t="n">
        <f aca="false">IF(B97=2026,INDEX($C$24:$Q$24,1,B97-2025)*$AO$4*C97/MAX(0.0001,12-$AO$3),INDEX($C$24:$Q$24,1,B97-2025)/12)</f>
        <v>1.4582517025842</v>
      </c>
      <c r="EE97" s="88" t="n">
        <f aca="false">$AO$6*INDEX($Y$24:$AB$24,1,B97-2026)/12</f>
        <v>0</v>
      </c>
      <c r="EF97" s="88" t="n">
        <f aca="false">ED97+EF96</f>
        <v>71.1546926658207</v>
      </c>
      <c r="EG97" s="88" t="n">
        <f aca="false">EE97+EG96</f>
        <v>0</v>
      </c>
      <c r="EH97" s="88" t="n">
        <f aca="false">MAX(EH96,EF97-EG97)</f>
        <v>71.1546926658207</v>
      </c>
      <c r="EI97" s="88" t="n">
        <f aca="false">EH97-EH96</f>
        <v>1.45825170258419</v>
      </c>
      <c r="EJ97" s="88" t="n">
        <f aca="false">IF(B97=2026,INDEX($C$25:$Q$25,1,B97-2025)*$AO$4*C97/MAX(0.0001,12-$AO$3),INDEX($C$25:$Q$25,1,B97-2025)/12)</f>
        <v>1.85595671237989</v>
      </c>
      <c r="EK97" s="88" t="n">
        <f aca="false">$AO$6*INDEX($Y$25:$AB$25,1,B97-2026)/12</f>
        <v>0</v>
      </c>
      <c r="EL97" s="88" t="n">
        <f aca="false">EJ97+EL96</f>
        <v>90.5605179383173</v>
      </c>
      <c r="EM97" s="88" t="n">
        <f aca="false">EK97+EM96</f>
        <v>14</v>
      </c>
      <c r="EN97" s="88" t="n">
        <f aca="false">MAX(EN96,EL97-EM97)</f>
        <v>76.5605179383173</v>
      </c>
      <c r="EO97" s="88" t="n">
        <f aca="false">EN97-EN96</f>
        <v>1.85595671237988</v>
      </c>
      <c r="EP97" s="88" t="n">
        <f aca="false">IF(B97=2026,INDEX($C$26:$Q$26,1,B97-2025)*$AO$4*C97/MAX(0.0001,12-$AO$3),INDEX($C$26:$Q$26,1,B97-2025)/12)</f>
        <v>2.66793777404609</v>
      </c>
      <c r="EQ97" s="88" t="n">
        <f aca="false">$AO$6*INDEX($Y$26:$AB$26,1,B97-2026)/12</f>
        <v>0</v>
      </c>
      <c r="ER97" s="88" t="n">
        <f aca="false">EP97+ER96</f>
        <v>130.180744536331</v>
      </c>
      <c r="ES97" s="88" t="n">
        <f aca="false">EQ97+ES96</f>
        <v>4</v>
      </c>
      <c r="ET97" s="88" t="n">
        <f aca="false">MAX(ET96,ER97-ES97)</f>
        <v>126.180744536331</v>
      </c>
      <c r="EU97" s="88" t="n">
        <f aca="false">ET97-ET96</f>
        <v>2.66793777404608</v>
      </c>
      <c r="EV97" s="88" t="n">
        <f aca="false">IF(B97=2026,INDEX($C$27:$Q$27,1,B97-2025)*$AO$4*C97/MAX(0.0001,12-$AO$3),INDEX($C$27:$Q$27,1,B97-2025)/12)</f>
        <v>6.62841682992816</v>
      </c>
      <c r="EW97" s="88" t="n">
        <f aca="false">$AO$6*INDEX($Y$27:$AB$27,1,B97-2026)/12</f>
        <v>0.416666666666667</v>
      </c>
      <c r="EX97" s="88" t="n">
        <f aca="false">EV97+EX96</f>
        <v>323.430421208276</v>
      </c>
      <c r="EY97" s="88" t="n">
        <f aca="false">EW97+EY96</f>
        <v>390.166666666667</v>
      </c>
      <c r="EZ97" s="88" t="n">
        <f aca="false">MAX(EZ96,EX97-EY97)</f>
        <v>0</v>
      </c>
      <c r="FA97" s="88" t="n">
        <f aca="false">EZ97-EZ96</f>
        <v>0</v>
      </c>
      <c r="FB97" s="88" t="n">
        <f aca="false">IF(B97=2026,INDEX($C$28:$Q$28,1,B97-2025)*$AO$4*C97/MAX(0.0001,12-$AO$3),INDEX($C$28:$Q$28,1,B97-2025)/12)</f>
        <v>34.6997621046739</v>
      </c>
      <c r="FC97" s="88" t="n">
        <f aca="false">$AO$6*INDEX($Y$28:$AB$28,1,B97-2026)/12</f>
        <v>0</v>
      </c>
      <c r="FD97" s="88" t="n">
        <f aca="false">FB97+FD96</f>
        <v>1693.15825502532</v>
      </c>
      <c r="FE97" s="88" t="n">
        <f aca="false">FC97+FE96</f>
        <v>169</v>
      </c>
      <c r="FF97" s="88" t="n">
        <f aca="false">MAX(FF96,FD97-FE97)</f>
        <v>1524.15825502532</v>
      </c>
      <c r="FG97" s="88" t="n">
        <f aca="false">FF97-FF96</f>
        <v>34.6997621046739</v>
      </c>
    </row>
    <row r="98" customFormat="false" ht="15" hidden="false" customHeight="false" outlineLevel="0" collapsed="false">
      <c r="A98" s="0" t="n">
        <v>58</v>
      </c>
      <c r="B98" s="88" t="n">
        <f aca="false">2026+INT(A98/12)</f>
        <v>2030</v>
      </c>
      <c r="C98" s="88" t="n">
        <f aca="false">MAX(0,MIN(1,A98+1-$AO$3))</f>
        <v>1</v>
      </c>
      <c r="D98" s="88" t="n">
        <f aca="false">IF((A98+0.5-(0))&lt;$AO$3,0,2026+INT((A98+0.5-(0))/12))</f>
        <v>2030</v>
      </c>
      <c r="E98" s="88" t="n">
        <f aca="false">IF((A98+0.5-($AO$9))&lt;$AO$3,0,2026+INT((A98+0.5-($AO$9))/12))</f>
        <v>2029</v>
      </c>
      <c r="F98" s="88" t="n">
        <f aca="false">IF((A98+0.5-($AO$9+$AO$8))&lt;$AO$3,0,2026+INT((A98+0.5-($AO$9+$AO$8))/12))</f>
        <v>2028</v>
      </c>
      <c r="G98" s="88" t="n">
        <f aca="false">IF((A98+0.5-($AO$9+$AO$8+$AO$7))&lt;$AO$3,0,2026+INT((A98+0.5-($AO$9+$AO$8+$AO$7))/12))</f>
        <v>2027</v>
      </c>
      <c r="H98" s="88" t="n">
        <f aca="false">IF(B98=2026,INDEX($C$3:$Q$3,1,B98-2025)*$AO$4*C98/MAX(0.0001,12-$AO$3),INDEX($C$3:$Q$3,1,B98-2025)/12)</f>
        <v>355.25</v>
      </c>
      <c r="I98" s="88" t="n">
        <f aca="false">$AO$6*INDEX($Y$3:$AB$3,1,B98-2026)/12</f>
        <v>70.9166666666667</v>
      </c>
      <c r="J98" s="88" t="n">
        <f aca="false">H98+J97</f>
        <v>17689.5034246575</v>
      </c>
      <c r="K98" s="88" t="n">
        <f aca="false">I98+K97</f>
        <v>7050.88333333334</v>
      </c>
      <c r="L98" s="88" t="n">
        <f aca="false">MAX(L97,J98-K98)</f>
        <v>10638.6200913242</v>
      </c>
      <c r="M98" s="88" t="n">
        <f aca="false">L98-L97</f>
        <v>284.333333333332</v>
      </c>
      <c r="N98" s="88" t="n">
        <f aca="false">IF(B98=2026,INDEX($C$4:$Q$4,1,B98-2025)*$AO$4*C98/MAX(0.0001,12-$AO$3),INDEX($C$4:$Q$4,1,B98-2025)/12)</f>
        <v>10.7700632578534</v>
      </c>
      <c r="O98" s="88" t="n">
        <f aca="false">$AO$6*INDEX($Y$4:$AB$4,1,B98-2026)/12</f>
        <v>7.075</v>
      </c>
      <c r="P98" s="88" t="n">
        <f aca="false">N98+P97</f>
        <v>536.290136195848</v>
      </c>
      <c r="Q98" s="88" t="n">
        <f aca="false">O98+Q97</f>
        <v>391.025</v>
      </c>
      <c r="R98" s="88" t="n">
        <f aca="false">MAX(R97,P98-Q98)</f>
        <v>145.265136195848</v>
      </c>
      <c r="S98" s="88" t="n">
        <f aca="false">R98-R97</f>
        <v>3.69506325785341</v>
      </c>
      <c r="T98" s="88" t="n">
        <f aca="false">IF(B98=2026,INDEX($C$5:$Q$5,1,B98-2025)*$AO$4*C98/MAX(0.0001,12-$AO$3),INDEX($C$5:$Q$5,1,B98-2025)/12)</f>
        <v>43.7734247619348</v>
      </c>
      <c r="U98" s="88" t="n">
        <f aca="false">$AO$6*INDEX($Y$5:$AB$5,1,B98-2026)/12</f>
        <v>8.56666666666667</v>
      </c>
      <c r="V98" s="88" t="n">
        <f aca="false">T98+V97</f>
        <v>2179.6766987621</v>
      </c>
      <c r="W98" s="88" t="n">
        <f aca="false">U98+W97</f>
        <v>1106.33333333333</v>
      </c>
      <c r="X98" s="88" t="n">
        <f aca="false">MAX(X97,V98-W98)</f>
        <v>1073.34336542876</v>
      </c>
      <c r="Y98" s="88" t="n">
        <f aca="false">X98-X97</f>
        <v>35.206758095268</v>
      </c>
      <c r="Z98" s="88" t="n">
        <f aca="false">IF(B98=2026,INDEX($C$6:$Q$6,1,B98-2025)*$AO$4*C98/MAX(0.0001,12-$AO$3),INDEX($C$6:$Q$6,1,B98-2025)/12)</f>
        <v>51.933610116259</v>
      </c>
      <c r="AA98" s="88" t="n">
        <f aca="false">$AO$6*INDEX($Y$6:$AB$6,1,B98-2026)/12</f>
        <v>16.8833333333333</v>
      </c>
      <c r="AB98" s="88" t="n">
        <f aca="false">Z98+AB97</f>
        <v>2586.00921606303</v>
      </c>
      <c r="AC98" s="88" t="n">
        <f aca="false">AA98+AC97</f>
        <v>1285.41666666667</v>
      </c>
      <c r="AD98" s="88" t="n">
        <f aca="false">MAX(AD97,AB98-AC98)</f>
        <v>1300.59254939636</v>
      </c>
      <c r="AE98" s="88" t="n">
        <f aca="false">AD98-AD97</f>
        <v>35.0502767829255</v>
      </c>
      <c r="AF98" s="88" t="n">
        <f aca="false">IF(B98=2026,INDEX($C$7:$Q$7,1,B98-2025)*$AO$4*C98/MAX(0.0001,12-$AO$3),INDEX($C$7:$Q$7,1,B98-2025)/12)</f>
        <v>45.11289896006</v>
      </c>
      <c r="AG98" s="88" t="n">
        <f aca="false">$AO$6*INDEX($Y$7:$AB$7,1,B98-2026)/12</f>
        <v>6.05833333333333</v>
      </c>
      <c r="AH98" s="88" t="n">
        <f aca="false">AF98+AH97</f>
        <v>2246.37517424408</v>
      </c>
      <c r="AI98" s="88" t="n">
        <f aca="false">AG98+AI97</f>
        <v>667.241666666666</v>
      </c>
      <c r="AJ98" s="88" t="n">
        <f aca="false">MAX(AJ97,AH98-AI98)</f>
        <v>1579.13350757742</v>
      </c>
      <c r="AK98" s="88" t="n">
        <f aca="false">AJ98-AJ97</f>
        <v>39.054565626727</v>
      </c>
      <c r="AL98" s="88" t="n">
        <f aca="false">IF(B98=2026,INDEX($C$8:$Q$8,1,B98-2025)*$AO$4*C98/MAX(0.0001,12-$AO$3),INDEX($C$8:$Q$8,1,B98-2025)/12)</f>
        <v>11.4114321188341</v>
      </c>
      <c r="AM98" s="88" t="n">
        <f aca="false">$AO$6*INDEX($Y$8:$AB$8,1,B98-2026)/12</f>
        <v>0</v>
      </c>
      <c r="AN98" s="88" t="n">
        <f aca="false">AL98+AN97</f>
        <v>568.226791122765</v>
      </c>
      <c r="AO98" s="88" t="n">
        <f aca="false">AM98+AO97</f>
        <v>66</v>
      </c>
      <c r="AP98" s="88" t="n">
        <f aca="false">MAX(AP97,AN98-AO98)</f>
        <v>502.226791122765</v>
      </c>
      <c r="AQ98" s="88" t="n">
        <f aca="false">AP98-AP97</f>
        <v>11.4114321188341</v>
      </c>
      <c r="AR98" s="88" t="n">
        <f aca="false">IF(B98=2026,INDEX($C$9:$Q$9,1,B98-2025)*$AO$4*C98/MAX(0.0001,12-$AO$3),INDEX($C$9:$Q$9,1,B98-2025)/12)</f>
        <v>48.6576953186344</v>
      </c>
      <c r="AS98" s="88" t="n">
        <f aca="false">$AO$6*INDEX($Y$9:$AB$9,1,B98-2026)/12</f>
        <v>25.2</v>
      </c>
      <c r="AT98" s="88" t="n">
        <f aca="false">AR98+AT97</f>
        <v>2422.8866093594</v>
      </c>
      <c r="AU98" s="88" t="n">
        <f aca="false">AS98+AU97</f>
        <v>1560</v>
      </c>
      <c r="AV98" s="88" t="n">
        <f aca="false">MAX(AV97,AT98-AU98)</f>
        <v>862.886609359395</v>
      </c>
      <c r="AW98" s="88" t="n">
        <f aca="false">AV98-AV97</f>
        <v>23.4576953186345</v>
      </c>
      <c r="AX98" s="88" t="n">
        <f aca="false">IF(B98=2026,INDEX($C$10:$Q$10,1,B98-2025)*$AO$4*C98/MAX(0.0001,12-$AO$3),INDEX($C$10:$Q$10,1,B98-2025)/12)</f>
        <v>5.64404597663043</v>
      </c>
      <c r="AY98" s="88" t="n">
        <f aca="false">$AO$6*INDEX($Y$10:$AB$10,1,B98-2026)/12</f>
        <v>0.025</v>
      </c>
      <c r="AZ98" s="88" t="n">
        <f aca="false">AX98+AZ97</f>
        <v>281.042563356871</v>
      </c>
      <c r="BA98" s="88" t="n">
        <f aca="false">AY98+BA97</f>
        <v>49.975</v>
      </c>
      <c r="BB98" s="88" t="n">
        <f aca="false">MAX(BB97,AZ98-BA98)</f>
        <v>231.067563356871</v>
      </c>
      <c r="BC98" s="88" t="n">
        <f aca="false">BB98-BB97</f>
        <v>5.61904597663045</v>
      </c>
      <c r="BD98" s="88" t="n">
        <f aca="false">IF(B98=2026,INDEX($C$11:$Q$11,1,B98-2025)*$AO$4*C98/MAX(0.0001,12-$AO$3),INDEX($C$11:$Q$11,1,B98-2025)/12)</f>
        <v>28.0475536513497</v>
      </c>
      <c r="BE98" s="88" t="n">
        <f aca="false">$AO$6*INDEX($Y$11:$AB$11,1,B98-2026)/12</f>
        <v>0</v>
      </c>
      <c r="BF98" s="88" t="n">
        <f aca="false">BD98+BF97</f>
        <v>1396.61448661173</v>
      </c>
      <c r="BG98" s="88" t="n">
        <f aca="false">BE98+BG97</f>
        <v>240</v>
      </c>
      <c r="BH98" s="88" t="n">
        <f aca="false">MAX(BH97,BF98-BG98)</f>
        <v>1156.61448661173</v>
      </c>
      <c r="BI98" s="88" t="n">
        <f aca="false">BH98-BH97</f>
        <v>28.0475536513497</v>
      </c>
      <c r="BJ98" s="88" t="n">
        <f aca="false">IF(B98=2026,INDEX($C$12:$Q$12,1,B98-2025)*$AO$4*C98/MAX(0.0001,12-$AO$3),INDEX($C$12:$Q$12,1,B98-2025)/12)</f>
        <v>15.3780518436687</v>
      </c>
      <c r="BK98" s="88" t="n">
        <f aca="false">$AO$6*INDEX($Y$12:$AB$12,1,B98-2026)/12</f>
        <v>4.78333333333333</v>
      </c>
      <c r="BL98" s="88" t="n">
        <f aca="false">BJ98+BL97</f>
        <v>765.742718516931</v>
      </c>
      <c r="BM98" s="88" t="n">
        <f aca="false">BK98+BM97</f>
        <v>156.216666666667</v>
      </c>
      <c r="BN98" s="88" t="n">
        <f aca="false">MAX(BN97,BL98-BM98)</f>
        <v>609.526051850264</v>
      </c>
      <c r="BO98" s="88" t="n">
        <f aca="false">BN98-BN97</f>
        <v>10.5947185103355</v>
      </c>
      <c r="BP98" s="88" t="n">
        <f aca="false">IF(B98=2026,INDEX($C$13:$Q$13,1,B98-2025)*$AO$4*C98/MAX(0.0001,12-$AO$3),INDEX($C$13:$Q$13,1,B98-2025)/12)</f>
        <v>4.80560220169792</v>
      </c>
      <c r="BQ98" s="88" t="n">
        <f aca="false">$AO$6*INDEX($Y$13:$AB$13,1,B98-2026)/12</f>
        <v>0.0583333333333333</v>
      </c>
      <c r="BR98" s="88" t="n">
        <f aca="false">BP98+BR97</f>
        <v>239.292657577698</v>
      </c>
      <c r="BS98" s="88" t="n">
        <f aca="false">BQ98+BS97</f>
        <v>86.9416666666667</v>
      </c>
      <c r="BT98" s="88" t="n">
        <f aca="false">MAX(BT97,BR98-BS98)</f>
        <v>152.350990911031</v>
      </c>
      <c r="BU98" s="88" t="n">
        <f aca="false">BT98-BT97</f>
        <v>4.74726886836459</v>
      </c>
      <c r="BV98" s="88" t="n">
        <f aca="false">IF(B98=2026,INDEX($C$14:$Q$14,1,B98-2025)*$AO$4*C98/MAX(0.0001,12-$AO$3),INDEX($C$14:$Q$14,1,B98-2025)/12)</f>
        <v>2.85021923686911</v>
      </c>
      <c r="BW98" s="88" t="n">
        <f aca="false">$AO$6*INDEX($Y$14:$AB$14,1,B98-2026)/12</f>
        <v>0</v>
      </c>
      <c r="BX98" s="88" t="n">
        <f aca="false">BV98+BX97</f>
        <v>141.925300356428</v>
      </c>
      <c r="BY98" s="88" t="n">
        <f aca="false">BW98+BY97</f>
        <v>0</v>
      </c>
      <c r="BZ98" s="88" t="n">
        <f aca="false">MAX(BZ97,BX98-BY98)</f>
        <v>141.925300356428</v>
      </c>
      <c r="CA98" s="88" t="n">
        <f aca="false">BZ98-BZ97</f>
        <v>2.85021923686912</v>
      </c>
      <c r="CB98" s="88" t="n">
        <f aca="false">IF(B98=2026,INDEX($C$15:$Q$15,1,B98-2025)*$AO$4*C98/MAX(0.0001,12-$AO$3),INDEX($C$15:$Q$15,1,B98-2025)/12)</f>
        <v>4.67303386509936</v>
      </c>
      <c r="CC98" s="88" t="n">
        <f aca="false">$AO$6*INDEX($Y$15:$AB$15,1,B98-2026)/12</f>
        <v>0</v>
      </c>
      <c r="CD98" s="88" t="n">
        <f aca="false">CB98+CD97</f>
        <v>232.691480816933</v>
      </c>
      <c r="CE98" s="88" t="n">
        <f aca="false">CC98+CE97</f>
        <v>88.0000000000001</v>
      </c>
      <c r="CF98" s="88" t="n">
        <f aca="false">MAX(CF97,CD98-CE98)</f>
        <v>144.691480816933</v>
      </c>
      <c r="CG98" s="88" t="n">
        <f aca="false">CF98-CF97</f>
        <v>4.67303386509934</v>
      </c>
      <c r="CH98" s="88" t="n">
        <f aca="false">IF(B98=2026,INDEX($C$16:$Q$16,1,B98-2025)*$AO$4*C98/MAX(0.0001,12-$AO$3),INDEX($C$16:$Q$16,1,B98-2025)/12)</f>
        <v>3.69534238268495</v>
      </c>
      <c r="CI98" s="88" t="n">
        <f aca="false">$AO$6*INDEX($Y$16:$AB$16,1,B98-2026)/12</f>
        <v>0</v>
      </c>
      <c r="CJ98" s="88" t="n">
        <f aca="false">CH98+CJ97</f>
        <v>184.007802206299</v>
      </c>
      <c r="CK98" s="88" t="n">
        <f aca="false">CI98+CK97</f>
        <v>70</v>
      </c>
      <c r="CL98" s="88" t="n">
        <f aca="false">MAX(CL97,CJ98-CK98)</f>
        <v>114.007802206299</v>
      </c>
      <c r="CM98" s="88" t="n">
        <f aca="false">CL98-CL97</f>
        <v>3.69534238268494</v>
      </c>
      <c r="CN98" s="88" t="n">
        <f aca="false">IF(B98=2026,INDEX($C$17:$Q$17,1,B98-2025)*$AO$4*C98/MAX(0.0001,12-$AO$3),INDEX($C$17:$Q$17,1,B98-2025)/12)</f>
        <v>16.0904818546506</v>
      </c>
      <c r="CO98" s="88" t="n">
        <f aca="false">$AO$6*INDEX($Y$17:$AB$17,1,B98-2026)/12</f>
        <v>0</v>
      </c>
      <c r="CP98" s="88" t="n">
        <f aca="false">CN98+CP97</f>
        <v>801.217829337741</v>
      </c>
      <c r="CQ98" s="88" t="n">
        <f aca="false">CO98+CQ97</f>
        <v>221</v>
      </c>
      <c r="CR98" s="88" t="n">
        <f aca="false">MAX(CR97,CP98-CQ98)</f>
        <v>580.217829337741</v>
      </c>
      <c r="CS98" s="88" t="n">
        <f aca="false">CR98-CR97</f>
        <v>16.0904818546506</v>
      </c>
      <c r="CT98" s="88" t="n">
        <f aca="false">IF(B98=2026,INDEX($C$18:$Q$18,1,B98-2025)*$AO$4*C98/MAX(0.0001,12-$AO$3),INDEX($C$18:$Q$18,1,B98-2025)/12)</f>
        <v>3.34735049911372</v>
      </c>
      <c r="CU98" s="88" t="n">
        <f aca="false">$AO$6*INDEX($Y$18:$AB$18,1,B98-2026)/12</f>
        <v>0</v>
      </c>
      <c r="CV98" s="88" t="n">
        <f aca="false">CT98+CV97</f>
        <v>166.679713209293</v>
      </c>
      <c r="CW98" s="88" t="n">
        <f aca="false">CU98+CW97</f>
        <v>11</v>
      </c>
      <c r="CX98" s="88" t="n">
        <f aca="false">MAX(CX97,CV98-CW98)</f>
        <v>155.679713209293</v>
      </c>
      <c r="CY98" s="88" t="n">
        <f aca="false">CX98-CX97</f>
        <v>3.34735049911373</v>
      </c>
      <c r="CZ98" s="88" t="n">
        <f aca="false">IF(B98=2026,INDEX($C$19:$Q$19,1,B98-2025)*$AO$4*C98/MAX(0.0001,12-$AO$3),INDEX($C$19:$Q$19,1,B98-2025)/12)</f>
        <v>3.31420841496408</v>
      </c>
      <c r="DA98" s="88" t="n">
        <f aca="false">$AO$6*INDEX($Y$19:$AB$19,1,B98-2026)/12</f>
        <v>1.85</v>
      </c>
      <c r="DB98" s="88" t="n">
        <f aca="false">CZ98+DB97</f>
        <v>165.029419019102</v>
      </c>
      <c r="DC98" s="88" t="n">
        <f aca="false">DA98+DC97</f>
        <v>224.15</v>
      </c>
      <c r="DD98" s="88" t="n">
        <f aca="false">MAX(DD97,DB98-DC98)</f>
        <v>37.132124495359</v>
      </c>
      <c r="DE98" s="88" t="n">
        <f aca="false">DD98-DD97</f>
        <v>0</v>
      </c>
      <c r="DF98" s="88" t="n">
        <f aca="false">IF(B98=2026,INDEX($C$20:$Q$20,1,B98-2025)*$AO$4*C98/MAX(0.0001,12-$AO$3),INDEX($C$20:$Q$20,1,B98-2025)/12)</f>
        <v>2.70107985819573</v>
      </c>
      <c r="DG98" s="88" t="n">
        <f aca="false">$AO$6*INDEX($Y$20:$AB$20,1,B98-2026)/12</f>
        <v>0</v>
      </c>
      <c r="DH98" s="88" t="n">
        <f aca="false">DF98+DH97</f>
        <v>134.498976500568</v>
      </c>
      <c r="DI98" s="88" t="n">
        <f aca="false">DG98+DI97</f>
        <v>0</v>
      </c>
      <c r="DJ98" s="88" t="n">
        <f aca="false">MAX(DJ97,DH98-DI98)</f>
        <v>134.498976500568</v>
      </c>
      <c r="DK98" s="88" t="n">
        <f aca="false">DJ98-DJ97</f>
        <v>2.70107985819573</v>
      </c>
      <c r="DL98" s="88" t="n">
        <f aca="false">IF(B98=2026,INDEX($C$21:$Q$21,1,B98-2025)*$AO$4*C98/MAX(0.0001,12-$AO$3),INDEX($C$21:$Q$21,1,B98-2025)/12)</f>
        <v>1.88909879652953</v>
      </c>
      <c r="DM98" s="88" t="n">
        <f aca="false">$AO$6*INDEX($Y$21:$AB$21,1,B98-2026)/12</f>
        <v>0</v>
      </c>
      <c r="DN98" s="88" t="n">
        <f aca="false">DL98+DN97</f>
        <v>94.066768840888</v>
      </c>
      <c r="DO98" s="88" t="n">
        <f aca="false">DM98+DO97</f>
        <v>100</v>
      </c>
      <c r="DP98" s="88" t="n">
        <f aca="false">MAX(DP97,DN98-DO98)</f>
        <v>17.7483109623547</v>
      </c>
      <c r="DQ98" s="88" t="n">
        <f aca="false">DP98-DP97</f>
        <v>0</v>
      </c>
      <c r="DR98" s="88" t="n">
        <f aca="false">IF(B98=2026,INDEX($C$22:$Q$22,1,B98-2025)*$AO$4*C98/MAX(0.0001,12-$AO$3),INDEX($C$22:$Q$22,1,B98-2025)/12)</f>
        <v>1.47482274465902</v>
      </c>
      <c r="DS98" s="88" t="n">
        <f aca="false">$AO$6*INDEX($Y$22:$AB$22,1,B98-2026)/12</f>
        <v>0</v>
      </c>
      <c r="DT98" s="88" t="n">
        <f aca="false">DR98+DT97</f>
        <v>73.4380914635003</v>
      </c>
      <c r="DU98" s="88" t="n">
        <f aca="false">DS98+DU97</f>
        <v>29</v>
      </c>
      <c r="DV98" s="88" t="n">
        <f aca="false">MAX(DV97,DT98-DU98)</f>
        <v>44.4380914635004</v>
      </c>
      <c r="DW98" s="88" t="n">
        <f aca="false">DV98-DV97</f>
        <v>1.47482274465902</v>
      </c>
      <c r="DX98" s="88" t="n">
        <f aca="false">IF(B98=2026,INDEX($C$23:$Q$23,1,B98-2025)*$AO$4*C98/MAX(0.0001,12-$AO$3),INDEX($C$23:$Q$23,1,B98-2025)/12)</f>
        <v>2.36965901669932</v>
      </c>
      <c r="DY98" s="88" t="n">
        <f aca="false">$AO$6*INDEX($Y$23:$AB$23,1,B98-2026)/12</f>
        <v>0</v>
      </c>
      <c r="DZ98" s="88" t="n">
        <f aca="false">DX98+DZ97</f>
        <v>117.996034598658</v>
      </c>
      <c r="EA98" s="88" t="n">
        <f aca="false">DY98+EA97</f>
        <v>121</v>
      </c>
      <c r="EB98" s="88" t="n">
        <f aca="false">MAX(EB97,DZ98-EA98)</f>
        <v>35.0579690141817</v>
      </c>
      <c r="EC98" s="88" t="n">
        <f aca="false">EB98-EB97</f>
        <v>0</v>
      </c>
      <c r="ED98" s="88" t="n">
        <f aca="false">IF(B98=2026,INDEX($C$24:$Q$24,1,B98-2025)*$AO$4*C98/MAX(0.0001,12-$AO$3),INDEX($C$24:$Q$24,1,B98-2025)/12)</f>
        <v>1.4582517025842</v>
      </c>
      <c r="EE98" s="88" t="n">
        <f aca="false">$AO$6*INDEX($Y$24:$AB$24,1,B98-2026)/12</f>
        <v>0</v>
      </c>
      <c r="EF98" s="88" t="n">
        <f aca="false">ED98+EF97</f>
        <v>72.6129443684049</v>
      </c>
      <c r="EG98" s="88" t="n">
        <f aca="false">EE98+EG97</f>
        <v>0</v>
      </c>
      <c r="EH98" s="88" t="n">
        <f aca="false">MAX(EH97,EF98-EG98)</f>
        <v>72.6129443684049</v>
      </c>
      <c r="EI98" s="88" t="n">
        <f aca="false">EH98-EH97</f>
        <v>1.45825170258419</v>
      </c>
      <c r="EJ98" s="88" t="n">
        <f aca="false">IF(B98=2026,INDEX($C$25:$Q$25,1,B98-2025)*$AO$4*C98/MAX(0.0001,12-$AO$3),INDEX($C$25:$Q$25,1,B98-2025)/12)</f>
        <v>1.85595671237989</v>
      </c>
      <c r="EK98" s="88" t="n">
        <f aca="false">$AO$6*INDEX($Y$25:$AB$25,1,B98-2026)/12</f>
        <v>0</v>
      </c>
      <c r="EL98" s="88" t="n">
        <f aca="false">EJ98+EL97</f>
        <v>92.4164746506972</v>
      </c>
      <c r="EM98" s="88" t="n">
        <f aca="false">EK98+EM97</f>
        <v>14</v>
      </c>
      <c r="EN98" s="88" t="n">
        <f aca="false">MAX(EN97,EL98-EM98)</f>
        <v>78.4164746506972</v>
      </c>
      <c r="EO98" s="88" t="n">
        <f aca="false">EN98-EN97</f>
        <v>1.85595671237991</v>
      </c>
      <c r="EP98" s="88" t="n">
        <f aca="false">IF(B98=2026,INDEX($C$26:$Q$26,1,B98-2025)*$AO$4*C98/MAX(0.0001,12-$AO$3),INDEX($C$26:$Q$26,1,B98-2025)/12)</f>
        <v>2.66793777404609</v>
      </c>
      <c r="EQ98" s="88" t="n">
        <f aca="false">$AO$6*INDEX($Y$26:$AB$26,1,B98-2026)/12</f>
        <v>0</v>
      </c>
      <c r="ER98" s="88" t="n">
        <f aca="false">EP98+ER97</f>
        <v>132.848682310377</v>
      </c>
      <c r="ES98" s="88" t="n">
        <f aca="false">EQ98+ES97</f>
        <v>4</v>
      </c>
      <c r="ET98" s="88" t="n">
        <f aca="false">MAX(ET97,ER98-ES98)</f>
        <v>128.848682310377</v>
      </c>
      <c r="EU98" s="88" t="n">
        <f aca="false">ET98-ET97</f>
        <v>2.6679377740461</v>
      </c>
      <c r="EV98" s="88" t="n">
        <f aca="false">IF(B98=2026,INDEX($C$27:$Q$27,1,B98-2025)*$AO$4*C98/MAX(0.0001,12-$AO$3),INDEX($C$27:$Q$27,1,B98-2025)/12)</f>
        <v>6.62841682992816</v>
      </c>
      <c r="EW98" s="88" t="n">
        <f aca="false">$AO$6*INDEX($Y$27:$AB$27,1,B98-2026)/12</f>
        <v>0.416666666666667</v>
      </c>
      <c r="EX98" s="88" t="n">
        <f aca="false">EV98+EX97</f>
        <v>330.058838038204</v>
      </c>
      <c r="EY98" s="88" t="n">
        <f aca="false">EW98+EY97</f>
        <v>390.583333333334</v>
      </c>
      <c r="EZ98" s="88" t="n">
        <f aca="false">MAX(EZ97,EX98-EY98)</f>
        <v>0</v>
      </c>
      <c r="FA98" s="88" t="n">
        <f aca="false">EZ98-EZ97</f>
        <v>0</v>
      </c>
      <c r="FB98" s="88" t="n">
        <f aca="false">IF(B98=2026,INDEX($C$28:$Q$28,1,B98-2025)*$AO$4*C98/MAX(0.0001,12-$AO$3),INDEX($C$28:$Q$28,1,B98-2025)/12)</f>
        <v>34.6997621046739</v>
      </c>
      <c r="FC98" s="88" t="n">
        <f aca="false">$AO$6*INDEX($Y$28:$AB$28,1,B98-2026)/12</f>
        <v>0</v>
      </c>
      <c r="FD98" s="88" t="n">
        <f aca="false">FB98+FD97</f>
        <v>1727.85801713</v>
      </c>
      <c r="FE98" s="88" t="n">
        <f aca="false">FC98+FE97</f>
        <v>169</v>
      </c>
      <c r="FF98" s="88" t="n">
        <f aca="false">MAX(FF97,FD98-FE98)</f>
        <v>1558.85801713</v>
      </c>
      <c r="FG98" s="88" t="n">
        <f aca="false">FF98-FF97</f>
        <v>34.6997621046739</v>
      </c>
    </row>
    <row r="99" customFormat="false" ht="15" hidden="false" customHeight="false" outlineLevel="0" collapsed="false">
      <c r="A99" s="0" t="n">
        <v>59</v>
      </c>
      <c r="B99" s="88" t="n">
        <f aca="false">2026+INT(A99/12)</f>
        <v>2030</v>
      </c>
      <c r="C99" s="88" t="n">
        <f aca="false">MAX(0,MIN(1,A99+1-$AO$3))</f>
        <v>1</v>
      </c>
      <c r="D99" s="88" t="n">
        <f aca="false">IF((A99+0.5-(0))&lt;$AO$3,0,2026+INT((A99+0.5-(0))/12))</f>
        <v>2030</v>
      </c>
      <c r="E99" s="88" t="n">
        <f aca="false">IF((A99+0.5-($AO$9))&lt;$AO$3,0,2026+INT((A99+0.5-($AO$9))/12))</f>
        <v>2029</v>
      </c>
      <c r="F99" s="88" t="n">
        <f aca="false">IF((A99+0.5-($AO$9+$AO$8))&lt;$AO$3,0,2026+INT((A99+0.5-($AO$9+$AO$8))/12))</f>
        <v>2028</v>
      </c>
      <c r="G99" s="88" t="n">
        <f aca="false">IF((A99+0.5-($AO$9+$AO$8+$AO$7))&lt;$AO$3,0,2026+INT((A99+0.5-($AO$9+$AO$8+$AO$7))/12))</f>
        <v>2028</v>
      </c>
      <c r="H99" s="88" t="n">
        <f aca="false">IF(B99=2026,INDEX($C$3:$Q$3,1,B99-2025)*$AO$4*C99/MAX(0.0001,12-$AO$3),INDEX($C$3:$Q$3,1,B99-2025)/12)</f>
        <v>355.25</v>
      </c>
      <c r="I99" s="88" t="n">
        <f aca="false">$AO$6*INDEX($Y$3:$AB$3,1,B99-2026)/12</f>
        <v>70.9166666666667</v>
      </c>
      <c r="J99" s="88" t="n">
        <f aca="false">H99+J98</f>
        <v>18044.7534246575</v>
      </c>
      <c r="K99" s="88" t="n">
        <f aca="false">I99+K98</f>
        <v>7121.8</v>
      </c>
      <c r="L99" s="88" t="n">
        <f aca="false">MAX(L98,J99-K99)</f>
        <v>10922.9534246575</v>
      </c>
      <c r="M99" s="88" t="n">
        <f aca="false">L99-L98</f>
        <v>284.333333333332</v>
      </c>
      <c r="N99" s="88" t="n">
        <f aca="false">IF(B99=2026,INDEX($C$4:$Q$4,1,B99-2025)*$AO$4*C99/MAX(0.0001,12-$AO$3),INDEX($C$4:$Q$4,1,B99-2025)/12)</f>
        <v>10.7700632578534</v>
      </c>
      <c r="O99" s="88" t="n">
        <f aca="false">$AO$6*INDEX($Y$4:$AB$4,1,B99-2026)/12</f>
        <v>7.075</v>
      </c>
      <c r="P99" s="88" t="n">
        <f aca="false">N99+P98</f>
        <v>547.060199453702</v>
      </c>
      <c r="Q99" s="88" t="n">
        <f aca="false">O99+Q98</f>
        <v>398.1</v>
      </c>
      <c r="R99" s="88" t="n">
        <f aca="false">MAX(R98,P99-Q99)</f>
        <v>148.960199453702</v>
      </c>
      <c r="S99" s="88" t="n">
        <f aca="false">R99-R98</f>
        <v>3.69506325785341</v>
      </c>
      <c r="T99" s="88" t="n">
        <f aca="false">IF(B99=2026,INDEX($C$5:$Q$5,1,B99-2025)*$AO$4*C99/MAX(0.0001,12-$AO$3),INDEX($C$5:$Q$5,1,B99-2025)/12)</f>
        <v>43.7734247619348</v>
      </c>
      <c r="U99" s="88" t="n">
        <f aca="false">$AO$6*INDEX($Y$5:$AB$5,1,B99-2026)/12</f>
        <v>8.56666666666667</v>
      </c>
      <c r="V99" s="88" t="n">
        <f aca="false">T99+V98</f>
        <v>2223.45012352403</v>
      </c>
      <c r="W99" s="88" t="n">
        <f aca="false">U99+W98</f>
        <v>1114.9</v>
      </c>
      <c r="X99" s="88" t="n">
        <f aca="false">MAX(X98,V99-W99)</f>
        <v>1108.55012352403</v>
      </c>
      <c r="Y99" s="88" t="n">
        <f aca="false">X99-X98</f>
        <v>35.206758095268</v>
      </c>
      <c r="Z99" s="88" t="n">
        <f aca="false">IF(B99=2026,INDEX($C$6:$Q$6,1,B99-2025)*$AO$4*C99/MAX(0.0001,12-$AO$3),INDEX($C$6:$Q$6,1,B99-2025)/12)</f>
        <v>51.933610116259</v>
      </c>
      <c r="AA99" s="88" t="n">
        <f aca="false">$AO$6*INDEX($Y$6:$AB$6,1,B99-2026)/12</f>
        <v>16.8833333333333</v>
      </c>
      <c r="AB99" s="88" t="n">
        <f aca="false">Z99+AB98</f>
        <v>2637.94282617929</v>
      </c>
      <c r="AC99" s="88" t="n">
        <f aca="false">AA99+AC98</f>
        <v>1302.3</v>
      </c>
      <c r="AD99" s="88" t="n">
        <f aca="false">MAX(AD98,AB99-AC99)</f>
        <v>1335.64282617929</v>
      </c>
      <c r="AE99" s="88" t="n">
        <f aca="false">AD99-AD98</f>
        <v>35.0502767829255</v>
      </c>
      <c r="AF99" s="88" t="n">
        <f aca="false">IF(B99=2026,INDEX($C$7:$Q$7,1,B99-2025)*$AO$4*C99/MAX(0.0001,12-$AO$3),INDEX($C$7:$Q$7,1,B99-2025)/12)</f>
        <v>45.11289896006</v>
      </c>
      <c r="AG99" s="88" t="n">
        <f aca="false">$AO$6*INDEX($Y$7:$AB$7,1,B99-2026)/12</f>
        <v>6.05833333333333</v>
      </c>
      <c r="AH99" s="88" t="n">
        <f aca="false">AF99+AH98</f>
        <v>2291.48807320414</v>
      </c>
      <c r="AI99" s="88" t="n">
        <f aca="false">AG99+AI98</f>
        <v>673.299999999999</v>
      </c>
      <c r="AJ99" s="88" t="n">
        <f aca="false">MAX(AJ98,AH99-AI99)</f>
        <v>1618.18807320414</v>
      </c>
      <c r="AK99" s="88" t="n">
        <f aca="false">AJ99-AJ98</f>
        <v>39.054565626727</v>
      </c>
      <c r="AL99" s="88" t="n">
        <f aca="false">IF(B99=2026,INDEX($C$8:$Q$8,1,B99-2025)*$AO$4*C99/MAX(0.0001,12-$AO$3),INDEX($C$8:$Q$8,1,B99-2025)/12)</f>
        <v>11.4114321188341</v>
      </c>
      <c r="AM99" s="88" t="n">
        <f aca="false">$AO$6*INDEX($Y$8:$AB$8,1,B99-2026)/12</f>
        <v>0</v>
      </c>
      <c r="AN99" s="88" t="n">
        <f aca="false">AL99+AN98</f>
        <v>579.638223241599</v>
      </c>
      <c r="AO99" s="88" t="n">
        <f aca="false">AM99+AO98</f>
        <v>66</v>
      </c>
      <c r="AP99" s="88" t="n">
        <f aca="false">MAX(AP98,AN99-AO99)</f>
        <v>513.638223241599</v>
      </c>
      <c r="AQ99" s="88" t="n">
        <f aca="false">AP99-AP98</f>
        <v>11.4114321188341</v>
      </c>
      <c r="AR99" s="88" t="n">
        <f aca="false">IF(B99=2026,INDEX($C$9:$Q$9,1,B99-2025)*$AO$4*C99/MAX(0.0001,12-$AO$3),INDEX($C$9:$Q$9,1,B99-2025)/12)</f>
        <v>48.6576953186344</v>
      </c>
      <c r="AS99" s="88" t="n">
        <f aca="false">$AO$6*INDEX($Y$9:$AB$9,1,B99-2026)/12</f>
        <v>25.2</v>
      </c>
      <c r="AT99" s="88" t="n">
        <f aca="false">AR99+AT98</f>
        <v>2471.54430467803</v>
      </c>
      <c r="AU99" s="88" t="n">
        <f aca="false">AS99+AU98</f>
        <v>1585.2</v>
      </c>
      <c r="AV99" s="88" t="n">
        <f aca="false">MAX(AV98,AT99-AU99)</f>
        <v>886.344304678029</v>
      </c>
      <c r="AW99" s="88" t="n">
        <f aca="false">AV99-AV98</f>
        <v>23.4576953186345</v>
      </c>
      <c r="AX99" s="88" t="n">
        <f aca="false">IF(B99=2026,INDEX($C$10:$Q$10,1,B99-2025)*$AO$4*C99/MAX(0.0001,12-$AO$3),INDEX($C$10:$Q$10,1,B99-2025)/12)</f>
        <v>5.64404597663043</v>
      </c>
      <c r="AY99" s="88" t="n">
        <f aca="false">$AO$6*INDEX($Y$10:$AB$10,1,B99-2026)/12</f>
        <v>0.025</v>
      </c>
      <c r="AZ99" s="88" t="n">
        <f aca="false">AX99+AZ98</f>
        <v>286.686609333502</v>
      </c>
      <c r="BA99" s="88" t="n">
        <f aca="false">AY99+BA98</f>
        <v>50</v>
      </c>
      <c r="BB99" s="88" t="n">
        <f aca="false">MAX(BB98,AZ99-BA99)</f>
        <v>236.686609333502</v>
      </c>
      <c r="BC99" s="88" t="n">
        <f aca="false">BB99-BB98</f>
        <v>5.61904597663042</v>
      </c>
      <c r="BD99" s="88" t="n">
        <f aca="false">IF(B99=2026,INDEX($C$11:$Q$11,1,B99-2025)*$AO$4*C99/MAX(0.0001,12-$AO$3),INDEX($C$11:$Q$11,1,B99-2025)/12)</f>
        <v>28.0475536513497</v>
      </c>
      <c r="BE99" s="88" t="n">
        <f aca="false">$AO$6*INDEX($Y$11:$AB$11,1,B99-2026)/12</f>
        <v>0</v>
      </c>
      <c r="BF99" s="88" t="n">
        <f aca="false">BD99+BF98</f>
        <v>1424.66204026308</v>
      </c>
      <c r="BG99" s="88" t="n">
        <f aca="false">BE99+BG98</f>
        <v>240</v>
      </c>
      <c r="BH99" s="88" t="n">
        <f aca="false">MAX(BH98,BF99-BG99)</f>
        <v>1184.66204026308</v>
      </c>
      <c r="BI99" s="88" t="n">
        <f aca="false">BH99-BH98</f>
        <v>28.0475536513497</v>
      </c>
      <c r="BJ99" s="88" t="n">
        <f aca="false">IF(B99=2026,INDEX($C$12:$Q$12,1,B99-2025)*$AO$4*C99/MAX(0.0001,12-$AO$3),INDEX($C$12:$Q$12,1,B99-2025)/12)</f>
        <v>15.3780518436687</v>
      </c>
      <c r="BK99" s="88" t="n">
        <f aca="false">$AO$6*INDEX($Y$12:$AB$12,1,B99-2026)/12</f>
        <v>4.78333333333333</v>
      </c>
      <c r="BL99" s="88" t="n">
        <f aca="false">BJ99+BL98</f>
        <v>781.1207703606</v>
      </c>
      <c r="BM99" s="88" t="n">
        <f aca="false">BK99+BM98</f>
        <v>161</v>
      </c>
      <c r="BN99" s="88" t="n">
        <f aca="false">MAX(BN98,BL99-BM99)</f>
        <v>620.1207703606</v>
      </c>
      <c r="BO99" s="88" t="n">
        <f aca="false">BN99-BN98</f>
        <v>10.5947185103355</v>
      </c>
      <c r="BP99" s="88" t="n">
        <f aca="false">IF(B99=2026,INDEX($C$13:$Q$13,1,B99-2025)*$AO$4*C99/MAX(0.0001,12-$AO$3),INDEX($C$13:$Q$13,1,B99-2025)/12)</f>
        <v>4.80560220169792</v>
      </c>
      <c r="BQ99" s="88" t="n">
        <f aca="false">$AO$6*INDEX($Y$13:$AB$13,1,B99-2026)/12</f>
        <v>0.0583333333333333</v>
      </c>
      <c r="BR99" s="88" t="n">
        <f aca="false">BP99+BR98</f>
        <v>244.098259779396</v>
      </c>
      <c r="BS99" s="88" t="n">
        <f aca="false">BQ99+BS98</f>
        <v>87</v>
      </c>
      <c r="BT99" s="88" t="n">
        <f aca="false">MAX(BT98,BR99-BS99)</f>
        <v>157.098259779396</v>
      </c>
      <c r="BU99" s="88" t="n">
        <f aca="false">BT99-BT98</f>
        <v>4.74726886836459</v>
      </c>
      <c r="BV99" s="88" t="n">
        <f aca="false">IF(B99=2026,INDEX($C$14:$Q$14,1,B99-2025)*$AO$4*C99/MAX(0.0001,12-$AO$3),INDEX($C$14:$Q$14,1,B99-2025)/12)</f>
        <v>2.85021923686911</v>
      </c>
      <c r="BW99" s="88" t="n">
        <f aca="false">$AO$6*INDEX($Y$14:$AB$14,1,B99-2026)/12</f>
        <v>0</v>
      </c>
      <c r="BX99" s="88" t="n">
        <f aca="false">BV99+BX98</f>
        <v>144.775519593297</v>
      </c>
      <c r="BY99" s="88" t="n">
        <f aca="false">BW99+BY98</f>
        <v>0</v>
      </c>
      <c r="BZ99" s="88" t="n">
        <f aca="false">MAX(BZ98,BX99-BY99)</f>
        <v>144.775519593297</v>
      </c>
      <c r="CA99" s="88" t="n">
        <f aca="false">BZ99-BZ98</f>
        <v>2.85021923686912</v>
      </c>
      <c r="CB99" s="88" t="n">
        <f aca="false">IF(B99=2026,INDEX($C$15:$Q$15,1,B99-2025)*$AO$4*C99/MAX(0.0001,12-$AO$3),INDEX($C$15:$Q$15,1,B99-2025)/12)</f>
        <v>4.67303386509936</v>
      </c>
      <c r="CC99" s="88" t="n">
        <f aca="false">$AO$6*INDEX($Y$15:$AB$15,1,B99-2026)/12</f>
        <v>0</v>
      </c>
      <c r="CD99" s="88" t="n">
        <f aca="false">CB99+CD98</f>
        <v>237.364514682033</v>
      </c>
      <c r="CE99" s="88" t="n">
        <f aca="false">CC99+CE98</f>
        <v>88.0000000000001</v>
      </c>
      <c r="CF99" s="88" t="n">
        <f aca="false">MAX(CF98,CD99-CE99)</f>
        <v>149.364514682033</v>
      </c>
      <c r="CG99" s="88" t="n">
        <f aca="false">CF99-CF98</f>
        <v>4.67303386509934</v>
      </c>
      <c r="CH99" s="88" t="n">
        <f aca="false">IF(B99=2026,INDEX($C$16:$Q$16,1,B99-2025)*$AO$4*C99/MAX(0.0001,12-$AO$3),INDEX($C$16:$Q$16,1,B99-2025)/12)</f>
        <v>3.69534238268495</v>
      </c>
      <c r="CI99" s="88" t="n">
        <f aca="false">$AO$6*INDEX($Y$16:$AB$16,1,B99-2026)/12</f>
        <v>0</v>
      </c>
      <c r="CJ99" s="88" t="n">
        <f aca="false">CH99+CJ98</f>
        <v>187.703144588983</v>
      </c>
      <c r="CK99" s="88" t="n">
        <f aca="false">CI99+CK98</f>
        <v>70</v>
      </c>
      <c r="CL99" s="88" t="n">
        <f aca="false">MAX(CL98,CJ99-CK99)</f>
        <v>117.703144588984</v>
      </c>
      <c r="CM99" s="88" t="n">
        <f aca="false">CL99-CL98</f>
        <v>3.69534238268494</v>
      </c>
      <c r="CN99" s="88" t="n">
        <f aca="false">IF(B99=2026,INDEX($C$17:$Q$17,1,B99-2025)*$AO$4*C99/MAX(0.0001,12-$AO$3),INDEX($C$17:$Q$17,1,B99-2025)/12)</f>
        <v>16.0904818546506</v>
      </c>
      <c r="CO99" s="88" t="n">
        <f aca="false">$AO$6*INDEX($Y$17:$AB$17,1,B99-2026)/12</f>
        <v>0</v>
      </c>
      <c r="CP99" s="88" t="n">
        <f aca="false">CN99+CP98</f>
        <v>817.308311192391</v>
      </c>
      <c r="CQ99" s="88" t="n">
        <f aca="false">CO99+CQ98</f>
        <v>221</v>
      </c>
      <c r="CR99" s="88" t="n">
        <f aca="false">MAX(CR98,CP99-CQ99)</f>
        <v>596.308311192392</v>
      </c>
      <c r="CS99" s="88" t="n">
        <f aca="false">CR99-CR98</f>
        <v>16.0904818546506</v>
      </c>
      <c r="CT99" s="88" t="n">
        <f aca="false">IF(B99=2026,INDEX($C$18:$Q$18,1,B99-2025)*$AO$4*C99/MAX(0.0001,12-$AO$3),INDEX($C$18:$Q$18,1,B99-2025)/12)</f>
        <v>3.34735049911372</v>
      </c>
      <c r="CU99" s="88" t="n">
        <f aca="false">$AO$6*INDEX($Y$18:$AB$18,1,B99-2026)/12</f>
        <v>0</v>
      </c>
      <c r="CV99" s="88" t="n">
        <f aca="false">CT99+CV98</f>
        <v>170.027063708407</v>
      </c>
      <c r="CW99" s="88" t="n">
        <f aca="false">CU99+CW98</f>
        <v>11</v>
      </c>
      <c r="CX99" s="88" t="n">
        <f aca="false">MAX(CX98,CV99-CW99)</f>
        <v>159.027063708407</v>
      </c>
      <c r="CY99" s="88" t="n">
        <f aca="false">CX99-CX98</f>
        <v>3.34735049911373</v>
      </c>
      <c r="CZ99" s="88" t="n">
        <f aca="false">IF(B99=2026,INDEX($C$19:$Q$19,1,B99-2025)*$AO$4*C99/MAX(0.0001,12-$AO$3),INDEX($C$19:$Q$19,1,B99-2025)/12)</f>
        <v>3.31420841496408</v>
      </c>
      <c r="DA99" s="88" t="n">
        <f aca="false">$AO$6*INDEX($Y$19:$AB$19,1,B99-2026)/12</f>
        <v>1.85</v>
      </c>
      <c r="DB99" s="88" t="n">
        <f aca="false">CZ99+DB98</f>
        <v>168.343627434066</v>
      </c>
      <c r="DC99" s="88" t="n">
        <f aca="false">DA99+DC98</f>
        <v>226</v>
      </c>
      <c r="DD99" s="88" t="n">
        <f aca="false">MAX(DD98,DB99-DC99)</f>
        <v>37.132124495359</v>
      </c>
      <c r="DE99" s="88" t="n">
        <f aca="false">DD99-DD98</f>
        <v>0</v>
      </c>
      <c r="DF99" s="88" t="n">
        <f aca="false">IF(B99=2026,INDEX($C$20:$Q$20,1,B99-2025)*$AO$4*C99/MAX(0.0001,12-$AO$3),INDEX($C$20:$Q$20,1,B99-2025)/12)</f>
        <v>2.70107985819573</v>
      </c>
      <c r="DG99" s="88" t="n">
        <f aca="false">$AO$6*INDEX($Y$20:$AB$20,1,B99-2026)/12</f>
        <v>0</v>
      </c>
      <c r="DH99" s="88" t="n">
        <f aca="false">DF99+DH98</f>
        <v>137.200056358764</v>
      </c>
      <c r="DI99" s="88" t="n">
        <f aca="false">DG99+DI98</f>
        <v>0</v>
      </c>
      <c r="DJ99" s="88" t="n">
        <f aca="false">MAX(DJ98,DH99-DI99)</f>
        <v>137.200056358764</v>
      </c>
      <c r="DK99" s="88" t="n">
        <f aca="false">DJ99-DJ98</f>
        <v>2.70107985819573</v>
      </c>
      <c r="DL99" s="88" t="n">
        <f aca="false">IF(B99=2026,INDEX($C$21:$Q$21,1,B99-2025)*$AO$4*C99/MAX(0.0001,12-$AO$3),INDEX($C$21:$Q$21,1,B99-2025)/12)</f>
        <v>1.88909879652953</v>
      </c>
      <c r="DM99" s="88" t="n">
        <f aca="false">$AO$6*INDEX($Y$21:$AB$21,1,B99-2026)/12</f>
        <v>0</v>
      </c>
      <c r="DN99" s="88" t="n">
        <f aca="false">DL99+DN98</f>
        <v>95.9558676374175</v>
      </c>
      <c r="DO99" s="88" t="n">
        <f aca="false">DM99+DO98</f>
        <v>100</v>
      </c>
      <c r="DP99" s="88" t="n">
        <f aca="false">MAX(DP98,DN99-DO99)</f>
        <v>17.7483109623547</v>
      </c>
      <c r="DQ99" s="88" t="n">
        <f aca="false">DP99-DP98</f>
        <v>0</v>
      </c>
      <c r="DR99" s="88" t="n">
        <f aca="false">IF(B99=2026,INDEX($C$22:$Q$22,1,B99-2025)*$AO$4*C99/MAX(0.0001,12-$AO$3),INDEX($C$22:$Q$22,1,B99-2025)/12)</f>
        <v>1.47482274465902</v>
      </c>
      <c r="DS99" s="88" t="n">
        <f aca="false">$AO$6*INDEX($Y$22:$AB$22,1,B99-2026)/12</f>
        <v>0</v>
      </c>
      <c r="DT99" s="88" t="n">
        <f aca="false">DR99+DT98</f>
        <v>74.9129142081594</v>
      </c>
      <c r="DU99" s="88" t="n">
        <f aca="false">DS99+DU98</f>
        <v>29</v>
      </c>
      <c r="DV99" s="88" t="n">
        <f aca="false">MAX(DV98,DT99-DU99)</f>
        <v>45.9129142081594</v>
      </c>
      <c r="DW99" s="88" t="n">
        <f aca="false">DV99-DV98</f>
        <v>1.47482274465902</v>
      </c>
      <c r="DX99" s="88" t="n">
        <f aca="false">IF(B99=2026,INDEX($C$23:$Q$23,1,B99-2025)*$AO$4*C99/MAX(0.0001,12-$AO$3),INDEX($C$23:$Q$23,1,B99-2025)/12)</f>
        <v>2.36965901669932</v>
      </c>
      <c r="DY99" s="88" t="n">
        <f aca="false">$AO$6*INDEX($Y$23:$AB$23,1,B99-2026)/12</f>
        <v>0</v>
      </c>
      <c r="DZ99" s="88" t="n">
        <f aca="false">DX99+DZ98</f>
        <v>120.365693615357</v>
      </c>
      <c r="EA99" s="88" t="n">
        <f aca="false">DY99+EA98</f>
        <v>121</v>
      </c>
      <c r="EB99" s="88" t="n">
        <f aca="false">MAX(EB98,DZ99-EA99)</f>
        <v>35.0579690141817</v>
      </c>
      <c r="EC99" s="88" t="n">
        <f aca="false">EB99-EB98</f>
        <v>0</v>
      </c>
      <c r="ED99" s="88" t="n">
        <f aca="false">IF(B99=2026,INDEX($C$24:$Q$24,1,B99-2025)*$AO$4*C99/MAX(0.0001,12-$AO$3),INDEX($C$24:$Q$24,1,B99-2025)/12)</f>
        <v>1.4582517025842</v>
      </c>
      <c r="EE99" s="88" t="n">
        <f aca="false">$AO$6*INDEX($Y$24:$AB$24,1,B99-2026)/12</f>
        <v>0</v>
      </c>
      <c r="EF99" s="88" t="n">
        <f aca="false">ED99+EF98</f>
        <v>74.0711960709891</v>
      </c>
      <c r="EG99" s="88" t="n">
        <f aca="false">EE99+EG98</f>
        <v>0</v>
      </c>
      <c r="EH99" s="88" t="n">
        <f aca="false">MAX(EH98,EF99-EG99)</f>
        <v>74.0711960709891</v>
      </c>
      <c r="EI99" s="88" t="n">
        <f aca="false">EH99-EH98</f>
        <v>1.45825170258419</v>
      </c>
      <c r="EJ99" s="88" t="n">
        <f aca="false">IF(B99=2026,INDEX($C$25:$Q$25,1,B99-2025)*$AO$4*C99/MAX(0.0001,12-$AO$3),INDEX($C$25:$Q$25,1,B99-2025)/12)</f>
        <v>1.85595671237989</v>
      </c>
      <c r="EK99" s="88" t="n">
        <f aca="false">$AO$6*INDEX($Y$25:$AB$25,1,B99-2026)/12</f>
        <v>0</v>
      </c>
      <c r="EL99" s="88" t="n">
        <f aca="false">EJ99+EL98</f>
        <v>94.2724313630771</v>
      </c>
      <c r="EM99" s="88" t="n">
        <f aca="false">EK99+EM98</f>
        <v>14</v>
      </c>
      <c r="EN99" s="88" t="n">
        <f aca="false">MAX(EN98,EL99-EM99)</f>
        <v>80.2724313630771</v>
      </c>
      <c r="EO99" s="88" t="n">
        <f aca="false">EN99-EN98</f>
        <v>1.85595671237988</v>
      </c>
      <c r="EP99" s="88" t="n">
        <f aca="false">IF(B99=2026,INDEX($C$26:$Q$26,1,B99-2025)*$AO$4*C99/MAX(0.0001,12-$AO$3),INDEX($C$26:$Q$26,1,B99-2025)/12)</f>
        <v>2.66793777404609</v>
      </c>
      <c r="EQ99" s="88" t="n">
        <f aca="false">$AO$6*INDEX($Y$26:$AB$26,1,B99-2026)/12</f>
        <v>0</v>
      </c>
      <c r="ER99" s="88" t="n">
        <f aca="false">EP99+ER98</f>
        <v>135.516620084423</v>
      </c>
      <c r="ES99" s="88" t="n">
        <f aca="false">EQ99+ES98</f>
        <v>4</v>
      </c>
      <c r="ET99" s="88" t="n">
        <f aca="false">MAX(ET98,ER99-ES99)</f>
        <v>131.516620084423</v>
      </c>
      <c r="EU99" s="88" t="n">
        <f aca="false">ET99-ET98</f>
        <v>2.6679377740461</v>
      </c>
      <c r="EV99" s="88" t="n">
        <f aca="false">IF(B99=2026,INDEX($C$27:$Q$27,1,B99-2025)*$AO$4*C99/MAX(0.0001,12-$AO$3),INDEX($C$27:$Q$27,1,B99-2025)/12)</f>
        <v>6.62841682992816</v>
      </c>
      <c r="EW99" s="88" t="n">
        <f aca="false">$AO$6*INDEX($Y$27:$AB$27,1,B99-2026)/12</f>
        <v>0.416666666666667</v>
      </c>
      <c r="EX99" s="88" t="n">
        <f aca="false">EV99+EX98</f>
        <v>336.687254868132</v>
      </c>
      <c r="EY99" s="88" t="n">
        <f aca="false">EW99+EY98</f>
        <v>391</v>
      </c>
      <c r="EZ99" s="88" t="n">
        <f aca="false">MAX(EZ98,EX99-EY99)</f>
        <v>0</v>
      </c>
      <c r="FA99" s="88" t="n">
        <f aca="false">EZ99-EZ98</f>
        <v>0</v>
      </c>
      <c r="FB99" s="88" t="n">
        <f aca="false">IF(B99=2026,INDEX($C$28:$Q$28,1,B99-2025)*$AO$4*C99/MAX(0.0001,12-$AO$3),INDEX($C$28:$Q$28,1,B99-2025)/12)</f>
        <v>34.6997621046739</v>
      </c>
      <c r="FC99" s="88" t="n">
        <f aca="false">$AO$6*INDEX($Y$28:$AB$28,1,B99-2026)/12</f>
        <v>0</v>
      </c>
      <c r="FD99" s="88" t="n">
        <f aca="false">FB99+FD98</f>
        <v>1762.55777923467</v>
      </c>
      <c r="FE99" s="88" t="n">
        <f aca="false">FC99+FE98</f>
        <v>169</v>
      </c>
      <c r="FF99" s="88" t="n">
        <f aca="false">MAX(FF98,FD99-FE99)</f>
        <v>1593.55777923467</v>
      </c>
      <c r="FG99" s="88" t="n">
        <f aca="false">FF99-FF98</f>
        <v>34.6997621046739</v>
      </c>
    </row>
    <row r="100" customFormat="false" ht="15" hidden="false" customHeight="false" outlineLevel="0" collapsed="false">
      <c r="A100" s="0" t="n">
        <v>60</v>
      </c>
      <c r="B100" s="88" t="n">
        <f aca="false">2026+INT(A100/12)</f>
        <v>2031</v>
      </c>
      <c r="C100" s="88" t="n">
        <f aca="false">MAX(0,MIN(1,A100+1-$AO$3))</f>
        <v>1</v>
      </c>
      <c r="D100" s="88" t="n">
        <f aca="false">IF((A100+0.5-(0))&lt;$AO$3,0,2026+INT((A100+0.5-(0))/12))</f>
        <v>2031</v>
      </c>
      <c r="E100" s="88" t="n">
        <f aca="false">IF((A100+0.5-($AO$9))&lt;$AO$3,0,2026+INT((A100+0.5-($AO$9))/12))</f>
        <v>2029</v>
      </c>
      <c r="F100" s="88" t="n">
        <f aca="false">IF((A100+0.5-($AO$9+$AO$8))&lt;$AO$3,0,2026+INT((A100+0.5-($AO$9+$AO$8))/12))</f>
        <v>2028</v>
      </c>
      <c r="G100" s="88" t="n">
        <f aca="false">IF((A100+0.5-($AO$9+$AO$8+$AO$7))&lt;$AO$3,0,2026+INT((A100+0.5-($AO$9+$AO$8+$AO$7))/12))</f>
        <v>2028</v>
      </c>
      <c r="H100" s="88" t="n">
        <f aca="false">IF(B100=2026,INDEX($C$3:$Q$3,1,B100-2025)*$AO$4*C100/MAX(0.0001,12-$AO$3),INDEX($C$3:$Q$3,1,B100-2025)/12)</f>
        <v>180.666666666667</v>
      </c>
      <c r="I100" s="88" t="n">
        <f aca="false">$AO$6*$AC$3/12</f>
        <v>131.1</v>
      </c>
      <c r="J100" s="88" t="n">
        <f aca="false">H100+J99</f>
        <v>18225.4200913242</v>
      </c>
      <c r="K100" s="88" t="n">
        <f aca="false">I100+K99</f>
        <v>7252.9</v>
      </c>
      <c r="L100" s="88" t="n">
        <f aca="false">MAX(L99,J100-K100)</f>
        <v>10972.5200913242</v>
      </c>
      <c r="M100" s="88" t="n">
        <f aca="false">L100-L99</f>
        <v>49.5666666666693</v>
      </c>
      <c r="N100" s="88" t="n">
        <f aca="false">IF(B100=2026,INDEX($C$4:$Q$4,1,B100-2025)*$AO$4*C100/MAX(0.0001,12-$AO$3),INDEX($C$4:$Q$4,1,B100-2025)/12)</f>
        <v>5.47724540066293</v>
      </c>
      <c r="O100" s="88" t="n">
        <f aca="false">$AO$6*$AC$4/12</f>
        <v>-0.00833333333333333</v>
      </c>
      <c r="P100" s="88" t="n">
        <f aca="false">N100+P99</f>
        <v>552.537444854365</v>
      </c>
      <c r="Q100" s="88" t="n">
        <f aca="false">O100+Q99</f>
        <v>398.091666666667</v>
      </c>
      <c r="R100" s="88" t="n">
        <f aca="false">MAX(R99,P100-Q100)</f>
        <v>154.445778187698</v>
      </c>
      <c r="S100" s="88" t="n">
        <f aca="false">R100-R99</f>
        <v>5.48557873399625</v>
      </c>
      <c r="T100" s="88" t="n">
        <f aca="false">IF(B100=2026,INDEX($C$5:$Q$5,1,B100-2025)*$AO$4*C100/MAX(0.0001,12-$AO$3),INDEX($C$5:$Q$5,1,B100-2025)/12)</f>
        <v>22.2615024358139</v>
      </c>
      <c r="U100" s="88" t="n">
        <f aca="false">$AO$6*$AC$5/12</f>
        <v>0.00833333333333333</v>
      </c>
      <c r="V100" s="88" t="n">
        <f aca="false">T100+V99</f>
        <v>2245.71162595985</v>
      </c>
      <c r="W100" s="88" t="n">
        <f aca="false">U100+W99</f>
        <v>1114.90833333333</v>
      </c>
      <c r="X100" s="88" t="n">
        <f aca="false">MAX(X99,V100-W100)</f>
        <v>1130.80329262651</v>
      </c>
      <c r="Y100" s="88" t="n">
        <f aca="false">X100-X99</f>
        <v>22.2531691024803</v>
      </c>
      <c r="Z100" s="88" t="n">
        <f aca="false">IF(B100=2026,INDEX($C$6:$Q$6,1,B100-2025)*$AO$4*C100/MAX(0.0001,12-$AO$3),INDEX($C$6:$Q$6,1,B100-2025)/12)</f>
        <v>26.4114629913323</v>
      </c>
      <c r="AA100" s="88" t="n">
        <f aca="false">$AO$6*$AC$6/12</f>
        <v>74.3083333333333</v>
      </c>
      <c r="AB100" s="88" t="n">
        <f aca="false">Z100+AB99</f>
        <v>2664.35428917062</v>
      </c>
      <c r="AC100" s="88" t="n">
        <f aca="false">AA100+AC99</f>
        <v>1376.60833333334</v>
      </c>
      <c r="AD100" s="88" t="n">
        <f aca="false">MAX(AD99,AB100-AC100)</f>
        <v>1335.64282617929</v>
      </c>
      <c r="AE100" s="88" t="n">
        <f aca="false">AD100-AD99</f>
        <v>0</v>
      </c>
      <c r="AF100" s="88" t="n">
        <f aca="false">IF(B100=2026,INDEX($C$7:$Q$7,1,B100-2025)*$AO$4*C100/MAX(0.0001,12-$AO$3),INDEX($C$7:$Q$7,1,B100-2025)/12)</f>
        <v>22.9427081739175</v>
      </c>
      <c r="AG100" s="88" t="n">
        <f aca="false">$AO$6*$AC$7/12</f>
        <v>12.725</v>
      </c>
      <c r="AH100" s="88" t="n">
        <f aca="false">AF100+AH99</f>
        <v>2314.43078137806</v>
      </c>
      <c r="AI100" s="88" t="n">
        <f aca="false">AG100+AI99</f>
        <v>686.024999999999</v>
      </c>
      <c r="AJ100" s="88" t="n">
        <f aca="false">MAX(AJ99,AH100-AI100)</f>
        <v>1628.40578137806</v>
      </c>
      <c r="AK100" s="88" t="n">
        <f aca="false">AJ100-AJ99</f>
        <v>10.2177081739171</v>
      </c>
      <c r="AL100" s="88" t="n">
        <f aca="false">IF(B100=2026,INDEX($C$8:$Q$8,1,B100-2025)*$AO$4*C100/MAX(0.0001,12-$AO$3),INDEX($C$8:$Q$8,1,B100-2025)/12)</f>
        <v>5.80342126052833</v>
      </c>
      <c r="AM100" s="88" t="n">
        <f aca="false">$AO$6*$AC$8/12</f>
        <v>0</v>
      </c>
      <c r="AN100" s="88" t="n">
        <f aca="false">AL100+AN99</f>
        <v>585.441644502128</v>
      </c>
      <c r="AO100" s="88" t="n">
        <f aca="false">AM100+AO99</f>
        <v>66</v>
      </c>
      <c r="AP100" s="88" t="n">
        <f aca="false">MAX(AP99,AN100-AO100)</f>
        <v>519.441644502128</v>
      </c>
      <c r="AQ100" s="88" t="n">
        <f aca="false">AP100-AP99</f>
        <v>5.80342126052835</v>
      </c>
      <c r="AR100" s="88" t="n">
        <f aca="false">IF(B100=2026,INDEX($C$9:$Q$9,1,B100-2025)*$AO$4*C100/MAX(0.0001,12-$AO$3),INDEX($C$9:$Q$9,1,B100-2025)/12)</f>
        <v>24.7454570609428</v>
      </c>
      <c r="AS100" s="88" t="n">
        <f aca="false">$AO$6*$AC$9/12</f>
        <v>18.7333333333333</v>
      </c>
      <c r="AT100" s="88" t="n">
        <f aca="false">AR100+AT99</f>
        <v>2496.28976173897</v>
      </c>
      <c r="AU100" s="88" t="n">
        <f aca="false">AS100+AU99</f>
        <v>1603.93333333333</v>
      </c>
      <c r="AV100" s="88" t="n">
        <f aca="false">MAX(AV99,AT100-AU100)</f>
        <v>892.356428405639</v>
      </c>
      <c r="AW100" s="88" t="n">
        <f aca="false">AV100-AV99</f>
        <v>6.01212372760961</v>
      </c>
      <c r="AX100" s="88" t="n">
        <f aca="false">IF(B100=2026,INDEX($C$10:$Q$10,1,B100-2025)*$AO$4*C100/MAX(0.0001,12-$AO$3),INDEX($C$10:$Q$10,1,B100-2025)/12)</f>
        <v>2.87034756681557</v>
      </c>
      <c r="AY100" s="88" t="n">
        <f aca="false">$AO$6*$AC$10/12</f>
        <v>0</v>
      </c>
      <c r="AZ100" s="88" t="n">
        <f aca="false">AX100+AZ99</f>
        <v>289.556956900317</v>
      </c>
      <c r="BA100" s="88" t="n">
        <f aca="false">AY100+BA99</f>
        <v>50</v>
      </c>
      <c r="BB100" s="88" t="n">
        <f aca="false">MAX(BB99,AZ100-BA100)</f>
        <v>239.556956900317</v>
      </c>
      <c r="BC100" s="88" t="n">
        <f aca="false">BB100-BB99</f>
        <v>2.87034756681555</v>
      </c>
      <c r="BD100" s="88" t="n">
        <f aca="false">IF(B100=2026,INDEX($C$11:$Q$11,1,B100-2025)*$AO$4*C100/MAX(0.0001,12-$AO$3),INDEX($C$11:$Q$11,1,B100-2025)/12)</f>
        <v>14.2639212564218</v>
      </c>
      <c r="BE100" s="88" t="n">
        <f aca="false">$AO$6*$AC$11/12</f>
        <v>0</v>
      </c>
      <c r="BF100" s="88" t="n">
        <f aca="false">BD100+BF99</f>
        <v>1438.9259615195</v>
      </c>
      <c r="BG100" s="88" t="n">
        <f aca="false">BE100+BG99</f>
        <v>240</v>
      </c>
      <c r="BH100" s="88" t="n">
        <f aca="false">MAX(BH99,BF100-BG100)</f>
        <v>1198.9259615195</v>
      </c>
      <c r="BI100" s="88" t="n">
        <f aca="false">BH100-BH99</f>
        <v>14.2639212564218</v>
      </c>
      <c r="BJ100" s="88" t="n">
        <f aca="false">IF(B100=2026,INDEX($C$12:$Q$12,1,B100-2025)*$AO$4*C100/MAX(0.0001,12-$AO$3),INDEX($C$12:$Q$12,1,B100-2025)/12)</f>
        <v>7.82069350154207</v>
      </c>
      <c r="BK100" s="88" t="n">
        <f aca="false">$AO$6*$AC$12/12</f>
        <v>25.3333333333333</v>
      </c>
      <c r="BL100" s="88" t="n">
        <f aca="false">BJ100+BL99</f>
        <v>788.941463862142</v>
      </c>
      <c r="BM100" s="88" t="n">
        <f aca="false">BK100+BM99</f>
        <v>186.333333333333</v>
      </c>
      <c r="BN100" s="88" t="n">
        <f aca="false">MAX(BN99,BL100-BM100)</f>
        <v>620.1207703606</v>
      </c>
      <c r="BO100" s="88" t="n">
        <f aca="false">BN100-BN99</f>
        <v>0</v>
      </c>
      <c r="BP100" s="88" t="n">
        <f aca="false">IF(B100=2026,INDEX($C$13:$Q$13,1,B100-2025)*$AO$4*C100/MAX(0.0001,12-$AO$3),INDEX($C$13:$Q$13,1,B100-2025)/12)</f>
        <v>2.44394688559256</v>
      </c>
      <c r="BQ100" s="88" t="n">
        <f aca="false">$AO$6*$AC$13/12</f>
        <v>0</v>
      </c>
      <c r="BR100" s="88" t="n">
        <f aca="false">BP100+BR99</f>
        <v>246.542206664988</v>
      </c>
      <c r="BS100" s="88" t="n">
        <f aca="false">BQ100+BS99</f>
        <v>87</v>
      </c>
      <c r="BT100" s="88" t="n">
        <f aca="false">MAX(BT99,BR100-BS100)</f>
        <v>159.542206664988</v>
      </c>
      <c r="BU100" s="88" t="n">
        <f aca="false">BT100-BT99</f>
        <v>2.4439468855926</v>
      </c>
      <c r="BV100" s="88" t="n">
        <f aca="false">IF(B100=2026,INDEX($C$14:$Q$14,1,B100-2025)*$AO$4*C100/MAX(0.0001,12-$AO$3),INDEX($C$14:$Q$14,1,B100-2025)/12)</f>
        <v>1.449513325248</v>
      </c>
      <c r="BW100" s="88" t="n">
        <f aca="false">$AO$6*$AC$14/12</f>
        <v>0</v>
      </c>
      <c r="BX100" s="88" t="n">
        <f aca="false">BV100+BX99</f>
        <v>146.225032918545</v>
      </c>
      <c r="BY100" s="88" t="n">
        <f aca="false">BW100+BY99</f>
        <v>0</v>
      </c>
      <c r="BZ100" s="88" t="n">
        <f aca="false">MAX(BZ99,BX100-BY100)</f>
        <v>146.225032918545</v>
      </c>
      <c r="CA100" s="88" t="n">
        <f aca="false">BZ100-BZ99</f>
        <v>1.44951332524801</v>
      </c>
      <c r="CB100" s="88" t="n">
        <f aca="false">IF(B100=2026,INDEX($C$15:$Q$15,1,B100-2025)*$AO$4*C100/MAX(0.0001,12-$AO$3),INDEX($C$15:$Q$15,1,B100-2025)/12)</f>
        <v>2.37652766116242</v>
      </c>
      <c r="CC100" s="88" t="n">
        <f aca="false">$AO$6*$AC$15/12</f>
        <v>0</v>
      </c>
      <c r="CD100" s="88" t="n">
        <f aca="false">CB100+CD99</f>
        <v>239.741042343195</v>
      </c>
      <c r="CE100" s="88" t="n">
        <f aca="false">CC100+CE99</f>
        <v>88.0000000000001</v>
      </c>
      <c r="CF100" s="88" t="n">
        <f aca="false">MAX(CF99,CD100-CE100)</f>
        <v>151.741042343195</v>
      </c>
      <c r="CG100" s="88" t="n">
        <f aca="false">CF100-CF99</f>
        <v>2.37652766116241</v>
      </c>
      <c r="CH100" s="88" t="n">
        <f aca="false">IF(B100=2026,INDEX($C$16:$Q$16,1,B100-2025)*$AO$4*C100/MAX(0.0001,12-$AO$3),INDEX($C$16:$Q$16,1,B100-2025)/12)</f>
        <v>1.87931088099014</v>
      </c>
      <c r="CI100" s="88" t="n">
        <f aca="false">$AO$6*$AC$16/12</f>
        <v>0</v>
      </c>
      <c r="CJ100" s="88" t="n">
        <f aca="false">CH100+CJ99</f>
        <v>189.582455469974</v>
      </c>
      <c r="CK100" s="88" t="n">
        <f aca="false">CI100+CK99</f>
        <v>70</v>
      </c>
      <c r="CL100" s="88" t="n">
        <f aca="false">MAX(CL99,CJ100-CK100)</f>
        <v>119.582455469974</v>
      </c>
      <c r="CM100" s="88" t="n">
        <f aca="false">CL100-CL99</f>
        <v>1.87931088099015</v>
      </c>
      <c r="CN100" s="88" t="n">
        <f aca="false">IF(B100=2026,INDEX($C$17:$Q$17,1,B100-2025)*$AO$4*C100/MAX(0.0001,12-$AO$3),INDEX($C$17:$Q$17,1,B100-2025)/12)</f>
        <v>8.1830083652082</v>
      </c>
      <c r="CO100" s="88" t="n">
        <f aca="false">$AO$6*$AC$17/12</f>
        <v>0</v>
      </c>
      <c r="CP100" s="88" t="n">
        <f aca="false">CN100+CP99</f>
        <v>825.4913195576</v>
      </c>
      <c r="CQ100" s="88" t="n">
        <f aca="false">CO100+CQ99</f>
        <v>221</v>
      </c>
      <c r="CR100" s="88" t="n">
        <f aca="false">MAX(CR99,CP100-CQ100)</f>
        <v>604.4913195576</v>
      </c>
      <c r="CS100" s="88" t="n">
        <f aca="false">CR100-CR99</f>
        <v>8.18300836520825</v>
      </c>
      <c r="CT100" s="88" t="n">
        <f aca="false">IF(B100=2026,INDEX($C$18:$Q$18,1,B100-2025)*$AO$4*C100/MAX(0.0001,12-$AO$3),INDEX($C$18:$Q$18,1,B100-2025)/12)</f>
        <v>1.70233541686103</v>
      </c>
      <c r="CU100" s="88" t="n">
        <f aca="false">$AO$6*$AC$18/12</f>
        <v>0</v>
      </c>
      <c r="CV100" s="88" t="n">
        <f aca="false">CT100+CV99</f>
        <v>171.729399125268</v>
      </c>
      <c r="CW100" s="88" t="n">
        <f aca="false">CU100+CW99</f>
        <v>11</v>
      </c>
      <c r="CX100" s="88" t="n">
        <f aca="false">MAX(CX99,CV100-CW100)</f>
        <v>160.729399125268</v>
      </c>
      <c r="CY100" s="88" t="n">
        <f aca="false">CX100-CX99</f>
        <v>1.70233541686102</v>
      </c>
      <c r="CZ100" s="88" t="n">
        <f aca="false">IF(B100=2026,INDEX($C$19:$Q$19,1,B100-2025)*$AO$4*C100/MAX(0.0001,12-$AO$3),INDEX($C$19:$Q$19,1,B100-2025)/12)</f>
        <v>1.68548061075349</v>
      </c>
      <c r="DA100" s="88" t="n">
        <f aca="false">$AO$6*$AC$19/12</f>
        <v>0</v>
      </c>
      <c r="DB100" s="88" t="n">
        <f aca="false">CZ100+DB99</f>
        <v>170.029108044819</v>
      </c>
      <c r="DC100" s="88" t="n">
        <f aca="false">DA100+DC99</f>
        <v>226</v>
      </c>
      <c r="DD100" s="88" t="n">
        <f aca="false">MAX(DD99,DB100-DC100)</f>
        <v>37.132124495359</v>
      </c>
      <c r="DE100" s="88" t="n">
        <f aca="false">DD100-DD99</f>
        <v>0</v>
      </c>
      <c r="DF100" s="88" t="n">
        <f aca="false">IF(B100=2026,INDEX($C$20:$Q$20,1,B100-2025)*$AO$4*C100/MAX(0.0001,12-$AO$3),INDEX($C$20:$Q$20,1,B100-2025)/12)</f>
        <v>1.37366669776409</v>
      </c>
      <c r="DG100" s="88" t="n">
        <f aca="false">$AO$6*$AC$20/12</f>
        <v>0</v>
      </c>
      <c r="DH100" s="88" t="n">
        <f aca="false">DF100+DH99</f>
        <v>138.573723056528</v>
      </c>
      <c r="DI100" s="88" t="n">
        <f aca="false">DG100+DI99</f>
        <v>0</v>
      </c>
      <c r="DJ100" s="88" t="n">
        <f aca="false">MAX(DJ99,DH100-DI100)</f>
        <v>138.573723056528</v>
      </c>
      <c r="DK100" s="88" t="n">
        <f aca="false">DJ100-DJ99</f>
        <v>1.37366669776409</v>
      </c>
      <c r="DL100" s="88" t="n">
        <f aca="false">IF(B100=2026,INDEX($C$21:$Q$21,1,B100-2025)*$AO$4*C100/MAX(0.0001,12-$AO$3),INDEX($C$21:$Q$21,1,B100-2025)/12)</f>
        <v>0.96072394812949</v>
      </c>
      <c r="DM100" s="88" t="n">
        <f aca="false">$AO$6*$AC$21/12</f>
        <v>0</v>
      </c>
      <c r="DN100" s="88" t="n">
        <f aca="false">DL100+DN99</f>
        <v>96.916591585547</v>
      </c>
      <c r="DO100" s="88" t="n">
        <f aca="false">DM100+DO99</f>
        <v>100</v>
      </c>
      <c r="DP100" s="88" t="n">
        <f aca="false">MAX(DP99,DN100-DO100)</f>
        <v>17.7483109623547</v>
      </c>
      <c r="DQ100" s="88" t="n">
        <f aca="false">DP100-DP99</f>
        <v>0</v>
      </c>
      <c r="DR100" s="88" t="n">
        <f aca="false">IF(B100=2026,INDEX($C$22:$Q$22,1,B100-2025)*$AO$4*C100/MAX(0.0001,12-$AO$3),INDEX($C$22:$Q$22,1,B100-2025)/12)</f>
        <v>0.750038871785304</v>
      </c>
      <c r="DS100" s="88" t="n">
        <f aca="false">$AO$6*$AC$22/12</f>
        <v>0</v>
      </c>
      <c r="DT100" s="88" t="n">
        <f aca="false">DR100+DT99</f>
        <v>75.6629530799447</v>
      </c>
      <c r="DU100" s="88" t="n">
        <f aca="false">DS100+DU99</f>
        <v>29</v>
      </c>
      <c r="DV100" s="88" t="n">
        <f aca="false">MAX(DV99,DT100-DU100)</f>
        <v>46.6629530799447</v>
      </c>
      <c r="DW100" s="88" t="n">
        <f aca="false">DV100-DV99</f>
        <v>0.750038871785307</v>
      </c>
      <c r="DX100" s="88" t="n">
        <f aca="false">IF(B100=2026,INDEX($C$23:$Q$23,1,B100-2025)*$AO$4*C100/MAX(0.0001,12-$AO$3),INDEX($C$23:$Q$23,1,B100-2025)/12)</f>
        <v>1.20511863668875</v>
      </c>
      <c r="DY100" s="88" t="n">
        <f aca="false">$AO$6*$AC$23/12</f>
        <v>0</v>
      </c>
      <c r="DZ100" s="88" t="n">
        <f aca="false">DX100+DZ99</f>
        <v>121.570812252046</v>
      </c>
      <c r="EA100" s="88" t="n">
        <f aca="false">DY100+EA99</f>
        <v>121</v>
      </c>
      <c r="EB100" s="88" t="n">
        <f aca="false">MAX(EB99,DZ100-EA100)</f>
        <v>35.0579690141817</v>
      </c>
      <c r="EC100" s="88" t="n">
        <f aca="false">EB100-EB99</f>
        <v>0</v>
      </c>
      <c r="ED100" s="88" t="n">
        <f aca="false">IF(B100=2026,INDEX($C$24:$Q$24,1,B100-2025)*$AO$4*C100/MAX(0.0001,12-$AO$3),INDEX($C$24:$Q$24,1,B100-2025)/12)</f>
        <v>0.741611468731536</v>
      </c>
      <c r="EE100" s="88" t="n">
        <f aca="false">$AO$6*$AC$24/12</f>
        <v>0</v>
      </c>
      <c r="EF100" s="88" t="n">
        <f aca="false">ED100+EF99</f>
        <v>74.8128075397206</v>
      </c>
      <c r="EG100" s="88" t="n">
        <f aca="false">EE100+EG99</f>
        <v>0</v>
      </c>
      <c r="EH100" s="88" t="n">
        <f aca="false">MAX(EH99,EF100-EG100)</f>
        <v>74.8128075397206</v>
      </c>
      <c r="EI100" s="88" t="n">
        <f aca="false">EH100-EH99</f>
        <v>0.741611468731534</v>
      </c>
      <c r="EJ100" s="88" t="n">
        <f aca="false">IF(B100=2026,INDEX($C$25:$Q$25,1,B100-2025)*$AO$4*C100/MAX(0.0001,12-$AO$3),INDEX($C$25:$Q$25,1,B100-2025)/12)</f>
        <v>0.943869142021955</v>
      </c>
      <c r="EK100" s="88" t="n">
        <f aca="false">$AO$6*$AC$25/12</f>
        <v>0</v>
      </c>
      <c r="EL100" s="88" t="n">
        <f aca="false">EJ100+EL99</f>
        <v>95.216300505099</v>
      </c>
      <c r="EM100" s="88" t="n">
        <f aca="false">EK100+EM99</f>
        <v>14</v>
      </c>
      <c r="EN100" s="88" t="n">
        <f aca="false">MAX(EN99,EL100-EM100)</f>
        <v>81.216300505099</v>
      </c>
      <c r="EO100" s="88" t="n">
        <f aca="false">EN100-EN99</f>
        <v>0.943869142021953</v>
      </c>
      <c r="EP100" s="88" t="n">
        <f aca="false">IF(B100=2026,INDEX($C$26:$Q$26,1,B100-2025)*$AO$4*C100/MAX(0.0001,12-$AO$3),INDEX($C$26:$Q$26,1,B100-2025)/12)</f>
        <v>1.35681189165656</v>
      </c>
      <c r="EQ100" s="88" t="n">
        <f aca="false">$AO$6*$AC$26/12</f>
        <v>0</v>
      </c>
      <c r="ER100" s="88" t="n">
        <f aca="false">EP100+ER99</f>
        <v>136.87343197608</v>
      </c>
      <c r="ES100" s="88" t="n">
        <f aca="false">EQ100+ES99</f>
        <v>4</v>
      </c>
      <c r="ET100" s="88" t="n">
        <f aca="false">MAX(ET99,ER100-ES100)</f>
        <v>132.87343197608</v>
      </c>
      <c r="EU100" s="88" t="n">
        <f aca="false">ET100-ET99</f>
        <v>1.35681189165655</v>
      </c>
      <c r="EV100" s="88" t="n">
        <f aca="false">IF(B100=2026,INDEX($C$27:$Q$27,1,B100-2025)*$AO$4*C100/MAX(0.0001,12-$AO$3),INDEX($C$27:$Q$27,1,B100-2025)/12)</f>
        <v>3.37096122150698</v>
      </c>
      <c r="EW100" s="88" t="n">
        <f aca="false">$AO$6*$AC$27/12</f>
        <v>0</v>
      </c>
      <c r="EX100" s="88" t="n">
        <f aca="false">EV100+EX99</f>
        <v>340.058216089639</v>
      </c>
      <c r="EY100" s="88" t="n">
        <f aca="false">EW100+EY99</f>
        <v>391</v>
      </c>
      <c r="EZ100" s="88" t="n">
        <f aca="false">MAX(EZ99,EX100-EY100)</f>
        <v>0</v>
      </c>
      <c r="FA100" s="88" t="n">
        <f aca="false">EZ100-EZ99</f>
        <v>0</v>
      </c>
      <c r="FB100" s="88" t="n">
        <f aca="false">IF(B100=2026,INDEX($C$28:$Q$28,1,B100-2025)*$AO$4*C100/MAX(0.0001,12-$AO$3),INDEX($C$28:$Q$28,1,B100-2025)/12)</f>
        <v>17.646981994589</v>
      </c>
      <c r="FC100" s="88" t="n">
        <f aca="false">$AO$6*$AC$28/12</f>
        <v>0</v>
      </c>
      <c r="FD100" s="88" t="n">
        <f aca="false">FB100+FD99</f>
        <v>1780.20476122926</v>
      </c>
      <c r="FE100" s="88" t="n">
        <f aca="false">FC100+FE99</f>
        <v>169</v>
      </c>
      <c r="FF100" s="88" t="n">
        <f aca="false">MAX(FF99,FD100-FE100)</f>
        <v>1611.20476122926</v>
      </c>
      <c r="FG100" s="88" t="n">
        <f aca="false">FF100-FF99</f>
        <v>17.6469819945889</v>
      </c>
    </row>
    <row r="101" customFormat="false" ht="15" hidden="false" customHeight="false" outlineLevel="0" collapsed="false">
      <c r="A101" s="0" t="n">
        <v>61</v>
      </c>
      <c r="B101" s="88" t="n">
        <f aca="false">2026+INT(A101/12)</f>
        <v>2031</v>
      </c>
      <c r="C101" s="88" t="n">
        <f aca="false">MAX(0,MIN(1,A101+1-$AO$3))</f>
        <v>1</v>
      </c>
      <c r="D101" s="88" t="n">
        <f aca="false">IF((A101+0.5-(0))&lt;$AO$3,0,2026+INT((A101+0.5-(0))/12))</f>
        <v>2031</v>
      </c>
      <c r="E101" s="88" t="n">
        <f aca="false">IF((A101+0.5-($AO$9))&lt;$AO$3,0,2026+INT((A101+0.5-($AO$9))/12))</f>
        <v>2029</v>
      </c>
      <c r="F101" s="88" t="n">
        <f aca="false">IF((A101+0.5-($AO$9+$AO$8))&lt;$AO$3,0,2026+INT((A101+0.5-($AO$9+$AO$8))/12))</f>
        <v>2028</v>
      </c>
      <c r="G101" s="88" t="n">
        <f aca="false">IF((A101+0.5-($AO$9+$AO$8+$AO$7))&lt;$AO$3,0,2026+INT((A101+0.5-($AO$9+$AO$8+$AO$7))/12))</f>
        <v>2028</v>
      </c>
      <c r="H101" s="88" t="n">
        <f aca="false">IF(B101=2026,INDEX($C$3:$Q$3,1,B101-2025)*$AO$4*C101/MAX(0.0001,12-$AO$3),INDEX($C$3:$Q$3,1,B101-2025)/12)</f>
        <v>180.666666666667</v>
      </c>
      <c r="I101" s="88" t="n">
        <f aca="false">$AO$6*$AC$3/12</f>
        <v>131.1</v>
      </c>
      <c r="J101" s="88" t="n">
        <f aca="false">H101+J100</f>
        <v>18406.0867579909</v>
      </c>
      <c r="K101" s="88" t="n">
        <f aca="false">I101+K100</f>
        <v>7384</v>
      </c>
      <c r="L101" s="88" t="n">
        <f aca="false">MAX(L100,J101-K101)</f>
        <v>11022.0867579909</v>
      </c>
      <c r="M101" s="88" t="n">
        <f aca="false">L101-L100</f>
        <v>49.5666666666657</v>
      </c>
      <c r="N101" s="88" t="n">
        <f aca="false">IF(B101=2026,INDEX($C$4:$Q$4,1,B101-2025)*$AO$4*C101/MAX(0.0001,12-$AO$3),INDEX($C$4:$Q$4,1,B101-2025)/12)</f>
        <v>5.47724540066293</v>
      </c>
      <c r="O101" s="88" t="n">
        <f aca="false">$AO$6*$AC$4/12</f>
        <v>-0.00833333333333333</v>
      </c>
      <c r="P101" s="88" t="n">
        <f aca="false">N101+P100</f>
        <v>558.014690255028</v>
      </c>
      <c r="Q101" s="88" t="n">
        <f aca="false">O101+Q100</f>
        <v>398.083333333333</v>
      </c>
      <c r="R101" s="88" t="n">
        <f aca="false">MAX(R100,P101-Q101)</f>
        <v>159.931356921694</v>
      </c>
      <c r="S101" s="88" t="n">
        <f aca="false">R101-R100</f>
        <v>5.48557873399625</v>
      </c>
      <c r="T101" s="88" t="n">
        <f aca="false">IF(B101=2026,INDEX($C$5:$Q$5,1,B101-2025)*$AO$4*C101/MAX(0.0001,12-$AO$3),INDEX($C$5:$Q$5,1,B101-2025)/12)</f>
        <v>22.2615024358139</v>
      </c>
      <c r="U101" s="88" t="n">
        <f aca="false">$AO$6*$AC$5/12</f>
        <v>0.00833333333333333</v>
      </c>
      <c r="V101" s="88" t="n">
        <f aca="false">T101+V100</f>
        <v>2267.97312839566</v>
      </c>
      <c r="W101" s="88" t="n">
        <f aca="false">U101+W100</f>
        <v>1114.91666666667</v>
      </c>
      <c r="X101" s="88" t="n">
        <f aca="false">MAX(X100,V101-W101)</f>
        <v>1153.05646172899</v>
      </c>
      <c r="Y101" s="88" t="n">
        <f aca="false">X101-X100</f>
        <v>22.2531691024803</v>
      </c>
      <c r="Z101" s="88" t="n">
        <f aca="false">IF(B101=2026,INDEX($C$6:$Q$6,1,B101-2025)*$AO$4*C101/MAX(0.0001,12-$AO$3),INDEX($C$6:$Q$6,1,B101-2025)/12)</f>
        <v>26.4114629913323</v>
      </c>
      <c r="AA101" s="88" t="n">
        <f aca="false">$AO$6*$AC$6/12</f>
        <v>74.3083333333333</v>
      </c>
      <c r="AB101" s="88" t="n">
        <f aca="false">Z101+AB100</f>
        <v>2690.76575216195</v>
      </c>
      <c r="AC101" s="88" t="n">
        <f aca="false">AA101+AC100</f>
        <v>1450.91666666667</v>
      </c>
      <c r="AD101" s="88" t="n">
        <f aca="false">MAX(AD100,AB101-AC101)</f>
        <v>1335.64282617929</v>
      </c>
      <c r="AE101" s="88" t="n">
        <f aca="false">AD101-AD100</f>
        <v>0</v>
      </c>
      <c r="AF101" s="88" t="n">
        <f aca="false">IF(B101=2026,INDEX($C$7:$Q$7,1,B101-2025)*$AO$4*C101/MAX(0.0001,12-$AO$3),INDEX($C$7:$Q$7,1,B101-2025)/12)</f>
        <v>22.9427081739175</v>
      </c>
      <c r="AG101" s="88" t="n">
        <f aca="false">$AO$6*$AC$7/12</f>
        <v>12.725</v>
      </c>
      <c r="AH101" s="88" t="n">
        <f aca="false">AF101+AH100</f>
        <v>2337.37348955198</v>
      </c>
      <c r="AI101" s="88" t="n">
        <f aca="false">AG101+AI100</f>
        <v>698.749999999999</v>
      </c>
      <c r="AJ101" s="88" t="n">
        <f aca="false">MAX(AJ100,AH101-AI101)</f>
        <v>1638.62348955198</v>
      </c>
      <c r="AK101" s="88" t="n">
        <f aca="false">AJ101-AJ100</f>
        <v>10.2177081739171</v>
      </c>
      <c r="AL101" s="88" t="n">
        <f aca="false">IF(B101=2026,INDEX($C$8:$Q$8,1,B101-2025)*$AO$4*C101/MAX(0.0001,12-$AO$3),INDEX($C$8:$Q$8,1,B101-2025)/12)</f>
        <v>5.80342126052833</v>
      </c>
      <c r="AM101" s="88" t="n">
        <f aca="false">$AO$6*$AC$8/12</f>
        <v>0</v>
      </c>
      <c r="AN101" s="88" t="n">
        <f aca="false">AL101+AN100</f>
        <v>591.245065762656</v>
      </c>
      <c r="AO101" s="88" t="n">
        <f aca="false">AM101+AO100</f>
        <v>66</v>
      </c>
      <c r="AP101" s="88" t="n">
        <f aca="false">MAX(AP100,AN101-AO101)</f>
        <v>525.245065762656</v>
      </c>
      <c r="AQ101" s="88" t="n">
        <f aca="false">AP101-AP100</f>
        <v>5.80342126052835</v>
      </c>
      <c r="AR101" s="88" t="n">
        <f aca="false">IF(B101=2026,INDEX($C$9:$Q$9,1,B101-2025)*$AO$4*C101/MAX(0.0001,12-$AO$3),INDEX($C$9:$Q$9,1,B101-2025)/12)</f>
        <v>24.7454570609428</v>
      </c>
      <c r="AS101" s="88" t="n">
        <f aca="false">$AO$6*$AC$9/12</f>
        <v>18.7333333333333</v>
      </c>
      <c r="AT101" s="88" t="n">
        <f aca="false">AR101+AT100</f>
        <v>2521.03521879992</v>
      </c>
      <c r="AU101" s="88" t="n">
        <f aca="false">AS101+AU100</f>
        <v>1622.66666666667</v>
      </c>
      <c r="AV101" s="88" t="n">
        <f aca="false">MAX(AV100,AT101-AU101)</f>
        <v>898.368552133248</v>
      </c>
      <c r="AW101" s="88" t="n">
        <f aca="false">AV101-AV100</f>
        <v>6.01212372760961</v>
      </c>
      <c r="AX101" s="88" t="n">
        <f aca="false">IF(B101=2026,INDEX($C$10:$Q$10,1,B101-2025)*$AO$4*C101/MAX(0.0001,12-$AO$3),INDEX($C$10:$Q$10,1,B101-2025)/12)</f>
        <v>2.87034756681557</v>
      </c>
      <c r="AY101" s="88" t="n">
        <f aca="false">$AO$6*$AC$10/12</f>
        <v>0</v>
      </c>
      <c r="AZ101" s="88" t="n">
        <f aca="false">AX101+AZ100</f>
        <v>292.427304467133</v>
      </c>
      <c r="BA101" s="88" t="n">
        <f aca="false">AY101+BA100</f>
        <v>50</v>
      </c>
      <c r="BB101" s="88" t="n">
        <f aca="false">MAX(BB100,AZ101-BA101)</f>
        <v>242.427304467133</v>
      </c>
      <c r="BC101" s="88" t="n">
        <f aca="false">BB101-BB100</f>
        <v>2.87034756681555</v>
      </c>
      <c r="BD101" s="88" t="n">
        <f aca="false">IF(B101=2026,INDEX($C$11:$Q$11,1,B101-2025)*$AO$4*C101/MAX(0.0001,12-$AO$3),INDEX($C$11:$Q$11,1,B101-2025)/12)</f>
        <v>14.2639212564218</v>
      </c>
      <c r="BE101" s="88" t="n">
        <f aca="false">$AO$6*$AC$11/12</f>
        <v>0</v>
      </c>
      <c r="BF101" s="88" t="n">
        <f aca="false">BD101+BF100</f>
        <v>1453.18988277592</v>
      </c>
      <c r="BG101" s="88" t="n">
        <f aca="false">BE101+BG100</f>
        <v>240</v>
      </c>
      <c r="BH101" s="88" t="n">
        <f aca="false">MAX(BH100,BF101-BG101)</f>
        <v>1213.18988277592</v>
      </c>
      <c r="BI101" s="88" t="n">
        <f aca="false">BH101-BH100</f>
        <v>14.2639212564218</v>
      </c>
      <c r="BJ101" s="88" t="n">
        <f aca="false">IF(B101=2026,INDEX($C$12:$Q$12,1,B101-2025)*$AO$4*C101/MAX(0.0001,12-$AO$3),INDEX($C$12:$Q$12,1,B101-2025)/12)</f>
        <v>7.82069350154207</v>
      </c>
      <c r="BK101" s="88" t="n">
        <f aca="false">$AO$6*$AC$12/12</f>
        <v>25.3333333333333</v>
      </c>
      <c r="BL101" s="88" t="n">
        <f aca="false">BJ101+BL100</f>
        <v>796.762157363684</v>
      </c>
      <c r="BM101" s="88" t="n">
        <f aca="false">BK101+BM100</f>
        <v>211.666666666667</v>
      </c>
      <c r="BN101" s="88" t="n">
        <f aca="false">MAX(BN100,BL101-BM101)</f>
        <v>620.1207703606</v>
      </c>
      <c r="BO101" s="88" t="n">
        <f aca="false">BN101-BN100</f>
        <v>0</v>
      </c>
      <c r="BP101" s="88" t="n">
        <f aca="false">IF(B101=2026,INDEX($C$13:$Q$13,1,B101-2025)*$AO$4*C101/MAX(0.0001,12-$AO$3),INDEX($C$13:$Q$13,1,B101-2025)/12)</f>
        <v>2.44394688559256</v>
      </c>
      <c r="BQ101" s="88" t="n">
        <f aca="false">$AO$6*$AC$13/12</f>
        <v>0</v>
      </c>
      <c r="BR101" s="88" t="n">
        <f aca="false">BP101+BR100</f>
        <v>248.986153550581</v>
      </c>
      <c r="BS101" s="88" t="n">
        <f aca="false">BQ101+BS100</f>
        <v>87</v>
      </c>
      <c r="BT101" s="88" t="n">
        <f aca="false">MAX(BT100,BR101-BS101)</f>
        <v>161.986153550581</v>
      </c>
      <c r="BU101" s="88" t="n">
        <f aca="false">BT101-BT100</f>
        <v>2.44394688559254</v>
      </c>
      <c r="BV101" s="88" t="n">
        <f aca="false">IF(B101=2026,INDEX($C$14:$Q$14,1,B101-2025)*$AO$4*C101/MAX(0.0001,12-$AO$3),INDEX($C$14:$Q$14,1,B101-2025)/12)</f>
        <v>1.449513325248</v>
      </c>
      <c r="BW101" s="88" t="n">
        <f aca="false">$AO$6*$AC$14/12</f>
        <v>0</v>
      </c>
      <c r="BX101" s="88" t="n">
        <f aca="false">BV101+BX100</f>
        <v>147.674546243793</v>
      </c>
      <c r="BY101" s="88" t="n">
        <f aca="false">BW101+BY100</f>
        <v>0</v>
      </c>
      <c r="BZ101" s="88" t="n">
        <f aca="false">MAX(BZ100,BX101-BY101)</f>
        <v>147.674546243793</v>
      </c>
      <c r="CA101" s="88" t="n">
        <f aca="false">BZ101-BZ100</f>
        <v>1.44951332524801</v>
      </c>
      <c r="CB101" s="88" t="n">
        <f aca="false">IF(B101=2026,INDEX($C$15:$Q$15,1,B101-2025)*$AO$4*C101/MAX(0.0001,12-$AO$3),INDEX($C$15:$Q$15,1,B101-2025)/12)</f>
        <v>2.37652766116242</v>
      </c>
      <c r="CC101" s="88" t="n">
        <f aca="false">$AO$6*$AC$15/12</f>
        <v>0</v>
      </c>
      <c r="CD101" s="88" t="n">
        <f aca="false">CB101+CD100</f>
        <v>242.117570004358</v>
      </c>
      <c r="CE101" s="88" t="n">
        <f aca="false">CC101+CE100</f>
        <v>88.0000000000001</v>
      </c>
      <c r="CF101" s="88" t="n">
        <f aca="false">MAX(CF100,CD101-CE101)</f>
        <v>154.117570004358</v>
      </c>
      <c r="CG101" s="88" t="n">
        <f aca="false">CF101-CF100</f>
        <v>2.37652766116241</v>
      </c>
      <c r="CH101" s="88" t="n">
        <f aca="false">IF(B101=2026,INDEX($C$16:$Q$16,1,B101-2025)*$AO$4*C101/MAX(0.0001,12-$AO$3),INDEX($C$16:$Q$16,1,B101-2025)/12)</f>
        <v>1.87931088099014</v>
      </c>
      <c r="CI101" s="88" t="n">
        <f aca="false">$AO$6*$AC$16/12</f>
        <v>0</v>
      </c>
      <c r="CJ101" s="88" t="n">
        <f aca="false">CH101+CJ100</f>
        <v>191.461766350964</v>
      </c>
      <c r="CK101" s="88" t="n">
        <f aca="false">CI101+CK100</f>
        <v>70</v>
      </c>
      <c r="CL101" s="88" t="n">
        <f aca="false">MAX(CL100,CJ101-CK101)</f>
        <v>121.461766350964</v>
      </c>
      <c r="CM101" s="88" t="n">
        <f aca="false">CL101-CL100</f>
        <v>1.87931088099015</v>
      </c>
      <c r="CN101" s="88" t="n">
        <f aca="false">IF(B101=2026,INDEX($C$17:$Q$17,1,B101-2025)*$AO$4*C101/MAX(0.0001,12-$AO$3),INDEX($C$17:$Q$17,1,B101-2025)/12)</f>
        <v>8.1830083652082</v>
      </c>
      <c r="CO101" s="88" t="n">
        <f aca="false">$AO$6*$AC$17/12</f>
        <v>0</v>
      </c>
      <c r="CP101" s="88" t="n">
        <f aca="false">CN101+CP100</f>
        <v>833.674327922808</v>
      </c>
      <c r="CQ101" s="88" t="n">
        <f aca="false">CO101+CQ100</f>
        <v>221</v>
      </c>
      <c r="CR101" s="88" t="n">
        <f aca="false">MAX(CR100,CP101-CQ101)</f>
        <v>612.674327922808</v>
      </c>
      <c r="CS101" s="88" t="n">
        <f aca="false">CR101-CR100</f>
        <v>8.18300836520825</v>
      </c>
      <c r="CT101" s="88" t="n">
        <f aca="false">IF(B101=2026,INDEX($C$18:$Q$18,1,B101-2025)*$AO$4*C101/MAX(0.0001,12-$AO$3),INDEX($C$18:$Q$18,1,B101-2025)/12)</f>
        <v>1.70233541686103</v>
      </c>
      <c r="CU101" s="88" t="n">
        <f aca="false">$AO$6*$AC$18/12</f>
        <v>0</v>
      </c>
      <c r="CV101" s="88" t="n">
        <f aca="false">CT101+CV100</f>
        <v>173.431734542129</v>
      </c>
      <c r="CW101" s="88" t="n">
        <f aca="false">CU101+CW100</f>
        <v>11</v>
      </c>
      <c r="CX101" s="88" t="n">
        <f aca="false">MAX(CX100,CV101-CW101)</f>
        <v>162.431734542129</v>
      </c>
      <c r="CY101" s="88" t="n">
        <f aca="false">CX101-CX100</f>
        <v>1.70233541686102</v>
      </c>
      <c r="CZ101" s="88" t="n">
        <f aca="false">IF(B101=2026,INDEX($C$19:$Q$19,1,B101-2025)*$AO$4*C101/MAX(0.0001,12-$AO$3),INDEX($C$19:$Q$19,1,B101-2025)/12)</f>
        <v>1.68548061075349</v>
      </c>
      <c r="DA101" s="88" t="n">
        <f aca="false">$AO$6*$AC$19/12</f>
        <v>0</v>
      </c>
      <c r="DB101" s="88" t="n">
        <f aca="false">CZ101+DB100</f>
        <v>171.714588655573</v>
      </c>
      <c r="DC101" s="88" t="n">
        <f aca="false">DA101+DC100</f>
        <v>226</v>
      </c>
      <c r="DD101" s="88" t="n">
        <f aca="false">MAX(DD100,DB101-DC101)</f>
        <v>37.132124495359</v>
      </c>
      <c r="DE101" s="88" t="n">
        <f aca="false">DD101-DD100</f>
        <v>0</v>
      </c>
      <c r="DF101" s="88" t="n">
        <f aca="false">IF(B101=2026,INDEX($C$20:$Q$20,1,B101-2025)*$AO$4*C101/MAX(0.0001,12-$AO$3),INDEX($C$20:$Q$20,1,B101-2025)/12)</f>
        <v>1.37366669776409</v>
      </c>
      <c r="DG101" s="88" t="n">
        <f aca="false">$AO$6*$AC$20/12</f>
        <v>0</v>
      </c>
      <c r="DH101" s="88" t="n">
        <f aca="false">DF101+DH100</f>
        <v>139.947389754292</v>
      </c>
      <c r="DI101" s="88" t="n">
        <f aca="false">DG101+DI100</f>
        <v>0</v>
      </c>
      <c r="DJ101" s="88" t="n">
        <f aca="false">MAX(DJ100,DH101-DI101)</f>
        <v>139.947389754292</v>
      </c>
      <c r="DK101" s="88" t="n">
        <f aca="false">DJ101-DJ100</f>
        <v>1.37366669776409</v>
      </c>
      <c r="DL101" s="88" t="n">
        <f aca="false">IF(B101=2026,INDEX($C$21:$Q$21,1,B101-2025)*$AO$4*C101/MAX(0.0001,12-$AO$3),INDEX($C$21:$Q$21,1,B101-2025)/12)</f>
        <v>0.96072394812949</v>
      </c>
      <c r="DM101" s="88" t="n">
        <f aca="false">$AO$6*$AC$21/12</f>
        <v>0</v>
      </c>
      <c r="DN101" s="88" t="n">
        <f aca="false">DL101+DN100</f>
        <v>97.8773155336765</v>
      </c>
      <c r="DO101" s="88" t="n">
        <f aca="false">DM101+DO100</f>
        <v>100</v>
      </c>
      <c r="DP101" s="88" t="n">
        <f aca="false">MAX(DP100,DN101-DO101)</f>
        <v>17.7483109623547</v>
      </c>
      <c r="DQ101" s="88" t="n">
        <f aca="false">DP101-DP100</f>
        <v>0</v>
      </c>
      <c r="DR101" s="88" t="n">
        <f aca="false">IF(B101=2026,INDEX($C$22:$Q$22,1,B101-2025)*$AO$4*C101/MAX(0.0001,12-$AO$3),INDEX($C$22:$Q$22,1,B101-2025)/12)</f>
        <v>0.750038871785304</v>
      </c>
      <c r="DS101" s="88" t="n">
        <f aca="false">$AO$6*$AC$22/12</f>
        <v>0</v>
      </c>
      <c r="DT101" s="88" t="n">
        <f aca="false">DR101+DT100</f>
        <v>76.41299195173</v>
      </c>
      <c r="DU101" s="88" t="n">
        <f aca="false">DS101+DU100</f>
        <v>29</v>
      </c>
      <c r="DV101" s="88" t="n">
        <f aca="false">MAX(DV100,DT101-DU101)</f>
        <v>47.41299195173</v>
      </c>
      <c r="DW101" s="88" t="n">
        <f aca="false">DV101-DV100</f>
        <v>0.750038871785307</v>
      </c>
      <c r="DX101" s="88" t="n">
        <f aca="false">IF(B101=2026,INDEX($C$23:$Q$23,1,B101-2025)*$AO$4*C101/MAX(0.0001,12-$AO$3),INDEX($C$23:$Q$23,1,B101-2025)/12)</f>
        <v>1.20511863668875</v>
      </c>
      <c r="DY101" s="88" t="n">
        <f aca="false">$AO$6*$AC$23/12</f>
        <v>0</v>
      </c>
      <c r="DZ101" s="88" t="n">
        <f aca="false">DX101+DZ100</f>
        <v>122.775930888735</v>
      </c>
      <c r="EA101" s="88" t="n">
        <f aca="false">DY101+EA100</f>
        <v>121</v>
      </c>
      <c r="EB101" s="88" t="n">
        <f aca="false">MAX(EB100,DZ101-EA101)</f>
        <v>35.0579690141817</v>
      </c>
      <c r="EC101" s="88" t="n">
        <f aca="false">EB101-EB100</f>
        <v>0</v>
      </c>
      <c r="ED101" s="88" t="n">
        <f aca="false">IF(B101=2026,INDEX($C$24:$Q$24,1,B101-2025)*$AO$4*C101/MAX(0.0001,12-$AO$3),INDEX($C$24:$Q$24,1,B101-2025)/12)</f>
        <v>0.741611468731536</v>
      </c>
      <c r="EE101" s="88" t="n">
        <f aca="false">$AO$6*$AC$24/12</f>
        <v>0</v>
      </c>
      <c r="EF101" s="88" t="n">
        <f aca="false">ED101+EF100</f>
        <v>75.5544190084521</v>
      </c>
      <c r="EG101" s="88" t="n">
        <f aca="false">EE101+EG100</f>
        <v>0</v>
      </c>
      <c r="EH101" s="88" t="n">
        <f aca="false">MAX(EH100,EF101-EG101)</f>
        <v>75.5544190084521</v>
      </c>
      <c r="EI101" s="88" t="n">
        <f aca="false">EH101-EH100</f>
        <v>0.741611468731534</v>
      </c>
      <c r="EJ101" s="88" t="n">
        <f aca="false">IF(B101=2026,INDEX($C$25:$Q$25,1,B101-2025)*$AO$4*C101/MAX(0.0001,12-$AO$3),INDEX($C$25:$Q$25,1,B101-2025)/12)</f>
        <v>0.943869142021955</v>
      </c>
      <c r="EK101" s="88" t="n">
        <f aca="false">$AO$6*$AC$25/12</f>
        <v>0</v>
      </c>
      <c r="EL101" s="88" t="n">
        <f aca="false">EJ101+EL100</f>
        <v>96.160169647121</v>
      </c>
      <c r="EM101" s="88" t="n">
        <f aca="false">EK101+EM100</f>
        <v>14</v>
      </c>
      <c r="EN101" s="88" t="n">
        <f aca="false">MAX(EN100,EL101-EM101)</f>
        <v>82.160169647121</v>
      </c>
      <c r="EO101" s="88" t="n">
        <f aca="false">EN101-EN100</f>
        <v>0.943869142021953</v>
      </c>
      <c r="EP101" s="88" t="n">
        <f aca="false">IF(B101=2026,INDEX($C$26:$Q$26,1,B101-2025)*$AO$4*C101/MAX(0.0001,12-$AO$3),INDEX($C$26:$Q$26,1,B101-2025)/12)</f>
        <v>1.35681189165656</v>
      </c>
      <c r="EQ101" s="88" t="n">
        <f aca="false">$AO$6*$AC$26/12</f>
        <v>0</v>
      </c>
      <c r="ER101" s="88" t="n">
        <f aca="false">EP101+ER100</f>
        <v>138.230243867736</v>
      </c>
      <c r="ES101" s="88" t="n">
        <f aca="false">EQ101+ES100</f>
        <v>4</v>
      </c>
      <c r="ET101" s="88" t="n">
        <f aca="false">MAX(ET100,ER101-ES101)</f>
        <v>134.230243867736</v>
      </c>
      <c r="EU101" s="88" t="n">
        <f aca="false">ET101-ET100</f>
        <v>1.35681189165655</v>
      </c>
      <c r="EV101" s="88" t="n">
        <f aca="false">IF(B101=2026,INDEX($C$27:$Q$27,1,B101-2025)*$AO$4*C101/MAX(0.0001,12-$AO$3),INDEX($C$27:$Q$27,1,B101-2025)/12)</f>
        <v>3.37096122150698</v>
      </c>
      <c r="EW101" s="88" t="n">
        <f aca="false">$AO$6*$AC$27/12</f>
        <v>0</v>
      </c>
      <c r="EX101" s="88" t="n">
        <f aca="false">EV101+EX100</f>
        <v>343.429177311146</v>
      </c>
      <c r="EY101" s="88" t="n">
        <f aca="false">EW101+EY100</f>
        <v>391</v>
      </c>
      <c r="EZ101" s="88" t="n">
        <f aca="false">MAX(EZ100,EX101-EY101)</f>
        <v>0</v>
      </c>
      <c r="FA101" s="88" t="n">
        <f aca="false">EZ101-EZ100</f>
        <v>0</v>
      </c>
      <c r="FB101" s="88" t="n">
        <f aca="false">IF(B101=2026,INDEX($C$28:$Q$28,1,B101-2025)*$AO$4*C101/MAX(0.0001,12-$AO$3),INDEX($C$28:$Q$28,1,B101-2025)/12)</f>
        <v>17.646981994589</v>
      </c>
      <c r="FC101" s="88" t="n">
        <f aca="false">$AO$6*$AC$28/12</f>
        <v>0</v>
      </c>
      <c r="FD101" s="88" t="n">
        <f aca="false">FB101+FD100</f>
        <v>1797.85174322385</v>
      </c>
      <c r="FE101" s="88" t="n">
        <f aca="false">FC101+FE100</f>
        <v>169</v>
      </c>
      <c r="FF101" s="88" t="n">
        <f aca="false">MAX(FF100,FD101-FE101)</f>
        <v>1628.85174322385</v>
      </c>
      <c r="FG101" s="88" t="n">
        <f aca="false">FF101-FF100</f>
        <v>17.6469819945889</v>
      </c>
    </row>
    <row r="102" customFormat="false" ht="15" hidden="false" customHeight="false" outlineLevel="0" collapsed="false">
      <c r="A102" s="0" t="n">
        <v>62</v>
      </c>
      <c r="B102" s="88" t="n">
        <f aca="false">2026+INT(A102/12)</f>
        <v>2031</v>
      </c>
      <c r="C102" s="88" t="n">
        <f aca="false">MAX(0,MIN(1,A102+1-$AO$3))</f>
        <v>1</v>
      </c>
      <c r="D102" s="88" t="n">
        <f aca="false">IF((A102+0.5-(0))&lt;$AO$3,0,2026+INT((A102+0.5-(0))/12))</f>
        <v>2031</v>
      </c>
      <c r="E102" s="88" t="n">
        <f aca="false">IF((A102+0.5-($AO$9))&lt;$AO$3,0,2026+INT((A102+0.5-($AO$9))/12))</f>
        <v>2029</v>
      </c>
      <c r="F102" s="88" t="n">
        <f aca="false">IF((A102+0.5-($AO$9+$AO$8))&lt;$AO$3,0,2026+INT((A102+0.5-($AO$9+$AO$8))/12))</f>
        <v>2028</v>
      </c>
      <c r="G102" s="88" t="n">
        <f aca="false">IF((A102+0.5-($AO$9+$AO$8+$AO$7))&lt;$AO$3,0,2026+INT((A102+0.5-($AO$9+$AO$8+$AO$7))/12))</f>
        <v>2028</v>
      </c>
      <c r="H102" s="88" t="n">
        <f aca="false">IF(B102=2026,INDEX($C$3:$Q$3,1,B102-2025)*$AO$4*C102/MAX(0.0001,12-$AO$3),INDEX($C$3:$Q$3,1,B102-2025)/12)</f>
        <v>180.666666666667</v>
      </c>
      <c r="I102" s="88" t="n">
        <f aca="false">$AO$6*$AC$3/12</f>
        <v>131.1</v>
      </c>
      <c r="J102" s="88" t="n">
        <f aca="false">H102+J101</f>
        <v>18586.7534246575</v>
      </c>
      <c r="K102" s="88" t="n">
        <f aca="false">I102+K101</f>
        <v>7515.1</v>
      </c>
      <c r="L102" s="88" t="n">
        <f aca="false">MAX(L101,J102-K102)</f>
        <v>11071.6534246575</v>
      </c>
      <c r="M102" s="88" t="n">
        <f aca="false">L102-L101</f>
        <v>49.5666666666693</v>
      </c>
      <c r="N102" s="88" t="n">
        <f aca="false">IF(B102=2026,INDEX($C$4:$Q$4,1,B102-2025)*$AO$4*C102/MAX(0.0001,12-$AO$3),INDEX($C$4:$Q$4,1,B102-2025)/12)</f>
        <v>5.47724540066293</v>
      </c>
      <c r="O102" s="88" t="n">
        <f aca="false">$AO$6*$AC$4/12</f>
        <v>-0.00833333333333333</v>
      </c>
      <c r="P102" s="88" t="n">
        <f aca="false">N102+P101</f>
        <v>563.49193565569</v>
      </c>
      <c r="Q102" s="88" t="n">
        <f aca="false">O102+Q101</f>
        <v>398.075</v>
      </c>
      <c r="R102" s="88" t="n">
        <f aca="false">MAX(R101,P102-Q102)</f>
        <v>165.416935655691</v>
      </c>
      <c r="S102" s="88" t="n">
        <f aca="false">R102-R101</f>
        <v>5.48557873399625</v>
      </c>
      <c r="T102" s="88" t="n">
        <f aca="false">IF(B102=2026,INDEX($C$5:$Q$5,1,B102-2025)*$AO$4*C102/MAX(0.0001,12-$AO$3),INDEX($C$5:$Q$5,1,B102-2025)/12)</f>
        <v>22.2615024358139</v>
      </c>
      <c r="U102" s="88" t="n">
        <f aca="false">$AO$6*$AC$5/12</f>
        <v>0.00833333333333333</v>
      </c>
      <c r="V102" s="88" t="n">
        <f aca="false">T102+V101</f>
        <v>2290.23463083147</v>
      </c>
      <c r="W102" s="88" t="n">
        <f aca="false">U102+W101</f>
        <v>1114.925</v>
      </c>
      <c r="X102" s="88" t="n">
        <f aca="false">MAX(X101,V102-W102)</f>
        <v>1175.30963083147</v>
      </c>
      <c r="Y102" s="88" t="n">
        <f aca="false">X102-X101</f>
        <v>22.2531691024803</v>
      </c>
      <c r="Z102" s="88" t="n">
        <f aca="false">IF(B102=2026,INDEX($C$6:$Q$6,1,B102-2025)*$AO$4*C102/MAX(0.0001,12-$AO$3),INDEX($C$6:$Q$6,1,B102-2025)/12)</f>
        <v>26.4114629913323</v>
      </c>
      <c r="AA102" s="88" t="n">
        <f aca="false">$AO$6*$AC$6/12</f>
        <v>74.3083333333333</v>
      </c>
      <c r="AB102" s="88" t="n">
        <f aca="false">Z102+AB101</f>
        <v>2717.17721515329</v>
      </c>
      <c r="AC102" s="88" t="n">
        <f aca="false">AA102+AC101</f>
        <v>1525.225</v>
      </c>
      <c r="AD102" s="88" t="n">
        <f aca="false">MAX(AD101,AB102-AC102)</f>
        <v>1335.64282617929</v>
      </c>
      <c r="AE102" s="88" t="n">
        <f aca="false">AD102-AD101</f>
        <v>0</v>
      </c>
      <c r="AF102" s="88" t="n">
        <f aca="false">IF(B102=2026,INDEX($C$7:$Q$7,1,B102-2025)*$AO$4*C102/MAX(0.0001,12-$AO$3),INDEX($C$7:$Q$7,1,B102-2025)/12)</f>
        <v>22.9427081739175</v>
      </c>
      <c r="AG102" s="88" t="n">
        <f aca="false">$AO$6*$AC$7/12</f>
        <v>12.725</v>
      </c>
      <c r="AH102" s="88" t="n">
        <f aca="false">AF102+AH101</f>
        <v>2360.3161977259</v>
      </c>
      <c r="AI102" s="88" t="n">
        <f aca="false">AG102+AI101</f>
        <v>711.475</v>
      </c>
      <c r="AJ102" s="88" t="n">
        <f aca="false">MAX(AJ101,AH102-AI102)</f>
        <v>1648.8411977259</v>
      </c>
      <c r="AK102" s="88" t="n">
        <f aca="false">AJ102-AJ101</f>
        <v>10.2177081739173</v>
      </c>
      <c r="AL102" s="88" t="n">
        <f aca="false">IF(B102=2026,INDEX($C$8:$Q$8,1,B102-2025)*$AO$4*C102/MAX(0.0001,12-$AO$3),INDEX($C$8:$Q$8,1,B102-2025)/12)</f>
        <v>5.80342126052833</v>
      </c>
      <c r="AM102" s="88" t="n">
        <f aca="false">$AO$6*$AC$8/12</f>
        <v>0</v>
      </c>
      <c r="AN102" s="88" t="n">
        <f aca="false">AL102+AN101</f>
        <v>597.048487023184</v>
      </c>
      <c r="AO102" s="88" t="n">
        <f aca="false">AM102+AO101</f>
        <v>66</v>
      </c>
      <c r="AP102" s="88" t="n">
        <f aca="false">MAX(AP101,AN102-AO102)</f>
        <v>531.048487023184</v>
      </c>
      <c r="AQ102" s="88" t="n">
        <f aca="false">AP102-AP101</f>
        <v>5.80342126052835</v>
      </c>
      <c r="AR102" s="88" t="n">
        <f aca="false">IF(B102=2026,INDEX($C$9:$Q$9,1,B102-2025)*$AO$4*C102/MAX(0.0001,12-$AO$3),INDEX($C$9:$Q$9,1,B102-2025)/12)</f>
        <v>24.7454570609428</v>
      </c>
      <c r="AS102" s="88" t="n">
        <f aca="false">$AO$6*$AC$9/12</f>
        <v>18.7333333333333</v>
      </c>
      <c r="AT102" s="88" t="n">
        <f aca="false">AR102+AT101</f>
        <v>2545.78067586086</v>
      </c>
      <c r="AU102" s="88" t="n">
        <f aca="false">AS102+AU101</f>
        <v>1641.4</v>
      </c>
      <c r="AV102" s="88" t="n">
        <f aca="false">MAX(AV101,AT102-AU102)</f>
        <v>904.380675860858</v>
      </c>
      <c r="AW102" s="88" t="n">
        <f aca="false">AV102-AV101</f>
        <v>6.01212372760961</v>
      </c>
      <c r="AX102" s="88" t="n">
        <f aca="false">IF(B102=2026,INDEX($C$10:$Q$10,1,B102-2025)*$AO$4*C102/MAX(0.0001,12-$AO$3),INDEX($C$10:$Q$10,1,B102-2025)/12)</f>
        <v>2.87034756681557</v>
      </c>
      <c r="AY102" s="88" t="n">
        <f aca="false">$AO$6*$AC$10/12</f>
        <v>0</v>
      </c>
      <c r="AZ102" s="88" t="n">
        <f aca="false">AX102+AZ101</f>
        <v>295.297652033948</v>
      </c>
      <c r="BA102" s="88" t="n">
        <f aca="false">AY102+BA101</f>
        <v>50</v>
      </c>
      <c r="BB102" s="88" t="n">
        <f aca="false">MAX(BB101,AZ102-BA102)</f>
        <v>245.297652033948</v>
      </c>
      <c r="BC102" s="88" t="n">
        <f aca="false">BB102-BB101</f>
        <v>2.87034756681555</v>
      </c>
      <c r="BD102" s="88" t="n">
        <f aca="false">IF(B102=2026,INDEX($C$11:$Q$11,1,B102-2025)*$AO$4*C102/MAX(0.0001,12-$AO$3),INDEX($C$11:$Q$11,1,B102-2025)/12)</f>
        <v>14.2639212564218</v>
      </c>
      <c r="BE102" s="88" t="n">
        <f aca="false">$AO$6*$AC$11/12</f>
        <v>0</v>
      </c>
      <c r="BF102" s="88" t="n">
        <f aca="false">BD102+BF101</f>
        <v>1467.45380403234</v>
      </c>
      <c r="BG102" s="88" t="n">
        <f aca="false">BE102+BG101</f>
        <v>240</v>
      </c>
      <c r="BH102" s="88" t="n">
        <f aca="false">MAX(BH101,BF102-BG102)</f>
        <v>1227.45380403234</v>
      </c>
      <c r="BI102" s="88" t="n">
        <f aca="false">BH102-BH101</f>
        <v>14.2639212564218</v>
      </c>
      <c r="BJ102" s="88" t="n">
        <f aca="false">IF(B102=2026,INDEX($C$12:$Q$12,1,B102-2025)*$AO$4*C102/MAX(0.0001,12-$AO$3),INDEX($C$12:$Q$12,1,B102-2025)/12)</f>
        <v>7.82069350154207</v>
      </c>
      <c r="BK102" s="88" t="n">
        <f aca="false">$AO$6*$AC$12/12</f>
        <v>25.3333333333333</v>
      </c>
      <c r="BL102" s="88" t="n">
        <f aca="false">BJ102+BL101</f>
        <v>804.582850865226</v>
      </c>
      <c r="BM102" s="88" t="n">
        <f aca="false">BK102+BM101</f>
        <v>237</v>
      </c>
      <c r="BN102" s="88" t="n">
        <f aca="false">MAX(BN101,BL102-BM102)</f>
        <v>620.1207703606</v>
      </c>
      <c r="BO102" s="88" t="n">
        <f aca="false">BN102-BN101</f>
        <v>0</v>
      </c>
      <c r="BP102" s="88" t="n">
        <f aca="false">IF(B102=2026,INDEX($C$13:$Q$13,1,B102-2025)*$AO$4*C102/MAX(0.0001,12-$AO$3),INDEX($C$13:$Q$13,1,B102-2025)/12)</f>
        <v>2.44394688559256</v>
      </c>
      <c r="BQ102" s="88" t="n">
        <f aca="false">$AO$6*$AC$13/12</f>
        <v>0</v>
      </c>
      <c r="BR102" s="88" t="n">
        <f aca="false">BP102+BR101</f>
        <v>251.430100436174</v>
      </c>
      <c r="BS102" s="88" t="n">
        <f aca="false">BQ102+BS101</f>
        <v>87</v>
      </c>
      <c r="BT102" s="88" t="n">
        <f aca="false">MAX(BT101,BR102-BS102)</f>
        <v>164.430100436174</v>
      </c>
      <c r="BU102" s="88" t="n">
        <f aca="false">BT102-BT101</f>
        <v>2.4439468855926</v>
      </c>
      <c r="BV102" s="88" t="n">
        <f aca="false">IF(B102=2026,INDEX($C$14:$Q$14,1,B102-2025)*$AO$4*C102/MAX(0.0001,12-$AO$3),INDEX($C$14:$Q$14,1,B102-2025)/12)</f>
        <v>1.449513325248</v>
      </c>
      <c r="BW102" s="88" t="n">
        <f aca="false">$AO$6*$AC$14/12</f>
        <v>0</v>
      </c>
      <c r="BX102" s="88" t="n">
        <f aca="false">BV102+BX101</f>
        <v>149.124059569041</v>
      </c>
      <c r="BY102" s="88" t="n">
        <f aca="false">BW102+BY101</f>
        <v>0</v>
      </c>
      <c r="BZ102" s="88" t="n">
        <f aca="false">MAX(BZ101,BX102-BY102)</f>
        <v>149.124059569041</v>
      </c>
      <c r="CA102" s="88" t="n">
        <f aca="false">BZ102-BZ101</f>
        <v>1.44951332524801</v>
      </c>
      <c r="CB102" s="88" t="n">
        <f aca="false">IF(B102=2026,INDEX($C$15:$Q$15,1,B102-2025)*$AO$4*C102/MAX(0.0001,12-$AO$3),INDEX($C$15:$Q$15,1,B102-2025)/12)</f>
        <v>2.37652766116242</v>
      </c>
      <c r="CC102" s="88" t="n">
        <f aca="false">$AO$6*$AC$15/12</f>
        <v>0</v>
      </c>
      <c r="CD102" s="88" t="n">
        <f aca="false">CB102+CD101</f>
        <v>244.49409766552</v>
      </c>
      <c r="CE102" s="88" t="n">
        <f aca="false">CC102+CE101</f>
        <v>88.0000000000001</v>
      </c>
      <c r="CF102" s="88" t="n">
        <f aca="false">MAX(CF101,CD102-CE102)</f>
        <v>156.49409766552</v>
      </c>
      <c r="CG102" s="88" t="n">
        <f aca="false">CF102-CF101</f>
        <v>2.37652766116241</v>
      </c>
      <c r="CH102" s="88" t="n">
        <f aca="false">IF(B102=2026,INDEX($C$16:$Q$16,1,B102-2025)*$AO$4*C102/MAX(0.0001,12-$AO$3),INDEX($C$16:$Q$16,1,B102-2025)/12)</f>
        <v>1.87931088099014</v>
      </c>
      <c r="CI102" s="88" t="n">
        <f aca="false">$AO$6*$AC$16/12</f>
        <v>0</v>
      </c>
      <c r="CJ102" s="88" t="n">
        <f aca="false">CH102+CJ101</f>
        <v>193.341077231954</v>
      </c>
      <c r="CK102" s="88" t="n">
        <f aca="false">CI102+CK101</f>
        <v>70</v>
      </c>
      <c r="CL102" s="88" t="n">
        <f aca="false">MAX(CL101,CJ102-CK102)</f>
        <v>123.341077231954</v>
      </c>
      <c r="CM102" s="88" t="n">
        <f aca="false">CL102-CL101</f>
        <v>1.87931088099015</v>
      </c>
      <c r="CN102" s="88" t="n">
        <f aca="false">IF(B102=2026,INDEX($C$17:$Q$17,1,B102-2025)*$AO$4*C102/MAX(0.0001,12-$AO$3),INDEX($C$17:$Q$17,1,B102-2025)/12)</f>
        <v>8.1830083652082</v>
      </c>
      <c r="CO102" s="88" t="n">
        <f aca="false">$AO$6*$AC$17/12</f>
        <v>0</v>
      </c>
      <c r="CP102" s="88" t="n">
        <f aca="false">CN102+CP101</f>
        <v>841.857336288016</v>
      </c>
      <c r="CQ102" s="88" t="n">
        <f aca="false">CO102+CQ101</f>
        <v>221</v>
      </c>
      <c r="CR102" s="88" t="n">
        <f aca="false">MAX(CR101,CP102-CQ102)</f>
        <v>620.857336288016</v>
      </c>
      <c r="CS102" s="88" t="n">
        <f aca="false">CR102-CR101</f>
        <v>8.18300836520825</v>
      </c>
      <c r="CT102" s="88" t="n">
        <f aca="false">IF(B102=2026,INDEX($C$18:$Q$18,1,B102-2025)*$AO$4*C102/MAX(0.0001,12-$AO$3),INDEX($C$18:$Q$18,1,B102-2025)/12)</f>
        <v>1.70233541686103</v>
      </c>
      <c r="CU102" s="88" t="n">
        <f aca="false">$AO$6*$AC$18/12</f>
        <v>0</v>
      </c>
      <c r="CV102" s="88" t="n">
        <f aca="false">CT102+CV101</f>
        <v>175.13406995899</v>
      </c>
      <c r="CW102" s="88" t="n">
        <f aca="false">CU102+CW101</f>
        <v>11</v>
      </c>
      <c r="CX102" s="88" t="n">
        <f aca="false">MAX(CX101,CV102-CW102)</f>
        <v>164.13406995899</v>
      </c>
      <c r="CY102" s="88" t="n">
        <f aca="false">CX102-CX101</f>
        <v>1.70233541686102</v>
      </c>
      <c r="CZ102" s="88" t="n">
        <f aca="false">IF(B102=2026,INDEX($C$19:$Q$19,1,B102-2025)*$AO$4*C102/MAX(0.0001,12-$AO$3),INDEX($C$19:$Q$19,1,B102-2025)/12)</f>
        <v>1.68548061075349</v>
      </c>
      <c r="DA102" s="88" t="n">
        <f aca="false">$AO$6*$AC$19/12</f>
        <v>0</v>
      </c>
      <c r="DB102" s="88" t="n">
        <f aca="false">CZ102+DB101</f>
        <v>173.400069266326</v>
      </c>
      <c r="DC102" s="88" t="n">
        <f aca="false">DA102+DC101</f>
        <v>226</v>
      </c>
      <c r="DD102" s="88" t="n">
        <f aca="false">MAX(DD101,DB102-DC102)</f>
        <v>37.132124495359</v>
      </c>
      <c r="DE102" s="88" t="n">
        <f aca="false">DD102-DD101</f>
        <v>0</v>
      </c>
      <c r="DF102" s="88" t="n">
        <f aca="false">IF(B102=2026,INDEX($C$20:$Q$20,1,B102-2025)*$AO$4*C102/MAX(0.0001,12-$AO$3),INDEX($C$20:$Q$20,1,B102-2025)/12)</f>
        <v>1.37366669776409</v>
      </c>
      <c r="DG102" s="88" t="n">
        <f aca="false">$AO$6*$AC$20/12</f>
        <v>0</v>
      </c>
      <c r="DH102" s="88" t="n">
        <f aca="false">DF102+DH101</f>
        <v>141.321056452056</v>
      </c>
      <c r="DI102" s="88" t="n">
        <f aca="false">DG102+DI101</f>
        <v>0</v>
      </c>
      <c r="DJ102" s="88" t="n">
        <f aca="false">MAX(DJ101,DH102-DI102)</f>
        <v>141.321056452056</v>
      </c>
      <c r="DK102" s="88" t="n">
        <f aca="false">DJ102-DJ101</f>
        <v>1.37366669776409</v>
      </c>
      <c r="DL102" s="88" t="n">
        <f aca="false">IF(B102=2026,INDEX($C$21:$Q$21,1,B102-2025)*$AO$4*C102/MAX(0.0001,12-$AO$3),INDEX($C$21:$Q$21,1,B102-2025)/12)</f>
        <v>0.96072394812949</v>
      </c>
      <c r="DM102" s="88" t="n">
        <f aca="false">$AO$6*$AC$21/12</f>
        <v>0</v>
      </c>
      <c r="DN102" s="88" t="n">
        <f aca="false">DL102+DN101</f>
        <v>98.838039481806</v>
      </c>
      <c r="DO102" s="88" t="n">
        <f aca="false">DM102+DO101</f>
        <v>100</v>
      </c>
      <c r="DP102" s="88" t="n">
        <f aca="false">MAX(DP101,DN102-DO102)</f>
        <v>17.7483109623547</v>
      </c>
      <c r="DQ102" s="88" t="n">
        <f aca="false">DP102-DP101</f>
        <v>0</v>
      </c>
      <c r="DR102" s="88" t="n">
        <f aca="false">IF(B102=2026,INDEX($C$22:$Q$22,1,B102-2025)*$AO$4*C102/MAX(0.0001,12-$AO$3),INDEX($C$22:$Q$22,1,B102-2025)/12)</f>
        <v>0.750038871785304</v>
      </c>
      <c r="DS102" s="88" t="n">
        <f aca="false">$AO$6*$AC$22/12</f>
        <v>0</v>
      </c>
      <c r="DT102" s="88" t="n">
        <f aca="false">DR102+DT101</f>
        <v>77.1630308235153</v>
      </c>
      <c r="DU102" s="88" t="n">
        <f aca="false">DS102+DU101</f>
        <v>29</v>
      </c>
      <c r="DV102" s="88" t="n">
        <f aca="false">MAX(DV101,DT102-DU102)</f>
        <v>48.1630308235153</v>
      </c>
      <c r="DW102" s="88" t="n">
        <f aca="false">DV102-DV101</f>
        <v>0.750038871785307</v>
      </c>
      <c r="DX102" s="88" t="n">
        <f aca="false">IF(B102=2026,INDEX($C$23:$Q$23,1,B102-2025)*$AO$4*C102/MAX(0.0001,12-$AO$3),INDEX($C$23:$Q$23,1,B102-2025)/12)</f>
        <v>1.20511863668875</v>
      </c>
      <c r="DY102" s="88" t="n">
        <f aca="false">$AO$6*$AC$23/12</f>
        <v>0</v>
      </c>
      <c r="DZ102" s="88" t="n">
        <f aca="false">DX102+DZ101</f>
        <v>123.981049525423</v>
      </c>
      <c r="EA102" s="88" t="n">
        <f aca="false">DY102+EA101</f>
        <v>121</v>
      </c>
      <c r="EB102" s="88" t="n">
        <f aca="false">MAX(EB101,DZ102-EA102)</f>
        <v>35.0579690141817</v>
      </c>
      <c r="EC102" s="88" t="n">
        <f aca="false">EB102-EB101</f>
        <v>0</v>
      </c>
      <c r="ED102" s="88" t="n">
        <f aca="false">IF(B102=2026,INDEX($C$24:$Q$24,1,B102-2025)*$AO$4*C102/MAX(0.0001,12-$AO$3),INDEX($C$24:$Q$24,1,B102-2025)/12)</f>
        <v>0.741611468731536</v>
      </c>
      <c r="EE102" s="88" t="n">
        <f aca="false">$AO$6*$AC$24/12</f>
        <v>0</v>
      </c>
      <c r="EF102" s="88" t="n">
        <f aca="false">ED102+EF101</f>
        <v>76.2960304771837</v>
      </c>
      <c r="EG102" s="88" t="n">
        <f aca="false">EE102+EG101</f>
        <v>0</v>
      </c>
      <c r="EH102" s="88" t="n">
        <f aca="false">MAX(EH101,EF102-EG102)</f>
        <v>76.2960304771837</v>
      </c>
      <c r="EI102" s="88" t="n">
        <f aca="false">EH102-EH101</f>
        <v>0.741611468731534</v>
      </c>
      <c r="EJ102" s="88" t="n">
        <f aca="false">IF(B102=2026,INDEX($C$25:$Q$25,1,B102-2025)*$AO$4*C102/MAX(0.0001,12-$AO$3),INDEX($C$25:$Q$25,1,B102-2025)/12)</f>
        <v>0.943869142021955</v>
      </c>
      <c r="EK102" s="88" t="n">
        <f aca="false">$AO$6*$AC$25/12</f>
        <v>0</v>
      </c>
      <c r="EL102" s="88" t="n">
        <f aca="false">EJ102+EL101</f>
        <v>97.1040387891429</v>
      </c>
      <c r="EM102" s="88" t="n">
        <f aca="false">EK102+EM101</f>
        <v>14</v>
      </c>
      <c r="EN102" s="88" t="n">
        <f aca="false">MAX(EN101,EL102-EM102)</f>
        <v>83.1040387891429</v>
      </c>
      <c r="EO102" s="88" t="n">
        <f aca="false">EN102-EN101</f>
        <v>0.943869142021953</v>
      </c>
      <c r="EP102" s="88" t="n">
        <f aca="false">IF(B102=2026,INDEX($C$26:$Q$26,1,B102-2025)*$AO$4*C102/MAX(0.0001,12-$AO$3),INDEX($C$26:$Q$26,1,B102-2025)/12)</f>
        <v>1.35681189165656</v>
      </c>
      <c r="EQ102" s="88" t="n">
        <f aca="false">$AO$6*$AC$26/12</f>
        <v>0</v>
      </c>
      <c r="ER102" s="88" t="n">
        <f aca="false">EP102+ER101</f>
        <v>139.587055759393</v>
      </c>
      <c r="ES102" s="88" t="n">
        <f aca="false">EQ102+ES101</f>
        <v>4</v>
      </c>
      <c r="ET102" s="88" t="n">
        <f aca="false">MAX(ET101,ER102-ES102)</f>
        <v>135.587055759393</v>
      </c>
      <c r="EU102" s="88" t="n">
        <f aca="false">ET102-ET101</f>
        <v>1.35681189165655</v>
      </c>
      <c r="EV102" s="88" t="n">
        <f aca="false">IF(B102=2026,INDEX($C$27:$Q$27,1,B102-2025)*$AO$4*C102/MAX(0.0001,12-$AO$3),INDEX($C$27:$Q$27,1,B102-2025)/12)</f>
        <v>3.37096122150698</v>
      </c>
      <c r="EW102" s="88" t="n">
        <f aca="false">$AO$6*$AC$27/12</f>
        <v>0</v>
      </c>
      <c r="EX102" s="88" t="n">
        <f aca="false">EV102+EX101</f>
        <v>346.800138532653</v>
      </c>
      <c r="EY102" s="88" t="n">
        <f aca="false">EW102+EY101</f>
        <v>391</v>
      </c>
      <c r="EZ102" s="88" t="n">
        <f aca="false">MAX(EZ101,EX102-EY102)</f>
        <v>0</v>
      </c>
      <c r="FA102" s="88" t="n">
        <f aca="false">EZ102-EZ101</f>
        <v>0</v>
      </c>
      <c r="FB102" s="88" t="n">
        <f aca="false">IF(B102=2026,INDEX($C$28:$Q$28,1,B102-2025)*$AO$4*C102/MAX(0.0001,12-$AO$3),INDEX($C$28:$Q$28,1,B102-2025)/12)</f>
        <v>17.646981994589</v>
      </c>
      <c r="FC102" s="88" t="n">
        <f aca="false">$AO$6*$AC$28/12</f>
        <v>0</v>
      </c>
      <c r="FD102" s="88" t="n">
        <f aca="false">FB102+FD101</f>
        <v>1815.49872521844</v>
      </c>
      <c r="FE102" s="88" t="n">
        <f aca="false">FC102+FE101</f>
        <v>169</v>
      </c>
      <c r="FF102" s="88" t="n">
        <f aca="false">MAX(FF101,FD102-FE102)</f>
        <v>1646.49872521844</v>
      </c>
      <c r="FG102" s="88" t="n">
        <f aca="false">FF102-FF101</f>
        <v>17.6469819945889</v>
      </c>
    </row>
    <row r="103" customFormat="false" ht="15" hidden="false" customHeight="false" outlineLevel="0" collapsed="false">
      <c r="A103" s="0" t="n">
        <v>63</v>
      </c>
      <c r="B103" s="88" t="n">
        <f aca="false">2026+INT(A103/12)</f>
        <v>2031</v>
      </c>
      <c r="C103" s="88" t="n">
        <f aca="false">MAX(0,MIN(1,A103+1-$AO$3))</f>
        <v>1</v>
      </c>
      <c r="D103" s="88" t="n">
        <f aca="false">IF((A103+0.5-(0))&lt;$AO$3,0,2026+INT((A103+0.5-(0))/12))</f>
        <v>2031</v>
      </c>
      <c r="E103" s="88" t="n">
        <f aca="false">IF((A103+0.5-($AO$9))&lt;$AO$3,0,2026+INT((A103+0.5-($AO$9))/12))</f>
        <v>2030</v>
      </c>
      <c r="F103" s="88" t="n">
        <f aca="false">IF((A103+0.5-($AO$9+$AO$8))&lt;$AO$3,0,2026+INT((A103+0.5-($AO$9+$AO$8))/12))</f>
        <v>2028</v>
      </c>
      <c r="G103" s="88" t="n">
        <f aca="false">IF((A103+0.5-($AO$9+$AO$8+$AO$7))&lt;$AO$3,0,2026+INT((A103+0.5-($AO$9+$AO$8+$AO$7))/12))</f>
        <v>2028</v>
      </c>
      <c r="H103" s="88" t="n">
        <f aca="false">IF(B103=2026,INDEX($C$3:$Q$3,1,B103-2025)*$AO$4*C103/MAX(0.0001,12-$AO$3),INDEX($C$3:$Q$3,1,B103-2025)/12)</f>
        <v>180.666666666667</v>
      </c>
      <c r="I103" s="88" t="n">
        <f aca="false">$AO$6*$AC$3/12</f>
        <v>131.1</v>
      </c>
      <c r="J103" s="88" t="n">
        <f aca="false">H103+J102</f>
        <v>18767.4200913242</v>
      </c>
      <c r="K103" s="88" t="n">
        <f aca="false">I103+K102</f>
        <v>7646.2</v>
      </c>
      <c r="L103" s="88" t="n">
        <f aca="false">MAX(L102,J103-K103)</f>
        <v>11121.2200913242</v>
      </c>
      <c r="M103" s="88" t="n">
        <f aca="false">L103-L102</f>
        <v>49.5666666666657</v>
      </c>
      <c r="N103" s="88" t="n">
        <f aca="false">IF(B103=2026,INDEX($C$4:$Q$4,1,B103-2025)*$AO$4*C103/MAX(0.0001,12-$AO$3),INDEX($C$4:$Q$4,1,B103-2025)/12)</f>
        <v>5.47724540066293</v>
      </c>
      <c r="O103" s="88" t="n">
        <f aca="false">$AO$6*$AC$4/12</f>
        <v>-0.00833333333333333</v>
      </c>
      <c r="P103" s="88" t="n">
        <f aca="false">N103+P102</f>
        <v>568.969181056353</v>
      </c>
      <c r="Q103" s="88" t="n">
        <f aca="false">O103+Q102</f>
        <v>398.066666666667</v>
      </c>
      <c r="R103" s="88" t="n">
        <f aca="false">MAX(R102,P103-Q103)</f>
        <v>170.902514389687</v>
      </c>
      <c r="S103" s="88" t="n">
        <f aca="false">R103-R102</f>
        <v>5.48557873399625</v>
      </c>
      <c r="T103" s="88" t="n">
        <f aca="false">IF(B103=2026,INDEX($C$5:$Q$5,1,B103-2025)*$AO$4*C103/MAX(0.0001,12-$AO$3),INDEX($C$5:$Q$5,1,B103-2025)/12)</f>
        <v>22.2615024358139</v>
      </c>
      <c r="U103" s="88" t="n">
        <f aca="false">$AO$6*$AC$5/12</f>
        <v>0.00833333333333333</v>
      </c>
      <c r="V103" s="88" t="n">
        <f aca="false">T103+V102</f>
        <v>2312.49613326729</v>
      </c>
      <c r="W103" s="88" t="n">
        <f aca="false">U103+W102</f>
        <v>1114.93333333333</v>
      </c>
      <c r="X103" s="88" t="n">
        <f aca="false">MAX(X102,V103-W103)</f>
        <v>1197.56279993395</v>
      </c>
      <c r="Y103" s="88" t="n">
        <f aca="false">X103-X102</f>
        <v>22.2531691024803</v>
      </c>
      <c r="Z103" s="88" t="n">
        <f aca="false">IF(B103=2026,INDEX($C$6:$Q$6,1,B103-2025)*$AO$4*C103/MAX(0.0001,12-$AO$3),INDEX($C$6:$Q$6,1,B103-2025)/12)</f>
        <v>26.4114629913323</v>
      </c>
      <c r="AA103" s="88" t="n">
        <f aca="false">$AO$6*$AC$6/12</f>
        <v>74.3083333333333</v>
      </c>
      <c r="AB103" s="88" t="n">
        <f aca="false">Z103+AB102</f>
        <v>2743.58867814462</v>
      </c>
      <c r="AC103" s="88" t="n">
        <f aca="false">AA103+AC102</f>
        <v>1599.53333333334</v>
      </c>
      <c r="AD103" s="88" t="n">
        <f aca="false">MAX(AD102,AB103-AC103)</f>
        <v>1335.64282617929</v>
      </c>
      <c r="AE103" s="88" t="n">
        <f aca="false">AD103-AD102</f>
        <v>0</v>
      </c>
      <c r="AF103" s="88" t="n">
        <f aca="false">IF(B103=2026,INDEX($C$7:$Q$7,1,B103-2025)*$AO$4*C103/MAX(0.0001,12-$AO$3),INDEX($C$7:$Q$7,1,B103-2025)/12)</f>
        <v>22.9427081739175</v>
      </c>
      <c r="AG103" s="88" t="n">
        <f aca="false">$AO$6*$AC$7/12</f>
        <v>12.725</v>
      </c>
      <c r="AH103" s="88" t="n">
        <f aca="false">AF103+AH102</f>
        <v>2383.25890589981</v>
      </c>
      <c r="AI103" s="88" t="n">
        <f aca="false">AG103+AI102</f>
        <v>724.2</v>
      </c>
      <c r="AJ103" s="88" t="n">
        <f aca="false">MAX(AJ102,AH103-AI103)</f>
        <v>1659.05890589981</v>
      </c>
      <c r="AK103" s="88" t="n">
        <f aca="false">AJ103-AJ102</f>
        <v>10.2177081739173</v>
      </c>
      <c r="AL103" s="88" t="n">
        <f aca="false">IF(B103=2026,INDEX($C$8:$Q$8,1,B103-2025)*$AO$4*C103/MAX(0.0001,12-$AO$3),INDEX($C$8:$Q$8,1,B103-2025)/12)</f>
        <v>5.80342126052833</v>
      </c>
      <c r="AM103" s="88" t="n">
        <f aca="false">$AO$6*$AC$8/12</f>
        <v>0</v>
      </c>
      <c r="AN103" s="88" t="n">
        <f aca="false">AL103+AN102</f>
        <v>602.851908283713</v>
      </c>
      <c r="AO103" s="88" t="n">
        <f aca="false">AM103+AO102</f>
        <v>66</v>
      </c>
      <c r="AP103" s="88" t="n">
        <f aca="false">MAX(AP102,AN103-AO103)</f>
        <v>536.851908283713</v>
      </c>
      <c r="AQ103" s="88" t="n">
        <f aca="false">AP103-AP102</f>
        <v>5.80342126052835</v>
      </c>
      <c r="AR103" s="88" t="n">
        <f aca="false">IF(B103=2026,INDEX($C$9:$Q$9,1,B103-2025)*$AO$4*C103/MAX(0.0001,12-$AO$3),INDEX($C$9:$Q$9,1,B103-2025)/12)</f>
        <v>24.7454570609428</v>
      </c>
      <c r="AS103" s="88" t="n">
        <f aca="false">$AO$6*$AC$9/12</f>
        <v>18.7333333333333</v>
      </c>
      <c r="AT103" s="88" t="n">
        <f aca="false">AR103+AT102</f>
        <v>2570.5261329218</v>
      </c>
      <c r="AU103" s="88" t="n">
        <f aca="false">AS103+AU102</f>
        <v>1660.13333333333</v>
      </c>
      <c r="AV103" s="88" t="n">
        <f aca="false">MAX(AV102,AT103-AU103)</f>
        <v>910.392799588467</v>
      </c>
      <c r="AW103" s="88" t="n">
        <f aca="false">AV103-AV102</f>
        <v>6.01212372760961</v>
      </c>
      <c r="AX103" s="88" t="n">
        <f aca="false">IF(B103=2026,INDEX($C$10:$Q$10,1,B103-2025)*$AO$4*C103/MAX(0.0001,12-$AO$3),INDEX($C$10:$Q$10,1,B103-2025)/12)</f>
        <v>2.87034756681557</v>
      </c>
      <c r="AY103" s="88" t="n">
        <f aca="false">$AO$6*$AC$10/12</f>
        <v>0</v>
      </c>
      <c r="AZ103" s="88" t="n">
        <f aca="false">AX103+AZ102</f>
        <v>298.167999600764</v>
      </c>
      <c r="BA103" s="88" t="n">
        <f aca="false">AY103+BA102</f>
        <v>50</v>
      </c>
      <c r="BB103" s="88" t="n">
        <f aca="false">MAX(BB102,AZ103-BA103)</f>
        <v>248.167999600764</v>
      </c>
      <c r="BC103" s="88" t="n">
        <f aca="false">BB103-BB102</f>
        <v>2.87034756681555</v>
      </c>
      <c r="BD103" s="88" t="n">
        <f aca="false">IF(B103=2026,INDEX($C$11:$Q$11,1,B103-2025)*$AO$4*C103/MAX(0.0001,12-$AO$3),INDEX($C$11:$Q$11,1,B103-2025)/12)</f>
        <v>14.2639212564218</v>
      </c>
      <c r="BE103" s="88" t="n">
        <f aca="false">$AO$6*$AC$11/12</f>
        <v>0</v>
      </c>
      <c r="BF103" s="88" t="n">
        <f aca="false">BD103+BF102</f>
        <v>1481.71772528877</v>
      </c>
      <c r="BG103" s="88" t="n">
        <f aca="false">BE103+BG102</f>
        <v>240</v>
      </c>
      <c r="BH103" s="88" t="n">
        <f aca="false">MAX(BH102,BF103-BG103)</f>
        <v>1241.71772528877</v>
      </c>
      <c r="BI103" s="88" t="n">
        <f aca="false">BH103-BH102</f>
        <v>14.2639212564218</v>
      </c>
      <c r="BJ103" s="88" t="n">
        <f aca="false">IF(B103=2026,INDEX($C$12:$Q$12,1,B103-2025)*$AO$4*C103/MAX(0.0001,12-$AO$3),INDEX($C$12:$Q$12,1,B103-2025)/12)</f>
        <v>7.82069350154207</v>
      </c>
      <c r="BK103" s="88" t="n">
        <f aca="false">$AO$6*$AC$12/12</f>
        <v>25.3333333333333</v>
      </c>
      <c r="BL103" s="88" t="n">
        <f aca="false">BJ103+BL102</f>
        <v>812.403544366768</v>
      </c>
      <c r="BM103" s="88" t="n">
        <f aca="false">BK103+BM102</f>
        <v>262.333333333333</v>
      </c>
      <c r="BN103" s="88" t="n">
        <f aca="false">MAX(BN102,BL103-BM103)</f>
        <v>620.1207703606</v>
      </c>
      <c r="BO103" s="88" t="n">
        <f aca="false">BN103-BN102</f>
        <v>0</v>
      </c>
      <c r="BP103" s="88" t="n">
        <f aca="false">IF(B103=2026,INDEX($C$13:$Q$13,1,B103-2025)*$AO$4*C103/MAX(0.0001,12-$AO$3),INDEX($C$13:$Q$13,1,B103-2025)/12)</f>
        <v>2.44394688559256</v>
      </c>
      <c r="BQ103" s="88" t="n">
        <f aca="false">$AO$6*$AC$13/12</f>
        <v>0</v>
      </c>
      <c r="BR103" s="88" t="n">
        <f aca="false">BP103+BR102</f>
        <v>253.874047321766</v>
      </c>
      <c r="BS103" s="88" t="n">
        <f aca="false">BQ103+BS102</f>
        <v>87</v>
      </c>
      <c r="BT103" s="88" t="n">
        <f aca="false">MAX(BT102,BR103-BS103)</f>
        <v>166.874047321766</v>
      </c>
      <c r="BU103" s="88" t="n">
        <f aca="false">BT103-BT102</f>
        <v>2.44394688559254</v>
      </c>
      <c r="BV103" s="88" t="n">
        <f aca="false">IF(B103=2026,INDEX($C$14:$Q$14,1,B103-2025)*$AO$4*C103/MAX(0.0001,12-$AO$3),INDEX($C$14:$Q$14,1,B103-2025)/12)</f>
        <v>1.449513325248</v>
      </c>
      <c r="BW103" s="88" t="n">
        <f aca="false">$AO$6*$AC$14/12</f>
        <v>0</v>
      </c>
      <c r="BX103" s="88" t="n">
        <f aca="false">BV103+BX102</f>
        <v>150.573572894289</v>
      </c>
      <c r="BY103" s="88" t="n">
        <f aca="false">BW103+BY102</f>
        <v>0</v>
      </c>
      <c r="BZ103" s="88" t="n">
        <f aca="false">MAX(BZ102,BX103-BY103)</f>
        <v>150.573572894289</v>
      </c>
      <c r="CA103" s="88" t="n">
        <f aca="false">BZ103-BZ102</f>
        <v>1.44951332524801</v>
      </c>
      <c r="CB103" s="88" t="n">
        <f aca="false">IF(B103=2026,INDEX($C$15:$Q$15,1,B103-2025)*$AO$4*C103/MAX(0.0001,12-$AO$3),INDEX($C$15:$Q$15,1,B103-2025)/12)</f>
        <v>2.37652766116242</v>
      </c>
      <c r="CC103" s="88" t="n">
        <f aca="false">$AO$6*$AC$15/12</f>
        <v>0</v>
      </c>
      <c r="CD103" s="88" t="n">
        <f aca="false">CB103+CD102</f>
        <v>246.870625326682</v>
      </c>
      <c r="CE103" s="88" t="n">
        <f aca="false">CC103+CE102</f>
        <v>88.0000000000001</v>
      </c>
      <c r="CF103" s="88" t="n">
        <f aca="false">MAX(CF102,CD103-CE103)</f>
        <v>158.870625326682</v>
      </c>
      <c r="CG103" s="88" t="n">
        <f aca="false">CF103-CF102</f>
        <v>2.37652766116241</v>
      </c>
      <c r="CH103" s="88" t="n">
        <f aca="false">IF(B103=2026,INDEX($C$16:$Q$16,1,B103-2025)*$AO$4*C103/MAX(0.0001,12-$AO$3),INDEX($C$16:$Q$16,1,B103-2025)/12)</f>
        <v>1.87931088099014</v>
      </c>
      <c r="CI103" s="88" t="n">
        <f aca="false">$AO$6*$AC$16/12</f>
        <v>0</v>
      </c>
      <c r="CJ103" s="88" t="n">
        <f aca="false">CH103+CJ102</f>
        <v>195.220388112944</v>
      </c>
      <c r="CK103" s="88" t="n">
        <f aca="false">CI103+CK102</f>
        <v>70</v>
      </c>
      <c r="CL103" s="88" t="n">
        <f aca="false">MAX(CL102,CJ103-CK103)</f>
        <v>125.220388112944</v>
      </c>
      <c r="CM103" s="88" t="n">
        <f aca="false">CL103-CL102</f>
        <v>1.87931088099015</v>
      </c>
      <c r="CN103" s="88" t="n">
        <f aca="false">IF(B103=2026,INDEX($C$17:$Q$17,1,B103-2025)*$AO$4*C103/MAX(0.0001,12-$AO$3),INDEX($C$17:$Q$17,1,B103-2025)/12)</f>
        <v>8.1830083652082</v>
      </c>
      <c r="CO103" s="88" t="n">
        <f aca="false">$AO$6*$AC$17/12</f>
        <v>0</v>
      </c>
      <c r="CP103" s="88" t="n">
        <f aca="false">CN103+CP102</f>
        <v>850.040344653224</v>
      </c>
      <c r="CQ103" s="88" t="n">
        <f aca="false">CO103+CQ102</f>
        <v>221</v>
      </c>
      <c r="CR103" s="88" t="n">
        <f aca="false">MAX(CR102,CP103-CQ103)</f>
        <v>629.040344653225</v>
      </c>
      <c r="CS103" s="88" t="n">
        <f aca="false">CR103-CR102</f>
        <v>8.18300836520825</v>
      </c>
      <c r="CT103" s="88" t="n">
        <f aca="false">IF(B103=2026,INDEX($C$18:$Q$18,1,B103-2025)*$AO$4*C103/MAX(0.0001,12-$AO$3),INDEX($C$18:$Q$18,1,B103-2025)/12)</f>
        <v>1.70233541686103</v>
      </c>
      <c r="CU103" s="88" t="n">
        <f aca="false">$AO$6*$AC$18/12</f>
        <v>0</v>
      </c>
      <c r="CV103" s="88" t="n">
        <f aca="false">CT103+CV102</f>
        <v>176.836405375851</v>
      </c>
      <c r="CW103" s="88" t="n">
        <f aca="false">CU103+CW102</f>
        <v>11</v>
      </c>
      <c r="CX103" s="88" t="n">
        <f aca="false">MAX(CX102,CV103-CW103)</f>
        <v>165.836405375851</v>
      </c>
      <c r="CY103" s="88" t="n">
        <f aca="false">CX103-CX102</f>
        <v>1.70233541686102</v>
      </c>
      <c r="CZ103" s="88" t="n">
        <f aca="false">IF(B103=2026,INDEX($C$19:$Q$19,1,B103-2025)*$AO$4*C103/MAX(0.0001,12-$AO$3),INDEX($C$19:$Q$19,1,B103-2025)/12)</f>
        <v>1.68548061075349</v>
      </c>
      <c r="DA103" s="88" t="n">
        <f aca="false">$AO$6*$AC$19/12</f>
        <v>0</v>
      </c>
      <c r="DB103" s="88" t="n">
        <f aca="false">CZ103+DB102</f>
        <v>175.08554987708</v>
      </c>
      <c r="DC103" s="88" t="n">
        <f aca="false">DA103+DC102</f>
        <v>226</v>
      </c>
      <c r="DD103" s="88" t="n">
        <f aca="false">MAX(DD102,DB103-DC103)</f>
        <v>37.132124495359</v>
      </c>
      <c r="DE103" s="88" t="n">
        <f aca="false">DD103-DD102</f>
        <v>0</v>
      </c>
      <c r="DF103" s="88" t="n">
        <f aca="false">IF(B103=2026,INDEX($C$20:$Q$20,1,B103-2025)*$AO$4*C103/MAX(0.0001,12-$AO$3),INDEX($C$20:$Q$20,1,B103-2025)/12)</f>
        <v>1.37366669776409</v>
      </c>
      <c r="DG103" s="88" t="n">
        <f aca="false">$AO$6*$AC$20/12</f>
        <v>0</v>
      </c>
      <c r="DH103" s="88" t="n">
        <f aca="false">DF103+DH102</f>
        <v>142.69472314982</v>
      </c>
      <c r="DI103" s="88" t="n">
        <f aca="false">DG103+DI102</f>
        <v>0</v>
      </c>
      <c r="DJ103" s="88" t="n">
        <f aca="false">MAX(DJ102,DH103-DI103)</f>
        <v>142.69472314982</v>
      </c>
      <c r="DK103" s="88" t="n">
        <f aca="false">DJ103-DJ102</f>
        <v>1.37366669776409</v>
      </c>
      <c r="DL103" s="88" t="n">
        <f aca="false">IF(B103=2026,INDEX($C$21:$Q$21,1,B103-2025)*$AO$4*C103/MAX(0.0001,12-$AO$3),INDEX($C$21:$Q$21,1,B103-2025)/12)</f>
        <v>0.96072394812949</v>
      </c>
      <c r="DM103" s="88" t="n">
        <f aca="false">$AO$6*$AC$21/12</f>
        <v>0</v>
      </c>
      <c r="DN103" s="88" t="n">
        <f aca="false">DL103+DN102</f>
        <v>99.7987634299355</v>
      </c>
      <c r="DO103" s="88" t="n">
        <f aca="false">DM103+DO102</f>
        <v>100</v>
      </c>
      <c r="DP103" s="88" t="n">
        <f aca="false">MAX(DP102,DN103-DO103)</f>
        <v>17.7483109623547</v>
      </c>
      <c r="DQ103" s="88" t="n">
        <f aca="false">DP103-DP102</f>
        <v>0</v>
      </c>
      <c r="DR103" s="88" t="n">
        <f aca="false">IF(B103=2026,INDEX($C$22:$Q$22,1,B103-2025)*$AO$4*C103/MAX(0.0001,12-$AO$3),INDEX($C$22:$Q$22,1,B103-2025)/12)</f>
        <v>0.750038871785304</v>
      </c>
      <c r="DS103" s="88" t="n">
        <f aca="false">$AO$6*$AC$22/12</f>
        <v>0</v>
      </c>
      <c r="DT103" s="88" t="n">
        <f aca="false">DR103+DT102</f>
        <v>77.9130696953006</v>
      </c>
      <c r="DU103" s="88" t="n">
        <f aca="false">DS103+DU102</f>
        <v>29</v>
      </c>
      <c r="DV103" s="88" t="n">
        <f aca="false">MAX(DV102,DT103-DU103)</f>
        <v>48.9130696953006</v>
      </c>
      <c r="DW103" s="88" t="n">
        <f aca="false">DV103-DV102</f>
        <v>0.750038871785307</v>
      </c>
      <c r="DX103" s="88" t="n">
        <f aca="false">IF(B103=2026,INDEX($C$23:$Q$23,1,B103-2025)*$AO$4*C103/MAX(0.0001,12-$AO$3),INDEX($C$23:$Q$23,1,B103-2025)/12)</f>
        <v>1.20511863668875</v>
      </c>
      <c r="DY103" s="88" t="n">
        <f aca="false">$AO$6*$AC$23/12</f>
        <v>0</v>
      </c>
      <c r="DZ103" s="88" t="n">
        <f aca="false">DX103+DZ102</f>
        <v>125.186168162112</v>
      </c>
      <c r="EA103" s="88" t="n">
        <f aca="false">DY103+EA102</f>
        <v>121</v>
      </c>
      <c r="EB103" s="88" t="n">
        <f aca="false">MAX(EB102,DZ103-EA103)</f>
        <v>35.0579690141817</v>
      </c>
      <c r="EC103" s="88" t="n">
        <f aca="false">EB103-EB102</f>
        <v>0</v>
      </c>
      <c r="ED103" s="88" t="n">
        <f aca="false">IF(B103=2026,INDEX($C$24:$Q$24,1,B103-2025)*$AO$4*C103/MAX(0.0001,12-$AO$3),INDEX($C$24:$Q$24,1,B103-2025)/12)</f>
        <v>0.741611468731536</v>
      </c>
      <c r="EE103" s="88" t="n">
        <f aca="false">$AO$6*$AC$24/12</f>
        <v>0</v>
      </c>
      <c r="EF103" s="88" t="n">
        <f aca="false">ED103+EF102</f>
        <v>77.0376419459152</v>
      </c>
      <c r="EG103" s="88" t="n">
        <f aca="false">EE103+EG102</f>
        <v>0</v>
      </c>
      <c r="EH103" s="88" t="n">
        <f aca="false">MAX(EH102,EF103-EG103)</f>
        <v>77.0376419459152</v>
      </c>
      <c r="EI103" s="88" t="n">
        <f aca="false">EH103-EH102</f>
        <v>0.741611468731534</v>
      </c>
      <c r="EJ103" s="88" t="n">
        <f aca="false">IF(B103=2026,INDEX($C$25:$Q$25,1,B103-2025)*$AO$4*C103/MAX(0.0001,12-$AO$3),INDEX($C$25:$Q$25,1,B103-2025)/12)</f>
        <v>0.943869142021955</v>
      </c>
      <c r="EK103" s="88" t="n">
        <f aca="false">$AO$6*$AC$25/12</f>
        <v>0</v>
      </c>
      <c r="EL103" s="88" t="n">
        <f aca="false">EJ103+EL102</f>
        <v>98.0479079311649</v>
      </c>
      <c r="EM103" s="88" t="n">
        <f aca="false">EK103+EM102</f>
        <v>14</v>
      </c>
      <c r="EN103" s="88" t="n">
        <f aca="false">MAX(EN102,EL103-EM103)</f>
        <v>84.0479079311649</v>
      </c>
      <c r="EO103" s="88" t="n">
        <f aca="false">EN103-EN102</f>
        <v>0.943869142021953</v>
      </c>
      <c r="EP103" s="88" t="n">
        <f aca="false">IF(B103=2026,INDEX($C$26:$Q$26,1,B103-2025)*$AO$4*C103/MAX(0.0001,12-$AO$3),INDEX($C$26:$Q$26,1,B103-2025)/12)</f>
        <v>1.35681189165656</v>
      </c>
      <c r="EQ103" s="88" t="n">
        <f aca="false">$AO$6*$AC$26/12</f>
        <v>0</v>
      </c>
      <c r="ER103" s="88" t="n">
        <f aca="false">EP103+ER102</f>
        <v>140.943867651049</v>
      </c>
      <c r="ES103" s="88" t="n">
        <f aca="false">EQ103+ES102</f>
        <v>4</v>
      </c>
      <c r="ET103" s="88" t="n">
        <f aca="false">MAX(ET102,ER103-ES103)</f>
        <v>136.943867651049</v>
      </c>
      <c r="EU103" s="88" t="n">
        <f aca="false">ET103-ET102</f>
        <v>1.35681189165655</v>
      </c>
      <c r="EV103" s="88" t="n">
        <f aca="false">IF(B103=2026,INDEX($C$27:$Q$27,1,B103-2025)*$AO$4*C103/MAX(0.0001,12-$AO$3),INDEX($C$27:$Q$27,1,B103-2025)/12)</f>
        <v>3.37096122150698</v>
      </c>
      <c r="EW103" s="88" t="n">
        <f aca="false">$AO$6*$AC$27/12</f>
        <v>0</v>
      </c>
      <c r="EX103" s="88" t="n">
        <f aca="false">EV103+EX102</f>
        <v>350.17109975416</v>
      </c>
      <c r="EY103" s="88" t="n">
        <f aca="false">EW103+EY102</f>
        <v>391</v>
      </c>
      <c r="EZ103" s="88" t="n">
        <f aca="false">MAX(EZ102,EX103-EY103)</f>
        <v>0</v>
      </c>
      <c r="FA103" s="88" t="n">
        <f aca="false">EZ103-EZ102</f>
        <v>0</v>
      </c>
      <c r="FB103" s="88" t="n">
        <f aca="false">IF(B103=2026,INDEX($C$28:$Q$28,1,B103-2025)*$AO$4*C103/MAX(0.0001,12-$AO$3),INDEX($C$28:$Q$28,1,B103-2025)/12)</f>
        <v>17.646981994589</v>
      </c>
      <c r="FC103" s="88" t="n">
        <f aca="false">$AO$6*$AC$28/12</f>
        <v>0</v>
      </c>
      <c r="FD103" s="88" t="n">
        <f aca="false">FB103+FD102</f>
        <v>1833.14570721303</v>
      </c>
      <c r="FE103" s="88" t="n">
        <f aca="false">FC103+FE102</f>
        <v>169</v>
      </c>
      <c r="FF103" s="88" t="n">
        <f aca="false">MAX(FF102,FD103-FE103)</f>
        <v>1664.14570721303</v>
      </c>
      <c r="FG103" s="88" t="n">
        <f aca="false">FF103-FF102</f>
        <v>17.6469819945889</v>
      </c>
    </row>
    <row r="104" customFormat="false" ht="15" hidden="false" customHeight="false" outlineLevel="0" collapsed="false">
      <c r="A104" s="0" t="n">
        <v>64</v>
      </c>
      <c r="B104" s="88" t="n">
        <f aca="false">2026+INT(A104/12)</f>
        <v>2031</v>
      </c>
      <c r="C104" s="88" t="n">
        <f aca="false">MAX(0,MIN(1,A104+1-$AO$3))</f>
        <v>1</v>
      </c>
      <c r="D104" s="88" t="n">
        <f aca="false">IF((A104+0.5-(0))&lt;$AO$3,0,2026+INT((A104+0.5-(0))/12))</f>
        <v>2031</v>
      </c>
      <c r="E104" s="88" t="n">
        <f aca="false">IF((A104+0.5-($AO$9))&lt;$AO$3,0,2026+INT((A104+0.5-($AO$9))/12))</f>
        <v>2030</v>
      </c>
      <c r="F104" s="88" t="n">
        <f aca="false">IF((A104+0.5-($AO$9+$AO$8))&lt;$AO$3,0,2026+INT((A104+0.5-($AO$9+$AO$8))/12))</f>
        <v>2028</v>
      </c>
      <c r="G104" s="88" t="n">
        <f aca="false">IF((A104+0.5-($AO$9+$AO$8+$AO$7))&lt;$AO$3,0,2026+INT((A104+0.5-($AO$9+$AO$8+$AO$7))/12))</f>
        <v>2028</v>
      </c>
      <c r="H104" s="88" t="n">
        <f aca="false">IF(B104=2026,INDEX($C$3:$Q$3,1,B104-2025)*$AO$4*C104/MAX(0.0001,12-$AO$3),INDEX($C$3:$Q$3,1,B104-2025)/12)</f>
        <v>180.666666666667</v>
      </c>
      <c r="I104" s="88" t="n">
        <f aca="false">$AO$6*$AC$3/12</f>
        <v>131.1</v>
      </c>
      <c r="J104" s="88" t="n">
        <f aca="false">H104+J103</f>
        <v>18948.0867579909</v>
      </c>
      <c r="K104" s="88" t="n">
        <f aca="false">I104+K103</f>
        <v>7777.3</v>
      </c>
      <c r="L104" s="88" t="n">
        <f aca="false">MAX(L103,J104-K104)</f>
        <v>11170.7867579909</v>
      </c>
      <c r="M104" s="88" t="n">
        <f aca="false">L104-L103</f>
        <v>49.5666666666693</v>
      </c>
      <c r="N104" s="88" t="n">
        <f aca="false">IF(B104=2026,INDEX($C$4:$Q$4,1,B104-2025)*$AO$4*C104/MAX(0.0001,12-$AO$3),INDEX($C$4:$Q$4,1,B104-2025)/12)</f>
        <v>5.47724540066293</v>
      </c>
      <c r="O104" s="88" t="n">
        <f aca="false">$AO$6*$AC$4/12</f>
        <v>-0.00833333333333333</v>
      </c>
      <c r="P104" s="88" t="n">
        <f aca="false">N104+P103</f>
        <v>574.446426457016</v>
      </c>
      <c r="Q104" s="88" t="n">
        <f aca="false">O104+Q103</f>
        <v>398.058333333333</v>
      </c>
      <c r="R104" s="88" t="n">
        <f aca="false">MAX(R103,P104-Q104)</f>
        <v>176.388093123683</v>
      </c>
      <c r="S104" s="88" t="n">
        <f aca="false">R104-R103</f>
        <v>5.48557873399625</v>
      </c>
      <c r="T104" s="88" t="n">
        <f aca="false">IF(B104=2026,INDEX($C$5:$Q$5,1,B104-2025)*$AO$4*C104/MAX(0.0001,12-$AO$3),INDEX($C$5:$Q$5,1,B104-2025)/12)</f>
        <v>22.2615024358139</v>
      </c>
      <c r="U104" s="88" t="n">
        <f aca="false">$AO$6*$AC$5/12</f>
        <v>0.00833333333333333</v>
      </c>
      <c r="V104" s="88" t="n">
        <f aca="false">T104+V103</f>
        <v>2334.7576357031</v>
      </c>
      <c r="W104" s="88" t="n">
        <f aca="false">U104+W103</f>
        <v>1114.94166666667</v>
      </c>
      <c r="X104" s="88" t="n">
        <f aca="false">MAX(X103,V104-W104)</f>
        <v>1219.81596903643</v>
      </c>
      <c r="Y104" s="88" t="n">
        <f aca="false">X104-X103</f>
        <v>22.2531691024803</v>
      </c>
      <c r="Z104" s="88" t="n">
        <f aca="false">IF(B104=2026,INDEX($C$6:$Q$6,1,B104-2025)*$AO$4*C104/MAX(0.0001,12-$AO$3),INDEX($C$6:$Q$6,1,B104-2025)/12)</f>
        <v>26.4114629913323</v>
      </c>
      <c r="AA104" s="88" t="n">
        <f aca="false">$AO$6*$AC$6/12</f>
        <v>74.3083333333333</v>
      </c>
      <c r="AB104" s="88" t="n">
        <f aca="false">Z104+AB103</f>
        <v>2770.00014113595</v>
      </c>
      <c r="AC104" s="88" t="n">
        <f aca="false">AA104+AC103</f>
        <v>1673.84166666667</v>
      </c>
      <c r="AD104" s="88" t="n">
        <f aca="false">MAX(AD103,AB104-AC104)</f>
        <v>1335.64282617929</v>
      </c>
      <c r="AE104" s="88" t="n">
        <f aca="false">AD104-AD103</f>
        <v>0</v>
      </c>
      <c r="AF104" s="88" t="n">
        <f aca="false">IF(B104=2026,INDEX($C$7:$Q$7,1,B104-2025)*$AO$4*C104/MAX(0.0001,12-$AO$3),INDEX($C$7:$Q$7,1,B104-2025)/12)</f>
        <v>22.9427081739175</v>
      </c>
      <c r="AG104" s="88" t="n">
        <f aca="false">$AO$6*$AC$7/12</f>
        <v>12.725</v>
      </c>
      <c r="AH104" s="88" t="n">
        <f aca="false">AF104+AH103</f>
        <v>2406.20161407373</v>
      </c>
      <c r="AI104" s="88" t="n">
        <f aca="false">AG104+AI103</f>
        <v>736.925</v>
      </c>
      <c r="AJ104" s="88" t="n">
        <f aca="false">MAX(AJ103,AH104-AI104)</f>
        <v>1669.27661407373</v>
      </c>
      <c r="AK104" s="88" t="n">
        <f aca="false">AJ104-AJ103</f>
        <v>10.2177081739171</v>
      </c>
      <c r="AL104" s="88" t="n">
        <f aca="false">IF(B104=2026,INDEX($C$8:$Q$8,1,B104-2025)*$AO$4*C104/MAX(0.0001,12-$AO$3),INDEX($C$8:$Q$8,1,B104-2025)/12)</f>
        <v>5.80342126052833</v>
      </c>
      <c r="AM104" s="88" t="n">
        <f aca="false">$AO$6*$AC$8/12</f>
        <v>0</v>
      </c>
      <c r="AN104" s="88" t="n">
        <f aca="false">AL104+AN103</f>
        <v>608.655329544241</v>
      </c>
      <c r="AO104" s="88" t="n">
        <f aca="false">AM104+AO103</f>
        <v>66</v>
      </c>
      <c r="AP104" s="88" t="n">
        <f aca="false">MAX(AP103,AN104-AO104)</f>
        <v>542.655329544241</v>
      </c>
      <c r="AQ104" s="88" t="n">
        <f aca="false">AP104-AP103</f>
        <v>5.80342126052835</v>
      </c>
      <c r="AR104" s="88" t="n">
        <f aca="false">IF(B104=2026,INDEX($C$9:$Q$9,1,B104-2025)*$AO$4*C104/MAX(0.0001,12-$AO$3),INDEX($C$9:$Q$9,1,B104-2025)/12)</f>
        <v>24.7454570609428</v>
      </c>
      <c r="AS104" s="88" t="n">
        <f aca="false">$AO$6*$AC$9/12</f>
        <v>18.7333333333333</v>
      </c>
      <c r="AT104" s="88" t="n">
        <f aca="false">AR104+AT103</f>
        <v>2595.27158998274</v>
      </c>
      <c r="AU104" s="88" t="n">
        <f aca="false">AS104+AU103</f>
        <v>1678.86666666667</v>
      </c>
      <c r="AV104" s="88" t="n">
        <f aca="false">MAX(AV103,AT104-AU104)</f>
        <v>916.404923316077</v>
      </c>
      <c r="AW104" s="88" t="n">
        <f aca="false">AV104-AV103</f>
        <v>6.01212372760961</v>
      </c>
      <c r="AX104" s="88" t="n">
        <f aca="false">IF(B104=2026,INDEX($C$10:$Q$10,1,B104-2025)*$AO$4*C104/MAX(0.0001,12-$AO$3),INDEX($C$10:$Q$10,1,B104-2025)/12)</f>
        <v>2.87034756681557</v>
      </c>
      <c r="AY104" s="88" t="n">
        <f aca="false">$AO$6*$AC$10/12</f>
        <v>0</v>
      </c>
      <c r="AZ104" s="88" t="n">
        <f aca="false">AX104+AZ103</f>
        <v>301.03834716758</v>
      </c>
      <c r="BA104" s="88" t="n">
        <f aca="false">AY104+BA103</f>
        <v>50</v>
      </c>
      <c r="BB104" s="88" t="n">
        <f aca="false">MAX(BB103,AZ104-BA104)</f>
        <v>251.03834716758</v>
      </c>
      <c r="BC104" s="88" t="n">
        <f aca="false">BB104-BB103</f>
        <v>2.87034756681555</v>
      </c>
      <c r="BD104" s="88" t="n">
        <f aca="false">IF(B104=2026,INDEX($C$11:$Q$11,1,B104-2025)*$AO$4*C104/MAX(0.0001,12-$AO$3),INDEX($C$11:$Q$11,1,B104-2025)/12)</f>
        <v>14.2639212564218</v>
      </c>
      <c r="BE104" s="88" t="n">
        <f aca="false">$AO$6*$AC$11/12</f>
        <v>0</v>
      </c>
      <c r="BF104" s="88" t="n">
        <f aca="false">BD104+BF103</f>
        <v>1495.98164654519</v>
      </c>
      <c r="BG104" s="88" t="n">
        <f aca="false">BE104+BG103</f>
        <v>240</v>
      </c>
      <c r="BH104" s="88" t="n">
        <f aca="false">MAX(BH103,BF104-BG104)</f>
        <v>1255.98164654519</v>
      </c>
      <c r="BI104" s="88" t="n">
        <f aca="false">BH104-BH103</f>
        <v>14.2639212564218</v>
      </c>
      <c r="BJ104" s="88" t="n">
        <f aca="false">IF(B104=2026,INDEX($C$12:$Q$12,1,B104-2025)*$AO$4*C104/MAX(0.0001,12-$AO$3),INDEX($C$12:$Q$12,1,B104-2025)/12)</f>
        <v>7.82069350154207</v>
      </c>
      <c r="BK104" s="88" t="n">
        <f aca="false">$AO$6*$AC$12/12</f>
        <v>25.3333333333333</v>
      </c>
      <c r="BL104" s="88" t="n">
        <f aca="false">BJ104+BL103</f>
        <v>820.22423786831</v>
      </c>
      <c r="BM104" s="88" t="n">
        <f aca="false">BK104+BM103</f>
        <v>287.666666666667</v>
      </c>
      <c r="BN104" s="88" t="n">
        <f aca="false">MAX(BN103,BL104-BM104)</f>
        <v>620.1207703606</v>
      </c>
      <c r="BO104" s="88" t="n">
        <f aca="false">BN104-BN103</f>
        <v>0</v>
      </c>
      <c r="BP104" s="88" t="n">
        <f aca="false">IF(B104=2026,INDEX($C$13:$Q$13,1,B104-2025)*$AO$4*C104/MAX(0.0001,12-$AO$3),INDEX($C$13:$Q$13,1,B104-2025)/12)</f>
        <v>2.44394688559256</v>
      </c>
      <c r="BQ104" s="88" t="n">
        <f aca="false">$AO$6*$AC$13/12</f>
        <v>0</v>
      </c>
      <c r="BR104" s="88" t="n">
        <f aca="false">BP104+BR103</f>
        <v>256.317994207359</v>
      </c>
      <c r="BS104" s="88" t="n">
        <f aca="false">BQ104+BS103</f>
        <v>87</v>
      </c>
      <c r="BT104" s="88" t="n">
        <f aca="false">MAX(BT103,BR104-BS104)</f>
        <v>169.317994207359</v>
      </c>
      <c r="BU104" s="88" t="n">
        <f aca="false">BT104-BT103</f>
        <v>2.4439468855926</v>
      </c>
      <c r="BV104" s="88" t="n">
        <f aca="false">IF(B104=2026,INDEX($C$14:$Q$14,1,B104-2025)*$AO$4*C104/MAX(0.0001,12-$AO$3),INDEX($C$14:$Q$14,1,B104-2025)/12)</f>
        <v>1.449513325248</v>
      </c>
      <c r="BW104" s="88" t="n">
        <f aca="false">$AO$6*$AC$14/12</f>
        <v>0</v>
      </c>
      <c r="BX104" s="88" t="n">
        <f aca="false">BV104+BX103</f>
        <v>152.023086219537</v>
      </c>
      <c r="BY104" s="88" t="n">
        <f aca="false">BW104+BY103</f>
        <v>0</v>
      </c>
      <c r="BZ104" s="88" t="n">
        <f aca="false">MAX(BZ103,BX104-BY104)</f>
        <v>152.023086219537</v>
      </c>
      <c r="CA104" s="88" t="n">
        <f aca="false">BZ104-BZ103</f>
        <v>1.44951332524801</v>
      </c>
      <c r="CB104" s="88" t="n">
        <f aca="false">IF(B104=2026,INDEX($C$15:$Q$15,1,B104-2025)*$AO$4*C104/MAX(0.0001,12-$AO$3),INDEX($C$15:$Q$15,1,B104-2025)/12)</f>
        <v>2.37652766116242</v>
      </c>
      <c r="CC104" s="88" t="n">
        <f aca="false">$AO$6*$AC$15/12</f>
        <v>0</v>
      </c>
      <c r="CD104" s="88" t="n">
        <f aca="false">CB104+CD103</f>
        <v>249.247152987845</v>
      </c>
      <c r="CE104" s="88" t="n">
        <f aca="false">CC104+CE103</f>
        <v>88.0000000000001</v>
      </c>
      <c r="CF104" s="88" t="n">
        <f aca="false">MAX(CF103,CD104-CE104)</f>
        <v>161.247152987845</v>
      </c>
      <c r="CG104" s="88" t="n">
        <f aca="false">CF104-CF103</f>
        <v>2.37652766116241</v>
      </c>
      <c r="CH104" s="88" t="n">
        <f aca="false">IF(B104=2026,INDEX($C$16:$Q$16,1,B104-2025)*$AO$4*C104/MAX(0.0001,12-$AO$3),INDEX($C$16:$Q$16,1,B104-2025)/12)</f>
        <v>1.87931088099014</v>
      </c>
      <c r="CI104" s="88" t="n">
        <f aca="false">$AO$6*$AC$16/12</f>
        <v>0</v>
      </c>
      <c r="CJ104" s="88" t="n">
        <f aca="false">CH104+CJ103</f>
        <v>197.099698993934</v>
      </c>
      <c r="CK104" s="88" t="n">
        <f aca="false">CI104+CK103</f>
        <v>70</v>
      </c>
      <c r="CL104" s="88" t="n">
        <f aca="false">MAX(CL103,CJ104-CK104)</f>
        <v>127.099698993934</v>
      </c>
      <c r="CM104" s="88" t="n">
        <f aca="false">CL104-CL103</f>
        <v>1.87931088099015</v>
      </c>
      <c r="CN104" s="88" t="n">
        <f aca="false">IF(B104=2026,INDEX($C$17:$Q$17,1,B104-2025)*$AO$4*C104/MAX(0.0001,12-$AO$3),INDEX($C$17:$Q$17,1,B104-2025)/12)</f>
        <v>8.1830083652082</v>
      </c>
      <c r="CO104" s="88" t="n">
        <f aca="false">$AO$6*$AC$17/12</f>
        <v>0</v>
      </c>
      <c r="CP104" s="88" t="n">
        <f aca="false">CN104+CP103</f>
        <v>858.223353018433</v>
      </c>
      <c r="CQ104" s="88" t="n">
        <f aca="false">CO104+CQ103</f>
        <v>221</v>
      </c>
      <c r="CR104" s="88" t="n">
        <f aca="false">MAX(CR103,CP104-CQ104)</f>
        <v>637.223353018433</v>
      </c>
      <c r="CS104" s="88" t="n">
        <f aca="false">CR104-CR103</f>
        <v>8.18300836520825</v>
      </c>
      <c r="CT104" s="88" t="n">
        <f aca="false">IF(B104=2026,INDEX($C$18:$Q$18,1,B104-2025)*$AO$4*C104/MAX(0.0001,12-$AO$3),INDEX($C$18:$Q$18,1,B104-2025)/12)</f>
        <v>1.70233541686103</v>
      </c>
      <c r="CU104" s="88" t="n">
        <f aca="false">$AO$6*$AC$18/12</f>
        <v>0</v>
      </c>
      <c r="CV104" s="88" t="n">
        <f aca="false">CT104+CV103</f>
        <v>178.538740792712</v>
      </c>
      <c r="CW104" s="88" t="n">
        <f aca="false">CU104+CW103</f>
        <v>11</v>
      </c>
      <c r="CX104" s="88" t="n">
        <f aca="false">MAX(CX103,CV104-CW104)</f>
        <v>167.538740792712</v>
      </c>
      <c r="CY104" s="88" t="n">
        <f aca="false">CX104-CX103</f>
        <v>1.70233541686102</v>
      </c>
      <c r="CZ104" s="88" t="n">
        <f aca="false">IF(B104=2026,INDEX($C$19:$Q$19,1,B104-2025)*$AO$4*C104/MAX(0.0001,12-$AO$3),INDEX($C$19:$Q$19,1,B104-2025)/12)</f>
        <v>1.68548061075349</v>
      </c>
      <c r="DA104" s="88" t="n">
        <f aca="false">$AO$6*$AC$19/12</f>
        <v>0</v>
      </c>
      <c r="DB104" s="88" t="n">
        <f aca="false">CZ104+DB103</f>
        <v>176.771030487833</v>
      </c>
      <c r="DC104" s="88" t="n">
        <f aca="false">DA104+DC103</f>
        <v>226</v>
      </c>
      <c r="DD104" s="88" t="n">
        <f aca="false">MAX(DD103,DB104-DC104)</f>
        <v>37.132124495359</v>
      </c>
      <c r="DE104" s="88" t="n">
        <f aca="false">DD104-DD103</f>
        <v>0</v>
      </c>
      <c r="DF104" s="88" t="n">
        <f aca="false">IF(B104=2026,INDEX($C$20:$Q$20,1,B104-2025)*$AO$4*C104/MAX(0.0001,12-$AO$3),INDEX($C$20:$Q$20,1,B104-2025)/12)</f>
        <v>1.37366669776409</v>
      </c>
      <c r="DG104" s="88" t="n">
        <f aca="false">$AO$6*$AC$20/12</f>
        <v>0</v>
      </c>
      <c r="DH104" s="88" t="n">
        <f aca="false">DF104+DH103</f>
        <v>144.068389847584</v>
      </c>
      <c r="DI104" s="88" t="n">
        <f aca="false">DG104+DI103</f>
        <v>0</v>
      </c>
      <c r="DJ104" s="88" t="n">
        <f aca="false">MAX(DJ103,DH104-DI104)</f>
        <v>144.068389847584</v>
      </c>
      <c r="DK104" s="88" t="n">
        <f aca="false">DJ104-DJ103</f>
        <v>1.37366669776409</v>
      </c>
      <c r="DL104" s="88" t="n">
        <f aca="false">IF(B104=2026,INDEX($C$21:$Q$21,1,B104-2025)*$AO$4*C104/MAX(0.0001,12-$AO$3),INDEX($C$21:$Q$21,1,B104-2025)/12)</f>
        <v>0.96072394812949</v>
      </c>
      <c r="DM104" s="88" t="n">
        <f aca="false">$AO$6*$AC$21/12</f>
        <v>0</v>
      </c>
      <c r="DN104" s="88" t="n">
        <f aca="false">DL104+DN103</f>
        <v>100.759487378065</v>
      </c>
      <c r="DO104" s="88" t="n">
        <f aca="false">DM104+DO103</f>
        <v>100</v>
      </c>
      <c r="DP104" s="88" t="n">
        <f aca="false">MAX(DP103,DN104-DO104)</f>
        <v>17.7483109623547</v>
      </c>
      <c r="DQ104" s="88" t="n">
        <f aca="false">DP104-DP103</f>
        <v>0</v>
      </c>
      <c r="DR104" s="88" t="n">
        <f aca="false">IF(B104=2026,INDEX($C$22:$Q$22,1,B104-2025)*$AO$4*C104/MAX(0.0001,12-$AO$3),INDEX($C$22:$Q$22,1,B104-2025)/12)</f>
        <v>0.750038871785304</v>
      </c>
      <c r="DS104" s="88" t="n">
        <f aca="false">$AO$6*$AC$22/12</f>
        <v>0</v>
      </c>
      <c r="DT104" s="88" t="n">
        <f aca="false">DR104+DT103</f>
        <v>78.6631085670859</v>
      </c>
      <c r="DU104" s="88" t="n">
        <f aca="false">DS104+DU103</f>
        <v>29</v>
      </c>
      <c r="DV104" s="88" t="n">
        <f aca="false">MAX(DV103,DT104-DU104)</f>
        <v>49.6631085670859</v>
      </c>
      <c r="DW104" s="88" t="n">
        <f aca="false">DV104-DV103</f>
        <v>0.750038871785307</v>
      </c>
      <c r="DX104" s="88" t="n">
        <f aca="false">IF(B104=2026,INDEX($C$23:$Q$23,1,B104-2025)*$AO$4*C104/MAX(0.0001,12-$AO$3),INDEX($C$23:$Q$23,1,B104-2025)/12)</f>
        <v>1.20511863668875</v>
      </c>
      <c r="DY104" s="88" t="n">
        <f aca="false">$AO$6*$AC$23/12</f>
        <v>0</v>
      </c>
      <c r="DZ104" s="88" t="n">
        <f aca="false">DX104+DZ103</f>
        <v>126.391286798801</v>
      </c>
      <c r="EA104" s="88" t="n">
        <f aca="false">DY104+EA103</f>
        <v>121</v>
      </c>
      <c r="EB104" s="88" t="n">
        <f aca="false">MAX(EB103,DZ104-EA104)</f>
        <v>35.0579690141817</v>
      </c>
      <c r="EC104" s="88" t="n">
        <f aca="false">EB104-EB103</f>
        <v>0</v>
      </c>
      <c r="ED104" s="88" t="n">
        <f aca="false">IF(B104=2026,INDEX($C$24:$Q$24,1,B104-2025)*$AO$4*C104/MAX(0.0001,12-$AO$3),INDEX($C$24:$Q$24,1,B104-2025)/12)</f>
        <v>0.741611468731536</v>
      </c>
      <c r="EE104" s="88" t="n">
        <f aca="false">$AO$6*$AC$24/12</f>
        <v>0</v>
      </c>
      <c r="EF104" s="88" t="n">
        <f aca="false">ED104+EF103</f>
        <v>77.7792534146468</v>
      </c>
      <c r="EG104" s="88" t="n">
        <f aca="false">EE104+EG103</f>
        <v>0</v>
      </c>
      <c r="EH104" s="88" t="n">
        <f aca="false">MAX(EH103,EF104-EG104)</f>
        <v>77.7792534146468</v>
      </c>
      <c r="EI104" s="88" t="n">
        <f aca="false">EH104-EH103</f>
        <v>0.741611468731534</v>
      </c>
      <c r="EJ104" s="88" t="n">
        <f aca="false">IF(B104=2026,INDEX($C$25:$Q$25,1,B104-2025)*$AO$4*C104/MAX(0.0001,12-$AO$3),INDEX($C$25:$Q$25,1,B104-2025)/12)</f>
        <v>0.943869142021955</v>
      </c>
      <c r="EK104" s="88" t="n">
        <f aca="false">$AO$6*$AC$25/12</f>
        <v>0</v>
      </c>
      <c r="EL104" s="88" t="n">
        <f aca="false">EJ104+EL103</f>
        <v>98.9917770731868</v>
      </c>
      <c r="EM104" s="88" t="n">
        <f aca="false">EK104+EM103</f>
        <v>14</v>
      </c>
      <c r="EN104" s="88" t="n">
        <f aca="false">MAX(EN103,EL104-EM104)</f>
        <v>84.9917770731868</v>
      </c>
      <c r="EO104" s="88" t="n">
        <f aca="false">EN104-EN103</f>
        <v>0.943869142021953</v>
      </c>
      <c r="EP104" s="88" t="n">
        <f aca="false">IF(B104=2026,INDEX($C$26:$Q$26,1,B104-2025)*$AO$4*C104/MAX(0.0001,12-$AO$3),INDEX($C$26:$Q$26,1,B104-2025)/12)</f>
        <v>1.35681189165656</v>
      </c>
      <c r="EQ104" s="88" t="n">
        <f aca="false">$AO$6*$AC$26/12</f>
        <v>0</v>
      </c>
      <c r="ER104" s="88" t="n">
        <f aca="false">EP104+ER103</f>
        <v>142.300679542706</v>
      </c>
      <c r="ES104" s="88" t="n">
        <f aca="false">EQ104+ES103</f>
        <v>4</v>
      </c>
      <c r="ET104" s="88" t="n">
        <f aca="false">MAX(ET103,ER104-ES104)</f>
        <v>138.300679542706</v>
      </c>
      <c r="EU104" s="88" t="n">
        <f aca="false">ET104-ET103</f>
        <v>1.35681189165655</v>
      </c>
      <c r="EV104" s="88" t="n">
        <f aca="false">IF(B104=2026,INDEX($C$27:$Q$27,1,B104-2025)*$AO$4*C104/MAX(0.0001,12-$AO$3),INDEX($C$27:$Q$27,1,B104-2025)/12)</f>
        <v>3.37096122150698</v>
      </c>
      <c r="EW104" s="88" t="n">
        <f aca="false">$AO$6*$AC$27/12</f>
        <v>0</v>
      </c>
      <c r="EX104" s="88" t="n">
        <f aca="false">EV104+EX103</f>
        <v>353.542060975667</v>
      </c>
      <c r="EY104" s="88" t="n">
        <f aca="false">EW104+EY103</f>
        <v>391</v>
      </c>
      <c r="EZ104" s="88" t="n">
        <f aca="false">MAX(EZ103,EX104-EY104)</f>
        <v>0</v>
      </c>
      <c r="FA104" s="88" t="n">
        <f aca="false">EZ104-EZ103</f>
        <v>0</v>
      </c>
      <c r="FB104" s="88" t="n">
        <f aca="false">IF(B104=2026,INDEX($C$28:$Q$28,1,B104-2025)*$AO$4*C104/MAX(0.0001,12-$AO$3),INDEX($C$28:$Q$28,1,B104-2025)/12)</f>
        <v>17.646981994589</v>
      </c>
      <c r="FC104" s="88" t="n">
        <f aca="false">$AO$6*$AC$28/12</f>
        <v>0</v>
      </c>
      <c r="FD104" s="88" t="n">
        <f aca="false">FB104+FD103</f>
        <v>1850.79268920762</v>
      </c>
      <c r="FE104" s="88" t="n">
        <f aca="false">FC104+FE103</f>
        <v>169</v>
      </c>
      <c r="FF104" s="88" t="n">
        <f aca="false">MAX(FF103,FD104-FE104)</f>
        <v>1681.79268920762</v>
      </c>
      <c r="FG104" s="88" t="n">
        <f aca="false">FF104-FF103</f>
        <v>17.6469819945889</v>
      </c>
    </row>
    <row r="105" customFormat="false" ht="15" hidden="false" customHeight="false" outlineLevel="0" collapsed="false">
      <c r="A105" s="0" t="n">
        <v>65</v>
      </c>
      <c r="B105" s="88" t="n">
        <f aca="false">2026+INT(A105/12)</f>
        <v>2031</v>
      </c>
      <c r="C105" s="88" t="n">
        <f aca="false">MAX(0,MIN(1,A105+1-$AO$3))</f>
        <v>1</v>
      </c>
      <c r="D105" s="88" t="n">
        <f aca="false">IF((A105+0.5-(0))&lt;$AO$3,0,2026+INT((A105+0.5-(0))/12))</f>
        <v>2031</v>
      </c>
      <c r="E105" s="88" t="n">
        <f aca="false">IF((A105+0.5-($AO$9))&lt;$AO$3,0,2026+INT((A105+0.5-($AO$9))/12))</f>
        <v>2030</v>
      </c>
      <c r="F105" s="88" t="n">
        <f aca="false">IF((A105+0.5-($AO$9+$AO$8))&lt;$AO$3,0,2026+INT((A105+0.5-($AO$9+$AO$8))/12))</f>
        <v>2028</v>
      </c>
      <c r="G105" s="88" t="n">
        <f aca="false">IF((A105+0.5-($AO$9+$AO$8+$AO$7))&lt;$AO$3,0,2026+INT((A105+0.5-($AO$9+$AO$8+$AO$7))/12))</f>
        <v>2028</v>
      </c>
      <c r="H105" s="88" t="n">
        <f aca="false">IF(B105=2026,INDEX($C$3:$Q$3,1,B105-2025)*$AO$4*C105/MAX(0.0001,12-$AO$3),INDEX($C$3:$Q$3,1,B105-2025)/12)</f>
        <v>180.666666666667</v>
      </c>
      <c r="I105" s="88" t="n">
        <f aca="false">$AO$6*$AC$3/12</f>
        <v>131.1</v>
      </c>
      <c r="J105" s="88" t="n">
        <f aca="false">H105+J104</f>
        <v>19128.7534246575</v>
      </c>
      <c r="K105" s="88" t="n">
        <f aca="false">I105+K104</f>
        <v>7908.4</v>
      </c>
      <c r="L105" s="88" t="n">
        <f aca="false">MAX(L104,J105-K105)</f>
        <v>11220.3534246575</v>
      </c>
      <c r="M105" s="88" t="n">
        <f aca="false">L105-L104</f>
        <v>49.5666666666657</v>
      </c>
      <c r="N105" s="88" t="n">
        <f aca="false">IF(B105=2026,INDEX($C$4:$Q$4,1,B105-2025)*$AO$4*C105/MAX(0.0001,12-$AO$3),INDEX($C$4:$Q$4,1,B105-2025)/12)</f>
        <v>5.47724540066293</v>
      </c>
      <c r="O105" s="88" t="n">
        <f aca="false">$AO$6*$AC$4/12</f>
        <v>-0.00833333333333333</v>
      </c>
      <c r="P105" s="88" t="n">
        <f aca="false">N105+P104</f>
        <v>579.923671857679</v>
      </c>
      <c r="Q105" s="88" t="n">
        <f aca="false">O105+Q104</f>
        <v>398.05</v>
      </c>
      <c r="R105" s="88" t="n">
        <f aca="false">MAX(R104,P105-Q105)</f>
        <v>181.873671857679</v>
      </c>
      <c r="S105" s="88" t="n">
        <f aca="false">R105-R104</f>
        <v>5.48557873399625</v>
      </c>
      <c r="T105" s="88" t="n">
        <f aca="false">IF(B105=2026,INDEX($C$5:$Q$5,1,B105-2025)*$AO$4*C105/MAX(0.0001,12-$AO$3),INDEX($C$5:$Q$5,1,B105-2025)/12)</f>
        <v>22.2615024358139</v>
      </c>
      <c r="U105" s="88" t="n">
        <f aca="false">$AO$6*$AC$5/12</f>
        <v>0.00833333333333333</v>
      </c>
      <c r="V105" s="88" t="n">
        <f aca="false">T105+V104</f>
        <v>2357.01913813891</v>
      </c>
      <c r="W105" s="88" t="n">
        <f aca="false">U105+W104</f>
        <v>1114.95</v>
      </c>
      <c r="X105" s="88" t="n">
        <f aca="false">MAX(X104,V105-W105)</f>
        <v>1242.06913813891</v>
      </c>
      <c r="Y105" s="88" t="n">
        <f aca="false">X105-X104</f>
        <v>22.2531691024803</v>
      </c>
      <c r="Z105" s="88" t="n">
        <f aca="false">IF(B105=2026,INDEX($C$6:$Q$6,1,B105-2025)*$AO$4*C105/MAX(0.0001,12-$AO$3),INDEX($C$6:$Q$6,1,B105-2025)/12)</f>
        <v>26.4114629913323</v>
      </c>
      <c r="AA105" s="88" t="n">
        <f aca="false">$AO$6*$AC$6/12</f>
        <v>74.3083333333333</v>
      </c>
      <c r="AB105" s="88" t="n">
        <f aca="false">Z105+AB104</f>
        <v>2796.41160412728</v>
      </c>
      <c r="AC105" s="88" t="n">
        <f aca="false">AA105+AC104</f>
        <v>1748.15</v>
      </c>
      <c r="AD105" s="88" t="n">
        <f aca="false">MAX(AD104,AB105-AC105)</f>
        <v>1335.64282617929</v>
      </c>
      <c r="AE105" s="88" t="n">
        <f aca="false">AD105-AD104</f>
        <v>0</v>
      </c>
      <c r="AF105" s="88" t="n">
        <f aca="false">IF(B105=2026,INDEX($C$7:$Q$7,1,B105-2025)*$AO$4*C105/MAX(0.0001,12-$AO$3),INDEX($C$7:$Q$7,1,B105-2025)/12)</f>
        <v>22.9427081739175</v>
      </c>
      <c r="AG105" s="88" t="n">
        <f aca="false">$AO$6*$AC$7/12</f>
        <v>12.725</v>
      </c>
      <c r="AH105" s="88" t="n">
        <f aca="false">AF105+AH104</f>
        <v>2429.14432224765</v>
      </c>
      <c r="AI105" s="88" t="n">
        <f aca="false">AG105+AI104</f>
        <v>749.65</v>
      </c>
      <c r="AJ105" s="88" t="n">
        <f aca="false">MAX(AJ104,AH105-AI105)</f>
        <v>1679.49432224765</v>
      </c>
      <c r="AK105" s="88" t="n">
        <f aca="false">AJ105-AJ104</f>
        <v>10.2177081739171</v>
      </c>
      <c r="AL105" s="88" t="n">
        <f aca="false">IF(B105=2026,INDEX($C$8:$Q$8,1,B105-2025)*$AO$4*C105/MAX(0.0001,12-$AO$3),INDEX($C$8:$Q$8,1,B105-2025)/12)</f>
        <v>5.80342126052833</v>
      </c>
      <c r="AM105" s="88" t="n">
        <f aca="false">$AO$6*$AC$8/12</f>
        <v>0</v>
      </c>
      <c r="AN105" s="88" t="n">
        <f aca="false">AL105+AN104</f>
        <v>614.45875080477</v>
      </c>
      <c r="AO105" s="88" t="n">
        <f aca="false">AM105+AO104</f>
        <v>66</v>
      </c>
      <c r="AP105" s="88" t="n">
        <f aca="false">MAX(AP104,AN105-AO105)</f>
        <v>548.45875080477</v>
      </c>
      <c r="AQ105" s="88" t="n">
        <f aca="false">AP105-AP104</f>
        <v>5.80342126052835</v>
      </c>
      <c r="AR105" s="88" t="n">
        <f aca="false">IF(B105=2026,INDEX($C$9:$Q$9,1,B105-2025)*$AO$4*C105/MAX(0.0001,12-$AO$3),INDEX($C$9:$Q$9,1,B105-2025)/12)</f>
        <v>24.7454570609428</v>
      </c>
      <c r="AS105" s="88" t="n">
        <f aca="false">$AO$6*$AC$9/12</f>
        <v>18.7333333333333</v>
      </c>
      <c r="AT105" s="88" t="n">
        <f aca="false">AR105+AT104</f>
        <v>2620.01704704369</v>
      </c>
      <c r="AU105" s="88" t="n">
        <f aca="false">AS105+AU104</f>
        <v>1697.6</v>
      </c>
      <c r="AV105" s="88" t="n">
        <f aca="false">MAX(AV104,AT105-AU105)</f>
        <v>922.417047043687</v>
      </c>
      <c r="AW105" s="88" t="n">
        <f aca="false">AV105-AV104</f>
        <v>6.01212372760961</v>
      </c>
      <c r="AX105" s="88" t="n">
        <f aca="false">IF(B105=2026,INDEX($C$10:$Q$10,1,B105-2025)*$AO$4*C105/MAX(0.0001,12-$AO$3),INDEX($C$10:$Q$10,1,B105-2025)/12)</f>
        <v>2.87034756681557</v>
      </c>
      <c r="AY105" s="88" t="n">
        <f aca="false">$AO$6*$AC$10/12</f>
        <v>0</v>
      </c>
      <c r="AZ105" s="88" t="n">
        <f aca="false">AX105+AZ104</f>
        <v>303.908694734395</v>
      </c>
      <c r="BA105" s="88" t="n">
        <f aca="false">AY105+BA104</f>
        <v>50</v>
      </c>
      <c r="BB105" s="88" t="n">
        <f aca="false">MAX(BB104,AZ105-BA105)</f>
        <v>253.908694734395</v>
      </c>
      <c r="BC105" s="88" t="n">
        <f aca="false">BB105-BB104</f>
        <v>2.87034756681555</v>
      </c>
      <c r="BD105" s="88" t="n">
        <f aca="false">IF(B105=2026,INDEX($C$11:$Q$11,1,B105-2025)*$AO$4*C105/MAX(0.0001,12-$AO$3),INDEX($C$11:$Q$11,1,B105-2025)/12)</f>
        <v>14.2639212564218</v>
      </c>
      <c r="BE105" s="88" t="n">
        <f aca="false">$AO$6*$AC$11/12</f>
        <v>0</v>
      </c>
      <c r="BF105" s="88" t="n">
        <f aca="false">BD105+BF104</f>
        <v>1510.24556780161</v>
      </c>
      <c r="BG105" s="88" t="n">
        <f aca="false">BE105+BG104</f>
        <v>240</v>
      </c>
      <c r="BH105" s="88" t="n">
        <f aca="false">MAX(BH104,BF105-BG105)</f>
        <v>1270.24556780161</v>
      </c>
      <c r="BI105" s="88" t="n">
        <f aca="false">BH105-BH104</f>
        <v>14.2639212564218</v>
      </c>
      <c r="BJ105" s="88" t="n">
        <f aca="false">IF(B105=2026,INDEX($C$12:$Q$12,1,B105-2025)*$AO$4*C105/MAX(0.0001,12-$AO$3),INDEX($C$12:$Q$12,1,B105-2025)/12)</f>
        <v>7.82069350154207</v>
      </c>
      <c r="BK105" s="88" t="n">
        <f aca="false">$AO$6*$AC$12/12</f>
        <v>25.3333333333333</v>
      </c>
      <c r="BL105" s="88" t="n">
        <f aca="false">BJ105+BL104</f>
        <v>828.044931369852</v>
      </c>
      <c r="BM105" s="88" t="n">
        <f aca="false">BK105+BM104</f>
        <v>313</v>
      </c>
      <c r="BN105" s="88" t="n">
        <f aca="false">MAX(BN104,BL105-BM105)</f>
        <v>620.1207703606</v>
      </c>
      <c r="BO105" s="88" t="n">
        <f aca="false">BN105-BN104</f>
        <v>0</v>
      </c>
      <c r="BP105" s="88" t="n">
        <f aca="false">IF(B105=2026,INDEX($C$13:$Q$13,1,B105-2025)*$AO$4*C105/MAX(0.0001,12-$AO$3),INDEX($C$13:$Q$13,1,B105-2025)/12)</f>
        <v>2.44394688559256</v>
      </c>
      <c r="BQ105" s="88" t="n">
        <f aca="false">$AO$6*$AC$13/12</f>
        <v>0</v>
      </c>
      <c r="BR105" s="88" t="n">
        <f aca="false">BP105+BR104</f>
        <v>258.761941092951</v>
      </c>
      <c r="BS105" s="88" t="n">
        <f aca="false">BQ105+BS104</f>
        <v>87</v>
      </c>
      <c r="BT105" s="88" t="n">
        <f aca="false">MAX(BT104,BR105-BS105)</f>
        <v>171.761941092951</v>
      </c>
      <c r="BU105" s="88" t="n">
        <f aca="false">BT105-BT104</f>
        <v>2.44394688559254</v>
      </c>
      <c r="BV105" s="88" t="n">
        <f aca="false">IF(B105=2026,INDEX($C$14:$Q$14,1,B105-2025)*$AO$4*C105/MAX(0.0001,12-$AO$3),INDEX($C$14:$Q$14,1,B105-2025)/12)</f>
        <v>1.449513325248</v>
      </c>
      <c r="BW105" s="88" t="n">
        <f aca="false">$AO$6*$AC$14/12</f>
        <v>0</v>
      </c>
      <c r="BX105" s="88" t="n">
        <f aca="false">BV105+BX104</f>
        <v>153.472599544785</v>
      </c>
      <c r="BY105" s="88" t="n">
        <f aca="false">BW105+BY104</f>
        <v>0</v>
      </c>
      <c r="BZ105" s="88" t="n">
        <f aca="false">MAX(BZ104,BX105-BY105)</f>
        <v>153.472599544785</v>
      </c>
      <c r="CA105" s="88" t="n">
        <f aca="false">BZ105-BZ104</f>
        <v>1.44951332524801</v>
      </c>
      <c r="CB105" s="88" t="n">
        <f aca="false">IF(B105=2026,INDEX($C$15:$Q$15,1,B105-2025)*$AO$4*C105/MAX(0.0001,12-$AO$3),INDEX($C$15:$Q$15,1,B105-2025)/12)</f>
        <v>2.37652766116242</v>
      </c>
      <c r="CC105" s="88" t="n">
        <f aca="false">$AO$6*$AC$15/12</f>
        <v>0</v>
      </c>
      <c r="CD105" s="88" t="n">
        <f aca="false">CB105+CD104</f>
        <v>251.623680649007</v>
      </c>
      <c r="CE105" s="88" t="n">
        <f aca="false">CC105+CE104</f>
        <v>88.0000000000001</v>
      </c>
      <c r="CF105" s="88" t="n">
        <f aca="false">MAX(CF104,CD105-CE105)</f>
        <v>163.623680649007</v>
      </c>
      <c r="CG105" s="88" t="n">
        <f aca="false">CF105-CF104</f>
        <v>2.37652766116241</v>
      </c>
      <c r="CH105" s="88" t="n">
        <f aca="false">IF(B105=2026,INDEX($C$16:$Q$16,1,B105-2025)*$AO$4*C105/MAX(0.0001,12-$AO$3),INDEX($C$16:$Q$16,1,B105-2025)/12)</f>
        <v>1.87931088099014</v>
      </c>
      <c r="CI105" s="88" t="n">
        <f aca="false">$AO$6*$AC$16/12</f>
        <v>0</v>
      </c>
      <c r="CJ105" s="88" t="n">
        <f aca="false">CH105+CJ104</f>
        <v>198.979009874924</v>
      </c>
      <c r="CK105" s="88" t="n">
        <f aca="false">CI105+CK104</f>
        <v>70</v>
      </c>
      <c r="CL105" s="88" t="n">
        <f aca="false">MAX(CL104,CJ105-CK105)</f>
        <v>128.979009874924</v>
      </c>
      <c r="CM105" s="88" t="n">
        <f aca="false">CL105-CL104</f>
        <v>1.87931088099013</v>
      </c>
      <c r="CN105" s="88" t="n">
        <f aca="false">IF(B105=2026,INDEX($C$17:$Q$17,1,B105-2025)*$AO$4*C105/MAX(0.0001,12-$AO$3),INDEX($C$17:$Q$17,1,B105-2025)/12)</f>
        <v>8.1830083652082</v>
      </c>
      <c r="CO105" s="88" t="n">
        <f aca="false">$AO$6*$AC$17/12</f>
        <v>0</v>
      </c>
      <c r="CP105" s="88" t="n">
        <f aca="false">CN105+CP104</f>
        <v>866.406361383641</v>
      </c>
      <c r="CQ105" s="88" t="n">
        <f aca="false">CO105+CQ104</f>
        <v>221</v>
      </c>
      <c r="CR105" s="88" t="n">
        <f aca="false">MAX(CR104,CP105-CQ105)</f>
        <v>645.406361383641</v>
      </c>
      <c r="CS105" s="88" t="n">
        <f aca="false">CR105-CR104</f>
        <v>8.18300836520825</v>
      </c>
      <c r="CT105" s="88" t="n">
        <f aca="false">IF(B105=2026,INDEX($C$18:$Q$18,1,B105-2025)*$AO$4*C105/MAX(0.0001,12-$AO$3),INDEX($C$18:$Q$18,1,B105-2025)/12)</f>
        <v>1.70233541686103</v>
      </c>
      <c r="CU105" s="88" t="n">
        <f aca="false">$AO$6*$AC$18/12</f>
        <v>0</v>
      </c>
      <c r="CV105" s="88" t="n">
        <f aca="false">CT105+CV104</f>
        <v>180.241076209573</v>
      </c>
      <c r="CW105" s="88" t="n">
        <f aca="false">CU105+CW104</f>
        <v>11</v>
      </c>
      <c r="CX105" s="88" t="n">
        <f aca="false">MAX(CX104,CV105-CW105)</f>
        <v>169.241076209573</v>
      </c>
      <c r="CY105" s="88" t="n">
        <f aca="false">CX105-CX104</f>
        <v>1.70233541686102</v>
      </c>
      <c r="CZ105" s="88" t="n">
        <f aca="false">IF(B105=2026,INDEX($C$19:$Q$19,1,B105-2025)*$AO$4*C105/MAX(0.0001,12-$AO$3),INDEX($C$19:$Q$19,1,B105-2025)/12)</f>
        <v>1.68548061075349</v>
      </c>
      <c r="DA105" s="88" t="n">
        <f aca="false">$AO$6*$AC$19/12</f>
        <v>0</v>
      </c>
      <c r="DB105" s="88" t="n">
        <f aca="false">CZ105+DB104</f>
        <v>178.456511098587</v>
      </c>
      <c r="DC105" s="88" t="n">
        <f aca="false">DA105+DC104</f>
        <v>226</v>
      </c>
      <c r="DD105" s="88" t="n">
        <f aca="false">MAX(DD104,DB105-DC105)</f>
        <v>37.132124495359</v>
      </c>
      <c r="DE105" s="88" t="n">
        <f aca="false">DD105-DD104</f>
        <v>0</v>
      </c>
      <c r="DF105" s="88" t="n">
        <f aca="false">IF(B105=2026,INDEX($C$20:$Q$20,1,B105-2025)*$AO$4*C105/MAX(0.0001,12-$AO$3),INDEX($C$20:$Q$20,1,B105-2025)/12)</f>
        <v>1.37366669776409</v>
      </c>
      <c r="DG105" s="88" t="n">
        <f aca="false">$AO$6*$AC$20/12</f>
        <v>0</v>
      </c>
      <c r="DH105" s="88" t="n">
        <f aca="false">DF105+DH104</f>
        <v>145.442056545348</v>
      </c>
      <c r="DI105" s="88" t="n">
        <f aca="false">DG105+DI104</f>
        <v>0</v>
      </c>
      <c r="DJ105" s="88" t="n">
        <f aca="false">MAX(DJ104,DH105-DI105)</f>
        <v>145.442056545348</v>
      </c>
      <c r="DK105" s="88" t="n">
        <f aca="false">DJ105-DJ104</f>
        <v>1.37366669776409</v>
      </c>
      <c r="DL105" s="88" t="n">
        <f aca="false">IF(B105=2026,INDEX($C$21:$Q$21,1,B105-2025)*$AO$4*C105/MAX(0.0001,12-$AO$3),INDEX($C$21:$Q$21,1,B105-2025)/12)</f>
        <v>0.96072394812949</v>
      </c>
      <c r="DM105" s="88" t="n">
        <f aca="false">$AO$6*$AC$21/12</f>
        <v>0</v>
      </c>
      <c r="DN105" s="88" t="n">
        <f aca="false">DL105+DN104</f>
        <v>101.720211326194</v>
      </c>
      <c r="DO105" s="88" t="n">
        <f aca="false">DM105+DO104</f>
        <v>100</v>
      </c>
      <c r="DP105" s="88" t="n">
        <f aca="false">MAX(DP104,DN105-DO105)</f>
        <v>17.7483109623547</v>
      </c>
      <c r="DQ105" s="88" t="n">
        <f aca="false">DP105-DP104</f>
        <v>0</v>
      </c>
      <c r="DR105" s="88" t="n">
        <f aca="false">IF(B105=2026,INDEX($C$22:$Q$22,1,B105-2025)*$AO$4*C105/MAX(0.0001,12-$AO$3),INDEX($C$22:$Q$22,1,B105-2025)/12)</f>
        <v>0.750038871785304</v>
      </c>
      <c r="DS105" s="88" t="n">
        <f aca="false">$AO$6*$AC$22/12</f>
        <v>0</v>
      </c>
      <c r="DT105" s="88" t="n">
        <f aca="false">DR105+DT104</f>
        <v>79.4131474388712</v>
      </c>
      <c r="DU105" s="88" t="n">
        <f aca="false">DS105+DU104</f>
        <v>29</v>
      </c>
      <c r="DV105" s="88" t="n">
        <f aca="false">MAX(DV104,DT105-DU105)</f>
        <v>50.4131474388712</v>
      </c>
      <c r="DW105" s="88" t="n">
        <f aca="false">DV105-DV104</f>
        <v>0.750038871785307</v>
      </c>
      <c r="DX105" s="88" t="n">
        <f aca="false">IF(B105=2026,INDEX($C$23:$Q$23,1,B105-2025)*$AO$4*C105/MAX(0.0001,12-$AO$3),INDEX($C$23:$Q$23,1,B105-2025)/12)</f>
        <v>1.20511863668875</v>
      </c>
      <c r="DY105" s="88" t="n">
        <f aca="false">$AO$6*$AC$23/12</f>
        <v>0</v>
      </c>
      <c r="DZ105" s="88" t="n">
        <f aca="false">DX105+DZ104</f>
        <v>127.59640543549</v>
      </c>
      <c r="EA105" s="88" t="n">
        <f aca="false">DY105+EA104</f>
        <v>121</v>
      </c>
      <c r="EB105" s="88" t="n">
        <f aca="false">MAX(EB104,DZ105-EA105)</f>
        <v>35.0579690141817</v>
      </c>
      <c r="EC105" s="88" t="n">
        <f aca="false">EB105-EB104</f>
        <v>0</v>
      </c>
      <c r="ED105" s="88" t="n">
        <f aca="false">IF(B105=2026,INDEX($C$24:$Q$24,1,B105-2025)*$AO$4*C105/MAX(0.0001,12-$AO$3),INDEX($C$24:$Q$24,1,B105-2025)/12)</f>
        <v>0.741611468731536</v>
      </c>
      <c r="EE105" s="88" t="n">
        <f aca="false">$AO$6*$AC$24/12</f>
        <v>0</v>
      </c>
      <c r="EF105" s="88" t="n">
        <f aca="false">ED105+EF104</f>
        <v>78.5208648833783</v>
      </c>
      <c r="EG105" s="88" t="n">
        <f aca="false">EE105+EG104</f>
        <v>0</v>
      </c>
      <c r="EH105" s="88" t="n">
        <f aca="false">MAX(EH104,EF105-EG105)</f>
        <v>78.5208648833783</v>
      </c>
      <c r="EI105" s="88" t="n">
        <f aca="false">EH105-EH104</f>
        <v>0.741611468731534</v>
      </c>
      <c r="EJ105" s="88" t="n">
        <f aca="false">IF(B105=2026,INDEX($C$25:$Q$25,1,B105-2025)*$AO$4*C105/MAX(0.0001,12-$AO$3),INDEX($C$25:$Q$25,1,B105-2025)/12)</f>
        <v>0.943869142021955</v>
      </c>
      <c r="EK105" s="88" t="n">
        <f aca="false">$AO$6*$AC$25/12</f>
        <v>0</v>
      </c>
      <c r="EL105" s="88" t="n">
        <f aca="false">EJ105+EL104</f>
        <v>99.9356462152088</v>
      </c>
      <c r="EM105" s="88" t="n">
        <f aca="false">EK105+EM104</f>
        <v>14</v>
      </c>
      <c r="EN105" s="88" t="n">
        <f aca="false">MAX(EN104,EL105-EM105)</f>
        <v>85.9356462152088</v>
      </c>
      <c r="EO105" s="88" t="n">
        <f aca="false">EN105-EN104</f>
        <v>0.943869142021953</v>
      </c>
      <c r="EP105" s="88" t="n">
        <f aca="false">IF(B105=2026,INDEX($C$26:$Q$26,1,B105-2025)*$AO$4*C105/MAX(0.0001,12-$AO$3),INDEX($C$26:$Q$26,1,B105-2025)/12)</f>
        <v>1.35681189165656</v>
      </c>
      <c r="EQ105" s="88" t="n">
        <f aca="false">$AO$6*$AC$26/12</f>
        <v>0</v>
      </c>
      <c r="ER105" s="88" t="n">
        <f aca="false">EP105+ER104</f>
        <v>143.657491434362</v>
      </c>
      <c r="ES105" s="88" t="n">
        <f aca="false">EQ105+ES104</f>
        <v>4</v>
      </c>
      <c r="ET105" s="88" t="n">
        <f aca="false">MAX(ET104,ER105-ES105)</f>
        <v>139.657491434362</v>
      </c>
      <c r="EU105" s="88" t="n">
        <f aca="false">ET105-ET104</f>
        <v>1.35681189165655</v>
      </c>
      <c r="EV105" s="88" t="n">
        <f aca="false">IF(B105=2026,INDEX($C$27:$Q$27,1,B105-2025)*$AO$4*C105/MAX(0.0001,12-$AO$3),INDEX($C$27:$Q$27,1,B105-2025)/12)</f>
        <v>3.37096122150698</v>
      </c>
      <c r="EW105" s="88" t="n">
        <f aca="false">$AO$6*$AC$27/12</f>
        <v>0</v>
      </c>
      <c r="EX105" s="88" t="n">
        <f aca="false">EV105+EX104</f>
        <v>356.913022197174</v>
      </c>
      <c r="EY105" s="88" t="n">
        <f aca="false">EW105+EY104</f>
        <v>391</v>
      </c>
      <c r="EZ105" s="88" t="n">
        <f aca="false">MAX(EZ104,EX105-EY105)</f>
        <v>0</v>
      </c>
      <c r="FA105" s="88" t="n">
        <f aca="false">EZ105-EZ104</f>
        <v>0</v>
      </c>
      <c r="FB105" s="88" t="n">
        <f aca="false">IF(B105=2026,INDEX($C$28:$Q$28,1,B105-2025)*$AO$4*C105/MAX(0.0001,12-$AO$3),INDEX($C$28:$Q$28,1,B105-2025)/12)</f>
        <v>17.646981994589</v>
      </c>
      <c r="FC105" s="88" t="n">
        <f aca="false">$AO$6*$AC$28/12</f>
        <v>0</v>
      </c>
      <c r="FD105" s="88" t="n">
        <f aca="false">FB105+FD104</f>
        <v>1868.4396712022</v>
      </c>
      <c r="FE105" s="88" t="n">
        <f aca="false">FC105+FE104</f>
        <v>169</v>
      </c>
      <c r="FF105" s="88" t="n">
        <f aca="false">MAX(FF104,FD105-FE105)</f>
        <v>1699.4396712022</v>
      </c>
      <c r="FG105" s="88" t="n">
        <f aca="false">FF105-FF104</f>
        <v>17.6469819945889</v>
      </c>
    </row>
    <row r="106" customFormat="false" ht="15" hidden="false" customHeight="false" outlineLevel="0" collapsed="false">
      <c r="A106" s="0" t="n">
        <v>66</v>
      </c>
      <c r="B106" s="88" t="n">
        <f aca="false">2026+INT(A106/12)</f>
        <v>2031</v>
      </c>
      <c r="C106" s="88" t="n">
        <f aca="false">MAX(0,MIN(1,A106+1-$AO$3))</f>
        <v>1</v>
      </c>
      <c r="D106" s="88" t="n">
        <f aca="false">IF((A106+0.5-(0))&lt;$AO$3,0,2026+INT((A106+0.5-(0))/12))</f>
        <v>2031</v>
      </c>
      <c r="E106" s="88" t="n">
        <f aca="false">IF((A106+0.5-($AO$9))&lt;$AO$3,0,2026+INT((A106+0.5-($AO$9))/12))</f>
        <v>2030</v>
      </c>
      <c r="F106" s="88" t="n">
        <f aca="false">IF((A106+0.5-($AO$9+$AO$8))&lt;$AO$3,0,2026+INT((A106+0.5-($AO$9+$AO$8))/12))</f>
        <v>2028</v>
      </c>
      <c r="G106" s="88" t="n">
        <f aca="false">IF((A106+0.5-($AO$9+$AO$8+$AO$7))&lt;$AO$3,0,2026+INT((A106+0.5-($AO$9+$AO$8+$AO$7))/12))</f>
        <v>2028</v>
      </c>
      <c r="H106" s="88" t="n">
        <f aca="false">IF(B106=2026,INDEX($C$3:$Q$3,1,B106-2025)*$AO$4*C106/MAX(0.0001,12-$AO$3),INDEX($C$3:$Q$3,1,B106-2025)/12)</f>
        <v>180.666666666667</v>
      </c>
      <c r="I106" s="88" t="n">
        <f aca="false">$AO$6*$AC$3/12</f>
        <v>131.1</v>
      </c>
      <c r="J106" s="88" t="n">
        <f aca="false">H106+J105</f>
        <v>19309.4200913242</v>
      </c>
      <c r="K106" s="88" t="n">
        <f aca="false">I106+K105</f>
        <v>8039.50000000001</v>
      </c>
      <c r="L106" s="88" t="n">
        <f aca="false">MAX(L105,J106-K106)</f>
        <v>11269.9200913242</v>
      </c>
      <c r="M106" s="88" t="n">
        <f aca="false">L106-L105</f>
        <v>49.5666666666693</v>
      </c>
      <c r="N106" s="88" t="n">
        <f aca="false">IF(B106=2026,INDEX($C$4:$Q$4,1,B106-2025)*$AO$4*C106/MAX(0.0001,12-$AO$3),INDEX($C$4:$Q$4,1,B106-2025)/12)</f>
        <v>5.47724540066293</v>
      </c>
      <c r="O106" s="88" t="n">
        <f aca="false">$AO$6*$AC$4/12</f>
        <v>-0.00833333333333333</v>
      </c>
      <c r="P106" s="88" t="n">
        <f aca="false">N106+P105</f>
        <v>585.400917258342</v>
      </c>
      <c r="Q106" s="88" t="n">
        <f aca="false">O106+Q105</f>
        <v>398.041666666667</v>
      </c>
      <c r="R106" s="88" t="n">
        <f aca="false">MAX(R105,P106-Q106)</f>
        <v>187.359250591676</v>
      </c>
      <c r="S106" s="88" t="n">
        <f aca="false">R106-R105</f>
        <v>5.48557873399625</v>
      </c>
      <c r="T106" s="88" t="n">
        <f aca="false">IF(B106=2026,INDEX($C$5:$Q$5,1,B106-2025)*$AO$4*C106/MAX(0.0001,12-$AO$3),INDEX($C$5:$Q$5,1,B106-2025)/12)</f>
        <v>22.2615024358139</v>
      </c>
      <c r="U106" s="88" t="n">
        <f aca="false">$AO$6*$AC$5/12</f>
        <v>0.00833333333333333</v>
      </c>
      <c r="V106" s="88" t="n">
        <f aca="false">T106+V105</f>
        <v>2379.28064057473</v>
      </c>
      <c r="W106" s="88" t="n">
        <f aca="false">U106+W105</f>
        <v>1114.95833333333</v>
      </c>
      <c r="X106" s="88" t="n">
        <f aca="false">MAX(X105,V106-W106)</f>
        <v>1264.32230724139</v>
      </c>
      <c r="Y106" s="88" t="n">
        <f aca="false">X106-X105</f>
        <v>22.2531691024803</v>
      </c>
      <c r="Z106" s="88" t="n">
        <f aca="false">IF(B106=2026,INDEX($C$6:$Q$6,1,B106-2025)*$AO$4*C106/MAX(0.0001,12-$AO$3),INDEX($C$6:$Q$6,1,B106-2025)/12)</f>
        <v>26.4114629913323</v>
      </c>
      <c r="AA106" s="88" t="n">
        <f aca="false">$AO$6*$AC$6/12</f>
        <v>74.3083333333333</v>
      </c>
      <c r="AB106" s="88" t="n">
        <f aca="false">Z106+AB105</f>
        <v>2822.82306711862</v>
      </c>
      <c r="AC106" s="88" t="n">
        <f aca="false">AA106+AC105</f>
        <v>1822.45833333334</v>
      </c>
      <c r="AD106" s="88" t="n">
        <f aca="false">MAX(AD105,AB106-AC106)</f>
        <v>1335.64282617929</v>
      </c>
      <c r="AE106" s="88" t="n">
        <f aca="false">AD106-AD105</f>
        <v>0</v>
      </c>
      <c r="AF106" s="88" t="n">
        <f aca="false">IF(B106=2026,INDEX($C$7:$Q$7,1,B106-2025)*$AO$4*C106/MAX(0.0001,12-$AO$3),INDEX($C$7:$Q$7,1,B106-2025)/12)</f>
        <v>22.9427081739175</v>
      </c>
      <c r="AG106" s="88" t="n">
        <f aca="false">$AO$6*$AC$7/12</f>
        <v>12.725</v>
      </c>
      <c r="AH106" s="88" t="n">
        <f aca="false">AF106+AH105</f>
        <v>2452.08703042156</v>
      </c>
      <c r="AI106" s="88" t="n">
        <f aca="false">AG106+AI105</f>
        <v>762.375</v>
      </c>
      <c r="AJ106" s="88" t="n">
        <f aca="false">MAX(AJ105,AH106-AI106)</f>
        <v>1689.71203042156</v>
      </c>
      <c r="AK106" s="88" t="n">
        <f aca="false">AJ106-AJ105</f>
        <v>10.2177081739173</v>
      </c>
      <c r="AL106" s="88" t="n">
        <f aca="false">IF(B106=2026,INDEX($C$8:$Q$8,1,B106-2025)*$AO$4*C106/MAX(0.0001,12-$AO$3),INDEX($C$8:$Q$8,1,B106-2025)/12)</f>
        <v>5.80342126052833</v>
      </c>
      <c r="AM106" s="88" t="n">
        <f aca="false">$AO$6*$AC$8/12</f>
        <v>0</v>
      </c>
      <c r="AN106" s="88" t="n">
        <f aca="false">AL106+AN105</f>
        <v>620.262172065298</v>
      </c>
      <c r="AO106" s="88" t="n">
        <f aca="false">AM106+AO105</f>
        <v>66</v>
      </c>
      <c r="AP106" s="88" t="n">
        <f aca="false">MAX(AP105,AN106-AO106)</f>
        <v>554.262172065298</v>
      </c>
      <c r="AQ106" s="88" t="n">
        <f aca="false">AP106-AP105</f>
        <v>5.80342126052835</v>
      </c>
      <c r="AR106" s="88" t="n">
        <f aca="false">IF(B106=2026,INDEX($C$9:$Q$9,1,B106-2025)*$AO$4*C106/MAX(0.0001,12-$AO$3),INDEX($C$9:$Q$9,1,B106-2025)/12)</f>
        <v>24.7454570609428</v>
      </c>
      <c r="AS106" s="88" t="n">
        <f aca="false">$AO$6*$AC$9/12</f>
        <v>18.7333333333333</v>
      </c>
      <c r="AT106" s="88" t="n">
        <f aca="false">AR106+AT105</f>
        <v>2644.76250410463</v>
      </c>
      <c r="AU106" s="88" t="n">
        <f aca="false">AS106+AU105</f>
        <v>1716.33333333333</v>
      </c>
      <c r="AV106" s="88" t="n">
        <f aca="false">MAX(AV105,AT106-AU106)</f>
        <v>928.429170771296</v>
      </c>
      <c r="AW106" s="88" t="n">
        <f aca="false">AV106-AV105</f>
        <v>6.01212372760961</v>
      </c>
      <c r="AX106" s="88" t="n">
        <f aca="false">IF(B106=2026,INDEX($C$10:$Q$10,1,B106-2025)*$AO$4*C106/MAX(0.0001,12-$AO$3),INDEX($C$10:$Q$10,1,B106-2025)/12)</f>
        <v>2.87034756681557</v>
      </c>
      <c r="AY106" s="88" t="n">
        <f aca="false">$AO$6*$AC$10/12</f>
        <v>0</v>
      </c>
      <c r="AZ106" s="88" t="n">
        <f aca="false">AX106+AZ105</f>
        <v>306.779042301211</v>
      </c>
      <c r="BA106" s="88" t="n">
        <f aca="false">AY106+BA105</f>
        <v>50</v>
      </c>
      <c r="BB106" s="88" t="n">
        <f aca="false">MAX(BB105,AZ106-BA106)</f>
        <v>256.779042301211</v>
      </c>
      <c r="BC106" s="88" t="n">
        <f aca="false">BB106-BB105</f>
        <v>2.87034756681553</v>
      </c>
      <c r="BD106" s="88" t="n">
        <f aca="false">IF(B106=2026,INDEX($C$11:$Q$11,1,B106-2025)*$AO$4*C106/MAX(0.0001,12-$AO$3),INDEX($C$11:$Q$11,1,B106-2025)/12)</f>
        <v>14.2639212564218</v>
      </c>
      <c r="BE106" s="88" t="n">
        <f aca="false">$AO$6*$AC$11/12</f>
        <v>0</v>
      </c>
      <c r="BF106" s="88" t="n">
        <f aca="false">BD106+BF105</f>
        <v>1524.50948905803</v>
      </c>
      <c r="BG106" s="88" t="n">
        <f aca="false">BE106+BG105</f>
        <v>240</v>
      </c>
      <c r="BH106" s="88" t="n">
        <f aca="false">MAX(BH105,BF106-BG106)</f>
        <v>1284.50948905803</v>
      </c>
      <c r="BI106" s="88" t="n">
        <f aca="false">BH106-BH105</f>
        <v>14.2639212564218</v>
      </c>
      <c r="BJ106" s="88" t="n">
        <f aca="false">IF(B106=2026,INDEX($C$12:$Q$12,1,B106-2025)*$AO$4*C106/MAX(0.0001,12-$AO$3),INDEX($C$12:$Q$12,1,B106-2025)/12)</f>
        <v>7.82069350154207</v>
      </c>
      <c r="BK106" s="88" t="n">
        <f aca="false">$AO$6*$AC$12/12</f>
        <v>25.3333333333333</v>
      </c>
      <c r="BL106" s="88" t="n">
        <f aca="false">BJ106+BL105</f>
        <v>835.865624871394</v>
      </c>
      <c r="BM106" s="88" t="n">
        <f aca="false">BK106+BM105</f>
        <v>338.333333333333</v>
      </c>
      <c r="BN106" s="88" t="n">
        <f aca="false">MAX(BN105,BL106-BM106)</f>
        <v>620.1207703606</v>
      </c>
      <c r="BO106" s="88" t="n">
        <f aca="false">BN106-BN105</f>
        <v>0</v>
      </c>
      <c r="BP106" s="88" t="n">
        <f aca="false">IF(B106=2026,INDEX($C$13:$Q$13,1,B106-2025)*$AO$4*C106/MAX(0.0001,12-$AO$3),INDEX($C$13:$Q$13,1,B106-2025)/12)</f>
        <v>2.44394688559256</v>
      </c>
      <c r="BQ106" s="88" t="n">
        <f aca="false">$AO$6*$AC$13/12</f>
        <v>0</v>
      </c>
      <c r="BR106" s="88" t="n">
        <f aca="false">BP106+BR105</f>
        <v>261.205887978544</v>
      </c>
      <c r="BS106" s="88" t="n">
        <f aca="false">BQ106+BS105</f>
        <v>87</v>
      </c>
      <c r="BT106" s="88" t="n">
        <f aca="false">MAX(BT105,BR106-BS106)</f>
        <v>174.205887978544</v>
      </c>
      <c r="BU106" s="88" t="n">
        <f aca="false">BT106-BT105</f>
        <v>2.44394688559254</v>
      </c>
      <c r="BV106" s="88" t="n">
        <f aca="false">IF(B106=2026,INDEX($C$14:$Q$14,1,B106-2025)*$AO$4*C106/MAX(0.0001,12-$AO$3),INDEX($C$14:$Q$14,1,B106-2025)/12)</f>
        <v>1.449513325248</v>
      </c>
      <c r="BW106" s="88" t="n">
        <f aca="false">$AO$6*$AC$14/12</f>
        <v>0</v>
      </c>
      <c r="BX106" s="88" t="n">
        <f aca="false">BV106+BX105</f>
        <v>154.922112870033</v>
      </c>
      <c r="BY106" s="88" t="n">
        <f aca="false">BW106+BY105</f>
        <v>0</v>
      </c>
      <c r="BZ106" s="88" t="n">
        <f aca="false">MAX(BZ105,BX106-BY106)</f>
        <v>154.922112870033</v>
      </c>
      <c r="CA106" s="88" t="n">
        <f aca="false">BZ106-BZ105</f>
        <v>1.44951332524801</v>
      </c>
      <c r="CB106" s="88" t="n">
        <f aca="false">IF(B106=2026,INDEX($C$15:$Q$15,1,B106-2025)*$AO$4*C106/MAX(0.0001,12-$AO$3),INDEX($C$15:$Q$15,1,B106-2025)/12)</f>
        <v>2.37652766116242</v>
      </c>
      <c r="CC106" s="88" t="n">
        <f aca="false">$AO$6*$AC$15/12</f>
        <v>0</v>
      </c>
      <c r="CD106" s="88" t="n">
        <f aca="false">CB106+CD105</f>
        <v>254.00020831017</v>
      </c>
      <c r="CE106" s="88" t="n">
        <f aca="false">CC106+CE105</f>
        <v>88.0000000000001</v>
      </c>
      <c r="CF106" s="88" t="n">
        <f aca="false">MAX(CF105,CD106-CE106)</f>
        <v>166.00020831017</v>
      </c>
      <c r="CG106" s="88" t="n">
        <f aca="false">CF106-CF105</f>
        <v>2.37652766116241</v>
      </c>
      <c r="CH106" s="88" t="n">
        <f aca="false">IF(B106=2026,INDEX($C$16:$Q$16,1,B106-2025)*$AO$4*C106/MAX(0.0001,12-$AO$3),INDEX($C$16:$Q$16,1,B106-2025)/12)</f>
        <v>1.87931088099014</v>
      </c>
      <c r="CI106" s="88" t="n">
        <f aca="false">$AO$6*$AC$16/12</f>
        <v>0</v>
      </c>
      <c r="CJ106" s="88" t="n">
        <f aca="false">CH106+CJ105</f>
        <v>200.858320755915</v>
      </c>
      <c r="CK106" s="88" t="n">
        <f aca="false">CI106+CK105</f>
        <v>70</v>
      </c>
      <c r="CL106" s="88" t="n">
        <f aca="false">MAX(CL105,CJ106-CK106)</f>
        <v>130.858320755915</v>
      </c>
      <c r="CM106" s="88" t="n">
        <f aca="false">CL106-CL105</f>
        <v>1.87931088099015</v>
      </c>
      <c r="CN106" s="88" t="n">
        <f aca="false">IF(B106=2026,INDEX($C$17:$Q$17,1,B106-2025)*$AO$4*C106/MAX(0.0001,12-$AO$3),INDEX($C$17:$Q$17,1,B106-2025)/12)</f>
        <v>8.1830083652082</v>
      </c>
      <c r="CO106" s="88" t="n">
        <f aca="false">$AO$6*$AC$17/12</f>
        <v>0</v>
      </c>
      <c r="CP106" s="88" t="n">
        <f aca="false">CN106+CP105</f>
        <v>874.589369748849</v>
      </c>
      <c r="CQ106" s="88" t="n">
        <f aca="false">CO106+CQ105</f>
        <v>221</v>
      </c>
      <c r="CR106" s="88" t="n">
        <f aca="false">MAX(CR105,CP106-CQ106)</f>
        <v>653.589369748849</v>
      </c>
      <c r="CS106" s="88" t="n">
        <f aca="false">CR106-CR105</f>
        <v>8.18300836520825</v>
      </c>
      <c r="CT106" s="88" t="n">
        <f aca="false">IF(B106=2026,INDEX($C$18:$Q$18,1,B106-2025)*$AO$4*C106/MAX(0.0001,12-$AO$3),INDEX($C$18:$Q$18,1,B106-2025)/12)</f>
        <v>1.70233541686103</v>
      </c>
      <c r="CU106" s="88" t="n">
        <f aca="false">$AO$6*$AC$18/12</f>
        <v>0</v>
      </c>
      <c r="CV106" s="88" t="n">
        <f aca="false">CT106+CV105</f>
        <v>181.943411626434</v>
      </c>
      <c r="CW106" s="88" t="n">
        <f aca="false">CU106+CW105</f>
        <v>11</v>
      </c>
      <c r="CX106" s="88" t="n">
        <f aca="false">MAX(CX105,CV106-CW106)</f>
        <v>170.943411626434</v>
      </c>
      <c r="CY106" s="88" t="n">
        <f aca="false">CX106-CX105</f>
        <v>1.70233541686102</v>
      </c>
      <c r="CZ106" s="88" t="n">
        <f aca="false">IF(B106=2026,INDEX($C$19:$Q$19,1,B106-2025)*$AO$4*C106/MAX(0.0001,12-$AO$3),INDEX($C$19:$Q$19,1,B106-2025)/12)</f>
        <v>1.68548061075349</v>
      </c>
      <c r="DA106" s="88" t="n">
        <f aca="false">$AO$6*$AC$19/12</f>
        <v>0</v>
      </c>
      <c r="DB106" s="88" t="n">
        <f aca="false">CZ106+DB105</f>
        <v>180.14199170934</v>
      </c>
      <c r="DC106" s="88" t="n">
        <f aca="false">DA106+DC105</f>
        <v>226</v>
      </c>
      <c r="DD106" s="88" t="n">
        <f aca="false">MAX(DD105,DB106-DC106)</f>
        <v>37.132124495359</v>
      </c>
      <c r="DE106" s="88" t="n">
        <f aca="false">DD106-DD105</f>
        <v>0</v>
      </c>
      <c r="DF106" s="88" t="n">
        <f aca="false">IF(B106=2026,INDEX($C$20:$Q$20,1,B106-2025)*$AO$4*C106/MAX(0.0001,12-$AO$3),INDEX($C$20:$Q$20,1,B106-2025)/12)</f>
        <v>1.37366669776409</v>
      </c>
      <c r="DG106" s="88" t="n">
        <f aca="false">$AO$6*$AC$20/12</f>
        <v>0</v>
      </c>
      <c r="DH106" s="88" t="n">
        <f aca="false">DF106+DH105</f>
        <v>146.815723243112</v>
      </c>
      <c r="DI106" s="88" t="n">
        <f aca="false">DG106+DI105</f>
        <v>0</v>
      </c>
      <c r="DJ106" s="88" t="n">
        <f aca="false">MAX(DJ105,DH106-DI106)</f>
        <v>146.815723243112</v>
      </c>
      <c r="DK106" s="88" t="n">
        <f aca="false">DJ106-DJ105</f>
        <v>1.37366669776409</v>
      </c>
      <c r="DL106" s="88" t="n">
        <f aca="false">IF(B106=2026,INDEX($C$21:$Q$21,1,B106-2025)*$AO$4*C106/MAX(0.0001,12-$AO$3),INDEX($C$21:$Q$21,1,B106-2025)/12)</f>
        <v>0.96072394812949</v>
      </c>
      <c r="DM106" s="88" t="n">
        <f aca="false">$AO$6*$AC$21/12</f>
        <v>0</v>
      </c>
      <c r="DN106" s="88" t="n">
        <f aca="false">DL106+DN105</f>
        <v>102.680935274324</v>
      </c>
      <c r="DO106" s="88" t="n">
        <f aca="false">DM106+DO105</f>
        <v>100</v>
      </c>
      <c r="DP106" s="88" t="n">
        <f aca="false">MAX(DP105,DN106-DO106)</f>
        <v>17.7483109623547</v>
      </c>
      <c r="DQ106" s="88" t="n">
        <f aca="false">DP106-DP105</f>
        <v>0</v>
      </c>
      <c r="DR106" s="88" t="n">
        <f aca="false">IF(B106=2026,INDEX($C$22:$Q$22,1,B106-2025)*$AO$4*C106/MAX(0.0001,12-$AO$3),INDEX($C$22:$Q$22,1,B106-2025)/12)</f>
        <v>0.750038871785304</v>
      </c>
      <c r="DS106" s="88" t="n">
        <f aca="false">$AO$6*$AC$22/12</f>
        <v>0</v>
      </c>
      <c r="DT106" s="88" t="n">
        <f aca="false">DR106+DT105</f>
        <v>80.1631863106565</v>
      </c>
      <c r="DU106" s="88" t="n">
        <f aca="false">DS106+DU105</f>
        <v>29</v>
      </c>
      <c r="DV106" s="88" t="n">
        <f aca="false">MAX(DV105,DT106-DU106)</f>
        <v>51.1631863106565</v>
      </c>
      <c r="DW106" s="88" t="n">
        <f aca="false">DV106-DV105</f>
        <v>0.750038871785307</v>
      </c>
      <c r="DX106" s="88" t="n">
        <f aca="false">IF(B106=2026,INDEX($C$23:$Q$23,1,B106-2025)*$AO$4*C106/MAX(0.0001,12-$AO$3),INDEX($C$23:$Q$23,1,B106-2025)/12)</f>
        <v>1.20511863668875</v>
      </c>
      <c r="DY106" s="88" t="n">
        <f aca="false">$AO$6*$AC$23/12</f>
        <v>0</v>
      </c>
      <c r="DZ106" s="88" t="n">
        <f aca="false">DX106+DZ105</f>
        <v>128.801524072178</v>
      </c>
      <c r="EA106" s="88" t="n">
        <f aca="false">DY106+EA105</f>
        <v>121</v>
      </c>
      <c r="EB106" s="88" t="n">
        <f aca="false">MAX(EB105,DZ106-EA106)</f>
        <v>35.0579690141817</v>
      </c>
      <c r="EC106" s="88" t="n">
        <f aca="false">EB106-EB105</f>
        <v>0</v>
      </c>
      <c r="ED106" s="88" t="n">
        <f aca="false">IF(B106=2026,INDEX($C$24:$Q$24,1,B106-2025)*$AO$4*C106/MAX(0.0001,12-$AO$3),INDEX($C$24:$Q$24,1,B106-2025)/12)</f>
        <v>0.741611468731536</v>
      </c>
      <c r="EE106" s="88" t="n">
        <f aca="false">$AO$6*$AC$24/12</f>
        <v>0</v>
      </c>
      <c r="EF106" s="88" t="n">
        <f aca="false">ED106+EF105</f>
        <v>79.2624763521098</v>
      </c>
      <c r="EG106" s="88" t="n">
        <f aca="false">EE106+EG105</f>
        <v>0</v>
      </c>
      <c r="EH106" s="88" t="n">
        <f aca="false">MAX(EH105,EF106-EG106)</f>
        <v>79.2624763521098</v>
      </c>
      <c r="EI106" s="88" t="n">
        <f aca="false">EH106-EH105</f>
        <v>0.741611468731534</v>
      </c>
      <c r="EJ106" s="88" t="n">
        <f aca="false">IF(B106=2026,INDEX($C$25:$Q$25,1,B106-2025)*$AO$4*C106/MAX(0.0001,12-$AO$3),INDEX($C$25:$Q$25,1,B106-2025)/12)</f>
        <v>0.943869142021955</v>
      </c>
      <c r="EK106" s="88" t="n">
        <f aca="false">$AO$6*$AC$25/12</f>
        <v>0</v>
      </c>
      <c r="EL106" s="88" t="n">
        <f aca="false">EJ106+EL105</f>
        <v>100.879515357231</v>
      </c>
      <c r="EM106" s="88" t="n">
        <f aca="false">EK106+EM105</f>
        <v>14</v>
      </c>
      <c r="EN106" s="88" t="n">
        <f aca="false">MAX(EN105,EL106-EM106)</f>
        <v>86.8795153572307</v>
      </c>
      <c r="EO106" s="88" t="n">
        <f aca="false">EN106-EN105</f>
        <v>0.943869142021953</v>
      </c>
      <c r="EP106" s="88" t="n">
        <f aca="false">IF(B106=2026,INDEX($C$26:$Q$26,1,B106-2025)*$AO$4*C106/MAX(0.0001,12-$AO$3),INDEX($C$26:$Q$26,1,B106-2025)/12)</f>
        <v>1.35681189165656</v>
      </c>
      <c r="EQ106" s="88" t="n">
        <f aca="false">$AO$6*$AC$26/12</f>
        <v>0</v>
      </c>
      <c r="ER106" s="88" t="n">
        <f aca="false">EP106+ER105</f>
        <v>145.014303326019</v>
      </c>
      <c r="ES106" s="88" t="n">
        <f aca="false">EQ106+ES105</f>
        <v>4</v>
      </c>
      <c r="ET106" s="88" t="n">
        <f aca="false">MAX(ET105,ER106-ES106)</f>
        <v>141.014303326019</v>
      </c>
      <c r="EU106" s="88" t="n">
        <f aca="false">ET106-ET105</f>
        <v>1.35681189165655</v>
      </c>
      <c r="EV106" s="88" t="n">
        <f aca="false">IF(B106=2026,INDEX($C$27:$Q$27,1,B106-2025)*$AO$4*C106/MAX(0.0001,12-$AO$3),INDEX($C$27:$Q$27,1,B106-2025)/12)</f>
        <v>3.37096122150698</v>
      </c>
      <c r="EW106" s="88" t="n">
        <f aca="false">$AO$6*$AC$27/12</f>
        <v>0</v>
      </c>
      <c r="EX106" s="88" t="n">
        <f aca="false">EV106+EX105</f>
        <v>360.283983418681</v>
      </c>
      <c r="EY106" s="88" t="n">
        <f aca="false">EW106+EY105</f>
        <v>391</v>
      </c>
      <c r="EZ106" s="88" t="n">
        <f aca="false">MAX(EZ105,EX106-EY106)</f>
        <v>0</v>
      </c>
      <c r="FA106" s="88" t="n">
        <f aca="false">EZ106-EZ105</f>
        <v>0</v>
      </c>
      <c r="FB106" s="88" t="n">
        <f aca="false">IF(B106=2026,INDEX($C$28:$Q$28,1,B106-2025)*$AO$4*C106/MAX(0.0001,12-$AO$3),INDEX($C$28:$Q$28,1,B106-2025)/12)</f>
        <v>17.646981994589</v>
      </c>
      <c r="FC106" s="88" t="n">
        <f aca="false">$AO$6*$AC$28/12</f>
        <v>0</v>
      </c>
      <c r="FD106" s="88" t="n">
        <f aca="false">FB106+FD105</f>
        <v>1886.08665319679</v>
      </c>
      <c r="FE106" s="88" t="n">
        <f aca="false">FC106+FE105</f>
        <v>169</v>
      </c>
      <c r="FF106" s="88" t="n">
        <f aca="false">MAX(FF105,FD106-FE106)</f>
        <v>1717.08665319679</v>
      </c>
      <c r="FG106" s="88" t="n">
        <f aca="false">FF106-FF105</f>
        <v>17.6469819945889</v>
      </c>
    </row>
    <row r="107" customFormat="false" ht="15" hidden="false" customHeight="false" outlineLevel="0" collapsed="false">
      <c r="A107" s="0" t="n">
        <v>67</v>
      </c>
      <c r="B107" s="88" t="n">
        <f aca="false">2026+INT(A107/12)</f>
        <v>2031</v>
      </c>
      <c r="C107" s="88" t="n">
        <f aca="false">MAX(0,MIN(1,A107+1-$AO$3))</f>
        <v>1</v>
      </c>
      <c r="D107" s="88" t="n">
        <f aca="false">IF((A107+0.5-(0))&lt;$AO$3,0,2026+INT((A107+0.5-(0))/12))</f>
        <v>2031</v>
      </c>
      <c r="E107" s="88" t="n">
        <f aca="false">IF((A107+0.5-($AO$9))&lt;$AO$3,0,2026+INT((A107+0.5-($AO$9))/12))</f>
        <v>2030</v>
      </c>
      <c r="F107" s="88" t="n">
        <f aca="false">IF((A107+0.5-($AO$9+$AO$8))&lt;$AO$3,0,2026+INT((A107+0.5-($AO$9+$AO$8))/12))</f>
        <v>2029</v>
      </c>
      <c r="G107" s="88" t="n">
        <f aca="false">IF((A107+0.5-($AO$9+$AO$8+$AO$7))&lt;$AO$3,0,2026+INT((A107+0.5-($AO$9+$AO$8+$AO$7))/12))</f>
        <v>2028</v>
      </c>
      <c r="H107" s="88" t="n">
        <f aca="false">IF(B107=2026,INDEX($C$3:$Q$3,1,B107-2025)*$AO$4*C107/MAX(0.0001,12-$AO$3),INDEX($C$3:$Q$3,1,B107-2025)/12)</f>
        <v>180.666666666667</v>
      </c>
      <c r="I107" s="88" t="n">
        <f aca="false">$AO$6*$AC$3/12</f>
        <v>131.1</v>
      </c>
      <c r="J107" s="88" t="n">
        <f aca="false">H107+J106</f>
        <v>19490.0867579909</v>
      </c>
      <c r="K107" s="88" t="n">
        <f aca="false">I107+K106</f>
        <v>8170.60000000001</v>
      </c>
      <c r="L107" s="88" t="n">
        <f aca="false">MAX(L106,J107-K107)</f>
        <v>11319.4867579909</v>
      </c>
      <c r="M107" s="88" t="n">
        <f aca="false">L107-L106</f>
        <v>49.5666666666657</v>
      </c>
      <c r="N107" s="88" t="n">
        <f aca="false">IF(B107=2026,INDEX($C$4:$Q$4,1,B107-2025)*$AO$4*C107/MAX(0.0001,12-$AO$3),INDEX($C$4:$Q$4,1,B107-2025)/12)</f>
        <v>5.47724540066293</v>
      </c>
      <c r="O107" s="88" t="n">
        <f aca="false">$AO$6*$AC$4/12</f>
        <v>-0.00833333333333333</v>
      </c>
      <c r="P107" s="88" t="n">
        <f aca="false">N107+P106</f>
        <v>590.878162659005</v>
      </c>
      <c r="Q107" s="88" t="n">
        <f aca="false">O107+Q106</f>
        <v>398.033333333333</v>
      </c>
      <c r="R107" s="88" t="n">
        <f aca="false">MAX(R106,P107-Q107)</f>
        <v>192.844829325672</v>
      </c>
      <c r="S107" s="88" t="n">
        <f aca="false">R107-R106</f>
        <v>5.48557873399625</v>
      </c>
      <c r="T107" s="88" t="n">
        <f aca="false">IF(B107=2026,INDEX($C$5:$Q$5,1,B107-2025)*$AO$4*C107/MAX(0.0001,12-$AO$3),INDEX($C$5:$Q$5,1,B107-2025)/12)</f>
        <v>22.2615024358139</v>
      </c>
      <c r="U107" s="88" t="n">
        <f aca="false">$AO$6*$AC$5/12</f>
        <v>0.00833333333333333</v>
      </c>
      <c r="V107" s="88" t="n">
        <f aca="false">T107+V106</f>
        <v>2401.54214301054</v>
      </c>
      <c r="W107" s="88" t="n">
        <f aca="false">U107+W106</f>
        <v>1114.96666666667</v>
      </c>
      <c r="X107" s="88" t="n">
        <f aca="false">MAX(X106,V107-W107)</f>
        <v>1286.57547634387</v>
      </c>
      <c r="Y107" s="88" t="n">
        <f aca="false">X107-X106</f>
        <v>22.2531691024803</v>
      </c>
      <c r="Z107" s="88" t="n">
        <f aca="false">IF(B107=2026,INDEX($C$6:$Q$6,1,B107-2025)*$AO$4*C107/MAX(0.0001,12-$AO$3),INDEX($C$6:$Q$6,1,B107-2025)/12)</f>
        <v>26.4114629913323</v>
      </c>
      <c r="AA107" s="88" t="n">
        <f aca="false">$AO$6*$AC$6/12</f>
        <v>74.3083333333333</v>
      </c>
      <c r="AB107" s="88" t="n">
        <f aca="false">Z107+AB106</f>
        <v>2849.23453010995</v>
      </c>
      <c r="AC107" s="88" t="n">
        <f aca="false">AA107+AC106</f>
        <v>1896.76666666667</v>
      </c>
      <c r="AD107" s="88" t="n">
        <f aca="false">MAX(AD106,AB107-AC107)</f>
        <v>1335.64282617929</v>
      </c>
      <c r="AE107" s="88" t="n">
        <f aca="false">AD107-AD106</f>
        <v>0</v>
      </c>
      <c r="AF107" s="88" t="n">
        <f aca="false">IF(B107=2026,INDEX($C$7:$Q$7,1,B107-2025)*$AO$4*C107/MAX(0.0001,12-$AO$3),INDEX($C$7:$Q$7,1,B107-2025)/12)</f>
        <v>22.9427081739175</v>
      </c>
      <c r="AG107" s="88" t="n">
        <f aca="false">$AO$6*$AC$7/12</f>
        <v>12.725</v>
      </c>
      <c r="AH107" s="88" t="n">
        <f aca="false">AF107+AH106</f>
        <v>2475.02973859548</v>
      </c>
      <c r="AI107" s="88" t="n">
        <f aca="false">AG107+AI106</f>
        <v>775.1</v>
      </c>
      <c r="AJ107" s="88" t="n">
        <f aca="false">MAX(AJ106,AH107-AI107)</f>
        <v>1699.92973859548</v>
      </c>
      <c r="AK107" s="88" t="n">
        <f aca="false">AJ107-AJ106</f>
        <v>10.2177081739173</v>
      </c>
      <c r="AL107" s="88" t="n">
        <f aca="false">IF(B107=2026,INDEX($C$8:$Q$8,1,B107-2025)*$AO$4*C107/MAX(0.0001,12-$AO$3),INDEX($C$8:$Q$8,1,B107-2025)/12)</f>
        <v>5.80342126052833</v>
      </c>
      <c r="AM107" s="88" t="n">
        <f aca="false">$AO$6*$AC$8/12</f>
        <v>0</v>
      </c>
      <c r="AN107" s="88" t="n">
        <f aca="false">AL107+AN106</f>
        <v>626.065593325826</v>
      </c>
      <c r="AO107" s="88" t="n">
        <f aca="false">AM107+AO106</f>
        <v>66</v>
      </c>
      <c r="AP107" s="88" t="n">
        <f aca="false">MAX(AP106,AN107-AO107)</f>
        <v>560.065593325826</v>
      </c>
      <c r="AQ107" s="88" t="n">
        <f aca="false">AP107-AP106</f>
        <v>5.80342126052835</v>
      </c>
      <c r="AR107" s="88" t="n">
        <f aca="false">IF(B107=2026,INDEX($C$9:$Q$9,1,B107-2025)*$AO$4*C107/MAX(0.0001,12-$AO$3),INDEX($C$9:$Q$9,1,B107-2025)/12)</f>
        <v>24.7454570609428</v>
      </c>
      <c r="AS107" s="88" t="n">
        <f aca="false">$AO$6*$AC$9/12</f>
        <v>18.7333333333333</v>
      </c>
      <c r="AT107" s="88" t="n">
        <f aca="false">AR107+AT106</f>
        <v>2669.50796116557</v>
      </c>
      <c r="AU107" s="88" t="n">
        <f aca="false">AS107+AU106</f>
        <v>1735.06666666667</v>
      </c>
      <c r="AV107" s="88" t="n">
        <f aca="false">MAX(AV106,AT107-AU107)</f>
        <v>934.441294498906</v>
      </c>
      <c r="AW107" s="88" t="n">
        <f aca="false">AV107-AV106</f>
        <v>6.01212372760961</v>
      </c>
      <c r="AX107" s="88" t="n">
        <f aca="false">IF(B107=2026,INDEX($C$10:$Q$10,1,B107-2025)*$AO$4*C107/MAX(0.0001,12-$AO$3),INDEX($C$10:$Q$10,1,B107-2025)/12)</f>
        <v>2.87034756681557</v>
      </c>
      <c r="AY107" s="88" t="n">
        <f aca="false">$AO$6*$AC$10/12</f>
        <v>0</v>
      </c>
      <c r="AZ107" s="88" t="n">
        <f aca="false">AX107+AZ106</f>
        <v>309.649389868026</v>
      </c>
      <c r="BA107" s="88" t="n">
        <f aca="false">AY107+BA106</f>
        <v>50</v>
      </c>
      <c r="BB107" s="88" t="n">
        <f aca="false">MAX(BB106,AZ107-BA107)</f>
        <v>259.649389868026</v>
      </c>
      <c r="BC107" s="88" t="n">
        <f aca="false">BB107-BB106</f>
        <v>2.87034756681555</v>
      </c>
      <c r="BD107" s="88" t="n">
        <f aca="false">IF(B107=2026,INDEX($C$11:$Q$11,1,B107-2025)*$AO$4*C107/MAX(0.0001,12-$AO$3),INDEX($C$11:$Q$11,1,B107-2025)/12)</f>
        <v>14.2639212564218</v>
      </c>
      <c r="BE107" s="88" t="n">
        <f aca="false">$AO$6*$AC$11/12</f>
        <v>0</v>
      </c>
      <c r="BF107" s="88" t="n">
        <f aca="false">BD107+BF106</f>
        <v>1538.77341031445</v>
      </c>
      <c r="BG107" s="88" t="n">
        <f aca="false">BE107+BG106</f>
        <v>240</v>
      </c>
      <c r="BH107" s="88" t="n">
        <f aca="false">MAX(BH106,BF107-BG107)</f>
        <v>1298.77341031445</v>
      </c>
      <c r="BI107" s="88" t="n">
        <f aca="false">BH107-BH106</f>
        <v>14.2639212564218</v>
      </c>
      <c r="BJ107" s="88" t="n">
        <f aca="false">IF(B107=2026,INDEX($C$12:$Q$12,1,B107-2025)*$AO$4*C107/MAX(0.0001,12-$AO$3),INDEX($C$12:$Q$12,1,B107-2025)/12)</f>
        <v>7.82069350154207</v>
      </c>
      <c r="BK107" s="88" t="n">
        <f aca="false">$AO$6*$AC$12/12</f>
        <v>25.3333333333333</v>
      </c>
      <c r="BL107" s="88" t="n">
        <f aca="false">BJ107+BL106</f>
        <v>843.686318372937</v>
      </c>
      <c r="BM107" s="88" t="n">
        <f aca="false">BK107+BM106</f>
        <v>363.666666666667</v>
      </c>
      <c r="BN107" s="88" t="n">
        <f aca="false">MAX(BN106,BL107-BM107)</f>
        <v>620.1207703606</v>
      </c>
      <c r="BO107" s="88" t="n">
        <f aca="false">BN107-BN106</f>
        <v>0</v>
      </c>
      <c r="BP107" s="88" t="n">
        <f aca="false">IF(B107=2026,INDEX($C$13:$Q$13,1,B107-2025)*$AO$4*C107/MAX(0.0001,12-$AO$3),INDEX($C$13:$Q$13,1,B107-2025)/12)</f>
        <v>2.44394688559256</v>
      </c>
      <c r="BQ107" s="88" t="n">
        <f aca="false">$AO$6*$AC$13/12</f>
        <v>0</v>
      </c>
      <c r="BR107" s="88" t="n">
        <f aca="false">BP107+BR106</f>
        <v>263.649834864136</v>
      </c>
      <c r="BS107" s="88" t="n">
        <f aca="false">BQ107+BS106</f>
        <v>87</v>
      </c>
      <c r="BT107" s="88" t="n">
        <f aca="false">MAX(BT106,BR107-BS107)</f>
        <v>176.649834864136</v>
      </c>
      <c r="BU107" s="88" t="n">
        <f aca="false">BT107-BT106</f>
        <v>2.44394688559254</v>
      </c>
      <c r="BV107" s="88" t="n">
        <f aca="false">IF(B107=2026,INDEX($C$14:$Q$14,1,B107-2025)*$AO$4*C107/MAX(0.0001,12-$AO$3),INDEX($C$14:$Q$14,1,B107-2025)/12)</f>
        <v>1.449513325248</v>
      </c>
      <c r="BW107" s="88" t="n">
        <f aca="false">$AO$6*$AC$14/12</f>
        <v>0</v>
      </c>
      <c r="BX107" s="88" t="n">
        <f aca="false">BV107+BX106</f>
        <v>156.371626195281</v>
      </c>
      <c r="BY107" s="88" t="n">
        <f aca="false">BW107+BY106</f>
        <v>0</v>
      </c>
      <c r="BZ107" s="88" t="n">
        <f aca="false">MAX(BZ106,BX107-BY107)</f>
        <v>156.371626195281</v>
      </c>
      <c r="CA107" s="88" t="n">
        <f aca="false">BZ107-BZ106</f>
        <v>1.44951332524801</v>
      </c>
      <c r="CB107" s="88" t="n">
        <f aca="false">IF(B107=2026,INDEX($C$15:$Q$15,1,B107-2025)*$AO$4*C107/MAX(0.0001,12-$AO$3),INDEX($C$15:$Q$15,1,B107-2025)/12)</f>
        <v>2.37652766116242</v>
      </c>
      <c r="CC107" s="88" t="n">
        <f aca="false">$AO$6*$AC$15/12</f>
        <v>0</v>
      </c>
      <c r="CD107" s="88" t="n">
        <f aca="false">CB107+CD106</f>
        <v>256.376735971332</v>
      </c>
      <c r="CE107" s="88" t="n">
        <f aca="false">CC107+CE106</f>
        <v>88.0000000000001</v>
      </c>
      <c r="CF107" s="88" t="n">
        <f aca="false">MAX(CF106,CD107-CE107)</f>
        <v>168.376735971332</v>
      </c>
      <c r="CG107" s="88" t="n">
        <f aca="false">CF107-CF106</f>
        <v>2.37652766116241</v>
      </c>
      <c r="CH107" s="88" t="n">
        <f aca="false">IF(B107=2026,INDEX($C$16:$Q$16,1,B107-2025)*$AO$4*C107/MAX(0.0001,12-$AO$3),INDEX($C$16:$Q$16,1,B107-2025)/12)</f>
        <v>1.87931088099014</v>
      </c>
      <c r="CI107" s="88" t="n">
        <f aca="false">$AO$6*$AC$16/12</f>
        <v>0</v>
      </c>
      <c r="CJ107" s="88" t="n">
        <f aca="false">CH107+CJ106</f>
        <v>202.737631636905</v>
      </c>
      <c r="CK107" s="88" t="n">
        <f aca="false">CI107+CK106</f>
        <v>70</v>
      </c>
      <c r="CL107" s="88" t="n">
        <f aca="false">MAX(CL106,CJ107-CK107)</f>
        <v>132.737631636905</v>
      </c>
      <c r="CM107" s="88" t="n">
        <f aca="false">CL107-CL106</f>
        <v>1.87931088099015</v>
      </c>
      <c r="CN107" s="88" t="n">
        <f aca="false">IF(B107=2026,INDEX($C$17:$Q$17,1,B107-2025)*$AO$4*C107/MAX(0.0001,12-$AO$3),INDEX($C$17:$Q$17,1,B107-2025)/12)</f>
        <v>8.1830083652082</v>
      </c>
      <c r="CO107" s="88" t="n">
        <f aca="false">$AO$6*$AC$17/12</f>
        <v>0</v>
      </c>
      <c r="CP107" s="88" t="n">
        <f aca="false">CN107+CP106</f>
        <v>882.772378114057</v>
      </c>
      <c r="CQ107" s="88" t="n">
        <f aca="false">CO107+CQ106</f>
        <v>221</v>
      </c>
      <c r="CR107" s="88" t="n">
        <f aca="false">MAX(CR106,CP107-CQ107)</f>
        <v>661.772378114058</v>
      </c>
      <c r="CS107" s="88" t="n">
        <f aca="false">CR107-CR106</f>
        <v>8.18300836520825</v>
      </c>
      <c r="CT107" s="88" t="n">
        <f aca="false">IF(B107=2026,INDEX($C$18:$Q$18,1,B107-2025)*$AO$4*C107/MAX(0.0001,12-$AO$3),INDEX($C$18:$Q$18,1,B107-2025)/12)</f>
        <v>1.70233541686103</v>
      </c>
      <c r="CU107" s="88" t="n">
        <f aca="false">$AO$6*$AC$18/12</f>
        <v>0</v>
      </c>
      <c r="CV107" s="88" t="n">
        <f aca="false">CT107+CV106</f>
        <v>183.645747043295</v>
      </c>
      <c r="CW107" s="88" t="n">
        <f aca="false">CU107+CW106</f>
        <v>11</v>
      </c>
      <c r="CX107" s="88" t="n">
        <f aca="false">MAX(CX106,CV107-CW107)</f>
        <v>172.645747043295</v>
      </c>
      <c r="CY107" s="88" t="n">
        <f aca="false">CX107-CX106</f>
        <v>1.70233541686102</v>
      </c>
      <c r="CZ107" s="88" t="n">
        <f aca="false">IF(B107=2026,INDEX($C$19:$Q$19,1,B107-2025)*$AO$4*C107/MAX(0.0001,12-$AO$3),INDEX($C$19:$Q$19,1,B107-2025)/12)</f>
        <v>1.68548061075349</v>
      </c>
      <c r="DA107" s="88" t="n">
        <f aca="false">$AO$6*$AC$19/12</f>
        <v>0</v>
      </c>
      <c r="DB107" s="88" t="n">
        <f aca="false">CZ107+DB106</f>
        <v>181.827472320094</v>
      </c>
      <c r="DC107" s="88" t="n">
        <f aca="false">DA107+DC106</f>
        <v>226</v>
      </c>
      <c r="DD107" s="88" t="n">
        <f aca="false">MAX(DD106,DB107-DC107)</f>
        <v>37.132124495359</v>
      </c>
      <c r="DE107" s="88" t="n">
        <f aca="false">DD107-DD106</f>
        <v>0</v>
      </c>
      <c r="DF107" s="88" t="n">
        <f aca="false">IF(B107=2026,INDEX($C$20:$Q$20,1,B107-2025)*$AO$4*C107/MAX(0.0001,12-$AO$3),INDEX($C$20:$Q$20,1,B107-2025)/12)</f>
        <v>1.37366669776409</v>
      </c>
      <c r="DG107" s="88" t="n">
        <f aca="false">$AO$6*$AC$20/12</f>
        <v>0</v>
      </c>
      <c r="DH107" s="88" t="n">
        <f aca="false">DF107+DH106</f>
        <v>148.189389940877</v>
      </c>
      <c r="DI107" s="88" t="n">
        <f aca="false">DG107+DI106</f>
        <v>0</v>
      </c>
      <c r="DJ107" s="88" t="n">
        <f aca="false">MAX(DJ106,DH107-DI107)</f>
        <v>148.189389940877</v>
      </c>
      <c r="DK107" s="88" t="n">
        <f aca="false">DJ107-DJ106</f>
        <v>1.37366669776409</v>
      </c>
      <c r="DL107" s="88" t="n">
        <f aca="false">IF(B107=2026,INDEX($C$21:$Q$21,1,B107-2025)*$AO$4*C107/MAX(0.0001,12-$AO$3),INDEX($C$21:$Q$21,1,B107-2025)/12)</f>
        <v>0.96072394812949</v>
      </c>
      <c r="DM107" s="88" t="n">
        <f aca="false">$AO$6*$AC$21/12</f>
        <v>0</v>
      </c>
      <c r="DN107" s="88" t="n">
        <f aca="false">DL107+DN106</f>
        <v>103.641659222453</v>
      </c>
      <c r="DO107" s="88" t="n">
        <f aca="false">DM107+DO106</f>
        <v>100</v>
      </c>
      <c r="DP107" s="88" t="n">
        <f aca="false">MAX(DP106,DN107-DO107)</f>
        <v>17.7483109623547</v>
      </c>
      <c r="DQ107" s="88" t="n">
        <f aca="false">DP107-DP106</f>
        <v>0</v>
      </c>
      <c r="DR107" s="88" t="n">
        <f aca="false">IF(B107=2026,INDEX($C$22:$Q$22,1,B107-2025)*$AO$4*C107/MAX(0.0001,12-$AO$3),INDEX($C$22:$Q$22,1,B107-2025)/12)</f>
        <v>0.750038871785304</v>
      </c>
      <c r="DS107" s="88" t="n">
        <f aca="false">$AO$6*$AC$22/12</f>
        <v>0</v>
      </c>
      <c r="DT107" s="88" t="n">
        <f aca="false">DR107+DT106</f>
        <v>80.9132251824418</v>
      </c>
      <c r="DU107" s="88" t="n">
        <f aca="false">DS107+DU106</f>
        <v>29</v>
      </c>
      <c r="DV107" s="88" t="n">
        <f aca="false">MAX(DV106,DT107-DU107)</f>
        <v>51.9132251824418</v>
      </c>
      <c r="DW107" s="88" t="n">
        <f aca="false">DV107-DV106</f>
        <v>0.750038871785307</v>
      </c>
      <c r="DX107" s="88" t="n">
        <f aca="false">IF(B107=2026,INDEX($C$23:$Q$23,1,B107-2025)*$AO$4*C107/MAX(0.0001,12-$AO$3),INDEX($C$23:$Q$23,1,B107-2025)/12)</f>
        <v>1.20511863668875</v>
      </c>
      <c r="DY107" s="88" t="n">
        <f aca="false">$AO$6*$AC$23/12</f>
        <v>0</v>
      </c>
      <c r="DZ107" s="88" t="n">
        <f aca="false">DX107+DZ106</f>
        <v>130.006642708867</v>
      </c>
      <c r="EA107" s="88" t="n">
        <f aca="false">DY107+EA106</f>
        <v>121</v>
      </c>
      <c r="EB107" s="88" t="n">
        <f aca="false">MAX(EB106,DZ107-EA107)</f>
        <v>35.0579690141817</v>
      </c>
      <c r="EC107" s="88" t="n">
        <f aca="false">EB107-EB106</f>
        <v>0</v>
      </c>
      <c r="ED107" s="88" t="n">
        <f aca="false">IF(B107=2026,INDEX($C$24:$Q$24,1,B107-2025)*$AO$4*C107/MAX(0.0001,12-$AO$3),INDEX($C$24:$Q$24,1,B107-2025)/12)</f>
        <v>0.741611468731536</v>
      </c>
      <c r="EE107" s="88" t="n">
        <f aca="false">$AO$6*$AC$24/12</f>
        <v>0</v>
      </c>
      <c r="EF107" s="88" t="n">
        <f aca="false">ED107+EF106</f>
        <v>80.0040878208414</v>
      </c>
      <c r="EG107" s="88" t="n">
        <f aca="false">EE107+EG106</f>
        <v>0</v>
      </c>
      <c r="EH107" s="88" t="n">
        <f aca="false">MAX(EH106,EF107-EG107)</f>
        <v>80.0040878208414</v>
      </c>
      <c r="EI107" s="88" t="n">
        <f aca="false">EH107-EH106</f>
        <v>0.741611468731534</v>
      </c>
      <c r="EJ107" s="88" t="n">
        <f aca="false">IF(B107=2026,INDEX($C$25:$Q$25,1,B107-2025)*$AO$4*C107/MAX(0.0001,12-$AO$3),INDEX($C$25:$Q$25,1,B107-2025)/12)</f>
        <v>0.943869142021955</v>
      </c>
      <c r="EK107" s="88" t="n">
        <f aca="false">$AO$6*$AC$25/12</f>
        <v>0</v>
      </c>
      <c r="EL107" s="88" t="n">
        <f aca="false">EJ107+EL106</f>
        <v>101.823384499253</v>
      </c>
      <c r="EM107" s="88" t="n">
        <f aca="false">EK107+EM106</f>
        <v>14</v>
      </c>
      <c r="EN107" s="88" t="n">
        <f aca="false">MAX(EN106,EL107-EM107)</f>
        <v>87.8233844992527</v>
      </c>
      <c r="EO107" s="88" t="n">
        <f aca="false">EN107-EN106</f>
        <v>0.943869142021953</v>
      </c>
      <c r="EP107" s="88" t="n">
        <f aca="false">IF(B107=2026,INDEX($C$26:$Q$26,1,B107-2025)*$AO$4*C107/MAX(0.0001,12-$AO$3),INDEX($C$26:$Q$26,1,B107-2025)/12)</f>
        <v>1.35681189165656</v>
      </c>
      <c r="EQ107" s="88" t="n">
        <f aca="false">$AO$6*$AC$26/12</f>
        <v>0</v>
      </c>
      <c r="ER107" s="88" t="n">
        <f aca="false">EP107+ER106</f>
        <v>146.371115217675</v>
      </c>
      <c r="ES107" s="88" t="n">
        <f aca="false">EQ107+ES106</f>
        <v>4</v>
      </c>
      <c r="ET107" s="88" t="n">
        <f aca="false">MAX(ET106,ER107-ES107)</f>
        <v>142.371115217675</v>
      </c>
      <c r="EU107" s="88" t="n">
        <f aca="false">ET107-ET106</f>
        <v>1.35681189165655</v>
      </c>
      <c r="EV107" s="88" t="n">
        <f aca="false">IF(B107=2026,INDEX($C$27:$Q$27,1,B107-2025)*$AO$4*C107/MAX(0.0001,12-$AO$3),INDEX($C$27:$Q$27,1,B107-2025)/12)</f>
        <v>3.37096122150698</v>
      </c>
      <c r="EW107" s="88" t="n">
        <f aca="false">$AO$6*$AC$27/12</f>
        <v>0</v>
      </c>
      <c r="EX107" s="88" t="n">
        <f aca="false">EV107+EX106</f>
        <v>363.654944640188</v>
      </c>
      <c r="EY107" s="88" t="n">
        <f aca="false">EW107+EY106</f>
        <v>391</v>
      </c>
      <c r="EZ107" s="88" t="n">
        <f aca="false">MAX(EZ106,EX107-EY107)</f>
        <v>0</v>
      </c>
      <c r="FA107" s="88" t="n">
        <f aca="false">EZ107-EZ106</f>
        <v>0</v>
      </c>
      <c r="FB107" s="88" t="n">
        <f aca="false">IF(B107=2026,INDEX($C$28:$Q$28,1,B107-2025)*$AO$4*C107/MAX(0.0001,12-$AO$3),INDEX($C$28:$Q$28,1,B107-2025)/12)</f>
        <v>17.646981994589</v>
      </c>
      <c r="FC107" s="88" t="n">
        <f aca="false">$AO$6*$AC$28/12</f>
        <v>0</v>
      </c>
      <c r="FD107" s="88" t="n">
        <f aca="false">FB107+FD106</f>
        <v>1903.73363519138</v>
      </c>
      <c r="FE107" s="88" t="n">
        <f aca="false">FC107+FE106</f>
        <v>169</v>
      </c>
      <c r="FF107" s="88" t="n">
        <f aca="false">MAX(FF106,FD107-FE107)</f>
        <v>1734.73363519138</v>
      </c>
      <c r="FG107" s="88" t="n">
        <f aca="false">FF107-FF106</f>
        <v>17.6469819945889</v>
      </c>
    </row>
    <row r="108" customFormat="false" ht="15" hidden="false" customHeight="false" outlineLevel="0" collapsed="false">
      <c r="A108" s="0" t="n">
        <v>68</v>
      </c>
      <c r="B108" s="88" t="n">
        <f aca="false">2026+INT(A108/12)</f>
        <v>2031</v>
      </c>
      <c r="C108" s="88" t="n">
        <f aca="false">MAX(0,MIN(1,A108+1-$AO$3))</f>
        <v>1</v>
      </c>
      <c r="D108" s="88" t="n">
        <f aca="false">IF((A108+0.5-(0))&lt;$AO$3,0,2026+INT((A108+0.5-(0))/12))</f>
        <v>2031</v>
      </c>
      <c r="E108" s="88" t="n">
        <f aca="false">IF((A108+0.5-($AO$9))&lt;$AO$3,0,2026+INT((A108+0.5-($AO$9))/12))</f>
        <v>2030</v>
      </c>
      <c r="F108" s="88" t="n">
        <f aca="false">IF((A108+0.5-($AO$9+$AO$8))&lt;$AO$3,0,2026+INT((A108+0.5-($AO$9+$AO$8))/12))</f>
        <v>2029</v>
      </c>
      <c r="G108" s="88" t="n">
        <f aca="false">IF((A108+0.5-($AO$9+$AO$8+$AO$7))&lt;$AO$3,0,2026+INT((A108+0.5-($AO$9+$AO$8+$AO$7))/12))</f>
        <v>2028</v>
      </c>
      <c r="H108" s="88" t="n">
        <f aca="false">IF(B108=2026,INDEX($C$3:$Q$3,1,B108-2025)*$AO$4*C108/MAX(0.0001,12-$AO$3),INDEX($C$3:$Q$3,1,B108-2025)/12)</f>
        <v>180.666666666667</v>
      </c>
      <c r="I108" s="88" t="n">
        <f aca="false">$AO$6*$AC$3/12</f>
        <v>131.1</v>
      </c>
      <c r="J108" s="88" t="n">
        <f aca="false">H108+J107</f>
        <v>19670.7534246575</v>
      </c>
      <c r="K108" s="88" t="n">
        <f aca="false">I108+K107</f>
        <v>8301.7</v>
      </c>
      <c r="L108" s="88" t="n">
        <f aca="false">MAX(L107,J108-K108)</f>
        <v>11369.0534246575</v>
      </c>
      <c r="M108" s="88" t="n">
        <f aca="false">L108-L107</f>
        <v>49.5666666666693</v>
      </c>
      <c r="N108" s="88" t="n">
        <f aca="false">IF(B108=2026,INDEX($C$4:$Q$4,1,B108-2025)*$AO$4*C108/MAX(0.0001,12-$AO$3),INDEX($C$4:$Q$4,1,B108-2025)/12)</f>
        <v>5.47724540066293</v>
      </c>
      <c r="O108" s="88" t="n">
        <f aca="false">$AO$6*$AC$4/12</f>
        <v>-0.00833333333333333</v>
      </c>
      <c r="P108" s="88" t="n">
        <f aca="false">N108+P107</f>
        <v>596.355408059668</v>
      </c>
      <c r="Q108" s="88" t="n">
        <f aca="false">O108+Q107</f>
        <v>398.025</v>
      </c>
      <c r="R108" s="88" t="n">
        <f aca="false">MAX(R107,P108-Q108)</f>
        <v>198.330408059668</v>
      </c>
      <c r="S108" s="88" t="n">
        <f aca="false">R108-R107</f>
        <v>5.48557873399625</v>
      </c>
      <c r="T108" s="88" t="n">
        <f aca="false">IF(B108=2026,INDEX($C$5:$Q$5,1,B108-2025)*$AO$4*C108/MAX(0.0001,12-$AO$3),INDEX($C$5:$Q$5,1,B108-2025)/12)</f>
        <v>22.2615024358139</v>
      </c>
      <c r="U108" s="88" t="n">
        <f aca="false">$AO$6*$AC$5/12</f>
        <v>0.00833333333333333</v>
      </c>
      <c r="V108" s="88" t="n">
        <f aca="false">T108+V107</f>
        <v>2423.80364544636</v>
      </c>
      <c r="W108" s="88" t="n">
        <f aca="false">U108+W107</f>
        <v>1114.975</v>
      </c>
      <c r="X108" s="88" t="n">
        <f aca="false">MAX(X107,V108-W108)</f>
        <v>1308.82864544635</v>
      </c>
      <c r="Y108" s="88" t="n">
        <f aca="false">X108-X107</f>
        <v>22.2531691024803</v>
      </c>
      <c r="Z108" s="88" t="n">
        <f aca="false">IF(B108=2026,INDEX($C$6:$Q$6,1,B108-2025)*$AO$4*C108/MAX(0.0001,12-$AO$3),INDEX($C$6:$Q$6,1,B108-2025)/12)</f>
        <v>26.4114629913323</v>
      </c>
      <c r="AA108" s="88" t="n">
        <f aca="false">$AO$6*$AC$6/12</f>
        <v>74.3083333333333</v>
      </c>
      <c r="AB108" s="88" t="n">
        <f aca="false">Z108+AB107</f>
        <v>2875.64599310128</v>
      </c>
      <c r="AC108" s="88" t="n">
        <f aca="false">AA108+AC107</f>
        <v>1971.075</v>
      </c>
      <c r="AD108" s="88" t="n">
        <f aca="false">MAX(AD107,AB108-AC108)</f>
        <v>1335.64282617929</v>
      </c>
      <c r="AE108" s="88" t="n">
        <f aca="false">AD108-AD107</f>
        <v>0</v>
      </c>
      <c r="AF108" s="88" t="n">
        <f aca="false">IF(B108=2026,INDEX($C$7:$Q$7,1,B108-2025)*$AO$4*C108/MAX(0.0001,12-$AO$3),INDEX($C$7:$Q$7,1,B108-2025)/12)</f>
        <v>22.9427081739175</v>
      </c>
      <c r="AG108" s="88" t="n">
        <f aca="false">$AO$6*$AC$7/12</f>
        <v>12.725</v>
      </c>
      <c r="AH108" s="88" t="n">
        <f aca="false">AF108+AH107</f>
        <v>2497.9724467694</v>
      </c>
      <c r="AI108" s="88" t="n">
        <f aca="false">AG108+AI107</f>
        <v>787.825</v>
      </c>
      <c r="AJ108" s="88" t="n">
        <f aca="false">MAX(AJ107,AH108-AI108)</f>
        <v>1710.1474467694</v>
      </c>
      <c r="AK108" s="88" t="n">
        <f aca="false">AJ108-AJ107</f>
        <v>10.2177081739171</v>
      </c>
      <c r="AL108" s="88" t="n">
        <f aca="false">IF(B108=2026,INDEX($C$8:$Q$8,1,B108-2025)*$AO$4*C108/MAX(0.0001,12-$AO$3),INDEX($C$8:$Q$8,1,B108-2025)/12)</f>
        <v>5.80342126052833</v>
      </c>
      <c r="AM108" s="88" t="n">
        <f aca="false">$AO$6*$AC$8/12</f>
        <v>0</v>
      </c>
      <c r="AN108" s="88" t="n">
        <f aca="false">AL108+AN107</f>
        <v>631.869014586355</v>
      </c>
      <c r="AO108" s="88" t="n">
        <f aca="false">AM108+AO107</f>
        <v>66</v>
      </c>
      <c r="AP108" s="88" t="n">
        <f aca="false">MAX(AP107,AN108-AO108)</f>
        <v>565.869014586355</v>
      </c>
      <c r="AQ108" s="88" t="n">
        <f aca="false">AP108-AP107</f>
        <v>5.80342126052835</v>
      </c>
      <c r="AR108" s="88" t="n">
        <f aca="false">IF(B108=2026,INDEX($C$9:$Q$9,1,B108-2025)*$AO$4*C108/MAX(0.0001,12-$AO$3),INDEX($C$9:$Q$9,1,B108-2025)/12)</f>
        <v>24.7454570609428</v>
      </c>
      <c r="AS108" s="88" t="n">
        <f aca="false">$AO$6*$AC$9/12</f>
        <v>18.7333333333333</v>
      </c>
      <c r="AT108" s="88" t="n">
        <f aca="false">AR108+AT107</f>
        <v>2694.25341822652</v>
      </c>
      <c r="AU108" s="88" t="n">
        <f aca="false">AS108+AU107</f>
        <v>1753.8</v>
      </c>
      <c r="AV108" s="88" t="n">
        <f aca="false">MAX(AV107,AT108-AU108)</f>
        <v>940.453418226515</v>
      </c>
      <c r="AW108" s="88" t="n">
        <f aca="false">AV108-AV107</f>
        <v>6.01212372760961</v>
      </c>
      <c r="AX108" s="88" t="n">
        <f aca="false">IF(B108=2026,INDEX($C$10:$Q$10,1,B108-2025)*$AO$4*C108/MAX(0.0001,12-$AO$3),INDEX($C$10:$Q$10,1,B108-2025)/12)</f>
        <v>2.87034756681557</v>
      </c>
      <c r="AY108" s="88" t="n">
        <f aca="false">$AO$6*$AC$10/12</f>
        <v>0</v>
      </c>
      <c r="AZ108" s="88" t="n">
        <f aca="false">AX108+AZ107</f>
        <v>312.519737434842</v>
      </c>
      <c r="BA108" s="88" t="n">
        <f aca="false">AY108+BA107</f>
        <v>50</v>
      </c>
      <c r="BB108" s="88" t="n">
        <f aca="false">MAX(BB107,AZ108-BA108)</f>
        <v>262.519737434842</v>
      </c>
      <c r="BC108" s="88" t="n">
        <f aca="false">BB108-BB107</f>
        <v>2.87034756681555</v>
      </c>
      <c r="BD108" s="88" t="n">
        <f aca="false">IF(B108=2026,INDEX($C$11:$Q$11,1,B108-2025)*$AO$4*C108/MAX(0.0001,12-$AO$3),INDEX($C$11:$Q$11,1,B108-2025)/12)</f>
        <v>14.2639212564218</v>
      </c>
      <c r="BE108" s="88" t="n">
        <f aca="false">$AO$6*$AC$11/12</f>
        <v>0</v>
      </c>
      <c r="BF108" s="88" t="n">
        <f aca="false">BD108+BF107</f>
        <v>1553.03733157088</v>
      </c>
      <c r="BG108" s="88" t="n">
        <f aca="false">BE108+BG107</f>
        <v>240</v>
      </c>
      <c r="BH108" s="88" t="n">
        <f aca="false">MAX(BH107,BF108-BG108)</f>
        <v>1313.03733157087</v>
      </c>
      <c r="BI108" s="88" t="n">
        <f aca="false">BH108-BH107</f>
        <v>14.2639212564218</v>
      </c>
      <c r="BJ108" s="88" t="n">
        <f aca="false">IF(B108=2026,INDEX($C$12:$Q$12,1,B108-2025)*$AO$4*C108/MAX(0.0001,12-$AO$3),INDEX($C$12:$Q$12,1,B108-2025)/12)</f>
        <v>7.82069350154207</v>
      </c>
      <c r="BK108" s="88" t="n">
        <f aca="false">$AO$6*$AC$12/12</f>
        <v>25.3333333333333</v>
      </c>
      <c r="BL108" s="88" t="n">
        <f aca="false">BJ108+BL107</f>
        <v>851.507011874479</v>
      </c>
      <c r="BM108" s="88" t="n">
        <f aca="false">BK108+BM107</f>
        <v>389</v>
      </c>
      <c r="BN108" s="88" t="n">
        <f aca="false">MAX(BN107,BL108-BM108)</f>
        <v>620.1207703606</v>
      </c>
      <c r="BO108" s="88" t="n">
        <f aca="false">BN108-BN107</f>
        <v>0</v>
      </c>
      <c r="BP108" s="88" t="n">
        <f aca="false">IF(B108=2026,INDEX($C$13:$Q$13,1,B108-2025)*$AO$4*C108/MAX(0.0001,12-$AO$3),INDEX($C$13:$Q$13,1,B108-2025)/12)</f>
        <v>2.44394688559256</v>
      </c>
      <c r="BQ108" s="88" t="n">
        <f aca="false">$AO$6*$AC$13/12</f>
        <v>0</v>
      </c>
      <c r="BR108" s="88" t="n">
        <f aca="false">BP108+BR107</f>
        <v>266.093781749729</v>
      </c>
      <c r="BS108" s="88" t="n">
        <f aca="false">BQ108+BS107</f>
        <v>87</v>
      </c>
      <c r="BT108" s="88" t="n">
        <f aca="false">MAX(BT107,BR108-BS108)</f>
        <v>179.093781749729</v>
      </c>
      <c r="BU108" s="88" t="n">
        <f aca="false">BT108-BT107</f>
        <v>2.44394688559254</v>
      </c>
      <c r="BV108" s="88" t="n">
        <f aca="false">IF(B108=2026,INDEX($C$14:$Q$14,1,B108-2025)*$AO$4*C108/MAX(0.0001,12-$AO$3),INDEX($C$14:$Q$14,1,B108-2025)/12)</f>
        <v>1.449513325248</v>
      </c>
      <c r="BW108" s="88" t="n">
        <f aca="false">$AO$6*$AC$14/12</f>
        <v>0</v>
      </c>
      <c r="BX108" s="88" t="n">
        <f aca="false">BV108+BX107</f>
        <v>157.821139520529</v>
      </c>
      <c r="BY108" s="88" t="n">
        <f aca="false">BW108+BY107</f>
        <v>0</v>
      </c>
      <c r="BZ108" s="88" t="n">
        <f aca="false">MAX(BZ107,BX108-BY108)</f>
        <v>157.821139520529</v>
      </c>
      <c r="CA108" s="88" t="n">
        <f aca="false">BZ108-BZ107</f>
        <v>1.44951332524801</v>
      </c>
      <c r="CB108" s="88" t="n">
        <f aca="false">IF(B108=2026,INDEX($C$15:$Q$15,1,B108-2025)*$AO$4*C108/MAX(0.0001,12-$AO$3),INDEX($C$15:$Q$15,1,B108-2025)/12)</f>
        <v>2.37652766116242</v>
      </c>
      <c r="CC108" s="88" t="n">
        <f aca="false">$AO$6*$AC$15/12</f>
        <v>0</v>
      </c>
      <c r="CD108" s="88" t="n">
        <f aca="false">CB108+CD107</f>
        <v>258.753263632494</v>
      </c>
      <c r="CE108" s="88" t="n">
        <f aca="false">CC108+CE107</f>
        <v>88.0000000000001</v>
      </c>
      <c r="CF108" s="88" t="n">
        <f aca="false">MAX(CF107,CD108-CE108)</f>
        <v>170.753263632494</v>
      </c>
      <c r="CG108" s="88" t="n">
        <f aca="false">CF108-CF107</f>
        <v>2.37652766116241</v>
      </c>
      <c r="CH108" s="88" t="n">
        <f aca="false">IF(B108=2026,INDEX($C$16:$Q$16,1,B108-2025)*$AO$4*C108/MAX(0.0001,12-$AO$3),INDEX($C$16:$Q$16,1,B108-2025)/12)</f>
        <v>1.87931088099014</v>
      </c>
      <c r="CI108" s="88" t="n">
        <f aca="false">$AO$6*$AC$16/12</f>
        <v>0</v>
      </c>
      <c r="CJ108" s="88" t="n">
        <f aca="false">CH108+CJ107</f>
        <v>204.616942517895</v>
      </c>
      <c r="CK108" s="88" t="n">
        <f aca="false">CI108+CK107</f>
        <v>70</v>
      </c>
      <c r="CL108" s="88" t="n">
        <f aca="false">MAX(CL107,CJ108-CK108)</f>
        <v>134.616942517895</v>
      </c>
      <c r="CM108" s="88" t="n">
        <f aca="false">CL108-CL107</f>
        <v>1.87931088099015</v>
      </c>
      <c r="CN108" s="88" t="n">
        <f aca="false">IF(B108=2026,INDEX($C$17:$Q$17,1,B108-2025)*$AO$4*C108/MAX(0.0001,12-$AO$3),INDEX($C$17:$Q$17,1,B108-2025)/12)</f>
        <v>8.1830083652082</v>
      </c>
      <c r="CO108" s="88" t="n">
        <f aca="false">$AO$6*$AC$17/12</f>
        <v>0</v>
      </c>
      <c r="CP108" s="88" t="n">
        <f aca="false">CN108+CP107</f>
        <v>890.955386479266</v>
      </c>
      <c r="CQ108" s="88" t="n">
        <f aca="false">CO108+CQ107</f>
        <v>221</v>
      </c>
      <c r="CR108" s="88" t="n">
        <f aca="false">MAX(CR107,CP108-CQ108)</f>
        <v>669.955386479266</v>
      </c>
      <c r="CS108" s="88" t="n">
        <f aca="false">CR108-CR107</f>
        <v>8.18300836520825</v>
      </c>
      <c r="CT108" s="88" t="n">
        <f aca="false">IF(B108=2026,INDEX($C$18:$Q$18,1,B108-2025)*$AO$4*C108/MAX(0.0001,12-$AO$3),INDEX($C$18:$Q$18,1,B108-2025)/12)</f>
        <v>1.70233541686103</v>
      </c>
      <c r="CU108" s="88" t="n">
        <f aca="false">$AO$6*$AC$18/12</f>
        <v>0</v>
      </c>
      <c r="CV108" s="88" t="n">
        <f aca="false">CT108+CV107</f>
        <v>185.348082460156</v>
      </c>
      <c r="CW108" s="88" t="n">
        <f aca="false">CU108+CW107</f>
        <v>11</v>
      </c>
      <c r="CX108" s="88" t="n">
        <f aca="false">MAX(CX107,CV108-CW108)</f>
        <v>174.348082460156</v>
      </c>
      <c r="CY108" s="88" t="n">
        <f aca="false">CX108-CX107</f>
        <v>1.70233541686102</v>
      </c>
      <c r="CZ108" s="88" t="n">
        <f aca="false">IF(B108=2026,INDEX($C$19:$Q$19,1,B108-2025)*$AO$4*C108/MAX(0.0001,12-$AO$3),INDEX($C$19:$Q$19,1,B108-2025)/12)</f>
        <v>1.68548061075349</v>
      </c>
      <c r="DA108" s="88" t="n">
        <f aca="false">$AO$6*$AC$19/12</f>
        <v>0</v>
      </c>
      <c r="DB108" s="88" t="n">
        <f aca="false">CZ108+DB107</f>
        <v>183.512952930847</v>
      </c>
      <c r="DC108" s="88" t="n">
        <f aca="false">DA108+DC107</f>
        <v>226</v>
      </c>
      <c r="DD108" s="88" t="n">
        <f aca="false">MAX(DD107,DB108-DC108)</f>
        <v>37.132124495359</v>
      </c>
      <c r="DE108" s="88" t="n">
        <f aca="false">DD108-DD107</f>
        <v>0</v>
      </c>
      <c r="DF108" s="88" t="n">
        <f aca="false">IF(B108=2026,INDEX($C$20:$Q$20,1,B108-2025)*$AO$4*C108/MAX(0.0001,12-$AO$3),INDEX($C$20:$Q$20,1,B108-2025)/12)</f>
        <v>1.37366669776409</v>
      </c>
      <c r="DG108" s="88" t="n">
        <f aca="false">$AO$6*$AC$20/12</f>
        <v>0</v>
      </c>
      <c r="DH108" s="88" t="n">
        <f aca="false">DF108+DH107</f>
        <v>149.563056638641</v>
      </c>
      <c r="DI108" s="88" t="n">
        <f aca="false">DG108+DI107</f>
        <v>0</v>
      </c>
      <c r="DJ108" s="88" t="n">
        <f aca="false">MAX(DJ107,DH108-DI108)</f>
        <v>149.563056638641</v>
      </c>
      <c r="DK108" s="88" t="n">
        <f aca="false">DJ108-DJ107</f>
        <v>1.37366669776409</v>
      </c>
      <c r="DL108" s="88" t="n">
        <f aca="false">IF(B108=2026,INDEX($C$21:$Q$21,1,B108-2025)*$AO$4*C108/MAX(0.0001,12-$AO$3),INDEX($C$21:$Q$21,1,B108-2025)/12)</f>
        <v>0.96072394812949</v>
      </c>
      <c r="DM108" s="88" t="n">
        <f aca="false">$AO$6*$AC$21/12</f>
        <v>0</v>
      </c>
      <c r="DN108" s="88" t="n">
        <f aca="false">DL108+DN107</f>
        <v>104.602383170583</v>
      </c>
      <c r="DO108" s="88" t="n">
        <f aca="false">DM108+DO107</f>
        <v>100</v>
      </c>
      <c r="DP108" s="88" t="n">
        <f aca="false">MAX(DP107,DN108-DO108)</f>
        <v>17.7483109623547</v>
      </c>
      <c r="DQ108" s="88" t="n">
        <f aca="false">DP108-DP107</f>
        <v>0</v>
      </c>
      <c r="DR108" s="88" t="n">
        <f aca="false">IF(B108=2026,INDEX($C$22:$Q$22,1,B108-2025)*$AO$4*C108/MAX(0.0001,12-$AO$3),INDEX($C$22:$Q$22,1,B108-2025)/12)</f>
        <v>0.750038871785304</v>
      </c>
      <c r="DS108" s="88" t="n">
        <f aca="false">$AO$6*$AC$22/12</f>
        <v>0</v>
      </c>
      <c r="DT108" s="88" t="n">
        <f aca="false">DR108+DT107</f>
        <v>81.6632640542271</v>
      </c>
      <c r="DU108" s="88" t="n">
        <f aca="false">DS108+DU107</f>
        <v>29</v>
      </c>
      <c r="DV108" s="88" t="n">
        <f aca="false">MAX(DV107,DT108-DU108)</f>
        <v>52.6632640542271</v>
      </c>
      <c r="DW108" s="88" t="n">
        <f aca="false">DV108-DV107</f>
        <v>0.750038871785307</v>
      </c>
      <c r="DX108" s="88" t="n">
        <f aca="false">IF(B108=2026,INDEX($C$23:$Q$23,1,B108-2025)*$AO$4*C108/MAX(0.0001,12-$AO$3),INDEX($C$23:$Q$23,1,B108-2025)/12)</f>
        <v>1.20511863668875</v>
      </c>
      <c r="DY108" s="88" t="n">
        <f aca="false">$AO$6*$AC$23/12</f>
        <v>0</v>
      </c>
      <c r="DZ108" s="88" t="n">
        <f aca="false">DX108+DZ107</f>
        <v>131.211761345556</v>
      </c>
      <c r="EA108" s="88" t="n">
        <f aca="false">DY108+EA107</f>
        <v>121</v>
      </c>
      <c r="EB108" s="88" t="n">
        <f aca="false">MAX(EB107,DZ108-EA108)</f>
        <v>35.0579690141817</v>
      </c>
      <c r="EC108" s="88" t="n">
        <f aca="false">EB108-EB107</f>
        <v>0</v>
      </c>
      <c r="ED108" s="88" t="n">
        <f aca="false">IF(B108=2026,INDEX($C$24:$Q$24,1,B108-2025)*$AO$4*C108/MAX(0.0001,12-$AO$3),INDEX($C$24:$Q$24,1,B108-2025)/12)</f>
        <v>0.741611468731536</v>
      </c>
      <c r="EE108" s="88" t="n">
        <f aca="false">$AO$6*$AC$24/12</f>
        <v>0</v>
      </c>
      <c r="EF108" s="88" t="n">
        <f aca="false">ED108+EF107</f>
        <v>80.7456992895729</v>
      </c>
      <c r="EG108" s="88" t="n">
        <f aca="false">EE108+EG107</f>
        <v>0</v>
      </c>
      <c r="EH108" s="88" t="n">
        <f aca="false">MAX(EH107,EF108-EG108)</f>
        <v>80.7456992895729</v>
      </c>
      <c r="EI108" s="88" t="n">
        <f aca="false">EH108-EH107</f>
        <v>0.741611468731534</v>
      </c>
      <c r="EJ108" s="88" t="n">
        <f aca="false">IF(B108=2026,INDEX($C$25:$Q$25,1,B108-2025)*$AO$4*C108/MAX(0.0001,12-$AO$3),INDEX($C$25:$Q$25,1,B108-2025)/12)</f>
        <v>0.943869142021955</v>
      </c>
      <c r="EK108" s="88" t="n">
        <f aca="false">$AO$6*$AC$25/12</f>
        <v>0</v>
      </c>
      <c r="EL108" s="88" t="n">
        <f aca="false">EJ108+EL107</f>
        <v>102.767253641275</v>
      </c>
      <c r="EM108" s="88" t="n">
        <f aca="false">EK108+EM107</f>
        <v>14</v>
      </c>
      <c r="EN108" s="88" t="n">
        <f aca="false">MAX(EN107,EL108-EM108)</f>
        <v>88.7672536412746</v>
      </c>
      <c r="EO108" s="88" t="n">
        <f aca="false">EN108-EN107</f>
        <v>0.943869142021953</v>
      </c>
      <c r="EP108" s="88" t="n">
        <f aca="false">IF(B108=2026,INDEX($C$26:$Q$26,1,B108-2025)*$AO$4*C108/MAX(0.0001,12-$AO$3),INDEX($C$26:$Q$26,1,B108-2025)/12)</f>
        <v>1.35681189165656</v>
      </c>
      <c r="EQ108" s="88" t="n">
        <f aca="false">$AO$6*$AC$26/12</f>
        <v>0</v>
      </c>
      <c r="ER108" s="88" t="n">
        <f aca="false">EP108+ER107</f>
        <v>147.727927109332</v>
      </c>
      <c r="ES108" s="88" t="n">
        <f aca="false">EQ108+ES107</f>
        <v>4</v>
      </c>
      <c r="ET108" s="88" t="n">
        <f aca="false">MAX(ET107,ER108-ES108)</f>
        <v>143.727927109332</v>
      </c>
      <c r="EU108" s="88" t="n">
        <f aca="false">ET108-ET107</f>
        <v>1.35681189165655</v>
      </c>
      <c r="EV108" s="88" t="n">
        <f aca="false">IF(B108=2026,INDEX($C$27:$Q$27,1,B108-2025)*$AO$4*C108/MAX(0.0001,12-$AO$3),INDEX($C$27:$Q$27,1,B108-2025)/12)</f>
        <v>3.37096122150698</v>
      </c>
      <c r="EW108" s="88" t="n">
        <f aca="false">$AO$6*$AC$27/12</f>
        <v>0</v>
      </c>
      <c r="EX108" s="88" t="n">
        <f aca="false">EV108+EX107</f>
        <v>367.025905861695</v>
      </c>
      <c r="EY108" s="88" t="n">
        <f aca="false">EW108+EY107</f>
        <v>391</v>
      </c>
      <c r="EZ108" s="88" t="n">
        <f aca="false">MAX(EZ107,EX108-EY108)</f>
        <v>0</v>
      </c>
      <c r="FA108" s="88" t="n">
        <f aca="false">EZ108-EZ107</f>
        <v>0</v>
      </c>
      <c r="FB108" s="88" t="n">
        <f aca="false">IF(B108=2026,INDEX($C$28:$Q$28,1,B108-2025)*$AO$4*C108/MAX(0.0001,12-$AO$3),INDEX($C$28:$Q$28,1,B108-2025)/12)</f>
        <v>17.646981994589</v>
      </c>
      <c r="FC108" s="88" t="n">
        <f aca="false">$AO$6*$AC$28/12</f>
        <v>0</v>
      </c>
      <c r="FD108" s="88" t="n">
        <f aca="false">FB108+FD107</f>
        <v>1921.38061718597</v>
      </c>
      <c r="FE108" s="88" t="n">
        <f aca="false">FC108+FE107</f>
        <v>169</v>
      </c>
      <c r="FF108" s="88" t="n">
        <f aca="false">MAX(FF107,FD108-FE108)</f>
        <v>1752.38061718597</v>
      </c>
      <c r="FG108" s="88" t="n">
        <f aca="false">FF108-FF107</f>
        <v>17.6469819945889</v>
      </c>
    </row>
    <row r="109" customFormat="false" ht="15" hidden="false" customHeight="false" outlineLevel="0" collapsed="false">
      <c r="A109" s="0" t="n">
        <v>69</v>
      </c>
      <c r="B109" s="88" t="n">
        <f aca="false">2026+INT(A109/12)</f>
        <v>2031</v>
      </c>
      <c r="C109" s="88" t="n">
        <f aca="false">MAX(0,MIN(1,A109+1-$AO$3))</f>
        <v>1</v>
      </c>
      <c r="D109" s="88" t="n">
        <f aca="false">IF((A109+0.5-(0))&lt;$AO$3,0,2026+INT((A109+0.5-(0))/12))</f>
        <v>2031</v>
      </c>
      <c r="E109" s="88" t="n">
        <f aca="false">IF((A109+0.5-($AO$9))&lt;$AO$3,0,2026+INT((A109+0.5-($AO$9))/12))</f>
        <v>2030</v>
      </c>
      <c r="F109" s="88" t="n">
        <f aca="false">IF((A109+0.5-($AO$9+$AO$8))&lt;$AO$3,0,2026+INT((A109+0.5-($AO$9+$AO$8))/12))</f>
        <v>2029</v>
      </c>
      <c r="G109" s="88" t="n">
        <f aca="false">IF((A109+0.5-($AO$9+$AO$8+$AO$7))&lt;$AO$3,0,2026+INT((A109+0.5-($AO$9+$AO$8+$AO$7))/12))</f>
        <v>2028</v>
      </c>
      <c r="H109" s="88" t="n">
        <f aca="false">IF(B109=2026,INDEX($C$3:$Q$3,1,B109-2025)*$AO$4*C109/MAX(0.0001,12-$AO$3),INDEX($C$3:$Q$3,1,B109-2025)/12)</f>
        <v>180.666666666667</v>
      </c>
      <c r="I109" s="88" t="n">
        <f aca="false">$AO$6*$AC$3/12</f>
        <v>131.1</v>
      </c>
      <c r="J109" s="88" t="n">
        <f aca="false">H109+J108</f>
        <v>19851.4200913242</v>
      </c>
      <c r="K109" s="88" t="n">
        <f aca="false">I109+K108</f>
        <v>8432.80000000001</v>
      </c>
      <c r="L109" s="88" t="n">
        <f aca="false">MAX(L108,J109-K109)</f>
        <v>11418.6200913242</v>
      </c>
      <c r="M109" s="88" t="n">
        <f aca="false">L109-L108</f>
        <v>49.5666666666675</v>
      </c>
      <c r="N109" s="88" t="n">
        <f aca="false">IF(B109=2026,INDEX($C$4:$Q$4,1,B109-2025)*$AO$4*C109/MAX(0.0001,12-$AO$3),INDEX($C$4:$Q$4,1,B109-2025)/12)</f>
        <v>5.47724540066293</v>
      </c>
      <c r="O109" s="88" t="n">
        <f aca="false">$AO$6*$AC$4/12</f>
        <v>-0.00833333333333333</v>
      </c>
      <c r="P109" s="88" t="n">
        <f aca="false">N109+P108</f>
        <v>601.832653460331</v>
      </c>
      <c r="Q109" s="88" t="n">
        <f aca="false">O109+Q108</f>
        <v>398.016666666667</v>
      </c>
      <c r="R109" s="88" t="n">
        <f aca="false">MAX(R108,P109-Q109)</f>
        <v>203.815986793664</v>
      </c>
      <c r="S109" s="88" t="n">
        <f aca="false">R109-R108</f>
        <v>5.48557873399625</v>
      </c>
      <c r="T109" s="88" t="n">
        <f aca="false">IF(B109=2026,INDEX($C$5:$Q$5,1,B109-2025)*$AO$4*C109/MAX(0.0001,12-$AO$3),INDEX($C$5:$Q$5,1,B109-2025)/12)</f>
        <v>22.2615024358139</v>
      </c>
      <c r="U109" s="88" t="n">
        <f aca="false">$AO$6*$AC$5/12</f>
        <v>0.00833333333333333</v>
      </c>
      <c r="V109" s="88" t="n">
        <f aca="false">T109+V108</f>
        <v>2446.06514788217</v>
      </c>
      <c r="W109" s="88" t="n">
        <f aca="false">U109+W108</f>
        <v>1114.98333333333</v>
      </c>
      <c r="X109" s="88" t="n">
        <f aca="false">MAX(X108,V109-W109)</f>
        <v>1331.08181454884</v>
      </c>
      <c r="Y109" s="88" t="n">
        <f aca="false">X109-X108</f>
        <v>22.2531691024803</v>
      </c>
      <c r="Z109" s="88" t="n">
        <f aca="false">IF(B109=2026,INDEX($C$6:$Q$6,1,B109-2025)*$AO$4*C109/MAX(0.0001,12-$AO$3),INDEX($C$6:$Q$6,1,B109-2025)/12)</f>
        <v>26.4114629913323</v>
      </c>
      <c r="AA109" s="88" t="n">
        <f aca="false">$AO$6*$AC$6/12</f>
        <v>74.3083333333333</v>
      </c>
      <c r="AB109" s="88" t="n">
        <f aca="false">Z109+AB108</f>
        <v>2902.05745609261</v>
      </c>
      <c r="AC109" s="88" t="n">
        <f aca="false">AA109+AC108</f>
        <v>2045.38333333334</v>
      </c>
      <c r="AD109" s="88" t="n">
        <f aca="false">MAX(AD108,AB109-AC109)</f>
        <v>1335.64282617929</v>
      </c>
      <c r="AE109" s="88" t="n">
        <f aca="false">AD109-AD108</f>
        <v>0</v>
      </c>
      <c r="AF109" s="88" t="n">
        <f aca="false">IF(B109=2026,INDEX($C$7:$Q$7,1,B109-2025)*$AO$4*C109/MAX(0.0001,12-$AO$3),INDEX($C$7:$Q$7,1,B109-2025)/12)</f>
        <v>22.9427081739175</v>
      </c>
      <c r="AG109" s="88" t="n">
        <f aca="false">$AO$6*$AC$7/12</f>
        <v>12.725</v>
      </c>
      <c r="AH109" s="88" t="n">
        <f aca="false">AF109+AH108</f>
        <v>2520.91515494332</v>
      </c>
      <c r="AI109" s="88" t="n">
        <f aca="false">AG109+AI108</f>
        <v>800.55</v>
      </c>
      <c r="AJ109" s="88" t="n">
        <f aca="false">MAX(AJ108,AH109-AI109)</f>
        <v>1720.36515494332</v>
      </c>
      <c r="AK109" s="88" t="n">
        <f aca="false">AJ109-AJ108</f>
        <v>10.2177081739171</v>
      </c>
      <c r="AL109" s="88" t="n">
        <f aca="false">IF(B109=2026,INDEX($C$8:$Q$8,1,B109-2025)*$AO$4*C109/MAX(0.0001,12-$AO$3),INDEX($C$8:$Q$8,1,B109-2025)/12)</f>
        <v>5.80342126052833</v>
      </c>
      <c r="AM109" s="88" t="n">
        <f aca="false">$AO$6*$AC$8/12</f>
        <v>0</v>
      </c>
      <c r="AN109" s="88" t="n">
        <f aca="false">AL109+AN108</f>
        <v>637.672435846883</v>
      </c>
      <c r="AO109" s="88" t="n">
        <f aca="false">AM109+AO108</f>
        <v>66</v>
      </c>
      <c r="AP109" s="88" t="n">
        <f aca="false">MAX(AP108,AN109-AO109)</f>
        <v>571.672435846883</v>
      </c>
      <c r="AQ109" s="88" t="n">
        <f aca="false">AP109-AP108</f>
        <v>5.80342126052835</v>
      </c>
      <c r="AR109" s="88" t="n">
        <f aca="false">IF(B109=2026,INDEX($C$9:$Q$9,1,B109-2025)*$AO$4*C109/MAX(0.0001,12-$AO$3),INDEX($C$9:$Q$9,1,B109-2025)/12)</f>
        <v>24.7454570609428</v>
      </c>
      <c r="AS109" s="88" t="n">
        <f aca="false">$AO$6*$AC$9/12</f>
        <v>18.7333333333333</v>
      </c>
      <c r="AT109" s="88" t="n">
        <f aca="false">AR109+AT108</f>
        <v>2718.99887528746</v>
      </c>
      <c r="AU109" s="88" t="n">
        <f aca="false">AS109+AU108</f>
        <v>1772.53333333333</v>
      </c>
      <c r="AV109" s="88" t="n">
        <f aca="false">MAX(AV108,AT109-AU109)</f>
        <v>946.465541954125</v>
      </c>
      <c r="AW109" s="88" t="n">
        <f aca="false">AV109-AV108</f>
        <v>6.01212372760961</v>
      </c>
      <c r="AX109" s="88" t="n">
        <f aca="false">IF(B109=2026,INDEX($C$10:$Q$10,1,B109-2025)*$AO$4*C109/MAX(0.0001,12-$AO$3),INDEX($C$10:$Q$10,1,B109-2025)/12)</f>
        <v>2.87034756681557</v>
      </c>
      <c r="AY109" s="88" t="n">
        <f aca="false">$AO$6*$AC$10/12</f>
        <v>0</v>
      </c>
      <c r="AZ109" s="88" t="n">
        <f aca="false">AX109+AZ108</f>
        <v>315.390085001657</v>
      </c>
      <c r="BA109" s="88" t="n">
        <f aca="false">AY109+BA108</f>
        <v>50</v>
      </c>
      <c r="BB109" s="88" t="n">
        <f aca="false">MAX(BB108,AZ109-BA109)</f>
        <v>265.390085001657</v>
      </c>
      <c r="BC109" s="88" t="n">
        <f aca="false">BB109-BB108</f>
        <v>2.87034756681555</v>
      </c>
      <c r="BD109" s="88" t="n">
        <f aca="false">IF(B109=2026,INDEX($C$11:$Q$11,1,B109-2025)*$AO$4*C109/MAX(0.0001,12-$AO$3),INDEX($C$11:$Q$11,1,B109-2025)/12)</f>
        <v>14.2639212564218</v>
      </c>
      <c r="BE109" s="88" t="n">
        <f aca="false">$AO$6*$AC$11/12</f>
        <v>0</v>
      </c>
      <c r="BF109" s="88" t="n">
        <f aca="false">BD109+BF108</f>
        <v>1567.3012528273</v>
      </c>
      <c r="BG109" s="88" t="n">
        <f aca="false">BE109+BG108</f>
        <v>240</v>
      </c>
      <c r="BH109" s="88" t="n">
        <f aca="false">MAX(BH108,BF109-BG109)</f>
        <v>1327.3012528273</v>
      </c>
      <c r="BI109" s="88" t="n">
        <f aca="false">BH109-BH108</f>
        <v>14.2639212564218</v>
      </c>
      <c r="BJ109" s="88" t="n">
        <f aca="false">IF(B109=2026,INDEX($C$12:$Q$12,1,B109-2025)*$AO$4*C109/MAX(0.0001,12-$AO$3),INDEX($C$12:$Q$12,1,B109-2025)/12)</f>
        <v>7.82069350154207</v>
      </c>
      <c r="BK109" s="88" t="n">
        <f aca="false">$AO$6*$AC$12/12</f>
        <v>25.3333333333333</v>
      </c>
      <c r="BL109" s="88" t="n">
        <f aca="false">BJ109+BL108</f>
        <v>859.327705376021</v>
      </c>
      <c r="BM109" s="88" t="n">
        <f aca="false">BK109+BM108</f>
        <v>414.333333333333</v>
      </c>
      <c r="BN109" s="88" t="n">
        <f aca="false">MAX(BN108,BL109-BM109)</f>
        <v>620.1207703606</v>
      </c>
      <c r="BO109" s="88" t="n">
        <f aca="false">BN109-BN108</f>
        <v>0</v>
      </c>
      <c r="BP109" s="88" t="n">
        <f aca="false">IF(B109=2026,INDEX($C$13:$Q$13,1,B109-2025)*$AO$4*C109/MAX(0.0001,12-$AO$3),INDEX($C$13:$Q$13,1,B109-2025)/12)</f>
        <v>2.44394688559256</v>
      </c>
      <c r="BQ109" s="88" t="n">
        <f aca="false">$AO$6*$AC$13/12</f>
        <v>0</v>
      </c>
      <c r="BR109" s="88" t="n">
        <f aca="false">BP109+BR108</f>
        <v>268.537728635321</v>
      </c>
      <c r="BS109" s="88" t="n">
        <f aca="false">BQ109+BS108</f>
        <v>87</v>
      </c>
      <c r="BT109" s="88" t="n">
        <f aca="false">MAX(BT108,BR109-BS109)</f>
        <v>181.537728635321</v>
      </c>
      <c r="BU109" s="88" t="n">
        <f aca="false">BT109-BT108</f>
        <v>2.44394688559254</v>
      </c>
      <c r="BV109" s="88" t="n">
        <f aca="false">IF(B109=2026,INDEX($C$14:$Q$14,1,B109-2025)*$AO$4*C109/MAX(0.0001,12-$AO$3),INDEX($C$14:$Q$14,1,B109-2025)/12)</f>
        <v>1.449513325248</v>
      </c>
      <c r="BW109" s="88" t="n">
        <f aca="false">$AO$6*$AC$14/12</f>
        <v>0</v>
      </c>
      <c r="BX109" s="88" t="n">
        <f aca="false">BV109+BX108</f>
        <v>159.270652845777</v>
      </c>
      <c r="BY109" s="88" t="n">
        <f aca="false">BW109+BY108</f>
        <v>0</v>
      </c>
      <c r="BZ109" s="88" t="n">
        <f aca="false">MAX(BZ108,BX109-BY109)</f>
        <v>159.270652845777</v>
      </c>
      <c r="CA109" s="88" t="n">
        <f aca="false">BZ109-BZ108</f>
        <v>1.44951332524801</v>
      </c>
      <c r="CB109" s="88" t="n">
        <f aca="false">IF(B109=2026,INDEX($C$15:$Q$15,1,B109-2025)*$AO$4*C109/MAX(0.0001,12-$AO$3),INDEX($C$15:$Q$15,1,B109-2025)/12)</f>
        <v>2.37652766116242</v>
      </c>
      <c r="CC109" s="88" t="n">
        <f aca="false">$AO$6*$AC$15/12</f>
        <v>0</v>
      </c>
      <c r="CD109" s="88" t="n">
        <f aca="false">CB109+CD108</f>
        <v>261.129791293657</v>
      </c>
      <c r="CE109" s="88" t="n">
        <f aca="false">CC109+CE108</f>
        <v>88.0000000000001</v>
      </c>
      <c r="CF109" s="88" t="n">
        <f aca="false">MAX(CF108,CD109-CE109)</f>
        <v>173.129791293657</v>
      </c>
      <c r="CG109" s="88" t="n">
        <f aca="false">CF109-CF108</f>
        <v>2.37652766116241</v>
      </c>
      <c r="CH109" s="88" t="n">
        <f aca="false">IF(B109=2026,INDEX($C$16:$Q$16,1,B109-2025)*$AO$4*C109/MAX(0.0001,12-$AO$3),INDEX($C$16:$Q$16,1,B109-2025)/12)</f>
        <v>1.87931088099014</v>
      </c>
      <c r="CI109" s="88" t="n">
        <f aca="false">$AO$6*$AC$16/12</f>
        <v>0</v>
      </c>
      <c r="CJ109" s="88" t="n">
        <f aca="false">CH109+CJ108</f>
        <v>206.496253398885</v>
      </c>
      <c r="CK109" s="88" t="n">
        <f aca="false">CI109+CK108</f>
        <v>70</v>
      </c>
      <c r="CL109" s="88" t="n">
        <f aca="false">MAX(CL108,CJ109-CK109)</f>
        <v>136.496253398885</v>
      </c>
      <c r="CM109" s="88" t="n">
        <f aca="false">CL109-CL108</f>
        <v>1.87931088099015</v>
      </c>
      <c r="CN109" s="88" t="n">
        <f aca="false">IF(B109=2026,INDEX($C$17:$Q$17,1,B109-2025)*$AO$4*C109/MAX(0.0001,12-$AO$3),INDEX($C$17:$Q$17,1,B109-2025)/12)</f>
        <v>8.1830083652082</v>
      </c>
      <c r="CO109" s="88" t="n">
        <f aca="false">$AO$6*$AC$17/12</f>
        <v>0</v>
      </c>
      <c r="CP109" s="88" t="n">
        <f aca="false">CN109+CP108</f>
        <v>899.138394844474</v>
      </c>
      <c r="CQ109" s="88" t="n">
        <f aca="false">CO109+CQ108</f>
        <v>221</v>
      </c>
      <c r="CR109" s="88" t="n">
        <f aca="false">MAX(CR108,CP109-CQ109)</f>
        <v>678.138394844474</v>
      </c>
      <c r="CS109" s="88" t="n">
        <f aca="false">CR109-CR108</f>
        <v>8.18300836520825</v>
      </c>
      <c r="CT109" s="88" t="n">
        <f aca="false">IF(B109=2026,INDEX($C$18:$Q$18,1,B109-2025)*$AO$4*C109/MAX(0.0001,12-$AO$3),INDEX($C$18:$Q$18,1,B109-2025)/12)</f>
        <v>1.70233541686103</v>
      </c>
      <c r="CU109" s="88" t="n">
        <f aca="false">$AO$6*$AC$18/12</f>
        <v>0</v>
      </c>
      <c r="CV109" s="88" t="n">
        <f aca="false">CT109+CV108</f>
        <v>187.050417877017</v>
      </c>
      <c r="CW109" s="88" t="n">
        <f aca="false">CU109+CW108</f>
        <v>11</v>
      </c>
      <c r="CX109" s="88" t="n">
        <f aca="false">MAX(CX108,CV109-CW109)</f>
        <v>176.050417877017</v>
      </c>
      <c r="CY109" s="88" t="n">
        <f aca="false">CX109-CX108</f>
        <v>1.70233541686102</v>
      </c>
      <c r="CZ109" s="88" t="n">
        <f aca="false">IF(B109=2026,INDEX($C$19:$Q$19,1,B109-2025)*$AO$4*C109/MAX(0.0001,12-$AO$3),INDEX($C$19:$Q$19,1,B109-2025)/12)</f>
        <v>1.68548061075349</v>
      </c>
      <c r="DA109" s="88" t="n">
        <f aca="false">$AO$6*$AC$19/12</f>
        <v>0</v>
      </c>
      <c r="DB109" s="88" t="n">
        <f aca="false">CZ109+DB108</f>
        <v>185.198433541601</v>
      </c>
      <c r="DC109" s="88" t="n">
        <f aca="false">DA109+DC108</f>
        <v>226</v>
      </c>
      <c r="DD109" s="88" t="n">
        <f aca="false">MAX(DD108,DB109-DC109)</f>
        <v>37.132124495359</v>
      </c>
      <c r="DE109" s="88" t="n">
        <f aca="false">DD109-DD108</f>
        <v>0</v>
      </c>
      <c r="DF109" s="88" t="n">
        <f aca="false">IF(B109=2026,INDEX($C$20:$Q$20,1,B109-2025)*$AO$4*C109/MAX(0.0001,12-$AO$3),INDEX($C$20:$Q$20,1,B109-2025)/12)</f>
        <v>1.37366669776409</v>
      </c>
      <c r="DG109" s="88" t="n">
        <f aca="false">$AO$6*$AC$20/12</f>
        <v>0</v>
      </c>
      <c r="DH109" s="88" t="n">
        <f aca="false">DF109+DH108</f>
        <v>150.936723336405</v>
      </c>
      <c r="DI109" s="88" t="n">
        <f aca="false">DG109+DI108</f>
        <v>0</v>
      </c>
      <c r="DJ109" s="88" t="n">
        <f aca="false">MAX(DJ108,DH109-DI109)</f>
        <v>150.936723336405</v>
      </c>
      <c r="DK109" s="88" t="n">
        <f aca="false">DJ109-DJ108</f>
        <v>1.37366669776409</v>
      </c>
      <c r="DL109" s="88" t="n">
        <f aca="false">IF(B109=2026,INDEX($C$21:$Q$21,1,B109-2025)*$AO$4*C109/MAX(0.0001,12-$AO$3),INDEX($C$21:$Q$21,1,B109-2025)/12)</f>
        <v>0.96072394812949</v>
      </c>
      <c r="DM109" s="88" t="n">
        <f aca="false">$AO$6*$AC$21/12</f>
        <v>0</v>
      </c>
      <c r="DN109" s="88" t="n">
        <f aca="false">DL109+DN108</f>
        <v>105.563107118712</v>
      </c>
      <c r="DO109" s="88" t="n">
        <f aca="false">DM109+DO108</f>
        <v>100</v>
      </c>
      <c r="DP109" s="88" t="n">
        <f aca="false">MAX(DP108,DN109-DO109)</f>
        <v>17.7483109623547</v>
      </c>
      <c r="DQ109" s="88" t="n">
        <f aca="false">DP109-DP108</f>
        <v>0</v>
      </c>
      <c r="DR109" s="88" t="n">
        <f aca="false">IF(B109=2026,INDEX($C$22:$Q$22,1,B109-2025)*$AO$4*C109/MAX(0.0001,12-$AO$3),INDEX($C$22:$Q$22,1,B109-2025)/12)</f>
        <v>0.750038871785304</v>
      </c>
      <c r="DS109" s="88" t="n">
        <f aca="false">$AO$6*$AC$22/12</f>
        <v>0</v>
      </c>
      <c r="DT109" s="88" t="n">
        <f aca="false">DR109+DT108</f>
        <v>82.4133029260124</v>
      </c>
      <c r="DU109" s="88" t="n">
        <f aca="false">DS109+DU108</f>
        <v>29</v>
      </c>
      <c r="DV109" s="88" t="n">
        <f aca="false">MAX(DV108,DT109-DU109)</f>
        <v>53.4133029260124</v>
      </c>
      <c r="DW109" s="88" t="n">
        <f aca="false">DV109-DV108</f>
        <v>0.750038871785307</v>
      </c>
      <c r="DX109" s="88" t="n">
        <f aca="false">IF(B109=2026,INDEX($C$23:$Q$23,1,B109-2025)*$AO$4*C109/MAX(0.0001,12-$AO$3),INDEX($C$23:$Q$23,1,B109-2025)/12)</f>
        <v>1.20511863668875</v>
      </c>
      <c r="DY109" s="88" t="n">
        <f aca="false">$AO$6*$AC$23/12</f>
        <v>0</v>
      </c>
      <c r="DZ109" s="88" t="n">
        <f aca="false">DX109+DZ108</f>
        <v>132.416879982245</v>
      </c>
      <c r="EA109" s="88" t="n">
        <f aca="false">DY109+EA108</f>
        <v>121</v>
      </c>
      <c r="EB109" s="88" t="n">
        <f aca="false">MAX(EB108,DZ109-EA109)</f>
        <v>35.0579690141817</v>
      </c>
      <c r="EC109" s="88" t="n">
        <f aca="false">EB109-EB108</f>
        <v>0</v>
      </c>
      <c r="ED109" s="88" t="n">
        <f aca="false">IF(B109=2026,INDEX($C$24:$Q$24,1,B109-2025)*$AO$4*C109/MAX(0.0001,12-$AO$3),INDEX($C$24:$Q$24,1,B109-2025)/12)</f>
        <v>0.741611468731536</v>
      </c>
      <c r="EE109" s="88" t="n">
        <f aca="false">$AO$6*$AC$24/12</f>
        <v>0</v>
      </c>
      <c r="EF109" s="88" t="n">
        <f aca="false">ED109+EF108</f>
        <v>81.4873107583044</v>
      </c>
      <c r="EG109" s="88" t="n">
        <f aca="false">EE109+EG108</f>
        <v>0</v>
      </c>
      <c r="EH109" s="88" t="n">
        <f aca="false">MAX(EH108,EF109-EG109)</f>
        <v>81.4873107583044</v>
      </c>
      <c r="EI109" s="88" t="n">
        <f aca="false">EH109-EH108</f>
        <v>0.741611468731534</v>
      </c>
      <c r="EJ109" s="88" t="n">
        <f aca="false">IF(B109=2026,INDEX($C$25:$Q$25,1,B109-2025)*$AO$4*C109/MAX(0.0001,12-$AO$3),INDEX($C$25:$Q$25,1,B109-2025)/12)</f>
        <v>0.943869142021955</v>
      </c>
      <c r="EK109" s="88" t="n">
        <f aca="false">$AO$6*$AC$25/12</f>
        <v>0</v>
      </c>
      <c r="EL109" s="88" t="n">
        <f aca="false">EJ109+EL108</f>
        <v>103.711122783297</v>
      </c>
      <c r="EM109" s="88" t="n">
        <f aca="false">EK109+EM108</f>
        <v>14</v>
      </c>
      <c r="EN109" s="88" t="n">
        <f aca="false">MAX(EN108,EL109-EM109)</f>
        <v>89.7111227832966</v>
      </c>
      <c r="EO109" s="88" t="n">
        <f aca="false">EN109-EN108</f>
        <v>0.943869142021953</v>
      </c>
      <c r="EP109" s="88" t="n">
        <f aca="false">IF(B109=2026,INDEX($C$26:$Q$26,1,B109-2025)*$AO$4*C109/MAX(0.0001,12-$AO$3),INDEX($C$26:$Q$26,1,B109-2025)/12)</f>
        <v>1.35681189165656</v>
      </c>
      <c r="EQ109" s="88" t="n">
        <f aca="false">$AO$6*$AC$26/12</f>
        <v>0</v>
      </c>
      <c r="ER109" s="88" t="n">
        <f aca="false">EP109+ER108</f>
        <v>149.084739000989</v>
      </c>
      <c r="ES109" s="88" t="n">
        <f aca="false">EQ109+ES108</f>
        <v>4</v>
      </c>
      <c r="ET109" s="88" t="n">
        <f aca="false">MAX(ET108,ER109-ES109)</f>
        <v>145.084739000989</v>
      </c>
      <c r="EU109" s="88" t="n">
        <f aca="false">ET109-ET108</f>
        <v>1.35681189165655</v>
      </c>
      <c r="EV109" s="88" t="n">
        <f aca="false">IF(B109=2026,INDEX($C$27:$Q$27,1,B109-2025)*$AO$4*C109/MAX(0.0001,12-$AO$3),INDEX($C$27:$Q$27,1,B109-2025)/12)</f>
        <v>3.37096122150698</v>
      </c>
      <c r="EW109" s="88" t="n">
        <f aca="false">$AO$6*$AC$27/12</f>
        <v>0</v>
      </c>
      <c r="EX109" s="88" t="n">
        <f aca="false">EV109+EX108</f>
        <v>370.396867083202</v>
      </c>
      <c r="EY109" s="88" t="n">
        <f aca="false">EW109+EY108</f>
        <v>391</v>
      </c>
      <c r="EZ109" s="88" t="n">
        <f aca="false">MAX(EZ108,EX109-EY109)</f>
        <v>0</v>
      </c>
      <c r="FA109" s="88" t="n">
        <f aca="false">EZ109-EZ108</f>
        <v>0</v>
      </c>
      <c r="FB109" s="88" t="n">
        <f aca="false">IF(B109=2026,INDEX($C$28:$Q$28,1,B109-2025)*$AO$4*C109/MAX(0.0001,12-$AO$3),INDEX($C$28:$Q$28,1,B109-2025)/12)</f>
        <v>17.646981994589</v>
      </c>
      <c r="FC109" s="88" t="n">
        <f aca="false">$AO$6*$AC$28/12</f>
        <v>0</v>
      </c>
      <c r="FD109" s="88" t="n">
        <f aca="false">FB109+FD108</f>
        <v>1939.02759918056</v>
      </c>
      <c r="FE109" s="88" t="n">
        <f aca="false">FC109+FE108</f>
        <v>169</v>
      </c>
      <c r="FF109" s="88" t="n">
        <f aca="false">MAX(FF108,FD109-FE109)</f>
        <v>1770.02759918056</v>
      </c>
      <c r="FG109" s="88" t="n">
        <f aca="false">FF109-FF108</f>
        <v>17.6469819945889</v>
      </c>
    </row>
    <row r="110" customFormat="false" ht="15" hidden="false" customHeight="false" outlineLevel="0" collapsed="false">
      <c r="A110" s="0" t="n">
        <v>70</v>
      </c>
      <c r="B110" s="88" t="n">
        <f aca="false">2026+INT(A110/12)</f>
        <v>2031</v>
      </c>
      <c r="C110" s="88" t="n">
        <f aca="false">MAX(0,MIN(1,A110+1-$AO$3))</f>
        <v>1</v>
      </c>
      <c r="D110" s="88" t="n">
        <f aca="false">IF((A110+0.5-(0))&lt;$AO$3,0,2026+INT((A110+0.5-(0))/12))</f>
        <v>2031</v>
      </c>
      <c r="E110" s="88" t="n">
        <f aca="false">IF((A110+0.5-($AO$9))&lt;$AO$3,0,2026+INT((A110+0.5-($AO$9))/12))</f>
        <v>2030</v>
      </c>
      <c r="F110" s="88" t="n">
        <f aca="false">IF((A110+0.5-($AO$9+$AO$8))&lt;$AO$3,0,2026+INT((A110+0.5-($AO$9+$AO$8))/12))</f>
        <v>2029</v>
      </c>
      <c r="G110" s="88" t="n">
        <f aca="false">IF((A110+0.5-($AO$9+$AO$8+$AO$7))&lt;$AO$3,0,2026+INT((A110+0.5-($AO$9+$AO$8+$AO$7))/12))</f>
        <v>2028</v>
      </c>
      <c r="H110" s="88" t="n">
        <f aca="false">IF(B110=2026,INDEX($C$3:$Q$3,1,B110-2025)*$AO$4*C110/MAX(0.0001,12-$AO$3),INDEX($C$3:$Q$3,1,B110-2025)/12)</f>
        <v>180.666666666667</v>
      </c>
      <c r="I110" s="88" t="n">
        <f aca="false">$AO$6*$AC$3/12</f>
        <v>131.1</v>
      </c>
      <c r="J110" s="88" t="n">
        <f aca="false">H110+J109</f>
        <v>20032.0867579909</v>
      </c>
      <c r="K110" s="88" t="n">
        <f aca="false">I110+K109</f>
        <v>8563.90000000001</v>
      </c>
      <c r="L110" s="88" t="n">
        <f aca="false">MAX(L109,J110-K110)</f>
        <v>11468.1867579909</v>
      </c>
      <c r="M110" s="88" t="n">
        <f aca="false">L110-L109</f>
        <v>49.5666666666675</v>
      </c>
      <c r="N110" s="88" t="n">
        <f aca="false">IF(B110=2026,INDEX($C$4:$Q$4,1,B110-2025)*$AO$4*C110/MAX(0.0001,12-$AO$3),INDEX($C$4:$Q$4,1,B110-2025)/12)</f>
        <v>5.47724540066293</v>
      </c>
      <c r="O110" s="88" t="n">
        <f aca="false">$AO$6*$AC$4/12</f>
        <v>-0.00833333333333333</v>
      </c>
      <c r="P110" s="88" t="n">
        <f aca="false">N110+P109</f>
        <v>607.309898860994</v>
      </c>
      <c r="Q110" s="88" t="n">
        <f aca="false">O110+Q109</f>
        <v>398.008333333333</v>
      </c>
      <c r="R110" s="88" t="n">
        <f aca="false">MAX(R109,P110-Q110)</f>
        <v>209.301565527661</v>
      </c>
      <c r="S110" s="88" t="n">
        <f aca="false">R110-R109</f>
        <v>5.48557873399625</v>
      </c>
      <c r="T110" s="88" t="n">
        <f aca="false">IF(B110=2026,INDEX($C$5:$Q$5,1,B110-2025)*$AO$4*C110/MAX(0.0001,12-$AO$3),INDEX($C$5:$Q$5,1,B110-2025)/12)</f>
        <v>22.2615024358139</v>
      </c>
      <c r="U110" s="88" t="n">
        <f aca="false">$AO$6*$AC$5/12</f>
        <v>0.00833333333333333</v>
      </c>
      <c r="V110" s="88" t="n">
        <f aca="false">T110+V109</f>
        <v>2468.32665031798</v>
      </c>
      <c r="W110" s="88" t="n">
        <f aca="false">U110+W109</f>
        <v>1114.99166666667</v>
      </c>
      <c r="X110" s="88" t="n">
        <f aca="false">MAX(X109,V110-W110)</f>
        <v>1353.33498365132</v>
      </c>
      <c r="Y110" s="88" t="n">
        <f aca="false">X110-X109</f>
        <v>22.2531691024803</v>
      </c>
      <c r="Z110" s="88" t="n">
        <f aca="false">IF(B110=2026,INDEX($C$6:$Q$6,1,B110-2025)*$AO$4*C110/MAX(0.0001,12-$AO$3),INDEX($C$6:$Q$6,1,B110-2025)/12)</f>
        <v>26.4114629913323</v>
      </c>
      <c r="AA110" s="88" t="n">
        <f aca="false">$AO$6*$AC$6/12</f>
        <v>74.3083333333333</v>
      </c>
      <c r="AB110" s="88" t="n">
        <f aca="false">Z110+AB109</f>
        <v>2928.46891908395</v>
      </c>
      <c r="AC110" s="88" t="n">
        <f aca="false">AA110+AC109</f>
        <v>2119.69166666667</v>
      </c>
      <c r="AD110" s="88" t="n">
        <f aca="false">MAX(AD109,AB110-AC110)</f>
        <v>1335.64282617929</v>
      </c>
      <c r="AE110" s="88" t="n">
        <f aca="false">AD110-AD109</f>
        <v>0</v>
      </c>
      <c r="AF110" s="88" t="n">
        <f aca="false">IF(B110=2026,INDEX($C$7:$Q$7,1,B110-2025)*$AO$4*C110/MAX(0.0001,12-$AO$3),INDEX($C$7:$Q$7,1,B110-2025)/12)</f>
        <v>22.9427081739175</v>
      </c>
      <c r="AG110" s="88" t="n">
        <f aca="false">$AO$6*$AC$7/12</f>
        <v>12.725</v>
      </c>
      <c r="AH110" s="88" t="n">
        <f aca="false">AF110+AH109</f>
        <v>2543.85786311723</v>
      </c>
      <c r="AI110" s="88" t="n">
        <f aca="false">AG110+AI109</f>
        <v>813.275</v>
      </c>
      <c r="AJ110" s="88" t="n">
        <f aca="false">MAX(AJ109,AH110-AI110)</f>
        <v>1730.58286311723</v>
      </c>
      <c r="AK110" s="88" t="n">
        <f aca="false">AJ110-AJ109</f>
        <v>10.2177081739173</v>
      </c>
      <c r="AL110" s="88" t="n">
        <f aca="false">IF(B110=2026,INDEX($C$8:$Q$8,1,B110-2025)*$AO$4*C110/MAX(0.0001,12-$AO$3),INDEX($C$8:$Q$8,1,B110-2025)/12)</f>
        <v>5.80342126052833</v>
      </c>
      <c r="AM110" s="88" t="n">
        <f aca="false">$AO$6*$AC$8/12</f>
        <v>0</v>
      </c>
      <c r="AN110" s="88" t="n">
        <f aca="false">AL110+AN109</f>
        <v>643.475857107411</v>
      </c>
      <c r="AO110" s="88" t="n">
        <f aca="false">AM110+AO109</f>
        <v>66</v>
      </c>
      <c r="AP110" s="88" t="n">
        <f aca="false">MAX(AP109,AN110-AO110)</f>
        <v>577.475857107411</v>
      </c>
      <c r="AQ110" s="88" t="n">
        <f aca="false">AP110-AP109</f>
        <v>5.80342126052835</v>
      </c>
      <c r="AR110" s="88" t="n">
        <f aca="false">IF(B110=2026,INDEX($C$9:$Q$9,1,B110-2025)*$AO$4*C110/MAX(0.0001,12-$AO$3),INDEX($C$9:$Q$9,1,B110-2025)/12)</f>
        <v>24.7454570609428</v>
      </c>
      <c r="AS110" s="88" t="n">
        <f aca="false">$AO$6*$AC$9/12</f>
        <v>18.7333333333333</v>
      </c>
      <c r="AT110" s="88" t="n">
        <f aca="false">AR110+AT109</f>
        <v>2743.7443323484</v>
      </c>
      <c r="AU110" s="88" t="n">
        <f aca="false">AS110+AU109</f>
        <v>1791.26666666667</v>
      </c>
      <c r="AV110" s="88" t="n">
        <f aca="false">MAX(AV109,AT110-AU110)</f>
        <v>952.477665681735</v>
      </c>
      <c r="AW110" s="88" t="n">
        <f aca="false">AV110-AV109</f>
        <v>6.01212372760961</v>
      </c>
      <c r="AX110" s="88" t="n">
        <f aca="false">IF(B110=2026,INDEX($C$10:$Q$10,1,B110-2025)*$AO$4*C110/MAX(0.0001,12-$AO$3),INDEX($C$10:$Q$10,1,B110-2025)/12)</f>
        <v>2.87034756681557</v>
      </c>
      <c r="AY110" s="88" t="n">
        <f aca="false">$AO$6*$AC$10/12</f>
        <v>0</v>
      </c>
      <c r="AZ110" s="88" t="n">
        <f aca="false">AX110+AZ109</f>
        <v>318.260432568473</v>
      </c>
      <c r="BA110" s="88" t="n">
        <f aca="false">AY110+BA109</f>
        <v>50</v>
      </c>
      <c r="BB110" s="88" t="n">
        <f aca="false">MAX(BB109,AZ110-BA110)</f>
        <v>268.260432568473</v>
      </c>
      <c r="BC110" s="88" t="n">
        <f aca="false">BB110-BB109</f>
        <v>2.87034756681555</v>
      </c>
      <c r="BD110" s="88" t="n">
        <f aca="false">IF(B110=2026,INDEX($C$11:$Q$11,1,B110-2025)*$AO$4*C110/MAX(0.0001,12-$AO$3),INDEX($C$11:$Q$11,1,B110-2025)/12)</f>
        <v>14.2639212564218</v>
      </c>
      <c r="BE110" s="88" t="n">
        <f aca="false">$AO$6*$AC$11/12</f>
        <v>0</v>
      </c>
      <c r="BF110" s="88" t="n">
        <f aca="false">BD110+BF109</f>
        <v>1581.56517408372</v>
      </c>
      <c r="BG110" s="88" t="n">
        <f aca="false">BE110+BG109</f>
        <v>240</v>
      </c>
      <c r="BH110" s="88" t="n">
        <f aca="false">MAX(BH109,BF110-BG110)</f>
        <v>1341.56517408372</v>
      </c>
      <c r="BI110" s="88" t="n">
        <f aca="false">BH110-BH109</f>
        <v>14.2639212564218</v>
      </c>
      <c r="BJ110" s="88" t="n">
        <f aca="false">IF(B110=2026,INDEX($C$12:$Q$12,1,B110-2025)*$AO$4*C110/MAX(0.0001,12-$AO$3),INDEX($C$12:$Q$12,1,B110-2025)/12)</f>
        <v>7.82069350154207</v>
      </c>
      <c r="BK110" s="88" t="n">
        <f aca="false">$AO$6*$AC$12/12</f>
        <v>25.3333333333333</v>
      </c>
      <c r="BL110" s="88" t="n">
        <f aca="false">BJ110+BL109</f>
        <v>867.148398877563</v>
      </c>
      <c r="BM110" s="88" t="n">
        <f aca="false">BK110+BM109</f>
        <v>439.666666666667</v>
      </c>
      <c r="BN110" s="88" t="n">
        <f aca="false">MAX(BN109,BL110-BM110)</f>
        <v>620.1207703606</v>
      </c>
      <c r="BO110" s="88" t="n">
        <f aca="false">BN110-BN109</f>
        <v>0</v>
      </c>
      <c r="BP110" s="88" t="n">
        <f aca="false">IF(B110=2026,INDEX($C$13:$Q$13,1,B110-2025)*$AO$4*C110/MAX(0.0001,12-$AO$3),INDEX($C$13:$Q$13,1,B110-2025)/12)</f>
        <v>2.44394688559256</v>
      </c>
      <c r="BQ110" s="88" t="n">
        <f aca="false">$AO$6*$AC$13/12</f>
        <v>0</v>
      </c>
      <c r="BR110" s="88" t="n">
        <f aca="false">BP110+BR109</f>
        <v>270.981675520914</v>
      </c>
      <c r="BS110" s="88" t="n">
        <f aca="false">BQ110+BS109</f>
        <v>87</v>
      </c>
      <c r="BT110" s="88" t="n">
        <f aca="false">MAX(BT109,BR110-BS110)</f>
        <v>183.981675520914</v>
      </c>
      <c r="BU110" s="88" t="n">
        <f aca="false">BT110-BT109</f>
        <v>2.44394688559254</v>
      </c>
      <c r="BV110" s="88" t="n">
        <f aca="false">IF(B110=2026,INDEX($C$14:$Q$14,1,B110-2025)*$AO$4*C110/MAX(0.0001,12-$AO$3),INDEX($C$14:$Q$14,1,B110-2025)/12)</f>
        <v>1.449513325248</v>
      </c>
      <c r="BW110" s="88" t="n">
        <f aca="false">$AO$6*$AC$14/12</f>
        <v>0</v>
      </c>
      <c r="BX110" s="88" t="n">
        <f aca="false">BV110+BX109</f>
        <v>160.720166171025</v>
      </c>
      <c r="BY110" s="88" t="n">
        <f aca="false">BW110+BY109</f>
        <v>0</v>
      </c>
      <c r="BZ110" s="88" t="n">
        <f aca="false">MAX(BZ109,BX110-BY110)</f>
        <v>160.720166171025</v>
      </c>
      <c r="CA110" s="88" t="n">
        <f aca="false">BZ110-BZ109</f>
        <v>1.44951332524801</v>
      </c>
      <c r="CB110" s="88" t="n">
        <f aca="false">IF(B110=2026,INDEX($C$15:$Q$15,1,B110-2025)*$AO$4*C110/MAX(0.0001,12-$AO$3),INDEX($C$15:$Q$15,1,B110-2025)/12)</f>
        <v>2.37652766116242</v>
      </c>
      <c r="CC110" s="88" t="n">
        <f aca="false">$AO$6*$AC$15/12</f>
        <v>0</v>
      </c>
      <c r="CD110" s="88" t="n">
        <f aca="false">CB110+CD109</f>
        <v>263.506318954819</v>
      </c>
      <c r="CE110" s="88" t="n">
        <f aca="false">CC110+CE109</f>
        <v>88.0000000000001</v>
      </c>
      <c r="CF110" s="88" t="n">
        <f aca="false">MAX(CF109,CD110-CE110)</f>
        <v>175.506318954819</v>
      </c>
      <c r="CG110" s="88" t="n">
        <f aca="false">CF110-CF109</f>
        <v>2.37652766116241</v>
      </c>
      <c r="CH110" s="88" t="n">
        <f aca="false">IF(B110=2026,INDEX($C$16:$Q$16,1,B110-2025)*$AO$4*C110/MAX(0.0001,12-$AO$3),INDEX($C$16:$Q$16,1,B110-2025)/12)</f>
        <v>1.87931088099014</v>
      </c>
      <c r="CI110" s="88" t="n">
        <f aca="false">$AO$6*$AC$16/12</f>
        <v>0</v>
      </c>
      <c r="CJ110" s="88" t="n">
        <f aca="false">CH110+CJ109</f>
        <v>208.375564279875</v>
      </c>
      <c r="CK110" s="88" t="n">
        <f aca="false">CI110+CK109</f>
        <v>70</v>
      </c>
      <c r="CL110" s="88" t="n">
        <f aca="false">MAX(CL109,CJ110-CK110)</f>
        <v>138.375564279875</v>
      </c>
      <c r="CM110" s="88" t="n">
        <f aca="false">CL110-CL109</f>
        <v>1.87931088099015</v>
      </c>
      <c r="CN110" s="88" t="n">
        <f aca="false">IF(B110=2026,INDEX($C$17:$Q$17,1,B110-2025)*$AO$4*C110/MAX(0.0001,12-$AO$3),INDEX($C$17:$Q$17,1,B110-2025)/12)</f>
        <v>8.1830083652082</v>
      </c>
      <c r="CO110" s="88" t="n">
        <f aca="false">$AO$6*$AC$17/12</f>
        <v>0</v>
      </c>
      <c r="CP110" s="88" t="n">
        <f aca="false">CN110+CP109</f>
        <v>907.321403209682</v>
      </c>
      <c r="CQ110" s="88" t="n">
        <f aca="false">CO110+CQ109</f>
        <v>221</v>
      </c>
      <c r="CR110" s="88" t="n">
        <f aca="false">MAX(CR109,CP110-CQ110)</f>
        <v>686.321403209682</v>
      </c>
      <c r="CS110" s="88" t="n">
        <f aca="false">CR110-CR109</f>
        <v>8.18300836520825</v>
      </c>
      <c r="CT110" s="88" t="n">
        <f aca="false">IF(B110=2026,INDEX($C$18:$Q$18,1,B110-2025)*$AO$4*C110/MAX(0.0001,12-$AO$3),INDEX($C$18:$Q$18,1,B110-2025)/12)</f>
        <v>1.70233541686103</v>
      </c>
      <c r="CU110" s="88" t="n">
        <f aca="false">$AO$6*$AC$18/12</f>
        <v>0</v>
      </c>
      <c r="CV110" s="88" t="n">
        <f aca="false">CT110+CV109</f>
        <v>188.752753293878</v>
      </c>
      <c r="CW110" s="88" t="n">
        <f aca="false">CU110+CW109</f>
        <v>11</v>
      </c>
      <c r="CX110" s="88" t="n">
        <f aca="false">MAX(CX109,CV110-CW110)</f>
        <v>177.752753293878</v>
      </c>
      <c r="CY110" s="88" t="n">
        <f aca="false">CX110-CX109</f>
        <v>1.70233541686102</v>
      </c>
      <c r="CZ110" s="88" t="n">
        <f aca="false">IF(B110=2026,INDEX($C$19:$Q$19,1,B110-2025)*$AO$4*C110/MAX(0.0001,12-$AO$3),INDEX($C$19:$Q$19,1,B110-2025)/12)</f>
        <v>1.68548061075349</v>
      </c>
      <c r="DA110" s="88" t="n">
        <f aca="false">$AO$6*$AC$19/12</f>
        <v>0</v>
      </c>
      <c r="DB110" s="88" t="n">
        <f aca="false">CZ110+DB109</f>
        <v>186.883914152354</v>
      </c>
      <c r="DC110" s="88" t="n">
        <f aca="false">DA110+DC109</f>
        <v>226</v>
      </c>
      <c r="DD110" s="88" t="n">
        <f aca="false">MAX(DD109,DB110-DC110)</f>
        <v>37.132124495359</v>
      </c>
      <c r="DE110" s="88" t="n">
        <f aca="false">DD110-DD109</f>
        <v>0</v>
      </c>
      <c r="DF110" s="88" t="n">
        <f aca="false">IF(B110=2026,INDEX($C$20:$Q$20,1,B110-2025)*$AO$4*C110/MAX(0.0001,12-$AO$3),INDEX($C$20:$Q$20,1,B110-2025)/12)</f>
        <v>1.37366669776409</v>
      </c>
      <c r="DG110" s="88" t="n">
        <f aca="false">$AO$6*$AC$20/12</f>
        <v>0</v>
      </c>
      <c r="DH110" s="88" t="n">
        <f aca="false">DF110+DH109</f>
        <v>152.310390034169</v>
      </c>
      <c r="DI110" s="88" t="n">
        <f aca="false">DG110+DI109</f>
        <v>0</v>
      </c>
      <c r="DJ110" s="88" t="n">
        <f aca="false">MAX(DJ109,DH110-DI110)</f>
        <v>152.310390034169</v>
      </c>
      <c r="DK110" s="88" t="n">
        <f aca="false">DJ110-DJ109</f>
        <v>1.37366669776409</v>
      </c>
      <c r="DL110" s="88" t="n">
        <f aca="false">IF(B110=2026,INDEX($C$21:$Q$21,1,B110-2025)*$AO$4*C110/MAX(0.0001,12-$AO$3),INDEX($C$21:$Q$21,1,B110-2025)/12)</f>
        <v>0.96072394812949</v>
      </c>
      <c r="DM110" s="88" t="n">
        <f aca="false">$AO$6*$AC$21/12</f>
        <v>0</v>
      </c>
      <c r="DN110" s="88" t="n">
        <f aca="false">DL110+DN109</f>
        <v>106.523831066842</v>
      </c>
      <c r="DO110" s="88" t="n">
        <f aca="false">DM110+DO109</f>
        <v>100</v>
      </c>
      <c r="DP110" s="88" t="n">
        <f aca="false">MAX(DP109,DN110-DO110)</f>
        <v>17.7483109623547</v>
      </c>
      <c r="DQ110" s="88" t="n">
        <f aca="false">DP110-DP109</f>
        <v>0</v>
      </c>
      <c r="DR110" s="88" t="n">
        <f aca="false">IF(B110=2026,INDEX($C$22:$Q$22,1,B110-2025)*$AO$4*C110/MAX(0.0001,12-$AO$3),INDEX($C$22:$Q$22,1,B110-2025)/12)</f>
        <v>0.750038871785304</v>
      </c>
      <c r="DS110" s="88" t="n">
        <f aca="false">$AO$6*$AC$22/12</f>
        <v>0</v>
      </c>
      <c r="DT110" s="88" t="n">
        <f aca="false">DR110+DT109</f>
        <v>83.1633417977977</v>
      </c>
      <c r="DU110" s="88" t="n">
        <f aca="false">DS110+DU109</f>
        <v>29</v>
      </c>
      <c r="DV110" s="88" t="n">
        <f aca="false">MAX(DV109,DT110-DU110)</f>
        <v>54.1633417977978</v>
      </c>
      <c r="DW110" s="88" t="n">
        <f aca="false">DV110-DV109</f>
        <v>0.750038871785307</v>
      </c>
      <c r="DX110" s="88" t="n">
        <f aca="false">IF(B110=2026,INDEX($C$23:$Q$23,1,B110-2025)*$AO$4*C110/MAX(0.0001,12-$AO$3),INDEX($C$23:$Q$23,1,B110-2025)/12)</f>
        <v>1.20511863668875</v>
      </c>
      <c r="DY110" s="88" t="n">
        <f aca="false">$AO$6*$AC$23/12</f>
        <v>0</v>
      </c>
      <c r="DZ110" s="88" t="n">
        <f aca="false">DX110+DZ109</f>
        <v>133.621998618933</v>
      </c>
      <c r="EA110" s="88" t="n">
        <f aca="false">DY110+EA109</f>
        <v>121</v>
      </c>
      <c r="EB110" s="88" t="n">
        <f aca="false">MAX(EB109,DZ110-EA110)</f>
        <v>35.0579690141817</v>
      </c>
      <c r="EC110" s="88" t="n">
        <f aca="false">EB110-EB109</f>
        <v>0</v>
      </c>
      <c r="ED110" s="88" t="n">
        <f aca="false">IF(B110=2026,INDEX($C$24:$Q$24,1,B110-2025)*$AO$4*C110/MAX(0.0001,12-$AO$3),INDEX($C$24:$Q$24,1,B110-2025)/12)</f>
        <v>0.741611468731536</v>
      </c>
      <c r="EE110" s="88" t="n">
        <f aca="false">$AO$6*$AC$24/12</f>
        <v>0</v>
      </c>
      <c r="EF110" s="88" t="n">
        <f aca="false">ED110+EF109</f>
        <v>82.228922227036</v>
      </c>
      <c r="EG110" s="88" t="n">
        <f aca="false">EE110+EG109</f>
        <v>0</v>
      </c>
      <c r="EH110" s="88" t="n">
        <f aca="false">MAX(EH109,EF110-EG110)</f>
        <v>82.228922227036</v>
      </c>
      <c r="EI110" s="88" t="n">
        <f aca="false">EH110-EH109</f>
        <v>0.741611468731534</v>
      </c>
      <c r="EJ110" s="88" t="n">
        <f aca="false">IF(B110=2026,INDEX($C$25:$Q$25,1,B110-2025)*$AO$4*C110/MAX(0.0001,12-$AO$3),INDEX($C$25:$Q$25,1,B110-2025)/12)</f>
        <v>0.943869142021955</v>
      </c>
      <c r="EK110" s="88" t="n">
        <f aca="false">$AO$6*$AC$25/12</f>
        <v>0</v>
      </c>
      <c r="EL110" s="88" t="n">
        <f aca="false">EJ110+EL109</f>
        <v>104.654991925319</v>
      </c>
      <c r="EM110" s="88" t="n">
        <f aca="false">EK110+EM109</f>
        <v>14</v>
      </c>
      <c r="EN110" s="88" t="n">
        <f aca="false">MAX(EN109,EL110-EM110)</f>
        <v>90.6549919253185</v>
      </c>
      <c r="EO110" s="88" t="n">
        <f aca="false">EN110-EN109</f>
        <v>0.943869142021953</v>
      </c>
      <c r="EP110" s="88" t="n">
        <f aca="false">IF(B110=2026,INDEX($C$26:$Q$26,1,B110-2025)*$AO$4*C110/MAX(0.0001,12-$AO$3),INDEX($C$26:$Q$26,1,B110-2025)/12)</f>
        <v>1.35681189165656</v>
      </c>
      <c r="EQ110" s="88" t="n">
        <f aca="false">$AO$6*$AC$26/12</f>
        <v>0</v>
      </c>
      <c r="ER110" s="88" t="n">
        <f aca="false">EP110+ER109</f>
        <v>150.441550892645</v>
      </c>
      <c r="ES110" s="88" t="n">
        <f aca="false">EQ110+ES109</f>
        <v>4</v>
      </c>
      <c r="ET110" s="88" t="n">
        <f aca="false">MAX(ET109,ER110-ES110)</f>
        <v>146.441550892645</v>
      </c>
      <c r="EU110" s="88" t="n">
        <f aca="false">ET110-ET109</f>
        <v>1.35681189165655</v>
      </c>
      <c r="EV110" s="88" t="n">
        <f aca="false">IF(B110=2026,INDEX($C$27:$Q$27,1,B110-2025)*$AO$4*C110/MAX(0.0001,12-$AO$3),INDEX($C$27:$Q$27,1,B110-2025)/12)</f>
        <v>3.37096122150698</v>
      </c>
      <c r="EW110" s="88" t="n">
        <f aca="false">$AO$6*$AC$27/12</f>
        <v>0</v>
      </c>
      <c r="EX110" s="88" t="n">
        <f aca="false">EV110+EX109</f>
        <v>373.767828304709</v>
      </c>
      <c r="EY110" s="88" t="n">
        <f aca="false">EW110+EY109</f>
        <v>391</v>
      </c>
      <c r="EZ110" s="88" t="n">
        <f aca="false">MAX(EZ109,EX110-EY110)</f>
        <v>0</v>
      </c>
      <c r="FA110" s="88" t="n">
        <f aca="false">EZ110-EZ109</f>
        <v>0</v>
      </c>
      <c r="FB110" s="88" t="n">
        <f aca="false">IF(B110=2026,INDEX($C$28:$Q$28,1,B110-2025)*$AO$4*C110/MAX(0.0001,12-$AO$3),INDEX($C$28:$Q$28,1,B110-2025)/12)</f>
        <v>17.646981994589</v>
      </c>
      <c r="FC110" s="88" t="n">
        <f aca="false">$AO$6*$AC$28/12</f>
        <v>0</v>
      </c>
      <c r="FD110" s="88" t="n">
        <f aca="false">FB110+FD109</f>
        <v>1956.67458117515</v>
      </c>
      <c r="FE110" s="88" t="n">
        <f aca="false">FC110+FE109</f>
        <v>169</v>
      </c>
      <c r="FF110" s="88" t="n">
        <f aca="false">MAX(FF109,FD110-FE110)</f>
        <v>1787.67458117515</v>
      </c>
      <c r="FG110" s="88" t="n">
        <f aca="false">FF110-FF109</f>
        <v>17.6469819945889</v>
      </c>
    </row>
    <row r="111" customFormat="false" ht="15" hidden="false" customHeight="false" outlineLevel="0" collapsed="false">
      <c r="A111" s="0" t="n">
        <v>71</v>
      </c>
      <c r="B111" s="88" t="n">
        <f aca="false">2026+INT(A111/12)</f>
        <v>2031</v>
      </c>
      <c r="C111" s="88" t="n">
        <f aca="false">MAX(0,MIN(1,A111+1-$AO$3))</f>
        <v>1</v>
      </c>
      <c r="D111" s="88" t="n">
        <f aca="false">IF((A111+0.5-(0))&lt;$AO$3,0,2026+INT((A111+0.5-(0))/12))</f>
        <v>2031</v>
      </c>
      <c r="E111" s="88" t="n">
        <f aca="false">IF((A111+0.5-($AO$9))&lt;$AO$3,0,2026+INT((A111+0.5-($AO$9))/12))</f>
        <v>2030</v>
      </c>
      <c r="F111" s="88" t="n">
        <f aca="false">IF((A111+0.5-($AO$9+$AO$8))&lt;$AO$3,0,2026+INT((A111+0.5-($AO$9+$AO$8))/12))</f>
        <v>2029</v>
      </c>
      <c r="G111" s="88" t="n">
        <f aca="false">IF((A111+0.5-($AO$9+$AO$8+$AO$7))&lt;$AO$3,0,2026+INT((A111+0.5-($AO$9+$AO$8+$AO$7))/12))</f>
        <v>2029</v>
      </c>
      <c r="H111" s="88" t="n">
        <f aca="false">IF(B111=2026,INDEX($C$3:$Q$3,1,B111-2025)*$AO$4*C111/MAX(0.0001,12-$AO$3),INDEX($C$3:$Q$3,1,B111-2025)/12)</f>
        <v>180.666666666667</v>
      </c>
      <c r="I111" s="88" t="n">
        <f aca="false">$AO$6*$AC$3/12</f>
        <v>131.1</v>
      </c>
      <c r="J111" s="88" t="n">
        <f aca="false">H111+J110</f>
        <v>20212.7534246576</v>
      </c>
      <c r="K111" s="88" t="n">
        <f aca="false">I111+K110</f>
        <v>8695.00000000001</v>
      </c>
      <c r="L111" s="88" t="n">
        <f aca="false">MAX(L110,J111-K111)</f>
        <v>11517.7534246575</v>
      </c>
      <c r="M111" s="88" t="n">
        <f aca="false">L111-L110</f>
        <v>49.5666666666675</v>
      </c>
      <c r="N111" s="88" t="n">
        <f aca="false">IF(B111=2026,INDEX($C$4:$Q$4,1,B111-2025)*$AO$4*C111/MAX(0.0001,12-$AO$3),INDEX($C$4:$Q$4,1,B111-2025)/12)</f>
        <v>5.47724540066293</v>
      </c>
      <c r="O111" s="88" t="n">
        <f aca="false">$AO$6*$AC$4/12</f>
        <v>-0.00833333333333333</v>
      </c>
      <c r="P111" s="88" t="n">
        <f aca="false">N111+P110</f>
        <v>612.787144261657</v>
      </c>
      <c r="Q111" s="88" t="n">
        <f aca="false">O111+Q110</f>
        <v>398</v>
      </c>
      <c r="R111" s="88" t="n">
        <f aca="false">MAX(R110,P111-Q111)</f>
        <v>214.787144261657</v>
      </c>
      <c r="S111" s="88" t="n">
        <f aca="false">R111-R110</f>
        <v>5.48557873399625</v>
      </c>
      <c r="T111" s="88" t="n">
        <f aca="false">IF(B111=2026,INDEX($C$5:$Q$5,1,B111-2025)*$AO$4*C111/MAX(0.0001,12-$AO$3),INDEX($C$5:$Q$5,1,B111-2025)/12)</f>
        <v>22.2615024358139</v>
      </c>
      <c r="U111" s="88" t="n">
        <f aca="false">$AO$6*$AC$5/12</f>
        <v>0.00833333333333333</v>
      </c>
      <c r="V111" s="88" t="n">
        <f aca="false">T111+V110</f>
        <v>2490.5881527538</v>
      </c>
      <c r="W111" s="88" t="n">
        <f aca="false">U111+W110</f>
        <v>1115</v>
      </c>
      <c r="X111" s="88" t="n">
        <f aca="false">MAX(X110,V111-W111)</f>
        <v>1375.5881527538</v>
      </c>
      <c r="Y111" s="88" t="n">
        <f aca="false">X111-X110</f>
        <v>22.2531691024803</v>
      </c>
      <c r="Z111" s="88" t="n">
        <f aca="false">IF(B111=2026,INDEX($C$6:$Q$6,1,B111-2025)*$AO$4*C111/MAX(0.0001,12-$AO$3),INDEX($C$6:$Q$6,1,B111-2025)/12)</f>
        <v>26.4114629913323</v>
      </c>
      <c r="AA111" s="88" t="n">
        <f aca="false">$AO$6*$AC$6/12</f>
        <v>74.3083333333333</v>
      </c>
      <c r="AB111" s="88" t="n">
        <f aca="false">Z111+AB110</f>
        <v>2954.88038207528</v>
      </c>
      <c r="AC111" s="88" t="n">
        <f aca="false">AA111+AC110</f>
        <v>2194</v>
      </c>
      <c r="AD111" s="88" t="n">
        <f aca="false">MAX(AD110,AB111-AC111)</f>
        <v>1335.64282617929</v>
      </c>
      <c r="AE111" s="88" t="n">
        <f aca="false">AD111-AD110</f>
        <v>0</v>
      </c>
      <c r="AF111" s="88" t="n">
        <f aca="false">IF(B111=2026,INDEX($C$7:$Q$7,1,B111-2025)*$AO$4*C111/MAX(0.0001,12-$AO$3),INDEX($C$7:$Q$7,1,B111-2025)/12)</f>
        <v>22.9427081739175</v>
      </c>
      <c r="AG111" s="88" t="n">
        <f aca="false">$AO$6*$AC$7/12</f>
        <v>12.725</v>
      </c>
      <c r="AH111" s="88" t="n">
        <f aca="false">AF111+AH110</f>
        <v>2566.80057129115</v>
      </c>
      <c r="AI111" s="88" t="n">
        <f aca="false">AG111+AI110</f>
        <v>826</v>
      </c>
      <c r="AJ111" s="88" t="n">
        <f aca="false">MAX(AJ110,AH111-AI111)</f>
        <v>1740.80057129115</v>
      </c>
      <c r="AK111" s="88" t="n">
        <f aca="false">AJ111-AJ110</f>
        <v>10.2177081739173</v>
      </c>
      <c r="AL111" s="88" t="n">
        <f aca="false">IF(B111=2026,INDEX($C$8:$Q$8,1,B111-2025)*$AO$4*C111/MAX(0.0001,12-$AO$3),INDEX($C$8:$Q$8,1,B111-2025)/12)</f>
        <v>5.80342126052833</v>
      </c>
      <c r="AM111" s="88" t="n">
        <f aca="false">$AO$6*$AC$8/12</f>
        <v>0</v>
      </c>
      <c r="AN111" s="88" t="n">
        <f aca="false">AL111+AN110</f>
        <v>649.27927836794</v>
      </c>
      <c r="AO111" s="88" t="n">
        <f aca="false">AM111+AO110</f>
        <v>66</v>
      </c>
      <c r="AP111" s="88" t="n">
        <f aca="false">MAX(AP110,AN111-AO111)</f>
        <v>583.27927836794</v>
      </c>
      <c r="AQ111" s="88" t="n">
        <f aca="false">AP111-AP110</f>
        <v>5.80342126052835</v>
      </c>
      <c r="AR111" s="88" t="n">
        <f aca="false">IF(B111=2026,INDEX($C$9:$Q$9,1,B111-2025)*$AO$4*C111/MAX(0.0001,12-$AO$3),INDEX($C$9:$Q$9,1,B111-2025)/12)</f>
        <v>24.7454570609428</v>
      </c>
      <c r="AS111" s="88" t="n">
        <f aca="false">$AO$6*$AC$9/12</f>
        <v>18.7333333333333</v>
      </c>
      <c r="AT111" s="88" t="n">
        <f aca="false">AR111+AT110</f>
        <v>2768.48978940935</v>
      </c>
      <c r="AU111" s="88" t="n">
        <f aca="false">AS111+AU110</f>
        <v>1810</v>
      </c>
      <c r="AV111" s="88" t="n">
        <f aca="false">MAX(AV110,AT111-AU111)</f>
        <v>958.489789409344</v>
      </c>
      <c r="AW111" s="88" t="n">
        <f aca="false">AV111-AV110</f>
        <v>6.01212372760961</v>
      </c>
      <c r="AX111" s="88" t="n">
        <f aca="false">IF(B111=2026,INDEX($C$10:$Q$10,1,B111-2025)*$AO$4*C111/MAX(0.0001,12-$AO$3),INDEX($C$10:$Q$10,1,B111-2025)/12)</f>
        <v>2.87034756681557</v>
      </c>
      <c r="AY111" s="88" t="n">
        <f aca="false">$AO$6*$AC$10/12</f>
        <v>0</v>
      </c>
      <c r="AZ111" s="88" t="n">
        <f aca="false">AX111+AZ110</f>
        <v>321.130780135288</v>
      </c>
      <c r="BA111" s="88" t="n">
        <f aca="false">AY111+BA110</f>
        <v>50</v>
      </c>
      <c r="BB111" s="88" t="n">
        <f aca="false">MAX(BB110,AZ111-BA111)</f>
        <v>271.130780135288</v>
      </c>
      <c r="BC111" s="88" t="n">
        <f aca="false">BB111-BB110</f>
        <v>2.87034756681555</v>
      </c>
      <c r="BD111" s="88" t="n">
        <f aca="false">IF(B111=2026,INDEX($C$11:$Q$11,1,B111-2025)*$AO$4*C111/MAX(0.0001,12-$AO$3),INDEX($C$11:$Q$11,1,B111-2025)/12)</f>
        <v>14.2639212564218</v>
      </c>
      <c r="BE111" s="88" t="n">
        <f aca="false">$AO$6*$AC$11/12</f>
        <v>0</v>
      </c>
      <c r="BF111" s="88" t="n">
        <f aca="false">BD111+BF110</f>
        <v>1595.82909534014</v>
      </c>
      <c r="BG111" s="88" t="n">
        <f aca="false">BE111+BG110</f>
        <v>240</v>
      </c>
      <c r="BH111" s="88" t="n">
        <f aca="false">MAX(BH110,BF111-BG111)</f>
        <v>1355.82909534014</v>
      </c>
      <c r="BI111" s="88" t="n">
        <f aca="false">BH111-BH110</f>
        <v>14.2639212564218</v>
      </c>
      <c r="BJ111" s="88" t="n">
        <f aca="false">IF(B111=2026,INDEX($C$12:$Q$12,1,B111-2025)*$AO$4*C111/MAX(0.0001,12-$AO$3),INDEX($C$12:$Q$12,1,B111-2025)/12)</f>
        <v>7.82069350154207</v>
      </c>
      <c r="BK111" s="88" t="n">
        <f aca="false">$AO$6*$AC$12/12</f>
        <v>25.3333333333333</v>
      </c>
      <c r="BL111" s="88" t="n">
        <f aca="false">BJ111+BL110</f>
        <v>874.969092379105</v>
      </c>
      <c r="BM111" s="88" t="n">
        <f aca="false">BK111+BM110</f>
        <v>465</v>
      </c>
      <c r="BN111" s="88" t="n">
        <f aca="false">MAX(BN110,BL111-BM111)</f>
        <v>620.1207703606</v>
      </c>
      <c r="BO111" s="88" t="n">
        <f aca="false">BN111-BN110</f>
        <v>0</v>
      </c>
      <c r="BP111" s="88" t="n">
        <f aca="false">IF(B111=2026,INDEX($C$13:$Q$13,1,B111-2025)*$AO$4*C111/MAX(0.0001,12-$AO$3),INDEX($C$13:$Q$13,1,B111-2025)/12)</f>
        <v>2.44394688559256</v>
      </c>
      <c r="BQ111" s="88" t="n">
        <f aca="false">$AO$6*$AC$13/12</f>
        <v>0</v>
      </c>
      <c r="BR111" s="88" t="n">
        <f aca="false">BP111+BR110</f>
        <v>273.425622406506</v>
      </c>
      <c r="BS111" s="88" t="n">
        <f aca="false">BQ111+BS110</f>
        <v>87</v>
      </c>
      <c r="BT111" s="88" t="n">
        <f aca="false">MAX(BT110,BR111-BS111)</f>
        <v>186.425622406506</v>
      </c>
      <c r="BU111" s="88" t="n">
        <f aca="false">BT111-BT110</f>
        <v>2.44394688559254</v>
      </c>
      <c r="BV111" s="88" t="n">
        <f aca="false">IF(B111=2026,INDEX($C$14:$Q$14,1,B111-2025)*$AO$4*C111/MAX(0.0001,12-$AO$3),INDEX($C$14:$Q$14,1,B111-2025)/12)</f>
        <v>1.449513325248</v>
      </c>
      <c r="BW111" s="88" t="n">
        <f aca="false">$AO$6*$AC$14/12</f>
        <v>0</v>
      </c>
      <c r="BX111" s="88" t="n">
        <f aca="false">BV111+BX110</f>
        <v>162.169679496273</v>
      </c>
      <c r="BY111" s="88" t="n">
        <f aca="false">BW111+BY110</f>
        <v>0</v>
      </c>
      <c r="BZ111" s="88" t="n">
        <f aca="false">MAX(BZ110,BX111-BY111)</f>
        <v>162.169679496273</v>
      </c>
      <c r="CA111" s="88" t="n">
        <f aca="false">BZ111-BZ110</f>
        <v>1.44951332524801</v>
      </c>
      <c r="CB111" s="88" t="n">
        <f aca="false">IF(B111=2026,INDEX($C$15:$Q$15,1,B111-2025)*$AO$4*C111/MAX(0.0001,12-$AO$3),INDEX($C$15:$Q$15,1,B111-2025)/12)</f>
        <v>2.37652766116242</v>
      </c>
      <c r="CC111" s="88" t="n">
        <f aca="false">$AO$6*$AC$15/12</f>
        <v>0</v>
      </c>
      <c r="CD111" s="88" t="n">
        <f aca="false">CB111+CD110</f>
        <v>265.882846615982</v>
      </c>
      <c r="CE111" s="88" t="n">
        <f aca="false">CC111+CE110</f>
        <v>88.0000000000001</v>
      </c>
      <c r="CF111" s="88" t="n">
        <f aca="false">MAX(CF110,CD111-CE111)</f>
        <v>177.882846615982</v>
      </c>
      <c r="CG111" s="88" t="n">
        <f aca="false">CF111-CF110</f>
        <v>2.37652766116241</v>
      </c>
      <c r="CH111" s="88" t="n">
        <f aca="false">IF(B111=2026,INDEX($C$16:$Q$16,1,B111-2025)*$AO$4*C111/MAX(0.0001,12-$AO$3),INDEX($C$16:$Q$16,1,B111-2025)/12)</f>
        <v>1.87931088099014</v>
      </c>
      <c r="CI111" s="88" t="n">
        <f aca="false">$AO$6*$AC$16/12</f>
        <v>0</v>
      </c>
      <c r="CJ111" s="88" t="n">
        <f aca="false">CH111+CJ110</f>
        <v>210.254875160865</v>
      </c>
      <c r="CK111" s="88" t="n">
        <f aca="false">CI111+CK110</f>
        <v>70</v>
      </c>
      <c r="CL111" s="88" t="n">
        <f aca="false">MAX(CL110,CJ111-CK111)</f>
        <v>140.254875160865</v>
      </c>
      <c r="CM111" s="88" t="n">
        <f aca="false">CL111-CL110</f>
        <v>1.87931088099015</v>
      </c>
      <c r="CN111" s="88" t="n">
        <f aca="false">IF(B111=2026,INDEX($C$17:$Q$17,1,B111-2025)*$AO$4*C111/MAX(0.0001,12-$AO$3),INDEX($C$17:$Q$17,1,B111-2025)/12)</f>
        <v>8.1830083652082</v>
      </c>
      <c r="CO111" s="88" t="n">
        <f aca="false">$AO$6*$AC$17/12</f>
        <v>0</v>
      </c>
      <c r="CP111" s="88" t="n">
        <f aca="false">CN111+CP110</f>
        <v>915.50441157489</v>
      </c>
      <c r="CQ111" s="88" t="n">
        <f aca="false">CO111+CQ110</f>
        <v>221</v>
      </c>
      <c r="CR111" s="88" t="n">
        <f aca="false">MAX(CR110,CP111-CQ111)</f>
        <v>694.504411574891</v>
      </c>
      <c r="CS111" s="88" t="n">
        <f aca="false">CR111-CR110</f>
        <v>8.18300836520825</v>
      </c>
      <c r="CT111" s="88" t="n">
        <f aca="false">IF(B111=2026,INDEX($C$18:$Q$18,1,B111-2025)*$AO$4*C111/MAX(0.0001,12-$AO$3),INDEX($C$18:$Q$18,1,B111-2025)/12)</f>
        <v>1.70233541686103</v>
      </c>
      <c r="CU111" s="88" t="n">
        <f aca="false">$AO$6*$AC$18/12</f>
        <v>0</v>
      </c>
      <c r="CV111" s="88" t="n">
        <f aca="false">CT111+CV110</f>
        <v>190.455088710739</v>
      </c>
      <c r="CW111" s="88" t="n">
        <f aca="false">CU111+CW110</f>
        <v>11</v>
      </c>
      <c r="CX111" s="88" t="n">
        <f aca="false">MAX(CX110,CV111-CW111)</f>
        <v>179.455088710739</v>
      </c>
      <c r="CY111" s="88" t="n">
        <f aca="false">CX111-CX110</f>
        <v>1.70233541686102</v>
      </c>
      <c r="CZ111" s="88" t="n">
        <f aca="false">IF(B111=2026,INDEX($C$19:$Q$19,1,B111-2025)*$AO$4*C111/MAX(0.0001,12-$AO$3),INDEX($C$19:$Q$19,1,B111-2025)/12)</f>
        <v>1.68548061075349</v>
      </c>
      <c r="DA111" s="88" t="n">
        <f aca="false">$AO$6*$AC$19/12</f>
        <v>0</v>
      </c>
      <c r="DB111" s="88" t="n">
        <f aca="false">CZ111+DB110</f>
        <v>188.569394763108</v>
      </c>
      <c r="DC111" s="88" t="n">
        <f aca="false">DA111+DC110</f>
        <v>226</v>
      </c>
      <c r="DD111" s="88" t="n">
        <f aca="false">MAX(DD110,DB111-DC111)</f>
        <v>37.132124495359</v>
      </c>
      <c r="DE111" s="88" t="n">
        <f aca="false">DD111-DD110</f>
        <v>0</v>
      </c>
      <c r="DF111" s="88" t="n">
        <f aca="false">IF(B111=2026,INDEX($C$20:$Q$20,1,B111-2025)*$AO$4*C111/MAX(0.0001,12-$AO$3),INDEX($C$20:$Q$20,1,B111-2025)/12)</f>
        <v>1.37366669776409</v>
      </c>
      <c r="DG111" s="88" t="n">
        <f aca="false">$AO$6*$AC$20/12</f>
        <v>0</v>
      </c>
      <c r="DH111" s="88" t="n">
        <f aca="false">DF111+DH110</f>
        <v>153.684056731933</v>
      </c>
      <c r="DI111" s="88" t="n">
        <f aca="false">DG111+DI110</f>
        <v>0</v>
      </c>
      <c r="DJ111" s="88" t="n">
        <f aca="false">MAX(DJ110,DH111-DI111)</f>
        <v>153.684056731933</v>
      </c>
      <c r="DK111" s="88" t="n">
        <f aca="false">DJ111-DJ110</f>
        <v>1.37366669776409</v>
      </c>
      <c r="DL111" s="88" t="n">
        <f aca="false">IF(B111=2026,INDEX($C$21:$Q$21,1,B111-2025)*$AO$4*C111/MAX(0.0001,12-$AO$3),INDEX($C$21:$Q$21,1,B111-2025)/12)</f>
        <v>0.96072394812949</v>
      </c>
      <c r="DM111" s="88" t="n">
        <f aca="false">$AO$6*$AC$21/12</f>
        <v>0</v>
      </c>
      <c r="DN111" s="88" t="n">
        <f aca="false">DL111+DN110</f>
        <v>107.484555014971</v>
      </c>
      <c r="DO111" s="88" t="n">
        <f aca="false">DM111+DO110</f>
        <v>100</v>
      </c>
      <c r="DP111" s="88" t="n">
        <f aca="false">MAX(DP110,DN111-DO111)</f>
        <v>17.7483109623547</v>
      </c>
      <c r="DQ111" s="88" t="n">
        <f aca="false">DP111-DP110</f>
        <v>0</v>
      </c>
      <c r="DR111" s="88" t="n">
        <f aca="false">IF(B111=2026,INDEX($C$22:$Q$22,1,B111-2025)*$AO$4*C111/MAX(0.0001,12-$AO$3),INDEX($C$22:$Q$22,1,B111-2025)/12)</f>
        <v>0.750038871785304</v>
      </c>
      <c r="DS111" s="88" t="n">
        <f aca="false">$AO$6*$AC$22/12</f>
        <v>0</v>
      </c>
      <c r="DT111" s="88" t="n">
        <f aca="false">DR111+DT110</f>
        <v>83.913380669583</v>
      </c>
      <c r="DU111" s="88" t="n">
        <f aca="false">DS111+DU110</f>
        <v>29</v>
      </c>
      <c r="DV111" s="88" t="n">
        <f aca="false">MAX(DV110,DT111-DU111)</f>
        <v>54.9133806695831</v>
      </c>
      <c r="DW111" s="88" t="n">
        <f aca="false">DV111-DV110</f>
        <v>0.750038871785307</v>
      </c>
      <c r="DX111" s="88" t="n">
        <f aca="false">IF(B111=2026,INDEX($C$23:$Q$23,1,B111-2025)*$AO$4*C111/MAX(0.0001,12-$AO$3),INDEX($C$23:$Q$23,1,B111-2025)/12)</f>
        <v>1.20511863668875</v>
      </c>
      <c r="DY111" s="88" t="n">
        <f aca="false">$AO$6*$AC$23/12</f>
        <v>0</v>
      </c>
      <c r="DZ111" s="88" t="n">
        <f aca="false">DX111+DZ110</f>
        <v>134.827117255622</v>
      </c>
      <c r="EA111" s="88" t="n">
        <f aca="false">DY111+EA110</f>
        <v>121</v>
      </c>
      <c r="EB111" s="88" t="n">
        <f aca="false">MAX(EB110,DZ111-EA111)</f>
        <v>35.0579690141817</v>
      </c>
      <c r="EC111" s="88" t="n">
        <f aca="false">EB111-EB110</f>
        <v>0</v>
      </c>
      <c r="ED111" s="88" t="n">
        <f aca="false">IF(B111=2026,INDEX($C$24:$Q$24,1,B111-2025)*$AO$4*C111/MAX(0.0001,12-$AO$3),INDEX($C$24:$Q$24,1,B111-2025)/12)</f>
        <v>0.741611468731536</v>
      </c>
      <c r="EE111" s="88" t="n">
        <f aca="false">$AO$6*$AC$24/12</f>
        <v>0</v>
      </c>
      <c r="EF111" s="88" t="n">
        <f aca="false">ED111+EF110</f>
        <v>82.9705336957675</v>
      </c>
      <c r="EG111" s="88" t="n">
        <f aca="false">EE111+EG110</f>
        <v>0</v>
      </c>
      <c r="EH111" s="88" t="n">
        <f aca="false">MAX(EH110,EF111-EG111)</f>
        <v>82.9705336957675</v>
      </c>
      <c r="EI111" s="88" t="n">
        <f aca="false">EH111-EH110</f>
        <v>0.741611468731534</v>
      </c>
      <c r="EJ111" s="88" t="n">
        <f aca="false">IF(B111=2026,INDEX($C$25:$Q$25,1,B111-2025)*$AO$4*C111/MAX(0.0001,12-$AO$3),INDEX($C$25:$Q$25,1,B111-2025)/12)</f>
        <v>0.943869142021955</v>
      </c>
      <c r="EK111" s="88" t="n">
        <f aca="false">$AO$6*$AC$25/12</f>
        <v>0</v>
      </c>
      <c r="EL111" s="88" t="n">
        <f aca="false">EJ111+EL110</f>
        <v>105.598861067341</v>
      </c>
      <c r="EM111" s="88" t="n">
        <f aca="false">EK111+EM110</f>
        <v>14</v>
      </c>
      <c r="EN111" s="88" t="n">
        <f aca="false">MAX(EN110,EL111-EM111)</f>
        <v>91.5988610673405</v>
      </c>
      <c r="EO111" s="88" t="n">
        <f aca="false">EN111-EN110</f>
        <v>0.943869142021953</v>
      </c>
      <c r="EP111" s="88" t="n">
        <f aca="false">IF(B111=2026,INDEX($C$26:$Q$26,1,B111-2025)*$AO$4*C111/MAX(0.0001,12-$AO$3),INDEX($C$26:$Q$26,1,B111-2025)/12)</f>
        <v>1.35681189165656</v>
      </c>
      <c r="EQ111" s="88" t="n">
        <f aca="false">$AO$6*$AC$26/12</f>
        <v>0</v>
      </c>
      <c r="ER111" s="88" t="n">
        <f aca="false">EP111+ER110</f>
        <v>151.798362784302</v>
      </c>
      <c r="ES111" s="88" t="n">
        <f aca="false">EQ111+ES110</f>
        <v>4</v>
      </c>
      <c r="ET111" s="88" t="n">
        <f aca="false">MAX(ET110,ER111-ES111)</f>
        <v>147.798362784302</v>
      </c>
      <c r="EU111" s="88" t="n">
        <f aca="false">ET111-ET110</f>
        <v>1.35681189165655</v>
      </c>
      <c r="EV111" s="88" t="n">
        <f aca="false">IF(B111=2026,INDEX($C$27:$Q$27,1,B111-2025)*$AO$4*C111/MAX(0.0001,12-$AO$3),INDEX($C$27:$Q$27,1,B111-2025)/12)</f>
        <v>3.37096122150698</v>
      </c>
      <c r="EW111" s="88" t="n">
        <f aca="false">$AO$6*$AC$27/12</f>
        <v>0</v>
      </c>
      <c r="EX111" s="88" t="n">
        <f aca="false">EV111+EX110</f>
        <v>377.138789526216</v>
      </c>
      <c r="EY111" s="88" t="n">
        <f aca="false">EW111+EY110</f>
        <v>391</v>
      </c>
      <c r="EZ111" s="88" t="n">
        <f aca="false">MAX(EZ110,EX111-EY111)</f>
        <v>0</v>
      </c>
      <c r="FA111" s="88" t="n">
        <f aca="false">EZ111-EZ110</f>
        <v>0</v>
      </c>
      <c r="FB111" s="88" t="n">
        <f aca="false">IF(B111=2026,INDEX($C$28:$Q$28,1,B111-2025)*$AO$4*C111/MAX(0.0001,12-$AO$3),INDEX($C$28:$Q$28,1,B111-2025)/12)</f>
        <v>17.646981994589</v>
      </c>
      <c r="FC111" s="88" t="n">
        <f aca="false">$AO$6*$AC$28/12</f>
        <v>0</v>
      </c>
      <c r="FD111" s="88" t="n">
        <f aca="false">FB111+FD110</f>
        <v>1974.32156316974</v>
      </c>
      <c r="FE111" s="88" t="n">
        <f aca="false">FC111+FE110</f>
        <v>169</v>
      </c>
      <c r="FF111" s="88" t="n">
        <f aca="false">MAX(FF110,FD111-FE111)</f>
        <v>1805.32156316974</v>
      </c>
      <c r="FG111" s="88" t="n">
        <f aca="false">FF111-FF110</f>
        <v>17.6469819945889</v>
      </c>
    </row>
    <row r="112" customFormat="false" ht="15" hidden="false" customHeight="false" outlineLevel="0" collapsed="false">
      <c r="A112" s="0" t="n">
        <v>72</v>
      </c>
      <c r="B112" s="88" t="n">
        <f aca="false">2026+INT(A112/12)</f>
        <v>2032</v>
      </c>
      <c r="C112" s="88" t="n">
        <f aca="false">MAX(0,MIN(1,A112+1-$AO$3))</f>
        <v>1</v>
      </c>
      <c r="D112" s="88" t="n">
        <f aca="false">IF((A112+0.5-(0))&lt;$AO$3,0,2026+INT((A112+0.5-(0))/12))</f>
        <v>2032</v>
      </c>
      <c r="E112" s="88" t="n">
        <f aca="false">IF((A112+0.5-($AO$9))&lt;$AO$3,0,2026+INT((A112+0.5-($AO$9))/12))</f>
        <v>2030</v>
      </c>
      <c r="F112" s="88" t="n">
        <f aca="false">IF((A112+0.5-($AO$9+$AO$8))&lt;$AO$3,0,2026+INT((A112+0.5-($AO$9+$AO$8))/12))</f>
        <v>2029</v>
      </c>
      <c r="G112" s="88" t="n">
        <f aca="false">IF((A112+0.5-($AO$9+$AO$8+$AO$7))&lt;$AO$3,0,2026+INT((A112+0.5-($AO$9+$AO$8+$AO$7))/12))</f>
        <v>2029</v>
      </c>
      <c r="H112" s="88" t="n">
        <f aca="false">IF(B112=2026,INDEX($C$3:$Q$3,1,B112-2025)*$AO$4*C112/MAX(0.0001,12-$AO$3),INDEX($C$3:$Q$3,1,B112-2025)/12)</f>
        <v>180.666666666667</v>
      </c>
      <c r="I112" s="88" t="n">
        <f aca="false">$AO$6*0</f>
        <v>0</v>
      </c>
      <c r="J112" s="88" t="n">
        <f aca="false">H112+J111</f>
        <v>20393.4200913242</v>
      </c>
      <c r="K112" s="88" t="n">
        <f aca="false">I112+K111</f>
        <v>8695.00000000001</v>
      </c>
      <c r="L112" s="88" t="n">
        <f aca="false">MAX(L111,J112-K112)</f>
        <v>11698.4200913242</v>
      </c>
      <c r="M112" s="88" t="n">
        <f aca="false">L112-L111</f>
        <v>180.666666666668</v>
      </c>
      <c r="N112" s="88" t="n">
        <f aca="false">IF(B112=2026,INDEX($C$4:$Q$4,1,B112-2025)*$AO$4*C112/MAX(0.0001,12-$AO$3),INDEX($C$4:$Q$4,1,B112-2025)/12)</f>
        <v>5.47724540066293</v>
      </c>
      <c r="O112" s="88" t="n">
        <f aca="false">$AO$6*0</f>
        <v>0</v>
      </c>
      <c r="P112" s="88" t="n">
        <f aca="false">N112+P111</f>
        <v>618.26438966232</v>
      </c>
      <c r="Q112" s="88" t="n">
        <f aca="false">O112+Q111</f>
        <v>398</v>
      </c>
      <c r="R112" s="88" t="n">
        <f aca="false">MAX(R111,P112-Q112)</f>
        <v>220.26438966232</v>
      </c>
      <c r="S112" s="88" t="n">
        <f aca="false">R112-R111</f>
        <v>5.47724540066292</v>
      </c>
      <c r="T112" s="88" t="n">
        <f aca="false">IF(B112=2026,INDEX($C$5:$Q$5,1,B112-2025)*$AO$4*C112/MAX(0.0001,12-$AO$3),INDEX($C$5:$Q$5,1,B112-2025)/12)</f>
        <v>22.2615024358139</v>
      </c>
      <c r="U112" s="88" t="n">
        <f aca="false">$AO$6*0</f>
        <v>0</v>
      </c>
      <c r="V112" s="88" t="n">
        <f aca="false">T112+V111</f>
        <v>2512.84965518961</v>
      </c>
      <c r="W112" s="88" t="n">
        <f aca="false">U112+W111</f>
        <v>1115</v>
      </c>
      <c r="X112" s="88" t="n">
        <f aca="false">MAX(X111,V112-W112)</f>
        <v>1397.84965518961</v>
      </c>
      <c r="Y112" s="88" t="n">
        <f aca="false">X112-X111</f>
        <v>22.2615024358138</v>
      </c>
      <c r="Z112" s="88" t="n">
        <f aca="false">IF(B112=2026,INDEX($C$6:$Q$6,1,B112-2025)*$AO$4*C112/MAX(0.0001,12-$AO$3),INDEX($C$6:$Q$6,1,B112-2025)/12)</f>
        <v>26.4114629913323</v>
      </c>
      <c r="AA112" s="88" t="n">
        <f aca="false">$AO$6*0</f>
        <v>0</v>
      </c>
      <c r="AB112" s="88" t="n">
        <f aca="false">Z112+AB111</f>
        <v>2981.29184506661</v>
      </c>
      <c r="AC112" s="88" t="n">
        <f aca="false">AA112+AC111</f>
        <v>2194</v>
      </c>
      <c r="AD112" s="88" t="n">
        <f aca="false">MAX(AD111,AB112-AC112)</f>
        <v>1335.64282617929</v>
      </c>
      <c r="AE112" s="88" t="n">
        <f aca="false">AD112-AD111</f>
        <v>0</v>
      </c>
      <c r="AF112" s="88" t="n">
        <f aca="false">IF(B112=2026,INDEX($C$7:$Q$7,1,B112-2025)*$AO$4*C112/MAX(0.0001,12-$AO$3),INDEX($C$7:$Q$7,1,B112-2025)/12)</f>
        <v>22.9427081739175</v>
      </c>
      <c r="AG112" s="88" t="n">
        <f aca="false">$AO$6*0</f>
        <v>0</v>
      </c>
      <c r="AH112" s="88" t="n">
        <f aca="false">AF112+AH111</f>
        <v>2589.74327946507</v>
      </c>
      <c r="AI112" s="88" t="n">
        <f aca="false">AG112+AI111</f>
        <v>826</v>
      </c>
      <c r="AJ112" s="88" t="n">
        <f aca="false">MAX(AJ111,AH112-AI112)</f>
        <v>1763.74327946507</v>
      </c>
      <c r="AK112" s="88" t="n">
        <f aca="false">AJ112-AJ111</f>
        <v>22.9427081739173</v>
      </c>
      <c r="AL112" s="88" t="n">
        <f aca="false">IF(B112=2026,INDEX($C$8:$Q$8,1,B112-2025)*$AO$4*C112/MAX(0.0001,12-$AO$3),INDEX($C$8:$Q$8,1,B112-2025)/12)</f>
        <v>5.80342126052833</v>
      </c>
      <c r="AM112" s="88" t="n">
        <f aca="false">$AO$6*0</f>
        <v>0</v>
      </c>
      <c r="AN112" s="88" t="n">
        <f aca="false">AL112+AN111</f>
        <v>655.082699628468</v>
      </c>
      <c r="AO112" s="88" t="n">
        <f aca="false">AM112+AO111</f>
        <v>66</v>
      </c>
      <c r="AP112" s="88" t="n">
        <f aca="false">MAX(AP111,AN112-AO112)</f>
        <v>589.082699628468</v>
      </c>
      <c r="AQ112" s="88" t="n">
        <f aca="false">AP112-AP111</f>
        <v>5.80342126052835</v>
      </c>
      <c r="AR112" s="88" t="n">
        <f aca="false">IF(B112=2026,INDEX($C$9:$Q$9,1,B112-2025)*$AO$4*C112/MAX(0.0001,12-$AO$3),INDEX($C$9:$Q$9,1,B112-2025)/12)</f>
        <v>24.7454570609428</v>
      </c>
      <c r="AS112" s="88" t="n">
        <f aca="false">$AO$6*0</f>
        <v>0</v>
      </c>
      <c r="AT112" s="88" t="n">
        <f aca="false">AR112+AT111</f>
        <v>2793.23524647029</v>
      </c>
      <c r="AU112" s="88" t="n">
        <f aca="false">AS112+AU111</f>
        <v>1810</v>
      </c>
      <c r="AV112" s="88" t="n">
        <f aca="false">MAX(AV111,AT112-AU112)</f>
        <v>983.235246470287</v>
      </c>
      <c r="AW112" s="88" t="n">
        <f aca="false">AV112-AV111</f>
        <v>24.745457060943</v>
      </c>
      <c r="AX112" s="88" t="n">
        <f aca="false">IF(B112=2026,INDEX($C$10:$Q$10,1,B112-2025)*$AO$4*C112/MAX(0.0001,12-$AO$3),INDEX($C$10:$Q$10,1,B112-2025)/12)</f>
        <v>2.87034756681557</v>
      </c>
      <c r="AY112" s="88" t="n">
        <f aca="false">$AO$6*0</f>
        <v>0</v>
      </c>
      <c r="AZ112" s="88" t="n">
        <f aca="false">AX112+AZ111</f>
        <v>324.001127702104</v>
      </c>
      <c r="BA112" s="88" t="n">
        <f aca="false">AY112+BA111</f>
        <v>50</v>
      </c>
      <c r="BB112" s="88" t="n">
        <f aca="false">MAX(BB111,AZ112-BA112)</f>
        <v>274.001127702104</v>
      </c>
      <c r="BC112" s="88" t="n">
        <f aca="false">BB112-BB111</f>
        <v>2.87034756681555</v>
      </c>
      <c r="BD112" s="88" t="n">
        <f aca="false">IF(B112=2026,INDEX($C$11:$Q$11,1,B112-2025)*$AO$4*C112/MAX(0.0001,12-$AO$3),INDEX($C$11:$Q$11,1,B112-2025)/12)</f>
        <v>14.2639212564218</v>
      </c>
      <c r="BE112" s="88" t="n">
        <f aca="false">$AO$6*0</f>
        <v>0</v>
      </c>
      <c r="BF112" s="88" t="n">
        <f aca="false">BD112+BF111</f>
        <v>1610.09301659656</v>
      </c>
      <c r="BG112" s="88" t="n">
        <f aca="false">BE112+BG111</f>
        <v>240</v>
      </c>
      <c r="BH112" s="88" t="n">
        <f aca="false">MAX(BH111,BF112-BG112)</f>
        <v>1370.09301659656</v>
      </c>
      <c r="BI112" s="88" t="n">
        <f aca="false">BH112-BH111</f>
        <v>14.2639212564218</v>
      </c>
      <c r="BJ112" s="88" t="n">
        <f aca="false">IF(B112=2026,INDEX($C$12:$Q$12,1,B112-2025)*$AO$4*C112/MAX(0.0001,12-$AO$3),INDEX($C$12:$Q$12,1,B112-2025)/12)</f>
        <v>7.82069350154207</v>
      </c>
      <c r="BK112" s="88" t="n">
        <f aca="false">$AO$6*0</f>
        <v>0</v>
      </c>
      <c r="BL112" s="88" t="n">
        <f aca="false">BJ112+BL111</f>
        <v>882.789785880647</v>
      </c>
      <c r="BM112" s="88" t="n">
        <f aca="false">BK112+BM111</f>
        <v>465</v>
      </c>
      <c r="BN112" s="88" t="n">
        <f aca="false">MAX(BN111,BL112-BM112)</f>
        <v>620.1207703606</v>
      </c>
      <c r="BO112" s="88" t="n">
        <f aca="false">BN112-BN111</f>
        <v>0</v>
      </c>
      <c r="BP112" s="88" t="n">
        <f aca="false">IF(B112=2026,INDEX($C$13:$Q$13,1,B112-2025)*$AO$4*C112/MAX(0.0001,12-$AO$3),INDEX($C$13:$Q$13,1,B112-2025)/12)</f>
        <v>2.44394688559256</v>
      </c>
      <c r="BQ112" s="88" t="n">
        <f aca="false">$AO$6*0</f>
        <v>0</v>
      </c>
      <c r="BR112" s="88" t="n">
        <f aca="false">BP112+BR111</f>
        <v>275.869569292099</v>
      </c>
      <c r="BS112" s="88" t="n">
        <f aca="false">BQ112+BS111</f>
        <v>87</v>
      </c>
      <c r="BT112" s="88" t="n">
        <f aca="false">MAX(BT111,BR112-BS112)</f>
        <v>188.869569292099</v>
      </c>
      <c r="BU112" s="88" t="n">
        <f aca="false">BT112-BT111</f>
        <v>2.44394688559254</v>
      </c>
      <c r="BV112" s="88" t="n">
        <f aca="false">IF(B112=2026,INDEX($C$14:$Q$14,1,B112-2025)*$AO$4*C112/MAX(0.0001,12-$AO$3),INDEX($C$14:$Q$14,1,B112-2025)/12)</f>
        <v>1.449513325248</v>
      </c>
      <c r="BW112" s="88" t="n">
        <f aca="false">$AO$6*0</f>
        <v>0</v>
      </c>
      <c r="BX112" s="88" t="n">
        <f aca="false">BV112+BX111</f>
        <v>163.619192821521</v>
      </c>
      <c r="BY112" s="88" t="n">
        <f aca="false">BW112+BY111</f>
        <v>0</v>
      </c>
      <c r="BZ112" s="88" t="n">
        <f aca="false">MAX(BZ111,BX112-BY112)</f>
        <v>163.619192821521</v>
      </c>
      <c r="CA112" s="88" t="n">
        <f aca="false">BZ112-BZ111</f>
        <v>1.44951332524801</v>
      </c>
      <c r="CB112" s="88" t="n">
        <f aca="false">IF(B112=2026,INDEX($C$15:$Q$15,1,B112-2025)*$AO$4*C112/MAX(0.0001,12-$AO$3),INDEX($C$15:$Q$15,1,B112-2025)/12)</f>
        <v>2.37652766116242</v>
      </c>
      <c r="CC112" s="88" t="n">
        <f aca="false">$AO$6*0</f>
        <v>0</v>
      </c>
      <c r="CD112" s="88" t="n">
        <f aca="false">CB112+CD111</f>
        <v>268.259374277144</v>
      </c>
      <c r="CE112" s="88" t="n">
        <f aca="false">CC112+CE111</f>
        <v>88.0000000000001</v>
      </c>
      <c r="CF112" s="88" t="n">
        <f aca="false">MAX(CF111,CD112-CE112)</f>
        <v>180.259374277144</v>
      </c>
      <c r="CG112" s="88" t="n">
        <f aca="false">CF112-CF111</f>
        <v>2.37652766116241</v>
      </c>
      <c r="CH112" s="88" t="n">
        <f aca="false">IF(B112=2026,INDEX($C$16:$Q$16,1,B112-2025)*$AO$4*C112/MAX(0.0001,12-$AO$3),INDEX($C$16:$Q$16,1,B112-2025)/12)</f>
        <v>1.87931088099014</v>
      </c>
      <c r="CI112" s="88" t="n">
        <f aca="false">$AO$6*0</f>
        <v>0</v>
      </c>
      <c r="CJ112" s="88" t="n">
        <f aca="false">CH112+CJ111</f>
        <v>212.134186041855</v>
      </c>
      <c r="CK112" s="88" t="n">
        <f aca="false">CI112+CK111</f>
        <v>70</v>
      </c>
      <c r="CL112" s="88" t="n">
        <f aca="false">MAX(CL111,CJ112-CK112)</f>
        <v>142.134186041855</v>
      </c>
      <c r="CM112" s="88" t="n">
        <f aca="false">CL112-CL111</f>
        <v>1.87931088099015</v>
      </c>
      <c r="CN112" s="88" t="n">
        <f aca="false">IF(B112=2026,INDEX($C$17:$Q$17,1,B112-2025)*$AO$4*C112/MAX(0.0001,12-$AO$3),INDEX($C$17:$Q$17,1,B112-2025)/12)</f>
        <v>8.1830083652082</v>
      </c>
      <c r="CO112" s="88" t="n">
        <f aca="false">$AO$6*0</f>
        <v>0</v>
      </c>
      <c r="CP112" s="88" t="n">
        <f aca="false">CN112+CP111</f>
        <v>923.687419940099</v>
      </c>
      <c r="CQ112" s="88" t="n">
        <f aca="false">CO112+CQ111</f>
        <v>221</v>
      </c>
      <c r="CR112" s="88" t="n">
        <f aca="false">MAX(CR111,CP112-CQ112)</f>
        <v>702.687419940099</v>
      </c>
      <c r="CS112" s="88" t="n">
        <f aca="false">CR112-CR111</f>
        <v>8.18300836520825</v>
      </c>
      <c r="CT112" s="88" t="n">
        <f aca="false">IF(B112=2026,INDEX($C$18:$Q$18,1,B112-2025)*$AO$4*C112/MAX(0.0001,12-$AO$3),INDEX($C$18:$Q$18,1,B112-2025)/12)</f>
        <v>1.70233541686103</v>
      </c>
      <c r="CU112" s="88" t="n">
        <f aca="false">$AO$6*0</f>
        <v>0</v>
      </c>
      <c r="CV112" s="88" t="n">
        <f aca="false">CT112+CV111</f>
        <v>192.1574241276</v>
      </c>
      <c r="CW112" s="88" t="n">
        <f aca="false">CU112+CW111</f>
        <v>11</v>
      </c>
      <c r="CX112" s="88" t="n">
        <f aca="false">MAX(CX111,CV112-CW112)</f>
        <v>181.1574241276</v>
      </c>
      <c r="CY112" s="88" t="n">
        <f aca="false">CX112-CX111</f>
        <v>1.70233541686102</v>
      </c>
      <c r="CZ112" s="88" t="n">
        <f aca="false">IF(B112=2026,INDEX($C$19:$Q$19,1,B112-2025)*$AO$4*C112/MAX(0.0001,12-$AO$3),INDEX($C$19:$Q$19,1,B112-2025)/12)</f>
        <v>1.68548061075349</v>
      </c>
      <c r="DA112" s="88" t="n">
        <f aca="false">$AO$6*0</f>
        <v>0</v>
      </c>
      <c r="DB112" s="88" t="n">
        <f aca="false">CZ112+DB111</f>
        <v>190.254875373861</v>
      </c>
      <c r="DC112" s="88" t="n">
        <f aca="false">DA112+DC111</f>
        <v>226</v>
      </c>
      <c r="DD112" s="88" t="n">
        <f aca="false">MAX(DD111,DB112-DC112)</f>
        <v>37.132124495359</v>
      </c>
      <c r="DE112" s="88" t="n">
        <f aca="false">DD112-DD111</f>
        <v>0</v>
      </c>
      <c r="DF112" s="88" t="n">
        <f aca="false">IF(B112=2026,INDEX($C$20:$Q$20,1,B112-2025)*$AO$4*C112/MAX(0.0001,12-$AO$3),INDEX($C$20:$Q$20,1,B112-2025)/12)</f>
        <v>1.37366669776409</v>
      </c>
      <c r="DG112" s="88" t="n">
        <f aca="false">$AO$6*0</f>
        <v>0</v>
      </c>
      <c r="DH112" s="88" t="n">
        <f aca="false">DF112+DH111</f>
        <v>155.057723429697</v>
      </c>
      <c r="DI112" s="88" t="n">
        <f aca="false">DG112+DI111</f>
        <v>0</v>
      </c>
      <c r="DJ112" s="88" t="n">
        <f aca="false">MAX(DJ111,DH112-DI112)</f>
        <v>155.057723429697</v>
      </c>
      <c r="DK112" s="88" t="n">
        <f aca="false">DJ112-DJ111</f>
        <v>1.37366669776409</v>
      </c>
      <c r="DL112" s="88" t="n">
        <f aca="false">IF(B112=2026,INDEX($C$21:$Q$21,1,B112-2025)*$AO$4*C112/MAX(0.0001,12-$AO$3),INDEX($C$21:$Q$21,1,B112-2025)/12)</f>
        <v>0.96072394812949</v>
      </c>
      <c r="DM112" s="88" t="n">
        <f aca="false">$AO$6*0</f>
        <v>0</v>
      </c>
      <c r="DN112" s="88" t="n">
        <f aca="false">DL112+DN111</f>
        <v>108.445278963101</v>
      </c>
      <c r="DO112" s="88" t="n">
        <f aca="false">DM112+DO111</f>
        <v>100</v>
      </c>
      <c r="DP112" s="88" t="n">
        <f aca="false">MAX(DP111,DN112-DO112)</f>
        <v>17.7483109623547</v>
      </c>
      <c r="DQ112" s="88" t="n">
        <f aca="false">DP112-DP111</f>
        <v>0</v>
      </c>
      <c r="DR112" s="88" t="n">
        <f aca="false">IF(B112=2026,INDEX($C$22:$Q$22,1,B112-2025)*$AO$4*C112/MAX(0.0001,12-$AO$3),INDEX($C$22:$Q$22,1,B112-2025)/12)</f>
        <v>0.750038871785304</v>
      </c>
      <c r="DS112" s="88" t="n">
        <f aca="false">$AO$6*0</f>
        <v>0</v>
      </c>
      <c r="DT112" s="88" t="n">
        <f aca="false">DR112+DT111</f>
        <v>84.6634195413683</v>
      </c>
      <c r="DU112" s="88" t="n">
        <f aca="false">DS112+DU111</f>
        <v>29</v>
      </c>
      <c r="DV112" s="88" t="n">
        <f aca="false">MAX(DV111,DT112-DU112)</f>
        <v>55.6634195413684</v>
      </c>
      <c r="DW112" s="88" t="n">
        <f aca="false">DV112-DV111</f>
        <v>0.750038871785307</v>
      </c>
      <c r="DX112" s="88" t="n">
        <f aca="false">IF(B112=2026,INDEX($C$23:$Q$23,1,B112-2025)*$AO$4*C112/MAX(0.0001,12-$AO$3),INDEX($C$23:$Q$23,1,B112-2025)/12)</f>
        <v>1.20511863668875</v>
      </c>
      <c r="DY112" s="88" t="n">
        <f aca="false">$AO$6*0</f>
        <v>0</v>
      </c>
      <c r="DZ112" s="88" t="n">
        <f aca="false">DX112+DZ111</f>
        <v>136.032235892311</v>
      </c>
      <c r="EA112" s="88" t="n">
        <f aca="false">DY112+EA111</f>
        <v>121</v>
      </c>
      <c r="EB112" s="88" t="n">
        <f aca="false">MAX(EB111,DZ112-EA112)</f>
        <v>35.0579690141817</v>
      </c>
      <c r="EC112" s="88" t="n">
        <f aca="false">EB112-EB111</f>
        <v>0</v>
      </c>
      <c r="ED112" s="88" t="n">
        <f aca="false">IF(B112=2026,INDEX($C$24:$Q$24,1,B112-2025)*$AO$4*C112/MAX(0.0001,12-$AO$3),INDEX($C$24:$Q$24,1,B112-2025)/12)</f>
        <v>0.741611468731536</v>
      </c>
      <c r="EE112" s="88" t="n">
        <f aca="false">$AO$6*0</f>
        <v>0</v>
      </c>
      <c r="EF112" s="88" t="n">
        <f aca="false">ED112+EF111</f>
        <v>83.712145164499</v>
      </c>
      <c r="EG112" s="88" t="n">
        <f aca="false">EE112+EG111</f>
        <v>0</v>
      </c>
      <c r="EH112" s="88" t="n">
        <f aca="false">MAX(EH111,EF112-EG112)</f>
        <v>83.712145164499</v>
      </c>
      <c r="EI112" s="88" t="n">
        <f aca="false">EH112-EH111</f>
        <v>0.741611468731534</v>
      </c>
      <c r="EJ112" s="88" t="n">
        <f aca="false">IF(B112=2026,INDEX($C$25:$Q$25,1,B112-2025)*$AO$4*C112/MAX(0.0001,12-$AO$3),INDEX($C$25:$Q$25,1,B112-2025)/12)</f>
        <v>0.943869142021955</v>
      </c>
      <c r="EK112" s="88" t="n">
        <f aca="false">$AO$6*0</f>
        <v>0</v>
      </c>
      <c r="EL112" s="88" t="n">
        <f aca="false">EJ112+EL111</f>
        <v>106.542730209362</v>
      </c>
      <c r="EM112" s="88" t="n">
        <f aca="false">EK112+EM111</f>
        <v>14</v>
      </c>
      <c r="EN112" s="88" t="n">
        <f aca="false">MAX(EN111,EL112-EM112)</f>
        <v>92.5427302093625</v>
      </c>
      <c r="EO112" s="88" t="n">
        <f aca="false">EN112-EN111</f>
        <v>0.943869142021953</v>
      </c>
      <c r="EP112" s="88" t="n">
        <f aca="false">IF(B112=2026,INDEX($C$26:$Q$26,1,B112-2025)*$AO$4*C112/MAX(0.0001,12-$AO$3),INDEX($C$26:$Q$26,1,B112-2025)/12)</f>
        <v>1.35681189165656</v>
      </c>
      <c r="EQ112" s="88" t="n">
        <f aca="false">$AO$6*0</f>
        <v>0</v>
      </c>
      <c r="ER112" s="88" t="n">
        <f aca="false">EP112+ER111</f>
        <v>153.155174675958</v>
      </c>
      <c r="ES112" s="88" t="n">
        <f aca="false">EQ112+ES111</f>
        <v>4</v>
      </c>
      <c r="ET112" s="88" t="n">
        <f aca="false">MAX(ET111,ER112-ES112)</f>
        <v>149.155174675958</v>
      </c>
      <c r="EU112" s="88" t="n">
        <f aca="false">ET112-ET111</f>
        <v>1.35681189165655</v>
      </c>
      <c r="EV112" s="88" t="n">
        <f aca="false">IF(B112=2026,INDEX($C$27:$Q$27,1,B112-2025)*$AO$4*C112/MAX(0.0001,12-$AO$3),INDEX($C$27:$Q$27,1,B112-2025)/12)</f>
        <v>3.37096122150698</v>
      </c>
      <c r="EW112" s="88" t="n">
        <f aca="false">$AO$6*0</f>
        <v>0</v>
      </c>
      <c r="EX112" s="88" t="n">
        <f aca="false">EV112+EX111</f>
        <v>380.509750747723</v>
      </c>
      <c r="EY112" s="88" t="n">
        <f aca="false">EW112+EY111</f>
        <v>391</v>
      </c>
      <c r="EZ112" s="88" t="n">
        <f aca="false">MAX(EZ111,EX112-EY112)</f>
        <v>0</v>
      </c>
      <c r="FA112" s="88" t="n">
        <f aca="false">EZ112-EZ111</f>
        <v>0</v>
      </c>
      <c r="FB112" s="88" t="n">
        <f aca="false">IF(B112=2026,INDEX($C$28:$Q$28,1,B112-2025)*$AO$4*C112/MAX(0.0001,12-$AO$3),INDEX($C$28:$Q$28,1,B112-2025)/12)</f>
        <v>17.646981994589</v>
      </c>
      <c r="FC112" s="88" t="n">
        <f aca="false">$AO$6*0</f>
        <v>0</v>
      </c>
      <c r="FD112" s="88" t="n">
        <f aca="false">FB112+FD111</f>
        <v>1991.96854516433</v>
      </c>
      <c r="FE112" s="88" t="n">
        <f aca="false">FC112+FE111</f>
        <v>169</v>
      </c>
      <c r="FF112" s="88" t="n">
        <f aca="false">MAX(FF111,FD112-FE112)</f>
        <v>1822.96854516433</v>
      </c>
      <c r="FG112" s="88" t="n">
        <f aca="false">FF112-FF111</f>
        <v>17.6469819945889</v>
      </c>
    </row>
    <row r="113" customFormat="false" ht="15" hidden="false" customHeight="false" outlineLevel="0" collapsed="false">
      <c r="A113" s="0" t="n">
        <v>73</v>
      </c>
      <c r="B113" s="88" t="n">
        <f aca="false">2026+INT(A113/12)</f>
        <v>2032</v>
      </c>
      <c r="C113" s="88" t="n">
        <f aca="false">MAX(0,MIN(1,A113+1-$AO$3))</f>
        <v>1</v>
      </c>
      <c r="D113" s="88" t="n">
        <f aca="false">IF((A113+0.5-(0))&lt;$AO$3,0,2026+INT((A113+0.5-(0))/12))</f>
        <v>2032</v>
      </c>
      <c r="E113" s="88" t="n">
        <f aca="false">IF((A113+0.5-($AO$9))&lt;$AO$3,0,2026+INT((A113+0.5-($AO$9))/12))</f>
        <v>2030</v>
      </c>
      <c r="F113" s="88" t="n">
        <f aca="false">IF((A113+0.5-($AO$9+$AO$8))&lt;$AO$3,0,2026+INT((A113+0.5-($AO$9+$AO$8))/12))</f>
        <v>2029</v>
      </c>
      <c r="G113" s="88" t="n">
        <f aca="false">IF((A113+0.5-($AO$9+$AO$8+$AO$7))&lt;$AO$3,0,2026+INT((A113+0.5-($AO$9+$AO$8+$AO$7))/12))</f>
        <v>2029</v>
      </c>
      <c r="H113" s="88" t="n">
        <f aca="false">IF(B113=2026,INDEX($C$3:$Q$3,1,B113-2025)*$AO$4*C113/MAX(0.0001,12-$AO$3),INDEX($C$3:$Q$3,1,B113-2025)/12)</f>
        <v>180.666666666667</v>
      </c>
      <c r="I113" s="88" t="n">
        <f aca="false">$AO$6*0</f>
        <v>0</v>
      </c>
      <c r="J113" s="88" t="n">
        <f aca="false">H113+J112</f>
        <v>20574.0867579909</v>
      </c>
      <c r="K113" s="88" t="n">
        <f aca="false">I113+K112</f>
        <v>8695.00000000001</v>
      </c>
      <c r="L113" s="88" t="n">
        <f aca="false">MAX(L112,J113-K113)</f>
        <v>11879.0867579909</v>
      </c>
      <c r="M113" s="88" t="n">
        <f aca="false">L113-L112</f>
        <v>180.666666666668</v>
      </c>
      <c r="N113" s="88" t="n">
        <f aca="false">IF(B113=2026,INDEX($C$4:$Q$4,1,B113-2025)*$AO$4*C113/MAX(0.0001,12-$AO$3),INDEX($C$4:$Q$4,1,B113-2025)/12)</f>
        <v>5.47724540066293</v>
      </c>
      <c r="O113" s="88" t="n">
        <f aca="false">$AO$6*0</f>
        <v>0</v>
      </c>
      <c r="P113" s="88" t="n">
        <f aca="false">N113+P112</f>
        <v>623.741635062983</v>
      </c>
      <c r="Q113" s="88" t="n">
        <f aca="false">O113+Q112</f>
        <v>398</v>
      </c>
      <c r="R113" s="88" t="n">
        <f aca="false">MAX(R112,P113-Q113)</f>
        <v>225.741635062983</v>
      </c>
      <c r="S113" s="88" t="n">
        <f aca="false">R113-R112</f>
        <v>5.47724540066292</v>
      </c>
      <c r="T113" s="88" t="n">
        <f aca="false">IF(B113=2026,INDEX($C$5:$Q$5,1,B113-2025)*$AO$4*C113/MAX(0.0001,12-$AO$3),INDEX($C$5:$Q$5,1,B113-2025)/12)</f>
        <v>22.2615024358139</v>
      </c>
      <c r="U113" s="88" t="n">
        <f aca="false">$AO$6*0</f>
        <v>0</v>
      </c>
      <c r="V113" s="88" t="n">
        <f aca="false">T113+V112</f>
        <v>2535.11115762542</v>
      </c>
      <c r="W113" s="88" t="n">
        <f aca="false">U113+W112</f>
        <v>1115</v>
      </c>
      <c r="X113" s="88" t="n">
        <f aca="false">MAX(X112,V113-W113)</f>
        <v>1420.11115762542</v>
      </c>
      <c r="Y113" s="88" t="n">
        <f aca="false">X113-X112</f>
        <v>22.2615024358138</v>
      </c>
      <c r="Z113" s="88" t="n">
        <f aca="false">IF(B113=2026,INDEX($C$6:$Q$6,1,B113-2025)*$AO$4*C113/MAX(0.0001,12-$AO$3),INDEX($C$6:$Q$6,1,B113-2025)/12)</f>
        <v>26.4114629913323</v>
      </c>
      <c r="AA113" s="88" t="n">
        <f aca="false">$AO$6*0</f>
        <v>0</v>
      </c>
      <c r="AB113" s="88" t="n">
        <f aca="false">Z113+AB112</f>
        <v>3007.70330805794</v>
      </c>
      <c r="AC113" s="88" t="n">
        <f aca="false">AA113+AC112</f>
        <v>2194</v>
      </c>
      <c r="AD113" s="88" t="n">
        <f aca="false">MAX(AD112,AB113-AC113)</f>
        <v>1335.64282617929</v>
      </c>
      <c r="AE113" s="88" t="n">
        <f aca="false">AD113-AD112</f>
        <v>0</v>
      </c>
      <c r="AF113" s="88" t="n">
        <f aca="false">IF(B113=2026,INDEX($C$7:$Q$7,1,B113-2025)*$AO$4*C113/MAX(0.0001,12-$AO$3),INDEX($C$7:$Q$7,1,B113-2025)/12)</f>
        <v>22.9427081739175</v>
      </c>
      <c r="AG113" s="88" t="n">
        <f aca="false">$AO$6*0</f>
        <v>0</v>
      </c>
      <c r="AH113" s="88" t="n">
        <f aca="false">AF113+AH112</f>
        <v>2612.68598763899</v>
      </c>
      <c r="AI113" s="88" t="n">
        <f aca="false">AG113+AI112</f>
        <v>826</v>
      </c>
      <c r="AJ113" s="88" t="n">
        <f aca="false">MAX(AJ112,AH113-AI113)</f>
        <v>1786.68598763899</v>
      </c>
      <c r="AK113" s="88" t="n">
        <f aca="false">AJ113-AJ112</f>
        <v>22.9427081739173</v>
      </c>
      <c r="AL113" s="88" t="n">
        <f aca="false">IF(B113=2026,INDEX($C$8:$Q$8,1,B113-2025)*$AO$4*C113/MAX(0.0001,12-$AO$3),INDEX($C$8:$Q$8,1,B113-2025)/12)</f>
        <v>5.80342126052833</v>
      </c>
      <c r="AM113" s="88" t="n">
        <f aca="false">$AO$6*0</f>
        <v>0</v>
      </c>
      <c r="AN113" s="88" t="n">
        <f aca="false">AL113+AN112</f>
        <v>660.886120888996</v>
      </c>
      <c r="AO113" s="88" t="n">
        <f aca="false">AM113+AO112</f>
        <v>66</v>
      </c>
      <c r="AP113" s="88" t="n">
        <f aca="false">MAX(AP112,AN113-AO113)</f>
        <v>594.886120888996</v>
      </c>
      <c r="AQ113" s="88" t="n">
        <f aca="false">AP113-AP112</f>
        <v>5.80342126052835</v>
      </c>
      <c r="AR113" s="88" t="n">
        <f aca="false">IF(B113=2026,INDEX($C$9:$Q$9,1,B113-2025)*$AO$4*C113/MAX(0.0001,12-$AO$3),INDEX($C$9:$Q$9,1,B113-2025)/12)</f>
        <v>24.7454570609428</v>
      </c>
      <c r="AS113" s="88" t="n">
        <f aca="false">$AO$6*0</f>
        <v>0</v>
      </c>
      <c r="AT113" s="88" t="n">
        <f aca="false">AR113+AT112</f>
        <v>2817.98070353123</v>
      </c>
      <c r="AU113" s="88" t="n">
        <f aca="false">AS113+AU112</f>
        <v>1810</v>
      </c>
      <c r="AV113" s="88" t="n">
        <f aca="false">MAX(AV112,AT113-AU113)</f>
        <v>1007.98070353123</v>
      </c>
      <c r="AW113" s="88" t="n">
        <f aca="false">AV113-AV112</f>
        <v>24.745457060943</v>
      </c>
      <c r="AX113" s="88" t="n">
        <f aca="false">IF(B113=2026,INDEX($C$10:$Q$10,1,B113-2025)*$AO$4*C113/MAX(0.0001,12-$AO$3),INDEX($C$10:$Q$10,1,B113-2025)/12)</f>
        <v>2.87034756681557</v>
      </c>
      <c r="AY113" s="88" t="n">
        <f aca="false">$AO$6*0</f>
        <v>0</v>
      </c>
      <c r="AZ113" s="88" t="n">
        <f aca="false">AX113+AZ112</f>
        <v>326.87147526892</v>
      </c>
      <c r="BA113" s="88" t="n">
        <f aca="false">AY113+BA112</f>
        <v>50</v>
      </c>
      <c r="BB113" s="88" t="n">
        <f aca="false">MAX(BB112,AZ113-BA113)</f>
        <v>276.87147526892</v>
      </c>
      <c r="BC113" s="88" t="n">
        <f aca="false">BB113-BB112</f>
        <v>2.87034756681555</v>
      </c>
      <c r="BD113" s="88" t="n">
        <f aca="false">IF(B113=2026,INDEX($C$11:$Q$11,1,B113-2025)*$AO$4*C113/MAX(0.0001,12-$AO$3),INDEX($C$11:$Q$11,1,B113-2025)/12)</f>
        <v>14.2639212564218</v>
      </c>
      <c r="BE113" s="88" t="n">
        <f aca="false">$AO$6*0</f>
        <v>0</v>
      </c>
      <c r="BF113" s="88" t="n">
        <f aca="false">BD113+BF112</f>
        <v>1624.35693785298</v>
      </c>
      <c r="BG113" s="88" t="n">
        <f aca="false">BE113+BG112</f>
        <v>240</v>
      </c>
      <c r="BH113" s="88" t="n">
        <f aca="false">MAX(BH112,BF113-BG113)</f>
        <v>1384.35693785298</v>
      </c>
      <c r="BI113" s="88" t="n">
        <f aca="false">BH113-BH112</f>
        <v>14.2639212564218</v>
      </c>
      <c r="BJ113" s="88" t="n">
        <f aca="false">IF(B113=2026,INDEX($C$12:$Q$12,1,B113-2025)*$AO$4*C113/MAX(0.0001,12-$AO$3),INDEX($C$12:$Q$12,1,B113-2025)/12)</f>
        <v>7.82069350154207</v>
      </c>
      <c r="BK113" s="88" t="n">
        <f aca="false">$AO$6*0</f>
        <v>0</v>
      </c>
      <c r="BL113" s="88" t="n">
        <f aca="false">BJ113+BL112</f>
        <v>890.610479382189</v>
      </c>
      <c r="BM113" s="88" t="n">
        <f aca="false">BK113+BM112</f>
        <v>465</v>
      </c>
      <c r="BN113" s="88" t="n">
        <f aca="false">MAX(BN112,BL113-BM113)</f>
        <v>620.1207703606</v>
      </c>
      <c r="BO113" s="88" t="n">
        <f aca="false">BN113-BN112</f>
        <v>0</v>
      </c>
      <c r="BP113" s="88" t="n">
        <f aca="false">IF(B113=2026,INDEX($C$13:$Q$13,1,B113-2025)*$AO$4*C113/MAX(0.0001,12-$AO$3),INDEX($C$13:$Q$13,1,B113-2025)/12)</f>
        <v>2.44394688559256</v>
      </c>
      <c r="BQ113" s="88" t="n">
        <f aca="false">$AO$6*0</f>
        <v>0</v>
      </c>
      <c r="BR113" s="88" t="n">
        <f aca="false">BP113+BR112</f>
        <v>278.313516177692</v>
      </c>
      <c r="BS113" s="88" t="n">
        <f aca="false">BQ113+BS112</f>
        <v>87</v>
      </c>
      <c r="BT113" s="88" t="n">
        <f aca="false">MAX(BT112,BR113-BS113)</f>
        <v>191.313516177692</v>
      </c>
      <c r="BU113" s="88" t="n">
        <f aca="false">BT113-BT112</f>
        <v>2.44394688559254</v>
      </c>
      <c r="BV113" s="88" t="n">
        <f aca="false">IF(B113=2026,INDEX($C$14:$Q$14,1,B113-2025)*$AO$4*C113/MAX(0.0001,12-$AO$3),INDEX($C$14:$Q$14,1,B113-2025)/12)</f>
        <v>1.449513325248</v>
      </c>
      <c r="BW113" s="88" t="n">
        <f aca="false">$AO$6*0</f>
        <v>0</v>
      </c>
      <c r="BX113" s="88" t="n">
        <f aca="false">BV113+BX112</f>
        <v>165.068706146769</v>
      </c>
      <c r="BY113" s="88" t="n">
        <f aca="false">BW113+BY112</f>
        <v>0</v>
      </c>
      <c r="BZ113" s="88" t="n">
        <f aca="false">MAX(BZ112,BX113-BY113)</f>
        <v>165.068706146769</v>
      </c>
      <c r="CA113" s="88" t="n">
        <f aca="false">BZ113-BZ112</f>
        <v>1.44951332524801</v>
      </c>
      <c r="CB113" s="88" t="n">
        <f aca="false">IF(B113=2026,INDEX($C$15:$Q$15,1,B113-2025)*$AO$4*C113/MAX(0.0001,12-$AO$3),INDEX($C$15:$Q$15,1,B113-2025)/12)</f>
        <v>2.37652766116242</v>
      </c>
      <c r="CC113" s="88" t="n">
        <f aca="false">$AO$6*0</f>
        <v>0</v>
      </c>
      <c r="CD113" s="88" t="n">
        <f aca="false">CB113+CD112</f>
        <v>270.635901938307</v>
      </c>
      <c r="CE113" s="88" t="n">
        <f aca="false">CC113+CE112</f>
        <v>88.0000000000001</v>
      </c>
      <c r="CF113" s="88" t="n">
        <f aca="false">MAX(CF112,CD113-CE113)</f>
        <v>182.635901938306</v>
      </c>
      <c r="CG113" s="88" t="n">
        <f aca="false">CF113-CF112</f>
        <v>2.37652766116241</v>
      </c>
      <c r="CH113" s="88" t="n">
        <f aca="false">IF(B113=2026,INDEX($C$16:$Q$16,1,B113-2025)*$AO$4*C113/MAX(0.0001,12-$AO$3),INDEX($C$16:$Q$16,1,B113-2025)/12)</f>
        <v>1.87931088099014</v>
      </c>
      <c r="CI113" s="88" t="n">
        <f aca="false">$AO$6*0</f>
        <v>0</v>
      </c>
      <c r="CJ113" s="88" t="n">
        <f aca="false">CH113+CJ112</f>
        <v>214.013496922846</v>
      </c>
      <c r="CK113" s="88" t="n">
        <f aca="false">CI113+CK112</f>
        <v>70</v>
      </c>
      <c r="CL113" s="88" t="n">
        <f aca="false">MAX(CL112,CJ113-CK113)</f>
        <v>144.013496922846</v>
      </c>
      <c r="CM113" s="88" t="n">
        <f aca="false">CL113-CL112</f>
        <v>1.87931088099015</v>
      </c>
      <c r="CN113" s="88" t="n">
        <f aca="false">IF(B113=2026,INDEX($C$17:$Q$17,1,B113-2025)*$AO$4*C113/MAX(0.0001,12-$AO$3),INDEX($C$17:$Q$17,1,B113-2025)/12)</f>
        <v>8.1830083652082</v>
      </c>
      <c r="CO113" s="88" t="n">
        <f aca="false">$AO$6*0</f>
        <v>0</v>
      </c>
      <c r="CP113" s="88" t="n">
        <f aca="false">CN113+CP112</f>
        <v>931.870428305307</v>
      </c>
      <c r="CQ113" s="88" t="n">
        <f aca="false">CO113+CQ112</f>
        <v>221</v>
      </c>
      <c r="CR113" s="88" t="n">
        <f aca="false">MAX(CR112,CP113-CQ113)</f>
        <v>710.870428305307</v>
      </c>
      <c r="CS113" s="88" t="n">
        <f aca="false">CR113-CR112</f>
        <v>8.18300836520825</v>
      </c>
      <c r="CT113" s="88" t="n">
        <f aca="false">IF(B113=2026,INDEX($C$18:$Q$18,1,B113-2025)*$AO$4*C113/MAX(0.0001,12-$AO$3),INDEX($C$18:$Q$18,1,B113-2025)/12)</f>
        <v>1.70233541686103</v>
      </c>
      <c r="CU113" s="88" t="n">
        <f aca="false">$AO$6*0</f>
        <v>0</v>
      </c>
      <c r="CV113" s="88" t="n">
        <f aca="false">CT113+CV112</f>
        <v>193.859759544461</v>
      </c>
      <c r="CW113" s="88" t="n">
        <f aca="false">CU113+CW112</f>
        <v>11</v>
      </c>
      <c r="CX113" s="88" t="n">
        <f aca="false">MAX(CX112,CV113-CW113)</f>
        <v>182.859759544461</v>
      </c>
      <c r="CY113" s="88" t="n">
        <f aca="false">CX113-CX112</f>
        <v>1.70233541686102</v>
      </c>
      <c r="CZ113" s="88" t="n">
        <f aca="false">IF(B113=2026,INDEX($C$19:$Q$19,1,B113-2025)*$AO$4*C113/MAX(0.0001,12-$AO$3),INDEX($C$19:$Q$19,1,B113-2025)/12)</f>
        <v>1.68548061075349</v>
      </c>
      <c r="DA113" s="88" t="n">
        <f aca="false">$AO$6*0</f>
        <v>0</v>
      </c>
      <c r="DB113" s="88" t="n">
        <f aca="false">CZ113+DB112</f>
        <v>191.940355984615</v>
      </c>
      <c r="DC113" s="88" t="n">
        <f aca="false">DA113+DC112</f>
        <v>226</v>
      </c>
      <c r="DD113" s="88" t="n">
        <f aca="false">MAX(DD112,DB113-DC113)</f>
        <v>37.132124495359</v>
      </c>
      <c r="DE113" s="88" t="n">
        <f aca="false">DD113-DD112</f>
        <v>0</v>
      </c>
      <c r="DF113" s="88" t="n">
        <f aca="false">IF(B113=2026,INDEX($C$20:$Q$20,1,B113-2025)*$AO$4*C113/MAX(0.0001,12-$AO$3),INDEX($C$20:$Q$20,1,B113-2025)/12)</f>
        <v>1.37366669776409</v>
      </c>
      <c r="DG113" s="88" t="n">
        <f aca="false">$AO$6*0</f>
        <v>0</v>
      </c>
      <c r="DH113" s="88" t="n">
        <f aca="false">DF113+DH112</f>
        <v>156.431390127461</v>
      </c>
      <c r="DI113" s="88" t="n">
        <f aca="false">DG113+DI112</f>
        <v>0</v>
      </c>
      <c r="DJ113" s="88" t="n">
        <f aca="false">MAX(DJ112,DH113-DI113)</f>
        <v>156.431390127461</v>
      </c>
      <c r="DK113" s="88" t="n">
        <f aca="false">DJ113-DJ112</f>
        <v>1.37366669776409</v>
      </c>
      <c r="DL113" s="88" t="n">
        <f aca="false">IF(B113=2026,INDEX($C$21:$Q$21,1,B113-2025)*$AO$4*C113/MAX(0.0001,12-$AO$3),INDEX($C$21:$Q$21,1,B113-2025)/12)</f>
        <v>0.96072394812949</v>
      </c>
      <c r="DM113" s="88" t="n">
        <f aca="false">$AO$6*0</f>
        <v>0</v>
      </c>
      <c r="DN113" s="88" t="n">
        <f aca="false">DL113+DN112</f>
        <v>109.40600291123</v>
      </c>
      <c r="DO113" s="88" t="n">
        <f aca="false">DM113+DO112</f>
        <v>100</v>
      </c>
      <c r="DP113" s="88" t="n">
        <f aca="false">MAX(DP112,DN113-DO113)</f>
        <v>17.7483109623547</v>
      </c>
      <c r="DQ113" s="88" t="n">
        <f aca="false">DP113-DP112</f>
        <v>0</v>
      </c>
      <c r="DR113" s="88" t="n">
        <f aca="false">IF(B113=2026,INDEX($C$22:$Q$22,1,B113-2025)*$AO$4*C113/MAX(0.0001,12-$AO$3),INDEX($C$22:$Q$22,1,B113-2025)/12)</f>
        <v>0.750038871785304</v>
      </c>
      <c r="DS113" s="88" t="n">
        <f aca="false">$AO$6*0</f>
        <v>0</v>
      </c>
      <c r="DT113" s="88" t="n">
        <f aca="false">DR113+DT112</f>
        <v>85.4134584131537</v>
      </c>
      <c r="DU113" s="88" t="n">
        <f aca="false">DS113+DU112</f>
        <v>29</v>
      </c>
      <c r="DV113" s="88" t="n">
        <f aca="false">MAX(DV112,DT113-DU113)</f>
        <v>56.4134584131537</v>
      </c>
      <c r="DW113" s="88" t="n">
        <f aca="false">DV113-DV112</f>
        <v>0.750038871785307</v>
      </c>
      <c r="DX113" s="88" t="n">
        <f aca="false">IF(B113=2026,INDEX($C$23:$Q$23,1,B113-2025)*$AO$4*C113/MAX(0.0001,12-$AO$3),INDEX($C$23:$Q$23,1,B113-2025)/12)</f>
        <v>1.20511863668875</v>
      </c>
      <c r="DY113" s="88" t="n">
        <f aca="false">$AO$6*0</f>
        <v>0</v>
      </c>
      <c r="DZ113" s="88" t="n">
        <f aca="false">DX113+DZ112</f>
        <v>137.237354529</v>
      </c>
      <c r="EA113" s="88" t="n">
        <f aca="false">DY113+EA112</f>
        <v>121</v>
      </c>
      <c r="EB113" s="88" t="n">
        <f aca="false">MAX(EB112,DZ113-EA113)</f>
        <v>35.0579690141817</v>
      </c>
      <c r="EC113" s="88" t="n">
        <f aca="false">EB113-EB112</f>
        <v>0</v>
      </c>
      <c r="ED113" s="88" t="n">
        <f aca="false">IF(B113=2026,INDEX($C$24:$Q$24,1,B113-2025)*$AO$4*C113/MAX(0.0001,12-$AO$3),INDEX($C$24:$Q$24,1,B113-2025)/12)</f>
        <v>0.741611468731536</v>
      </c>
      <c r="EE113" s="88" t="n">
        <f aca="false">$AO$6*0</f>
        <v>0</v>
      </c>
      <c r="EF113" s="88" t="n">
        <f aca="false">ED113+EF112</f>
        <v>84.4537566332306</v>
      </c>
      <c r="EG113" s="88" t="n">
        <f aca="false">EE113+EG112</f>
        <v>0</v>
      </c>
      <c r="EH113" s="88" t="n">
        <f aca="false">MAX(EH112,EF113-EG113)</f>
        <v>84.4537566332306</v>
      </c>
      <c r="EI113" s="88" t="n">
        <f aca="false">EH113-EH112</f>
        <v>0.741611468731534</v>
      </c>
      <c r="EJ113" s="88" t="n">
        <f aca="false">IF(B113=2026,INDEX($C$25:$Q$25,1,B113-2025)*$AO$4*C113/MAX(0.0001,12-$AO$3),INDEX($C$25:$Q$25,1,B113-2025)/12)</f>
        <v>0.943869142021955</v>
      </c>
      <c r="EK113" s="88" t="n">
        <f aca="false">$AO$6*0</f>
        <v>0</v>
      </c>
      <c r="EL113" s="88" t="n">
        <f aca="false">EJ113+EL112</f>
        <v>107.486599351384</v>
      </c>
      <c r="EM113" s="88" t="n">
        <f aca="false">EK113+EM112</f>
        <v>14</v>
      </c>
      <c r="EN113" s="88" t="n">
        <f aca="false">MAX(EN112,EL113-EM113)</f>
        <v>93.4865993513844</v>
      </c>
      <c r="EO113" s="88" t="n">
        <f aca="false">EN113-EN112</f>
        <v>0.943869142021953</v>
      </c>
      <c r="EP113" s="88" t="n">
        <f aca="false">IF(B113=2026,INDEX($C$26:$Q$26,1,B113-2025)*$AO$4*C113/MAX(0.0001,12-$AO$3),INDEX($C$26:$Q$26,1,B113-2025)/12)</f>
        <v>1.35681189165656</v>
      </c>
      <c r="EQ113" s="88" t="n">
        <f aca="false">$AO$6*0</f>
        <v>0</v>
      </c>
      <c r="ER113" s="88" t="n">
        <f aca="false">EP113+ER112</f>
        <v>154.511986567615</v>
      </c>
      <c r="ES113" s="88" t="n">
        <f aca="false">EQ113+ES112</f>
        <v>4</v>
      </c>
      <c r="ET113" s="88" t="n">
        <f aca="false">MAX(ET112,ER113-ES113)</f>
        <v>150.511986567615</v>
      </c>
      <c r="EU113" s="88" t="n">
        <f aca="false">ET113-ET112</f>
        <v>1.35681189165655</v>
      </c>
      <c r="EV113" s="88" t="n">
        <f aca="false">IF(B113=2026,INDEX($C$27:$Q$27,1,B113-2025)*$AO$4*C113/MAX(0.0001,12-$AO$3),INDEX($C$27:$Q$27,1,B113-2025)/12)</f>
        <v>3.37096122150698</v>
      </c>
      <c r="EW113" s="88" t="n">
        <f aca="false">$AO$6*0</f>
        <v>0</v>
      </c>
      <c r="EX113" s="88" t="n">
        <f aca="false">EV113+EX112</f>
        <v>383.88071196923</v>
      </c>
      <c r="EY113" s="88" t="n">
        <f aca="false">EW113+EY112</f>
        <v>391</v>
      </c>
      <c r="EZ113" s="88" t="n">
        <f aca="false">MAX(EZ112,EX113-EY113)</f>
        <v>0</v>
      </c>
      <c r="FA113" s="88" t="n">
        <f aca="false">EZ113-EZ112</f>
        <v>0</v>
      </c>
      <c r="FB113" s="88" t="n">
        <f aca="false">IF(B113=2026,INDEX($C$28:$Q$28,1,B113-2025)*$AO$4*C113/MAX(0.0001,12-$AO$3),INDEX($C$28:$Q$28,1,B113-2025)/12)</f>
        <v>17.646981994589</v>
      </c>
      <c r="FC113" s="88" t="n">
        <f aca="false">$AO$6*0</f>
        <v>0</v>
      </c>
      <c r="FD113" s="88" t="n">
        <f aca="false">FB113+FD112</f>
        <v>2009.61552715892</v>
      </c>
      <c r="FE113" s="88" t="n">
        <f aca="false">FC113+FE112</f>
        <v>169</v>
      </c>
      <c r="FF113" s="88" t="n">
        <f aca="false">MAX(FF112,FD113-FE113)</f>
        <v>1840.61552715892</v>
      </c>
      <c r="FG113" s="88" t="n">
        <f aca="false">FF113-FF112</f>
        <v>17.6469819945889</v>
      </c>
    </row>
    <row r="114" customFormat="false" ht="15" hidden="false" customHeight="false" outlineLevel="0" collapsed="false">
      <c r="A114" s="0" t="n">
        <v>74</v>
      </c>
      <c r="B114" s="88" t="n">
        <f aca="false">2026+INT(A114/12)</f>
        <v>2032</v>
      </c>
      <c r="C114" s="88" t="n">
        <f aca="false">MAX(0,MIN(1,A114+1-$AO$3))</f>
        <v>1</v>
      </c>
      <c r="D114" s="88" t="n">
        <f aca="false">IF((A114+0.5-(0))&lt;$AO$3,0,2026+INT((A114+0.5-(0))/12))</f>
        <v>2032</v>
      </c>
      <c r="E114" s="88" t="n">
        <f aca="false">IF((A114+0.5-($AO$9))&lt;$AO$3,0,2026+INT((A114+0.5-($AO$9))/12))</f>
        <v>2030</v>
      </c>
      <c r="F114" s="88" t="n">
        <f aca="false">IF((A114+0.5-($AO$9+$AO$8))&lt;$AO$3,0,2026+INT((A114+0.5-($AO$9+$AO$8))/12))</f>
        <v>2029</v>
      </c>
      <c r="G114" s="88" t="n">
        <f aca="false">IF((A114+0.5-($AO$9+$AO$8+$AO$7))&lt;$AO$3,0,2026+INT((A114+0.5-($AO$9+$AO$8+$AO$7))/12))</f>
        <v>2029</v>
      </c>
      <c r="H114" s="88" t="n">
        <f aca="false">IF(B114=2026,INDEX($C$3:$Q$3,1,B114-2025)*$AO$4*C114/MAX(0.0001,12-$AO$3),INDEX($C$3:$Q$3,1,B114-2025)/12)</f>
        <v>180.666666666667</v>
      </c>
      <c r="I114" s="88" t="n">
        <f aca="false">$AO$6*0</f>
        <v>0</v>
      </c>
      <c r="J114" s="88" t="n">
        <f aca="false">H114+J113</f>
        <v>20754.7534246576</v>
      </c>
      <c r="K114" s="88" t="n">
        <f aca="false">I114+K113</f>
        <v>8695.00000000001</v>
      </c>
      <c r="L114" s="88" t="n">
        <f aca="false">MAX(L113,J114-K114)</f>
        <v>12059.7534246575</v>
      </c>
      <c r="M114" s="88" t="n">
        <f aca="false">L114-L113</f>
        <v>180.666666666668</v>
      </c>
      <c r="N114" s="88" t="n">
        <f aca="false">IF(B114=2026,INDEX($C$4:$Q$4,1,B114-2025)*$AO$4*C114/MAX(0.0001,12-$AO$3),INDEX($C$4:$Q$4,1,B114-2025)/12)</f>
        <v>5.47724540066293</v>
      </c>
      <c r="O114" s="88" t="n">
        <f aca="false">$AO$6*0</f>
        <v>0</v>
      </c>
      <c r="P114" s="88" t="n">
        <f aca="false">N114+P113</f>
        <v>629.218880463646</v>
      </c>
      <c r="Q114" s="88" t="n">
        <f aca="false">O114+Q113</f>
        <v>398</v>
      </c>
      <c r="R114" s="88" t="n">
        <f aca="false">MAX(R113,P114-Q114)</f>
        <v>231.218880463646</v>
      </c>
      <c r="S114" s="88" t="n">
        <f aca="false">R114-R113</f>
        <v>5.47724540066292</v>
      </c>
      <c r="T114" s="88" t="n">
        <f aca="false">IF(B114=2026,INDEX($C$5:$Q$5,1,B114-2025)*$AO$4*C114/MAX(0.0001,12-$AO$3),INDEX($C$5:$Q$5,1,B114-2025)/12)</f>
        <v>22.2615024358139</v>
      </c>
      <c r="U114" s="88" t="n">
        <f aca="false">$AO$6*0</f>
        <v>0</v>
      </c>
      <c r="V114" s="88" t="n">
        <f aca="false">T114+V113</f>
        <v>2557.37266006124</v>
      </c>
      <c r="W114" s="88" t="n">
        <f aca="false">U114+W113</f>
        <v>1115</v>
      </c>
      <c r="X114" s="88" t="n">
        <f aca="false">MAX(X113,V114-W114)</f>
        <v>1442.37266006124</v>
      </c>
      <c r="Y114" s="88" t="n">
        <f aca="false">X114-X113</f>
        <v>22.2615024358138</v>
      </c>
      <c r="Z114" s="88" t="n">
        <f aca="false">IF(B114=2026,INDEX($C$6:$Q$6,1,B114-2025)*$AO$4*C114/MAX(0.0001,12-$AO$3),INDEX($C$6:$Q$6,1,B114-2025)/12)</f>
        <v>26.4114629913323</v>
      </c>
      <c r="AA114" s="88" t="n">
        <f aca="false">$AO$6*0</f>
        <v>0</v>
      </c>
      <c r="AB114" s="88" t="n">
        <f aca="false">Z114+AB113</f>
        <v>3034.11477104928</v>
      </c>
      <c r="AC114" s="88" t="n">
        <f aca="false">AA114+AC113</f>
        <v>2194</v>
      </c>
      <c r="AD114" s="88" t="n">
        <f aca="false">MAX(AD113,AB114-AC114)</f>
        <v>1335.64282617929</v>
      </c>
      <c r="AE114" s="88" t="n">
        <f aca="false">AD114-AD113</f>
        <v>0</v>
      </c>
      <c r="AF114" s="88" t="n">
        <f aca="false">IF(B114=2026,INDEX($C$7:$Q$7,1,B114-2025)*$AO$4*C114/MAX(0.0001,12-$AO$3),INDEX($C$7:$Q$7,1,B114-2025)/12)</f>
        <v>22.9427081739175</v>
      </c>
      <c r="AG114" s="88" t="n">
        <f aca="false">$AO$6*0</f>
        <v>0</v>
      </c>
      <c r="AH114" s="88" t="n">
        <f aca="false">AF114+AH113</f>
        <v>2635.6286958129</v>
      </c>
      <c r="AI114" s="88" t="n">
        <f aca="false">AG114+AI113</f>
        <v>826</v>
      </c>
      <c r="AJ114" s="88" t="n">
        <f aca="false">MAX(AJ113,AH114-AI114)</f>
        <v>1809.6286958129</v>
      </c>
      <c r="AK114" s="88" t="n">
        <f aca="false">AJ114-AJ113</f>
        <v>22.9427081739173</v>
      </c>
      <c r="AL114" s="88" t="n">
        <f aca="false">IF(B114=2026,INDEX($C$8:$Q$8,1,B114-2025)*$AO$4*C114/MAX(0.0001,12-$AO$3),INDEX($C$8:$Q$8,1,B114-2025)/12)</f>
        <v>5.80342126052833</v>
      </c>
      <c r="AM114" s="88" t="n">
        <f aca="false">$AO$6*0</f>
        <v>0</v>
      </c>
      <c r="AN114" s="88" t="n">
        <f aca="false">AL114+AN113</f>
        <v>666.689542149525</v>
      </c>
      <c r="AO114" s="88" t="n">
        <f aca="false">AM114+AO113</f>
        <v>66</v>
      </c>
      <c r="AP114" s="88" t="n">
        <f aca="false">MAX(AP113,AN114-AO114)</f>
        <v>600.689542149525</v>
      </c>
      <c r="AQ114" s="88" t="n">
        <f aca="false">AP114-AP113</f>
        <v>5.80342126052835</v>
      </c>
      <c r="AR114" s="88" t="n">
        <f aca="false">IF(B114=2026,INDEX($C$9:$Q$9,1,B114-2025)*$AO$4*C114/MAX(0.0001,12-$AO$3),INDEX($C$9:$Q$9,1,B114-2025)/12)</f>
        <v>24.7454570609428</v>
      </c>
      <c r="AS114" s="88" t="n">
        <f aca="false">$AO$6*0</f>
        <v>0</v>
      </c>
      <c r="AT114" s="88" t="n">
        <f aca="false">AR114+AT113</f>
        <v>2842.72616059217</v>
      </c>
      <c r="AU114" s="88" t="n">
        <f aca="false">AS114+AU113</f>
        <v>1810</v>
      </c>
      <c r="AV114" s="88" t="n">
        <f aca="false">MAX(AV113,AT114-AU114)</f>
        <v>1032.72616059217</v>
      </c>
      <c r="AW114" s="88" t="n">
        <f aca="false">AV114-AV113</f>
        <v>24.745457060943</v>
      </c>
      <c r="AX114" s="88" t="n">
        <f aca="false">IF(B114=2026,INDEX($C$10:$Q$10,1,B114-2025)*$AO$4*C114/MAX(0.0001,12-$AO$3),INDEX($C$10:$Q$10,1,B114-2025)/12)</f>
        <v>2.87034756681557</v>
      </c>
      <c r="AY114" s="88" t="n">
        <f aca="false">$AO$6*0</f>
        <v>0</v>
      </c>
      <c r="AZ114" s="88" t="n">
        <f aca="false">AX114+AZ113</f>
        <v>329.741822835735</v>
      </c>
      <c r="BA114" s="88" t="n">
        <f aca="false">AY114+BA113</f>
        <v>50</v>
      </c>
      <c r="BB114" s="88" t="n">
        <f aca="false">MAX(BB113,AZ114-BA114)</f>
        <v>279.741822835735</v>
      </c>
      <c r="BC114" s="88" t="n">
        <f aca="false">BB114-BB113</f>
        <v>2.87034756681555</v>
      </c>
      <c r="BD114" s="88" t="n">
        <f aca="false">IF(B114=2026,INDEX($C$11:$Q$11,1,B114-2025)*$AO$4*C114/MAX(0.0001,12-$AO$3),INDEX($C$11:$Q$11,1,B114-2025)/12)</f>
        <v>14.2639212564218</v>
      </c>
      <c r="BE114" s="88" t="n">
        <f aca="false">$AO$6*0</f>
        <v>0</v>
      </c>
      <c r="BF114" s="88" t="n">
        <f aca="false">BD114+BF113</f>
        <v>1638.62085910941</v>
      </c>
      <c r="BG114" s="88" t="n">
        <f aca="false">BE114+BG113</f>
        <v>240</v>
      </c>
      <c r="BH114" s="88" t="n">
        <f aca="false">MAX(BH113,BF114-BG114)</f>
        <v>1398.62085910941</v>
      </c>
      <c r="BI114" s="88" t="n">
        <f aca="false">BH114-BH113</f>
        <v>14.2639212564218</v>
      </c>
      <c r="BJ114" s="88" t="n">
        <f aca="false">IF(B114=2026,INDEX($C$12:$Q$12,1,B114-2025)*$AO$4*C114/MAX(0.0001,12-$AO$3),INDEX($C$12:$Q$12,1,B114-2025)/12)</f>
        <v>7.82069350154207</v>
      </c>
      <c r="BK114" s="88" t="n">
        <f aca="false">$AO$6*0</f>
        <v>0</v>
      </c>
      <c r="BL114" s="88" t="n">
        <f aca="false">BJ114+BL113</f>
        <v>898.431172883731</v>
      </c>
      <c r="BM114" s="88" t="n">
        <f aca="false">BK114+BM113</f>
        <v>465</v>
      </c>
      <c r="BN114" s="88" t="n">
        <f aca="false">MAX(BN113,BL114-BM114)</f>
        <v>620.1207703606</v>
      </c>
      <c r="BO114" s="88" t="n">
        <f aca="false">BN114-BN113</f>
        <v>0</v>
      </c>
      <c r="BP114" s="88" t="n">
        <f aca="false">IF(B114=2026,INDEX($C$13:$Q$13,1,B114-2025)*$AO$4*C114/MAX(0.0001,12-$AO$3),INDEX($C$13:$Q$13,1,B114-2025)/12)</f>
        <v>2.44394688559256</v>
      </c>
      <c r="BQ114" s="88" t="n">
        <f aca="false">$AO$6*0</f>
        <v>0</v>
      </c>
      <c r="BR114" s="88" t="n">
        <f aca="false">BP114+BR113</f>
        <v>280.757463063284</v>
      </c>
      <c r="BS114" s="88" t="n">
        <f aca="false">BQ114+BS113</f>
        <v>87</v>
      </c>
      <c r="BT114" s="88" t="n">
        <f aca="false">MAX(BT113,BR114-BS114)</f>
        <v>193.757463063284</v>
      </c>
      <c r="BU114" s="88" t="n">
        <f aca="false">BT114-BT113</f>
        <v>2.44394688559254</v>
      </c>
      <c r="BV114" s="88" t="n">
        <f aca="false">IF(B114=2026,INDEX($C$14:$Q$14,1,B114-2025)*$AO$4*C114/MAX(0.0001,12-$AO$3),INDEX($C$14:$Q$14,1,B114-2025)/12)</f>
        <v>1.449513325248</v>
      </c>
      <c r="BW114" s="88" t="n">
        <f aca="false">$AO$6*0</f>
        <v>0</v>
      </c>
      <c r="BX114" s="88" t="n">
        <f aca="false">BV114+BX113</f>
        <v>166.518219472017</v>
      </c>
      <c r="BY114" s="88" t="n">
        <f aca="false">BW114+BY113</f>
        <v>0</v>
      </c>
      <c r="BZ114" s="88" t="n">
        <f aca="false">MAX(BZ113,BX114-BY114)</f>
        <v>166.518219472017</v>
      </c>
      <c r="CA114" s="88" t="n">
        <f aca="false">BZ114-BZ113</f>
        <v>1.44951332524801</v>
      </c>
      <c r="CB114" s="88" t="n">
        <f aca="false">IF(B114=2026,INDEX($C$15:$Q$15,1,B114-2025)*$AO$4*C114/MAX(0.0001,12-$AO$3),INDEX($C$15:$Q$15,1,B114-2025)/12)</f>
        <v>2.37652766116242</v>
      </c>
      <c r="CC114" s="88" t="n">
        <f aca="false">$AO$6*0</f>
        <v>0</v>
      </c>
      <c r="CD114" s="88" t="n">
        <f aca="false">CB114+CD113</f>
        <v>273.012429599469</v>
      </c>
      <c r="CE114" s="88" t="n">
        <f aca="false">CC114+CE113</f>
        <v>88.0000000000001</v>
      </c>
      <c r="CF114" s="88" t="n">
        <f aca="false">MAX(CF113,CD114-CE114)</f>
        <v>185.012429599469</v>
      </c>
      <c r="CG114" s="88" t="n">
        <f aca="false">CF114-CF113</f>
        <v>2.37652766116241</v>
      </c>
      <c r="CH114" s="88" t="n">
        <f aca="false">IF(B114=2026,INDEX($C$16:$Q$16,1,B114-2025)*$AO$4*C114/MAX(0.0001,12-$AO$3),INDEX($C$16:$Q$16,1,B114-2025)/12)</f>
        <v>1.87931088099014</v>
      </c>
      <c r="CI114" s="88" t="n">
        <f aca="false">$AO$6*0</f>
        <v>0</v>
      </c>
      <c r="CJ114" s="88" t="n">
        <f aca="false">CH114+CJ113</f>
        <v>215.892807803836</v>
      </c>
      <c r="CK114" s="88" t="n">
        <f aca="false">CI114+CK113</f>
        <v>70</v>
      </c>
      <c r="CL114" s="88" t="n">
        <f aca="false">MAX(CL113,CJ114-CK114)</f>
        <v>145.892807803836</v>
      </c>
      <c r="CM114" s="88" t="n">
        <f aca="false">CL114-CL113</f>
        <v>1.87931088099015</v>
      </c>
      <c r="CN114" s="88" t="n">
        <f aca="false">IF(B114=2026,INDEX($C$17:$Q$17,1,B114-2025)*$AO$4*C114/MAX(0.0001,12-$AO$3),INDEX($C$17:$Q$17,1,B114-2025)/12)</f>
        <v>8.1830083652082</v>
      </c>
      <c r="CO114" s="88" t="n">
        <f aca="false">$AO$6*0</f>
        <v>0</v>
      </c>
      <c r="CP114" s="88" t="n">
        <f aca="false">CN114+CP113</f>
        <v>940.053436670515</v>
      </c>
      <c r="CQ114" s="88" t="n">
        <f aca="false">CO114+CQ113</f>
        <v>221</v>
      </c>
      <c r="CR114" s="88" t="n">
        <f aca="false">MAX(CR113,CP114-CQ114)</f>
        <v>719.053436670515</v>
      </c>
      <c r="CS114" s="88" t="n">
        <f aca="false">CR114-CR113</f>
        <v>8.18300836520825</v>
      </c>
      <c r="CT114" s="88" t="n">
        <f aca="false">IF(B114=2026,INDEX($C$18:$Q$18,1,B114-2025)*$AO$4*C114/MAX(0.0001,12-$AO$3),INDEX($C$18:$Q$18,1,B114-2025)/12)</f>
        <v>1.70233541686103</v>
      </c>
      <c r="CU114" s="88" t="n">
        <f aca="false">$AO$6*0</f>
        <v>0</v>
      </c>
      <c r="CV114" s="88" t="n">
        <f aca="false">CT114+CV113</f>
        <v>195.562094961322</v>
      </c>
      <c r="CW114" s="88" t="n">
        <f aca="false">CU114+CW113</f>
        <v>11</v>
      </c>
      <c r="CX114" s="88" t="n">
        <f aca="false">MAX(CX113,CV114-CW114)</f>
        <v>184.562094961322</v>
      </c>
      <c r="CY114" s="88" t="n">
        <f aca="false">CX114-CX113</f>
        <v>1.70233541686102</v>
      </c>
      <c r="CZ114" s="88" t="n">
        <f aca="false">IF(B114=2026,INDEX($C$19:$Q$19,1,B114-2025)*$AO$4*C114/MAX(0.0001,12-$AO$3),INDEX($C$19:$Q$19,1,B114-2025)/12)</f>
        <v>1.68548061075349</v>
      </c>
      <c r="DA114" s="88" t="n">
        <f aca="false">$AO$6*0</f>
        <v>0</v>
      </c>
      <c r="DB114" s="88" t="n">
        <f aca="false">CZ114+DB113</f>
        <v>193.625836595368</v>
      </c>
      <c r="DC114" s="88" t="n">
        <f aca="false">DA114+DC113</f>
        <v>226</v>
      </c>
      <c r="DD114" s="88" t="n">
        <f aca="false">MAX(DD113,DB114-DC114)</f>
        <v>37.132124495359</v>
      </c>
      <c r="DE114" s="88" t="n">
        <f aca="false">DD114-DD113</f>
        <v>0</v>
      </c>
      <c r="DF114" s="88" t="n">
        <f aca="false">IF(B114=2026,INDEX($C$20:$Q$20,1,B114-2025)*$AO$4*C114/MAX(0.0001,12-$AO$3),INDEX($C$20:$Q$20,1,B114-2025)/12)</f>
        <v>1.37366669776409</v>
      </c>
      <c r="DG114" s="88" t="n">
        <f aca="false">$AO$6*0</f>
        <v>0</v>
      </c>
      <c r="DH114" s="88" t="n">
        <f aca="false">DF114+DH113</f>
        <v>157.805056825225</v>
      </c>
      <c r="DI114" s="88" t="n">
        <f aca="false">DG114+DI113</f>
        <v>0</v>
      </c>
      <c r="DJ114" s="88" t="n">
        <f aca="false">MAX(DJ113,DH114-DI114)</f>
        <v>157.805056825225</v>
      </c>
      <c r="DK114" s="88" t="n">
        <f aca="false">DJ114-DJ113</f>
        <v>1.37366669776409</v>
      </c>
      <c r="DL114" s="88" t="n">
        <f aca="false">IF(B114=2026,INDEX($C$21:$Q$21,1,B114-2025)*$AO$4*C114/MAX(0.0001,12-$AO$3),INDEX($C$21:$Q$21,1,B114-2025)/12)</f>
        <v>0.96072394812949</v>
      </c>
      <c r="DM114" s="88" t="n">
        <f aca="false">$AO$6*0</f>
        <v>0</v>
      </c>
      <c r="DN114" s="88" t="n">
        <f aca="false">DL114+DN113</f>
        <v>110.36672685936</v>
      </c>
      <c r="DO114" s="88" t="n">
        <f aca="false">DM114+DO113</f>
        <v>100</v>
      </c>
      <c r="DP114" s="88" t="n">
        <f aca="false">MAX(DP113,DN114-DO114)</f>
        <v>17.7483109623547</v>
      </c>
      <c r="DQ114" s="88" t="n">
        <f aca="false">DP114-DP113</f>
        <v>0</v>
      </c>
      <c r="DR114" s="88" t="n">
        <f aca="false">IF(B114=2026,INDEX($C$22:$Q$22,1,B114-2025)*$AO$4*C114/MAX(0.0001,12-$AO$3),INDEX($C$22:$Q$22,1,B114-2025)/12)</f>
        <v>0.750038871785304</v>
      </c>
      <c r="DS114" s="88" t="n">
        <f aca="false">$AO$6*0</f>
        <v>0</v>
      </c>
      <c r="DT114" s="88" t="n">
        <f aca="false">DR114+DT113</f>
        <v>86.163497284939</v>
      </c>
      <c r="DU114" s="88" t="n">
        <f aca="false">DS114+DU113</f>
        <v>29</v>
      </c>
      <c r="DV114" s="88" t="n">
        <f aca="false">MAX(DV113,DT114-DU114)</f>
        <v>57.163497284939</v>
      </c>
      <c r="DW114" s="88" t="n">
        <f aca="false">DV114-DV113</f>
        <v>0.750038871785307</v>
      </c>
      <c r="DX114" s="88" t="n">
        <f aca="false">IF(B114=2026,INDEX($C$23:$Q$23,1,B114-2025)*$AO$4*C114/MAX(0.0001,12-$AO$3),INDEX($C$23:$Q$23,1,B114-2025)/12)</f>
        <v>1.20511863668875</v>
      </c>
      <c r="DY114" s="88" t="n">
        <f aca="false">$AO$6*0</f>
        <v>0</v>
      </c>
      <c r="DZ114" s="88" t="n">
        <f aca="false">DX114+DZ113</f>
        <v>138.442473165688</v>
      </c>
      <c r="EA114" s="88" t="n">
        <f aca="false">DY114+EA113</f>
        <v>121</v>
      </c>
      <c r="EB114" s="88" t="n">
        <f aca="false">MAX(EB113,DZ114-EA114)</f>
        <v>35.0579690141817</v>
      </c>
      <c r="EC114" s="88" t="n">
        <f aca="false">EB114-EB113</f>
        <v>0</v>
      </c>
      <c r="ED114" s="88" t="n">
        <f aca="false">IF(B114=2026,INDEX($C$24:$Q$24,1,B114-2025)*$AO$4*C114/MAX(0.0001,12-$AO$3),INDEX($C$24:$Q$24,1,B114-2025)/12)</f>
        <v>0.741611468731536</v>
      </c>
      <c r="EE114" s="88" t="n">
        <f aca="false">$AO$6*0</f>
        <v>0</v>
      </c>
      <c r="EF114" s="88" t="n">
        <f aca="false">ED114+EF113</f>
        <v>85.1953681019621</v>
      </c>
      <c r="EG114" s="88" t="n">
        <f aca="false">EE114+EG113</f>
        <v>0</v>
      </c>
      <c r="EH114" s="88" t="n">
        <f aca="false">MAX(EH113,EF114-EG114)</f>
        <v>85.1953681019621</v>
      </c>
      <c r="EI114" s="88" t="n">
        <f aca="false">EH114-EH113</f>
        <v>0.741611468731534</v>
      </c>
      <c r="EJ114" s="88" t="n">
        <f aca="false">IF(B114=2026,INDEX($C$25:$Q$25,1,B114-2025)*$AO$4*C114/MAX(0.0001,12-$AO$3),INDEX($C$25:$Q$25,1,B114-2025)/12)</f>
        <v>0.943869142021955</v>
      </c>
      <c r="EK114" s="88" t="n">
        <f aca="false">$AO$6*0</f>
        <v>0</v>
      </c>
      <c r="EL114" s="88" t="n">
        <f aca="false">EJ114+EL113</f>
        <v>108.430468493406</v>
      </c>
      <c r="EM114" s="88" t="n">
        <f aca="false">EK114+EM113</f>
        <v>14</v>
      </c>
      <c r="EN114" s="88" t="n">
        <f aca="false">MAX(EN113,EL114-EM114)</f>
        <v>94.4304684934064</v>
      </c>
      <c r="EO114" s="88" t="n">
        <f aca="false">EN114-EN113</f>
        <v>0.943869142021953</v>
      </c>
      <c r="EP114" s="88" t="n">
        <f aca="false">IF(B114=2026,INDEX($C$26:$Q$26,1,B114-2025)*$AO$4*C114/MAX(0.0001,12-$AO$3),INDEX($C$26:$Q$26,1,B114-2025)/12)</f>
        <v>1.35681189165656</v>
      </c>
      <c r="EQ114" s="88" t="n">
        <f aca="false">$AO$6*0</f>
        <v>0</v>
      </c>
      <c r="ER114" s="88" t="n">
        <f aca="false">EP114+ER113</f>
        <v>155.868798459271</v>
      </c>
      <c r="ES114" s="88" t="n">
        <f aca="false">EQ114+ES113</f>
        <v>4</v>
      </c>
      <c r="ET114" s="88" t="n">
        <f aca="false">MAX(ET113,ER114-ES114)</f>
        <v>151.868798459271</v>
      </c>
      <c r="EU114" s="88" t="n">
        <f aca="false">ET114-ET113</f>
        <v>1.35681189165655</v>
      </c>
      <c r="EV114" s="88" t="n">
        <f aca="false">IF(B114=2026,INDEX($C$27:$Q$27,1,B114-2025)*$AO$4*C114/MAX(0.0001,12-$AO$3),INDEX($C$27:$Q$27,1,B114-2025)/12)</f>
        <v>3.37096122150698</v>
      </c>
      <c r="EW114" s="88" t="n">
        <f aca="false">$AO$6*0</f>
        <v>0</v>
      </c>
      <c r="EX114" s="88" t="n">
        <f aca="false">EV114+EX113</f>
        <v>387.251673190737</v>
      </c>
      <c r="EY114" s="88" t="n">
        <f aca="false">EW114+EY113</f>
        <v>391</v>
      </c>
      <c r="EZ114" s="88" t="n">
        <f aca="false">MAX(EZ113,EX114-EY114)</f>
        <v>0</v>
      </c>
      <c r="FA114" s="88" t="n">
        <f aca="false">EZ114-EZ113</f>
        <v>0</v>
      </c>
      <c r="FB114" s="88" t="n">
        <f aca="false">IF(B114=2026,INDEX($C$28:$Q$28,1,B114-2025)*$AO$4*C114/MAX(0.0001,12-$AO$3),INDEX($C$28:$Q$28,1,B114-2025)/12)</f>
        <v>17.646981994589</v>
      </c>
      <c r="FC114" s="88" t="n">
        <f aca="false">$AO$6*0</f>
        <v>0</v>
      </c>
      <c r="FD114" s="88" t="n">
        <f aca="false">FB114+FD113</f>
        <v>2027.2625091535</v>
      </c>
      <c r="FE114" s="88" t="n">
        <f aca="false">FC114+FE113</f>
        <v>169</v>
      </c>
      <c r="FF114" s="88" t="n">
        <f aca="false">MAX(FF113,FD114-FE114)</f>
        <v>1858.2625091535</v>
      </c>
      <c r="FG114" s="88" t="n">
        <f aca="false">FF114-FF113</f>
        <v>17.6469819945889</v>
      </c>
    </row>
    <row r="115" customFormat="false" ht="15" hidden="false" customHeight="false" outlineLevel="0" collapsed="false">
      <c r="A115" s="0" t="n">
        <v>75</v>
      </c>
      <c r="B115" s="88" t="n">
        <f aca="false">2026+INT(A115/12)</f>
        <v>2032</v>
      </c>
      <c r="C115" s="88" t="n">
        <f aca="false">MAX(0,MIN(1,A115+1-$AO$3))</f>
        <v>1</v>
      </c>
      <c r="D115" s="88" t="n">
        <f aca="false">IF((A115+0.5-(0))&lt;$AO$3,0,2026+INT((A115+0.5-(0))/12))</f>
        <v>2032</v>
      </c>
      <c r="E115" s="88" t="n">
        <f aca="false">IF((A115+0.5-($AO$9))&lt;$AO$3,0,2026+INT((A115+0.5-($AO$9))/12))</f>
        <v>2031</v>
      </c>
      <c r="F115" s="88" t="n">
        <f aca="false">IF((A115+0.5-($AO$9+$AO$8))&lt;$AO$3,0,2026+INT((A115+0.5-($AO$9+$AO$8))/12))</f>
        <v>2029</v>
      </c>
      <c r="G115" s="88" t="n">
        <f aca="false">IF((A115+0.5-($AO$9+$AO$8+$AO$7))&lt;$AO$3,0,2026+INT((A115+0.5-($AO$9+$AO$8+$AO$7))/12))</f>
        <v>2029</v>
      </c>
      <c r="H115" s="88" t="n">
        <f aca="false">IF(B115=2026,INDEX($C$3:$Q$3,1,B115-2025)*$AO$4*C115/MAX(0.0001,12-$AO$3),INDEX($C$3:$Q$3,1,B115-2025)/12)</f>
        <v>180.666666666667</v>
      </c>
      <c r="I115" s="88" t="n">
        <f aca="false">$AO$6*0</f>
        <v>0</v>
      </c>
      <c r="J115" s="88" t="n">
        <f aca="false">H115+J114</f>
        <v>20935.4200913242</v>
      </c>
      <c r="K115" s="88" t="n">
        <f aca="false">I115+K114</f>
        <v>8695.00000000001</v>
      </c>
      <c r="L115" s="88" t="n">
        <f aca="false">MAX(L114,J115-K115)</f>
        <v>12240.4200913242</v>
      </c>
      <c r="M115" s="88" t="n">
        <f aca="false">L115-L114</f>
        <v>180.666666666668</v>
      </c>
      <c r="N115" s="88" t="n">
        <f aca="false">IF(B115=2026,INDEX($C$4:$Q$4,1,B115-2025)*$AO$4*C115/MAX(0.0001,12-$AO$3),INDEX($C$4:$Q$4,1,B115-2025)/12)</f>
        <v>5.47724540066293</v>
      </c>
      <c r="O115" s="88" t="n">
        <f aca="false">$AO$6*0</f>
        <v>0</v>
      </c>
      <c r="P115" s="88" t="n">
        <f aca="false">N115+P114</f>
        <v>634.696125864308</v>
      </c>
      <c r="Q115" s="88" t="n">
        <f aca="false">O115+Q114</f>
        <v>398</v>
      </c>
      <c r="R115" s="88" t="n">
        <f aca="false">MAX(R114,P115-Q115)</f>
        <v>236.696125864308</v>
      </c>
      <c r="S115" s="88" t="n">
        <f aca="false">R115-R114</f>
        <v>5.47724540066292</v>
      </c>
      <c r="T115" s="88" t="n">
        <f aca="false">IF(B115=2026,INDEX($C$5:$Q$5,1,B115-2025)*$AO$4*C115/MAX(0.0001,12-$AO$3),INDEX($C$5:$Q$5,1,B115-2025)/12)</f>
        <v>22.2615024358139</v>
      </c>
      <c r="U115" s="88" t="n">
        <f aca="false">$AO$6*0</f>
        <v>0</v>
      </c>
      <c r="V115" s="88" t="n">
        <f aca="false">T115+V114</f>
        <v>2579.63416249705</v>
      </c>
      <c r="W115" s="88" t="n">
        <f aca="false">U115+W114</f>
        <v>1115</v>
      </c>
      <c r="X115" s="88" t="n">
        <f aca="false">MAX(X114,V115-W115)</f>
        <v>1464.63416249705</v>
      </c>
      <c r="Y115" s="88" t="n">
        <f aca="false">X115-X114</f>
        <v>22.2615024358138</v>
      </c>
      <c r="Z115" s="88" t="n">
        <f aca="false">IF(B115=2026,INDEX($C$6:$Q$6,1,B115-2025)*$AO$4*C115/MAX(0.0001,12-$AO$3),INDEX($C$6:$Q$6,1,B115-2025)/12)</f>
        <v>26.4114629913323</v>
      </c>
      <c r="AA115" s="88" t="n">
        <f aca="false">$AO$6*0</f>
        <v>0</v>
      </c>
      <c r="AB115" s="88" t="n">
        <f aca="false">Z115+AB114</f>
        <v>3060.52623404061</v>
      </c>
      <c r="AC115" s="88" t="n">
        <f aca="false">AA115+AC114</f>
        <v>2194</v>
      </c>
      <c r="AD115" s="88" t="n">
        <f aca="false">MAX(AD114,AB115-AC115)</f>
        <v>1335.64282617929</v>
      </c>
      <c r="AE115" s="88" t="n">
        <f aca="false">AD115-AD114</f>
        <v>0</v>
      </c>
      <c r="AF115" s="88" t="n">
        <f aca="false">IF(B115=2026,INDEX($C$7:$Q$7,1,B115-2025)*$AO$4*C115/MAX(0.0001,12-$AO$3),INDEX($C$7:$Q$7,1,B115-2025)/12)</f>
        <v>22.9427081739175</v>
      </c>
      <c r="AG115" s="88" t="n">
        <f aca="false">$AO$6*0</f>
        <v>0</v>
      </c>
      <c r="AH115" s="88" t="n">
        <f aca="false">AF115+AH114</f>
        <v>2658.57140398682</v>
      </c>
      <c r="AI115" s="88" t="n">
        <f aca="false">AG115+AI114</f>
        <v>826</v>
      </c>
      <c r="AJ115" s="88" t="n">
        <f aca="false">MAX(AJ114,AH115-AI115)</f>
        <v>1832.57140398682</v>
      </c>
      <c r="AK115" s="88" t="n">
        <f aca="false">AJ115-AJ114</f>
        <v>22.9427081739173</v>
      </c>
      <c r="AL115" s="88" t="n">
        <f aca="false">IF(B115=2026,INDEX($C$8:$Q$8,1,B115-2025)*$AO$4*C115/MAX(0.0001,12-$AO$3),INDEX($C$8:$Q$8,1,B115-2025)/12)</f>
        <v>5.80342126052833</v>
      </c>
      <c r="AM115" s="88" t="n">
        <f aca="false">$AO$6*0</f>
        <v>0</v>
      </c>
      <c r="AN115" s="88" t="n">
        <f aca="false">AL115+AN114</f>
        <v>672.492963410053</v>
      </c>
      <c r="AO115" s="88" t="n">
        <f aca="false">AM115+AO114</f>
        <v>66</v>
      </c>
      <c r="AP115" s="88" t="n">
        <f aca="false">MAX(AP114,AN115-AO115)</f>
        <v>606.492963410053</v>
      </c>
      <c r="AQ115" s="88" t="n">
        <f aca="false">AP115-AP114</f>
        <v>5.80342126052835</v>
      </c>
      <c r="AR115" s="88" t="n">
        <f aca="false">IF(B115=2026,INDEX($C$9:$Q$9,1,B115-2025)*$AO$4*C115/MAX(0.0001,12-$AO$3),INDEX($C$9:$Q$9,1,B115-2025)/12)</f>
        <v>24.7454570609428</v>
      </c>
      <c r="AS115" s="88" t="n">
        <f aca="false">$AO$6*0</f>
        <v>0</v>
      </c>
      <c r="AT115" s="88" t="n">
        <f aca="false">AR115+AT114</f>
        <v>2867.47161765312</v>
      </c>
      <c r="AU115" s="88" t="n">
        <f aca="false">AS115+AU114</f>
        <v>1810</v>
      </c>
      <c r="AV115" s="88" t="n">
        <f aca="false">MAX(AV114,AT115-AU115)</f>
        <v>1057.47161765312</v>
      </c>
      <c r="AW115" s="88" t="n">
        <f aca="false">AV115-AV114</f>
        <v>24.745457060943</v>
      </c>
      <c r="AX115" s="88" t="n">
        <f aca="false">IF(B115=2026,INDEX($C$10:$Q$10,1,B115-2025)*$AO$4*C115/MAX(0.0001,12-$AO$3),INDEX($C$10:$Q$10,1,B115-2025)/12)</f>
        <v>2.87034756681557</v>
      </c>
      <c r="AY115" s="88" t="n">
        <f aca="false">$AO$6*0</f>
        <v>0</v>
      </c>
      <c r="AZ115" s="88" t="n">
        <f aca="false">AX115+AZ114</f>
        <v>332.612170402551</v>
      </c>
      <c r="BA115" s="88" t="n">
        <f aca="false">AY115+BA114</f>
        <v>50</v>
      </c>
      <c r="BB115" s="88" t="n">
        <f aca="false">MAX(BB114,AZ115-BA115)</f>
        <v>282.612170402551</v>
      </c>
      <c r="BC115" s="88" t="n">
        <f aca="false">BB115-BB114</f>
        <v>2.87034756681555</v>
      </c>
      <c r="BD115" s="88" t="n">
        <f aca="false">IF(B115=2026,INDEX($C$11:$Q$11,1,B115-2025)*$AO$4*C115/MAX(0.0001,12-$AO$3),INDEX($C$11:$Q$11,1,B115-2025)/12)</f>
        <v>14.2639212564218</v>
      </c>
      <c r="BE115" s="88" t="n">
        <f aca="false">$AO$6*0</f>
        <v>0</v>
      </c>
      <c r="BF115" s="88" t="n">
        <f aca="false">BD115+BF114</f>
        <v>1652.88478036583</v>
      </c>
      <c r="BG115" s="88" t="n">
        <f aca="false">BE115+BG114</f>
        <v>240</v>
      </c>
      <c r="BH115" s="88" t="n">
        <f aca="false">MAX(BH114,BF115-BG115)</f>
        <v>1412.88478036583</v>
      </c>
      <c r="BI115" s="88" t="n">
        <f aca="false">BH115-BH114</f>
        <v>14.2639212564218</v>
      </c>
      <c r="BJ115" s="88" t="n">
        <f aca="false">IF(B115=2026,INDEX($C$12:$Q$12,1,B115-2025)*$AO$4*C115/MAX(0.0001,12-$AO$3),INDEX($C$12:$Q$12,1,B115-2025)/12)</f>
        <v>7.82069350154207</v>
      </c>
      <c r="BK115" s="88" t="n">
        <f aca="false">$AO$6*0</f>
        <v>0</v>
      </c>
      <c r="BL115" s="88" t="n">
        <f aca="false">BJ115+BL114</f>
        <v>906.251866385273</v>
      </c>
      <c r="BM115" s="88" t="n">
        <f aca="false">BK115+BM114</f>
        <v>465</v>
      </c>
      <c r="BN115" s="88" t="n">
        <f aca="false">MAX(BN114,BL115-BM115)</f>
        <v>620.1207703606</v>
      </c>
      <c r="BO115" s="88" t="n">
        <f aca="false">BN115-BN114</f>
        <v>0</v>
      </c>
      <c r="BP115" s="88" t="n">
        <f aca="false">IF(B115=2026,INDEX($C$13:$Q$13,1,B115-2025)*$AO$4*C115/MAX(0.0001,12-$AO$3),INDEX($C$13:$Q$13,1,B115-2025)/12)</f>
        <v>2.44394688559256</v>
      </c>
      <c r="BQ115" s="88" t="n">
        <f aca="false">$AO$6*0</f>
        <v>0</v>
      </c>
      <c r="BR115" s="88" t="n">
        <f aca="false">BP115+BR114</f>
        <v>283.201409948877</v>
      </c>
      <c r="BS115" s="88" t="n">
        <f aca="false">BQ115+BS114</f>
        <v>87</v>
      </c>
      <c r="BT115" s="88" t="n">
        <f aca="false">MAX(BT114,BR115-BS115)</f>
        <v>196.201409948877</v>
      </c>
      <c r="BU115" s="88" t="n">
        <f aca="false">BT115-BT114</f>
        <v>2.44394688559254</v>
      </c>
      <c r="BV115" s="88" t="n">
        <f aca="false">IF(B115=2026,INDEX($C$14:$Q$14,1,B115-2025)*$AO$4*C115/MAX(0.0001,12-$AO$3),INDEX($C$14:$Q$14,1,B115-2025)/12)</f>
        <v>1.449513325248</v>
      </c>
      <c r="BW115" s="88" t="n">
        <f aca="false">$AO$6*0</f>
        <v>0</v>
      </c>
      <c r="BX115" s="88" t="n">
        <f aca="false">BV115+BX114</f>
        <v>167.967732797265</v>
      </c>
      <c r="BY115" s="88" t="n">
        <f aca="false">BW115+BY114</f>
        <v>0</v>
      </c>
      <c r="BZ115" s="88" t="n">
        <f aca="false">MAX(BZ114,BX115-BY115)</f>
        <v>167.967732797265</v>
      </c>
      <c r="CA115" s="88" t="n">
        <f aca="false">BZ115-BZ114</f>
        <v>1.44951332524801</v>
      </c>
      <c r="CB115" s="88" t="n">
        <f aca="false">IF(B115=2026,INDEX($C$15:$Q$15,1,B115-2025)*$AO$4*C115/MAX(0.0001,12-$AO$3),INDEX($C$15:$Q$15,1,B115-2025)/12)</f>
        <v>2.37652766116242</v>
      </c>
      <c r="CC115" s="88" t="n">
        <f aca="false">$AO$6*0</f>
        <v>0</v>
      </c>
      <c r="CD115" s="88" t="n">
        <f aca="false">CB115+CD114</f>
        <v>275.388957260631</v>
      </c>
      <c r="CE115" s="88" t="n">
        <f aca="false">CC115+CE114</f>
        <v>88.0000000000001</v>
      </c>
      <c r="CF115" s="88" t="n">
        <f aca="false">MAX(CF114,CD115-CE115)</f>
        <v>187.388957260631</v>
      </c>
      <c r="CG115" s="88" t="n">
        <f aca="false">CF115-CF114</f>
        <v>2.37652766116241</v>
      </c>
      <c r="CH115" s="88" t="n">
        <f aca="false">IF(B115=2026,INDEX($C$16:$Q$16,1,B115-2025)*$AO$4*C115/MAX(0.0001,12-$AO$3),INDEX($C$16:$Q$16,1,B115-2025)/12)</f>
        <v>1.87931088099014</v>
      </c>
      <c r="CI115" s="88" t="n">
        <f aca="false">$AO$6*0</f>
        <v>0</v>
      </c>
      <c r="CJ115" s="88" t="n">
        <f aca="false">CH115+CJ114</f>
        <v>217.772118684826</v>
      </c>
      <c r="CK115" s="88" t="n">
        <f aca="false">CI115+CK114</f>
        <v>70</v>
      </c>
      <c r="CL115" s="88" t="n">
        <f aca="false">MAX(CL114,CJ115-CK115)</f>
        <v>147.772118684826</v>
      </c>
      <c r="CM115" s="88" t="n">
        <f aca="false">CL115-CL114</f>
        <v>1.87931088099015</v>
      </c>
      <c r="CN115" s="88" t="n">
        <f aca="false">IF(B115=2026,INDEX($C$17:$Q$17,1,B115-2025)*$AO$4*C115/MAX(0.0001,12-$AO$3),INDEX($C$17:$Q$17,1,B115-2025)/12)</f>
        <v>8.1830083652082</v>
      </c>
      <c r="CO115" s="88" t="n">
        <f aca="false">$AO$6*0</f>
        <v>0</v>
      </c>
      <c r="CP115" s="88" t="n">
        <f aca="false">CN115+CP114</f>
        <v>948.236445035723</v>
      </c>
      <c r="CQ115" s="88" t="n">
        <f aca="false">CO115+CQ114</f>
        <v>221</v>
      </c>
      <c r="CR115" s="88" t="n">
        <f aca="false">MAX(CR114,CP115-CQ115)</f>
        <v>727.236445035724</v>
      </c>
      <c r="CS115" s="88" t="n">
        <f aca="false">CR115-CR114</f>
        <v>8.18300836520825</v>
      </c>
      <c r="CT115" s="88" t="n">
        <f aca="false">IF(B115=2026,INDEX($C$18:$Q$18,1,B115-2025)*$AO$4*C115/MAX(0.0001,12-$AO$3),INDEX($C$18:$Q$18,1,B115-2025)/12)</f>
        <v>1.70233541686103</v>
      </c>
      <c r="CU115" s="88" t="n">
        <f aca="false">$AO$6*0</f>
        <v>0</v>
      </c>
      <c r="CV115" s="88" t="n">
        <f aca="false">CT115+CV114</f>
        <v>197.264430378183</v>
      </c>
      <c r="CW115" s="88" t="n">
        <f aca="false">CU115+CW114</f>
        <v>11</v>
      </c>
      <c r="CX115" s="88" t="n">
        <f aca="false">MAX(CX114,CV115-CW115)</f>
        <v>186.264430378183</v>
      </c>
      <c r="CY115" s="88" t="n">
        <f aca="false">CX115-CX114</f>
        <v>1.70233541686102</v>
      </c>
      <c r="CZ115" s="88" t="n">
        <f aca="false">IF(B115=2026,INDEX($C$19:$Q$19,1,B115-2025)*$AO$4*C115/MAX(0.0001,12-$AO$3),INDEX($C$19:$Q$19,1,B115-2025)/12)</f>
        <v>1.68548061075349</v>
      </c>
      <c r="DA115" s="88" t="n">
        <f aca="false">$AO$6*0</f>
        <v>0</v>
      </c>
      <c r="DB115" s="88" t="n">
        <f aca="false">CZ115+DB114</f>
        <v>195.311317206122</v>
      </c>
      <c r="DC115" s="88" t="n">
        <f aca="false">DA115+DC114</f>
        <v>226</v>
      </c>
      <c r="DD115" s="88" t="n">
        <f aca="false">MAX(DD114,DB115-DC115)</f>
        <v>37.132124495359</v>
      </c>
      <c r="DE115" s="88" t="n">
        <f aca="false">DD115-DD114</f>
        <v>0</v>
      </c>
      <c r="DF115" s="88" t="n">
        <f aca="false">IF(B115=2026,INDEX($C$20:$Q$20,1,B115-2025)*$AO$4*C115/MAX(0.0001,12-$AO$3),INDEX($C$20:$Q$20,1,B115-2025)/12)</f>
        <v>1.37366669776409</v>
      </c>
      <c r="DG115" s="88" t="n">
        <f aca="false">$AO$6*0</f>
        <v>0</v>
      </c>
      <c r="DH115" s="88" t="n">
        <f aca="false">DF115+DH114</f>
        <v>159.178723522989</v>
      </c>
      <c r="DI115" s="88" t="n">
        <f aca="false">DG115+DI114</f>
        <v>0</v>
      </c>
      <c r="DJ115" s="88" t="n">
        <f aca="false">MAX(DJ114,DH115-DI115)</f>
        <v>159.178723522989</v>
      </c>
      <c r="DK115" s="88" t="n">
        <f aca="false">DJ115-DJ114</f>
        <v>1.37366669776409</v>
      </c>
      <c r="DL115" s="88" t="n">
        <f aca="false">IF(B115=2026,INDEX($C$21:$Q$21,1,B115-2025)*$AO$4*C115/MAX(0.0001,12-$AO$3),INDEX($C$21:$Q$21,1,B115-2025)/12)</f>
        <v>0.96072394812949</v>
      </c>
      <c r="DM115" s="88" t="n">
        <f aca="false">$AO$6*0</f>
        <v>0</v>
      </c>
      <c r="DN115" s="88" t="n">
        <f aca="false">DL115+DN114</f>
        <v>111.327450807489</v>
      </c>
      <c r="DO115" s="88" t="n">
        <f aca="false">DM115+DO114</f>
        <v>100</v>
      </c>
      <c r="DP115" s="88" t="n">
        <f aca="false">MAX(DP114,DN115-DO115)</f>
        <v>17.7483109623547</v>
      </c>
      <c r="DQ115" s="88" t="n">
        <f aca="false">DP115-DP114</f>
        <v>0</v>
      </c>
      <c r="DR115" s="88" t="n">
        <f aca="false">IF(B115=2026,INDEX($C$22:$Q$22,1,B115-2025)*$AO$4*C115/MAX(0.0001,12-$AO$3),INDEX($C$22:$Q$22,1,B115-2025)/12)</f>
        <v>0.750038871785304</v>
      </c>
      <c r="DS115" s="88" t="n">
        <f aca="false">$AO$6*0</f>
        <v>0</v>
      </c>
      <c r="DT115" s="88" t="n">
        <f aca="false">DR115+DT114</f>
        <v>86.9135361567243</v>
      </c>
      <c r="DU115" s="88" t="n">
        <f aca="false">DS115+DU114</f>
        <v>29</v>
      </c>
      <c r="DV115" s="88" t="n">
        <f aca="false">MAX(DV114,DT115-DU115)</f>
        <v>57.9135361567243</v>
      </c>
      <c r="DW115" s="88" t="n">
        <f aca="false">DV115-DV114</f>
        <v>0.750038871785307</v>
      </c>
      <c r="DX115" s="88" t="n">
        <f aca="false">IF(B115=2026,INDEX($C$23:$Q$23,1,B115-2025)*$AO$4*C115/MAX(0.0001,12-$AO$3),INDEX($C$23:$Q$23,1,B115-2025)/12)</f>
        <v>1.20511863668875</v>
      </c>
      <c r="DY115" s="88" t="n">
        <f aca="false">$AO$6*0</f>
        <v>0</v>
      </c>
      <c r="DZ115" s="88" t="n">
        <f aca="false">DX115+DZ114</f>
        <v>139.647591802377</v>
      </c>
      <c r="EA115" s="88" t="n">
        <f aca="false">DY115+EA114</f>
        <v>121</v>
      </c>
      <c r="EB115" s="88" t="n">
        <f aca="false">MAX(EB114,DZ115-EA115)</f>
        <v>35.0579690141817</v>
      </c>
      <c r="EC115" s="88" t="n">
        <f aca="false">EB115-EB114</f>
        <v>0</v>
      </c>
      <c r="ED115" s="88" t="n">
        <f aca="false">IF(B115=2026,INDEX($C$24:$Q$24,1,B115-2025)*$AO$4*C115/MAX(0.0001,12-$AO$3),INDEX($C$24:$Q$24,1,B115-2025)/12)</f>
        <v>0.741611468731536</v>
      </c>
      <c r="EE115" s="88" t="n">
        <f aca="false">$AO$6*0</f>
        <v>0</v>
      </c>
      <c r="EF115" s="88" t="n">
        <f aca="false">ED115+EF114</f>
        <v>85.9369795706936</v>
      </c>
      <c r="EG115" s="88" t="n">
        <f aca="false">EE115+EG114</f>
        <v>0</v>
      </c>
      <c r="EH115" s="88" t="n">
        <f aca="false">MAX(EH114,EF115-EG115)</f>
        <v>85.9369795706936</v>
      </c>
      <c r="EI115" s="88" t="n">
        <f aca="false">EH115-EH114</f>
        <v>0.741611468731534</v>
      </c>
      <c r="EJ115" s="88" t="n">
        <f aca="false">IF(B115=2026,INDEX($C$25:$Q$25,1,B115-2025)*$AO$4*C115/MAX(0.0001,12-$AO$3),INDEX($C$25:$Q$25,1,B115-2025)/12)</f>
        <v>0.943869142021955</v>
      </c>
      <c r="EK115" s="88" t="n">
        <f aca="false">$AO$6*0</f>
        <v>0</v>
      </c>
      <c r="EL115" s="88" t="n">
        <f aca="false">EJ115+EL114</f>
        <v>109.374337635428</v>
      </c>
      <c r="EM115" s="88" t="n">
        <f aca="false">EK115+EM114</f>
        <v>14</v>
      </c>
      <c r="EN115" s="88" t="n">
        <f aca="false">MAX(EN114,EL115-EM115)</f>
        <v>95.3743376354283</v>
      </c>
      <c r="EO115" s="88" t="n">
        <f aca="false">EN115-EN114</f>
        <v>0.943869142021953</v>
      </c>
      <c r="EP115" s="88" t="n">
        <f aca="false">IF(B115=2026,INDEX($C$26:$Q$26,1,B115-2025)*$AO$4*C115/MAX(0.0001,12-$AO$3),INDEX($C$26:$Q$26,1,B115-2025)/12)</f>
        <v>1.35681189165656</v>
      </c>
      <c r="EQ115" s="88" t="n">
        <f aca="false">$AO$6*0</f>
        <v>0</v>
      </c>
      <c r="ER115" s="88" t="n">
        <f aca="false">EP115+ER114</f>
        <v>157.225610350928</v>
      </c>
      <c r="ES115" s="88" t="n">
        <f aca="false">EQ115+ES114</f>
        <v>4</v>
      </c>
      <c r="ET115" s="88" t="n">
        <f aca="false">MAX(ET114,ER115-ES115)</f>
        <v>153.225610350928</v>
      </c>
      <c r="EU115" s="88" t="n">
        <f aca="false">ET115-ET114</f>
        <v>1.35681189165655</v>
      </c>
      <c r="EV115" s="88" t="n">
        <f aca="false">IF(B115=2026,INDEX($C$27:$Q$27,1,B115-2025)*$AO$4*C115/MAX(0.0001,12-$AO$3),INDEX($C$27:$Q$27,1,B115-2025)/12)</f>
        <v>3.37096122150698</v>
      </c>
      <c r="EW115" s="88" t="n">
        <f aca="false">$AO$6*0</f>
        <v>0</v>
      </c>
      <c r="EX115" s="88" t="n">
        <f aca="false">EV115+EX114</f>
        <v>390.622634412244</v>
      </c>
      <c r="EY115" s="88" t="n">
        <f aca="false">EW115+EY114</f>
        <v>391</v>
      </c>
      <c r="EZ115" s="88" t="n">
        <f aca="false">MAX(EZ114,EX115-EY115)</f>
        <v>0</v>
      </c>
      <c r="FA115" s="88" t="n">
        <f aca="false">EZ115-EZ114</f>
        <v>0</v>
      </c>
      <c r="FB115" s="88" t="n">
        <f aca="false">IF(B115=2026,INDEX($C$28:$Q$28,1,B115-2025)*$AO$4*C115/MAX(0.0001,12-$AO$3),INDEX($C$28:$Q$28,1,B115-2025)/12)</f>
        <v>17.646981994589</v>
      </c>
      <c r="FC115" s="88" t="n">
        <f aca="false">$AO$6*0</f>
        <v>0</v>
      </c>
      <c r="FD115" s="88" t="n">
        <f aca="false">FB115+FD114</f>
        <v>2044.90949114809</v>
      </c>
      <c r="FE115" s="88" t="n">
        <f aca="false">FC115+FE114</f>
        <v>169</v>
      </c>
      <c r="FF115" s="88" t="n">
        <f aca="false">MAX(FF114,FD115-FE115)</f>
        <v>1875.90949114809</v>
      </c>
      <c r="FG115" s="88" t="n">
        <f aca="false">FF115-FF114</f>
        <v>17.6469819945889</v>
      </c>
    </row>
    <row r="116" customFormat="false" ht="15" hidden="false" customHeight="false" outlineLevel="0" collapsed="false">
      <c r="A116" s="0" t="n">
        <v>76</v>
      </c>
      <c r="B116" s="88" t="n">
        <f aca="false">2026+INT(A116/12)</f>
        <v>2032</v>
      </c>
      <c r="C116" s="88" t="n">
        <f aca="false">MAX(0,MIN(1,A116+1-$AO$3))</f>
        <v>1</v>
      </c>
      <c r="D116" s="88" t="n">
        <f aca="false">IF((A116+0.5-(0))&lt;$AO$3,0,2026+INT((A116+0.5-(0))/12))</f>
        <v>2032</v>
      </c>
      <c r="E116" s="88" t="n">
        <f aca="false">IF((A116+0.5-($AO$9))&lt;$AO$3,0,2026+INT((A116+0.5-($AO$9))/12))</f>
        <v>2031</v>
      </c>
      <c r="F116" s="88" t="n">
        <f aca="false">IF((A116+0.5-($AO$9+$AO$8))&lt;$AO$3,0,2026+INT((A116+0.5-($AO$9+$AO$8))/12))</f>
        <v>2029</v>
      </c>
      <c r="G116" s="88" t="n">
        <f aca="false">IF((A116+0.5-($AO$9+$AO$8+$AO$7))&lt;$AO$3,0,2026+INT((A116+0.5-($AO$9+$AO$8+$AO$7))/12))</f>
        <v>2029</v>
      </c>
      <c r="H116" s="88" t="n">
        <f aca="false">IF(B116=2026,INDEX($C$3:$Q$3,1,B116-2025)*$AO$4*C116/MAX(0.0001,12-$AO$3),INDEX($C$3:$Q$3,1,B116-2025)/12)</f>
        <v>180.666666666667</v>
      </c>
      <c r="I116" s="88" t="n">
        <f aca="false">$AO$6*0</f>
        <v>0</v>
      </c>
      <c r="J116" s="88" t="n">
        <f aca="false">H116+J115</f>
        <v>21116.0867579909</v>
      </c>
      <c r="K116" s="88" t="n">
        <f aca="false">I116+K115</f>
        <v>8695.00000000001</v>
      </c>
      <c r="L116" s="88" t="n">
        <f aca="false">MAX(L115,J116-K116)</f>
        <v>12421.0867579909</v>
      </c>
      <c r="M116" s="88" t="n">
        <f aca="false">L116-L115</f>
        <v>180.666666666668</v>
      </c>
      <c r="N116" s="88" t="n">
        <f aca="false">IF(B116=2026,INDEX($C$4:$Q$4,1,B116-2025)*$AO$4*C116/MAX(0.0001,12-$AO$3),INDEX($C$4:$Q$4,1,B116-2025)/12)</f>
        <v>5.47724540066293</v>
      </c>
      <c r="O116" s="88" t="n">
        <f aca="false">$AO$6*0</f>
        <v>0</v>
      </c>
      <c r="P116" s="88" t="n">
        <f aca="false">N116+P115</f>
        <v>640.173371264971</v>
      </c>
      <c r="Q116" s="88" t="n">
        <f aca="false">O116+Q115</f>
        <v>398</v>
      </c>
      <c r="R116" s="88" t="n">
        <f aca="false">MAX(R115,P116-Q116)</f>
        <v>242.173371264971</v>
      </c>
      <c r="S116" s="88" t="n">
        <f aca="false">R116-R115</f>
        <v>5.47724540066292</v>
      </c>
      <c r="T116" s="88" t="n">
        <f aca="false">IF(B116=2026,INDEX($C$5:$Q$5,1,B116-2025)*$AO$4*C116/MAX(0.0001,12-$AO$3),INDEX($C$5:$Q$5,1,B116-2025)/12)</f>
        <v>22.2615024358139</v>
      </c>
      <c r="U116" s="88" t="n">
        <f aca="false">$AO$6*0</f>
        <v>0</v>
      </c>
      <c r="V116" s="88" t="n">
        <f aca="false">T116+V115</f>
        <v>2601.89566493287</v>
      </c>
      <c r="W116" s="88" t="n">
        <f aca="false">U116+W115</f>
        <v>1115</v>
      </c>
      <c r="X116" s="88" t="n">
        <f aca="false">MAX(X115,V116-W116)</f>
        <v>1486.89566493286</v>
      </c>
      <c r="Y116" s="88" t="n">
        <f aca="false">X116-X115</f>
        <v>22.2615024358138</v>
      </c>
      <c r="Z116" s="88" t="n">
        <f aca="false">IF(B116=2026,INDEX($C$6:$Q$6,1,B116-2025)*$AO$4*C116/MAX(0.0001,12-$AO$3),INDEX($C$6:$Q$6,1,B116-2025)/12)</f>
        <v>26.4114629913323</v>
      </c>
      <c r="AA116" s="88" t="n">
        <f aca="false">$AO$6*0</f>
        <v>0</v>
      </c>
      <c r="AB116" s="88" t="n">
        <f aca="false">Z116+AB115</f>
        <v>3086.93769703194</v>
      </c>
      <c r="AC116" s="88" t="n">
        <f aca="false">AA116+AC115</f>
        <v>2194</v>
      </c>
      <c r="AD116" s="88" t="n">
        <f aca="false">MAX(AD115,AB116-AC116)</f>
        <v>1335.64282617929</v>
      </c>
      <c r="AE116" s="88" t="n">
        <f aca="false">AD116-AD115</f>
        <v>0</v>
      </c>
      <c r="AF116" s="88" t="n">
        <f aca="false">IF(B116=2026,INDEX($C$7:$Q$7,1,B116-2025)*$AO$4*C116/MAX(0.0001,12-$AO$3),INDEX($C$7:$Q$7,1,B116-2025)/12)</f>
        <v>22.9427081739175</v>
      </c>
      <c r="AG116" s="88" t="n">
        <f aca="false">$AO$6*0</f>
        <v>0</v>
      </c>
      <c r="AH116" s="88" t="n">
        <f aca="false">AF116+AH115</f>
        <v>2681.51411216074</v>
      </c>
      <c r="AI116" s="88" t="n">
        <f aca="false">AG116+AI115</f>
        <v>826</v>
      </c>
      <c r="AJ116" s="88" t="n">
        <f aca="false">MAX(AJ115,AH116-AI116)</f>
        <v>1855.51411216074</v>
      </c>
      <c r="AK116" s="88" t="n">
        <f aca="false">AJ116-AJ115</f>
        <v>22.9427081739173</v>
      </c>
      <c r="AL116" s="88" t="n">
        <f aca="false">IF(B116=2026,INDEX($C$8:$Q$8,1,B116-2025)*$AO$4*C116/MAX(0.0001,12-$AO$3),INDEX($C$8:$Q$8,1,B116-2025)/12)</f>
        <v>5.80342126052833</v>
      </c>
      <c r="AM116" s="88" t="n">
        <f aca="false">$AO$6*0</f>
        <v>0</v>
      </c>
      <c r="AN116" s="88" t="n">
        <f aca="false">AL116+AN115</f>
        <v>678.296384670581</v>
      </c>
      <c r="AO116" s="88" t="n">
        <f aca="false">AM116+AO115</f>
        <v>66</v>
      </c>
      <c r="AP116" s="88" t="n">
        <f aca="false">MAX(AP115,AN116-AO116)</f>
        <v>612.296384670581</v>
      </c>
      <c r="AQ116" s="88" t="n">
        <f aca="false">AP116-AP115</f>
        <v>5.80342126052835</v>
      </c>
      <c r="AR116" s="88" t="n">
        <f aca="false">IF(B116=2026,INDEX($C$9:$Q$9,1,B116-2025)*$AO$4*C116/MAX(0.0001,12-$AO$3),INDEX($C$9:$Q$9,1,B116-2025)/12)</f>
        <v>24.7454570609428</v>
      </c>
      <c r="AS116" s="88" t="n">
        <f aca="false">$AO$6*0</f>
        <v>0</v>
      </c>
      <c r="AT116" s="88" t="n">
        <f aca="false">AR116+AT115</f>
        <v>2892.21707471406</v>
      </c>
      <c r="AU116" s="88" t="n">
        <f aca="false">AS116+AU115</f>
        <v>1810</v>
      </c>
      <c r="AV116" s="88" t="n">
        <f aca="false">MAX(AV115,AT116-AU116)</f>
        <v>1082.21707471406</v>
      </c>
      <c r="AW116" s="88" t="n">
        <f aca="false">AV116-AV115</f>
        <v>24.745457060943</v>
      </c>
      <c r="AX116" s="88" t="n">
        <f aca="false">IF(B116=2026,INDEX($C$10:$Q$10,1,B116-2025)*$AO$4*C116/MAX(0.0001,12-$AO$3),INDEX($C$10:$Q$10,1,B116-2025)/12)</f>
        <v>2.87034756681557</v>
      </c>
      <c r="AY116" s="88" t="n">
        <f aca="false">$AO$6*0</f>
        <v>0</v>
      </c>
      <c r="AZ116" s="88" t="n">
        <f aca="false">AX116+AZ115</f>
        <v>335.482517969366</v>
      </c>
      <c r="BA116" s="88" t="n">
        <f aca="false">AY116+BA115</f>
        <v>50</v>
      </c>
      <c r="BB116" s="88" t="n">
        <f aca="false">MAX(BB115,AZ116-BA116)</f>
        <v>285.482517969366</v>
      </c>
      <c r="BC116" s="88" t="n">
        <f aca="false">BB116-BB115</f>
        <v>2.87034756681555</v>
      </c>
      <c r="BD116" s="88" t="n">
        <f aca="false">IF(B116=2026,INDEX($C$11:$Q$11,1,B116-2025)*$AO$4*C116/MAX(0.0001,12-$AO$3),INDEX($C$11:$Q$11,1,B116-2025)/12)</f>
        <v>14.2639212564218</v>
      </c>
      <c r="BE116" s="88" t="n">
        <f aca="false">$AO$6*0</f>
        <v>0</v>
      </c>
      <c r="BF116" s="88" t="n">
        <f aca="false">BD116+BF115</f>
        <v>1667.14870162225</v>
      </c>
      <c r="BG116" s="88" t="n">
        <f aca="false">BE116+BG115</f>
        <v>240</v>
      </c>
      <c r="BH116" s="88" t="n">
        <f aca="false">MAX(BH115,BF116-BG116)</f>
        <v>1427.14870162225</v>
      </c>
      <c r="BI116" s="88" t="n">
        <f aca="false">BH116-BH115</f>
        <v>14.2639212564218</v>
      </c>
      <c r="BJ116" s="88" t="n">
        <f aca="false">IF(B116=2026,INDEX($C$12:$Q$12,1,B116-2025)*$AO$4*C116/MAX(0.0001,12-$AO$3),INDEX($C$12:$Q$12,1,B116-2025)/12)</f>
        <v>7.82069350154207</v>
      </c>
      <c r="BK116" s="88" t="n">
        <f aca="false">$AO$6*0</f>
        <v>0</v>
      </c>
      <c r="BL116" s="88" t="n">
        <f aca="false">BJ116+BL115</f>
        <v>914.072559886816</v>
      </c>
      <c r="BM116" s="88" t="n">
        <f aca="false">BK116+BM115</f>
        <v>465</v>
      </c>
      <c r="BN116" s="88" t="n">
        <f aca="false">MAX(BN115,BL116-BM116)</f>
        <v>620.1207703606</v>
      </c>
      <c r="BO116" s="88" t="n">
        <f aca="false">BN116-BN115</f>
        <v>0</v>
      </c>
      <c r="BP116" s="88" t="n">
        <f aca="false">IF(B116=2026,INDEX($C$13:$Q$13,1,B116-2025)*$AO$4*C116/MAX(0.0001,12-$AO$3),INDEX($C$13:$Q$13,1,B116-2025)/12)</f>
        <v>2.44394688559256</v>
      </c>
      <c r="BQ116" s="88" t="n">
        <f aca="false">$AO$6*0</f>
        <v>0</v>
      </c>
      <c r="BR116" s="88" t="n">
        <f aca="false">BP116+BR115</f>
        <v>285.645356834469</v>
      </c>
      <c r="BS116" s="88" t="n">
        <f aca="false">BQ116+BS115</f>
        <v>87</v>
      </c>
      <c r="BT116" s="88" t="n">
        <f aca="false">MAX(BT115,BR116-BS116)</f>
        <v>198.645356834469</v>
      </c>
      <c r="BU116" s="88" t="n">
        <f aca="false">BT116-BT115</f>
        <v>2.44394688559254</v>
      </c>
      <c r="BV116" s="88" t="n">
        <f aca="false">IF(B116=2026,INDEX($C$14:$Q$14,1,B116-2025)*$AO$4*C116/MAX(0.0001,12-$AO$3),INDEX($C$14:$Q$14,1,B116-2025)/12)</f>
        <v>1.449513325248</v>
      </c>
      <c r="BW116" s="88" t="n">
        <f aca="false">$AO$6*0</f>
        <v>0</v>
      </c>
      <c r="BX116" s="88" t="n">
        <f aca="false">BV116+BX115</f>
        <v>169.417246122513</v>
      </c>
      <c r="BY116" s="88" t="n">
        <f aca="false">BW116+BY115</f>
        <v>0</v>
      </c>
      <c r="BZ116" s="88" t="n">
        <f aca="false">MAX(BZ115,BX116-BY116)</f>
        <v>169.417246122513</v>
      </c>
      <c r="CA116" s="88" t="n">
        <f aca="false">BZ116-BZ115</f>
        <v>1.44951332524801</v>
      </c>
      <c r="CB116" s="88" t="n">
        <f aca="false">IF(B116=2026,INDEX($C$15:$Q$15,1,B116-2025)*$AO$4*C116/MAX(0.0001,12-$AO$3),INDEX($C$15:$Q$15,1,B116-2025)/12)</f>
        <v>2.37652766116242</v>
      </c>
      <c r="CC116" s="88" t="n">
        <f aca="false">$AO$6*0</f>
        <v>0</v>
      </c>
      <c r="CD116" s="88" t="n">
        <f aca="false">CB116+CD115</f>
        <v>277.765484921794</v>
      </c>
      <c r="CE116" s="88" t="n">
        <f aca="false">CC116+CE115</f>
        <v>88.0000000000001</v>
      </c>
      <c r="CF116" s="88" t="n">
        <f aca="false">MAX(CF115,CD116-CE116)</f>
        <v>189.765484921794</v>
      </c>
      <c r="CG116" s="88" t="n">
        <f aca="false">CF116-CF115</f>
        <v>2.37652766116241</v>
      </c>
      <c r="CH116" s="88" t="n">
        <f aca="false">IF(B116=2026,INDEX($C$16:$Q$16,1,B116-2025)*$AO$4*C116/MAX(0.0001,12-$AO$3),INDEX($C$16:$Q$16,1,B116-2025)/12)</f>
        <v>1.87931088099014</v>
      </c>
      <c r="CI116" s="88" t="n">
        <f aca="false">$AO$6*0</f>
        <v>0</v>
      </c>
      <c r="CJ116" s="88" t="n">
        <f aca="false">CH116+CJ115</f>
        <v>219.651429565816</v>
      </c>
      <c r="CK116" s="88" t="n">
        <f aca="false">CI116+CK115</f>
        <v>70</v>
      </c>
      <c r="CL116" s="88" t="n">
        <f aca="false">MAX(CL115,CJ116-CK116)</f>
        <v>149.651429565816</v>
      </c>
      <c r="CM116" s="88" t="n">
        <f aca="false">CL116-CL115</f>
        <v>1.87931088099015</v>
      </c>
      <c r="CN116" s="88" t="n">
        <f aca="false">IF(B116=2026,INDEX($C$17:$Q$17,1,B116-2025)*$AO$4*C116/MAX(0.0001,12-$AO$3),INDEX($C$17:$Q$17,1,B116-2025)/12)</f>
        <v>8.1830083652082</v>
      </c>
      <c r="CO116" s="88" t="n">
        <f aca="false">$AO$6*0</f>
        <v>0</v>
      </c>
      <c r="CP116" s="88" t="n">
        <f aca="false">CN116+CP115</f>
        <v>956.419453400932</v>
      </c>
      <c r="CQ116" s="88" t="n">
        <f aca="false">CO116+CQ115</f>
        <v>221</v>
      </c>
      <c r="CR116" s="88" t="n">
        <f aca="false">MAX(CR115,CP116-CQ116)</f>
        <v>735.419453400932</v>
      </c>
      <c r="CS116" s="88" t="n">
        <f aca="false">CR116-CR115</f>
        <v>8.18300836520825</v>
      </c>
      <c r="CT116" s="88" t="n">
        <f aca="false">IF(B116=2026,INDEX($C$18:$Q$18,1,B116-2025)*$AO$4*C116/MAX(0.0001,12-$AO$3),INDEX($C$18:$Q$18,1,B116-2025)/12)</f>
        <v>1.70233541686103</v>
      </c>
      <c r="CU116" s="88" t="n">
        <f aca="false">$AO$6*0</f>
        <v>0</v>
      </c>
      <c r="CV116" s="88" t="n">
        <f aca="false">CT116+CV115</f>
        <v>198.966765795044</v>
      </c>
      <c r="CW116" s="88" t="n">
        <f aca="false">CU116+CW115</f>
        <v>11</v>
      </c>
      <c r="CX116" s="88" t="n">
        <f aca="false">MAX(CX115,CV116-CW116)</f>
        <v>187.966765795044</v>
      </c>
      <c r="CY116" s="88" t="n">
        <f aca="false">CX116-CX115</f>
        <v>1.70233541686102</v>
      </c>
      <c r="CZ116" s="88" t="n">
        <f aca="false">IF(B116=2026,INDEX($C$19:$Q$19,1,B116-2025)*$AO$4*C116/MAX(0.0001,12-$AO$3),INDEX($C$19:$Q$19,1,B116-2025)/12)</f>
        <v>1.68548061075349</v>
      </c>
      <c r="DA116" s="88" t="n">
        <f aca="false">$AO$6*0</f>
        <v>0</v>
      </c>
      <c r="DB116" s="88" t="n">
        <f aca="false">CZ116+DB115</f>
        <v>196.996797816875</v>
      </c>
      <c r="DC116" s="88" t="n">
        <f aca="false">DA116+DC115</f>
        <v>226</v>
      </c>
      <c r="DD116" s="88" t="n">
        <f aca="false">MAX(DD115,DB116-DC116)</f>
        <v>37.132124495359</v>
      </c>
      <c r="DE116" s="88" t="n">
        <f aca="false">DD116-DD115</f>
        <v>0</v>
      </c>
      <c r="DF116" s="88" t="n">
        <f aca="false">IF(B116=2026,INDEX($C$20:$Q$20,1,B116-2025)*$AO$4*C116/MAX(0.0001,12-$AO$3),INDEX($C$20:$Q$20,1,B116-2025)/12)</f>
        <v>1.37366669776409</v>
      </c>
      <c r="DG116" s="88" t="n">
        <f aca="false">$AO$6*0</f>
        <v>0</v>
      </c>
      <c r="DH116" s="88" t="n">
        <f aca="false">DF116+DH115</f>
        <v>160.552390220753</v>
      </c>
      <c r="DI116" s="88" t="n">
        <f aca="false">DG116+DI115</f>
        <v>0</v>
      </c>
      <c r="DJ116" s="88" t="n">
        <f aca="false">MAX(DJ115,DH116-DI116)</f>
        <v>160.552390220753</v>
      </c>
      <c r="DK116" s="88" t="n">
        <f aca="false">DJ116-DJ115</f>
        <v>1.37366669776409</v>
      </c>
      <c r="DL116" s="88" t="n">
        <f aca="false">IF(B116=2026,INDEX($C$21:$Q$21,1,B116-2025)*$AO$4*C116/MAX(0.0001,12-$AO$3),INDEX($C$21:$Q$21,1,B116-2025)/12)</f>
        <v>0.96072394812949</v>
      </c>
      <c r="DM116" s="88" t="n">
        <f aca="false">$AO$6*0</f>
        <v>0</v>
      </c>
      <c r="DN116" s="88" t="n">
        <f aca="false">DL116+DN115</f>
        <v>112.288174755619</v>
      </c>
      <c r="DO116" s="88" t="n">
        <f aca="false">DM116+DO115</f>
        <v>100</v>
      </c>
      <c r="DP116" s="88" t="n">
        <f aca="false">MAX(DP115,DN116-DO116)</f>
        <v>17.7483109623547</v>
      </c>
      <c r="DQ116" s="88" t="n">
        <f aca="false">DP116-DP115</f>
        <v>0</v>
      </c>
      <c r="DR116" s="88" t="n">
        <f aca="false">IF(B116=2026,INDEX($C$22:$Q$22,1,B116-2025)*$AO$4*C116/MAX(0.0001,12-$AO$3),INDEX($C$22:$Q$22,1,B116-2025)/12)</f>
        <v>0.750038871785304</v>
      </c>
      <c r="DS116" s="88" t="n">
        <f aca="false">$AO$6*0</f>
        <v>0</v>
      </c>
      <c r="DT116" s="88" t="n">
        <f aca="false">DR116+DT115</f>
        <v>87.6635750285096</v>
      </c>
      <c r="DU116" s="88" t="n">
        <f aca="false">DS116+DU115</f>
        <v>29</v>
      </c>
      <c r="DV116" s="88" t="n">
        <f aca="false">MAX(DV115,DT116-DU116)</f>
        <v>58.6635750285096</v>
      </c>
      <c r="DW116" s="88" t="n">
        <f aca="false">DV116-DV115</f>
        <v>0.750038871785307</v>
      </c>
      <c r="DX116" s="88" t="n">
        <f aca="false">IF(B116=2026,INDEX($C$23:$Q$23,1,B116-2025)*$AO$4*C116/MAX(0.0001,12-$AO$3),INDEX($C$23:$Q$23,1,B116-2025)/12)</f>
        <v>1.20511863668875</v>
      </c>
      <c r="DY116" s="88" t="n">
        <f aca="false">$AO$6*0</f>
        <v>0</v>
      </c>
      <c r="DZ116" s="88" t="n">
        <f aca="false">DX116+DZ115</f>
        <v>140.852710439066</v>
      </c>
      <c r="EA116" s="88" t="n">
        <f aca="false">DY116+EA115</f>
        <v>121</v>
      </c>
      <c r="EB116" s="88" t="n">
        <f aca="false">MAX(EB115,DZ116-EA116)</f>
        <v>35.0579690141817</v>
      </c>
      <c r="EC116" s="88" t="n">
        <f aca="false">EB116-EB115</f>
        <v>0</v>
      </c>
      <c r="ED116" s="88" t="n">
        <f aca="false">IF(B116=2026,INDEX($C$24:$Q$24,1,B116-2025)*$AO$4*C116/MAX(0.0001,12-$AO$3),INDEX($C$24:$Q$24,1,B116-2025)/12)</f>
        <v>0.741611468731536</v>
      </c>
      <c r="EE116" s="88" t="n">
        <f aca="false">$AO$6*0</f>
        <v>0</v>
      </c>
      <c r="EF116" s="88" t="n">
        <f aca="false">ED116+EF115</f>
        <v>86.6785910394252</v>
      </c>
      <c r="EG116" s="88" t="n">
        <f aca="false">EE116+EG115</f>
        <v>0</v>
      </c>
      <c r="EH116" s="88" t="n">
        <f aca="false">MAX(EH115,EF116-EG116)</f>
        <v>86.6785910394252</v>
      </c>
      <c r="EI116" s="88" t="n">
        <f aca="false">EH116-EH115</f>
        <v>0.741611468731534</v>
      </c>
      <c r="EJ116" s="88" t="n">
        <f aca="false">IF(B116=2026,INDEX($C$25:$Q$25,1,B116-2025)*$AO$4*C116/MAX(0.0001,12-$AO$3),INDEX($C$25:$Q$25,1,B116-2025)/12)</f>
        <v>0.943869142021955</v>
      </c>
      <c r="EK116" s="88" t="n">
        <f aca="false">$AO$6*0</f>
        <v>0</v>
      </c>
      <c r="EL116" s="88" t="n">
        <f aca="false">EJ116+EL115</f>
        <v>110.31820677745</v>
      </c>
      <c r="EM116" s="88" t="n">
        <f aca="false">EK116+EM115</f>
        <v>14</v>
      </c>
      <c r="EN116" s="88" t="n">
        <f aca="false">MAX(EN115,EL116-EM116)</f>
        <v>96.3182067774503</v>
      </c>
      <c r="EO116" s="88" t="n">
        <f aca="false">EN116-EN115</f>
        <v>0.943869142021953</v>
      </c>
      <c r="EP116" s="88" t="n">
        <f aca="false">IF(B116=2026,INDEX($C$26:$Q$26,1,B116-2025)*$AO$4*C116/MAX(0.0001,12-$AO$3),INDEX($C$26:$Q$26,1,B116-2025)/12)</f>
        <v>1.35681189165656</v>
      </c>
      <c r="EQ116" s="88" t="n">
        <f aca="false">$AO$6*0</f>
        <v>0</v>
      </c>
      <c r="ER116" s="88" t="n">
        <f aca="false">EP116+ER115</f>
        <v>158.582422242584</v>
      </c>
      <c r="ES116" s="88" t="n">
        <f aca="false">EQ116+ES115</f>
        <v>4</v>
      </c>
      <c r="ET116" s="88" t="n">
        <f aca="false">MAX(ET115,ER116-ES116)</f>
        <v>154.582422242584</v>
      </c>
      <c r="EU116" s="88" t="n">
        <f aca="false">ET116-ET115</f>
        <v>1.35681189165655</v>
      </c>
      <c r="EV116" s="88" t="n">
        <f aca="false">IF(B116=2026,INDEX($C$27:$Q$27,1,B116-2025)*$AO$4*C116/MAX(0.0001,12-$AO$3),INDEX($C$27:$Q$27,1,B116-2025)/12)</f>
        <v>3.37096122150698</v>
      </c>
      <c r="EW116" s="88" t="n">
        <f aca="false">$AO$6*0</f>
        <v>0</v>
      </c>
      <c r="EX116" s="88" t="n">
        <f aca="false">EV116+EX115</f>
        <v>393.993595633751</v>
      </c>
      <c r="EY116" s="88" t="n">
        <f aca="false">EW116+EY115</f>
        <v>391</v>
      </c>
      <c r="EZ116" s="88" t="n">
        <f aca="false">MAX(EZ115,EX116-EY116)</f>
        <v>2.9935956337506</v>
      </c>
      <c r="FA116" s="88" t="n">
        <f aca="false">EZ116-EZ115</f>
        <v>2.9935956337506</v>
      </c>
      <c r="FB116" s="88" t="n">
        <f aca="false">IF(B116=2026,INDEX($C$28:$Q$28,1,B116-2025)*$AO$4*C116/MAX(0.0001,12-$AO$3),INDEX($C$28:$Q$28,1,B116-2025)/12)</f>
        <v>17.646981994589</v>
      </c>
      <c r="FC116" s="88" t="n">
        <f aca="false">$AO$6*0</f>
        <v>0</v>
      </c>
      <c r="FD116" s="88" t="n">
        <f aca="false">FB116+FD115</f>
        <v>2062.55647314268</v>
      </c>
      <c r="FE116" s="88" t="n">
        <f aca="false">FC116+FE115</f>
        <v>169</v>
      </c>
      <c r="FF116" s="88" t="n">
        <f aca="false">MAX(FF115,FD116-FE116)</f>
        <v>1893.55647314268</v>
      </c>
      <c r="FG116" s="88" t="n">
        <f aca="false">FF116-FF115</f>
        <v>17.6469819945892</v>
      </c>
    </row>
    <row r="117" customFormat="false" ht="15" hidden="false" customHeight="false" outlineLevel="0" collapsed="false">
      <c r="A117" s="0" t="n">
        <v>77</v>
      </c>
      <c r="B117" s="88" t="n">
        <f aca="false">2026+INT(A117/12)</f>
        <v>2032</v>
      </c>
      <c r="C117" s="88" t="n">
        <f aca="false">MAX(0,MIN(1,A117+1-$AO$3))</f>
        <v>1</v>
      </c>
      <c r="D117" s="88" t="n">
        <f aca="false">IF((A117+0.5-(0))&lt;$AO$3,0,2026+INT((A117+0.5-(0))/12))</f>
        <v>2032</v>
      </c>
      <c r="E117" s="88" t="n">
        <f aca="false">IF((A117+0.5-($AO$9))&lt;$AO$3,0,2026+INT((A117+0.5-($AO$9))/12))</f>
        <v>2031</v>
      </c>
      <c r="F117" s="88" t="n">
        <f aca="false">IF((A117+0.5-($AO$9+$AO$8))&lt;$AO$3,0,2026+INT((A117+0.5-($AO$9+$AO$8))/12))</f>
        <v>2029</v>
      </c>
      <c r="G117" s="88" t="n">
        <f aca="false">IF((A117+0.5-($AO$9+$AO$8+$AO$7))&lt;$AO$3,0,2026+INT((A117+0.5-($AO$9+$AO$8+$AO$7))/12))</f>
        <v>2029</v>
      </c>
      <c r="H117" s="88" t="n">
        <f aca="false">IF(B117=2026,INDEX($C$3:$Q$3,1,B117-2025)*$AO$4*C117/MAX(0.0001,12-$AO$3),INDEX($C$3:$Q$3,1,B117-2025)/12)</f>
        <v>180.666666666667</v>
      </c>
      <c r="I117" s="88" t="n">
        <f aca="false">$AO$6*0</f>
        <v>0</v>
      </c>
      <c r="J117" s="88" t="n">
        <f aca="false">H117+J116</f>
        <v>21296.7534246576</v>
      </c>
      <c r="K117" s="88" t="n">
        <f aca="false">I117+K116</f>
        <v>8695.00000000001</v>
      </c>
      <c r="L117" s="88" t="n">
        <f aca="false">MAX(L116,J117-K117)</f>
        <v>12601.7534246576</v>
      </c>
      <c r="M117" s="88" t="n">
        <f aca="false">L117-L116</f>
        <v>180.666666666668</v>
      </c>
      <c r="N117" s="88" t="n">
        <f aca="false">IF(B117=2026,INDEX($C$4:$Q$4,1,B117-2025)*$AO$4*C117/MAX(0.0001,12-$AO$3),INDEX($C$4:$Q$4,1,B117-2025)/12)</f>
        <v>5.47724540066293</v>
      </c>
      <c r="O117" s="88" t="n">
        <f aca="false">$AO$6*0</f>
        <v>0</v>
      </c>
      <c r="P117" s="88" t="n">
        <f aca="false">N117+P116</f>
        <v>645.650616665634</v>
      </c>
      <c r="Q117" s="88" t="n">
        <f aca="false">O117+Q116</f>
        <v>398</v>
      </c>
      <c r="R117" s="88" t="n">
        <f aca="false">MAX(R116,P117-Q117)</f>
        <v>247.650616665634</v>
      </c>
      <c r="S117" s="88" t="n">
        <f aca="false">R117-R116</f>
        <v>5.47724540066292</v>
      </c>
      <c r="T117" s="88" t="n">
        <f aca="false">IF(B117=2026,INDEX($C$5:$Q$5,1,B117-2025)*$AO$4*C117/MAX(0.0001,12-$AO$3),INDEX($C$5:$Q$5,1,B117-2025)/12)</f>
        <v>22.2615024358139</v>
      </c>
      <c r="U117" s="88" t="n">
        <f aca="false">$AO$6*0</f>
        <v>0</v>
      </c>
      <c r="V117" s="88" t="n">
        <f aca="false">T117+V116</f>
        <v>2624.15716736868</v>
      </c>
      <c r="W117" s="88" t="n">
        <f aca="false">U117+W116</f>
        <v>1115</v>
      </c>
      <c r="X117" s="88" t="n">
        <f aca="false">MAX(X116,V117-W117)</f>
        <v>1509.15716736868</v>
      </c>
      <c r="Y117" s="88" t="n">
        <f aca="false">X117-X116</f>
        <v>22.2615024358138</v>
      </c>
      <c r="Z117" s="88" t="n">
        <f aca="false">IF(B117=2026,INDEX($C$6:$Q$6,1,B117-2025)*$AO$4*C117/MAX(0.0001,12-$AO$3),INDEX($C$6:$Q$6,1,B117-2025)/12)</f>
        <v>26.4114629913323</v>
      </c>
      <c r="AA117" s="88" t="n">
        <f aca="false">$AO$6*0</f>
        <v>0</v>
      </c>
      <c r="AB117" s="88" t="n">
        <f aca="false">Z117+AB116</f>
        <v>3113.34916002327</v>
      </c>
      <c r="AC117" s="88" t="n">
        <f aca="false">AA117+AC116</f>
        <v>2194</v>
      </c>
      <c r="AD117" s="88" t="n">
        <f aca="false">MAX(AD116,AB117-AC117)</f>
        <v>1335.64282617929</v>
      </c>
      <c r="AE117" s="88" t="n">
        <f aca="false">AD117-AD116</f>
        <v>0</v>
      </c>
      <c r="AF117" s="88" t="n">
        <f aca="false">IF(B117=2026,INDEX($C$7:$Q$7,1,B117-2025)*$AO$4*C117/MAX(0.0001,12-$AO$3),INDEX($C$7:$Q$7,1,B117-2025)/12)</f>
        <v>22.9427081739175</v>
      </c>
      <c r="AG117" s="88" t="n">
        <f aca="false">$AO$6*0</f>
        <v>0</v>
      </c>
      <c r="AH117" s="88" t="n">
        <f aca="false">AF117+AH116</f>
        <v>2704.45682033465</v>
      </c>
      <c r="AI117" s="88" t="n">
        <f aca="false">AG117+AI116</f>
        <v>826</v>
      </c>
      <c r="AJ117" s="88" t="n">
        <f aca="false">MAX(AJ116,AH117-AI117)</f>
        <v>1878.45682033465</v>
      </c>
      <c r="AK117" s="88" t="n">
        <f aca="false">AJ117-AJ116</f>
        <v>22.9427081739173</v>
      </c>
      <c r="AL117" s="88" t="n">
        <f aca="false">IF(B117=2026,INDEX($C$8:$Q$8,1,B117-2025)*$AO$4*C117/MAX(0.0001,12-$AO$3),INDEX($C$8:$Q$8,1,B117-2025)/12)</f>
        <v>5.80342126052833</v>
      </c>
      <c r="AM117" s="88" t="n">
        <f aca="false">$AO$6*0</f>
        <v>0</v>
      </c>
      <c r="AN117" s="88" t="n">
        <f aca="false">AL117+AN116</f>
        <v>684.09980593111</v>
      </c>
      <c r="AO117" s="88" t="n">
        <f aca="false">AM117+AO116</f>
        <v>66</v>
      </c>
      <c r="AP117" s="88" t="n">
        <f aca="false">MAX(AP116,AN117-AO117)</f>
        <v>618.09980593111</v>
      </c>
      <c r="AQ117" s="88" t="n">
        <f aca="false">AP117-AP116</f>
        <v>5.80342126052835</v>
      </c>
      <c r="AR117" s="88" t="n">
        <f aca="false">IF(B117=2026,INDEX($C$9:$Q$9,1,B117-2025)*$AO$4*C117/MAX(0.0001,12-$AO$3),INDEX($C$9:$Q$9,1,B117-2025)/12)</f>
        <v>24.7454570609428</v>
      </c>
      <c r="AS117" s="88" t="n">
        <f aca="false">$AO$6*0</f>
        <v>0</v>
      </c>
      <c r="AT117" s="88" t="n">
        <f aca="false">AR117+AT116</f>
        <v>2916.962531775</v>
      </c>
      <c r="AU117" s="88" t="n">
        <f aca="false">AS117+AU116</f>
        <v>1810</v>
      </c>
      <c r="AV117" s="88" t="n">
        <f aca="false">MAX(AV116,AT117-AU117)</f>
        <v>1106.962531775</v>
      </c>
      <c r="AW117" s="88" t="n">
        <f aca="false">AV117-AV116</f>
        <v>24.745457060943</v>
      </c>
      <c r="AX117" s="88" t="n">
        <f aca="false">IF(B117=2026,INDEX($C$10:$Q$10,1,B117-2025)*$AO$4*C117/MAX(0.0001,12-$AO$3),INDEX($C$10:$Q$10,1,B117-2025)/12)</f>
        <v>2.87034756681557</v>
      </c>
      <c r="AY117" s="88" t="n">
        <f aca="false">$AO$6*0</f>
        <v>0</v>
      </c>
      <c r="AZ117" s="88" t="n">
        <f aca="false">AX117+AZ116</f>
        <v>338.352865536182</v>
      </c>
      <c r="BA117" s="88" t="n">
        <f aca="false">AY117+BA116</f>
        <v>50</v>
      </c>
      <c r="BB117" s="88" t="n">
        <f aca="false">MAX(BB116,AZ117-BA117)</f>
        <v>288.352865536182</v>
      </c>
      <c r="BC117" s="88" t="n">
        <f aca="false">BB117-BB116</f>
        <v>2.87034756681555</v>
      </c>
      <c r="BD117" s="88" t="n">
        <f aca="false">IF(B117=2026,INDEX($C$11:$Q$11,1,B117-2025)*$AO$4*C117/MAX(0.0001,12-$AO$3),INDEX($C$11:$Q$11,1,B117-2025)/12)</f>
        <v>14.2639212564218</v>
      </c>
      <c r="BE117" s="88" t="n">
        <f aca="false">$AO$6*0</f>
        <v>0</v>
      </c>
      <c r="BF117" s="88" t="n">
        <f aca="false">BD117+BF116</f>
        <v>1681.41262287867</v>
      </c>
      <c r="BG117" s="88" t="n">
        <f aca="false">BE117+BG116</f>
        <v>240</v>
      </c>
      <c r="BH117" s="88" t="n">
        <f aca="false">MAX(BH116,BF117-BG117)</f>
        <v>1441.41262287867</v>
      </c>
      <c r="BI117" s="88" t="n">
        <f aca="false">BH117-BH116</f>
        <v>14.2639212564218</v>
      </c>
      <c r="BJ117" s="88" t="n">
        <f aca="false">IF(B117=2026,INDEX($C$12:$Q$12,1,B117-2025)*$AO$4*C117/MAX(0.0001,12-$AO$3),INDEX($C$12:$Q$12,1,B117-2025)/12)</f>
        <v>7.82069350154207</v>
      </c>
      <c r="BK117" s="88" t="n">
        <f aca="false">$AO$6*0</f>
        <v>0</v>
      </c>
      <c r="BL117" s="88" t="n">
        <f aca="false">BJ117+BL116</f>
        <v>921.893253388358</v>
      </c>
      <c r="BM117" s="88" t="n">
        <f aca="false">BK117+BM116</f>
        <v>465</v>
      </c>
      <c r="BN117" s="88" t="n">
        <f aca="false">MAX(BN116,BL117-BM117)</f>
        <v>620.1207703606</v>
      </c>
      <c r="BO117" s="88" t="n">
        <f aca="false">BN117-BN116</f>
        <v>0</v>
      </c>
      <c r="BP117" s="88" t="n">
        <f aca="false">IF(B117=2026,INDEX($C$13:$Q$13,1,B117-2025)*$AO$4*C117/MAX(0.0001,12-$AO$3),INDEX($C$13:$Q$13,1,B117-2025)/12)</f>
        <v>2.44394688559256</v>
      </c>
      <c r="BQ117" s="88" t="n">
        <f aca="false">$AO$6*0</f>
        <v>0</v>
      </c>
      <c r="BR117" s="88" t="n">
        <f aca="false">BP117+BR116</f>
        <v>288.089303720062</v>
      </c>
      <c r="BS117" s="88" t="n">
        <f aca="false">BQ117+BS116</f>
        <v>87</v>
      </c>
      <c r="BT117" s="88" t="n">
        <f aca="false">MAX(BT116,BR117-BS117)</f>
        <v>201.089303720062</v>
      </c>
      <c r="BU117" s="88" t="n">
        <f aca="false">BT117-BT116</f>
        <v>2.44394688559254</v>
      </c>
      <c r="BV117" s="88" t="n">
        <f aca="false">IF(B117=2026,INDEX($C$14:$Q$14,1,B117-2025)*$AO$4*C117/MAX(0.0001,12-$AO$3),INDEX($C$14:$Q$14,1,B117-2025)/12)</f>
        <v>1.449513325248</v>
      </c>
      <c r="BW117" s="88" t="n">
        <f aca="false">$AO$6*0</f>
        <v>0</v>
      </c>
      <c r="BX117" s="88" t="n">
        <f aca="false">BV117+BX116</f>
        <v>170.866759447761</v>
      </c>
      <c r="BY117" s="88" t="n">
        <f aca="false">BW117+BY116</f>
        <v>0</v>
      </c>
      <c r="BZ117" s="88" t="n">
        <f aca="false">MAX(BZ116,BX117-BY117)</f>
        <v>170.866759447761</v>
      </c>
      <c r="CA117" s="88" t="n">
        <f aca="false">BZ117-BZ116</f>
        <v>1.44951332524801</v>
      </c>
      <c r="CB117" s="88" t="n">
        <f aca="false">IF(B117=2026,INDEX($C$15:$Q$15,1,B117-2025)*$AO$4*C117/MAX(0.0001,12-$AO$3),INDEX($C$15:$Q$15,1,B117-2025)/12)</f>
        <v>2.37652766116242</v>
      </c>
      <c r="CC117" s="88" t="n">
        <f aca="false">$AO$6*0</f>
        <v>0</v>
      </c>
      <c r="CD117" s="88" t="n">
        <f aca="false">CB117+CD116</f>
        <v>280.142012582956</v>
      </c>
      <c r="CE117" s="88" t="n">
        <f aca="false">CC117+CE116</f>
        <v>88.0000000000001</v>
      </c>
      <c r="CF117" s="88" t="n">
        <f aca="false">MAX(CF116,CD117-CE117)</f>
        <v>192.142012582956</v>
      </c>
      <c r="CG117" s="88" t="n">
        <f aca="false">CF117-CF116</f>
        <v>2.37652766116241</v>
      </c>
      <c r="CH117" s="88" t="n">
        <f aca="false">IF(B117=2026,INDEX($C$16:$Q$16,1,B117-2025)*$AO$4*C117/MAX(0.0001,12-$AO$3),INDEX($C$16:$Q$16,1,B117-2025)/12)</f>
        <v>1.87931088099014</v>
      </c>
      <c r="CI117" s="88" t="n">
        <f aca="false">$AO$6*0</f>
        <v>0</v>
      </c>
      <c r="CJ117" s="88" t="n">
        <f aca="false">CH117+CJ116</f>
        <v>221.530740446806</v>
      </c>
      <c r="CK117" s="88" t="n">
        <f aca="false">CI117+CK116</f>
        <v>70</v>
      </c>
      <c r="CL117" s="88" t="n">
        <f aca="false">MAX(CL116,CJ117-CK117)</f>
        <v>151.530740446806</v>
      </c>
      <c r="CM117" s="88" t="n">
        <f aca="false">CL117-CL116</f>
        <v>1.87931088099015</v>
      </c>
      <c r="CN117" s="88" t="n">
        <f aca="false">IF(B117=2026,INDEX($C$17:$Q$17,1,B117-2025)*$AO$4*C117/MAX(0.0001,12-$AO$3),INDEX($C$17:$Q$17,1,B117-2025)/12)</f>
        <v>8.1830083652082</v>
      </c>
      <c r="CO117" s="88" t="n">
        <f aca="false">$AO$6*0</f>
        <v>0</v>
      </c>
      <c r="CP117" s="88" t="n">
        <f aca="false">CN117+CP116</f>
        <v>964.60246176614</v>
      </c>
      <c r="CQ117" s="88" t="n">
        <f aca="false">CO117+CQ116</f>
        <v>221</v>
      </c>
      <c r="CR117" s="88" t="n">
        <f aca="false">MAX(CR116,CP117-CQ117)</f>
        <v>743.60246176614</v>
      </c>
      <c r="CS117" s="88" t="n">
        <f aca="false">CR117-CR116</f>
        <v>8.18300836520825</v>
      </c>
      <c r="CT117" s="88" t="n">
        <f aca="false">IF(B117=2026,INDEX($C$18:$Q$18,1,B117-2025)*$AO$4*C117/MAX(0.0001,12-$AO$3),INDEX($C$18:$Q$18,1,B117-2025)/12)</f>
        <v>1.70233541686103</v>
      </c>
      <c r="CU117" s="88" t="n">
        <f aca="false">$AO$6*0</f>
        <v>0</v>
      </c>
      <c r="CV117" s="88" t="n">
        <f aca="false">CT117+CV116</f>
        <v>200.669101211905</v>
      </c>
      <c r="CW117" s="88" t="n">
        <f aca="false">CU117+CW116</f>
        <v>11</v>
      </c>
      <c r="CX117" s="88" t="n">
        <f aca="false">MAX(CX116,CV117-CW117)</f>
        <v>189.669101211905</v>
      </c>
      <c r="CY117" s="88" t="n">
        <f aca="false">CX117-CX116</f>
        <v>1.70233541686102</v>
      </c>
      <c r="CZ117" s="88" t="n">
        <f aca="false">IF(B117=2026,INDEX($C$19:$Q$19,1,B117-2025)*$AO$4*C117/MAX(0.0001,12-$AO$3),INDEX($C$19:$Q$19,1,B117-2025)/12)</f>
        <v>1.68548061075349</v>
      </c>
      <c r="DA117" s="88" t="n">
        <f aca="false">$AO$6*0</f>
        <v>0</v>
      </c>
      <c r="DB117" s="88" t="n">
        <f aca="false">CZ117+DB116</f>
        <v>198.682278427629</v>
      </c>
      <c r="DC117" s="88" t="n">
        <f aca="false">DA117+DC116</f>
        <v>226</v>
      </c>
      <c r="DD117" s="88" t="n">
        <f aca="false">MAX(DD116,DB117-DC117)</f>
        <v>37.132124495359</v>
      </c>
      <c r="DE117" s="88" t="n">
        <f aca="false">DD117-DD116</f>
        <v>0</v>
      </c>
      <c r="DF117" s="88" t="n">
        <f aca="false">IF(B117=2026,INDEX($C$20:$Q$20,1,B117-2025)*$AO$4*C117/MAX(0.0001,12-$AO$3),INDEX($C$20:$Q$20,1,B117-2025)/12)</f>
        <v>1.37366669776409</v>
      </c>
      <c r="DG117" s="88" t="n">
        <f aca="false">$AO$6*0</f>
        <v>0</v>
      </c>
      <c r="DH117" s="88" t="n">
        <f aca="false">DF117+DH116</f>
        <v>161.926056918517</v>
      </c>
      <c r="DI117" s="88" t="n">
        <f aca="false">DG117+DI116</f>
        <v>0</v>
      </c>
      <c r="DJ117" s="88" t="n">
        <f aca="false">MAX(DJ116,DH117-DI117)</f>
        <v>161.926056918517</v>
      </c>
      <c r="DK117" s="88" t="n">
        <f aca="false">DJ117-DJ116</f>
        <v>1.37366669776409</v>
      </c>
      <c r="DL117" s="88" t="n">
        <f aca="false">IF(B117=2026,INDEX($C$21:$Q$21,1,B117-2025)*$AO$4*C117/MAX(0.0001,12-$AO$3),INDEX($C$21:$Q$21,1,B117-2025)/12)</f>
        <v>0.96072394812949</v>
      </c>
      <c r="DM117" s="88" t="n">
        <f aca="false">$AO$6*0</f>
        <v>0</v>
      </c>
      <c r="DN117" s="88" t="n">
        <f aca="false">DL117+DN116</f>
        <v>113.248898703748</v>
      </c>
      <c r="DO117" s="88" t="n">
        <f aca="false">DM117+DO116</f>
        <v>100</v>
      </c>
      <c r="DP117" s="88" t="n">
        <f aca="false">MAX(DP116,DN117-DO117)</f>
        <v>17.7483109623547</v>
      </c>
      <c r="DQ117" s="88" t="n">
        <f aca="false">DP117-DP116</f>
        <v>0</v>
      </c>
      <c r="DR117" s="88" t="n">
        <f aca="false">IF(B117=2026,INDEX($C$22:$Q$22,1,B117-2025)*$AO$4*C117/MAX(0.0001,12-$AO$3),INDEX($C$22:$Q$22,1,B117-2025)/12)</f>
        <v>0.750038871785304</v>
      </c>
      <c r="DS117" s="88" t="n">
        <f aca="false">$AO$6*0</f>
        <v>0</v>
      </c>
      <c r="DT117" s="88" t="n">
        <f aca="false">DR117+DT116</f>
        <v>88.4136139002949</v>
      </c>
      <c r="DU117" s="88" t="n">
        <f aca="false">DS117+DU116</f>
        <v>29</v>
      </c>
      <c r="DV117" s="88" t="n">
        <f aca="false">MAX(DV116,DT117-DU117)</f>
        <v>59.4136139002949</v>
      </c>
      <c r="DW117" s="88" t="n">
        <f aca="false">DV117-DV116</f>
        <v>0.750038871785307</v>
      </c>
      <c r="DX117" s="88" t="n">
        <f aca="false">IF(B117=2026,INDEX($C$23:$Q$23,1,B117-2025)*$AO$4*C117/MAX(0.0001,12-$AO$3),INDEX($C$23:$Q$23,1,B117-2025)/12)</f>
        <v>1.20511863668875</v>
      </c>
      <c r="DY117" s="88" t="n">
        <f aca="false">$AO$6*0</f>
        <v>0</v>
      </c>
      <c r="DZ117" s="88" t="n">
        <f aca="false">DX117+DZ116</f>
        <v>142.057829075755</v>
      </c>
      <c r="EA117" s="88" t="n">
        <f aca="false">DY117+EA116</f>
        <v>121</v>
      </c>
      <c r="EB117" s="88" t="n">
        <f aca="false">MAX(EB116,DZ117-EA117)</f>
        <v>35.0579690141817</v>
      </c>
      <c r="EC117" s="88" t="n">
        <f aca="false">EB117-EB116</f>
        <v>0</v>
      </c>
      <c r="ED117" s="88" t="n">
        <f aca="false">IF(B117=2026,INDEX($C$24:$Q$24,1,B117-2025)*$AO$4*C117/MAX(0.0001,12-$AO$3),INDEX($C$24:$Q$24,1,B117-2025)/12)</f>
        <v>0.741611468731536</v>
      </c>
      <c r="EE117" s="88" t="n">
        <f aca="false">$AO$6*0</f>
        <v>0</v>
      </c>
      <c r="EF117" s="88" t="n">
        <f aca="false">ED117+EF116</f>
        <v>87.4202025081567</v>
      </c>
      <c r="EG117" s="88" t="n">
        <f aca="false">EE117+EG116</f>
        <v>0</v>
      </c>
      <c r="EH117" s="88" t="n">
        <f aca="false">MAX(EH116,EF117-EG117)</f>
        <v>87.4202025081567</v>
      </c>
      <c r="EI117" s="88" t="n">
        <f aca="false">EH117-EH116</f>
        <v>0.741611468731534</v>
      </c>
      <c r="EJ117" s="88" t="n">
        <f aca="false">IF(B117=2026,INDEX($C$25:$Q$25,1,B117-2025)*$AO$4*C117/MAX(0.0001,12-$AO$3),INDEX($C$25:$Q$25,1,B117-2025)/12)</f>
        <v>0.943869142021955</v>
      </c>
      <c r="EK117" s="88" t="n">
        <f aca="false">$AO$6*0</f>
        <v>0</v>
      </c>
      <c r="EL117" s="88" t="n">
        <f aca="false">EJ117+EL116</f>
        <v>111.262075919472</v>
      </c>
      <c r="EM117" s="88" t="n">
        <f aca="false">EK117+EM116</f>
        <v>14</v>
      </c>
      <c r="EN117" s="88" t="n">
        <f aca="false">MAX(EN116,EL117-EM117)</f>
        <v>97.2620759194722</v>
      </c>
      <c r="EO117" s="88" t="n">
        <f aca="false">EN117-EN116</f>
        <v>0.943869142021953</v>
      </c>
      <c r="EP117" s="88" t="n">
        <f aca="false">IF(B117=2026,INDEX($C$26:$Q$26,1,B117-2025)*$AO$4*C117/MAX(0.0001,12-$AO$3),INDEX($C$26:$Q$26,1,B117-2025)/12)</f>
        <v>1.35681189165656</v>
      </c>
      <c r="EQ117" s="88" t="n">
        <f aca="false">$AO$6*0</f>
        <v>0</v>
      </c>
      <c r="ER117" s="88" t="n">
        <f aca="false">EP117+ER116</f>
        <v>159.939234134241</v>
      </c>
      <c r="ES117" s="88" t="n">
        <f aca="false">EQ117+ES116</f>
        <v>4</v>
      </c>
      <c r="ET117" s="88" t="n">
        <f aca="false">MAX(ET116,ER117-ES117)</f>
        <v>155.939234134241</v>
      </c>
      <c r="EU117" s="88" t="n">
        <f aca="false">ET117-ET116</f>
        <v>1.35681189165655</v>
      </c>
      <c r="EV117" s="88" t="n">
        <f aca="false">IF(B117=2026,INDEX($C$27:$Q$27,1,B117-2025)*$AO$4*C117/MAX(0.0001,12-$AO$3),INDEX($C$27:$Q$27,1,B117-2025)/12)</f>
        <v>3.37096122150698</v>
      </c>
      <c r="EW117" s="88" t="n">
        <f aca="false">$AO$6*0</f>
        <v>0</v>
      </c>
      <c r="EX117" s="88" t="n">
        <f aca="false">EV117+EX116</f>
        <v>397.364556855258</v>
      </c>
      <c r="EY117" s="88" t="n">
        <f aca="false">EW117+EY116</f>
        <v>391</v>
      </c>
      <c r="EZ117" s="88" t="n">
        <f aca="false">MAX(EZ116,EX117-EY117)</f>
        <v>6.3645568552576</v>
      </c>
      <c r="FA117" s="88" t="n">
        <f aca="false">EZ117-EZ116</f>
        <v>3.370961221507</v>
      </c>
      <c r="FB117" s="88" t="n">
        <f aca="false">IF(B117=2026,INDEX($C$28:$Q$28,1,B117-2025)*$AO$4*C117/MAX(0.0001,12-$AO$3),INDEX($C$28:$Q$28,1,B117-2025)/12)</f>
        <v>17.646981994589</v>
      </c>
      <c r="FC117" s="88" t="n">
        <f aca="false">$AO$6*0</f>
        <v>0</v>
      </c>
      <c r="FD117" s="88" t="n">
        <f aca="false">FB117+FD116</f>
        <v>2080.20345513727</v>
      </c>
      <c r="FE117" s="88" t="n">
        <f aca="false">FC117+FE116</f>
        <v>169</v>
      </c>
      <c r="FF117" s="88" t="n">
        <f aca="false">MAX(FF116,FD117-FE117)</f>
        <v>1911.20345513727</v>
      </c>
      <c r="FG117" s="88" t="n">
        <f aca="false">FF117-FF116</f>
        <v>17.6469819945892</v>
      </c>
    </row>
    <row r="118" customFormat="false" ht="15" hidden="false" customHeight="false" outlineLevel="0" collapsed="false">
      <c r="A118" s="0" t="n">
        <v>78</v>
      </c>
      <c r="B118" s="88" t="n">
        <f aca="false">2026+INT(A118/12)</f>
        <v>2032</v>
      </c>
      <c r="C118" s="88" t="n">
        <f aca="false">MAX(0,MIN(1,A118+1-$AO$3))</f>
        <v>1</v>
      </c>
      <c r="D118" s="88" t="n">
        <f aca="false">IF((A118+0.5-(0))&lt;$AO$3,0,2026+INT((A118+0.5-(0))/12))</f>
        <v>2032</v>
      </c>
      <c r="E118" s="88" t="n">
        <f aca="false">IF((A118+0.5-($AO$9))&lt;$AO$3,0,2026+INT((A118+0.5-($AO$9))/12))</f>
        <v>2031</v>
      </c>
      <c r="F118" s="88" t="n">
        <f aca="false">IF((A118+0.5-($AO$9+$AO$8))&lt;$AO$3,0,2026+INT((A118+0.5-($AO$9+$AO$8))/12))</f>
        <v>2029</v>
      </c>
      <c r="G118" s="88" t="n">
        <f aca="false">IF((A118+0.5-($AO$9+$AO$8+$AO$7))&lt;$AO$3,0,2026+INT((A118+0.5-($AO$9+$AO$8+$AO$7))/12))</f>
        <v>2029</v>
      </c>
      <c r="H118" s="88" t="n">
        <f aca="false">IF(B118=2026,INDEX($C$3:$Q$3,1,B118-2025)*$AO$4*C118/MAX(0.0001,12-$AO$3),INDEX($C$3:$Q$3,1,B118-2025)/12)</f>
        <v>180.666666666667</v>
      </c>
      <c r="I118" s="88" t="n">
        <f aca="false">$AO$6*0</f>
        <v>0</v>
      </c>
      <c r="J118" s="88" t="n">
        <f aca="false">H118+J117</f>
        <v>21477.4200913242</v>
      </c>
      <c r="K118" s="88" t="n">
        <f aca="false">I118+K117</f>
        <v>8695.00000000001</v>
      </c>
      <c r="L118" s="88" t="n">
        <f aca="false">MAX(L117,J118-K118)</f>
        <v>12782.4200913242</v>
      </c>
      <c r="M118" s="88" t="n">
        <f aca="false">L118-L117</f>
        <v>180.666666666668</v>
      </c>
      <c r="N118" s="88" t="n">
        <f aca="false">IF(B118=2026,INDEX($C$4:$Q$4,1,B118-2025)*$AO$4*C118/MAX(0.0001,12-$AO$3),INDEX($C$4:$Q$4,1,B118-2025)/12)</f>
        <v>5.47724540066293</v>
      </c>
      <c r="O118" s="88" t="n">
        <f aca="false">$AO$6*0</f>
        <v>0</v>
      </c>
      <c r="P118" s="88" t="n">
        <f aca="false">N118+P117</f>
        <v>651.127862066297</v>
      </c>
      <c r="Q118" s="88" t="n">
        <f aca="false">O118+Q117</f>
        <v>398</v>
      </c>
      <c r="R118" s="88" t="n">
        <f aca="false">MAX(R117,P118-Q118)</f>
        <v>253.127862066297</v>
      </c>
      <c r="S118" s="88" t="n">
        <f aca="false">R118-R117</f>
        <v>5.47724540066292</v>
      </c>
      <c r="T118" s="88" t="n">
        <f aca="false">IF(B118=2026,INDEX($C$5:$Q$5,1,B118-2025)*$AO$4*C118/MAX(0.0001,12-$AO$3),INDEX($C$5:$Q$5,1,B118-2025)/12)</f>
        <v>22.2615024358139</v>
      </c>
      <c r="U118" s="88" t="n">
        <f aca="false">$AO$6*0</f>
        <v>0</v>
      </c>
      <c r="V118" s="88" t="n">
        <f aca="false">T118+V117</f>
        <v>2646.41866980449</v>
      </c>
      <c r="W118" s="88" t="n">
        <f aca="false">U118+W117</f>
        <v>1115</v>
      </c>
      <c r="X118" s="88" t="n">
        <f aca="false">MAX(X117,V118-W118)</f>
        <v>1531.41866980449</v>
      </c>
      <c r="Y118" s="88" t="n">
        <f aca="false">X118-X117</f>
        <v>22.2615024358138</v>
      </c>
      <c r="Z118" s="88" t="n">
        <f aca="false">IF(B118=2026,INDEX($C$6:$Q$6,1,B118-2025)*$AO$4*C118/MAX(0.0001,12-$AO$3),INDEX($C$6:$Q$6,1,B118-2025)/12)</f>
        <v>26.4114629913323</v>
      </c>
      <c r="AA118" s="88" t="n">
        <f aca="false">$AO$6*0</f>
        <v>0</v>
      </c>
      <c r="AB118" s="88" t="n">
        <f aca="false">Z118+AB117</f>
        <v>3139.76062301461</v>
      </c>
      <c r="AC118" s="88" t="n">
        <f aca="false">AA118+AC117</f>
        <v>2194</v>
      </c>
      <c r="AD118" s="88" t="n">
        <f aca="false">MAX(AD117,AB118-AC118)</f>
        <v>1335.64282617929</v>
      </c>
      <c r="AE118" s="88" t="n">
        <f aca="false">AD118-AD117</f>
        <v>0</v>
      </c>
      <c r="AF118" s="88" t="n">
        <f aca="false">IF(B118=2026,INDEX($C$7:$Q$7,1,B118-2025)*$AO$4*C118/MAX(0.0001,12-$AO$3),INDEX($C$7:$Q$7,1,B118-2025)/12)</f>
        <v>22.9427081739175</v>
      </c>
      <c r="AG118" s="88" t="n">
        <f aca="false">$AO$6*0</f>
        <v>0</v>
      </c>
      <c r="AH118" s="88" t="n">
        <f aca="false">AF118+AH117</f>
        <v>2727.39952850857</v>
      </c>
      <c r="AI118" s="88" t="n">
        <f aca="false">AG118+AI117</f>
        <v>826</v>
      </c>
      <c r="AJ118" s="88" t="n">
        <f aca="false">MAX(AJ117,AH118-AI118)</f>
        <v>1901.39952850857</v>
      </c>
      <c r="AK118" s="88" t="n">
        <f aca="false">AJ118-AJ117</f>
        <v>22.9427081739173</v>
      </c>
      <c r="AL118" s="88" t="n">
        <f aca="false">IF(B118=2026,INDEX($C$8:$Q$8,1,B118-2025)*$AO$4*C118/MAX(0.0001,12-$AO$3),INDEX($C$8:$Q$8,1,B118-2025)/12)</f>
        <v>5.80342126052833</v>
      </c>
      <c r="AM118" s="88" t="n">
        <f aca="false">$AO$6*0</f>
        <v>0</v>
      </c>
      <c r="AN118" s="88" t="n">
        <f aca="false">AL118+AN117</f>
        <v>689.903227191638</v>
      </c>
      <c r="AO118" s="88" t="n">
        <f aca="false">AM118+AO117</f>
        <v>66</v>
      </c>
      <c r="AP118" s="88" t="n">
        <f aca="false">MAX(AP117,AN118-AO118)</f>
        <v>623.903227191638</v>
      </c>
      <c r="AQ118" s="88" t="n">
        <f aca="false">AP118-AP117</f>
        <v>5.80342126052835</v>
      </c>
      <c r="AR118" s="88" t="n">
        <f aca="false">IF(B118=2026,INDEX($C$9:$Q$9,1,B118-2025)*$AO$4*C118/MAX(0.0001,12-$AO$3),INDEX($C$9:$Q$9,1,B118-2025)/12)</f>
        <v>24.7454570609428</v>
      </c>
      <c r="AS118" s="88" t="n">
        <f aca="false">$AO$6*0</f>
        <v>0</v>
      </c>
      <c r="AT118" s="88" t="n">
        <f aca="false">AR118+AT117</f>
        <v>2941.70798883595</v>
      </c>
      <c r="AU118" s="88" t="n">
        <f aca="false">AS118+AU117</f>
        <v>1810</v>
      </c>
      <c r="AV118" s="88" t="n">
        <f aca="false">MAX(AV117,AT118-AU118)</f>
        <v>1131.70798883595</v>
      </c>
      <c r="AW118" s="88" t="n">
        <f aca="false">AV118-AV117</f>
        <v>24.745457060943</v>
      </c>
      <c r="AX118" s="88" t="n">
        <f aca="false">IF(B118=2026,INDEX($C$10:$Q$10,1,B118-2025)*$AO$4*C118/MAX(0.0001,12-$AO$3),INDEX($C$10:$Q$10,1,B118-2025)/12)</f>
        <v>2.87034756681557</v>
      </c>
      <c r="AY118" s="88" t="n">
        <f aca="false">$AO$6*0</f>
        <v>0</v>
      </c>
      <c r="AZ118" s="88" t="n">
        <f aca="false">AX118+AZ117</f>
        <v>341.223213102997</v>
      </c>
      <c r="BA118" s="88" t="n">
        <f aca="false">AY118+BA117</f>
        <v>50</v>
      </c>
      <c r="BB118" s="88" t="n">
        <f aca="false">MAX(BB117,AZ118-BA118)</f>
        <v>291.223213102997</v>
      </c>
      <c r="BC118" s="88" t="n">
        <f aca="false">BB118-BB117</f>
        <v>2.87034756681555</v>
      </c>
      <c r="BD118" s="88" t="n">
        <f aca="false">IF(B118=2026,INDEX($C$11:$Q$11,1,B118-2025)*$AO$4*C118/MAX(0.0001,12-$AO$3),INDEX($C$11:$Q$11,1,B118-2025)/12)</f>
        <v>14.2639212564218</v>
      </c>
      <c r="BE118" s="88" t="n">
        <f aca="false">$AO$6*0</f>
        <v>0</v>
      </c>
      <c r="BF118" s="88" t="n">
        <f aca="false">BD118+BF117</f>
        <v>1695.67654413509</v>
      </c>
      <c r="BG118" s="88" t="n">
        <f aca="false">BE118+BG117</f>
        <v>240</v>
      </c>
      <c r="BH118" s="88" t="n">
        <f aca="false">MAX(BH117,BF118-BG118)</f>
        <v>1455.67654413509</v>
      </c>
      <c r="BI118" s="88" t="n">
        <f aca="false">BH118-BH117</f>
        <v>14.2639212564218</v>
      </c>
      <c r="BJ118" s="88" t="n">
        <f aca="false">IF(B118=2026,INDEX($C$12:$Q$12,1,B118-2025)*$AO$4*C118/MAX(0.0001,12-$AO$3),INDEX($C$12:$Q$12,1,B118-2025)/12)</f>
        <v>7.82069350154207</v>
      </c>
      <c r="BK118" s="88" t="n">
        <f aca="false">$AO$6*0</f>
        <v>0</v>
      </c>
      <c r="BL118" s="88" t="n">
        <f aca="false">BJ118+BL117</f>
        <v>929.7139468899</v>
      </c>
      <c r="BM118" s="88" t="n">
        <f aca="false">BK118+BM117</f>
        <v>465</v>
      </c>
      <c r="BN118" s="88" t="n">
        <f aca="false">MAX(BN117,BL118-BM118)</f>
        <v>620.1207703606</v>
      </c>
      <c r="BO118" s="88" t="n">
        <f aca="false">BN118-BN117</f>
        <v>0</v>
      </c>
      <c r="BP118" s="88" t="n">
        <f aca="false">IF(B118=2026,INDEX($C$13:$Q$13,1,B118-2025)*$AO$4*C118/MAX(0.0001,12-$AO$3),INDEX($C$13:$Q$13,1,B118-2025)/12)</f>
        <v>2.44394688559256</v>
      </c>
      <c r="BQ118" s="88" t="n">
        <f aca="false">$AO$6*0</f>
        <v>0</v>
      </c>
      <c r="BR118" s="88" t="n">
        <f aca="false">BP118+BR117</f>
        <v>290.533250605654</v>
      </c>
      <c r="BS118" s="88" t="n">
        <f aca="false">BQ118+BS117</f>
        <v>87</v>
      </c>
      <c r="BT118" s="88" t="n">
        <f aca="false">MAX(BT117,BR118-BS118)</f>
        <v>203.533250605654</v>
      </c>
      <c r="BU118" s="88" t="n">
        <f aca="false">BT118-BT117</f>
        <v>2.44394688559254</v>
      </c>
      <c r="BV118" s="88" t="n">
        <f aca="false">IF(B118=2026,INDEX($C$14:$Q$14,1,B118-2025)*$AO$4*C118/MAX(0.0001,12-$AO$3),INDEX($C$14:$Q$14,1,B118-2025)/12)</f>
        <v>1.449513325248</v>
      </c>
      <c r="BW118" s="88" t="n">
        <f aca="false">$AO$6*0</f>
        <v>0</v>
      </c>
      <c r="BX118" s="88" t="n">
        <f aca="false">BV118+BX117</f>
        <v>172.316272773009</v>
      </c>
      <c r="BY118" s="88" t="n">
        <f aca="false">BW118+BY117</f>
        <v>0</v>
      </c>
      <c r="BZ118" s="88" t="n">
        <f aca="false">MAX(BZ117,BX118-BY118)</f>
        <v>172.316272773009</v>
      </c>
      <c r="CA118" s="88" t="n">
        <f aca="false">BZ118-BZ117</f>
        <v>1.44951332524801</v>
      </c>
      <c r="CB118" s="88" t="n">
        <f aca="false">IF(B118=2026,INDEX($C$15:$Q$15,1,B118-2025)*$AO$4*C118/MAX(0.0001,12-$AO$3),INDEX($C$15:$Q$15,1,B118-2025)/12)</f>
        <v>2.37652766116242</v>
      </c>
      <c r="CC118" s="88" t="n">
        <f aca="false">$AO$6*0</f>
        <v>0</v>
      </c>
      <c r="CD118" s="88" t="n">
        <f aca="false">CB118+CD117</f>
        <v>282.518540244119</v>
      </c>
      <c r="CE118" s="88" t="n">
        <f aca="false">CC118+CE117</f>
        <v>88.0000000000001</v>
      </c>
      <c r="CF118" s="88" t="n">
        <f aca="false">MAX(CF117,CD118-CE118)</f>
        <v>194.518540244119</v>
      </c>
      <c r="CG118" s="88" t="n">
        <f aca="false">CF118-CF117</f>
        <v>2.37652766116241</v>
      </c>
      <c r="CH118" s="88" t="n">
        <f aca="false">IF(B118=2026,INDEX($C$16:$Q$16,1,B118-2025)*$AO$4*C118/MAX(0.0001,12-$AO$3),INDEX($C$16:$Q$16,1,B118-2025)/12)</f>
        <v>1.87931088099014</v>
      </c>
      <c r="CI118" s="88" t="n">
        <f aca="false">$AO$6*0</f>
        <v>0</v>
      </c>
      <c r="CJ118" s="88" t="n">
        <f aca="false">CH118+CJ117</f>
        <v>223.410051327796</v>
      </c>
      <c r="CK118" s="88" t="n">
        <f aca="false">CI118+CK117</f>
        <v>70</v>
      </c>
      <c r="CL118" s="88" t="n">
        <f aca="false">MAX(CL117,CJ118-CK118)</f>
        <v>153.410051327796</v>
      </c>
      <c r="CM118" s="88" t="n">
        <f aca="false">CL118-CL117</f>
        <v>1.87931088099015</v>
      </c>
      <c r="CN118" s="88" t="n">
        <f aca="false">IF(B118=2026,INDEX($C$17:$Q$17,1,B118-2025)*$AO$4*C118/MAX(0.0001,12-$AO$3),INDEX($C$17:$Q$17,1,B118-2025)/12)</f>
        <v>8.1830083652082</v>
      </c>
      <c r="CO118" s="88" t="n">
        <f aca="false">$AO$6*0</f>
        <v>0</v>
      </c>
      <c r="CP118" s="88" t="n">
        <f aca="false">CN118+CP117</f>
        <v>972.785470131348</v>
      </c>
      <c r="CQ118" s="88" t="n">
        <f aca="false">CO118+CQ117</f>
        <v>221</v>
      </c>
      <c r="CR118" s="88" t="n">
        <f aca="false">MAX(CR117,CP118-CQ118)</f>
        <v>751.785470131348</v>
      </c>
      <c r="CS118" s="88" t="n">
        <f aca="false">CR118-CR117</f>
        <v>8.18300836520825</v>
      </c>
      <c r="CT118" s="88" t="n">
        <f aca="false">IF(B118=2026,INDEX($C$18:$Q$18,1,B118-2025)*$AO$4*C118/MAX(0.0001,12-$AO$3),INDEX($C$18:$Q$18,1,B118-2025)/12)</f>
        <v>1.70233541686103</v>
      </c>
      <c r="CU118" s="88" t="n">
        <f aca="false">$AO$6*0</f>
        <v>0</v>
      </c>
      <c r="CV118" s="88" t="n">
        <f aca="false">CT118+CV117</f>
        <v>202.371436628766</v>
      </c>
      <c r="CW118" s="88" t="n">
        <f aca="false">CU118+CW117</f>
        <v>11</v>
      </c>
      <c r="CX118" s="88" t="n">
        <f aca="false">MAX(CX117,CV118-CW118)</f>
        <v>191.371436628766</v>
      </c>
      <c r="CY118" s="88" t="n">
        <f aca="false">CX118-CX117</f>
        <v>1.70233541686102</v>
      </c>
      <c r="CZ118" s="88" t="n">
        <f aca="false">IF(B118=2026,INDEX($C$19:$Q$19,1,B118-2025)*$AO$4*C118/MAX(0.0001,12-$AO$3),INDEX($C$19:$Q$19,1,B118-2025)/12)</f>
        <v>1.68548061075349</v>
      </c>
      <c r="DA118" s="88" t="n">
        <f aca="false">$AO$6*0</f>
        <v>0</v>
      </c>
      <c r="DB118" s="88" t="n">
        <f aca="false">CZ118+DB117</f>
        <v>200.367759038382</v>
      </c>
      <c r="DC118" s="88" t="n">
        <f aca="false">DA118+DC117</f>
        <v>226</v>
      </c>
      <c r="DD118" s="88" t="n">
        <f aca="false">MAX(DD117,DB118-DC118)</f>
        <v>37.132124495359</v>
      </c>
      <c r="DE118" s="88" t="n">
        <f aca="false">DD118-DD117</f>
        <v>0</v>
      </c>
      <c r="DF118" s="88" t="n">
        <f aca="false">IF(B118=2026,INDEX($C$20:$Q$20,1,B118-2025)*$AO$4*C118/MAX(0.0001,12-$AO$3),INDEX($C$20:$Q$20,1,B118-2025)/12)</f>
        <v>1.37366669776409</v>
      </c>
      <c r="DG118" s="88" t="n">
        <f aca="false">$AO$6*0</f>
        <v>0</v>
      </c>
      <c r="DH118" s="88" t="n">
        <f aca="false">DF118+DH117</f>
        <v>163.299723616282</v>
      </c>
      <c r="DI118" s="88" t="n">
        <f aca="false">DG118+DI117</f>
        <v>0</v>
      </c>
      <c r="DJ118" s="88" t="n">
        <f aca="false">MAX(DJ117,DH118-DI118)</f>
        <v>163.299723616282</v>
      </c>
      <c r="DK118" s="88" t="n">
        <f aca="false">DJ118-DJ117</f>
        <v>1.37366669776409</v>
      </c>
      <c r="DL118" s="88" t="n">
        <f aca="false">IF(B118=2026,INDEX($C$21:$Q$21,1,B118-2025)*$AO$4*C118/MAX(0.0001,12-$AO$3),INDEX($C$21:$Q$21,1,B118-2025)/12)</f>
        <v>0.96072394812949</v>
      </c>
      <c r="DM118" s="88" t="n">
        <f aca="false">$AO$6*0</f>
        <v>0</v>
      </c>
      <c r="DN118" s="88" t="n">
        <f aca="false">DL118+DN117</f>
        <v>114.209622651878</v>
      </c>
      <c r="DO118" s="88" t="n">
        <f aca="false">DM118+DO117</f>
        <v>100</v>
      </c>
      <c r="DP118" s="88" t="n">
        <f aca="false">MAX(DP117,DN118-DO118)</f>
        <v>17.7483109623547</v>
      </c>
      <c r="DQ118" s="88" t="n">
        <f aca="false">DP118-DP117</f>
        <v>0</v>
      </c>
      <c r="DR118" s="88" t="n">
        <f aca="false">IF(B118=2026,INDEX($C$22:$Q$22,1,B118-2025)*$AO$4*C118/MAX(0.0001,12-$AO$3),INDEX($C$22:$Q$22,1,B118-2025)/12)</f>
        <v>0.750038871785304</v>
      </c>
      <c r="DS118" s="88" t="n">
        <f aca="false">$AO$6*0</f>
        <v>0</v>
      </c>
      <c r="DT118" s="88" t="n">
        <f aca="false">DR118+DT117</f>
        <v>89.1636527720802</v>
      </c>
      <c r="DU118" s="88" t="n">
        <f aca="false">DS118+DU117</f>
        <v>29</v>
      </c>
      <c r="DV118" s="88" t="n">
        <f aca="false">MAX(DV117,DT118-DU118)</f>
        <v>60.1636527720802</v>
      </c>
      <c r="DW118" s="88" t="n">
        <f aca="false">DV118-DV117</f>
        <v>0.750038871785307</v>
      </c>
      <c r="DX118" s="88" t="n">
        <f aca="false">IF(B118=2026,INDEX($C$23:$Q$23,1,B118-2025)*$AO$4*C118/MAX(0.0001,12-$AO$3),INDEX($C$23:$Q$23,1,B118-2025)/12)</f>
        <v>1.20511863668875</v>
      </c>
      <c r="DY118" s="88" t="n">
        <f aca="false">$AO$6*0</f>
        <v>0</v>
      </c>
      <c r="DZ118" s="88" t="n">
        <f aca="false">DX118+DZ117</f>
        <v>143.262947712443</v>
      </c>
      <c r="EA118" s="88" t="n">
        <f aca="false">DY118+EA117</f>
        <v>121</v>
      </c>
      <c r="EB118" s="88" t="n">
        <f aca="false">MAX(EB117,DZ118-EA118)</f>
        <v>35.0579690141817</v>
      </c>
      <c r="EC118" s="88" t="n">
        <f aca="false">EB118-EB117</f>
        <v>0</v>
      </c>
      <c r="ED118" s="88" t="n">
        <f aca="false">IF(B118=2026,INDEX($C$24:$Q$24,1,B118-2025)*$AO$4*C118/MAX(0.0001,12-$AO$3),INDEX($C$24:$Q$24,1,B118-2025)/12)</f>
        <v>0.741611468731536</v>
      </c>
      <c r="EE118" s="88" t="n">
        <f aca="false">$AO$6*0</f>
        <v>0</v>
      </c>
      <c r="EF118" s="88" t="n">
        <f aca="false">ED118+EF117</f>
        <v>88.1618139768882</v>
      </c>
      <c r="EG118" s="88" t="n">
        <f aca="false">EE118+EG117</f>
        <v>0</v>
      </c>
      <c r="EH118" s="88" t="n">
        <f aca="false">MAX(EH117,EF118-EG118)</f>
        <v>88.1618139768882</v>
      </c>
      <c r="EI118" s="88" t="n">
        <f aca="false">EH118-EH117</f>
        <v>0.741611468731534</v>
      </c>
      <c r="EJ118" s="88" t="n">
        <f aca="false">IF(B118=2026,INDEX($C$25:$Q$25,1,B118-2025)*$AO$4*C118/MAX(0.0001,12-$AO$3),INDEX($C$25:$Q$25,1,B118-2025)/12)</f>
        <v>0.943869142021955</v>
      </c>
      <c r="EK118" s="88" t="n">
        <f aca="false">$AO$6*0</f>
        <v>0</v>
      </c>
      <c r="EL118" s="88" t="n">
        <f aca="false">EJ118+EL117</f>
        <v>112.205945061494</v>
      </c>
      <c r="EM118" s="88" t="n">
        <f aca="false">EK118+EM117</f>
        <v>14</v>
      </c>
      <c r="EN118" s="88" t="n">
        <f aca="false">MAX(EN117,EL118-EM118)</f>
        <v>98.2059450614942</v>
      </c>
      <c r="EO118" s="88" t="n">
        <f aca="false">EN118-EN117</f>
        <v>0.943869142021953</v>
      </c>
      <c r="EP118" s="88" t="n">
        <f aca="false">IF(B118=2026,INDEX($C$26:$Q$26,1,B118-2025)*$AO$4*C118/MAX(0.0001,12-$AO$3),INDEX($C$26:$Q$26,1,B118-2025)/12)</f>
        <v>1.35681189165656</v>
      </c>
      <c r="EQ118" s="88" t="n">
        <f aca="false">$AO$6*0</f>
        <v>0</v>
      </c>
      <c r="ER118" s="88" t="n">
        <f aca="false">EP118+ER117</f>
        <v>161.296046025897</v>
      </c>
      <c r="ES118" s="88" t="n">
        <f aca="false">EQ118+ES117</f>
        <v>4</v>
      </c>
      <c r="ET118" s="88" t="n">
        <f aca="false">MAX(ET117,ER118-ES118)</f>
        <v>157.296046025897</v>
      </c>
      <c r="EU118" s="88" t="n">
        <f aca="false">ET118-ET117</f>
        <v>1.35681189165655</v>
      </c>
      <c r="EV118" s="88" t="n">
        <f aca="false">IF(B118=2026,INDEX($C$27:$Q$27,1,B118-2025)*$AO$4*C118/MAX(0.0001,12-$AO$3),INDEX($C$27:$Q$27,1,B118-2025)/12)</f>
        <v>3.37096122150698</v>
      </c>
      <c r="EW118" s="88" t="n">
        <f aca="false">$AO$6*0</f>
        <v>0</v>
      </c>
      <c r="EX118" s="88" t="n">
        <f aca="false">EV118+EX117</f>
        <v>400.735518076765</v>
      </c>
      <c r="EY118" s="88" t="n">
        <f aca="false">EW118+EY117</f>
        <v>391</v>
      </c>
      <c r="EZ118" s="88" t="n">
        <f aca="false">MAX(EZ117,EX118-EY118)</f>
        <v>9.73551807676461</v>
      </c>
      <c r="FA118" s="88" t="n">
        <f aca="false">EZ118-EZ117</f>
        <v>3.370961221507</v>
      </c>
      <c r="FB118" s="88" t="n">
        <f aca="false">IF(B118=2026,INDEX($C$28:$Q$28,1,B118-2025)*$AO$4*C118/MAX(0.0001,12-$AO$3),INDEX($C$28:$Q$28,1,B118-2025)/12)</f>
        <v>17.646981994589</v>
      </c>
      <c r="FC118" s="88" t="n">
        <f aca="false">$AO$6*0</f>
        <v>0</v>
      </c>
      <c r="FD118" s="88" t="n">
        <f aca="false">FB118+FD117</f>
        <v>2097.85043713186</v>
      </c>
      <c r="FE118" s="88" t="n">
        <f aca="false">FC118+FE117</f>
        <v>169</v>
      </c>
      <c r="FF118" s="88" t="n">
        <f aca="false">MAX(FF117,FD118-FE118)</f>
        <v>1928.85043713186</v>
      </c>
      <c r="FG118" s="88" t="n">
        <f aca="false">FF118-FF117</f>
        <v>17.6469819945892</v>
      </c>
    </row>
    <row r="119" customFormat="false" ht="15" hidden="false" customHeight="false" outlineLevel="0" collapsed="false">
      <c r="A119" s="0" t="n">
        <v>79</v>
      </c>
      <c r="B119" s="88" t="n">
        <f aca="false">2026+INT(A119/12)</f>
        <v>2032</v>
      </c>
      <c r="C119" s="88" t="n">
        <f aca="false">MAX(0,MIN(1,A119+1-$AO$3))</f>
        <v>1</v>
      </c>
      <c r="D119" s="88" t="n">
        <f aca="false">IF((A119+0.5-(0))&lt;$AO$3,0,2026+INT((A119+0.5-(0))/12))</f>
        <v>2032</v>
      </c>
      <c r="E119" s="88" t="n">
        <f aca="false">IF((A119+0.5-($AO$9))&lt;$AO$3,0,2026+INT((A119+0.5-($AO$9))/12))</f>
        <v>2031</v>
      </c>
      <c r="F119" s="88" t="n">
        <f aca="false">IF((A119+0.5-($AO$9+$AO$8))&lt;$AO$3,0,2026+INT((A119+0.5-($AO$9+$AO$8))/12))</f>
        <v>2030</v>
      </c>
      <c r="G119" s="88" t="n">
        <f aca="false">IF((A119+0.5-($AO$9+$AO$8+$AO$7))&lt;$AO$3,0,2026+INT((A119+0.5-($AO$9+$AO$8+$AO$7))/12))</f>
        <v>2029</v>
      </c>
      <c r="H119" s="88" t="n">
        <f aca="false">IF(B119=2026,INDEX($C$3:$Q$3,1,B119-2025)*$AO$4*C119/MAX(0.0001,12-$AO$3),INDEX($C$3:$Q$3,1,B119-2025)/12)</f>
        <v>180.666666666667</v>
      </c>
      <c r="I119" s="88" t="n">
        <f aca="false">$AO$6*0</f>
        <v>0</v>
      </c>
      <c r="J119" s="88" t="n">
        <f aca="false">H119+J118</f>
        <v>21658.0867579909</v>
      </c>
      <c r="K119" s="88" t="n">
        <f aca="false">I119+K118</f>
        <v>8695.00000000001</v>
      </c>
      <c r="L119" s="88" t="n">
        <f aca="false">MAX(L118,J119-K119)</f>
        <v>12963.0867579909</v>
      </c>
      <c r="M119" s="88" t="n">
        <f aca="false">L119-L118</f>
        <v>180.666666666668</v>
      </c>
      <c r="N119" s="88" t="n">
        <f aca="false">IF(B119=2026,INDEX($C$4:$Q$4,1,B119-2025)*$AO$4*C119/MAX(0.0001,12-$AO$3),INDEX($C$4:$Q$4,1,B119-2025)/12)</f>
        <v>5.47724540066293</v>
      </c>
      <c r="O119" s="88" t="n">
        <f aca="false">$AO$6*0</f>
        <v>0</v>
      </c>
      <c r="P119" s="88" t="n">
        <f aca="false">N119+P118</f>
        <v>656.60510746696</v>
      </c>
      <c r="Q119" s="88" t="n">
        <f aca="false">O119+Q118</f>
        <v>398</v>
      </c>
      <c r="R119" s="88" t="n">
        <f aca="false">MAX(R118,P119-Q119)</f>
        <v>258.60510746696</v>
      </c>
      <c r="S119" s="88" t="n">
        <f aca="false">R119-R118</f>
        <v>5.47724540066292</v>
      </c>
      <c r="T119" s="88" t="n">
        <f aca="false">IF(B119=2026,INDEX($C$5:$Q$5,1,B119-2025)*$AO$4*C119/MAX(0.0001,12-$AO$3),INDEX($C$5:$Q$5,1,B119-2025)/12)</f>
        <v>22.2615024358139</v>
      </c>
      <c r="U119" s="88" t="n">
        <f aca="false">$AO$6*0</f>
        <v>0</v>
      </c>
      <c r="V119" s="88" t="n">
        <f aca="false">T119+V118</f>
        <v>2668.68017224031</v>
      </c>
      <c r="W119" s="88" t="n">
        <f aca="false">U119+W118</f>
        <v>1115</v>
      </c>
      <c r="X119" s="88" t="n">
        <f aca="false">MAX(X118,V119-W119)</f>
        <v>1553.68017224031</v>
      </c>
      <c r="Y119" s="88" t="n">
        <f aca="false">X119-X118</f>
        <v>22.2615024358138</v>
      </c>
      <c r="Z119" s="88" t="n">
        <f aca="false">IF(B119=2026,INDEX($C$6:$Q$6,1,B119-2025)*$AO$4*C119/MAX(0.0001,12-$AO$3),INDEX($C$6:$Q$6,1,B119-2025)/12)</f>
        <v>26.4114629913323</v>
      </c>
      <c r="AA119" s="88" t="n">
        <f aca="false">$AO$6*0</f>
        <v>0</v>
      </c>
      <c r="AB119" s="88" t="n">
        <f aca="false">Z119+AB118</f>
        <v>3166.17208600594</v>
      </c>
      <c r="AC119" s="88" t="n">
        <f aca="false">AA119+AC118</f>
        <v>2194</v>
      </c>
      <c r="AD119" s="88" t="n">
        <f aca="false">MAX(AD118,AB119-AC119)</f>
        <v>1335.64282617929</v>
      </c>
      <c r="AE119" s="88" t="n">
        <f aca="false">AD119-AD118</f>
        <v>0</v>
      </c>
      <c r="AF119" s="88" t="n">
        <f aca="false">IF(B119=2026,INDEX($C$7:$Q$7,1,B119-2025)*$AO$4*C119/MAX(0.0001,12-$AO$3),INDEX($C$7:$Q$7,1,B119-2025)/12)</f>
        <v>22.9427081739175</v>
      </c>
      <c r="AG119" s="88" t="n">
        <f aca="false">$AO$6*0</f>
        <v>0</v>
      </c>
      <c r="AH119" s="88" t="n">
        <f aca="false">AF119+AH118</f>
        <v>2750.34223668249</v>
      </c>
      <c r="AI119" s="88" t="n">
        <f aca="false">AG119+AI118</f>
        <v>826</v>
      </c>
      <c r="AJ119" s="88" t="n">
        <f aca="false">MAX(AJ118,AH119-AI119)</f>
        <v>1924.34223668249</v>
      </c>
      <c r="AK119" s="88" t="n">
        <f aca="false">AJ119-AJ118</f>
        <v>22.9427081739173</v>
      </c>
      <c r="AL119" s="88" t="n">
        <f aca="false">IF(B119=2026,INDEX($C$8:$Q$8,1,B119-2025)*$AO$4*C119/MAX(0.0001,12-$AO$3),INDEX($C$8:$Q$8,1,B119-2025)/12)</f>
        <v>5.80342126052833</v>
      </c>
      <c r="AM119" s="88" t="n">
        <f aca="false">$AO$6*0</f>
        <v>0</v>
      </c>
      <c r="AN119" s="88" t="n">
        <f aca="false">AL119+AN118</f>
        <v>695.706648452166</v>
      </c>
      <c r="AO119" s="88" t="n">
        <f aca="false">AM119+AO118</f>
        <v>66</v>
      </c>
      <c r="AP119" s="88" t="n">
        <f aca="false">MAX(AP118,AN119-AO119)</f>
        <v>629.706648452166</v>
      </c>
      <c r="AQ119" s="88" t="n">
        <f aca="false">AP119-AP118</f>
        <v>5.80342126052835</v>
      </c>
      <c r="AR119" s="88" t="n">
        <f aca="false">IF(B119=2026,INDEX($C$9:$Q$9,1,B119-2025)*$AO$4*C119/MAX(0.0001,12-$AO$3),INDEX($C$9:$Q$9,1,B119-2025)/12)</f>
        <v>24.7454570609428</v>
      </c>
      <c r="AS119" s="88" t="n">
        <f aca="false">$AO$6*0</f>
        <v>0</v>
      </c>
      <c r="AT119" s="88" t="n">
        <f aca="false">AR119+AT118</f>
        <v>2966.45344589689</v>
      </c>
      <c r="AU119" s="88" t="n">
        <f aca="false">AS119+AU118</f>
        <v>1810</v>
      </c>
      <c r="AV119" s="88" t="n">
        <f aca="false">MAX(AV118,AT119-AU119)</f>
        <v>1156.45344589689</v>
      </c>
      <c r="AW119" s="88" t="n">
        <f aca="false">AV119-AV118</f>
        <v>24.745457060943</v>
      </c>
      <c r="AX119" s="88" t="n">
        <f aca="false">IF(B119=2026,INDEX($C$10:$Q$10,1,B119-2025)*$AO$4*C119/MAX(0.0001,12-$AO$3),INDEX($C$10:$Q$10,1,B119-2025)/12)</f>
        <v>2.87034756681557</v>
      </c>
      <c r="AY119" s="88" t="n">
        <f aca="false">$AO$6*0</f>
        <v>0</v>
      </c>
      <c r="AZ119" s="88" t="n">
        <f aca="false">AX119+AZ118</f>
        <v>344.093560669813</v>
      </c>
      <c r="BA119" s="88" t="n">
        <f aca="false">AY119+BA118</f>
        <v>50</v>
      </c>
      <c r="BB119" s="88" t="n">
        <f aca="false">MAX(BB118,AZ119-BA119)</f>
        <v>294.093560669813</v>
      </c>
      <c r="BC119" s="88" t="n">
        <f aca="false">BB119-BB118</f>
        <v>2.87034756681555</v>
      </c>
      <c r="BD119" s="88" t="n">
        <f aca="false">IF(B119=2026,INDEX($C$11:$Q$11,1,B119-2025)*$AO$4*C119/MAX(0.0001,12-$AO$3),INDEX($C$11:$Q$11,1,B119-2025)/12)</f>
        <v>14.2639212564218</v>
      </c>
      <c r="BE119" s="88" t="n">
        <f aca="false">$AO$6*0</f>
        <v>0</v>
      </c>
      <c r="BF119" s="88" t="n">
        <f aca="false">BD119+BF118</f>
        <v>1709.94046539151</v>
      </c>
      <c r="BG119" s="88" t="n">
        <f aca="false">BE119+BG118</f>
        <v>240</v>
      </c>
      <c r="BH119" s="88" t="n">
        <f aca="false">MAX(BH118,BF119-BG119)</f>
        <v>1469.94046539151</v>
      </c>
      <c r="BI119" s="88" t="n">
        <f aca="false">BH119-BH118</f>
        <v>14.2639212564218</v>
      </c>
      <c r="BJ119" s="88" t="n">
        <f aca="false">IF(B119=2026,INDEX($C$12:$Q$12,1,B119-2025)*$AO$4*C119/MAX(0.0001,12-$AO$3),INDEX($C$12:$Q$12,1,B119-2025)/12)</f>
        <v>7.82069350154207</v>
      </c>
      <c r="BK119" s="88" t="n">
        <f aca="false">$AO$6*0</f>
        <v>0</v>
      </c>
      <c r="BL119" s="88" t="n">
        <f aca="false">BJ119+BL118</f>
        <v>937.534640391442</v>
      </c>
      <c r="BM119" s="88" t="n">
        <f aca="false">BK119+BM118</f>
        <v>465</v>
      </c>
      <c r="BN119" s="88" t="n">
        <f aca="false">MAX(BN118,BL119-BM119)</f>
        <v>620.1207703606</v>
      </c>
      <c r="BO119" s="88" t="n">
        <f aca="false">BN119-BN118</f>
        <v>0</v>
      </c>
      <c r="BP119" s="88" t="n">
        <f aca="false">IF(B119=2026,INDEX($C$13:$Q$13,1,B119-2025)*$AO$4*C119/MAX(0.0001,12-$AO$3),INDEX($C$13:$Q$13,1,B119-2025)/12)</f>
        <v>2.44394688559256</v>
      </c>
      <c r="BQ119" s="88" t="n">
        <f aca="false">$AO$6*0</f>
        <v>0</v>
      </c>
      <c r="BR119" s="88" t="n">
        <f aca="false">BP119+BR118</f>
        <v>292.977197491247</v>
      </c>
      <c r="BS119" s="88" t="n">
        <f aca="false">BQ119+BS118</f>
        <v>87</v>
      </c>
      <c r="BT119" s="88" t="n">
        <f aca="false">MAX(BT118,BR119-BS119)</f>
        <v>205.977197491247</v>
      </c>
      <c r="BU119" s="88" t="n">
        <f aca="false">BT119-BT118</f>
        <v>2.44394688559254</v>
      </c>
      <c r="BV119" s="88" t="n">
        <f aca="false">IF(B119=2026,INDEX($C$14:$Q$14,1,B119-2025)*$AO$4*C119/MAX(0.0001,12-$AO$3),INDEX($C$14:$Q$14,1,B119-2025)/12)</f>
        <v>1.449513325248</v>
      </c>
      <c r="BW119" s="88" t="n">
        <f aca="false">$AO$6*0</f>
        <v>0</v>
      </c>
      <c r="BX119" s="88" t="n">
        <f aca="false">BV119+BX118</f>
        <v>173.765786098257</v>
      </c>
      <c r="BY119" s="88" t="n">
        <f aca="false">BW119+BY118</f>
        <v>0</v>
      </c>
      <c r="BZ119" s="88" t="n">
        <f aca="false">MAX(BZ118,BX119-BY119)</f>
        <v>173.765786098257</v>
      </c>
      <c r="CA119" s="88" t="n">
        <f aca="false">BZ119-BZ118</f>
        <v>1.44951332524801</v>
      </c>
      <c r="CB119" s="88" t="n">
        <f aca="false">IF(B119=2026,INDEX($C$15:$Q$15,1,B119-2025)*$AO$4*C119/MAX(0.0001,12-$AO$3),INDEX($C$15:$Q$15,1,B119-2025)/12)</f>
        <v>2.37652766116242</v>
      </c>
      <c r="CC119" s="88" t="n">
        <f aca="false">$AO$6*0</f>
        <v>0</v>
      </c>
      <c r="CD119" s="88" t="n">
        <f aca="false">CB119+CD118</f>
        <v>284.895067905281</v>
      </c>
      <c r="CE119" s="88" t="n">
        <f aca="false">CC119+CE118</f>
        <v>88.0000000000001</v>
      </c>
      <c r="CF119" s="88" t="n">
        <f aca="false">MAX(CF118,CD119-CE119)</f>
        <v>196.895067905281</v>
      </c>
      <c r="CG119" s="88" t="n">
        <f aca="false">CF119-CF118</f>
        <v>2.37652766116241</v>
      </c>
      <c r="CH119" s="88" t="n">
        <f aca="false">IF(B119=2026,INDEX($C$16:$Q$16,1,B119-2025)*$AO$4*C119/MAX(0.0001,12-$AO$3),INDEX($C$16:$Q$16,1,B119-2025)/12)</f>
        <v>1.87931088099014</v>
      </c>
      <c r="CI119" s="88" t="n">
        <f aca="false">$AO$6*0</f>
        <v>0</v>
      </c>
      <c r="CJ119" s="88" t="n">
        <f aca="false">CH119+CJ118</f>
        <v>225.289362208786</v>
      </c>
      <c r="CK119" s="88" t="n">
        <f aca="false">CI119+CK118</f>
        <v>70</v>
      </c>
      <c r="CL119" s="88" t="n">
        <f aca="false">MAX(CL118,CJ119-CK119)</f>
        <v>155.289362208786</v>
      </c>
      <c r="CM119" s="88" t="n">
        <f aca="false">CL119-CL118</f>
        <v>1.87931088099015</v>
      </c>
      <c r="CN119" s="88" t="n">
        <f aca="false">IF(B119=2026,INDEX($C$17:$Q$17,1,B119-2025)*$AO$4*C119/MAX(0.0001,12-$AO$3),INDEX($C$17:$Q$17,1,B119-2025)/12)</f>
        <v>8.1830083652082</v>
      </c>
      <c r="CO119" s="88" t="n">
        <f aca="false">$AO$6*0</f>
        <v>0</v>
      </c>
      <c r="CP119" s="88" t="n">
        <f aca="false">CN119+CP118</f>
        <v>980.968478496556</v>
      </c>
      <c r="CQ119" s="88" t="n">
        <f aca="false">CO119+CQ118</f>
        <v>221</v>
      </c>
      <c r="CR119" s="88" t="n">
        <f aca="false">MAX(CR118,CP119-CQ119)</f>
        <v>759.968478496557</v>
      </c>
      <c r="CS119" s="88" t="n">
        <f aca="false">CR119-CR118</f>
        <v>8.18300836520825</v>
      </c>
      <c r="CT119" s="88" t="n">
        <f aca="false">IF(B119=2026,INDEX($C$18:$Q$18,1,B119-2025)*$AO$4*C119/MAX(0.0001,12-$AO$3),INDEX($C$18:$Q$18,1,B119-2025)/12)</f>
        <v>1.70233541686103</v>
      </c>
      <c r="CU119" s="88" t="n">
        <f aca="false">$AO$6*0</f>
        <v>0</v>
      </c>
      <c r="CV119" s="88" t="n">
        <f aca="false">CT119+CV118</f>
        <v>204.073772045627</v>
      </c>
      <c r="CW119" s="88" t="n">
        <f aca="false">CU119+CW118</f>
        <v>11</v>
      </c>
      <c r="CX119" s="88" t="n">
        <f aca="false">MAX(CX118,CV119-CW119)</f>
        <v>193.073772045627</v>
      </c>
      <c r="CY119" s="88" t="n">
        <f aca="false">CX119-CX118</f>
        <v>1.70233541686102</v>
      </c>
      <c r="CZ119" s="88" t="n">
        <f aca="false">IF(B119=2026,INDEX($C$19:$Q$19,1,B119-2025)*$AO$4*C119/MAX(0.0001,12-$AO$3),INDEX($C$19:$Q$19,1,B119-2025)/12)</f>
        <v>1.68548061075349</v>
      </c>
      <c r="DA119" s="88" t="n">
        <f aca="false">$AO$6*0</f>
        <v>0</v>
      </c>
      <c r="DB119" s="88" t="n">
        <f aca="false">CZ119+DB118</f>
        <v>202.053239649136</v>
      </c>
      <c r="DC119" s="88" t="n">
        <f aca="false">DA119+DC118</f>
        <v>226</v>
      </c>
      <c r="DD119" s="88" t="n">
        <f aca="false">MAX(DD118,DB119-DC119)</f>
        <v>37.132124495359</v>
      </c>
      <c r="DE119" s="88" t="n">
        <f aca="false">DD119-DD118</f>
        <v>0</v>
      </c>
      <c r="DF119" s="88" t="n">
        <f aca="false">IF(B119=2026,INDEX($C$20:$Q$20,1,B119-2025)*$AO$4*C119/MAX(0.0001,12-$AO$3),INDEX($C$20:$Q$20,1,B119-2025)/12)</f>
        <v>1.37366669776409</v>
      </c>
      <c r="DG119" s="88" t="n">
        <f aca="false">$AO$6*0</f>
        <v>0</v>
      </c>
      <c r="DH119" s="88" t="n">
        <f aca="false">DF119+DH118</f>
        <v>164.673390314046</v>
      </c>
      <c r="DI119" s="88" t="n">
        <f aca="false">DG119+DI118</f>
        <v>0</v>
      </c>
      <c r="DJ119" s="88" t="n">
        <f aca="false">MAX(DJ118,DH119-DI119)</f>
        <v>164.673390314046</v>
      </c>
      <c r="DK119" s="88" t="n">
        <f aca="false">DJ119-DJ118</f>
        <v>1.37366669776409</v>
      </c>
      <c r="DL119" s="88" t="n">
        <f aca="false">IF(B119=2026,INDEX($C$21:$Q$21,1,B119-2025)*$AO$4*C119/MAX(0.0001,12-$AO$3),INDEX($C$21:$Q$21,1,B119-2025)/12)</f>
        <v>0.96072394812949</v>
      </c>
      <c r="DM119" s="88" t="n">
        <f aca="false">$AO$6*0</f>
        <v>0</v>
      </c>
      <c r="DN119" s="88" t="n">
        <f aca="false">DL119+DN118</f>
        <v>115.170346600007</v>
      </c>
      <c r="DO119" s="88" t="n">
        <f aca="false">DM119+DO118</f>
        <v>100</v>
      </c>
      <c r="DP119" s="88" t="n">
        <f aca="false">MAX(DP118,DN119-DO119)</f>
        <v>17.7483109623547</v>
      </c>
      <c r="DQ119" s="88" t="n">
        <f aca="false">DP119-DP118</f>
        <v>0</v>
      </c>
      <c r="DR119" s="88" t="n">
        <f aca="false">IF(B119=2026,INDEX($C$22:$Q$22,1,B119-2025)*$AO$4*C119/MAX(0.0001,12-$AO$3),INDEX($C$22:$Q$22,1,B119-2025)/12)</f>
        <v>0.750038871785304</v>
      </c>
      <c r="DS119" s="88" t="n">
        <f aca="false">$AO$6*0</f>
        <v>0</v>
      </c>
      <c r="DT119" s="88" t="n">
        <f aca="false">DR119+DT118</f>
        <v>89.9136916438655</v>
      </c>
      <c r="DU119" s="88" t="n">
        <f aca="false">DS119+DU118</f>
        <v>29</v>
      </c>
      <c r="DV119" s="88" t="n">
        <f aca="false">MAX(DV118,DT119-DU119)</f>
        <v>60.9136916438655</v>
      </c>
      <c r="DW119" s="88" t="n">
        <f aca="false">DV119-DV118</f>
        <v>0.750038871785307</v>
      </c>
      <c r="DX119" s="88" t="n">
        <f aca="false">IF(B119=2026,INDEX($C$23:$Q$23,1,B119-2025)*$AO$4*C119/MAX(0.0001,12-$AO$3),INDEX($C$23:$Q$23,1,B119-2025)/12)</f>
        <v>1.20511863668875</v>
      </c>
      <c r="DY119" s="88" t="n">
        <f aca="false">$AO$6*0</f>
        <v>0</v>
      </c>
      <c r="DZ119" s="88" t="n">
        <f aca="false">DX119+DZ118</f>
        <v>144.468066349132</v>
      </c>
      <c r="EA119" s="88" t="n">
        <f aca="false">DY119+EA118</f>
        <v>121</v>
      </c>
      <c r="EB119" s="88" t="n">
        <f aca="false">MAX(EB118,DZ119-EA119)</f>
        <v>35.0579690141817</v>
      </c>
      <c r="EC119" s="88" t="n">
        <f aca="false">EB119-EB118</f>
        <v>0</v>
      </c>
      <c r="ED119" s="88" t="n">
        <f aca="false">IF(B119=2026,INDEX($C$24:$Q$24,1,B119-2025)*$AO$4*C119/MAX(0.0001,12-$AO$3),INDEX($C$24:$Q$24,1,B119-2025)/12)</f>
        <v>0.741611468731536</v>
      </c>
      <c r="EE119" s="88" t="n">
        <f aca="false">$AO$6*0</f>
        <v>0</v>
      </c>
      <c r="EF119" s="88" t="n">
        <f aca="false">ED119+EF118</f>
        <v>88.9034254456198</v>
      </c>
      <c r="EG119" s="88" t="n">
        <f aca="false">EE119+EG118</f>
        <v>0</v>
      </c>
      <c r="EH119" s="88" t="n">
        <f aca="false">MAX(EH118,EF119-EG119)</f>
        <v>88.9034254456198</v>
      </c>
      <c r="EI119" s="88" t="n">
        <f aca="false">EH119-EH118</f>
        <v>0.741611468731534</v>
      </c>
      <c r="EJ119" s="88" t="n">
        <f aca="false">IF(B119=2026,INDEX($C$25:$Q$25,1,B119-2025)*$AO$4*C119/MAX(0.0001,12-$AO$3),INDEX($C$25:$Q$25,1,B119-2025)/12)</f>
        <v>0.943869142021955</v>
      </c>
      <c r="EK119" s="88" t="n">
        <f aca="false">$AO$6*0</f>
        <v>0</v>
      </c>
      <c r="EL119" s="88" t="n">
        <f aca="false">EJ119+EL118</f>
        <v>113.149814203516</v>
      </c>
      <c r="EM119" s="88" t="n">
        <f aca="false">EK119+EM118</f>
        <v>14</v>
      </c>
      <c r="EN119" s="88" t="n">
        <f aca="false">MAX(EN118,EL119-EM119)</f>
        <v>99.1498142035161</v>
      </c>
      <c r="EO119" s="88" t="n">
        <f aca="false">EN119-EN118</f>
        <v>0.943869142021953</v>
      </c>
      <c r="EP119" s="88" t="n">
        <f aca="false">IF(B119=2026,INDEX($C$26:$Q$26,1,B119-2025)*$AO$4*C119/MAX(0.0001,12-$AO$3),INDEX($C$26:$Q$26,1,B119-2025)/12)</f>
        <v>1.35681189165656</v>
      </c>
      <c r="EQ119" s="88" t="n">
        <f aca="false">$AO$6*0</f>
        <v>0</v>
      </c>
      <c r="ER119" s="88" t="n">
        <f aca="false">EP119+ER118</f>
        <v>162.652857917554</v>
      </c>
      <c r="ES119" s="88" t="n">
        <f aca="false">EQ119+ES118</f>
        <v>4</v>
      </c>
      <c r="ET119" s="88" t="n">
        <f aca="false">MAX(ET118,ER119-ES119)</f>
        <v>158.652857917554</v>
      </c>
      <c r="EU119" s="88" t="n">
        <f aca="false">ET119-ET118</f>
        <v>1.35681189165655</v>
      </c>
      <c r="EV119" s="88" t="n">
        <f aca="false">IF(B119=2026,INDEX($C$27:$Q$27,1,B119-2025)*$AO$4*C119/MAX(0.0001,12-$AO$3),INDEX($C$27:$Q$27,1,B119-2025)/12)</f>
        <v>3.37096122150698</v>
      </c>
      <c r="EW119" s="88" t="n">
        <f aca="false">$AO$6*0</f>
        <v>0</v>
      </c>
      <c r="EX119" s="88" t="n">
        <f aca="false">EV119+EX118</f>
        <v>404.106479298272</v>
      </c>
      <c r="EY119" s="88" t="n">
        <f aca="false">EW119+EY118</f>
        <v>391</v>
      </c>
      <c r="EZ119" s="88" t="n">
        <f aca="false">MAX(EZ118,EX119-EY119)</f>
        <v>13.1064792982716</v>
      </c>
      <c r="FA119" s="88" t="n">
        <f aca="false">EZ119-EZ118</f>
        <v>3.370961221507</v>
      </c>
      <c r="FB119" s="88" t="n">
        <f aca="false">IF(B119=2026,INDEX($C$28:$Q$28,1,B119-2025)*$AO$4*C119/MAX(0.0001,12-$AO$3),INDEX($C$28:$Q$28,1,B119-2025)/12)</f>
        <v>17.646981994589</v>
      </c>
      <c r="FC119" s="88" t="n">
        <f aca="false">$AO$6*0</f>
        <v>0</v>
      </c>
      <c r="FD119" s="88" t="n">
        <f aca="false">FB119+FD118</f>
        <v>2115.49741912645</v>
      </c>
      <c r="FE119" s="88" t="n">
        <f aca="false">FC119+FE118</f>
        <v>169</v>
      </c>
      <c r="FF119" s="88" t="n">
        <f aca="false">MAX(FF118,FD119-FE119)</f>
        <v>1946.49741912645</v>
      </c>
      <c r="FG119" s="88" t="n">
        <f aca="false">FF119-FF118</f>
        <v>17.6469819945892</v>
      </c>
    </row>
    <row r="120" customFormat="false" ht="15" hidden="false" customHeight="false" outlineLevel="0" collapsed="false">
      <c r="A120" s="0" t="n">
        <v>80</v>
      </c>
      <c r="B120" s="88" t="n">
        <f aca="false">2026+INT(A120/12)</f>
        <v>2032</v>
      </c>
      <c r="C120" s="88" t="n">
        <f aca="false">MAX(0,MIN(1,A120+1-$AO$3))</f>
        <v>1</v>
      </c>
      <c r="D120" s="88" t="n">
        <f aca="false">IF((A120+0.5-(0))&lt;$AO$3,0,2026+INT((A120+0.5-(0))/12))</f>
        <v>2032</v>
      </c>
      <c r="E120" s="88" t="n">
        <f aca="false">IF((A120+0.5-($AO$9))&lt;$AO$3,0,2026+INT((A120+0.5-($AO$9))/12))</f>
        <v>2031</v>
      </c>
      <c r="F120" s="88" t="n">
        <f aca="false">IF((A120+0.5-($AO$9+$AO$8))&lt;$AO$3,0,2026+INT((A120+0.5-($AO$9+$AO$8))/12))</f>
        <v>2030</v>
      </c>
      <c r="G120" s="88" t="n">
        <f aca="false">IF((A120+0.5-($AO$9+$AO$8+$AO$7))&lt;$AO$3,0,2026+INT((A120+0.5-($AO$9+$AO$8+$AO$7))/12))</f>
        <v>2029</v>
      </c>
      <c r="H120" s="88" t="n">
        <f aca="false">IF(B120=2026,INDEX($C$3:$Q$3,1,B120-2025)*$AO$4*C120/MAX(0.0001,12-$AO$3),INDEX($C$3:$Q$3,1,B120-2025)/12)</f>
        <v>180.666666666667</v>
      </c>
      <c r="I120" s="88" t="n">
        <f aca="false">$AO$6*0</f>
        <v>0</v>
      </c>
      <c r="J120" s="88" t="n">
        <f aca="false">H120+J119</f>
        <v>21838.7534246576</v>
      </c>
      <c r="K120" s="88" t="n">
        <f aca="false">I120+K119</f>
        <v>8695.00000000001</v>
      </c>
      <c r="L120" s="88" t="n">
        <f aca="false">MAX(L119,J120-K120)</f>
        <v>13143.7534246576</v>
      </c>
      <c r="M120" s="88" t="n">
        <f aca="false">L120-L119</f>
        <v>180.666666666668</v>
      </c>
      <c r="N120" s="88" t="n">
        <f aca="false">IF(B120=2026,INDEX($C$4:$Q$4,1,B120-2025)*$AO$4*C120/MAX(0.0001,12-$AO$3),INDEX($C$4:$Q$4,1,B120-2025)/12)</f>
        <v>5.47724540066293</v>
      </c>
      <c r="O120" s="88" t="n">
        <f aca="false">$AO$6*0</f>
        <v>0</v>
      </c>
      <c r="P120" s="88" t="n">
        <f aca="false">N120+P119</f>
        <v>662.082352867623</v>
      </c>
      <c r="Q120" s="88" t="n">
        <f aca="false">O120+Q119</f>
        <v>398</v>
      </c>
      <c r="R120" s="88" t="n">
        <f aca="false">MAX(R119,P120-Q120)</f>
        <v>264.082352867623</v>
      </c>
      <c r="S120" s="88" t="n">
        <f aca="false">R120-R119</f>
        <v>5.47724540066292</v>
      </c>
      <c r="T120" s="88" t="n">
        <f aca="false">IF(B120=2026,INDEX($C$5:$Q$5,1,B120-2025)*$AO$4*C120/MAX(0.0001,12-$AO$3),INDEX($C$5:$Q$5,1,B120-2025)/12)</f>
        <v>22.2615024358139</v>
      </c>
      <c r="U120" s="88" t="n">
        <f aca="false">$AO$6*0</f>
        <v>0</v>
      </c>
      <c r="V120" s="88" t="n">
        <f aca="false">T120+V119</f>
        <v>2690.94167467612</v>
      </c>
      <c r="W120" s="88" t="n">
        <f aca="false">U120+W119</f>
        <v>1115</v>
      </c>
      <c r="X120" s="88" t="n">
        <f aca="false">MAX(X119,V120-W120)</f>
        <v>1575.94167467612</v>
      </c>
      <c r="Y120" s="88" t="n">
        <f aca="false">X120-X119</f>
        <v>22.2615024358138</v>
      </c>
      <c r="Z120" s="88" t="n">
        <f aca="false">IF(B120=2026,INDEX($C$6:$Q$6,1,B120-2025)*$AO$4*C120/MAX(0.0001,12-$AO$3),INDEX($C$6:$Q$6,1,B120-2025)/12)</f>
        <v>26.4114629913323</v>
      </c>
      <c r="AA120" s="88" t="n">
        <f aca="false">$AO$6*0</f>
        <v>0</v>
      </c>
      <c r="AB120" s="88" t="n">
        <f aca="false">Z120+AB119</f>
        <v>3192.58354899727</v>
      </c>
      <c r="AC120" s="88" t="n">
        <f aca="false">AA120+AC119</f>
        <v>2194</v>
      </c>
      <c r="AD120" s="88" t="n">
        <f aca="false">MAX(AD119,AB120-AC120)</f>
        <v>1335.64282617929</v>
      </c>
      <c r="AE120" s="88" t="n">
        <f aca="false">AD120-AD119</f>
        <v>0</v>
      </c>
      <c r="AF120" s="88" t="n">
        <f aca="false">IF(B120=2026,INDEX($C$7:$Q$7,1,B120-2025)*$AO$4*C120/MAX(0.0001,12-$AO$3),INDEX($C$7:$Q$7,1,B120-2025)/12)</f>
        <v>22.9427081739175</v>
      </c>
      <c r="AG120" s="88" t="n">
        <f aca="false">$AO$6*0</f>
        <v>0</v>
      </c>
      <c r="AH120" s="88" t="n">
        <f aca="false">AF120+AH119</f>
        <v>2773.28494485641</v>
      </c>
      <c r="AI120" s="88" t="n">
        <f aca="false">AG120+AI119</f>
        <v>826</v>
      </c>
      <c r="AJ120" s="88" t="n">
        <f aca="false">MAX(AJ119,AH120-AI120)</f>
        <v>1947.28494485641</v>
      </c>
      <c r="AK120" s="88" t="n">
        <f aca="false">AJ120-AJ119</f>
        <v>22.9427081739173</v>
      </c>
      <c r="AL120" s="88" t="n">
        <f aca="false">IF(B120=2026,INDEX($C$8:$Q$8,1,B120-2025)*$AO$4*C120/MAX(0.0001,12-$AO$3),INDEX($C$8:$Q$8,1,B120-2025)/12)</f>
        <v>5.80342126052833</v>
      </c>
      <c r="AM120" s="88" t="n">
        <f aca="false">$AO$6*0</f>
        <v>0</v>
      </c>
      <c r="AN120" s="88" t="n">
        <f aca="false">AL120+AN119</f>
        <v>701.510069712695</v>
      </c>
      <c r="AO120" s="88" t="n">
        <f aca="false">AM120+AO119</f>
        <v>66</v>
      </c>
      <c r="AP120" s="88" t="n">
        <f aca="false">MAX(AP119,AN120-AO120)</f>
        <v>635.510069712695</v>
      </c>
      <c r="AQ120" s="88" t="n">
        <f aca="false">AP120-AP119</f>
        <v>5.80342126052835</v>
      </c>
      <c r="AR120" s="88" t="n">
        <f aca="false">IF(B120=2026,INDEX($C$9:$Q$9,1,B120-2025)*$AO$4*C120/MAX(0.0001,12-$AO$3),INDEX($C$9:$Q$9,1,B120-2025)/12)</f>
        <v>24.7454570609428</v>
      </c>
      <c r="AS120" s="88" t="n">
        <f aca="false">$AO$6*0</f>
        <v>0</v>
      </c>
      <c r="AT120" s="88" t="n">
        <f aca="false">AR120+AT119</f>
        <v>2991.19890295783</v>
      </c>
      <c r="AU120" s="88" t="n">
        <f aca="false">AS120+AU119</f>
        <v>1810</v>
      </c>
      <c r="AV120" s="88" t="n">
        <f aca="false">MAX(AV119,AT120-AU120)</f>
        <v>1181.19890295783</v>
      </c>
      <c r="AW120" s="88" t="n">
        <f aca="false">AV120-AV119</f>
        <v>24.745457060943</v>
      </c>
      <c r="AX120" s="88" t="n">
        <f aca="false">IF(B120=2026,INDEX($C$10:$Q$10,1,B120-2025)*$AO$4*C120/MAX(0.0001,12-$AO$3),INDEX($C$10:$Q$10,1,B120-2025)/12)</f>
        <v>2.87034756681557</v>
      </c>
      <c r="AY120" s="88" t="n">
        <f aca="false">$AO$6*0</f>
        <v>0</v>
      </c>
      <c r="AZ120" s="88" t="n">
        <f aca="false">AX120+AZ119</f>
        <v>346.963908236628</v>
      </c>
      <c r="BA120" s="88" t="n">
        <f aca="false">AY120+BA119</f>
        <v>50</v>
      </c>
      <c r="BB120" s="88" t="n">
        <f aca="false">MAX(BB119,AZ120-BA120)</f>
        <v>296.963908236628</v>
      </c>
      <c r="BC120" s="88" t="n">
        <f aca="false">BB120-BB119</f>
        <v>2.87034756681555</v>
      </c>
      <c r="BD120" s="88" t="n">
        <f aca="false">IF(B120=2026,INDEX($C$11:$Q$11,1,B120-2025)*$AO$4*C120/MAX(0.0001,12-$AO$3),INDEX($C$11:$Q$11,1,B120-2025)/12)</f>
        <v>14.2639212564218</v>
      </c>
      <c r="BE120" s="88" t="n">
        <f aca="false">$AO$6*0</f>
        <v>0</v>
      </c>
      <c r="BF120" s="88" t="n">
        <f aca="false">BD120+BF119</f>
        <v>1724.20438664794</v>
      </c>
      <c r="BG120" s="88" t="n">
        <f aca="false">BE120+BG119</f>
        <v>240</v>
      </c>
      <c r="BH120" s="88" t="n">
        <f aca="false">MAX(BH119,BF120-BG120)</f>
        <v>1484.20438664794</v>
      </c>
      <c r="BI120" s="88" t="n">
        <f aca="false">BH120-BH119</f>
        <v>14.2639212564218</v>
      </c>
      <c r="BJ120" s="88" t="n">
        <f aca="false">IF(B120=2026,INDEX($C$12:$Q$12,1,B120-2025)*$AO$4*C120/MAX(0.0001,12-$AO$3),INDEX($C$12:$Q$12,1,B120-2025)/12)</f>
        <v>7.82069350154207</v>
      </c>
      <c r="BK120" s="88" t="n">
        <f aca="false">$AO$6*0</f>
        <v>0</v>
      </c>
      <c r="BL120" s="88" t="n">
        <f aca="false">BJ120+BL119</f>
        <v>945.355333892984</v>
      </c>
      <c r="BM120" s="88" t="n">
        <f aca="false">BK120+BM119</f>
        <v>465</v>
      </c>
      <c r="BN120" s="88" t="n">
        <f aca="false">MAX(BN119,BL120-BM120)</f>
        <v>620.1207703606</v>
      </c>
      <c r="BO120" s="88" t="n">
        <f aca="false">BN120-BN119</f>
        <v>0</v>
      </c>
      <c r="BP120" s="88" t="n">
        <f aca="false">IF(B120=2026,INDEX($C$13:$Q$13,1,B120-2025)*$AO$4*C120/MAX(0.0001,12-$AO$3),INDEX($C$13:$Q$13,1,B120-2025)/12)</f>
        <v>2.44394688559256</v>
      </c>
      <c r="BQ120" s="88" t="n">
        <f aca="false">$AO$6*0</f>
        <v>0</v>
      </c>
      <c r="BR120" s="88" t="n">
        <f aca="false">BP120+BR119</f>
        <v>295.421144376839</v>
      </c>
      <c r="BS120" s="88" t="n">
        <f aca="false">BQ120+BS119</f>
        <v>87</v>
      </c>
      <c r="BT120" s="88" t="n">
        <f aca="false">MAX(BT119,BR120-BS120)</f>
        <v>208.421144376839</v>
      </c>
      <c r="BU120" s="88" t="n">
        <f aca="false">BT120-BT119</f>
        <v>2.44394688559254</v>
      </c>
      <c r="BV120" s="88" t="n">
        <f aca="false">IF(B120=2026,INDEX($C$14:$Q$14,1,B120-2025)*$AO$4*C120/MAX(0.0001,12-$AO$3),INDEX($C$14:$Q$14,1,B120-2025)/12)</f>
        <v>1.449513325248</v>
      </c>
      <c r="BW120" s="88" t="n">
        <f aca="false">$AO$6*0</f>
        <v>0</v>
      </c>
      <c r="BX120" s="88" t="n">
        <f aca="false">BV120+BX119</f>
        <v>175.215299423505</v>
      </c>
      <c r="BY120" s="88" t="n">
        <f aca="false">BW120+BY119</f>
        <v>0</v>
      </c>
      <c r="BZ120" s="88" t="n">
        <f aca="false">MAX(BZ119,BX120-BY120)</f>
        <v>175.215299423505</v>
      </c>
      <c r="CA120" s="88" t="n">
        <f aca="false">BZ120-BZ119</f>
        <v>1.44951332524801</v>
      </c>
      <c r="CB120" s="88" t="n">
        <f aca="false">IF(B120=2026,INDEX($C$15:$Q$15,1,B120-2025)*$AO$4*C120/MAX(0.0001,12-$AO$3),INDEX($C$15:$Q$15,1,B120-2025)/12)</f>
        <v>2.37652766116242</v>
      </c>
      <c r="CC120" s="88" t="n">
        <f aca="false">$AO$6*0</f>
        <v>0</v>
      </c>
      <c r="CD120" s="88" t="n">
        <f aca="false">CB120+CD119</f>
        <v>287.271595566443</v>
      </c>
      <c r="CE120" s="88" t="n">
        <f aca="false">CC120+CE119</f>
        <v>88.0000000000001</v>
      </c>
      <c r="CF120" s="88" t="n">
        <f aca="false">MAX(CF119,CD120-CE120)</f>
        <v>199.271595566443</v>
      </c>
      <c r="CG120" s="88" t="n">
        <f aca="false">CF120-CF119</f>
        <v>2.37652766116241</v>
      </c>
      <c r="CH120" s="88" t="n">
        <f aca="false">IF(B120=2026,INDEX($C$16:$Q$16,1,B120-2025)*$AO$4*C120/MAX(0.0001,12-$AO$3),INDEX($C$16:$Q$16,1,B120-2025)/12)</f>
        <v>1.87931088099014</v>
      </c>
      <c r="CI120" s="88" t="n">
        <f aca="false">$AO$6*0</f>
        <v>0</v>
      </c>
      <c r="CJ120" s="88" t="n">
        <f aca="false">CH120+CJ119</f>
        <v>227.168673089777</v>
      </c>
      <c r="CK120" s="88" t="n">
        <f aca="false">CI120+CK119</f>
        <v>70</v>
      </c>
      <c r="CL120" s="88" t="n">
        <f aca="false">MAX(CL119,CJ120-CK120)</f>
        <v>157.168673089777</v>
      </c>
      <c r="CM120" s="88" t="n">
        <f aca="false">CL120-CL119</f>
        <v>1.87931088099015</v>
      </c>
      <c r="CN120" s="88" t="n">
        <f aca="false">IF(B120=2026,INDEX($C$17:$Q$17,1,B120-2025)*$AO$4*C120/MAX(0.0001,12-$AO$3),INDEX($C$17:$Q$17,1,B120-2025)/12)</f>
        <v>8.1830083652082</v>
      </c>
      <c r="CO120" s="88" t="n">
        <f aca="false">$AO$6*0</f>
        <v>0</v>
      </c>
      <c r="CP120" s="88" t="n">
        <f aca="false">CN120+CP119</f>
        <v>989.151486861765</v>
      </c>
      <c r="CQ120" s="88" t="n">
        <f aca="false">CO120+CQ119</f>
        <v>221</v>
      </c>
      <c r="CR120" s="88" t="n">
        <f aca="false">MAX(CR119,CP120-CQ120)</f>
        <v>768.151486861765</v>
      </c>
      <c r="CS120" s="88" t="n">
        <f aca="false">CR120-CR119</f>
        <v>8.18300836520825</v>
      </c>
      <c r="CT120" s="88" t="n">
        <f aca="false">IF(B120=2026,INDEX($C$18:$Q$18,1,B120-2025)*$AO$4*C120/MAX(0.0001,12-$AO$3),INDEX($C$18:$Q$18,1,B120-2025)/12)</f>
        <v>1.70233541686103</v>
      </c>
      <c r="CU120" s="88" t="n">
        <f aca="false">$AO$6*0</f>
        <v>0</v>
      </c>
      <c r="CV120" s="88" t="n">
        <f aca="false">CT120+CV119</f>
        <v>205.776107462488</v>
      </c>
      <c r="CW120" s="88" t="n">
        <f aca="false">CU120+CW119</f>
        <v>11</v>
      </c>
      <c r="CX120" s="88" t="n">
        <f aca="false">MAX(CX119,CV120-CW120)</f>
        <v>194.776107462488</v>
      </c>
      <c r="CY120" s="88" t="n">
        <f aca="false">CX120-CX119</f>
        <v>1.70233541686102</v>
      </c>
      <c r="CZ120" s="88" t="n">
        <f aca="false">IF(B120=2026,INDEX($C$19:$Q$19,1,B120-2025)*$AO$4*C120/MAX(0.0001,12-$AO$3),INDEX($C$19:$Q$19,1,B120-2025)/12)</f>
        <v>1.68548061075349</v>
      </c>
      <c r="DA120" s="88" t="n">
        <f aca="false">$AO$6*0</f>
        <v>0</v>
      </c>
      <c r="DB120" s="88" t="n">
        <f aca="false">CZ120+DB119</f>
        <v>203.738720259889</v>
      </c>
      <c r="DC120" s="88" t="n">
        <f aca="false">DA120+DC119</f>
        <v>226</v>
      </c>
      <c r="DD120" s="88" t="n">
        <f aca="false">MAX(DD119,DB120-DC120)</f>
        <v>37.132124495359</v>
      </c>
      <c r="DE120" s="88" t="n">
        <f aca="false">DD120-DD119</f>
        <v>0</v>
      </c>
      <c r="DF120" s="88" t="n">
        <f aca="false">IF(B120=2026,INDEX($C$20:$Q$20,1,B120-2025)*$AO$4*C120/MAX(0.0001,12-$AO$3),INDEX($C$20:$Q$20,1,B120-2025)/12)</f>
        <v>1.37366669776409</v>
      </c>
      <c r="DG120" s="88" t="n">
        <f aca="false">$AO$6*0</f>
        <v>0</v>
      </c>
      <c r="DH120" s="88" t="n">
        <f aca="false">DF120+DH119</f>
        <v>166.04705701181</v>
      </c>
      <c r="DI120" s="88" t="n">
        <f aca="false">DG120+DI119</f>
        <v>0</v>
      </c>
      <c r="DJ120" s="88" t="n">
        <f aca="false">MAX(DJ119,DH120-DI120)</f>
        <v>166.04705701181</v>
      </c>
      <c r="DK120" s="88" t="n">
        <f aca="false">DJ120-DJ119</f>
        <v>1.37366669776409</v>
      </c>
      <c r="DL120" s="88" t="n">
        <f aca="false">IF(B120=2026,INDEX($C$21:$Q$21,1,B120-2025)*$AO$4*C120/MAX(0.0001,12-$AO$3),INDEX($C$21:$Q$21,1,B120-2025)/12)</f>
        <v>0.96072394812949</v>
      </c>
      <c r="DM120" s="88" t="n">
        <f aca="false">$AO$6*0</f>
        <v>0</v>
      </c>
      <c r="DN120" s="88" t="n">
        <f aca="false">DL120+DN119</f>
        <v>116.131070548137</v>
      </c>
      <c r="DO120" s="88" t="n">
        <f aca="false">DM120+DO119</f>
        <v>100</v>
      </c>
      <c r="DP120" s="88" t="n">
        <f aca="false">MAX(DP119,DN120-DO120)</f>
        <v>17.7483109623547</v>
      </c>
      <c r="DQ120" s="88" t="n">
        <f aca="false">DP120-DP119</f>
        <v>0</v>
      </c>
      <c r="DR120" s="88" t="n">
        <f aca="false">IF(B120=2026,INDEX($C$22:$Q$22,1,B120-2025)*$AO$4*C120/MAX(0.0001,12-$AO$3),INDEX($C$22:$Q$22,1,B120-2025)/12)</f>
        <v>0.750038871785304</v>
      </c>
      <c r="DS120" s="88" t="n">
        <f aca="false">$AO$6*0</f>
        <v>0</v>
      </c>
      <c r="DT120" s="88" t="n">
        <f aca="false">DR120+DT119</f>
        <v>90.6637305156508</v>
      </c>
      <c r="DU120" s="88" t="n">
        <f aca="false">DS120+DU119</f>
        <v>29</v>
      </c>
      <c r="DV120" s="88" t="n">
        <f aca="false">MAX(DV119,DT120-DU120)</f>
        <v>61.6637305156508</v>
      </c>
      <c r="DW120" s="88" t="n">
        <f aca="false">DV120-DV119</f>
        <v>0.750038871785307</v>
      </c>
      <c r="DX120" s="88" t="n">
        <f aca="false">IF(B120=2026,INDEX($C$23:$Q$23,1,B120-2025)*$AO$4*C120/MAX(0.0001,12-$AO$3),INDEX($C$23:$Q$23,1,B120-2025)/12)</f>
        <v>1.20511863668875</v>
      </c>
      <c r="DY120" s="88" t="n">
        <f aca="false">$AO$6*0</f>
        <v>0</v>
      </c>
      <c r="DZ120" s="88" t="n">
        <f aca="false">DX120+DZ119</f>
        <v>145.673184985821</v>
      </c>
      <c r="EA120" s="88" t="n">
        <f aca="false">DY120+EA119</f>
        <v>121</v>
      </c>
      <c r="EB120" s="88" t="n">
        <f aca="false">MAX(EB119,DZ120-EA120)</f>
        <v>35.0579690141817</v>
      </c>
      <c r="EC120" s="88" t="n">
        <f aca="false">EB120-EB119</f>
        <v>0</v>
      </c>
      <c r="ED120" s="88" t="n">
        <f aca="false">IF(B120=2026,INDEX($C$24:$Q$24,1,B120-2025)*$AO$4*C120/MAX(0.0001,12-$AO$3),INDEX($C$24:$Q$24,1,B120-2025)/12)</f>
        <v>0.741611468731536</v>
      </c>
      <c r="EE120" s="88" t="n">
        <f aca="false">$AO$6*0</f>
        <v>0</v>
      </c>
      <c r="EF120" s="88" t="n">
        <f aca="false">ED120+EF119</f>
        <v>89.6450369143513</v>
      </c>
      <c r="EG120" s="88" t="n">
        <f aca="false">EE120+EG119</f>
        <v>0</v>
      </c>
      <c r="EH120" s="88" t="n">
        <f aca="false">MAX(EH119,EF120-EG120)</f>
        <v>89.6450369143513</v>
      </c>
      <c r="EI120" s="88" t="n">
        <f aca="false">EH120-EH119</f>
        <v>0.741611468731534</v>
      </c>
      <c r="EJ120" s="88" t="n">
        <f aca="false">IF(B120=2026,INDEX($C$25:$Q$25,1,B120-2025)*$AO$4*C120/MAX(0.0001,12-$AO$3),INDEX($C$25:$Q$25,1,B120-2025)/12)</f>
        <v>0.943869142021955</v>
      </c>
      <c r="EK120" s="88" t="n">
        <f aca="false">$AO$6*0</f>
        <v>0</v>
      </c>
      <c r="EL120" s="88" t="n">
        <f aca="false">EJ120+EL119</f>
        <v>114.093683345538</v>
      </c>
      <c r="EM120" s="88" t="n">
        <f aca="false">EK120+EM119</f>
        <v>14</v>
      </c>
      <c r="EN120" s="88" t="n">
        <f aca="false">MAX(EN119,EL120-EM120)</f>
        <v>100.093683345538</v>
      </c>
      <c r="EO120" s="88" t="n">
        <f aca="false">EN120-EN119</f>
        <v>0.943869142021953</v>
      </c>
      <c r="EP120" s="88" t="n">
        <f aca="false">IF(B120=2026,INDEX($C$26:$Q$26,1,B120-2025)*$AO$4*C120/MAX(0.0001,12-$AO$3),INDEX($C$26:$Q$26,1,B120-2025)/12)</f>
        <v>1.35681189165656</v>
      </c>
      <c r="EQ120" s="88" t="n">
        <f aca="false">$AO$6*0</f>
        <v>0</v>
      </c>
      <c r="ER120" s="88" t="n">
        <f aca="false">EP120+ER119</f>
        <v>164.009669809211</v>
      </c>
      <c r="ES120" s="88" t="n">
        <f aca="false">EQ120+ES119</f>
        <v>4</v>
      </c>
      <c r="ET120" s="88" t="n">
        <f aca="false">MAX(ET119,ER120-ES120)</f>
        <v>160.009669809211</v>
      </c>
      <c r="EU120" s="88" t="n">
        <f aca="false">ET120-ET119</f>
        <v>1.35681189165655</v>
      </c>
      <c r="EV120" s="88" t="n">
        <f aca="false">IF(B120=2026,INDEX($C$27:$Q$27,1,B120-2025)*$AO$4*C120/MAX(0.0001,12-$AO$3),INDEX($C$27:$Q$27,1,B120-2025)/12)</f>
        <v>3.37096122150698</v>
      </c>
      <c r="EW120" s="88" t="n">
        <f aca="false">$AO$6*0</f>
        <v>0</v>
      </c>
      <c r="EX120" s="88" t="n">
        <f aca="false">EV120+EX119</f>
        <v>407.477440519779</v>
      </c>
      <c r="EY120" s="88" t="n">
        <f aca="false">EW120+EY119</f>
        <v>391</v>
      </c>
      <c r="EZ120" s="88" t="n">
        <f aca="false">MAX(EZ119,EX120-EY120)</f>
        <v>16.4774405197786</v>
      </c>
      <c r="FA120" s="88" t="n">
        <f aca="false">EZ120-EZ119</f>
        <v>3.370961221507</v>
      </c>
      <c r="FB120" s="88" t="n">
        <f aca="false">IF(B120=2026,INDEX($C$28:$Q$28,1,B120-2025)*$AO$4*C120/MAX(0.0001,12-$AO$3),INDEX($C$28:$Q$28,1,B120-2025)/12)</f>
        <v>17.646981994589</v>
      </c>
      <c r="FC120" s="88" t="n">
        <f aca="false">$AO$6*0</f>
        <v>0</v>
      </c>
      <c r="FD120" s="88" t="n">
        <f aca="false">FB120+FD119</f>
        <v>2133.14440112104</v>
      </c>
      <c r="FE120" s="88" t="n">
        <f aca="false">FC120+FE119</f>
        <v>169</v>
      </c>
      <c r="FF120" s="88" t="n">
        <f aca="false">MAX(FF119,FD120-FE120)</f>
        <v>1964.14440112104</v>
      </c>
      <c r="FG120" s="88" t="n">
        <f aca="false">FF120-FF119</f>
        <v>17.6469819945892</v>
      </c>
    </row>
    <row r="121" customFormat="false" ht="15" hidden="false" customHeight="false" outlineLevel="0" collapsed="false">
      <c r="A121" s="0" t="n">
        <v>81</v>
      </c>
      <c r="B121" s="88" t="n">
        <f aca="false">2026+INT(A121/12)</f>
        <v>2032</v>
      </c>
      <c r="C121" s="88" t="n">
        <f aca="false">MAX(0,MIN(1,A121+1-$AO$3))</f>
        <v>1</v>
      </c>
      <c r="D121" s="88" t="n">
        <f aca="false">IF((A121+0.5-(0))&lt;$AO$3,0,2026+INT((A121+0.5-(0))/12))</f>
        <v>2032</v>
      </c>
      <c r="E121" s="88" t="n">
        <f aca="false">IF((A121+0.5-($AO$9))&lt;$AO$3,0,2026+INT((A121+0.5-($AO$9))/12))</f>
        <v>2031</v>
      </c>
      <c r="F121" s="88" t="n">
        <f aca="false">IF((A121+0.5-($AO$9+$AO$8))&lt;$AO$3,0,2026+INT((A121+0.5-($AO$9+$AO$8))/12))</f>
        <v>2030</v>
      </c>
      <c r="G121" s="88" t="n">
        <f aca="false">IF((A121+0.5-($AO$9+$AO$8+$AO$7))&lt;$AO$3,0,2026+INT((A121+0.5-($AO$9+$AO$8+$AO$7))/12))</f>
        <v>2029</v>
      </c>
      <c r="H121" s="88" t="n">
        <f aca="false">IF(B121=2026,INDEX($C$3:$Q$3,1,B121-2025)*$AO$4*C121/MAX(0.0001,12-$AO$3),INDEX($C$3:$Q$3,1,B121-2025)/12)</f>
        <v>180.666666666667</v>
      </c>
      <c r="I121" s="88" t="n">
        <f aca="false">$AO$6*0</f>
        <v>0</v>
      </c>
      <c r="J121" s="88" t="n">
        <f aca="false">H121+J120</f>
        <v>22019.4200913242</v>
      </c>
      <c r="K121" s="88" t="n">
        <f aca="false">I121+K120</f>
        <v>8695.00000000001</v>
      </c>
      <c r="L121" s="88" t="n">
        <f aca="false">MAX(L120,J121-K121)</f>
        <v>13324.4200913242</v>
      </c>
      <c r="M121" s="88" t="n">
        <f aca="false">L121-L120</f>
        <v>180.666666666668</v>
      </c>
      <c r="N121" s="88" t="n">
        <f aca="false">IF(B121=2026,INDEX($C$4:$Q$4,1,B121-2025)*$AO$4*C121/MAX(0.0001,12-$AO$3),INDEX($C$4:$Q$4,1,B121-2025)/12)</f>
        <v>5.47724540066293</v>
      </c>
      <c r="O121" s="88" t="n">
        <f aca="false">$AO$6*0</f>
        <v>0</v>
      </c>
      <c r="P121" s="88" t="n">
        <f aca="false">N121+P120</f>
        <v>667.559598268286</v>
      </c>
      <c r="Q121" s="88" t="n">
        <f aca="false">O121+Q120</f>
        <v>398</v>
      </c>
      <c r="R121" s="88" t="n">
        <f aca="false">MAX(R120,P121-Q121)</f>
        <v>269.559598268286</v>
      </c>
      <c r="S121" s="88" t="n">
        <f aca="false">R121-R120</f>
        <v>5.47724540066292</v>
      </c>
      <c r="T121" s="88" t="n">
        <f aca="false">IF(B121=2026,INDEX($C$5:$Q$5,1,B121-2025)*$AO$4*C121/MAX(0.0001,12-$AO$3),INDEX($C$5:$Q$5,1,B121-2025)/12)</f>
        <v>22.2615024358139</v>
      </c>
      <c r="U121" s="88" t="n">
        <f aca="false">$AO$6*0</f>
        <v>0</v>
      </c>
      <c r="V121" s="88" t="n">
        <f aca="false">T121+V120</f>
        <v>2713.20317711193</v>
      </c>
      <c r="W121" s="88" t="n">
        <f aca="false">U121+W120</f>
        <v>1115</v>
      </c>
      <c r="X121" s="88" t="n">
        <f aca="false">MAX(X120,V121-W121)</f>
        <v>1598.20317711193</v>
      </c>
      <c r="Y121" s="88" t="n">
        <f aca="false">X121-X120</f>
        <v>22.2615024358138</v>
      </c>
      <c r="Z121" s="88" t="n">
        <f aca="false">IF(B121=2026,INDEX($C$6:$Q$6,1,B121-2025)*$AO$4*C121/MAX(0.0001,12-$AO$3),INDEX($C$6:$Q$6,1,B121-2025)/12)</f>
        <v>26.4114629913323</v>
      </c>
      <c r="AA121" s="88" t="n">
        <f aca="false">$AO$6*0</f>
        <v>0</v>
      </c>
      <c r="AB121" s="88" t="n">
        <f aca="false">Z121+AB120</f>
        <v>3218.9950119886</v>
      </c>
      <c r="AC121" s="88" t="n">
        <f aca="false">AA121+AC120</f>
        <v>2194</v>
      </c>
      <c r="AD121" s="88" t="n">
        <f aca="false">MAX(AD120,AB121-AC121)</f>
        <v>1335.64282617929</v>
      </c>
      <c r="AE121" s="88" t="n">
        <f aca="false">AD121-AD120</f>
        <v>0</v>
      </c>
      <c r="AF121" s="88" t="n">
        <f aca="false">IF(B121=2026,INDEX($C$7:$Q$7,1,B121-2025)*$AO$4*C121/MAX(0.0001,12-$AO$3),INDEX($C$7:$Q$7,1,B121-2025)/12)</f>
        <v>22.9427081739175</v>
      </c>
      <c r="AG121" s="88" t="n">
        <f aca="false">$AO$6*0</f>
        <v>0</v>
      </c>
      <c r="AH121" s="88" t="n">
        <f aca="false">AF121+AH120</f>
        <v>2796.22765303032</v>
      </c>
      <c r="AI121" s="88" t="n">
        <f aca="false">AG121+AI120</f>
        <v>826</v>
      </c>
      <c r="AJ121" s="88" t="n">
        <f aca="false">MAX(AJ120,AH121-AI121)</f>
        <v>1970.22765303032</v>
      </c>
      <c r="AK121" s="88" t="n">
        <f aca="false">AJ121-AJ120</f>
        <v>22.9427081739173</v>
      </c>
      <c r="AL121" s="88" t="n">
        <f aca="false">IF(B121=2026,INDEX($C$8:$Q$8,1,B121-2025)*$AO$4*C121/MAX(0.0001,12-$AO$3),INDEX($C$8:$Q$8,1,B121-2025)/12)</f>
        <v>5.80342126052833</v>
      </c>
      <c r="AM121" s="88" t="n">
        <f aca="false">$AO$6*0</f>
        <v>0</v>
      </c>
      <c r="AN121" s="88" t="n">
        <f aca="false">AL121+AN120</f>
        <v>707.313490973223</v>
      </c>
      <c r="AO121" s="88" t="n">
        <f aca="false">AM121+AO120</f>
        <v>66</v>
      </c>
      <c r="AP121" s="88" t="n">
        <f aca="false">MAX(AP120,AN121-AO121)</f>
        <v>641.313490973223</v>
      </c>
      <c r="AQ121" s="88" t="n">
        <f aca="false">AP121-AP120</f>
        <v>5.80342126052835</v>
      </c>
      <c r="AR121" s="88" t="n">
        <f aca="false">IF(B121=2026,INDEX($C$9:$Q$9,1,B121-2025)*$AO$4*C121/MAX(0.0001,12-$AO$3),INDEX($C$9:$Q$9,1,B121-2025)/12)</f>
        <v>24.7454570609428</v>
      </c>
      <c r="AS121" s="88" t="n">
        <f aca="false">$AO$6*0</f>
        <v>0</v>
      </c>
      <c r="AT121" s="88" t="n">
        <f aca="false">AR121+AT120</f>
        <v>3015.94436001877</v>
      </c>
      <c r="AU121" s="88" t="n">
        <f aca="false">AS121+AU120</f>
        <v>1810</v>
      </c>
      <c r="AV121" s="88" t="n">
        <f aca="false">MAX(AV120,AT121-AU121)</f>
        <v>1205.94436001877</v>
      </c>
      <c r="AW121" s="88" t="n">
        <f aca="false">AV121-AV120</f>
        <v>24.745457060943</v>
      </c>
      <c r="AX121" s="88" t="n">
        <f aca="false">IF(B121=2026,INDEX($C$10:$Q$10,1,B121-2025)*$AO$4*C121/MAX(0.0001,12-$AO$3),INDEX($C$10:$Q$10,1,B121-2025)/12)</f>
        <v>2.87034756681557</v>
      </c>
      <c r="AY121" s="88" t="n">
        <f aca="false">$AO$6*0</f>
        <v>0</v>
      </c>
      <c r="AZ121" s="88" t="n">
        <f aca="false">AX121+AZ120</f>
        <v>349.834255803444</v>
      </c>
      <c r="BA121" s="88" t="n">
        <f aca="false">AY121+BA120</f>
        <v>50</v>
      </c>
      <c r="BB121" s="88" t="n">
        <f aca="false">MAX(BB120,AZ121-BA121)</f>
        <v>299.834255803444</v>
      </c>
      <c r="BC121" s="88" t="n">
        <f aca="false">BB121-BB120</f>
        <v>2.87034756681555</v>
      </c>
      <c r="BD121" s="88" t="n">
        <f aca="false">IF(B121=2026,INDEX($C$11:$Q$11,1,B121-2025)*$AO$4*C121/MAX(0.0001,12-$AO$3),INDEX($C$11:$Q$11,1,B121-2025)/12)</f>
        <v>14.2639212564218</v>
      </c>
      <c r="BE121" s="88" t="n">
        <f aca="false">$AO$6*0</f>
        <v>0</v>
      </c>
      <c r="BF121" s="88" t="n">
        <f aca="false">BD121+BF120</f>
        <v>1738.46830790436</v>
      </c>
      <c r="BG121" s="88" t="n">
        <f aca="false">BE121+BG120</f>
        <v>240</v>
      </c>
      <c r="BH121" s="88" t="n">
        <f aca="false">MAX(BH120,BF121-BG121)</f>
        <v>1498.46830790436</v>
      </c>
      <c r="BI121" s="88" t="n">
        <f aca="false">BH121-BH120</f>
        <v>14.2639212564218</v>
      </c>
      <c r="BJ121" s="88" t="n">
        <f aca="false">IF(B121=2026,INDEX($C$12:$Q$12,1,B121-2025)*$AO$4*C121/MAX(0.0001,12-$AO$3),INDEX($C$12:$Q$12,1,B121-2025)/12)</f>
        <v>7.82069350154207</v>
      </c>
      <c r="BK121" s="88" t="n">
        <f aca="false">$AO$6*0</f>
        <v>0</v>
      </c>
      <c r="BL121" s="88" t="n">
        <f aca="false">BJ121+BL120</f>
        <v>953.176027394526</v>
      </c>
      <c r="BM121" s="88" t="n">
        <f aca="false">BK121+BM120</f>
        <v>465</v>
      </c>
      <c r="BN121" s="88" t="n">
        <f aca="false">MAX(BN120,BL121-BM121)</f>
        <v>620.1207703606</v>
      </c>
      <c r="BO121" s="88" t="n">
        <f aca="false">BN121-BN120</f>
        <v>0</v>
      </c>
      <c r="BP121" s="88" t="n">
        <f aca="false">IF(B121=2026,INDEX($C$13:$Q$13,1,B121-2025)*$AO$4*C121/MAX(0.0001,12-$AO$3),INDEX($C$13:$Q$13,1,B121-2025)/12)</f>
        <v>2.44394688559256</v>
      </c>
      <c r="BQ121" s="88" t="n">
        <f aca="false">$AO$6*0</f>
        <v>0</v>
      </c>
      <c r="BR121" s="88" t="n">
        <f aca="false">BP121+BR120</f>
        <v>297.865091262432</v>
      </c>
      <c r="BS121" s="88" t="n">
        <f aca="false">BQ121+BS120</f>
        <v>87</v>
      </c>
      <c r="BT121" s="88" t="n">
        <f aca="false">MAX(BT120,BR121-BS121)</f>
        <v>210.865091262432</v>
      </c>
      <c r="BU121" s="88" t="n">
        <f aca="false">BT121-BT120</f>
        <v>2.44394688559254</v>
      </c>
      <c r="BV121" s="88" t="n">
        <f aca="false">IF(B121=2026,INDEX($C$14:$Q$14,1,B121-2025)*$AO$4*C121/MAX(0.0001,12-$AO$3),INDEX($C$14:$Q$14,1,B121-2025)/12)</f>
        <v>1.449513325248</v>
      </c>
      <c r="BW121" s="88" t="n">
        <f aca="false">$AO$6*0</f>
        <v>0</v>
      </c>
      <c r="BX121" s="88" t="n">
        <f aca="false">BV121+BX120</f>
        <v>176.664812748753</v>
      </c>
      <c r="BY121" s="88" t="n">
        <f aca="false">BW121+BY120</f>
        <v>0</v>
      </c>
      <c r="BZ121" s="88" t="n">
        <f aca="false">MAX(BZ120,BX121-BY121)</f>
        <v>176.664812748753</v>
      </c>
      <c r="CA121" s="88" t="n">
        <f aca="false">BZ121-BZ120</f>
        <v>1.44951332524801</v>
      </c>
      <c r="CB121" s="88" t="n">
        <f aca="false">IF(B121=2026,INDEX($C$15:$Q$15,1,B121-2025)*$AO$4*C121/MAX(0.0001,12-$AO$3),INDEX($C$15:$Q$15,1,B121-2025)/12)</f>
        <v>2.37652766116242</v>
      </c>
      <c r="CC121" s="88" t="n">
        <f aca="false">$AO$6*0</f>
        <v>0</v>
      </c>
      <c r="CD121" s="88" t="n">
        <f aca="false">CB121+CD120</f>
        <v>289.648123227606</v>
      </c>
      <c r="CE121" s="88" t="n">
        <f aca="false">CC121+CE120</f>
        <v>88.0000000000001</v>
      </c>
      <c r="CF121" s="88" t="n">
        <f aca="false">MAX(CF120,CD121-CE121)</f>
        <v>201.648123227606</v>
      </c>
      <c r="CG121" s="88" t="n">
        <f aca="false">CF121-CF120</f>
        <v>2.37652766116241</v>
      </c>
      <c r="CH121" s="88" t="n">
        <f aca="false">IF(B121=2026,INDEX($C$16:$Q$16,1,B121-2025)*$AO$4*C121/MAX(0.0001,12-$AO$3),INDEX($C$16:$Q$16,1,B121-2025)/12)</f>
        <v>1.87931088099014</v>
      </c>
      <c r="CI121" s="88" t="n">
        <f aca="false">$AO$6*0</f>
        <v>0</v>
      </c>
      <c r="CJ121" s="88" t="n">
        <f aca="false">CH121+CJ120</f>
        <v>229.047983970767</v>
      </c>
      <c r="CK121" s="88" t="n">
        <f aca="false">CI121+CK120</f>
        <v>70</v>
      </c>
      <c r="CL121" s="88" t="n">
        <f aca="false">MAX(CL120,CJ121-CK121)</f>
        <v>159.047983970767</v>
      </c>
      <c r="CM121" s="88" t="n">
        <f aca="false">CL121-CL120</f>
        <v>1.87931088099015</v>
      </c>
      <c r="CN121" s="88" t="n">
        <f aca="false">IF(B121=2026,INDEX($C$17:$Q$17,1,B121-2025)*$AO$4*C121/MAX(0.0001,12-$AO$3),INDEX($C$17:$Q$17,1,B121-2025)/12)</f>
        <v>8.1830083652082</v>
      </c>
      <c r="CO121" s="88" t="n">
        <f aca="false">$AO$6*0</f>
        <v>0</v>
      </c>
      <c r="CP121" s="88" t="n">
        <f aca="false">CN121+CP120</f>
        <v>997.334495226973</v>
      </c>
      <c r="CQ121" s="88" t="n">
        <f aca="false">CO121+CQ120</f>
        <v>221</v>
      </c>
      <c r="CR121" s="88" t="n">
        <f aca="false">MAX(CR120,CP121-CQ121)</f>
        <v>776.334495226973</v>
      </c>
      <c r="CS121" s="88" t="n">
        <f aca="false">CR121-CR120</f>
        <v>8.18300836520825</v>
      </c>
      <c r="CT121" s="88" t="n">
        <f aca="false">IF(B121=2026,INDEX($C$18:$Q$18,1,B121-2025)*$AO$4*C121/MAX(0.0001,12-$AO$3),INDEX($C$18:$Q$18,1,B121-2025)/12)</f>
        <v>1.70233541686103</v>
      </c>
      <c r="CU121" s="88" t="n">
        <f aca="false">$AO$6*0</f>
        <v>0</v>
      </c>
      <c r="CV121" s="88" t="n">
        <f aca="false">CT121+CV120</f>
        <v>207.478442879349</v>
      </c>
      <c r="CW121" s="88" t="n">
        <f aca="false">CU121+CW120</f>
        <v>11</v>
      </c>
      <c r="CX121" s="88" t="n">
        <f aca="false">MAX(CX120,CV121-CW121)</f>
        <v>196.478442879349</v>
      </c>
      <c r="CY121" s="88" t="n">
        <f aca="false">CX121-CX120</f>
        <v>1.70233541686102</v>
      </c>
      <c r="CZ121" s="88" t="n">
        <f aca="false">IF(B121=2026,INDEX($C$19:$Q$19,1,B121-2025)*$AO$4*C121/MAX(0.0001,12-$AO$3),INDEX($C$19:$Q$19,1,B121-2025)/12)</f>
        <v>1.68548061075349</v>
      </c>
      <c r="DA121" s="88" t="n">
        <f aca="false">$AO$6*0</f>
        <v>0</v>
      </c>
      <c r="DB121" s="88" t="n">
        <f aca="false">CZ121+DB120</f>
        <v>205.424200870643</v>
      </c>
      <c r="DC121" s="88" t="n">
        <f aca="false">DA121+DC120</f>
        <v>226</v>
      </c>
      <c r="DD121" s="88" t="n">
        <f aca="false">MAX(DD120,DB121-DC121)</f>
        <v>37.132124495359</v>
      </c>
      <c r="DE121" s="88" t="n">
        <f aca="false">DD121-DD120</f>
        <v>0</v>
      </c>
      <c r="DF121" s="88" t="n">
        <f aca="false">IF(B121=2026,INDEX($C$20:$Q$20,1,B121-2025)*$AO$4*C121/MAX(0.0001,12-$AO$3),INDEX($C$20:$Q$20,1,B121-2025)/12)</f>
        <v>1.37366669776409</v>
      </c>
      <c r="DG121" s="88" t="n">
        <f aca="false">$AO$6*0</f>
        <v>0</v>
      </c>
      <c r="DH121" s="88" t="n">
        <f aca="false">DF121+DH120</f>
        <v>167.420723709574</v>
      </c>
      <c r="DI121" s="88" t="n">
        <f aca="false">DG121+DI120</f>
        <v>0</v>
      </c>
      <c r="DJ121" s="88" t="n">
        <f aca="false">MAX(DJ120,DH121-DI121)</f>
        <v>167.420723709574</v>
      </c>
      <c r="DK121" s="88" t="n">
        <f aca="false">DJ121-DJ120</f>
        <v>1.37366669776409</v>
      </c>
      <c r="DL121" s="88" t="n">
        <f aca="false">IF(B121=2026,INDEX($C$21:$Q$21,1,B121-2025)*$AO$4*C121/MAX(0.0001,12-$AO$3),INDEX($C$21:$Q$21,1,B121-2025)/12)</f>
        <v>0.96072394812949</v>
      </c>
      <c r="DM121" s="88" t="n">
        <f aca="false">$AO$6*0</f>
        <v>0</v>
      </c>
      <c r="DN121" s="88" t="n">
        <f aca="false">DL121+DN120</f>
        <v>117.091794496266</v>
      </c>
      <c r="DO121" s="88" t="n">
        <f aca="false">DM121+DO120</f>
        <v>100</v>
      </c>
      <c r="DP121" s="88" t="n">
        <f aca="false">MAX(DP120,DN121-DO121)</f>
        <v>17.7483109623547</v>
      </c>
      <c r="DQ121" s="88" t="n">
        <f aca="false">DP121-DP120</f>
        <v>0</v>
      </c>
      <c r="DR121" s="88" t="n">
        <f aca="false">IF(B121=2026,INDEX($C$22:$Q$22,1,B121-2025)*$AO$4*C121/MAX(0.0001,12-$AO$3),INDEX($C$22:$Q$22,1,B121-2025)/12)</f>
        <v>0.750038871785304</v>
      </c>
      <c r="DS121" s="88" t="n">
        <f aca="false">$AO$6*0</f>
        <v>0</v>
      </c>
      <c r="DT121" s="88" t="n">
        <f aca="false">DR121+DT120</f>
        <v>91.4137693874361</v>
      </c>
      <c r="DU121" s="88" t="n">
        <f aca="false">DS121+DU120</f>
        <v>29</v>
      </c>
      <c r="DV121" s="88" t="n">
        <f aca="false">MAX(DV120,DT121-DU121)</f>
        <v>62.4137693874361</v>
      </c>
      <c r="DW121" s="88" t="n">
        <f aca="false">DV121-DV120</f>
        <v>0.750038871785307</v>
      </c>
      <c r="DX121" s="88" t="n">
        <f aca="false">IF(B121=2026,INDEX($C$23:$Q$23,1,B121-2025)*$AO$4*C121/MAX(0.0001,12-$AO$3),INDEX($C$23:$Q$23,1,B121-2025)/12)</f>
        <v>1.20511863668875</v>
      </c>
      <c r="DY121" s="88" t="n">
        <f aca="false">$AO$6*0</f>
        <v>0</v>
      </c>
      <c r="DZ121" s="88" t="n">
        <f aca="false">DX121+DZ120</f>
        <v>146.87830362251</v>
      </c>
      <c r="EA121" s="88" t="n">
        <f aca="false">DY121+EA120</f>
        <v>121</v>
      </c>
      <c r="EB121" s="88" t="n">
        <f aca="false">MAX(EB120,DZ121-EA121)</f>
        <v>35.0579690141817</v>
      </c>
      <c r="EC121" s="88" t="n">
        <f aca="false">EB121-EB120</f>
        <v>0</v>
      </c>
      <c r="ED121" s="88" t="n">
        <f aca="false">IF(B121=2026,INDEX($C$24:$Q$24,1,B121-2025)*$AO$4*C121/MAX(0.0001,12-$AO$3),INDEX($C$24:$Q$24,1,B121-2025)/12)</f>
        <v>0.741611468731536</v>
      </c>
      <c r="EE121" s="88" t="n">
        <f aca="false">$AO$6*0</f>
        <v>0</v>
      </c>
      <c r="EF121" s="88" t="n">
        <f aca="false">ED121+EF120</f>
        <v>90.3866483830828</v>
      </c>
      <c r="EG121" s="88" t="n">
        <f aca="false">EE121+EG120</f>
        <v>0</v>
      </c>
      <c r="EH121" s="88" t="n">
        <f aca="false">MAX(EH120,EF121-EG121)</f>
        <v>90.3866483830828</v>
      </c>
      <c r="EI121" s="88" t="n">
        <f aca="false">EH121-EH120</f>
        <v>0.741611468731534</v>
      </c>
      <c r="EJ121" s="88" t="n">
        <f aca="false">IF(B121=2026,INDEX($C$25:$Q$25,1,B121-2025)*$AO$4*C121/MAX(0.0001,12-$AO$3),INDEX($C$25:$Q$25,1,B121-2025)/12)</f>
        <v>0.943869142021955</v>
      </c>
      <c r="EK121" s="88" t="n">
        <f aca="false">$AO$6*0</f>
        <v>0</v>
      </c>
      <c r="EL121" s="88" t="n">
        <f aca="false">EJ121+EL120</f>
        <v>115.03755248756</v>
      </c>
      <c r="EM121" s="88" t="n">
        <f aca="false">EK121+EM120</f>
        <v>14</v>
      </c>
      <c r="EN121" s="88" t="n">
        <f aca="false">MAX(EN120,EL121-EM121)</f>
        <v>101.03755248756</v>
      </c>
      <c r="EO121" s="88" t="n">
        <f aca="false">EN121-EN120</f>
        <v>0.943869142021953</v>
      </c>
      <c r="EP121" s="88" t="n">
        <f aca="false">IF(B121=2026,INDEX($C$26:$Q$26,1,B121-2025)*$AO$4*C121/MAX(0.0001,12-$AO$3),INDEX($C$26:$Q$26,1,B121-2025)/12)</f>
        <v>1.35681189165656</v>
      </c>
      <c r="EQ121" s="88" t="n">
        <f aca="false">$AO$6*0</f>
        <v>0</v>
      </c>
      <c r="ER121" s="88" t="n">
        <f aca="false">EP121+ER120</f>
        <v>165.366481700867</v>
      </c>
      <c r="ES121" s="88" t="n">
        <f aca="false">EQ121+ES120</f>
        <v>4</v>
      </c>
      <c r="ET121" s="88" t="n">
        <f aca="false">MAX(ET120,ER121-ES121)</f>
        <v>161.366481700867</v>
      </c>
      <c r="EU121" s="88" t="n">
        <f aca="false">ET121-ET120</f>
        <v>1.35681189165655</v>
      </c>
      <c r="EV121" s="88" t="n">
        <f aca="false">IF(B121=2026,INDEX($C$27:$Q$27,1,B121-2025)*$AO$4*C121/MAX(0.0001,12-$AO$3),INDEX($C$27:$Q$27,1,B121-2025)/12)</f>
        <v>3.37096122150698</v>
      </c>
      <c r="EW121" s="88" t="n">
        <f aca="false">$AO$6*0</f>
        <v>0</v>
      </c>
      <c r="EX121" s="88" t="n">
        <f aca="false">EV121+EX120</f>
        <v>410.848401741286</v>
      </c>
      <c r="EY121" s="88" t="n">
        <f aca="false">EW121+EY120</f>
        <v>391</v>
      </c>
      <c r="EZ121" s="88" t="n">
        <f aca="false">MAX(EZ120,EX121-EY121)</f>
        <v>19.8484017412856</v>
      </c>
      <c r="FA121" s="88" t="n">
        <f aca="false">EZ121-EZ120</f>
        <v>3.370961221507</v>
      </c>
      <c r="FB121" s="88" t="n">
        <f aca="false">IF(B121=2026,INDEX($C$28:$Q$28,1,B121-2025)*$AO$4*C121/MAX(0.0001,12-$AO$3),INDEX($C$28:$Q$28,1,B121-2025)/12)</f>
        <v>17.646981994589</v>
      </c>
      <c r="FC121" s="88" t="n">
        <f aca="false">$AO$6*0</f>
        <v>0</v>
      </c>
      <c r="FD121" s="88" t="n">
        <f aca="false">FB121+FD120</f>
        <v>2150.79138311563</v>
      </c>
      <c r="FE121" s="88" t="n">
        <f aca="false">FC121+FE120</f>
        <v>169</v>
      </c>
      <c r="FF121" s="88" t="n">
        <f aca="false">MAX(FF120,FD121-FE121)</f>
        <v>1981.79138311563</v>
      </c>
      <c r="FG121" s="88" t="n">
        <f aca="false">FF121-FF120</f>
        <v>17.6469819945892</v>
      </c>
    </row>
    <row r="122" customFormat="false" ht="15" hidden="false" customHeight="false" outlineLevel="0" collapsed="false">
      <c r="A122" s="0" t="n">
        <v>82</v>
      </c>
      <c r="B122" s="88" t="n">
        <f aca="false">2026+INT(A122/12)</f>
        <v>2032</v>
      </c>
      <c r="C122" s="88" t="n">
        <f aca="false">MAX(0,MIN(1,A122+1-$AO$3))</f>
        <v>1</v>
      </c>
      <c r="D122" s="88" t="n">
        <f aca="false">IF((A122+0.5-(0))&lt;$AO$3,0,2026+INT((A122+0.5-(0))/12))</f>
        <v>2032</v>
      </c>
      <c r="E122" s="88" t="n">
        <f aca="false">IF((A122+0.5-($AO$9))&lt;$AO$3,0,2026+INT((A122+0.5-($AO$9))/12))</f>
        <v>2031</v>
      </c>
      <c r="F122" s="88" t="n">
        <f aca="false">IF((A122+0.5-($AO$9+$AO$8))&lt;$AO$3,0,2026+INT((A122+0.5-($AO$9+$AO$8))/12))</f>
        <v>2030</v>
      </c>
      <c r="G122" s="88" t="n">
        <f aca="false">IF((A122+0.5-($AO$9+$AO$8+$AO$7))&lt;$AO$3,0,2026+INT((A122+0.5-($AO$9+$AO$8+$AO$7))/12))</f>
        <v>2029</v>
      </c>
      <c r="H122" s="88" t="n">
        <f aca="false">IF(B122=2026,INDEX($C$3:$Q$3,1,B122-2025)*$AO$4*C122/MAX(0.0001,12-$AO$3),INDEX($C$3:$Q$3,1,B122-2025)/12)</f>
        <v>180.666666666667</v>
      </c>
      <c r="I122" s="88" t="n">
        <f aca="false">$AO$6*0</f>
        <v>0</v>
      </c>
      <c r="J122" s="88" t="n">
        <f aca="false">H122+J121</f>
        <v>22200.0867579909</v>
      </c>
      <c r="K122" s="88" t="n">
        <f aca="false">I122+K121</f>
        <v>8695.00000000001</v>
      </c>
      <c r="L122" s="88" t="n">
        <f aca="false">MAX(L121,J122-K122)</f>
        <v>13505.0867579909</v>
      </c>
      <c r="M122" s="88" t="n">
        <f aca="false">L122-L121</f>
        <v>180.666666666668</v>
      </c>
      <c r="N122" s="88" t="n">
        <f aca="false">IF(B122=2026,INDEX($C$4:$Q$4,1,B122-2025)*$AO$4*C122/MAX(0.0001,12-$AO$3),INDEX($C$4:$Q$4,1,B122-2025)/12)</f>
        <v>5.47724540066293</v>
      </c>
      <c r="O122" s="88" t="n">
        <f aca="false">$AO$6*0</f>
        <v>0</v>
      </c>
      <c r="P122" s="88" t="n">
        <f aca="false">N122+P121</f>
        <v>673.036843668949</v>
      </c>
      <c r="Q122" s="88" t="n">
        <f aca="false">O122+Q121</f>
        <v>398</v>
      </c>
      <c r="R122" s="88" t="n">
        <f aca="false">MAX(R121,P122-Q122)</f>
        <v>275.036843668949</v>
      </c>
      <c r="S122" s="88" t="n">
        <f aca="false">R122-R121</f>
        <v>5.47724540066292</v>
      </c>
      <c r="T122" s="88" t="n">
        <f aca="false">IF(B122=2026,INDEX($C$5:$Q$5,1,B122-2025)*$AO$4*C122/MAX(0.0001,12-$AO$3),INDEX($C$5:$Q$5,1,B122-2025)/12)</f>
        <v>22.2615024358139</v>
      </c>
      <c r="U122" s="88" t="n">
        <f aca="false">$AO$6*0</f>
        <v>0</v>
      </c>
      <c r="V122" s="88" t="n">
        <f aca="false">T122+V121</f>
        <v>2735.46467954775</v>
      </c>
      <c r="W122" s="88" t="n">
        <f aca="false">U122+W121</f>
        <v>1115</v>
      </c>
      <c r="X122" s="88" t="n">
        <f aca="false">MAX(X121,V122-W122)</f>
        <v>1620.46467954775</v>
      </c>
      <c r="Y122" s="88" t="n">
        <f aca="false">X122-X121</f>
        <v>22.2615024358138</v>
      </c>
      <c r="Z122" s="88" t="n">
        <f aca="false">IF(B122=2026,INDEX($C$6:$Q$6,1,B122-2025)*$AO$4*C122/MAX(0.0001,12-$AO$3),INDEX($C$6:$Q$6,1,B122-2025)/12)</f>
        <v>26.4114629913323</v>
      </c>
      <c r="AA122" s="88" t="n">
        <f aca="false">$AO$6*0</f>
        <v>0</v>
      </c>
      <c r="AB122" s="88" t="n">
        <f aca="false">Z122+AB121</f>
        <v>3245.40647497994</v>
      </c>
      <c r="AC122" s="88" t="n">
        <f aca="false">AA122+AC121</f>
        <v>2194</v>
      </c>
      <c r="AD122" s="88" t="n">
        <f aca="false">MAX(AD121,AB122-AC122)</f>
        <v>1335.64282617929</v>
      </c>
      <c r="AE122" s="88" t="n">
        <f aca="false">AD122-AD121</f>
        <v>0</v>
      </c>
      <c r="AF122" s="88" t="n">
        <f aca="false">IF(B122=2026,INDEX($C$7:$Q$7,1,B122-2025)*$AO$4*C122/MAX(0.0001,12-$AO$3),INDEX($C$7:$Q$7,1,B122-2025)/12)</f>
        <v>22.9427081739175</v>
      </c>
      <c r="AG122" s="88" t="n">
        <f aca="false">$AO$6*0</f>
        <v>0</v>
      </c>
      <c r="AH122" s="88" t="n">
        <f aca="false">AF122+AH121</f>
        <v>2819.17036120424</v>
      </c>
      <c r="AI122" s="88" t="n">
        <f aca="false">AG122+AI121</f>
        <v>826</v>
      </c>
      <c r="AJ122" s="88" t="n">
        <f aca="false">MAX(AJ121,AH122-AI122)</f>
        <v>1993.17036120424</v>
      </c>
      <c r="AK122" s="88" t="n">
        <f aca="false">AJ122-AJ121</f>
        <v>22.9427081739173</v>
      </c>
      <c r="AL122" s="88" t="n">
        <f aca="false">IF(B122=2026,INDEX($C$8:$Q$8,1,B122-2025)*$AO$4*C122/MAX(0.0001,12-$AO$3),INDEX($C$8:$Q$8,1,B122-2025)/12)</f>
        <v>5.80342126052833</v>
      </c>
      <c r="AM122" s="88" t="n">
        <f aca="false">$AO$6*0</f>
        <v>0</v>
      </c>
      <c r="AN122" s="88" t="n">
        <f aca="false">AL122+AN121</f>
        <v>713.116912233752</v>
      </c>
      <c r="AO122" s="88" t="n">
        <f aca="false">AM122+AO121</f>
        <v>66</v>
      </c>
      <c r="AP122" s="88" t="n">
        <f aca="false">MAX(AP121,AN122-AO122)</f>
        <v>647.116912233752</v>
      </c>
      <c r="AQ122" s="88" t="n">
        <f aca="false">AP122-AP121</f>
        <v>5.80342126052835</v>
      </c>
      <c r="AR122" s="88" t="n">
        <f aca="false">IF(B122=2026,INDEX($C$9:$Q$9,1,B122-2025)*$AO$4*C122/MAX(0.0001,12-$AO$3),INDEX($C$9:$Q$9,1,B122-2025)/12)</f>
        <v>24.7454570609428</v>
      </c>
      <c r="AS122" s="88" t="n">
        <f aca="false">$AO$6*0</f>
        <v>0</v>
      </c>
      <c r="AT122" s="88" t="n">
        <f aca="false">AR122+AT121</f>
        <v>3040.68981707972</v>
      </c>
      <c r="AU122" s="88" t="n">
        <f aca="false">AS122+AU121</f>
        <v>1810</v>
      </c>
      <c r="AV122" s="88" t="n">
        <f aca="false">MAX(AV121,AT122-AU122)</f>
        <v>1230.68981707972</v>
      </c>
      <c r="AW122" s="88" t="n">
        <f aca="false">AV122-AV121</f>
        <v>24.745457060943</v>
      </c>
      <c r="AX122" s="88" t="n">
        <f aca="false">IF(B122=2026,INDEX($C$10:$Q$10,1,B122-2025)*$AO$4*C122/MAX(0.0001,12-$AO$3),INDEX($C$10:$Q$10,1,B122-2025)/12)</f>
        <v>2.87034756681557</v>
      </c>
      <c r="AY122" s="88" t="n">
        <f aca="false">$AO$6*0</f>
        <v>0</v>
      </c>
      <c r="AZ122" s="88" t="n">
        <f aca="false">AX122+AZ121</f>
        <v>352.704603370259</v>
      </c>
      <c r="BA122" s="88" t="n">
        <f aca="false">AY122+BA121</f>
        <v>50</v>
      </c>
      <c r="BB122" s="88" t="n">
        <f aca="false">MAX(BB121,AZ122-BA122)</f>
        <v>302.704603370259</v>
      </c>
      <c r="BC122" s="88" t="n">
        <f aca="false">BB122-BB121</f>
        <v>2.87034756681555</v>
      </c>
      <c r="BD122" s="88" t="n">
        <f aca="false">IF(B122=2026,INDEX($C$11:$Q$11,1,B122-2025)*$AO$4*C122/MAX(0.0001,12-$AO$3),INDEX($C$11:$Q$11,1,B122-2025)/12)</f>
        <v>14.2639212564218</v>
      </c>
      <c r="BE122" s="88" t="n">
        <f aca="false">$AO$6*0</f>
        <v>0</v>
      </c>
      <c r="BF122" s="88" t="n">
        <f aca="false">BD122+BF121</f>
        <v>1752.73222916078</v>
      </c>
      <c r="BG122" s="88" t="n">
        <f aca="false">BE122+BG121</f>
        <v>240</v>
      </c>
      <c r="BH122" s="88" t="n">
        <f aca="false">MAX(BH121,BF122-BG122)</f>
        <v>1512.73222916078</v>
      </c>
      <c r="BI122" s="88" t="n">
        <f aca="false">BH122-BH121</f>
        <v>14.2639212564218</v>
      </c>
      <c r="BJ122" s="88" t="n">
        <f aca="false">IF(B122=2026,INDEX($C$12:$Q$12,1,B122-2025)*$AO$4*C122/MAX(0.0001,12-$AO$3),INDEX($C$12:$Q$12,1,B122-2025)/12)</f>
        <v>7.82069350154207</v>
      </c>
      <c r="BK122" s="88" t="n">
        <f aca="false">$AO$6*0</f>
        <v>0</v>
      </c>
      <c r="BL122" s="88" t="n">
        <f aca="false">BJ122+BL121</f>
        <v>960.996720896068</v>
      </c>
      <c r="BM122" s="88" t="n">
        <f aca="false">BK122+BM121</f>
        <v>465</v>
      </c>
      <c r="BN122" s="88" t="n">
        <f aca="false">MAX(BN121,BL122-BM122)</f>
        <v>620.1207703606</v>
      </c>
      <c r="BO122" s="88" t="n">
        <f aca="false">BN122-BN121</f>
        <v>0</v>
      </c>
      <c r="BP122" s="88" t="n">
        <f aca="false">IF(B122=2026,INDEX($C$13:$Q$13,1,B122-2025)*$AO$4*C122/MAX(0.0001,12-$AO$3),INDEX($C$13:$Q$13,1,B122-2025)/12)</f>
        <v>2.44394688559256</v>
      </c>
      <c r="BQ122" s="88" t="n">
        <f aca="false">$AO$6*0</f>
        <v>0</v>
      </c>
      <c r="BR122" s="88" t="n">
        <f aca="false">BP122+BR121</f>
        <v>300.309038148024</v>
      </c>
      <c r="BS122" s="88" t="n">
        <f aca="false">BQ122+BS121</f>
        <v>87</v>
      </c>
      <c r="BT122" s="88" t="n">
        <f aca="false">MAX(BT121,BR122-BS122)</f>
        <v>213.309038148024</v>
      </c>
      <c r="BU122" s="88" t="n">
        <f aca="false">BT122-BT121</f>
        <v>2.44394688559254</v>
      </c>
      <c r="BV122" s="88" t="n">
        <f aca="false">IF(B122=2026,INDEX($C$14:$Q$14,1,B122-2025)*$AO$4*C122/MAX(0.0001,12-$AO$3),INDEX($C$14:$Q$14,1,B122-2025)/12)</f>
        <v>1.449513325248</v>
      </c>
      <c r="BW122" s="88" t="n">
        <f aca="false">$AO$6*0</f>
        <v>0</v>
      </c>
      <c r="BX122" s="88" t="n">
        <f aca="false">BV122+BX121</f>
        <v>178.114326074001</v>
      </c>
      <c r="BY122" s="88" t="n">
        <f aca="false">BW122+BY121</f>
        <v>0</v>
      </c>
      <c r="BZ122" s="88" t="n">
        <f aca="false">MAX(BZ121,BX122-BY122)</f>
        <v>178.114326074001</v>
      </c>
      <c r="CA122" s="88" t="n">
        <f aca="false">BZ122-BZ121</f>
        <v>1.44951332524801</v>
      </c>
      <c r="CB122" s="88" t="n">
        <f aca="false">IF(B122=2026,INDEX($C$15:$Q$15,1,B122-2025)*$AO$4*C122/MAX(0.0001,12-$AO$3),INDEX($C$15:$Q$15,1,B122-2025)/12)</f>
        <v>2.37652766116242</v>
      </c>
      <c r="CC122" s="88" t="n">
        <f aca="false">$AO$6*0</f>
        <v>0</v>
      </c>
      <c r="CD122" s="88" t="n">
        <f aca="false">CB122+CD121</f>
        <v>292.024650888768</v>
      </c>
      <c r="CE122" s="88" t="n">
        <f aca="false">CC122+CE121</f>
        <v>88.0000000000001</v>
      </c>
      <c r="CF122" s="88" t="n">
        <f aca="false">MAX(CF121,CD122-CE122)</f>
        <v>204.024650888768</v>
      </c>
      <c r="CG122" s="88" t="n">
        <f aca="false">CF122-CF121</f>
        <v>2.37652766116241</v>
      </c>
      <c r="CH122" s="88" t="n">
        <f aca="false">IF(B122=2026,INDEX($C$16:$Q$16,1,B122-2025)*$AO$4*C122/MAX(0.0001,12-$AO$3),INDEX($C$16:$Q$16,1,B122-2025)/12)</f>
        <v>1.87931088099014</v>
      </c>
      <c r="CI122" s="88" t="n">
        <f aca="false">$AO$6*0</f>
        <v>0</v>
      </c>
      <c r="CJ122" s="88" t="n">
        <f aca="false">CH122+CJ121</f>
        <v>230.927294851757</v>
      </c>
      <c r="CK122" s="88" t="n">
        <f aca="false">CI122+CK121</f>
        <v>70</v>
      </c>
      <c r="CL122" s="88" t="n">
        <f aca="false">MAX(CL121,CJ122-CK122)</f>
        <v>160.927294851757</v>
      </c>
      <c r="CM122" s="88" t="n">
        <f aca="false">CL122-CL121</f>
        <v>1.87931088099015</v>
      </c>
      <c r="CN122" s="88" t="n">
        <f aca="false">IF(B122=2026,INDEX($C$17:$Q$17,1,B122-2025)*$AO$4*C122/MAX(0.0001,12-$AO$3),INDEX($C$17:$Q$17,1,B122-2025)/12)</f>
        <v>8.1830083652082</v>
      </c>
      <c r="CO122" s="88" t="n">
        <f aca="false">$AO$6*0</f>
        <v>0</v>
      </c>
      <c r="CP122" s="88" t="n">
        <f aca="false">CN122+CP121</f>
        <v>1005.51750359218</v>
      </c>
      <c r="CQ122" s="88" t="n">
        <f aca="false">CO122+CQ121</f>
        <v>221</v>
      </c>
      <c r="CR122" s="88" t="n">
        <f aca="false">MAX(CR121,CP122-CQ122)</f>
        <v>784.517503592181</v>
      </c>
      <c r="CS122" s="88" t="n">
        <f aca="false">CR122-CR121</f>
        <v>8.18300836520825</v>
      </c>
      <c r="CT122" s="88" t="n">
        <f aca="false">IF(B122=2026,INDEX($C$18:$Q$18,1,B122-2025)*$AO$4*C122/MAX(0.0001,12-$AO$3),INDEX($C$18:$Q$18,1,B122-2025)/12)</f>
        <v>1.70233541686103</v>
      </c>
      <c r="CU122" s="88" t="n">
        <f aca="false">$AO$6*0</f>
        <v>0</v>
      </c>
      <c r="CV122" s="88" t="n">
        <f aca="false">CT122+CV121</f>
        <v>209.18077829621</v>
      </c>
      <c r="CW122" s="88" t="n">
        <f aca="false">CU122+CW121</f>
        <v>11</v>
      </c>
      <c r="CX122" s="88" t="n">
        <f aca="false">MAX(CX121,CV122-CW122)</f>
        <v>198.18077829621</v>
      </c>
      <c r="CY122" s="88" t="n">
        <f aca="false">CX122-CX121</f>
        <v>1.70233541686102</v>
      </c>
      <c r="CZ122" s="88" t="n">
        <f aca="false">IF(B122=2026,INDEX($C$19:$Q$19,1,B122-2025)*$AO$4*C122/MAX(0.0001,12-$AO$3),INDEX($C$19:$Q$19,1,B122-2025)/12)</f>
        <v>1.68548061075349</v>
      </c>
      <c r="DA122" s="88" t="n">
        <f aca="false">$AO$6*0</f>
        <v>0</v>
      </c>
      <c r="DB122" s="88" t="n">
        <f aca="false">CZ122+DB121</f>
        <v>207.109681481396</v>
      </c>
      <c r="DC122" s="88" t="n">
        <f aca="false">DA122+DC121</f>
        <v>226</v>
      </c>
      <c r="DD122" s="88" t="n">
        <f aca="false">MAX(DD121,DB122-DC122)</f>
        <v>37.132124495359</v>
      </c>
      <c r="DE122" s="88" t="n">
        <f aca="false">DD122-DD121</f>
        <v>0</v>
      </c>
      <c r="DF122" s="88" t="n">
        <f aca="false">IF(B122=2026,INDEX($C$20:$Q$20,1,B122-2025)*$AO$4*C122/MAX(0.0001,12-$AO$3),INDEX($C$20:$Q$20,1,B122-2025)/12)</f>
        <v>1.37366669776409</v>
      </c>
      <c r="DG122" s="88" t="n">
        <f aca="false">$AO$6*0</f>
        <v>0</v>
      </c>
      <c r="DH122" s="88" t="n">
        <f aca="false">DF122+DH121</f>
        <v>168.794390407338</v>
      </c>
      <c r="DI122" s="88" t="n">
        <f aca="false">DG122+DI121</f>
        <v>0</v>
      </c>
      <c r="DJ122" s="88" t="n">
        <f aca="false">MAX(DJ121,DH122-DI122)</f>
        <v>168.794390407338</v>
      </c>
      <c r="DK122" s="88" t="n">
        <f aca="false">DJ122-DJ121</f>
        <v>1.37366669776409</v>
      </c>
      <c r="DL122" s="88" t="n">
        <f aca="false">IF(B122=2026,INDEX($C$21:$Q$21,1,B122-2025)*$AO$4*C122/MAX(0.0001,12-$AO$3),INDEX($C$21:$Q$21,1,B122-2025)/12)</f>
        <v>0.96072394812949</v>
      </c>
      <c r="DM122" s="88" t="n">
        <f aca="false">$AO$6*0</f>
        <v>0</v>
      </c>
      <c r="DN122" s="88" t="n">
        <f aca="false">DL122+DN121</f>
        <v>118.052518444396</v>
      </c>
      <c r="DO122" s="88" t="n">
        <f aca="false">DM122+DO121</f>
        <v>100</v>
      </c>
      <c r="DP122" s="88" t="n">
        <f aca="false">MAX(DP121,DN122-DO122)</f>
        <v>18.0525184443957</v>
      </c>
      <c r="DQ122" s="88" t="n">
        <f aca="false">DP122-DP121</f>
        <v>0.304207482041036</v>
      </c>
      <c r="DR122" s="88" t="n">
        <f aca="false">IF(B122=2026,INDEX($C$22:$Q$22,1,B122-2025)*$AO$4*C122/MAX(0.0001,12-$AO$3),INDEX($C$22:$Q$22,1,B122-2025)/12)</f>
        <v>0.750038871785304</v>
      </c>
      <c r="DS122" s="88" t="n">
        <f aca="false">$AO$6*0</f>
        <v>0</v>
      </c>
      <c r="DT122" s="88" t="n">
        <f aca="false">DR122+DT121</f>
        <v>92.1638082592214</v>
      </c>
      <c r="DU122" s="88" t="n">
        <f aca="false">DS122+DU121</f>
        <v>29</v>
      </c>
      <c r="DV122" s="88" t="n">
        <f aca="false">MAX(DV121,DT122-DU122)</f>
        <v>63.1638082592214</v>
      </c>
      <c r="DW122" s="88" t="n">
        <f aca="false">DV122-DV121</f>
        <v>0.750038871785307</v>
      </c>
      <c r="DX122" s="88" t="n">
        <f aca="false">IF(B122=2026,INDEX($C$23:$Q$23,1,B122-2025)*$AO$4*C122/MAX(0.0001,12-$AO$3),INDEX($C$23:$Q$23,1,B122-2025)/12)</f>
        <v>1.20511863668875</v>
      </c>
      <c r="DY122" s="88" t="n">
        <f aca="false">$AO$6*0</f>
        <v>0</v>
      </c>
      <c r="DZ122" s="88" t="n">
        <f aca="false">DX122+DZ121</f>
        <v>148.083422259198</v>
      </c>
      <c r="EA122" s="88" t="n">
        <f aca="false">DY122+EA121</f>
        <v>121</v>
      </c>
      <c r="EB122" s="88" t="n">
        <f aca="false">MAX(EB121,DZ122-EA122)</f>
        <v>35.0579690141817</v>
      </c>
      <c r="EC122" s="88" t="n">
        <f aca="false">EB122-EB121</f>
        <v>0</v>
      </c>
      <c r="ED122" s="88" t="n">
        <f aca="false">IF(B122=2026,INDEX($C$24:$Q$24,1,B122-2025)*$AO$4*C122/MAX(0.0001,12-$AO$3),INDEX($C$24:$Q$24,1,B122-2025)/12)</f>
        <v>0.741611468731536</v>
      </c>
      <c r="EE122" s="88" t="n">
        <f aca="false">$AO$6*0</f>
        <v>0</v>
      </c>
      <c r="EF122" s="88" t="n">
        <f aca="false">ED122+EF121</f>
        <v>91.1282598518144</v>
      </c>
      <c r="EG122" s="88" t="n">
        <f aca="false">EE122+EG121</f>
        <v>0</v>
      </c>
      <c r="EH122" s="88" t="n">
        <f aca="false">MAX(EH121,EF122-EG122)</f>
        <v>91.1282598518144</v>
      </c>
      <c r="EI122" s="88" t="n">
        <f aca="false">EH122-EH121</f>
        <v>0.741611468731534</v>
      </c>
      <c r="EJ122" s="88" t="n">
        <f aca="false">IF(B122=2026,INDEX($C$25:$Q$25,1,B122-2025)*$AO$4*C122/MAX(0.0001,12-$AO$3),INDEX($C$25:$Q$25,1,B122-2025)/12)</f>
        <v>0.943869142021955</v>
      </c>
      <c r="EK122" s="88" t="n">
        <f aca="false">$AO$6*0</f>
        <v>0</v>
      </c>
      <c r="EL122" s="88" t="n">
        <f aca="false">EJ122+EL121</f>
        <v>115.981421629582</v>
      </c>
      <c r="EM122" s="88" t="n">
        <f aca="false">EK122+EM121</f>
        <v>14</v>
      </c>
      <c r="EN122" s="88" t="n">
        <f aca="false">MAX(EN121,EL122-EM122)</f>
        <v>101.981421629582</v>
      </c>
      <c r="EO122" s="88" t="n">
        <f aca="false">EN122-EN121</f>
        <v>0.943869142021953</v>
      </c>
      <c r="EP122" s="88" t="n">
        <f aca="false">IF(B122=2026,INDEX($C$26:$Q$26,1,B122-2025)*$AO$4*C122/MAX(0.0001,12-$AO$3),INDEX($C$26:$Q$26,1,B122-2025)/12)</f>
        <v>1.35681189165656</v>
      </c>
      <c r="EQ122" s="88" t="n">
        <f aca="false">$AO$6*0</f>
        <v>0</v>
      </c>
      <c r="ER122" s="88" t="n">
        <f aca="false">EP122+ER121</f>
        <v>166.723293592524</v>
      </c>
      <c r="ES122" s="88" t="n">
        <f aca="false">EQ122+ES121</f>
        <v>4</v>
      </c>
      <c r="ET122" s="88" t="n">
        <f aca="false">MAX(ET121,ER122-ES122)</f>
        <v>162.723293592524</v>
      </c>
      <c r="EU122" s="88" t="n">
        <f aca="false">ET122-ET121</f>
        <v>1.35681189165655</v>
      </c>
      <c r="EV122" s="88" t="n">
        <f aca="false">IF(B122=2026,INDEX($C$27:$Q$27,1,B122-2025)*$AO$4*C122/MAX(0.0001,12-$AO$3),INDEX($C$27:$Q$27,1,B122-2025)/12)</f>
        <v>3.37096122150698</v>
      </c>
      <c r="EW122" s="88" t="n">
        <f aca="false">$AO$6*0</f>
        <v>0</v>
      </c>
      <c r="EX122" s="88" t="n">
        <f aca="false">EV122+EX121</f>
        <v>414.219362962793</v>
      </c>
      <c r="EY122" s="88" t="n">
        <f aca="false">EW122+EY121</f>
        <v>391</v>
      </c>
      <c r="EZ122" s="88" t="n">
        <f aca="false">MAX(EZ121,EX122-EY122)</f>
        <v>23.2193629627926</v>
      </c>
      <c r="FA122" s="88" t="n">
        <f aca="false">EZ122-EZ121</f>
        <v>3.370961221507</v>
      </c>
      <c r="FB122" s="88" t="n">
        <f aca="false">IF(B122=2026,INDEX($C$28:$Q$28,1,B122-2025)*$AO$4*C122/MAX(0.0001,12-$AO$3),INDEX($C$28:$Q$28,1,B122-2025)/12)</f>
        <v>17.646981994589</v>
      </c>
      <c r="FC122" s="88" t="n">
        <f aca="false">$AO$6*0</f>
        <v>0</v>
      </c>
      <c r="FD122" s="88" t="n">
        <f aca="false">FB122+FD121</f>
        <v>2168.43836511022</v>
      </c>
      <c r="FE122" s="88" t="n">
        <f aca="false">FC122+FE121</f>
        <v>169</v>
      </c>
      <c r="FF122" s="88" t="n">
        <f aca="false">MAX(FF121,FD122-FE122)</f>
        <v>1999.43836511022</v>
      </c>
      <c r="FG122" s="88" t="n">
        <f aca="false">FF122-FF121</f>
        <v>17.6469819945892</v>
      </c>
    </row>
    <row r="123" customFormat="false" ht="15" hidden="false" customHeight="false" outlineLevel="0" collapsed="false">
      <c r="A123" s="0" t="n">
        <v>83</v>
      </c>
      <c r="B123" s="88" t="n">
        <f aca="false">2026+INT(A123/12)</f>
        <v>2032</v>
      </c>
      <c r="C123" s="88" t="n">
        <f aca="false">MAX(0,MIN(1,A123+1-$AO$3))</f>
        <v>1</v>
      </c>
      <c r="D123" s="88" t="n">
        <f aca="false">IF((A123+0.5-(0))&lt;$AO$3,0,2026+INT((A123+0.5-(0))/12))</f>
        <v>2032</v>
      </c>
      <c r="E123" s="88" t="n">
        <f aca="false">IF((A123+0.5-($AO$9))&lt;$AO$3,0,2026+INT((A123+0.5-($AO$9))/12))</f>
        <v>2031</v>
      </c>
      <c r="F123" s="88" t="n">
        <f aca="false">IF((A123+0.5-($AO$9+$AO$8))&lt;$AO$3,0,2026+INT((A123+0.5-($AO$9+$AO$8))/12))</f>
        <v>2030</v>
      </c>
      <c r="G123" s="88" t="n">
        <f aca="false">IF((A123+0.5-($AO$9+$AO$8+$AO$7))&lt;$AO$3,0,2026+INT((A123+0.5-($AO$9+$AO$8+$AO$7))/12))</f>
        <v>2030</v>
      </c>
      <c r="H123" s="88" t="n">
        <f aca="false">IF(B123=2026,INDEX($C$3:$Q$3,1,B123-2025)*$AO$4*C123/MAX(0.0001,12-$AO$3),INDEX($C$3:$Q$3,1,B123-2025)/12)</f>
        <v>180.666666666667</v>
      </c>
      <c r="I123" s="88" t="n">
        <f aca="false">$AO$6*0</f>
        <v>0</v>
      </c>
      <c r="J123" s="88" t="n">
        <f aca="false">H123+J122</f>
        <v>22380.7534246576</v>
      </c>
      <c r="K123" s="88" t="n">
        <f aca="false">I123+K122</f>
        <v>8695.00000000001</v>
      </c>
      <c r="L123" s="88" t="n">
        <f aca="false">MAX(L122,J123-K123)</f>
        <v>13685.7534246576</v>
      </c>
      <c r="M123" s="88" t="n">
        <f aca="false">L123-L122</f>
        <v>180.666666666668</v>
      </c>
      <c r="N123" s="88" t="n">
        <f aca="false">IF(B123=2026,INDEX($C$4:$Q$4,1,B123-2025)*$AO$4*C123/MAX(0.0001,12-$AO$3),INDEX($C$4:$Q$4,1,B123-2025)/12)</f>
        <v>5.47724540066293</v>
      </c>
      <c r="O123" s="88" t="n">
        <f aca="false">$AO$6*0</f>
        <v>0</v>
      </c>
      <c r="P123" s="88" t="n">
        <f aca="false">N123+P122</f>
        <v>678.514089069612</v>
      </c>
      <c r="Q123" s="88" t="n">
        <f aca="false">O123+Q122</f>
        <v>398</v>
      </c>
      <c r="R123" s="88" t="n">
        <f aca="false">MAX(R122,P123-Q123)</f>
        <v>280.514089069612</v>
      </c>
      <c r="S123" s="88" t="n">
        <f aca="false">R123-R122</f>
        <v>5.47724540066292</v>
      </c>
      <c r="T123" s="88" t="n">
        <f aca="false">IF(B123=2026,INDEX($C$5:$Q$5,1,B123-2025)*$AO$4*C123/MAX(0.0001,12-$AO$3),INDEX($C$5:$Q$5,1,B123-2025)/12)</f>
        <v>22.2615024358139</v>
      </c>
      <c r="U123" s="88" t="n">
        <f aca="false">$AO$6*0</f>
        <v>0</v>
      </c>
      <c r="V123" s="88" t="n">
        <f aca="false">T123+V122</f>
        <v>2757.72618198356</v>
      </c>
      <c r="W123" s="88" t="n">
        <f aca="false">U123+W122</f>
        <v>1115</v>
      </c>
      <c r="X123" s="88" t="n">
        <f aca="false">MAX(X122,V123-W123)</f>
        <v>1642.72618198356</v>
      </c>
      <c r="Y123" s="88" t="n">
        <f aca="false">X123-X122</f>
        <v>22.2615024358138</v>
      </c>
      <c r="Z123" s="88" t="n">
        <f aca="false">IF(B123=2026,INDEX($C$6:$Q$6,1,B123-2025)*$AO$4*C123/MAX(0.0001,12-$AO$3),INDEX($C$6:$Q$6,1,B123-2025)/12)</f>
        <v>26.4114629913323</v>
      </c>
      <c r="AA123" s="88" t="n">
        <f aca="false">$AO$6*0</f>
        <v>0</v>
      </c>
      <c r="AB123" s="88" t="n">
        <f aca="false">Z123+AB122</f>
        <v>3271.81793797127</v>
      </c>
      <c r="AC123" s="88" t="n">
        <f aca="false">AA123+AC122</f>
        <v>2194</v>
      </c>
      <c r="AD123" s="88" t="n">
        <f aca="false">MAX(AD122,AB123-AC123)</f>
        <v>1335.64282617929</v>
      </c>
      <c r="AE123" s="88" t="n">
        <f aca="false">AD123-AD122</f>
        <v>0</v>
      </c>
      <c r="AF123" s="88" t="n">
        <f aca="false">IF(B123=2026,INDEX($C$7:$Q$7,1,B123-2025)*$AO$4*C123/MAX(0.0001,12-$AO$3),INDEX($C$7:$Q$7,1,B123-2025)/12)</f>
        <v>22.9427081739175</v>
      </c>
      <c r="AG123" s="88" t="n">
        <f aca="false">$AO$6*0</f>
        <v>0</v>
      </c>
      <c r="AH123" s="88" t="n">
        <f aca="false">AF123+AH122</f>
        <v>2842.11306937816</v>
      </c>
      <c r="AI123" s="88" t="n">
        <f aca="false">AG123+AI122</f>
        <v>826</v>
      </c>
      <c r="AJ123" s="88" t="n">
        <f aca="false">MAX(AJ122,AH123-AI123)</f>
        <v>2016.11306937816</v>
      </c>
      <c r="AK123" s="88" t="n">
        <f aca="false">AJ123-AJ122</f>
        <v>22.9427081739173</v>
      </c>
      <c r="AL123" s="88" t="n">
        <f aca="false">IF(B123=2026,INDEX($C$8:$Q$8,1,B123-2025)*$AO$4*C123/MAX(0.0001,12-$AO$3),INDEX($C$8:$Q$8,1,B123-2025)/12)</f>
        <v>5.80342126052833</v>
      </c>
      <c r="AM123" s="88" t="n">
        <f aca="false">$AO$6*0</f>
        <v>0</v>
      </c>
      <c r="AN123" s="88" t="n">
        <f aca="false">AL123+AN122</f>
        <v>718.92033349428</v>
      </c>
      <c r="AO123" s="88" t="n">
        <f aca="false">AM123+AO122</f>
        <v>66</v>
      </c>
      <c r="AP123" s="88" t="n">
        <f aca="false">MAX(AP122,AN123-AO123)</f>
        <v>652.92033349428</v>
      </c>
      <c r="AQ123" s="88" t="n">
        <f aca="false">AP123-AP122</f>
        <v>5.80342126052835</v>
      </c>
      <c r="AR123" s="88" t="n">
        <f aca="false">IF(B123=2026,INDEX($C$9:$Q$9,1,B123-2025)*$AO$4*C123/MAX(0.0001,12-$AO$3),INDEX($C$9:$Q$9,1,B123-2025)/12)</f>
        <v>24.7454570609428</v>
      </c>
      <c r="AS123" s="88" t="n">
        <f aca="false">$AO$6*0</f>
        <v>0</v>
      </c>
      <c r="AT123" s="88" t="n">
        <f aca="false">AR123+AT122</f>
        <v>3065.43527414066</v>
      </c>
      <c r="AU123" s="88" t="n">
        <f aca="false">AS123+AU122</f>
        <v>1810</v>
      </c>
      <c r="AV123" s="88" t="n">
        <f aca="false">MAX(AV122,AT123-AU123)</f>
        <v>1255.43527414066</v>
      </c>
      <c r="AW123" s="88" t="n">
        <f aca="false">AV123-AV122</f>
        <v>24.745457060943</v>
      </c>
      <c r="AX123" s="88" t="n">
        <f aca="false">IF(B123=2026,INDEX($C$10:$Q$10,1,B123-2025)*$AO$4*C123/MAX(0.0001,12-$AO$3),INDEX($C$10:$Q$10,1,B123-2025)/12)</f>
        <v>2.87034756681557</v>
      </c>
      <c r="AY123" s="88" t="n">
        <f aca="false">$AO$6*0</f>
        <v>0</v>
      </c>
      <c r="AZ123" s="88" t="n">
        <f aca="false">AX123+AZ122</f>
        <v>355.574950937075</v>
      </c>
      <c r="BA123" s="88" t="n">
        <f aca="false">AY123+BA122</f>
        <v>50</v>
      </c>
      <c r="BB123" s="88" t="n">
        <f aca="false">MAX(BB122,AZ123-BA123)</f>
        <v>305.574950937075</v>
      </c>
      <c r="BC123" s="88" t="n">
        <f aca="false">BB123-BB122</f>
        <v>2.87034756681555</v>
      </c>
      <c r="BD123" s="88" t="n">
        <f aca="false">IF(B123=2026,INDEX($C$11:$Q$11,1,B123-2025)*$AO$4*C123/MAX(0.0001,12-$AO$3),INDEX($C$11:$Q$11,1,B123-2025)/12)</f>
        <v>14.2639212564218</v>
      </c>
      <c r="BE123" s="88" t="n">
        <f aca="false">$AO$6*0</f>
        <v>0</v>
      </c>
      <c r="BF123" s="88" t="n">
        <f aca="false">BD123+BF122</f>
        <v>1766.9961504172</v>
      </c>
      <c r="BG123" s="88" t="n">
        <f aca="false">BE123+BG122</f>
        <v>240</v>
      </c>
      <c r="BH123" s="88" t="n">
        <f aca="false">MAX(BH122,BF123-BG123)</f>
        <v>1526.9961504172</v>
      </c>
      <c r="BI123" s="88" t="n">
        <f aca="false">BH123-BH122</f>
        <v>14.2639212564218</v>
      </c>
      <c r="BJ123" s="88" t="n">
        <f aca="false">IF(B123=2026,INDEX($C$12:$Q$12,1,B123-2025)*$AO$4*C123/MAX(0.0001,12-$AO$3),INDEX($C$12:$Q$12,1,B123-2025)/12)</f>
        <v>7.82069350154207</v>
      </c>
      <c r="BK123" s="88" t="n">
        <f aca="false">$AO$6*0</f>
        <v>0</v>
      </c>
      <c r="BL123" s="88" t="n">
        <f aca="false">BJ123+BL122</f>
        <v>968.81741439761</v>
      </c>
      <c r="BM123" s="88" t="n">
        <f aca="false">BK123+BM122</f>
        <v>465</v>
      </c>
      <c r="BN123" s="88" t="n">
        <f aca="false">MAX(BN122,BL123-BM123)</f>
        <v>620.1207703606</v>
      </c>
      <c r="BO123" s="88" t="n">
        <f aca="false">BN123-BN122</f>
        <v>0</v>
      </c>
      <c r="BP123" s="88" t="n">
        <f aca="false">IF(B123=2026,INDEX($C$13:$Q$13,1,B123-2025)*$AO$4*C123/MAX(0.0001,12-$AO$3),INDEX($C$13:$Q$13,1,B123-2025)/12)</f>
        <v>2.44394688559256</v>
      </c>
      <c r="BQ123" s="88" t="n">
        <f aca="false">$AO$6*0</f>
        <v>0</v>
      </c>
      <c r="BR123" s="88" t="n">
        <f aca="false">BP123+BR122</f>
        <v>302.752985033617</v>
      </c>
      <c r="BS123" s="88" t="n">
        <f aca="false">BQ123+BS122</f>
        <v>87</v>
      </c>
      <c r="BT123" s="88" t="n">
        <f aca="false">MAX(BT122,BR123-BS123)</f>
        <v>215.752985033617</v>
      </c>
      <c r="BU123" s="88" t="n">
        <f aca="false">BT123-BT122</f>
        <v>2.44394688559254</v>
      </c>
      <c r="BV123" s="88" t="n">
        <f aca="false">IF(B123=2026,INDEX($C$14:$Q$14,1,B123-2025)*$AO$4*C123/MAX(0.0001,12-$AO$3),INDEX($C$14:$Q$14,1,B123-2025)/12)</f>
        <v>1.449513325248</v>
      </c>
      <c r="BW123" s="88" t="n">
        <f aca="false">$AO$6*0</f>
        <v>0</v>
      </c>
      <c r="BX123" s="88" t="n">
        <f aca="false">BV123+BX122</f>
        <v>179.563839399249</v>
      </c>
      <c r="BY123" s="88" t="n">
        <f aca="false">BW123+BY122</f>
        <v>0</v>
      </c>
      <c r="BZ123" s="88" t="n">
        <f aca="false">MAX(BZ122,BX123-BY123)</f>
        <v>179.563839399249</v>
      </c>
      <c r="CA123" s="88" t="n">
        <f aca="false">BZ123-BZ122</f>
        <v>1.44951332524801</v>
      </c>
      <c r="CB123" s="88" t="n">
        <f aca="false">IF(B123=2026,INDEX($C$15:$Q$15,1,B123-2025)*$AO$4*C123/MAX(0.0001,12-$AO$3),INDEX($C$15:$Q$15,1,B123-2025)/12)</f>
        <v>2.37652766116242</v>
      </c>
      <c r="CC123" s="88" t="n">
        <f aca="false">$AO$6*0</f>
        <v>0</v>
      </c>
      <c r="CD123" s="88" t="n">
        <f aca="false">CB123+CD122</f>
        <v>294.401178549931</v>
      </c>
      <c r="CE123" s="88" t="n">
        <f aca="false">CC123+CE122</f>
        <v>88.0000000000001</v>
      </c>
      <c r="CF123" s="88" t="n">
        <f aca="false">MAX(CF122,CD123-CE123)</f>
        <v>206.401178549931</v>
      </c>
      <c r="CG123" s="88" t="n">
        <f aca="false">CF123-CF122</f>
        <v>2.37652766116241</v>
      </c>
      <c r="CH123" s="88" t="n">
        <f aca="false">IF(B123=2026,INDEX($C$16:$Q$16,1,B123-2025)*$AO$4*C123/MAX(0.0001,12-$AO$3),INDEX($C$16:$Q$16,1,B123-2025)/12)</f>
        <v>1.87931088099014</v>
      </c>
      <c r="CI123" s="88" t="n">
        <f aca="false">$AO$6*0</f>
        <v>0</v>
      </c>
      <c r="CJ123" s="88" t="n">
        <f aca="false">CH123+CJ122</f>
        <v>232.806605732747</v>
      </c>
      <c r="CK123" s="88" t="n">
        <f aca="false">CI123+CK122</f>
        <v>70</v>
      </c>
      <c r="CL123" s="88" t="n">
        <f aca="false">MAX(CL122,CJ123-CK123)</f>
        <v>162.806605732747</v>
      </c>
      <c r="CM123" s="88" t="n">
        <f aca="false">CL123-CL122</f>
        <v>1.87931088099015</v>
      </c>
      <c r="CN123" s="88" t="n">
        <f aca="false">IF(B123=2026,INDEX($C$17:$Q$17,1,B123-2025)*$AO$4*C123/MAX(0.0001,12-$AO$3),INDEX($C$17:$Q$17,1,B123-2025)/12)</f>
        <v>8.1830083652082</v>
      </c>
      <c r="CO123" s="88" t="n">
        <f aca="false">$AO$6*0</f>
        <v>0</v>
      </c>
      <c r="CP123" s="88" t="n">
        <f aca="false">CN123+CP122</f>
        <v>1013.70051195739</v>
      </c>
      <c r="CQ123" s="88" t="n">
        <f aca="false">CO123+CQ122</f>
        <v>221</v>
      </c>
      <c r="CR123" s="88" t="n">
        <f aca="false">MAX(CR122,CP123-CQ123)</f>
        <v>792.70051195739</v>
      </c>
      <c r="CS123" s="88" t="n">
        <f aca="false">CR123-CR122</f>
        <v>8.18300836520825</v>
      </c>
      <c r="CT123" s="88" t="n">
        <f aca="false">IF(B123=2026,INDEX($C$18:$Q$18,1,B123-2025)*$AO$4*C123/MAX(0.0001,12-$AO$3),INDEX($C$18:$Q$18,1,B123-2025)/12)</f>
        <v>1.70233541686103</v>
      </c>
      <c r="CU123" s="88" t="n">
        <f aca="false">$AO$6*0</f>
        <v>0</v>
      </c>
      <c r="CV123" s="88" t="n">
        <f aca="false">CT123+CV122</f>
        <v>210.883113713071</v>
      </c>
      <c r="CW123" s="88" t="n">
        <f aca="false">CU123+CW122</f>
        <v>11</v>
      </c>
      <c r="CX123" s="88" t="n">
        <f aca="false">MAX(CX122,CV123-CW123)</f>
        <v>199.883113713071</v>
      </c>
      <c r="CY123" s="88" t="n">
        <f aca="false">CX123-CX122</f>
        <v>1.70233541686102</v>
      </c>
      <c r="CZ123" s="88" t="n">
        <f aca="false">IF(B123=2026,INDEX($C$19:$Q$19,1,B123-2025)*$AO$4*C123/MAX(0.0001,12-$AO$3),INDEX($C$19:$Q$19,1,B123-2025)/12)</f>
        <v>1.68548061075349</v>
      </c>
      <c r="DA123" s="88" t="n">
        <f aca="false">$AO$6*0</f>
        <v>0</v>
      </c>
      <c r="DB123" s="88" t="n">
        <f aca="false">CZ123+DB122</f>
        <v>208.79516209215</v>
      </c>
      <c r="DC123" s="88" t="n">
        <f aca="false">DA123+DC122</f>
        <v>226</v>
      </c>
      <c r="DD123" s="88" t="n">
        <f aca="false">MAX(DD122,DB123-DC123)</f>
        <v>37.132124495359</v>
      </c>
      <c r="DE123" s="88" t="n">
        <f aca="false">DD123-DD122</f>
        <v>0</v>
      </c>
      <c r="DF123" s="88" t="n">
        <f aca="false">IF(B123=2026,INDEX($C$20:$Q$20,1,B123-2025)*$AO$4*C123/MAX(0.0001,12-$AO$3),INDEX($C$20:$Q$20,1,B123-2025)/12)</f>
        <v>1.37366669776409</v>
      </c>
      <c r="DG123" s="88" t="n">
        <f aca="false">$AO$6*0</f>
        <v>0</v>
      </c>
      <c r="DH123" s="88" t="n">
        <f aca="false">DF123+DH122</f>
        <v>170.168057105102</v>
      </c>
      <c r="DI123" s="88" t="n">
        <f aca="false">DG123+DI122</f>
        <v>0</v>
      </c>
      <c r="DJ123" s="88" t="n">
        <f aca="false">MAX(DJ122,DH123-DI123)</f>
        <v>170.168057105102</v>
      </c>
      <c r="DK123" s="88" t="n">
        <f aca="false">DJ123-DJ122</f>
        <v>1.37366669776409</v>
      </c>
      <c r="DL123" s="88" t="n">
        <f aca="false">IF(B123=2026,INDEX($C$21:$Q$21,1,B123-2025)*$AO$4*C123/MAX(0.0001,12-$AO$3),INDEX($C$21:$Q$21,1,B123-2025)/12)</f>
        <v>0.96072394812949</v>
      </c>
      <c r="DM123" s="88" t="n">
        <f aca="false">$AO$6*0</f>
        <v>0</v>
      </c>
      <c r="DN123" s="88" t="n">
        <f aca="false">DL123+DN122</f>
        <v>119.013242392525</v>
      </c>
      <c r="DO123" s="88" t="n">
        <f aca="false">DM123+DO122</f>
        <v>100</v>
      </c>
      <c r="DP123" s="88" t="n">
        <f aca="false">MAX(DP122,DN123-DO123)</f>
        <v>19.0132423925252</v>
      </c>
      <c r="DQ123" s="88" t="n">
        <f aca="false">DP123-DP122</f>
        <v>0.960723948129484</v>
      </c>
      <c r="DR123" s="88" t="n">
        <f aca="false">IF(B123=2026,INDEX($C$22:$Q$22,1,B123-2025)*$AO$4*C123/MAX(0.0001,12-$AO$3),INDEX($C$22:$Q$22,1,B123-2025)/12)</f>
        <v>0.750038871785304</v>
      </c>
      <c r="DS123" s="88" t="n">
        <f aca="false">$AO$6*0</f>
        <v>0</v>
      </c>
      <c r="DT123" s="88" t="n">
        <f aca="false">DR123+DT122</f>
        <v>92.9138471310067</v>
      </c>
      <c r="DU123" s="88" t="n">
        <f aca="false">DS123+DU122</f>
        <v>29</v>
      </c>
      <c r="DV123" s="88" t="n">
        <f aca="false">MAX(DV122,DT123-DU123)</f>
        <v>63.9138471310067</v>
      </c>
      <c r="DW123" s="88" t="n">
        <f aca="false">DV123-DV122</f>
        <v>0.750038871785307</v>
      </c>
      <c r="DX123" s="88" t="n">
        <f aca="false">IF(B123=2026,INDEX($C$23:$Q$23,1,B123-2025)*$AO$4*C123/MAX(0.0001,12-$AO$3),INDEX($C$23:$Q$23,1,B123-2025)/12)</f>
        <v>1.20511863668875</v>
      </c>
      <c r="DY123" s="88" t="n">
        <f aca="false">$AO$6*0</f>
        <v>0</v>
      </c>
      <c r="DZ123" s="88" t="n">
        <f aca="false">DX123+DZ122</f>
        <v>149.288540895887</v>
      </c>
      <c r="EA123" s="88" t="n">
        <f aca="false">DY123+EA122</f>
        <v>121</v>
      </c>
      <c r="EB123" s="88" t="n">
        <f aca="false">MAX(EB122,DZ123-EA123)</f>
        <v>35.0579690141817</v>
      </c>
      <c r="EC123" s="88" t="n">
        <f aca="false">EB123-EB122</f>
        <v>0</v>
      </c>
      <c r="ED123" s="88" t="n">
        <f aca="false">IF(B123=2026,INDEX($C$24:$Q$24,1,B123-2025)*$AO$4*C123/MAX(0.0001,12-$AO$3),INDEX($C$24:$Q$24,1,B123-2025)/12)</f>
        <v>0.741611468731536</v>
      </c>
      <c r="EE123" s="88" t="n">
        <f aca="false">$AO$6*0</f>
        <v>0</v>
      </c>
      <c r="EF123" s="88" t="n">
        <f aca="false">ED123+EF122</f>
        <v>91.8698713205459</v>
      </c>
      <c r="EG123" s="88" t="n">
        <f aca="false">EE123+EG122</f>
        <v>0</v>
      </c>
      <c r="EH123" s="88" t="n">
        <f aca="false">MAX(EH122,EF123-EG123)</f>
        <v>91.8698713205459</v>
      </c>
      <c r="EI123" s="88" t="n">
        <f aca="false">EH123-EH122</f>
        <v>0.741611468731534</v>
      </c>
      <c r="EJ123" s="88" t="n">
        <f aca="false">IF(B123=2026,INDEX($C$25:$Q$25,1,B123-2025)*$AO$4*C123/MAX(0.0001,12-$AO$3),INDEX($C$25:$Q$25,1,B123-2025)/12)</f>
        <v>0.943869142021955</v>
      </c>
      <c r="EK123" s="88" t="n">
        <f aca="false">$AO$6*0</f>
        <v>0</v>
      </c>
      <c r="EL123" s="88" t="n">
        <f aca="false">EJ123+EL122</f>
        <v>116.925290771604</v>
      </c>
      <c r="EM123" s="88" t="n">
        <f aca="false">EK123+EM122</f>
        <v>14</v>
      </c>
      <c r="EN123" s="88" t="n">
        <f aca="false">MAX(EN122,EL123-EM123)</f>
        <v>102.925290771604</v>
      </c>
      <c r="EO123" s="88" t="n">
        <f aca="false">EN123-EN122</f>
        <v>0.943869142021953</v>
      </c>
      <c r="EP123" s="88" t="n">
        <f aca="false">IF(B123=2026,INDEX($C$26:$Q$26,1,B123-2025)*$AO$4*C123/MAX(0.0001,12-$AO$3),INDEX($C$26:$Q$26,1,B123-2025)/12)</f>
        <v>1.35681189165656</v>
      </c>
      <c r="EQ123" s="88" t="n">
        <f aca="false">$AO$6*0</f>
        <v>0</v>
      </c>
      <c r="ER123" s="88" t="n">
        <f aca="false">EP123+ER122</f>
        <v>168.08010548418</v>
      </c>
      <c r="ES123" s="88" t="n">
        <f aca="false">EQ123+ES122</f>
        <v>4</v>
      </c>
      <c r="ET123" s="88" t="n">
        <f aca="false">MAX(ET122,ER123-ES123)</f>
        <v>164.08010548418</v>
      </c>
      <c r="EU123" s="88" t="n">
        <f aca="false">ET123-ET122</f>
        <v>1.35681189165655</v>
      </c>
      <c r="EV123" s="88" t="n">
        <f aca="false">IF(B123=2026,INDEX($C$27:$Q$27,1,B123-2025)*$AO$4*C123/MAX(0.0001,12-$AO$3),INDEX($C$27:$Q$27,1,B123-2025)/12)</f>
        <v>3.37096122150698</v>
      </c>
      <c r="EW123" s="88" t="n">
        <f aca="false">$AO$6*0</f>
        <v>0</v>
      </c>
      <c r="EX123" s="88" t="n">
        <f aca="false">EV123+EX122</f>
        <v>417.5903241843</v>
      </c>
      <c r="EY123" s="88" t="n">
        <f aca="false">EW123+EY122</f>
        <v>391</v>
      </c>
      <c r="EZ123" s="88" t="n">
        <f aca="false">MAX(EZ122,EX123-EY123)</f>
        <v>26.5903241842996</v>
      </c>
      <c r="FA123" s="88" t="n">
        <f aca="false">EZ123-EZ122</f>
        <v>3.370961221507</v>
      </c>
      <c r="FB123" s="88" t="n">
        <f aca="false">IF(B123=2026,INDEX($C$28:$Q$28,1,B123-2025)*$AO$4*C123/MAX(0.0001,12-$AO$3),INDEX($C$28:$Q$28,1,B123-2025)/12)</f>
        <v>17.646981994589</v>
      </c>
      <c r="FC123" s="88" t="n">
        <f aca="false">$AO$6*0</f>
        <v>0</v>
      </c>
      <c r="FD123" s="88" t="n">
        <f aca="false">FB123+FD122</f>
        <v>2186.08534710481</v>
      </c>
      <c r="FE123" s="88" t="n">
        <f aca="false">FC123+FE122</f>
        <v>169</v>
      </c>
      <c r="FF123" s="88" t="n">
        <f aca="false">MAX(FF122,FD123-FE123)</f>
        <v>2017.08534710481</v>
      </c>
      <c r="FG123" s="88" t="n">
        <f aca="false">FF123-FF122</f>
        <v>17.6469819945892</v>
      </c>
    </row>
    <row r="124" customFormat="false" ht="15" hidden="false" customHeight="false" outlineLevel="0" collapsed="false">
      <c r="A124" s="0" t="n">
        <v>84</v>
      </c>
      <c r="B124" s="88" t="n">
        <f aca="false">2026+INT(A124/12)</f>
        <v>2033</v>
      </c>
      <c r="C124" s="88" t="n">
        <f aca="false">MAX(0,MIN(1,A124+1-$AO$3))</f>
        <v>1</v>
      </c>
      <c r="D124" s="88" t="n">
        <f aca="false">IF((A124+0.5-(0))&lt;$AO$3,0,2026+INT((A124+0.5-(0))/12))</f>
        <v>2033</v>
      </c>
      <c r="E124" s="88" t="n">
        <f aca="false">IF((A124+0.5-($AO$9))&lt;$AO$3,0,2026+INT((A124+0.5-($AO$9))/12))</f>
        <v>2031</v>
      </c>
      <c r="F124" s="88" t="n">
        <f aca="false">IF((A124+0.5-($AO$9+$AO$8))&lt;$AO$3,0,2026+INT((A124+0.5-($AO$9+$AO$8))/12))</f>
        <v>2030</v>
      </c>
      <c r="G124" s="88" t="n">
        <f aca="false">IF((A124+0.5-($AO$9+$AO$8+$AO$7))&lt;$AO$3,0,2026+INT((A124+0.5-($AO$9+$AO$8+$AO$7))/12))</f>
        <v>2030</v>
      </c>
      <c r="H124" s="88" t="n">
        <f aca="false">IF(B124=2026,INDEX($C$3:$Q$3,1,B124-2025)*$AO$4*C124/MAX(0.0001,12-$AO$3),INDEX($C$3:$Q$3,1,B124-2025)/12)</f>
        <v>180.666666666667</v>
      </c>
      <c r="I124" s="88" t="n">
        <f aca="false">$AO$6*0</f>
        <v>0</v>
      </c>
      <c r="J124" s="88" t="n">
        <f aca="false">H124+J123</f>
        <v>22561.4200913242</v>
      </c>
      <c r="K124" s="88" t="n">
        <f aca="false">I124+K123</f>
        <v>8695.00000000001</v>
      </c>
      <c r="L124" s="88" t="n">
        <f aca="false">MAX(L123,J124-K124)</f>
        <v>13866.4200913242</v>
      </c>
      <c r="M124" s="88" t="n">
        <f aca="false">L124-L123</f>
        <v>180.666666666668</v>
      </c>
      <c r="N124" s="88" t="n">
        <f aca="false">IF(B124=2026,INDEX($C$4:$Q$4,1,B124-2025)*$AO$4*C124/MAX(0.0001,12-$AO$3),INDEX($C$4:$Q$4,1,B124-2025)/12)</f>
        <v>5.47724540066293</v>
      </c>
      <c r="O124" s="88" t="n">
        <f aca="false">$AO$6*0</f>
        <v>0</v>
      </c>
      <c r="P124" s="88" t="n">
        <f aca="false">N124+P123</f>
        <v>683.991334470275</v>
      </c>
      <c r="Q124" s="88" t="n">
        <f aca="false">O124+Q123</f>
        <v>398</v>
      </c>
      <c r="R124" s="88" t="n">
        <f aca="false">MAX(R123,P124-Q124)</f>
        <v>285.991334470275</v>
      </c>
      <c r="S124" s="88" t="n">
        <f aca="false">R124-R123</f>
        <v>5.47724540066292</v>
      </c>
      <c r="T124" s="88" t="n">
        <f aca="false">IF(B124=2026,INDEX($C$5:$Q$5,1,B124-2025)*$AO$4*C124/MAX(0.0001,12-$AO$3),INDEX($C$5:$Q$5,1,B124-2025)/12)</f>
        <v>22.2615024358139</v>
      </c>
      <c r="U124" s="88" t="n">
        <f aca="false">$AO$6*0</f>
        <v>0</v>
      </c>
      <c r="V124" s="88" t="n">
        <f aca="false">T124+V123</f>
        <v>2779.98768441938</v>
      </c>
      <c r="W124" s="88" t="n">
        <f aca="false">U124+W123</f>
        <v>1115</v>
      </c>
      <c r="X124" s="88" t="n">
        <f aca="false">MAX(X123,V124-W124)</f>
        <v>1664.98768441937</v>
      </c>
      <c r="Y124" s="88" t="n">
        <f aca="false">X124-X123</f>
        <v>22.2615024358138</v>
      </c>
      <c r="Z124" s="88" t="n">
        <f aca="false">IF(B124=2026,INDEX($C$6:$Q$6,1,B124-2025)*$AO$4*C124/MAX(0.0001,12-$AO$3),INDEX($C$6:$Q$6,1,B124-2025)/12)</f>
        <v>26.4114629913323</v>
      </c>
      <c r="AA124" s="88" t="n">
        <f aca="false">$AO$6*0</f>
        <v>0</v>
      </c>
      <c r="AB124" s="88" t="n">
        <f aca="false">Z124+AB123</f>
        <v>3298.2294009626</v>
      </c>
      <c r="AC124" s="88" t="n">
        <f aca="false">AA124+AC123</f>
        <v>2194</v>
      </c>
      <c r="AD124" s="88" t="n">
        <f aca="false">MAX(AD123,AB124-AC124)</f>
        <v>1335.64282617929</v>
      </c>
      <c r="AE124" s="88" t="n">
        <f aca="false">AD124-AD123</f>
        <v>0</v>
      </c>
      <c r="AF124" s="88" t="n">
        <f aca="false">IF(B124=2026,INDEX($C$7:$Q$7,1,B124-2025)*$AO$4*C124/MAX(0.0001,12-$AO$3),INDEX($C$7:$Q$7,1,B124-2025)/12)</f>
        <v>22.9427081739175</v>
      </c>
      <c r="AG124" s="88" t="n">
        <f aca="false">$AO$6*0</f>
        <v>0</v>
      </c>
      <c r="AH124" s="88" t="n">
        <f aca="false">AF124+AH123</f>
        <v>2865.05577755207</v>
      </c>
      <c r="AI124" s="88" t="n">
        <f aca="false">AG124+AI123</f>
        <v>826</v>
      </c>
      <c r="AJ124" s="88" t="n">
        <f aca="false">MAX(AJ123,AH124-AI124)</f>
        <v>2039.05577755208</v>
      </c>
      <c r="AK124" s="88" t="n">
        <f aca="false">AJ124-AJ123</f>
        <v>22.9427081739173</v>
      </c>
      <c r="AL124" s="88" t="n">
        <f aca="false">IF(B124=2026,INDEX($C$8:$Q$8,1,B124-2025)*$AO$4*C124/MAX(0.0001,12-$AO$3),INDEX($C$8:$Q$8,1,B124-2025)/12)</f>
        <v>5.80342126052833</v>
      </c>
      <c r="AM124" s="88" t="n">
        <f aca="false">$AO$6*0</f>
        <v>0</v>
      </c>
      <c r="AN124" s="88" t="n">
        <f aca="false">AL124+AN123</f>
        <v>724.723754754808</v>
      </c>
      <c r="AO124" s="88" t="n">
        <f aca="false">AM124+AO123</f>
        <v>66</v>
      </c>
      <c r="AP124" s="88" t="n">
        <f aca="false">MAX(AP123,AN124-AO124)</f>
        <v>658.723754754808</v>
      </c>
      <c r="AQ124" s="88" t="n">
        <f aca="false">AP124-AP123</f>
        <v>5.80342126052835</v>
      </c>
      <c r="AR124" s="88" t="n">
        <f aca="false">IF(B124=2026,INDEX($C$9:$Q$9,1,B124-2025)*$AO$4*C124/MAX(0.0001,12-$AO$3),INDEX($C$9:$Q$9,1,B124-2025)/12)</f>
        <v>24.7454570609428</v>
      </c>
      <c r="AS124" s="88" t="n">
        <f aca="false">$AO$6*0</f>
        <v>0</v>
      </c>
      <c r="AT124" s="88" t="n">
        <f aca="false">AR124+AT123</f>
        <v>3090.1807312016</v>
      </c>
      <c r="AU124" s="88" t="n">
        <f aca="false">AS124+AU123</f>
        <v>1810</v>
      </c>
      <c r="AV124" s="88" t="n">
        <f aca="false">MAX(AV123,AT124-AU124)</f>
        <v>1280.1807312016</v>
      </c>
      <c r="AW124" s="88" t="n">
        <f aca="false">AV124-AV123</f>
        <v>24.745457060943</v>
      </c>
      <c r="AX124" s="88" t="n">
        <f aca="false">IF(B124=2026,INDEX($C$10:$Q$10,1,B124-2025)*$AO$4*C124/MAX(0.0001,12-$AO$3),INDEX($C$10:$Q$10,1,B124-2025)/12)</f>
        <v>2.87034756681557</v>
      </c>
      <c r="AY124" s="88" t="n">
        <f aca="false">$AO$6*0</f>
        <v>0</v>
      </c>
      <c r="AZ124" s="88" t="n">
        <f aca="false">AX124+AZ123</f>
        <v>358.445298503891</v>
      </c>
      <c r="BA124" s="88" t="n">
        <f aca="false">AY124+BA123</f>
        <v>50</v>
      </c>
      <c r="BB124" s="88" t="n">
        <f aca="false">MAX(BB123,AZ124-BA124)</f>
        <v>308.445298503891</v>
      </c>
      <c r="BC124" s="88" t="n">
        <f aca="false">BB124-BB123</f>
        <v>2.87034756681555</v>
      </c>
      <c r="BD124" s="88" t="n">
        <f aca="false">IF(B124=2026,INDEX($C$11:$Q$11,1,B124-2025)*$AO$4*C124/MAX(0.0001,12-$AO$3),INDEX($C$11:$Q$11,1,B124-2025)/12)</f>
        <v>14.2639212564218</v>
      </c>
      <c r="BE124" s="88" t="n">
        <f aca="false">$AO$6*0</f>
        <v>0</v>
      </c>
      <c r="BF124" s="88" t="n">
        <f aca="false">BD124+BF123</f>
        <v>1781.26007167362</v>
      </c>
      <c r="BG124" s="88" t="n">
        <f aca="false">BE124+BG123</f>
        <v>240</v>
      </c>
      <c r="BH124" s="88" t="n">
        <f aca="false">MAX(BH123,BF124-BG124)</f>
        <v>1541.26007167362</v>
      </c>
      <c r="BI124" s="88" t="n">
        <f aca="false">BH124-BH123</f>
        <v>14.2639212564218</v>
      </c>
      <c r="BJ124" s="88" t="n">
        <f aca="false">IF(B124=2026,INDEX($C$12:$Q$12,1,B124-2025)*$AO$4*C124/MAX(0.0001,12-$AO$3),INDEX($C$12:$Q$12,1,B124-2025)/12)</f>
        <v>7.82069350154207</v>
      </c>
      <c r="BK124" s="88" t="n">
        <f aca="false">$AO$6*0</f>
        <v>0</v>
      </c>
      <c r="BL124" s="88" t="n">
        <f aca="false">BJ124+BL123</f>
        <v>976.638107899152</v>
      </c>
      <c r="BM124" s="88" t="n">
        <f aca="false">BK124+BM123</f>
        <v>465</v>
      </c>
      <c r="BN124" s="88" t="n">
        <f aca="false">MAX(BN123,BL124-BM124)</f>
        <v>620.1207703606</v>
      </c>
      <c r="BO124" s="88" t="n">
        <f aca="false">BN124-BN123</f>
        <v>0</v>
      </c>
      <c r="BP124" s="88" t="n">
        <f aca="false">IF(B124=2026,INDEX($C$13:$Q$13,1,B124-2025)*$AO$4*C124/MAX(0.0001,12-$AO$3),INDEX($C$13:$Q$13,1,B124-2025)/12)</f>
        <v>2.44394688559256</v>
      </c>
      <c r="BQ124" s="88" t="n">
        <f aca="false">$AO$6*0</f>
        <v>0</v>
      </c>
      <c r="BR124" s="88" t="n">
        <f aca="false">BP124+BR123</f>
        <v>305.196931919209</v>
      </c>
      <c r="BS124" s="88" t="n">
        <f aca="false">BQ124+BS123</f>
        <v>87</v>
      </c>
      <c r="BT124" s="88" t="n">
        <f aca="false">MAX(BT123,BR124-BS124)</f>
        <v>218.196931919209</v>
      </c>
      <c r="BU124" s="88" t="n">
        <f aca="false">BT124-BT123</f>
        <v>2.44394688559254</v>
      </c>
      <c r="BV124" s="88" t="n">
        <f aca="false">IF(B124=2026,INDEX($C$14:$Q$14,1,B124-2025)*$AO$4*C124/MAX(0.0001,12-$AO$3),INDEX($C$14:$Q$14,1,B124-2025)/12)</f>
        <v>1.449513325248</v>
      </c>
      <c r="BW124" s="88" t="n">
        <f aca="false">$AO$6*0</f>
        <v>0</v>
      </c>
      <c r="BX124" s="88" t="n">
        <f aca="false">BV124+BX123</f>
        <v>181.013352724497</v>
      </c>
      <c r="BY124" s="88" t="n">
        <f aca="false">BW124+BY123</f>
        <v>0</v>
      </c>
      <c r="BZ124" s="88" t="n">
        <f aca="false">MAX(BZ123,BX124-BY124)</f>
        <v>181.013352724497</v>
      </c>
      <c r="CA124" s="88" t="n">
        <f aca="false">BZ124-BZ123</f>
        <v>1.44951332524801</v>
      </c>
      <c r="CB124" s="88" t="n">
        <f aca="false">IF(B124=2026,INDEX($C$15:$Q$15,1,B124-2025)*$AO$4*C124/MAX(0.0001,12-$AO$3),INDEX($C$15:$Q$15,1,B124-2025)/12)</f>
        <v>2.37652766116242</v>
      </c>
      <c r="CC124" s="88" t="n">
        <f aca="false">$AO$6*0</f>
        <v>0</v>
      </c>
      <c r="CD124" s="88" t="n">
        <f aca="false">CB124+CD123</f>
        <v>296.777706211093</v>
      </c>
      <c r="CE124" s="88" t="n">
        <f aca="false">CC124+CE123</f>
        <v>88.0000000000001</v>
      </c>
      <c r="CF124" s="88" t="n">
        <f aca="false">MAX(CF123,CD124-CE124)</f>
        <v>208.777706211093</v>
      </c>
      <c r="CG124" s="88" t="n">
        <f aca="false">CF124-CF123</f>
        <v>2.37652766116241</v>
      </c>
      <c r="CH124" s="88" t="n">
        <f aca="false">IF(B124=2026,INDEX($C$16:$Q$16,1,B124-2025)*$AO$4*C124/MAX(0.0001,12-$AO$3),INDEX($C$16:$Q$16,1,B124-2025)/12)</f>
        <v>1.87931088099014</v>
      </c>
      <c r="CI124" s="88" t="n">
        <f aca="false">$AO$6*0</f>
        <v>0</v>
      </c>
      <c r="CJ124" s="88" t="n">
        <f aca="false">CH124+CJ123</f>
        <v>234.685916613737</v>
      </c>
      <c r="CK124" s="88" t="n">
        <f aca="false">CI124+CK123</f>
        <v>70</v>
      </c>
      <c r="CL124" s="88" t="n">
        <f aca="false">MAX(CL123,CJ124-CK124)</f>
        <v>164.685916613737</v>
      </c>
      <c r="CM124" s="88" t="n">
        <f aca="false">CL124-CL123</f>
        <v>1.87931088099015</v>
      </c>
      <c r="CN124" s="88" t="n">
        <f aca="false">IF(B124=2026,INDEX($C$17:$Q$17,1,B124-2025)*$AO$4*C124/MAX(0.0001,12-$AO$3),INDEX($C$17:$Q$17,1,B124-2025)/12)</f>
        <v>8.1830083652082</v>
      </c>
      <c r="CO124" s="88" t="n">
        <f aca="false">$AO$6*0</f>
        <v>0</v>
      </c>
      <c r="CP124" s="88" t="n">
        <f aca="false">CN124+CP123</f>
        <v>1021.8835203226</v>
      </c>
      <c r="CQ124" s="88" t="n">
        <f aca="false">CO124+CQ123</f>
        <v>221</v>
      </c>
      <c r="CR124" s="88" t="n">
        <f aca="false">MAX(CR123,CP124-CQ124)</f>
        <v>800.883520322598</v>
      </c>
      <c r="CS124" s="88" t="n">
        <f aca="false">CR124-CR123</f>
        <v>8.18300836520825</v>
      </c>
      <c r="CT124" s="88" t="n">
        <f aca="false">IF(B124=2026,INDEX($C$18:$Q$18,1,B124-2025)*$AO$4*C124/MAX(0.0001,12-$AO$3),INDEX($C$18:$Q$18,1,B124-2025)/12)</f>
        <v>1.70233541686103</v>
      </c>
      <c r="CU124" s="88" t="n">
        <f aca="false">$AO$6*0</f>
        <v>0</v>
      </c>
      <c r="CV124" s="88" t="n">
        <f aca="false">CT124+CV123</f>
        <v>212.585449129932</v>
      </c>
      <c r="CW124" s="88" t="n">
        <f aca="false">CU124+CW123</f>
        <v>11</v>
      </c>
      <c r="CX124" s="88" t="n">
        <f aca="false">MAX(CX123,CV124-CW124)</f>
        <v>201.585449129932</v>
      </c>
      <c r="CY124" s="88" t="n">
        <f aca="false">CX124-CX123</f>
        <v>1.70233541686102</v>
      </c>
      <c r="CZ124" s="88" t="n">
        <f aca="false">IF(B124=2026,INDEX($C$19:$Q$19,1,B124-2025)*$AO$4*C124/MAX(0.0001,12-$AO$3),INDEX($C$19:$Q$19,1,B124-2025)/12)</f>
        <v>1.68548061075349</v>
      </c>
      <c r="DA124" s="88" t="n">
        <f aca="false">$AO$6*0</f>
        <v>0</v>
      </c>
      <c r="DB124" s="88" t="n">
        <f aca="false">CZ124+DB123</f>
        <v>210.480642702903</v>
      </c>
      <c r="DC124" s="88" t="n">
        <f aca="false">DA124+DC123</f>
        <v>226</v>
      </c>
      <c r="DD124" s="88" t="n">
        <f aca="false">MAX(DD123,DB124-DC124)</f>
        <v>37.132124495359</v>
      </c>
      <c r="DE124" s="88" t="n">
        <f aca="false">DD124-DD123</f>
        <v>0</v>
      </c>
      <c r="DF124" s="88" t="n">
        <f aca="false">IF(B124=2026,INDEX($C$20:$Q$20,1,B124-2025)*$AO$4*C124/MAX(0.0001,12-$AO$3),INDEX($C$20:$Q$20,1,B124-2025)/12)</f>
        <v>1.37366669776409</v>
      </c>
      <c r="DG124" s="88" t="n">
        <f aca="false">$AO$6*0</f>
        <v>0</v>
      </c>
      <c r="DH124" s="88" t="n">
        <f aca="false">DF124+DH123</f>
        <v>171.541723802866</v>
      </c>
      <c r="DI124" s="88" t="n">
        <f aca="false">DG124+DI123</f>
        <v>0</v>
      </c>
      <c r="DJ124" s="88" t="n">
        <f aca="false">MAX(DJ123,DH124-DI124)</f>
        <v>171.541723802866</v>
      </c>
      <c r="DK124" s="88" t="n">
        <f aca="false">DJ124-DJ123</f>
        <v>1.37366669776409</v>
      </c>
      <c r="DL124" s="88" t="n">
        <f aca="false">IF(B124=2026,INDEX($C$21:$Q$21,1,B124-2025)*$AO$4*C124/MAX(0.0001,12-$AO$3),INDEX($C$21:$Q$21,1,B124-2025)/12)</f>
        <v>0.96072394812949</v>
      </c>
      <c r="DM124" s="88" t="n">
        <f aca="false">$AO$6*0</f>
        <v>0</v>
      </c>
      <c r="DN124" s="88" t="n">
        <f aca="false">DL124+DN123</f>
        <v>119.973966340655</v>
      </c>
      <c r="DO124" s="88" t="n">
        <f aca="false">DM124+DO123</f>
        <v>100</v>
      </c>
      <c r="DP124" s="88" t="n">
        <f aca="false">MAX(DP123,DN124-DO124)</f>
        <v>19.9739663406547</v>
      </c>
      <c r="DQ124" s="88" t="n">
        <f aca="false">DP124-DP123</f>
        <v>0.960723948129484</v>
      </c>
      <c r="DR124" s="88" t="n">
        <f aca="false">IF(B124=2026,INDEX($C$22:$Q$22,1,B124-2025)*$AO$4*C124/MAX(0.0001,12-$AO$3),INDEX($C$22:$Q$22,1,B124-2025)/12)</f>
        <v>0.750038871785304</v>
      </c>
      <c r="DS124" s="88" t="n">
        <f aca="false">$AO$6*0</f>
        <v>0</v>
      </c>
      <c r="DT124" s="88" t="n">
        <f aca="false">DR124+DT123</f>
        <v>93.663886002792</v>
      </c>
      <c r="DU124" s="88" t="n">
        <f aca="false">DS124+DU123</f>
        <v>29</v>
      </c>
      <c r="DV124" s="88" t="n">
        <f aca="false">MAX(DV123,DT124-DU124)</f>
        <v>64.6638860027921</v>
      </c>
      <c r="DW124" s="88" t="n">
        <f aca="false">DV124-DV123</f>
        <v>0.750038871785314</v>
      </c>
      <c r="DX124" s="88" t="n">
        <f aca="false">IF(B124=2026,INDEX($C$23:$Q$23,1,B124-2025)*$AO$4*C124/MAX(0.0001,12-$AO$3),INDEX($C$23:$Q$23,1,B124-2025)/12)</f>
        <v>1.20511863668875</v>
      </c>
      <c r="DY124" s="88" t="n">
        <f aca="false">$AO$6*0</f>
        <v>0</v>
      </c>
      <c r="DZ124" s="88" t="n">
        <f aca="false">DX124+DZ123</f>
        <v>150.493659532576</v>
      </c>
      <c r="EA124" s="88" t="n">
        <f aca="false">DY124+EA123</f>
        <v>121</v>
      </c>
      <c r="EB124" s="88" t="n">
        <f aca="false">MAX(EB123,DZ124-EA124)</f>
        <v>35.0579690141817</v>
      </c>
      <c r="EC124" s="88" t="n">
        <f aca="false">EB124-EB123</f>
        <v>0</v>
      </c>
      <c r="ED124" s="88" t="n">
        <f aca="false">IF(B124=2026,INDEX($C$24:$Q$24,1,B124-2025)*$AO$4*C124/MAX(0.0001,12-$AO$3),INDEX($C$24:$Q$24,1,B124-2025)/12)</f>
        <v>0.741611468731536</v>
      </c>
      <c r="EE124" s="88" t="n">
        <f aca="false">$AO$6*0</f>
        <v>0</v>
      </c>
      <c r="EF124" s="88" t="n">
        <f aca="false">ED124+EF123</f>
        <v>92.6114827892774</v>
      </c>
      <c r="EG124" s="88" t="n">
        <f aca="false">EE124+EG123</f>
        <v>0</v>
      </c>
      <c r="EH124" s="88" t="n">
        <f aca="false">MAX(EH123,EF124-EG124)</f>
        <v>92.6114827892774</v>
      </c>
      <c r="EI124" s="88" t="n">
        <f aca="false">EH124-EH123</f>
        <v>0.741611468731534</v>
      </c>
      <c r="EJ124" s="88" t="n">
        <f aca="false">IF(B124=2026,INDEX($C$25:$Q$25,1,B124-2025)*$AO$4*C124/MAX(0.0001,12-$AO$3),INDEX($C$25:$Q$25,1,B124-2025)/12)</f>
        <v>0.943869142021955</v>
      </c>
      <c r="EK124" s="88" t="n">
        <f aca="false">$AO$6*0</f>
        <v>0</v>
      </c>
      <c r="EL124" s="88" t="n">
        <f aca="false">EJ124+EL123</f>
        <v>117.869159913626</v>
      </c>
      <c r="EM124" s="88" t="n">
        <f aca="false">EK124+EM123</f>
        <v>14</v>
      </c>
      <c r="EN124" s="88" t="n">
        <f aca="false">MAX(EN123,EL124-EM124)</f>
        <v>103.869159913626</v>
      </c>
      <c r="EO124" s="88" t="n">
        <f aca="false">EN124-EN123</f>
        <v>0.943869142021953</v>
      </c>
      <c r="EP124" s="88" t="n">
        <f aca="false">IF(B124=2026,INDEX($C$26:$Q$26,1,B124-2025)*$AO$4*C124/MAX(0.0001,12-$AO$3),INDEX($C$26:$Q$26,1,B124-2025)/12)</f>
        <v>1.35681189165656</v>
      </c>
      <c r="EQ124" s="88" t="n">
        <f aca="false">$AO$6*0</f>
        <v>0</v>
      </c>
      <c r="ER124" s="88" t="n">
        <f aca="false">EP124+ER123</f>
        <v>169.436917375837</v>
      </c>
      <c r="ES124" s="88" t="n">
        <f aca="false">EQ124+ES123</f>
        <v>4</v>
      </c>
      <c r="ET124" s="88" t="n">
        <f aca="false">MAX(ET123,ER124-ES124)</f>
        <v>165.436917375837</v>
      </c>
      <c r="EU124" s="88" t="n">
        <f aca="false">ET124-ET123</f>
        <v>1.35681189165655</v>
      </c>
      <c r="EV124" s="88" t="n">
        <f aca="false">IF(B124=2026,INDEX($C$27:$Q$27,1,B124-2025)*$AO$4*C124/MAX(0.0001,12-$AO$3),INDEX($C$27:$Q$27,1,B124-2025)/12)</f>
        <v>3.37096122150698</v>
      </c>
      <c r="EW124" s="88" t="n">
        <f aca="false">$AO$6*0</f>
        <v>0</v>
      </c>
      <c r="EX124" s="88" t="n">
        <f aca="false">EV124+EX123</f>
        <v>420.961285405807</v>
      </c>
      <c r="EY124" s="88" t="n">
        <f aca="false">EW124+EY123</f>
        <v>391</v>
      </c>
      <c r="EZ124" s="88" t="n">
        <f aca="false">MAX(EZ123,EX124-EY124)</f>
        <v>29.9612854058066</v>
      </c>
      <c r="FA124" s="88" t="n">
        <f aca="false">EZ124-EZ123</f>
        <v>3.370961221507</v>
      </c>
      <c r="FB124" s="88" t="n">
        <f aca="false">IF(B124=2026,INDEX($C$28:$Q$28,1,B124-2025)*$AO$4*C124/MAX(0.0001,12-$AO$3),INDEX($C$28:$Q$28,1,B124-2025)/12)</f>
        <v>17.646981994589</v>
      </c>
      <c r="FC124" s="88" t="n">
        <f aca="false">$AO$6*0</f>
        <v>0</v>
      </c>
      <c r="FD124" s="88" t="n">
        <f aca="false">FB124+FD123</f>
        <v>2203.7323290994</v>
      </c>
      <c r="FE124" s="88" t="n">
        <f aca="false">FC124+FE123</f>
        <v>169</v>
      </c>
      <c r="FF124" s="88" t="n">
        <f aca="false">MAX(FF123,FD124-FE124)</f>
        <v>2034.7323290994</v>
      </c>
      <c r="FG124" s="88" t="n">
        <f aca="false">FF124-FF123</f>
        <v>17.6469819945892</v>
      </c>
    </row>
    <row r="125" customFormat="false" ht="15" hidden="false" customHeight="false" outlineLevel="0" collapsed="false">
      <c r="A125" s="0" t="n">
        <v>85</v>
      </c>
      <c r="B125" s="88" t="n">
        <f aca="false">2026+INT(A125/12)</f>
        <v>2033</v>
      </c>
      <c r="C125" s="88" t="n">
        <f aca="false">MAX(0,MIN(1,A125+1-$AO$3))</f>
        <v>1</v>
      </c>
      <c r="D125" s="88" t="n">
        <f aca="false">IF((A125+0.5-(0))&lt;$AO$3,0,2026+INT((A125+0.5-(0))/12))</f>
        <v>2033</v>
      </c>
      <c r="E125" s="88" t="n">
        <f aca="false">IF((A125+0.5-($AO$9))&lt;$AO$3,0,2026+INT((A125+0.5-($AO$9))/12))</f>
        <v>2031</v>
      </c>
      <c r="F125" s="88" t="n">
        <f aca="false">IF((A125+0.5-($AO$9+$AO$8))&lt;$AO$3,0,2026+INT((A125+0.5-($AO$9+$AO$8))/12))</f>
        <v>2030</v>
      </c>
      <c r="G125" s="88" t="n">
        <f aca="false">IF((A125+0.5-($AO$9+$AO$8+$AO$7))&lt;$AO$3,0,2026+INT((A125+0.5-($AO$9+$AO$8+$AO$7))/12))</f>
        <v>2030</v>
      </c>
      <c r="H125" s="88" t="n">
        <f aca="false">IF(B125=2026,INDEX($C$3:$Q$3,1,B125-2025)*$AO$4*C125/MAX(0.0001,12-$AO$3),INDEX($C$3:$Q$3,1,B125-2025)/12)</f>
        <v>180.666666666667</v>
      </c>
      <c r="I125" s="88" t="n">
        <f aca="false">$AO$6*0</f>
        <v>0</v>
      </c>
      <c r="J125" s="88" t="n">
        <f aca="false">H125+J124</f>
        <v>22742.0867579909</v>
      </c>
      <c r="K125" s="88" t="n">
        <f aca="false">I125+K124</f>
        <v>8695.00000000001</v>
      </c>
      <c r="L125" s="88" t="n">
        <f aca="false">MAX(L124,J125-K125)</f>
        <v>14047.0867579909</v>
      </c>
      <c r="M125" s="88" t="n">
        <f aca="false">L125-L124</f>
        <v>180.666666666668</v>
      </c>
      <c r="N125" s="88" t="n">
        <f aca="false">IF(B125=2026,INDEX($C$4:$Q$4,1,B125-2025)*$AO$4*C125/MAX(0.0001,12-$AO$3),INDEX($C$4:$Q$4,1,B125-2025)/12)</f>
        <v>5.47724540066293</v>
      </c>
      <c r="O125" s="88" t="n">
        <f aca="false">$AO$6*0</f>
        <v>0</v>
      </c>
      <c r="P125" s="88" t="n">
        <f aca="false">N125+P124</f>
        <v>689.468579870938</v>
      </c>
      <c r="Q125" s="88" t="n">
        <f aca="false">O125+Q124</f>
        <v>398</v>
      </c>
      <c r="R125" s="88" t="n">
        <f aca="false">MAX(R124,P125-Q125)</f>
        <v>291.468579870938</v>
      </c>
      <c r="S125" s="88" t="n">
        <f aca="false">R125-R124</f>
        <v>5.47724540066292</v>
      </c>
      <c r="T125" s="88" t="n">
        <f aca="false">IF(B125=2026,INDEX($C$5:$Q$5,1,B125-2025)*$AO$4*C125/MAX(0.0001,12-$AO$3),INDEX($C$5:$Q$5,1,B125-2025)/12)</f>
        <v>22.2615024358139</v>
      </c>
      <c r="U125" s="88" t="n">
        <f aca="false">$AO$6*0</f>
        <v>0</v>
      </c>
      <c r="V125" s="88" t="n">
        <f aca="false">T125+V124</f>
        <v>2802.24918685519</v>
      </c>
      <c r="W125" s="88" t="n">
        <f aca="false">U125+W124</f>
        <v>1115</v>
      </c>
      <c r="X125" s="88" t="n">
        <f aca="false">MAX(X124,V125-W125)</f>
        <v>1687.24918685519</v>
      </c>
      <c r="Y125" s="88" t="n">
        <f aca="false">X125-X124</f>
        <v>22.2615024358138</v>
      </c>
      <c r="Z125" s="88" t="n">
        <f aca="false">IF(B125=2026,INDEX($C$6:$Q$6,1,B125-2025)*$AO$4*C125/MAX(0.0001,12-$AO$3),INDEX($C$6:$Q$6,1,B125-2025)/12)</f>
        <v>26.4114629913323</v>
      </c>
      <c r="AA125" s="88" t="n">
        <f aca="false">$AO$6*0</f>
        <v>0</v>
      </c>
      <c r="AB125" s="88" t="n">
        <f aca="false">Z125+AB124</f>
        <v>3324.64086395393</v>
      </c>
      <c r="AC125" s="88" t="n">
        <f aca="false">AA125+AC124</f>
        <v>2194</v>
      </c>
      <c r="AD125" s="88" t="n">
        <f aca="false">MAX(AD124,AB125-AC125)</f>
        <v>1335.64282617929</v>
      </c>
      <c r="AE125" s="88" t="n">
        <f aca="false">AD125-AD124</f>
        <v>0</v>
      </c>
      <c r="AF125" s="88" t="n">
        <f aca="false">IF(B125=2026,INDEX($C$7:$Q$7,1,B125-2025)*$AO$4*C125/MAX(0.0001,12-$AO$3),INDEX($C$7:$Q$7,1,B125-2025)/12)</f>
        <v>22.9427081739175</v>
      </c>
      <c r="AG125" s="88" t="n">
        <f aca="false">$AO$6*0</f>
        <v>0</v>
      </c>
      <c r="AH125" s="88" t="n">
        <f aca="false">AF125+AH124</f>
        <v>2887.99848572599</v>
      </c>
      <c r="AI125" s="88" t="n">
        <f aca="false">AG125+AI124</f>
        <v>826</v>
      </c>
      <c r="AJ125" s="88" t="n">
        <f aca="false">MAX(AJ124,AH125-AI125)</f>
        <v>2061.99848572599</v>
      </c>
      <c r="AK125" s="88" t="n">
        <f aca="false">AJ125-AJ124</f>
        <v>22.9427081739173</v>
      </c>
      <c r="AL125" s="88" t="n">
        <f aca="false">IF(B125=2026,INDEX($C$8:$Q$8,1,B125-2025)*$AO$4*C125/MAX(0.0001,12-$AO$3),INDEX($C$8:$Q$8,1,B125-2025)/12)</f>
        <v>5.80342126052833</v>
      </c>
      <c r="AM125" s="88" t="n">
        <f aca="false">$AO$6*0</f>
        <v>0</v>
      </c>
      <c r="AN125" s="88" t="n">
        <f aca="false">AL125+AN124</f>
        <v>730.527176015337</v>
      </c>
      <c r="AO125" s="88" t="n">
        <f aca="false">AM125+AO124</f>
        <v>66</v>
      </c>
      <c r="AP125" s="88" t="n">
        <f aca="false">MAX(AP124,AN125-AO125)</f>
        <v>664.527176015337</v>
      </c>
      <c r="AQ125" s="88" t="n">
        <f aca="false">AP125-AP124</f>
        <v>5.80342126052835</v>
      </c>
      <c r="AR125" s="88" t="n">
        <f aca="false">IF(B125=2026,INDEX($C$9:$Q$9,1,B125-2025)*$AO$4*C125/MAX(0.0001,12-$AO$3),INDEX($C$9:$Q$9,1,B125-2025)/12)</f>
        <v>24.7454570609428</v>
      </c>
      <c r="AS125" s="88" t="n">
        <f aca="false">$AO$6*0</f>
        <v>0</v>
      </c>
      <c r="AT125" s="88" t="n">
        <f aca="false">AR125+AT124</f>
        <v>3114.92618826255</v>
      </c>
      <c r="AU125" s="88" t="n">
        <f aca="false">AS125+AU124</f>
        <v>1810</v>
      </c>
      <c r="AV125" s="88" t="n">
        <f aca="false">MAX(AV124,AT125-AU125)</f>
        <v>1304.92618826255</v>
      </c>
      <c r="AW125" s="88" t="n">
        <f aca="false">AV125-AV124</f>
        <v>24.745457060943</v>
      </c>
      <c r="AX125" s="88" t="n">
        <f aca="false">IF(B125=2026,INDEX($C$10:$Q$10,1,B125-2025)*$AO$4*C125/MAX(0.0001,12-$AO$3),INDEX($C$10:$Q$10,1,B125-2025)/12)</f>
        <v>2.87034756681557</v>
      </c>
      <c r="AY125" s="88" t="n">
        <f aca="false">$AO$6*0</f>
        <v>0</v>
      </c>
      <c r="AZ125" s="88" t="n">
        <f aca="false">AX125+AZ124</f>
        <v>361.315646070706</v>
      </c>
      <c r="BA125" s="88" t="n">
        <f aca="false">AY125+BA124</f>
        <v>50</v>
      </c>
      <c r="BB125" s="88" t="n">
        <f aca="false">MAX(BB124,AZ125-BA125)</f>
        <v>311.315646070706</v>
      </c>
      <c r="BC125" s="88" t="n">
        <f aca="false">BB125-BB124</f>
        <v>2.87034756681555</v>
      </c>
      <c r="BD125" s="88" t="n">
        <f aca="false">IF(B125=2026,INDEX($C$11:$Q$11,1,B125-2025)*$AO$4*C125/MAX(0.0001,12-$AO$3),INDEX($C$11:$Q$11,1,B125-2025)/12)</f>
        <v>14.2639212564218</v>
      </c>
      <c r="BE125" s="88" t="n">
        <f aca="false">$AO$6*0</f>
        <v>0</v>
      </c>
      <c r="BF125" s="88" t="n">
        <f aca="false">BD125+BF124</f>
        <v>1795.52399293005</v>
      </c>
      <c r="BG125" s="88" t="n">
        <f aca="false">BE125+BG124</f>
        <v>240</v>
      </c>
      <c r="BH125" s="88" t="n">
        <f aca="false">MAX(BH124,BF125-BG125)</f>
        <v>1555.52399293005</v>
      </c>
      <c r="BI125" s="88" t="n">
        <f aca="false">BH125-BH124</f>
        <v>14.2639212564218</v>
      </c>
      <c r="BJ125" s="88" t="n">
        <f aca="false">IF(B125=2026,INDEX($C$12:$Q$12,1,B125-2025)*$AO$4*C125/MAX(0.0001,12-$AO$3),INDEX($C$12:$Q$12,1,B125-2025)/12)</f>
        <v>7.82069350154207</v>
      </c>
      <c r="BK125" s="88" t="n">
        <f aca="false">$AO$6*0</f>
        <v>0</v>
      </c>
      <c r="BL125" s="88" t="n">
        <f aca="false">BJ125+BL124</f>
        <v>984.458801400695</v>
      </c>
      <c r="BM125" s="88" t="n">
        <f aca="false">BK125+BM124</f>
        <v>465</v>
      </c>
      <c r="BN125" s="88" t="n">
        <f aca="false">MAX(BN124,BL125-BM125)</f>
        <v>620.1207703606</v>
      </c>
      <c r="BO125" s="88" t="n">
        <f aca="false">BN125-BN124</f>
        <v>0</v>
      </c>
      <c r="BP125" s="88" t="n">
        <f aca="false">IF(B125=2026,INDEX($C$13:$Q$13,1,B125-2025)*$AO$4*C125/MAX(0.0001,12-$AO$3),INDEX($C$13:$Q$13,1,B125-2025)/12)</f>
        <v>2.44394688559256</v>
      </c>
      <c r="BQ125" s="88" t="n">
        <f aca="false">$AO$6*0</f>
        <v>0</v>
      </c>
      <c r="BR125" s="88" t="n">
        <f aca="false">BP125+BR124</f>
        <v>307.640878804802</v>
      </c>
      <c r="BS125" s="88" t="n">
        <f aca="false">BQ125+BS124</f>
        <v>87</v>
      </c>
      <c r="BT125" s="88" t="n">
        <f aca="false">MAX(BT124,BR125-BS125)</f>
        <v>220.640878804802</v>
      </c>
      <c r="BU125" s="88" t="n">
        <f aca="false">BT125-BT124</f>
        <v>2.44394688559254</v>
      </c>
      <c r="BV125" s="88" t="n">
        <f aca="false">IF(B125=2026,INDEX($C$14:$Q$14,1,B125-2025)*$AO$4*C125/MAX(0.0001,12-$AO$3),INDEX($C$14:$Q$14,1,B125-2025)/12)</f>
        <v>1.449513325248</v>
      </c>
      <c r="BW125" s="88" t="n">
        <f aca="false">$AO$6*0</f>
        <v>0</v>
      </c>
      <c r="BX125" s="88" t="n">
        <f aca="false">BV125+BX124</f>
        <v>182.462866049745</v>
      </c>
      <c r="BY125" s="88" t="n">
        <f aca="false">BW125+BY124</f>
        <v>0</v>
      </c>
      <c r="BZ125" s="88" t="n">
        <f aca="false">MAX(BZ124,BX125-BY125)</f>
        <v>182.462866049745</v>
      </c>
      <c r="CA125" s="88" t="n">
        <f aca="false">BZ125-BZ124</f>
        <v>1.44951332524801</v>
      </c>
      <c r="CB125" s="88" t="n">
        <f aca="false">IF(B125=2026,INDEX($C$15:$Q$15,1,B125-2025)*$AO$4*C125/MAX(0.0001,12-$AO$3),INDEX($C$15:$Q$15,1,B125-2025)/12)</f>
        <v>2.37652766116242</v>
      </c>
      <c r="CC125" s="88" t="n">
        <f aca="false">$AO$6*0</f>
        <v>0</v>
      </c>
      <c r="CD125" s="88" t="n">
        <f aca="false">CB125+CD124</f>
        <v>299.154233872256</v>
      </c>
      <c r="CE125" s="88" t="n">
        <f aca="false">CC125+CE124</f>
        <v>88.0000000000001</v>
      </c>
      <c r="CF125" s="88" t="n">
        <f aca="false">MAX(CF124,CD125-CE125)</f>
        <v>211.154233872255</v>
      </c>
      <c r="CG125" s="88" t="n">
        <f aca="false">CF125-CF124</f>
        <v>2.37652766116241</v>
      </c>
      <c r="CH125" s="88" t="n">
        <f aca="false">IF(B125=2026,INDEX($C$16:$Q$16,1,B125-2025)*$AO$4*C125/MAX(0.0001,12-$AO$3),INDEX($C$16:$Q$16,1,B125-2025)/12)</f>
        <v>1.87931088099014</v>
      </c>
      <c r="CI125" s="88" t="n">
        <f aca="false">$AO$6*0</f>
        <v>0</v>
      </c>
      <c r="CJ125" s="88" t="n">
        <f aca="false">CH125+CJ124</f>
        <v>236.565227494727</v>
      </c>
      <c r="CK125" s="88" t="n">
        <f aca="false">CI125+CK124</f>
        <v>70</v>
      </c>
      <c r="CL125" s="88" t="n">
        <f aca="false">MAX(CL124,CJ125-CK125)</f>
        <v>166.565227494727</v>
      </c>
      <c r="CM125" s="88" t="n">
        <f aca="false">CL125-CL124</f>
        <v>1.87931088099015</v>
      </c>
      <c r="CN125" s="88" t="n">
        <f aca="false">IF(B125=2026,INDEX($C$17:$Q$17,1,B125-2025)*$AO$4*C125/MAX(0.0001,12-$AO$3),INDEX($C$17:$Q$17,1,B125-2025)/12)</f>
        <v>8.1830083652082</v>
      </c>
      <c r="CO125" s="88" t="n">
        <f aca="false">$AO$6*0</f>
        <v>0</v>
      </c>
      <c r="CP125" s="88" t="n">
        <f aca="false">CN125+CP124</f>
        <v>1030.06652868781</v>
      </c>
      <c r="CQ125" s="88" t="n">
        <f aca="false">CO125+CQ124</f>
        <v>221</v>
      </c>
      <c r="CR125" s="88" t="n">
        <f aca="false">MAX(CR124,CP125-CQ125)</f>
        <v>809.066528687806</v>
      </c>
      <c r="CS125" s="88" t="n">
        <f aca="false">CR125-CR124</f>
        <v>8.18300836520825</v>
      </c>
      <c r="CT125" s="88" t="n">
        <f aca="false">IF(B125=2026,INDEX($C$18:$Q$18,1,B125-2025)*$AO$4*C125/MAX(0.0001,12-$AO$3),INDEX($C$18:$Q$18,1,B125-2025)/12)</f>
        <v>1.70233541686103</v>
      </c>
      <c r="CU125" s="88" t="n">
        <f aca="false">$AO$6*0</f>
        <v>0</v>
      </c>
      <c r="CV125" s="88" t="n">
        <f aca="false">CT125+CV124</f>
        <v>214.287784546793</v>
      </c>
      <c r="CW125" s="88" t="n">
        <f aca="false">CU125+CW124</f>
        <v>11</v>
      </c>
      <c r="CX125" s="88" t="n">
        <f aca="false">MAX(CX124,CV125-CW125)</f>
        <v>203.287784546793</v>
      </c>
      <c r="CY125" s="88" t="n">
        <f aca="false">CX125-CX124</f>
        <v>1.70233541686102</v>
      </c>
      <c r="CZ125" s="88" t="n">
        <f aca="false">IF(B125=2026,INDEX($C$19:$Q$19,1,B125-2025)*$AO$4*C125/MAX(0.0001,12-$AO$3),INDEX($C$19:$Q$19,1,B125-2025)/12)</f>
        <v>1.68548061075349</v>
      </c>
      <c r="DA125" s="88" t="n">
        <f aca="false">$AO$6*0</f>
        <v>0</v>
      </c>
      <c r="DB125" s="88" t="n">
        <f aca="false">CZ125+DB124</f>
        <v>212.166123313657</v>
      </c>
      <c r="DC125" s="88" t="n">
        <f aca="false">DA125+DC124</f>
        <v>226</v>
      </c>
      <c r="DD125" s="88" t="n">
        <f aca="false">MAX(DD124,DB125-DC125)</f>
        <v>37.132124495359</v>
      </c>
      <c r="DE125" s="88" t="n">
        <f aca="false">DD125-DD124</f>
        <v>0</v>
      </c>
      <c r="DF125" s="88" t="n">
        <f aca="false">IF(B125=2026,INDEX($C$20:$Q$20,1,B125-2025)*$AO$4*C125/MAX(0.0001,12-$AO$3),INDEX($C$20:$Q$20,1,B125-2025)/12)</f>
        <v>1.37366669776409</v>
      </c>
      <c r="DG125" s="88" t="n">
        <f aca="false">$AO$6*0</f>
        <v>0</v>
      </c>
      <c r="DH125" s="88" t="n">
        <f aca="false">DF125+DH124</f>
        <v>172.91539050063</v>
      </c>
      <c r="DI125" s="88" t="n">
        <f aca="false">DG125+DI124</f>
        <v>0</v>
      </c>
      <c r="DJ125" s="88" t="n">
        <f aca="false">MAX(DJ124,DH125-DI125)</f>
        <v>172.91539050063</v>
      </c>
      <c r="DK125" s="88" t="n">
        <f aca="false">DJ125-DJ124</f>
        <v>1.37366669776409</v>
      </c>
      <c r="DL125" s="88" t="n">
        <f aca="false">IF(B125=2026,INDEX($C$21:$Q$21,1,B125-2025)*$AO$4*C125/MAX(0.0001,12-$AO$3),INDEX($C$21:$Q$21,1,B125-2025)/12)</f>
        <v>0.96072394812949</v>
      </c>
      <c r="DM125" s="88" t="n">
        <f aca="false">$AO$6*0</f>
        <v>0</v>
      </c>
      <c r="DN125" s="88" t="n">
        <f aca="false">DL125+DN124</f>
        <v>120.934690288784</v>
      </c>
      <c r="DO125" s="88" t="n">
        <f aca="false">DM125+DO124</f>
        <v>100</v>
      </c>
      <c r="DP125" s="88" t="n">
        <f aca="false">MAX(DP124,DN125-DO125)</f>
        <v>20.9346902887841</v>
      </c>
      <c r="DQ125" s="88" t="n">
        <f aca="false">DP125-DP124</f>
        <v>0.960723948129484</v>
      </c>
      <c r="DR125" s="88" t="n">
        <f aca="false">IF(B125=2026,INDEX($C$22:$Q$22,1,B125-2025)*$AO$4*C125/MAX(0.0001,12-$AO$3),INDEX($C$22:$Q$22,1,B125-2025)/12)</f>
        <v>0.750038871785304</v>
      </c>
      <c r="DS125" s="88" t="n">
        <f aca="false">$AO$6*0</f>
        <v>0</v>
      </c>
      <c r="DT125" s="88" t="n">
        <f aca="false">DR125+DT124</f>
        <v>94.4139248745773</v>
      </c>
      <c r="DU125" s="88" t="n">
        <f aca="false">DS125+DU124</f>
        <v>29</v>
      </c>
      <c r="DV125" s="88" t="n">
        <f aca="false">MAX(DV124,DT125-DU125)</f>
        <v>65.4139248745774</v>
      </c>
      <c r="DW125" s="88" t="n">
        <f aca="false">DV125-DV124</f>
        <v>0.750038871785307</v>
      </c>
      <c r="DX125" s="88" t="n">
        <f aca="false">IF(B125=2026,INDEX($C$23:$Q$23,1,B125-2025)*$AO$4*C125/MAX(0.0001,12-$AO$3),INDEX($C$23:$Q$23,1,B125-2025)/12)</f>
        <v>1.20511863668875</v>
      </c>
      <c r="DY125" s="88" t="n">
        <f aca="false">$AO$6*0</f>
        <v>0</v>
      </c>
      <c r="DZ125" s="88" t="n">
        <f aca="false">DX125+DZ124</f>
        <v>151.698778169265</v>
      </c>
      <c r="EA125" s="88" t="n">
        <f aca="false">DY125+EA124</f>
        <v>121</v>
      </c>
      <c r="EB125" s="88" t="n">
        <f aca="false">MAX(EB124,DZ125-EA125)</f>
        <v>35.0579690141817</v>
      </c>
      <c r="EC125" s="88" t="n">
        <f aca="false">EB125-EB124</f>
        <v>0</v>
      </c>
      <c r="ED125" s="88" t="n">
        <f aca="false">IF(B125=2026,INDEX($C$24:$Q$24,1,B125-2025)*$AO$4*C125/MAX(0.0001,12-$AO$3),INDEX($C$24:$Q$24,1,B125-2025)/12)</f>
        <v>0.741611468731536</v>
      </c>
      <c r="EE125" s="88" t="n">
        <f aca="false">$AO$6*0</f>
        <v>0</v>
      </c>
      <c r="EF125" s="88" t="n">
        <f aca="false">ED125+EF124</f>
        <v>93.353094258009</v>
      </c>
      <c r="EG125" s="88" t="n">
        <f aca="false">EE125+EG124</f>
        <v>0</v>
      </c>
      <c r="EH125" s="88" t="n">
        <f aca="false">MAX(EH124,EF125-EG125)</f>
        <v>93.353094258009</v>
      </c>
      <c r="EI125" s="88" t="n">
        <f aca="false">EH125-EH124</f>
        <v>0.741611468731534</v>
      </c>
      <c r="EJ125" s="88" t="n">
        <f aca="false">IF(B125=2026,INDEX($C$25:$Q$25,1,B125-2025)*$AO$4*C125/MAX(0.0001,12-$AO$3),INDEX($C$25:$Q$25,1,B125-2025)/12)</f>
        <v>0.943869142021955</v>
      </c>
      <c r="EK125" s="88" t="n">
        <f aca="false">$AO$6*0</f>
        <v>0</v>
      </c>
      <c r="EL125" s="88" t="n">
        <f aca="false">EJ125+EL124</f>
        <v>118.813029055648</v>
      </c>
      <c r="EM125" s="88" t="n">
        <f aca="false">EK125+EM124</f>
        <v>14</v>
      </c>
      <c r="EN125" s="88" t="n">
        <f aca="false">MAX(EN124,EL125-EM125)</f>
        <v>104.813029055648</v>
      </c>
      <c r="EO125" s="88" t="n">
        <f aca="false">EN125-EN124</f>
        <v>0.943869142021953</v>
      </c>
      <c r="EP125" s="88" t="n">
        <f aca="false">IF(B125=2026,INDEX($C$26:$Q$26,1,B125-2025)*$AO$4*C125/MAX(0.0001,12-$AO$3),INDEX($C$26:$Q$26,1,B125-2025)/12)</f>
        <v>1.35681189165656</v>
      </c>
      <c r="EQ125" s="88" t="n">
        <f aca="false">$AO$6*0</f>
        <v>0</v>
      </c>
      <c r="ER125" s="88" t="n">
        <f aca="false">EP125+ER124</f>
        <v>170.793729267493</v>
      </c>
      <c r="ES125" s="88" t="n">
        <f aca="false">EQ125+ES124</f>
        <v>4</v>
      </c>
      <c r="ET125" s="88" t="n">
        <f aca="false">MAX(ET124,ER125-ES125)</f>
        <v>166.793729267493</v>
      </c>
      <c r="EU125" s="88" t="n">
        <f aca="false">ET125-ET124</f>
        <v>1.35681189165655</v>
      </c>
      <c r="EV125" s="88" t="n">
        <f aca="false">IF(B125=2026,INDEX($C$27:$Q$27,1,B125-2025)*$AO$4*C125/MAX(0.0001,12-$AO$3),INDEX($C$27:$Q$27,1,B125-2025)/12)</f>
        <v>3.37096122150698</v>
      </c>
      <c r="EW125" s="88" t="n">
        <f aca="false">$AO$6*0</f>
        <v>0</v>
      </c>
      <c r="EX125" s="88" t="n">
        <f aca="false">EV125+EX124</f>
        <v>424.332246627314</v>
      </c>
      <c r="EY125" s="88" t="n">
        <f aca="false">EW125+EY124</f>
        <v>391</v>
      </c>
      <c r="EZ125" s="88" t="n">
        <f aca="false">MAX(EZ124,EX125-EY125)</f>
        <v>33.3322466273136</v>
      </c>
      <c r="FA125" s="88" t="n">
        <f aca="false">EZ125-EZ124</f>
        <v>3.370961221507</v>
      </c>
      <c r="FB125" s="88" t="n">
        <f aca="false">IF(B125=2026,INDEX($C$28:$Q$28,1,B125-2025)*$AO$4*C125/MAX(0.0001,12-$AO$3),INDEX($C$28:$Q$28,1,B125-2025)/12)</f>
        <v>17.646981994589</v>
      </c>
      <c r="FC125" s="88" t="n">
        <f aca="false">$AO$6*0</f>
        <v>0</v>
      </c>
      <c r="FD125" s="88" t="n">
        <f aca="false">FB125+FD124</f>
        <v>2221.37931109399</v>
      </c>
      <c r="FE125" s="88" t="n">
        <f aca="false">FC125+FE124</f>
        <v>169</v>
      </c>
      <c r="FF125" s="88" t="n">
        <f aca="false">MAX(FF124,FD125-FE125)</f>
        <v>2052.37931109399</v>
      </c>
      <c r="FG125" s="88" t="n">
        <f aca="false">FF125-FF124</f>
        <v>17.6469819945892</v>
      </c>
    </row>
    <row r="126" customFormat="false" ht="15" hidden="false" customHeight="false" outlineLevel="0" collapsed="false">
      <c r="A126" s="0" t="n">
        <v>86</v>
      </c>
      <c r="B126" s="88" t="n">
        <f aca="false">2026+INT(A126/12)</f>
        <v>2033</v>
      </c>
      <c r="C126" s="88" t="n">
        <f aca="false">MAX(0,MIN(1,A126+1-$AO$3))</f>
        <v>1</v>
      </c>
      <c r="D126" s="88" t="n">
        <f aca="false">IF((A126+0.5-(0))&lt;$AO$3,0,2026+INT((A126+0.5-(0))/12))</f>
        <v>2033</v>
      </c>
      <c r="E126" s="88" t="n">
        <f aca="false">IF((A126+0.5-($AO$9))&lt;$AO$3,0,2026+INT((A126+0.5-($AO$9))/12))</f>
        <v>2031</v>
      </c>
      <c r="F126" s="88" t="n">
        <f aca="false">IF((A126+0.5-($AO$9+$AO$8))&lt;$AO$3,0,2026+INT((A126+0.5-($AO$9+$AO$8))/12))</f>
        <v>2030</v>
      </c>
      <c r="G126" s="88" t="n">
        <f aca="false">IF((A126+0.5-($AO$9+$AO$8+$AO$7))&lt;$AO$3,0,2026+INT((A126+0.5-($AO$9+$AO$8+$AO$7))/12))</f>
        <v>2030</v>
      </c>
      <c r="H126" s="88" t="n">
        <f aca="false">IF(B126=2026,INDEX($C$3:$Q$3,1,B126-2025)*$AO$4*C126/MAX(0.0001,12-$AO$3),INDEX($C$3:$Q$3,1,B126-2025)/12)</f>
        <v>180.666666666667</v>
      </c>
      <c r="I126" s="88" t="n">
        <f aca="false">$AO$6*0</f>
        <v>0</v>
      </c>
      <c r="J126" s="88" t="n">
        <f aca="false">H126+J125</f>
        <v>22922.7534246576</v>
      </c>
      <c r="K126" s="88" t="n">
        <f aca="false">I126+K125</f>
        <v>8695.00000000001</v>
      </c>
      <c r="L126" s="88" t="n">
        <f aca="false">MAX(L125,J126-K126)</f>
        <v>14227.7534246576</v>
      </c>
      <c r="M126" s="88" t="n">
        <f aca="false">L126-L125</f>
        <v>180.666666666668</v>
      </c>
      <c r="N126" s="88" t="n">
        <f aca="false">IF(B126=2026,INDEX($C$4:$Q$4,1,B126-2025)*$AO$4*C126/MAX(0.0001,12-$AO$3),INDEX($C$4:$Q$4,1,B126-2025)/12)</f>
        <v>5.47724540066293</v>
      </c>
      <c r="O126" s="88" t="n">
        <f aca="false">$AO$6*0</f>
        <v>0</v>
      </c>
      <c r="P126" s="88" t="n">
        <f aca="false">N126+P125</f>
        <v>694.945825271601</v>
      </c>
      <c r="Q126" s="88" t="n">
        <f aca="false">O126+Q125</f>
        <v>398</v>
      </c>
      <c r="R126" s="88" t="n">
        <f aca="false">MAX(R125,P126-Q126)</f>
        <v>296.945825271601</v>
      </c>
      <c r="S126" s="88" t="n">
        <f aca="false">R126-R125</f>
        <v>5.47724540066292</v>
      </c>
      <c r="T126" s="88" t="n">
        <f aca="false">IF(B126=2026,INDEX($C$5:$Q$5,1,B126-2025)*$AO$4*C126/MAX(0.0001,12-$AO$3),INDEX($C$5:$Q$5,1,B126-2025)/12)</f>
        <v>22.2615024358139</v>
      </c>
      <c r="U126" s="88" t="n">
        <f aca="false">$AO$6*0</f>
        <v>0</v>
      </c>
      <c r="V126" s="88" t="n">
        <f aca="false">T126+V125</f>
        <v>2824.510689291</v>
      </c>
      <c r="W126" s="88" t="n">
        <f aca="false">U126+W125</f>
        <v>1115</v>
      </c>
      <c r="X126" s="88" t="n">
        <f aca="false">MAX(X125,V126-W126)</f>
        <v>1709.510689291</v>
      </c>
      <c r="Y126" s="88" t="n">
        <f aca="false">X126-X125</f>
        <v>22.2615024358138</v>
      </c>
      <c r="Z126" s="88" t="n">
        <f aca="false">IF(B126=2026,INDEX($C$6:$Q$6,1,B126-2025)*$AO$4*C126/MAX(0.0001,12-$AO$3),INDEX($C$6:$Q$6,1,B126-2025)/12)</f>
        <v>26.4114629913323</v>
      </c>
      <c r="AA126" s="88" t="n">
        <f aca="false">$AO$6*0</f>
        <v>0</v>
      </c>
      <c r="AB126" s="88" t="n">
        <f aca="false">Z126+AB125</f>
        <v>3351.05232694527</v>
      </c>
      <c r="AC126" s="88" t="n">
        <f aca="false">AA126+AC125</f>
        <v>2194</v>
      </c>
      <c r="AD126" s="88" t="n">
        <f aca="false">MAX(AD125,AB126-AC126)</f>
        <v>1335.64282617929</v>
      </c>
      <c r="AE126" s="88" t="n">
        <f aca="false">AD126-AD125</f>
        <v>0</v>
      </c>
      <c r="AF126" s="88" t="n">
        <f aca="false">IF(B126=2026,INDEX($C$7:$Q$7,1,B126-2025)*$AO$4*C126/MAX(0.0001,12-$AO$3),INDEX($C$7:$Q$7,1,B126-2025)/12)</f>
        <v>22.9427081739175</v>
      </c>
      <c r="AG126" s="88" t="n">
        <f aca="false">$AO$6*0</f>
        <v>0</v>
      </c>
      <c r="AH126" s="88" t="n">
        <f aca="false">AF126+AH125</f>
        <v>2910.94119389991</v>
      </c>
      <c r="AI126" s="88" t="n">
        <f aca="false">AG126+AI125</f>
        <v>826</v>
      </c>
      <c r="AJ126" s="88" t="n">
        <f aca="false">MAX(AJ125,AH126-AI126)</f>
        <v>2084.94119389991</v>
      </c>
      <c r="AK126" s="88" t="n">
        <f aca="false">AJ126-AJ125</f>
        <v>22.9427081739173</v>
      </c>
      <c r="AL126" s="88" t="n">
        <f aca="false">IF(B126=2026,INDEX($C$8:$Q$8,1,B126-2025)*$AO$4*C126/MAX(0.0001,12-$AO$3),INDEX($C$8:$Q$8,1,B126-2025)/12)</f>
        <v>5.80342126052833</v>
      </c>
      <c r="AM126" s="88" t="n">
        <f aca="false">$AO$6*0</f>
        <v>0</v>
      </c>
      <c r="AN126" s="88" t="n">
        <f aca="false">AL126+AN125</f>
        <v>736.330597275865</v>
      </c>
      <c r="AO126" s="88" t="n">
        <f aca="false">AM126+AO125</f>
        <v>66</v>
      </c>
      <c r="AP126" s="88" t="n">
        <f aca="false">MAX(AP125,AN126-AO126)</f>
        <v>670.330597275865</v>
      </c>
      <c r="AQ126" s="88" t="n">
        <f aca="false">AP126-AP125</f>
        <v>5.80342126052835</v>
      </c>
      <c r="AR126" s="88" t="n">
        <f aca="false">IF(B126=2026,INDEX($C$9:$Q$9,1,B126-2025)*$AO$4*C126/MAX(0.0001,12-$AO$3),INDEX($C$9:$Q$9,1,B126-2025)/12)</f>
        <v>24.7454570609428</v>
      </c>
      <c r="AS126" s="88" t="n">
        <f aca="false">$AO$6*0</f>
        <v>0</v>
      </c>
      <c r="AT126" s="88" t="n">
        <f aca="false">AR126+AT125</f>
        <v>3139.67164532349</v>
      </c>
      <c r="AU126" s="88" t="n">
        <f aca="false">AS126+AU125</f>
        <v>1810</v>
      </c>
      <c r="AV126" s="88" t="n">
        <f aca="false">MAX(AV125,AT126-AU126)</f>
        <v>1329.67164532349</v>
      </c>
      <c r="AW126" s="88" t="n">
        <f aca="false">AV126-AV125</f>
        <v>24.745457060943</v>
      </c>
      <c r="AX126" s="88" t="n">
        <f aca="false">IF(B126=2026,INDEX($C$10:$Q$10,1,B126-2025)*$AO$4*C126/MAX(0.0001,12-$AO$3),INDEX($C$10:$Q$10,1,B126-2025)/12)</f>
        <v>2.87034756681557</v>
      </c>
      <c r="AY126" s="88" t="n">
        <f aca="false">$AO$6*0</f>
        <v>0</v>
      </c>
      <c r="AZ126" s="88" t="n">
        <f aca="false">AX126+AZ125</f>
        <v>364.185993637522</v>
      </c>
      <c r="BA126" s="88" t="n">
        <f aca="false">AY126+BA125</f>
        <v>50</v>
      </c>
      <c r="BB126" s="88" t="n">
        <f aca="false">MAX(BB125,AZ126-BA126)</f>
        <v>314.185993637522</v>
      </c>
      <c r="BC126" s="88" t="n">
        <f aca="false">BB126-BB125</f>
        <v>2.87034756681555</v>
      </c>
      <c r="BD126" s="88" t="n">
        <f aca="false">IF(B126=2026,INDEX($C$11:$Q$11,1,B126-2025)*$AO$4*C126/MAX(0.0001,12-$AO$3),INDEX($C$11:$Q$11,1,B126-2025)/12)</f>
        <v>14.2639212564218</v>
      </c>
      <c r="BE126" s="88" t="n">
        <f aca="false">$AO$6*0</f>
        <v>0</v>
      </c>
      <c r="BF126" s="88" t="n">
        <f aca="false">BD126+BF125</f>
        <v>1809.78791418647</v>
      </c>
      <c r="BG126" s="88" t="n">
        <f aca="false">BE126+BG125</f>
        <v>240</v>
      </c>
      <c r="BH126" s="88" t="n">
        <f aca="false">MAX(BH125,BF126-BG126)</f>
        <v>1569.78791418647</v>
      </c>
      <c r="BI126" s="88" t="n">
        <f aca="false">BH126-BH125</f>
        <v>14.2639212564218</v>
      </c>
      <c r="BJ126" s="88" t="n">
        <f aca="false">IF(B126=2026,INDEX($C$12:$Q$12,1,B126-2025)*$AO$4*C126/MAX(0.0001,12-$AO$3),INDEX($C$12:$Q$12,1,B126-2025)/12)</f>
        <v>7.82069350154207</v>
      </c>
      <c r="BK126" s="88" t="n">
        <f aca="false">$AO$6*0</f>
        <v>0</v>
      </c>
      <c r="BL126" s="88" t="n">
        <f aca="false">BJ126+BL125</f>
        <v>992.279494902237</v>
      </c>
      <c r="BM126" s="88" t="n">
        <f aca="false">BK126+BM125</f>
        <v>465</v>
      </c>
      <c r="BN126" s="88" t="n">
        <f aca="false">MAX(BN125,BL126-BM126)</f>
        <v>620.1207703606</v>
      </c>
      <c r="BO126" s="88" t="n">
        <f aca="false">BN126-BN125</f>
        <v>0</v>
      </c>
      <c r="BP126" s="88" t="n">
        <f aca="false">IF(B126=2026,INDEX($C$13:$Q$13,1,B126-2025)*$AO$4*C126/MAX(0.0001,12-$AO$3),INDEX($C$13:$Q$13,1,B126-2025)/12)</f>
        <v>2.44394688559256</v>
      </c>
      <c r="BQ126" s="88" t="n">
        <f aca="false">$AO$6*0</f>
        <v>0</v>
      </c>
      <c r="BR126" s="88" t="n">
        <f aca="false">BP126+BR125</f>
        <v>310.084825690395</v>
      </c>
      <c r="BS126" s="88" t="n">
        <f aca="false">BQ126+BS125</f>
        <v>87</v>
      </c>
      <c r="BT126" s="88" t="n">
        <f aca="false">MAX(BT125,BR126-BS126)</f>
        <v>223.084825690395</v>
      </c>
      <c r="BU126" s="88" t="n">
        <f aca="false">BT126-BT125</f>
        <v>2.44394688559254</v>
      </c>
      <c r="BV126" s="88" t="n">
        <f aca="false">IF(B126=2026,INDEX($C$14:$Q$14,1,B126-2025)*$AO$4*C126/MAX(0.0001,12-$AO$3),INDEX($C$14:$Q$14,1,B126-2025)/12)</f>
        <v>1.449513325248</v>
      </c>
      <c r="BW126" s="88" t="n">
        <f aca="false">$AO$6*0</f>
        <v>0</v>
      </c>
      <c r="BX126" s="88" t="n">
        <f aca="false">BV126+BX125</f>
        <v>183.912379374993</v>
      </c>
      <c r="BY126" s="88" t="n">
        <f aca="false">BW126+BY125</f>
        <v>0</v>
      </c>
      <c r="BZ126" s="88" t="n">
        <f aca="false">MAX(BZ125,BX126-BY126)</f>
        <v>183.912379374993</v>
      </c>
      <c r="CA126" s="88" t="n">
        <f aca="false">BZ126-BZ125</f>
        <v>1.44951332524801</v>
      </c>
      <c r="CB126" s="88" t="n">
        <f aca="false">IF(B126=2026,INDEX($C$15:$Q$15,1,B126-2025)*$AO$4*C126/MAX(0.0001,12-$AO$3),INDEX($C$15:$Q$15,1,B126-2025)/12)</f>
        <v>2.37652766116242</v>
      </c>
      <c r="CC126" s="88" t="n">
        <f aca="false">$AO$6*0</f>
        <v>0</v>
      </c>
      <c r="CD126" s="88" t="n">
        <f aca="false">CB126+CD125</f>
        <v>301.530761533418</v>
      </c>
      <c r="CE126" s="88" t="n">
        <f aca="false">CC126+CE125</f>
        <v>88.0000000000001</v>
      </c>
      <c r="CF126" s="88" t="n">
        <f aca="false">MAX(CF125,CD126-CE126)</f>
        <v>213.530761533418</v>
      </c>
      <c r="CG126" s="88" t="n">
        <f aca="false">CF126-CF125</f>
        <v>2.37652766116241</v>
      </c>
      <c r="CH126" s="88" t="n">
        <f aca="false">IF(B126=2026,INDEX($C$16:$Q$16,1,B126-2025)*$AO$4*C126/MAX(0.0001,12-$AO$3),INDEX($C$16:$Q$16,1,B126-2025)/12)</f>
        <v>1.87931088099014</v>
      </c>
      <c r="CI126" s="88" t="n">
        <f aca="false">$AO$6*0</f>
        <v>0</v>
      </c>
      <c r="CJ126" s="88" t="n">
        <f aca="false">CH126+CJ125</f>
        <v>238.444538375717</v>
      </c>
      <c r="CK126" s="88" t="n">
        <f aca="false">CI126+CK125</f>
        <v>70</v>
      </c>
      <c r="CL126" s="88" t="n">
        <f aca="false">MAX(CL125,CJ126-CK126)</f>
        <v>168.444538375717</v>
      </c>
      <c r="CM126" s="88" t="n">
        <f aca="false">CL126-CL125</f>
        <v>1.87931088099015</v>
      </c>
      <c r="CN126" s="88" t="n">
        <f aca="false">IF(B126=2026,INDEX($C$17:$Q$17,1,B126-2025)*$AO$4*C126/MAX(0.0001,12-$AO$3),INDEX($C$17:$Q$17,1,B126-2025)/12)</f>
        <v>8.1830083652082</v>
      </c>
      <c r="CO126" s="88" t="n">
        <f aca="false">$AO$6*0</f>
        <v>0</v>
      </c>
      <c r="CP126" s="88" t="n">
        <f aca="false">CN126+CP125</f>
        <v>1038.24953705301</v>
      </c>
      <c r="CQ126" s="88" t="n">
        <f aca="false">CO126+CQ125</f>
        <v>221</v>
      </c>
      <c r="CR126" s="88" t="n">
        <f aca="false">MAX(CR125,CP126-CQ126)</f>
        <v>817.249537053014</v>
      </c>
      <c r="CS126" s="88" t="n">
        <f aca="false">CR126-CR125</f>
        <v>8.18300836520825</v>
      </c>
      <c r="CT126" s="88" t="n">
        <f aca="false">IF(B126=2026,INDEX($C$18:$Q$18,1,B126-2025)*$AO$4*C126/MAX(0.0001,12-$AO$3),INDEX($C$18:$Q$18,1,B126-2025)/12)</f>
        <v>1.70233541686103</v>
      </c>
      <c r="CU126" s="88" t="n">
        <f aca="false">$AO$6*0</f>
        <v>0</v>
      </c>
      <c r="CV126" s="88" t="n">
        <f aca="false">CT126+CV125</f>
        <v>215.990119963654</v>
      </c>
      <c r="CW126" s="88" t="n">
        <f aca="false">CU126+CW125</f>
        <v>11</v>
      </c>
      <c r="CX126" s="88" t="n">
        <f aca="false">MAX(CX125,CV126-CW126)</f>
        <v>204.990119963654</v>
      </c>
      <c r="CY126" s="88" t="n">
        <f aca="false">CX126-CX125</f>
        <v>1.70233541686102</v>
      </c>
      <c r="CZ126" s="88" t="n">
        <f aca="false">IF(B126=2026,INDEX($C$19:$Q$19,1,B126-2025)*$AO$4*C126/MAX(0.0001,12-$AO$3),INDEX($C$19:$Q$19,1,B126-2025)/12)</f>
        <v>1.68548061075349</v>
      </c>
      <c r="DA126" s="88" t="n">
        <f aca="false">$AO$6*0</f>
        <v>0</v>
      </c>
      <c r="DB126" s="88" t="n">
        <f aca="false">CZ126+DB125</f>
        <v>213.85160392441</v>
      </c>
      <c r="DC126" s="88" t="n">
        <f aca="false">DA126+DC125</f>
        <v>226</v>
      </c>
      <c r="DD126" s="88" t="n">
        <f aca="false">MAX(DD125,DB126-DC126)</f>
        <v>37.132124495359</v>
      </c>
      <c r="DE126" s="88" t="n">
        <f aca="false">DD126-DD125</f>
        <v>0</v>
      </c>
      <c r="DF126" s="88" t="n">
        <f aca="false">IF(B126=2026,INDEX($C$20:$Q$20,1,B126-2025)*$AO$4*C126/MAX(0.0001,12-$AO$3),INDEX($C$20:$Q$20,1,B126-2025)/12)</f>
        <v>1.37366669776409</v>
      </c>
      <c r="DG126" s="88" t="n">
        <f aca="false">$AO$6*0</f>
        <v>0</v>
      </c>
      <c r="DH126" s="88" t="n">
        <f aca="false">DF126+DH125</f>
        <v>174.289057198394</v>
      </c>
      <c r="DI126" s="88" t="n">
        <f aca="false">DG126+DI125</f>
        <v>0</v>
      </c>
      <c r="DJ126" s="88" t="n">
        <f aca="false">MAX(DJ125,DH126-DI126)</f>
        <v>174.289057198394</v>
      </c>
      <c r="DK126" s="88" t="n">
        <f aca="false">DJ126-DJ125</f>
        <v>1.37366669776409</v>
      </c>
      <c r="DL126" s="88" t="n">
        <f aca="false">IF(B126=2026,INDEX($C$21:$Q$21,1,B126-2025)*$AO$4*C126/MAX(0.0001,12-$AO$3),INDEX($C$21:$Q$21,1,B126-2025)/12)</f>
        <v>0.96072394812949</v>
      </c>
      <c r="DM126" s="88" t="n">
        <f aca="false">$AO$6*0</f>
        <v>0</v>
      </c>
      <c r="DN126" s="88" t="n">
        <f aca="false">DL126+DN125</f>
        <v>121.895414236914</v>
      </c>
      <c r="DO126" s="88" t="n">
        <f aca="false">DM126+DO125</f>
        <v>100</v>
      </c>
      <c r="DP126" s="88" t="n">
        <f aca="false">MAX(DP125,DN126-DO126)</f>
        <v>21.8954142369136</v>
      </c>
      <c r="DQ126" s="88" t="n">
        <f aca="false">DP126-DP125</f>
        <v>0.960723948129484</v>
      </c>
      <c r="DR126" s="88" t="n">
        <f aca="false">IF(B126=2026,INDEX($C$22:$Q$22,1,B126-2025)*$AO$4*C126/MAX(0.0001,12-$AO$3),INDEX($C$22:$Q$22,1,B126-2025)/12)</f>
        <v>0.750038871785304</v>
      </c>
      <c r="DS126" s="88" t="n">
        <f aca="false">$AO$6*0</f>
        <v>0</v>
      </c>
      <c r="DT126" s="88" t="n">
        <f aca="false">DR126+DT125</f>
        <v>95.1639637463626</v>
      </c>
      <c r="DU126" s="88" t="n">
        <f aca="false">DS126+DU125</f>
        <v>29</v>
      </c>
      <c r="DV126" s="88" t="n">
        <f aca="false">MAX(DV125,DT126-DU126)</f>
        <v>66.1639637463627</v>
      </c>
      <c r="DW126" s="88" t="n">
        <f aca="false">DV126-DV125</f>
        <v>0.750038871785307</v>
      </c>
      <c r="DX126" s="88" t="n">
        <f aca="false">IF(B126=2026,INDEX($C$23:$Q$23,1,B126-2025)*$AO$4*C126/MAX(0.0001,12-$AO$3),INDEX($C$23:$Q$23,1,B126-2025)/12)</f>
        <v>1.20511863668875</v>
      </c>
      <c r="DY126" s="88" t="n">
        <f aca="false">$AO$6*0</f>
        <v>0</v>
      </c>
      <c r="DZ126" s="88" t="n">
        <f aca="false">DX126+DZ125</f>
        <v>152.903896805953</v>
      </c>
      <c r="EA126" s="88" t="n">
        <f aca="false">DY126+EA125</f>
        <v>121</v>
      </c>
      <c r="EB126" s="88" t="n">
        <f aca="false">MAX(EB125,DZ126-EA126)</f>
        <v>35.0579690141817</v>
      </c>
      <c r="EC126" s="88" t="n">
        <f aca="false">EB126-EB125</f>
        <v>0</v>
      </c>
      <c r="ED126" s="88" t="n">
        <f aca="false">IF(B126=2026,INDEX($C$24:$Q$24,1,B126-2025)*$AO$4*C126/MAX(0.0001,12-$AO$3),INDEX($C$24:$Q$24,1,B126-2025)/12)</f>
        <v>0.741611468731536</v>
      </c>
      <c r="EE126" s="88" t="n">
        <f aca="false">$AO$6*0</f>
        <v>0</v>
      </c>
      <c r="EF126" s="88" t="n">
        <f aca="false">ED126+EF125</f>
        <v>94.0947057267405</v>
      </c>
      <c r="EG126" s="88" t="n">
        <f aca="false">EE126+EG125</f>
        <v>0</v>
      </c>
      <c r="EH126" s="88" t="n">
        <f aca="false">MAX(EH125,EF126-EG126)</f>
        <v>94.0947057267405</v>
      </c>
      <c r="EI126" s="88" t="n">
        <f aca="false">EH126-EH125</f>
        <v>0.741611468731534</v>
      </c>
      <c r="EJ126" s="88" t="n">
        <f aca="false">IF(B126=2026,INDEX($C$25:$Q$25,1,B126-2025)*$AO$4*C126/MAX(0.0001,12-$AO$3),INDEX($C$25:$Q$25,1,B126-2025)/12)</f>
        <v>0.943869142021955</v>
      </c>
      <c r="EK126" s="88" t="n">
        <f aca="false">$AO$6*0</f>
        <v>0</v>
      </c>
      <c r="EL126" s="88" t="n">
        <f aca="false">EJ126+EL125</f>
        <v>119.75689819767</v>
      </c>
      <c r="EM126" s="88" t="n">
        <f aca="false">EK126+EM125</f>
        <v>14</v>
      </c>
      <c r="EN126" s="88" t="n">
        <f aca="false">MAX(EN125,EL126-EM126)</f>
        <v>105.75689819767</v>
      </c>
      <c r="EO126" s="88" t="n">
        <f aca="false">EN126-EN125</f>
        <v>0.943869142021953</v>
      </c>
      <c r="EP126" s="88" t="n">
        <f aca="false">IF(B126=2026,INDEX($C$26:$Q$26,1,B126-2025)*$AO$4*C126/MAX(0.0001,12-$AO$3),INDEX($C$26:$Q$26,1,B126-2025)/12)</f>
        <v>1.35681189165656</v>
      </c>
      <c r="EQ126" s="88" t="n">
        <f aca="false">$AO$6*0</f>
        <v>0</v>
      </c>
      <c r="ER126" s="88" t="n">
        <f aca="false">EP126+ER125</f>
        <v>172.15054115915</v>
      </c>
      <c r="ES126" s="88" t="n">
        <f aca="false">EQ126+ES125</f>
        <v>4</v>
      </c>
      <c r="ET126" s="88" t="n">
        <f aca="false">MAX(ET125,ER126-ES126)</f>
        <v>168.15054115915</v>
      </c>
      <c r="EU126" s="88" t="n">
        <f aca="false">ET126-ET125</f>
        <v>1.35681189165655</v>
      </c>
      <c r="EV126" s="88" t="n">
        <f aca="false">IF(B126=2026,INDEX($C$27:$Q$27,1,B126-2025)*$AO$4*C126/MAX(0.0001,12-$AO$3),INDEX($C$27:$Q$27,1,B126-2025)/12)</f>
        <v>3.37096122150698</v>
      </c>
      <c r="EW126" s="88" t="n">
        <f aca="false">$AO$6*0</f>
        <v>0</v>
      </c>
      <c r="EX126" s="88" t="n">
        <f aca="false">EV126+EX125</f>
        <v>427.703207848821</v>
      </c>
      <c r="EY126" s="88" t="n">
        <f aca="false">EW126+EY125</f>
        <v>391</v>
      </c>
      <c r="EZ126" s="88" t="n">
        <f aca="false">MAX(EZ125,EX126-EY126)</f>
        <v>36.7032078488206</v>
      </c>
      <c r="FA126" s="88" t="n">
        <f aca="false">EZ126-EZ125</f>
        <v>3.370961221507</v>
      </c>
      <c r="FB126" s="88" t="n">
        <f aca="false">IF(B126=2026,INDEX($C$28:$Q$28,1,B126-2025)*$AO$4*C126/MAX(0.0001,12-$AO$3),INDEX($C$28:$Q$28,1,B126-2025)/12)</f>
        <v>17.646981994589</v>
      </c>
      <c r="FC126" s="88" t="n">
        <f aca="false">$AO$6*0</f>
        <v>0</v>
      </c>
      <c r="FD126" s="88" t="n">
        <f aca="false">FB126+FD125</f>
        <v>2239.02629308857</v>
      </c>
      <c r="FE126" s="88" t="n">
        <f aca="false">FC126+FE125</f>
        <v>169</v>
      </c>
      <c r="FF126" s="88" t="n">
        <f aca="false">MAX(FF125,FD126-FE126)</f>
        <v>2070.02629308857</v>
      </c>
      <c r="FG126" s="88" t="n">
        <f aca="false">FF126-FF125</f>
        <v>17.6469819945892</v>
      </c>
    </row>
    <row r="127" customFormat="false" ht="15" hidden="false" customHeight="false" outlineLevel="0" collapsed="false">
      <c r="A127" s="0" t="n">
        <v>87</v>
      </c>
      <c r="B127" s="88" t="n">
        <f aca="false">2026+INT(A127/12)</f>
        <v>2033</v>
      </c>
      <c r="C127" s="88" t="n">
        <f aca="false">MAX(0,MIN(1,A127+1-$AO$3))</f>
        <v>1</v>
      </c>
      <c r="D127" s="88" t="n">
        <f aca="false">IF((A127+0.5-(0))&lt;$AO$3,0,2026+INT((A127+0.5-(0))/12))</f>
        <v>2033</v>
      </c>
      <c r="E127" s="88" t="n">
        <f aca="false">IF((A127+0.5-($AO$9))&lt;$AO$3,0,2026+INT((A127+0.5-($AO$9))/12))</f>
        <v>2032</v>
      </c>
      <c r="F127" s="88" t="n">
        <f aca="false">IF((A127+0.5-($AO$9+$AO$8))&lt;$AO$3,0,2026+INT((A127+0.5-($AO$9+$AO$8))/12))</f>
        <v>2030</v>
      </c>
      <c r="G127" s="88" t="n">
        <f aca="false">IF((A127+0.5-($AO$9+$AO$8+$AO$7))&lt;$AO$3,0,2026+INT((A127+0.5-($AO$9+$AO$8+$AO$7))/12))</f>
        <v>2030</v>
      </c>
      <c r="H127" s="88" t="n">
        <f aca="false">IF(B127=2026,INDEX($C$3:$Q$3,1,B127-2025)*$AO$4*C127/MAX(0.0001,12-$AO$3),INDEX($C$3:$Q$3,1,B127-2025)/12)</f>
        <v>180.666666666667</v>
      </c>
      <c r="I127" s="88" t="n">
        <f aca="false">$AO$6*0</f>
        <v>0</v>
      </c>
      <c r="J127" s="88" t="n">
        <f aca="false">H127+J126</f>
        <v>23103.4200913242</v>
      </c>
      <c r="K127" s="88" t="n">
        <f aca="false">I127+K126</f>
        <v>8695.00000000001</v>
      </c>
      <c r="L127" s="88" t="n">
        <f aca="false">MAX(L126,J127-K127)</f>
        <v>14408.4200913242</v>
      </c>
      <c r="M127" s="88" t="n">
        <f aca="false">L127-L126</f>
        <v>180.666666666668</v>
      </c>
      <c r="N127" s="88" t="n">
        <f aca="false">IF(B127=2026,INDEX($C$4:$Q$4,1,B127-2025)*$AO$4*C127/MAX(0.0001,12-$AO$3),INDEX($C$4:$Q$4,1,B127-2025)/12)</f>
        <v>5.47724540066293</v>
      </c>
      <c r="O127" s="88" t="n">
        <f aca="false">$AO$6*0</f>
        <v>0</v>
      </c>
      <c r="P127" s="88" t="n">
        <f aca="false">N127+P126</f>
        <v>700.423070672264</v>
      </c>
      <c r="Q127" s="88" t="n">
        <f aca="false">O127+Q126</f>
        <v>398</v>
      </c>
      <c r="R127" s="88" t="n">
        <f aca="false">MAX(R126,P127-Q127)</f>
        <v>302.423070672264</v>
      </c>
      <c r="S127" s="88" t="n">
        <f aca="false">R127-R126</f>
        <v>5.47724540066292</v>
      </c>
      <c r="T127" s="88" t="n">
        <f aca="false">IF(B127=2026,INDEX($C$5:$Q$5,1,B127-2025)*$AO$4*C127/MAX(0.0001,12-$AO$3),INDEX($C$5:$Q$5,1,B127-2025)/12)</f>
        <v>22.2615024358139</v>
      </c>
      <c r="U127" s="88" t="n">
        <f aca="false">$AO$6*0</f>
        <v>0</v>
      </c>
      <c r="V127" s="88" t="n">
        <f aca="false">T127+V126</f>
        <v>2846.77219172682</v>
      </c>
      <c r="W127" s="88" t="n">
        <f aca="false">U127+W126</f>
        <v>1115</v>
      </c>
      <c r="X127" s="88" t="n">
        <f aca="false">MAX(X126,V127-W127)</f>
        <v>1731.77219172682</v>
      </c>
      <c r="Y127" s="88" t="n">
        <f aca="false">X127-X126</f>
        <v>22.2615024358138</v>
      </c>
      <c r="Z127" s="88" t="n">
        <f aca="false">IF(B127=2026,INDEX($C$6:$Q$6,1,B127-2025)*$AO$4*C127/MAX(0.0001,12-$AO$3),INDEX($C$6:$Q$6,1,B127-2025)/12)</f>
        <v>26.4114629913323</v>
      </c>
      <c r="AA127" s="88" t="n">
        <f aca="false">$AO$6*0</f>
        <v>0</v>
      </c>
      <c r="AB127" s="88" t="n">
        <f aca="false">Z127+AB126</f>
        <v>3377.4637899366</v>
      </c>
      <c r="AC127" s="88" t="n">
        <f aca="false">AA127+AC126</f>
        <v>2194</v>
      </c>
      <c r="AD127" s="88" t="n">
        <f aca="false">MAX(AD126,AB127-AC127)</f>
        <v>1335.64282617929</v>
      </c>
      <c r="AE127" s="88" t="n">
        <f aca="false">AD127-AD126</f>
        <v>0</v>
      </c>
      <c r="AF127" s="88" t="n">
        <f aca="false">IF(B127=2026,INDEX($C$7:$Q$7,1,B127-2025)*$AO$4*C127/MAX(0.0001,12-$AO$3),INDEX($C$7:$Q$7,1,B127-2025)/12)</f>
        <v>22.9427081739175</v>
      </c>
      <c r="AG127" s="88" t="n">
        <f aca="false">$AO$6*0</f>
        <v>0</v>
      </c>
      <c r="AH127" s="88" t="n">
        <f aca="false">AF127+AH126</f>
        <v>2933.88390207383</v>
      </c>
      <c r="AI127" s="88" t="n">
        <f aca="false">AG127+AI126</f>
        <v>826</v>
      </c>
      <c r="AJ127" s="88" t="n">
        <f aca="false">MAX(AJ126,AH127-AI127)</f>
        <v>2107.88390207383</v>
      </c>
      <c r="AK127" s="88" t="n">
        <f aca="false">AJ127-AJ126</f>
        <v>22.9427081739173</v>
      </c>
      <c r="AL127" s="88" t="n">
        <f aca="false">IF(B127=2026,INDEX($C$8:$Q$8,1,B127-2025)*$AO$4*C127/MAX(0.0001,12-$AO$3),INDEX($C$8:$Q$8,1,B127-2025)/12)</f>
        <v>5.80342126052833</v>
      </c>
      <c r="AM127" s="88" t="n">
        <f aca="false">$AO$6*0</f>
        <v>0</v>
      </c>
      <c r="AN127" s="88" t="n">
        <f aca="false">AL127+AN126</f>
        <v>742.134018536393</v>
      </c>
      <c r="AO127" s="88" t="n">
        <f aca="false">AM127+AO126</f>
        <v>66</v>
      </c>
      <c r="AP127" s="88" t="n">
        <f aca="false">MAX(AP126,AN127-AO127)</f>
        <v>676.134018536393</v>
      </c>
      <c r="AQ127" s="88" t="n">
        <f aca="false">AP127-AP126</f>
        <v>5.80342126052835</v>
      </c>
      <c r="AR127" s="88" t="n">
        <f aca="false">IF(B127=2026,INDEX($C$9:$Q$9,1,B127-2025)*$AO$4*C127/MAX(0.0001,12-$AO$3),INDEX($C$9:$Q$9,1,B127-2025)/12)</f>
        <v>24.7454570609428</v>
      </c>
      <c r="AS127" s="88" t="n">
        <f aca="false">$AO$6*0</f>
        <v>0</v>
      </c>
      <c r="AT127" s="88" t="n">
        <f aca="false">AR127+AT126</f>
        <v>3164.41710238443</v>
      </c>
      <c r="AU127" s="88" t="n">
        <f aca="false">AS127+AU126</f>
        <v>1810</v>
      </c>
      <c r="AV127" s="88" t="n">
        <f aca="false">MAX(AV126,AT127-AU127)</f>
        <v>1354.41710238443</v>
      </c>
      <c r="AW127" s="88" t="n">
        <f aca="false">AV127-AV126</f>
        <v>24.745457060943</v>
      </c>
      <c r="AX127" s="88" t="n">
        <f aca="false">IF(B127=2026,INDEX($C$10:$Q$10,1,B127-2025)*$AO$4*C127/MAX(0.0001,12-$AO$3),INDEX($C$10:$Q$10,1,B127-2025)/12)</f>
        <v>2.87034756681557</v>
      </c>
      <c r="AY127" s="88" t="n">
        <f aca="false">$AO$6*0</f>
        <v>0</v>
      </c>
      <c r="AZ127" s="88" t="n">
        <f aca="false">AX127+AZ126</f>
        <v>367.056341204337</v>
      </c>
      <c r="BA127" s="88" t="n">
        <f aca="false">AY127+BA126</f>
        <v>50</v>
      </c>
      <c r="BB127" s="88" t="n">
        <f aca="false">MAX(BB126,AZ127-BA127)</f>
        <v>317.056341204337</v>
      </c>
      <c r="BC127" s="88" t="n">
        <f aca="false">BB127-BB126</f>
        <v>2.87034756681555</v>
      </c>
      <c r="BD127" s="88" t="n">
        <f aca="false">IF(B127=2026,INDEX($C$11:$Q$11,1,B127-2025)*$AO$4*C127/MAX(0.0001,12-$AO$3),INDEX($C$11:$Q$11,1,B127-2025)/12)</f>
        <v>14.2639212564218</v>
      </c>
      <c r="BE127" s="88" t="n">
        <f aca="false">$AO$6*0</f>
        <v>0</v>
      </c>
      <c r="BF127" s="88" t="n">
        <f aca="false">BD127+BF126</f>
        <v>1824.05183544289</v>
      </c>
      <c r="BG127" s="88" t="n">
        <f aca="false">BE127+BG126</f>
        <v>240</v>
      </c>
      <c r="BH127" s="88" t="n">
        <f aca="false">MAX(BH126,BF127-BG127)</f>
        <v>1584.05183544289</v>
      </c>
      <c r="BI127" s="88" t="n">
        <f aca="false">BH127-BH126</f>
        <v>14.2639212564218</v>
      </c>
      <c r="BJ127" s="88" t="n">
        <f aca="false">IF(B127=2026,INDEX($C$12:$Q$12,1,B127-2025)*$AO$4*C127/MAX(0.0001,12-$AO$3),INDEX($C$12:$Q$12,1,B127-2025)/12)</f>
        <v>7.82069350154207</v>
      </c>
      <c r="BK127" s="88" t="n">
        <f aca="false">$AO$6*0</f>
        <v>0</v>
      </c>
      <c r="BL127" s="88" t="n">
        <f aca="false">BJ127+BL126</f>
        <v>1000.10018840378</v>
      </c>
      <c r="BM127" s="88" t="n">
        <f aca="false">BK127+BM126</f>
        <v>465</v>
      </c>
      <c r="BN127" s="88" t="n">
        <f aca="false">MAX(BN126,BL127-BM127)</f>
        <v>620.1207703606</v>
      </c>
      <c r="BO127" s="88" t="n">
        <f aca="false">BN127-BN126</f>
        <v>0</v>
      </c>
      <c r="BP127" s="88" t="n">
        <f aca="false">IF(B127=2026,INDEX($C$13:$Q$13,1,B127-2025)*$AO$4*C127/MAX(0.0001,12-$AO$3),INDEX($C$13:$Q$13,1,B127-2025)/12)</f>
        <v>2.44394688559256</v>
      </c>
      <c r="BQ127" s="88" t="n">
        <f aca="false">$AO$6*0</f>
        <v>0</v>
      </c>
      <c r="BR127" s="88" t="n">
        <f aca="false">BP127+BR126</f>
        <v>312.528772575987</v>
      </c>
      <c r="BS127" s="88" t="n">
        <f aca="false">BQ127+BS126</f>
        <v>87</v>
      </c>
      <c r="BT127" s="88" t="n">
        <f aca="false">MAX(BT126,BR127-BS127)</f>
        <v>225.528772575987</v>
      </c>
      <c r="BU127" s="88" t="n">
        <f aca="false">BT127-BT126</f>
        <v>2.44394688559254</v>
      </c>
      <c r="BV127" s="88" t="n">
        <f aca="false">IF(B127=2026,INDEX($C$14:$Q$14,1,B127-2025)*$AO$4*C127/MAX(0.0001,12-$AO$3),INDEX($C$14:$Q$14,1,B127-2025)/12)</f>
        <v>1.449513325248</v>
      </c>
      <c r="BW127" s="88" t="n">
        <f aca="false">$AO$6*0</f>
        <v>0</v>
      </c>
      <c r="BX127" s="88" t="n">
        <f aca="false">BV127+BX126</f>
        <v>185.361892700241</v>
      </c>
      <c r="BY127" s="88" t="n">
        <f aca="false">BW127+BY126</f>
        <v>0</v>
      </c>
      <c r="BZ127" s="88" t="n">
        <f aca="false">MAX(BZ126,BX127-BY127)</f>
        <v>185.361892700241</v>
      </c>
      <c r="CA127" s="88" t="n">
        <f aca="false">BZ127-BZ126</f>
        <v>1.44951332524801</v>
      </c>
      <c r="CB127" s="88" t="n">
        <f aca="false">IF(B127=2026,INDEX($C$15:$Q$15,1,B127-2025)*$AO$4*C127/MAX(0.0001,12-$AO$3),INDEX($C$15:$Q$15,1,B127-2025)/12)</f>
        <v>2.37652766116242</v>
      </c>
      <c r="CC127" s="88" t="n">
        <f aca="false">$AO$6*0</f>
        <v>0</v>
      </c>
      <c r="CD127" s="88" t="n">
        <f aca="false">CB127+CD126</f>
        <v>303.90728919458</v>
      </c>
      <c r="CE127" s="88" t="n">
        <f aca="false">CC127+CE126</f>
        <v>88.0000000000001</v>
      </c>
      <c r="CF127" s="88" t="n">
        <f aca="false">MAX(CF126,CD127-CE127)</f>
        <v>215.90728919458</v>
      </c>
      <c r="CG127" s="88" t="n">
        <f aca="false">CF127-CF126</f>
        <v>2.37652766116241</v>
      </c>
      <c r="CH127" s="88" t="n">
        <f aca="false">IF(B127=2026,INDEX($C$16:$Q$16,1,B127-2025)*$AO$4*C127/MAX(0.0001,12-$AO$3),INDEX($C$16:$Q$16,1,B127-2025)/12)</f>
        <v>1.87931088099014</v>
      </c>
      <c r="CI127" s="88" t="n">
        <f aca="false">$AO$6*0</f>
        <v>0</v>
      </c>
      <c r="CJ127" s="88" t="n">
        <f aca="false">CH127+CJ126</f>
        <v>240.323849256708</v>
      </c>
      <c r="CK127" s="88" t="n">
        <f aca="false">CI127+CK126</f>
        <v>70</v>
      </c>
      <c r="CL127" s="88" t="n">
        <f aca="false">MAX(CL126,CJ127-CK127)</f>
        <v>170.323849256708</v>
      </c>
      <c r="CM127" s="88" t="n">
        <f aca="false">CL127-CL126</f>
        <v>1.87931088099015</v>
      </c>
      <c r="CN127" s="88" t="n">
        <f aca="false">IF(B127=2026,INDEX($C$17:$Q$17,1,B127-2025)*$AO$4*C127/MAX(0.0001,12-$AO$3),INDEX($C$17:$Q$17,1,B127-2025)/12)</f>
        <v>8.1830083652082</v>
      </c>
      <c r="CO127" s="88" t="n">
        <f aca="false">$AO$6*0</f>
        <v>0</v>
      </c>
      <c r="CP127" s="88" t="n">
        <f aca="false">CN127+CP126</f>
        <v>1046.43254541822</v>
      </c>
      <c r="CQ127" s="88" t="n">
        <f aca="false">CO127+CQ126</f>
        <v>221</v>
      </c>
      <c r="CR127" s="88" t="n">
        <f aca="false">MAX(CR126,CP127-CQ127)</f>
        <v>825.432545418223</v>
      </c>
      <c r="CS127" s="88" t="n">
        <f aca="false">CR127-CR126</f>
        <v>8.18300836520825</v>
      </c>
      <c r="CT127" s="88" t="n">
        <f aca="false">IF(B127=2026,INDEX($C$18:$Q$18,1,B127-2025)*$AO$4*C127/MAX(0.0001,12-$AO$3),INDEX($C$18:$Q$18,1,B127-2025)/12)</f>
        <v>1.70233541686103</v>
      </c>
      <c r="CU127" s="88" t="n">
        <f aca="false">$AO$6*0</f>
        <v>0</v>
      </c>
      <c r="CV127" s="88" t="n">
        <f aca="false">CT127+CV126</f>
        <v>217.692455380515</v>
      </c>
      <c r="CW127" s="88" t="n">
        <f aca="false">CU127+CW126</f>
        <v>11</v>
      </c>
      <c r="CX127" s="88" t="n">
        <f aca="false">MAX(CX126,CV127-CW127)</f>
        <v>206.692455380515</v>
      </c>
      <c r="CY127" s="88" t="n">
        <f aca="false">CX127-CX126</f>
        <v>1.70233541686102</v>
      </c>
      <c r="CZ127" s="88" t="n">
        <f aca="false">IF(B127=2026,INDEX($C$19:$Q$19,1,B127-2025)*$AO$4*C127/MAX(0.0001,12-$AO$3),INDEX($C$19:$Q$19,1,B127-2025)/12)</f>
        <v>1.68548061075349</v>
      </c>
      <c r="DA127" s="88" t="n">
        <f aca="false">$AO$6*0</f>
        <v>0</v>
      </c>
      <c r="DB127" s="88" t="n">
        <f aca="false">CZ127+DB126</f>
        <v>215.537084535164</v>
      </c>
      <c r="DC127" s="88" t="n">
        <f aca="false">DA127+DC126</f>
        <v>226</v>
      </c>
      <c r="DD127" s="88" t="n">
        <f aca="false">MAX(DD126,DB127-DC127)</f>
        <v>37.132124495359</v>
      </c>
      <c r="DE127" s="88" t="n">
        <f aca="false">DD127-DD126</f>
        <v>0</v>
      </c>
      <c r="DF127" s="88" t="n">
        <f aca="false">IF(B127=2026,INDEX($C$20:$Q$20,1,B127-2025)*$AO$4*C127/MAX(0.0001,12-$AO$3),INDEX($C$20:$Q$20,1,B127-2025)/12)</f>
        <v>1.37366669776409</v>
      </c>
      <c r="DG127" s="88" t="n">
        <f aca="false">$AO$6*0</f>
        <v>0</v>
      </c>
      <c r="DH127" s="88" t="n">
        <f aca="false">DF127+DH126</f>
        <v>175.662723896158</v>
      </c>
      <c r="DI127" s="88" t="n">
        <f aca="false">DG127+DI126</f>
        <v>0</v>
      </c>
      <c r="DJ127" s="88" t="n">
        <f aca="false">MAX(DJ126,DH127-DI127)</f>
        <v>175.662723896158</v>
      </c>
      <c r="DK127" s="88" t="n">
        <f aca="false">DJ127-DJ126</f>
        <v>1.37366669776409</v>
      </c>
      <c r="DL127" s="88" t="n">
        <f aca="false">IF(B127=2026,INDEX($C$21:$Q$21,1,B127-2025)*$AO$4*C127/MAX(0.0001,12-$AO$3),INDEX($C$21:$Q$21,1,B127-2025)/12)</f>
        <v>0.96072394812949</v>
      </c>
      <c r="DM127" s="88" t="n">
        <f aca="false">$AO$6*0</f>
        <v>0</v>
      </c>
      <c r="DN127" s="88" t="n">
        <f aca="false">DL127+DN126</f>
        <v>122.856138185043</v>
      </c>
      <c r="DO127" s="88" t="n">
        <f aca="false">DM127+DO126</f>
        <v>100</v>
      </c>
      <c r="DP127" s="88" t="n">
        <f aca="false">MAX(DP126,DN127-DO127)</f>
        <v>22.8561381850431</v>
      </c>
      <c r="DQ127" s="88" t="n">
        <f aca="false">DP127-DP126</f>
        <v>0.960723948129484</v>
      </c>
      <c r="DR127" s="88" t="n">
        <f aca="false">IF(B127=2026,INDEX($C$22:$Q$22,1,B127-2025)*$AO$4*C127/MAX(0.0001,12-$AO$3),INDEX($C$22:$Q$22,1,B127-2025)/12)</f>
        <v>0.750038871785304</v>
      </c>
      <c r="DS127" s="88" t="n">
        <f aca="false">$AO$6*0</f>
        <v>0</v>
      </c>
      <c r="DT127" s="88" t="n">
        <f aca="false">DR127+DT126</f>
        <v>95.914002618148</v>
      </c>
      <c r="DU127" s="88" t="n">
        <f aca="false">DS127+DU126</f>
        <v>29</v>
      </c>
      <c r="DV127" s="88" t="n">
        <f aca="false">MAX(DV126,DT127-DU127)</f>
        <v>66.914002618148</v>
      </c>
      <c r="DW127" s="88" t="n">
        <f aca="false">DV127-DV126</f>
        <v>0.750038871785307</v>
      </c>
      <c r="DX127" s="88" t="n">
        <f aca="false">IF(B127=2026,INDEX($C$23:$Q$23,1,B127-2025)*$AO$4*C127/MAX(0.0001,12-$AO$3),INDEX($C$23:$Q$23,1,B127-2025)/12)</f>
        <v>1.20511863668875</v>
      </c>
      <c r="DY127" s="88" t="n">
        <f aca="false">$AO$6*0</f>
        <v>0</v>
      </c>
      <c r="DZ127" s="88" t="n">
        <f aca="false">DX127+DZ126</f>
        <v>154.109015442642</v>
      </c>
      <c r="EA127" s="88" t="n">
        <f aca="false">DY127+EA126</f>
        <v>121</v>
      </c>
      <c r="EB127" s="88" t="n">
        <f aca="false">MAX(EB126,DZ127-EA127)</f>
        <v>35.0579690141817</v>
      </c>
      <c r="EC127" s="88" t="n">
        <f aca="false">EB127-EB126</f>
        <v>0</v>
      </c>
      <c r="ED127" s="88" t="n">
        <f aca="false">IF(B127=2026,INDEX($C$24:$Q$24,1,B127-2025)*$AO$4*C127/MAX(0.0001,12-$AO$3),INDEX($C$24:$Q$24,1,B127-2025)/12)</f>
        <v>0.741611468731536</v>
      </c>
      <c r="EE127" s="88" t="n">
        <f aca="false">$AO$6*0</f>
        <v>0</v>
      </c>
      <c r="EF127" s="88" t="n">
        <f aca="false">ED127+EF126</f>
        <v>94.836317195472</v>
      </c>
      <c r="EG127" s="88" t="n">
        <f aca="false">EE127+EG126</f>
        <v>0</v>
      </c>
      <c r="EH127" s="88" t="n">
        <f aca="false">MAX(EH126,EF127-EG127)</f>
        <v>94.836317195472</v>
      </c>
      <c r="EI127" s="88" t="n">
        <f aca="false">EH127-EH126</f>
        <v>0.741611468731534</v>
      </c>
      <c r="EJ127" s="88" t="n">
        <f aca="false">IF(B127=2026,INDEX($C$25:$Q$25,1,B127-2025)*$AO$4*C127/MAX(0.0001,12-$AO$3),INDEX($C$25:$Q$25,1,B127-2025)/12)</f>
        <v>0.943869142021955</v>
      </c>
      <c r="EK127" s="88" t="n">
        <f aca="false">$AO$6*0</f>
        <v>0</v>
      </c>
      <c r="EL127" s="88" t="n">
        <f aca="false">EJ127+EL126</f>
        <v>120.700767339692</v>
      </c>
      <c r="EM127" s="88" t="n">
        <f aca="false">EK127+EM126</f>
        <v>14</v>
      </c>
      <c r="EN127" s="88" t="n">
        <f aca="false">MAX(EN126,EL127-EM127)</f>
        <v>106.700767339692</v>
      </c>
      <c r="EO127" s="88" t="n">
        <f aca="false">EN127-EN126</f>
        <v>0.943869142021953</v>
      </c>
      <c r="EP127" s="88" t="n">
        <f aca="false">IF(B127=2026,INDEX($C$26:$Q$26,1,B127-2025)*$AO$4*C127/MAX(0.0001,12-$AO$3),INDEX($C$26:$Q$26,1,B127-2025)/12)</f>
        <v>1.35681189165656</v>
      </c>
      <c r="EQ127" s="88" t="n">
        <f aca="false">$AO$6*0</f>
        <v>0</v>
      </c>
      <c r="ER127" s="88" t="n">
        <f aca="false">EP127+ER126</f>
        <v>173.507353050806</v>
      </c>
      <c r="ES127" s="88" t="n">
        <f aca="false">EQ127+ES126</f>
        <v>4</v>
      </c>
      <c r="ET127" s="88" t="n">
        <f aca="false">MAX(ET126,ER127-ES127)</f>
        <v>169.507353050806</v>
      </c>
      <c r="EU127" s="88" t="n">
        <f aca="false">ET127-ET126</f>
        <v>1.35681189165655</v>
      </c>
      <c r="EV127" s="88" t="n">
        <f aca="false">IF(B127=2026,INDEX($C$27:$Q$27,1,B127-2025)*$AO$4*C127/MAX(0.0001,12-$AO$3),INDEX($C$27:$Q$27,1,B127-2025)/12)</f>
        <v>3.37096122150698</v>
      </c>
      <c r="EW127" s="88" t="n">
        <f aca="false">$AO$6*0</f>
        <v>0</v>
      </c>
      <c r="EX127" s="88" t="n">
        <f aca="false">EV127+EX126</f>
        <v>431.074169070328</v>
      </c>
      <c r="EY127" s="88" t="n">
        <f aca="false">EW127+EY126</f>
        <v>391</v>
      </c>
      <c r="EZ127" s="88" t="n">
        <f aca="false">MAX(EZ126,EX127-EY127)</f>
        <v>40.0741690703276</v>
      </c>
      <c r="FA127" s="88" t="n">
        <f aca="false">EZ127-EZ126</f>
        <v>3.370961221507</v>
      </c>
      <c r="FB127" s="88" t="n">
        <f aca="false">IF(B127=2026,INDEX($C$28:$Q$28,1,B127-2025)*$AO$4*C127/MAX(0.0001,12-$AO$3),INDEX($C$28:$Q$28,1,B127-2025)/12)</f>
        <v>17.646981994589</v>
      </c>
      <c r="FC127" s="88" t="n">
        <f aca="false">$AO$6*0</f>
        <v>0</v>
      </c>
      <c r="FD127" s="88" t="n">
        <f aca="false">FB127+FD126</f>
        <v>2256.67327508316</v>
      </c>
      <c r="FE127" s="88" t="n">
        <f aca="false">FC127+FE126</f>
        <v>169</v>
      </c>
      <c r="FF127" s="88" t="n">
        <f aca="false">MAX(FF126,FD127-FE127)</f>
        <v>2087.67327508316</v>
      </c>
      <c r="FG127" s="88" t="n">
        <f aca="false">FF127-FF126</f>
        <v>17.6469819945892</v>
      </c>
    </row>
    <row r="128" customFormat="false" ht="15" hidden="false" customHeight="false" outlineLevel="0" collapsed="false">
      <c r="A128" s="0" t="n">
        <v>88</v>
      </c>
      <c r="B128" s="88" t="n">
        <f aca="false">2026+INT(A128/12)</f>
        <v>2033</v>
      </c>
      <c r="C128" s="88" t="n">
        <f aca="false">MAX(0,MIN(1,A128+1-$AO$3))</f>
        <v>1</v>
      </c>
      <c r="D128" s="88" t="n">
        <f aca="false">IF((A128+0.5-(0))&lt;$AO$3,0,2026+INT((A128+0.5-(0))/12))</f>
        <v>2033</v>
      </c>
      <c r="E128" s="88" t="n">
        <f aca="false">IF((A128+0.5-($AO$9))&lt;$AO$3,0,2026+INT((A128+0.5-($AO$9))/12))</f>
        <v>2032</v>
      </c>
      <c r="F128" s="88" t="n">
        <f aca="false">IF((A128+0.5-($AO$9+$AO$8))&lt;$AO$3,0,2026+INT((A128+0.5-($AO$9+$AO$8))/12))</f>
        <v>2030</v>
      </c>
      <c r="G128" s="88" t="n">
        <f aca="false">IF((A128+0.5-($AO$9+$AO$8+$AO$7))&lt;$AO$3,0,2026+INT((A128+0.5-($AO$9+$AO$8+$AO$7))/12))</f>
        <v>2030</v>
      </c>
      <c r="H128" s="88" t="n">
        <f aca="false">IF(B128=2026,INDEX($C$3:$Q$3,1,B128-2025)*$AO$4*C128/MAX(0.0001,12-$AO$3),INDEX($C$3:$Q$3,1,B128-2025)/12)</f>
        <v>180.666666666667</v>
      </c>
      <c r="I128" s="88" t="n">
        <f aca="false">$AO$6*0</f>
        <v>0</v>
      </c>
      <c r="J128" s="88" t="n">
        <f aca="false">H128+J127</f>
        <v>23284.0867579909</v>
      </c>
      <c r="K128" s="88" t="n">
        <f aca="false">I128+K127</f>
        <v>8695.00000000001</v>
      </c>
      <c r="L128" s="88" t="n">
        <f aca="false">MAX(L127,J128-K128)</f>
        <v>14589.0867579909</v>
      </c>
      <c r="M128" s="88" t="n">
        <f aca="false">L128-L127</f>
        <v>180.666666666668</v>
      </c>
      <c r="N128" s="88" t="n">
        <f aca="false">IF(B128=2026,INDEX($C$4:$Q$4,1,B128-2025)*$AO$4*C128/MAX(0.0001,12-$AO$3),INDEX($C$4:$Q$4,1,B128-2025)/12)</f>
        <v>5.47724540066293</v>
      </c>
      <c r="O128" s="88" t="n">
        <f aca="false">$AO$6*0</f>
        <v>0</v>
      </c>
      <c r="P128" s="88" t="n">
        <f aca="false">N128+P127</f>
        <v>705.900316072926</v>
      </c>
      <c r="Q128" s="88" t="n">
        <f aca="false">O128+Q127</f>
        <v>398</v>
      </c>
      <c r="R128" s="88" t="n">
        <f aca="false">MAX(R127,P128-Q128)</f>
        <v>307.900316072926</v>
      </c>
      <c r="S128" s="88" t="n">
        <f aca="false">R128-R127</f>
        <v>5.47724540066292</v>
      </c>
      <c r="T128" s="88" t="n">
        <f aca="false">IF(B128=2026,INDEX($C$5:$Q$5,1,B128-2025)*$AO$4*C128/MAX(0.0001,12-$AO$3),INDEX($C$5:$Q$5,1,B128-2025)/12)</f>
        <v>22.2615024358139</v>
      </c>
      <c r="U128" s="88" t="n">
        <f aca="false">$AO$6*0</f>
        <v>0</v>
      </c>
      <c r="V128" s="88" t="n">
        <f aca="false">T128+V127</f>
        <v>2869.03369416263</v>
      </c>
      <c r="W128" s="88" t="n">
        <f aca="false">U128+W127</f>
        <v>1115</v>
      </c>
      <c r="X128" s="88" t="n">
        <f aca="false">MAX(X127,V128-W128)</f>
        <v>1754.03369416263</v>
      </c>
      <c r="Y128" s="88" t="n">
        <f aca="false">X128-X127</f>
        <v>22.2615024358138</v>
      </c>
      <c r="Z128" s="88" t="n">
        <f aca="false">IF(B128=2026,INDEX($C$6:$Q$6,1,B128-2025)*$AO$4*C128/MAX(0.0001,12-$AO$3),INDEX($C$6:$Q$6,1,B128-2025)/12)</f>
        <v>26.4114629913323</v>
      </c>
      <c r="AA128" s="88" t="n">
        <f aca="false">$AO$6*0</f>
        <v>0</v>
      </c>
      <c r="AB128" s="88" t="n">
        <f aca="false">Z128+AB127</f>
        <v>3403.87525292793</v>
      </c>
      <c r="AC128" s="88" t="n">
        <f aca="false">AA128+AC127</f>
        <v>2194</v>
      </c>
      <c r="AD128" s="88" t="n">
        <f aca="false">MAX(AD127,AB128-AC128)</f>
        <v>1335.64282617929</v>
      </c>
      <c r="AE128" s="88" t="n">
        <f aca="false">AD128-AD127</f>
        <v>0</v>
      </c>
      <c r="AF128" s="88" t="n">
        <f aca="false">IF(B128=2026,INDEX($C$7:$Q$7,1,B128-2025)*$AO$4*C128/MAX(0.0001,12-$AO$3),INDEX($C$7:$Q$7,1,B128-2025)/12)</f>
        <v>22.9427081739175</v>
      </c>
      <c r="AG128" s="88" t="n">
        <f aca="false">$AO$6*0</f>
        <v>0</v>
      </c>
      <c r="AH128" s="88" t="n">
        <f aca="false">AF128+AH127</f>
        <v>2956.82661024774</v>
      </c>
      <c r="AI128" s="88" t="n">
        <f aca="false">AG128+AI127</f>
        <v>826</v>
      </c>
      <c r="AJ128" s="88" t="n">
        <f aca="false">MAX(AJ127,AH128-AI128)</f>
        <v>2130.82661024774</v>
      </c>
      <c r="AK128" s="88" t="n">
        <f aca="false">AJ128-AJ127</f>
        <v>22.9427081739173</v>
      </c>
      <c r="AL128" s="88" t="n">
        <f aca="false">IF(B128=2026,INDEX($C$8:$Q$8,1,B128-2025)*$AO$4*C128/MAX(0.0001,12-$AO$3),INDEX($C$8:$Q$8,1,B128-2025)/12)</f>
        <v>5.80342126052833</v>
      </c>
      <c r="AM128" s="88" t="n">
        <f aca="false">$AO$6*0</f>
        <v>0</v>
      </c>
      <c r="AN128" s="88" t="n">
        <f aca="false">AL128+AN127</f>
        <v>747.937439796922</v>
      </c>
      <c r="AO128" s="88" t="n">
        <f aca="false">AM128+AO127</f>
        <v>66</v>
      </c>
      <c r="AP128" s="88" t="n">
        <f aca="false">MAX(AP127,AN128-AO128)</f>
        <v>681.937439796922</v>
      </c>
      <c r="AQ128" s="88" t="n">
        <f aca="false">AP128-AP127</f>
        <v>5.80342126052835</v>
      </c>
      <c r="AR128" s="88" t="n">
        <f aca="false">IF(B128=2026,INDEX($C$9:$Q$9,1,B128-2025)*$AO$4*C128/MAX(0.0001,12-$AO$3),INDEX($C$9:$Q$9,1,B128-2025)/12)</f>
        <v>24.7454570609428</v>
      </c>
      <c r="AS128" s="88" t="n">
        <f aca="false">$AO$6*0</f>
        <v>0</v>
      </c>
      <c r="AT128" s="88" t="n">
        <f aca="false">AR128+AT127</f>
        <v>3189.16255944538</v>
      </c>
      <c r="AU128" s="88" t="n">
        <f aca="false">AS128+AU127</f>
        <v>1810</v>
      </c>
      <c r="AV128" s="88" t="n">
        <f aca="false">MAX(AV127,AT128-AU128)</f>
        <v>1379.16255944537</v>
      </c>
      <c r="AW128" s="88" t="n">
        <f aca="false">AV128-AV127</f>
        <v>24.745457060943</v>
      </c>
      <c r="AX128" s="88" t="n">
        <f aca="false">IF(B128=2026,INDEX($C$10:$Q$10,1,B128-2025)*$AO$4*C128/MAX(0.0001,12-$AO$3),INDEX($C$10:$Q$10,1,B128-2025)/12)</f>
        <v>2.87034756681557</v>
      </c>
      <c r="AY128" s="88" t="n">
        <f aca="false">$AO$6*0</f>
        <v>0</v>
      </c>
      <c r="AZ128" s="88" t="n">
        <f aca="false">AX128+AZ127</f>
        <v>369.926688771153</v>
      </c>
      <c r="BA128" s="88" t="n">
        <f aca="false">AY128+BA127</f>
        <v>50</v>
      </c>
      <c r="BB128" s="88" t="n">
        <f aca="false">MAX(BB127,AZ128-BA128)</f>
        <v>319.926688771153</v>
      </c>
      <c r="BC128" s="88" t="n">
        <f aca="false">BB128-BB127</f>
        <v>2.87034756681555</v>
      </c>
      <c r="BD128" s="88" t="n">
        <f aca="false">IF(B128=2026,INDEX($C$11:$Q$11,1,B128-2025)*$AO$4*C128/MAX(0.0001,12-$AO$3),INDEX($C$11:$Q$11,1,B128-2025)/12)</f>
        <v>14.2639212564218</v>
      </c>
      <c r="BE128" s="88" t="n">
        <f aca="false">$AO$6*0</f>
        <v>0</v>
      </c>
      <c r="BF128" s="88" t="n">
        <f aca="false">BD128+BF127</f>
        <v>1838.31575669931</v>
      </c>
      <c r="BG128" s="88" t="n">
        <f aca="false">BE128+BG127</f>
        <v>240</v>
      </c>
      <c r="BH128" s="88" t="n">
        <f aca="false">MAX(BH127,BF128-BG128)</f>
        <v>1598.31575669931</v>
      </c>
      <c r="BI128" s="88" t="n">
        <f aca="false">BH128-BH127</f>
        <v>14.2639212564218</v>
      </c>
      <c r="BJ128" s="88" t="n">
        <f aca="false">IF(B128=2026,INDEX($C$12:$Q$12,1,B128-2025)*$AO$4*C128/MAX(0.0001,12-$AO$3),INDEX($C$12:$Q$12,1,B128-2025)/12)</f>
        <v>7.82069350154207</v>
      </c>
      <c r="BK128" s="88" t="n">
        <f aca="false">$AO$6*0</f>
        <v>0</v>
      </c>
      <c r="BL128" s="88" t="n">
        <f aca="false">BJ128+BL127</f>
        <v>1007.92088190532</v>
      </c>
      <c r="BM128" s="88" t="n">
        <f aca="false">BK128+BM127</f>
        <v>465</v>
      </c>
      <c r="BN128" s="88" t="n">
        <f aca="false">MAX(BN127,BL128-BM128)</f>
        <v>620.1207703606</v>
      </c>
      <c r="BO128" s="88" t="n">
        <f aca="false">BN128-BN127</f>
        <v>0</v>
      </c>
      <c r="BP128" s="88" t="n">
        <f aca="false">IF(B128=2026,INDEX($C$13:$Q$13,1,B128-2025)*$AO$4*C128/MAX(0.0001,12-$AO$3),INDEX($C$13:$Q$13,1,B128-2025)/12)</f>
        <v>2.44394688559256</v>
      </c>
      <c r="BQ128" s="88" t="n">
        <f aca="false">$AO$6*0</f>
        <v>0</v>
      </c>
      <c r="BR128" s="88" t="n">
        <f aca="false">BP128+BR127</f>
        <v>314.97271946158</v>
      </c>
      <c r="BS128" s="88" t="n">
        <f aca="false">BQ128+BS127</f>
        <v>87</v>
      </c>
      <c r="BT128" s="88" t="n">
        <f aca="false">MAX(BT127,BR128-BS128)</f>
        <v>227.97271946158</v>
      </c>
      <c r="BU128" s="88" t="n">
        <f aca="false">BT128-BT127</f>
        <v>2.44394688559254</v>
      </c>
      <c r="BV128" s="88" t="n">
        <f aca="false">IF(B128=2026,INDEX($C$14:$Q$14,1,B128-2025)*$AO$4*C128/MAX(0.0001,12-$AO$3),INDEX($C$14:$Q$14,1,B128-2025)/12)</f>
        <v>1.449513325248</v>
      </c>
      <c r="BW128" s="88" t="n">
        <f aca="false">$AO$6*0</f>
        <v>0</v>
      </c>
      <c r="BX128" s="88" t="n">
        <f aca="false">BV128+BX127</f>
        <v>186.811406025489</v>
      </c>
      <c r="BY128" s="88" t="n">
        <f aca="false">BW128+BY127</f>
        <v>0</v>
      </c>
      <c r="BZ128" s="88" t="n">
        <f aca="false">MAX(BZ127,BX128-BY128)</f>
        <v>186.811406025489</v>
      </c>
      <c r="CA128" s="88" t="n">
        <f aca="false">BZ128-BZ127</f>
        <v>1.44951332524801</v>
      </c>
      <c r="CB128" s="88" t="n">
        <f aca="false">IF(B128=2026,INDEX($C$15:$Q$15,1,B128-2025)*$AO$4*C128/MAX(0.0001,12-$AO$3),INDEX($C$15:$Q$15,1,B128-2025)/12)</f>
        <v>2.37652766116242</v>
      </c>
      <c r="CC128" s="88" t="n">
        <f aca="false">$AO$6*0</f>
        <v>0</v>
      </c>
      <c r="CD128" s="88" t="n">
        <f aca="false">CB128+CD127</f>
        <v>306.283816855743</v>
      </c>
      <c r="CE128" s="88" t="n">
        <f aca="false">CC128+CE127</f>
        <v>88.0000000000001</v>
      </c>
      <c r="CF128" s="88" t="n">
        <f aca="false">MAX(CF127,CD128-CE128)</f>
        <v>218.283816855743</v>
      </c>
      <c r="CG128" s="88" t="n">
        <f aca="false">CF128-CF127</f>
        <v>2.37652766116241</v>
      </c>
      <c r="CH128" s="88" t="n">
        <f aca="false">IF(B128=2026,INDEX($C$16:$Q$16,1,B128-2025)*$AO$4*C128/MAX(0.0001,12-$AO$3),INDEX($C$16:$Q$16,1,B128-2025)/12)</f>
        <v>1.87931088099014</v>
      </c>
      <c r="CI128" s="88" t="n">
        <f aca="false">$AO$6*0</f>
        <v>0</v>
      </c>
      <c r="CJ128" s="88" t="n">
        <f aca="false">CH128+CJ127</f>
        <v>242.203160137698</v>
      </c>
      <c r="CK128" s="88" t="n">
        <f aca="false">CI128+CK127</f>
        <v>70</v>
      </c>
      <c r="CL128" s="88" t="n">
        <f aca="false">MAX(CL127,CJ128-CK128)</f>
        <v>172.203160137698</v>
      </c>
      <c r="CM128" s="88" t="n">
        <f aca="false">CL128-CL127</f>
        <v>1.87931088099015</v>
      </c>
      <c r="CN128" s="88" t="n">
        <f aca="false">IF(B128=2026,INDEX($C$17:$Q$17,1,B128-2025)*$AO$4*C128/MAX(0.0001,12-$AO$3),INDEX($C$17:$Q$17,1,B128-2025)/12)</f>
        <v>8.1830083652082</v>
      </c>
      <c r="CO128" s="88" t="n">
        <f aca="false">$AO$6*0</f>
        <v>0</v>
      </c>
      <c r="CP128" s="88" t="n">
        <f aca="false">CN128+CP127</f>
        <v>1054.61555378343</v>
      </c>
      <c r="CQ128" s="88" t="n">
        <f aca="false">CO128+CQ127</f>
        <v>221</v>
      </c>
      <c r="CR128" s="88" t="n">
        <f aca="false">MAX(CR127,CP128-CQ128)</f>
        <v>833.615553783431</v>
      </c>
      <c r="CS128" s="88" t="n">
        <f aca="false">CR128-CR127</f>
        <v>8.18300836520825</v>
      </c>
      <c r="CT128" s="88" t="n">
        <f aca="false">IF(B128=2026,INDEX($C$18:$Q$18,1,B128-2025)*$AO$4*C128/MAX(0.0001,12-$AO$3),INDEX($C$18:$Q$18,1,B128-2025)/12)</f>
        <v>1.70233541686103</v>
      </c>
      <c r="CU128" s="88" t="n">
        <f aca="false">$AO$6*0</f>
        <v>0</v>
      </c>
      <c r="CV128" s="88" t="n">
        <f aca="false">CT128+CV127</f>
        <v>219.394790797376</v>
      </c>
      <c r="CW128" s="88" t="n">
        <f aca="false">CU128+CW127</f>
        <v>11</v>
      </c>
      <c r="CX128" s="88" t="n">
        <f aca="false">MAX(CX127,CV128-CW128)</f>
        <v>208.394790797376</v>
      </c>
      <c r="CY128" s="88" t="n">
        <f aca="false">CX128-CX127</f>
        <v>1.70233541686102</v>
      </c>
      <c r="CZ128" s="88" t="n">
        <f aca="false">IF(B128=2026,INDEX($C$19:$Q$19,1,B128-2025)*$AO$4*C128/MAX(0.0001,12-$AO$3),INDEX($C$19:$Q$19,1,B128-2025)/12)</f>
        <v>1.68548061075349</v>
      </c>
      <c r="DA128" s="88" t="n">
        <f aca="false">$AO$6*0</f>
        <v>0</v>
      </c>
      <c r="DB128" s="88" t="n">
        <f aca="false">CZ128+DB127</f>
        <v>217.222565145917</v>
      </c>
      <c r="DC128" s="88" t="n">
        <f aca="false">DA128+DC127</f>
        <v>226</v>
      </c>
      <c r="DD128" s="88" t="n">
        <f aca="false">MAX(DD127,DB128-DC128)</f>
        <v>37.132124495359</v>
      </c>
      <c r="DE128" s="88" t="n">
        <f aca="false">DD128-DD127</f>
        <v>0</v>
      </c>
      <c r="DF128" s="88" t="n">
        <f aca="false">IF(B128=2026,INDEX($C$20:$Q$20,1,B128-2025)*$AO$4*C128/MAX(0.0001,12-$AO$3),INDEX($C$20:$Q$20,1,B128-2025)/12)</f>
        <v>1.37366669776409</v>
      </c>
      <c r="DG128" s="88" t="n">
        <f aca="false">$AO$6*0</f>
        <v>0</v>
      </c>
      <c r="DH128" s="88" t="n">
        <f aca="false">DF128+DH127</f>
        <v>177.036390593922</v>
      </c>
      <c r="DI128" s="88" t="n">
        <f aca="false">DG128+DI127</f>
        <v>0</v>
      </c>
      <c r="DJ128" s="88" t="n">
        <f aca="false">MAX(DJ127,DH128-DI128)</f>
        <v>177.036390593922</v>
      </c>
      <c r="DK128" s="88" t="n">
        <f aca="false">DJ128-DJ127</f>
        <v>1.37366669776409</v>
      </c>
      <c r="DL128" s="88" t="n">
        <f aca="false">IF(B128=2026,INDEX($C$21:$Q$21,1,B128-2025)*$AO$4*C128/MAX(0.0001,12-$AO$3),INDEX($C$21:$Q$21,1,B128-2025)/12)</f>
        <v>0.96072394812949</v>
      </c>
      <c r="DM128" s="88" t="n">
        <f aca="false">$AO$6*0</f>
        <v>0</v>
      </c>
      <c r="DN128" s="88" t="n">
        <f aca="false">DL128+DN127</f>
        <v>123.816862133173</v>
      </c>
      <c r="DO128" s="88" t="n">
        <f aca="false">DM128+DO127</f>
        <v>100</v>
      </c>
      <c r="DP128" s="88" t="n">
        <f aca="false">MAX(DP127,DN128-DO128)</f>
        <v>23.8168621331726</v>
      </c>
      <c r="DQ128" s="88" t="n">
        <f aca="false">DP128-DP127</f>
        <v>0.960723948129484</v>
      </c>
      <c r="DR128" s="88" t="n">
        <f aca="false">IF(B128=2026,INDEX($C$22:$Q$22,1,B128-2025)*$AO$4*C128/MAX(0.0001,12-$AO$3),INDEX($C$22:$Q$22,1,B128-2025)/12)</f>
        <v>0.750038871785304</v>
      </c>
      <c r="DS128" s="88" t="n">
        <f aca="false">$AO$6*0</f>
        <v>0</v>
      </c>
      <c r="DT128" s="88" t="n">
        <f aca="false">DR128+DT127</f>
        <v>96.6640414899333</v>
      </c>
      <c r="DU128" s="88" t="n">
        <f aca="false">DS128+DU127</f>
        <v>29</v>
      </c>
      <c r="DV128" s="88" t="n">
        <f aca="false">MAX(DV127,DT128-DU128)</f>
        <v>67.6640414899333</v>
      </c>
      <c r="DW128" s="88" t="n">
        <f aca="false">DV128-DV127</f>
        <v>0.750038871785307</v>
      </c>
      <c r="DX128" s="88" t="n">
        <f aca="false">IF(B128=2026,INDEX($C$23:$Q$23,1,B128-2025)*$AO$4*C128/MAX(0.0001,12-$AO$3),INDEX($C$23:$Q$23,1,B128-2025)/12)</f>
        <v>1.20511863668875</v>
      </c>
      <c r="DY128" s="88" t="n">
        <f aca="false">$AO$6*0</f>
        <v>0</v>
      </c>
      <c r="DZ128" s="88" t="n">
        <f aca="false">DX128+DZ127</f>
        <v>155.314134079331</v>
      </c>
      <c r="EA128" s="88" t="n">
        <f aca="false">DY128+EA127</f>
        <v>121</v>
      </c>
      <c r="EB128" s="88" t="n">
        <f aca="false">MAX(EB127,DZ128-EA128)</f>
        <v>35.0579690141817</v>
      </c>
      <c r="EC128" s="88" t="n">
        <f aca="false">EB128-EB127</f>
        <v>0</v>
      </c>
      <c r="ED128" s="88" t="n">
        <f aca="false">IF(B128=2026,INDEX($C$24:$Q$24,1,B128-2025)*$AO$4*C128/MAX(0.0001,12-$AO$3),INDEX($C$24:$Q$24,1,B128-2025)/12)</f>
        <v>0.741611468731536</v>
      </c>
      <c r="EE128" s="88" t="n">
        <f aca="false">$AO$6*0</f>
        <v>0</v>
      </c>
      <c r="EF128" s="88" t="n">
        <f aca="false">ED128+EF127</f>
        <v>95.5779286642036</v>
      </c>
      <c r="EG128" s="88" t="n">
        <f aca="false">EE128+EG127</f>
        <v>0</v>
      </c>
      <c r="EH128" s="88" t="n">
        <f aca="false">MAX(EH127,EF128-EG128)</f>
        <v>95.5779286642036</v>
      </c>
      <c r="EI128" s="88" t="n">
        <f aca="false">EH128-EH127</f>
        <v>0.741611468731534</v>
      </c>
      <c r="EJ128" s="88" t="n">
        <f aca="false">IF(B128=2026,INDEX($C$25:$Q$25,1,B128-2025)*$AO$4*C128/MAX(0.0001,12-$AO$3),INDEX($C$25:$Q$25,1,B128-2025)/12)</f>
        <v>0.943869142021955</v>
      </c>
      <c r="EK128" s="88" t="n">
        <f aca="false">$AO$6*0</f>
        <v>0</v>
      </c>
      <c r="EL128" s="88" t="n">
        <f aca="false">EJ128+EL127</f>
        <v>121.644636481714</v>
      </c>
      <c r="EM128" s="88" t="n">
        <f aca="false">EK128+EM127</f>
        <v>14</v>
      </c>
      <c r="EN128" s="88" t="n">
        <f aca="false">MAX(EN127,EL128-EM128)</f>
        <v>107.644636481714</v>
      </c>
      <c r="EO128" s="88" t="n">
        <f aca="false">EN128-EN127</f>
        <v>0.943869142021953</v>
      </c>
      <c r="EP128" s="88" t="n">
        <f aca="false">IF(B128=2026,INDEX($C$26:$Q$26,1,B128-2025)*$AO$4*C128/MAX(0.0001,12-$AO$3),INDEX($C$26:$Q$26,1,B128-2025)/12)</f>
        <v>1.35681189165656</v>
      </c>
      <c r="EQ128" s="88" t="n">
        <f aca="false">$AO$6*0</f>
        <v>0</v>
      </c>
      <c r="ER128" s="88" t="n">
        <f aca="false">EP128+ER127</f>
        <v>174.864164942463</v>
      </c>
      <c r="ES128" s="88" t="n">
        <f aca="false">EQ128+ES127</f>
        <v>4</v>
      </c>
      <c r="ET128" s="88" t="n">
        <f aca="false">MAX(ET127,ER128-ES128)</f>
        <v>170.864164942463</v>
      </c>
      <c r="EU128" s="88" t="n">
        <f aca="false">ET128-ET127</f>
        <v>1.35681189165655</v>
      </c>
      <c r="EV128" s="88" t="n">
        <f aca="false">IF(B128=2026,INDEX($C$27:$Q$27,1,B128-2025)*$AO$4*C128/MAX(0.0001,12-$AO$3),INDEX($C$27:$Q$27,1,B128-2025)/12)</f>
        <v>3.37096122150698</v>
      </c>
      <c r="EW128" s="88" t="n">
        <f aca="false">$AO$6*0</f>
        <v>0</v>
      </c>
      <c r="EX128" s="88" t="n">
        <f aca="false">EV128+EX127</f>
        <v>434.445130291835</v>
      </c>
      <c r="EY128" s="88" t="n">
        <f aca="false">EW128+EY127</f>
        <v>391</v>
      </c>
      <c r="EZ128" s="88" t="n">
        <f aca="false">MAX(EZ127,EX128-EY128)</f>
        <v>43.4451302918346</v>
      </c>
      <c r="FA128" s="88" t="n">
        <f aca="false">EZ128-EZ127</f>
        <v>3.370961221507</v>
      </c>
      <c r="FB128" s="88" t="n">
        <f aca="false">IF(B128=2026,INDEX($C$28:$Q$28,1,B128-2025)*$AO$4*C128/MAX(0.0001,12-$AO$3),INDEX($C$28:$Q$28,1,B128-2025)/12)</f>
        <v>17.646981994589</v>
      </c>
      <c r="FC128" s="88" t="n">
        <f aca="false">$AO$6*0</f>
        <v>0</v>
      </c>
      <c r="FD128" s="88" t="n">
        <f aca="false">FB128+FD127</f>
        <v>2274.32025707775</v>
      </c>
      <c r="FE128" s="88" t="n">
        <f aca="false">FC128+FE127</f>
        <v>169</v>
      </c>
      <c r="FF128" s="88" t="n">
        <f aca="false">MAX(FF127,FD128-FE128)</f>
        <v>2105.32025707775</v>
      </c>
      <c r="FG128" s="88" t="n">
        <f aca="false">FF128-FF127</f>
        <v>17.6469819945892</v>
      </c>
    </row>
    <row r="129" customFormat="false" ht="15" hidden="false" customHeight="false" outlineLevel="0" collapsed="false">
      <c r="A129" s="0" t="n">
        <v>89</v>
      </c>
      <c r="B129" s="88" t="n">
        <f aca="false">2026+INT(A129/12)</f>
        <v>2033</v>
      </c>
      <c r="C129" s="88" t="n">
        <f aca="false">MAX(0,MIN(1,A129+1-$AO$3))</f>
        <v>1</v>
      </c>
      <c r="D129" s="88" t="n">
        <f aca="false">IF((A129+0.5-(0))&lt;$AO$3,0,2026+INT((A129+0.5-(0))/12))</f>
        <v>2033</v>
      </c>
      <c r="E129" s="88" t="n">
        <f aca="false">IF((A129+0.5-($AO$9))&lt;$AO$3,0,2026+INT((A129+0.5-($AO$9))/12))</f>
        <v>2032</v>
      </c>
      <c r="F129" s="88" t="n">
        <f aca="false">IF((A129+0.5-($AO$9+$AO$8))&lt;$AO$3,0,2026+INT((A129+0.5-($AO$9+$AO$8))/12))</f>
        <v>2030</v>
      </c>
      <c r="G129" s="88" t="n">
        <f aca="false">IF((A129+0.5-($AO$9+$AO$8+$AO$7))&lt;$AO$3,0,2026+INT((A129+0.5-($AO$9+$AO$8+$AO$7))/12))</f>
        <v>2030</v>
      </c>
      <c r="H129" s="88" t="n">
        <f aca="false">IF(B129=2026,INDEX($C$3:$Q$3,1,B129-2025)*$AO$4*C129/MAX(0.0001,12-$AO$3),INDEX($C$3:$Q$3,1,B129-2025)/12)</f>
        <v>180.666666666667</v>
      </c>
      <c r="I129" s="88" t="n">
        <f aca="false">$AO$6*0</f>
        <v>0</v>
      </c>
      <c r="J129" s="88" t="n">
        <f aca="false">H129+J128</f>
        <v>23464.7534246576</v>
      </c>
      <c r="K129" s="88" t="n">
        <f aca="false">I129+K128</f>
        <v>8695.00000000001</v>
      </c>
      <c r="L129" s="88" t="n">
        <f aca="false">MAX(L128,J129-K129)</f>
        <v>14769.7534246576</v>
      </c>
      <c r="M129" s="88" t="n">
        <f aca="false">L129-L128</f>
        <v>180.666666666668</v>
      </c>
      <c r="N129" s="88" t="n">
        <f aca="false">IF(B129=2026,INDEX($C$4:$Q$4,1,B129-2025)*$AO$4*C129/MAX(0.0001,12-$AO$3),INDEX($C$4:$Q$4,1,B129-2025)/12)</f>
        <v>5.47724540066293</v>
      </c>
      <c r="O129" s="88" t="n">
        <f aca="false">$AO$6*0</f>
        <v>0</v>
      </c>
      <c r="P129" s="88" t="n">
        <f aca="false">N129+P128</f>
        <v>711.377561473589</v>
      </c>
      <c r="Q129" s="88" t="n">
        <f aca="false">O129+Q128</f>
        <v>398</v>
      </c>
      <c r="R129" s="88" t="n">
        <f aca="false">MAX(R128,P129-Q129)</f>
        <v>313.377561473589</v>
      </c>
      <c r="S129" s="88" t="n">
        <f aca="false">R129-R128</f>
        <v>5.47724540066292</v>
      </c>
      <c r="T129" s="88" t="n">
        <f aca="false">IF(B129=2026,INDEX($C$5:$Q$5,1,B129-2025)*$AO$4*C129/MAX(0.0001,12-$AO$3),INDEX($C$5:$Q$5,1,B129-2025)/12)</f>
        <v>22.2615024358139</v>
      </c>
      <c r="U129" s="88" t="n">
        <f aca="false">$AO$6*0</f>
        <v>0</v>
      </c>
      <c r="V129" s="88" t="n">
        <f aca="false">T129+V128</f>
        <v>2891.29519659845</v>
      </c>
      <c r="W129" s="88" t="n">
        <f aca="false">U129+W128</f>
        <v>1115</v>
      </c>
      <c r="X129" s="88" t="n">
        <f aca="false">MAX(X128,V129-W129)</f>
        <v>1776.29519659844</v>
      </c>
      <c r="Y129" s="88" t="n">
        <f aca="false">X129-X128</f>
        <v>22.2615024358138</v>
      </c>
      <c r="Z129" s="88" t="n">
        <f aca="false">IF(B129=2026,INDEX($C$6:$Q$6,1,B129-2025)*$AO$4*C129/MAX(0.0001,12-$AO$3),INDEX($C$6:$Q$6,1,B129-2025)/12)</f>
        <v>26.4114629913323</v>
      </c>
      <c r="AA129" s="88" t="n">
        <f aca="false">$AO$6*0</f>
        <v>0</v>
      </c>
      <c r="AB129" s="88" t="n">
        <f aca="false">Z129+AB128</f>
        <v>3430.28671591926</v>
      </c>
      <c r="AC129" s="88" t="n">
        <f aca="false">AA129+AC128</f>
        <v>2194</v>
      </c>
      <c r="AD129" s="88" t="n">
        <f aca="false">MAX(AD128,AB129-AC129)</f>
        <v>1335.64282617929</v>
      </c>
      <c r="AE129" s="88" t="n">
        <f aca="false">AD129-AD128</f>
        <v>0</v>
      </c>
      <c r="AF129" s="88" t="n">
        <f aca="false">IF(B129=2026,INDEX($C$7:$Q$7,1,B129-2025)*$AO$4*C129/MAX(0.0001,12-$AO$3),INDEX($C$7:$Q$7,1,B129-2025)/12)</f>
        <v>22.9427081739175</v>
      </c>
      <c r="AG129" s="88" t="n">
        <f aca="false">$AO$6*0</f>
        <v>0</v>
      </c>
      <c r="AH129" s="88" t="n">
        <f aca="false">AF129+AH128</f>
        <v>2979.76931842166</v>
      </c>
      <c r="AI129" s="88" t="n">
        <f aca="false">AG129+AI128</f>
        <v>826</v>
      </c>
      <c r="AJ129" s="88" t="n">
        <f aca="false">MAX(AJ128,AH129-AI129)</f>
        <v>2153.76931842166</v>
      </c>
      <c r="AK129" s="88" t="n">
        <f aca="false">AJ129-AJ128</f>
        <v>22.9427081739173</v>
      </c>
      <c r="AL129" s="88" t="n">
        <f aca="false">IF(B129=2026,INDEX($C$8:$Q$8,1,B129-2025)*$AO$4*C129/MAX(0.0001,12-$AO$3),INDEX($C$8:$Q$8,1,B129-2025)/12)</f>
        <v>5.80342126052833</v>
      </c>
      <c r="AM129" s="88" t="n">
        <f aca="false">$AO$6*0</f>
        <v>0</v>
      </c>
      <c r="AN129" s="88" t="n">
        <f aca="false">AL129+AN128</f>
        <v>753.74086105745</v>
      </c>
      <c r="AO129" s="88" t="n">
        <f aca="false">AM129+AO128</f>
        <v>66</v>
      </c>
      <c r="AP129" s="88" t="n">
        <f aca="false">MAX(AP128,AN129-AO129)</f>
        <v>687.74086105745</v>
      </c>
      <c r="AQ129" s="88" t="n">
        <f aca="false">AP129-AP128</f>
        <v>5.80342126052835</v>
      </c>
      <c r="AR129" s="88" t="n">
        <f aca="false">IF(B129=2026,INDEX($C$9:$Q$9,1,B129-2025)*$AO$4*C129/MAX(0.0001,12-$AO$3),INDEX($C$9:$Q$9,1,B129-2025)/12)</f>
        <v>24.7454570609428</v>
      </c>
      <c r="AS129" s="88" t="n">
        <f aca="false">$AO$6*0</f>
        <v>0</v>
      </c>
      <c r="AT129" s="88" t="n">
        <f aca="false">AR129+AT128</f>
        <v>3213.90801650632</v>
      </c>
      <c r="AU129" s="88" t="n">
        <f aca="false">AS129+AU128</f>
        <v>1810</v>
      </c>
      <c r="AV129" s="88" t="n">
        <f aca="false">MAX(AV128,AT129-AU129)</f>
        <v>1403.90801650632</v>
      </c>
      <c r="AW129" s="88" t="n">
        <f aca="false">AV129-AV128</f>
        <v>24.745457060943</v>
      </c>
      <c r="AX129" s="88" t="n">
        <f aca="false">IF(B129=2026,INDEX($C$10:$Q$10,1,B129-2025)*$AO$4*C129/MAX(0.0001,12-$AO$3),INDEX($C$10:$Q$10,1,B129-2025)/12)</f>
        <v>2.87034756681557</v>
      </c>
      <c r="AY129" s="88" t="n">
        <f aca="false">$AO$6*0</f>
        <v>0</v>
      </c>
      <c r="AZ129" s="88" t="n">
        <f aca="false">AX129+AZ128</f>
        <v>372.797036337968</v>
      </c>
      <c r="BA129" s="88" t="n">
        <f aca="false">AY129+BA128</f>
        <v>50</v>
      </c>
      <c r="BB129" s="88" t="n">
        <f aca="false">MAX(BB128,AZ129-BA129)</f>
        <v>322.797036337968</v>
      </c>
      <c r="BC129" s="88" t="n">
        <f aca="false">BB129-BB128</f>
        <v>2.87034756681555</v>
      </c>
      <c r="BD129" s="88" t="n">
        <f aca="false">IF(B129=2026,INDEX($C$11:$Q$11,1,B129-2025)*$AO$4*C129/MAX(0.0001,12-$AO$3),INDEX($C$11:$Q$11,1,B129-2025)/12)</f>
        <v>14.2639212564218</v>
      </c>
      <c r="BE129" s="88" t="n">
        <f aca="false">$AO$6*0</f>
        <v>0</v>
      </c>
      <c r="BF129" s="88" t="n">
        <f aca="false">BD129+BF128</f>
        <v>1852.57967795573</v>
      </c>
      <c r="BG129" s="88" t="n">
        <f aca="false">BE129+BG128</f>
        <v>240</v>
      </c>
      <c r="BH129" s="88" t="n">
        <f aca="false">MAX(BH128,BF129-BG129)</f>
        <v>1612.57967795573</v>
      </c>
      <c r="BI129" s="88" t="n">
        <f aca="false">BH129-BH128</f>
        <v>14.2639212564218</v>
      </c>
      <c r="BJ129" s="88" t="n">
        <f aca="false">IF(B129=2026,INDEX($C$12:$Q$12,1,B129-2025)*$AO$4*C129/MAX(0.0001,12-$AO$3),INDEX($C$12:$Q$12,1,B129-2025)/12)</f>
        <v>7.82069350154207</v>
      </c>
      <c r="BK129" s="88" t="n">
        <f aca="false">$AO$6*0</f>
        <v>0</v>
      </c>
      <c r="BL129" s="88" t="n">
        <f aca="false">BJ129+BL128</f>
        <v>1015.74157540686</v>
      </c>
      <c r="BM129" s="88" t="n">
        <f aca="false">BK129+BM128</f>
        <v>465</v>
      </c>
      <c r="BN129" s="88" t="n">
        <f aca="false">MAX(BN128,BL129-BM129)</f>
        <v>620.1207703606</v>
      </c>
      <c r="BO129" s="88" t="n">
        <f aca="false">BN129-BN128</f>
        <v>0</v>
      </c>
      <c r="BP129" s="88" t="n">
        <f aca="false">IF(B129=2026,INDEX($C$13:$Q$13,1,B129-2025)*$AO$4*C129/MAX(0.0001,12-$AO$3),INDEX($C$13:$Q$13,1,B129-2025)/12)</f>
        <v>2.44394688559256</v>
      </c>
      <c r="BQ129" s="88" t="n">
        <f aca="false">$AO$6*0</f>
        <v>0</v>
      </c>
      <c r="BR129" s="88" t="n">
        <f aca="false">BP129+BR128</f>
        <v>317.416666347172</v>
      </c>
      <c r="BS129" s="88" t="n">
        <f aca="false">BQ129+BS128</f>
        <v>87</v>
      </c>
      <c r="BT129" s="88" t="n">
        <f aca="false">MAX(BT128,BR129-BS129)</f>
        <v>230.416666347172</v>
      </c>
      <c r="BU129" s="88" t="n">
        <f aca="false">BT129-BT128</f>
        <v>2.44394688559254</v>
      </c>
      <c r="BV129" s="88" t="n">
        <f aca="false">IF(B129=2026,INDEX($C$14:$Q$14,1,B129-2025)*$AO$4*C129/MAX(0.0001,12-$AO$3),INDEX($C$14:$Q$14,1,B129-2025)/12)</f>
        <v>1.449513325248</v>
      </c>
      <c r="BW129" s="88" t="n">
        <f aca="false">$AO$6*0</f>
        <v>0</v>
      </c>
      <c r="BX129" s="88" t="n">
        <f aca="false">BV129+BX128</f>
        <v>188.260919350737</v>
      </c>
      <c r="BY129" s="88" t="n">
        <f aca="false">BW129+BY128</f>
        <v>0</v>
      </c>
      <c r="BZ129" s="88" t="n">
        <f aca="false">MAX(BZ128,BX129-BY129)</f>
        <v>188.260919350737</v>
      </c>
      <c r="CA129" s="88" t="n">
        <f aca="false">BZ129-BZ128</f>
        <v>1.44951332524801</v>
      </c>
      <c r="CB129" s="88" t="n">
        <f aca="false">IF(B129=2026,INDEX($C$15:$Q$15,1,B129-2025)*$AO$4*C129/MAX(0.0001,12-$AO$3),INDEX($C$15:$Q$15,1,B129-2025)/12)</f>
        <v>2.37652766116242</v>
      </c>
      <c r="CC129" s="88" t="n">
        <f aca="false">$AO$6*0</f>
        <v>0</v>
      </c>
      <c r="CD129" s="88" t="n">
        <f aca="false">CB129+CD128</f>
        <v>308.660344516905</v>
      </c>
      <c r="CE129" s="88" t="n">
        <f aca="false">CC129+CE128</f>
        <v>88.0000000000001</v>
      </c>
      <c r="CF129" s="88" t="n">
        <f aca="false">MAX(CF128,CD129-CE129)</f>
        <v>220.660344516905</v>
      </c>
      <c r="CG129" s="88" t="n">
        <f aca="false">CF129-CF128</f>
        <v>2.37652766116241</v>
      </c>
      <c r="CH129" s="88" t="n">
        <f aca="false">IF(B129=2026,INDEX($C$16:$Q$16,1,B129-2025)*$AO$4*C129/MAX(0.0001,12-$AO$3),INDEX($C$16:$Q$16,1,B129-2025)/12)</f>
        <v>1.87931088099014</v>
      </c>
      <c r="CI129" s="88" t="n">
        <f aca="false">$AO$6*0</f>
        <v>0</v>
      </c>
      <c r="CJ129" s="88" t="n">
        <f aca="false">CH129+CJ128</f>
        <v>244.082471018688</v>
      </c>
      <c r="CK129" s="88" t="n">
        <f aca="false">CI129+CK128</f>
        <v>70</v>
      </c>
      <c r="CL129" s="88" t="n">
        <f aca="false">MAX(CL128,CJ129-CK129)</f>
        <v>174.082471018688</v>
      </c>
      <c r="CM129" s="88" t="n">
        <f aca="false">CL129-CL128</f>
        <v>1.87931088099015</v>
      </c>
      <c r="CN129" s="88" t="n">
        <f aca="false">IF(B129=2026,INDEX($C$17:$Q$17,1,B129-2025)*$AO$4*C129/MAX(0.0001,12-$AO$3),INDEX($C$17:$Q$17,1,B129-2025)/12)</f>
        <v>8.1830083652082</v>
      </c>
      <c r="CO129" s="88" t="n">
        <f aca="false">$AO$6*0</f>
        <v>0</v>
      </c>
      <c r="CP129" s="88" t="n">
        <f aca="false">CN129+CP128</f>
        <v>1062.79856214864</v>
      </c>
      <c r="CQ129" s="88" t="n">
        <f aca="false">CO129+CQ128</f>
        <v>221</v>
      </c>
      <c r="CR129" s="88" t="n">
        <f aca="false">MAX(CR128,CP129-CQ129)</f>
        <v>841.798562148639</v>
      </c>
      <c r="CS129" s="88" t="n">
        <f aca="false">CR129-CR128</f>
        <v>8.18300836520825</v>
      </c>
      <c r="CT129" s="88" t="n">
        <f aca="false">IF(B129=2026,INDEX($C$18:$Q$18,1,B129-2025)*$AO$4*C129/MAX(0.0001,12-$AO$3),INDEX($C$18:$Q$18,1,B129-2025)/12)</f>
        <v>1.70233541686103</v>
      </c>
      <c r="CU129" s="88" t="n">
        <f aca="false">$AO$6*0</f>
        <v>0</v>
      </c>
      <c r="CV129" s="88" t="n">
        <f aca="false">CT129+CV128</f>
        <v>221.097126214237</v>
      </c>
      <c r="CW129" s="88" t="n">
        <f aca="false">CU129+CW128</f>
        <v>11</v>
      </c>
      <c r="CX129" s="88" t="n">
        <f aca="false">MAX(CX128,CV129-CW129)</f>
        <v>210.097126214237</v>
      </c>
      <c r="CY129" s="88" t="n">
        <f aca="false">CX129-CX128</f>
        <v>1.70233541686102</v>
      </c>
      <c r="CZ129" s="88" t="n">
        <f aca="false">IF(B129=2026,INDEX($C$19:$Q$19,1,B129-2025)*$AO$4*C129/MAX(0.0001,12-$AO$3),INDEX($C$19:$Q$19,1,B129-2025)/12)</f>
        <v>1.68548061075349</v>
      </c>
      <c r="DA129" s="88" t="n">
        <f aca="false">$AO$6*0</f>
        <v>0</v>
      </c>
      <c r="DB129" s="88" t="n">
        <f aca="false">CZ129+DB128</f>
        <v>218.908045756671</v>
      </c>
      <c r="DC129" s="88" t="n">
        <f aca="false">DA129+DC128</f>
        <v>226</v>
      </c>
      <c r="DD129" s="88" t="n">
        <f aca="false">MAX(DD128,DB129-DC129)</f>
        <v>37.132124495359</v>
      </c>
      <c r="DE129" s="88" t="n">
        <f aca="false">DD129-DD128</f>
        <v>0</v>
      </c>
      <c r="DF129" s="88" t="n">
        <f aca="false">IF(B129=2026,INDEX($C$20:$Q$20,1,B129-2025)*$AO$4*C129/MAX(0.0001,12-$AO$3),INDEX($C$20:$Q$20,1,B129-2025)/12)</f>
        <v>1.37366669776409</v>
      </c>
      <c r="DG129" s="88" t="n">
        <f aca="false">$AO$6*0</f>
        <v>0</v>
      </c>
      <c r="DH129" s="88" t="n">
        <f aca="false">DF129+DH128</f>
        <v>178.410057291687</v>
      </c>
      <c r="DI129" s="88" t="n">
        <f aca="false">DG129+DI128</f>
        <v>0</v>
      </c>
      <c r="DJ129" s="88" t="n">
        <f aca="false">MAX(DJ128,DH129-DI129)</f>
        <v>178.410057291687</v>
      </c>
      <c r="DK129" s="88" t="n">
        <f aca="false">DJ129-DJ128</f>
        <v>1.37366669776409</v>
      </c>
      <c r="DL129" s="88" t="n">
        <f aca="false">IF(B129=2026,INDEX($C$21:$Q$21,1,B129-2025)*$AO$4*C129/MAX(0.0001,12-$AO$3),INDEX($C$21:$Q$21,1,B129-2025)/12)</f>
        <v>0.96072394812949</v>
      </c>
      <c r="DM129" s="88" t="n">
        <f aca="false">$AO$6*0</f>
        <v>0</v>
      </c>
      <c r="DN129" s="88" t="n">
        <f aca="false">DL129+DN128</f>
        <v>124.777586081302</v>
      </c>
      <c r="DO129" s="88" t="n">
        <f aca="false">DM129+DO128</f>
        <v>100</v>
      </c>
      <c r="DP129" s="88" t="n">
        <f aca="false">MAX(DP128,DN129-DO129)</f>
        <v>24.7775860813021</v>
      </c>
      <c r="DQ129" s="88" t="n">
        <f aca="false">DP129-DP128</f>
        <v>0.960723948129484</v>
      </c>
      <c r="DR129" s="88" t="n">
        <f aca="false">IF(B129=2026,INDEX($C$22:$Q$22,1,B129-2025)*$AO$4*C129/MAX(0.0001,12-$AO$3),INDEX($C$22:$Q$22,1,B129-2025)/12)</f>
        <v>0.750038871785304</v>
      </c>
      <c r="DS129" s="88" t="n">
        <f aca="false">$AO$6*0</f>
        <v>0</v>
      </c>
      <c r="DT129" s="88" t="n">
        <f aca="false">DR129+DT128</f>
        <v>97.4140803617186</v>
      </c>
      <c r="DU129" s="88" t="n">
        <f aca="false">DS129+DU128</f>
        <v>29</v>
      </c>
      <c r="DV129" s="88" t="n">
        <f aca="false">MAX(DV128,DT129-DU129)</f>
        <v>68.4140803617186</v>
      </c>
      <c r="DW129" s="88" t="n">
        <f aca="false">DV129-DV128</f>
        <v>0.750038871785307</v>
      </c>
      <c r="DX129" s="88" t="n">
        <f aca="false">IF(B129=2026,INDEX($C$23:$Q$23,1,B129-2025)*$AO$4*C129/MAX(0.0001,12-$AO$3),INDEX($C$23:$Q$23,1,B129-2025)/12)</f>
        <v>1.20511863668875</v>
      </c>
      <c r="DY129" s="88" t="n">
        <f aca="false">$AO$6*0</f>
        <v>0</v>
      </c>
      <c r="DZ129" s="88" t="n">
        <f aca="false">DX129+DZ128</f>
        <v>156.51925271602</v>
      </c>
      <c r="EA129" s="88" t="n">
        <f aca="false">DY129+EA128</f>
        <v>121</v>
      </c>
      <c r="EB129" s="88" t="n">
        <f aca="false">MAX(EB128,DZ129-EA129)</f>
        <v>35.5192527160197</v>
      </c>
      <c r="EC129" s="88" t="n">
        <f aca="false">EB129-EB128</f>
        <v>0.461283701837985</v>
      </c>
      <c r="ED129" s="88" t="n">
        <f aca="false">IF(B129=2026,INDEX($C$24:$Q$24,1,B129-2025)*$AO$4*C129/MAX(0.0001,12-$AO$3),INDEX($C$24:$Q$24,1,B129-2025)/12)</f>
        <v>0.741611468731536</v>
      </c>
      <c r="EE129" s="88" t="n">
        <f aca="false">$AO$6*0</f>
        <v>0</v>
      </c>
      <c r="EF129" s="88" t="n">
        <f aca="false">ED129+EF128</f>
        <v>96.3195401329351</v>
      </c>
      <c r="EG129" s="88" t="n">
        <f aca="false">EE129+EG128</f>
        <v>0</v>
      </c>
      <c r="EH129" s="88" t="n">
        <f aca="false">MAX(EH128,EF129-EG129)</f>
        <v>96.3195401329351</v>
      </c>
      <c r="EI129" s="88" t="n">
        <f aca="false">EH129-EH128</f>
        <v>0.741611468731534</v>
      </c>
      <c r="EJ129" s="88" t="n">
        <f aca="false">IF(B129=2026,INDEX($C$25:$Q$25,1,B129-2025)*$AO$4*C129/MAX(0.0001,12-$AO$3),INDEX($C$25:$Q$25,1,B129-2025)/12)</f>
        <v>0.943869142021955</v>
      </c>
      <c r="EK129" s="88" t="n">
        <f aca="false">$AO$6*0</f>
        <v>0</v>
      </c>
      <c r="EL129" s="88" t="n">
        <f aca="false">EJ129+EL128</f>
        <v>122.588505623736</v>
      </c>
      <c r="EM129" s="88" t="n">
        <f aca="false">EK129+EM128</f>
        <v>14</v>
      </c>
      <c r="EN129" s="88" t="n">
        <f aca="false">MAX(EN128,EL129-EM129)</f>
        <v>108.588505623736</v>
      </c>
      <c r="EO129" s="88" t="n">
        <f aca="false">EN129-EN128</f>
        <v>0.943869142021953</v>
      </c>
      <c r="EP129" s="88" t="n">
        <f aca="false">IF(B129=2026,INDEX($C$26:$Q$26,1,B129-2025)*$AO$4*C129/MAX(0.0001,12-$AO$3),INDEX($C$26:$Q$26,1,B129-2025)/12)</f>
        <v>1.35681189165656</v>
      </c>
      <c r="EQ129" s="88" t="n">
        <f aca="false">$AO$6*0</f>
        <v>0</v>
      </c>
      <c r="ER129" s="88" t="n">
        <f aca="false">EP129+ER128</f>
        <v>176.220976834119</v>
      </c>
      <c r="ES129" s="88" t="n">
        <f aca="false">EQ129+ES128</f>
        <v>4</v>
      </c>
      <c r="ET129" s="88" t="n">
        <f aca="false">MAX(ET128,ER129-ES129)</f>
        <v>172.220976834119</v>
      </c>
      <c r="EU129" s="88" t="n">
        <f aca="false">ET129-ET128</f>
        <v>1.35681189165655</v>
      </c>
      <c r="EV129" s="88" t="n">
        <f aca="false">IF(B129=2026,INDEX($C$27:$Q$27,1,B129-2025)*$AO$4*C129/MAX(0.0001,12-$AO$3),INDEX($C$27:$Q$27,1,B129-2025)/12)</f>
        <v>3.37096122150698</v>
      </c>
      <c r="EW129" s="88" t="n">
        <f aca="false">$AO$6*0</f>
        <v>0</v>
      </c>
      <c r="EX129" s="88" t="n">
        <f aca="false">EV129+EX128</f>
        <v>437.816091513342</v>
      </c>
      <c r="EY129" s="88" t="n">
        <f aca="false">EW129+EY128</f>
        <v>391</v>
      </c>
      <c r="EZ129" s="88" t="n">
        <f aca="false">MAX(EZ128,EX129-EY129)</f>
        <v>46.8160915133416</v>
      </c>
      <c r="FA129" s="88" t="n">
        <f aca="false">EZ129-EZ128</f>
        <v>3.370961221507</v>
      </c>
      <c r="FB129" s="88" t="n">
        <f aca="false">IF(B129=2026,INDEX($C$28:$Q$28,1,B129-2025)*$AO$4*C129/MAX(0.0001,12-$AO$3),INDEX($C$28:$Q$28,1,B129-2025)/12)</f>
        <v>17.646981994589</v>
      </c>
      <c r="FC129" s="88" t="n">
        <f aca="false">$AO$6*0</f>
        <v>0</v>
      </c>
      <c r="FD129" s="88" t="n">
        <f aca="false">FB129+FD128</f>
        <v>2291.96723907234</v>
      </c>
      <c r="FE129" s="88" t="n">
        <f aca="false">FC129+FE128</f>
        <v>169</v>
      </c>
      <c r="FF129" s="88" t="n">
        <f aca="false">MAX(FF128,FD129-FE129)</f>
        <v>2122.96723907234</v>
      </c>
      <c r="FG129" s="88" t="n">
        <f aca="false">FF129-FF128</f>
        <v>17.6469819945892</v>
      </c>
    </row>
    <row r="130" customFormat="false" ht="15" hidden="false" customHeight="false" outlineLevel="0" collapsed="false">
      <c r="A130" s="0" t="n">
        <v>90</v>
      </c>
      <c r="B130" s="88" t="n">
        <f aca="false">2026+INT(A130/12)</f>
        <v>2033</v>
      </c>
      <c r="C130" s="88" t="n">
        <f aca="false">MAX(0,MIN(1,A130+1-$AO$3))</f>
        <v>1</v>
      </c>
      <c r="D130" s="88" t="n">
        <f aca="false">IF((A130+0.5-(0))&lt;$AO$3,0,2026+INT((A130+0.5-(0))/12))</f>
        <v>2033</v>
      </c>
      <c r="E130" s="88" t="n">
        <f aca="false">IF((A130+0.5-($AO$9))&lt;$AO$3,0,2026+INT((A130+0.5-($AO$9))/12))</f>
        <v>2032</v>
      </c>
      <c r="F130" s="88" t="n">
        <f aca="false">IF((A130+0.5-($AO$9+$AO$8))&lt;$AO$3,0,2026+INT((A130+0.5-($AO$9+$AO$8))/12))</f>
        <v>2030</v>
      </c>
      <c r="G130" s="88" t="n">
        <f aca="false">IF((A130+0.5-($AO$9+$AO$8+$AO$7))&lt;$AO$3,0,2026+INT((A130+0.5-($AO$9+$AO$8+$AO$7))/12))</f>
        <v>2030</v>
      </c>
      <c r="H130" s="88" t="n">
        <f aca="false">IF(B130=2026,INDEX($C$3:$Q$3,1,B130-2025)*$AO$4*C130/MAX(0.0001,12-$AO$3),INDEX($C$3:$Q$3,1,B130-2025)/12)</f>
        <v>180.666666666667</v>
      </c>
      <c r="I130" s="88" t="n">
        <f aca="false">$AO$6*0</f>
        <v>0</v>
      </c>
      <c r="J130" s="88" t="n">
        <f aca="false">H130+J129</f>
        <v>23645.4200913242</v>
      </c>
      <c r="K130" s="88" t="n">
        <f aca="false">I130+K129</f>
        <v>8695.00000000001</v>
      </c>
      <c r="L130" s="88" t="n">
        <f aca="false">MAX(L129,J130-K130)</f>
        <v>14950.4200913242</v>
      </c>
      <c r="M130" s="88" t="n">
        <f aca="false">L130-L129</f>
        <v>180.666666666668</v>
      </c>
      <c r="N130" s="88" t="n">
        <f aca="false">IF(B130=2026,INDEX($C$4:$Q$4,1,B130-2025)*$AO$4*C130/MAX(0.0001,12-$AO$3),INDEX($C$4:$Q$4,1,B130-2025)/12)</f>
        <v>5.47724540066293</v>
      </c>
      <c r="O130" s="88" t="n">
        <f aca="false">$AO$6*0</f>
        <v>0</v>
      </c>
      <c r="P130" s="88" t="n">
        <f aca="false">N130+P129</f>
        <v>716.854806874252</v>
      </c>
      <c r="Q130" s="88" t="n">
        <f aca="false">O130+Q129</f>
        <v>398</v>
      </c>
      <c r="R130" s="88" t="n">
        <f aca="false">MAX(R129,P130-Q130)</f>
        <v>318.854806874252</v>
      </c>
      <c r="S130" s="88" t="n">
        <f aca="false">R130-R129</f>
        <v>5.47724540066292</v>
      </c>
      <c r="T130" s="88" t="n">
        <f aca="false">IF(B130=2026,INDEX($C$5:$Q$5,1,B130-2025)*$AO$4*C130/MAX(0.0001,12-$AO$3),INDEX($C$5:$Q$5,1,B130-2025)/12)</f>
        <v>22.2615024358139</v>
      </c>
      <c r="U130" s="88" t="n">
        <f aca="false">$AO$6*0</f>
        <v>0</v>
      </c>
      <c r="V130" s="88" t="n">
        <f aca="false">T130+V129</f>
        <v>2913.55669903426</v>
      </c>
      <c r="W130" s="88" t="n">
        <f aca="false">U130+W129</f>
        <v>1115</v>
      </c>
      <c r="X130" s="88" t="n">
        <f aca="false">MAX(X129,V130-W130)</f>
        <v>1798.55669903426</v>
      </c>
      <c r="Y130" s="88" t="n">
        <f aca="false">X130-X129</f>
        <v>22.2615024358138</v>
      </c>
      <c r="Z130" s="88" t="n">
        <f aca="false">IF(B130=2026,INDEX($C$6:$Q$6,1,B130-2025)*$AO$4*C130/MAX(0.0001,12-$AO$3),INDEX($C$6:$Q$6,1,B130-2025)/12)</f>
        <v>26.4114629913323</v>
      </c>
      <c r="AA130" s="88" t="n">
        <f aca="false">$AO$6*0</f>
        <v>0</v>
      </c>
      <c r="AB130" s="88" t="n">
        <f aca="false">Z130+AB129</f>
        <v>3456.6981789106</v>
      </c>
      <c r="AC130" s="88" t="n">
        <f aca="false">AA130+AC129</f>
        <v>2194</v>
      </c>
      <c r="AD130" s="88" t="n">
        <f aca="false">MAX(AD129,AB130-AC130)</f>
        <v>1335.64282617929</v>
      </c>
      <c r="AE130" s="88" t="n">
        <f aca="false">AD130-AD129</f>
        <v>0</v>
      </c>
      <c r="AF130" s="88" t="n">
        <f aca="false">IF(B130=2026,INDEX($C$7:$Q$7,1,B130-2025)*$AO$4*C130/MAX(0.0001,12-$AO$3),INDEX($C$7:$Q$7,1,B130-2025)/12)</f>
        <v>22.9427081739175</v>
      </c>
      <c r="AG130" s="88" t="n">
        <f aca="false">$AO$6*0</f>
        <v>0</v>
      </c>
      <c r="AH130" s="88" t="n">
        <f aca="false">AF130+AH129</f>
        <v>3002.71202659558</v>
      </c>
      <c r="AI130" s="88" t="n">
        <f aca="false">AG130+AI129</f>
        <v>826</v>
      </c>
      <c r="AJ130" s="88" t="n">
        <f aca="false">MAX(AJ129,AH130-AI130)</f>
        <v>2176.71202659558</v>
      </c>
      <c r="AK130" s="88" t="n">
        <f aca="false">AJ130-AJ129</f>
        <v>22.9427081739173</v>
      </c>
      <c r="AL130" s="88" t="n">
        <f aca="false">IF(B130=2026,INDEX($C$8:$Q$8,1,B130-2025)*$AO$4*C130/MAX(0.0001,12-$AO$3),INDEX($C$8:$Q$8,1,B130-2025)/12)</f>
        <v>5.80342126052833</v>
      </c>
      <c r="AM130" s="88" t="n">
        <f aca="false">$AO$6*0</f>
        <v>0</v>
      </c>
      <c r="AN130" s="88" t="n">
        <f aca="false">AL130+AN129</f>
        <v>759.544282317978</v>
      </c>
      <c r="AO130" s="88" t="n">
        <f aca="false">AM130+AO129</f>
        <v>66</v>
      </c>
      <c r="AP130" s="88" t="n">
        <f aca="false">MAX(AP129,AN130-AO130)</f>
        <v>693.544282317978</v>
      </c>
      <c r="AQ130" s="88" t="n">
        <f aca="false">AP130-AP129</f>
        <v>5.80342126052835</v>
      </c>
      <c r="AR130" s="88" t="n">
        <f aca="false">IF(B130=2026,INDEX($C$9:$Q$9,1,B130-2025)*$AO$4*C130/MAX(0.0001,12-$AO$3),INDEX($C$9:$Q$9,1,B130-2025)/12)</f>
        <v>24.7454570609428</v>
      </c>
      <c r="AS130" s="88" t="n">
        <f aca="false">$AO$6*0</f>
        <v>0</v>
      </c>
      <c r="AT130" s="88" t="n">
        <f aca="false">AR130+AT129</f>
        <v>3238.65347356726</v>
      </c>
      <c r="AU130" s="88" t="n">
        <f aca="false">AS130+AU129</f>
        <v>1810</v>
      </c>
      <c r="AV130" s="88" t="n">
        <f aca="false">MAX(AV129,AT130-AU130)</f>
        <v>1428.65347356726</v>
      </c>
      <c r="AW130" s="88" t="n">
        <f aca="false">AV130-AV129</f>
        <v>24.745457060943</v>
      </c>
      <c r="AX130" s="88" t="n">
        <f aca="false">IF(B130=2026,INDEX($C$10:$Q$10,1,B130-2025)*$AO$4*C130/MAX(0.0001,12-$AO$3),INDEX($C$10:$Q$10,1,B130-2025)/12)</f>
        <v>2.87034756681557</v>
      </c>
      <c r="AY130" s="88" t="n">
        <f aca="false">$AO$6*0</f>
        <v>0</v>
      </c>
      <c r="AZ130" s="88" t="n">
        <f aca="false">AX130+AZ129</f>
        <v>375.667383904784</v>
      </c>
      <c r="BA130" s="88" t="n">
        <f aca="false">AY130+BA129</f>
        <v>50</v>
      </c>
      <c r="BB130" s="88" t="n">
        <f aca="false">MAX(BB129,AZ130-BA130)</f>
        <v>325.667383904784</v>
      </c>
      <c r="BC130" s="88" t="n">
        <f aca="false">BB130-BB129</f>
        <v>2.87034756681555</v>
      </c>
      <c r="BD130" s="88" t="n">
        <f aca="false">IF(B130=2026,INDEX($C$11:$Q$11,1,B130-2025)*$AO$4*C130/MAX(0.0001,12-$AO$3),INDEX($C$11:$Q$11,1,B130-2025)/12)</f>
        <v>14.2639212564218</v>
      </c>
      <c r="BE130" s="88" t="n">
        <f aca="false">$AO$6*0</f>
        <v>0</v>
      </c>
      <c r="BF130" s="88" t="n">
        <f aca="false">BD130+BF129</f>
        <v>1866.84359921215</v>
      </c>
      <c r="BG130" s="88" t="n">
        <f aca="false">BE130+BG129</f>
        <v>240</v>
      </c>
      <c r="BH130" s="88" t="n">
        <f aca="false">MAX(BH129,BF130-BG130)</f>
        <v>1626.84359921215</v>
      </c>
      <c r="BI130" s="88" t="n">
        <f aca="false">BH130-BH129</f>
        <v>14.2639212564218</v>
      </c>
      <c r="BJ130" s="88" t="n">
        <f aca="false">IF(B130=2026,INDEX($C$12:$Q$12,1,B130-2025)*$AO$4*C130/MAX(0.0001,12-$AO$3),INDEX($C$12:$Q$12,1,B130-2025)/12)</f>
        <v>7.82069350154207</v>
      </c>
      <c r="BK130" s="88" t="n">
        <f aca="false">$AO$6*0</f>
        <v>0</v>
      </c>
      <c r="BL130" s="88" t="n">
        <f aca="false">BJ130+BL129</f>
        <v>1023.56226890841</v>
      </c>
      <c r="BM130" s="88" t="n">
        <f aca="false">BK130+BM129</f>
        <v>465</v>
      </c>
      <c r="BN130" s="88" t="n">
        <f aca="false">MAX(BN129,BL130-BM130)</f>
        <v>620.1207703606</v>
      </c>
      <c r="BO130" s="88" t="n">
        <f aca="false">BN130-BN129</f>
        <v>0</v>
      </c>
      <c r="BP130" s="88" t="n">
        <f aca="false">IF(B130=2026,INDEX($C$13:$Q$13,1,B130-2025)*$AO$4*C130/MAX(0.0001,12-$AO$3),INDEX($C$13:$Q$13,1,B130-2025)/12)</f>
        <v>2.44394688559256</v>
      </c>
      <c r="BQ130" s="88" t="n">
        <f aca="false">$AO$6*0</f>
        <v>0</v>
      </c>
      <c r="BR130" s="88" t="n">
        <f aca="false">BP130+BR129</f>
        <v>319.860613232765</v>
      </c>
      <c r="BS130" s="88" t="n">
        <f aca="false">BQ130+BS129</f>
        <v>87</v>
      </c>
      <c r="BT130" s="88" t="n">
        <f aca="false">MAX(BT129,BR130-BS130)</f>
        <v>232.860613232765</v>
      </c>
      <c r="BU130" s="88" t="n">
        <f aca="false">BT130-BT129</f>
        <v>2.44394688559254</v>
      </c>
      <c r="BV130" s="88" t="n">
        <f aca="false">IF(B130=2026,INDEX($C$14:$Q$14,1,B130-2025)*$AO$4*C130/MAX(0.0001,12-$AO$3),INDEX($C$14:$Q$14,1,B130-2025)/12)</f>
        <v>1.449513325248</v>
      </c>
      <c r="BW130" s="88" t="n">
        <f aca="false">$AO$6*0</f>
        <v>0</v>
      </c>
      <c r="BX130" s="88" t="n">
        <f aca="false">BV130+BX129</f>
        <v>189.710432675985</v>
      </c>
      <c r="BY130" s="88" t="n">
        <f aca="false">BW130+BY129</f>
        <v>0</v>
      </c>
      <c r="BZ130" s="88" t="n">
        <f aca="false">MAX(BZ129,BX130-BY130)</f>
        <v>189.710432675985</v>
      </c>
      <c r="CA130" s="88" t="n">
        <f aca="false">BZ130-BZ129</f>
        <v>1.44951332524801</v>
      </c>
      <c r="CB130" s="88" t="n">
        <f aca="false">IF(B130=2026,INDEX($C$15:$Q$15,1,B130-2025)*$AO$4*C130/MAX(0.0001,12-$AO$3),INDEX($C$15:$Q$15,1,B130-2025)/12)</f>
        <v>2.37652766116242</v>
      </c>
      <c r="CC130" s="88" t="n">
        <f aca="false">$AO$6*0</f>
        <v>0</v>
      </c>
      <c r="CD130" s="88" t="n">
        <f aca="false">CB130+CD129</f>
        <v>311.036872178068</v>
      </c>
      <c r="CE130" s="88" t="n">
        <f aca="false">CC130+CE129</f>
        <v>88.0000000000001</v>
      </c>
      <c r="CF130" s="88" t="n">
        <f aca="false">MAX(CF129,CD130-CE130)</f>
        <v>223.036872178067</v>
      </c>
      <c r="CG130" s="88" t="n">
        <f aca="false">CF130-CF129</f>
        <v>2.37652766116241</v>
      </c>
      <c r="CH130" s="88" t="n">
        <f aca="false">IF(B130=2026,INDEX($C$16:$Q$16,1,B130-2025)*$AO$4*C130/MAX(0.0001,12-$AO$3),INDEX($C$16:$Q$16,1,B130-2025)/12)</f>
        <v>1.87931088099014</v>
      </c>
      <c r="CI130" s="88" t="n">
        <f aca="false">$AO$6*0</f>
        <v>0</v>
      </c>
      <c r="CJ130" s="88" t="n">
        <f aca="false">CH130+CJ129</f>
        <v>245.961781899678</v>
      </c>
      <c r="CK130" s="88" t="n">
        <f aca="false">CI130+CK129</f>
        <v>70</v>
      </c>
      <c r="CL130" s="88" t="n">
        <f aca="false">MAX(CL129,CJ130-CK130)</f>
        <v>175.961781899678</v>
      </c>
      <c r="CM130" s="88" t="n">
        <f aca="false">CL130-CL129</f>
        <v>1.87931088099015</v>
      </c>
      <c r="CN130" s="88" t="n">
        <f aca="false">IF(B130=2026,INDEX($C$17:$Q$17,1,B130-2025)*$AO$4*C130/MAX(0.0001,12-$AO$3),INDEX($C$17:$Q$17,1,B130-2025)/12)</f>
        <v>8.1830083652082</v>
      </c>
      <c r="CO130" s="88" t="n">
        <f aca="false">$AO$6*0</f>
        <v>0</v>
      </c>
      <c r="CP130" s="88" t="n">
        <f aca="false">CN130+CP129</f>
        <v>1070.98157051385</v>
      </c>
      <c r="CQ130" s="88" t="n">
        <f aca="false">CO130+CQ129</f>
        <v>221</v>
      </c>
      <c r="CR130" s="88" t="n">
        <f aca="false">MAX(CR129,CP130-CQ130)</f>
        <v>849.981570513847</v>
      </c>
      <c r="CS130" s="88" t="n">
        <f aca="false">CR130-CR129</f>
        <v>8.18300836520825</v>
      </c>
      <c r="CT130" s="88" t="n">
        <f aca="false">IF(B130=2026,INDEX($C$18:$Q$18,1,B130-2025)*$AO$4*C130/MAX(0.0001,12-$AO$3),INDEX($C$18:$Q$18,1,B130-2025)/12)</f>
        <v>1.70233541686103</v>
      </c>
      <c r="CU130" s="88" t="n">
        <f aca="false">$AO$6*0</f>
        <v>0</v>
      </c>
      <c r="CV130" s="88" t="n">
        <f aca="false">CT130+CV129</f>
        <v>222.799461631098</v>
      </c>
      <c r="CW130" s="88" t="n">
        <f aca="false">CU130+CW129</f>
        <v>11</v>
      </c>
      <c r="CX130" s="88" t="n">
        <f aca="false">MAX(CX129,CV130-CW130)</f>
        <v>211.799461631098</v>
      </c>
      <c r="CY130" s="88" t="n">
        <f aca="false">CX130-CX129</f>
        <v>1.70233541686102</v>
      </c>
      <c r="CZ130" s="88" t="n">
        <f aca="false">IF(B130=2026,INDEX($C$19:$Q$19,1,B130-2025)*$AO$4*C130/MAX(0.0001,12-$AO$3),INDEX($C$19:$Q$19,1,B130-2025)/12)</f>
        <v>1.68548061075349</v>
      </c>
      <c r="DA130" s="88" t="n">
        <f aca="false">$AO$6*0</f>
        <v>0</v>
      </c>
      <c r="DB130" s="88" t="n">
        <f aca="false">CZ130+DB129</f>
        <v>220.593526367424</v>
      </c>
      <c r="DC130" s="88" t="n">
        <f aca="false">DA130+DC129</f>
        <v>226</v>
      </c>
      <c r="DD130" s="88" t="n">
        <f aca="false">MAX(DD129,DB130-DC130)</f>
        <v>37.132124495359</v>
      </c>
      <c r="DE130" s="88" t="n">
        <f aca="false">DD130-DD129</f>
        <v>0</v>
      </c>
      <c r="DF130" s="88" t="n">
        <f aca="false">IF(B130=2026,INDEX($C$20:$Q$20,1,B130-2025)*$AO$4*C130/MAX(0.0001,12-$AO$3),INDEX($C$20:$Q$20,1,B130-2025)/12)</f>
        <v>1.37366669776409</v>
      </c>
      <c r="DG130" s="88" t="n">
        <f aca="false">$AO$6*0</f>
        <v>0</v>
      </c>
      <c r="DH130" s="88" t="n">
        <f aca="false">DF130+DH129</f>
        <v>179.783723989451</v>
      </c>
      <c r="DI130" s="88" t="n">
        <f aca="false">DG130+DI129</f>
        <v>0</v>
      </c>
      <c r="DJ130" s="88" t="n">
        <f aca="false">MAX(DJ129,DH130-DI130)</f>
        <v>179.783723989451</v>
      </c>
      <c r="DK130" s="88" t="n">
        <f aca="false">DJ130-DJ129</f>
        <v>1.37366669776409</v>
      </c>
      <c r="DL130" s="88" t="n">
        <f aca="false">IF(B130=2026,INDEX($C$21:$Q$21,1,B130-2025)*$AO$4*C130/MAX(0.0001,12-$AO$3),INDEX($C$21:$Q$21,1,B130-2025)/12)</f>
        <v>0.96072394812949</v>
      </c>
      <c r="DM130" s="88" t="n">
        <f aca="false">$AO$6*0</f>
        <v>0</v>
      </c>
      <c r="DN130" s="88" t="n">
        <f aca="false">DL130+DN129</f>
        <v>125.738310029432</v>
      </c>
      <c r="DO130" s="88" t="n">
        <f aca="false">DM130+DO129</f>
        <v>100</v>
      </c>
      <c r="DP130" s="88" t="n">
        <f aca="false">MAX(DP129,DN130-DO130)</f>
        <v>25.7383100294316</v>
      </c>
      <c r="DQ130" s="88" t="n">
        <f aca="false">DP130-DP129</f>
        <v>0.960723948129484</v>
      </c>
      <c r="DR130" s="88" t="n">
        <f aca="false">IF(B130=2026,INDEX($C$22:$Q$22,1,B130-2025)*$AO$4*C130/MAX(0.0001,12-$AO$3),INDEX($C$22:$Q$22,1,B130-2025)/12)</f>
        <v>0.750038871785304</v>
      </c>
      <c r="DS130" s="88" t="n">
        <f aca="false">$AO$6*0</f>
        <v>0</v>
      </c>
      <c r="DT130" s="88" t="n">
        <f aca="false">DR130+DT129</f>
        <v>98.1641192335039</v>
      </c>
      <c r="DU130" s="88" t="n">
        <f aca="false">DS130+DU129</f>
        <v>29</v>
      </c>
      <c r="DV130" s="88" t="n">
        <f aca="false">MAX(DV129,DT130-DU130)</f>
        <v>69.1641192335039</v>
      </c>
      <c r="DW130" s="88" t="n">
        <f aca="false">DV130-DV129</f>
        <v>0.750038871785307</v>
      </c>
      <c r="DX130" s="88" t="n">
        <f aca="false">IF(B130=2026,INDEX($C$23:$Q$23,1,B130-2025)*$AO$4*C130/MAX(0.0001,12-$AO$3),INDEX($C$23:$Q$23,1,B130-2025)/12)</f>
        <v>1.20511863668875</v>
      </c>
      <c r="DY130" s="88" t="n">
        <f aca="false">$AO$6*0</f>
        <v>0</v>
      </c>
      <c r="DZ130" s="88" t="n">
        <f aca="false">DX130+DZ129</f>
        <v>157.724371352708</v>
      </c>
      <c r="EA130" s="88" t="n">
        <f aca="false">DY130+EA129</f>
        <v>121</v>
      </c>
      <c r="EB130" s="88" t="n">
        <f aca="false">MAX(EB129,DZ130-EA130)</f>
        <v>36.7243713527084</v>
      </c>
      <c r="EC130" s="88" t="n">
        <f aca="false">EB130-EB129</f>
        <v>1.20511863668875</v>
      </c>
      <c r="ED130" s="88" t="n">
        <f aca="false">IF(B130=2026,INDEX($C$24:$Q$24,1,B130-2025)*$AO$4*C130/MAX(0.0001,12-$AO$3),INDEX($C$24:$Q$24,1,B130-2025)/12)</f>
        <v>0.741611468731536</v>
      </c>
      <c r="EE130" s="88" t="n">
        <f aca="false">$AO$6*0</f>
        <v>0</v>
      </c>
      <c r="EF130" s="88" t="n">
        <f aca="false">ED130+EF129</f>
        <v>97.0611516016666</v>
      </c>
      <c r="EG130" s="88" t="n">
        <f aca="false">EE130+EG129</f>
        <v>0</v>
      </c>
      <c r="EH130" s="88" t="n">
        <f aca="false">MAX(EH129,EF130-EG130)</f>
        <v>97.0611516016666</v>
      </c>
      <c r="EI130" s="88" t="n">
        <f aca="false">EH130-EH129</f>
        <v>0.741611468731534</v>
      </c>
      <c r="EJ130" s="88" t="n">
        <f aca="false">IF(B130=2026,INDEX($C$25:$Q$25,1,B130-2025)*$AO$4*C130/MAX(0.0001,12-$AO$3),INDEX($C$25:$Q$25,1,B130-2025)/12)</f>
        <v>0.943869142021955</v>
      </c>
      <c r="EK130" s="88" t="n">
        <f aca="false">$AO$6*0</f>
        <v>0</v>
      </c>
      <c r="EL130" s="88" t="n">
        <f aca="false">EJ130+EL129</f>
        <v>123.532374765758</v>
      </c>
      <c r="EM130" s="88" t="n">
        <f aca="false">EK130+EM129</f>
        <v>14</v>
      </c>
      <c r="EN130" s="88" t="n">
        <f aca="false">MAX(EN129,EL130-EM130)</f>
        <v>109.532374765758</v>
      </c>
      <c r="EO130" s="88" t="n">
        <f aca="false">EN130-EN129</f>
        <v>0.943869142021953</v>
      </c>
      <c r="EP130" s="88" t="n">
        <f aca="false">IF(B130=2026,INDEX($C$26:$Q$26,1,B130-2025)*$AO$4*C130/MAX(0.0001,12-$AO$3),INDEX($C$26:$Q$26,1,B130-2025)/12)</f>
        <v>1.35681189165656</v>
      </c>
      <c r="EQ130" s="88" t="n">
        <f aca="false">$AO$6*0</f>
        <v>0</v>
      </c>
      <c r="ER130" s="88" t="n">
        <f aca="false">EP130+ER129</f>
        <v>177.577788725776</v>
      </c>
      <c r="ES130" s="88" t="n">
        <f aca="false">EQ130+ES129</f>
        <v>4</v>
      </c>
      <c r="ET130" s="88" t="n">
        <f aca="false">MAX(ET129,ER130-ES130)</f>
        <v>173.577788725776</v>
      </c>
      <c r="EU130" s="88" t="n">
        <f aca="false">ET130-ET129</f>
        <v>1.35681189165655</v>
      </c>
      <c r="EV130" s="88" t="n">
        <f aca="false">IF(B130=2026,INDEX($C$27:$Q$27,1,B130-2025)*$AO$4*C130/MAX(0.0001,12-$AO$3),INDEX($C$27:$Q$27,1,B130-2025)/12)</f>
        <v>3.37096122150698</v>
      </c>
      <c r="EW130" s="88" t="n">
        <f aca="false">$AO$6*0</f>
        <v>0</v>
      </c>
      <c r="EX130" s="88" t="n">
        <f aca="false">EV130+EX129</f>
        <v>441.187052734849</v>
      </c>
      <c r="EY130" s="88" t="n">
        <f aca="false">EW130+EY129</f>
        <v>391</v>
      </c>
      <c r="EZ130" s="88" t="n">
        <f aca="false">MAX(EZ129,EX130-EY130)</f>
        <v>50.1870527348486</v>
      </c>
      <c r="FA130" s="88" t="n">
        <f aca="false">EZ130-EZ129</f>
        <v>3.370961221507</v>
      </c>
      <c r="FB130" s="88" t="n">
        <f aca="false">IF(B130=2026,INDEX($C$28:$Q$28,1,B130-2025)*$AO$4*C130/MAX(0.0001,12-$AO$3),INDEX($C$28:$Q$28,1,B130-2025)/12)</f>
        <v>17.646981994589</v>
      </c>
      <c r="FC130" s="88" t="n">
        <f aca="false">$AO$6*0</f>
        <v>0</v>
      </c>
      <c r="FD130" s="88" t="n">
        <f aca="false">FB130+FD129</f>
        <v>2309.61422106693</v>
      </c>
      <c r="FE130" s="88" t="n">
        <f aca="false">FC130+FE129</f>
        <v>169</v>
      </c>
      <c r="FF130" s="88" t="n">
        <f aca="false">MAX(FF129,FD130-FE130)</f>
        <v>2140.61422106693</v>
      </c>
      <c r="FG130" s="88" t="n">
        <f aca="false">FF130-FF129</f>
        <v>17.6469819945892</v>
      </c>
    </row>
    <row r="131" customFormat="false" ht="15" hidden="false" customHeight="false" outlineLevel="0" collapsed="false">
      <c r="A131" s="0" t="n">
        <v>91</v>
      </c>
      <c r="B131" s="88" t="n">
        <f aca="false">2026+INT(A131/12)</f>
        <v>2033</v>
      </c>
      <c r="C131" s="88" t="n">
        <f aca="false">MAX(0,MIN(1,A131+1-$AO$3))</f>
        <v>1</v>
      </c>
      <c r="D131" s="88" t="n">
        <f aca="false">IF((A131+0.5-(0))&lt;$AO$3,0,2026+INT((A131+0.5-(0))/12))</f>
        <v>2033</v>
      </c>
      <c r="E131" s="88" t="n">
        <f aca="false">IF((A131+0.5-($AO$9))&lt;$AO$3,0,2026+INT((A131+0.5-($AO$9))/12))</f>
        <v>2032</v>
      </c>
      <c r="F131" s="88" t="n">
        <f aca="false">IF((A131+0.5-($AO$9+$AO$8))&lt;$AO$3,0,2026+INT((A131+0.5-($AO$9+$AO$8))/12))</f>
        <v>2031</v>
      </c>
      <c r="G131" s="88" t="n">
        <f aca="false">IF((A131+0.5-($AO$9+$AO$8+$AO$7))&lt;$AO$3,0,2026+INT((A131+0.5-($AO$9+$AO$8+$AO$7))/12))</f>
        <v>2030</v>
      </c>
      <c r="H131" s="88" t="n">
        <f aca="false">IF(B131=2026,INDEX($C$3:$Q$3,1,B131-2025)*$AO$4*C131/MAX(0.0001,12-$AO$3),INDEX($C$3:$Q$3,1,B131-2025)/12)</f>
        <v>180.666666666667</v>
      </c>
      <c r="I131" s="88" t="n">
        <f aca="false">$AO$6*0</f>
        <v>0</v>
      </c>
      <c r="J131" s="88" t="n">
        <f aca="false">H131+J130</f>
        <v>23826.0867579909</v>
      </c>
      <c r="K131" s="88" t="n">
        <f aca="false">I131+K130</f>
        <v>8695.00000000001</v>
      </c>
      <c r="L131" s="88" t="n">
        <f aca="false">MAX(L130,J131-K131)</f>
        <v>15131.0867579909</v>
      </c>
      <c r="M131" s="88" t="n">
        <f aca="false">L131-L130</f>
        <v>180.666666666668</v>
      </c>
      <c r="N131" s="88" t="n">
        <f aca="false">IF(B131=2026,INDEX($C$4:$Q$4,1,B131-2025)*$AO$4*C131/MAX(0.0001,12-$AO$3),INDEX($C$4:$Q$4,1,B131-2025)/12)</f>
        <v>5.47724540066293</v>
      </c>
      <c r="O131" s="88" t="n">
        <f aca="false">$AO$6*0</f>
        <v>0</v>
      </c>
      <c r="P131" s="88" t="n">
        <f aca="false">N131+P130</f>
        <v>722.332052274915</v>
      </c>
      <c r="Q131" s="88" t="n">
        <f aca="false">O131+Q130</f>
        <v>398</v>
      </c>
      <c r="R131" s="88" t="n">
        <f aca="false">MAX(R130,P131-Q131)</f>
        <v>324.332052274915</v>
      </c>
      <c r="S131" s="88" t="n">
        <f aca="false">R131-R130</f>
        <v>5.47724540066292</v>
      </c>
      <c r="T131" s="88" t="n">
        <f aca="false">IF(B131=2026,INDEX($C$5:$Q$5,1,B131-2025)*$AO$4*C131/MAX(0.0001,12-$AO$3),INDEX($C$5:$Q$5,1,B131-2025)/12)</f>
        <v>22.2615024358139</v>
      </c>
      <c r="U131" s="88" t="n">
        <f aca="false">$AO$6*0</f>
        <v>0</v>
      </c>
      <c r="V131" s="88" t="n">
        <f aca="false">T131+V130</f>
        <v>2935.81820147007</v>
      </c>
      <c r="W131" s="88" t="n">
        <f aca="false">U131+W130</f>
        <v>1115</v>
      </c>
      <c r="X131" s="88" t="n">
        <f aca="false">MAX(X130,V131-W131)</f>
        <v>1820.81820147007</v>
      </c>
      <c r="Y131" s="88" t="n">
        <f aca="false">X131-X130</f>
        <v>22.2615024358138</v>
      </c>
      <c r="Z131" s="88" t="n">
        <f aca="false">IF(B131=2026,INDEX($C$6:$Q$6,1,B131-2025)*$AO$4*C131/MAX(0.0001,12-$AO$3),INDEX($C$6:$Q$6,1,B131-2025)/12)</f>
        <v>26.4114629913323</v>
      </c>
      <c r="AA131" s="88" t="n">
        <f aca="false">$AO$6*0</f>
        <v>0</v>
      </c>
      <c r="AB131" s="88" t="n">
        <f aca="false">Z131+AB130</f>
        <v>3483.10964190193</v>
      </c>
      <c r="AC131" s="88" t="n">
        <f aca="false">AA131+AC130</f>
        <v>2194</v>
      </c>
      <c r="AD131" s="88" t="n">
        <f aca="false">MAX(AD130,AB131-AC131)</f>
        <v>1335.64282617929</v>
      </c>
      <c r="AE131" s="88" t="n">
        <f aca="false">AD131-AD130</f>
        <v>0</v>
      </c>
      <c r="AF131" s="88" t="n">
        <f aca="false">IF(B131=2026,INDEX($C$7:$Q$7,1,B131-2025)*$AO$4*C131/MAX(0.0001,12-$AO$3),INDEX($C$7:$Q$7,1,B131-2025)/12)</f>
        <v>22.9427081739175</v>
      </c>
      <c r="AG131" s="88" t="n">
        <f aca="false">$AO$6*0</f>
        <v>0</v>
      </c>
      <c r="AH131" s="88" t="n">
        <f aca="false">AF131+AH130</f>
        <v>3025.6547347695</v>
      </c>
      <c r="AI131" s="88" t="n">
        <f aca="false">AG131+AI130</f>
        <v>826</v>
      </c>
      <c r="AJ131" s="88" t="n">
        <f aca="false">MAX(AJ130,AH131-AI131)</f>
        <v>2199.6547347695</v>
      </c>
      <c r="AK131" s="88" t="n">
        <f aca="false">AJ131-AJ130</f>
        <v>22.9427081739173</v>
      </c>
      <c r="AL131" s="88" t="n">
        <f aca="false">IF(B131=2026,INDEX($C$8:$Q$8,1,B131-2025)*$AO$4*C131/MAX(0.0001,12-$AO$3),INDEX($C$8:$Q$8,1,B131-2025)/12)</f>
        <v>5.80342126052833</v>
      </c>
      <c r="AM131" s="88" t="n">
        <f aca="false">$AO$6*0</f>
        <v>0</v>
      </c>
      <c r="AN131" s="88" t="n">
        <f aca="false">AL131+AN130</f>
        <v>765.347703578507</v>
      </c>
      <c r="AO131" s="88" t="n">
        <f aca="false">AM131+AO130</f>
        <v>66</v>
      </c>
      <c r="AP131" s="88" t="n">
        <f aca="false">MAX(AP130,AN131-AO131)</f>
        <v>699.347703578507</v>
      </c>
      <c r="AQ131" s="88" t="n">
        <f aca="false">AP131-AP130</f>
        <v>5.80342126052835</v>
      </c>
      <c r="AR131" s="88" t="n">
        <f aca="false">IF(B131=2026,INDEX($C$9:$Q$9,1,B131-2025)*$AO$4*C131/MAX(0.0001,12-$AO$3),INDEX($C$9:$Q$9,1,B131-2025)/12)</f>
        <v>24.7454570609428</v>
      </c>
      <c r="AS131" s="88" t="n">
        <f aca="false">$AO$6*0</f>
        <v>0</v>
      </c>
      <c r="AT131" s="88" t="n">
        <f aca="false">AR131+AT130</f>
        <v>3263.3989306282</v>
      </c>
      <c r="AU131" s="88" t="n">
        <f aca="false">AS131+AU130</f>
        <v>1810</v>
      </c>
      <c r="AV131" s="88" t="n">
        <f aca="false">MAX(AV130,AT131-AU131)</f>
        <v>1453.3989306282</v>
      </c>
      <c r="AW131" s="88" t="n">
        <f aca="false">AV131-AV130</f>
        <v>24.745457060943</v>
      </c>
      <c r="AX131" s="88" t="n">
        <f aca="false">IF(B131=2026,INDEX($C$10:$Q$10,1,B131-2025)*$AO$4*C131/MAX(0.0001,12-$AO$3),INDEX($C$10:$Q$10,1,B131-2025)/12)</f>
        <v>2.87034756681557</v>
      </c>
      <c r="AY131" s="88" t="n">
        <f aca="false">$AO$6*0</f>
        <v>0</v>
      </c>
      <c r="AZ131" s="88" t="n">
        <f aca="false">AX131+AZ130</f>
        <v>378.537731471599</v>
      </c>
      <c r="BA131" s="88" t="n">
        <f aca="false">AY131+BA130</f>
        <v>50</v>
      </c>
      <c r="BB131" s="88" t="n">
        <f aca="false">MAX(BB130,AZ131-BA131)</f>
        <v>328.537731471599</v>
      </c>
      <c r="BC131" s="88" t="n">
        <f aca="false">BB131-BB130</f>
        <v>2.87034756681555</v>
      </c>
      <c r="BD131" s="88" t="n">
        <f aca="false">IF(B131=2026,INDEX($C$11:$Q$11,1,B131-2025)*$AO$4*C131/MAX(0.0001,12-$AO$3),INDEX($C$11:$Q$11,1,B131-2025)/12)</f>
        <v>14.2639212564218</v>
      </c>
      <c r="BE131" s="88" t="n">
        <f aca="false">$AO$6*0</f>
        <v>0</v>
      </c>
      <c r="BF131" s="88" t="n">
        <f aca="false">BD131+BF130</f>
        <v>1881.10752046858</v>
      </c>
      <c r="BG131" s="88" t="n">
        <f aca="false">BE131+BG130</f>
        <v>240</v>
      </c>
      <c r="BH131" s="88" t="n">
        <f aca="false">MAX(BH130,BF131-BG131)</f>
        <v>1641.10752046858</v>
      </c>
      <c r="BI131" s="88" t="n">
        <f aca="false">BH131-BH130</f>
        <v>14.2639212564218</v>
      </c>
      <c r="BJ131" s="88" t="n">
        <f aca="false">IF(B131=2026,INDEX($C$12:$Q$12,1,B131-2025)*$AO$4*C131/MAX(0.0001,12-$AO$3),INDEX($C$12:$Q$12,1,B131-2025)/12)</f>
        <v>7.82069350154207</v>
      </c>
      <c r="BK131" s="88" t="n">
        <f aca="false">$AO$6*0</f>
        <v>0</v>
      </c>
      <c r="BL131" s="88" t="n">
        <f aca="false">BJ131+BL130</f>
        <v>1031.38296240995</v>
      </c>
      <c r="BM131" s="88" t="n">
        <f aca="false">BK131+BM130</f>
        <v>465</v>
      </c>
      <c r="BN131" s="88" t="n">
        <f aca="false">MAX(BN130,BL131-BM131)</f>
        <v>620.1207703606</v>
      </c>
      <c r="BO131" s="88" t="n">
        <f aca="false">BN131-BN130</f>
        <v>0</v>
      </c>
      <c r="BP131" s="88" t="n">
        <f aca="false">IF(B131=2026,INDEX($C$13:$Q$13,1,B131-2025)*$AO$4*C131/MAX(0.0001,12-$AO$3),INDEX($C$13:$Q$13,1,B131-2025)/12)</f>
        <v>2.44394688559256</v>
      </c>
      <c r="BQ131" s="88" t="n">
        <f aca="false">$AO$6*0</f>
        <v>0</v>
      </c>
      <c r="BR131" s="88" t="n">
        <f aca="false">BP131+BR130</f>
        <v>322.304560118357</v>
      </c>
      <c r="BS131" s="88" t="n">
        <f aca="false">BQ131+BS130</f>
        <v>87</v>
      </c>
      <c r="BT131" s="88" t="n">
        <f aca="false">MAX(BT130,BR131-BS131)</f>
        <v>235.304560118357</v>
      </c>
      <c r="BU131" s="88" t="n">
        <f aca="false">BT131-BT130</f>
        <v>2.44394688559254</v>
      </c>
      <c r="BV131" s="88" t="n">
        <f aca="false">IF(B131=2026,INDEX($C$14:$Q$14,1,B131-2025)*$AO$4*C131/MAX(0.0001,12-$AO$3),INDEX($C$14:$Q$14,1,B131-2025)/12)</f>
        <v>1.449513325248</v>
      </c>
      <c r="BW131" s="88" t="n">
        <f aca="false">$AO$6*0</f>
        <v>0</v>
      </c>
      <c r="BX131" s="88" t="n">
        <f aca="false">BV131+BX130</f>
        <v>191.159946001233</v>
      </c>
      <c r="BY131" s="88" t="n">
        <f aca="false">BW131+BY130</f>
        <v>0</v>
      </c>
      <c r="BZ131" s="88" t="n">
        <f aca="false">MAX(BZ130,BX131-BY131)</f>
        <v>191.159946001233</v>
      </c>
      <c r="CA131" s="88" t="n">
        <f aca="false">BZ131-BZ130</f>
        <v>1.44951332524801</v>
      </c>
      <c r="CB131" s="88" t="n">
        <f aca="false">IF(B131=2026,INDEX($C$15:$Q$15,1,B131-2025)*$AO$4*C131/MAX(0.0001,12-$AO$3),INDEX($C$15:$Q$15,1,B131-2025)/12)</f>
        <v>2.37652766116242</v>
      </c>
      <c r="CC131" s="88" t="n">
        <f aca="false">$AO$6*0</f>
        <v>0</v>
      </c>
      <c r="CD131" s="88" t="n">
        <f aca="false">CB131+CD130</f>
        <v>313.41339983923</v>
      </c>
      <c r="CE131" s="88" t="n">
        <f aca="false">CC131+CE130</f>
        <v>88.0000000000001</v>
      </c>
      <c r="CF131" s="88" t="n">
        <f aca="false">MAX(CF130,CD131-CE131)</f>
        <v>225.41339983923</v>
      </c>
      <c r="CG131" s="88" t="n">
        <f aca="false">CF131-CF130</f>
        <v>2.37652766116241</v>
      </c>
      <c r="CH131" s="88" t="n">
        <f aca="false">IF(B131=2026,INDEX($C$16:$Q$16,1,B131-2025)*$AO$4*C131/MAX(0.0001,12-$AO$3),INDEX($C$16:$Q$16,1,B131-2025)/12)</f>
        <v>1.87931088099014</v>
      </c>
      <c r="CI131" s="88" t="n">
        <f aca="false">$AO$6*0</f>
        <v>0</v>
      </c>
      <c r="CJ131" s="88" t="n">
        <f aca="false">CH131+CJ130</f>
        <v>247.841092780668</v>
      </c>
      <c r="CK131" s="88" t="n">
        <f aca="false">CI131+CK130</f>
        <v>70</v>
      </c>
      <c r="CL131" s="88" t="n">
        <f aca="false">MAX(CL130,CJ131-CK131)</f>
        <v>177.841092780668</v>
      </c>
      <c r="CM131" s="88" t="n">
        <f aca="false">CL131-CL130</f>
        <v>1.87931088099015</v>
      </c>
      <c r="CN131" s="88" t="n">
        <f aca="false">IF(B131=2026,INDEX($C$17:$Q$17,1,B131-2025)*$AO$4*C131/MAX(0.0001,12-$AO$3),INDEX($C$17:$Q$17,1,B131-2025)/12)</f>
        <v>8.1830083652082</v>
      </c>
      <c r="CO131" s="88" t="n">
        <f aca="false">$AO$6*0</f>
        <v>0</v>
      </c>
      <c r="CP131" s="88" t="n">
        <f aca="false">CN131+CP130</f>
        <v>1079.16457887906</v>
      </c>
      <c r="CQ131" s="88" t="n">
        <f aca="false">CO131+CQ130</f>
        <v>221</v>
      </c>
      <c r="CR131" s="88" t="n">
        <f aca="false">MAX(CR130,CP131-CQ131)</f>
        <v>858.164578879056</v>
      </c>
      <c r="CS131" s="88" t="n">
        <f aca="false">CR131-CR130</f>
        <v>8.18300836520825</v>
      </c>
      <c r="CT131" s="88" t="n">
        <f aca="false">IF(B131=2026,INDEX($C$18:$Q$18,1,B131-2025)*$AO$4*C131/MAX(0.0001,12-$AO$3),INDEX($C$18:$Q$18,1,B131-2025)/12)</f>
        <v>1.70233541686103</v>
      </c>
      <c r="CU131" s="88" t="n">
        <f aca="false">$AO$6*0</f>
        <v>0</v>
      </c>
      <c r="CV131" s="88" t="n">
        <f aca="false">CT131+CV130</f>
        <v>224.501797047959</v>
      </c>
      <c r="CW131" s="88" t="n">
        <f aca="false">CU131+CW130</f>
        <v>11</v>
      </c>
      <c r="CX131" s="88" t="n">
        <f aca="false">MAX(CX130,CV131-CW131)</f>
        <v>213.501797047959</v>
      </c>
      <c r="CY131" s="88" t="n">
        <f aca="false">CX131-CX130</f>
        <v>1.70233541686102</v>
      </c>
      <c r="CZ131" s="88" t="n">
        <f aca="false">IF(B131=2026,INDEX($C$19:$Q$19,1,B131-2025)*$AO$4*C131/MAX(0.0001,12-$AO$3),INDEX($C$19:$Q$19,1,B131-2025)/12)</f>
        <v>1.68548061075349</v>
      </c>
      <c r="DA131" s="88" t="n">
        <f aca="false">$AO$6*0</f>
        <v>0</v>
      </c>
      <c r="DB131" s="88" t="n">
        <f aca="false">CZ131+DB130</f>
        <v>222.279006978178</v>
      </c>
      <c r="DC131" s="88" t="n">
        <f aca="false">DA131+DC130</f>
        <v>226</v>
      </c>
      <c r="DD131" s="88" t="n">
        <f aca="false">MAX(DD130,DB131-DC131)</f>
        <v>37.132124495359</v>
      </c>
      <c r="DE131" s="88" t="n">
        <f aca="false">DD131-DD130</f>
        <v>0</v>
      </c>
      <c r="DF131" s="88" t="n">
        <f aca="false">IF(B131=2026,INDEX($C$20:$Q$20,1,B131-2025)*$AO$4*C131/MAX(0.0001,12-$AO$3),INDEX($C$20:$Q$20,1,B131-2025)/12)</f>
        <v>1.37366669776409</v>
      </c>
      <c r="DG131" s="88" t="n">
        <f aca="false">$AO$6*0</f>
        <v>0</v>
      </c>
      <c r="DH131" s="88" t="n">
        <f aca="false">DF131+DH130</f>
        <v>181.157390687215</v>
      </c>
      <c r="DI131" s="88" t="n">
        <f aca="false">DG131+DI130</f>
        <v>0</v>
      </c>
      <c r="DJ131" s="88" t="n">
        <f aca="false">MAX(DJ130,DH131-DI131)</f>
        <v>181.157390687215</v>
      </c>
      <c r="DK131" s="88" t="n">
        <f aca="false">DJ131-DJ130</f>
        <v>1.37366669776409</v>
      </c>
      <c r="DL131" s="88" t="n">
        <f aca="false">IF(B131=2026,INDEX($C$21:$Q$21,1,B131-2025)*$AO$4*C131/MAX(0.0001,12-$AO$3),INDEX($C$21:$Q$21,1,B131-2025)/12)</f>
        <v>0.96072394812949</v>
      </c>
      <c r="DM131" s="88" t="n">
        <f aca="false">$AO$6*0</f>
        <v>0</v>
      </c>
      <c r="DN131" s="88" t="n">
        <f aca="false">DL131+DN130</f>
        <v>126.699033977561</v>
      </c>
      <c r="DO131" s="88" t="n">
        <f aca="false">DM131+DO130</f>
        <v>100</v>
      </c>
      <c r="DP131" s="88" t="n">
        <f aca="false">MAX(DP130,DN131-DO131)</f>
        <v>26.699033977561</v>
      </c>
      <c r="DQ131" s="88" t="n">
        <f aca="false">DP131-DP130</f>
        <v>0.960723948129484</v>
      </c>
      <c r="DR131" s="88" t="n">
        <f aca="false">IF(B131=2026,INDEX($C$22:$Q$22,1,B131-2025)*$AO$4*C131/MAX(0.0001,12-$AO$3),INDEX($C$22:$Q$22,1,B131-2025)/12)</f>
        <v>0.750038871785304</v>
      </c>
      <c r="DS131" s="88" t="n">
        <f aca="false">$AO$6*0</f>
        <v>0</v>
      </c>
      <c r="DT131" s="88" t="n">
        <f aca="false">DR131+DT130</f>
        <v>98.9141581052892</v>
      </c>
      <c r="DU131" s="88" t="n">
        <f aca="false">DS131+DU130</f>
        <v>29</v>
      </c>
      <c r="DV131" s="88" t="n">
        <f aca="false">MAX(DV130,DT131-DU131)</f>
        <v>69.9141581052892</v>
      </c>
      <c r="DW131" s="88" t="n">
        <f aca="false">DV131-DV130</f>
        <v>0.750038871785307</v>
      </c>
      <c r="DX131" s="88" t="n">
        <f aca="false">IF(B131=2026,INDEX($C$23:$Q$23,1,B131-2025)*$AO$4*C131/MAX(0.0001,12-$AO$3),INDEX($C$23:$Q$23,1,B131-2025)/12)</f>
        <v>1.20511863668875</v>
      </c>
      <c r="DY131" s="88" t="n">
        <f aca="false">$AO$6*0</f>
        <v>0</v>
      </c>
      <c r="DZ131" s="88" t="n">
        <f aca="false">DX131+DZ130</f>
        <v>158.929489989397</v>
      </c>
      <c r="EA131" s="88" t="n">
        <f aca="false">DY131+EA130</f>
        <v>121</v>
      </c>
      <c r="EB131" s="88" t="n">
        <f aca="false">MAX(EB130,DZ131-EA131)</f>
        <v>37.9294899893972</v>
      </c>
      <c r="EC131" s="88" t="n">
        <f aca="false">EB131-EB130</f>
        <v>1.20511863668875</v>
      </c>
      <c r="ED131" s="88" t="n">
        <f aca="false">IF(B131=2026,INDEX($C$24:$Q$24,1,B131-2025)*$AO$4*C131/MAX(0.0001,12-$AO$3),INDEX($C$24:$Q$24,1,B131-2025)/12)</f>
        <v>0.741611468731536</v>
      </c>
      <c r="EE131" s="88" t="n">
        <f aca="false">$AO$6*0</f>
        <v>0</v>
      </c>
      <c r="EF131" s="88" t="n">
        <f aca="false">ED131+EF130</f>
        <v>97.8027630703982</v>
      </c>
      <c r="EG131" s="88" t="n">
        <f aca="false">EE131+EG130</f>
        <v>0</v>
      </c>
      <c r="EH131" s="88" t="n">
        <f aca="false">MAX(EH130,EF131-EG131)</f>
        <v>97.8027630703982</v>
      </c>
      <c r="EI131" s="88" t="n">
        <f aca="false">EH131-EH130</f>
        <v>0.741611468731534</v>
      </c>
      <c r="EJ131" s="88" t="n">
        <f aca="false">IF(B131=2026,INDEX($C$25:$Q$25,1,B131-2025)*$AO$4*C131/MAX(0.0001,12-$AO$3),INDEX($C$25:$Q$25,1,B131-2025)/12)</f>
        <v>0.943869142021955</v>
      </c>
      <c r="EK131" s="88" t="n">
        <f aca="false">$AO$6*0</f>
        <v>0</v>
      </c>
      <c r="EL131" s="88" t="n">
        <f aca="false">EJ131+EL130</f>
        <v>124.47624390778</v>
      </c>
      <c r="EM131" s="88" t="n">
        <f aca="false">EK131+EM130</f>
        <v>14</v>
      </c>
      <c r="EN131" s="88" t="n">
        <f aca="false">MAX(EN130,EL131-EM131)</f>
        <v>110.47624390778</v>
      </c>
      <c r="EO131" s="88" t="n">
        <f aca="false">EN131-EN130</f>
        <v>0.943869142021953</v>
      </c>
      <c r="EP131" s="88" t="n">
        <f aca="false">IF(B131=2026,INDEX($C$26:$Q$26,1,B131-2025)*$AO$4*C131/MAX(0.0001,12-$AO$3),INDEX($C$26:$Q$26,1,B131-2025)/12)</f>
        <v>1.35681189165656</v>
      </c>
      <c r="EQ131" s="88" t="n">
        <f aca="false">$AO$6*0</f>
        <v>0</v>
      </c>
      <c r="ER131" s="88" t="n">
        <f aca="false">EP131+ER130</f>
        <v>178.934600617433</v>
      </c>
      <c r="ES131" s="88" t="n">
        <f aca="false">EQ131+ES130</f>
        <v>4</v>
      </c>
      <c r="ET131" s="88" t="n">
        <f aca="false">MAX(ET130,ER131-ES131)</f>
        <v>174.934600617433</v>
      </c>
      <c r="EU131" s="88" t="n">
        <f aca="false">ET131-ET130</f>
        <v>1.35681189165655</v>
      </c>
      <c r="EV131" s="88" t="n">
        <f aca="false">IF(B131=2026,INDEX($C$27:$Q$27,1,B131-2025)*$AO$4*C131/MAX(0.0001,12-$AO$3),INDEX($C$27:$Q$27,1,B131-2025)/12)</f>
        <v>3.37096122150698</v>
      </c>
      <c r="EW131" s="88" t="n">
        <f aca="false">$AO$6*0</f>
        <v>0</v>
      </c>
      <c r="EX131" s="88" t="n">
        <f aca="false">EV131+EX130</f>
        <v>444.558013956356</v>
      </c>
      <c r="EY131" s="88" t="n">
        <f aca="false">EW131+EY130</f>
        <v>391</v>
      </c>
      <c r="EZ131" s="88" t="n">
        <f aca="false">MAX(EZ130,EX131-EY131)</f>
        <v>53.5580139563556</v>
      </c>
      <c r="FA131" s="88" t="n">
        <f aca="false">EZ131-EZ130</f>
        <v>3.370961221507</v>
      </c>
      <c r="FB131" s="88" t="n">
        <f aca="false">IF(B131=2026,INDEX($C$28:$Q$28,1,B131-2025)*$AO$4*C131/MAX(0.0001,12-$AO$3),INDEX($C$28:$Q$28,1,B131-2025)/12)</f>
        <v>17.646981994589</v>
      </c>
      <c r="FC131" s="88" t="n">
        <f aca="false">$AO$6*0</f>
        <v>0</v>
      </c>
      <c r="FD131" s="88" t="n">
        <f aca="false">FB131+FD130</f>
        <v>2327.26120306152</v>
      </c>
      <c r="FE131" s="88" t="n">
        <f aca="false">FC131+FE130</f>
        <v>169</v>
      </c>
      <c r="FF131" s="88" t="n">
        <f aca="false">MAX(FF130,FD131-FE131)</f>
        <v>2158.26120306152</v>
      </c>
      <c r="FG131" s="88" t="n">
        <f aca="false">FF131-FF130</f>
        <v>17.6469819945892</v>
      </c>
    </row>
    <row r="132" customFormat="false" ht="15" hidden="false" customHeight="false" outlineLevel="0" collapsed="false">
      <c r="A132" s="0" t="n">
        <v>92</v>
      </c>
      <c r="B132" s="88" t="n">
        <f aca="false">2026+INT(A132/12)</f>
        <v>2033</v>
      </c>
      <c r="C132" s="88" t="n">
        <f aca="false">MAX(0,MIN(1,A132+1-$AO$3))</f>
        <v>1</v>
      </c>
      <c r="D132" s="88" t="n">
        <f aca="false">IF((A132+0.5-(0))&lt;$AO$3,0,2026+INT((A132+0.5-(0))/12))</f>
        <v>2033</v>
      </c>
      <c r="E132" s="88" t="n">
        <f aca="false">IF((A132+0.5-($AO$9))&lt;$AO$3,0,2026+INT((A132+0.5-($AO$9))/12))</f>
        <v>2032</v>
      </c>
      <c r="F132" s="88" t="n">
        <f aca="false">IF((A132+0.5-($AO$9+$AO$8))&lt;$AO$3,0,2026+INT((A132+0.5-($AO$9+$AO$8))/12))</f>
        <v>2031</v>
      </c>
      <c r="G132" s="88" t="n">
        <f aca="false">IF((A132+0.5-($AO$9+$AO$8+$AO$7))&lt;$AO$3,0,2026+INT((A132+0.5-($AO$9+$AO$8+$AO$7))/12))</f>
        <v>2030</v>
      </c>
      <c r="H132" s="88" t="n">
        <f aca="false">IF(B132=2026,INDEX($C$3:$Q$3,1,B132-2025)*$AO$4*C132/MAX(0.0001,12-$AO$3),INDEX($C$3:$Q$3,1,B132-2025)/12)</f>
        <v>180.666666666667</v>
      </c>
      <c r="I132" s="88" t="n">
        <f aca="false">$AO$6*0</f>
        <v>0</v>
      </c>
      <c r="J132" s="88" t="n">
        <f aca="false">H132+J131</f>
        <v>24006.7534246576</v>
      </c>
      <c r="K132" s="88" t="n">
        <f aca="false">I132+K131</f>
        <v>8695.00000000001</v>
      </c>
      <c r="L132" s="88" t="n">
        <f aca="false">MAX(L131,J132-K132)</f>
        <v>15311.7534246576</v>
      </c>
      <c r="M132" s="88" t="n">
        <f aca="false">L132-L131</f>
        <v>180.666666666668</v>
      </c>
      <c r="N132" s="88" t="n">
        <f aca="false">IF(B132=2026,INDEX($C$4:$Q$4,1,B132-2025)*$AO$4*C132/MAX(0.0001,12-$AO$3),INDEX($C$4:$Q$4,1,B132-2025)/12)</f>
        <v>5.47724540066293</v>
      </c>
      <c r="O132" s="88" t="n">
        <f aca="false">$AO$6*0</f>
        <v>0</v>
      </c>
      <c r="P132" s="88" t="n">
        <f aca="false">N132+P131</f>
        <v>727.809297675578</v>
      </c>
      <c r="Q132" s="88" t="n">
        <f aca="false">O132+Q131</f>
        <v>398</v>
      </c>
      <c r="R132" s="88" t="n">
        <f aca="false">MAX(R131,P132-Q132)</f>
        <v>329.809297675578</v>
      </c>
      <c r="S132" s="88" t="n">
        <f aca="false">R132-R131</f>
        <v>5.47724540066292</v>
      </c>
      <c r="T132" s="88" t="n">
        <f aca="false">IF(B132=2026,INDEX($C$5:$Q$5,1,B132-2025)*$AO$4*C132/MAX(0.0001,12-$AO$3),INDEX($C$5:$Q$5,1,B132-2025)/12)</f>
        <v>22.2615024358139</v>
      </c>
      <c r="U132" s="88" t="n">
        <f aca="false">$AO$6*0</f>
        <v>0</v>
      </c>
      <c r="V132" s="88" t="n">
        <f aca="false">T132+V131</f>
        <v>2958.07970390589</v>
      </c>
      <c r="W132" s="88" t="n">
        <f aca="false">U132+W131</f>
        <v>1115</v>
      </c>
      <c r="X132" s="88" t="n">
        <f aca="false">MAX(X131,V132-W132)</f>
        <v>1843.07970390589</v>
      </c>
      <c r="Y132" s="88" t="n">
        <f aca="false">X132-X131</f>
        <v>22.2615024358138</v>
      </c>
      <c r="Z132" s="88" t="n">
        <f aca="false">IF(B132=2026,INDEX($C$6:$Q$6,1,B132-2025)*$AO$4*C132/MAX(0.0001,12-$AO$3),INDEX($C$6:$Q$6,1,B132-2025)/12)</f>
        <v>26.4114629913323</v>
      </c>
      <c r="AA132" s="88" t="n">
        <f aca="false">$AO$6*0</f>
        <v>0</v>
      </c>
      <c r="AB132" s="88" t="n">
        <f aca="false">Z132+AB131</f>
        <v>3509.52110489326</v>
      </c>
      <c r="AC132" s="88" t="n">
        <f aca="false">AA132+AC131</f>
        <v>2194</v>
      </c>
      <c r="AD132" s="88" t="n">
        <f aca="false">MAX(AD131,AB132-AC132)</f>
        <v>1335.64282617929</v>
      </c>
      <c r="AE132" s="88" t="n">
        <f aca="false">AD132-AD131</f>
        <v>0</v>
      </c>
      <c r="AF132" s="88" t="n">
        <f aca="false">IF(B132=2026,INDEX($C$7:$Q$7,1,B132-2025)*$AO$4*C132/MAX(0.0001,12-$AO$3),INDEX($C$7:$Q$7,1,B132-2025)/12)</f>
        <v>22.9427081739175</v>
      </c>
      <c r="AG132" s="88" t="n">
        <f aca="false">$AO$6*0</f>
        <v>0</v>
      </c>
      <c r="AH132" s="88" t="n">
        <f aca="false">AF132+AH131</f>
        <v>3048.59744294341</v>
      </c>
      <c r="AI132" s="88" t="n">
        <f aca="false">AG132+AI131</f>
        <v>826</v>
      </c>
      <c r="AJ132" s="88" t="n">
        <f aca="false">MAX(AJ131,AH132-AI132)</f>
        <v>2222.59744294341</v>
      </c>
      <c r="AK132" s="88" t="n">
        <f aca="false">AJ132-AJ131</f>
        <v>22.9427081739173</v>
      </c>
      <c r="AL132" s="88" t="n">
        <f aca="false">IF(B132=2026,INDEX($C$8:$Q$8,1,B132-2025)*$AO$4*C132/MAX(0.0001,12-$AO$3),INDEX($C$8:$Q$8,1,B132-2025)/12)</f>
        <v>5.80342126052833</v>
      </c>
      <c r="AM132" s="88" t="n">
        <f aca="false">$AO$6*0</f>
        <v>0</v>
      </c>
      <c r="AN132" s="88" t="n">
        <f aca="false">AL132+AN131</f>
        <v>771.151124839035</v>
      </c>
      <c r="AO132" s="88" t="n">
        <f aca="false">AM132+AO131</f>
        <v>66</v>
      </c>
      <c r="AP132" s="88" t="n">
        <f aca="false">MAX(AP131,AN132-AO132)</f>
        <v>705.151124839035</v>
      </c>
      <c r="AQ132" s="88" t="n">
        <f aca="false">AP132-AP131</f>
        <v>5.80342126052835</v>
      </c>
      <c r="AR132" s="88" t="n">
        <f aca="false">IF(B132=2026,INDEX($C$9:$Q$9,1,B132-2025)*$AO$4*C132/MAX(0.0001,12-$AO$3),INDEX($C$9:$Q$9,1,B132-2025)/12)</f>
        <v>24.7454570609428</v>
      </c>
      <c r="AS132" s="88" t="n">
        <f aca="false">$AO$6*0</f>
        <v>0</v>
      </c>
      <c r="AT132" s="88" t="n">
        <f aca="false">AR132+AT131</f>
        <v>3288.14438768915</v>
      </c>
      <c r="AU132" s="88" t="n">
        <f aca="false">AS132+AU131</f>
        <v>1810</v>
      </c>
      <c r="AV132" s="88" t="n">
        <f aca="false">MAX(AV131,AT132-AU132)</f>
        <v>1478.14438768915</v>
      </c>
      <c r="AW132" s="88" t="n">
        <f aca="false">AV132-AV131</f>
        <v>24.745457060943</v>
      </c>
      <c r="AX132" s="88" t="n">
        <f aca="false">IF(B132=2026,INDEX($C$10:$Q$10,1,B132-2025)*$AO$4*C132/MAX(0.0001,12-$AO$3),INDEX($C$10:$Q$10,1,B132-2025)/12)</f>
        <v>2.87034756681557</v>
      </c>
      <c r="AY132" s="88" t="n">
        <f aca="false">$AO$6*0</f>
        <v>0</v>
      </c>
      <c r="AZ132" s="88" t="n">
        <f aca="false">AX132+AZ131</f>
        <v>381.408079038415</v>
      </c>
      <c r="BA132" s="88" t="n">
        <f aca="false">AY132+BA131</f>
        <v>50</v>
      </c>
      <c r="BB132" s="88" t="n">
        <f aca="false">MAX(BB131,AZ132-BA132)</f>
        <v>331.408079038415</v>
      </c>
      <c r="BC132" s="88" t="n">
        <f aca="false">BB132-BB131</f>
        <v>2.87034756681555</v>
      </c>
      <c r="BD132" s="88" t="n">
        <f aca="false">IF(B132=2026,INDEX($C$11:$Q$11,1,B132-2025)*$AO$4*C132/MAX(0.0001,12-$AO$3),INDEX($C$11:$Q$11,1,B132-2025)/12)</f>
        <v>14.2639212564218</v>
      </c>
      <c r="BE132" s="88" t="n">
        <f aca="false">$AO$6*0</f>
        <v>0</v>
      </c>
      <c r="BF132" s="88" t="n">
        <f aca="false">BD132+BF131</f>
        <v>1895.371441725</v>
      </c>
      <c r="BG132" s="88" t="n">
        <f aca="false">BE132+BG131</f>
        <v>240</v>
      </c>
      <c r="BH132" s="88" t="n">
        <f aca="false">MAX(BH131,BF132-BG132)</f>
        <v>1655.371441725</v>
      </c>
      <c r="BI132" s="88" t="n">
        <f aca="false">BH132-BH131</f>
        <v>14.2639212564218</v>
      </c>
      <c r="BJ132" s="88" t="n">
        <f aca="false">IF(B132=2026,INDEX($C$12:$Q$12,1,B132-2025)*$AO$4*C132/MAX(0.0001,12-$AO$3),INDEX($C$12:$Q$12,1,B132-2025)/12)</f>
        <v>7.82069350154207</v>
      </c>
      <c r="BK132" s="88" t="n">
        <f aca="false">$AO$6*0</f>
        <v>0</v>
      </c>
      <c r="BL132" s="88" t="n">
        <f aca="false">BJ132+BL131</f>
        <v>1039.20365591149</v>
      </c>
      <c r="BM132" s="88" t="n">
        <f aca="false">BK132+BM131</f>
        <v>465</v>
      </c>
      <c r="BN132" s="88" t="n">
        <f aca="false">MAX(BN131,BL132-BM132)</f>
        <v>620.1207703606</v>
      </c>
      <c r="BO132" s="88" t="n">
        <f aca="false">BN132-BN131</f>
        <v>0</v>
      </c>
      <c r="BP132" s="88" t="n">
        <f aca="false">IF(B132=2026,INDEX($C$13:$Q$13,1,B132-2025)*$AO$4*C132/MAX(0.0001,12-$AO$3),INDEX($C$13:$Q$13,1,B132-2025)/12)</f>
        <v>2.44394688559256</v>
      </c>
      <c r="BQ132" s="88" t="n">
        <f aca="false">$AO$6*0</f>
        <v>0</v>
      </c>
      <c r="BR132" s="88" t="n">
        <f aca="false">BP132+BR131</f>
        <v>324.74850700395</v>
      </c>
      <c r="BS132" s="88" t="n">
        <f aca="false">BQ132+BS131</f>
        <v>87</v>
      </c>
      <c r="BT132" s="88" t="n">
        <f aca="false">MAX(BT131,BR132-BS132)</f>
        <v>237.74850700395</v>
      </c>
      <c r="BU132" s="88" t="n">
        <f aca="false">BT132-BT131</f>
        <v>2.44394688559254</v>
      </c>
      <c r="BV132" s="88" t="n">
        <f aca="false">IF(B132=2026,INDEX($C$14:$Q$14,1,B132-2025)*$AO$4*C132/MAX(0.0001,12-$AO$3),INDEX($C$14:$Q$14,1,B132-2025)/12)</f>
        <v>1.449513325248</v>
      </c>
      <c r="BW132" s="88" t="n">
        <f aca="false">$AO$6*0</f>
        <v>0</v>
      </c>
      <c r="BX132" s="88" t="n">
        <f aca="false">BV132+BX131</f>
        <v>192.609459326481</v>
      </c>
      <c r="BY132" s="88" t="n">
        <f aca="false">BW132+BY131</f>
        <v>0</v>
      </c>
      <c r="BZ132" s="88" t="n">
        <f aca="false">MAX(BZ131,BX132-BY132)</f>
        <v>192.609459326481</v>
      </c>
      <c r="CA132" s="88" t="n">
        <f aca="false">BZ132-BZ131</f>
        <v>1.44951332524801</v>
      </c>
      <c r="CB132" s="88" t="n">
        <f aca="false">IF(B132=2026,INDEX($C$15:$Q$15,1,B132-2025)*$AO$4*C132/MAX(0.0001,12-$AO$3),INDEX($C$15:$Q$15,1,B132-2025)/12)</f>
        <v>2.37652766116242</v>
      </c>
      <c r="CC132" s="88" t="n">
        <f aca="false">$AO$6*0</f>
        <v>0</v>
      </c>
      <c r="CD132" s="88" t="n">
        <f aca="false">CB132+CD131</f>
        <v>315.789927500392</v>
      </c>
      <c r="CE132" s="88" t="n">
        <f aca="false">CC132+CE131</f>
        <v>88.0000000000001</v>
      </c>
      <c r="CF132" s="88" t="n">
        <f aca="false">MAX(CF131,CD132-CE132)</f>
        <v>227.789927500392</v>
      </c>
      <c r="CG132" s="88" t="n">
        <f aca="false">CF132-CF131</f>
        <v>2.37652766116241</v>
      </c>
      <c r="CH132" s="88" t="n">
        <f aca="false">IF(B132=2026,INDEX($C$16:$Q$16,1,B132-2025)*$AO$4*C132/MAX(0.0001,12-$AO$3),INDEX($C$16:$Q$16,1,B132-2025)/12)</f>
        <v>1.87931088099014</v>
      </c>
      <c r="CI132" s="88" t="n">
        <f aca="false">$AO$6*0</f>
        <v>0</v>
      </c>
      <c r="CJ132" s="88" t="n">
        <f aca="false">CH132+CJ131</f>
        <v>249.720403661658</v>
      </c>
      <c r="CK132" s="88" t="n">
        <f aca="false">CI132+CK131</f>
        <v>70</v>
      </c>
      <c r="CL132" s="88" t="n">
        <f aca="false">MAX(CL131,CJ132-CK132)</f>
        <v>179.720403661658</v>
      </c>
      <c r="CM132" s="88" t="n">
        <f aca="false">CL132-CL131</f>
        <v>1.87931088099015</v>
      </c>
      <c r="CN132" s="88" t="n">
        <f aca="false">IF(B132=2026,INDEX($C$17:$Q$17,1,B132-2025)*$AO$4*C132/MAX(0.0001,12-$AO$3),INDEX($C$17:$Q$17,1,B132-2025)/12)</f>
        <v>8.1830083652082</v>
      </c>
      <c r="CO132" s="88" t="n">
        <f aca="false">$AO$6*0</f>
        <v>0</v>
      </c>
      <c r="CP132" s="88" t="n">
        <f aca="false">CN132+CP131</f>
        <v>1087.34758724426</v>
      </c>
      <c r="CQ132" s="88" t="n">
        <f aca="false">CO132+CQ131</f>
        <v>221</v>
      </c>
      <c r="CR132" s="88" t="n">
        <f aca="false">MAX(CR131,CP132-CQ132)</f>
        <v>866.347587244264</v>
      </c>
      <c r="CS132" s="88" t="n">
        <f aca="false">CR132-CR131</f>
        <v>8.18300836520825</v>
      </c>
      <c r="CT132" s="88" t="n">
        <f aca="false">IF(B132=2026,INDEX($C$18:$Q$18,1,B132-2025)*$AO$4*C132/MAX(0.0001,12-$AO$3),INDEX($C$18:$Q$18,1,B132-2025)/12)</f>
        <v>1.70233541686103</v>
      </c>
      <c r="CU132" s="88" t="n">
        <f aca="false">$AO$6*0</f>
        <v>0</v>
      </c>
      <c r="CV132" s="88" t="n">
        <f aca="false">CT132+CV131</f>
        <v>226.20413246482</v>
      </c>
      <c r="CW132" s="88" t="n">
        <f aca="false">CU132+CW131</f>
        <v>11</v>
      </c>
      <c r="CX132" s="88" t="n">
        <f aca="false">MAX(CX131,CV132-CW132)</f>
        <v>215.20413246482</v>
      </c>
      <c r="CY132" s="88" t="n">
        <f aca="false">CX132-CX131</f>
        <v>1.70233541686102</v>
      </c>
      <c r="CZ132" s="88" t="n">
        <f aca="false">IF(B132=2026,INDEX($C$19:$Q$19,1,B132-2025)*$AO$4*C132/MAX(0.0001,12-$AO$3),INDEX($C$19:$Q$19,1,B132-2025)/12)</f>
        <v>1.68548061075349</v>
      </c>
      <c r="DA132" s="88" t="n">
        <f aca="false">$AO$6*0</f>
        <v>0</v>
      </c>
      <c r="DB132" s="88" t="n">
        <f aca="false">CZ132+DB131</f>
        <v>223.964487588931</v>
      </c>
      <c r="DC132" s="88" t="n">
        <f aca="false">DA132+DC131</f>
        <v>226</v>
      </c>
      <c r="DD132" s="88" t="n">
        <f aca="false">MAX(DD131,DB132-DC132)</f>
        <v>37.132124495359</v>
      </c>
      <c r="DE132" s="88" t="n">
        <f aca="false">DD132-DD131</f>
        <v>0</v>
      </c>
      <c r="DF132" s="88" t="n">
        <f aca="false">IF(B132=2026,INDEX($C$20:$Q$20,1,B132-2025)*$AO$4*C132/MAX(0.0001,12-$AO$3),INDEX($C$20:$Q$20,1,B132-2025)/12)</f>
        <v>1.37366669776409</v>
      </c>
      <c r="DG132" s="88" t="n">
        <f aca="false">$AO$6*0</f>
        <v>0</v>
      </c>
      <c r="DH132" s="88" t="n">
        <f aca="false">DF132+DH131</f>
        <v>182.531057384979</v>
      </c>
      <c r="DI132" s="88" t="n">
        <f aca="false">DG132+DI131</f>
        <v>0</v>
      </c>
      <c r="DJ132" s="88" t="n">
        <f aca="false">MAX(DJ131,DH132-DI132)</f>
        <v>182.531057384979</v>
      </c>
      <c r="DK132" s="88" t="n">
        <f aca="false">DJ132-DJ131</f>
        <v>1.37366669776409</v>
      </c>
      <c r="DL132" s="88" t="n">
        <f aca="false">IF(B132=2026,INDEX($C$21:$Q$21,1,B132-2025)*$AO$4*C132/MAX(0.0001,12-$AO$3),INDEX($C$21:$Q$21,1,B132-2025)/12)</f>
        <v>0.96072394812949</v>
      </c>
      <c r="DM132" s="88" t="n">
        <f aca="false">$AO$6*0</f>
        <v>0</v>
      </c>
      <c r="DN132" s="88" t="n">
        <f aca="false">DL132+DN131</f>
        <v>127.659757925691</v>
      </c>
      <c r="DO132" s="88" t="n">
        <f aca="false">DM132+DO131</f>
        <v>100</v>
      </c>
      <c r="DP132" s="88" t="n">
        <f aca="false">MAX(DP131,DN132-DO132)</f>
        <v>27.6597579256905</v>
      </c>
      <c r="DQ132" s="88" t="n">
        <f aca="false">DP132-DP131</f>
        <v>0.960723948129484</v>
      </c>
      <c r="DR132" s="88" t="n">
        <f aca="false">IF(B132=2026,INDEX($C$22:$Q$22,1,B132-2025)*$AO$4*C132/MAX(0.0001,12-$AO$3),INDEX($C$22:$Q$22,1,B132-2025)/12)</f>
        <v>0.750038871785304</v>
      </c>
      <c r="DS132" s="88" t="n">
        <f aca="false">$AO$6*0</f>
        <v>0</v>
      </c>
      <c r="DT132" s="88" t="n">
        <f aca="false">DR132+DT131</f>
        <v>99.6641969770745</v>
      </c>
      <c r="DU132" s="88" t="n">
        <f aca="false">DS132+DU131</f>
        <v>29</v>
      </c>
      <c r="DV132" s="88" t="n">
        <f aca="false">MAX(DV131,DT132-DU132)</f>
        <v>70.6641969770745</v>
      </c>
      <c r="DW132" s="88" t="n">
        <f aca="false">DV132-DV131</f>
        <v>0.750038871785307</v>
      </c>
      <c r="DX132" s="88" t="n">
        <f aca="false">IF(B132=2026,INDEX($C$23:$Q$23,1,B132-2025)*$AO$4*C132/MAX(0.0001,12-$AO$3),INDEX($C$23:$Q$23,1,B132-2025)/12)</f>
        <v>1.20511863668875</v>
      </c>
      <c r="DY132" s="88" t="n">
        <f aca="false">$AO$6*0</f>
        <v>0</v>
      </c>
      <c r="DZ132" s="88" t="n">
        <f aca="false">DX132+DZ131</f>
        <v>160.134608626086</v>
      </c>
      <c r="EA132" s="88" t="n">
        <f aca="false">DY132+EA131</f>
        <v>121</v>
      </c>
      <c r="EB132" s="88" t="n">
        <f aca="false">MAX(EB131,DZ132-EA132)</f>
        <v>39.134608626086</v>
      </c>
      <c r="EC132" s="88" t="n">
        <f aca="false">EB132-EB131</f>
        <v>1.20511863668875</v>
      </c>
      <c r="ED132" s="88" t="n">
        <f aca="false">IF(B132=2026,INDEX($C$24:$Q$24,1,B132-2025)*$AO$4*C132/MAX(0.0001,12-$AO$3),INDEX($C$24:$Q$24,1,B132-2025)/12)</f>
        <v>0.741611468731536</v>
      </c>
      <c r="EE132" s="88" t="n">
        <f aca="false">$AO$6*0</f>
        <v>0</v>
      </c>
      <c r="EF132" s="88" t="n">
        <f aca="false">ED132+EF131</f>
        <v>98.5443745391297</v>
      </c>
      <c r="EG132" s="88" t="n">
        <f aca="false">EE132+EG131</f>
        <v>0</v>
      </c>
      <c r="EH132" s="88" t="n">
        <f aca="false">MAX(EH131,EF132-EG132)</f>
        <v>98.5443745391297</v>
      </c>
      <c r="EI132" s="88" t="n">
        <f aca="false">EH132-EH131</f>
        <v>0.741611468731534</v>
      </c>
      <c r="EJ132" s="88" t="n">
        <f aca="false">IF(B132=2026,INDEX($C$25:$Q$25,1,B132-2025)*$AO$4*C132/MAX(0.0001,12-$AO$3),INDEX($C$25:$Q$25,1,B132-2025)/12)</f>
        <v>0.943869142021955</v>
      </c>
      <c r="EK132" s="88" t="n">
        <f aca="false">$AO$6*0</f>
        <v>0</v>
      </c>
      <c r="EL132" s="88" t="n">
        <f aca="false">EJ132+EL131</f>
        <v>125.420113049802</v>
      </c>
      <c r="EM132" s="88" t="n">
        <f aca="false">EK132+EM131</f>
        <v>14</v>
      </c>
      <c r="EN132" s="88" t="n">
        <f aca="false">MAX(EN131,EL132-EM132)</f>
        <v>111.420113049802</v>
      </c>
      <c r="EO132" s="88" t="n">
        <f aca="false">EN132-EN131</f>
        <v>0.943869142021953</v>
      </c>
      <c r="EP132" s="88" t="n">
        <f aca="false">IF(B132=2026,INDEX($C$26:$Q$26,1,B132-2025)*$AO$4*C132/MAX(0.0001,12-$AO$3),INDEX($C$26:$Q$26,1,B132-2025)/12)</f>
        <v>1.35681189165656</v>
      </c>
      <c r="EQ132" s="88" t="n">
        <f aca="false">$AO$6*0</f>
        <v>0</v>
      </c>
      <c r="ER132" s="88" t="n">
        <f aca="false">EP132+ER131</f>
        <v>180.291412509089</v>
      </c>
      <c r="ES132" s="88" t="n">
        <f aca="false">EQ132+ES131</f>
        <v>4</v>
      </c>
      <c r="ET132" s="88" t="n">
        <f aca="false">MAX(ET131,ER132-ES132)</f>
        <v>176.291412509089</v>
      </c>
      <c r="EU132" s="88" t="n">
        <f aca="false">ET132-ET131</f>
        <v>1.35681189165655</v>
      </c>
      <c r="EV132" s="88" t="n">
        <f aca="false">IF(B132=2026,INDEX($C$27:$Q$27,1,B132-2025)*$AO$4*C132/MAX(0.0001,12-$AO$3),INDEX($C$27:$Q$27,1,B132-2025)/12)</f>
        <v>3.37096122150698</v>
      </c>
      <c r="EW132" s="88" t="n">
        <f aca="false">$AO$6*0</f>
        <v>0</v>
      </c>
      <c r="EX132" s="88" t="n">
        <f aca="false">EV132+EX131</f>
        <v>447.928975177863</v>
      </c>
      <c r="EY132" s="88" t="n">
        <f aca="false">EW132+EY131</f>
        <v>391</v>
      </c>
      <c r="EZ132" s="88" t="n">
        <f aca="false">MAX(EZ131,EX132-EY132)</f>
        <v>56.9289751778626</v>
      </c>
      <c r="FA132" s="88" t="n">
        <f aca="false">EZ132-EZ131</f>
        <v>3.370961221507</v>
      </c>
      <c r="FB132" s="88" t="n">
        <f aca="false">IF(B132=2026,INDEX($C$28:$Q$28,1,B132-2025)*$AO$4*C132/MAX(0.0001,12-$AO$3),INDEX($C$28:$Q$28,1,B132-2025)/12)</f>
        <v>17.646981994589</v>
      </c>
      <c r="FC132" s="88" t="n">
        <f aca="false">$AO$6*0</f>
        <v>0</v>
      </c>
      <c r="FD132" s="88" t="n">
        <f aca="false">FB132+FD131</f>
        <v>2344.90818505611</v>
      </c>
      <c r="FE132" s="88" t="n">
        <f aca="false">FC132+FE131</f>
        <v>169</v>
      </c>
      <c r="FF132" s="88" t="n">
        <f aca="false">MAX(FF131,FD132-FE132)</f>
        <v>2175.90818505611</v>
      </c>
      <c r="FG132" s="88" t="n">
        <f aca="false">FF132-FF131</f>
        <v>17.6469819945892</v>
      </c>
    </row>
    <row r="133" customFormat="false" ht="15" hidden="false" customHeight="false" outlineLevel="0" collapsed="false">
      <c r="A133" s="0" t="n">
        <v>93</v>
      </c>
      <c r="B133" s="88" t="n">
        <f aca="false">2026+INT(A133/12)</f>
        <v>2033</v>
      </c>
      <c r="C133" s="88" t="n">
        <f aca="false">MAX(0,MIN(1,A133+1-$AO$3))</f>
        <v>1</v>
      </c>
      <c r="D133" s="88" t="n">
        <f aca="false">IF((A133+0.5-(0))&lt;$AO$3,0,2026+INT((A133+0.5-(0))/12))</f>
        <v>2033</v>
      </c>
      <c r="E133" s="88" t="n">
        <f aca="false">IF((A133+0.5-($AO$9))&lt;$AO$3,0,2026+INT((A133+0.5-($AO$9))/12))</f>
        <v>2032</v>
      </c>
      <c r="F133" s="88" t="n">
        <f aca="false">IF((A133+0.5-($AO$9+$AO$8))&lt;$AO$3,0,2026+INT((A133+0.5-($AO$9+$AO$8))/12))</f>
        <v>2031</v>
      </c>
      <c r="G133" s="88" t="n">
        <f aca="false">IF((A133+0.5-($AO$9+$AO$8+$AO$7))&lt;$AO$3,0,2026+INT((A133+0.5-($AO$9+$AO$8+$AO$7))/12))</f>
        <v>2030</v>
      </c>
      <c r="H133" s="88" t="n">
        <f aca="false">IF(B133=2026,INDEX($C$3:$Q$3,1,B133-2025)*$AO$4*C133/MAX(0.0001,12-$AO$3),INDEX($C$3:$Q$3,1,B133-2025)/12)</f>
        <v>180.666666666667</v>
      </c>
      <c r="I133" s="88" t="n">
        <f aca="false">$AO$6*0</f>
        <v>0</v>
      </c>
      <c r="J133" s="88" t="n">
        <f aca="false">H133+J132</f>
        <v>24187.4200913242</v>
      </c>
      <c r="K133" s="88" t="n">
        <f aca="false">I133+K132</f>
        <v>8695.00000000001</v>
      </c>
      <c r="L133" s="88" t="n">
        <f aca="false">MAX(L132,J133-K133)</f>
        <v>15492.4200913242</v>
      </c>
      <c r="M133" s="88" t="n">
        <f aca="false">L133-L132</f>
        <v>180.666666666668</v>
      </c>
      <c r="N133" s="88" t="n">
        <f aca="false">IF(B133=2026,INDEX($C$4:$Q$4,1,B133-2025)*$AO$4*C133/MAX(0.0001,12-$AO$3),INDEX($C$4:$Q$4,1,B133-2025)/12)</f>
        <v>5.47724540066293</v>
      </c>
      <c r="O133" s="88" t="n">
        <f aca="false">$AO$6*0</f>
        <v>0</v>
      </c>
      <c r="P133" s="88" t="n">
        <f aca="false">N133+P132</f>
        <v>733.286543076241</v>
      </c>
      <c r="Q133" s="88" t="n">
        <f aca="false">O133+Q132</f>
        <v>398</v>
      </c>
      <c r="R133" s="88" t="n">
        <f aca="false">MAX(R132,P133-Q133)</f>
        <v>335.286543076241</v>
      </c>
      <c r="S133" s="88" t="n">
        <f aca="false">R133-R132</f>
        <v>5.47724540066292</v>
      </c>
      <c r="T133" s="88" t="n">
        <f aca="false">IF(B133=2026,INDEX($C$5:$Q$5,1,B133-2025)*$AO$4*C133/MAX(0.0001,12-$AO$3),INDEX($C$5:$Q$5,1,B133-2025)/12)</f>
        <v>22.2615024358139</v>
      </c>
      <c r="U133" s="88" t="n">
        <f aca="false">$AO$6*0</f>
        <v>0</v>
      </c>
      <c r="V133" s="88" t="n">
        <f aca="false">T133+V132</f>
        <v>2980.3412063417</v>
      </c>
      <c r="W133" s="88" t="n">
        <f aca="false">U133+W132</f>
        <v>1115</v>
      </c>
      <c r="X133" s="88" t="n">
        <f aca="false">MAX(X132,V133-W133)</f>
        <v>1865.3412063417</v>
      </c>
      <c r="Y133" s="88" t="n">
        <f aca="false">X133-X132</f>
        <v>22.2615024358138</v>
      </c>
      <c r="Z133" s="88" t="n">
        <f aca="false">IF(B133=2026,INDEX($C$6:$Q$6,1,B133-2025)*$AO$4*C133/MAX(0.0001,12-$AO$3),INDEX($C$6:$Q$6,1,B133-2025)/12)</f>
        <v>26.4114629913323</v>
      </c>
      <c r="AA133" s="88" t="n">
        <f aca="false">$AO$6*0</f>
        <v>0</v>
      </c>
      <c r="AB133" s="88" t="n">
        <f aca="false">Z133+AB132</f>
        <v>3535.93256788459</v>
      </c>
      <c r="AC133" s="88" t="n">
        <f aca="false">AA133+AC132</f>
        <v>2194</v>
      </c>
      <c r="AD133" s="88" t="n">
        <f aca="false">MAX(AD132,AB133-AC133)</f>
        <v>1341.93256788459</v>
      </c>
      <c r="AE133" s="88" t="n">
        <f aca="false">AD133-AD132</f>
        <v>6.28974170530205</v>
      </c>
      <c r="AF133" s="88" t="n">
        <f aca="false">IF(B133=2026,INDEX($C$7:$Q$7,1,B133-2025)*$AO$4*C133/MAX(0.0001,12-$AO$3),INDEX($C$7:$Q$7,1,B133-2025)/12)</f>
        <v>22.9427081739175</v>
      </c>
      <c r="AG133" s="88" t="n">
        <f aca="false">$AO$6*0</f>
        <v>0</v>
      </c>
      <c r="AH133" s="88" t="n">
        <f aca="false">AF133+AH132</f>
        <v>3071.54015111733</v>
      </c>
      <c r="AI133" s="88" t="n">
        <f aca="false">AG133+AI132</f>
        <v>826</v>
      </c>
      <c r="AJ133" s="88" t="n">
        <f aca="false">MAX(AJ132,AH133-AI133)</f>
        <v>2245.54015111733</v>
      </c>
      <c r="AK133" s="88" t="n">
        <f aca="false">AJ133-AJ132</f>
        <v>22.9427081739173</v>
      </c>
      <c r="AL133" s="88" t="n">
        <f aca="false">IF(B133=2026,INDEX($C$8:$Q$8,1,B133-2025)*$AO$4*C133/MAX(0.0001,12-$AO$3),INDEX($C$8:$Q$8,1,B133-2025)/12)</f>
        <v>5.80342126052833</v>
      </c>
      <c r="AM133" s="88" t="n">
        <f aca="false">$AO$6*0</f>
        <v>0</v>
      </c>
      <c r="AN133" s="88" t="n">
        <f aca="false">AL133+AN132</f>
        <v>776.954546099563</v>
      </c>
      <c r="AO133" s="88" t="n">
        <f aca="false">AM133+AO132</f>
        <v>66</v>
      </c>
      <c r="AP133" s="88" t="n">
        <f aca="false">MAX(AP132,AN133-AO133)</f>
        <v>710.954546099563</v>
      </c>
      <c r="AQ133" s="88" t="n">
        <f aca="false">AP133-AP132</f>
        <v>5.80342126052835</v>
      </c>
      <c r="AR133" s="88" t="n">
        <f aca="false">IF(B133=2026,INDEX($C$9:$Q$9,1,B133-2025)*$AO$4*C133/MAX(0.0001,12-$AO$3),INDEX($C$9:$Q$9,1,B133-2025)/12)</f>
        <v>24.7454570609428</v>
      </c>
      <c r="AS133" s="88" t="n">
        <f aca="false">$AO$6*0</f>
        <v>0</v>
      </c>
      <c r="AT133" s="88" t="n">
        <f aca="false">AR133+AT132</f>
        <v>3312.88984475009</v>
      </c>
      <c r="AU133" s="88" t="n">
        <f aca="false">AS133+AU132</f>
        <v>1810</v>
      </c>
      <c r="AV133" s="88" t="n">
        <f aca="false">MAX(AV132,AT133-AU133)</f>
        <v>1502.88984475009</v>
      </c>
      <c r="AW133" s="88" t="n">
        <f aca="false">AV133-AV132</f>
        <v>24.745457060943</v>
      </c>
      <c r="AX133" s="88" t="n">
        <f aca="false">IF(B133=2026,INDEX($C$10:$Q$10,1,B133-2025)*$AO$4*C133/MAX(0.0001,12-$AO$3),INDEX($C$10:$Q$10,1,B133-2025)/12)</f>
        <v>2.87034756681557</v>
      </c>
      <c r="AY133" s="88" t="n">
        <f aca="false">$AO$6*0</f>
        <v>0</v>
      </c>
      <c r="AZ133" s="88" t="n">
        <f aca="false">AX133+AZ132</f>
        <v>384.278426605231</v>
      </c>
      <c r="BA133" s="88" t="n">
        <f aca="false">AY133+BA132</f>
        <v>50</v>
      </c>
      <c r="BB133" s="88" t="n">
        <f aca="false">MAX(BB132,AZ133-BA133)</f>
        <v>334.278426605231</v>
      </c>
      <c r="BC133" s="88" t="n">
        <f aca="false">BB133-BB132</f>
        <v>2.87034756681555</v>
      </c>
      <c r="BD133" s="88" t="n">
        <f aca="false">IF(B133=2026,INDEX($C$11:$Q$11,1,B133-2025)*$AO$4*C133/MAX(0.0001,12-$AO$3),INDEX($C$11:$Q$11,1,B133-2025)/12)</f>
        <v>14.2639212564218</v>
      </c>
      <c r="BE133" s="88" t="n">
        <f aca="false">$AO$6*0</f>
        <v>0</v>
      </c>
      <c r="BF133" s="88" t="n">
        <f aca="false">BD133+BF132</f>
        <v>1909.63536298142</v>
      </c>
      <c r="BG133" s="88" t="n">
        <f aca="false">BE133+BG132</f>
        <v>240</v>
      </c>
      <c r="BH133" s="88" t="n">
        <f aca="false">MAX(BH132,BF133-BG133)</f>
        <v>1669.63536298142</v>
      </c>
      <c r="BI133" s="88" t="n">
        <f aca="false">BH133-BH132</f>
        <v>14.2639212564218</v>
      </c>
      <c r="BJ133" s="88" t="n">
        <f aca="false">IF(B133=2026,INDEX($C$12:$Q$12,1,B133-2025)*$AO$4*C133/MAX(0.0001,12-$AO$3),INDEX($C$12:$Q$12,1,B133-2025)/12)</f>
        <v>7.82069350154207</v>
      </c>
      <c r="BK133" s="88" t="n">
        <f aca="false">$AO$6*0</f>
        <v>0</v>
      </c>
      <c r="BL133" s="88" t="n">
        <f aca="false">BJ133+BL132</f>
        <v>1047.02434941303</v>
      </c>
      <c r="BM133" s="88" t="n">
        <f aca="false">BK133+BM132</f>
        <v>465</v>
      </c>
      <c r="BN133" s="88" t="n">
        <f aca="false">MAX(BN132,BL133-BM133)</f>
        <v>620.1207703606</v>
      </c>
      <c r="BO133" s="88" t="n">
        <f aca="false">BN133-BN132</f>
        <v>0</v>
      </c>
      <c r="BP133" s="88" t="n">
        <f aca="false">IF(B133=2026,INDEX($C$13:$Q$13,1,B133-2025)*$AO$4*C133/MAX(0.0001,12-$AO$3),INDEX($C$13:$Q$13,1,B133-2025)/12)</f>
        <v>2.44394688559256</v>
      </c>
      <c r="BQ133" s="88" t="n">
        <f aca="false">$AO$6*0</f>
        <v>0</v>
      </c>
      <c r="BR133" s="88" t="n">
        <f aca="false">BP133+BR132</f>
        <v>327.192453889542</v>
      </c>
      <c r="BS133" s="88" t="n">
        <f aca="false">BQ133+BS132</f>
        <v>87</v>
      </c>
      <c r="BT133" s="88" t="n">
        <f aca="false">MAX(BT132,BR133-BS133)</f>
        <v>240.192453889542</v>
      </c>
      <c r="BU133" s="88" t="n">
        <f aca="false">BT133-BT132</f>
        <v>2.44394688559254</v>
      </c>
      <c r="BV133" s="88" t="n">
        <f aca="false">IF(B133=2026,INDEX($C$14:$Q$14,1,B133-2025)*$AO$4*C133/MAX(0.0001,12-$AO$3),INDEX($C$14:$Q$14,1,B133-2025)/12)</f>
        <v>1.449513325248</v>
      </c>
      <c r="BW133" s="88" t="n">
        <f aca="false">$AO$6*0</f>
        <v>0</v>
      </c>
      <c r="BX133" s="88" t="n">
        <f aca="false">BV133+BX132</f>
        <v>194.058972651729</v>
      </c>
      <c r="BY133" s="88" t="n">
        <f aca="false">BW133+BY132</f>
        <v>0</v>
      </c>
      <c r="BZ133" s="88" t="n">
        <f aca="false">MAX(BZ132,BX133-BY133)</f>
        <v>194.058972651729</v>
      </c>
      <c r="CA133" s="88" t="n">
        <f aca="false">BZ133-BZ132</f>
        <v>1.44951332524801</v>
      </c>
      <c r="CB133" s="88" t="n">
        <f aca="false">IF(B133=2026,INDEX($C$15:$Q$15,1,B133-2025)*$AO$4*C133/MAX(0.0001,12-$AO$3),INDEX($C$15:$Q$15,1,B133-2025)/12)</f>
        <v>2.37652766116242</v>
      </c>
      <c r="CC133" s="88" t="n">
        <f aca="false">$AO$6*0</f>
        <v>0</v>
      </c>
      <c r="CD133" s="88" t="n">
        <f aca="false">CB133+CD132</f>
        <v>318.166455161555</v>
      </c>
      <c r="CE133" s="88" t="n">
        <f aca="false">CC133+CE132</f>
        <v>88.0000000000001</v>
      </c>
      <c r="CF133" s="88" t="n">
        <f aca="false">MAX(CF132,CD133-CE133)</f>
        <v>230.166455161555</v>
      </c>
      <c r="CG133" s="88" t="n">
        <f aca="false">CF133-CF132</f>
        <v>2.37652766116241</v>
      </c>
      <c r="CH133" s="88" t="n">
        <f aca="false">IF(B133=2026,INDEX($C$16:$Q$16,1,B133-2025)*$AO$4*C133/MAX(0.0001,12-$AO$3),INDEX($C$16:$Q$16,1,B133-2025)/12)</f>
        <v>1.87931088099014</v>
      </c>
      <c r="CI133" s="88" t="n">
        <f aca="false">$AO$6*0</f>
        <v>0</v>
      </c>
      <c r="CJ133" s="88" t="n">
        <f aca="false">CH133+CJ132</f>
        <v>251.599714542648</v>
      </c>
      <c r="CK133" s="88" t="n">
        <f aca="false">CI133+CK132</f>
        <v>70</v>
      </c>
      <c r="CL133" s="88" t="n">
        <f aca="false">MAX(CL132,CJ133-CK133)</f>
        <v>181.599714542648</v>
      </c>
      <c r="CM133" s="88" t="n">
        <f aca="false">CL133-CL132</f>
        <v>1.87931088099015</v>
      </c>
      <c r="CN133" s="88" t="n">
        <f aca="false">IF(B133=2026,INDEX($C$17:$Q$17,1,B133-2025)*$AO$4*C133/MAX(0.0001,12-$AO$3),INDEX($C$17:$Q$17,1,B133-2025)/12)</f>
        <v>8.1830083652082</v>
      </c>
      <c r="CO133" s="88" t="n">
        <f aca="false">$AO$6*0</f>
        <v>0</v>
      </c>
      <c r="CP133" s="88" t="n">
        <f aca="false">CN133+CP132</f>
        <v>1095.53059560947</v>
      </c>
      <c r="CQ133" s="88" t="n">
        <f aca="false">CO133+CQ132</f>
        <v>221</v>
      </c>
      <c r="CR133" s="88" t="n">
        <f aca="false">MAX(CR132,CP133-CQ133)</f>
        <v>874.530595609472</v>
      </c>
      <c r="CS133" s="88" t="n">
        <f aca="false">CR133-CR132</f>
        <v>8.18300836520825</v>
      </c>
      <c r="CT133" s="88" t="n">
        <f aca="false">IF(B133=2026,INDEX($C$18:$Q$18,1,B133-2025)*$AO$4*C133/MAX(0.0001,12-$AO$3),INDEX($C$18:$Q$18,1,B133-2025)/12)</f>
        <v>1.70233541686103</v>
      </c>
      <c r="CU133" s="88" t="n">
        <f aca="false">$AO$6*0</f>
        <v>0</v>
      </c>
      <c r="CV133" s="88" t="n">
        <f aca="false">CT133+CV132</f>
        <v>227.906467881682</v>
      </c>
      <c r="CW133" s="88" t="n">
        <f aca="false">CU133+CW132</f>
        <v>11</v>
      </c>
      <c r="CX133" s="88" t="n">
        <f aca="false">MAX(CX132,CV133-CW133)</f>
        <v>216.906467881682</v>
      </c>
      <c r="CY133" s="88" t="n">
        <f aca="false">CX133-CX132</f>
        <v>1.70233541686102</v>
      </c>
      <c r="CZ133" s="88" t="n">
        <f aca="false">IF(B133=2026,INDEX($C$19:$Q$19,1,B133-2025)*$AO$4*C133/MAX(0.0001,12-$AO$3),INDEX($C$19:$Q$19,1,B133-2025)/12)</f>
        <v>1.68548061075349</v>
      </c>
      <c r="DA133" s="88" t="n">
        <f aca="false">$AO$6*0</f>
        <v>0</v>
      </c>
      <c r="DB133" s="88" t="n">
        <f aca="false">CZ133+DB132</f>
        <v>225.649968199685</v>
      </c>
      <c r="DC133" s="88" t="n">
        <f aca="false">DA133+DC132</f>
        <v>226</v>
      </c>
      <c r="DD133" s="88" t="n">
        <f aca="false">MAX(DD132,DB133-DC133)</f>
        <v>37.132124495359</v>
      </c>
      <c r="DE133" s="88" t="n">
        <f aca="false">DD133-DD132</f>
        <v>0</v>
      </c>
      <c r="DF133" s="88" t="n">
        <f aca="false">IF(B133=2026,INDEX($C$20:$Q$20,1,B133-2025)*$AO$4*C133/MAX(0.0001,12-$AO$3),INDEX($C$20:$Q$20,1,B133-2025)/12)</f>
        <v>1.37366669776409</v>
      </c>
      <c r="DG133" s="88" t="n">
        <f aca="false">$AO$6*0</f>
        <v>0</v>
      </c>
      <c r="DH133" s="88" t="n">
        <f aca="false">DF133+DH132</f>
        <v>183.904724082743</v>
      </c>
      <c r="DI133" s="88" t="n">
        <f aca="false">DG133+DI132</f>
        <v>0</v>
      </c>
      <c r="DJ133" s="88" t="n">
        <f aca="false">MAX(DJ132,DH133-DI133)</f>
        <v>183.904724082743</v>
      </c>
      <c r="DK133" s="88" t="n">
        <f aca="false">DJ133-DJ132</f>
        <v>1.37366669776409</v>
      </c>
      <c r="DL133" s="88" t="n">
        <f aca="false">IF(B133=2026,INDEX($C$21:$Q$21,1,B133-2025)*$AO$4*C133/MAX(0.0001,12-$AO$3),INDEX($C$21:$Q$21,1,B133-2025)/12)</f>
        <v>0.96072394812949</v>
      </c>
      <c r="DM133" s="88" t="n">
        <f aca="false">$AO$6*0</f>
        <v>0</v>
      </c>
      <c r="DN133" s="88" t="n">
        <f aca="false">DL133+DN132</f>
        <v>128.62048187382</v>
      </c>
      <c r="DO133" s="88" t="n">
        <f aca="false">DM133+DO132</f>
        <v>100</v>
      </c>
      <c r="DP133" s="88" t="n">
        <f aca="false">MAX(DP132,DN133-DO133)</f>
        <v>28.62048187382</v>
      </c>
      <c r="DQ133" s="88" t="n">
        <f aca="false">DP133-DP132</f>
        <v>0.960723948129484</v>
      </c>
      <c r="DR133" s="88" t="n">
        <f aca="false">IF(B133=2026,INDEX($C$22:$Q$22,1,B133-2025)*$AO$4*C133/MAX(0.0001,12-$AO$3),INDEX($C$22:$Q$22,1,B133-2025)/12)</f>
        <v>0.750038871785304</v>
      </c>
      <c r="DS133" s="88" t="n">
        <f aca="false">$AO$6*0</f>
        <v>0</v>
      </c>
      <c r="DT133" s="88" t="n">
        <f aca="false">DR133+DT132</f>
        <v>100.41423584886</v>
      </c>
      <c r="DU133" s="88" t="n">
        <f aca="false">DS133+DU132</f>
        <v>29</v>
      </c>
      <c r="DV133" s="88" t="n">
        <f aca="false">MAX(DV132,DT133-DU133)</f>
        <v>71.4142358488598</v>
      </c>
      <c r="DW133" s="88" t="n">
        <f aca="false">DV133-DV132</f>
        <v>0.750038871785307</v>
      </c>
      <c r="DX133" s="88" t="n">
        <f aca="false">IF(B133=2026,INDEX($C$23:$Q$23,1,B133-2025)*$AO$4*C133/MAX(0.0001,12-$AO$3),INDEX($C$23:$Q$23,1,B133-2025)/12)</f>
        <v>1.20511863668875</v>
      </c>
      <c r="DY133" s="88" t="n">
        <f aca="false">$AO$6*0</f>
        <v>0</v>
      </c>
      <c r="DZ133" s="88" t="n">
        <f aca="false">DX133+DZ132</f>
        <v>161.339727262775</v>
      </c>
      <c r="EA133" s="88" t="n">
        <f aca="false">DY133+EA132</f>
        <v>121</v>
      </c>
      <c r="EB133" s="88" t="n">
        <f aca="false">MAX(EB132,DZ133-EA133)</f>
        <v>40.3397272627747</v>
      </c>
      <c r="EC133" s="88" t="n">
        <f aca="false">EB133-EB132</f>
        <v>1.20511863668875</v>
      </c>
      <c r="ED133" s="88" t="n">
        <f aca="false">IF(B133=2026,INDEX($C$24:$Q$24,1,B133-2025)*$AO$4*C133/MAX(0.0001,12-$AO$3),INDEX($C$24:$Q$24,1,B133-2025)/12)</f>
        <v>0.741611468731536</v>
      </c>
      <c r="EE133" s="88" t="n">
        <f aca="false">$AO$6*0</f>
        <v>0</v>
      </c>
      <c r="EF133" s="88" t="n">
        <f aca="false">ED133+EF132</f>
        <v>99.2859860078612</v>
      </c>
      <c r="EG133" s="88" t="n">
        <f aca="false">EE133+EG132</f>
        <v>0</v>
      </c>
      <c r="EH133" s="88" t="n">
        <f aca="false">MAX(EH132,EF133-EG133)</f>
        <v>99.2859860078612</v>
      </c>
      <c r="EI133" s="88" t="n">
        <f aca="false">EH133-EH132</f>
        <v>0.741611468731534</v>
      </c>
      <c r="EJ133" s="88" t="n">
        <f aca="false">IF(B133=2026,INDEX($C$25:$Q$25,1,B133-2025)*$AO$4*C133/MAX(0.0001,12-$AO$3),INDEX($C$25:$Q$25,1,B133-2025)/12)</f>
        <v>0.943869142021955</v>
      </c>
      <c r="EK133" s="88" t="n">
        <f aca="false">$AO$6*0</f>
        <v>0</v>
      </c>
      <c r="EL133" s="88" t="n">
        <f aca="false">EJ133+EL132</f>
        <v>126.363982191823</v>
      </c>
      <c r="EM133" s="88" t="n">
        <f aca="false">EK133+EM132</f>
        <v>14</v>
      </c>
      <c r="EN133" s="88" t="n">
        <f aca="false">MAX(EN132,EL133-EM133)</f>
        <v>112.363982191823</v>
      </c>
      <c r="EO133" s="88" t="n">
        <f aca="false">EN133-EN132</f>
        <v>0.943869142021953</v>
      </c>
      <c r="EP133" s="88" t="n">
        <f aca="false">IF(B133=2026,INDEX($C$26:$Q$26,1,B133-2025)*$AO$4*C133/MAX(0.0001,12-$AO$3),INDEX($C$26:$Q$26,1,B133-2025)/12)</f>
        <v>1.35681189165656</v>
      </c>
      <c r="EQ133" s="88" t="n">
        <f aca="false">$AO$6*0</f>
        <v>0</v>
      </c>
      <c r="ER133" s="88" t="n">
        <f aca="false">EP133+ER132</f>
        <v>181.648224400746</v>
      </c>
      <c r="ES133" s="88" t="n">
        <f aca="false">EQ133+ES132</f>
        <v>4</v>
      </c>
      <c r="ET133" s="88" t="n">
        <f aca="false">MAX(ET132,ER133-ES133)</f>
        <v>177.648224400746</v>
      </c>
      <c r="EU133" s="88" t="n">
        <f aca="false">ET133-ET132</f>
        <v>1.35681189165655</v>
      </c>
      <c r="EV133" s="88" t="n">
        <f aca="false">IF(B133=2026,INDEX($C$27:$Q$27,1,B133-2025)*$AO$4*C133/MAX(0.0001,12-$AO$3),INDEX($C$27:$Q$27,1,B133-2025)/12)</f>
        <v>3.37096122150698</v>
      </c>
      <c r="EW133" s="88" t="n">
        <f aca="false">$AO$6*0</f>
        <v>0</v>
      </c>
      <c r="EX133" s="88" t="n">
        <f aca="false">EV133+EX132</f>
        <v>451.29993639937</v>
      </c>
      <c r="EY133" s="88" t="n">
        <f aca="false">EW133+EY132</f>
        <v>391</v>
      </c>
      <c r="EZ133" s="88" t="n">
        <f aca="false">MAX(EZ132,EX133-EY133)</f>
        <v>60.2999363993696</v>
      </c>
      <c r="FA133" s="88" t="n">
        <f aca="false">EZ133-EZ132</f>
        <v>3.370961221507</v>
      </c>
      <c r="FB133" s="88" t="n">
        <f aca="false">IF(B133=2026,INDEX($C$28:$Q$28,1,B133-2025)*$AO$4*C133/MAX(0.0001,12-$AO$3),INDEX($C$28:$Q$28,1,B133-2025)/12)</f>
        <v>17.646981994589</v>
      </c>
      <c r="FC133" s="88" t="n">
        <f aca="false">$AO$6*0</f>
        <v>0</v>
      </c>
      <c r="FD133" s="88" t="n">
        <f aca="false">FB133+FD132</f>
        <v>2362.5551670507</v>
      </c>
      <c r="FE133" s="88" t="n">
        <f aca="false">FC133+FE132</f>
        <v>169</v>
      </c>
      <c r="FF133" s="88" t="n">
        <f aca="false">MAX(FF132,FD133-FE133)</f>
        <v>2193.5551670507</v>
      </c>
      <c r="FG133" s="88" t="n">
        <f aca="false">FF133-FF132</f>
        <v>17.6469819945892</v>
      </c>
    </row>
    <row r="134" customFormat="false" ht="15" hidden="false" customHeight="false" outlineLevel="0" collapsed="false">
      <c r="A134" s="0" t="n">
        <v>94</v>
      </c>
      <c r="B134" s="88" t="n">
        <f aca="false">2026+INT(A134/12)</f>
        <v>2033</v>
      </c>
      <c r="C134" s="88" t="n">
        <f aca="false">MAX(0,MIN(1,A134+1-$AO$3))</f>
        <v>1</v>
      </c>
      <c r="D134" s="88" t="n">
        <f aca="false">IF((A134+0.5-(0))&lt;$AO$3,0,2026+INT((A134+0.5-(0))/12))</f>
        <v>2033</v>
      </c>
      <c r="E134" s="88" t="n">
        <f aca="false">IF((A134+0.5-($AO$9))&lt;$AO$3,0,2026+INT((A134+0.5-($AO$9))/12))</f>
        <v>2032</v>
      </c>
      <c r="F134" s="88" t="n">
        <f aca="false">IF((A134+0.5-($AO$9+$AO$8))&lt;$AO$3,0,2026+INT((A134+0.5-($AO$9+$AO$8))/12))</f>
        <v>2031</v>
      </c>
      <c r="G134" s="88" t="n">
        <f aca="false">IF((A134+0.5-($AO$9+$AO$8+$AO$7))&lt;$AO$3,0,2026+INT((A134+0.5-($AO$9+$AO$8+$AO$7))/12))</f>
        <v>2030</v>
      </c>
      <c r="H134" s="88" t="n">
        <f aca="false">IF(B134=2026,INDEX($C$3:$Q$3,1,B134-2025)*$AO$4*C134/MAX(0.0001,12-$AO$3),INDEX($C$3:$Q$3,1,B134-2025)/12)</f>
        <v>180.666666666667</v>
      </c>
      <c r="I134" s="88" t="n">
        <f aca="false">$AO$6*0</f>
        <v>0</v>
      </c>
      <c r="J134" s="88" t="n">
        <f aca="false">H134+J133</f>
        <v>24368.0867579909</v>
      </c>
      <c r="K134" s="88" t="n">
        <f aca="false">I134+K133</f>
        <v>8695.00000000001</v>
      </c>
      <c r="L134" s="88" t="n">
        <f aca="false">MAX(L133,J134-K134)</f>
        <v>15673.0867579909</v>
      </c>
      <c r="M134" s="88" t="n">
        <f aca="false">L134-L133</f>
        <v>180.666666666668</v>
      </c>
      <c r="N134" s="88" t="n">
        <f aca="false">IF(B134=2026,INDEX($C$4:$Q$4,1,B134-2025)*$AO$4*C134/MAX(0.0001,12-$AO$3),INDEX($C$4:$Q$4,1,B134-2025)/12)</f>
        <v>5.47724540066293</v>
      </c>
      <c r="O134" s="88" t="n">
        <f aca="false">$AO$6*0</f>
        <v>0</v>
      </c>
      <c r="P134" s="88" t="n">
        <f aca="false">N134+P133</f>
        <v>738.763788476904</v>
      </c>
      <c r="Q134" s="88" t="n">
        <f aca="false">O134+Q133</f>
        <v>398</v>
      </c>
      <c r="R134" s="88" t="n">
        <f aca="false">MAX(R133,P134-Q134)</f>
        <v>340.763788476904</v>
      </c>
      <c r="S134" s="88" t="n">
        <f aca="false">R134-R133</f>
        <v>5.47724540066292</v>
      </c>
      <c r="T134" s="88" t="n">
        <f aca="false">IF(B134=2026,INDEX($C$5:$Q$5,1,B134-2025)*$AO$4*C134/MAX(0.0001,12-$AO$3),INDEX($C$5:$Q$5,1,B134-2025)/12)</f>
        <v>22.2615024358139</v>
      </c>
      <c r="U134" s="88" t="n">
        <f aca="false">$AO$6*0</f>
        <v>0</v>
      </c>
      <c r="V134" s="88" t="n">
        <f aca="false">T134+V133</f>
        <v>3002.60270877751</v>
      </c>
      <c r="W134" s="88" t="n">
        <f aca="false">U134+W133</f>
        <v>1115</v>
      </c>
      <c r="X134" s="88" t="n">
        <f aca="false">MAX(X133,V134-W134)</f>
        <v>1887.60270877751</v>
      </c>
      <c r="Y134" s="88" t="n">
        <f aca="false">X134-X133</f>
        <v>22.2615024358138</v>
      </c>
      <c r="Z134" s="88" t="n">
        <f aca="false">IF(B134=2026,INDEX($C$6:$Q$6,1,B134-2025)*$AO$4*C134/MAX(0.0001,12-$AO$3),INDEX($C$6:$Q$6,1,B134-2025)/12)</f>
        <v>26.4114629913323</v>
      </c>
      <c r="AA134" s="88" t="n">
        <f aca="false">$AO$6*0</f>
        <v>0</v>
      </c>
      <c r="AB134" s="88" t="n">
        <f aca="false">Z134+AB133</f>
        <v>3562.34403087592</v>
      </c>
      <c r="AC134" s="88" t="n">
        <f aca="false">AA134+AC133</f>
        <v>2194</v>
      </c>
      <c r="AD134" s="88" t="n">
        <f aca="false">MAX(AD133,AB134-AC134)</f>
        <v>1368.34403087592</v>
      </c>
      <c r="AE134" s="88" t="n">
        <f aca="false">AD134-AD133</f>
        <v>26.4114629913324</v>
      </c>
      <c r="AF134" s="88" t="n">
        <f aca="false">IF(B134=2026,INDEX($C$7:$Q$7,1,B134-2025)*$AO$4*C134/MAX(0.0001,12-$AO$3),INDEX($C$7:$Q$7,1,B134-2025)/12)</f>
        <v>22.9427081739175</v>
      </c>
      <c r="AG134" s="88" t="n">
        <f aca="false">$AO$6*0</f>
        <v>0</v>
      </c>
      <c r="AH134" s="88" t="n">
        <f aca="false">AF134+AH133</f>
        <v>3094.48285929125</v>
      </c>
      <c r="AI134" s="88" t="n">
        <f aca="false">AG134+AI133</f>
        <v>826</v>
      </c>
      <c r="AJ134" s="88" t="n">
        <f aca="false">MAX(AJ133,AH134-AI134)</f>
        <v>2268.48285929125</v>
      </c>
      <c r="AK134" s="88" t="n">
        <f aca="false">AJ134-AJ133</f>
        <v>22.9427081739173</v>
      </c>
      <c r="AL134" s="88" t="n">
        <f aca="false">IF(B134=2026,INDEX($C$8:$Q$8,1,B134-2025)*$AO$4*C134/MAX(0.0001,12-$AO$3),INDEX($C$8:$Q$8,1,B134-2025)/12)</f>
        <v>5.80342126052833</v>
      </c>
      <c r="AM134" s="88" t="n">
        <f aca="false">$AO$6*0</f>
        <v>0</v>
      </c>
      <c r="AN134" s="88" t="n">
        <f aca="false">AL134+AN133</f>
        <v>782.757967360092</v>
      </c>
      <c r="AO134" s="88" t="n">
        <f aca="false">AM134+AO133</f>
        <v>66</v>
      </c>
      <c r="AP134" s="88" t="n">
        <f aca="false">MAX(AP133,AN134-AO134)</f>
        <v>716.757967360092</v>
      </c>
      <c r="AQ134" s="88" t="n">
        <f aca="false">AP134-AP133</f>
        <v>5.80342126052835</v>
      </c>
      <c r="AR134" s="88" t="n">
        <f aca="false">IF(B134=2026,INDEX($C$9:$Q$9,1,B134-2025)*$AO$4*C134/MAX(0.0001,12-$AO$3),INDEX($C$9:$Q$9,1,B134-2025)/12)</f>
        <v>24.7454570609428</v>
      </c>
      <c r="AS134" s="88" t="n">
        <f aca="false">$AO$6*0</f>
        <v>0</v>
      </c>
      <c r="AT134" s="88" t="n">
        <f aca="false">AR134+AT133</f>
        <v>3337.63530181103</v>
      </c>
      <c r="AU134" s="88" t="n">
        <f aca="false">AS134+AU133</f>
        <v>1810</v>
      </c>
      <c r="AV134" s="88" t="n">
        <f aca="false">MAX(AV133,AT134-AU134)</f>
        <v>1527.63530181103</v>
      </c>
      <c r="AW134" s="88" t="n">
        <f aca="false">AV134-AV133</f>
        <v>24.745457060943</v>
      </c>
      <c r="AX134" s="88" t="n">
        <f aca="false">IF(B134=2026,INDEX($C$10:$Q$10,1,B134-2025)*$AO$4*C134/MAX(0.0001,12-$AO$3),INDEX($C$10:$Q$10,1,B134-2025)/12)</f>
        <v>2.87034756681557</v>
      </c>
      <c r="AY134" s="88" t="n">
        <f aca="false">$AO$6*0</f>
        <v>0</v>
      </c>
      <c r="AZ134" s="88" t="n">
        <f aca="false">AX134+AZ133</f>
        <v>387.148774172046</v>
      </c>
      <c r="BA134" s="88" t="n">
        <f aca="false">AY134+BA133</f>
        <v>50</v>
      </c>
      <c r="BB134" s="88" t="n">
        <f aca="false">MAX(BB133,AZ134-BA134)</f>
        <v>337.148774172046</v>
      </c>
      <c r="BC134" s="88" t="n">
        <f aca="false">BB134-BB133</f>
        <v>2.87034756681555</v>
      </c>
      <c r="BD134" s="88" t="n">
        <f aca="false">IF(B134=2026,INDEX($C$11:$Q$11,1,B134-2025)*$AO$4*C134/MAX(0.0001,12-$AO$3),INDEX($C$11:$Q$11,1,B134-2025)/12)</f>
        <v>14.2639212564218</v>
      </c>
      <c r="BE134" s="88" t="n">
        <f aca="false">$AO$6*0</f>
        <v>0</v>
      </c>
      <c r="BF134" s="88" t="n">
        <f aca="false">BD134+BF133</f>
        <v>1923.89928423784</v>
      </c>
      <c r="BG134" s="88" t="n">
        <f aca="false">BE134+BG133</f>
        <v>240</v>
      </c>
      <c r="BH134" s="88" t="n">
        <f aca="false">MAX(BH133,BF134-BG134)</f>
        <v>1683.89928423784</v>
      </c>
      <c r="BI134" s="88" t="n">
        <f aca="false">BH134-BH133</f>
        <v>14.2639212564218</v>
      </c>
      <c r="BJ134" s="88" t="n">
        <f aca="false">IF(B134=2026,INDEX($C$12:$Q$12,1,B134-2025)*$AO$4*C134/MAX(0.0001,12-$AO$3),INDEX($C$12:$Q$12,1,B134-2025)/12)</f>
        <v>7.82069350154207</v>
      </c>
      <c r="BK134" s="88" t="n">
        <f aca="false">$AO$6*0</f>
        <v>0</v>
      </c>
      <c r="BL134" s="88" t="n">
        <f aca="false">BJ134+BL133</f>
        <v>1054.84504291457</v>
      </c>
      <c r="BM134" s="88" t="n">
        <f aca="false">BK134+BM133</f>
        <v>465</v>
      </c>
      <c r="BN134" s="88" t="n">
        <f aca="false">MAX(BN133,BL134-BM134)</f>
        <v>620.1207703606</v>
      </c>
      <c r="BO134" s="88" t="n">
        <f aca="false">BN134-BN133</f>
        <v>0</v>
      </c>
      <c r="BP134" s="88" t="n">
        <f aca="false">IF(B134=2026,INDEX($C$13:$Q$13,1,B134-2025)*$AO$4*C134/MAX(0.0001,12-$AO$3),INDEX($C$13:$Q$13,1,B134-2025)/12)</f>
        <v>2.44394688559256</v>
      </c>
      <c r="BQ134" s="88" t="n">
        <f aca="false">$AO$6*0</f>
        <v>0</v>
      </c>
      <c r="BR134" s="88" t="n">
        <f aca="false">BP134+BR133</f>
        <v>329.636400775135</v>
      </c>
      <c r="BS134" s="88" t="n">
        <f aca="false">BQ134+BS133</f>
        <v>87</v>
      </c>
      <c r="BT134" s="88" t="n">
        <f aca="false">MAX(BT133,BR134-BS134)</f>
        <v>242.636400775135</v>
      </c>
      <c r="BU134" s="88" t="n">
        <f aca="false">BT134-BT133</f>
        <v>2.44394688559254</v>
      </c>
      <c r="BV134" s="88" t="n">
        <f aca="false">IF(B134=2026,INDEX($C$14:$Q$14,1,B134-2025)*$AO$4*C134/MAX(0.0001,12-$AO$3),INDEX($C$14:$Q$14,1,B134-2025)/12)</f>
        <v>1.449513325248</v>
      </c>
      <c r="BW134" s="88" t="n">
        <f aca="false">$AO$6*0</f>
        <v>0</v>
      </c>
      <c r="BX134" s="88" t="n">
        <f aca="false">BV134+BX133</f>
        <v>195.508485976977</v>
      </c>
      <c r="BY134" s="88" t="n">
        <f aca="false">BW134+BY133</f>
        <v>0</v>
      </c>
      <c r="BZ134" s="88" t="n">
        <f aca="false">MAX(BZ133,BX134-BY134)</f>
        <v>195.508485976977</v>
      </c>
      <c r="CA134" s="88" t="n">
        <f aca="false">BZ134-BZ133</f>
        <v>1.44951332524801</v>
      </c>
      <c r="CB134" s="88" t="n">
        <f aca="false">IF(B134=2026,INDEX($C$15:$Q$15,1,B134-2025)*$AO$4*C134/MAX(0.0001,12-$AO$3),INDEX($C$15:$Q$15,1,B134-2025)/12)</f>
        <v>2.37652766116242</v>
      </c>
      <c r="CC134" s="88" t="n">
        <f aca="false">$AO$6*0</f>
        <v>0</v>
      </c>
      <c r="CD134" s="88" t="n">
        <f aca="false">CB134+CD133</f>
        <v>320.542982822717</v>
      </c>
      <c r="CE134" s="88" t="n">
        <f aca="false">CC134+CE133</f>
        <v>88.0000000000001</v>
      </c>
      <c r="CF134" s="88" t="n">
        <f aca="false">MAX(CF133,CD134-CE134)</f>
        <v>232.542982822717</v>
      </c>
      <c r="CG134" s="88" t="n">
        <f aca="false">CF134-CF133</f>
        <v>2.37652766116241</v>
      </c>
      <c r="CH134" s="88" t="n">
        <f aca="false">IF(B134=2026,INDEX($C$16:$Q$16,1,B134-2025)*$AO$4*C134/MAX(0.0001,12-$AO$3),INDEX($C$16:$Q$16,1,B134-2025)/12)</f>
        <v>1.87931088099014</v>
      </c>
      <c r="CI134" s="88" t="n">
        <f aca="false">$AO$6*0</f>
        <v>0</v>
      </c>
      <c r="CJ134" s="88" t="n">
        <f aca="false">CH134+CJ133</f>
        <v>253.479025423639</v>
      </c>
      <c r="CK134" s="88" t="n">
        <f aca="false">CI134+CK133</f>
        <v>70</v>
      </c>
      <c r="CL134" s="88" t="n">
        <f aca="false">MAX(CL133,CJ134-CK134)</f>
        <v>183.479025423639</v>
      </c>
      <c r="CM134" s="88" t="n">
        <f aca="false">CL134-CL133</f>
        <v>1.87931088099015</v>
      </c>
      <c r="CN134" s="88" t="n">
        <f aca="false">IF(B134=2026,INDEX($C$17:$Q$17,1,B134-2025)*$AO$4*C134/MAX(0.0001,12-$AO$3),INDEX($C$17:$Q$17,1,B134-2025)/12)</f>
        <v>8.1830083652082</v>
      </c>
      <c r="CO134" s="88" t="n">
        <f aca="false">$AO$6*0</f>
        <v>0</v>
      </c>
      <c r="CP134" s="88" t="n">
        <f aca="false">CN134+CP133</f>
        <v>1103.71360397468</v>
      </c>
      <c r="CQ134" s="88" t="n">
        <f aca="false">CO134+CQ133</f>
        <v>221</v>
      </c>
      <c r="CR134" s="88" t="n">
        <f aca="false">MAX(CR133,CP134-CQ134)</f>
        <v>882.71360397468</v>
      </c>
      <c r="CS134" s="88" t="n">
        <f aca="false">CR134-CR133</f>
        <v>8.18300836520825</v>
      </c>
      <c r="CT134" s="88" t="n">
        <f aca="false">IF(B134=2026,INDEX($C$18:$Q$18,1,B134-2025)*$AO$4*C134/MAX(0.0001,12-$AO$3),INDEX($C$18:$Q$18,1,B134-2025)/12)</f>
        <v>1.70233541686103</v>
      </c>
      <c r="CU134" s="88" t="n">
        <f aca="false">$AO$6*0</f>
        <v>0</v>
      </c>
      <c r="CV134" s="88" t="n">
        <f aca="false">CT134+CV133</f>
        <v>229.608803298543</v>
      </c>
      <c r="CW134" s="88" t="n">
        <f aca="false">CU134+CW133</f>
        <v>11</v>
      </c>
      <c r="CX134" s="88" t="n">
        <f aca="false">MAX(CX133,CV134-CW134)</f>
        <v>218.608803298543</v>
      </c>
      <c r="CY134" s="88" t="n">
        <f aca="false">CX134-CX133</f>
        <v>1.70233541686102</v>
      </c>
      <c r="CZ134" s="88" t="n">
        <f aca="false">IF(B134=2026,INDEX($C$19:$Q$19,1,B134-2025)*$AO$4*C134/MAX(0.0001,12-$AO$3),INDEX($C$19:$Q$19,1,B134-2025)/12)</f>
        <v>1.68548061075349</v>
      </c>
      <c r="DA134" s="88" t="n">
        <f aca="false">$AO$6*0</f>
        <v>0</v>
      </c>
      <c r="DB134" s="88" t="n">
        <f aca="false">CZ134+DB133</f>
        <v>227.335448810438</v>
      </c>
      <c r="DC134" s="88" t="n">
        <f aca="false">DA134+DC133</f>
        <v>226</v>
      </c>
      <c r="DD134" s="88" t="n">
        <f aca="false">MAX(DD133,DB134-DC134)</f>
        <v>37.132124495359</v>
      </c>
      <c r="DE134" s="88" t="n">
        <f aca="false">DD134-DD133</f>
        <v>0</v>
      </c>
      <c r="DF134" s="88" t="n">
        <f aca="false">IF(B134=2026,INDEX($C$20:$Q$20,1,B134-2025)*$AO$4*C134/MAX(0.0001,12-$AO$3),INDEX($C$20:$Q$20,1,B134-2025)/12)</f>
        <v>1.37366669776409</v>
      </c>
      <c r="DG134" s="88" t="n">
        <f aca="false">$AO$6*0</f>
        <v>0</v>
      </c>
      <c r="DH134" s="88" t="n">
        <f aca="false">DF134+DH133</f>
        <v>185.278390780507</v>
      </c>
      <c r="DI134" s="88" t="n">
        <f aca="false">DG134+DI133</f>
        <v>0</v>
      </c>
      <c r="DJ134" s="88" t="n">
        <f aca="false">MAX(DJ133,DH134-DI134)</f>
        <v>185.278390780507</v>
      </c>
      <c r="DK134" s="88" t="n">
        <f aca="false">DJ134-DJ133</f>
        <v>1.37366669776409</v>
      </c>
      <c r="DL134" s="88" t="n">
        <f aca="false">IF(B134=2026,INDEX($C$21:$Q$21,1,B134-2025)*$AO$4*C134/MAX(0.0001,12-$AO$3),INDEX($C$21:$Q$21,1,B134-2025)/12)</f>
        <v>0.96072394812949</v>
      </c>
      <c r="DM134" s="88" t="n">
        <f aca="false">$AO$6*0</f>
        <v>0</v>
      </c>
      <c r="DN134" s="88" t="n">
        <f aca="false">DL134+DN133</f>
        <v>129.581205821949</v>
      </c>
      <c r="DO134" s="88" t="n">
        <f aca="false">DM134+DO133</f>
        <v>100</v>
      </c>
      <c r="DP134" s="88" t="n">
        <f aca="false">MAX(DP133,DN134-DO134)</f>
        <v>29.5812058219495</v>
      </c>
      <c r="DQ134" s="88" t="n">
        <f aca="false">DP134-DP133</f>
        <v>0.960723948129498</v>
      </c>
      <c r="DR134" s="88" t="n">
        <f aca="false">IF(B134=2026,INDEX($C$22:$Q$22,1,B134-2025)*$AO$4*C134/MAX(0.0001,12-$AO$3),INDEX($C$22:$Q$22,1,B134-2025)/12)</f>
        <v>0.750038871785304</v>
      </c>
      <c r="DS134" s="88" t="n">
        <f aca="false">$AO$6*0</f>
        <v>0</v>
      </c>
      <c r="DT134" s="88" t="n">
        <f aca="false">DR134+DT133</f>
        <v>101.164274720645</v>
      </c>
      <c r="DU134" s="88" t="n">
        <f aca="false">DS134+DU133</f>
        <v>29</v>
      </c>
      <c r="DV134" s="88" t="n">
        <f aca="false">MAX(DV133,DT134-DU134)</f>
        <v>72.1642747206451</v>
      </c>
      <c r="DW134" s="88" t="n">
        <f aca="false">DV134-DV133</f>
        <v>0.750038871785307</v>
      </c>
      <c r="DX134" s="88" t="n">
        <f aca="false">IF(B134=2026,INDEX($C$23:$Q$23,1,B134-2025)*$AO$4*C134/MAX(0.0001,12-$AO$3),INDEX($C$23:$Q$23,1,B134-2025)/12)</f>
        <v>1.20511863668875</v>
      </c>
      <c r="DY134" s="88" t="n">
        <f aca="false">$AO$6*0</f>
        <v>0</v>
      </c>
      <c r="DZ134" s="88" t="n">
        <f aca="false">DX134+DZ133</f>
        <v>162.544845899463</v>
      </c>
      <c r="EA134" s="88" t="n">
        <f aca="false">DY134+EA133</f>
        <v>121</v>
      </c>
      <c r="EB134" s="88" t="n">
        <f aca="false">MAX(EB133,DZ134-EA134)</f>
        <v>41.5448458994635</v>
      </c>
      <c r="EC134" s="88" t="n">
        <f aca="false">EB134-EB133</f>
        <v>1.20511863668875</v>
      </c>
      <c r="ED134" s="88" t="n">
        <f aca="false">IF(B134=2026,INDEX($C$24:$Q$24,1,B134-2025)*$AO$4*C134/MAX(0.0001,12-$AO$3),INDEX($C$24:$Q$24,1,B134-2025)/12)</f>
        <v>0.741611468731536</v>
      </c>
      <c r="EE134" s="88" t="n">
        <f aca="false">$AO$6*0</f>
        <v>0</v>
      </c>
      <c r="EF134" s="88" t="n">
        <f aca="false">ED134+EF133</f>
        <v>100.027597476593</v>
      </c>
      <c r="EG134" s="88" t="n">
        <f aca="false">EE134+EG133</f>
        <v>0</v>
      </c>
      <c r="EH134" s="88" t="n">
        <f aca="false">MAX(EH133,EF134-EG134)</f>
        <v>100.027597476593</v>
      </c>
      <c r="EI134" s="88" t="n">
        <f aca="false">EH134-EH133</f>
        <v>0.741611468731534</v>
      </c>
      <c r="EJ134" s="88" t="n">
        <f aca="false">IF(B134=2026,INDEX($C$25:$Q$25,1,B134-2025)*$AO$4*C134/MAX(0.0001,12-$AO$3),INDEX($C$25:$Q$25,1,B134-2025)/12)</f>
        <v>0.943869142021955</v>
      </c>
      <c r="EK134" s="88" t="n">
        <f aca="false">$AO$6*0</f>
        <v>0</v>
      </c>
      <c r="EL134" s="88" t="n">
        <f aca="false">EJ134+EL133</f>
        <v>127.307851333845</v>
      </c>
      <c r="EM134" s="88" t="n">
        <f aca="false">EK134+EM133</f>
        <v>14</v>
      </c>
      <c r="EN134" s="88" t="n">
        <f aca="false">MAX(EN133,EL134-EM134)</f>
        <v>113.307851333845</v>
      </c>
      <c r="EO134" s="88" t="n">
        <f aca="false">EN134-EN133</f>
        <v>0.943869142021953</v>
      </c>
      <c r="EP134" s="88" t="n">
        <f aca="false">IF(B134=2026,INDEX($C$26:$Q$26,1,B134-2025)*$AO$4*C134/MAX(0.0001,12-$AO$3),INDEX($C$26:$Q$26,1,B134-2025)/12)</f>
        <v>1.35681189165656</v>
      </c>
      <c r="EQ134" s="88" t="n">
        <f aca="false">$AO$6*0</f>
        <v>0</v>
      </c>
      <c r="ER134" s="88" t="n">
        <f aca="false">EP134+ER133</f>
        <v>183.005036292402</v>
      </c>
      <c r="ES134" s="88" t="n">
        <f aca="false">EQ134+ES133</f>
        <v>4</v>
      </c>
      <c r="ET134" s="88" t="n">
        <f aca="false">MAX(ET133,ER134-ES134)</f>
        <v>179.005036292402</v>
      </c>
      <c r="EU134" s="88" t="n">
        <f aca="false">ET134-ET133</f>
        <v>1.35681189165655</v>
      </c>
      <c r="EV134" s="88" t="n">
        <f aca="false">IF(B134=2026,INDEX($C$27:$Q$27,1,B134-2025)*$AO$4*C134/MAX(0.0001,12-$AO$3),INDEX($C$27:$Q$27,1,B134-2025)/12)</f>
        <v>3.37096122150698</v>
      </c>
      <c r="EW134" s="88" t="n">
        <f aca="false">$AO$6*0</f>
        <v>0</v>
      </c>
      <c r="EX134" s="88" t="n">
        <f aca="false">EV134+EX133</f>
        <v>454.670897620877</v>
      </c>
      <c r="EY134" s="88" t="n">
        <f aca="false">EW134+EY133</f>
        <v>391</v>
      </c>
      <c r="EZ134" s="88" t="n">
        <f aca="false">MAX(EZ133,EX134-EY134)</f>
        <v>63.6708976208766</v>
      </c>
      <c r="FA134" s="88" t="n">
        <f aca="false">EZ134-EZ133</f>
        <v>3.370961221507</v>
      </c>
      <c r="FB134" s="88" t="n">
        <f aca="false">IF(B134=2026,INDEX($C$28:$Q$28,1,B134-2025)*$AO$4*C134/MAX(0.0001,12-$AO$3),INDEX($C$28:$Q$28,1,B134-2025)/12)</f>
        <v>17.646981994589</v>
      </c>
      <c r="FC134" s="88" t="n">
        <f aca="false">$AO$6*0</f>
        <v>0</v>
      </c>
      <c r="FD134" s="88" t="n">
        <f aca="false">FB134+FD133</f>
        <v>2380.20214904529</v>
      </c>
      <c r="FE134" s="88" t="n">
        <f aca="false">FC134+FE133</f>
        <v>169</v>
      </c>
      <c r="FF134" s="88" t="n">
        <f aca="false">MAX(FF133,FD134-FE134)</f>
        <v>2211.20214904529</v>
      </c>
      <c r="FG134" s="88" t="n">
        <f aca="false">FF134-FF133</f>
        <v>17.6469819945892</v>
      </c>
    </row>
    <row r="135" customFormat="false" ht="15" hidden="false" customHeight="false" outlineLevel="0" collapsed="false">
      <c r="A135" s="0" t="n">
        <v>95</v>
      </c>
      <c r="B135" s="88" t="n">
        <f aca="false">2026+INT(A135/12)</f>
        <v>2033</v>
      </c>
      <c r="C135" s="88" t="n">
        <f aca="false">MAX(0,MIN(1,A135+1-$AO$3))</f>
        <v>1</v>
      </c>
      <c r="D135" s="88" t="n">
        <f aca="false">IF((A135+0.5-(0))&lt;$AO$3,0,2026+INT((A135+0.5-(0))/12))</f>
        <v>2033</v>
      </c>
      <c r="E135" s="88" t="n">
        <f aca="false">IF((A135+0.5-($AO$9))&lt;$AO$3,0,2026+INT((A135+0.5-($AO$9))/12))</f>
        <v>2032</v>
      </c>
      <c r="F135" s="88" t="n">
        <f aca="false">IF((A135+0.5-($AO$9+$AO$8))&lt;$AO$3,0,2026+INT((A135+0.5-($AO$9+$AO$8))/12))</f>
        <v>2031</v>
      </c>
      <c r="G135" s="88" t="n">
        <f aca="false">IF((A135+0.5-($AO$9+$AO$8+$AO$7))&lt;$AO$3,0,2026+INT((A135+0.5-($AO$9+$AO$8+$AO$7))/12))</f>
        <v>2031</v>
      </c>
      <c r="H135" s="88" t="n">
        <f aca="false">IF(B135=2026,INDEX($C$3:$Q$3,1,B135-2025)*$AO$4*C135/MAX(0.0001,12-$AO$3),INDEX($C$3:$Q$3,1,B135-2025)/12)</f>
        <v>180.666666666667</v>
      </c>
      <c r="I135" s="88" t="n">
        <f aca="false">$AO$6*0</f>
        <v>0</v>
      </c>
      <c r="J135" s="88" t="n">
        <f aca="false">H135+J134</f>
        <v>24548.7534246576</v>
      </c>
      <c r="K135" s="88" t="n">
        <f aca="false">I135+K134</f>
        <v>8695.00000000001</v>
      </c>
      <c r="L135" s="88" t="n">
        <f aca="false">MAX(L134,J135-K135)</f>
        <v>15853.7534246576</v>
      </c>
      <c r="M135" s="88" t="n">
        <f aca="false">L135-L134</f>
        <v>180.666666666668</v>
      </c>
      <c r="N135" s="88" t="n">
        <f aca="false">IF(B135=2026,INDEX($C$4:$Q$4,1,B135-2025)*$AO$4*C135/MAX(0.0001,12-$AO$3),INDEX($C$4:$Q$4,1,B135-2025)/12)</f>
        <v>5.47724540066293</v>
      </c>
      <c r="O135" s="88" t="n">
        <f aca="false">$AO$6*0</f>
        <v>0</v>
      </c>
      <c r="P135" s="88" t="n">
        <f aca="false">N135+P134</f>
        <v>744.241033877567</v>
      </c>
      <c r="Q135" s="88" t="n">
        <f aca="false">O135+Q134</f>
        <v>398</v>
      </c>
      <c r="R135" s="88" t="n">
        <f aca="false">MAX(R134,P135-Q135)</f>
        <v>346.241033877567</v>
      </c>
      <c r="S135" s="88" t="n">
        <f aca="false">R135-R134</f>
        <v>5.47724540066292</v>
      </c>
      <c r="T135" s="88" t="n">
        <f aca="false">IF(B135=2026,INDEX($C$5:$Q$5,1,B135-2025)*$AO$4*C135/MAX(0.0001,12-$AO$3),INDEX($C$5:$Q$5,1,B135-2025)/12)</f>
        <v>22.2615024358139</v>
      </c>
      <c r="U135" s="88" t="n">
        <f aca="false">$AO$6*0</f>
        <v>0</v>
      </c>
      <c r="V135" s="88" t="n">
        <f aca="false">T135+V134</f>
        <v>3024.86421121333</v>
      </c>
      <c r="W135" s="88" t="n">
        <f aca="false">U135+W134</f>
        <v>1115</v>
      </c>
      <c r="X135" s="88" t="n">
        <f aca="false">MAX(X134,V135-W135)</f>
        <v>1909.86421121333</v>
      </c>
      <c r="Y135" s="88" t="n">
        <f aca="false">X135-X134</f>
        <v>22.2615024358138</v>
      </c>
      <c r="Z135" s="88" t="n">
        <f aca="false">IF(B135=2026,INDEX($C$6:$Q$6,1,B135-2025)*$AO$4*C135/MAX(0.0001,12-$AO$3),INDEX($C$6:$Q$6,1,B135-2025)/12)</f>
        <v>26.4114629913323</v>
      </c>
      <c r="AA135" s="88" t="n">
        <f aca="false">$AO$6*0</f>
        <v>0</v>
      </c>
      <c r="AB135" s="88" t="n">
        <f aca="false">Z135+AB134</f>
        <v>3588.75549386726</v>
      </c>
      <c r="AC135" s="88" t="n">
        <f aca="false">AA135+AC134</f>
        <v>2194</v>
      </c>
      <c r="AD135" s="88" t="n">
        <f aca="false">MAX(AD134,AB135-AC135)</f>
        <v>1394.75549386725</v>
      </c>
      <c r="AE135" s="88" t="n">
        <f aca="false">AD135-AD134</f>
        <v>26.4114629913324</v>
      </c>
      <c r="AF135" s="88" t="n">
        <f aca="false">IF(B135=2026,INDEX($C$7:$Q$7,1,B135-2025)*$AO$4*C135/MAX(0.0001,12-$AO$3),INDEX($C$7:$Q$7,1,B135-2025)/12)</f>
        <v>22.9427081739175</v>
      </c>
      <c r="AG135" s="88" t="n">
        <f aca="false">$AO$6*0</f>
        <v>0</v>
      </c>
      <c r="AH135" s="88" t="n">
        <f aca="false">AF135+AH134</f>
        <v>3117.42556746516</v>
      </c>
      <c r="AI135" s="88" t="n">
        <f aca="false">AG135+AI134</f>
        <v>826</v>
      </c>
      <c r="AJ135" s="88" t="n">
        <f aca="false">MAX(AJ134,AH135-AI135)</f>
        <v>2291.42556746517</v>
      </c>
      <c r="AK135" s="88" t="n">
        <f aca="false">AJ135-AJ134</f>
        <v>22.9427081739173</v>
      </c>
      <c r="AL135" s="88" t="n">
        <f aca="false">IF(B135=2026,INDEX($C$8:$Q$8,1,B135-2025)*$AO$4*C135/MAX(0.0001,12-$AO$3),INDEX($C$8:$Q$8,1,B135-2025)/12)</f>
        <v>5.80342126052833</v>
      </c>
      <c r="AM135" s="88" t="n">
        <f aca="false">$AO$6*0</f>
        <v>0</v>
      </c>
      <c r="AN135" s="88" t="n">
        <f aca="false">AL135+AN134</f>
        <v>788.56138862062</v>
      </c>
      <c r="AO135" s="88" t="n">
        <f aca="false">AM135+AO134</f>
        <v>66</v>
      </c>
      <c r="AP135" s="88" t="n">
        <f aca="false">MAX(AP134,AN135-AO135)</f>
        <v>722.56138862062</v>
      </c>
      <c r="AQ135" s="88" t="n">
        <f aca="false">AP135-AP134</f>
        <v>5.80342126052835</v>
      </c>
      <c r="AR135" s="88" t="n">
        <f aca="false">IF(B135=2026,INDEX($C$9:$Q$9,1,B135-2025)*$AO$4*C135/MAX(0.0001,12-$AO$3),INDEX($C$9:$Q$9,1,B135-2025)/12)</f>
        <v>24.7454570609428</v>
      </c>
      <c r="AS135" s="88" t="n">
        <f aca="false">$AO$6*0</f>
        <v>0</v>
      </c>
      <c r="AT135" s="88" t="n">
        <f aca="false">AR135+AT134</f>
        <v>3362.38075887198</v>
      </c>
      <c r="AU135" s="88" t="n">
        <f aca="false">AS135+AU134</f>
        <v>1810</v>
      </c>
      <c r="AV135" s="88" t="n">
        <f aca="false">MAX(AV134,AT135-AU135)</f>
        <v>1552.38075887198</v>
      </c>
      <c r="AW135" s="88" t="n">
        <f aca="false">AV135-AV134</f>
        <v>24.745457060943</v>
      </c>
      <c r="AX135" s="88" t="n">
        <f aca="false">IF(B135=2026,INDEX($C$10:$Q$10,1,B135-2025)*$AO$4*C135/MAX(0.0001,12-$AO$3),INDEX($C$10:$Q$10,1,B135-2025)/12)</f>
        <v>2.87034756681557</v>
      </c>
      <c r="AY135" s="88" t="n">
        <f aca="false">$AO$6*0</f>
        <v>0</v>
      </c>
      <c r="AZ135" s="88" t="n">
        <f aca="false">AX135+AZ134</f>
        <v>390.019121738862</v>
      </c>
      <c r="BA135" s="88" t="n">
        <f aca="false">AY135+BA134</f>
        <v>50</v>
      </c>
      <c r="BB135" s="88" t="n">
        <f aca="false">MAX(BB134,AZ135-BA135)</f>
        <v>340.019121738862</v>
      </c>
      <c r="BC135" s="88" t="n">
        <f aca="false">BB135-BB134</f>
        <v>2.87034756681555</v>
      </c>
      <c r="BD135" s="88" t="n">
        <f aca="false">IF(B135=2026,INDEX($C$11:$Q$11,1,B135-2025)*$AO$4*C135/MAX(0.0001,12-$AO$3),INDEX($C$11:$Q$11,1,B135-2025)/12)</f>
        <v>14.2639212564218</v>
      </c>
      <c r="BE135" s="88" t="n">
        <f aca="false">$AO$6*0</f>
        <v>0</v>
      </c>
      <c r="BF135" s="88" t="n">
        <f aca="false">BD135+BF134</f>
        <v>1938.16320549426</v>
      </c>
      <c r="BG135" s="88" t="n">
        <f aca="false">BE135+BG134</f>
        <v>240</v>
      </c>
      <c r="BH135" s="88" t="n">
        <f aca="false">MAX(BH134,BF135-BG135)</f>
        <v>1698.16320549426</v>
      </c>
      <c r="BI135" s="88" t="n">
        <f aca="false">BH135-BH134</f>
        <v>14.2639212564218</v>
      </c>
      <c r="BJ135" s="88" t="n">
        <f aca="false">IF(B135=2026,INDEX($C$12:$Q$12,1,B135-2025)*$AO$4*C135/MAX(0.0001,12-$AO$3),INDEX($C$12:$Q$12,1,B135-2025)/12)</f>
        <v>7.82069350154207</v>
      </c>
      <c r="BK135" s="88" t="n">
        <f aca="false">$AO$6*0</f>
        <v>0</v>
      </c>
      <c r="BL135" s="88" t="n">
        <f aca="false">BJ135+BL134</f>
        <v>1062.66573641612</v>
      </c>
      <c r="BM135" s="88" t="n">
        <f aca="false">BK135+BM134</f>
        <v>465</v>
      </c>
      <c r="BN135" s="88" t="n">
        <f aca="false">MAX(BN134,BL135-BM135)</f>
        <v>620.1207703606</v>
      </c>
      <c r="BO135" s="88" t="n">
        <f aca="false">BN135-BN134</f>
        <v>0</v>
      </c>
      <c r="BP135" s="88" t="n">
        <f aca="false">IF(B135=2026,INDEX($C$13:$Q$13,1,B135-2025)*$AO$4*C135/MAX(0.0001,12-$AO$3),INDEX($C$13:$Q$13,1,B135-2025)/12)</f>
        <v>2.44394688559256</v>
      </c>
      <c r="BQ135" s="88" t="n">
        <f aca="false">$AO$6*0</f>
        <v>0</v>
      </c>
      <c r="BR135" s="88" t="n">
        <f aca="false">BP135+BR134</f>
        <v>332.080347660727</v>
      </c>
      <c r="BS135" s="88" t="n">
        <f aca="false">BQ135+BS134</f>
        <v>87</v>
      </c>
      <c r="BT135" s="88" t="n">
        <f aca="false">MAX(BT134,BR135-BS135)</f>
        <v>245.080347660727</v>
      </c>
      <c r="BU135" s="88" t="n">
        <f aca="false">BT135-BT134</f>
        <v>2.44394688559254</v>
      </c>
      <c r="BV135" s="88" t="n">
        <f aca="false">IF(B135=2026,INDEX($C$14:$Q$14,1,B135-2025)*$AO$4*C135/MAX(0.0001,12-$AO$3),INDEX($C$14:$Q$14,1,B135-2025)/12)</f>
        <v>1.449513325248</v>
      </c>
      <c r="BW135" s="88" t="n">
        <f aca="false">$AO$6*0</f>
        <v>0</v>
      </c>
      <c r="BX135" s="88" t="n">
        <f aca="false">BV135+BX134</f>
        <v>196.957999302225</v>
      </c>
      <c r="BY135" s="88" t="n">
        <f aca="false">BW135+BY134</f>
        <v>0</v>
      </c>
      <c r="BZ135" s="88" t="n">
        <f aca="false">MAX(BZ134,BX135-BY135)</f>
        <v>196.957999302225</v>
      </c>
      <c r="CA135" s="88" t="n">
        <f aca="false">BZ135-BZ134</f>
        <v>1.44951332524801</v>
      </c>
      <c r="CB135" s="88" t="n">
        <f aca="false">IF(B135=2026,INDEX($C$15:$Q$15,1,B135-2025)*$AO$4*C135/MAX(0.0001,12-$AO$3),INDEX($C$15:$Q$15,1,B135-2025)/12)</f>
        <v>2.37652766116242</v>
      </c>
      <c r="CC135" s="88" t="n">
        <f aca="false">$AO$6*0</f>
        <v>0</v>
      </c>
      <c r="CD135" s="88" t="n">
        <f aca="false">CB135+CD134</f>
        <v>322.91951048388</v>
      </c>
      <c r="CE135" s="88" t="n">
        <f aca="false">CC135+CE134</f>
        <v>88.0000000000001</v>
      </c>
      <c r="CF135" s="88" t="n">
        <f aca="false">MAX(CF134,CD135-CE135)</f>
        <v>234.91951048388</v>
      </c>
      <c r="CG135" s="88" t="n">
        <f aca="false">CF135-CF134</f>
        <v>2.37652766116241</v>
      </c>
      <c r="CH135" s="88" t="n">
        <f aca="false">IF(B135=2026,INDEX($C$16:$Q$16,1,B135-2025)*$AO$4*C135/MAX(0.0001,12-$AO$3),INDEX($C$16:$Q$16,1,B135-2025)/12)</f>
        <v>1.87931088099014</v>
      </c>
      <c r="CI135" s="88" t="n">
        <f aca="false">$AO$6*0</f>
        <v>0</v>
      </c>
      <c r="CJ135" s="88" t="n">
        <f aca="false">CH135+CJ134</f>
        <v>255.358336304629</v>
      </c>
      <c r="CK135" s="88" t="n">
        <f aca="false">CI135+CK134</f>
        <v>70</v>
      </c>
      <c r="CL135" s="88" t="n">
        <f aca="false">MAX(CL134,CJ135-CK135)</f>
        <v>185.358336304629</v>
      </c>
      <c r="CM135" s="88" t="n">
        <f aca="false">CL135-CL134</f>
        <v>1.87931088099015</v>
      </c>
      <c r="CN135" s="88" t="n">
        <f aca="false">IF(B135=2026,INDEX($C$17:$Q$17,1,B135-2025)*$AO$4*C135/MAX(0.0001,12-$AO$3),INDEX($C$17:$Q$17,1,B135-2025)/12)</f>
        <v>8.1830083652082</v>
      </c>
      <c r="CO135" s="88" t="n">
        <f aca="false">$AO$6*0</f>
        <v>0</v>
      </c>
      <c r="CP135" s="88" t="n">
        <f aca="false">CN135+CP134</f>
        <v>1111.89661233989</v>
      </c>
      <c r="CQ135" s="88" t="n">
        <f aca="false">CO135+CQ134</f>
        <v>221</v>
      </c>
      <c r="CR135" s="88" t="n">
        <f aca="false">MAX(CR134,CP135-CQ135)</f>
        <v>890.896612339889</v>
      </c>
      <c r="CS135" s="88" t="n">
        <f aca="false">CR135-CR134</f>
        <v>8.18300836520825</v>
      </c>
      <c r="CT135" s="88" t="n">
        <f aca="false">IF(B135=2026,INDEX($C$18:$Q$18,1,B135-2025)*$AO$4*C135/MAX(0.0001,12-$AO$3),INDEX($C$18:$Q$18,1,B135-2025)/12)</f>
        <v>1.70233541686103</v>
      </c>
      <c r="CU135" s="88" t="n">
        <f aca="false">$AO$6*0</f>
        <v>0</v>
      </c>
      <c r="CV135" s="88" t="n">
        <f aca="false">CT135+CV134</f>
        <v>231.311138715404</v>
      </c>
      <c r="CW135" s="88" t="n">
        <f aca="false">CU135+CW134</f>
        <v>11</v>
      </c>
      <c r="CX135" s="88" t="n">
        <f aca="false">MAX(CX134,CV135-CW135)</f>
        <v>220.311138715404</v>
      </c>
      <c r="CY135" s="88" t="n">
        <f aca="false">CX135-CX134</f>
        <v>1.70233541686102</v>
      </c>
      <c r="CZ135" s="88" t="n">
        <f aca="false">IF(B135=2026,INDEX($C$19:$Q$19,1,B135-2025)*$AO$4*C135/MAX(0.0001,12-$AO$3),INDEX($C$19:$Q$19,1,B135-2025)/12)</f>
        <v>1.68548061075349</v>
      </c>
      <c r="DA135" s="88" t="n">
        <f aca="false">$AO$6*0</f>
        <v>0</v>
      </c>
      <c r="DB135" s="88" t="n">
        <f aca="false">CZ135+DB134</f>
        <v>229.020929421192</v>
      </c>
      <c r="DC135" s="88" t="n">
        <f aca="false">DA135+DC134</f>
        <v>226</v>
      </c>
      <c r="DD135" s="88" t="n">
        <f aca="false">MAX(DD134,DB135-DC135)</f>
        <v>37.132124495359</v>
      </c>
      <c r="DE135" s="88" t="n">
        <f aca="false">DD135-DD134</f>
        <v>0</v>
      </c>
      <c r="DF135" s="88" t="n">
        <f aca="false">IF(B135=2026,INDEX($C$20:$Q$20,1,B135-2025)*$AO$4*C135/MAX(0.0001,12-$AO$3),INDEX($C$20:$Q$20,1,B135-2025)/12)</f>
        <v>1.37366669776409</v>
      </c>
      <c r="DG135" s="88" t="n">
        <f aca="false">$AO$6*0</f>
        <v>0</v>
      </c>
      <c r="DH135" s="88" t="n">
        <f aca="false">DF135+DH134</f>
        <v>186.652057478271</v>
      </c>
      <c r="DI135" s="88" t="n">
        <f aca="false">DG135+DI134</f>
        <v>0</v>
      </c>
      <c r="DJ135" s="88" t="n">
        <f aca="false">MAX(DJ134,DH135-DI135)</f>
        <v>186.652057478271</v>
      </c>
      <c r="DK135" s="88" t="n">
        <f aca="false">DJ135-DJ134</f>
        <v>1.37366669776409</v>
      </c>
      <c r="DL135" s="88" t="n">
        <f aca="false">IF(B135=2026,INDEX($C$21:$Q$21,1,B135-2025)*$AO$4*C135/MAX(0.0001,12-$AO$3),INDEX($C$21:$Q$21,1,B135-2025)/12)</f>
        <v>0.96072394812949</v>
      </c>
      <c r="DM135" s="88" t="n">
        <f aca="false">$AO$6*0</f>
        <v>0</v>
      </c>
      <c r="DN135" s="88" t="n">
        <f aca="false">DL135+DN134</f>
        <v>130.541929770079</v>
      </c>
      <c r="DO135" s="88" t="n">
        <f aca="false">DM135+DO134</f>
        <v>100</v>
      </c>
      <c r="DP135" s="88" t="n">
        <f aca="false">MAX(DP134,DN135-DO135)</f>
        <v>30.541929770079</v>
      </c>
      <c r="DQ135" s="88" t="n">
        <f aca="false">DP135-DP134</f>
        <v>0.960723948129498</v>
      </c>
      <c r="DR135" s="88" t="n">
        <f aca="false">IF(B135=2026,INDEX($C$22:$Q$22,1,B135-2025)*$AO$4*C135/MAX(0.0001,12-$AO$3),INDEX($C$22:$Q$22,1,B135-2025)/12)</f>
        <v>0.750038871785304</v>
      </c>
      <c r="DS135" s="88" t="n">
        <f aca="false">$AO$6*0</f>
        <v>0</v>
      </c>
      <c r="DT135" s="88" t="n">
        <f aca="false">DR135+DT134</f>
        <v>101.91431359243</v>
      </c>
      <c r="DU135" s="88" t="n">
        <f aca="false">DS135+DU134</f>
        <v>29</v>
      </c>
      <c r="DV135" s="88" t="n">
        <f aca="false">MAX(DV134,DT135-DU135)</f>
        <v>72.9143135924304</v>
      </c>
      <c r="DW135" s="88" t="n">
        <f aca="false">DV135-DV134</f>
        <v>0.750038871785307</v>
      </c>
      <c r="DX135" s="88" t="n">
        <f aca="false">IF(B135=2026,INDEX($C$23:$Q$23,1,B135-2025)*$AO$4*C135/MAX(0.0001,12-$AO$3),INDEX($C$23:$Q$23,1,B135-2025)/12)</f>
        <v>1.20511863668875</v>
      </c>
      <c r="DY135" s="88" t="n">
        <f aca="false">$AO$6*0</f>
        <v>0</v>
      </c>
      <c r="DZ135" s="88" t="n">
        <f aca="false">DX135+DZ134</f>
        <v>163.749964536152</v>
      </c>
      <c r="EA135" s="88" t="n">
        <f aca="false">DY135+EA134</f>
        <v>121</v>
      </c>
      <c r="EB135" s="88" t="n">
        <f aca="false">MAX(EB134,DZ135-EA135)</f>
        <v>42.7499645361522</v>
      </c>
      <c r="EC135" s="88" t="n">
        <f aca="false">EB135-EB134</f>
        <v>1.20511863668875</v>
      </c>
      <c r="ED135" s="88" t="n">
        <f aca="false">IF(B135=2026,INDEX($C$24:$Q$24,1,B135-2025)*$AO$4*C135/MAX(0.0001,12-$AO$3),INDEX($C$24:$Q$24,1,B135-2025)/12)</f>
        <v>0.741611468731536</v>
      </c>
      <c r="EE135" s="88" t="n">
        <f aca="false">$AO$6*0</f>
        <v>0</v>
      </c>
      <c r="EF135" s="88" t="n">
        <f aca="false">ED135+EF134</f>
        <v>100.769208945324</v>
      </c>
      <c r="EG135" s="88" t="n">
        <f aca="false">EE135+EG134</f>
        <v>0</v>
      </c>
      <c r="EH135" s="88" t="n">
        <f aca="false">MAX(EH134,EF135-EG135)</f>
        <v>100.769208945324</v>
      </c>
      <c r="EI135" s="88" t="n">
        <f aca="false">EH135-EH134</f>
        <v>0.741611468731534</v>
      </c>
      <c r="EJ135" s="88" t="n">
        <f aca="false">IF(B135=2026,INDEX($C$25:$Q$25,1,B135-2025)*$AO$4*C135/MAX(0.0001,12-$AO$3),INDEX($C$25:$Q$25,1,B135-2025)/12)</f>
        <v>0.943869142021955</v>
      </c>
      <c r="EK135" s="88" t="n">
        <f aca="false">$AO$6*0</f>
        <v>0</v>
      </c>
      <c r="EL135" s="88" t="n">
        <f aca="false">EJ135+EL134</f>
        <v>128.251720475867</v>
      </c>
      <c r="EM135" s="88" t="n">
        <f aca="false">EK135+EM134</f>
        <v>14</v>
      </c>
      <c r="EN135" s="88" t="n">
        <f aca="false">MAX(EN134,EL135-EM135)</f>
        <v>114.251720475867</v>
      </c>
      <c r="EO135" s="88" t="n">
        <f aca="false">EN135-EN134</f>
        <v>0.943869142021953</v>
      </c>
      <c r="EP135" s="88" t="n">
        <f aca="false">IF(B135=2026,INDEX($C$26:$Q$26,1,B135-2025)*$AO$4*C135/MAX(0.0001,12-$AO$3),INDEX($C$26:$Q$26,1,B135-2025)/12)</f>
        <v>1.35681189165656</v>
      </c>
      <c r="EQ135" s="88" t="n">
        <f aca="false">$AO$6*0</f>
        <v>0</v>
      </c>
      <c r="ER135" s="88" t="n">
        <f aca="false">EP135+ER134</f>
        <v>184.361848184059</v>
      </c>
      <c r="ES135" s="88" t="n">
        <f aca="false">EQ135+ES134</f>
        <v>4</v>
      </c>
      <c r="ET135" s="88" t="n">
        <f aca="false">MAX(ET134,ER135-ES135)</f>
        <v>180.361848184059</v>
      </c>
      <c r="EU135" s="88" t="n">
        <f aca="false">ET135-ET134</f>
        <v>1.35681189165655</v>
      </c>
      <c r="EV135" s="88" t="n">
        <f aca="false">IF(B135=2026,INDEX($C$27:$Q$27,1,B135-2025)*$AO$4*C135/MAX(0.0001,12-$AO$3),INDEX($C$27:$Q$27,1,B135-2025)/12)</f>
        <v>3.37096122150698</v>
      </c>
      <c r="EW135" s="88" t="n">
        <f aca="false">$AO$6*0</f>
        <v>0</v>
      </c>
      <c r="EX135" s="88" t="n">
        <f aca="false">EV135+EX134</f>
        <v>458.041858842384</v>
      </c>
      <c r="EY135" s="88" t="n">
        <f aca="false">EW135+EY134</f>
        <v>391</v>
      </c>
      <c r="EZ135" s="88" t="n">
        <f aca="false">MAX(EZ134,EX135-EY135)</f>
        <v>67.0418588423837</v>
      </c>
      <c r="FA135" s="88" t="n">
        <f aca="false">EZ135-EZ134</f>
        <v>3.370961221507</v>
      </c>
      <c r="FB135" s="88" t="n">
        <f aca="false">IF(B135=2026,INDEX($C$28:$Q$28,1,B135-2025)*$AO$4*C135/MAX(0.0001,12-$AO$3),INDEX($C$28:$Q$28,1,B135-2025)/12)</f>
        <v>17.646981994589</v>
      </c>
      <c r="FC135" s="88" t="n">
        <f aca="false">$AO$6*0</f>
        <v>0</v>
      </c>
      <c r="FD135" s="88" t="n">
        <f aca="false">FB135+FD134</f>
        <v>2397.84913103988</v>
      </c>
      <c r="FE135" s="88" t="n">
        <f aca="false">FC135+FE134</f>
        <v>169</v>
      </c>
      <c r="FF135" s="88" t="n">
        <f aca="false">MAX(FF134,FD135-FE135)</f>
        <v>2228.84913103988</v>
      </c>
      <c r="FG135" s="88" t="n">
        <f aca="false">FF135-FF134</f>
        <v>17.6469819945892</v>
      </c>
    </row>
    <row r="136" customFormat="false" ht="15" hidden="false" customHeight="false" outlineLevel="0" collapsed="false">
      <c r="A136" s="0" t="n">
        <v>96</v>
      </c>
      <c r="B136" s="88" t="n">
        <f aca="false">2026+INT(A136/12)</f>
        <v>2034</v>
      </c>
      <c r="C136" s="88" t="n">
        <f aca="false">MAX(0,MIN(1,A136+1-$AO$3))</f>
        <v>1</v>
      </c>
      <c r="D136" s="88" t="n">
        <f aca="false">IF((A136+0.5-(0))&lt;$AO$3,0,2026+INT((A136+0.5-(0))/12))</f>
        <v>2034</v>
      </c>
      <c r="E136" s="88" t="n">
        <f aca="false">IF((A136+0.5-($AO$9))&lt;$AO$3,0,2026+INT((A136+0.5-($AO$9))/12))</f>
        <v>2032</v>
      </c>
      <c r="F136" s="88" t="n">
        <f aca="false">IF((A136+0.5-($AO$9+$AO$8))&lt;$AO$3,0,2026+INT((A136+0.5-($AO$9+$AO$8))/12))</f>
        <v>2031</v>
      </c>
      <c r="G136" s="88" t="n">
        <f aca="false">IF((A136+0.5-($AO$9+$AO$8+$AO$7))&lt;$AO$3,0,2026+INT((A136+0.5-($AO$9+$AO$8+$AO$7))/12))</f>
        <v>2031</v>
      </c>
      <c r="H136" s="88" t="n">
        <f aca="false">IF(B136=2026,INDEX($C$3:$Q$3,1,B136-2025)*$AO$4*C136/MAX(0.0001,12-$AO$3),INDEX($C$3:$Q$3,1,B136-2025)/12)</f>
        <v>180.666666666667</v>
      </c>
      <c r="I136" s="88" t="n">
        <f aca="false">$AO$6*0</f>
        <v>0</v>
      </c>
      <c r="J136" s="88" t="n">
        <f aca="false">H136+J135</f>
        <v>24729.4200913242</v>
      </c>
      <c r="K136" s="88" t="n">
        <f aca="false">I136+K135</f>
        <v>8695.00000000001</v>
      </c>
      <c r="L136" s="88" t="n">
        <f aca="false">MAX(L135,J136-K136)</f>
        <v>16034.4200913242</v>
      </c>
      <c r="M136" s="88" t="n">
        <f aca="false">L136-L135</f>
        <v>180.666666666668</v>
      </c>
      <c r="N136" s="88" t="n">
        <f aca="false">IF(B136=2026,INDEX($C$4:$Q$4,1,B136-2025)*$AO$4*C136/MAX(0.0001,12-$AO$3),INDEX($C$4:$Q$4,1,B136-2025)/12)</f>
        <v>5.47724540066293</v>
      </c>
      <c r="O136" s="88" t="n">
        <f aca="false">$AO$6*0</f>
        <v>0</v>
      </c>
      <c r="P136" s="88" t="n">
        <f aca="false">N136+P135</f>
        <v>749.71827927823</v>
      </c>
      <c r="Q136" s="88" t="n">
        <f aca="false">O136+Q135</f>
        <v>398</v>
      </c>
      <c r="R136" s="88" t="n">
        <f aca="false">MAX(R135,P136-Q136)</f>
        <v>351.71827927823</v>
      </c>
      <c r="S136" s="88" t="n">
        <f aca="false">R136-R135</f>
        <v>5.47724540066292</v>
      </c>
      <c r="T136" s="88" t="n">
        <f aca="false">IF(B136=2026,INDEX($C$5:$Q$5,1,B136-2025)*$AO$4*C136/MAX(0.0001,12-$AO$3),INDEX($C$5:$Q$5,1,B136-2025)/12)</f>
        <v>22.2615024358139</v>
      </c>
      <c r="U136" s="88" t="n">
        <f aca="false">$AO$6*0</f>
        <v>0</v>
      </c>
      <c r="V136" s="88" t="n">
        <f aca="false">T136+V135</f>
        <v>3047.12571364914</v>
      </c>
      <c r="W136" s="88" t="n">
        <f aca="false">U136+W135</f>
        <v>1115</v>
      </c>
      <c r="X136" s="88" t="n">
        <f aca="false">MAX(X135,V136-W136)</f>
        <v>1932.12571364914</v>
      </c>
      <c r="Y136" s="88" t="n">
        <f aca="false">X136-X135</f>
        <v>22.2615024358138</v>
      </c>
      <c r="Z136" s="88" t="n">
        <f aca="false">IF(B136=2026,INDEX($C$6:$Q$6,1,B136-2025)*$AO$4*C136/MAX(0.0001,12-$AO$3),INDEX($C$6:$Q$6,1,B136-2025)/12)</f>
        <v>26.4114629913323</v>
      </c>
      <c r="AA136" s="88" t="n">
        <f aca="false">$AO$6*0</f>
        <v>0</v>
      </c>
      <c r="AB136" s="88" t="n">
        <f aca="false">Z136+AB135</f>
        <v>3615.16695685859</v>
      </c>
      <c r="AC136" s="88" t="n">
        <f aca="false">AA136+AC135</f>
        <v>2194</v>
      </c>
      <c r="AD136" s="88" t="n">
        <f aca="false">MAX(AD135,AB136-AC136)</f>
        <v>1421.16695685859</v>
      </c>
      <c r="AE136" s="88" t="n">
        <f aca="false">AD136-AD135</f>
        <v>26.4114629913324</v>
      </c>
      <c r="AF136" s="88" t="n">
        <f aca="false">IF(B136=2026,INDEX($C$7:$Q$7,1,B136-2025)*$AO$4*C136/MAX(0.0001,12-$AO$3),INDEX($C$7:$Q$7,1,B136-2025)/12)</f>
        <v>22.9427081739175</v>
      </c>
      <c r="AG136" s="88" t="n">
        <f aca="false">$AO$6*0</f>
        <v>0</v>
      </c>
      <c r="AH136" s="88" t="n">
        <f aca="false">AF136+AH135</f>
        <v>3140.36827563908</v>
      </c>
      <c r="AI136" s="88" t="n">
        <f aca="false">AG136+AI135</f>
        <v>826</v>
      </c>
      <c r="AJ136" s="88" t="n">
        <f aca="false">MAX(AJ135,AH136-AI136)</f>
        <v>2314.36827563908</v>
      </c>
      <c r="AK136" s="88" t="n">
        <f aca="false">AJ136-AJ135</f>
        <v>22.9427081739173</v>
      </c>
      <c r="AL136" s="88" t="n">
        <f aca="false">IF(B136=2026,INDEX($C$8:$Q$8,1,B136-2025)*$AO$4*C136/MAX(0.0001,12-$AO$3),INDEX($C$8:$Q$8,1,B136-2025)/12)</f>
        <v>5.80342126052833</v>
      </c>
      <c r="AM136" s="88" t="n">
        <f aca="false">$AO$6*0</f>
        <v>0</v>
      </c>
      <c r="AN136" s="88" t="n">
        <f aca="false">AL136+AN135</f>
        <v>794.364809881148</v>
      </c>
      <c r="AO136" s="88" t="n">
        <f aca="false">AM136+AO135</f>
        <v>66</v>
      </c>
      <c r="AP136" s="88" t="n">
        <f aca="false">MAX(AP135,AN136-AO136)</f>
        <v>728.364809881148</v>
      </c>
      <c r="AQ136" s="88" t="n">
        <f aca="false">AP136-AP135</f>
        <v>5.80342126052835</v>
      </c>
      <c r="AR136" s="88" t="n">
        <f aca="false">IF(B136=2026,INDEX($C$9:$Q$9,1,B136-2025)*$AO$4*C136/MAX(0.0001,12-$AO$3),INDEX($C$9:$Q$9,1,B136-2025)/12)</f>
        <v>24.7454570609428</v>
      </c>
      <c r="AS136" s="88" t="n">
        <f aca="false">$AO$6*0</f>
        <v>0</v>
      </c>
      <c r="AT136" s="88" t="n">
        <f aca="false">AR136+AT135</f>
        <v>3387.12621593292</v>
      </c>
      <c r="AU136" s="88" t="n">
        <f aca="false">AS136+AU135</f>
        <v>1810</v>
      </c>
      <c r="AV136" s="88" t="n">
        <f aca="false">MAX(AV135,AT136-AU136)</f>
        <v>1577.12621593292</v>
      </c>
      <c r="AW136" s="88" t="n">
        <f aca="false">AV136-AV135</f>
        <v>24.745457060943</v>
      </c>
      <c r="AX136" s="88" t="n">
        <f aca="false">IF(B136=2026,INDEX($C$10:$Q$10,1,B136-2025)*$AO$4*C136/MAX(0.0001,12-$AO$3),INDEX($C$10:$Q$10,1,B136-2025)/12)</f>
        <v>2.87034756681557</v>
      </c>
      <c r="AY136" s="88" t="n">
        <f aca="false">$AO$6*0</f>
        <v>0</v>
      </c>
      <c r="AZ136" s="88" t="n">
        <f aca="false">AX136+AZ135</f>
        <v>392.889469305677</v>
      </c>
      <c r="BA136" s="88" t="n">
        <f aca="false">AY136+BA135</f>
        <v>50</v>
      </c>
      <c r="BB136" s="88" t="n">
        <f aca="false">MAX(BB135,AZ136-BA136)</f>
        <v>342.889469305677</v>
      </c>
      <c r="BC136" s="88" t="n">
        <f aca="false">BB136-BB135</f>
        <v>2.87034756681555</v>
      </c>
      <c r="BD136" s="88" t="n">
        <f aca="false">IF(B136=2026,INDEX($C$11:$Q$11,1,B136-2025)*$AO$4*C136/MAX(0.0001,12-$AO$3),INDEX($C$11:$Q$11,1,B136-2025)/12)</f>
        <v>14.2639212564218</v>
      </c>
      <c r="BE136" s="88" t="n">
        <f aca="false">$AO$6*0</f>
        <v>0</v>
      </c>
      <c r="BF136" s="88" t="n">
        <f aca="false">BD136+BF135</f>
        <v>1952.42712675069</v>
      </c>
      <c r="BG136" s="88" t="n">
        <f aca="false">BE136+BG135</f>
        <v>240</v>
      </c>
      <c r="BH136" s="88" t="n">
        <f aca="false">MAX(BH135,BF136-BG136)</f>
        <v>1712.42712675068</v>
      </c>
      <c r="BI136" s="88" t="n">
        <f aca="false">BH136-BH135</f>
        <v>14.2639212564218</v>
      </c>
      <c r="BJ136" s="88" t="n">
        <f aca="false">IF(B136=2026,INDEX($C$12:$Q$12,1,B136-2025)*$AO$4*C136/MAX(0.0001,12-$AO$3),INDEX($C$12:$Q$12,1,B136-2025)/12)</f>
        <v>7.82069350154207</v>
      </c>
      <c r="BK136" s="88" t="n">
        <f aca="false">$AO$6*0</f>
        <v>0</v>
      </c>
      <c r="BL136" s="88" t="n">
        <f aca="false">BJ136+BL135</f>
        <v>1070.48642991766</v>
      </c>
      <c r="BM136" s="88" t="n">
        <f aca="false">BK136+BM135</f>
        <v>465</v>
      </c>
      <c r="BN136" s="88" t="n">
        <f aca="false">MAX(BN135,BL136-BM136)</f>
        <v>620.1207703606</v>
      </c>
      <c r="BO136" s="88" t="n">
        <f aca="false">BN136-BN135</f>
        <v>0</v>
      </c>
      <c r="BP136" s="88" t="n">
        <f aca="false">IF(B136=2026,INDEX($C$13:$Q$13,1,B136-2025)*$AO$4*C136/MAX(0.0001,12-$AO$3),INDEX($C$13:$Q$13,1,B136-2025)/12)</f>
        <v>2.44394688559256</v>
      </c>
      <c r="BQ136" s="88" t="n">
        <f aca="false">$AO$6*0</f>
        <v>0</v>
      </c>
      <c r="BR136" s="88" t="n">
        <f aca="false">BP136+BR135</f>
        <v>334.52429454632</v>
      </c>
      <c r="BS136" s="88" t="n">
        <f aca="false">BQ136+BS135</f>
        <v>87</v>
      </c>
      <c r="BT136" s="88" t="n">
        <f aca="false">MAX(BT135,BR136-BS136)</f>
        <v>247.52429454632</v>
      </c>
      <c r="BU136" s="88" t="n">
        <f aca="false">BT136-BT135</f>
        <v>2.44394688559254</v>
      </c>
      <c r="BV136" s="88" t="n">
        <f aca="false">IF(B136=2026,INDEX($C$14:$Q$14,1,B136-2025)*$AO$4*C136/MAX(0.0001,12-$AO$3),INDEX($C$14:$Q$14,1,B136-2025)/12)</f>
        <v>1.449513325248</v>
      </c>
      <c r="BW136" s="88" t="n">
        <f aca="false">$AO$6*0</f>
        <v>0</v>
      </c>
      <c r="BX136" s="88" t="n">
        <f aca="false">BV136+BX135</f>
        <v>198.407512627473</v>
      </c>
      <c r="BY136" s="88" t="n">
        <f aca="false">BW136+BY135</f>
        <v>0</v>
      </c>
      <c r="BZ136" s="88" t="n">
        <f aca="false">MAX(BZ135,BX136-BY136)</f>
        <v>198.407512627473</v>
      </c>
      <c r="CA136" s="88" t="n">
        <f aca="false">BZ136-BZ135</f>
        <v>1.44951332524801</v>
      </c>
      <c r="CB136" s="88" t="n">
        <f aca="false">IF(B136=2026,INDEX($C$15:$Q$15,1,B136-2025)*$AO$4*C136/MAX(0.0001,12-$AO$3),INDEX($C$15:$Q$15,1,B136-2025)/12)</f>
        <v>2.37652766116242</v>
      </c>
      <c r="CC136" s="88" t="n">
        <f aca="false">$AO$6*0</f>
        <v>0</v>
      </c>
      <c r="CD136" s="88" t="n">
        <f aca="false">CB136+CD135</f>
        <v>325.296038145042</v>
      </c>
      <c r="CE136" s="88" t="n">
        <f aca="false">CC136+CE135</f>
        <v>88.0000000000001</v>
      </c>
      <c r="CF136" s="88" t="n">
        <f aca="false">MAX(CF135,CD136-CE136)</f>
        <v>237.296038145042</v>
      </c>
      <c r="CG136" s="88" t="n">
        <f aca="false">CF136-CF135</f>
        <v>2.37652766116241</v>
      </c>
      <c r="CH136" s="88" t="n">
        <f aca="false">IF(B136=2026,INDEX($C$16:$Q$16,1,B136-2025)*$AO$4*C136/MAX(0.0001,12-$AO$3),INDEX($C$16:$Q$16,1,B136-2025)/12)</f>
        <v>1.87931088099014</v>
      </c>
      <c r="CI136" s="88" t="n">
        <f aca="false">$AO$6*0</f>
        <v>0</v>
      </c>
      <c r="CJ136" s="88" t="n">
        <f aca="false">CH136+CJ135</f>
        <v>257.237647185619</v>
      </c>
      <c r="CK136" s="88" t="n">
        <f aca="false">CI136+CK135</f>
        <v>70</v>
      </c>
      <c r="CL136" s="88" t="n">
        <f aca="false">MAX(CL135,CJ136-CK136)</f>
        <v>187.237647185619</v>
      </c>
      <c r="CM136" s="88" t="n">
        <f aca="false">CL136-CL135</f>
        <v>1.87931088099015</v>
      </c>
      <c r="CN136" s="88" t="n">
        <f aca="false">IF(B136=2026,INDEX($C$17:$Q$17,1,B136-2025)*$AO$4*C136/MAX(0.0001,12-$AO$3),INDEX($C$17:$Q$17,1,B136-2025)/12)</f>
        <v>8.1830083652082</v>
      </c>
      <c r="CO136" s="88" t="n">
        <f aca="false">$AO$6*0</f>
        <v>0</v>
      </c>
      <c r="CP136" s="88" t="n">
        <f aca="false">CN136+CP135</f>
        <v>1120.0796207051</v>
      </c>
      <c r="CQ136" s="88" t="n">
        <f aca="false">CO136+CQ135</f>
        <v>221</v>
      </c>
      <c r="CR136" s="88" t="n">
        <f aca="false">MAX(CR135,CP136-CQ136)</f>
        <v>899.079620705097</v>
      </c>
      <c r="CS136" s="88" t="n">
        <f aca="false">CR136-CR135</f>
        <v>8.18300836520825</v>
      </c>
      <c r="CT136" s="88" t="n">
        <f aca="false">IF(B136=2026,INDEX($C$18:$Q$18,1,B136-2025)*$AO$4*C136/MAX(0.0001,12-$AO$3),INDEX($C$18:$Q$18,1,B136-2025)/12)</f>
        <v>1.70233541686103</v>
      </c>
      <c r="CU136" s="88" t="n">
        <f aca="false">$AO$6*0</f>
        <v>0</v>
      </c>
      <c r="CV136" s="88" t="n">
        <f aca="false">CT136+CV135</f>
        <v>233.013474132265</v>
      </c>
      <c r="CW136" s="88" t="n">
        <f aca="false">CU136+CW135</f>
        <v>11</v>
      </c>
      <c r="CX136" s="88" t="n">
        <f aca="false">MAX(CX135,CV136-CW136)</f>
        <v>222.013474132265</v>
      </c>
      <c r="CY136" s="88" t="n">
        <f aca="false">CX136-CX135</f>
        <v>1.70233541686102</v>
      </c>
      <c r="CZ136" s="88" t="n">
        <f aca="false">IF(B136=2026,INDEX($C$19:$Q$19,1,B136-2025)*$AO$4*C136/MAX(0.0001,12-$AO$3),INDEX($C$19:$Q$19,1,B136-2025)/12)</f>
        <v>1.68548061075349</v>
      </c>
      <c r="DA136" s="88" t="n">
        <f aca="false">$AO$6*0</f>
        <v>0</v>
      </c>
      <c r="DB136" s="88" t="n">
        <f aca="false">CZ136+DB135</f>
        <v>230.706410031945</v>
      </c>
      <c r="DC136" s="88" t="n">
        <f aca="false">DA136+DC135</f>
        <v>226</v>
      </c>
      <c r="DD136" s="88" t="n">
        <f aca="false">MAX(DD135,DB136-DC136)</f>
        <v>37.132124495359</v>
      </c>
      <c r="DE136" s="88" t="n">
        <f aca="false">DD136-DD135</f>
        <v>0</v>
      </c>
      <c r="DF136" s="88" t="n">
        <f aca="false">IF(B136=2026,INDEX($C$20:$Q$20,1,B136-2025)*$AO$4*C136/MAX(0.0001,12-$AO$3),INDEX($C$20:$Q$20,1,B136-2025)/12)</f>
        <v>1.37366669776409</v>
      </c>
      <c r="DG136" s="88" t="n">
        <f aca="false">$AO$6*0</f>
        <v>0</v>
      </c>
      <c r="DH136" s="88" t="n">
        <f aca="false">DF136+DH135</f>
        <v>188.025724176035</v>
      </c>
      <c r="DI136" s="88" t="n">
        <f aca="false">DG136+DI135</f>
        <v>0</v>
      </c>
      <c r="DJ136" s="88" t="n">
        <f aca="false">MAX(DJ135,DH136-DI136)</f>
        <v>188.025724176035</v>
      </c>
      <c r="DK136" s="88" t="n">
        <f aca="false">DJ136-DJ135</f>
        <v>1.37366669776409</v>
      </c>
      <c r="DL136" s="88" t="n">
        <f aca="false">IF(B136=2026,INDEX($C$21:$Q$21,1,B136-2025)*$AO$4*C136/MAX(0.0001,12-$AO$3),INDEX($C$21:$Q$21,1,B136-2025)/12)</f>
        <v>0.96072394812949</v>
      </c>
      <c r="DM136" s="88" t="n">
        <f aca="false">$AO$6*0</f>
        <v>0</v>
      </c>
      <c r="DN136" s="88" t="n">
        <f aca="false">DL136+DN135</f>
        <v>131.502653718208</v>
      </c>
      <c r="DO136" s="88" t="n">
        <f aca="false">DM136+DO135</f>
        <v>100</v>
      </c>
      <c r="DP136" s="88" t="n">
        <f aca="false">MAX(DP135,DN136-DO136)</f>
        <v>31.5026537182085</v>
      </c>
      <c r="DQ136" s="88" t="n">
        <f aca="false">DP136-DP135</f>
        <v>0.960723948129498</v>
      </c>
      <c r="DR136" s="88" t="n">
        <f aca="false">IF(B136=2026,INDEX($C$22:$Q$22,1,B136-2025)*$AO$4*C136/MAX(0.0001,12-$AO$3),INDEX($C$22:$Q$22,1,B136-2025)/12)</f>
        <v>0.750038871785304</v>
      </c>
      <c r="DS136" s="88" t="n">
        <f aca="false">$AO$6*0</f>
        <v>0</v>
      </c>
      <c r="DT136" s="88" t="n">
        <f aca="false">DR136+DT135</f>
        <v>102.664352464216</v>
      </c>
      <c r="DU136" s="88" t="n">
        <f aca="false">DS136+DU135</f>
        <v>29</v>
      </c>
      <c r="DV136" s="88" t="n">
        <f aca="false">MAX(DV135,DT136-DU136)</f>
        <v>73.6643524642157</v>
      </c>
      <c r="DW136" s="88" t="n">
        <f aca="false">DV136-DV135</f>
        <v>0.750038871785307</v>
      </c>
      <c r="DX136" s="88" t="n">
        <f aca="false">IF(B136=2026,INDEX($C$23:$Q$23,1,B136-2025)*$AO$4*C136/MAX(0.0001,12-$AO$3),INDEX($C$23:$Q$23,1,B136-2025)/12)</f>
        <v>1.20511863668875</v>
      </c>
      <c r="DY136" s="88" t="n">
        <f aca="false">$AO$6*0</f>
        <v>0</v>
      </c>
      <c r="DZ136" s="88" t="n">
        <f aca="false">DX136+DZ135</f>
        <v>164.955083172841</v>
      </c>
      <c r="EA136" s="88" t="n">
        <f aca="false">DY136+EA135</f>
        <v>121</v>
      </c>
      <c r="EB136" s="88" t="n">
        <f aca="false">MAX(EB135,DZ136-EA136)</f>
        <v>43.955083172841</v>
      </c>
      <c r="EC136" s="88" t="n">
        <f aca="false">EB136-EB135</f>
        <v>1.20511863668875</v>
      </c>
      <c r="ED136" s="88" t="n">
        <f aca="false">IF(B136=2026,INDEX($C$24:$Q$24,1,B136-2025)*$AO$4*C136/MAX(0.0001,12-$AO$3),INDEX($C$24:$Q$24,1,B136-2025)/12)</f>
        <v>0.741611468731536</v>
      </c>
      <c r="EE136" s="88" t="n">
        <f aca="false">$AO$6*0</f>
        <v>0</v>
      </c>
      <c r="EF136" s="88" t="n">
        <f aca="false">ED136+EF135</f>
        <v>101.510820414056</v>
      </c>
      <c r="EG136" s="88" t="n">
        <f aca="false">EE136+EG135</f>
        <v>0</v>
      </c>
      <c r="EH136" s="88" t="n">
        <f aca="false">MAX(EH135,EF136-EG136)</f>
        <v>101.510820414056</v>
      </c>
      <c r="EI136" s="88" t="n">
        <f aca="false">EH136-EH135</f>
        <v>0.741611468731534</v>
      </c>
      <c r="EJ136" s="88" t="n">
        <f aca="false">IF(B136=2026,INDEX($C$25:$Q$25,1,B136-2025)*$AO$4*C136/MAX(0.0001,12-$AO$3),INDEX($C$25:$Q$25,1,B136-2025)/12)</f>
        <v>0.943869142021955</v>
      </c>
      <c r="EK136" s="88" t="n">
        <f aca="false">$AO$6*0</f>
        <v>0</v>
      </c>
      <c r="EL136" s="88" t="n">
        <f aca="false">EJ136+EL135</f>
        <v>129.195589617889</v>
      </c>
      <c r="EM136" s="88" t="n">
        <f aca="false">EK136+EM135</f>
        <v>14</v>
      </c>
      <c r="EN136" s="88" t="n">
        <f aca="false">MAX(EN135,EL136-EM136)</f>
        <v>115.195589617889</v>
      </c>
      <c r="EO136" s="88" t="n">
        <f aca="false">EN136-EN135</f>
        <v>0.943869142021953</v>
      </c>
      <c r="EP136" s="88" t="n">
        <f aca="false">IF(B136=2026,INDEX($C$26:$Q$26,1,B136-2025)*$AO$4*C136/MAX(0.0001,12-$AO$3),INDEX($C$26:$Q$26,1,B136-2025)/12)</f>
        <v>1.35681189165656</v>
      </c>
      <c r="EQ136" s="88" t="n">
        <f aca="false">$AO$6*0</f>
        <v>0</v>
      </c>
      <c r="ER136" s="88" t="n">
        <f aca="false">EP136+ER135</f>
        <v>185.718660075715</v>
      </c>
      <c r="ES136" s="88" t="n">
        <f aca="false">EQ136+ES135</f>
        <v>4</v>
      </c>
      <c r="ET136" s="88" t="n">
        <f aca="false">MAX(ET135,ER136-ES136)</f>
        <v>181.718660075715</v>
      </c>
      <c r="EU136" s="88" t="n">
        <f aca="false">ET136-ET135</f>
        <v>1.35681189165655</v>
      </c>
      <c r="EV136" s="88" t="n">
        <f aca="false">IF(B136=2026,INDEX($C$27:$Q$27,1,B136-2025)*$AO$4*C136/MAX(0.0001,12-$AO$3),INDEX($C$27:$Q$27,1,B136-2025)/12)</f>
        <v>3.37096122150698</v>
      </c>
      <c r="EW136" s="88" t="n">
        <f aca="false">$AO$6*0</f>
        <v>0</v>
      </c>
      <c r="EX136" s="88" t="n">
        <f aca="false">EV136+EX135</f>
        <v>461.412820063891</v>
      </c>
      <c r="EY136" s="88" t="n">
        <f aca="false">EW136+EY135</f>
        <v>391</v>
      </c>
      <c r="EZ136" s="88" t="n">
        <f aca="false">MAX(EZ135,EX136-EY136)</f>
        <v>70.4128200638907</v>
      </c>
      <c r="FA136" s="88" t="n">
        <f aca="false">EZ136-EZ135</f>
        <v>3.370961221507</v>
      </c>
      <c r="FB136" s="88" t="n">
        <f aca="false">IF(B136=2026,INDEX($C$28:$Q$28,1,B136-2025)*$AO$4*C136/MAX(0.0001,12-$AO$3),INDEX($C$28:$Q$28,1,B136-2025)/12)</f>
        <v>17.646981994589</v>
      </c>
      <c r="FC136" s="88" t="n">
        <f aca="false">$AO$6*0</f>
        <v>0</v>
      </c>
      <c r="FD136" s="88" t="n">
        <f aca="false">FB136+FD135</f>
        <v>2415.49611303447</v>
      </c>
      <c r="FE136" s="88" t="n">
        <f aca="false">FC136+FE135</f>
        <v>169</v>
      </c>
      <c r="FF136" s="88" t="n">
        <f aca="false">MAX(FF135,FD136-FE136)</f>
        <v>2246.49611303447</v>
      </c>
      <c r="FG136" s="88" t="n">
        <f aca="false">FF136-FF135</f>
        <v>17.6469819945892</v>
      </c>
    </row>
    <row r="137" customFormat="false" ht="15" hidden="false" customHeight="false" outlineLevel="0" collapsed="false">
      <c r="A137" s="0" t="n">
        <v>97</v>
      </c>
      <c r="B137" s="88" t="n">
        <f aca="false">2026+INT(A137/12)</f>
        <v>2034</v>
      </c>
      <c r="C137" s="88" t="n">
        <f aca="false">MAX(0,MIN(1,A137+1-$AO$3))</f>
        <v>1</v>
      </c>
      <c r="D137" s="88" t="n">
        <f aca="false">IF((A137+0.5-(0))&lt;$AO$3,0,2026+INT((A137+0.5-(0))/12))</f>
        <v>2034</v>
      </c>
      <c r="E137" s="88" t="n">
        <f aca="false">IF((A137+0.5-($AO$9))&lt;$AO$3,0,2026+INT((A137+0.5-($AO$9))/12))</f>
        <v>2032</v>
      </c>
      <c r="F137" s="88" t="n">
        <f aca="false">IF((A137+0.5-($AO$9+$AO$8))&lt;$AO$3,0,2026+INT((A137+0.5-($AO$9+$AO$8))/12))</f>
        <v>2031</v>
      </c>
      <c r="G137" s="88" t="n">
        <f aca="false">IF((A137+0.5-($AO$9+$AO$8+$AO$7))&lt;$AO$3,0,2026+INT((A137+0.5-($AO$9+$AO$8+$AO$7))/12))</f>
        <v>2031</v>
      </c>
      <c r="H137" s="88" t="n">
        <f aca="false">IF(B137=2026,INDEX($C$3:$Q$3,1,B137-2025)*$AO$4*C137/MAX(0.0001,12-$AO$3),INDEX($C$3:$Q$3,1,B137-2025)/12)</f>
        <v>180.666666666667</v>
      </c>
      <c r="I137" s="88" t="n">
        <f aca="false">$AO$6*0</f>
        <v>0</v>
      </c>
      <c r="J137" s="88" t="n">
        <f aca="false">H137+J136</f>
        <v>24910.0867579909</v>
      </c>
      <c r="K137" s="88" t="n">
        <f aca="false">I137+K136</f>
        <v>8695.00000000001</v>
      </c>
      <c r="L137" s="88" t="n">
        <f aca="false">MAX(L136,J137-K137)</f>
        <v>16215.0867579909</v>
      </c>
      <c r="M137" s="88" t="n">
        <f aca="false">L137-L136</f>
        <v>180.666666666668</v>
      </c>
      <c r="N137" s="88" t="n">
        <f aca="false">IF(B137=2026,INDEX($C$4:$Q$4,1,B137-2025)*$AO$4*C137/MAX(0.0001,12-$AO$3),INDEX($C$4:$Q$4,1,B137-2025)/12)</f>
        <v>5.47724540066293</v>
      </c>
      <c r="O137" s="88" t="n">
        <f aca="false">$AO$6*0</f>
        <v>0</v>
      </c>
      <c r="P137" s="88" t="n">
        <f aca="false">N137+P136</f>
        <v>755.195524678893</v>
      </c>
      <c r="Q137" s="88" t="n">
        <f aca="false">O137+Q136</f>
        <v>398</v>
      </c>
      <c r="R137" s="88" t="n">
        <f aca="false">MAX(R136,P137-Q137)</f>
        <v>357.195524678893</v>
      </c>
      <c r="S137" s="88" t="n">
        <f aca="false">R137-R136</f>
        <v>5.47724540066292</v>
      </c>
      <c r="T137" s="88" t="n">
        <f aca="false">IF(B137=2026,INDEX($C$5:$Q$5,1,B137-2025)*$AO$4*C137/MAX(0.0001,12-$AO$3),INDEX($C$5:$Q$5,1,B137-2025)/12)</f>
        <v>22.2615024358139</v>
      </c>
      <c r="U137" s="88" t="n">
        <f aca="false">$AO$6*0</f>
        <v>0</v>
      </c>
      <c r="V137" s="88" t="n">
        <f aca="false">T137+V136</f>
        <v>3069.38721608496</v>
      </c>
      <c r="W137" s="88" t="n">
        <f aca="false">U137+W136</f>
        <v>1115</v>
      </c>
      <c r="X137" s="88" t="n">
        <f aca="false">MAX(X136,V137-W137)</f>
        <v>1954.38721608495</v>
      </c>
      <c r="Y137" s="88" t="n">
        <f aca="false">X137-X136</f>
        <v>22.2615024358138</v>
      </c>
      <c r="Z137" s="88" t="n">
        <f aca="false">IF(B137=2026,INDEX($C$6:$Q$6,1,B137-2025)*$AO$4*C137/MAX(0.0001,12-$AO$3),INDEX($C$6:$Q$6,1,B137-2025)/12)</f>
        <v>26.4114629913323</v>
      </c>
      <c r="AA137" s="88" t="n">
        <f aca="false">$AO$6*0</f>
        <v>0</v>
      </c>
      <c r="AB137" s="88" t="n">
        <f aca="false">Z137+AB136</f>
        <v>3641.57841984992</v>
      </c>
      <c r="AC137" s="88" t="n">
        <f aca="false">AA137+AC136</f>
        <v>2194</v>
      </c>
      <c r="AD137" s="88" t="n">
        <f aca="false">MAX(AD136,AB137-AC137)</f>
        <v>1447.57841984992</v>
      </c>
      <c r="AE137" s="88" t="n">
        <f aca="false">AD137-AD136</f>
        <v>26.4114629913324</v>
      </c>
      <c r="AF137" s="88" t="n">
        <f aca="false">IF(B137=2026,INDEX($C$7:$Q$7,1,B137-2025)*$AO$4*C137/MAX(0.0001,12-$AO$3),INDEX($C$7:$Q$7,1,B137-2025)/12)</f>
        <v>22.9427081739175</v>
      </c>
      <c r="AG137" s="88" t="n">
        <f aca="false">$AO$6*0</f>
        <v>0</v>
      </c>
      <c r="AH137" s="88" t="n">
        <f aca="false">AF137+AH136</f>
        <v>3163.310983813</v>
      </c>
      <c r="AI137" s="88" t="n">
        <f aca="false">AG137+AI136</f>
        <v>826</v>
      </c>
      <c r="AJ137" s="88" t="n">
        <f aca="false">MAX(AJ136,AH137-AI137)</f>
        <v>2337.310983813</v>
      </c>
      <c r="AK137" s="88" t="n">
        <f aca="false">AJ137-AJ136</f>
        <v>22.9427081739173</v>
      </c>
      <c r="AL137" s="88" t="n">
        <f aca="false">IF(B137=2026,INDEX($C$8:$Q$8,1,B137-2025)*$AO$4*C137/MAX(0.0001,12-$AO$3),INDEX($C$8:$Q$8,1,B137-2025)/12)</f>
        <v>5.80342126052833</v>
      </c>
      <c r="AM137" s="88" t="n">
        <f aca="false">$AO$6*0</f>
        <v>0</v>
      </c>
      <c r="AN137" s="88" t="n">
        <f aca="false">AL137+AN136</f>
        <v>800.168231141677</v>
      </c>
      <c r="AO137" s="88" t="n">
        <f aca="false">AM137+AO136</f>
        <v>66</v>
      </c>
      <c r="AP137" s="88" t="n">
        <f aca="false">MAX(AP136,AN137-AO137)</f>
        <v>734.168231141677</v>
      </c>
      <c r="AQ137" s="88" t="n">
        <f aca="false">AP137-AP136</f>
        <v>5.80342126052835</v>
      </c>
      <c r="AR137" s="88" t="n">
        <f aca="false">IF(B137=2026,INDEX($C$9:$Q$9,1,B137-2025)*$AO$4*C137/MAX(0.0001,12-$AO$3),INDEX($C$9:$Q$9,1,B137-2025)/12)</f>
        <v>24.7454570609428</v>
      </c>
      <c r="AS137" s="88" t="n">
        <f aca="false">$AO$6*0</f>
        <v>0</v>
      </c>
      <c r="AT137" s="88" t="n">
        <f aca="false">AR137+AT136</f>
        <v>3411.87167299386</v>
      </c>
      <c r="AU137" s="88" t="n">
        <f aca="false">AS137+AU136</f>
        <v>1810</v>
      </c>
      <c r="AV137" s="88" t="n">
        <f aca="false">MAX(AV136,AT137-AU137)</f>
        <v>1601.87167299386</v>
      </c>
      <c r="AW137" s="88" t="n">
        <f aca="false">AV137-AV136</f>
        <v>24.745457060943</v>
      </c>
      <c r="AX137" s="88" t="n">
        <f aca="false">IF(B137=2026,INDEX($C$10:$Q$10,1,B137-2025)*$AO$4*C137/MAX(0.0001,12-$AO$3),INDEX($C$10:$Q$10,1,B137-2025)/12)</f>
        <v>2.87034756681557</v>
      </c>
      <c r="AY137" s="88" t="n">
        <f aca="false">$AO$6*0</f>
        <v>0</v>
      </c>
      <c r="AZ137" s="88" t="n">
        <f aca="false">AX137+AZ136</f>
        <v>395.759816872493</v>
      </c>
      <c r="BA137" s="88" t="n">
        <f aca="false">AY137+BA136</f>
        <v>50</v>
      </c>
      <c r="BB137" s="88" t="n">
        <f aca="false">MAX(BB136,AZ137-BA137)</f>
        <v>345.759816872493</v>
      </c>
      <c r="BC137" s="88" t="n">
        <f aca="false">BB137-BB136</f>
        <v>2.87034756681555</v>
      </c>
      <c r="BD137" s="88" t="n">
        <f aca="false">IF(B137=2026,INDEX($C$11:$Q$11,1,B137-2025)*$AO$4*C137/MAX(0.0001,12-$AO$3),INDEX($C$11:$Q$11,1,B137-2025)/12)</f>
        <v>14.2639212564218</v>
      </c>
      <c r="BE137" s="88" t="n">
        <f aca="false">$AO$6*0</f>
        <v>0</v>
      </c>
      <c r="BF137" s="88" t="n">
        <f aca="false">BD137+BF136</f>
        <v>1966.69104800711</v>
      </c>
      <c r="BG137" s="88" t="n">
        <f aca="false">BE137+BG136</f>
        <v>240</v>
      </c>
      <c r="BH137" s="88" t="n">
        <f aca="false">MAX(BH136,BF137-BG137)</f>
        <v>1726.69104800711</v>
      </c>
      <c r="BI137" s="88" t="n">
        <f aca="false">BH137-BH136</f>
        <v>14.2639212564218</v>
      </c>
      <c r="BJ137" s="88" t="n">
        <f aca="false">IF(B137=2026,INDEX($C$12:$Q$12,1,B137-2025)*$AO$4*C137/MAX(0.0001,12-$AO$3),INDEX($C$12:$Q$12,1,B137-2025)/12)</f>
        <v>7.82069350154207</v>
      </c>
      <c r="BK137" s="88" t="n">
        <f aca="false">$AO$6*0</f>
        <v>0</v>
      </c>
      <c r="BL137" s="88" t="n">
        <f aca="false">BJ137+BL136</f>
        <v>1078.3071234192</v>
      </c>
      <c r="BM137" s="88" t="n">
        <f aca="false">BK137+BM136</f>
        <v>465</v>
      </c>
      <c r="BN137" s="88" t="n">
        <f aca="false">MAX(BN136,BL137-BM137)</f>
        <v>620.1207703606</v>
      </c>
      <c r="BO137" s="88" t="n">
        <f aca="false">BN137-BN136</f>
        <v>0</v>
      </c>
      <c r="BP137" s="88" t="n">
        <f aca="false">IF(B137=2026,INDEX($C$13:$Q$13,1,B137-2025)*$AO$4*C137/MAX(0.0001,12-$AO$3),INDEX($C$13:$Q$13,1,B137-2025)/12)</f>
        <v>2.44394688559256</v>
      </c>
      <c r="BQ137" s="88" t="n">
        <f aca="false">$AO$6*0</f>
        <v>0</v>
      </c>
      <c r="BR137" s="88" t="n">
        <f aca="false">BP137+BR136</f>
        <v>336.968241431912</v>
      </c>
      <c r="BS137" s="88" t="n">
        <f aca="false">BQ137+BS136</f>
        <v>87</v>
      </c>
      <c r="BT137" s="88" t="n">
        <f aca="false">MAX(BT136,BR137-BS137)</f>
        <v>249.968241431912</v>
      </c>
      <c r="BU137" s="88" t="n">
        <f aca="false">BT137-BT136</f>
        <v>2.44394688559254</v>
      </c>
      <c r="BV137" s="88" t="n">
        <f aca="false">IF(B137=2026,INDEX($C$14:$Q$14,1,B137-2025)*$AO$4*C137/MAX(0.0001,12-$AO$3),INDEX($C$14:$Q$14,1,B137-2025)/12)</f>
        <v>1.449513325248</v>
      </c>
      <c r="BW137" s="88" t="n">
        <f aca="false">$AO$6*0</f>
        <v>0</v>
      </c>
      <c r="BX137" s="88" t="n">
        <f aca="false">BV137+BX136</f>
        <v>199.857025952721</v>
      </c>
      <c r="BY137" s="88" t="n">
        <f aca="false">BW137+BY136</f>
        <v>0</v>
      </c>
      <c r="BZ137" s="88" t="n">
        <f aca="false">MAX(BZ136,BX137-BY137)</f>
        <v>199.857025952721</v>
      </c>
      <c r="CA137" s="88" t="n">
        <f aca="false">BZ137-BZ136</f>
        <v>1.44951332524801</v>
      </c>
      <c r="CB137" s="88" t="n">
        <f aca="false">IF(B137=2026,INDEX($C$15:$Q$15,1,B137-2025)*$AO$4*C137/MAX(0.0001,12-$AO$3),INDEX($C$15:$Q$15,1,B137-2025)/12)</f>
        <v>2.37652766116242</v>
      </c>
      <c r="CC137" s="88" t="n">
        <f aca="false">$AO$6*0</f>
        <v>0</v>
      </c>
      <c r="CD137" s="88" t="n">
        <f aca="false">CB137+CD136</f>
        <v>327.672565806204</v>
      </c>
      <c r="CE137" s="88" t="n">
        <f aca="false">CC137+CE136</f>
        <v>88.0000000000001</v>
      </c>
      <c r="CF137" s="88" t="n">
        <f aca="false">MAX(CF136,CD137-CE137)</f>
        <v>239.672565806204</v>
      </c>
      <c r="CG137" s="88" t="n">
        <f aca="false">CF137-CF136</f>
        <v>2.37652766116241</v>
      </c>
      <c r="CH137" s="88" t="n">
        <f aca="false">IF(B137=2026,INDEX($C$16:$Q$16,1,B137-2025)*$AO$4*C137/MAX(0.0001,12-$AO$3),INDEX($C$16:$Q$16,1,B137-2025)/12)</f>
        <v>1.87931088099014</v>
      </c>
      <c r="CI137" s="88" t="n">
        <f aca="false">$AO$6*0</f>
        <v>0</v>
      </c>
      <c r="CJ137" s="88" t="n">
        <f aca="false">CH137+CJ136</f>
        <v>259.116958066609</v>
      </c>
      <c r="CK137" s="88" t="n">
        <f aca="false">CI137+CK136</f>
        <v>70</v>
      </c>
      <c r="CL137" s="88" t="n">
        <f aca="false">MAX(CL136,CJ137-CK137)</f>
        <v>189.116958066609</v>
      </c>
      <c r="CM137" s="88" t="n">
        <f aca="false">CL137-CL136</f>
        <v>1.87931088099015</v>
      </c>
      <c r="CN137" s="88" t="n">
        <f aca="false">IF(B137=2026,INDEX($C$17:$Q$17,1,B137-2025)*$AO$4*C137/MAX(0.0001,12-$AO$3),INDEX($C$17:$Q$17,1,B137-2025)/12)</f>
        <v>8.1830083652082</v>
      </c>
      <c r="CO137" s="88" t="n">
        <f aca="false">$AO$6*0</f>
        <v>0</v>
      </c>
      <c r="CP137" s="88" t="n">
        <f aca="false">CN137+CP136</f>
        <v>1128.26262907031</v>
      </c>
      <c r="CQ137" s="88" t="n">
        <f aca="false">CO137+CQ136</f>
        <v>221</v>
      </c>
      <c r="CR137" s="88" t="n">
        <f aca="false">MAX(CR136,CP137-CQ137)</f>
        <v>907.262629070305</v>
      </c>
      <c r="CS137" s="88" t="n">
        <f aca="false">CR137-CR136</f>
        <v>8.18300836520825</v>
      </c>
      <c r="CT137" s="88" t="n">
        <f aca="false">IF(B137=2026,INDEX($C$18:$Q$18,1,B137-2025)*$AO$4*C137/MAX(0.0001,12-$AO$3),INDEX($C$18:$Q$18,1,B137-2025)/12)</f>
        <v>1.70233541686103</v>
      </c>
      <c r="CU137" s="88" t="n">
        <f aca="false">$AO$6*0</f>
        <v>0</v>
      </c>
      <c r="CV137" s="88" t="n">
        <f aca="false">CT137+CV136</f>
        <v>234.715809549126</v>
      </c>
      <c r="CW137" s="88" t="n">
        <f aca="false">CU137+CW136</f>
        <v>11</v>
      </c>
      <c r="CX137" s="88" t="n">
        <f aca="false">MAX(CX136,CV137-CW137)</f>
        <v>223.715809549126</v>
      </c>
      <c r="CY137" s="88" t="n">
        <f aca="false">CX137-CX136</f>
        <v>1.70233541686102</v>
      </c>
      <c r="CZ137" s="88" t="n">
        <f aca="false">IF(B137=2026,INDEX($C$19:$Q$19,1,B137-2025)*$AO$4*C137/MAX(0.0001,12-$AO$3),INDEX($C$19:$Q$19,1,B137-2025)/12)</f>
        <v>1.68548061075349</v>
      </c>
      <c r="DA137" s="88" t="n">
        <f aca="false">$AO$6*0</f>
        <v>0</v>
      </c>
      <c r="DB137" s="88" t="n">
        <f aca="false">CZ137+DB136</f>
        <v>232.391890642699</v>
      </c>
      <c r="DC137" s="88" t="n">
        <f aca="false">DA137+DC136</f>
        <v>226</v>
      </c>
      <c r="DD137" s="88" t="n">
        <f aca="false">MAX(DD136,DB137-DC137)</f>
        <v>37.132124495359</v>
      </c>
      <c r="DE137" s="88" t="n">
        <f aca="false">DD137-DD136</f>
        <v>0</v>
      </c>
      <c r="DF137" s="88" t="n">
        <f aca="false">IF(B137=2026,INDEX($C$20:$Q$20,1,B137-2025)*$AO$4*C137/MAX(0.0001,12-$AO$3),INDEX($C$20:$Q$20,1,B137-2025)/12)</f>
        <v>1.37366669776409</v>
      </c>
      <c r="DG137" s="88" t="n">
        <f aca="false">$AO$6*0</f>
        <v>0</v>
      </c>
      <c r="DH137" s="88" t="n">
        <f aca="false">DF137+DH136</f>
        <v>189.399390873799</v>
      </c>
      <c r="DI137" s="88" t="n">
        <f aca="false">DG137+DI136</f>
        <v>0</v>
      </c>
      <c r="DJ137" s="88" t="n">
        <f aca="false">MAX(DJ136,DH137-DI137)</f>
        <v>189.399390873799</v>
      </c>
      <c r="DK137" s="88" t="n">
        <f aca="false">DJ137-DJ136</f>
        <v>1.37366669776409</v>
      </c>
      <c r="DL137" s="88" t="n">
        <f aca="false">IF(B137=2026,INDEX($C$21:$Q$21,1,B137-2025)*$AO$4*C137/MAX(0.0001,12-$AO$3),INDEX($C$21:$Q$21,1,B137-2025)/12)</f>
        <v>0.96072394812949</v>
      </c>
      <c r="DM137" s="88" t="n">
        <f aca="false">$AO$6*0</f>
        <v>0</v>
      </c>
      <c r="DN137" s="88" t="n">
        <f aca="false">DL137+DN136</f>
        <v>132.463377666338</v>
      </c>
      <c r="DO137" s="88" t="n">
        <f aca="false">DM137+DO136</f>
        <v>100</v>
      </c>
      <c r="DP137" s="88" t="n">
        <f aca="false">MAX(DP136,DN137-DO137)</f>
        <v>32.463377666338</v>
      </c>
      <c r="DQ137" s="88" t="n">
        <f aca="false">DP137-DP136</f>
        <v>0.960723948129498</v>
      </c>
      <c r="DR137" s="88" t="n">
        <f aca="false">IF(B137=2026,INDEX($C$22:$Q$22,1,B137-2025)*$AO$4*C137/MAX(0.0001,12-$AO$3),INDEX($C$22:$Q$22,1,B137-2025)/12)</f>
        <v>0.750038871785304</v>
      </c>
      <c r="DS137" s="88" t="n">
        <f aca="false">$AO$6*0</f>
        <v>0</v>
      </c>
      <c r="DT137" s="88" t="n">
        <f aca="false">DR137+DT136</f>
        <v>103.414391336001</v>
      </c>
      <c r="DU137" s="88" t="n">
        <f aca="false">DS137+DU136</f>
        <v>29</v>
      </c>
      <c r="DV137" s="88" t="n">
        <f aca="false">MAX(DV136,DT137-DU137)</f>
        <v>74.4143913360011</v>
      </c>
      <c r="DW137" s="88" t="n">
        <f aca="false">DV137-DV136</f>
        <v>0.750038871785307</v>
      </c>
      <c r="DX137" s="88" t="n">
        <f aca="false">IF(B137=2026,INDEX($C$23:$Q$23,1,B137-2025)*$AO$4*C137/MAX(0.0001,12-$AO$3),INDEX($C$23:$Q$23,1,B137-2025)/12)</f>
        <v>1.20511863668875</v>
      </c>
      <c r="DY137" s="88" t="n">
        <f aca="false">$AO$6*0</f>
        <v>0</v>
      </c>
      <c r="DZ137" s="88" t="n">
        <f aca="false">DX137+DZ136</f>
        <v>166.16020180953</v>
      </c>
      <c r="EA137" s="88" t="n">
        <f aca="false">DY137+EA136</f>
        <v>121</v>
      </c>
      <c r="EB137" s="88" t="n">
        <f aca="false">MAX(EB136,DZ137-EA137)</f>
        <v>45.1602018095297</v>
      </c>
      <c r="EC137" s="88" t="n">
        <f aca="false">EB137-EB136</f>
        <v>1.20511863668875</v>
      </c>
      <c r="ED137" s="88" t="n">
        <f aca="false">IF(B137=2026,INDEX($C$24:$Q$24,1,B137-2025)*$AO$4*C137/MAX(0.0001,12-$AO$3),INDEX($C$24:$Q$24,1,B137-2025)/12)</f>
        <v>0.741611468731536</v>
      </c>
      <c r="EE137" s="88" t="n">
        <f aca="false">$AO$6*0</f>
        <v>0</v>
      </c>
      <c r="EF137" s="88" t="n">
        <f aca="false">ED137+EF136</f>
        <v>102.252431882787</v>
      </c>
      <c r="EG137" s="88" t="n">
        <f aca="false">EE137+EG136</f>
        <v>0</v>
      </c>
      <c r="EH137" s="88" t="n">
        <f aca="false">MAX(EH136,EF137-EG137)</f>
        <v>102.252431882787</v>
      </c>
      <c r="EI137" s="88" t="n">
        <f aca="false">EH137-EH136</f>
        <v>0.741611468731534</v>
      </c>
      <c r="EJ137" s="88" t="n">
        <f aca="false">IF(B137=2026,INDEX($C$25:$Q$25,1,B137-2025)*$AO$4*C137/MAX(0.0001,12-$AO$3),INDEX($C$25:$Q$25,1,B137-2025)/12)</f>
        <v>0.943869142021955</v>
      </c>
      <c r="EK137" s="88" t="n">
        <f aca="false">$AO$6*0</f>
        <v>0</v>
      </c>
      <c r="EL137" s="88" t="n">
        <f aca="false">EJ137+EL136</f>
        <v>130.139458759911</v>
      </c>
      <c r="EM137" s="88" t="n">
        <f aca="false">EK137+EM136</f>
        <v>14</v>
      </c>
      <c r="EN137" s="88" t="n">
        <f aca="false">MAX(EN136,EL137-EM137)</f>
        <v>116.139458759911</v>
      </c>
      <c r="EO137" s="88" t="n">
        <f aca="false">EN137-EN136</f>
        <v>0.943869142021953</v>
      </c>
      <c r="EP137" s="88" t="n">
        <f aca="false">IF(B137=2026,INDEX($C$26:$Q$26,1,B137-2025)*$AO$4*C137/MAX(0.0001,12-$AO$3),INDEX($C$26:$Q$26,1,B137-2025)/12)</f>
        <v>1.35681189165656</v>
      </c>
      <c r="EQ137" s="88" t="n">
        <f aca="false">$AO$6*0</f>
        <v>0</v>
      </c>
      <c r="ER137" s="88" t="n">
        <f aca="false">EP137+ER136</f>
        <v>187.075471967372</v>
      </c>
      <c r="ES137" s="88" t="n">
        <f aca="false">EQ137+ES136</f>
        <v>4</v>
      </c>
      <c r="ET137" s="88" t="n">
        <f aca="false">MAX(ET136,ER137-ES137)</f>
        <v>183.075471967372</v>
      </c>
      <c r="EU137" s="88" t="n">
        <f aca="false">ET137-ET136</f>
        <v>1.35681189165655</v>
      </c>
      <c r="EV137" s="88" t="n">
        <f aca="false">IF(B137=2026,INDEX($C$27:$Q$27,1,B137-2025)*$AO$4*C137/MAX(0.0001,12-$AO$3),INDEX($C$27:$Q$27,1,B137-2025)/12)</f>
        <v>3.37096122150698</v>
      </c>
      <c r="EW137" s="88" t="n">
        <f aca="false">$AO$6*0</f>
        <v>0</v>
      </c>
      <c r="EX137" s="88" t="n">
        <f aca="false">EV137+EX136</f>
        <v>464.783781285398</v>
      </c>
      <c r="EY137" s="88" t="n">
        <f aca="false">EW137+EY136</f>
        <v>391</v>
      </c>
      <c r="EZ137" s="88" t="n">
        <f aca="false">MAX(EZ136,EX137-EY137)</f>
        <v>73.7837812853977</v>
      </c>
      <c r="FA137" s="88" t="n">
        <f aca="false">EZ137-EZ136</f>
        <v>3.370961221507</v>
      </c>
      <c r="FB137" s="88" t="n">
        <f aca="false">IF(B137=2026,INDEX($C$28:$Q$28,1,B137-2025)*$AO$4*C137/MAX(0.0001,12-$AO$3),INDEX($C$28:$Q$28,1,B137-2025)/12)</f>
        <v>17.646981994589</v>
      </c>
      <c r="FC137" s="88" t="n">
        <f aca="false">$AO$6*0</f>
        <v>0</v>
      </c>
      <c r="FD137" s="88" t="n">
        <f aca="false">FB137+FD136</f>
        <v>2433.14309502906</v>
      </c>
      <c r="FE137" s="88" t="n">
        <f aca="false">FC137+FE136</f>
        <v>169</v>
      </c>
      <c r="FF137" s="88" t="n">
        <f aca="false">MAX(FF136,FD137-FE137)</f>
        <v>2264.14309502906</v>
      </c>
      <c r="FG137" s="88" t="n">
        <f aca="false">FF137-FF136</f>
        <v>17.6469819945892</v>
      </c>
    </row>
    <row r="138" customFormat="false" ht="15" hidden="false" customHeight="false" outlineLevel="0" collapsed="false">
      <c r="A138" s="0" t="n">
        <v>98</v>
      </c>
      <c r="B138" s="88" t="n">
        <f aca="false">2026+INT(A138/12)</f>
        <v>2034</v>
      </c>
      <c r="C138" s="88" t="n">
        <f aca="false">MAX(0,MIN(1,A138+1-$AO$3))</f>
        <v>1</v>
      </c>
      <c r="D138" s="88" t="n">
        <f aca="false">IF((A138+0.5-(0))&lt;$AO$3,0,2026+INT((A138+0.5-(0))/12))</f>
        <v>2034</v>
      </c>
      <c r="E138" s="88" t="n">
        <f aca="false">IF((A138+0.5-($AO$9))&lt;$AO$3,0,2026+INT((A138+0.5-($AO$9))/12))</f>
        <v>2032</v>
      </c>
      <c r="F138" s="88" t="n">
        <f aca="false">IF((A138+0.5-($AO$9+$AO$8))&lt;$AO$3,0,2026+INT((A138+0.5-($AO$9+$AO$8))/12))</f>
        <v>2031</v>
      </c>
      <c r="G138" s="88" t="n">
        <f aca="false">IF((A138+0.5-($AO$9+$AO$8+$AO$7))&lt;$AO$3,0,2026+INT((A138+0.5-($AO$9+$AO$8+$AO$7))/12))</f>
        <v>2031</v>
      </c>
      <c r="H138" s="88" t="n">
        <f aca="false">IF(B138=2026,INDEX($C$3:$Q$3,1,B138-2025)*$AO$4*C138/MAX(0.0001,12-$AO$3),INDEX($C$3:$Q$3,1,B138-2025)/12)</f>
        <v>180.666666666667</v>
      </c>
      <c r="I138" s="88" t="n">
        <f aca="false">$AO$6*0</f>
        <v>0</v>
      </c>
      <c r="J138" s="88" t="n">
        <f aca="false">H138+J137</f>
        <v>25090.7534246576</v>
      </c>
      <c r="K138" s="88" t="n">
        <f aca="false">I138+K137</f>
        <v>8695.00000000001</v>
      </c>
      <c r="L138" s="88" t="n">
        <f aca="false">MAX(L137,J138-K138)</f>
        <v>16395.7534246576</v>
      </c>
      <c r="M138" s="88" t="n">
        <f aca="false">L138-L137</f>
        <v>180.666666666666</v>
      </c>
      <c r="N138" s="88" t="n">
        <f aca="false">IF(B138=2026,INDEX($C$4:$Q$4,1,B138-2025)*$AO$4*C138/MAX(0.0001,12-$AO$3),INDEX($C$4:$Q$4,1,B138-2025)/12)</f>
        <v>5.47724540066293</v>
      </c>
      <c r="O138" s="88" t="n">
        <f aca="false">$AO$6*0</f>
        <v>0</v>
      </c>
      <c r="P138" s="88" t="n">
        <f aca="false">N138+P137</f>
        <v>760.672770079556</v>
      </c>
      <c r="Q138" s="88" t="n">
        <f aca="false">O138+Q137</f>
        <v>398</v>
      </c>
      <c r="R138" s="88" t="n">
        <f aca="false">MAX(R137,P138-Q138)</f>
        <v>362.672770079556</v>
      </c>
      <c r="S138" s="88" t="n">
        <f aca="false">R138-R137</f>
        <v>5.47724540066292</v>
      </c>
      <c r="T138" s="88" t="n">
        <f aca="false">IF(B138=2026,INDEX($C$5:$Q$5,1,B138-2025)*$AO$4*C138/MAX(0.0001,12-$AO$3),INDEX($C$5:$Q$5,1,B138-2025)/12)</f>
        <v>22.2615024358139</v>
      </c>
      <c r="U138" s="88" t="n">
        <f aca="false">$AO$6*0</f>
        <v>0</v>
      </c>
      <c r="V138" s="88" t="n">
        <f aca="false">T138+V137</f>
        <v>3091.64871852077</v>
      </c>
      <c r="W138" s="88" t="n">
        <f aca="false">U138+W137</f>
        <v>1115</v>
      </c>
      <c r="X138" s="88" t="n">
        <f aca="false">MAX(X137,V138-W138)</f>
        <v>1976.64871852077</v>
      </c>
      <c r="Y138" s="88" t="n">
        <f aca="false">X138-X137</f>
        <v>22.2615024358138</v>
      </c>
      <c r="Z138" s="88" t="n">
        <f aca="false">IF(B138=2026,INDEX($C$6:$Q$6,1,B138-2025)*$AO$4*C138/MAX(0.0001,12-$AO$3),INDEX($C$6:$Q$6,1,B138-2025)/12)</f>
        <v>26.4114629913323</v>
      </c>
      <c r="AA138" s="88" t="n">
        <f aca="false">$AO$6*0</f>
        <v>0</v>
      </c>
      <c r="AB138" s="88" t="n">
        <f aca="false">Z138+AB137</f>
        <v>3667.98988284125</v>
      </c>
      <c r="AC138" s="88" t="n">
        <f aca="false">AA138+AC137</f>
        <v>2194</v>
      </c>
      <c r="AD138" s="88" t="n">
        <f aca="false">MAX(AD137,AB138-AC138)</f>
        <v>1473.98988284125</v>
      </c>
      <c r="AE138" s="88" t="n">
        <f aca="false">AD138-AD137</f>
        <v>26.4114629913324</v>
      </c>
      <c r="AF138" s="88" t="n">
        <f aca="false">IF(B138=2026,INDEX($C$7:$Q$7,1,B138-2025)*$AO$4*C138/MAX(0.0001,12-$AO$3),INDEX($C$7:$Q$7,1,B138-2025)/12)</f>
        <v>22.9427081739175</v>
      </c>
      <c r="AG138" s="88" t="n">
        <f aca="false">$AO$6*0</f>
        <v>0</v>
      </c>
      <c r="AH138" s="88" t="n">
        <f aca="false">AF138+AH137</f>
        <v>3186.25369198692</v>
      </c>
      <c r="AI138" s="88" t="n">
        <f aca="false">AG138+AI137</f>
        <v>826</v>
      </c>
      <c r="AJ138" s="88" t="n">
        <f aca="false">MAX(AJ137,AH138-AI138)</f>
        <v>2360.25369198692</v>
      </c>
      <c r="AK138" s="88" t="n">
        <f aca="false">AJ138-AJ137</f>
        <v>22.9427081739173</v>
      </c>
      <c r="AL138" s="88" t="n">
        <f aca="false">IF(B138=2026,INDEX($C$8:$Q$8,1,B138-2025)*$AO$4*C138/MAX(0.0001,12-$AO$3),INDEX($C$8:$Q$8,1,B138-2025)/12)</f>
        <v>5.80342126052833</v>
      </c>
      <c r="AM138" s="88" t="n">
        <f aca="false">$AO$6*0</f>
        <v>0</v>
      </c>
      <c r="AN138" s="88" t="n">
        <f aca="false">AL138+AN137</f>
        <v>805.971652402205</v>
      </c>
      <c r="AO138" s="88" t="n">
        <f aca="false">AM138+AO137</f>
        <v>66</v>
      </c>
      <c r="AP138" s="88" t="n">
        <f aca="false">MAX(AP137,AN138-AO138)</f>
        <v>739.971652402205</v>
      </c>
      <c r="AQ138" s="88" t="n">
        <f aca="false">AP138-AP137</f>
        <v>5.80342126052835</v>
      </c>
      <c r="AR138" s="88" t="n">
        <f aca="false">IF(B138=2026,INDEX($C$9:$Q$9,1,B138-2025)*$AO$4*C138/MAX(0.0001,12-$AO$3),INDEX($C$9:$Q$9,1,B138-2025)/12)</f>
        <v>24.7454570609428</v>
      </c>
      <c r="AS138" s="88" t="n">
        <f aca="false">$AO$6*0</f>
        <v>0</v>
      </c>
      <c r="AT138" s="88" t="n">
        <f aca="false">AR138+AT137</f>
        <v>3436.61713005481</v>
      </c>
      <c r="AU138" s="88" t="n">
        <f aca="false">AS138+AU137</f>
        <v>1810</v>
      </c>
      <c r="AV138" s="88" t="n">
        <f aca="false">MAX(AV137,AT138-AU138)</f>
        <v>1626.6171300548</v>
      </c>
      <c r="AW138" s="88" t="n">
        <f aca="false">AV138-AV137</f>
        <v>24.745457060943</v>
      </c>
      <c r="AX138" s="88" t="n">
        <f aca="false">IF(B138=2026,INDEX($C$10:$Q$10,1,B138-2025)*$AO$4*C138/MAX(0.0001,12-$AO$3),INDEX($C$10:$Q$10,1,B138-2025)/12)</f>
        <v>2.87034756681557</v>
      </c>
      <c r="AY138" s="88" t="n">
        <f aca="false">$AO$6*0</f>
        <v>0</v>
      </c>
      <c r="AZ138" s="88" t="n">
        <f aca="false">AX138+AZ137</f>
        <v>398.630164439308</v>
      </c>
      <c r="BA138" s="88" t="n">
        <f aca="false">AY138+BA137</f>
        <v>50</v>
      </c>
      <c r="BB138" s="88" t="n">
        <f aca="false">MAX(BB137,AZ138-BA138)</f>
        <v>348.630164439308</v>
      </c>
      <c r="BC138" s="88" t="n">
        <f aca="false">BB138-BB137</f>
        <v>2.87034756681555</v>
      </c>
      <c r="BD138" s="88" t="n">
        <f aca="false">IF(B138=2026,INDEX($C$11:$Q$11,1,B138-2025)*$AO$4*C138/MAX(0.0001,12-$AO$3),INDEX($C$11:$Q$11,1,B138-2025)/12)</f>
        <v>14.2639212564218</v>
      </c>
      <c r="BE138" s="88" t="n">
        <f aca="false">$AO$6*0</f>
        <v>0</v>
      </c>
      <c r="BF138" s="88" t="n">
        <f aca="false">BD138+BF137</f>
        <v>1980.95496926353</v>
      </c>
      <c r="BG138" s="88" t="n">
        <f aca="false">BE138+BG137</f>
        <v>240</v>
      </c>
      <c r="BH138" s="88" t="n">
        <f aca="false">MAX(BH137,BF138-BG138)</f>
        <v>1740.95496926353</v>
      </c>
      <c r="BI138" s="88" t="n">
        <f aca="false">BH138-BH137</f>
        <v>14.2639212564218</v>
      </c>
      <c r="BJ138" s="88" t="n">
        <f aca="false">IF(B138=2026,INDEX($C$12:$Q$12,1,B138-2025)*$AO$4*C138/MAX(0.0001,12-$AO$3),INDEX($C$12:$Q$12,1,B138-2025)/12)</f>
        <v>7.82069350154207</v>
      </c>
      <c r="BK138" s="88" t="n">
        <f aca="false">$AO$6*0</f>
        <v>0</v>
      </c>
      <c r="BL138" s="88" t="n">
        <f aca="false">BJ138+BL137</f>
        <v>1086.12781692074</v>
      </c>
      <c r="BM138" s="88" t="n">
        <f aca="false">BK138+BM137</f>
        <v>465</v>
      </c>
      <c r="BN138" s="88" t="n">
        <f aca="false">MAX(BN137,BL138-BM138)</f>
        <v>621.127816920742</v>
      </c>
      <c r="BO138" s="88" t="n">
        <f aca="false">BN138-BN137</f>
        <v>1.00704656014238</v>
      </c>
      <c r="BP138" s="88" t="n">
        <f aca="false">IF(B138=2026,INDEX($C$13:$Q$13,1,B138-2025)*$AO$4*C138/MAX(0.0001,12-$AO$3),INDEX($C$13:$Q$13,1,B138-2025)/12)</f>
        <v>2.44394688559256</v>
      </c>
      <c r="BQ138" s="88" t="n">
        <f aca="false">$AO$6*0</f>
        <v>0</v>
      </c>
      <c r="BR138" s="88" t="n">
        <f aca="false">BP138+BR137</f>
        <v>339.412188317505</v>
      </c>
      <c r="BS138" s="88" t="n">
        <f aca="false">BQ138+BS137</f>
        <v>87</v>
      </c>
      <c r="BT138" s="88" t="n">
        <f aca="false">MAX(BT137,BR138-BS138)</f>
        <v>252.412188317505</v>
      </c>
      <c r="BU138" s="88" t="n">
        <f aca="false">BT138-BT137</f>
        <v>2.44394688559254</v>
      </c>
      <c r="BV138" s="88" t="n">
        <f aca="false">IF(B138=2026,INDEX($C$14:$Q$14,1,B138-2025)*$AO$4*C138/MAX(0.0001,12-$AO$3),INDEX($C$14:$Q$14,1,B138-2025)/12)</f>
        <v>1.449513325248</v>
      </c>
      <c r="BW138" s="88" t="n">
        <f aca="false">$AO$6*0</f>
        <v>0</v>
      </c>
      <c r="BX138" s="88" t="n">
        <f aca="false">BV138+BX137</f>
        <v>201.306539277969</v>
      </c>
      <c r="BY138" s="88" t="n">
        <f aca="false">BW138+BY137</f>
        <v>0</v>
      </c>
      <c r="BZ138" s="88" t="n">
        <f aca="false">MAX(BZ137,BX138-BY138)</f>
        <v>201.306539277969</v>
      </c>
      <c r="CA138" s="88" t="n">
        <f aca="false">BZ138-BZ137</f>
        <v>1.44951332524801</v>
      </c>
      <c r="CB138" s="88" t="n">
        <f aca="false">IF(B138=2026,INDEX($C$15:$Q$15,1,B138-2025)*$AO$4*C138/MAX(0.0001,12-$AO$3),INDEX($C$15:$Q$15,1,B138-2025)/12)</f>
        <v>2.37652766116242</v>
      </c>
      <c r="CC138" s="88" t="n">
        <f aca="false">$AO$6*0</f>
        <v>0</v>
      </c>
      <c r="CD138" s="88" t="n">
        <f aca="false">CB138+CD137</f>
        <v>330.049093467367</v>
      </c>
      <c r="CE138" s="88" t="n">
        <f aca="false">CC138+CE137</f>
        <v>88.0000000000001</v>
      </c>
      <c r="CF138" s="88" t="n">
        <f aca="false">MAX(CF137,CD138-CE138)</f>
        <v>242.049093467367</v>
      </c>
      <c r="CG138" s="88" t="n">
        <f aca="false">CF138-CF137</f>
        <v>2.37652766116241</v>
      </c>
      <c r="CH138" s="88" t="n">
        <f aca="false">IF(B138=2026,INDEX($C$16:$Q$16,1,B138-2025)*$AO$4*C138/MAX(0.0001,12-$AO$3),INDEX($C$16:$Q$16,1,B138-2025)/12)</f>
        <v>1.87931088099014</v>
      </c>
      <c r="CI138" s="88" t="n">
        <f aca="false">$AO$6*0</f>
        <v>0</v>
      </c>
      <c r="CJ138" s="88" t="n">
        <f aca="false">CH138+CJ137</f>
        <v>260.996268947599</v>
      </c>
      <c r="CK138" s="88" t="n">
        <f aca="false">CI138+CK137</f>
        <v>70</v>
      </c>
      <c r="CL138" s="88" t="n">
        <f aca="false">MAX(CL137,CJ138-CK138)</f>
        <v>190.996268947599</v>
      </c>
      <c r="CM138" s="88" t="n">
        <f aca="false">CL138-CL137</f>
        <v>1.87931088099015</v>
      </c>
      <c r="CN138" s="88" t="n">
        <f aca="false">IF(B138=2026,INDEX($C$17:$Q$17,1,B138-2025)*$AO$4*C138/MAX(0.0001,12-$AO$3),INDEX($C$17:$Q$17,1,B138-2025)/12)</f>
        <v>8.1830083652082</v>
      </c>
      <c r="CO138" s="88" t="n">
        <f aca="false">$AO$6*0</f>
        <v>0</v>
      </c>
      <c r="CP138" s="88" t="n">
        <f aca="false">CN138+CP137</f>
        <v>1136.44563743551</v>
      </c>
      <c r="CQ138" s="88" t="n">
        <f aca="false">CO138+CQ137</f>
        <v>221</v>
      </c>
      <c r="CR138" s="88" t="n">
        <f aca="false">MAX(CR137,CP138-CQ138)</f>
        <v>915.445637435513</v>
      </c>
      <c r="CS138" s="88" t="n">
        <f aca="false">CR138-CR137</f>
        <v>8.18300836520825</v>
      </c>
      <c r="CT138" s="88" t="n">
        <f aca="false">IF(B138=2026,INDEX($C$18:$Q$18,1,B138-2025)*$AO$4*C138/MAX(0.0001,12-$AO$3),INDEX($C$18:$Q$18,1,B138-2025)/12)</f>
        <v>1.70233541686103</v>
      </c>
      <c r="CU138" s="88" t="n">
        <f aca="false">$AO$6*0</f>
        <v>0</v>
      </c>
      <c r="CV138" s="88" t="n">
        <f aca="false">CT138+CV137</f>
        <v>236.418144965987</v>
      </c>
      <c r="CW138" s="88" t="n">
        <f aca="false">CU138+CW137</f>
        <v>11</v>
      </c>
      <c r="CX138" s="88" t="n">
        <f aca="false">MAX(CX137,CV138-CW138)</f>
        <v>225.418144965987</v>
      </c>
      <c r="CY138" s="88" t="n">
        <f aca="false">CX138-CX137</f>
        <v>1.70233541686102</v>
      </c>
      <c r="CZ138" s="88" t="n">
        <f aca="false">IF(B138=2026,INDEX($C$19:$Q$19,1,B138-2025)*$AO$4*C138/MAX(0.0001,12-$AO$3),INDEX($C$19:$Q$19,1,B138-2025)/12)</f>
        <v>1.68548061075349</v>
      </c>
      <c r="DA138" s="88" t="n">
        <f aca="false">$AO$6*0</f>
        <v>0</v>
      </c>
      <c r="DB138" s="88" t="n">
        <f aca="false">CZ138+DB137</f>
        <v>234.077371253452</v>
      </c>
      <c r="DC138" s="88" t="n">
        <f aca="false">DA138+DC137</f>
        <v>226</v>
      </c>
      <c r="DD138" s="88" t="n">
        <f aca="false">MAX(DD137,DB138-DC138)</f>
        <v>37.132124495359</v>
      </c>
      <c r="DE138" s="88" t="n">
        <f aca="false">DD138-DD137</f>
        <v>0</v>
      </c>
      <c r="DF138" s="88" t="n">
        <f aca="false">IF(B138=2026,INDEX($C$20:$Q$20,1,B138-2025)*$AO$4*C138/MAX(0.0001,12-$AO$3),INDEX($C$20:$Q$20,1,B138-2025)/12)</f>
        <v>1.37366669776409</v>
      </c>
      <c r="DG138" s="88" t="n">
        <f aca="false">$AO$6*0</f>
        <v>0</v>
      </c>
      <c r="DH138" s="88" t="n">
        <f aca="false">DF138+DH137</f>
        <v>190.773057571563</v>
      </c>
      <c r="DI138" s="88" t="n">
        <f aca="false">DG138+DI137</f>
        <v>0</v>
      </c>
      <c r="DJ138" s="88" t="n">
        <f aca="false">MAX(DJ137,DH138-DI138)</f>
        <v>190.773057571563</v>
      </c>
      <c r="DK138" s="88" t="n">
        <f aca="false">DJ138-DJ137</f>
        <v>1.37366669776409</v>
      </c>
      <c r="DL138" s="88" t="n">
        <f aca="false">IF(B138=2026,INDEX($C$21:$Q$21,1,B138-2025)*$AO$4*C138/MAX(0.0001,12-$AO$3),INDEX($C$21:$Q$21,1,B138-2025)/12)</f>
        <v>0.96072394812949</v>
      </c>
      <c r="DM138" s="88" t="n">
        <f aca="false">$AO$6*0</f>
        <v>0</v>
      </c>
      <c r="DN138" s="88" t="n">
        <f aca="false">DL138+DN137</f>
        <v>133.424101614467</v>
      </c>
      <c r="DO138" s="88" t="n">
        <f aca="false">DM138+DO137</f>
        <v>100</v>
      </c>
      <c r="DP138" s="88" t="n">
        <f aca="false">MAX(DP137,DN138-DO138)</f>
        <v>33.4241016144675</v>
      </c>
      <c r="DQ138" s="88" t="n">
        <f aca="false">DP138-DP137</f>
        <v>0.960723948129498</v>
      </c>
      <c r="DR138" s="88" t="n">
        <f aca="false">IF(B138=2026,INDEX($C$22:$Q$22,1,B138-2025)*$AO$4*C138/MAX(0.0001,12-$AO$3),INDEX($C$22:$Q$22,1,B138-2025)/12)</f>
        <v>0.750038871785304</v>
      </c>
      <c r="DS138" s="88" t="n">
        <f aca="false">$AO$6*0</f>
        <v>0</v>
      </c>
      <c r="DT138" s="88" t="n">
        <f aca="false">DR138+DT137</f>
        <v>104.164430207786</v>
      </c>
      <c r="DU138" s="88" t="n">
        <f aca="false">DS138+DU137</f>
        <v>29</v>
      </c>
      <c r="DV138" s="88" t="n">
        <f aca="false">MAX(DV137,DT138-DU138)</f>
        <v>75.1644302077864</v>
      </c>
      <c r="DW138" s="88" t="n">
        <f aca="false">DV138-DV137</f>
        <v>0.750038871785307</v>
      </c>
      <c r="DX138" s="88" t="n">
        <f aca="false">IF(B138=2026,INDEX($C$23:$Q$23,1,B138-2025)*$AO$4*C138/MAX(0.0001,12-$AO$3),INDEX($C$23:$Q$23,1,B138-2025)/12)</f>
        <v>1.20511863668875</v>
      </c>
      <c r="DY138" s="88" t="n">
        <f aca="false">$AO$6*0</f>
        <v>0</v>
      </c>
      <c r="DZ138" s="88" t="n">
        <f aca="false">DX138+DZ137</f>
        <v>167.365320446218</v>
      </c>
      <c r="EA138" s="88" t="n">
        <f aca="false">DY138+EA137</f>
        <v>121</v>
      </c>
      <c r="EB138" s="88" t="n">
        <f aca="false">MAX(EB137,DZ138-EA138)</f>
        <v>46.3653204462185</v>
      </c>
      <c r="EC138" s="88" t="n">
        <f aca="false">EB138-EB137</f>
        <v>1.20511863668875</v>
      </c>
      <c r="ED138" s="88" t="n">
        <f aca="false">IF(B138=2026,INDEX($C$24:$Q$24,1,B138-2025)*$AO$4*C138/MAX(0.0001,12-$AO$3),INDEX($C$24:$Q$24,1,B138-2025)/12)</f>
        <v>0.741611468731536</v>
      </c>
      <c r="EE138" s="88" t="n">
        <f aca="false">$AO$6*0</f>
        <v>0</v>
      </c>
      <c r="EF138" s="88" t="n">
        <f aca="false">ED138+EF137</f>
        <v>102.994043351519</v>
      </c>
      <c r="EG138" s="88" t="n">
        <f aca="false">EE138+EG137</f>
        <v>0</v>
      </c>
      <c r="EH138" s="88" t="n">
        <f aca="false">MAX(EH137,EF138-EG138)</f>
        <v>102.994043351519</v>
      </c>
      <c r="EI138" s="88" t="n">
        <f aca="false">EH138-EH137</f>
        <v>0.741611468731534</v>
      </c>
      <c r="EJ138" s="88" t="n">
        <f aca="false">IF(B138=2026,INDEX($C$25:$Q$25,1,B138-2025)*$AO$4*C138/MAX(0.0001,12-$AO$3),INDEX($C$25:$Q$25,1,B138-2025)/12)</f>
        <v>0.943869142021955</v>
      </c>
      <c r="EK138" s="88" t="n">
        <f aca="false">$AO$6*0</f>
        <v>0</v>
      </c>
      <c r="EL138" s="88" t="n">
        <f aca="false">EJ138+EL137</f>
        <v>131.083327901933</v>
      </c>
      <c r="EM138" s="88" t="n">
        <f aca="false">EK138+EM137</f>
        <v>14</v>
      </c>
      <c r="EN138" s="88" t="n">
        <f aca="false">MAX(EN137,EL138-EM138)</f>
        <v>117.083327901933</v>
      </c>
      <c r="EO138" s="88" t="n">
        <f aca="false">EN138-EN137</f>
        <v>0.943869142021953</v>
      </c>
      <c r="EP138" s="88" t="n">
        <f aca="false">IF(B138=2026,INDEX($C$26:$Q$26,1,B138-2025)*$AO$4*C138/MAX(0.0001,12-$AO$3),INDEX($C$26:$Q$26,1,B138-2025)/12)</f>
        <v>1.35681189165656</v>
      </c>
      <c r="EQ138" s="88" t="n">
        <f aca="false">$AO$6*0</f>
        <v>0</v>
      </c>
      <c r="ER138" s="88" t="n">
        <f aca="false">EP138+ER137</f>
        <v>188.432283859028</v>
      </c>
      <c r="ES138" s="88" t="n">
        <f aca="false">EQ138+ES137</f>
        <v>4</v>
      </c>
      <c r="ET138" s="88" t="n">
        <f aca="false">MAX(ET137,ER138-ES138)</f>
        <v>184.432283859028</v>
      </c>
      <c r="EU138" s="88" t="n">
        <f aca="false">ET138-ET137</f>
        <v>1.35681189165655</v>
      </c>
      <c r="EV138" s="88" t="n">
        <f aca="false">IF(B138=2026,INDEX($C$27:$Q$27,1,B138-2025)*$AO$4*C138/MAX(0.0001,12-$AO$3),INDEX($C$27:$Q$27,1,B138-2025)/12)</f>
        <v>3.37096122150698</v>
      </c>
      <c r="EW138" s="88" t="n">
        <f aca="false">$AO$6*0</f>
        <v>0</v>
      </c>
      <c r="EX138" s="88" t="n">
        <f aca="false">EV138+EX137</f>
        <v>468.154742506905</v>
      </c>
      <c r="EY138" s="88" t="n">
        <f aca="false">EW138+EY137</f>
        <v>391</v>
      </c>
      <c r="EZ138" s="88" t="n">
        <f aca="false">MAX(EZ137,EX138-EY138)</f>
        <v>77.1547425069047</v>
      </c>
      <c r="FA138" s="88" t="n">
        <f aca="false">EZ138-EZ137</f>
        <v>3.370961221507</v>
      </c>
      <c r="FB138" s="88" t="n">
        <f aca="false">IF(B138=2026,INDEX($C$28:$Q$28,1,B138-2025)*$AO$4*C138/MAX(0.0001,12-$AO$3),INDEX($C$28:$Q$28,1,B138-2025)/12)</f>
        <v>17.646981994589</v>
      </c>
      <c r="FC138" s="88" t="n">
        <f aca="false">$AO$6*0</f>
        <v>0</v>
      </c>
      <c r="FD138" s="88" t="n">
        <f aca="false">FB138+FD137</f>
        <v>2450.79007702364</v>
      </c>
      <c r="FE138" s="88" t="n">
        <f aca="false">FC138+FE137</f>
        <v>169</v>
      </c>
      <c r="FF138" s="88" t="n">
        <f aca="false">MAX(FF137,FD138-FE138)</f>
        <v>2281.79007702364</v>
      </c>
      <c r="FG138" s="88" t="n">
        <f aca="false">FF138-FF137</f>
        <v>17.6469819945892</v>
      </c>
    </row>
    <row r="139" customFormat="false" ht="15" hidden="false" customHeight="false" outlineLevel="0" collapsed="false">
      <c r="A139" s="0" t="n">
        <v>99</v>
      </c>
      <c r="B139" s="88" t="n">
        <f aca="false">2026+INT(A139/12)</f>
        <v>2034</v>
      </c>
      <c r="C139" s="88" t="n">
        <f aca="false">MAX(0,MIN(1,A139+1-$AO$3))</f>
        <v>1</v>
      </c>
      <c r="D139" s="88" t="n">
        <f aca="false">IF((A139+0.5-(0))&lt;$AO$3,0,2026+INT((A139+0.5-(0))/12))</f>
        <v>2034</v>
      </c>
      <c r="E139" s="88" t="n">
        <f aca="false">IF((A139+0.5-($AO$9))&lt;$AO$3,0,2026+INT((A139+0.5-($AO$9))/12))</f>
        <v>2033</v>
      </c>
      <c r="F139" s="88" t="n">
        <f aca="false">IF((A139+0.5-($AO$9+$AO$8))&lt;$AO$3,0,2026+INT((A139+0.5-($AO$9+$AO$8))/12))</f>
        <v>2031</v>
      </c>
      <c r="G139" s="88" t="n">
        <f aca="false">IF((A139+0.5-($AO$9+$AO$8+$AO$7))&lt;$AO$3,0,2026+INT((A139+0.5-($AO$9+$AO$8+$AO$7))/12))</f>
        <v>2031</v>
      </c>
      <c r="H139" s="88" t="n">
        <f aca="false">IF(B139=2026,INDEX($C$3:$Q$3,1,B139-2025)*$AO$4*C139/MAX(0.0001,12-$AO$3),INDEX($C$3:$Q$3,1,B139-2025)/12)</f>
        <v>180.666666666667</v>
      </c>
      <c r="I139" s="88" t="n">
        <f aca="false">$AO$6*0</f>
        <v>0</v>
      </c>
      <c r="J139" s="88" t="n">
        <f aca="false">H139+J138</f>
        <v>25271.4200913243</v>
      </c>
      <c r="K139" s="88" t="n">
        <f aca="false">I139+K138</f>
        <v>8695.00000000001</v>
      </c>
      <c r="L139" s="88" t="n">
        <f aca="false">MAX(L138,J139-K139)</f>
        <v>16576.4200913242</v>
      </c>
      <c r="M139" s="88" t="n">
        <f aca="false">L139-L138</f>
        <v>180.666666666672</v>
      </c>
      <c r="N139" s="88" t="n">
        <f aca="false">IF(B139=2026,INDEX($C$4:$Q$4,1,B139-2025)*$AO$4*C139/MAX(0.0001,12-$AO$3),INDEX($C$4:$Q$4,1,B139-2025)/12)</f>
        <v>5.47724540066293</v>
      </c>
      <c r="O139" s="88" t="n">
        <f aca="false">$AO$6*0</f>
        <v>0</v>
      </c>
      <c r="P139" s="88" t="n">
        <f aca="false">N139+P138</f>
        <v>766.150015480219</v>
      </c>
      <c r="Q139" s="88" t="n">
        <f aca="false">O139+Q138</f>
        <v>398</v>
      </c>
      <c r="R139" s="88" t="n">
        <f aca="false">MAX(R138,P139-Q139)</f>
        <v>368.150015480219</v>
      </c>
      <c r="S139" s="88" t="n">
        <f aca="false">R139-R138</f>
        <v>5.47724540066292</v>
      </c>
      <c r="T139" s="88" t="n">
        <f aca="false">IF(B139=2026,INDEX($C$5:$Q$5,1,B139-2025)*$AO$4*C139/MAX(0.0001,12-$AO$3),INDEX($C$5:$Q$5,1,B139-2025)/12)</f>
        <v>22.2615024358139</v>
      </c>
      <c r="U139" s="88" t="n">
        <f aca="false">$AO$6*0</f>
        <v>0</v>
      </c>
      <c r="V139" s="88" t="n">
        <f aca="false">T139+V138</f>
        <v>3113.91022095658</v>
      </c>
      <c r="W139" s="88" t="n">
        <f aca="false">U139+W138</f>
        <v>1115</v>
      </c>
      <c r="X139" s="88" t="n">
        <f aca="false">MAX(X138,V139-W139)</f>
        <v>1998.91022095658</v>
      </c>
      <c r="Y139" s="88" t="n">
        <f aca="false">X139-X138</f>
        <v>22.2615024358138</v>
      </c>
      <c r="Z139" s="88" t="n">
        <f aca="false">IF(B139=2026,INDEX($C$6:$Q$6,1,B139-2025)*$AO$4*C139/MAX(0.0001,12-$AO$3),INDEX($C$6:$Q$6,1,B139-2025)/12)</f>
        <v>26.4114629913323</v>
      </c>
      <c r="AA139" s="88" t="n">
        <f aca="false">$AO$6*0</f>
        <v>0</v>
      </c>
      <c r="AB139" s="88" t="n">
        <f aca="false">Z139+AB138</f>
        <v>3694.40134583259</v>
      </c>
      <c r="AC139" s="88" t="n">
        <f aca="false">AA139+AC138</f>
        <v>2194</v>
      </c>
      <c r="AD139" s="88" t="n">
        <f aca="false">MAX(AD138,AB139-AC139)</f>
        <v>1500.40134583258</v>
      </c>
      <c r="AE139" s="88" t="n">
        <f aca="false">AD139-AD138</f>
        <v>26.4114629913324</v>
      </c>
      <c r="AF139" s="88" t="n">
        <f aca="false">IF(B139=2026,INDEX($C$7:$Q$7,1,B139-2025)*$AO$4*C139/MAX(0.0001,12-$AO$3),INDEX($C$7:$Q$7,1,B139-2025)/12)</f>
        <v>22.9427081739175</v>
      </c>
      <c r="AG139" s="88" t="n">
        <f aca="false">$AO$6*0</f>
        <v>0</v>
      </c>
      <c r="AH139" s="88" t="n">
        <f aca="false">AF139+AH138</f>
        <v>3209.19640016083</v>
      </c>
      <c r="AI139" s="88" t="n">
        <f aca="false">AG139+AI138</f>
        <v>826</v>
      </c>
      <c r="AJ139" s="88" t="n">
        <f aca="false">MAX(AJ138,AH139-AI139)</f>
        <v>2383.19640016083</v>
      </c>
      <c r="AK139" s="88" t="n">
        <f aca="false">AJ139-AJ138</f>
        <v>22.9427081739173</v>
      </c>
      <c r="AL139" s="88" t="n">
        <f aca="false">IF(B139=2026,INDEX($C$8:$Q$8,1,B139-2025)*$AO$4*C139/MAX(0.0001,12-$AO$3),INDEX($C$8:$Q$8,1,B139-2025)/12)</f>
        <v>5.80342126052833</v>
      </c>
      <c r="AM139" s="88" t="n">
        <f aca="false">$AO$6*0</f>
        <v>0</v>
      </c>
      <c r="AN139" s="88" t="n">
        <f aca="false">AL139+AN138</f>
        <v>811.775073662734</v>
      </c>
      <c r="AO139" s="88" t="n">
        <f aca="false">AM139+AO138</f>
        <v>66</v>
      </c>
      <c r="AP139" s="88" t="n">
        <f aca="false">MAX(AP138,AN139-AO139)</f>
        <v>745.775073662734</v>
      </c>
      <c r="AQ139" s="88" t="n">
        <f aca="false">AP139-AP138</f>
        <v>5.80342126052835</v>
      </c>
      <c r="AR139" s="88" t="n">
        <f aca="false">IF(B139=2026,INDEX($C$9:$Q$9,1,B139-2025)*$AO$4*C139/MAX(0.0001,12-$AO$3),INDEX($C$9:$Q$9,1,B139-2025)/12)</f>
        <v>24.7454570609428</v>
      </c>
      <c r="AS139" s="88" t="n">
        <f aca="false">$AO$6*0</f>
        <v>0</v>
      </c>
      <c r="AT139" s="88" t="n">
        <f aca="false">AR139+AT138</f>
        <v>3461.36258711575</v>
      </c>
      <c r="AU139" s="88" t="n">
        <f aca="false">AS139+AU138</f>
        <v>1810</v>
      </c>
      <c r="AV139" s="88" t="n">
        <f aca="false">MAX(AV138,AT139-AU139)</f>
        <v>1651.36258711575</v>
      </c>
      <c r="AW139" s="88" t="n">
        <f aca="false">AV139-AV138</f>
        <v>24.745457060943</v>
      </c>
      <c r="AX139" s="88" t="n">
        <f aca="false">IF(B139=2026,INDEX($C$10:$Q$10,1,B139-2025)*$AO$4*C139/MAX(0.0001,12-$AO$3),INDEX($C$10:$Q$10,1,B139-2025)/12)</f>
        <v>2.87034756681557</v>
      </c>
      <c r="AY139" s="88" t="n">
        <f aca="false">$AO$6*0</f>
        <v>0</v>
      </c>
      <c r="AZ139" s="88" t="n">
        <f aca="false">AX139+AZ138</f>
        <v>401.500512006124</v>
      </c>
      <c r="BA139" s="88" t="n">
        <f aca="false">AY139+BA138</f>
        <v>50</v>
      </c>
      <c r="BB139" s="88" t="n">
        <f aca="false">MAX(BB138,AZ139-BA139)</f>
        <v>351.500512006124</v>
      </c>
      <c r="BC139" s="88" t="n">
        <f aca="false">BB139-BB138</f>
        <v>2.87034756681555</v>
      </c>
      <c r="BD139" s="88" t="n">
        <f aca="false">IF(B139=2026,INDEX($C$11:$Q$11,1,B139-2025)*$AO$4*C139/MAX(0.0001,12-$AO$3),INDEX($C$11:$Q$11,1,B139-2025)/12)</f>
        <v>14.2639212564218</v>
      </c>
      <c r="BE139" s="88" t="n">
        <f aca="false">$AO$6*0</f>
        <v>0</v>
      </c>
      <c r="BF139" s="88" t="n">
        <f aca="false">BD139+BF138</f>
        <v>1995.21889051995</v>
      </c>
      <c r="BG139" s="88" t="n">
        <f aca="false">BE139+BG138</f>
        <v>240</v>
      </c>
      <c r="BH139" s="88" t="n">
        <f aca="false">MAX(BH138,BF139-BG139)</f>
        <v>1755.21889051995</v>
      </c>
      <c r="BI139" s="88" t="n">
        <f aca="false">BH139-BH138</f>
        <v>14.2639212564218</v>
      </c>
      <c r="BJ139" s="88" t="n">
        <f aca="false">IF(B139=2026,INDEX($C$12:$Q$12,1,B139-2025)*$AO$4*C139/MAX(0.0001,12-$AO$3),INDEX($C$12:$Q$12,1,B139-2025)/12)</f>
        <v>7.82069350154207</v>
      </c>
      <c r="BK139" s="88" t="n">
        <f aca="false">$AO$6*0</f>
        <v>0</v>
      </c>
      <c r="BL139" s="88" t="n">
        <f aca="false">BJ139+BL138</f>
        <v>1093.94851042228</v>
      </c>
      <c r="BM139" s="88" t="n">
        <f aca="false">BK139+BM138</f>
        <v>465</v>
      </c>
      <c r="BN139" s="88" t="n">
        <f aca="false">MAX(BN138,BL139-BM139)</f>
        <v>628.948510422284</v>
      </c>
      <c r="BO139" s="88" t="n">
        <f aca="false">BN139-BN138</f>
        <v>7.82069350154211</v>
      </c>
      <c r="BP139" s="88" t="n">
        <f aca="false">IF(B139=2026,INDEX($C$13:$Q$13,1,B139-2025)*$AO$4*C139/MAX(0.0001,12-$AO$3),INDEX($C$13:$Q$13,1,B139-2025)/12)</f>
        <v>2.44394688559256</v>
      </c>
      <c r="BQ139" s="88" t="n">
        <f aca="false">$AO$6*0</f>
        <v>0</v>
      </c>
      <c r="BR139" s="88" t="n">
        <f aca="false">BP139+BR138</f>
        <v>341.856135203098</v>
      </c>
      <c r="BS139" s="88" t="n">
        <f aca="false">BQ139+BS138</f>
        <v>87</v>
      </c>
      <c r="BT139" s="88" t="n">
        <f aca="false">MAX(BT138,BR139-BS139)</f>
        <v>254.856135203098</v>
      </c>
      <c r="BU139" s="88" t="n">
        <f aca="false">BT139-BT138</f>
        <v>2.44394688559254</v>
      </c>
      <c r="BV139" s="88" t="n">
        <f aca="false">IF(B139=2026,INDEX($C$14:$Q$14,1,B139-2025)*$AO$4*C139/MAX(0.0001,12-$AO$3),INDEX($C$14:$Q$14,1,B139-2025)/12)</f>
        <v>1.449513325248</v>
      </c>
      <c r="BW139" s="88" t="n">
        <f aca="false">$AO$6*0</f>
        <v>0</v>
      </c>
      <c r="BX139" s="88" t="n">
        <f aca="false">BV139+BX138</f>
        <v>202.756052603217</v>
      </c>
      <c r="BY139" s="88" t="n">
        <f aca="false">BW139+BY138</f>
        <v>0</v>
      </c>
      <c r="BZ139" s="88" t="n">
        <f aca="false">MAX(BZ138,BX139-BY139)</f>
        <v>202.756052603217</v>
      </c>
      <c r="CA139" s="88" t="n">
        <f aca="false">BZ139-BZ138</f>
        <v>1.44951332524801</v>
      </c>
      <c r="CB139" s="88" t="n">
        <f aca="false">IF(B139=2026,INDEX($C$15:$Q$15,1,B139-2025)*$AO$4*C139/MAX(0.0001,12-$AO$3),INDEX($C$15:$Q$15,1,B139-2025)/12)</f>
        <v>2.37652766116242</v>
      </c>
      <c r="CC139" s="88" t="n">
        <f aca="false">$AO$6*0</f>
        <v>0</v>
      </c>
      <c r="CD139" s="88" t="n">
        <f aca="false">CB139+CD138</f>
        <v>332.425621128529</v>
      </c>
      <c r="CE139" s="88" t="n">
        <f aca="false">CC139+CE138</f>
        <v>88.0000000000001</v>
      </c>
      <c r="CF139" s="88" t="n">
        <f aca="false">MAX(CF138,CD139-CE139)</f>
        <v>244.425621128529</v>
      </c>
      <c r="CG139" s="88" t="n">
        <f aca="false">CF139-CF138</f>
        <v>2.37652766116241</v>
      </c>
      <c r="CH139" s="88" t="n">
        <f aca="false">IF(B139=2026,INDEX($C$16:$Q$16,1,B139-2025)*$AO$4*C139/MAX(0.0001,12-$AO$3),INDEX($C$16:$Q$16,1,B139-2025)/12)</f>
        <v>1.87931088099014</v>
      </c>
      <c r="CI139" s="88" t="n">
        <f aca="false">$AO$6*0</f>
        <v>0</v>
      </c>
      <c r="CJ139" s="88" t="n">
        <f aca="false">CH139+CJ138</f>
        <v>262.875579828589</v>
      </c>
      <c r="CK139" s="88" t="n">
        <f aca="false">CI139+CK138</f>
        <v>70</v>
      </c>
      <c r="CL139" s="88" t="n">
        <f aca="false">MAX(CL138,CJ139-CK139)</f>
        <v>192.875579828589</v>
      </c>
      <c r="CM139" s="88" t="n">
        <f aca="false">CL139-CL138</f>
        <v>1.87931088099015</v>
      </c>
      <c r="CN139" s="88" t="n">
        <f aca="false">IF(B139=2026,INDEX($C$17:$Q$17,1,B139-2025)*$AO$4*C139/MAX(0.0001,12-$AO$3),INDEX($C$17:$Q$17,1,B139-2025)/12)</f>
        <v>8.1830083652082</v>
      </c>
      <c r="CO139" s="88" t="n">
        <f aca="false">$AO$6*0</f>
        <v>0</v>
      </c>
      <c r="CP139" s="88" t="n">
        <f aca="false">CN139+CP138</f>
        <v>1144.62864580072</v>
      </c>
      <c r="CQ139" s="88" t="n">
        <f aca="false">CO139+CQ138</f>
        <v>221</v>
      </c>
      <c r="CR139" s="88" t="n">
        <f aca="false">MAX(CR138,CP139-CQ139)</f>
        <v>923.628645800722</v>
      </c>
      <c r="CS139" s="88" t="n">
        <f aca="false">CR139-CR138</f>
        <v>8.18300836520825</v>
      </c>
      <c r="CT139" s="88" t="n">
        <f aca="false">IF(B139=2026,INDEX($C$18:$Q$18,1,B139-2025)*$AO$4*C139/MAX(0.0001,12-$AO$3),INDEX($C$18:$Q$18,1,B139-2025)/12)</f>
        <v>1.70233541686103</v>
      </c>
      <c r="CU139" s="88" t="n">
        <f aca="false">$AO$6*0</f>
        <v>0</v>
      </c>
      <c r="CV139" s="88" t="n">
        <f aca="false">CT139+CV138</f>
        <v>238.120480382848</v>
      </c>
      <c r="CW139" s="88" t="n">
        <f aca="false">CU139+CW138</f>
        <v>11</v>
      </c>
      <c r="CX139" s="88" t="n">
        <f aca="false">MAX(CX138,CV139-CW139)</f>
        <v>227.120480382848</v>
      </c>
      <c r="CY139" s="88" t="n">
        <f aca="false">CX139-CX138</f>
        <v>1.70233541686102</v>
      </c>
      <c r="CZ139" s="88" t="n">
        <f aca="false">IF(B139=2026,INDEX($C$19:$Q$19,1,B139-2025)*$AO$4*C139/MAX(0.0001,12-$AO$3),INDEX($C$19:$Q$19,1,B139-2025)/12)</f>
        <v>1.68548061075349</v>
      </c>
      <c r="DA139" s="88" t="n">
        <f aca="false">$AO$6*0</f>
        <v>0</v>
      </c>
      <c r="DB139" s="88" t="n">
        <f aca="false">CZ139+DB138</f>
        <v>235.762851864206</v>
      </c>
      <c r="DC139" s="88" t="n">
        <f aca="false">DA139+DC138</f>
        <v>226</v>
      </c>
      <c r="DD139" s="88" t="n">
        <f aca="false">MAX(DD138,DB139-DC139)</f>
        <v>37.132124495359</v>
      </c>
      <c r="DE139" s="88" t="n">
        <f aca="false">DD139-DD138</f>
        <v>0</v>
      </c>
      <c r="DF139" s="88" t="n">
        <f aca="false">IF(B139=2026,INDEX($C$20:$Q$20,1,B139-2025)*$AO$4*C139/MAX(0.0001,12-$AO$3),INDEX($C$20:$Q$20,1,B139-2025)/12)</f>
        <v>1.37366669776409</v>
      </c>
      <c r="DG139" s="88" t="n">
        <f aca="false">$AO$6*0</f>
        <v>0</v>
      </c>
      <c r="DH139" s="88" t="n">
        <f aca="false">DF139+DH138</f>
        <v>192.146724269328</v>
      </c>
      <c r="DI139" s="88" t="n">
        <f aca="false">DG139+DI138</f>
        <v>0</v>
      </c>
      <c r="DJ139" s="88" t="n">
        <f aca="false">MAX(DJ138,DH139-DI139)</f>
        <v>192.146724269328</v>
      </c>
      <c r="DK139" s="88" t="n">
        <f aca="false">DJ139-DJ138</f>
        <v>1.37366669776409</v>
      </c>
      <c r="DL139" s="88" t="n">
        <f aca="false">IF(B139=2026,INDEX($C$21:$Q$21,1,B139-2025)*$AO$4*C139/MAX(0.0001,12-$AO$3),INDEX($C$21:$Q$21,1,B139-2025)/12)</f>
        <v>0.96072394812949</v>
      </c>
      <c r="DM139" s="88" t="n">
        <f aca="false">$AO$6*0</f>
        <v>0</v>
      </c>
      <c r="DN139" s="88" t="n">
        <f aca="false">DL139+DN138</f>
        <v>134.384825562597</v>
      </c>
      <c r="DO139" s="88" t="n">
        <f aca="false">DM139+DO138</f>
        <v>100</v>
      </c>
      <c r="DP139" s="88" t="n">
        <f aca="false">MAX(DP138,DN139-DO139)</f>
        <v>34.384825562597</v>
      </c>
      <c r="DQ139" s="88" t="n">
        <f aca="false">DP139-DP138</f>
        <v>0.960723948129498</v>
      </c>
      <c r="DR139" s="88" t="n">
        <f aca="false">IF(B139=2026,INDEX($C$22:$Q$22,1,B139-2025)*$AO$4*C139/MAX(0.0001,12-$AO$3),INDEX($C$22:$Q$22,1,B139-2025)/12)</f>
        <v>0.750038871785304</v>
      </c>
      <c r="DS139" s="88" t="n">
        <f aca="false">$AO$6*0</f>
        <v>0</v>
      </c>
      <c r="DT139" s="88" t="n">
        <f aca="false">DR139+DT138</f>
        <v>104.914469079572</v>
      </c>
      <c r="DU139" s="88" t="n">
        <f aca="false">DS139+DU138</f>
        <v>29</v>
      </c>
      <c r="DV139" s="88" t="n">
        <f aca="false">MAX(DV138,DT139-DU139)</f>
        <v>75.9144690795717</v>
      </c>
      <c r="DW139" s="88" t="n">
        <f aca="false">DV139-DV138</f>
        <v>0.750038871785307</v>
      </c>
      <c r="DX139" s="88" t="n">
        <f aca="false">IF(B139=2026,INDEX($C$23:$Q$23,1,B139-2025)*$AO$4*C139/MAX(0.0001,12-$AO$3),INDEX($C$23:$Q$23,1,B139-2025)/12)</f>
        <v>1.20511863668875</v>
      </c>
      <c r="DY139" s="88" t="n">
        <f aca="false">$AO$6*0</f>
        <v>0</v>
      </c>
      <c r="DZ139" s="88" t="n">
        <f aca="false">DX139+DZ138</f>
        <v>168.570439082907</v>
      </c>
      <c r="EA139" s="88" t="n">
        <f aca="false">DY139+EA138</f>
        <v>121</v>
      </c>
      <c r="EB139" s="88" t="n">
        <f aca="false">MAX(EB138,DZ139-EA139)</f>
        <v>47.5704390829072</v>
      </c>
      <c r="EC139" s="88" t="n">
        <f aca="false">EB139-EB138</f>
        <v>1.20511863668875</v>
      </c>
      <c r="ED139" s="88" t="n">
        <f aca="false">IF(B139=2026,INDEX($C$24:$Q$24,1,B139-2025)*$AO$4*C139/MAX(0.0001,12-$AO$3),INDEX($C$24:$Q$24,1,B139-2025)/12)</f>
        <v>0.741611468731536</v>
      </c>
      <c r="EE139" s="88" t="n">
        <f aca="false">$AO$6*0</f>
        <v>0</v>
      </c>
      <c r="EF139" s="88" t="n">
        <f aca="false">ED139+EF138</f>
        <v>103.73565482025</v>
      </c>
      <c r="EG139" s="88" t="n">
        <f aca="false">EE139+EG138</f>
        <v>0</v>
      </c>
      <c r="EH139" s="88" t="n">
        <f aca="false">MAX(EH138,EF139-EG139)</f>
        <v>103.73565482025</v>
      </c>
      <c r="EI139" s="88" t="n">
        <f aca="false">EH139-EH138</f>
        <v>0.741611468731534</v>
      </c>
      <c r="EJ139" s="88" t="n">
        <f aca="false">IF(B139=2026,INDEX($C$25:$Q$25,1,B139-2025)*$AO$4*C139/MAX(0.0001,12-$AO$3),INDEX($C$25:$Q$25,1,B139-2025)/12)</f>
        <v>0.943869142021955</v>
      </c>
      <c r="EK139" s="88" t="n">
        <f aca="false">$AO$6*0</f>
        <v>0</v>
      </c>
      <c r="EL139" s="88" t="n">
        <f aca="false">EJ139+EL138</f>
        <v>132.027197043955</v>
      </c>
      <c r="EM139" s="88" t="n">
        <f aca="false">EK139+EM138</f>
        <v>14</v>
      </c>
      <c r="EN139" s="88" t="n">
        <f aca="false">MAX(EN138,EL139-EM139)</f>
        <v>118.027197043955</v>
      </c>
      <c r="EO139" s="88" t="n">
        <f aca="false">EN139-EN138</f>
        <v>0.943869142021953</v>
      </c>
      <c r="EP139" s="88" t="n">
        <f aca="false">IF(B139=2026,INDEX($C$26:$Q$26,1,B139-2025)*$AO$4*C139/MAX(0.0001,12-$AO$3),INDEX($C$26:$Q$26,1,B139-2025)/12)</f>
        <v>1.35681189165656</v>
      </c>
      <c r="EQ139" s="88" t="n">
        <f aca="false">$AO$6*0</f>
        <v>0</v>
      </c>
      <c r="ER139" s="88" t="n">
        <f aca="false">EP139+ER138</f>
        <v>189.789095750685</v>
      </c>
      <c r="ES139" s="88" t="n">
        <f aca="false">EQ139+ES138</f>
        <v>4</v>
      </c>
      <c r="ET139" s="88" t="n">
        <f aca="false">MAX(ET138,ER139-ES139)</f>
        <v>185.789095750685</v>
      </c>
      <c r="EU139" s="88" t="n">
        <f aca="false">ET139-ET138</f>
        <v>1.35681189165655</v>
      </c>
      <c r="EV139" s="88" t="n">
        <f aca="false">IF(B139=2026,INDEX($C$27:$Q$27,1,B139-2025)*$AO$4*C139/MAX(0.0001,12-$AO$3),INDEX($C$27:$Q$27,1,B139-2025)/12)</f>
        <v>3.37096122150698</v>
      </c>
      <c r="EW139" s="88" t="n">
        <f aca="false">$AO$6*0</f>
        <v>0</v>
      </c>
      <c r="EX139" s="88" t="n">
        <f aca="false">EV139+EX138</f>
        <v>471.525703728412</v>
      </c>
      <c r="EY139" s="88" t="n">
        <f aca="false">EW139+EY138</f>
        <v>391</v>
      </c>
      <c r="EZ139" s="88" t="n">
        <f aca="false">MAX(EZ138,EX139-EY139)</f>
        <v>80.5257037284117</v>
      </c>
      <c r="FA139" s="88" t="n">
        <f aca="false">EZ139-EZ138</f>
        <v>3.370961221507</v>
      </c>
      <c r="FB139" s="88" t="n">
        <f aca="false">IF(B139=2026,INDEX($C$28:$Q$28,1,B139-2025)*$AO$4*C139/MAX(0.0001,12-$AO$3),INDEX($C$28:$Q$28,1,B139-2025)/12)</f>
        <v>17.646981994589</v>
      </c>
      <c r="FC139" s="88" t="n">
        <f aca="false">$AO$6*0</f>
        <v>0</v>
      </c>
      <c r="FD139" s="88" t="n">
        <f aca="false">FB139+FD138</f>
        <v>2468.43705901823</v>
      </c>
      <c r="FE139" s="88" t="n">
        <f aca="false">FC139+FE138</f>
        <v>169</v>
      </c>
      <c r="FF139" s="88" t="n">
        <f aca="false">MAX(FF138,FD139-FE139)</f>
        <v>2299.43705901823</v>
      </c>
      <c r="FG139" s="88" t="n">
        <f aca="false">FF139-FF138</f>
        <v>17.6469819945892</v>
      </c>
    </row>
    <row r="140" customFormat="false" ht="15" hidden="false" customHeight="false" outlineLevel="0" collapsed="false">
      <c r="A140" s="0" t="n">
        <v>100</v>
      </c>
      <c r="B140" s="88" t="n">
        <f aca="false">2026+INT(A140/12)</f>
        <v>2034</v>
      </c>
      <c r="C140" s="88" t="n">
        <f aca="false">MAX(0,MIN(1,A140+1-$AO$3))</f>
        <v>1</v>
      </c>
      <c r="D140" s="88" t="n">
        <f aca="false">IF((A140+0.5-(0))&lt;$AO$3,0,2026+INT((A140+0.5-(0))/12))</f>
        <v>2034</v>
      </c>
      <c r="E140" s="88" t="n">
        <f aca="false">IF((A140+0.5-($AO$9))&lt;$AO$3,0,2026+INT((A140+0.5-($AO$9))/12))</f>
        <v>2033</v>
      </c>
      <c r="F140" s="88" t="n">
        <f aca="false">IF((A140+0.5-($AO$9+$AO$8))&lt;$AO$3,0,2026+INT((A140+0.5-($AO$9+$AO$8))/12))</f>
        <v>2031</v>
      </c>
      <c r="G140" s="88" t="n">
        <f aca="false">IF((A140+0.5-($AO$9+$AO$8+$AO$7))&lt;$AO$3,0,2026+INT((A140+0.5-($AO$9+$AO$8+$AO$7))/12))</f>
        <v>2031</v>
      </c>
      <c r="H140" s="88" t="n">
        <f aca="false">IF(B140=2026,INDEX($C$3:$Q$3,1,B140-2025)*$AO$4*C140/MAX(0.0001,12-$AO$3),INDEX($C$3:$Q$3,1,B140-2025)/12)</f>
        <v>180.666666666667</v>
      </c>
      <c r="I140" s="88" t="n">
        <f aca="false">$AO$6*0</f>
        <v>0</v>
      </c>
      <c r="J140" s="88" t="n">
        <f aca="false">H140+J139</f>
        <v>25452.0867579909</v>
      </c>
      <c r="K140" s="88" t="n">
        <f aca="false">I140+K139</f>
        <v>8695.00000000001</v>
      </c>
      <c r="L140" s="88" t="n">
        <f aca="false">MAX(L139,J140-K140)</f>
        <v>16757.0867579909</v>
      </c>
      <c r="M140" s="88" t="n">
        <f aca="false">L140-L139</f>
        <v>180.666666666664</v>
      </c>
      <c r="N140" s="88" t="n">
        <f aca="false">IF(B140=2026,INDEX($C$4:$Q$4,1,B140-2025)*$AO$4*C140/MAX(0.0001,12-$AO$3),INDEX($C$4:$Q$4,1,B140-2025)/12)</f>
        <v>5.47724540066293</v>
      </c>
      <c r="O140" s="88" t="n">
        <f aca="false">$AO$6*0</f>
        <v>0</v>
      </c>
      <c r="P140" s="88" t="n">
        <f aca="false">N140+P139</f>
        <v>771.627260880882</v>
      </c>
      <c r="Q140" s="88" t="n">
        <f aca="false">O140+Q139</f>
        <v>398</v>
      </c>
      <c r="R140" s="88" t="n">
        <f aca="false">MAX(R139,P140-Q140)</f>
        <v>373.627260880882</v>
      </c>
      <c r="S140" s="88" t="n">
        <f aca="false">R140-R139</f>
        <v>5.47724540066292</v>
      </c>
      <c r="T140" s="88" t="n">
        <f aca="false">IF(B140=2026,INDEX($C$5:$Q$5,1,B140-2025)*$AO$4*C140/MAX(0.0001,12-$AO$3),INDEX($C$5:$Q$5,1,B140-2025)/12)</f>
        <v>22.2615024358139</v>
      </c>
      <c r="U140" s="88" t="n">
        <f aca="false">$AO$6*0</f>
        <v>0</v>
      </c>
      <c r="V140" s="88" t="n">
        <f aca="false">T140+V139</f>
        <v>3136.1717233924</v>
      </c>
      <c r="W140" s="88" t="n">
        <f aca="false">U140+W139</f>
        <v>1115</v>
      </c>
      <c r="X140" s="88" t="n">
        <f aca="false">MAX(X139,V140-W140)</f>
        <v>2021.1717233924</v>
      </c>
      <c r="Y140" s="88" t="n">
        <f aca="false">X140-X139</f>
        <v>22.2615024358138</v>
      </c>
      <c r="Z140" s="88" t="n">
        <f aca="false">IF(B140=2026,INDEX($C$6:$Q$6,1,B140-2025)*$AO$4*C140/MAX(0.0001,12-$AO$3),INDEX($C$6:$Q$6,1,B140-2025)/12)</f>
        <v>26.4114629913323</v>
      </c>
      <c r="AA140" s="88" t="n">
        <f aca="false">$AO$6*0</f>
        <v>0</v>
      </c>
      <c r="AB140" s="88" t="n">
        <f aca="false">Z140+AB139</f>
        <v>3720.81280882392</v>
      </c>
      <c r="AC140" s="88" t="n">
        <f aca="false">AA140+AC139</f>
        <v>2194</v>
      </c>
      <c r="AD140" s="88" t="n">
        <f aca="false">MAX(AD139,AB140-AC140)</f>
        <v>1526.81280882392</v>
      </c>
      <c r="AE140" s="88" t="n">
        <f aca="false">AD140-AD139</f>
        <v>26.4114629913324</v>
      </c>
      <c r="AF140" s="88" t="n">
        <f aca="false">IF(B140=2026,INDEX($C$7:$Q$7,1,B140-2025)*$AO$4*C140/MAX(0.0001,12-$AO$3),INDEX($C$7:$Q$7,1,B140-2025)/12)</f>
        <v>22.9427081739175</v>
      </c>
      <c r="AG140" s="88" t="n">
        <f aca="false">$AO$6*0</f>
        <v>0</v>
      </c>
      <c r="AH140" s="88" t="n">
        <f aca="false">AF140+AH139</f>
        <v>3232.13910833475</v>
      </c>
      <c r="AI140" s="88" t="n">
        <f aca="false">AG140+AI139</f>
        <v>826</v>
      </c>
      <c r="AJ140" s="88" t="n">
        <f aca="false">MAX(AJ139,AH140-AI140)</f>
        <v>2406.13910833475</v>
      </c>
      <c r="AK140" s="88" t="n">
        <f aca="false">AJ140-AJ139</f>
        <v>22.9427081739173</v>
      </c>
      <c r="AL140" s="88" t="n">
        <f aca="false">IF(B140=2026,INDEX($C$8:$Q$8,1,B140-2025)*$AO$4*C140/MAX(0.0001,12-$AO$3),INDEX($C$8:$Q$8,1,B140-2025)/12)</f>
        <v>5.80342126052833</v>
      </c>
      <c r="AM140" s="88" t="n">
        <f aca="false">$AO$6*0</f>
        <v>0</v>
      </c>
      <c r="AN140" s="88" t="n">
        <f aca="false">AL140+AN139</f>
        <v>817.578494923262</v>
      </c>
      <c r="AO140" s="88" t="n">
        <f aca="false">AM140+AO139</f>
        <v>66</v>
      </c>
      <c r="AP140" s="88" t="n">
        <f aca="false">MAX(AP139,AN140-AO140)</f>
        <v>751.578494923262</v>
      </c>
      <c r="AQ140" s="88" t="n">
        <f aca="false">AP140-AP139</f>
        <v>5.80342126052835</v>
      </c>
      <c r="AR140" s="88" t="n">
        <f aca="false">IF(B140=2026,INDEX($C$9:$Q$9,1,B140-2025)*$AO$4*C140/MAX(0.0001,12-$AO$3),INDEX($C$9:$Q$9,1,B140-2025)/12)</f>
        <v>24.7454570609428</v>
      </c>
      <c r="AS140" s="88" t="n">
        <f aca="false">$AO$6*0</f>
        <v>0</v>
      </c>
      <c r="AT140" s="88" t="n">
        <f aca="false">AR140+AT139</f>
        <v>3486.10804417669</v>
      </c>
      <c r="AU140" s="88" t="n">
        <f aca="false">AS140+AU139</f>
        <v>1810</v>
      </c>
      <c r="AV140" s="88" t="n">
        <f aca="false">MAX(AV139,AT140-AU140)</f>
        <v>1676.10804417669</v>
      </c>
      <c r="AW140" s="88" t="n">
        <f aca="false">AV140-AV139</f>
        <v>24.745457060943</v>
      </c>
      <c r="AX140" s="88" t="n">
        <f aca="false">IF(B140=2026,INDEX($C$10:$Q$10,1,B140-2025)*$AO$4*C140/MAX(0.0001,12-$AO$3),INDEX($C$10:$Q$10,1,B140-2025)/12)</f>
        <v>2.87034756681557</v>
      </c>
      <c r="AY140" s="88" t="n">
        <f aca="false">$AO$6*0</f>
        <v>0</v>
      </c>
      <c r="AZ140" s="88" t="n">
        <f aca="false">AX140+AZ139</f>
        <v>404.370859572939</v>
      </c>
      <c r="BA140" s="88" t="n">
        <f aca="false">AY140+BA139</f>
        <v>50</v>
      </c>
      <c r="BB140" s="88" t="n">
        <f aca="false">MAX(BB139,AZ140-BA140)</f>
        <v>354.370859572939</v>
      </c>
      <c r="BC140" s="88" t="n">
        <f aca="false">BB140-BB139</f>
        <v>2.87034756681555</v>
      </c>
      <c r="BD140" s="88" t="n">
        <f aca="false">IF(B140=2026,INDEX($C$11:$Q$11,1,B140-2025)*$AO$4*C140/MAX(0.0001,12-$AO$3),INDEX($C$11:$Q$11,1,B140-2025)/12)</f>
        <v>14.2639212564218</v>
      </c>
      <c r="BE140" s="88" t="n">
        <f aca="false">$AO$6*0</f>
        <v>0</v>
      </c>
      <c r="BF140" s="88" t="n">
        <f aca="false">BD140+BF139</f>
        <v>2009.48281177637</v>
      </c>
      <c r="BG140" s="88" t="n">
        <f aca="false">BE140+BG139</f>
        <v>240</v>
      </c>
      <c r="BH140" s="88" t="n">
        <f aca="false">MAX(BH139,BF140-BG140)</f>
        <v>1769.48281177637</v>
      </c>
      <c r="BI140" s="88" t="n">
        <f aca="false">BH140-BH139</f>
        <v>14.2639212564218</v>
      </c>
      <c r="BJ140" s="88" t="n">
        <f aca="false">IF(B140=2026,INDEX($C$12:$Q$12,1,B140-2025)*$AO$4*C140/MAX(0.0001,12-$AO$3),INDEX($C$12:$Q$12,1,B140-2025)/12)</f>
        <v>7.82069350154207</v>
      </c>
      <c r="BK140" s="88" t="n">
        <f aca="false">$AO$6*0</f>
        <v>0</v>
      </c>
      <c r="BL140" s="88" t="n">
        <f aca="false">BJ140+BL139</f>
        <v>1101.76920392383</v>
      </c>
      <c r="BM140" s="88" t="n">
        <f aca="false">BK140+BM139</f>
        <v>465</v>
      </c>
      <c r="BN140" s="88" t="n">
        <f aca="false">MAX(BN139,BL140-BM140)</f>
        <v>636.769203923826</v>
      </c>
      <c r="BO140" s="88" t="n">
        <f aca="false">BN140-BN139</f>
        <v>7.82069350154211</v>
      </c>
      <c r="BP140" s="88" t="n">
        <f aca="false">IF(B140=2026,INDEX($C$13:$Q$13,1,B140-2025)*$AO$4*C140/MAX(0.0001,12-$AO$3),INDEX($C$13:$Q$13,1,B140-2025)/12)</f>
        <v>2.44394688559256</v>
      </c>
      <c r="BQ140" s="88" t="n">
        <f aca="false">$AO$6*0</f>
        <v>0</v>
      </c>
      <c r="BR140" s="88" t="n">
        <f aca="false">BP140+BR139</f>
        <v>344.30008208869</v>
      </c>
      <c r="BS140" s="88" t="n">
        <f aca="false">BQ140+BS139</f>
        <v>87</v>
      </c>
      <c r="BT140" s="88" t="n">
        <f aca="false">MAX(BT139,BR140-BS140)</f>
        <v>257.30008208869</v>
      </c>
      <c r="BU140" s="88" t="n">
        <f aca="false">BT140-BT139</f>
        <v>2.44394688559254</v>
      </c>
      <c r="BV140" s="88" t="n">
        <f aca="false">IF(B140=2026,INDEX($C$14:$Q$14,1,B140-2025)*$AO$4*C140/MAX(0.0001,12-$AO$3),INDEX($C$14:$Q$14,1,B140-2025)/12)</f>
        <v>1.449513325248</v>
      </c>
      <c r="BW140" s="88" t="n">
        <f aca="false">$AO$6*0</f>
        <v>0</v>
      </c>
      <c r="BX140" s="88" t="n">
        <f aca="false">BV140+BX139</f>
        <v>204.205565928465</v>
      </c>
      <c r="BY140" s="88" t="n">
        <f aca="false">BW140+BY139</f>
        <v>0</v>
      </c>
      <c r="BZ140" s="88" t="n">
        <f aca="false">MAX(BZ139,BX140-BY140)</f>
        <v>204.205565928465</v>
      </c>
      <c r="CA140" s="88" t="n">
        <f aca="false">BZ140-BZ139</f>
        <v>1.44951332524801</v>
      </c>
      <c r="CB140" s="88" t="n">
        <f aca="false">IF(B140=2026,INDEX($C$15:$Q$15,1,B140-2025)*$AO$4*C140/MAX(0.0001,12-$AO$3),INDEX($C$15:$Q$15,1,B140-2025)/12)</f>
        <v>2.37652766116242</v>
      </c>
      <c r="CC140" s="88" t="n">
        <f aca="false">$AO$6*0</f>
        <v>0</v>
      </c>
      <c r="CD140" s="88" t="n">
        <f aca="false">CB140+CD139</f>
        <v>334.802148789692</v>
      </c>
      <c r="CE140" s="88" t="n">
        <f aca="false">CC140+CE139</f>
        <v>88.0000000000001</v>
      </c>
      <c r="CF140" s="88" t="n">
        <f aca="false">MAX(CF139,CD140-CE140)</f>
        <v>246.802148789692</v>
      </c>
      <c r="CG140" s="88" t="n">
        <f aca="false">CF140-CF139</f>
        <v>2.37652766116241</v>
      </c>
      <c r="CH140" s="88" t="n">
        <f aca="false">IF(B140=2026,INDEX($C$16:$Q$16,1,B140-2025)*$AO$4*C140/MAX(0.0001,12-$AO$3),INDEX($C$16:$Q$16,1,B140-2025)/12)</f>
        <v>1.87931088099014</v>
      </c>
      <c r="CI140" s="88" t="n">
        <f aca="false">$AO$6*0</f>
        <v>0</v>
      </c>
      <c r="CJ140" s="88" t="n">
        <f aca="false">CH140+CJ139</f>
        <v>264.754890709579</v>
      </c>
      <c r="CK140" s="88" t="n">
        <f aca="false">CI140+CK139</f>
        <v>70</v>
      </c>
      <c r="CL140" s="88" t="n">
        <f aca="false">MAX(CL139,CJ140-CK140)</f>
        <v>194.75489070958</v>
      </c>
      <c r="CM140" s="88" t="n">
        <f aca="false">CL140-CL139</f>
        <v>1.87931088099015</v>
      </c>
      <c r="CN140" s="88" t="n">
        <f aca="false">IF(B140=2026,INDEX($C$17:$Q$17,1,B140-2025)*$AO$4*C140/MAX(0.0001,12-$AO$3),INDEX($C$17:$Q$17,1,B140-2025)/12)</f>
        <v>8.1830083652082</v>
      </c>
      <c r="CO140" s="88" t="n">
        <f aca="false">$AO$6*0</f>
        <v>0</v>
      </c>
      <c r="CP140" s="88" t="n">
        <f aca="false">CN140+CP139</f>
        <v>1152.81165416593</v>
      </c>
      <c r="CQ140" s="88" t="n">
        <f aca="false">CO140+CQ139</f>
        <v>221</v>
      </c>
      <c r="CR140" s="88" t="n">
        <f aca="false">MAX(CR139,CP140-CQ140)</f>
        <v>931.81165416593</v>
      </c>
      <c r="CS140" s="88" t="n">
        <f aca="false">CR140-CR139</f>
        <v>8.18300836520825</v>
      </c>
      <c r="CT140" s="88" t="n">
        <f aca="false">IF(B140=2026,INDEX($C$18:$Q$18,1,B140-2025)*$AO$4*C140/MAX(0.0001,12-$AO$3),INDEX($C$18:$Q$18,1,B140-2025)/12)</f>
        <v>1.70233541686103</v>
      </c>
      <c r="CU140" s="88" t="n">
        <f aca="false">$AO$6*0</f>
        <v>0</v>
      </c>
      <c r="CV140" s="88" t="n">
        <f aca="false">CT140+CV139</f>
        <v>239.822815799709</v>
      </c>
      <c r="CW140" s="88" t="n">
        <f aca="false">CU140+CW139</f>
        <v>11</v>
      </c>
      <c r="CX140" s="88" t="n">
        <f aca="false">MAX(CX139,CV140-CW140)</f>
        <v>228.822815799709</v>
      </c>
      <c r="CY140" s="88" t="n">
        <f aca="false">CX140-CX139</f>
        <v>1.70233541686102</v>
      </c>
      <c r="CZ140" s="88" t="n">
        <f aca="false">IF(B140=2026,INDEX($C$19:$Q$19,1,B140-2025)*$AO$4*C140/MAX(0.0001,12-$AO$3),INDEX($C$19:$Q$19,1,B140-2025)/12)</f>
        <v>1.68548061075349</v>
      </c>
      <c r="DA140" s="88" t="n">
        <f aca="false">$AO$6*0</f>
        <v>0</v>
      </c>
      <c r="DB140" s="88" t="n">
        <f aca="false">CZ140+DB139</f>
        <v>237.448332474959</v>
      </c>
      <c r="DC140" s="88" t="n">
        <f aca="false">DA140+DC139</f>
        <v>226</v>
      </c>
      <c r="DD140" s="88" t="n">
        <f aca="false">MAX(DD139,DB140-DC140)</f>
        <v>37.132124495359</v>
      </c>
      <c r="DE140" s="88" t="n">
        <f aca="false">DD140-DD139</f>
        <v>0</v>
      </c>
      <c r="DF140" s="88" t="n">
        <f aca="false">IF(B140=2026,INDEX($C$20:$Q$20,1,B140-2025)*$AO$4*C140/MAX(0.0001,12-$AO$3),INDEX($C$20:$Q$20,1,B140-2025)/12)</f>
        <v>1.37366669776409</v>
      </c>
      <c r="DG140" s="88" t="n">
        <f aca="false">$AO$6*0</f>
        <v>0</v>
      </c>
      <c r="DH140" s="88" t="n">
        <f aca="false">DF140+DH139</f>
        <v>193.520390967092</v>
      </c>
      <c r="DI140" s="88" t="n">
        <f aca="false">DG140+DI139</f>
        <v>0</v>
      </c>
      <c r="DJ140" s="88" t="n">
        <f aca="false">MAX(DJ139,DH140-DI140)</f>
        <v>193.520390967092</v>
      </c>
      <c r="DK140" s="88" t="n">
        <f aca="false">DJ140-DJ139</f>
        <v>1.37366669776409</v>
      </c>
      <c r="DL140" s="88" t="n">
        <f aca="false">IF(B140=2026,INDEX($C$21:$Q$21,1,B140-2025)*$AO$4*C140/MAX(0.0001,12-$AO$3),INDEX($C$21:$Q$21,1,B140-2025)/12)</f>
        <v>0.96072394812949</v>
      </c>
      <c r="DM140" s="88" t="n">
        <f aca="false">$AO$6*0</f>
        <v>0</v>
      </c>
      <c r="DN140" s="88" t="n">
        <f aca="false">DL140+DN139</f>
        <v>135.345549510726</v>
      </c>
      <c r="DO140" s="88" t="n">
        <f aca="false">DM140+DO139</f>
        <v>100</v>
      </c>
      <c r="DP140" s="88" t="n">
        <f aca="false">MAX(DP139,DN140-DO140)</f>
        <v>35.3455495107265</v>
      </c>
      <c r="DQ140" s="88" t="n">
        <f aca="false">DP140-DP139</f>
        <v>0.960723948129498</v>
      </c>
      <c r="DR140" s="88" t="n">
        <f aca="false">IF(B140=2026,INDEX($C$22:$Q$22,1,B140-2025)*$AO$4*C140/MAX(0.0001,12-$AO$3),INDEX($C$22:$Q$22,1,B140-2025)/12)</f>
        <v>0.750038871785304</v>
      </c>
      <c r="DS140" s="88" t="n">
        <f aca="false">$AO$6*0</f>
        <v>0</v>
      </c>
      <c r="DT140" s="88" t="n">
        <f aca="false">DR140+DT139</f>
        <v>105.664507951357</v>
      </c>
      <c r="DU140" s="88" t="n">
        <f aca="false">DS140+DU139</f>
        <v>29</v>
      </c>
      <c r="DV140" s="88" t="n">
        <f aca="false">MAX(DV139,DT140-DU140)</f>
        <v>76.664507951357</v>
      </c>
      <c r="DW140" s="88" t="n">
        <f aca="false">DV140-DV139</f>
        <v>0.750038871785307</v>
      </c>
      <c r="DX140" s="88" t="n">
        <f aca="false">IF(B140=2026,INDEX($C$23:$Q$23,1,B140-2025)*$AO$4*C140/MAX(0.0001,12-$AO$3),INDEX($C$23:$Q$23,1,B140-2025)/12)</f>
        <v>1.20511863668875</v>
      </c>
      <c r="DY140" s="88" t="n">
        <f aca="false">$AO$6*0</f>
        <v>0</v>
      </c>
      <c r="DZ140" s="88" t="n">
        <f aca="false">DX140+DZ139</f>
        <v>169.775557719596</v>
      </c>
      <c r="EA140" s="88" t="n">
        <f aca="false">DY140+EA139</f>
        <v>121</v>
      </c>
      <c r="EB140" s="88" t="n">
        <f aca="false">MAX(EB139,DZ140-EA140)</f>
        <v>48.775557719596</v>
      </c>
      <c r="EC140" s="88" t="n">
        <f aca="false">EB140-EB139</f>
        <v>1.20511863668875</v>
      </c>
      <c r="ED140" s="88" t="n">
        <f aca="false">IF(B140=2026,INDEX($C$24:$Q$24,1,B140-2025)*$AO$4*C140/MAX(0.0001,12-$AO$3),INDEX($C$24:$Q$24,1,B140-2025)/12)</f>
        <v>0.741611468731536</v>
      </c>
      <c r="EE140" s="88" t="n">
        <f aca="false">$AO$6*0</f>
        <v>0</v>
      </c>
      <c r="EF140" s="88" t="n">
        <f aca="false">ED140+EF139</f>
        <v>104.477266288982</v>
      </c>
      <c r="EG140" s="88" t="n">
        <f aca="false">EE140+EG139</f>
        <v>0</v>
      </c>
      <c r="EH140" s="88" t="n">
        <f aca="false">MAX(EH139,EF140-EG140)</f>
        <v>104.477266288982</v>
      </c>
      <c r="EI140" s="88" t="n">
        <f aca="false">EH140-EH139</f>
        <v>0.741611468731534</v>
      </c>
      <c r="EJ140" s="88" t="n">
        <f aca="false">IF(B140=2026,INDEX($C$25:$Q$25,1,B140-2025)*$AO$4*C140/MAX(0.0001,12-$AO$3),INDEX($C$25:$Q$25,1,B140-2025)/12)</f>
        <v>0.943869142021955</v>
      </c>
      <c r="EK140" s="88" t="n">
        <f aca="false">$AO$6*0</f>
        <v>0</v>
      </c>
      <c r="EL140" s="88" t="n">
        <f aca="false">EJ140+EL139</f>
        <v>132.971066185977</v>
      </c>
      <c r="EM140" s="88" t="n">
        <f aca="false">EK140+EM139</f>
        <v>14</v>
      </c>
      <c r="EN140" s="88" t="n">
        <f aca="false">MAX(EN139,EL140-EM140)</f>
        <v>118.971066185977</v>
      </c>
      <c r="EO140" s="88" t="n">
        <f aca="false">EN140-EN139</f>
        <v>0.943869142021953</v>
      </c>
      <c r="EP140" s="88" t="n">
        <f aca="false">IF(B140=2026,INDEX($C$26:$Q$26,1,B140-2025)*$AO$4*C140/MAX(0.0001,12-$AO$3),INDEX($C$26:$Q$26,1,B140-2025)/12)</f>
        <v>1.35681189165656</v>
      </c>
      <c r="EQ140" s="88" t="n">
        <f aca="false">$AO$6*0</f>
        <v>0</v>
      </c>
      <c r="ER140" s="88" t="n">
        <f aca="false">EP140+ER139</f>
        <v>191.145907642342</v>
      </c>
      <c r="ES140" s="88" t="n">
        <f aca="false">EQ140+ES139</f>
        <v>4</v>
      </c>
      <c r="ET140" s="88" t="n">
        <f aca="false">MAX(ET139,ER140-ES140)</f>
        <v>187.145907642342</v>
      </c>
      <c r="EU140" s="88" t="n">
        <f aca="false">ET140-ET139</f>
        <v>1.35681189165655</v>
      </c>
      <c r="EV140" s="88" t="n">
        <f aca="false">IF(B140=2026,INDEX($C$27:$Q$27,1,B140-2025)*$AO$4*C140/MAX(0.0001,12-$AO$3),INDEX($C$27:$Q$27,1,B140-2025)/12)</f>
        <v>3.37096122150698</v>
      </c>
      <c r="EW140" s="88" t="n">
        <f aca="false">$AO$6*0</f>
        <v>0</v>
      </c>
      <c r="EX140" s="88" t="n">
        <f aca="false">EV140+EX139</f>
        <v>474.896664949919</v>
      </c>
      <c r="EY140" s="88" t="n">
        <f aca="false">EW140+EY139</f>
        <v>391</v>
      </c>
      <c r="EZ140" s="88" t="n">
        <f aca="false">MAX(EZ139,EX140-EY140)</f>
        <v>83.8966649499187</v>
      </c>
      <c r="FA140" s="88" t="n">
        <f aca="false">EZ140-EZ139</f>
        <v>3.370961221507</v>
      </c>
      <c r="FB140" s="88" t="n">
        <f aca="false">IF(B140=2026,INDEX($C$28:$Q$28,1,B140-2025)*$AO$4*C140/MAX(0.0001,12-$AO$3),INDEX($C$28:$Q$28,1,B140-2025)/12)</f>
        <v>17.646981994589</v>
      </c>
      <c r="FC140" s="88" t="n">
        <f aca="false">$AO$6*0</f>
        <v>0</v>
      </c>
      <c r="FD140" s="88" t="n">
        <f aca="false">FB140+FD139</f>
        <v>2486.08404101282</v>
      </c>
      <c r="FE140" s="88" t="n">
        <f aca="false">FC140+FE139</f>
        <v>169</v>
      </c>
      <c r="FF140" s="88" t="n">
        <f aca="false">MAX(FF139,FD140-FE140)</f>
        <v>2317.08404101282</v>
      </c>
      <c r="FG140" s="88" t="n">
        <f aca="false">FF140-FF139</f>
        <v>17.6469819945892</v>
      </c>
    </row>
    <row r="141" customFormat="false" ht="15" hidden="false" customHeight="false" outlineLevel="0" collapsed="false">
      <c r="A141" s="0" t="n">
        <v>101</v>
      </c>
      <c r="B141" s="88" t="n">
        <f aca="false">2026+INT(A141/12)</f>
        <v>2034</v>
      </c>
      <c r="C141" s="88" t="n">
        <f aca="false">MAX(0,MIN(1,A141+1-$AO$3))</f>
        <v>1</v>
      </c>
      <c r="D141" s="88" t="n">
        <f aca="false">IF((A141+0.5-(0))&lt;$AO$3,0,2026+INT((A141+0.5-(0))/12))</f>
        <v>2034</v>
      </c>
      <c r="E141" s="88" t="n">
        <f aca="false">IF((A141+0.5-($AO$9))&lt;$AO$3,0,2026+INT((A141+0.5-($AO$9))/12))</f>
        <v>2033</v>
      </c>
      <c r="F141" s="88" t="n">
        <f aca="false">IF((A141+0.5-($AO$9+$AO$8))&lt;$AO$3,0,2026+INT((A141+0.5-($AO$9+$AO$8))/12))</f>
        <v>2031</v>
      </c>
      <c r="G141" s="88" t="n">
        <f aca="false">IF((A141+0.5-($AO$9+$AO$8+$AO$7))&lt;$AO$3,0,2026+INT((A141+0.5-($AO$9+$AO$8+$AO$7))/12))</f>
        <v>2031</v>
      </c>
      <c r="H141" s="88" t="n">
        <f aca="false">IF(B141=2026,INDEX($C$3:$Q$3,1,B141-2025)*$AO$4*C141/MAX(0.0001,12-$AO$3),INDEX($C$3:$Q$3,1,B141-2025)/12)</f>
        <v>180.666666666667</v>
      </c>
      <c r="I141" s="88" t="n">
        <f aca="false">$AO$6*0</f>
        <v>0</v>
      </c>
      <c r="J141" s="88" t="n">
        <f aca="false">H141+J140</f>
        <v>25632.7534246576</v>
      </c>
      <c r="K141" s="88" t="n">
        <f aca="false">I141+K140</f>
        <v>8695.00000000001</v>
      </c>
      <c r="L141" s="88" t="n">
        <f aca="false">MAX(L140,J141-K141)</f>
        <v>16937.7534246576</v>
      </c>
      <c r="M141" s="88" t="n">
        <f aca="false">L141-L140</f>
        <v>180.666666666672</v>
      </c>
      <c r="N141" s="88" t="n">
        <f aca="false">IF(B141=2026,INDEX($C$4:$Q$4,1,B141-2025)*$AO$4*C141/MAX(0.0001,12-$AO$3),INDEX($C$4:$Q$4,1,B141-2025)/12)</f>
        <v>5.47724540066293</v>
      </c>
      <c r="O141" s="88" t="n">
        <f aca="false">$AO$6*0</f>
        <v>0</v>
      </c>
      <c r="P141" s="88" t="n">
        <f aca="false">N141+P140</f>
        <v>777.104506281544</v>
      </c>
      <c r="Q141" s="88" t="n">
        <f aca="false">O141+Q140</f>
        <v>398</v>
      </c>
      <c r="R141" s="88" t="n">
        <f aca="false">MAX(R140,P141-Q141)</f>
        <v>379.104506281544</v>
      </c>
      <c r="S141" s="88" t="n">
        <f aca="false">R141-R140</f>
        <v>5.47724540066292</v>
      </c>
      <c r="T141" s="88" t="n">
        <f aca="false">IF(B141=2026,INDEX($C$5:$Q$5,1,B141-2025)*$AO$4*C141/MAX(0.0001,12-$AO$3),INDEX($C$5:$Q$5,1,B141-2025)/12)</f>
        <v>22.2615024358139</v>
      </c>
      <c r="U141" s="88" t="n">
        <f aca="false">$AO$6*0</f>
        <v>0</v>
      </c>
      <c r="V141" s="88" t="n">
        <f aca="false">T141+V140</f>
        <v>3158.43322582821</v>
      </c>
      <c r="W141" s="88" t="n">
        <f aca="false">U141+W140</f>
        <v>1115</v>
      </c>
      <c r="X141" s="88" t="n">
        <f aca="false">MAX(X140,V141-W141)</f>
        <v>2043.43322582821</v>
      </c>
      <c r="Y141" s="88" t="n">
        <f aca="false">X141-X140</f>
        <v>22.2615024358138</v>
      </c>
      <c r="Z141" s="88" t="n">
        <f aca="false">IF(B141=2026,INDEX($C$6:$Q$6,1,B141-2025)*$AO$4*C141/MAX(0.0001,12-$AO$3),INDEX($C$6:$Q$6,1,B141-2025)/12)</f>
        <v>26.4114629913323</v>
      </c>
      <c r="AA141" s="88" t="n">
        <f aca="false">$AO$6*0</f>
        <v>0</v>
      </c>
      <c r="AB141" s="88" t="n">
        <f aca="false">Z141+AB140</f>
        <v>3747.22427181525</v>
      </c>
      <c r="AC141" s="88" t="n">
        <f aca="false">AA141+AC140</f>
        <v>2194</v>
      </c>
      <c r="AD141" s="88" t="n">
        <f aca="false">MAX(AD140,AB141-AC141)</f>
        <v>1553.22427181525</v>
      </c>
      <c r="AE141" s="88" t="n">
        <f aca="false">AD141-AD140</f>
        <v>26.4114629913324</v>
      </c>
      <c r="AF141" s="88" t="n">
        <f aca="false">IF(B141=2026,INDEX($C$7:$Q$7,1,B141-2025)*$AO$4*C141/MAX(0.0001,12-$AO$3),INDEX($C$7:$Q$7,1,B141-2025)/12)</f>
        <v>22.9427081739175</v>
      </c>
      <c r="AG141" s="88" t="n">
        <f aca="false">$AO$6*0</f>
        <v>0</v>
      </c>
      <c r="AH141" s="88" t="n">
        <f aca="false">AF141+AH140</f>
        <v>3255.08181650867</v>
      </c>
      <c r="AI141" s="88" t="n">
        <f aca="false">AG141+AI140</f>
        <v>826</v>
      </c>
      <c r="AJ141" s="88" t="n">
        <f aca="false">MAX(AJ140,AH141-AI141)</f>
        <v>2429.08181650867</v>
      </c>
      <c r="AK141" s="88" t="n">
        <f aca="false">AJ141-AJ140</f>
        <v>22.9427081739173</v>
      </c>
      <c r="AL141" s="88" t="n">
        <f aca="false">IF(B141=2026,INDEX($C$8:$Q$8,1,B141-2025)*$AO$4*C141/MAX(0.0001,12-$AO$3),INDEX($C$8:$Q$8,1,B141-2025)/12)</f>
        <v>5.80342126052833</v>
      </c>
      <c r="AM141" s="88" t="n">
        <f aca="false">$AO$6*0</f>
        <v>0</v>
      </c>
      <c r="AN141" s="88" t="n">
        <f aca="false">AL141+AN140</f>
        <v>823.38191618379</v>
      </c>
      <c r="AO141" s="88" t="n">
        <f aca="false">AM141+AO140</f>
        <v>66</v>
      </c>
      <c r="AP141" s="88" t="n">
        <f aca="false">MAX(AP140,AN141-AO141)</f>
        <v>757.38191618379</v>
      </c>
      <c r="AQ141" s="88" t="n">
        <f aca="false">AP141-AP140</f>
        <v>5.80342126052835</v>
      </c>
      <c r="AR141" s="88" t="n">
        <f aca="false">IF(B141=2026,INDEX($C$9:$Q$9,1,B141-2025)*$AO$4*C141/MAX(0.0001,12-$AO$3),INDEX($C$9:$Q$9,1,B141-2025)/12)</f>
        <v>24.7454570609428</v>
      </c>
      <c r="AS141" s="88" t="n">
        <f aca="false">$AO$6*0</f>
        <v>0</v>
      </c>
      <c r="AT141" s="88" t="n">
        <f aca="false">AR141+AT140</f>
        <v>3510.85350123763</v>
      </c>
      <c r="AU141" s="88" t="n">
        <f aca="false">AS141+AU140</f>
        <v>1810</v>
      </c>
      <c r="AV141" s="88" t="n">
        <f aca="false">MAX(AV140,AT141-AU141)</f>
        <v>1700.85350123763</v>
      </c>
      <c r="AW141" s="88" t="n">
        <f aca="false">AV141-AV140</f>
        <v>24.745457060943</v>
      </c>
      <c r="AX141" s="88" t="n">
        <f aca="false">IF(B141=2026,INDEX($C$10:$Q$10,1,B141-2025)*$AO$4*C141/MAX(0.0001,12-$AO$3),INDEX($C$10:$Q$10,1,B141-2025)/12)</f>
        <v>2.87034756681557</v>
      </c>
      <c r="AY141" s="88" t="n">
        <f aca="false">$AO$6*0</f>
        <v>0</v>
      </c>
      <c r="AZ141" s="88" t="n">
        <f aca="false">AX141+AZ140</f>
        <v>407.241207139755</v>
      </c>
      <c r="BA141" s="88" t="n">
        <f aca="false">AY141+BA140</f>
        <v>50</v>
      </c>
      <c r="BB141" s="88" t="n">
        <f aca="false">MAX(BB140,AZ141-BA141)</f>
        <v>357.241207139755</v>
      </c>
      <c r="BC141" s="88" t="n">
        <f aca="false">BB141-BB140</f>
        <v>2.87034756681555</v>
      </c>
      <c r="BD141" s="88" t="n">
        <f aca="false">IF(B141=2026,INDEX($C$11:$Q$11,1,B141-2025)*$AO$4*C141/MAX(0.0001,12-$AO$3),INDEX($C$11:$Q$11,1,B141-2025)/12)</f>
        <v>14.2639212564218</v>
      </c>
      <c r="BE141" s="88" t="n">
        <f aca="false">$AO$6*0</f>
        <v>0</v>
      </c>
      <c r="BF141" s="88" t="n">
        <f aca="false">BD141+BF140</f>
        <v>2023.74673303279</v>
      </c>
      <c r="BG141" s="88" t="n">
        <f aca="false">BE141+BG140</f>
        <v>240</v>
      </c>
      <c r="BH141" s="88" t="n">
        <f aca="false">MAX(BH140,BF141-BG141)</f>
        <v>1783.74673303279</v>
      </c>
      <c r="BI141" s="88" t="n">
        <f aca="false">BH141-BH140</f>
        <v>14.2639212564218</v>
      </c>
      <c r="BJ141" s="88" t="n">
        <f aca="false">IF(B141=2026,INDEX($C$12:$Q$12,1,B141-2025)*$AO$4*C141/MAX(0.0001,12-$AO$3),INDEX($C$12:$Q$12,1,B141-2025)/12)</f>
        <v>7.82069350154207</v>
      </c>
      <c r="BK141" s="88" t="n">
        <f aca="false">$AO$6*0</f>
        <v>0</v>
      </c>
      <c r="BL141" s="88" t="n">
        <f aca="false">BJ141+BL140</f>
        <v>1109.58989742537</v>
      </c>
      <c r="BM141" s="88" t="n">
        <f aca="false">BK141+BM140</f>
        <v>465</v>
      </c>
      <c r="BN141" s="88" t="n">
        <f aca="false">MAX(BN140,BL141-BM141)</f>
        <v>644.589897425368</v>
      </c>
      <c r="BO141" s="88" t="n">
        <f aca="false">BN141-BN140</f>
        <v>7.82069350154211</v>
      </c>
      <c r="BP141" s="88" t="n">
        <f aca="false">IF(B141=2026,INDEX($C$13:$Q$13,1,B141-2025)*$AO$4*C141/MAX(0.0001,12-$AO$3),INDEX($C$13:$Q$13,1,B141-2025)/12)</f>
        <v>2.44394688559256</v>
      </c>
      <c r="BQ141" s="88" t="n">
        <f aca="false">$AO$6*0</f>
        <v>0</v>
      </c>
      <c r="BR141" s="88" t="n">
        <f aca="false">BP141+BR140</f>
        <v>346.744028974283</v>
      </c>
      <c r="BS141" s="88" t="n">
        <f aca="false">BQ141+BS140</f>
        <v>87</v>
      </c>
      <c r="BT141" s="88" t="n">
        <f aca="false">MAX(BT140,BR141-BS141)</f>
        <v>259.744028974283</v>
      </c>
      <c r="BU141" s="88" t="n">
        <f aca="false">BT141-BT140</f>
        <v>2.44394688559254</v>
      </c>
      <c r="BV141" s="88" t="n">
        <f aca="false">IF(B141=2026,INDEX($C$14:$Q$14,1,B141-2025)*$AO$4*C141/MAX(0.0001,12-$AO$3),INDEX($C$14:$Q$14,1,B141-2025)/12)</f>
        <v>1.449513325248</v>
      </c>
      <c r="BW141" s="88" t="n">
        <f aca="false">$AO$6*0</f>
        <v>0</v>
      </c>
      <c r="BX141" s="88" t="n">
        <f aca="false">BV141+BX140</f>
        <v>205.655079253713</v>
      </c>
      <c r="BY141" s="88" t="n">
        <f aca="false">BW141+BY140</f>
        <v>0</v>
      </c>
      <c r="BZ141" s="88" t="n">
        <f aca="false">MAX(BZ140,BX141-BY141)</f>
        <v>205.655079253713</v>
      </c>
      <c r="CA141" s="88" t="n">
        <f aca="false">BZ141-BZ140</f>
        <v>1.44951332524801</v>
      </c>
      <c r="CB141" s="88" t="n">
        <f aca="false">IF(B141=2026,INDEX($C$15:$Q$15,1,B141-2025)*$AO$4*C141/MAX(0.0001,12-$AO$3),INDEX($C$15:$Q$15,1,B141-2025)/12)</f>
        <v>2.37652766116242</v>
      </c>
      <c r="CC141" s="88" t="n">
        <f aca="false">$AO$6*0</f>
        <v>0</v>
      </c>
      <c r="CD141" s="88" t="n">
        <f aca="false">CB141+CD140</f>
        <v>337.178676450854</v>
      </c>
      <c r="CE141" s="88" t="n">
        <f aca="false">CC141+CE140</f>
        <v>88.0000000000001</v>
      </c>
      <c r="CF141" s="88" t="n">
        <f aca="false">MAX(CF140,CD141-CE141)</f>
        <v>249.178676450854</v>
      </c>
      <c r="CG141" s="88" t="n">
        <f aca="false">CF141-CF140</f>
        <v>2.37652766116241</v>
      </c>
      <c r="CH141" s="88" t="n">
        <f aca="false">IF(B141=2026,INDEX($C$16:$Q$16,1,B141-2025)*$AO$4*C141/MAX(0.0001,12-$AO$3),INDEX($C$16:$Q$16,1,B141-2025)/12)</f>
        <v>1.87931088099014</v>
      </c>
      <c r="CI141" s="88" t="n">
        <f aca="false">$AO$6*0</f>
        <v>0</v>
      </c>
      <c r="CJ141" s="88" t="n">
        <f aca="false">CH141+CJ140</f>
        <v>266.63420159057</v>
      </c>
      <c r="CK141" s="88" t="n">
        <f aca="false">CI141+CK140</f>
        <v>70</v>
      </c>
      <c r="CL141" s="88" t="n">
        <f aca="false">MAX(CL140,CJ141-CK141)</f>
        <v>196.63420159057</v>
      </c>
      <c r="CM141" s="88" t="n">
        <f aca="false">CL141-CL140</f>
        <v>1.87931088099015</v>
      </c>
      <c r="CN141" s="88" t="n">
        <f aca="false">IF(B141=2026,INDEX($C$17:$Q$17,1,B141-2025)*$AO$4*C141/MAX(0.0001,12-$AO$3),INDEX($C$17:$Q$17,1,B141-2025)/12)</f>
        <v>8.1830083652082</v>
      </c>
      <c r="CO141" s="88" t="n">
        <f aca="false">$AO$6*0</f>
        <v>0</v>
      </c>
      <c r="CP141" s="88" t="n">
        <f aca="false">CN141+CP140</f>
        <v>1160.99466253114</v>
      </c>
      <c r="CQ141" s="88" t="n">
        <f aca="false">CO141+CQ140</f>
        <v>221</v>
      </c>
      <c r="CR141" s="88" t="n">
        <f aca="false">MAX(CR140,CP141-CQ141)</f>
        <v>939.994662531138</v>
      </c>
      <c r="CS141" s="88" t="n">
        <f aca="false">CR141-CR140</f>
        <v>8.18300836520825</v>
      </c>
      <c r="CT141" s="88" t="n">
        <f aca="false">IF(B141=2026,INDEX($C$18:$Q$18,1,B141-2025)*$AO$4*C141/MAX(0.0001,12-$AO$3),INDEX($C$18:$Q$18,1,B141-2025)/12)</f>
        <v>1.70233541686103</v>
      </c>
      <c r="CU141" s="88" t="n">
        <f aca="false">$AO$6*0</f>
        <v>0</v>
      </c>
      <c r="CV141" s="88" t="n">
        <f aca="false">CT141+CV140</f>
        <v>241.52515121657</v>
      </c>
      <c r="CW141" s="88" t="n">
        <f aca="false">CU141+CW140</f>
        <v>11</v>
      </c>
      <c r="CX141" s="88" t="n">
        <f aca="false">MAX(CX140,CV141-CW141)</f>
        <v>230.52515121657</v>
      </c>
      <c r="CY141" s="88" t="n">
        <f aca="false">CX141-CX140</f>
        <v>1.70233541686102</v>
      </c>
      <c r="CZ141" s="88" t="n">
        <f aca="false">IF(B141=2026,INDEX($C$19:$Q$19,1,B141-2025)*$AO$4*C141/MAX(0.0001,12-$AO$3),INDEX($C$19:$Q$19,1,B141-2025)/12)</f>
        <v>1.68548061075349</v>
      </c>
      <c r="DA141" s="88" t="n">
        <f aca="false">$AO$6*0</f>
        <v>0</v>
      </c>
      <c r="DB141" s="88" t="n">
        <f aca="false">CZ141+DB140</f>
        <v>239.133813085713</v>
      </c>
      <c r="DC141" s="88" t="n">
        <f aca="false">DA141+DC140</f>
        <v>226</v>
      </c>
      <c r="DD141" s="88" t="n">
        <f aca="false">MAX(DD140,DB141-DC141)</f>
        <v>37.132124495359</v>
      </c>
      <c r="DE141" s="88" t="n">
        <f aca="false">DD141-DD140</f>
        <v>0</v>
      </c>
      <c r="DF141" s="88" t="n">
        <f aca="false">IF(B141=2026,INDEX($C$20:$Q$20,1,B141-2025)*$AO$4*C141/MAX(0.0001,12-$AO$3),INDEX($C$20:$Q$20,1,B141-2025)/12)</f>
        <v>1.37366669776409</v>
      </c>
      <c r="DG141" s="88" t="n">
        <f aca="false">$AO$6*0</f>
        <v>0</v>
      </c>
      <c r="DH141" s="88" t="n">
        <f aca="false">DF141+DH140</f>
        <v>194.894057664856</v>
      </c>
      <c r="DI141" s="88" t="n">
        <f aca="false">DG141+DI140</f>
        <v>0</v>
      </c>
      <c r="DJ141" s="88" t="n">
        <f aca="false">MAX(DJ140,DH141-DI141)</f>
        <v>194.894057664856</v>
      </c>
      <c r="DK141" s="88" t="n">
        <f aca="false">DJ141-DJ140</f>
        <v>1.37366669776409</v>
      </c>
      <c r="DL141" s="88" t="n">
        <f aca="false">IF(B141=2026,INDEX($C$21:$Q$21,1,B141-2025)*$AO$4*C141/MAX(0.0001,12-$AO$3),INDEX($C$21:$Q$21,1,B141-2025)/12)</f>
        <v>0.96072394812949</v>
      </c>
      <c r="DM141" s="88" t="n">
        <f aca="false">$AO$6*0</f>
        <v>0</v>
      </c>
      <c r="DN141" s="88" t="n">
        <f aca="false">DL141+DN140</f>
        <v>136.306273458856</v>
      </c>
      <c r="DO141" s="88" t="n">
        <f aca="false">DM141+DO140</f>
        <v>100</v>
      </c>
      <c r="DP141" s="88" t="n">
        <f aca="false">MAX(DP140,DN141-DO141)</f>
        <v>36.306273458856</v>
      </c>
      <c r="DQ141" s="88" t="n">
        <f aca="false">DP141-DP140</f>
        <v>0.960723948129498</v>
      </c>
      <c r="DR141" s="88" t="n">
        <f aca="false">IF(B141=2026,INDEX($C$22:$Q$22,1,B141-2025)*$AO$4*C141/MAX(0.0001,12-$AO$3),INDEX($C$22:$Q$22,1,B141-2025)/12)</f>
        <v>0.750038871785304</v>
      </c>
      <c r="DS141" s="88" t="n">
        <f aca="false">$AO$6*0</f>
        <v>0</v>
      </c>
      <c r="DT141" s="88" t="n">
        <f aca="false">DR141+DT140</f>
        <v>106.414546823142</v>
      </c>
      <c r="DU141" s="88" t="n">
        <f aca="false">DS141+DU140</f>
        <v>29</v>
      </c>
      <c r="DV141" s="88" t="n">
        <f aca="false">MAX(DV140,DT141-DU141)</f>
        <v>77.4145468231423</v>
      </c>
      <c r="DW141" s="88" t="n">
        <f aca="false">DV141-DV140</f>
        <v>0.750038871785307</v>
      </c>
      <c r="DX141" s="88" t="n">
        <f aca="false">IF(B141=2026,INDEX($C$23:$Q$23,1,B141-2025)*$AO$4*C141/MAX(0.0001,12-$AO$3),INDEX($C$23:$Q$23,1,B141-2025)/12)</f>
        <v>1.20511863668875</v>
      </c>
      <c r="DY141" s="88" t="n">
        <f aca="false">$AO$6*0</f>
        <v>0</v>
      </c>
      <c r="DZ141" s="88" t="n">
        <f aca="false">DX141+DZ140</f>
        <v>170.980676356285</v>
      </c>
      <c r="EA141" s="88" t="n">
        <f aca="false">DY141+EA140</f>
        <v>121</v>
      </c>
      <c r="EB141" s="88" t="n">
        <f aca="false">MAX(EB140,DZ141-EA141)</f>
        <v>49.9806763562847</v>
      </c>
      <c r="EC141" s="88" t="n">
        <f aca="false">EB141-EB140</f>
        <v>1.20511863668875</v>
      </c>
      <c r="ED141" s="88" t="n">
        <f aca="false">IF(B141=2026,INDEX($C$24:$Q$24,1,B141-2025)*$AO$4*C141/MAX(0.0001,12-$AO$3),INDEX($C$24:$Q$24,1,B141-2025)/12)</f>
        <v>0.741611468731536</v>
      </c>
      <c r="EE141" s="88" t="n">
        <f aca="false">$AO$6*0</f>
        <v>0</v>
      </c>
      <c r="EF141" s="88" t="n">
        <f aca="false">ED141+EF140</f>
        <v>105.218877757714</v>
      </c>
      <c r="EG141" s="88" t="n">
        <f aca="false">EE141+EG140</f>
        <v>0</v>
      </c>
      <c r="EH141" s="88" t="n">
        <f aca="false">MAX(EH140,EF141-EG141)</f>
        <v>105.218877757714</v>
      </c>
      <c r="EI141" s="88" t="n">
        <f aca="false">EH141-EH140</f>
        <v>0.741611468731534</v>
      </c>
      <c r="EJ141" s="88" t="n">
        <f aca="false">IF(B141=2026,INDEX($C$25:$Q$25,1,B141-2025)*$AO$4*C141/MAX(0.0001,12-$AO$3),INDEX($C$25:$Q$25,1,B141-2025)/12)</f>
        <v>0.943869142021955</v>
      </c>
      <c r="EK141" s="88" t="n">
        <f aca="false">$AO$6*0</f>
        <v>0</v>
      </c>
      <c r="EL141" s="88" t="n">
        <f aca="false">EJ141+EL140</f>
        <v>133.914935327999</v>
      </c>
      <c r="EM141" s="88" t="n">
        <f aca="false">EK141+EM140</f>
        <v>14</v>
      </c>
      <c r="EN141" s="88" t="n">
        <f aca="false">MAX(EN140,EL141-EM141)</f>
        <v>119.914935327999</v>
      </c>
      <c r="EO141" s="88" t="n">
        <f aca="false">EN141-EN140</f>
        <v>0.943869142021953</v>
      </c>
      <c r="EP141" s="88" t="n">
        <f aca="false">IF(B141=2026,INDEX($C$26:$Q$26,1,B141-2025)*$AO$4*C141/MAX(0.0001,12-$AO$3),INDEX($C$26:$Q$26,1,B141-2025)/12)</f>
        <v>1.35681189165656</v>
      </c>
      <c r="EQ141" s="88" t="n">
        <f aca="false">$AO$6*0</f>
        <v>0</v>
      </c>
      <c r="ER141" s="88" t="n">
        <f aca="false">EP141+ER140</f>
        <v>192.502719533998</v>
      </c>
      <c r="ES141" s="88" t="n">
        <f aca="false">EQ141+ES140</f>
        <v>4</v>
      </c>
      <c r="ET141" s="88" t="n">
        <f aca="false">MAX(ET140,ER141-ES141)</f>
        <v>188.502719533998</v>
      </c>
      <c r="EU141" s="88" t="n">
        <f aca="false">ET141-ET140</f>
        <v>1.35681189165655</v>
      </c>
      <c r="EV141" s="88" t="n">
        <f aca="false">IF(B141=2026,INDEX($C$27:$Q$27,1,B141-2025)*$AO$4*C141/MAX(0.0001,12-$AO$3),INDEX($C$27:$Q$27,1,B141-2025)/12)</f>
        <v>3.37096122150698</v>
      </c>
      <c r="EW141" s="88" t="n">
        <f aca="false">$AO$6*0</f>
        <v>0</v>
      </c>
      <c r="EX141" s="88" t="n">
        <f aca="false">EV141+EX140</f>
        <v>478.267626171426</v>
      </c>
      <c r="EY141" s="88" t="n">
        <f aca="false">EW141+EY140</f>
        <v>391</v>
      </c>
      <c r="EZ141" s="88" t="n">
        <f aca="false">MAX(EZ140,EX141-EY141)</f>
        <v>87.2676261714257</v>
      </c>
      <c r="FA141" s="88" t="n">
        <f aca="false">EZ141-EZ140</f>
        <v>3.370961221507</v>
      </c>
      <c r="FB141" s="88" t="n">
        <f aca="false">IF(B141=2026,INDEX($C$28:$Q$28,1,B141-2025)*$AO$4*C141/MAX(0.0001,12-$AO$3),INDEX($C$28:$Q$28,1,B141-2025)/12)</f>
        <v>17.646981994589</v>
      </c>
      <c r="FC141" s="88" t="n">
        <f aca="false">$AO$6*0</f>
        <v>0</v>
      </c>
      <c r="FD141" s="88" t="n">
        <f aca="false">FB141+FD140</f>
        <v>2503.73102300741</v>
      </c>
      <c r="FE141" s="88" t="n">
        <f aca="false">FC141+FE140</f>
        <v>169</v>
      </c>
      <c r="FF141" s="88" t="n">
        <f aca="false">MAX(FF140,FD141-FE141)</f>
        <v>2334.73102300741</v>
      </c>
      <c r="FG141" s="88" t="n">
        <f aca="false">FF141-FF140</f>
        <v>17.6469819945892</v>
      </c>
    </row>
    <row r="142" customFormat="false" ht="15" hidden="false" customHeight="false" outlineLevel="0" collapsed="false">
      <c r="A142" s="0" t="n">
        <v>102</v>
      </c>
      <c r="B142" s="88" t="n">
        <f aca="false">2026+INT(A142/12)</f>
        <v>2034</v>
      </c>
      <c r="C142" s="88" t="n">
        <f aca="false">MAX(0,MIN(1,A142+1-$AO$3))</f>
        <v>1</v>
      </c>
      <c r="D142" s="88" t="n">
        <f aca="false">IF((A142+0.5-(0))&lt;$AO$3,0,2026+INT((A142+0.5-(0))/12))</f>
        <v>2034</v>
      </c>
      <c r="E142" s="88" t="n">
        <f aca="false">IF((A142+0.5-($AO$9))&lt;$AO$3,0,2026+INT((A142+0.5-($AO$9))/12))</f>
        <v>2033</v>
      </c>
      <c r="F142" s="88" t="n">
        <f aca="false">IF((A142+0.5-($AO$9+$AO$8))&lt;$AO$3,0,2026+INT((A142+0.5-($AO$9+$AO$8))/12))</f>
        <v>2031</v>
      </c>
      <c r="G142" s="88" t="n">
        <f aca="false">IF((A142+0.5-($AO$9+$AO$8+$AO$7))&lt;$AO$3,0,2026+INT((A142+0.5-($AO$9+$AO$8+$AO$7))/12))</f>
        <v>2031</v>
      </c>
      <c r="H142" s="88" t="n">
        <f aca="false">IF(B142=2026,INDEX($C$3:$Q$3,1,B142-2025)*$AO$4*C142/MAX(0.0001,12-$AO$3),INDEX($C$3:$Q$3,1,B142-2025)/12)</f>
        <v>180.666666666667</v>
      </c>
      <c r="I142" s="88" t="n">
        <f aca="false">$AO$6*0</f>
        <v>0</v>
      </c>
      <c r="J142" s="88" t="n">
        <f aca="false">H142+J141</f>
        <v>25813.4200913243</v>
      </c>
      <c r="K142" s="88" t="n">
        <f aca="false">I142+K141</f>
        <v>8695.00000000001</v>
      </c>
      <c r="L142" s="88" t="n">
        <f aca="false">MAX(L141,J142-K142)</f>
        <v>17118.4200913242</v>
      </c>
      <c r="M142" s="88" t="n">
        <f aca="false">L142-L141</f>
        <v>180.666666666664</v>
      </c>
      <c r="N142" s="88" t="n">
        <f aca="false">IF(B142=2026,INDEX($C$4:$Q$4,1,B142-2025)*$AO$4*C142/MAX(0.0001,12-$AO$3),INDEX($C$4:$Q$4,1,B142-2025)/12)</f>
        <v>5.47724540066293</v>
      </c>
      <c r="O142" s="88" t="n">
        <f aca="false">$AO$6*0</f>
        <v>0</v>
      </c>
      <c r="P142" s="88" t="n">
        <f aca="false">N142+P141</f>
        <v>782.581751682207</v>
      </c>
      <c r="Q142" s="88" t="n">
        <f aca="false">O142+Q141</f>
        <v>398</v>
      </c>
      <c r="R142" s="88" t="n">
        <f aca="false">MAX(R141,P142-Q142)</f>
        <v>384.581751682207</v>
      </c>
      <c r="S142" s="88" t="n">
        <f aca="false">R142-R141</f>
        <v>5.47724540066292</v>
      </c>
      <c r="T142" s="88" t="n">
        <f aca="false">IF(B142=2026,INDEX($C$5:$Q$5,1,B142-2025)*$AO$4*C142/MAX(0.0001,12-$AO$3),INDEX($C$5:$Q$5,1,B142-2025)/12)</f>
        <v>22.2615024358139</v>
      </c>
      <c r="U142" s="88" t="n">
        <f aca="false">$AO$6*0</f>
        <v>0</v>
      </c>
      <c r="V142" s="88" t="n">
        <f aca="false">T142+V141</f>
        <v>3180.69472826402</v>
      </c>
      <c r="W142" s="88" t="n">
        <f aca="false">U142+W141</f>
        <v>1115</v>
      </c>
      <c r="X142" s="88" t="n">
        <f aca="false">MAX(X141,V142-W142)</f>
        <v>2065.69472826402</v>
      </c>
      <c r="Y142" s="88" t="n">
        <f aca="false">X142-X141</f>
        <v>22.261502435814</v>
      </c>
      <c r="Z142" s="88" t="n">
        <f aca="false">IF(B142=2026,INDEX($C$6:$Q$6,1,B142-2025)*$AO$4*C142/MAX(0.0001,12-$AO$3),INDEX($C$6:$Q$6,1,B142-2025)/12)</f>
        <v>26.4114629913323</v>
      </c>
      <c r="AA142" s="88" t="n">
        <f aca="false">$AO$6*0</f>
        <v>0</v>
      </c>
      <c r="AB142" s="88" t="n">
        <f aca="false">Z142+AB141</f>
        <v>3773.63573480658</v>
      </c>
      <c r="AC142" s="88" t="n">
        <f aca="false">AA142+AC141</f>
        <v>2194</v>
      </c>
      <c r="AD142" s="88" t="n">
        <f aca="false">MAX(AD141,AB142-AC142)</f>
        <v>1579.63573480658</v>
      </c>
      <c r="AE142" s="88" t="n">
        <f aca="false">AD142-AD141</f>
        <v>26.4114629913324</v>
      </c>
      <c r="AF142" s="88" t="n">
        <f aca="false">IF(B142=2026,INDEX($C$7:$Q$7,1,B142-2025)*$AO$4*C142/MAX(0.0001,12-$AO$3),INDEX($C$7:$Q$7,1,B142-2025)/12)</f>
        <v>22.9427081739175</v>
      </c>
      <c r="AG142" s="88" t="n">
        <f aca="false">$AO$6*0</f>
        <v>0</v>
      </c>
      <c r="AH142" s="88" t="n">
        <f aca="false">AF142+AH141</f>
        <v>3278.02452468259</v>
      </c>
      <c r="AI142" s="88" t="n">
        <f aca="false">AG142+AI141</f>
        <v>826</v>
      </c>
      <c r="AJ142" s="88" t="n">
        <f aca="false">MAX(AJ141,AH142-AI142)</f>
        <v>2452.02452468259</v>
      </c>
      <c r="AK142" s="88" t="n">
        <f aca="false">AJ142-AJ141</f>
        <v>22.9427081739173</v>
      </c>
      <c r="AL142" s="88" t="n">
        <f aca="false">IF(B142=2026,INDEX($C$8:$Q$8,1,B142-2025)*$AO$4*C142/MAX(0.0001,12-$AO$3),INDEX($C$8:$Q$8,1,B142-2025)/12)</f>
        <v>5.80342126052833</v>
      </c>
      <c r="AM142" s="88" t="n">
        <f aca="false">$AO$6*0</f>
        <v>0</v>
      </c>
      <c r="AN142" s="88" t="n">
        <f aca="false">AL142+AN141</f>
        <v>829.185337444319</v>
      </c>
      <c r="AO142" s="88" t="n">
        <f aca="false">AM142+AO141</f>
        <v>66</v>
      </c>
      <c r="AP142" s="88" t="n">
        <f aca="false">MAX(AP141,AN142-AO142)</f>
        <v>763.185337444319</v>
      </c>
      <c r="AQ142" s="88" t="n">
        <f aca="false">AP142-AP141</f>
        <v>5.80342126052835</v>
      </c>
      <c r="AR142" s="88" t="n">
        <f aca="false">IF(B142=2026,INDEX($C$9:$Q$9,1,B142-2025)*$AO$4*C142/MAX(0.0001,12-$AO$3),INDEX($C$9:$Q$9,1,B142-2025)/12)</f>
        <v>24.7454570609428</v>
      </c>
      <c r="AS142" s="88" t="n">
        <f aca="false">$AO$6*0</f>
        <v>0</v>
      </c>
      <c r="AT142" s="88" t="n">
        <f aca="false">AR142+AT141</f>
        <v>3535.59895829858</v>
      </c>
      <c r="AU142" s="88" t="n">
        <f aca="false">AS142+AU141</f>
        <v>1810</v>
      </c>
      <c r="AV142" s="88" t="n">
        <f aca="false">MAX(AV141,AT142-AU142)</f>
        <v>1725.59895829858</v>
      </c>
      <c r="AW142" s="88" t="n">
        <f aca="false">AV142-AV141</f>
        <v>24.745457060943</v>
      </c>
      <c r="AX142" s="88" t="n">
        <f aca="false">IF(B142=2026,INDEX($C$10:$Q$10,1,B142-2025)*$AO$4*C142/MAX(0.0001,12-$AO$3),INDEX($C$10:$Q$10,1,B142-2025)/12)</f>
        <v>2.87034756681557</v>
      </c>
      <c r="AY142" s="88" t="n">
        <f aca="false">$AO$6*0</f>
        <v>0</v>
      </c>
      <c r="AZ142" s="88" t="n">
        <f aca="false">AX142+AZ141</f>
        <v>410.111554706571</v>
      </c>
      <c r="BA142" s="88" t="n">
        <f aca="false">AY142+BA141</f>
        <v>50</v>
      </c>
      <c r="BB142" s="88" t="n">
        <f aca="false">MAX(BB141,AZ142-BA142)</f>
        <v>360.111554706571</v>
      </c>
      <c r="BC142" s="88" t="n">
        <f aca="false">BB142-BB141</f>
        <v>2.87034756681555</v>
      </c>
      <c r="BD142" s="88" t="n">
        <f aca="false">IF(B142=2026,INDEX($C$11:$Q$11,1,B142-2025)*$AO$4*C142/MAX(0.0001,12-$AO$3),INDEX($C$11:$Q$11,1,B142-2025)/12)</f>
        <v>14.2639212564218</v>
      </c>
      <c r="BE142" s="88" t="n">
        <f aca="false">$AO$6*0</f>
        <v>0</v>
      </c>
      <c r="BF142" s="88" t="n">
        <f aca="false">BD142+BF141</f>
        <v>2038.01065428922</v>
      </c>
      <c r="BG142" s="88" t="n">
        <f aca="false">BE142+BG141</f>
        <v>240</v>
      </c>
      <c r="BH142" s="88" t="n">
        <f aca="false">MAX(BH141,BF142-BG142)</f>
        <v>1798.01065428922</v>
      </c>
      <c r="BI142" s="88" t="n">
        <f aca="false">BH142-BH141</f>
        <v>14.2639212564218</v>
      </c>
      <c r="BJ142" s="88" t="n">
        <f aca="false">IF(B142=2026,INDEX($C$12:$Q$12,1,B142-2025)*$AO$4*C142/MAX(0.0001,12-$AO$3),INDEX($C$12:$Q$12,1,B142-2025)/12)</f>
        <v>7.82069350154207</v>
      </c>
      <c r="BK142" s="88" t="n">
        <f aca="false">$AO$6*0</f>
        <v>0</v>
      </c>
      <c r="BL142" s="88" t="n">
        <f aca="false">BJ142+BL141</f>
        <v>1117.41059092691</v>
      </c>
      <c r="BM142" s="88" t="n">
        <f aca="false">BK142+BM141</f>
        <v>465</v>
      </c>
      <c r="BN142" s="88" t="n">
        <f aca="false">MAX(BN141,BL142-BM142)</f>
        <v>652.410590926911</v>
      </c>
      <c r="BO142" s="88" t="n">
        <f aca="false">BN142-BN141</f>
        <v>7.82069350154211</v>
      </c>
      <c r="BP142" s="88" t="n">
        <f aca="false">IF(B142=2026,INDEX($C$13:$Q$13,1,B142-2025)*$AO$4*C142/MAX(0.0001,12-$AO$3),INDEX($C$13:$Q$13,1,B142-2025)/12)</f>
        <v>2.44394688559256</v>
      </c>
      <c r="BQ142" s="88" t="n">
        <f aca="false">$AO$6*0</f>
        <v>0</v>
      </c>
      <c r="BR142" s="88" t="n">
        <f aca="false">BP142+BR141</f>
        <v>349.187975859875</v>
      </c>
      <c r="BS142" s="88" t="n">
        <f aca="false">BQ142+BS141</f>
        <v>87</v>
      </c>
      <c r="BT142" s="88" t="n">
        <f aca="false">MAX(BT141,BR142-BS142)</f>
        <v>262.187975859875</v>
      </c>
      <c r="BU142" s="88" t="n">
        <f aca="false">BT142-BT141</f>
        <v>2.44394688559254</v>
      </c>
      <c r="BV142" s="88" t="n">
        <f aca="false">IF(B142=2026,INDEX($C$14:$Q$14,1,B142-2025)*$AO$4*C142/MAX(0.0001,12-$AO$3),INDEX($C$14:$Q$14,1,B142-2025)/12)</f>
        <v>1.449513325248</v>
      </c>
      <c r="BW142" s="88" t="n">
        <f aca="false">$AO$6*0</f>
        <v>0</v>
      </c>
      <c r="BX142" s="88" t="n">
        <f aca="false">BV142+BX141</f>
        <v>207.104592578961</v>
      </c>
      <c r="BY142" s="88" t="n">
        <f aca="false">BW142+BY141</f>
        <v>0</v>
      </c>
      <c r="BZ142" s="88" t="n">
        <f aca="false">MAX(BZ141,BX142-BY142)</f>
        <v>207.104592578961</v>
      </c>
      <c r="CA142" s="88" t="n">
        <f aca="false">BZ142-BZ141</f>
        <v>1.44951332524801</v>
      </c>
      <c r="CB142" s="88" t="n">
        <f aca="false">IF(B142=2026,INDEX($C$15:$Q$15,1,B142-2025)*$AO$4*C142/MAX(0.0001,12-$AO$3),INDEX($C$15:$Q$15,1,B142-2025)/12)</f>
        <v>2.37652766116242</v>
      </c>
      <c r="CC142" s="88" t="n">
        <f aca="false">$AO$6*0</f>
        <v>0</v>
      </c>
      <c r="CD142" s="88" t="n">
        <f aca="false">CB142+CD141</f>
        <v>339.555204112017</v>
      </c>
      <c r="CE142" s="88" t="n">
        <f aca="false">CC142+CE141</f>
        <v>88.0000000000001</v>
      </c>
      <c r="CF142" s="88" t="n">
        <f aca="false">MAX(CF141,CD142-CE142)</f>
        <v>251.555204112016</v>
      </c>
      <c r="CG142" s="88" t="n">
        <f aca="false">CF142-CF141</f>
        <v>2.37652766116241</v>
      </c>
      <c r="CH142" s="88" t="n">
        <f aca="false">IF(B142=2026,INDEX($C$16:$Q$16,1,B142-2025)*$AO$4*C142/MAX(0.0001,12-$AO$3),INDEX($C$16:$Q$16,1,B142-2025)/12)</f>
        <v>1.87931088099014</v>
      </c>
      <c r="CI142" s="88" t="n">
        <f aca="false">$AO$6*0</f>
        <v>0</v>
      </c>
      <c r="CJ142" s="88" t="n">
        <f aca="false">CH142+CJ141</f>
        <v>268.51351247156</v>
      </c>
      <c r="CK142" s="88" t="n">
        <f aca="false">CI142+CK141</f>
        <v>70</v>
      </c>
      <c r="CL142" s="88" t="n">
        <f aca="false">MAX(CL141,CJ142-CK142)</f>
        <v>198.51351247156</v>
      </c>
      <c r="CM142" s="88" t="n">
        <f aca="false">CL142-CL141</f>
        <v>1.87931088099015</v>
      </c>
      <c r="CN142" s="88" t="n">
        <f aca="false">IF(B142=2026,INDEX($C$17:$Q$17,1,B142-2025)*$AO$4*C142/MAX(0.0001,12-$AO$3),INDEX($C$17:$Q$17,1,B142-2025)/12)</f>
        <v>8.1830083652082</v>
      </c>
      <c r="CO142" s="88" t="n">
        <f aca="false">$AO$6*0</f>
        <v>0</v>
      </c>
      <c r="CP142" s="88" t="n">
        <f aca="false">CN142+CP141</f>
        <v>1169.17767089635</v>
      </c>
      <c r="CQ142" s="88" t="n">
        <f aca="false">CO142+CQ141</f>
        <v>221</v>
      </c>
      <c r="CR142" s="88" t="n">
        <f aca="false">MAX(CR141,CP142-CQ142)</f>
        <v>948.177670896346</v>
      </c>
      <c r="CS142" s="88" t="n">
        <f aca="false">CR142-CR141</f>
        <v>8.18300836520825</v>
      </c>
      <c r="CT142" s="88" t="n">
        <f aca="false">IF(B142=2026,INDEX($C$18:$Q$18,1,B142-2025)*$AO$4*C142/MAX(0.0001,12-$AO$3),INDEX($C$18:$Q$18,1,B142-2025)/12)</f>
        <v>1.70233541686103</v>
      </c>
      <c r="CU142" s="88" t="n">
        <f aca="false">$AO$6*0</f>
        <v>0</v>
      </c>
      <c r="CV142" s="88" t="n">
        <f aca="false">CT142+CV141</f>
        <v>243.227486633431</v>
      </c>
      <c r="CW142" s="88" t="n">
        <f aca="false">CU142+CW141</f>
        <v>11</v>
      </c>
      <c r="CX142" s="88" t="n">
        <f aca="false">MAX(CX141,CV142-CW142)</f>
        <v>232.227486633431</v>
      </c>
      <c r="CY142" s="88" t="n">
        <f aca="false">CX142-CX141</f>
        <v>1.70233541686102</v>
      </c>
      <c r="CZ142" s="88" t="n">
        <f aca="false">IF(B142=2026,INDEX($C$19:$Q$19,1,B142-2025)*$AO$4*C142/MAX(0.0001,12-$AO$3),INDEX($C$19:$Q$19,1,B142-2025)/12)</f>
        <v>1.68548061075349</v>
      </c>
      <c r="DA142" s="88" t="n">
        <f aca="false">$AO$6*0</f>
        <v>0</v>
      </c>
      <c r="DB142" s="88" t="n">
        <f aca="false">CZ142+DB141</f>
        <v>240.819293696466</v>
      </c>
      <c r="DC142" s="88" t="n">
        <f aca="false">DA142+DC141</f>
        <v>226</v>
      </c>
      <c r="DD142" s="88" t="n">
        <f aca="false">MAX(DD141,DB142-DC142)</f>
        <v>37.132124495359</v>
      </c>
      <c r="DE142" s="88" t="n">
        <f aca="false">DD142-DD141</f>
        <v>0</v>
      </c>
      <c r="DF142" s="88" t="n">
        <f aca="false">IF(B142=2026,INDEX($C$20:$Q$20,1,B142-2025)*$AO$4*C142/MAX(0.0001,12-$AO$3),INDEX($C$20:$Q$20,1,B142-2025)/12)</f>
        <v>1.37366669776409</v>
      </c>
      <c r="DG142" s="88" t="n">
        <f aca="false">$AO$6*0</f>
        <v>0</v>
      </c>
      <c r="DH142" s="88" t="n">
        <f aca="false">DF142+DH141</f>
        <v>196.26772436262</v>
      </c>
      <c r="DI142" s="88" t="n">
        <f aca="false">DG142+DI141</f>
        <v>0</v>
      </c>
      <c r="DJ142" s="88" t="n">
        <f aca="false">MAX(DJ141,DH142-DI142)</f>
        <v>196.26772436262</v>
      </c>
      <c r="DK142" s="88" t="n">
        <f aca="false">DJ142-DJ141</f>
        <v>1.37366669776409</v>
      </c>
      <c r="DL142" s="88" t="n">
        <f aca="false">IF(B142=2026,INDEX($C$21:$Q$21,1,B142-2025)*$AO$4*C142/MAX(0.0001,12-$AO$3),INDEX($C$21:$Q$21,1,B142-2025)/12)</f>
        <v>0.96072394812949</v>
      </c>
      <c r="DM142" s="88" t="n">
        <f aca="false">$AO$6*0</f>
        <v>0</v>
      </c>
      <c r="DN142" s="88" t="n">
        <f aca="false">DL142+DN141</f>
        <v>137.266997406985</v>
      </c>
      <c r="DO142" s="88" t="n">
        <f aca="false">DM142+DO141</f>
        <v>100</v>
      </c>
      <c r="DP142" s="88" t="n">
        <f aca="false">MAX(DP141,DN142-DO142)</f>
        <v>37.2669974069855</v>
      </c>
      <c r="DQ142" s="88" t="n">
        <f aca="false">DP142-DP141</f>
        <v>0.960723948129498</v>
      </c>
      <c r="DR142" s="88" t="n">
        <f aca="false">IF(B142=2026,INDEX($C$22:$Q$22,1,B142-2025)*$AO$4*C142/MAX(0.0001,12-$AO$3),INDEX($C$22:$Q$22,1,B142-2025)/12)</f>
        <v>0.750038871785304</v>
      </c>
      <c r="DS142" s="88" t="n">
        <f aca="false">$AO$6*0</f>
        <v>0</v>
      </c>
      <c r="DT142" s="88" t="n">
        <f aca="false">DR142+DT141</f>
        <v>107.164585694928</v>
      </c>
      <c r="DU142" s="88" t="n">
        <f aca="false">DS142+DU141</f>
        <v>29</v>
      </c>
      <c r="DV142" s="88" t="n">
        <f aca="false">MAX(DV141,DT142-DU142)</f>
        <v>78.1645856949276</v>
      </c>
      <c r="DW142" s="88" t="n">
        <f aca="false">DV142-DV141</f>
        <v>0.750038871785307</v>
      </c>
      <c r="DX142" s="88" t="n">
        <f aca="false">IF(B142=2026,INDEX($C$23:$Q$23,1,B142-2025)*$AO$4*C142/MAX(0.0001,12-$AO$3),INDEX($C$23:$Q$23,1,B142-2025)/12)</f>
        <v>1.20511863668875</v>
      </c>
      <c r="DY142" s="88" t="n">
        <f aca="false">$AO$6*0</f>
        <v>0</v>
      </c>
      <c r="DZ142" s="88" t="n">
        <f aca="false">DX142+DZ141</f>
        <v>172.185794992973</v>
      </c>
      <c r="EA142" s="88" t="n">
        <f aca="false">DY142+EA141</f>
        <v>121</v>
      </c>
      <c r="EB142" s="88" t="n">
        <f aca="false">MAX(EB141,DZ142-EA142)</f>
        <v>51.1857949929735</v>
      </c>
      <c r="EC142" s="88" t="n">
        <f aca="false">EB142-EB141</f>
        <v>1.20511863668875</v>
      </c>
      <c r="ED142" s="88" t="n">
        <f aca="false">IF(B142=2026,INDEX($C$24:$Q$24,1,B142-2025)*$AO$4*C142/MAX(0.0001,12-$AO$3),INDEX($C$24:$Q$24,1,B142-2025)/12)</f>
        <v>0.741611468731536</v>
      </c>
      <c r="EE142" s="88" t="n">
        <f aca="false">$AO$6*0</f>
        <v>0</v>
      </c>
      <c r="EF142" s="88" t="n">
        <f aca="false">ED142+EF141</f>
        <v>105.960489226445</v>
      </c>
      <c r="EG142" s="88" t="n">
        <f aca="false">EE142+EG141</f>
        <v>0</v>
      </c>
      <c r="EH142" s="88" t="n">
        <f aca="false">MAX(EH141,EF142-EG142)</f>
        <v>105.960489226445</v>
      </c>
      <c r="EI142" s="88" t="n">
        <f aca="false">EH142-EH141</f>
        <v>0.741611468731534</v>
      </c>
      <c r="EJ142" s="88" t="n">
        <f aca="false">IF(B142=2026,INDEX($C$25:$Q$25,1,B142-2025)*$AO$4*C142/MAX(0.0001,12-$AO$3),INDEX($C$25:$Q$25,1,B142-2025)/12)</f>
        <v>0.943869142021955</v>
      </c>
      <c r="EK142" s="88" t="n">
        <f aca="false">$AO$6*0</f>
        <v>0</v>
      </c>
      <c r="EL142" s="88" t="n">
        <f aca="false">EJ142+EL141</f>
        <v>134.858804470021</v>
      </c>
      <c r="EM142" s="88" t="n">
        <f aca="false">EK142+EM141</f>
        <v>14</v>
      </c>
      <c r="EN142" s="88" t="n">
        <f aca="false">MAX(EN141,EL142-EM142)</f>
        <v>120.858804470021</v>
      </c>
      <c r="EO142" s="88" t="n">
        <f aca="false">EN142-EN141</f>
        <v>0.943869142021953</v>
      </c>
      <c r="EP142" s="88" t="n">
        <f aca="false">IF(B142=2026,INDEX($C$26:$Q$26,1,B142-2025)*$AO$4*C142/MAX(0.0001,12-$AO$3),INDEX($C$26:$Q$26,1,B142-2025)/12)</f>
        <v>1.35681189165656</v>
      </c>
      <c r="EQ142" s="88" t="n">
        <f aca="false">$AO$6*0</f>
        <v>0</v>
      </c>
      <c r="ER142" s="88" t="n">
        <f aca="false">EP142+ER141</f>
        <v>193.859531425655</v>
      </c>
      <c r="ES142" s="88" t="n">
        <f aca="false">EQ142+ES141</f>
        <v>4</v>
      </c>
      <c r="ET142" s="88" t="n">
        <f aca="false">MAX(ET141,ER142-ES142)</f>
        <v>189.859531425655</v>
      </c>
      <c r="EU142" s="88" t="n">
        <f aca="false">ET142-ET141</f>
        <v>1.35681189165655</v>
      </c>
      <c r="EV142" s="88" t="n">
        <f aca="false">IF(B142=2026,INDEX($C$27:$Q$27,1,B142-2025)*$AO$4*C142/MAX(0.0001,12-$AO$3),INDEX($C$27:$Q$27,1,B142-2025)/12)</f>
        <v>3.37096122150698</v>
      </c>
      <c r="EW142" s="88" t="n">
        <f aca="false">$AO$6*0</f>
        <v>0</v>
      </c>
      <c r="EX142" s="88" t="n">
        <f aca="false">EV142+EX141</f>
        <v>481.638587392933</v>
      </c>
      <c r="EY142" s="88" t="n">
        <f aca="false">EW142+EY141</f>
        <v>391</v>
      </c>
      <c r="EZ142" s="88" t="n">
        <f aca="false">MAX(EZ141,EX142-EY142)</f>
        <v>90.6385873929327</v>
      </c>
      <c r="FA142" s="88" t="n">
        <f aca="false">EZ142-EZ141</f>
        <v>3.370961221507</v>
      </c>
      <c r="FB142" s="88" t="n">
        <f aca="false">IF(B142=2026,INDEX($C$28:$Q$28,1,B142-2025)*$AO$4*C142/MAX(0.0001,12-$AO$3),INDEX($C$28:$Q$28,1,B142-2025)/12)</f>
        <v>17.646981994589</v>
      </c>
      <c r="FC142" s="88" t="n">
        <f aca="false">$AO$6*0</f>
        <v>0</v>
      </c>
      <c r="FD142" s="88" t="n">
        <f aca="false">FB142+FD141</f>
        <v>2521.378005002</v>
      </c>
      <c r="FE142" s="88" t="n">
        <f aca="false">FC142+FE141</f>
        <v>169</v>
      </c>
      <c r="FF142" s="88" t="n">
        <f aca="false">MAX(FF141,FD142-FE142)</f>
        <v>2352.378005002</v>
      </c>
      <c r="FG142" s="88" t="n">
        <f aca="false">FF142-FF141</f>
        <v>17.6469819945892</v>
      </c>
    </row>
    <row r="143" customFormat="false" ht="15" hidden="false" customHeight="false" outlineLevel="0" collapsed="false">
      <c r="A143" s="0" t="n">
        <v>103</v>
      </c>
      <c r="B143" s="88" t="n">
        <f aca="false">2026+INT(A143/12)</f>
        <v>2034</v>
      </c>
      <c r="C143" s="88" t="n">
        <f aca="false">MAX(0,MIN(1,A143+1-$AO$3))</f>
        <v>1</v>
      </c>
      <c r="D143" s="88" t="n">
        <f aca="false">IF((A143+0.5-(0))&lt;$AO$3,0,2026+INT((A143+0.5-(0))/12))</f>
        <v>2034</v>
      </c>
      <c r="E143" s="88" t="n">
        <f aca="false">IF((A143+0.5-($AO$9))&lt;$AO$3,0,2026+INT((A143+0.5-($AO$9))/12))</f>
        <v>2033</v>
      </c>
      <c r="F143" s="88" t="n">
        <f aca="false">IF((A143+0.5-($AO$9+$AO$8))&lt;$AO$3,0,2026+INT((A143+0.5-($AO$9+$AO$8))/12))</f>
        <v>2032</v>
      </c>
      <c r="G143" s="88" t="n">
        <f aca="false">IF((A143+0.5-($AO$9+$AO$8+$AO$7))&lt;$AO$3,0,2026+INT((A143+0.5-($AO$9+$AO$8+$AO$7))/12))</f>
        <v>2031</v>
      </c>
      <c r="H143" s="88" t="n">
        <f aca="false">IF(B143=2026,INDEX($C$3:$Q$3,1,B143-2025)*$AO$4*C143/MAX(0.0001,12-$AO$3),INDEX($C$3:$Q$3,1,B143-2025)/12)</f>
        <v>180.666666666667</v>
      </c>
      <c r="I143" s="88" t="n">
        <f aca="false">$AO$6*0</f>
        <v>0</v>
      </c>
      <c r="J143" s="88" t="n">
        <f aca="false">H143+J142</f>
        <v>25994.0867579909</v>
      </c>
      <c r="K143" s="88" t="n">
        <f aca="false">I143+K142</f>
        <v>8695.00000000001</v>
      </c>
      <c r="L143" s="88" t="n">
        <f aca="false">MAX(L142,J143-K143)</f>
        <v>17299.0867579909</v>
      </c>
      <c r="M143" s="88" t="n">
        <f aca="false">L143-L142</f>
        <v>180.666666666672</v>
      </c>
      <c r="N143" s="88" t="n">
        <f aca="false">IF(B143=2026,INDEX($C$4:$Q$4,1,B143-2025)*$AO$4*C143/MAX(0.0001,12-$AO$3),INDEX($C$4:$Q$4,1,B143-2025)/12)</f>
        <v>5.47724540066293</v>
      </c>
      <c r="O143" s="88" t="n">
        <f aca="false">$AO$6*0</f>
        <v>0</v>
      </c>
      <c r="P143" s="88" t="n">
        <f aca="false">N143+P142</f>
        <v>788.05899708287</v>
      </c>
      <c r="Q143" s="88" t="n">
        <f aca="false">O143+Q142</f>
        <v>398</v>
      </c>
      <c r="R143" s="88" t="n">
        <f aca="false">MAX(R142,P143-Q143)</f>
        <v>390.05899708287</v>
      </c>
      <c r="S143" s="88" t="n">
        <f aca="false">R143-R142</f>
        <v>5.47724540066292</v>
      </c>
      <c r="T143" s="88" t="n">
        <f aca="false">IF(B143=2026,INDEX($C$5:$Q$5,1,B143-2025)*$AO$4*C143/MAX(0.0001,12-$AO$3),INDEX($C$5:$Q$5,1,B143-2025)/12)</f>
        <v>22.2615024358139</v>
      </c>
      <c r="U143" s="88" t="n">
        <f aca="false">$AO$6*0</f>
        <v>0</v>
      </c>
      <c r="V143" s="88" t="n">
        <f aca="false">T143+V142</f>
        <v>3202.95623069984</v>
      </c>
      <c r="W143" s="88" t="n">
        <f aca="false">U143+W142</f>
        <v>1115</v>
      </c>
      <c r="X143" s="88" t="n">
        <f aca="false">MAX(X142,V143-W143)</f>
        <v>2087.95623069984</v>
      </c>
      <c r="Y143" s="88" t="n">
        <f aca="false">X143-X142</f>
        <v>22.2615024358138</v>
      </c>
      <c r="Z143" s="88" t="n">
        <f aca="false">IF(B143=2026,INDEX($C$6:$Q$6,1,B143-2025)*$AO$4*C143/MAX(0.0001,12-$AO$3),INDEX($C$6:$Q$6,1,B143-2025)/12)</f>
        <v>26.4114629913323</v>
      </c>
      <c r="AA143" s="88" t="n">
        <f aca="false">$AO$6*0</f>
        <v>0</v>
      </c>
      <c r="AB143" s="88" t="n">
        <f aca="false">Z143+AB142</f>
        <v>3800.04719779792</v>
      </c>
      <c r="AC143" s="88" t="n">
        <f aca="false">AA143+AC142</f>
        <v>2194</v>
      </c>
      <c r="AD143" s="88" t="n">
        <f aca="false">MAX(AD142,AB143-AC143)</f>
        <v>1606.04719779791</v>
      </c>
      <c r="AE143" s="88" t="n">
        <f aca="false">AD143-AD142</f>
        <v>26.4114629913324</v>
      </c>
      <c r="AF143" s="88" t="n">
        <f aca="false">IF(B143=2026,INDEX($C$7:$Q$7,1,B143-2025)*$AO$4*C143/MAX(0.0001,12-$AO$3),INDEX($C$7:$Q$7,1,B143-2025)/12)</f>
        <v>22.9427081739175</v>
      </c>
      <c r="AG143" s="88" t="n">
        <f aca="false">$AO$6*0</f>
        <v>0</v>
      </c>
      <c r="AH143" s="88" t="n">
        <f aca="false">AF143+AH142</f>
        <v>3300.9672328565</v>
      </c>
      <c r="AI143" s="88" t="n">
        <f aca="false">AG143+AI142</f>
        <v>826</v>
      </c>
      <c r="AJ143" s="88" t="n">
        <f aca="false">MAX(AJ142,AH143-AI143)</f>
        <v>2474.9672328565</v>
      </c>
      <c r="AK143" s="88" t="n">
        <f aca="false">AJ143-AJ142</f>
        <v>22.9427081739173</v>
      </c>
      <c r="AL143" s="88" t="n">
        <f aca="false">IF(B143=2026,INDEX($C$8:$Q$8,1,B143-2025)*$AO$4*C143/MAX(0.0001,12-$AO$3),INDEX($C$8:$Q$8,1,B143-2025)/12)</f>
        <v>5.80342126052833</v>
      </c>
      <c r="AM143" s="88" t="n">
        <f aca="false">$AO$6*0</f>
        <v>0</v>
      </c>
      <c r="AN143" s="88" t="n">
        <f aca="false">AL143+AN142</f>
        <v>834.988758704847</v>
      </c>
      <c r="AO143" s="88" t="n">
        <f aca="false">AM143+AO142</f>
        <v>66</v>
      </c>
      <c r="AP143" s="88" t="n">
        <f aca="false">MAX(AP142,AN143-AO143)</f>
        <v>768.988758704847</v>
      </c>
      <c r="AQ143" s="88" t="n">
        <f aca="false">AP143-AP142</f>
        <v>5.80342126052835</v>
      </c>
      <c r="AR143" s="88" t="n">
        <f aca="false">IF(B143=2026,INDEX($C$9:$Q$9,1,B143-2025)*$AO$4*C143/MAX(0.0001,12-$AO$3),INDEX($C$9:$Q$9,1,B143-2025)/12)</f>
        <v>24.7454570609428</v>
      </c>
      <c r="AS143" s="88" t="n">
        <f aca="false">$AO$6*0</f>
        <v>0</v>
      </c>
      <c r="AT143" s="88" t="n">
        <f aca="false">AR143+AT142</f>
        <v>3560.34441535952</v>
      </c>
      <c r="AU143" s="88" t="n">
        <f aca="false">AS143+AU142</f>
        <v>1810</v>
      </c>
      <c r="AV143" s="88" t="n">
        <f aca="false">MAX(AV142,AT143-AU143)</f>
        <v>1750.34441535952</v>
      </c>
      <c r="AW143" s="88" t="n">
        <f aca="false">AV143-AV142</f>
        <v>24.745457060943</v>
      </c>
      <c r="AX143" s="88" t="n">
        <f aca="false">IF(B143=2026,INDEX($C$10:$Q$10,1,B143-2025)*$AO$4*C143/MAX(0.0001,12-$AO$3),INDEX($C$10:$Q$10,1,B143-2025)/12)</f>
        <v>2.87034756681557</v>
      </c>
      <c r="AY143" s="88" t="n">
        <f aca="false">$AO$6*0</f>
        <v>0</v>
      </c>
      <c r="AZ143" s="88" t="n">
        <f aca="false">AX143+AZ142</f>
        <v>412.981902273386</v>
      </c>
      <c r="BA143" s="88" t="n">
        <f aca="false">AY143+BA142</f>
        <v>50</v>
      </c>
      <c r="BB143" s="88" t="n">
        <f aca="false">MAX(BB142,AZ143-BA143)</f>
        <v>362.981902273386</v>
      </c>
      <c r="BC143" s="88" t="n">
        <f aca="false">BB143-BB142</f>
        <v>2.87034756681555</v>
      </c>
      <c r="BD143" s="88" t="n">
        <f aca="false">IF(B143=2026,INDEX($C$11:$Q$11,1,B143-2025)*$AO$4*C143/MAX(0.0001,12-$AO$3),INDEX($C$11:$Q$11,1,B143-2025)/12)</f>
        <v>14.2639212564218</v>
      </c>
      <c r="BE143" s="88" t="n">
        <f aca="false">$AO$6*0</f>
        <v>0</v>
      </c>
      <c r="BF143" s="88" t="n">
        <f aca="false">BD143+BF142</f>
        <v>2052.27457554564</v>
      </c>
      <c r="BG143" s="88" t="n">
        <f aca="false">BE143+BG142</f>
        <v>240</v>
      </c>
      <c r="BH143" s="88" t="n">
        <f aca="false">MAX(BH142,BF143-BG143)</f>
        <v>1812.27457554564</v>
      </c>
      <c r="BI143" s="88" t="n">
        <f aca="false">BH143-BH142</f>
        <v>14.263921256422</v>
      </c>
      <c r="BJ143" s="88" t="n">
        <f aca="false">IF(B143=2026,INDEX($C$12:$Q$12,1,B143-2025)*$AO$4*C143/MAX(0.0001,12-$AO$3),INDEX($C$12:$Q$12,1,B143-2025)/12)</f>
        <v>7.82069350154207</v>
      </c>
      <c r="BK143" s="88" t="n">
        <f aca="false">$AO$6*0</f>
        <v>0</v>
      </c>
      <c r="BL143" s="88" t="n">
        <f aca="false">BJ143+BL142</f>
        <v>1125.23128442845</v>
      </c>
      <c r="BM143" s="88" t="n">
        <f aca="false">BK143+BM142</f>
        <v>465</v>
      </c>
      <c r="BN143" s="88" t="n">
        <f aca="false">MAX(BN142,BL143-BM143)</f>
        <v>660.231284428453</v>
      </c>
      <c r="BO143" s="88" t="n">
        <f aca="false">BN143-BN142</f>
        <v>7.82069350154211</v>
      </c>
      <c r="BP143" s="88" t="n">
        <f aca="false">IF(B143=2026,INDEX($C$13:$Q$13,1,B143-2025)*$AO$4*C143/MAX(0.0001,12-$AO$3),INDEX($C$13:$Q$13,1,B143-2025)/12)</f>
        <v>2.44394688559256</v>
      </c>
      <c r="BQ143" s="88" t="n">
        <f aca="false">$AO$6*0</f>
        <v>0</v>
      </c>
      <c r="BR143" s="88" t="n">
        <f aca="false">BP143+BR142</f>
        <v>351.631922745468</v>
      </c>
      <c r="BS143" s="88" t="n">
        <f aca="false">BQ143+BS142</f>
        <v>87</v>
      </c>
      <c r="BT143" s="88" t="n">
        <f aca="false">MAX(BT142,BR143-BS143)</f>
        <v>264.631922745468</v>
      </c>
      <c r="BU143" s="88" t="n">
        <f aca="false">BT143-BT142</f>
        <v>2.44394688559254</v>
      </c>
      <c r="BV143" s="88" t="n">
        <f aca="false">IF(B143=2026,INDEX($C$14:$Q$14,1,B143-2025)*$AO$4*C143/MAX(0.0001,12-$AO$3),INDEX($C$14:$Q$14,1,B143-2025)/12)</f>
        <v>1.449513325248</v>
      </c>
      <c r="BW143" s="88" t="n">
        <f aca="false">$AO$6*0</f>
        <v>0</v>
      </c>
      <c r="BX143" s="88" t="n">
        <f aca="false">BV143+BX142</f>
        <v>208.554105904209</v>
      </c>
      <c r="BY143" s="88" t="n">
        <f aca="false">BW143+BY142</f>
        <v>0</v>
      </c>
      <c r="BZ143" s="88" t="n">
        <f aca="false">MAX(BZ142,BX143-BY143)</f>
        <v>208.554105904209</v>
      </c>
      <c r="CA143" s="88" t="n">
        <f aca="false">BZ143-BZ142</f>
        <v>1.44951332524801</v>
      </c>
      <c r="CB143" s="88" t="n">
        <f aca="false">IF(B143=2026,INDEX($C$15:$Q$15,1,B143-2025)*$AO$4*C143/MAX(0.0001,12-$AO$3),INDEX($C$15:$Q$15,1,B143-2025)/12)</f>
        <v>2.37652766116242</v>
      </c>
      <c r="CC143" s="88" t="n">
        <f aca="false">$AO$6*0</f>
        <v>0</v>
      </c>
      <c r="CD143" s="88" t="n">
        <f aca="false">CB143+CD142</f>
        <v>341.931731773179</v>
      </c>
      <c r="CE143" s="88" t="n">
        <f aca="false">CC143+CE142</f>
        <v>88.0000000000001</v>
      </c>
      <c r="CF143" s="88" t="n">
        <f aca="false">MAX(CF142,CD143-CE143)</f>
        <v>253.931731773179</v>
      </c>
      <c r="CG143" s="88" t="n">
        <f aca="false">CF143-CF142</f>
        <v>2.37652766116241</v>
      </c>
      <c r="CH143" s="88" t="n">
        <f aca="false">IF(B143=2026,INDEX($C$16:$Q$16,1,B143-2025)*$AO$4*C143/MAX(0.0001,12-$AO$3),INDEX($C$16:$Q$16,1,B143-2025)/12)</f>
        <v>1.87931088099014</v>
      </c>
      <c r="CI143" s="88" t="n">
        <f aca="false">$AO$6*0</f>
        <v>0</v>
      </c>
      <c r="CJ143" s="88" t="n">
        <f aca="false">CH143+CJ142</f>
        <v>270.39282335255</v>
      </c>
      <c r="CK143" s="88" t="n">
        <f aca="false">CI143+CK142</f>
        <v>70</v>
      </c>
      <c r="CL143" s="88" t="n">
        <f aca="false">MAX(CL142,CJ143-CK143)</f>
        <v>200.39282335255</v>
      </c>
      <c r="CM143" s="88" t="n">
        <f aca="false">CL143-CL142</f>
        <v>1.87931088099015</v>
      </c>
      <c r="CN143" s="88" t="n">
        <f aca="false">IF(B143=2026,INDEX($C$17:$Q$17,1,B143-2025)*$AO$4*C143/MAX(0.0001,12-$AO$3),INDEX($C$17:$Q$17,1,B143-2025)/12)</f>
        <v>8.1830083652082</v>
      </c>
      <c r="CO143" s="88" t="n">
        <f aca="false">$AO$6*0</f>
        <v>0</v>
      </c>
      <c r="CP143" s="88" t="n">
        <f aca="false">CN143+CP142</f>
        <v>1177.36067926155</v>
      </c>
      <c r="CQ143" s="88" t="n">
        <f aca="false">CO143+CQ142</f>
        <v>221</v>
      </c>
      <c r="CR143" s="88" t="n">
        <f aca="false">MAX(CR142,CP143-CQ143)</f>
        <v>956.360679261555</v>
      </c>
      <c r="CS143" s="88" t="n">
        <f aca="false">CR143-CR142</f>
        <v>8.18300836520825</v>
      </c>
      <c r="CT143" s="88" t="n">
        <f aca="false">IF(B143=2026,INDEX($C$18:$Q$18,1,B143-2025)*$AO$4*C143/MAX(0.0001,12-$AO$3),INDEX($C$18:$Q$18,1,B143-2025)/12)</f>
        <v>1.70233541686103</v>
      </c>
      <c r="CU143" s="88" t="n">
        <f aca="false">$AO$6*0</f>
        <v>0</v>
      </c>
      <c r="CV143" s="88" t="n">
        <f aca="false">CT143+CV142</f>
        <v>244.929822050292</v>
      </c>
      <c r="CW143" s="88" t="n">
        <f aca="false">CU143+CW142</f>
        <v>11</v>
      </c>
      <c r="CX143" s="88" t="n">
        <f aca="false">MAX(CX142,CV143-CW143)</f>
        <v>233.929822050292</v>
      </c>
      <c r="CY143" s="88" t="n">
        <f aca="false">CX143-CX142</f>
        <v>1.70233541686102</v>
      </c>
      <c r="CZ143" s="88" t="n">
        <f aca="false">IF(B143=2026,INDEX($C$19:$Q$19,1,B143-2025)*$AO$4*C143/MAX(0.0001,12-$AO$3),INDEX($C$19:$Q$19,1,B143-2025)/12)</f>
        <v>1.68548061075349</v>
      </c>
      <c r="DA143" s="88" t="n">
        <f aca="false">$AO$6*0</f>
        <v>0</v>
      </c>
      <c r="DB143" s="88" t="n">
        <f aca="false">CZ143+DB142</f>
        <v>242.50477430722</v>
      </c>
      <c r="DC143" s="88" t="n">
        <f aca="false">DA143+DC142</f>
        <v>226</v>
      </c>
      <c r="DD143" s="88" t="n">
        <f aca="false">MAX(DD142,DB143-DC143)</f>
        <v>37.132124495359</v>
      </c>
      <c r="DE143" s="88" t="n">
        <f aca="false">DD143-DD142</f>
        <v>0</v>
      </c>
      <c r="DF143" s="88" t="n">
        <f aca="false">IF(B143=2026,INDEX($C$20:$Q$20,1,B143-2025)*$AO$4*C143/MAX(0.0001,12-$AO$3),INDEX($C$20:$Q$20,1,B143-2025)/12)</f>
        <v>1.37366669776409</v>
      </c>
      <c r="DG143" s="88" t="n">
        <f aca="false">$AO$6*0</f>
        <v>0</v>
      </c>
      <c r="DH143" s="88" t="n">
        <f aca="false">DF143+DH142</f>
        <v>197.641391060384</v>
      </c>
      <c r="DI143" s="88" t="n">
        <f aca="false">DG143+DI142</f>
        <v>0</v>
      </c>
      <c r="DJ143" s="88" t="n">
        <f aca="false">MAX(DJ142,DH143-DI143)</f>
        <v>197.641391060384</v>
      </c>
      <c r="DK143" s="88" t="n">
        <f aca="false">DJ143-DJ142</f>
        <v>1.37366669776409</v>
      </c>
      <c r="DL143" s="88" t="n">
        <f aca="false">IF(B143=2026,INDEX($C$21:$Q$21,1,B143-2025)*$AO$4*C143/MAX(0.0001,12-$AO$3),INDEX($C$21:$Q$21,1,B143-2025)/12)</f>
        <v>0.96072394812949</v>
      </c>
      <c r="DM143" s="88" t="n">
        <f aca="false">$AO$6*0</f>
        <v>0</v>
      </c>
      <c r="DN143" s="88" t="n">
        <f aca="false">DL143+DN142</f>
        <v>138.227721355115</v>
      </c>
      <c r="DO143" s="88" t="n">
        <f aca="false">DM143+DO142</f>
        <v>100</v>
      </c>
      <c r="DP143" s="88" t="n">
        <f aca="false">MAX(DP142,DN143-DO143)</f>
        <v>38.227721355115</v>
      </c>
      <c r="DQ143" s="88" t="n">
        <f aca="false">DP143-DP142</f>
        <v>0.960723948129498</v>
      </c>
      <c r="DR143" s="88" t="n">
        <f aca="false">IF(B143=2026,INDEX($C$22:$Q$22,1,B143-2025)*$AO$4*C143/MAX(0.0001,12-$AO$3),INDEX($C$22:$Q$22,1,B143-2025)/12)</f>
        <v>0.750038871785304</v>
      </c>
      <c r="DS143" s="88" t="n">
        <f aca="false">$AO$6*0</f>
        <v>0</v>
      </c>
      <c r="DT143" s="88" t="n">
        <f aca="false">DR143+DT142</f>
        <v>107.914624566713</v>
      </c>
      <c r="DU143" s="88" t="n">
        <f aca="false">DS143+DU142</f>
        <v>29</v>
      </c>
      <c r="DV143" s="88" t="n">
        <f aca="false">MAX(DV142,DT143-DU143)</f>
        <v>78.9146245667129</v>
      </c>
      <c r="DW143" s="88" t="n">
        <f aca="false">DV143-DV142</f>
        <v>0.750038871785307</v>
      </c>
      <c r="DX143" s="88" t="n">
        <f aca="false">IF(B143=2026,INDEX($C$23:$Q$23,1,B143-2025)*$AO$4*C143/MAX(0.0001,12-$AO$3),INDEX($C$23:$Q$23,1,B143-2025)/12)</f>
        <v>1.20511863668875</v>
      </c>
      <c r="DY143" s="88" t="n">
        <f aca="false">$AO$6*0</f>
        <v>0</v>
      </c>
      <c r="DZ143" s="88" t="n">
        <f aca="false">DX143+DZ142</f>
        <v>173.390913629662</v>
      </c>
      <c r="EA143" s="88" t="n">
        <f aca="false">DY143+EA142</f>
        <v>121</v>
      </c>
      <c r="EB143" s="88" t="n">
        <f aca="false">MAX(EB142,DZ143-EA143)</f>
        <v>52.3909136296622</v>
      </c>
      <c r="EC143" s="88" t="n">
        <f aca="false">EB143-EB142</f>
        <v>1.20511863668875</v>
      </c>
      <c r="ED143" s="88" t="n">
        <f aca="false">IF(B143=2026,INDEX($C$24:$Q$24,1,B143-2025)*$AO$4*C143/MAX(0.0001,12-$AO$3),INDEX($C$24:$Q$24,1,B143-2025)/12)</f>
        <v>0.741611468731536</v>
      </c>
      <c r="EE143" s="88" t="n">
        <f aca="false">$AO$6*0</f>
        <v>0</v>
      </c>
      <c r="EF143" s="88" t="n">
        <f aca="false">ED143+EF142</f>
        <v>106.702100695177</v>
      </c>
      <c r="EG143" s="88" t="n">
        <f aca="false">EE143+EG142</f>
        <v>0</v>
      </c>
      <c r="EH143" s="88" t="n">
        <f aca="false">MAX(EH142,EF143-EG143)</f>
        <v>106.702100695177</v>
      </c>
      <c r="EI143" s="88" t="n">
        <f aca="false">EH143-EH142</f>
        <v>0.741611468731534</v>
      </c>
      <c r="EJ143" s="88" t="n">
        <f aca="false">IF(B143=2026,INDEX($C$25:$Q$25,1,B143-2025)*$AO$4*C143/MAX(0.0001,12-$AO$3),INDEX($C$25:$Q$25,1,B143-2025)/12)</f>
        <v>0.943869142021955</v>
      </c>
      <c r="EK143" s="88" t="n">
        <f aca="false">$AO$6*0</f>
        <v>0</v>
      </c>
      <c r="EL143" s="88" t="n">
        <f aca="false">EJ143+EL142</f>
        <v>135.802673612043</v>
      </c>
      <c r="EM143" s="88" t="n">
        <f aca="false">EK143+EM142</f>
        <v>14</v>
      </c>
      <c r="EN143" s="88" t="n">
        <f aca="false">MAX(EN142,EL143-EM143)</f>
        <v>121.802673612043</v>
      </c>
      <c r="EO143" s="88" t="n">
        <f aca="false">EN143-EN142</f>
        <v>0.943869142021953</v>
      </c>
      <c r="EP143" s="88" t="n">
        <f aca="false">IF(B143=2026,INDEX($C$26:$Q$26,1,B143-2025)*$AO$4*C143/MAX(0.0001,12-$AO$3),INDEX($C$26:$Q$26,1,B143-2025)/12)</f>
        <v>1.35681189165656</v>
      </c>
      <c r="EQ143" s="88" t="n">
        <f aca="false">$AO$6*0</f>
        <v>0</v>
      </c>
      <c r="ER143" s="88" t="n">
        <f aca="false">EP143+ER142</f>
        <v>195.216343317311</v>
      </c>
      <c r="ES143" s="88" t="n">
        <f aca="false">EQ143+ES142</f>
        <v>4</v>
      </c>
      <c r="ET143" s="88" t="n">
        <f aca="false">MAX(ET142,ER143-ES143)</f>
        <v>191.216343317311</v>
      </c>
      <c r="EU143" s="88" t="n">
        <f aca="false">ET143-ET142</f>
        <v>1.35681189165655</v>
      </c>
      <c r="EV143" s="88" t="n">
        <f aca="false">IF(B143=2026,INDEX($C$27:$Q$27,1,B143-2025)*$AO$4*C143/MAX(0.0001,12-$AO$3),INDEX($C$27:$Q$27,1,B143-2025)/12)</f>
        <v>3.37096122150698</v>
      </c>
      <c r="EW143" s="88" t="n">
        <f aca="false">$AO$6*0</f>
        <v>0</v>
      </c>
      <c r="EX143" s="88" t="n">
        <f aca="false">EV143+EX142</f>
        <v>485.00954861444</v>
      </c>
      <c r="EY143" s="88" t="n">
        <f aca="false">EW143+EY142</f>
        <v>391</v>
      </c>
      <c r="EZ143" s="88" t="n">
        <f aca="false">MAX(EZ142,EX143-EY143)</f>
        <v>94.0095486144397</v>
      </c>
      <c r="FA143" s="88" t="n">
        <f aca="false">EZ143-EZ142</f>
        <v>3.370961221507</v>
      </c>
      <c r="FB143" s="88" t="n">
        <f aca="false">IF(B143=2026,INDEX($C$28:$Q$28,1,B143-2025)*$AO$4*C143/MAX(0.0001,12-$AO$3),INDEX($C$28:$Q$28,1,B143-2025)/12)</f>
        <v>17.646981994589</v>
      </c>
      <c r="FC143" s="88" t="n">
        <f aca="false">$AO$6*0</f>
        <v>0</v>
      </c>
      <c r="FD143" s="88" t="n">
        <f aca="false">FB143+FD142</f>
        <v>2539.02498699659</v>
      </c>
      <c r="FE143" s="88" t="n">
        <f aca="false">FC143+FE142</f>
        <v>169</v>
      </c>
      <c r="FF143" s="88" t="n">
        <f aca="false">MAX(FF142,FD143-FE143)</f>
        <v>2370.02498699659</v>
      </c>
      <c r="FG143" s="88" t="n">
        <f aca="false">FF143-FF142</f>
        <v>17.6469819945892</v>
      </c>
    </row>
    <row r="144" customFormat="false" ht="15" hidden="false" customHeight="false" outlineLevel="0" collapsed="false">
      <c r="A144" s="0" t="n">
        <v>104</v>
      </c>
      <c r="B144" s="88" t="n">
        <f aca="false">2026+INT(A144/12)</f>
        <v>2034</v>
      </c>
      <c r="C144" s="88" t="n">
        <f aca="false">MAX(0,MIN(1,A144+1-$AO$3))</f>
        <v>1</v>
      </c>
      <c r="D144" s="88" t="n">
        <f aca="false">IF((A144+0.5-(0))&lt;$AO$3,0,2026+INT((A144+0.5-(0))/12))</f>
        <v>2034</v>
      </c>
      <c r="E144" s="88" t="n">
        <f aca="false">IF((A144+0.5-($AO$9))&lt;$AO$3,0,2026+INT((A144+0.5-($AO$9))/12))</f>
        <v>2033</v>
      </c>
      <c r="F144" s="88" t="n">
        <f aca="false">IF((A144+0.5-($AO$9+$AO$8))&lt;$AO$3,0,2026+INT((A144+0.5-($AO$9+$AO$8))/12))</f>
        <v>2032</v>
      </c>
      <c r="G144" s="88" t="n">
        <f aca="false">IF((A144+0.5-($AO$9+$AO$8+$AO$7))&lt;$AO$3,0,2026+INT((A144+0.5-($AO$9+$AO$8+$AO$7))/12))</f>
        <v>2031</v>
      </c>
      <c r="H144" s="88" t="n">
        <f aca="false">IF(B144=2026,INDEX($C$3:$Q$3,1,B144-2025)*$AO$4*C144/MAX(0.0001,12-$AO$3),INDEX($C$3:$Q$3,1,B144-2025)/12)</f>
        <v>180.666666666667</v>
      </c>
      <c r="I144" s="88" t="n">
        <f aca="false">$AO$6*0</f>
        <v>0</v>
      </c>
      <c r="J144" s="88" t="n">
        <f aca="false">H144+J143</f>
        <v>26174.7534246576</v>
      </c>
      <c r="K144" s="88" t="n">
        <f aca="false">I144+K143</f>
        <v>8695.00000000001</v>
      </c>
      <c r="L144" s="88" t="n">
        <f aca="false">MAX(L143,J144-K144)</f>
        <v>17479.7534246576</v>
      </c>
      <c r="M144" s="88" t="n">
        <f aca="false">L144-L143</f>
        <v>180.666666666664</v>
      </c>
      <c r="N144" s="88" t="n">
        <f aca="false">IF(B144=2026,INDEX($C$4:$Q$4,1,B144-2025)*$AO$4*C144/MAX(0.0001,12-$AO$3),INDEX($C$4:$Q$4,1,B144-2025)/12)</f>
        <v>5.47724540066293</v>
      </c>
      <c r="O144" s="88" t="n">
        <f aca="false">$AO$6*0</f>
        <v>0</v>
      </c>
      <c r="P144" s="88" t="n">
        <f aca="false">N144+P143</f>
        <v>793.536242483533</v>
      </c>
      <c r="Q144" s="88" t="n">
        <f aca="false">O144+Q143</f>
        <v>398</v>
      </c>
      <c r="R144" s="88" t="n">
        <f aca="false">MAX(R143,P144-Q144)</f>
        <v>395.536242483533</v>
      </c>
      <c r="S144" s="88" t="n">
        <f aca="false">R144-R143</f>
        <v>5.47724540066292</v>
      </c>
      <c r="T144" s="88" t="n">
        <f aca="false">IF(B144=2026,INDEX($C$5:$Q$5,1,B144-2025)*$AO$4*C144/MAX(0.0001,12-$AO$3),INDEX($C$5:$Q$5,1,B144-2025)/12)</f>
        <v>22.2615024358139</v>
      </c>
      <c r="U144" s="88" t="n">
        <f aca="false">$AO$6*0</f>
        <v>0</v>
      </c>
      <c r="V144" s="88" t="n">
        <f aca="false">T144+V143</f>
        <v>3225.21773313565</v>
      </c>
      <c r="W144" s="88" t="n">
        <f aca="false">U144+W143</f>
        <v>1115</v>
      </c>
      <c r="X144" s="88" t="n">
        <f aca="false">MAX(X143,V144-W144)</f>
        <v>2110.21773313565</v>
      </c>
      <c r="Y144" s="88" t="n">
        <f aca="false">X144-X143</f>
        <v>22.2615024358138</v>
      </c>
      <c r="Z144" s="88" t="n">
        <f aca="false">IF(B144=2026,INDEX($C$6:$Q$6,1,B144-2025)*$AO$4*C144/MAX(0.0001,12-$AO$3),INDEX($C$6:$Q$6,1,B144-2025)/12)</f>
        <v>26.4114629913323</v>
      </c>
      <c r="AA144" s="88" t="n">
        <f aca="false">$AO$6*0</f>
        <v>0</v>
      </c>
      <c r="AB144" s="88" t="n">
        <f aca="false">Z144+AB143</f>
        <v>3826.45866078925</v>
      </c>
      <c r="AC144" s="88" t="n">
        <f aca="false">AA144+AC143</f>
        <v>2194</v>
      </c>
      <c r="AD144" s="88" t="n">
        <f aca="false">MAX(AD143,AB144-AC144)</f>
        <v>1632.45866078925</v>
      </c>
      <c r="AE144" s="88" t="n">
        <f aca="false">AD144-AD143</f>
        <v>26.4114629913324</v>
      </c>
      <c r="AF144" s="88" t="n">
        <f aca="false">IF(B144=2026,INDEX($C$7:$Q$7,1,B144-2025)*$AO$4*C144/MAX(0.0001,12-$AO$3),INDEX($C$7:$Q$7,1,B144-2025)/12)</f>
        <v>22.9427081739175</v>
      </c>
      <c r="AG144" s="88" t="n">
        <f aca="false">$AO$6*0</f>
        <v>0</v>
      </c>
      <c r="AH144" s="88" t="n">
        <f aca="false">AF144+AH143</f>
        <v>3323.90994103042</v>
      </c>
      <c r="AI144" s="88" t="n">
        <f aca="false">AG144+AI143</f>
        <v>826</v>
      </c>
      <c r="AJ144" s="88" t="n">
        <f aca="false">MAX(AJ143,AH144-AI144)</f>
        <v>2497.90994103042</v>
      </c>
      <c r="AK144" s="88" t="n">
        <f aca="false">AJ144-AJ143</f>
        <v>22.9427081739173</v>
      </c>
      <c r="AL144" s="88" t="n">
        <f aca="false">IF(B144=2026,INDEX($C$8:$Q$8,1,B144-2025)*$AO$4*C144/MAX(0.0001,12-$AO$3),INDEX($C$8:$Q$8,1,B144-2025)/12)</f>
        <v>5.80342126052833</v>
      </c>
      <c r="AM144" s="88" t="n">
        <f aca="false">$AO$6*0</f>
        <v>0</v>
      </c>
      <c r="AN144" s="88" t="n">
        <f aca="false">AL144+AN143</f>
        <v>840.792179965375</v>
      </c>
      <c r="AO144" s="88" t="n">
        <f aca="false">AM144+AO143</f>
        <v>66</v>
      </c>
      <c r="AP144" s="88" t="n">
        <f aca="false">MAX(AP143,AN144-AO144)</f>
        <v>774.792179965375</v>
      </c>
      <c r="AQ144" s="88" t="n">
        <f aca="false">AP144-AP143</f>
        <v>5.80342126052835</v>
      </c>
      <c r="AR144" s="88" t="n">
        <f aca="false">IF(B144=2026,INDEX($C$9:$Q$9,1,B144-2025)*$AO$4*C144/MAX(0.0001,12-$AO$3),INDEX($C$9:$Q$9,1,B144-2025)/12)</f>
        <v>24.7454570609428</v>
      </c>
      <c r="AS144" s="88" t="n">
        <f aca="false">$AO$6*0</f>
        <v>0</v>
      </c>
      <c r="AT144" s="88" t="n">
        <f aca="false">AR144+AT143</f>
        <v>3585.08987242046</v>
      </c>
      <c r="AU144" s="88" t="n">
        <f aca="false">AS144+AU143</f>
        <v>1810</v>
      </c>
      <c r="AV144" s="88" t="n">
        <f aca="false">MAX(AV143,AT144-AU144)</f>
        <v>1775.08987242046</v>
      </c>
      <c r="AW144" s="88" t="n">
        <f aca="false">AV144-AV143</f>
        <v>24.745457060943</v>
      </c>
      <c r="AX144" s="88" t="n">
        <f aca="false">IF(B144=2026,INDEX($C$10:$Q$10,1,B144-2025)*$AO$4*C144/MAX(0.0001,12-$AO$3),INDEX($C$10:$Q$10,1,B144-2025)/12)</f>
        <v>2.87034756681557</v>
      </c>
      <c r="AY144" s="88" t="n">
        <f aca="false">$AO$6*0</f>
        <v>0</v>
      </c>
      <c r="AZ144" s="88" t="n">
        <f aca="false">AX144+AZ143</f>
        <v>415.852249840202</v>
      </c>
      <c r="BA144" s="88" t="n">
        <f aca="false">AY144+BA143</f>
        <v>50</v>
      </c>
      <c r="BB144" s="88" t="n">
        <f aca="false">MAX(BB143,AZ144-BA144)</f>
        <v>365.852249840202</v>
      </c>
      <c r="BC144" s="88" t="n">
        <f aca="false">BB144-BB143</f>
        <v>2.87034756681555</v>
      </c>
      <c r="BD144" s="88" t="n">
        <f aca="false">IF(B144=2026,INDEX($C$11:$Q$11,1,B144-2025)*$AO$4*C144/MAX(0.0001,12-$AO$3),INDEX($C$11:$Q$11,1,B144-2025)/12)</f>
        <v>14.2639212564218</v>
      </c>
      <c r="BE144" s="88" t="n">
        <f aca="false">$AO$6*0</f>
        <v>0</v>
      </c>
      <c r="BF144" s="88" t="n">
        <f aca="false">BD144+BF143</f>
        <v>2066.53849680206</v>
      </c>
      <c r="BG144" s="88" t="n">
        <f aca="false">BE144+BG143</f>
        <v>240</v>
      </c>
      <c r="BH144" s="88" t="n">
        <f aca="false">MAX(BH143,BF144-BG144)</f>
        <v>1826.53849680206</v>
      </c>
      <c r="BI144" s="88" t="n">
        <f aca="false">BH144-BH143</f>
        <v>14.2639212564218</v>
      </c>
      <c r="BJ144" s="88" t="n">
        <f aca="false">IF(B144=2026,INDEX($C$12:$Q$12,1,B144-2025)*$AO$4*C144/MAX(0.0001,12-$AO$3),INDEX($C$12:$Q$12,1,B144-2025)/12)</f>
        <v>7.82069350154207</v>
      </c>
      <c r="BK144" s="88" t="n">
        <f aca="false">$AO$6*0</f>
        <v>0</v>
      </c>
      <c r="BL144" s="88" t="n">
        <f aca="false">BJ144+BL143</f>
        <v>1133.05197792999</v>
      </c>
      <c r="BM144" s="88" t="n">
        <f aca="false">BK144+BM143</f>
        <v>465</v>
      </c>
      <c r="BN144" s="88" t="n">
        <f aca="false">MAX(BN143,BL144-BM144)</f>
        <v>668.051977929995</v>
      </c>
      <c r="BO144" s="88" t="n">
        <f aca="false">BN144-BN143</f>
        <v>7.82069350154211</v>
      </c>
      <c r="BP144" s="88" t="n">
        <f aca="false">IF(B144=2026,INDEX($C$13:$Q$13,1,B144-2025)*$AO$4*C144/MAX(0.0001,12-$AO$3),INDEX($C$13:$Q$13,1,B144-2025)/12)</f>
        <v>2.44394688559256</v>
      </c>
      <c r="BQ144" s="88" t="n">
        <f aca="false">$AO$6*0</f>
        <v>0</v>
      </c>
      <c r="BR144" s="88" t="n">
        <f aca="false">BP144+BR143</f>
        <v>354.07586963106</v>
      </c>
      <c r="BS144" s="88" t="n">
        <f aca="false">BQ144+BS143</f>
        <v>87</v>
      </c>
      <c r="BT144" s="88" t="n">
        <f aca="false">MAX(BT143,BR144-BS144)</f>
        <v>267.07586963106</v>
      </c>
      <c r="BU144" s="88" t="n">
        <f aca="false">BT144-BT143</f>
        <v>2.44394688559254</v>
      </c>
      <c r="BV144" s="88" t="n">
        <f aca="false">IF(B144=2026,INDEX($C$14:$Q$14,1,B144-2025)*$AO$4*C144/MAX(0.0001,12-$AO$3),INDEX($C$14:$Q$14,1,B144-2025)/12)</f>
        <v>1.449513325248</v>
      </c>
      <c r="BW144" s="88" t="n">
        <f aca="false">$AO$6*0</f>
        <v>0</v>
      </c>
      <c r="BX144" s="88" t="n">
        <f aca="false">BV144+BX143</f>
        <v>210.003619229457</v>
      </c>
      <c r="BY144" s="88" t="n">
        <f aca="false">BW144+BY143</f>
        <v>0</v>
      </c>
      <c r="BZ144" s="88" t="n">
        <f aca="false">MAX(BZ143,BX144-BY144)</f>
        <v>210.003619229457</v>
      </c>
      <c r="CA144" s="88" t="n">
        <f aca="false">BZ144-BZ143</f>
        <v>1.44951332524801</v>
      </c>
      <c r="CB144" s="88" t="n">
        <f aca="false">IF(B144=2026,INDEX($C$15:$Q$15,1,B144-2025)*$AO$4*C144/MAX(0.0001,12-$AO$3),INDEX($C$15:$Q$15,1,B144-2025)/12)</f>
        <v>2.37652766116242</v>
      </c>
      <c r="CC144" s="88" t="n">
        <f aca="false">$AO$6*0</f>
        <v>0</v>
      </c>
      <c r="CD144" s="88" t="n">
        <f aca="false">CB144+CD143</f>
        <v>344.308259434341</v>
      </c>
      <c r="CE144" s="88" t="n">
        <f aca="false">CC144+CE143</f>
        <v>88.0000000000001</v>
      </c>
      <c r="CF144" s="88" t="n">
        <f aca="false">MAX(CF143,CD144-CE144)</f>
        <v>256.308259434341</v>
      </c>
      <c r="CG144" s="88" t="n">
        <f aca="false">CF144-CF143</f>
        <v>2.37652766116241</v>
      </c>
      <c r="CH144" s="88" t="n">
        <f aca="false">IF(B144=2026,INDEX($C$16:$Q$16,1,B144-2025)*$AO$4*C144/MAX(0.0001,12-$AO$3),INDEX($C$16:$Q$16,1,B144-2025)/12)</f>
        <v>1.87931088099014</v>
      </c>
      <c r="CI144" s="88" t="n">
        <f aca="false">$AO$6*0</f>
        <v>0</v>
      </c>
      <c r="CJ144" s="88" t="n">
        <f aca="false">CH144+CJ143</f>
        <v>272.27213423354</v>
      </c>
      <c r="CK144" s="88" t="n">
        <f aca="false">CI144+CK143</f>
        <v>70</v>
      </c>
      <c r="CL144" s="88" t="n">
        <f aca="false">MAX(CL143,CJ144-CK144)</f>
        <v>202.27213423354</v>
      </c>
      <c r="CM144" s="88" t="n">
        <f aca="false">CL144-CL143</f>
        <v>1.87931088099015</v>
      </c>
      <c r="CN144" s="88" t="n">
        <f aca="false">IF(B144=2026,INDEX($C$17:$Q$17,1,B144-2025)*$AO$4*C144/MAX(0.0001,12-$AO$3),INDEX($C$17:$Q$17,1,B144-2025)/12)</f>
        <v>8.1830083652082</v>
      </c>
      <c r="CO144" s="88" t="n">
        <f aca="false">$AO$6*0</f>
        <v>0</v>
      </c>
      <c r="CP144" s="88" t="n">
        <f aca="false">CN144+CP143</f>
        <v>1185.54368762676</v>
      </c>
      <c r="CQ144" s="88" t="n">
        <f aca="false">CO144+CQ143</f>
        <v>221</v>
      </c>
      <c r="CR144" s="88" t="n">
        <f aca="false">MAX(CR143,CP144-CQ144)</f>
        <v>964.543687626763</v>
      </c>
      <c r="CS144" s="88" t="n">
        <f aca="false">CR144-CR143</f>
        <v>8.18300836520825</v>
      </c>
      <c r="CT144" s="88" t="n">
        <f aca="false">IF(B144=2026,INDEX($C$18:$Q$18,1,B144-2025)*$AO$4*C144/MAX(0.0001,12-$AO$3),INDEX($C$18:$Q$18,1,B144-2025)/12)</f>
        <v>1.70233541686103</v>
      </c>
      <c r="CU144" s="88" t="n">
        <f aca="false">$AO$6*0</f>
        <v>0</v>
      </c>
      <c r="CV144" s="88" t="n">
        <f aca="false">CT144+CV143</f>
        <v>246.632157467153</v>
      </c>
      <c r="CW144" s="88" t="n">
        <f aca="false">CU144+CW143</f>
        <v>11</v>
      </c>
      <c r="CX144" s="88" t="n">
        <f aca="false">MAX(CX143,CV144-CW144)</f>
        <v>235.632157467153</v>
      </c>
      <c r="CY144" s="88" t="n">
        <f aca="false">CX144-CX143</f>
        <v>1.70233541686102</v>
      </c>
      <c r="CZ144" s="88" t="n">
        <f aca="false">IF(B144=2026,INDEX($C$19:$Q$19,1,B144-2025)*$AO$4*C144/MAX(0.0001,12-$AO$3),INDEX($C$19:$Q$19,1,B144-2025)/12)</f>
        <v>1.68548061075349</v>
      </c>
      <c r="DA144" s="88" t="n">
        <f aca="false">$AO$6*0</f>
        <v>0</v>
      </c>
      <c r="DB144" s="88" t="n">
        <f aca="false">CZ144+DB143</f>
        <v>244.190254917973</v>
      </c>
      <c r="DC144" s="88" t="n">
        <f aca="false">DA144+DC143</f>
        <v>226</v>
      </c>
      <c r="DD144" s="88" t="n">
        <f aca="false">MAX(DD143,DB144-DC144)</f>
        <v>37.132124495359</v>
      </c>
      <c r="DE144" s="88" t="n">
        <f aca="false">DD144-DD143</f>
        <v>0</v>
      </c>
      <c r="DF144" s="88" t="n">
        <f aca="false">IF(B144=2026,INDEX($C$20:$Q$20,1,B144-2025)*$AO$4*C144/MAX(0.0001,12-$AO$3),INDEX($C$20:$Q$20,1,B144-2025)/12)</f>
        <v>1.37366669776409</v>
      </c>
      <c r="DG144" s="88" t="n">
        <f aca="false">$AO$6*0</f>
        <v>0</v>
      </c>
      <c r="DH144" s="88" t="n">
        <f aca="false">DF144+DH143</f>
        <v>199.015057758148</v>
      </c>
      <c r="DI144" s="88" t="n">
        <f aca="false">DG144+DI143</f>
        <v>0</v>
      </c>
      <c r="DJ144" s="88" t="n">
        <f aca="false">MAX(DJ143,DH144-DI144)</f>
        <v>199.015057758148</v>
      </c>
      <c r="DK144" s="88" t="n">
        <f aca="false">DJ144-DJ143</f>
        <v>1.37366669776409</v>
      </c>
      <c r="DL144" s="88" t="n">
        <f aca="false">IF(B144=2026,INDEX($C$21:$Q$21,1,B144-2025)*$AO$4*C144/MAX(0.0001,12-$AO$3),INDEX($C$21:$Q$21,1,B144-2025)/12)</f>
        <v>0.96072394812949</v>
      </c>
      <c r="DM144" s="88" t="n">
        <f aca="false">$AO$6*0</f>
        <v>0</v>
      </c>
      <c r="DN144" s="88" t="n">
        <f aca="false">DL144+DN143</f>
        <v>139.188445303244</v>
      </c>
      <c r="DO144" s="88" t="n">
        <f aca="false">DM144+DO143</f>
        <v>100</v>
      </c>
      <c r="DP144" s="88" t="n">
        <f aca="false">MAX(DP143,DN144-DO144)</f>
        <v>39.1884453032445</v>
      </c>
      <c r="DQ144" s="88" t="n">
        <f aca="false">DP144-DP143</f>
        <v>0.960723948129498</v>
      </c>
      <c r="DR144" s="88" t="n">
        <f aca="false">IF(B144=2026,INDEX($C$22:$Q$22,1,B144-2025)*$AO$4*C144/MAX(0.0001,12-$AO$3),INDEX($C$22:$Q$22,1,B144-2025)/12)</f>
        <v>0.750038871785304</v>
      </c>
      <c r="DS144" s="88" t="n">
        <f aca="false">$AO$6*0</f>
        <v>0</v>
      </c>
      <c r="DT144" s="88" t="n">
        <f aca="false">DR144+DT143</f>
        <v>108.664663438498</v>
      </c>
      <c r="DU144" s="88" t="n">
        <f aca="false">DS144+DU143</f>
        <v>29</v>
      </c>
      <c r="DV144" s="88" t="n">
        <f aca="false">MAX(DV143,DT144-DU144)</f>
        <v>79.6646634384982</v>
      </c>
      <c r="DW144" s="88" t="n">
        <f aca="false">DV144-DV143</f>
        <v>0.750038871785307</v>
      </c>
      <c r="DX144" s="88" t="n">
        <f aca="false">IF(B144=2026,INDEX($C$23:$Q$23,1,B144-2025)*$AO$4*C144/MAX(0.0001,12-$AO$3),INDEX($C$23:$Q$23,1,B144-2025)/12)</f>
        <v>1.20511863668875</v>
      </c>
      <c r="DY144" s="88" t="n">
        <f aca="false">$AO$6*0</f>
        <v>0</v>
      </c>
      <c r="DZ144" s="88" t="n">
        <f aca="false">DX144+DZ143</f>
        <v>174.596032266351</v>
      </c>
      <c r="EA144" s="88" t="n">
        <f aca="false">DY144+EA143</f>
        <v>121</v>
      </c>
      <c r="EB144" s="88" t="n">
        <f aca="false">MAX(EB143,DZ144-EA144)</f>
        <v>53.596032266351</v>
      </c>
      <c r="EC144" s="88" t="n">
        <f aca="false">EB144-EB143</f>
        <v>1.20511863668875</v>
      </c>
      <c r="ED144" s="88" t="n">
        <f aca="false">IF(B144=2026,INDEX($C$24:$Q$24,1,B144-2025)*$AO$4*C144/MAX(0.0001,12-$AO$3),INDEX($C$24:$Q$24,1,B144-2025)/12)</f>
        <v>0.741611468731536</v>
      </c>
      <c r="EE144" s="88" t="n">
        <f aca="false">$AO$6*0</f>
        <v>0</v>
      </c>
      <c r="EF144" s="88" t="n">
        <f aca="false">ED144+EF143</f>
        <v>107.443712163908</v>
      </c>
      <c r="EG144" s="88" t="n">
        <f aca="false">EE144+EG143</f>
        <v>0</v>
      </c>
      <c r="EH144" s="88" t="n">
        <f aca="false">MAX(EH143,EF144-EG144)</f>
        <v>107.443712163908</v>
      </c>
      <c r="EI144" s="88" t="n">
        <f aca="false">EH144-EH143</f>
        <v>0.741611468731534</v>
      </c>
      <c r="EJ144" s="88" t="n">
        <f aca="false">IF(B144=2026,INDEX($C$25:$Q$25,1,B144-2025)*$AO$4*C144/MAX(0.0001,12-$AO$3),INDEX($C$25:$Q$25,1,B144-2025)/12)</f>
        <v>0.943869142021955</v>
      </c>
      <c r="EK144" s="88" t="n">
        <f aca="false">$AO$6*0</f>
        <v>0</v>
      </c>
      <c r="EL144" s="88" t="n">
        <f aca="false">EJ144+EL143</f>
        <v>136.746542754065</v>
      </c>
      <c r="EM144" s="88" t="n">
        <f aca="false">EK144+EM143</f>
        <v>14</v>
      </c>
      <c r="EN144" s="88" t="n">
        <f aca="false">MAX(EN143,EL144-EM144)</f>
        <v>122.746542754065</v>
      </c>
      <c r="EO144" s="88" t="n">
        <f aca="false">EN144-EN143</f>
        <v>0.943869142021953</v>
      </c>
      <c r="EP144" s="88" t="n">
        <f aca="false">IF(B144=2026,INDEX($C$26:$Q$26,1,B144-2025)*$AO$4*C144/MAX(0.0001,12-$AO$3),INDEX($C$26:$Q$26,1,B144-2025)/12)</f>
        <v>1.35681189165656</v>
      </c>
      <c r="EQ144" s="88" t="n">
        <f aca="false">$AO$6*0</f>
        <v>0</v>
      </c>
      <c r="ER144" s="88" t="n">
        <f aca="false">EP144+ER143</f>
        <v>196.573155208968</v>
      </c>
      <c r="ES144" s="88" t="n">
        <f aca="false">EQ144+ES143</f>
        <v>4</v>
      </c>
      <c r="ET144" s="88" t="n">
        <f aca="false">MAX(ET143,ER144-ES144)</f>
        <v>192.573155208968</v>
      </c>
      <c r="EU144" s="88" t="n">
        <f aca="false">ET144-ET143</f>
        <v>1.35681189165655</v>
      </c>
      <c r="EV144" s="88" t="n">
        <f aca="false">IF(B144=2026,INDEX($C$27:$Q$27,1,B144-2025)*$AO$4*C144/MAX(0.0001,12-$AO$3),INDEX($C$27:$Q$27,1,B144-2025)/12)</f>
        <v>3.37096122150698</v>
      </c>
      <c r="EW144" s="88" t="n">
        <f aca="false">$AO$6*0</f>
        <v>0</v>
      </c>
      <c r="EX144" s="88" t="n">
        <f aca="false">EV144+EX143</f>
        <v>488.380509835947</v>
      </c>
      <c r="EY144" s="88" t="n">
        <f aca="false">EW144+EY143</f>
        <v>391</v>
      </c>
      <c r="EZ144" s="88" t="n">
        <f aca="false">MAX(EZ143,EX144-EY144)</f>
        <v>97.3805098359467</v>
      </c>
      <c r="FA144" s="88" t="n">
        <f aca="false">EZ144-EZ143</f>
        <v>3.370961221507</v>
      </c>
      <c r="FB144" s="88" t="n">
        <f aca="false">IF(B144=2026,INDEX($C$28:$Q$28,1,B144-2025)*$AO$4*C144/MAX(0.0001,12-$AO$3),INDEX($C$28:$Q$28,1,B144-2025)/12)</f>
        <v>17.646981994589</v>
      </c>
      <c r="FC144" s="88" t="n">
        <f aca="false">$AO$6*0</f>
        <v>0</v>
      </c>
      <c r="FD144" s="88" t="n">
        <f aca="false">FB144+FD143</f>
        <v>2556.67196899118</v>
      </c>
      <c r="FE144" s="88" t="n">
        <f aca="false">FC144+FE143</f>
        <v>169</v>
      </c>
      <c r="FF144" s="88" t="n">
        <f aca="false">MAX(FF143,FD144-FE144)</f>
        <v>2387.67196899118</v>
      </c>
      <c r="FG144" s="88" t="n">
        <f aca="false">FF144-FF143</f>
        <v>17.6469819945892</v>
      </c>
    </row>
    <row r="145" customFormat="false" ht="15" hidden="false" customHeight="false" outlineLevel="0" collapsed="false">
      <c r="A145" s="0" t="n">
        <v>105</v>
      </c>
      <c r="B145" s="88" t="n">
        <f aca="false">2026+INT(A145/12)</f>
        <v>2034</v>
      </c>
      <c r="C145" s="88" t="n">
        <f aca="false">MAX(0,MIN(1,A145+1-$AO$3))</f>
        <v>1</v>
      </c>
      <c r="D145" s="88" t="n">
        <f aca="false">IF((A145+0.5-(0))&lt;$AO$3,0,2026+INT((A145+0.5-(0))/12))</f>
        <v>2034</v>
      </c>
      <c r="E145" s="88" t="n">
        <f aca="false">IF((A145+0.5-($AO$9))&lt;$AO$3,0,2026+INT((A145+0.5-($AO$9))/12))</f>
        <v>2033</v>
      </c>
      <c r="F145" s="88" t="n">
        <f aca="false">IF((A145+0.5-($AO$9+$AO$8))&lt;$AO$3,0,2026+INT((A145+0.5-($AO$9+$AO$8))/12))</f>
        <v>2032</v>
      </c>
      <c r="G145" s="88" t="n">
        <f aca="false">IF((A145+0.5-($AO$9+$AO$8+$AO$7))&lt;$AO$3,0,2026+INT((A145+0.5-($AO$9+$AO$8+$AO$7))/12))</f>
        <v>2031</v>
      </c>
      <c r="H145" s="88" t="n">
        <f aca="false">IF(B145=2026,INDEX($C$3:$Q$3,1,B145-2025)*$AO$4*C145/MAX(0.0001,12-$AO$3),INDEX($C$3:$Q$3,1,B145-2025)/12)</f>
        <v>180.666666666667</v>
      </c>
      <c r="I145" s="88" t="n">
        <f aca="false">$AO$6*0</f>
        <v>0</v>
      </c>
      <c r="J145" s="88" t="n">
        <f aca="false">H145+J144</f>
        <v>26355.4200913243</v>
      </c>
      <c r="K145" s="88" t="n">
        <f aca="false">I145+K144</f>
        <v>8695.00000000001</v>
      </c>
      <c r="L145" s="88" t="n">
        <f aca="false">MAX(L144,J145-K145)</f>
        <v>17660.4200913243</v>
      </c>
      <c r="M145" s="88" t="n">
        <f aca="false">L145-L144</f>
        <v>180.666666666672</v>
      </c>
      <c r="N145" s="88" t="n">
        <f aca="false">IF(B145=2026,INDEX($C$4:$Q$4,1,B145-2025)*$AO$4*C145/MAX(0.0001,12-$AO$3),INDEX($C$4:$Q$4,1,B145-2025)/12)</f>
        <v>5.47724540066293</v>
      </c>
      <c r="O145" s="88" t="n">
        <f aca="false">$AO$6*0</f>
        <v>0</v>
      </c>
      <c r="P145" s="88" t="n">
        <f aca="false">N145+P144</f>
        <v>799.013487884196</v>
      </c>
      <c r="Q145" s="88" t="n">
        <f aca="false">O145+Q144</f>
        <v>398</v>
      </c>
      <c r="R145" s="88" t="n">
        <f aca="false">MAX(R144,P145-Q145)</f>
        <v>401.013487884196</v>
      </c>
      <c r="S145" s="88" t="n">
        <f aca="false">R145-R144</f>
        <v>5.47724540066292</v>
      </c>
      <c r="T145" s="88" t="n">
        <f aca="false">IF(B145=2026,INDEX($C$5:$Q$5,1,B145-2025)*$AO$4*C145/MAX(0.0001,12-$AO$3),INDEX($C$5:$Q$5,1,B145-2025)/12)</f>
        <v>22.2615024358139</v>
      </c>
      <c r="U145" s="88" t="n">
        <f aca="false">$AO$6*0</f>
        <v>0</v>
      </c>
      <c r="V145" s="88" t="n">
        <f aca="false">T145+V144</f>
        <v>3247.47923557147</v>
      </c>
      <c r="W145" s="88" t="n">
        <f aca="false">U145+W144</f>
        <v>1115</v>
      </c>
      <c r="X145" s="88" t="n">
        <f aca="false">MAX(X144,V145-W145)</f>
        <v>2132.47923557146</v>
      </c>
      <c r="Y145" s="88" t="n">
        <f aca="false">X145-X144</f>
        <v>22.2615024358138</v>
      </c>
      <c r="Z145" s="88" t="n">
        <f aca="false">IF(B145=2026,INDEX($C$6:$Q$6,1,B145-2025)*$AO$4*C145/MAX(0.0001,12-$AO$3),INDEX($C$6:$Q$6,1,B145-2025)/12)</f>
        <v>26.4114629913323</v>
      </c>
      <c r="AA145" s="88" t="n">
        <f aca="false">$AO$6*0</f>
        <v>0</v>
      </c>
      <c r="AB145" s="88" t="n">
        <f aca="false">Z145+AB144</f>
        <v>3852.87012378058</v>
      </c>
      <c r="AC145" s="88" t="n">
        <f aca="false">AA145+AC144</f>
        <v>2194</v>
      </c>
      <c r="AD145" s="88" t="n">
        <f aca="false">MAX(AD144,AB145-AC145)</f>
        <v>1658.87012378058</v>
      </c>
      <c r="AE145" s="88" t="n">
        <f aca="false">AD145-AD144</f>
        <v>26.4114629913324</v>
      </c>
      <c r="AF145" s="88" t="n">
        <f aca="false">IF(B145=2026,INDEX($C$7:$Q$7,1,B145-2025)*$AO$4*C145/MAX(0.0001,12-$AO$3),INDEX($C$7:$Q$7,1,B145-2025)/12)</f>
        <v>22.9427081739175</v>
      </c>
      <c r="AG145" s="88" t="n">
        <f aca="false">$AO$6*0</f>
        <v>0</v>
      </c>
      <c r="AH145" s="88" t="n">
        <f aca="false">AF145+AH144</f>
        <v>3346.85264920434</v>
      </c>
      <c r="AI145" s="88" t="n">
        <f aca="false">AG145+AI144</f>
        <v>826</v>
      </c>
      <c r="AJ145" s="88" t="n">
        <f aca="false">MAX(AJ144,AH145-AI145)</f>
        <v>2520.85264920434</v>
      </c>
      <c r="AK145" s="88" t="n">
        <f aca="false">AJ145-AJ144</f>
        <v>22.9427081739173</v>
      </c>
      <c r="AL145" s="88" t="n">
        <f aca="false">IF(B145=2026,INDEX($C$8:$Q$8,1,B145-2025)*$AO$4*C145/MAX(0.0001,12-$AO$3),INDEX($C$8:$Q$8,1,B145-2025)/12)</f>
        <v>5.80342126052833</v>
      </c>
      <c r="AM145" s="88" t="n">
        <f aca="false">$AO$6*0</f>
        <v>0</v>
      </c>
      <c r="AN145" s="88" t="n">
        <f aca="false">AL145+AN144</f>
        <v>846.595601225904</v>
      </c>
      <c r="AO145" s="88" t="n">
        <f aca="false">AM145+AO144</f>
        <v>66</v>
      </c>
      <c r="AP145" s="88" t="n">
        <f aca="false">MAX(AP144,AN145-AO145)</f>
        <v>780.595601225904</v>
      </c>
      <c r="AQ145" s="88" t="n">
        <f aca="false">AP145-AP144</f>
        <v>5.80342126052835</v>
      </c>
      <c r="AR145" s="88" t="n">
        <f aca="false">IF(B145=2026,INDEX($C$9:$Q$9,1,B145-2025)*$AO$4*C145/MAX(0.0001,12-$AO$3),INDEX($C$9:$Q$9,1,B145-2025)/12)</f>
        <v>24.7454570609428</v>
      </c>
      <c r="AS145" s="88" t="n">
        <f aca="false">$AO$6*0</f>
        <v>0</v>
      </c>
      <c r="AT145" s="88" t="n">
        <f aca="false">AR145+AT144</f>
        <v>3609.83532948141</v>
      </c>
      <c r="AU145" s="88" t="n">
        <f aca="false">AS145+AU144</f>
        <v>1810</v>
      </c>
      <c r="AV145" s="88" t="n">
        <f aca="false">MAX(AV144,AT145-AU145)</f>
        <v>1799.8353294814</v>
      </c>
      <c r="AW145" s="88" t="n">
        <f aca="false">AV145-AV144</f>
        <v>24.745457060943</v>
      </c>
      <c r="AX145" s="88" t="n">
        <f aca="false">IF(B145=2026,INDEX($C$10:$Q$10,1,B145-2025)*$AO$4*C145/MAX(0.0001,12-$AO$3),INDEX($C$10:$Q$10,1,B145-2025)/12)</f>
        <v>2.87034756681557</v>
      </c>
      <c r="AY145" s="88" t="n">
        <f aca="false">$AO$6*0</f>
        <v>0</v>
      </c>
      <c r="AZ145" s="88" t="n">
        <f aca="false">AX145+AZ144</f>
        <v>418.722597407017</v>
      </c>
      <c r="BA145" s="88" t="n">
        <f aca="false">AY145+BA144</f>
        <v>50</v>
      </c>
      <c r="BB145" s="88" t="n">
        <f aca="false">MAX(BB144,AZ145-BA145)</f>
        <v>368.722597407017</v>
      </c>
      <c r="BC145" s="88" t="n">
        <f aca="false">BB145-BB144</f>
        <v>2.87034756681555</v>
      </c>
      <c r="BD145" s="88" t="n">
        <f aca="false">IF(B145=2026,INDEX($C$11:$Q$11,1,B145-2025)*$AO$4*C145/MAX(0.0001,12-$AO$3),INDEX($C$11:$Q$11,1,B145-2025)/12)</f>
        <v>14.2639212564218</v>
      </c>
      <c r="BE145" s="88" t="n">
        <f aca="false">$AO$6*0</f>
        <v>0</v>
      </c>
      <c r="BF145" s="88" t="n">
        <f aca="false">BD145+BF144</f>
        <v>2080.80241805848</v>
      </c>
      <c r="BG145" s="88" t="n">
        <f aca="false">BE145+BG144</f>
        <v>240</v>
      </c>
      <c r="BH145" s="88" t="n">
        <f aca="false">MAX(BH144,BF145-BG145)</f>
        <v>1840.80241805848</v>
      </c>
      <c r="BI145" s="88" t="n">
        <f aca="false">BH145-BH144</f>
        <v>14.2639212564218</v>
      </c>
      <c r="BJ145" s="88" t="n">
        <f aca="false">IF(B145=2026,INDEX($C$12:$Q$12,1,B145-2025)*$AO$4*C145/MAX(0.0001,12-$AO$3),INDEX($C$12:$Q$12,1,B145-2025)/12)</f>
        <v>7.82069350154207</v>
      </c>
      <c r="BK145" s="88" t="n">
        <f aca="false">$AO$6*0</f>
        <v>0</v>
      </c>
      <c r="BL145" s="88" t="n">
        <f aca="false">BJ145+BL144</f>
        <v>1140.87267143154</v>
      </c>
      <c r="BM145" s="88" t="n">
        <f aca="false">BK145+BM144</f>
        <v>465</v>
      </c>
      <c r="BN145" s="88" t="n">
        <f aca="false">MAX(BN144,BL145-BM145)</f>
        <v>675.872671431537</v>
      </c>
      <c r="BO145" s="88" t="n">
        <f aca="false">BN145-BN144</f>
        <v>7.82069350154211</v>
      </c>
      <c r="BP145" s="88" t="n">
        <f aca="false">IF(B145=2026,INDEX($C$13:$Q$13,1,B145-2025)*$AO$4*C145/MAX(0.0001,12-$AO$3),INDEX($C$13:$Q$13,1,B145-2025)/12)</f>
        <v>2.44394688559256</v>
      </c>
      <c r="BQ145" s="88" t="n">
        <f aca="false">$AO$6*0</f>
        <v>0</v>
      </c>
      <c r="BR145" s="88" t="n">
        <f aca="false">BP145+BR144</f>
        <v>356.519816516653</v>
      </c>
      <c r="BS145" s="88" t="n">
        <f aca="false">BQ145+BS144</f>
        <v>87</v>
      </c>
      <c r="BT145" s="88" t="n">
        <f aca="false">MAX(BT144,BR145-BS145)</f>
        <v>269.519816516653</v>
      </c>
      <c r="BU145" s="88" t="n">
        <f aca="false">BT145-BT144</f>
        <v>2.44394688559254</v>
      </c>
      <c r="BV145" s="88" t="n">
        <f aca="false">IF(B145=2026,INDEX($C$14:$Q$14,1,B145-2025)*$AO$4*C145/MAX(0.0001,12-$AO$3),INDEX($C$14:$Q$14,1,B145-2025)/12)</f>
        <v>1.449513325248</v>
      </c>
      <c r="BW145" s="88" t="n">
        <f aca="false">$AO$6*0</f>
        <v>0</v>
      </c>
      <c r="BX145" s="88" t="n">
        <f aca="false">BV145+BX144</f>
        <v>211.453132554705</v>
      </c>
      <c r="BY145" s="88" t="n">
        <f aca="false">BW145+BY144</f>
        <v>0</v>
      </c>
      <c r="BZ145" s="88" t="n">
        <f aca="false">MAX(BZ144,BX145-BY145)</f>
        <v>211.453132554705</v>
      </c>
      <c r="CA145" s="88" t="n">
        <f aca="false">BZ145-BZ144</f>
        <v>1.44951332524801</v>
      </c>
      <c r="CB145" s="88" t="n">
        <f aca="false">IF(B145=2026,INDEX($C$15:$Q$15,1,B145-2025)*$AO$4*C145/MAX(0.0001,12-$AO$3),INDEX($C$15:$Q$15,1,B145-2025)/12)</f>
        <v>2.37652766116242</v>
      </c>
      <c r="CC145" s="88" t="n">
        <f aca="false">$AO$6*0</f>
        <v>0</v>
      </c>
      <c r="CD145" s="88" t="n">
        <f aca="false">CB145+CD144</f>
        <v>346.684787095504</v>
      </c>
      <c r="CE145" s="88" t="n">
        <f aca="false">CC145+CE144</f>
        <v>88.0000000000001</v>
      </c>
      <c r="CF145" s="88" t="n">
        <f aca="false">MAX(CF144,CD145-CE145)</f>
        <v>258.684787095504</v>
      </c>
      <c r="CG145" s="88" t="n">
        <f aca="false">CF145-CF144</f>
        <v>2.37652766116241</v>
      </c>
      <c r="CH145" s="88" t="n">
        <f aca="false">IF(B145=2026,INDEX($C$16:$Q$16,1,B145-2025)*$AO$4*C145/MAX(0.0001,12-$AO$3),INDEX($C$16:$Q$16,1,B145-2025)/12)</f>
        <v>1.87931088099014</v>
      </c>
      <c r="CI145" s="88" t="n">
        <f aca="false">$AO$6*0</f>
        <v>0</v>
      </c>
      <c r="CJ145" s="88" t="n">
        <f aca="false">CH145+CJ144</f>
        <v>274.15144511453</v>
      </c>
      <c r="CK145" s="88" t="n">
        <f aca="false">CI145+CK144</f>
        <v>70</v>
      </c>
      <c r="CL145" s="88" t="n">
        <f aca="false">MAX(CL144,CJ145-CK145)</f>
        <v>204.15144511453</v>
      </c>
      <c r="CM145" s="88" t="n">
        <f aca="false">CL145-CL144</f>
        <v>1.87931088099015</v>
      </c>
      <c r="CN145" s="88" t="n">
        <f aca="false">IF(B145=2026,INDEX($C$17:$Q$17,1,B145-2025)*$AO$4*C145/MAX(0.0001,12-$AO$3),INDEX($C$17:$Q$17,1,B145-2025)/12)</f>
        <v>8.1830083652082</v>
      </c>
      <c r="CO145" s="88" t="n">
        <f aca="false">$AO$6*0</f>
        <v>0</v>
      </c>
      <c r="CP145" s="88" t="n">
        <f aca="false">CN145+CP144</f>
        <v>1193.72669599197</v>
      </c>
      <c r="CQ145" s="88" t="n">
        <f aca="false">CO145+CQ144</f>
        <v>221</v>
      </c>
      <c r="CR145" s="88" t="n">
        <f aca="false">MAX(CR144,CP145-CQ145)</f>
        <v>972.726695991971</v>
      </c>
      <c r="CS145" s="88" t="n">
        <f aca="false">CR145-CR144</f>
        <v>8.18300836520825</v>
      </c>
      <c r="CT145" s="88" t="n">
        <f aca="false">IF(B145=2026,INDEX($C$18:$Q$18,1,B145-2025)*$AO$4*C145/MAX(0.0001,12-$AO$3),INDEX($C$18:$Q$18,1,B145-2025)/12)</f>
        <v>1.70233541686103</v>
      </c>
      <c r="CU145" s="88" t="n">
        <f aca="false">$AO$6*0</f>
        <v>0</v>
      </c>
      <c r="CV145" s="88" t="n">
        <f aca="false">CT145+CV144</f>
        <v>248.334492884014</v>
      </c>
      <c r="CW145" s="88" t="n">
        <f aca="false">CU145+CW144</f>
        <v>11</v>
      </c>
      <c r="CX145" s="88" t="n">
        <f aca="false">MAX(CX144,CV145-CW145)</f>
        <v>237.334492884014</v>
      </c>
      <c r="CY145" s="88" t="n">
        <f aca="false">CX145-CX144</f>
        <v>1.70233541686102</v>
      </c>
      <c r="CZ145" s="88" t="n">
        <f aca="false">IF(B145=2026,INDEX($C$19:$Q$19,1,B145-2025)*$AO$4*C145/MAX(0.0001,12-$AO$3),INDEX($C$19:$Q$19,1,B145-2025)/12)</f>
        <v>1.68548061075349</v>
      </c>
      <c r="DA145" s="88" t="n">
        <f aca="false">$AO$6*0</f>
        <v>0</v>
      </c>
      <c r="DB145" s="88" t="n">
        <f aca="false">CZ145+DB144</f>
        <v>245.875735528727</v>
      </c>
      <c r="DC145" s="88" t="n">
        <f aca="false">DA145+DC144</f>
        <v>226</v>
      </c>
      <c r="DD145" s="88" t="n">
        <f aca="false">MAX(DD144,DB145-DC145)</f>
        <v>37.132124495359</v>
      </c>
      <c r="DE145" s="88" t="n">
        <f aca="false">DD145-DD144</f>
        <v>0</v>
      </c>
      <c r="DF145" s="88" t="n">
        <f aca="false">IF(B145=2026,INDEX($C$20:$Q$20,1,B145-2025)*$AO$4*C145/MAX(0.0001,12-$AO$3),INDEX($C$20:$Q$20,1,B145-2025)/12)</f>
        <v>1.37366669776409</v>
      </c>
      <c r="DG145" s="88" t="n">
        <f aca="false">$AO$6*0</f>
        <v>0</v>
      </c>
      <c r="DH145" s="88" t="n">
        <f aca="false">DF145+DH144</f>
        <v>200.388724455912</v>
      </c>
      <c r="DI145" s="88" t="n">
        <f aca="false">DG145+DI144</f>
        <v>0</v>
      </c>
      <c r="DJ145" s="88" t="n">
        <f aca="false">MAX(DJ144,DH145-DI145)</f>
        <v>200.388724455912</v>
      </c>
      <c r="DK145" s="88" t="n">
        <f aca="false">DJ145-DJ144</f>
        <v>1.37366669776409</v>
      </c>
      <c r="DL145" s="88" t="n">
        <f aca="false">IF(B145=2026,INDEX($C$21:$Q$21,1,B145-2025)*$AO$4*C145/MAX(0.0001,12-$AO$3),INDEX($C$21:$Q$21,1,B145-2025)/12)</f>
        <v>0.96072394812949</v>
      </c>
      <c r="DM145" s="88" t="n">
        <f aca="false">$AO$6*0</f>
        <v>0</v>
      </c>
      <c r="DN145" s="88" t="n">
        <f aca="false">DL145+DN144</f>
        <v>140.149169251374</v>
      </c>
      <c r="DO145" s="88" t="n">
        <f aca="false">DM145+DO144</f>
        <v>100</v>
      </c>
      <c r="DP145" s="88" t="n">
        <f aca="false">MAX(DP144,DN145-DO145)</f>
        <v>40.149169251374</v>
      </c>
      <c r="DQ145" s="88" t="n">
        <f aca="false">DP145-DP144</f>
        <v>0.960723948129498</v>
      </c>
      <c r="DR145" s="88" t="n">
        <f aca="false">IF(B145=2026,INDEX($C$22:$Q$22,1,B145-2025)*$AO$4*C145/MAX(0.0001,12-$AO$3),INDEX($C$22:$Q$22,1,B145-2025)/12)</f>
        <v>0.750038871785304</v>
      </c>
      <c r="DS145" s="88" t="n">
        <f aca="false">$AO$6*0</f>
        <v>0</v>
      </c>
      <c r="DT145" s="88" t="n">
        <f aca="false">DR145+DT144</f>
        <v>109.414702310283</v>
      </c>
      <c r="DU145" s="88" t="n">
        <f aca="false">DS145+DU144</f>
        <v>29</v>
      </c>
      <c r="DV145" s="88" t="n">
        <f aca="false">MAX(DV144,DT145-DU145)</f>
        <v>80.4147023102835</v>
      </c>
      <c r="DW145" s="88" t="n">
        <f aca="false">DV145-DV144</f>
        <v>0.750038871785307</v>
      </c>
      <c r="DX145" s="88" t="n">
        <f aca="false">IF(B145=2026,INDEX($C$23:$Q$23,1,B145-2025)*$AO$4*C145/MAX(0.0001,12-$AO$3),INDEX($C$23:$Q$23,1,B145-2025)/12)</f>
        <v>1.20511863668875</v>
      </c>
      <c r="DY145" s="88" t="n">
        <f aca="false">$AO$6*0</f>
        <v>0</v>
      </c>
      <c r="DZ145" s="88" t="n">
        <f aca="false">DX145+DZ144</f>
        <v>175.80115090304</v>
      </c>
      <c r="EA145" s="88" t="n">
        <f aca="false">DY145+EA144</f>
        <v>121</v>
      </c>
      <c r="EB145" s="88" t="n">
        <f aca="false">MAX(EB144,DZ145-EA145)</f>
        <v>54.8011509030397</v>
      </c>
      <c r="EC145" s="88" t="n">
        <f aca="false">EB145-EB144</f>
        <v>1.20511863668875</v>
      </c>
      <c r="ED145" s="88" t="n">
        <f aca="false">IF(B145=2026,INDEX($C$24:$Q$24,1,B145-2025)*$AO$4*C145/MAX(0.0001,12-$AO$3),INDEX($C$24:$Q$24,1,B145-2025)/12)</f>
        <v>0.741611468731536</v>
      </c>
      <c r="EE145" s="88" t="n">
        <f aca="false">$AO$6*0</f>
        <v>0</v>
      </c>
      <c r="EF145" s="88" t="n">
        <f aca="false">ED145+EF144</f>
        <v>108.18532363264</v>
      </c>
      <c r="EG145" s="88" t="n">
        <f aca="false">EE145+EG144</f>
        <v>0</v>
      </c>
      <c r="EH145" s="88" t="n">
        <f aca="false">MAX(EH144,EF145-EG145)</f>
        <v>108.18532363264</v>
      </c>
      <c r="EI145" s="88" t="n">
        <f aca="false">EH145-EH144</f>
        <v>0.741611468731534</v>
      </c>
      <c r="EJ145" s="88" t="n">
        <f aca="false">IF(B145=2026,INDEX($C$25:$Q$25,1,B145-2025)*$AO$4*C145/MAX(0.0001,12-$AO$3),INDEX($C$25:$Q$25,1,B145-2025)/12)</f>
        <v>0.943869142021955</v>
      </c>
      <c r="EK145" s="88" t="n">
        <f aca="false">$AO$6*0</f>
        <v>0</v>
      </c>
      <c r="EL145" s="88" t="n">
        <f aca="false">EJ145+EL144</f>
        <v>137.690411896087</v>
      </c>
      <c r="EM145" s="88" t="n">
        <f aca="false">EK145+EM144</f>
        <v>14</v>
      </c>
      <c r="EN145" s="88" t="n">
        <f aca="false">MAX(EN144,EL145-EM145)</f>
        <v>123.690411896087</v>
      </c>
      <c r="EO145" s="88" t="n">
        <f aca="false">EN145-EN144</f>
        <v>0.943869142021953</v>
      </c>
      <c r="EP145" s="88" t="n">
        <f aca="false">IF(B145=2026,INDEX($C$26:$Q$26,1,B145-2025)*$AO$4*C145/MAX(0.0001,12-$AO$3),INDEX($C$26:$Q$26,1,B145-2025)/12)</f>
        <v>1.35681189165656</v>
      </c>
      <c r="EQ145" s="88" t="n">
        <f aca="false">$AO$6*0</f>
        <v>0</v>
      </c>
      <c r="ER145" s="88" t="n">
        <f aca="false">EP145+ER144</f>
        <v>197.929967100624</v>
      </c>
      <c r="ES145" s="88" t="n">
        <f aca="false">EQ145+ES144</f>
        <v>4</v>
      </c>
      <c r="ET145" s="88" t="n">
        <f aca="false">MAX(ET144,ER145-ES145)</f>
        <v>193.929967100624</v>
      </c>
      <c r="EU145" s="88" t="n">
        <f aca="false">ET145-ET144</f>
        <v>1.35681189165655</v>
      </c>
      <c r="EV145" s="88" t="n">
        <f aca="false">IF(B145=2026,INDEX($C$27:$Q$27,1,B145-2025)*$AO$4*C145/MAX(0.0001,12-$AO$3),INDEX($C$27:$Q$27,1,B145-2025)/12)</f>
        <v>3.37096122150698</v>
      </c>
      <c r="EW145" s="88" t="n">
        <f aca="false">$AO$6*0</f>
        <v>0</v>
      </c>
      <c r="EX145" s="88" t="n">
        <f aca="false">EV145+EX144</f>
        <v>491.751471057454</v>
      </c>
      <c r="EY145" s="88" t="n">
        <f aca="false">EW145+EY144</f>
        <v>391</v>
      </c>
      <c r="EZ145" s="88" t="n">
        <f aca="false">MAX(EZ144,EX145-EY145)</f>
        <v>100.751471057454</v>
      </c>
      <c r="FA145" s="88" t="n">
        <f aca="false">EZ145-EZ144</f>
        <v>3.370961221507</v>
      </c>
      <c r="FB145" s="88" t="n">
        <f aca="false">IF(B145=2026,INDEX($C$28:$Q$28,1,B145-2025)*$AO$4*C145/MAX(0.0001,12-$AO$3),INDEX($C$28:$Q$28,1,B145-2025)/12)</f>
        <v>17.646981994589</v>
      </c>
      <c r="FC145" s="88" t="n">
        <f aca="false">$AO$6*0</f>
        <v>0</v>
      </c>
      <c r="FD145" s="88" t="n">
        <f aca="false">FB145+FD144</f>
        <v>2574.31895098577</v>
      </c>
      <c r="FE145" s="88" t="n">
        <f aca="false">FC145+FE144</f>
        <v>169</v>
      </c>
      <c r="FF145" s="88" t="n">
        <f aca="false">MAX(FF144,FD145-FE145)</f>
        <v>2405.31895098577</v>
      </c>
      <c r="FG145" s="88" t="n">
        <f aca="false">FF145-FF144</f>
        <v>17.6469819945892</v>
      </c>
    </row>
    <row r="146" customFormat="false" ht="15" hidden="false" customHeight="false" outlineLevel="0" collapsed="false">
      <c r="A146" s="0" t="n">
        <v>106</v>
      </c>
      <c r="B146" s="88" t="n">
        <f aca="false">2026+INT(A146/12)</f>
        <v>2034</v>
      </c>
      <c r="C146" s="88" t="n">
        <f aca="false">MAX(0,MIN(1,A146+1-$AO$3))</f>
        <v>1</v>
      </c>
      <c r="D146" s="88" t="n">
        <f aca="false">IF((A146+0.5-(0))&lt;$AO$3,0,2026+INT((A146+0.5-(0))/12))</f>
        <v>2034</v>
      </c>
      <c r="E146" s="88" t="n">
        <f aca="false">IF((A146+0.5-($AO$9))&lt;$AO$3,0,2026+INT((A146+0.5-($AO$9))/12))</f>
        <v>2033</v>
      </c>
      <c r="F146" s="88" t="n">
        <f aca="false">IF((A146+0.5-($AO$9+$AO$8))&lt;$AO$3,0,2026+INT((A146+0.5-($AO$9+$AO$8))/12))</f>
        <v>2032</v>
      </c>
      <c r="G146" s="88" t="n">
        <f aca="false">IF((A146+0.5-($AO$9+$AO$8+$AO$7))&lt;$AO$3,0,2026+INT((A146+0.5-($AO$9+$AO$8+$AO$7))/12))</f>
        <v>2031</v>
      </c>
      <c r="H146" s="88" t="n">
        <f aca="false">IF(B146=2026,INDEX($C$3:$Q$3,1,B146-2025)*$AO$4*C146/MAX(0.0001,12-$AO$3),INDEX($C$3:$Q$3,1,B146-2025)/12)</f>
        <v>180.666666666667</v>
      </c>
      <c r="I146" s="88" t="n">
        <f aca="false">$AO$6*0</f>
        <v>0</v>
      </c>
      <c r="J146" s="88" t="n">
        <f aca="false">H146+J145</f>
        <v>26536.0867579909</v>
      </c>
      <c r="K146" s="88" t="n">
        <f aca="false">I146+K145</f>
        <v>8695.00000000001</v>
      </c>
      <c r="L146" s="88" t="n">
        <f aca="false">MAX(L145,J146-K146)</f>
        <v>17841.0867579909</v>
      </c>
      <c r="M146" s="88" t="n">
        <f aca="false">L146-L145</f>
        <v>180.666666666664</v>
      </c>
      <c r="N146" s="88" t="n">
        <f aca="false">IF(B146=2026,INDEX($C$4:$Q$4,1,B146-2025)*$AO$4*C146/MAX(0.0001,12-$AO$3),INDEX($C$4:$Q$4,1,B146-2025)/12)</f>
        <v>5.47724540066293</v>
      </c>
      <c r="O146" s="88" t="n">
        <f aca="false">$AO$6*0</f>
        <v>0</v>
      </c>
      <c r="P146" s="88" t="n">
        <f aca="false">N146+P145</f>
        <v>804.490733284859</v>
      </c>
      <c r="Q146" s="88" t="n">
        <f aca="false">O146+Q145</f>
        <v>398</v>
      </c>
      <c r="R146" s="88" t="n">
        <f aca="false">MAX(R145,P146-Q146)</f>
        <v>406.490733284859</v>
      </c>
      <c r="S146" s="88" t="n">
        <f aca="false">R146-R145</f>
        <v>5.47724540066292</v>
      </c>
      <c r="T146" s="88" t="n">
        <f aca="false">IF(B146=2026,INDEX($C$5:$Q$5,1,B146-2025)*$AO$4*C146/MAX(0.0001,12-$AO$3),INDEX($C$5:$Q$5,1,B146-2025)/12)</f>
        <v>22.2615024358139</v>
      </c>
      <c r="U146" s="88" t="n">
        <f aca="false">$AO$6*0</f>
        <v>0</v>
      </c>
      <c r="V146" s="88" t="n">
        <f aca="false">T146+V145</f>
        <v>3269.74073800728</v>
      </c>
      <c r="W146" s="88" t="n">
        <f aca="false">U146+W145</f>
        <v>1115</v>
      </c>
      <c r="X146" s="88" t="n">
        <f aca="false">MAX(X145,V146-W146)</f>
        <v>2154.74073800728</v>
      </c>
      <c r="Y146" s="88" t="n">
        <f aca="false">X146-X145</f>
        <v>22.2615024358138</v>
      </c>
      <c r="Z146" s="88" t="n">
        <f aca="false">IF(B146=2026,INDEX($C$6:$Q$6,1,B146-2025)*$AO$4*C146/MAX(0.0001,12-$AO$3),INDEX($C$6:$Q$6,1,B146-2025)/12)</f>
        <v>26.4114629913323</v>
      </c>
      <c r="AA146" s="88" t="n">
        <f aca="false">$AO$6*0</f>
        <v>0</v>
      </c>
      <c r="AB146" s="88" t="n">
        <f aca="false">Z146+AB145</f>
        <v>3879.28158677191</v>
      </c>
      <c r="AC146" s="88" t="n">
        <f aca="false">AA146+AC145</f>
        <v>2194</v>
      </c>
      <c r="AD146" s="88" t="n">
        <f aca="false">MAX(AD145,AB146-AC146)</f>
        <v>1685.28158677191</v>
      </c>
      <c r="AE146" s="88" t="n">
        <f aca="false">AD146-AD145</f>
        <v>26.4114629913324</v>
      </c>
      <c r="AF146" s="88" t="n">
        <f aca="false">IF(B146=2026,INDEX($C$7:$Q$7,1,B146-2025)*$AO$4*C146/MAX(0.0001,12-$AO$3),INDEX($C$7:$Q$7,1,B146-2025)/12)</f>
        <v>22.9427081739175</v>
      </c>
      <c r="AG146" s="88" t="n">
        <f aca="false">$AO$6*0</f>
        <v>0</v>
      </c>
      <c r="AH146" s="88" t="n">
        <f aca="false">AF146+AH145</f>
        <v>3369.79535737825</v>
      </c>
      <c r="AI146" s="88" t="n">
        <f aca="false">AG146+AI145</f>
        <v>826</v>
      </c>
      <c r="AJ146" s="88" t="n">
        <f aca="false">MAX(AJ145,AH146-AI146)</f>
        <v>2543.79535737825</v>
      </c>
      <c r="AK146" s="88" t="n">
        <f aca="false">AJ146-AJ145</f>
        <v>22.9427081739173</v>
      </c>
      <c r="AL146" s="88" t="n">
        <f aca="false">IF(B146=2026,INDEX($C$8:$Q$8,1,B146-2025)*$AO$4*C146/MAX(0.0001,12-$AO$3),INDEX($C$8:$Q$8,1,B146-2025)/12)</f>
        <v>5.80342126052833</v>
      </c>
      <c r="AM146" s="88" t="n">
        <f aca="false">$AO$6*0</f>
        <v>0</v>
      </c>
      <c r="AN146" s="88" t="n">
        <f aca="false">AL146+AN145</f>
        <v>852.399022486432</v>
      </c>
      <c r="AO146" s="88" t="n">
        <f aca="false">AM146+AO145</f>
        <v>66</v>
      </c>
      <c r="AP146" s="88" t="n">
        <f aca="false">MAX(AP145,AN146-AO146)</f>
        <v>786.399022486432</v>
      </c>
      <c r="AQ146" s="88" t="n">
        <f aca="false">AP146-AP145</f>
        <v>5.80342126052835</v>
      </c>
      <c r="AR146" s="88" t="n">
        <f aca="false">IF(B146=2026,INDEX($C$9:$Q$9,1,B146-2025)*$AO$4*C146/MAX(0.0001,12-$AO$3),INDEX($C$9:$Q$9,1,B146-2025)/12)</f>
        <v>24.7454570609428</v>
      </c>
      <c r="AS146" s="88" t="n">
        <f aca="false">$AO$6*0</f>
        <v>0</v>
      </c>
      <c r="AT146" s="88" t="n">
        <f aca="false">AR146+AT145</f>
        <v>3634.58078654235</v>
      </c>
      <c r="AU146" s="88" t="n">
        <f aca="false">AS146+AU145</f>
        <v>1810</v>
      </c>
      <c r="AV146" s="88" t="n">
        <f aca="false">MAX(AV145,AT146-AU146)</f>
        <v>1824.58078654235</v>
      </c>
      <c r="AW146" s="88" t="n">
        <f aca="false">AV146-AV145</f>
        <v>24.745457060943</v>
      </c>
      <c r="AX146" s="88" t="n">
        <f aca="false">IF(B146=2026,INDEX($C$10:$Q$10,1,B146-2025)*$AO$4*C146/MAX(0.0001,12-$AO$3),INDEX($C$10:$Q$10,1,B146-2025)/12)</f>
        <v>2.87034756681557</v>
      </c>
      <c r="AY146" s="88" t="n">
        <f aca="false">$AO$6*0</f>
        <v>0</v>
      </c>
      <c r="AZ146" s="88" t="n">
        <f aca="false">AX146+AZ145</f>
        <v>421.592944973833</v>
      </c>
      <c r="BA146" s="88" t="n">
        <f aca="false">AY146+BA145</f>
        <v>50</v>
      </c>
      <c r="BB146" s="88" t="n">
        <f aca="false">MAX(BB145,AZ146-BA146)</f>
        <v>371.592944973833</v>
      </c>
      <c r="BC146" s="88" t="n">
        <f aca="false">BB146-BB145</f>
        <v>2.87034756681555</v>
      </c>
      <c r="BD146" s="88" t="n">
        <f aca="false">IF(B146=2026,INDEX($C$11:$Q$11,1,B146-2025)*$AO$4*C146/MAX(0.0001,12-$AO$3),INDEX($C$11:$Q$11,1,B146-2025)/12)</f>
        <v>14.2639212564218</v>
      </c>
      <c r="BE146" s="88" t="n">
        <f aca="false">$AO$6*0</f>
        <v>0</v>
      </c>
      <c r="BF146" s="88" t="n">
        <f aca="false">BD146+BF145</f>
        <v>2095.0663393149</v>
      </c>
      <c r="BG146" s="88" t="n">
        <f aca="false">BE146+BG145</f>
        <v>240</v>
      </c>
      <c r="BH146" s="88" t="n">
        <f aca="false">MAX(BH145,BF146-BG146)</f>
        <v>1855.0663393149</v>
      </c>
      <c r="BI146" s="88" t="n">
        <f aca="false">BH146-BH145</f>
        <v>14.2639212564218</v>
      </c>
      <c r="BJ146" s="88" t="n">
        <f aca="false">IF(B146=2026,INDEX($C$12:$Q$12,1,B146-2025)*$AO$4*C146/MAX(0.0001,12-$AO$3),INDEX($C$12:$Q$12,1,B146-2025)/12)</f>
        <v>7.82069350154207</v>
      </c>
      <c r="BK146" s="88" t="n">
        <f aca="false">$AO$6*0</f>
        <v>0</v>
      </c>
      <c r="BL146" s="88" t="n">
        <f aca="false">BJ146+BL145</f>
        <v>1148.69336493308</v>
      </c>
      <c r="BM146" s="88" t="n">
        <f aca="false">BK146+BM145</f>
        <v>465</v>
      </c>
      <c r="BN146" s="88" t="n">
        <f aca="false">MAX(BN145,BL146-BM146)</f>
        <v>683.693364933079</v>
      </c>
      <c r="BO146" s="88" t="n">
        <f aca="false">BN146-BN145</f>
        <v>7.82069350154211</v>
      </c>
      <c r="BP146" s="88" t="n">
        <f aca="false">IF(B146=2026,INDEX($C$13:$Q$13,1,B146-2025)*$AO$4*C146/MAX(0.0001,12-$AO$3),INDEX($C$13:$Q$13,1,B146-2025)/12)</f>
        <v>2.44394688559256</v>
      </c>
      <c r="BQ146" s="88" t="n">
        <f aca="false">$AO$6*0</f>
        <v>0</v>
      </c>
      <c r="BR146" s="88" t="n">
        <f aca="false">BP146+BR145</f>
        <v>358.963763402245</v>
      </c>
      <c r="BS146" s="88" t="n">
        <f aca="false">BQ146+BS145</f>
        <v>87</v>
      </c>
      <c r="BT146" s="88" t="n">
        <f aca="false">MAX(BT145,BR146-BS146)</f>
        <v>271.963763402245</v>
      </c>
      <c r="BU146" s="88" t="n">
        <f aca="false">BT146-BT145</f>
        <v>2.44394688559254</v>
      </c>
      <c r="BV146" s="88" t="n">
        <f aca="false">IF(B146=2026,INDEX($C$14:$Q$14,1,B146-2025)*$AO$4*C146/MAX(0.0001,12-$AO$3),INDEX($C$14:$Q$14,1,B146-2025)/12)</f>
        <v>1.449513325248</v>
      </c>
      <c r="BW146" s="88" t="n">
        <f aca="false">$AO$6*0</f>
        <v>0</v>
      </c>
      <c r="BX146" s="88" t="n">
        <f aca="false">BV146+BX145</f>
        <v>212.902645879953</v>
      </c>
      <c r="BY146" s="88" t="n">
        <f aca="false">BW146+BY145</f>
        <v>0</v>
      </c>
      <c r="BZ146" s="88" t="n">
        <f aca="false">MAX(BZ145,BX146-BY146)</f>
        <v>212.902645879953</v>
      </c>
      <c r="CA146" s="88" t="n">
        <f aca="false">BZ146-BZ145</f>
        <v>1.44951332524801</v>
      </c>
      <c r="CB146" s="88" t="n">
        <f aca="false">IF(B146=2026,INDEX($C$15:$Q$15,1,B146-2025)*$AO$4*C146/MAX(0.0001,12-$AO$3),INDEX($C$15:$Q$15,1,B146-2025)/12)</f>
        <v>2.37652766116242</v>
      </c>
      <c r="CC146" s="88" t="n">
        <f aca="false">$AO$6*0</f>
        <v>0</v>
      </c>
      <c r="CD146" s="88" t="n">
        <f aca="false">CB146+CD145</f>
        <v>349.061314756666</v>
      </c>
      <c r="CE146" s="88" t="n">
        <f aca="false">CC146+CE145</f>
        <v>88.0000000000001</v>
      </c>
      <c r="CF146" s="88" t="n">
        <f aca="false">MAX(CF145,CD146-CE146)</f>
        <v>261.061314756666</v>
      </c>
      <c r="CG146" s="88" t="n">
        <f aca="false">CF146-CF145</f>
        <v>2.37652766116241</v>
      </c>
      <c r="CH146" s="88" t="n">
        <f aca="false">IF(B146=2026,INDEX($C$16:$Q$16,1,B146-2025)*$AO$4*C146/MAX(0.0001,12-$AO$3),INDEX($C$16:$Q$16,1,B146-2025)/12)</f>
        <v>1.87931088099014</v>
      </c>
      <c r="CI146" s="88" t="n">
        <f aca="false">$AO$6*0</f>
        <v>0</v>
      </c>
      <c r="CJ146" s="88" t="n">
        <f aca="false">CH146+CJ145</f>
        <v>276.03075599552</v>
      </c>
      <c r="CK146" s="88" t="n">
        <f aca="false">CI146+CK145</f>
        <v>70</v>
      </c>
      <c r="CL146" s="88" t="n">
        <f aca="false">MAX(CL145,CJ146-CK146)</f>
        <v>206.03075599552</v>
      </c>
      <c r="CM146" s="88" t="n">
        <f aca="false">CL146-CL145</f>
        <v>1.87931088099015</v>
      </c>
      <c r="CN146" s="88" t="n">
        <f aca="false">IF(B146=2026,INDEX($C$17:$Q$17,1,B146-2025)*$AO$4*C146/MAX(0.0001,12-$AO$3),INDEX($C$17:$Q$17,1,B146-2025)/12)</f>
        <v>8.1830083652082</v>
      </c>
      <c r="CO146" s="88" t="n">
        <f aca="false">$AO$6*0</f>
        <v>0</v>
      </c>
      <c r="CP146" s="88" t="n">
        <f aca="false">CN146+CP145</f>
        <v>1201.90970435718</v>
      </c>
      <c r="CQ146" s="88" t="n">
        <f aca="false">CO146+CQ145</f>
        <v>221</v>
      </c>
      <c r="CR146" s="88" t="n">
        <f aca="false">MAX(CR145,CP146-CQ146)</f>
        <v>980.909704357179</v>
      </c>
      <c r="CS146" s="88" t="n">
        <f aca="false">CR146-CR145</f>
        <v>8.18300836520825</v>
      </c>
      <c r="CT146" s="88" t="n">
        <f aca="false">IF(B146=2026,INDEX($C$18:$Q$18,1,B146-2025)*$AO$4*C146/MAX(0.0001,12-$AO$3),INDEX($C$18:$Q$18,1,B146-2025)/12)</f>
        <v>1.70233541686103</v>
      </c>
      <c r="CU146" s="88" t="n">
        <f aca="false">$AO$6*0</f>
        <v>0</v>
      </c>
      <c r="CV146" s="88" t="n">
        <f aca="false">CT146+CV145</f>
        <v>250.036828300875</v>
      </c>
      <c r="CW146" s="88" t="n">
        <f aca="false">CU146+CW145</f>
        <v>11</v>
      </c>
      <c r="CX146" s="88" t="n">
        <f aca="false">MAX(CX145,CV146-CW146)</f>
        <v>239.036828300875</v>
      </c>
      <c r="CY146" s="88" t="n">
        <f aca="false">CX146-CX145</f>
        <v>1.70233541686102</v>
      </c>
      <c r="CZ146" s="88" t="n">
        <f aca="false">IF(B146=2026,INDEX($C$19:$Q$19,1,B146-2025)*$AO$4*C146/MAX(0.0001,12-$AO$3),INDEX($C$19:$Q$19,1,B146-2025)/12)</f>
        <v>1.68548061075349</v>
      </c>
      <c r="DA146" s="88" t="n">
        <f aca="false">$AO$6*0</f>
        <v>0</v>
      </c>
      <c r="DB146" s="88" t="n">
        <f aca="false">CZ146+DB145</f>
        <v>247.56121613948</v>
      </c>
      <c r="DC146" s="88" t="n">
        <f aca="false">DA146+DC145</f>
        <v>226</v>
      </c>
      <c r="DD146" s="88" t="n">
        <f aca="false">MAX(DD145,DB146-DC146)</f>
        <v>37.132124495359</v>
      </c>
      <c r="DE146" s="88" t="n">
        <f aca="false">DD146-DD145</f>
        <v>0</v>
      </c>
      <c r="DF146" s="88" t="n">
        <f aca="false">IF(B146=2026,INDEX($C$20:$Q$20,1,B146-2025)*$AO$4*C146/MAX(0.0001,12-$AO$3),INDEX($C$20:$Q$20,1,B146-2025)/12)</f>
        <v>1.37366669776409</v>
      </c>
      <c r="DG146" s="88" t="n">
        <f aca="false">$AO$6*0</f>
        <v>0</v>
      </c>
      <c r="DH146" s="88" t="n">
        <f aca="false">DF146+DH145</f>
        <v>201.762391153676</v>
      </c>
      <c r="DI146" s="88" t="n">
        <f aca="false">DG146+DI145</f>
        <v>0</v>
      </c>
      <c r="DJ146" s="88" t="n">
        <f aca="false">MAX(DJ145,DH146-DI146)</f>
        <v>201.762391153676</v>
      </c>
      <c r="DK146" s="88" t="n">
        <f aca="false">DJ146-DJ145</f>
        <v>1.37366669776409</v>
      </c>
      <c r="DL146" s="88" t="n">
        <f aca="false">IF(B146=2026,INDEX($C$21:$Q$21,1,B146-2025)*$AO$4*C146/MAX(0.0001,12-$AO$3),INDEX($C$21:$Q$21,1,B146-2025)/12)</f>
        <v>0.96072394812949</v>
      </c>
      <c r="DM146" s="88" t="n">
        <f aca="false">$AO$6*0</f>
        <v>0</v>
      </c>
      <c r="DN146" s="88" t="n">
        <f aca="false">DL146+DN145</f>
        <v>141.109893199503</v>
      </c>
      <c r="DO146" s="88" t="n">
        <f aca="false">DM146+DO145</f>
        <v>100</v>
      </c>
      <c r="DP146" s="88" t="n">
        <f aca="false">MAX(DP145,DN146-DO146)</f>
        <v>41.1098931995035</v>
      </c>
      <c r="DQ146" s="88" t="n">
        <f aca="false">DP146-DP145</f>
        <v>0.960723948129498</v>
      </c>
      <c r="DR146" s="88" t="n">
        <f aca="false">IF(B146=2026,INDEX($C$22:$Q$22,1,B146-2025)*$AO$4*C146/MAX(0.0001,12-$AO$3),INDEX($C$22:$Q$22,1,B146-2025)/12)</f>
        <v>0.750038871785304</v>
      </c>
      <c r="DS146" s="88" t="n">
        <f aca="false">$AO$6*0</f>
        <v>0</v>
      </c>
      <c r="DT146" s="88" t="n">
        <f aca="false">DR146+DT145</f>
        <v>110.164741182069</v>
      </c>
      <c r="DU146" s="88" t="n">
        <f aca="false">DS146+DU145</f>
        <v>29</v>
      </c>
      <c r="DV146" s="88" t="n">
        <f aca="false">MAX(DV145,DT146-DU146)</f>
        <v>81.1647411820688</v>
      </c>
      <c r="DW146" s="88" t="n">
        <f aca="false">DV146-DV145</f>
        <v>0.750038871785307</v>
      </c>
      <c r="DX146" s="88" t="n">
        <f aca="false">IF(B146=2026,INDEX($C$23:$Q$23,1,B146-2025)*$AO$4*C146/MAX(0.0001,12-$AO$3),INDEX($C$23:$Q$23,1,B146-2025)/12)</f>
        <v>1.20511863668875</v>
      </c>
      <c r="DY146" s="88" t="n">
        <f aca="false">$AO$6*0</f>
        <v>0</v>
      </c>
      <c r="DZ146" s="88" t="n">
        <f aca="false">DX146+DZ145</f>
        <v>177.006269539728</v>
      </c>
      <c r="EA146" s="88" t="n">
        <f aca="false">DY146+EA145</f>
        <v>121</v>
      </c>
      <c r="EB146" s="88" t="n">
        <f aca="false">MAX(EB145,DZ146-EA146)</f>
        <v>56.0062695397285</v>
      </c>
      <c r="EC146" s="88" t="n">
        <f aca="false">EB146-EB145</f>
        <v>1.20511863668875</v>
      </c>
      <c r="ED146" s="88" t="n">
        <f aca="false">IF(B146=2026,INDEX($C$24:$Q$24,1,B146-2025)*$AO$4*C146/MAX(0.0001,12-$AO$3),INDEX($C$24:$Q$24,1,B146-2025)/12)</f>
        <v>0.741611468731536</v>
      </c>
      <c r="EE146" s="88" t="n">
        <f aca="false">$AO$6*0</f>
        <v>0</v>
      </c>
      <c r="EF146" s="88" t="n">
        <f aca="false">ED146+EF145</f>
        <v>108.926935101371</v>
      </c>
      <c r="EG146" s="88" t="n">
        <f aca="false">EE146+EG145</f>
        <v>0</v>
      </c>
      <c r="EH146" s="88" t="n">
        <f aca="false">MAX(EH145,EF146-EG146)</f>
        <v>108.926935101371</v>
      </c>
      <c r="EI146" s="88" t="n">
        <f aca="false">EH146-EH145</f>
        <v>0.741611468731534</v>
      </c>
      <c r="EJ146" s="88" t="n">
        <f aca="false">IF(B146=2026,INDEX($C$25:$Q$25,1,B146-2025)*$AO$4*C146/MAX(0.0001,12-$AO$3),INDEX($C$25:$Q$25,1,B146-2025)/12)</f>
        <v>0.943869142021955</v>
      </c>
      <c r="EK146" s="88" t="n">
        <f aca="false">$AO$6*0</f>
        <v>0</v>
      </c>
      <c r="EL146" s="88" t="n">
        <f aca="false">EJ146+EL145</f>
        <v>138.634281038109</v>
      </c>
      <c r="EM146" s="88" t="n">
        <f aca="false">EK146+EM145</f>
        <v>14</v>
      </c>
      <c r="EN146" s="88" t="n">
        <f aca="false">MAX(EN145,EL146-EM146)</f>
        <v>124.634281038109</v>
      </c>
      <c r="EO146" s="88" t="n">
        <f aca="false">EN146-EN145</f>
        <v>0.943869142021953</v>
      </c>
      <c r="EP146" s="88" t="n">
        <f aca="false">IF(B146=2026,INDEX($C$26:$Q$26,1,B146-2025)*$AO$4*C146/MAX(0.0001,12-$AO$3),INDEX($C$26:$Q$26,1,B146-2025)/12)</f>
        <v>1.35681189165656</v>
      </c>
      <c r="EQ146" s="88" t="n">
        <f aca="false">$AO$6*0</f>
        <v>0</v>
      </c>
      <c r="ER146" s="88" t="n">
        <f aca="false">EP146+ER145</f>
        <v>199.286778992281</v>
      </c>
      <c r="ES146" s="88" t="n">
        <f aca="false">EQ146+ES145</f>
        <v>4</v>
      </c>
      <c r="ET146" s="88" t="n">
        <f aca="false">MAX(ET145,ER146-ES146)</f>
        <v>195.286778992281</v>
      </c>
      <c r="EU146" s="88" t="n">
        <f aca="false">ET146-ET145</f>
        <v>1.35681189165655</v>
      </c>
      <c r="EV146" s="88" t="n">
        <f aca="false">IF(B146=2026,INDEX($C$27:$Q$27,1,B146-2025)*$AO$4*C146/MAX(0.0001,12-$AO$3),INDEX($C$27:$Q$27,1,B146-2025)/12)</f>
        <v>3.37096122150698</v>
      </c>
      <c r="EW146" s="88" t="n">
        <f aca="false">$AO$6*0</f>
        <v>0</v>
      </c>
      <c r="EX146" s="88" t="n">
        <f aca="false">EV146+EX145</f>
        <v>495.122432278961</v>
      </c>
      <c r="EY146" s="88" t="n">
        <f aca="false">EW146+EY145</f>
        <v>391</v>
      </c>
      <c r="EZ146" s="88" t="n">
        <f aca="false">MAX(EZ145,EX146-EY146)</f>
        <v>104.122432278961</v>
      </c>
      <c r="FA146" s="88" t="n">
        <f aca="false">EZ146-EZ145</f>
        <v>3.370961221507</v>
      </c>
      <c r="FB146" s="88" t="n">
        <f aca="false">IF(B146=2026,INDEX($C$28:$Q$28,1,B146-2025)*$AO$4*C146/MAX(0.0001,12-$AO$3),INDEX($C$28:$Q$28,1,B146-2025)/12)</f>
        <v>17.646981994589</v>
      </c>
      <c r="FC146" s="88" t="n">
        <f aca="false">$AO$6*0</f>
        <v>0</v>
      </c>
      <c r="FD146" s="88" t="n">
        <f aca="false">FB146+FD145</f>
        <v>2591.96593298036</v>
      </c>
      <c r="FE146" s="88" t="n">
        <f aca="false">FC146+FE145</f>
        <v>169</v>
      </c>
      <c r="FF146" s="88" t="n">
        <f aca="false">MAX(FF145,FD146-FE146)</f>
        <v>2422.96593298036</v>
      </c>
      <c r="FG146" s="88" t="n">
        <f aca="false">FF146-FF145</f>
        <v>17.6469819945892</v>
      </c>
    </row>
    <row r="147" customFormat="false" ht="15" hidden="false" customHeight="false" outlineLevel="0" collapsed="false">
      <c r="A147" s="0" t="n">
        <v>107</v>
      </c>
      <c r="B147" s="88" t="n">
        <f aca="false">2026+INT(A147/12)</f>
        <v>2034</v>
      </c>
      <c r="C147" s="88" t="n">
        <f aca="false">MAX(0,MIN(1,A147+1-$AO$3))</f>
        <v>1</v>
      </c>
      <c r="D147" s="88" t="n">
        <f aca="false">IF((A147+0.5-(0))&lt;$AO$3,0,2026+INT((A147+0.5-(0))/12))</f>
        <v>2034</v>
      </c>
      <c r="E147" s="88" t="n">
        <f aca="false">IF((A147+0.5-($AO$9))&lt;$AO$3,0,2026+INT((A147+0.5-($AO$9))/12))</f>
        <v>2033</v>
      </c>
      <c r="F147" s="88" t="n">
        <f aca="false">IF((A147+0.5-($AO$9+$AO$8))&lt;$AO$3,0,2026+INT((A147+0.5-($AO$9+$AO$8))/12))</f>
        <v>2032</v>
      </c>
      <c r="G147" s="88" t="n">
        <f aca="false">IF((A147+0.5-($AO$9+$AO$8+$AO$7))&lt;$AO$3,0,2026+INT((A147+0.5-($AO$9+$AO$8+$AO$7))/12))</f>
        <v>2032</v>
      </c>
      <c r="H147" s="88" t="n">
        <f aca="false">IF(B147=2026,INDEX($C$3:$Q$3,1,B147-2025)*$AO$4*C147/MAX(0.0001,12-$AO$3),INDEX($C$3:$Q$3,1,B147-2025)/12)</f>
        <v>180.666666666667</v>
      </c>
      <c r="I147" s="88" t="n">
        <f aca="false">$AO$6*0</f>
        <v>0</v>
      </c>
      <c r="J147" s="88" t="n">
        <f aca="false">H147+J146</f>
        <v>26716.7534246576</v>
      </c>
      <c r="K147" s="88" t="n">
        <f aca="false">I147+K146</f>
        <v>8695.00000000001</v>
      </c>
      <c r="L147" s="88" t="n">
        <f aca="false">MAX(L146,J147-K147)</f>
        <v>18021.7534246576</v>
      </c>
      <c r="M147" s="88" t="n">
        <f aca="false">L147-L146</f>
        <v>180.666666666672</v>
      </c>
      <c r="N147" s="88" t="n">
        <f aca="false">IF(B147=2026,INDEX($C$4:$Q$4,1,B147-2025)*$AO$4*C147/MAX(0.0001,12-$AO$3),INDEX($C$4:$Q$4,1,B147-2025)/12)</f>
        <v>5.47724540066293</v>
      </c>
      <c r="O147" s="88" t="n">
        <f aca="false">$AO$6*0</f>
        <v>0</v>
      </c>
      <c r="P147" s="88" t="n">
        <f aca="false">N147+P146</f>
        <v>809.967978685522</v>
      </c>
      <c r="Q147" s="88" t="n">
        <f aca="false">O147+Q146</f>
        <v>398</v>
      </c>
      <c r="R147" s="88" t="n">
        <f aca="false">MAX(R146,P147-Q147)</f>
        <v>411.967978685522</v>
      </c>
      <c r="S147" s="88" t="n">
        <f aca="false">R147-R146</f>
        <v>5.47724540066292</v>
      </c>
      <c r="T147" s="88" t="n">
        <f aca="false">IF(B147=2026,INDEX($C$5:$Q$5,1,B147-2025)*$AO$4*C147/MAX(0.0001,12-$AO$3),INDEX($C$5:$Q$5,1,B147-2025)/12)</f>
        <v>22.2615024358139</v>
      </c>
      <c r="U147" s="88" t="n">
        <f aca="false">$AO$6*0</f>
        <v>0</v>
      </c>
      <c r="V147" s="88" t="n">
        <f aca="false">T147+V146</f>
        <v>3292.00224044309</v>
      </c>
      <c r="W147" s="88" t="n">
        <f aca="false">U147+W146</f>
        <v>1115</v>
      </c>
      <c r="X147" s="88" t="n">
        <f aca="false">MAX(X146,V147-W147)</f>
        <v>2177.00224044309</v>
      </c>
      <c r="Y147" s="88" t="n">
        <f aca="false">X147-X146</f>
        <v>22.2615024358138</v>
      </c>
      <c r="Z147" s="88" t="n">
        <f aca="false">IF(B147=2026,INDEX($C$6:$Q$6,1,B147-2025)*$AO$4*C147/MAX(0.0001,12-$AO$3),INDEX($C$6:$Q$6,1,B147-2025)/12)</f>
        <v>26.4114629913323</v>
      </c>
      <c r="AA147" s="88" t="n">
        <f aca="false">$AO$6*0</f>
        <v>0</v>
      </c>
      <c r="AB147" s="88" t="n">
        <f aca="false">Z147+AB146</f>
        <v>3905.69304976325</v>
      </c>
      <c r="AC147" s="88" t="n">
        <f aca="false">AA147+AC146</f>
        <v>2194</v>
      </c>
      <c r="AD147" s="88" t="n">
        <f aca="false">MAX(AD146,AB147-AC147)</f>
        <v>1711.69304976324</v>
      </c>
      <c r="AE147" s="88" t="n">
        <f aca="false">AD147-AD146</f>
        <v>26.4114629913324</v>
      </c>
      <c r="AF147" s="88" t="n">
        <f aca="false">IF(B147=2026,INDEX($C$7:$Q$7,1,B147-2025)*$AO$4*C147/MAX(0.0001,12-$AO$3),INDEX($C$7:$Q$7,1,B147-2025)/12)</f>
        <v>22.9427081739175</v>
      </c>
      <c r="AG147" s="88" t="n">
        <f aca="false">$AO$6*0</f>
        <v>0</v>
      </c>
      <c r="AH147" s="88" t="n">
        <f aca="false">AF147+AH146</f>
        <v>3392.73806555217</v>
      </c>
      <c r="AI147" s="88" t="n">
        <f aca="false">AG147+AI146</f>
        <v>826</v>
      </c>
      <c r="AJ147" s="88" t="n">
        <f aca="false">MAX(AJ146,AH147-AI147)</f>
        <v>2566.73806555217</v>
      </c>
      <c r="AK147" s="88" t="n">
        <f aca="false">AJ147-AJ146</f>
        <v>22.9427081739173</v>
      </c>
      <c r="AL147" s="88" t="n">
        <f aca="false">IF(B147=2026,INDEX($C$8:$Q$8,1,B147-2025)*$AO$4*C147/MAX(0.0001,12-$AO$3),INDEX($C$8:$Q$8,1,B147-2025)/12)</f>
        <v>5.80342126052833</v>
      </c>
      <c r="AM147" s="88" t="n">
        <f aca="false">$AO$6*0</f>
        <v>0</v>
      </c>
      <c r="AN147" s="88" t="n">
        <f aca="false">AL147+AN146</f>
        <v>858.20244374696</v>
      </c>
      <c r="AO147" s="88" t="n">
        <f aca="false">AM147+AO146</f>
        <v>66</v>
      </c>
      <c r="AP147" s="88" t="n">
        <f aca="false">MAX(AP146,AN147-AO147)</f>
        <v>792.20244374696</v>
      </c>
      <c r="AQ147" s="88" t="n">
        <f aca="false">AP147-AP146</f>
        <v>5.80342126052835</v>
      </c>
      <c r="AR147" s="88" t="n">
        <f aca="false">IF(B147=2026,INDEX($C$9:$Q$9,1,B147-2025)*$AO$4*C147/MAX(0.0001,12-$AO$3),INDEX($C$9:$Q$9,1,B147-2025)/12)</f>
        <v>24.7454570609428</v>
      </c>
      <c r="AS147" s="88" t="n">
        <f aca="false">$AO$6*0</f>
        <v>0</v>
      </c>
      <c r="AT147" s="88" t="n">
        <f aca="false">AR147+AT146</f>
        <v>3659.32624360329</v>
      </c>
      <c r="AU147" s="88" t="n">
        <f aca="false">AS147+AU146</f>
        <v>1810</v>
      </c>
      <c r="AV147" s="88" t="n">
        <f aca="false">MAX(AV146,AT147-AU147)</f>
        <v>1849.32624360329</v>
      </c>
      <c r="AW147" s="88" t="n">
        <f aca="false">AV147-AV146</f>
        <v>24.745457060943</v>
      </c>
      <c r="AX147" s="88" t="n">
        <f aca="false">IF(B147=2026,INDEX($C$10:$Q$10,1,B147-2025)*$AO$4*C147/MAX(0.0001,12-$AO$3),INDEX($C$10:$Q$10,1,B147-2025)/12)</f>
        <v>2.87034756681557</v>
      </c>
      <c r="AY147" s="88" t="n">
        <f aca="false">$AO$6*0</f>
        <v>0</v>
      </c>
      <c r="AZ147" s="88" t="n">
        <f aca="false">AX147+AZ146</f>
        <v>424.463292540648</v>
      </c>
      <c r="BA147" s="88" t="n">
        <f aca="false">AY147+BA146</f>
        <v>50</v>
      </c>
      <c r="BB147" s="88" t="n">
        <f aca="false">MAX(BB146,AZ147-BA147)</f>
        <v>374.463292540648</v>
      </c>
      <c r="BC147" s="88" t="n">
        <f aca="false">BB147-BB146</f>
        <v>2.87034756681555</v>
      </c>
      <c r="BD147" s="88" t="n">
        <f aca="false">IF(B147=2026,INDEX($C$11:$Q$11,1,B147-2025)*$AO$4*C147/MAX(0.0001,12-$AO$3),INDEX($C$11:$Q$11,1,B147-2025)/12)</f>
        <v>14.2639212564218</v>
      </c>
      <c r="BE147" s="88" t="n">
        <f aca="false">$AO$6*0</f>
        <v>0</v>
      </c>
      <c r="BF147" s="88" t="n">
        <f aca="false">BD147+BF146</f>
        <v>2109.33026057132</v>
      </c>
      <c r="BG147" s="88" t="n">
        <f aca="false">BE147+BG146</f>
        <v>240</v>
      </c>
      <c r="BH147" s="88" t="n">
        <f aca="false">MAX(BH146,BF147-BG147)</f>
        <v>1869.33026057132</v>
      </c>
      <c r="BI147" s="88" t="n">
        <f aca="false">BH147-BH146</f>
        <v>14.2639212564218</v>
      </c>
      <c r="BJ147" s="88" t="n">
        <f aca="false">IF(B147=2026,INDEX($C$12:$Q$12,1,B147-2025)*$AO$4*C147/MAX(0.0001,12-$AO$3),INDEX($C$12:$Q$12,1,B147-2025)/12)</f>
        <v>7.82069350154207</v>
      </c>
      <c r="BK147" s="88" t="n">
        <f aca="false">$AO$6*0</f>
        <v>0</v>
      </c>
      <c r="BL147" s="88" t="n">
        <f aca="false">BJ147+BL146</f>
        <v>1156.51405843462</v>
      </c>
      <c r="BM147" s="88" t="n">
        <f aca="false">BK147+BM146</f>
        <v>465</v>
      </c>
      <c r="BN147" s="88" t="n">
        <f aca="false">MAX(BN146,BL147-BM147)</f>
        <v>691.514058434621</v>
      </c>
      <c r="BO147" s="88" t="n">
        <f aca="false">BN147-BN146</f>
        <v>7.82069350154211</v>
      </c>
      <c r="BP147" s="88" t="n">
        <f aca="false">IF(B147=2026,INDEX($C$13:$Q$13,1,B147-2025)*$AO$4*C147/MAX(0.0001,12-$AO$3),INDEX($C$13:$Q$13,1,B147-2025)/12)</f>
        <v>2.44394688559256</v>
      </c>
      <c r="BQ147" s="88" t="n">
        <f aca="false">$AO$6*0</f>
        <v>0</v>
      </c>
      <c r="BR147" s="88" t="n">
        <f aca="false">BP147+BR146</f>
        <v>361.407710287838</v>
      </c>
      <c r="BS147" s="88" t="n">
        <f aca="false">BQ147+BS146</f>
        <v>87</v>
      </c>
      <c r="BT147" s="88" t="n">
        <f aca="false">MAX(BT146,BR147-BS147)</f>
        <v>274.407710287838</v>
      </c>
      <c r="BU147" s="88" t="n">
        <f aca="false">BT147-BT146</f>
        <v>2.44394688559254</v>
      </c>
      <c r="BV147" s="88" t="n">
        <f aca="false">IF(B147=2026,INDEX($C$14:$Q$14,1,B147-2025)*$AO$4*C147/MAX(0.0001,12-$AO$3),INDEX($C$14:$Q$14,1,B147-2025)/12)</f>
        <v>1.449513325248</v>
      </c>
      <c r="BW147" s="88" t="n">
        <f aca="false">$AO$6*0</f>
        <v>0</v>
      </c>
      <c r="BX147" s="88" t="n">
        <f aca="false">BV147+BX146</f>
        <v>214.352159205201</v>
      </c>
      <c r="BY147" s="88" t="n">
        <f aca="false">BW147+BY146</f>
        <v>0</v>
      </c>
      <c r="BZ147" s="88" t="n">
        <f aca="false">MAX(BZ146,BX147-BY147)</f>
        <v>214.352159205201</v>
      </c>
      <c r="CA147" s="88" t="n">
        <f aca="false">BZ147-BZ146</f>
        <v>1.44951332524801</v>
      </c>
      <c r="CB147" s="88" t="n">
        <f aca="false">IF(B147=2026,INDEX($C$15:$Q$15,1,B147-2025)*$AO$4*C147/MAX(0.0001,12-$AO$3),INDEX($C$15:$Q$15,1,B147-2025)/12)</f>
        <v>2.37652766116242</v>
      </c>
      <c r="CC147" s="88" t="n">
        <f aca="false">$AO$6*0</f>
        <v>0</v>
      </c>
      <c r="CD147" s="88" t="n">
        <f aca="false">CB147+CD146</f>
        <v>351.437842417829</v>
      </c>
      <c r="CE147" s="88" t="n">
        <f aca="false">CC147+CE146</f>
        <v>88.0000000000001</v>
      </c>
      <c r="CF147" s="88" t="n">
        <f aca="false">MAX(CF146,CD147-CE147)</f>
        <v>263.437842417829</v>
      </c>
      <c r="CG147" s="88" t="n">
        <f aca="false">CF147-CF146</f>
        <v>2.37652766116241</v>
      </c>
      <c r="CH147" s="88" t="n">
        <f aca="false">IF(B147=2026,INDEX($C$16:$Q$16,1,B147-2025)*$AO$4*C147/MAX(0.0001,12-$AO$3),INDEX($C$16:$Q$16,1,B147-2025)/12)</f>
        <v>1.87931088099014</v>
      </c>
      <c r="CI147" s="88" t="n">
        <f aca="false">$AO$6*0</f>
        <v>0</v>
      </c>
      <c r="CJ147" s="88" t="n">
        <f aca="false">CH147+CJ146</f>
        <v>277.910066876511</v>
      </c>
      <c r="CK147" s="88" t="n">
        <f aca="false">CI147+CK146</f>
        <v>70</v>
      </c>
      <c r="CL147" s="88" t="n">
        <f aca="false">MAX(CL146,CJ147-CK147)</f>
        <v>207.910066876511</v>
      </c>
      <c r="CM147" s="88" t="n">
        <f aca="false">CL147-CL146</f>
        <v>1.87931088099015</v>
      </c>
      <c r="CN147" s="88" t="n">
        <f aca="false">IF(B147=2026,INDEX($C$17:$Q$17,1,B147-2025)*$AO$4*C147/MAX(0.0001,12-$AO$3),INDEX($C$17:$Q$17,1,B147-2025)/12)</f>
        <v>8.1830083652082</v>
      </c>
      <c r="CO147" s="88" t="n">
        <f aca="false">$AO$6*0</f>
        <v>0</v>
      </c>
      <c r="CP147" s="88" t="n">
        <f aca="false">CN147+CP146</f>
        <v>1210.09271272239</v>
      </c>
      <c r="CQ147" s="88" t="n">
        <f aca="false">CO147+CQ146</f>
        <v>221</v>
      </c>
      <c r="CR147" s="88" t="n">
        <f aca="false">MAX(CR146,CP147-CQ147)</f>
        <v>989.092712722388</v>
      </c>
      <c r="CS147" s="88" t="n">
        <f aca="false">CR147-CR146</f>
        <v>8.18300836520825</v>
      </c>
      <c r="CT147" s="88" t="n">
        <f aca="false">IF(B147=2026,INDEX($C$18:$Q$18,1,B147-2025)*$AO$4*C147/MAX(0.0001,12-$AO$3),INDEX($C$18:$Q$18,1,B147-2025)/12)</f>
        <v>1.70233541686103</v>
      </c>
      <c r="CU147" s="88" t="n">
        <f aca="false">$AO$6*0</f>
        <v>0</v>
      </c>
      <c r="CV147" s="88" t="n">
        <f aca="false">CT147+CV146</f>
        <v>251.739163717736</v>
      </c>
      <c r="CW147" s="88" t="n">
        <f aca="false">CU147+CW146</f>
        <v>11</v>
      </c>
      <c r="CX147" s="88" t="n">
        <f aca="false">MAX(CX146,CV147-CW147)</f>
        <v>240.739163717736</v>
      </c>
      <c r="CY147" s="88" t="n">
        <f aca="false">CX147-CX146</f>
        <v>1.70233541686102</v>
      </c>
      <c r="CZ147" s="88" t="n">
        <f aca="false">IF(B147=2026,INDEX($C$19:$Q$19,1,B147-2025)*$AO$4*C147/MAX(0.0001,12-$AO$3),INDEX($C$19:$Q$19,1,B147-2025)/12)</f>
        <v>1.68548061075349</v>
      </c>
      <c r="DA147" s="88" t="n">
        <f aca="false">$AO$6*0</f>
        <v>0</v>
      </c>
      <c r="DB147" s="88" t="n">
        <f aca="false">CZ147+DB146</f>
        <v>249.246696750234</v>
      </c>
      <c r="DC147" s="88" t="n">
        <f aca="false">DA147+DC146</f>
        <v>226</v>
      </c>
      <c r="DD147" s="88" t="n">
        <f aca="false">MAX(DD146,DB147-DC147)</f>
        <v>37.132124495359</v>
      </c>
      <c r="DE147" s="88" t="n">
        <f aca="false">DD147-DD146</f>
        <v>0</v>
      </c>
      <c r="DF147" s="88" t="n">
        <f aca="false">IF(B147=2026,INDEX($C$20:$Q$20,1,B147-2025)*$AO$4*C147/MAX(0.0001,12-$AO$3),INDEX($C$20:$Q$20,1,B147-2025)/12)</f>
        <v>1.37366669776409</v>
      </c>
      <c r="DG147" s="88" t="n">
        <f aca="false">$AO$6*0</f>
        <v>0</v>
      </c>
      <c r="DH147" s="88" t="n">
        <f aca="false">DF147+DH146</f>
        <v>203.13605785144</v>
      </c>
      <c r="DI147" s="88" t="n">
        <f aca="false">DG147+DI146</f>
        <v>0</v>
      </c>
      <c r="DJ147" s="88" t="n">
        <f aca="false">MAX(DJ146,DH147-DI147)</f>
        <v>203.13605785144</v>
      </c>
      <c r="DK147" s="88" t="n">
        <f aca="false">DJ147-DJ146</f>
        <v>1.37366669776409</v>
      </c>
      <c r="DL147" s="88" t="n">
        <f aca="false">IF(B147=2026,INDEX($C$21:$Q$21,1,B147-2025)*$AO$4*C147/MAX(0.0001,12-$AO$3),INDEX($C$21:$Q$21,1,B147-2025)/12)</f>
        <v>0.96072394812949</v>
      </c>
      <c r="DM147" s="88" t="n">
        <f aca="false">$AO$6*0</f>
        <v>0</v>
      </c>
      <c r="DN147" s="88" t="n">
        <f aca="false">DL147+DN146</f>
        <v>142.070617147633</v>
      </c>
      <c r="DO147" s="88" t="n">
        <f aca="false">DM147+DO146</f>
        <v>100</v>
      </c>
      <c r="DP147" s="88" t="n">
        <f aca="false">MAX(DP146,DN147-DO147)</f>
        <v>42.070617147633</v>
      </c>
      <c r="DQ147" s="88" t="n">
        <f aca="false">DP147-DP146</f>
        <v>0.960723948129498</v>
      </c>
      <c r="DR147" s="88" t="n">
        <f aca="false">IF(B147=2026,INDEX($C$22:$Q$22,1,B147-2025)*$AO$4*C147/MAX(0.0001,12-$AO$3),INDEX($C$22:$Q$22,1,B147-2025)/12)</f>
        <v>0.750038871785304</v>
      </c>
      <c r="DS147" s="88" t="n">
        <f aca="false">$AO$6*0</f>
        <v>0</v>
      </c>
      <c r="DT147" s="88" t="n">
        <f aca="false">DR147+DT146</f>
        <v>110.914780053854</v>
      </c>
      <c r="DU147" s="88" t="n">
        <f aca="false">DS147+DU146</f>
        <v>29</v>
      </c>
      <c r="DV147" s="88" t="n">
        <f aca="false">MAX(DV146,DT147-DU147)</f>
        <v>81.9147800538541</v>
      </c>
      <c r="DW147" s="88" t="n">
        <f aca="false">DV147-DV146</f>
        <v>0.750038871785307</v>
      </c>
      <c r="DX147" s="88" t="n">
        <f aca="false">IF(B147=2026,INDEX($C$23:$Q$23,1,B147-2025)*$AO$4*C147/MAX(0.0001,12-$AO$3),INDEX($C$23:$Q$23,1,B147-2025)/12)</f>
        <v>1.20511863668875</v>
      </c>
      <c r="DY147" s="88" t="n">
        <f aca="false">$AO$6*0</f>
        <v>0</v>
      </c>
      <c r="DZ147" s="88" t="n">
        <f aca="false">DX147+DZ146</f>
        <v>178.211388176417</v>
      </c>
      <c r="EA147" s="88" t="n">
        <f aca="false">DY147+EA146</f>
        <v>121</v>
      </c>
      <c r="EB147" s="88" t="n">
        <f aca="false">MAX(EB146,DZ147-EA147)</f>
        <v>57.2113881764172</v>
      </c>
      <c r="EC147" s="88" t="n">
        <f aca="false">EB147-EB146</f>
        <v>1.20511863668875</v>
      </c>
      <c r="ED147" s="88" t="n">
        <f aca="false">IF(B147=2026,INDEX($C$24:$Q$24,1,B147-2025)*$AO$4*C147/MAX(0.0001,12-$AO$3),INDEX($C$24:$Q$24,1,B147-2025)/12)</f>
        <v>0.741611468731536</v>
      </c>
      <c r="EE147" s="88" t="n">
        <f aca="false">$AO$6*0</f>
        <v>0</v>
      </c>
      <c r="EF147" s="88" t="n">
        <f aca="false">ED147+EF146</f>
        <v>109.668546570103</v>
      </c>
      <c r="EG147" s="88" t="n">
        <f aca="false">EE147+EG146</f>
        <v>0</v>
      </c>
      <c r="EH147" s="88" t="n">
        <f aca="false">MAX(EH146,EF147-EG147)</f>
        <v>109.668546570103</v>
      </c>
      <c r="EI147" s="88" t="n">
        <f aca="false">EH147-EH146</f>
        <v>0.741611468731534</v>
      </c>
      <c r="EJ147" s="88" t="n">
        <f aca="false">IF(B147=2026,INDEX($C$25:$Q$25,1,B147-2025)*$AO$4*C147/MAX(0.0001,12-$AO$3),INDEX($C$25:$Q$25,1,B147-2025)/12)</f>
        <v>0.943869142021955</v>
      </c>
      <c r="EK147" s="88" t="n">
        <f aca="false">$AO$6*0</f>
        <v>0</v>
      </c>
      <c r="EL147" s="88" t="n">
        <f aca="false">EJ147+EL146</f>
        <v>139.578150180131</v>
      </c>
      <c r="EM147" s="88" t="n">
        <f aca="false">EK147+EM146</f>
        <v>14</v>
      </c>
      <c r="EN147" s="88" t="n">
        <f aca="false">MAX(EN146,EL147-EM147)</f>
        <v>125.578150180131</v>
      </c>
      <c r="EO147" s="88" t="n">
        <f aca="false">EN147-EN146</f>
        <v>0.943869142021953</v>
      </c>
      <c r="EP147" s="88" t="n">
        <f aca="false">IF(B147=2026,INDEX($C$26:$Q$26,1,B147-2025)*$AO$4*C147/MAX(0.0001,12-$AO$3),INDEX($C$26:$Q$26,1,B147-2025)/12)</f>
        <v>1.35681189165656</v>
      </c>
      <c r="EQ147" s="88" t="n">
        <f aca="false">$AO$6*0</f>
        <v>0</v>
      </c>
      <c r="ER147" s="88" t="n">
        <f aca="false">EP147+ER146</f>
        <v>200.643590883937</v>
      </c>
      <c r="ES147" s="88" t="n">
        <f aca="false">EQ147+ES146</f>
        <v>4</v>
      </c>
      <c r="ET147" s="88" t="n">
        <f aca="false">MAX(ET146,ER147-ES147)</f>
        <v>196.643590883937</v>
      </c>
      <c r="EU147" s="88" t="n">
        <f aca="false">ET147-ET146</f>
        <v>1.35681189165655</v>
      </c>
      <c r="EV147" s="88" t="n">
        <f aca="false">IF(B147=2026,INDEX($C$27:$Q$27,1,B147-2025)*$AO$4*C147/MAX(0.0001,12-$AO$3),INDEX($C$27:$Q$27,1,B147-2025)/12)</f>
        <v>3.37096122150698</v>
      </c>
      <c r="EW147" s="88" t="n">
        <f aca="false">$AO$6*0</f>
        <v>0</v>
      </c>
      <c r="EX147" s="88" t="n">
        <f aca="false">EV147+EX146</f>
        <v>498.493393500468</v>
      </c>
      <c r="EY147" s="88" t="n">
        <f aca="false">EW147+EY146</f>
        <v>391</v>
      </c>
      <c r="EZ147" s="88" t="n">
        <f aca="false">MAX(EZ146,EX147-EY147)</f>
        <v>107.493393500468</v>
      </c>
      <c r="FA147" s="88" t="n">
        <f aca="false">EZ147-EZ146</f>
        <v>3.370961221507</v>
      </c>
      <c r="FB147" s="88" t="n">
        <f aca="false">IF(B147=2026,INDEX($C$28:$Q$28,1,B147-2025)*$AO$4*C147/MAX(0.0001,12-$AO$3),INDEX($C$28:$Q$28,1,B147-2025)/12)</f>
        <v>17.646981994589</v>
      </c>
      <c r="FC147" s="88" t="n">
        <f aca="false">$AO$6*0</f>
        <v>0</v>
      </c>
      <c r="FD147" s="88" t="n">
        <f aca="false">FB147+FD146</f>
        <v>2609.61291497495</v>
      </c>
      <c r="FE147" s="88" t="n">
        <f aca="false">FC147+FE146</f>
        <v>169</v>
      </c>
      <c r="FF147" s="88" t="n">
        <f aca="false">MAX(FF146,FD147-FE147)</f>
        <v>2440.61291497495</v>
      </c>
      <c r="FG147" s="88" t="n">
        <f aca="false">FF147-FF146</f>
        <v>17.6469819945892</v>
      </c>
    </row>
    <row r="148" customFormat="false" ht="15" hidden="false" customHeight="false" outlineLevel="0" collapsed="false">
      <c r="A148" s="0" t="n">
        <v>108</v>
      </c>
      <c r="B148" s="88" t="n">
        <f aca="false">2026+INT(A148/12)</f>
        <v>2035</v>
      </c>
      <c r="C148" s="88" t="n">
        <f aca="false">MAX(0,MIN(1,A148+1-$AO$3))</f>
        <v>1</v>
      </c>
      <c r="D148" s="88" t="n">
        <f aca="false">IF((A148+0.5-(0))&lt;$AO$3,0,2026+INT((A148+0.5-(0))/12))</f>
        <v>2035</v>
      </c>
      <c r="E148" s="88" t="n">
        <f aca="false">IF((A148+0.5-($AO$9))&lt;$AO$3,0,2026+INT((A148+0.5-($AO$9))/12))</f>
        <v>2033</v>
      </c>
      <c r="F148" s="88" t="n">
        <f aca="false">IF((A148+0.5-($AO$9+$AO$8))&lt;$AO$3,0,2026+INT((A148+0.5-($AO$9+$AO$8))/12))</f>
        <v>2032</v>
      </c>
      <c r="G148" s="88" t="n">
        <f aca="false">IF((A148+0.5-($AO$9+$AO$8+$AO$7))&lt;$AO$3,0,2026+INT((A148+0.5-($AO$9+$AO$8+$AO$7))/12))</f>
        <v>2032</v>
      </c>
      <c r="H148" s="88" t="n">
        <f aca="false">IF(B148=2026,INDEX($C$3:$Q$3,1,B148-2025)*$AO$4*C148/MAX(0.0001,12-$AO$3),INDEX($C$3:$Q$3,1,B148-2025)/12)</f>
        <v>174.583333333333</v>
      </c>
      <c r="I148" s="88" t="n">
        <f aca="false">$AO$6*0</f>
        <v>0</v>
      </c>
      <c r="J148" s="88" t="n">
        <f aca="false">H148+J147</f>
        <v>26891.3367579909</v>
      </c>
      <c r="K148" s="88" t="n">
        <f aca="false">I148+K147</f>
        <v>8695.00000000001</v>
      </c>
      <c r="L148" s="88" t="n">
        <f aca="false">MAX(L147,J148-K148)</f>
        <v>18196.3367579909</v>
      </c>
      <c r="M148" s="88" t="n">
        <f aca="false">L148-L147</f>
        <v>174.583333333328</v>
      </c>
      <c r="N148" s="88" t="n">
        <f aca="false">IF(B148=2026,INDEX($C$4:$Q$4,1,B148-2025)*$AO$4*C148/MAX(0.0001,12-$AO$3),INDEX($C$4:$Q$4,1,B148-2025)/12)</f>
        <v>5.29281785719042</v>
      </c>
      <c r="O148" s="88" t="n">
        <f aca="false">$AO$6*0</f>
        <v>0</v>
      </c>
      <c r="P148" s="88" t="n">
        <f aca="false">N148+P147</f>
        <v>815.260796542713</v>
      </c>
      <c r="Q148" s="88" t="n">
        <f aca="false">O148+Q147</f>
        <v>398</v>
      </c>
      <c r="R148" s="88" t="n">
        <f aca="false">MAX(R147,P148-Q148)</f>
        <v>417.260796542712</v>
      </c>
      <c r="S148" s="88" t="n">
        <f aca="false">R148-R147</f>
        <v>5.29281785719047</v>
      </c>
      <c r="T148" s="88" t="n">
        <f aca="false">IF(B148=2026,INDEX($C$5:$Q$5,1,B148-2025)*$AO$4*C148/MAX(0.0001,12-$AO$3),INDEX($C$5:$Q$5,1,B148-2025)/12)</f>
        <v>21.5119223261209</v>
      </c>
      <c r="U148" s="88" t="n">
        <f aca="false">$AO$6*0</f>
        <v>0</v>
      </c>
      <c r="V148" s="88" t="n">
        <f aca="false">T148+V147</f>
        <v>3313.51416276921</v>
      </c>
      <c r="W148" s="88" t="n">
        <f aca="false">U148+W147</f>
        <v>1115</v>
      </c>
      <c r="X148" s="88" t="n">
        <f aca="false">MAX(X147,V148-W148)</f>
        <v>2198.51416276921</v>
      </c>
      <c r="Y148" s="88" t="n">
        <f aca="false">X148-X147</f>
        <v>21.5119223261208</v>
      </c>
      <c r="Z148" s="88" t="n">
        <f aca="false">IF(B148=2026,INDEX($C$6:$Q$6,1,B148-2025)*$AO$4*C148/MAX(0.0001,12-$AO$3),INDEX($C$6:$Q$6,1,B148-2025)/12)</f>
        <v>25.5221471249267</v>
      </c>
      <c r="AA148" s="88" t="n">
        <f aca="false">$AO$6*0</f>
        <v>0</v>
      </c>
      <c r="AB148" s="88" t="n">
        <f aca="false">Z148+AB147</f>
        <v>3931.21519688817</v>
      </c>
      <c r="AC148" s="88" t="n">
        <f aca="false">AA148+AC147</f>
        <v>2194</v>
      </c>
      <c r="AD148" s="88" t="n">
        <f aca="false">MAX(AD147,AB148-AC148)</f>
        <v>1737.21519688817</v>
      </c>
      <c r="AE148" s="88" t="n">
        <f aca="false">AD148-AD147</f>
        <v>25.5221471249265</v>
      </c>
      <c r="AF148" s="88" t="n">
        <f aca="false">IF(B148=2026,INDEX($C$7:$Q$7,1,B148-2025)*$AO$4*C148/MAX(0.0001,12-$AO$3),INDEX($C$7:$Q$7,1,B148-2025)/12)</f>
        <v>22.1701907861426</v>
      </c>
      <c r="AG148" s="88" t="n">
        <f aca="false">$AO$6*0</f>
        <v>0</v>
      </c>
      <c r="AH148" s="88" t="n">
        <f aca="false">AF148+AH147</f>
        <v>3414.90825633831</v>
      </c>
      <c r="AI148" s="88" t="n">
        <f aca="false">AG148+AI147</f>
        <v>826</v>
      </c>
      <c r="AJ148" s="88" t="n">
        <f aca="false">MAX(AJ147,AH148-AI148)</f>
        <v>2588.90825633831</v>
      </c>
      <c r="AK148" s="88" t="n">
        <f aca="false">AJ148-AJ147</f>
        <v>22.1701907861425</v>
      </c>
      <c r="AL148" s="88" t="n">
        <f aca="false">IF(B148=2026,INDEX($C$8:$Q$8,1,B148-2025)*$AO$4*C148/MAX(0.0001,12-$AO$3),INDEX($C$8:$Q$8,1,B148-2025)/12)</f>
        <v>5.60801085830575</v>
      </c>
      <c r="AM148" s="88" t="n">
        <f aca="false">$AO$6*0</f>
        <v>0</v>
      </c>
      <c r="AN148" s="88" t="n">
        <f aca="false">AL148+AN147</f>
        <v>863.810454605266</v>
      </c>
      <c r="AO148" s="88" t="n">
        <f aca="false">AM148+AO147</f>
        <v>66</v>
      </c>
      <c r="AP148" s="88" t="n">
        <f aca="false">MAX(AP147,AN148-AO148)</f>
        <v>797.810454605266</v>
      </c>
      <c r="AQ148" s="88" t="n">
        <f aca="false">AP148-AP147</f>
        <v>5.60801085830576</v>
      </c>
      <c r="AR148" s="88" t="n">
        <f aca="false">IF(B148=2026,INDEX($C$9:$Q$9,1,B148-2025)*$AO$4*C148/MAX(0.0001,12-$AO$3),INDEX($C$9:$Q$9,1,B148-2025)/12)</f>
        <v>23.9122382576915</v>
      </c>
      <c r="AS148" s="88" t="n">
        <f aca="false">$AO$6*0</f>
        <v>0</v>
      </c>
      <c r="AT148" s="88" t="n">
        <f aca="false">AR148+AT147</f>
        <v>3683.23848186098</v>
      </c>
      <c r="AU148" s="88" t="n">
        <f aca="false">AS148+AU147</f>
        <v>1810</v>
      </c>
      <c r="AV148" s="88" t="n">
        <f aca="false">MAX(AV147,AT148-AU148)</f>
        <v>1873.23848186098</v>
      </c>
      <c r="AW148" s="88" t="n">
        <f aca="false">AV148-AV147</f>
        <v>23.9122382576916</v>
      </c>
      <c r="AX148" s="88" t="n">
        <f aca="false">IF(B148=2026,INDEX($C$10:$Q$10,1,B148-2025)*$AO$4*C148/MAX(0.0001,12-$AO$3),INDEX($C$10:$Q$10,1,B148-2025)/12)</f>
        <v>2.77369840981486</v>
      </c>
      <c r="AY148" s="88" t="n">
        <f aca="false">$AO$6*0</f>
        <v>0</v>
      </c>
      <c r="AZ148" s="88" t="n">
        <f aca="false">AX148+AZ147</f>
        <v>427.236990950463</v>
      </c>
      <c r="BA148" s="88" t="n">
        <f aca="false">AY148+BA147</f>
        <v>50</v>
      </c>
      <c r="BB148" s="88" t="n">
        <f aca="false">MAX(BB147,AZ148-BA148)</f>
        <v>377.236990950463</v>
      </c>
      <c r="BC148" s="88" t="n">
        <f aca="false">BB148-BB147</f>
        <v>2.77369840981487</v>
      </c>
      <c r="BD148" s="88" t="n">
        <f aca="false">IF(B148=2026,INDEX($C$11:$Q$11,1,B148-2025)*$AO$4*C148/MAX(0.0001,12-$AO$3),INDEX($C$11:$Q$11,1,B148-2025)/12)</f>
        <v>13.7836323949279</v>
      </c>
      <c r="BE148" s="88" t="n">
        <f aca="false">$AO$6*0</f>
        <v>0</v>
      </c>
      <c r="BF148" s="88" t="n">
        <f aca="false">BD148+BF147</f>
        <v>2123.11389296625</v>
      </c>
      <c r="BG148" s="88" t="n">
        <f aca="false">BE148+BG147</f>
        <v>240</v>
      </c>
      <c r="BH148" s="88" t="n">
        <f aca="false">MAX(BH147,BF148-BG148)</f>
        <v>1883.11389296625</v>
      </c>
      <c r="BI148" s="88" t="n">
        <f aca="false">BH148-BH147</f>
        <v>13.7836323949277</v>
      </c>
      <c r="BJ148" s="88" t="n">
        <f aca="false">IF(B148=2026,INDEX($C$12:$Q$12,1,B148-2025)*$AO$4*C148/MAX(0.0001,12-$AO$3),INDEX($C$12:$Q$12,1,B148-2025)/12)</f>
        <v>7.55735834212668</v>
      </c>
      <c r="BK148" s="88" t="n">
        <f aca="false">$AO$6*0</f>
        <v>0</v>
      </c>
      <c r="BL148" s="88" t="n">
        <f aca="false">BJ148+BL147</f>
        <v>1164.07141677675</v>
      </c>
      <c r="BM148" s="88" t="n">
        <f aca="false">BK148+BM147</f>
        <v>465</v>
      </c>
      <c r="BN148" s="88" t="n">
        <f aca="false">MAX(BN147,BL148-BM148)</f>
        <v>699.071416776748</v>
      </c>
      <c r="BO148" s="88" t="n">
        <f aca="false">BN148-BN147</f>
        <v>7.55735834212669</v>
      </c>
      <c r="BP148" s="88" t="n">
        <f aca="false">IF(B148=2026,INDEX($C$13:$Q$13,1,B148-2025)*$AO$4*C148/MAX(0.0001,12-$AO$3),INDEX($C$13:$Q$13,1,B148-2025)/12)</f>
        <v>2.36165531610536</v>
      </c>
      <c r="BQ148" s="88" t="n">
        <f aca="false">$AO$6*0</f>
        <v>0</v>
      </c>
      <c r="BR148" s="88" t="n">
        <f aca="false">BP148+BR147</f>
        <v>363.769365603943</v>
      </c>
      <c r="BS148" s="88" t="n">
        <f aca="false">BQ148+BS147</f>
        <v>87</v>
      </c>
      <c r="BT148" s="88" t="n">
        <f aca="false">MAX(BT147,BR148-BS148)</f>
        <v>276.769365603943</v>
      </c>
      <c r="BU148" s="88" t="n">
        <f aca="false">BT148-BT147</f>
        <v>2.36165531610538</v>
      </c>
      <c r="BV148" s="88" t="n">
        <f aca="false">IF(B148=2026,INDEX($C$14:$Q$14,1,B148-2025)*$AO$4*C148/MAX(0.0001,12-$AO$3),INDEX($C$14:$Q$14,1,B148-2025)/12)</f>
        <v>1.40070591162111</v>
      </c>
      <c r="BW148" s="88" t="n">
        <f aca="false">$AO$6*0</f>
        <v>0</v>
      </c>
      <c r="BX148" s="88" t="n">
        <f aca="false">BV148+BX147</f>
        <v>215.752865116822</v>
      </c>
      <c r="BY148" s="88" t="n">
        <f aca="false">BW148+BY147</f>
        <v>0</v>
      </c>
      <c r="BZ148" s="88" t="n">
        <f aca="false">MAX(BZ147,BX148-BY148)</f>
        <v>215.752865116822</v>
      </c>
      <c r="CA148" s="88" t="n">
        <f aca="false">BZ148-BZ147</f>
        <v>1.40070591162112</v>
      </c>
      <c r="CB148" s="88" t="n">
        <f aca="false">IF(B148=2026,INDEX($C$15:$Q$15,1,B148-2025)*$AO$4*C148/MAX(0.0001,12-$AO$3),INDEX($C$15:$Q$15,1,B148-2025)/12)</f>
        <v>2.29650620393693</v>
      </c>
      <c r="CC148" s="88" t="n">
        <f aca="false">$AO$6*0</f>
        <v>0</v>
      </c>
      <c r="CD148" s="88" t="n">
        <f aca="false">CB148+CD147</f>
        <v>353.734348621766</v>
      </c>
      <c r="CE148" s="88" t="n">
        <f aca="false">CC148+CE147</f>
        <v>88.0000000000001</v>
      </c>
      <c r="CF148" s="88" t="n">
        <f aca="false">MAX(CF147,CD148-CE148)</f>
        <v>265.734348621765</v>
      </c>
      <c r="CG148" s="88" t="n">
        <f aca="false">CF148-CF147</f>
        <v>2.29650620393693</v>
      </c>
      <c r="CH148" s="88" t="n">
        <f aca="false">IF(B148=2026,INDEX($C$16:$Q$16,1,B148-2025)*$AO$4*C148/MAX(0.0001,12-$AO$3),INDEX($C$16:$Q$16,1,B148-2025)/12)</f>
        <v>1.81603150169481</v>
      </c>
      <c r="CI148" s="88" t="n">
        <f aca="false">$AO$6*0</f>
        <v>0</v>
      </c>
      <c r="CJ148" s="88" t="n">
        <f aca="false">CH148+CJ147</f>
        <v>279.726098378205</v>
      </c>
      <c r="CK148" s="88" t="n">
        <f aca="false">CI148+CK147</f>
        <v>70</v>
      </c>
      <c r="CL148" s="88" t="n">
        <f aca="false">MAX(CL147,CJ148-CK148)</f>
        <v>209.726098378205</v>
      </c>
      <c r="CM148" s="88" t="n">
        <f aca="false">CL148-CL147</f>
        <v>1.81603150169479</v>
      </c>
      <c r="CN148" s="88" t="n">
        <f aca="false">IF(B148=2026,INDEX($C$17:$Q$17,1,B148-2025)*$AO$4*C148/MAX(0.0001,12-$AO$3),INDEX($C$17:$Q$17,1,B148-2025)/12)</f>
        <v>7.90747348944242</v>
      </c>
      <c r="CO148" s="88" t="n">
        <f aca="false">$AO$6*0</f>
        <v>0</v>
      </c>
      <c r="CP148" s="88" t="n">
        <f aca="false">CN148+CP147</f>
        <v>1218.00018621183</v>
      </c>
      <c r="CQ148" s="88" t="n">
        <f aca="false">CO148+CQ147</f>
        <v>221</v>
      </c>
      <c r="CR148" s="88" t="n">
        <f aca="false">MAX(CR147,CP148-CQ148)</f>
        <v>997.00018621183</v>
      </c>
      <c r="CS148" s="88" t="n">
        <f aca="false">CR148-CR147</f>
        <v>7.90747348944251</v>
      </c>
      <c r="CT148" s="88" t="n">
        <f aca="false">IF(B148=2026,INDEX($C$18:$Q$18,1,B148-2025)*$AO$4*C148/MAX(0.0001,12-$AO$3),INDEX($C$18:$Q$18,1,B148-2025)/12)</f>
        <v>1.6450150822527</v>
      </c>
      <c r="CU148" s="88" t="n">
        <f aca="false">$AO$6*0</f>
        <v>0</v>
      </c>
      <c r="CV148" s="88" t="n">
        <f aca="false">CT148+CV147</f>
        <v>253.384178799988</v>
      </c>
      <c r="CW148" s="88" t="n">
        <f aca="false">CU148+CW147</f>
        <v>11</v>
      </c>
      <c r="CX148" s="88" t="n">
        <f aca="false">MAX(CX147,CV148-CW148)</f>
        <v>242.384178799988</v>
      </c>
      <c r="CY148" s="88" t="n">
        <f aca="false">CX148-CX147</f>
        <v>1.64501508225268</v>
      </c>
      <c r="CZ148" s="88" t="n">
        <f aca="false">IF(B148=2026,INDEX($C$19:$Q$19,1,B148-2025)*$AO$4*C148/MAX(0.0001,12-$AO$3),INDEX($C$19:$Q$19,1,B148-2025)/12)</f>
        <v>1.62872780421059</v>
      </c>
      <c r="DA148" s="88" t="n">
        <f aca="false">$AO$6*0</f>
        <v>0</v>
      </c>
      <c r="DB148" s="88" t="n">
        <f aca="false">CZ148+DB147</f>
        <v>250.875424554445</v>
      </c>
      <c r="DC148" s="88" t="n">
        <f aca="false">DA148+DC147</f>
        <v>226</v>
      </c>
      <c r="DD148" s="88" t="n">
        <f aca="false">MAX(DD147,DB148-DC148)</f>
        <v>37.132124495359</v>
      </c>
      <c r="DE148" s="88" t="n">
        <f aca="false">DD148-DD147</f>
        <v>0</v>
      </c>
      <c r="DF148" s="88" t="n">
        <f aca="false">IF(B148=2026,INDEX($C$20:$Q$20,1,B148-2025)*$AO$4*C148/MAX(0.0001,12-$AO$3),INDEX($C$20:$Q$20,1,B148-2025)/12)</f>
        <v>1.32741316043163</v>
      </c>
      <c r="DG148" s="88" t="n">
        <f aca="false">$AO$6*0</f>
        <v>0</v>
      </c>
      <c r="DH148" s="88" t="n">
        <f aca="false">DF148+DH147</f>
        <v>204.463471011872</v>
      </c>
      <c r="DI148" s="88" t="n">
        <f aca="false">DG148+DI147</f>
        <v>0</v>
      </c>
      <c r="DJ148" s="88" t="n">
        <f aca="false">MAX(DJ147,DH148-DI148)</f>
        <v>204.463471011872</v>
      </c>
      <c r="DK148" s="88" t="n">
        <f aca="false">DJ148-DJ147</f>
        <v>1.32741316043163</v>
      </c>
      <c r="DL148" s="88" t="n">
        <f aca="false">IF(B148=2026,INDEX($C$21:$Q$21,1,B148-2025)*$AO$4*C148/MAX(0.0001,12-$AO$3),INDEX($C$21:$Q$21,1,B148-2025)/12)</f>
        <v>0.928374848400037</v>
      </c>
      <c r="DM148" s="88" t="n">
        <f aca="false">$AO$6*0</f>
        <v>0</v>
      </c>
      <c r="DN148" s="88" t="n">
        <f aca="false">DL148+DN147</f>
        <v>142.998991996033</v>
      </c>
      <c r="DO148" s="88" t="n">
        <f aca="false">DM148+DO147</f>
        <v>100</v>
      </c>
      <c r="DP148" s="88" t="n">
        <f aca="false">MAX(DP147,DN148-DO148)</f>
        <v>42.998991996033</v>
      </c>
      <c r="DQ148" s="88" t="n">
        <f aca="false">DP148-DP147</f>
        <v>0.92837484840004</v>
      </c>
      <c r="DR148" s="88" t="n">
        <f aca="false">IF(B148=2026,INDEX($C$22:$Q$22,1,B148-2025)*$AO$4*C148/MAX(0.0001,12-$AO$3),INDEX($C$22:$Q$22,1,B148-2025)/12)</f>
        <v>0.724783872873713</v>
      </c>
      <c r="DS148" s="88" t="n">
        <f aca="false">$AO$6*0</f>
        <v>0</v>
      </c>
      <c r="DT148" s="88" t="n">
        <f aca="false">DR148+DT147</f>
        <v>111.639563926728</v>
      </c>
      <c r="DU148" s="88" t="n">
        <f aca="false">DS148+DU147</f>
        <v>29</v>
      </c>
      <c r="DV148" s="88" t="n">
        <f aca="false">MAX(DV147,DT148-DU148)</f>
        <v>82.6395639267278</v>
      </c>
      <c r="DW148" s="88" t="n">
        <f aca="false">DV148-DV147</f>
        <v>0.724783872873701</v>
      </c>
      <c r="DX148" s="88" t="n">
        <f aca="false">IF(B148=2026,INDEX($C$23:$Q$23,1,B148-2025)*$AO$4*C148/MAX(0.0001,12-$AO$3),INDEX($C$23:$Q$23,1,B148-2025)/12)</f>
        <v>1.16454038001057</v>
      </c>
      <c r="DY148" s="88" t="n">
        <f aca="false">$AO$6*0</f>
        <v>0</v>
      </c>
      <c r="DZ148" s="88" t="n">
        <f aca="false">DX148+DZ147</f>
        <v>179.375928556428</v>
      </c>
      <c r="EA148" s="88" t="n">
        <f aca="false">DY148+EA147</f>
        <v>121</v>
      </c>
      <c r="EB148" s="88" t="n">
        <f aca="false">MAX(EB147,DZ148-EA148)</f>
        <v>58.3759285564278</v>
      </c>
      <c r="EC148" s="88" t="n">
        <f aca="false">EB148-EB147</f>
        <v>1.16454038001058</v>
      </c>
      <c r="ED148" s="88" t="n">
        <f aca="false">IF(B148=2026,INDEX($C$24:$Q$24,1,B148-2025)*$AO$4*C148/MAX(0.0001,12-$AO$3),INDEX($C$24:$Q$24,1,B148-2025)/12)</f>
        <v>0.71664023385266</v>
      </c>
      <c r="EE148" s="88" t="n">
        <f aca="false">$AO$6*0</f>
        <v>0</v>
      </c>
      <c r="EF148" s="88" t="n">
        <f aca="false">ED148+EF147</f>
        <v>110.385186803955</v>
      </c>
      <c r="EG148" s="88" t="n">
        <f aca="false">EE148+EG147</f>
        <v>0</v>
      </c>
      <c r="EH148" s="88" t="n">
        <f aca="false">MAX(EH147,EF148-EG148)</f>
        <v>110.385186803955</v>
      </c>
      <c r="EI148" s="88" t="n">
        <f aca="false">EH148-EH147</f>
        <v>0.716640233852658</v>
      </c>
      <c r="EJ148" s="88" t="n">
        <f aca="false">IF(B148=2026,INDEX($C$25:$Q$25,1,B148-2025)*$AO$4*C148/MAX(0.0001,12-$AO$3),INDEX($C$25:$Q$25,1,B148-2025)/12)</f>
        <v>0.912087570357932</v>
      </c>
      <c r="EK148" s="88" t="n">
        <f aca="false">$AO$6*0</f>
        <v>0</v>
      </c>
      <c r="EL148" s="88" t="n">
        <f aca="false">EJ148+EL147</f>
        <v>140.490237750489</v>
      </c>
      <c r="EM148" s="88" t="n">
        <f aca="false">EK148+EM147</f>
        <v>14</v>
      </c>
      <c r="EN148" s="88" t="n">
        <f aca="false">MAX(EN147,EL148-EM148)</f>
        <v>126.490237750489</v>
      </c>
      <c r="EO148" s="88" t="n">
        <f aca="false">EN148-EN147</f>
        <v>0.912087570357926</v>
      </c>
      <c r="EP148" s="88" t="n">
        <f aca="false">IF(B148=2026,INDEX($C$26:$Q$26,1,B148-2025)*$AO$4*C148/MAX(0.0001,12-$AO$3),INDEX($C$26:$Q$26,1,B148-2025)/12)</f>
        <v>1.31112588238953</v>
      </c>
      <c r="EQ148" s="88" t="n">
        <f aca="false">$AO$6*0</f>
        <v>0</v>
      </c>
      <c r="ER148" s="88" t="n">
        <f aca="false">EP148+ER147</f>
        <v>201.954716766327</v>
      </c>
      <c r="ES148" s="88" t="n">
        <f aca="false">EQ148+ES147</f>
        <v>4</v>
      </c>
      <c r="ET148" s="88" t="n">
        <f aca="false">MAX(ET147,ER148-ES148)</f>
        <v>197.954716766327</v>
      </c>
      <c r="EU148" s="88" t="n">
        <f aca="false">ET148-ET147</f>
        <v>1.31112588238952</v>
      </c>
      <c r="EV148" s="88" t="n">
        <f aca="false">IF(B148=2026,INDEX($C$27:$Q$27,1,B148-2025)*$AO$4*C148/MAX(0.0001,12-$AO$3),INDEX($C$27:$Q$27,1,B148-2025)/12)</f>
        <v>3.25745560842118</v>
      </c>
      <c r="EW148" s="88" t="n">
        <f aca="false">$AO$6*0</f>
        <v>0</v>
      </c>
      <c r="EX148" s="88" t="n">
        <f aca="false">EV148+EX147</f>
        <v>501.750849108889</v>
      </c>
      <c r="EY148" s="88" t="n">
        <f aca="false">EW148+EY147</f>
        <v>391</v>
      </c>
      <c r="EZ148" s="88" t="n">
        <f aca="false">MAX(EZ147,EX148-EY148)</f>
        <v>110.750849108889</v>
      </c>
      <c r="FA148" s="88" t="n">
        <f aca="false">EZ148-EZ147</f>
        <v>3.2574556084212</v>
      </c>
      <c r="FB148" s="88" t="n">
        <f aca="false">IF(B148=2026,INDEX($C$28:$Q$28,1,B148-2025)*$AO$4*C148/MAX(0.0001,12-$AO$3),INDEX($C$28:$Q$28,1,B148-2025)/12)</f>
        <v>17.0527801100849</v>
      </c>
      <c r="FC148" s="88" t="n">
        <f aca="false">$AO$6*0</f>
        <v>0</v>
      </c>
      <c r="FD148" s="88" t="n">
        <f aca="false">FB148+FD147</f>
        <v>2626.66569508503</v>
      </c>
      <c r="FE148" s="88" t="n">
        <f aca="false">FC148+FE147</f>
        <v>169</v>
      </c>
      <c r="FF148" s="88" t="n">
        <f aca="false">MAX(FF147,FD148-FE148)</f>
        <v>2457.66569508503</v>
      </c>
      <c r="FG148" s="88" t="n">
        <f aca="false">FF148-FF147</f>
        <v>17.0527801100848</v>
      </c>
    </row>
    <row r="149" customFormat="false" ht="15" hidden="false" customHeight="false" outlineLevel="0" collapsed="false">
      <c r="A149" s="0" t="n">
        <v>109</v>
      </c>
      <c r="B149" s="88" t="n">
        <f aca="false">2026+INT(A149/12)</f>
        <v>2035</v>
      </c>
      <c r="C149" s="88" t="n">
        <f aca="false">MAX(0,MIN(1,A149+1-$AO$3))</f>
        <v>1</v>
      </c>
      <c r="D149" s="88" t="n">
        <f aca="false">IF((A149+0.5-(0))&lt;$AO$3,0,2026+INT((A149+0.5-(0))/12))</f>
        <v>2035</v>
      </c>
      <c r="E149" s="88" t="n">
        <f aca="false">IF((A149+0.5-($AO$9))&lt;$AO$3,0,2026+INT((A149+0.5-($AO$9))/12))</f>
        <v>2033</v>
      </c>
      <c r="F149" s="88" t="n">
        <f aca="false">IF((A149+0.5-($AO$9+$AO$8))&lt;$AO$3,0,2026+INT((A149+0.5-($AO$9+$AO$8))/12))</f>
        <v>2032</v>
      </c>
      <c r="G149" s="88" t="n">
        <f aca="false">IF((A149+0.5-($AO$9+$AO$8+$AO$7))&lt;$AO$3,0,2026+INT((A149+0.5-($AO$9+$AO$8+$AO$7))/12))</f>
        <v>2032</v>
      </c>
      <c r="H149" s="88" t="n">
        <f aca="false">IF(B149=2026,INDEX($C$3:$Q$3,1,B149-2025)*$AO$4*C149/MAX(0.0001,12-$AO$3),INDEX($C$3:$Q$3,1,B149-2025)/12)</f>
        <v>174.583333333333</v>
      </c>
      <c r="I149" s="88" t="n">
        <f aca="false">$AO$6*0</f>
        <v>0</v>
      </c>
      <c r="J149" s="88" t="n">
        <f aca="false">H149+J148</f>
        <v>27065.9200913243</v>
      </c>
      <c r="K149" s="88" t="n">
        <f aca="false">I149+K148</f>
        <v>8695.00000000001</v>
      </c>
      <c r="L149" s="88" t="n">
        <f aca="false">MAX(L148,J149-K149)</f>
        <v>18370.9200913243</v>
      </c>
      <c r="M149" s="88" t="n">
        <f aca="false">L149-L148</f>
        <v>174.583333333336</v>
      </c>
      <c r="N149" s="88" t="n">
        <f aca="false">IF(B149=2026,INDEX($C$4:$Q$4,1,B149-2025)*$AO$4*C149/MAX(0.0001,12-$AO$3),INDEX($C$4:$Q$4,1,B149-2025)/12)</f>
        <v>5.29281785719042</v>
      </c>
      <c r="O149" s="88" t="n">
        <f aca="false">$AO$6*0</f>
        <v>0</v>
      </c>
      <c r="P149" s="88" t="n">
        <f aca="false">N149+P148</f>
        <v>820.553614399903</v>
      </c>
      <c r="Q149" s="88" t="n">
        <f aca="false">O149+Q148</f>
        <v>398</v>
      </c>
      <c r="R149" s="88" t="n">
        <f aca="false">MAX(R148,P149-Q149)</f>
        <v>422.553614399903</v>
      </c>
      <c r="S149" s="88" t="n">
        <f aca="false">R149-R148</f>
        <v>5.29281785719047</v>
      </c>
      <c r="T149" s="88" t="n">
        <f aca="false">IF(B149=2026,INDEX($C$5:$Q$5,1,B149-2025)*$AO$4*C149/MAX(0.0001,12-$AO$3),INDEX($C$5:$Q$5,1,B149-2025)/12)</f>
        <v>21.5119223261209</v>
      </c>
      <c r="U149" s="88" t="n">
        <f aca="false">$AO$6*0</f>
        <v>0</v>
      </c>
      <c r="V149" s="88" t="n">
        <f aca="false">T149+V148</f>
        <v>3335.02608509533</v>
      </c>
      <c r="W149" s="88" t="n">
        <f aca="false">U149+W148</f>
        <v>1115</v>
      </c>
      <c r="X149" s="88" t="n">
        <f aca="false">MAX(X148,V149-W149)</f>
        <v>2220.02608509533</v>
      </c>
      <c r="Y149" s="88" t="n">
        <f aca="false">X149-X148</f>
        <v>21.5119223261208</v>
      </c>
      <c r="Z149" s="88" t="n">
        <f aca="false">IF(B149=2026,INDEX($C$6:$Q$6,1,B149-2025)*$AO$4*C149/MAX(0.0001,12-$AO$3),INDEX($C$6:$Q$6,1,B149-2025)/12)</f>
        <v>25.5221471249267</v>
      </c>
      <c r="AA149" s="88" t="n">
        <f aca="false">$AO$6*0</f>
        <v>0</v>
      </c>
      <c r="AB149" s="88" t="n">
        <f aca="false">Z149+AB148</f>
        <v>3956.7373440131</v>
      </c>
      <c r="AC149" s="88" t="n">
        <f aca="false">AA149+AC148</f>
        <v>2194</v>
      </c>
      <c r="AD149" s="88" t="n">
        <f aca="false">MAX(AD148,AB149-AC149)</f>
        <v>1762.7373440131</v>
      </c>
      <c r="AE149" s="88" t="n">
        <f aca="false">AD149-AD148</f>
        <v>25.5221471249265</v>
      </c>
      <c r="AF149" s="88" t="n">
        <f aca="false">IF(B149=2026,INDEX($C$7:$Q$7,1,B149-2025)*$AO$4*C149/MAX(0.0001,12-$AO$3),INDEX($C$7:$Q$7,1,B149-2025)/12)</f>
        <v>22.1701907861426</v>
      </c>
      <c r="AG149" s="88" t="n">
        <f aca="false">$AO$6*0</f>
        <v>0</v>
      </c>
      <c r="AH149" s="88" t="n">
        <f aca="false">AF149+AH148</f>
        <v>3437.07844712446</v>
      </c>
      <c r="AI149" s="88" t="n">
        <f aca="false">AG149+AI148</f>
        <v>826</v>
      </c>
      <c r="AJ149" s="88" t="n">
        <f aca="false">MAX(AJ148,AH149-AI149)</f>
        <v>2611.07844712446</v>
      </c>
      <c r="AK149" s="88" t="n">
        <f aca="false">AJ149-AJ148</f>
        <v>22.1701907861425</v>
      </c>
      <c r="AL149" s="88" t="n">
        <f aca="false">IF(B149=2026,INDEX($C$8:$Q$8,1,B149-2025)*$AO$4*C149/MAX(0.0001,12-$AO$3),INDEX($C$8:$Q$8,1,B149-2025)/12)</f>
        <v>5.60801085830575</v>
      </c>
      <c r="AM149" s="88" t="n">
        <f aca="false">$AO$6*0</f>
        <v>0</v>
      </c>
      <c r="AN149" s="88" t="n">
        <f aca="false">AL149+AN148</f>
        <v>869.418465463572</v>
      </c>
      <c r="AO149" s="88" t="n">
        <f aca="false">AM149+AO148</f>
        <v>66</v>
      </c>
      <c r="AP149" s="88" t="n">
        <f aca="false">MAX(AP148,AN149-AO149)</f>
        <v>803.418465463572</v>
      </c>
      <c r="AQ149" s="88" t="n">
        <f aca="false">AP149-AP148</f>
        <v>5.60801085830576</v>
      </c>
      <c r="AR149" s="88" t="n">
        <f aca="false">IF(B149=2026,INDEX($C$9:$Q$9,1,B149-2025)*$AO$4*C149/MAX(0.0001,12-$AO$3),INDEX($C$9:$Q$9,1,B149-2025)/12)</f>
        <v>23.9122382576915</v>
      </c>
      <c r="AS149" s="88" t="n">
        <f aca="false">$AO$6*0</f>
        <v>0</v>
      </c>
      <c r="AT149" s="88" t="n">
        <f aca="false">AR149+AT148</f>
        <v>3707.15072011867</v>
      </c>
      <c r="AU149" s="88" t="n">
        <f aca="false">AS149+AU148</f>
        <v>1810</v>
      </c>
      <c r="AV149" s="88" t="n">
        <f aca="false">MAX(AV148,AT149-AU149)</f>
        <v>1897.15072011867</v>
      </c>
      <c r="AW149" s="88" t="n">
        <f aca="false">AV149-AV148</f>
        <v>23.9122382576916</v>
      </c>
      <c r="AX149" s="88" t="n">
        <f aca="false">IF(B149=2026,INDEX($C$10:$Q$10,1,B149-2025)*$AO$4*C149/MAX(0.0001,12-$AO$3),INDEX($C$10:$Q$10,1,B149-2025)/12)</f>
        <v>2.77369840981486</v>
      </c>
      <c r="AY149" s="88" t="n">
        <f aca="false">$AO$6*0</f>
        <v>0</v>
      </c>
      <c r="AZ149" s="88" t="n">
        <f aca="false">AX149+AZ148</f>
        <v>430.010689360278</v>
      </c>
      <c r="BA149" s="88" t="n">
        <f aca="false">AY149+BA148</f>
        <v>50</v>
      </c>
      <c r="BB149" s="88" t="n">
        <f aca="false">MAX(BB148,AZ149-BA149)</f>
        <v>380.010689360278</v>
      </c>
      <c r="BC149" s="88" t="n">
        <f aca="false">BB149-BB148</f>
        <v>2.77369840981487</v>
      </c>
      <c r="BD149" s="88" t="n">
        <f aca="false">IF(B149=2026,INDEX($C$11:$Q$11,1,B149-2025)*$AO$4*C149/MAX(0.0001,12-$AO$3),INDEX($C$11:$Q$11,1,B149-2025)/12)</f>
        <v>13.7836323949279</v>
      </c>
      <c r="BE149" s="88" t="n">
        <f aca="false">$AO$6*0</f>
        <v>0</v>
      </c>
      <c r="BF149" s="88" t="n">
        <f aca="false">BD149+BF148</f>
        <v>2136.89752536118</v>
      </c>
      <c r="BG149" s="88" t="n">
        <f aca="false">BE149+BG148</f>
        <v>240</v>
      </c>
      <c r="BH149" s="88" t="n">
        <f aca="false">MAX(BH148,BF149-BG149)</f>
        <v>1896.89752536118</v>
      </c>
      <c r="BI149" s="88" t="n">
        <f aca="false">BH149-BH148</f>
        <v>13.7836323949277</v>
      </c>
      <c r="BJ149" s="88" t="n">
        <f aca="false">IF(B149=2026,INDEX($C$12:$Q$12,1,B149-2025)*$AO$4*C149/MAX(0.0001,12-$AO$3),INDEX($C$12:$Q$12,1,B149-2025)/12)</f>
        <v>7.55735834212668</v>
      </c>
      <c r="BK149" s="88" t="n">
        <f aca="false">$AO$6*0</f>
        <v>0</v>
      </c>
      <c r="BL149" s="88" t="n">
        <f aca="false">BJ149+BL148</f>
        <v>1171.62877511887</v>
      </c>
      <c r="BM149" s="88" t="n">
        <f aca="false">BK149+BM148</f>
        <v>465</v>
      </c>
      <c r="BN149" s="88" t="n">
        <f aca="false">MAX(BN148,BL149-BM149)</f>
        <v>706.628775118874</v>
      </c>
      <c r="BO149" s="88" t="n">
        <f aca="false">BN149-BN148</f>
        <v>7.55735834212669</v>
      </c>
      <c r="BP149" s="88" t="n">
        <f aca="false">IF(B149=2026,INDEX($C$13:$Q$13,1,B149-2025)*$AO$4*C149/MAX(0.0001,12-$AO$3),INDEX($C$13:$Q$13,1,B149-2025)/12)</f>
        <v>2.36165531610536</v>
      </c>
      <c r="BQ149" s="88" t="n">
        <f aca="false">$AO$6*0</f>
        <v>0</v>
      </c>
      <c r="BR149" s="88" t="n">
        <f aca="false">BP149+BR148</f>
        <v>366.131020920049</v>
      </c>
      <c r="BS149" s="88" t="n">
        <f aca="false">BQ149+BS148</f>
        <v>87</v>
      </c>
      <c r="BT149" s="88" t="n">
        <f aca="false">MAX(BT148,BR149-BS149)</f>
        <v>279.131020920049</v>
      </c>
      <c r="BU149" s="88" t="n">
        <f aca="false">BT149-BT148</f>
        <v>2.36165531610538</v>
      </c>
      <c r="BV149" s="88" t="n">
        <f aca="false">IF(B149=2026,INDEX($C$14:$Q$14,1,B149-2025)*$AO$4*C149/MAX(0.0001,12-$AO$3),INDEX($C$14:$Q$14,1,B149-2025)/12)</f>
        <v>1.40070591162111</v>
      </c>
      <c r="BW149" s="88" t="n">
        <f aca="false">$AO$6*0</f>
        <v>0</v>
      </c>
      <c r="BX149" s="88" t="n">
        <f aca="false">BV149+BX148</f>
        <v>217.153571028443</v>
      </c>
      <c r="BY149" s="88" t="n">
        <f aca="false">BW149+BY148</f>
        <v>0</v>
      </c>
      <c r="BZ149" s="88" t="n">
        <f aca="false">MAX(BZ148,BX149-BY149)</f>
        <v>217.153571028443</v>
      </c>
      <c r="CA149" s="88" t="n">
        <f aca="false">BZ149-BZ148</f>
        <v>1.40070591162112</v>
      </c>
      <c r="CB149" s="88" t="n">
        <f aca="false">IF(B149=2026,INDEX($C$15:$Q$15,1,B149-2025)*$AO$4*C149/MAX(0.0001,12-$AO$3),INDEX($C$15:$Q$15,1,B149-2025)/12)</f>
        <v>2.29650620393693</v>
      </c>
      <c r="CC149" s="88" t="n">
        <f aca="false">$AO$6*0</f>
        <v>0</v>
      </c>
      <c r="CD149" s="88" t="n">
        <f aca="false">CB149+CD148</f>
        <v>356.030854825702</v>
      </c>
      <c r="CE149" s="88" t="n">
        <f aca="false">CC149+CE148</f>
        <v>88.0000000000001</v>
      </c>
      <c r="CF149" s="88" t="n">
        <f aca="false">MAX(CF148,CD149-CE149)</f>
        <v>268.030854825702</v>
      </c>
      <c r="CG149" s="88" t="n">
        <f aca="false">CF149-CF148</f>
        <v>2.29650620393693</v>
      </c>
      <c r="CH149" s="88" t="n">
        <f aca="false">IF(B149=2026,INDEX($C$16:$Q$16,1,B149-2025)*$AO$4*C149/MAX(0.0001,12-$AO$3),INDEX($C$16:$Q$16,1,B149-2025)/12)</f>
        <v>1.81603150169481</v>
      </c>
      <c r="CI149" s="88" t="n">
        <f aca="false">$AO$6*0</f>
        <v>0</v>
      </c>
      <c r="CJ149" s="88" t="n">
        <f aca="false">CH149+CJ148</f>
        <v>281.5421298799</v>
      </c>
      <c r="CK149" s="88" t="n">
        <f aca="false">CI149+CK148</f>
        <v>70</v>
      </c>
      <c r="CL149" s="88" t="n">
        <f aca="false">MAX(CL148,CJ149-CK149)</f>
        <v>211.5421298799</v>
      </c>
      <c r="CM149" s="88" t="n">
        <f aca="false">CL149-CL148</f>
        <v>1.81603150169479</v>
      </c>
      <c r="CN149" s="88" t="n">
        <f aca="false">IF(B149=2026,INDEX($C$17:$Q$17,1,B149-2025)*$AO$4*C149/MAX(0.0001,12-$AO$3),INDEX($C$17:$Q$17,1,B149-2025)/12)</f>
        <v>7.90747348944242</v>
      </c>
      <c r="CO149" s="88" t="n">
        <f aca="false">$AO$6*0</f>
        <v>0</v>
      </c>
      <c r="CP149" s="88" t="n">
        <f aca="false">CN149+CP148</f>
        <v>1225.90765970127</v>
      </c>
      <c r="CQ149" s="88" t="n">
        <f aca="false">CO149+CQ148</f>
        <v>221</v>
      </c>
      <c r="CR149" s="88" t="n">
        <f aca="false">MAX(CR148,CP149-CQ149)</f>
        <v>1004.90765970127</v>
      </c>
      <c r="CS149" s="88" t="n">
        <f aca="false">CR149-CR148</f>
        <v>7.90747348944251</v>
      </c>
      <c r="CT149" s="88" t="n">
        <f aca="false">IF(B149=2026,INDEX($C$18:$Q$18,1,B149-2025)*$AO$4*C149/MAX(0.0001,12-$AO$3),INDEX($C$18:$Q$18,1,B149-2025)/12)</f>
        <v>1.6450150822527</v>
      </c>
      <c r="CU149" s="88" t="n">
        <f aca="false">$AO$6*0</f>
        <v>0</v>
      </c>
      <c r="CV149" s="88" t="n">
        <f aca="false">CT149+CV148</f>
        <v>255.029193882241</v>
      </c>
      <c r="CW149" s="88" t="n">
        <f aca="false">CU149+CW148</f>
        <v>11</v>
      </c>
      <c r="CX149" s="88" t="n">
        <f aca="false">MAX(CX148,CV149-CW149)</f>
        <v>244.029193882241</v>
      </c>
      <c r="CY149" s="88" t="n">
        <f aca="false">CX149-CX148</f>
        <v>1.64501508225271</v>
      </c>
      <c r="CZ149" s="88" t="n">
        <f aca="false">IF(B149=2026,INDEX($C$19:$Q$19,1,B149-2025)*$AO$4*C149/MAX(0.0001,12-$AO$3),INDEX($C$19:$Q$19,1,B149-2025)/12)</f>
        <v>1.62872780421059</v>
      </c>
      <c r="DA149" s="88" t="n">
        <f aca="false">$AO$6*0</f>
        <v>0</v>
      </c>
      <c r="DB149" s="88" t="n">
        <f aca="false">CZ149+DB148</f>
        <v>252.504152358655</v>
      </c>
      <c r="DC149" s="88" t="n">
        <f aca="false">DA149+DC148</f>
        <v>226</v>
      </c>
      <c r="DD149" s="88" t="n">
        <f aca="false">MAX(DD148,DB149-DC149)</f>
        <v>37.132124495359</v>
      </c>
      <c r="DE149" s="88" t="n">
        <f aca="false">DD149-DD148</f>
        <v>0</v>
      </c>
      <c r="DF149" s="88" t="n">
        <f aca="false">IF(B149=2026,INDEX($C$20:$Q$20,1,B149-2025)*$AO$4*C149/MAX(0.0001,12-$AO$3),INDEX($C$20:$Q$20,1,B149-2025)/12)</f>
        <v>1.32741316043163</v>
      </c>
      <c r="DG149" s="88" t="n">
        <f aca="false">$AO$6*0</f>
        <v>0</v>
      </c>
      <c r="DH149" s="88" t="n">
        <f aca="false">DF149+DH148</f>
        <v>205.790884172304</v>
      </c>
      <c r="DI149" s="88" t="n">
        <f aca="false">DG149+DI148</f>
        <v>0</v>
      </c>
      <c r="DJ149" s="88" t="n">
        <f aca="false">MAX(DJ148,DH149-DI149)</f>
        <v>205.790884172304</v>
      </c>
      <c r="DK149" s="88" t="n">
        <f aca="false">DJ149-DJ148</f>
        <v>1.32741316043163</v>
      </c>
      <c r="DL149" s="88" t="n">
        <f aca="false">IF(B149=2026,INDEX($C$21:$Q$21,1,B149-2025)*$AO$4*C149/MAX(0.0001,12-$AO$3),INDEX($C$21:$Q$21,1,B149-2025)/12)</f>
        <v>0.928374848400037</v>
      </c>
      <c r="DM149" s="88" t="n">
        <f aca="false">$AO$6*0</f>
        <v>0</v>
      </c>
      <c r="DN149" s="88" t="n">
        <f aca="false">DL149+DN148</f>
        <v>143.927366844433</v>
      </c>
      <c r="DO149" s="88" t="n">
        <f aca="false">DM149+DO148</f>
        <v>100</v>
      </c>
      <c r="DP149" s="88" t="n">
        <f aca="false">MAX(DP148,DN149-DO149)</f>
        <v>43.9273668444331</v>
      </c>
      <c r="DQ149" s="88" t="n">
        <f aca="false">DP149-DP148</f>
        <v>0.92837484840004</v>
      </c>
      <c r="DR149" s="88" t="n">
        <f aca="false">IF(B149=2026,INDEX($C$22:$Q$22,1,B149-2025)*$AO$4*C149/MAX(0.0001,12-$AO$3),INDEX($C$22:$Q$22,1,B149-2025)/12)</f>
        <v>0.724783872873713</v>
      </c>
      <c r="DS149" s="88" t="n">
        <f aca="false">$AO$6*0</f>
        <v>0</v>
      </c>
      <c r="DT149" s="88" t="n">
        <f aca="false">DR149+DT148</f>
        <v>112.364347799602</v>
      </c>
      <c r="DU149" s="88" t="n">
        <f aca="false">DS149+DU148</f>
        <v>29</v>
      </c>
      <c r="DV149" s="88" t="n">
        <f aca="false">MAX(DV148,DT149-DU149)</f>
        <v>83.3643477996016</v>
      </c>
      <c r="DW149" s="88" t="n">
        <f aca="false">DV149-DV148</f>
        <v>0.724783872873729</v>
      </c>
      <c r="DX149" s="88" t="n">
        <f aca="false">IF(B149=2026,INDEX($C$23:$Q$23,1,B149-2025)*$AO$4*C149/MAX(0.0001,12-$AO$3),INDEX($C$23:$Q$23,1,B149-2025)/12)</f>
        <v>1.16454038001057</v>
      </c>
      <c r="DY149" s="88" t="n">
        <f aca="false">$AO$6*0</f>
        <v>0</v>
      </c>
      <c r="DZ149" s="88" t="n">
        <f aca="false">DX149+DZ148</f>
        <v>180.540468936438</v>
      </c>
      <c r="EA149" s="88" t="n">
        <f aca="false">DY149+EA148</f>
        <v>121</v>
      </c>
      <c r="EB149" s="88" t="n">
        <f aca="false">MAX(EB148,DZ149-EA149)</f>
        <v>59.5404689364384</v>
      </c>
      <c r="EC149" s="88" t="n">
        <f aca="false">EB149-EB148</f>
        <v>1.16454038001058</v>
      </c>
      <c r="ED149" s="88" t="n">
        <f aca="false">IF(B149=2026,INDEX($C$24:$Q$24,1,B149-2025)*$AO$4*C149/MAX(0.0001,12-$AO$3),INDEX($C$24:$Q$24,1,B149-2025)/12)</f>
        <v>0.71664023385266</v>
      </c>
      <c r="EE149" s="88" t="n">
        <f aca="false">$AO$6*0</f>
        <v>0</v>
      </c>
      <c r="EF149" s="88" t="n">
        <f aca="false">ED149+EF148</f>
        <v>111.101827037808</v>
      </c>
      <c r="EG149" s="88" t="n">
        <f aca="false">EE149+EG148</f>
        <v>0</v>
      </c>
      <c r="EH149" s="88" t="n">
        <f aca="false">MAX(EH148,EF149-EG149)</f>
        <v>111.101827037808</v>
      </c>
      <c r="EI149" s="88" t="n">
        <f aca="false">EH149-EH148</f>
        <v>0.716640233852658</v>
      </c>
      <c r="EJ149" s="88" t="n">
        <f aca="false">IF(B149=2026,INDEX($C$25:$Q$25,1,B149-2025)*$AO$4*C149/MAX(0.0001,12-$AO$3),INDEX($C$25:$Q$25,1,B149-2025)/12)</f>
        <v>0.912087570357932</v>
      </c>
      <c r="EK149" s="88" t="n">
        <f aca="false">$AO$6*0</f>
        <v>0</v>
      </c>
      <c r="EL149" s="88" t="n">
        <f aca="false">EJ149+EL148</f>
        <v>141.402325320847</v>
      </c>
      <c r="EM149" s="88" t="n">
        <f aca="false">EK149+EM148</f>
        <v>14</v>
      </c>
      <c r="EN149" s="88" t="n">
        <f aca="false">MAX(EN148,EL149-EM149)</f>
        <v>127.402325320847</v>
      </c>
      <c r="EO149" s="88" t="n">
        <f aca="false">EN149-EN148</f>
        <v>0.912087570357926</v>
      </c>
      <c r="EP149" s="88" t="n">
        <f aca="false">IF(B149=2026,INDEX($C$26:$Q$26,1,B149-2025)*$AO$4*C149/MAX(0.0001,12-$AO$3),INDEX($C$26:$Q$26,1,B149-2025)/12)</f>
        <v>1.31112588238953</v>
      </c>
      <c r="EQ149" s="88" t="n">
        <f aca="false">$AO$6*0</f>
        <v>0</v>
      </c>
      <c r="ER149" s="88" t="n">
        <f aca="false">EP149+ER148</f>
        <v>203.265842648716</v>
      </c>
      <c r="ES149" s="88" t="n">
        <f aca="false">EQ149+ES148</f>
        <v>4</v>
      </c>
      <c r="ET149" s="88" t="n">
        <f aca="false">MAX(ET148,ER149-ES149)</f>
        <v>199.265842648716</v>
      </c>
      <c r="EU149" s="88" t="n">
        <f aca="false">ET149-ET148</f>
        <v>1.31112588238952</v>
      </c>
      <c r="EV149" s="88" t="n">
        <f aca="false">IF(B149=2026,INDEX($C$27:$Q$27,1,B149-2025)*$AO$4*C149/MAX(0.0001,12-$AO$3),INDEX($C$27:$Q$27,1,B149-2025)/12)</f>
        <v>3.25745560842118</v>
      </c>
      <c r="EW149" s="88" t="n">
        <f aca="false">$AO$6*0</f>
        <v>0</v>
      </c>
      <c r="EX149" s="88" t="n">
        <f aca="false">EV149+EX148</f>
        <v>505.00830471731</v>
      </c>
      <c r="EY149" s="88" t="n">
        <f aca="false">EW149+EY148</f>
        <v>391</v>
      </c>
      <c r="EZ149" s="88" t="n">
        <f aca="false">MAX(EZ148,EX149-EY149)</f>
        <v>114.00830471731</v>
      </c>
      <c r="FA149" s="88" t="n">
        <f aca="false">EZ149-EZ148</f>
        <v>3.2574556084212</v>
      </c>
      <c r="FB149" s="88" t="n">
        <f aca="false">IF(B149=2026,INDEX($C$28:$Q$28,1,B149-2025)*$AO$4*C149/MAX(0.0001,12-$AO$3),INDEX($C$28:$Q$28,1,B149-2025)/12)</f>
        <v>17.0527801100849</v>
      </c>
      <c r="FC149" s="88" t="n">
        <f aca="false">$AO$6*0</f>
        <v>0</v>
      </c>
      <c r="FD149" s="88" t="n">
        <f aca="false">FB149+FD148</f>
        <v>2643.71847519512</v>
      </c>
      <c r="FE149" s="88" t="n">
        <f aca="false">FC149+FE148</f>
        <v>169</v>
      </c>
      <c r="FF149" s="88" t="n">
        <f aca="false">MAX(FF148,FD149-FE149)</f>
        <v>2474.71847519512</v>
      </c>
      <c r="FG149" s="88" t="n">
        <f aca="false">FF149-FF148</f>
        <v>17.0527801100848</v>
      </c>
    </row>
    <row r="150" customFormat="false" ht="15" hidden="false" customHeight="false" outlineLevel="0" collapsed="false">
      <c r="A150" s="0" t="n">
        <v>110</v>
      </c>
      <c r="B150" s="88" t="n">
        <f aca="false">2026+INT(A150/12)</f>
        <v>2035</v>
      </c>
      <c r="C150" s="88" t="n">
        <f aca="false">MAX(0,MIN(1,A150+1-$AO$3))</f>
        <v>1</v>
      </c>
      <c r="D150" s="88" t="n">
        <f aca="false">IF((A150+0.5-(0))&lt;$AO$3,0,2026+INT((A150+0.5-(0))/12))</f>
        <v>2035</v>
      </c>
      <c r="E150" s="88" t="n">
        <f aca="false">IF((A150+0.5-($AO$9))&lt;$AO$3,0,2026+INT((A150+0.5-($AO$9))/12))</f>
        <v>2033</v>
      </c>
      <c r="F150" s="88" t="n">
        <f aca="false">IF((A150+0.5-($AO$9+$AO$8))&lt;$AO$3,0,2026+INT((A150+0.5-($AO$9+$AO$8))/12))</f>
        <v>2032</v>
      </c>
      <c r="G150" s="88" t="n">
        <f aca="false">IF((A150+0.5-($AO$9+$AO$8+$AO$7))&lt;$AO$3,0,2026+INT((A150+0.5-($AO$9+$AO$8+$AO$7))/12))</f>
        <v>2032</v>
      </c>
      <c r="H150" s="88" t="n">
        <f aca="false">IF(B150=2026,INDEX($C$3:$Q$3,1,B150-2025)*$AO$4*C150/MAX(0.0001,12-$AO$3),INDEX($C$3:$Q$3,1,B150-2025)/12)</f>
        <v>174.583333333333</v>
      </c>
      <c r="I150" s="88" t="n">
        <f aca="false">$AO$6*0</f>
        <v>0</v>
      </c>
      <c r="J150" s="88" t="n">
        <f aca="false">H150+J149</f>
        <v>27240.5034246576</v>
      </c>
      <c r="K150" s="88" t="n">
        <f aca="false">I150+K149</f>
        <v>8695.00000000001</v>
      </c>
      <c r="L150" s="88" t="n">
        <f aca="false">MAX(L149,J150-K150)</f>
        <v>18545.5034246576</v>
      </c>
      <c r="M150" s="88" t="n">
        <f aca="false">L150-L149</f>
        <v>174.583333333328</v>
      </c>
      <c r="N150" s="88" t="n">
        <f aca="false">IF(B150=2026,INDEX($C$4:$Q$4,1,B150-2025)*$AO$4*C150/MAX(0.0001,12-$AO$3),INDEX($C$4:$Q$4,1,B150-2025)/12)</f>
        <v>5.29281785719042</v>
      </c>
      <c r="O150" s="88" t="n">
        <f aca="false">$AO$6*0</f>
        <v>0</v>
      </c>
      <c r="P150" s="88" t="n">
        <f aca="false">N150+P149</f>
        <v>825.846432257093</v>
      </c>
      <c r="Q150" s="88" t="n">
        <f aca="false">O150+Q149</f>
        <v>398</v>
      </c>
      <c r="R150" s="88" t="n">
        <f aca="false">MAX(R149,P150-Q150)</f>
        <v>427.846432257093</v>
      </c>
      <c r="S150" s="88" t="n">
        <f aca="false">R150-R149</f>
        <v>5.29281785719047</v>
      </c>
      <c r="T150" s="88" t="n">
        <f aca="false">IF(B150=2026,INDEX($C$5:$Q$5,1,B150-2025)*$AO$4*C150/MAX(0.0001,12-$AO$3),INDEX($C$5:$Q$5,1,B150-2025)/12)</f>
        <v>21.5119223261209</v>
      </c>
      <c r="U150" s="88" t="n">
        <f aca="false">$AO$6*0</f>
        <v>0</v>
      </c>
      <c r="V150" s="88" t="n">
        <f aca="false">T150+V149</f>
        <v>3356.53800742146</v>
      </c>
      <c r="W150" s="88" t="n">
        <f aca="false">U150+W149</f>
        <v>1115</v>
      </c>
      <c r="X150" s="88" t="n">
        <f aca="false">MAX(X149,V150-W150)</f>
        <v>2241.53800742145</v>
      </c>
      <c r="Y150" s="88" t="n">
        <f aca="false">X150-X149</f>
        <v>21.5119223261208</v>
      </c>
      <c r="Z150" s="88" t="n">
        <f aca="false">IF(B150=2026,INDEX($C$6:$Q$6,1,B150-2025)*$AO$4*C150/MAX(0.0001,12-$AO$3),INDEX($C$6:$Q$6,1,B150-2025)/12)</f>
        <v>25.5221471249267</v>
      </c>
      <c r="AA150" s="88" t="n">
        <f aca="false">$AO$6*0</f>
        <v>0</v>
      </c>
      <c r="AB150" s="88" t="n">
        <f aca="false">Z150+AB149</f>
        <v>3982.25949113803</v>
      </c>
      <c r="AC150" s="88" t="n">
        <f aca="false">AA150+AC149</f>
        <v>2194</v>
      </c>
      <c r="AD150" s="88" t="n">
        <f aca="false">MAX(AD149,AB150-AC150)</f>
        <v>1788.25949113802</v>
      </c>
      <c r="AE150" s="88" t="n">
        <f aca="false">AD150-AD149</f>
        <v>25.5221471249265</v>
      </c>
      <c r="AF150" s="88" t="n">
        <f aca="false">IF(B150=2026,INDEX($C$7:$Q$7,1,B150-2025)*$AO$4*C150/MAX(0.0001,12-$AO$3),INDEX($C$7:$Q$7,1,B150-2025)/12)</f>
        <v>22.1701907861426</v>
      </c>
      <c r="AG150" s="88" t="n">
        <f aca="false">$AO$6*0</f>
        <v>0</v>
      </c>
      <c r="AH150" s="88" t="n">
        <f aca="false">AF150+AH149</f>
        <v>3459.2486379106</v>
      </c>
      <c r="AI150" s="88" t="n">
        <f aca="false">AG150+AI149</f>
        <v>826</v>
      </c>
      <c r="AJ150" s="88" t="n">
        <f aca="false">MAX(AJ149,AH150-AI150)</f>
        <v>2633.2486379106</v>
      </c>
      <c r="AK150" s="88" t="n">
        <f aca="false">AJ150-AJ149</f>
        <v>22.1701907861425</v>
      </c>
      <c r="AL150" s="88" t="n">
        <f aca="false">IF(B150=2026,INDEX($C$8:$Q$8,1,B150-2025)*$AO$4*C150/MAX(0.0001,12-$AO$3),INDEX($C$8:$Q$8,1,B150-2025)/12)</f>
        <v>5.60801085830575</v>
      </c>
      <c r="AM150" s="88" t="n">
        <f aca="false">$AO$6*0</f>
        <v>0</v>
      </c>
      <c r="AN150" s="88" t="n">
        <f aca="false">AL150+AN149</f>
        <v>875.026476321878</v>
      </c>
      <c r="AO150" s="88" t="n">
        <f aca="false">AM150+AO149</f>
        <v>66</v>
      </c>
      <c r="AP150" s="88" t="n">
        <f aca="false">MAX(AP149,AN150-AO150)</f>
        <v>809.026476321878</v>
      </c>
      <c r="AQ150" s="88" t="n">
        <f aca="false">AP150-AP149</f>
        <v>5.60801085830576</v>
      </c>
      <c r="AR150" s="88" t="n">
        <f aca="false">IF(B150=2026,INDEX($C$9:$Q$9,1,B150-2025)*$AO$4*C150/MAX(0.0001,12-$AO$3),INDEX($C$9:$Q$9,1,B150-2025)/12)</f>
        <v>23.9122382576915</v>
      </c>
      <c r="AS150" s="88" t="n">
        <f aca="false">$AO$6*0</f>
        <v>0</v>
      </c>
      <c r="AT150" s="88" t="n">
        <f aca="false">AR150+AT149</f>
        <v>3731.06295837637</v>
      </c>
      <c r="AU150" s="88" t="n">
        <f aca="false">AS150+AU149</f>
        <v>1810</v>
      </c>
      <c r="AV150" s="88" t="n">
        <f aca="false">MAX(AV149,AT150-AU150)</f>
        <v>1921.06295837637</v>
      </c>
      <c r="AW150" s="88" t="n">
        <f aca="false">AV150-AV149</f>
        <v>23.9122382576916</v>
      </c>
      <c r="AX150" s="88" t="n">
        <f aca="false">IF(B150=2026,INDEX($C$10:$Q$10,1,B150-2025)*$AO$4*C150/MAX(0.0001,12-$AO$3),INDEX($C$10:$Q$10,1,B150-2025)/12)</f>
        <v>2.77369840981486</v>
      </c>
      <c r="AY150" s="88" t="n">
        <f aca="false">$AO$6*0</f>
        <v>0</v>
      </c>
      <c r="AZ150" s="88" t="n">
        <f aca="false">AX150+AZ149</f>
        <v>432.784387770093</v>
      </c>
      <c r="BA150" s="88" t="n">
        <f aca="false">AY150+BA149</f>
        <v>50</v>
      </c>
      <c r="BB150" s="88" t="n">
        <f aca="false">MAX(BB149,AZ150-BA150)</f>
        <v>382.784387770093</v>
      </c>
      <c r="BC150" s="88" t="n">
        <f aca="false">BB150-BB149</f>
        <v>2.77369840981487</v>
      </c>
      <c r="BD150" s="88" t="n">
        <f aca="false">IF(B150=2026,INDEX($C$11:$Q$11,1,B150-2025)*$AO$4*C150/MAX(0.0001,12-$AO$3),INDEX($C$11:$Q$11,1,B150-2025)/12)</f>
        <v>13.7836323949279</v>
      </c>
      <c r="BE150" s="88" t="n">
        <f aca="false">$AO$6*0</f>
        <v>0</v>
      </c>
      <c r="BF150" s="88" t="n">
        <f aca="false">BD150+BF149</f>
        <v>2150.68115775611</v>
      </c>
      <c r="BG150" s="88" t="n">
        <f aca="false">BE150+BG149</f>
        <v>240</v>
      </c>
      <c r="BH150" s="88" t="n">
        <f aca="false">MAX(BH149,BF150-BG150)</f>
        <v>1910.68115775611</v>
      </c>
      <c r="BI150" s="88" t="n">
        <f aca="false">BH150-BH149</f>
        <v>13.7836323949277</v>
      </c>
      <c r="BJ150" s="88" t="n">
        <f aca="false">IF(B150=2026,INDEX($C$12:$Q$12,1,B150-2025)*$AO$4*C150/MAX(0.0001,12-$AO$3),INDEX($C$12:$Q$12,1,B150-2025)/12)</f>
        <v>7.55735834212668</v>
      </c>
      <c r="BK150" s="88" t="n">
        <f aca="false">$AO$6*0</f>
        <v>0</v>
      </c>
      <c r="BL150" s="88" t="n">
        <f aca="false">BJ150+BL149</f>
        <v>1179.186133461</v>
      </c>
      <c r="BM150" s="88" t="n">
        <f aca="false">BK150+BM149</f>
        <v>465</v>
      </c>
      <c r="BN150" s="88" t="n">
        <f aca="false">MAX(BN149,BL150-BM150)</f>
        <v>714.186133461001</v>
      </c>
      <c r="BO150" s="88" t="n">
        <f aca="false">BN150-BN149</f>
        <v>7.55735834212669</v>
      </c>
      <c r="BP150" s="88" t="n">
        <f aca="false">IF(B150=2026,INDEX($C$13:$Q$13,1,B150-2025)*$AO$4*C150/MAX(0.0001,12-$AO$3),INDEX($C$13:$Q$13,1,B150-2025)/12)</f>
        <v>2.36165531610536</v>
      </c>
      <c r="BQ150" s="88" t="n">
        <f aca="false">$AO$6*0</f>
        <v>0</v>
      </c>
      <c r="BR150" s="88" t="n">
        <f aca="false">BP150+BR149</f>
        <v>368.492676236154</v>
      </c>
      <c r="BS150" s="88" t="n">
        <f aca="false">BQ150+BS149</f>
        <v>87</v>
      </c>
      <c r="BT150" s="88" t="n">
        <f aca="false">MAX(BT149,BR150-BS150)</f>
        <v>281.492676236154</v>
      </c>
      <c r="BU150" s="88" t="n">
        <f aca="false">BT150-BT149</f>
        <v>2.36165531610538</v>
      </c>
      <c r="BV150" s="88" t="n">
        <f aca="false">IF(B150=2026,INDEX($C$14:$Q$14,1,B150-2025)*$AO$4*C150/MAX(0.0001,12-$AO$3),INDEX($C$14:$Q$14,1,B150-2025)/12)</f>
        <v>1.40070591162111</v>
      </c>
      <c r="BW150" s="88" t="n">
        <f aca="false">$AO$6*0</f>
        <v>0</v>
      </c>
      <c r="BX150" s="88" t="n">
        <f aca="false">BV150+BX149</f>
        <v>218.554276940064</v>
      </c>
      <c r="BY150" s="88" t="n">
        <f aca="false">BW150+BY149</f>
        <v>0</v>
      </c>
      <c r="BZ150" s="88" t="n">
        <f aca="false">MAX(BZ149,BX150-BY150)</f>
        <v>218.554276940064</v>
      </c>
      <c r="CA150" s="88" t="n">
        <f aca="false">BZ150-BZ149</f>
        <v>1.40070591162112</v>
      </c>
      <c r="CB150" s="88" t="n">
        <f aca="false">IF(B150=2026,INDEX($C$15:$Q$15,1,B150-2025)*$AO$4*C150/MAX(0.0001,12-$AO$3),INDEX($C$15:$Q$15,1,B150-2025)/12)</f>
        <v>2.29650620393693</v>
      </c>
      <c r="CC150" s="88" t="n">
        <f aca="false">$AO$6*0</f>
        <v>0</v>
      </c>
      <c r="CD150" s="88" t="n">
        <f aca="false">CB150+CD149</f>
        <v>358.327361029639</v>
      </c>
      <c r="CE150" s="88" t="n">
        <f aca="false">CC150+CE149</f>
        <v>88.0000000000001</v>
      </c>
      <c r="CF150" s="88" t="n">
        <f aca="false">MAX(CF149,CD150-CE150)</f>
        <v>270.327361029639</v>
      </c>
      <c r="CG150" s="88" t="n">
        <f aca="false">CF150-CF149</f>
        <v>2.29650620393693</v>
      </c>
      <c r="CH150" s="88" t="n">
        <f aca="false">IF(B150=2026,INDEX($C$16:$Q$16,1,B150-2025)*$AO$4*C150/MAX(0.0001,12-$AO$3),INDEX($C$16:$Q$16,1,B150-2025)/12)</f>
        <v>1.81603150169481</v>
      </c>
      <c r="CI150" s="88" t="n">
        <f aca="false">$AO$6*0</f>
        <v>0</v>
      </c>
      <c r="CJ150" s="88" t="n">
        <f aca="false">CH150+CJ149</f>
        <v>283.358161381595</v>
      </c>
      <c r="CK150" s="88" t="n">
        <f aca="false">CI150+CK149</f>
        <v>70</v>
      </c>
      <c r="CL150" s="88" t="n">
        <f aca="false">MAX(CL149,CJ150-CK150)</f>
        <v>213.358161381595</v>
      </c>
      <c r="CM150" s="88" t="n">
        <f aca="false">CL150-CL149</f>
        <v>1.81603150169479</v>
      </c>
      <c r="CN150" s="88" t="n">
        <f aca="false">IF(B150=2026,INDEX($C$17:$Q$17,1,B150-2025)*$AO$4*C150/MAX(0.0001,12-$AO$3),INDEX($C$17:$Q$17,1,B150-2025)/12)</f>
        <v>7.90747348944242</v>
      </c>
      <c r="CO150" s="88" t="n">
        <f aca="false">$AO$6*0</f>
        <v>0</v>
      </c>
      <c r="CP150" s="88" t="n">
        <f aca="false">CN150+CP149</f>
        <v>1233.81513319072</v>
      </c>
      <c r="CQ150" s="88" t="n">
        <f aca="false">CO150+CQ149</f>
        <v>221</v>
      </c>
      <c r="CR150" s="88" t="n">
        <f aca="false">MAX(CR149,CP150-CQ150)</f>
        <v>1012.81513319072</v>
      </c>
      <c r="CS150" s="88" t="n">
        <f aca="false">CR150-CR149</f>
        <v>7.90747348944251</v>
      </c>
      <c r="CT150" s="88" t="n">
        <f aca="false">IF(B150=2026,INDEX($C$18:$Q$18,1,B150-2025)*$AO$4*C150/MAX(0.0001,12-$AO$3),INDEX($C$18:$Q$18,1,B150-2025)/12)</f>
        <v>1.6450150822527</v>
      </c>
      <c r="CU150" s="88" t="n">
        <f aca="false">$AO$6*0</f>
        <v>0</v>
      </c>
      <c r="CV150" s="88" t="n">
        <f aca="false">CT150+CV149</f>
        <v>256.674208964494</v>
      </c>
      <c r="CW150" s="88" t="n">
        <f aca="false">CU150+CW149</f>
        <v>11</v>
      </c>
      <c r="CX150" s="88" t="n">
        <f aca="false">MAX(CX149,CV150-CW150)</f>
        <v>245.674208964494</v>
      </c>
      <c r="CY150" s="88" t="n">
        <f aca="false">CX150-CX149</f>
        <v>1.64501508225271</v>
      </c>
      <c r="CZ150" s="88" t="n">
        <f aca="false">IF(B150=2026,INDEX($C$19:$Q$19,1,B150-2025)*$AO$4*C150/MAX(0.0001,12-$AO$3),INDEX($C$19:$Q$19,1,B150-2025)/12)</f>
        <v>1.62872780421059</v>
      </c>
      <c r="DA150" s="88" t="n">
        <f aca="false">$AO$6*0</f>
        <v>0</v>
      </c>
      <c r="DB150" s="88" t="n">
        <f aca="false">CZ150+DB149</f>
        <v>254.132880162866</v>
      </c>
      <c r="DC150" s="88" t="n">
        <f aca="false">DA150+DC149</f>
        <v>226</v>
      </c>
      <c r="DD150" s="88" t="n">
        <f aca="false">MAX(DD149,DB150-DC150)</f>
        <v>37.132124495359</v>
      </c>
      <c r="DE150" s="88" t="n">
        <f aca="false">DD150-DD149</f>
        <v>0</v>
      </c>
      <c r="DF150" s="88" t="n">
        <f aca="false">IF(B150=2026,INDEX($C$20:$Q$20,1,B150-2025)*$AO$4*C150/MAX(0.0001,12-$AO$3),INDEX($C$20:$Q$20,1,B150-2025)/12)</f>
        <v>1.32741316043163</v>
      </c>
      <c r="DG150" s="88" t="n">
        <f aca="false">$AO$6*0</f>
        <v>0</v>
      </c>
      <c r="DH150" s="88" t="n">
        <f aca="false">DF150+DH149</f>
        <v>207.118297332735</v>
      </c>
      <c r="DI150" s="88" t="n">
        <f aca="false">DG150+DI149</f>
        <v>0</v>
      </c>
      <c r="DJ150" s="88" t="n">
        <f aca="false">MAX(DJ149,DH150-DI150)</f>
        <v>207.118297332735</v>
      </c>
      <c r="DK150" s="88" t="n">
        <f aca="false">DJ150-DJ149</f>
        <v>1.32741316043163</v>
      </c>
      <c r="DL150" s="88" t="n">
        <f aca="false">IF(B150=2026,INDEX($C$21:$Q$21,1,B150-2025)*$AO$4*C150/MAX(0.0001,12-$AO$3),INDEX($C$21:$Q$21,1,B150-2025)/12)</f>
        <v>0.928374848400037</v>
      </c>
      <c r="DM150" s="88" t="n">
        <f aca="false">$AO$6*0</f>
        <v>0</v>
      </c>
      <c r="DN150" s="88" t="n">
        <f aca="false">DL150+DN149</f>
        <v>144.855741692833</v>
      </c>
      <c r="DO150" s="88" t="n">
        <f aca="false">DM150+DO149</f>
        <v>100</v>
      </c>
      <c r="DP150" s="88" t="n">
        <f aca="false">MAX(DP149,DN150-DO150)</f>
        <v>44.8557416928331</v>
      </c>
      <c r="DQ150" s="88" t="n">
        <f aca="false">DP150-DP149</f>
        <v>0.92837484840004</v>
      </c>
      <c r="DR150" s="88" t="n">
        <f aca="false">IF(B150=2026,INDEX($C$22:$Q$22,1,B150-2025)*$AO$4*C150/MAX(0.0001,12-$AO$3),INDEX($C$22:$Q$22,1,B150-2025)/12)</f>
        <v>0.724783872873713</v>
      </c>
      <c r="DS150" s="88" t="n">
        <f aca="false">$AO$6*0</f>
        <v>0</v>
      </c>
      <c r="DT150" s="88" t="n">
        <f aca="false">DR150+DT149</f>
        <v>113.089131672475</v>
      </c>
      <c r="DU150" s="88" t="n">
        <f aca="false">DS150+DU149</f>
        <v>29</v>
      </c>
      <c r="DV150" s="88" t="n">
        <f aca="false">MAX(DV149,DT150-DU150)</f>
        <v>84.0891316724753</v>
      </c>
      <c r="DW150" s="88" t="n">
        <f aca="false">DV150-DV149</f>
        <v>0.724783872873701</v>
      </c>
      <c r="DX150" s="88" t="n">
        <f aca="false">IF(B150=2026,INDEX($C$23:$Q$23,1,B150-2025)*$AO$4*C150/MAX(0.0001,12-$AO$3),INDEX($C$23:$Q$23,1,B150-2025)/12)</f>
        <v>1.16454038001057</v>
      </c>
      <c r="DY150" s="88" t="n">
        <f aca="false">$AO$6*0</f>
        <v>0</v>
      </c>
      <c r="DZ150" s="88" t="n">
        <f aca="false">DX150+DZ149</f>
        <v>181.705009316449</v>
      </c>
      <c r="EA150" s="88" t="n">
        <f aca="false">DY150+EA149</f>
        <v>121</v>
      </c>
      <c r="EB150" s="88" t="n">
        <f aca="false">MAX(EB149,DZ150-EA150)</f>
        <v>60.705009316449</v>
      </c>
      <c r="EC150" s="88" t="n">
        <f aca="false">EB150-EB149</f>
        <v>1.16454038001058</v>
      </c>
      <c r="ED150" s="88" t="n">
        <f aca="false">IF(B150=2026,INDEX($C$24:$Q$24,1,B150-2025)*$AO$4*C150/MAX(0.0001,12-$AO$3),INDEX($C$24:$Q$24,1,B150-2025)/12)</f>
        <v>0.71664023385266</v>
      </c>
      <c r="EE150" s="88" t="n">
        <f aca="false">$AO$6*0</f>
        <v>0</v>
      </c>
      <c r="EF150" s="88" t="n">
        <f aca="false">ED150+EF149</f>
        <v>111.818467271661</v>
      </c>
      <c r="EG150" s="88" t="n">
        <f aca="false">EE150+EG149</f>
        <v>0</v>
      </c>
      <c r="EH150" s="88" t="n">
        <f aca="false">MAX(EH149,EF150-EG150)</f>
        <v>111.818467271661</v>
      </c>
      <c r="EI150" s="88" t="n">
        <f aca="false">EH150-EH149</f>
        <v>0.716640233852658</v>
      </c>
      <c r="EJ150" s="88" t="n">
        <f aca="false">IF(B150=2026,INDEX($C$25:$Q$25,1,B150-2025)*$AO$4*C150/MAX(0.0001,12-$AO$3),INDEX($C$25:$Q$25,1,B150-2025)/12)</f>
        <v>0.912087570357932</v>
      </c>
      <c r="EK150" s="88" t="n">
        <f aca="false">$AO$6*0</f>
        <v>0</v>
      </c>
      <c r="EL150" s="88" t="n">
        <f aca="false">EJ150+EL149</f>
        <v>142.314412891205</v>
      </c>
      <c r="EM150" s="88" t="n">
        <f aca="false">EK150+EM149</f>
        <v>14</v>
      </c>
      <c r="EN150" s="88" t="n">
        <f aca="false">MAX(EN149,EL150-EM150)</f>
        <v>128.314412891205</v>
      </c>
      <c r="EO150" s="88" t="n">
        <f aca="false">EN150-EN149</f>
        <v>0.912087570357926</v>
      </c>
      <c r="EP150" s="88" t="n">
        <f aca="false">IF(B150=2026,INDEX($C$26:$Q$26,1,B150-2025)*$AO$4*C150/MAX(0.0001,12-$AO$3),INDEX($C$26:$Q$26,1,B150-2025)/12)</f>
        <v>1.31112588238953</v>
      </c>
      <c r="EQ150" s="88" t="n">
        <f aca="false">$AO$6*0</f>
        <v>0</v>
      </c>
      <c r="ER150" s="88" t="n">
        <f aca="false">EP150+ER149</f>
        <v>204.576968531106</v>
      </c>
      <c r="ES150" s="88" t="n">
        <f aca="false">EQ150+ES149</f>
        <v>4</v>
      </c>
      <c r="ET150" s="88" t="n">
        <f aca="false">MAX(ET149,ER150-ES150)</f>
        <v>200.576968531106</v>
      </c>
      <c r="EU150" s="88" t="n">
        <f aca="false">ET150-ET149</f>
        <v>1.31112588238952</v>
      </c>
      <c r="EV150" s="88" t="n">
        <f aca="false">IF(B150=2026,INDEX($C$27:$Q$27,1,B150-2025)*$AO$4*C150/MAX(0.0001,12-$AO$3),INDEX($C$27:$Q$27,1,B150-2025)/12)</f>
        <v>3.25745560842118</v>
      </c>
      <c r="EW150" s="88" t="n">
        <f aca="false">$AO$6*0</f>
        <v>0</v>
      </c>
      <c r="EX150" s="88" t="n">
        <f aca="false">EV150+EX149</f>
        <v>508.265760325732</v>
      </c>
      <c r="EY150" s="88" t="n">
        <f aca="false">EW150+EY149</f>
        <v>391</v>
      </c>
      <c r="EZ150" s="88" t="n">
        <f aca="false">MAX(EZ149,EX150-EY150)</f>
        <v>117.265760325731</v>
      </c>
      <c r="FA150" s="88" t="n">
        <f aca="false">EZ150-EZ149</f>
        <v>3.2574556084212</v>
      </c>
      <c r="FB150" s="88" t="n">
        <f aca="false">IF(B150=2026,INDEX($C$28:$Q$28,1,B150-2025)*$AO$4*C150/MAX(0.0001,12-$AO$3),INDEX($C$28:$Q$28,1,B150-2025)/12)</f>
        <v>17.0527801100849</v>
      </c>
      <c r="FC150" s="88" t="n">
        <f aca="false">$AO$6*0</f>
        <v>0</v>
      </c>
      <c r="FD150" s="88" t="n">
        <f aca="false">FB150+FD149</f>
        <v>2660.7712553052</v>
      </c>
      <c r="FE150" s="88" t="n">
        <f aca="false">FC150+FE149</f>
        <v>169</v>
      </c>
      <c r="FF150" s="88" t="n">
        <f aca="false">MAX(FF149,FD150-FE150)</f>
        <v>2491.7712553052</v>
      </c>
      <c r="FG150" s="88" t="n">
        <f aca="false">FF150-FF149</f>
        <v>17.0527801100848</v>
      </c>
    </row>
    <row r="151" customFormat="false" ht="15" hidden="false" customHeight="false" outlineLevel="0" collapsed="false">
      <c r="A151" s="0" t="n">
        <v>111</v>
      </c>
      <c r="B151" s="88" t="n">
        <f aca="false">2026+INT(A151/12)</f>
        <v>2035</v>
      </c>
      <c r="C151" s="88" t="n">
        <f aca="false">MAX(0,MIN(1,A151+1-$AO$3))</f>
        <v>1</v>
      </c>
      <c r="D151" s="88" t="n">
        <f aca="false">IF((A151+0.5-(0))&lt;$AO$3,0,2026+INT((A151+0.5-(0))/12))</f>
        <v>2035</v>
      </c>
      <c r="E151" s="88" t="n">
        <f aca="false">IF((A151+0.5-($AO$9))&lt;$AO$3,0,2026+INT((A151+0.5-($AO$9))/12))</f>
        <v>2034</v>
      </c>
      <c r="F151" s="88" t="n">
        <f aca="false">IF((A151+0.5-($AO$9+$AO$8))&lt;$AO$3,0,2026+INT((A151+0.5-($AO$9+$AO$8))/12))</f>
        <v>2032</v>
      </c>
      <c r="G151" s="88" t="n">
        <f aca="false">IF((A151+0.5-($AO$9+$AO$8+$AO$7))&lt;$AO$3,0,2026+INT((A151+0.5-($AO$9+$AO$8+$AO$7))/12))</f>
        <v>2032</v>
      </c>
      <c r="H151" s="88" t="n">
        <f aca="false">IF(B151=2026,INDEX($C$3:$Q$3,1,B151-2025)*$AO$4*C151/MAX(0.0001,12-$AO$3),INDEX($C$3:$Q$3,1,B151-2025)/12)</f>
        <v>174.583333333333</v>
      </c>
      <c r="I151" s="88" t="n">
        <f aca="false">$AO$6*0</f>
        <v>0</v>
      </c>
      <c r="J151" s="88" t="n">
        <f aca="false">H151+J150</f>
        <v>27415.0867579909</v>
      </c>
      <c r="K151" s="88" t="n">
        <f aca="false">I151+K150</f>
        <v>8695.00000000001</v>
      </c>
      <c r="L151" s="88" t="n">
        <f aca="false">MAX(L150,J151-K151)</f>
        <v>18720.0867579909</v>
      </c>
      <c r="M151" s="88" t="n">
        <f aca="false">L151-L150</f>
        <v>174.583333333336</v>
      </c>
      <c r="N151" s="88" t="n">
        <f aca="false">IF(B151=2026,INDEX($C$4:$Q$4,1,B151-2025)*$AO$4*C151/MAX(0.0001,12-$AO$3),INDEX($C$4:$Q$4,1,B151-2025)/12)</f>
        <v>5.29281785719042</v>
      </c>
      <c r="O151" s="88" t="n">
        <f aca="false">$AO$6*0</f>
        <v>0</v>
      </c>
      <c r="P151" s="88" t="n">
        <f aca="false">N151+P150</f>
        <v>831.139250114284</v>
      </c>
      <c r="Q151" s="88" t="n">
        <f aca="false">O151+Q150</f>
        <v>398</v>
      </c>
      <c r="R151" s="88" t="n">
        <f aca="false">MAX(R150,P151-Q151)</f>
        <v>433.139250114284</v>
      </c>
      <c r="S151" s="88" t="n">
        <f aca="false">R151-R150</f>
        <v>5.29281785719047</v>
      </c>
      <c r="T151" s="88" t="n">
        <f aca="false">IF(B151=2026,INDEX($C$5:$Q$5,1,B151-2025)*$AO$4*C151/MAX(0.0001,12-$AO$3),INDEX($C$5:$Q$5,1,B151-2025)/12)</f>
        <v>21.5119223261209</v>
      </c>
      <c r="U151" s="88" t="n">
        <f aca="false">$AO$6*0</f>
        <v>0</v>
      </c>
      <c r="V151" s="88" t="n">
        <f aca="false">T151+V150</f>
        <v>3378.04992974758</v>
      </c>
      <c r="W151" s="88" t="n">
        <f aca="false">U151+W150</f>
        <v>1115</v>
      </c>
      <c r="X151" s="88" t="n">
        <f aca="false">MAX(X150,V151-W151)</f>
        <v>2263.04992974758</v>
      </c>
      <c r="Y151" s="88" t="n">
        <f aca="false">X151-X150</f>
        <v>21.5119223261208</v>
      </c>
      <c r="Z151" s="88" t="n">
        <f aca="false">IF(B151=2026,INDEX($C$6:$Q$6,1,B151-2025)*$AO$4*C151/MAX(0.0001,12-$AO$3),INDEX($C$6:$Q$6,1,B151-2025)/12)</f>
        <v>25.5221471249267</v>
      </c>
      <c r="AA151" s="88" t="n">
        <f aca="false">$AO$6*0</f>
        <v>0</v>
      </c>
      <c r="AB151" s="88" t="n">
        <f aca="false">Z151+AB150</f>
        <v>4007.78163826295</v>
      </c>
      <c r="AC151" s="88" t="n">
        <f aca="false">AA151+AC150</f>
        <v>2194</v>
      </c>
      <c r="AD151" s="88" t="n">
        <f aca="false">MAX(AD150,AB151-AC151)</f>
        <v>1813.78163826295</v>
      </c>
      <c r="AE151" s="88" t="n">
        <f aca="false">AD151-AD150</f>
        <v>25.5221471249265</v>
      </c>
      <c r="AF151" s="88" t="n">
        <f aca="false">IF(B151=2026,INDEX($C$7:$Q$7,1,B151-2025)*$AO$4*C151/MAX(0.0001,12-$AO$3),INDEX($C$7:$Q$7,1,B151-2025)/12)</f>
        <v>22.1701907861426</v>
      </c>
      <c r="AG151" s="88" t="n">
        <f aca="false">$AO$6*0</f>
        <v>0</v>
      </c>
      <c r="AH151" s="88" t="n">
        <f aca="false">AF151+AH150</f>
        <v>3481.41882869674</v>
      </c>
      <c r="AI151" s="88" t="n">
        <f aca="false">AG151+AI150</f>
        <v>826</v>
      </c>
      <c r="AJ151" s="88" t="n">
        <f aca="false">MAX(AJ150,AH151-AI151)</f>
        <v>2655.41882869674</v>
      </c>
      <c r="AK151" s="88" t="n">
        <f aca="false">AJ151-AJ150</f>
        <v>22.1701907861425</v>
      </c>
      <c r="AL151" s="88" t="n">
        <f aca="false">IF(B151=2026,INDEX($C$8:$Q$8,1,B151-2025)*$AO$4*C151/MAX(0.0001,12-$AO$3),INDEX($C$8:$Q$8,1,B151-2025)/12)</f>
        <v>5.60801085830575</v>
      </c>
      <c r="AM151" s="88" t="n">
        <f aca="false">$AO$6*0</f>
        <v>0</v>
      </c>
      <c r="AN151" s="88" t="n">
        <f aca="false">AL151+AN150</f>
        <v>880.634487180183</v>
      </c>
      <c r="AO151" s="88" t="n">
        <f aca="false">AM151+AO150</f>
        <v>66</v>
      </c>
      <c r="AP151" s="88" t="n">
        <f aca="false">MAX(AP150,AN151-AO151)</f>
        <v>814.634487180183</v>
      </c>
      <c r="AQ151" s="88" t="n">
        <f aca="false">AP151-AP150</f>
        <v>5.60801085830576</v>
      </c>
      <c r="AR151" s="88" t="n">
        <f aca="false">IF(B151=2026,INDEX($C$9:$Q$9,1,B151-2025)*$AO$4*C151/MAX(0.0001,12-$AO$3),INDEX($C$9:$Q$9,1,B151-2025)/12)</f>
        <v>23.9122382576915</v>
      </c>
      <c r="AS151" s="88" t="n">
        <f aca="false">$AO$6*0</f>
        <v>0</v>
      </c>
      <c r="AT151" s="88" t="n">
        <f aca="false">AR151+AT150</f>
        <v>3754.97519663406</v>
      </c>
      <c r="AU151" s="88" t="n">
        <f aca="false">AS151+AU150</f>
        <v>1810</v>
      </c>
      <c r="AV151" s="88" t="n">
        <f aca="false">MAX(AV150,AT151-AU151)</f>
        <v>1944.97519663406</v>
      </c>
      <c r="AW151" s="88" t="n">
        <f aca="false">AV151-AV150</f>
        <v>23.9122382576916</v>
      </c>
      <c r="AX151" s="88" t="n">
        <f aca="false">IF(B151=2026,INDEX($C$10:$Q$10,1,B151-2025)*$AO$4*C151/MAX(0.0001,12-$AO$3),INDEX($C$10:$Q$10,1,B151-2025)/12)</f>
        <v>2.77369840981486</v>
      </c>
      <c r="AY151" s="88" t="n">
        <f aca="false">$AO$6*0</f>
        <v>0</v>
      </c>
      <c r="AZ151" s="88" t="n">
        <f aca="false">AX151+AZ150</f>
        <v>435.558086179908</v>
      </c>
      <c r="BA151" s="88" t="n">
        <f aca="false">AY151+BA150</f>
        <v>50</v>
      </c>
      <c r="BB151" s="88" t="n">
        <f aca="false">MAX(BB150,AZ151-BA151)</f>
        <v>385.558086179908</v>
      </c>
      <c r="BC151" s="88" t="n">
        <f aca="false">BB151-BB150</f>
        <v>2.77369840981487</v>
      </c>
      <c r="BD151" s="88" t="n">
        <f aca="false">IF(B151=2026,INDEX($C$11:$Q$11,1,B151-2025)*$AO$4*C151/MAX(0.0001,12-$AO$3),INDEX($C$11:$Q$11,1,B151-2025)/12)</f>
        <v>13.7836323949279</v>
      </c>
      <c r="BE151" s="88" t="n">
        <f aca="false">$AO$6*0</f>
        <v>0</v>
      </c>
      <c r="BF151" s="88" t="n">
        <f aca="false">BD151+BF150</f>
        <v>2164.46479015104</v>
      </c>
      <c r="BG151" s="88" t="n">
        <f aca="false">BE151+BG150</f>
        <v>240</v>
      </c>
      <c r="BH151" s="88" t="n">
        <f aca="false">MAX(BH150,BF151-BG151)</f>
        <v>1924.46479015104</v>
      </c>
      <c r="BI151" s="88" t="n">
        <f aca="false">BH151-BH150</f>
        <v>13.7836323949277</v>
      </c>
      <c r="BJ151" s="88" t="n">
        <f aca="false">IF(B151=2026,INDEX($C$12:$Q$12,1,B151-2025)*$AO$4*C151/MAX(0.0001,12-$AO$3),INDEX($C$12:$Q$12,1,B151-2025)/12)</f>
        <v>7.55735834212668</v>
      </c>
      <c r="BK151" s="88" t="n">
        <f aca="false">$AO$6*0</f>
        <v>0</v>
      </c>
      <c r="BL151" s="88" t="n">
        <f aca="false">BJ151+BL150</f>
        <v>1186.74349180313</v>
      </c>
      <c r="BM151" s="88" t="n">
        <f aca="false">BK151+BM150</f>
        <v>465</v>
      </c>
      <c r="BN151" s="88" t="n">
        <f aca="false">MAX(BN150,BL151-BM151)</f>
        <v>721.743491803128</v>
      </c>
      <c r="BO151" s="88" t="n">
        <f aca="false">BN151-BN150</f>
        <v>7.55735834212669</v>
      </c>
      <c r="BP151" s="88" t="n">
        <f aca="false">IF(B151=2026,INDEX($C$13:$Q$13,1,B151-2025)*$AO$4*C151/MAX(0.0001,12-$AO$3),INDEX($C$13:$Q$13,1,B151-2025)/12)</f>
        <v>2.36165531610536</v>
      </c>
      <c r="BQ151" s="88" t="n">
        <f aca="false">$AO$6*0</f>
        <v>0</v>
      </c>
      <c r="BR151" s="88" t="n">
        <f aca="false">BP151+BR150</f>
        <v>370.854331552259</v>
      </c>
      <c r="BS151" s="88" t="n">
        <f aca="false">BQ151+BS150</f>
        <v>87</v>
      </c>
      <c r="BT151" s="88" t="n">
        <f aca="false">MAX(BT150,BR151-BS151)</f>
        <v>283.854331552259</v>
      </c>
      <c r="BU151" s="88" t="n">
        <f aca="false">BT151-BT150</f>
        <v>2.36165531610538</v>
      </c>
      <c r="BV151" s="88" t="n">
        <f aca="false">IF(B151=2026,INDEX($C$14:$Q$14,1,B151-2025)*$AO$4*C151/MAX(0.0001,12-$AO$3),INDEX($C$14:$Q$14,1,B151-2025)/12)</f>
        <v>1.40070591162111</v>
      </c>
      <c r="BW151" s="88" t="n">
        <f aca="false">$AO$6*0</f>
        <v>0</v>
      </c>
      <c r="BX151" s="88" t="n">
        <f aca="false">BV151+BX150</f>
        <v>219.954982851686</v>
      </c>
      <c r="BY151" s="88" t="n">
        <f aca="false">BW151+BY150</f>
        <v>0</v>
      </c>
      <c r="BZ151" s="88" t="n">
        <f aca="false">MAX(BZ150,BX151-BY151)</f>
        <v>219.954982851686</v>
      </c>
      <c r="CA151" s="88" t="n">
        <f aca="false">BZ151-BZ150</f>
        <v>1.40070591162112</v>
      </c>
      <c r="CB151" s="88" t="n">
        <f aca="false">IF(B151=2026,INDEX($C$15:$Q$15,1,B151-2025)*$AO$4*C151/MAX(0.0001,12-$AO$3),INDEX($C$15:$Q$15,1,B151-2025)/12)</f>
        <v>2.29650620393693</v>
      </c>
      <c r="CC151" s="88" t="n">
        <f aca="false">$AO$6*0</f>
        <v>0</v>
      </c>
      <c r="CD151" s="88" t="n">
        <f aca="false">CB151+CD150</f>
        <v>360.623867233576</v>
      </c>
      <c r="CE151" s="88" t="n">
        <f aca="false">CC151+CE150</f>
        <v>88.0000000000001</v>
      </c>
      <c r="CF151" s="88" t="n">
        <f aca="false">MAX(CF150,CD151-CE151)</f>
        <v>272.623867233576</v>
      </c>
      <c r="CG151" s="88" t="n">
        <f aca="false">CF151-CF150</f>
        <v>2.29650620393693</v>
      </c>
      <c r="CH151" s="88" t="n">
        <f aca="false">IF(B151=2026,INDEX($C$16:$Q$16,1,B151-2025)*$AO$4*C151/MAX(0.0001,12-$AO$3),INDEX($C$16:$Q$16,1,B151-2025)/12)</f>
        <v>1.81603150169481</v>
      </c>
      <c r="CI151" s="88" t="n">
        <f aca="false">$AO$6*0</f>
        <v>0</v>
      </c>
      <c r="CJ151" s="88" t="n">
        <f aca="false">CH151+CJ150</f>
        <v>285.17419288329</v>
      </c>
      <c r="CK151" s="88" t="n">
        <f aca="false">CI151+CK150</f>
        <v>70</v>
      </c>
      <c r="CL151" s="88" t="n">
        <f aca="false">MAX(CL150,CJ151-CK151)</f>
        <v>215.17419288329</v>
      </c>
      <c r="CM151" s="88" t="n">
        <f aca="false">CL151-CL150</f>
        <v>1.81603150169479</v>
      </c>
      <c r="CN151" s="88" t="n">
        <f aca="false">IF(B151=2026,INDEX($C$17:$Q$17,1,B151-2025)*$AO$4*C151/MAX(0.0001,12-$AO$3),INDEX($C$17:$Q$17,1,B151-2025)/12)</f>
        <v>7.90747348944242</v>
      </c>
      <c r="CO151" s="88" t="n">
        <f aca="false">$AO$6*0</f>
        <v>0</v>
      </c>
      <c r="CP151" s="88" t="n">
        <f aca="false">CN151+CP150</f>
        <v>1241.72260668016</v>
      </c>
      <c r="CQ151" s="88" t="n">
        <f aca="false">CO151+CQ150</f>
        <v>221</v>
      </c>
      <c r="CR151" s="88" t="n">
        <f aca="false">MAX(CR150,CP151-CQ151)</f>
        <v>1020.72260668016</v>
      </c>
      <c r="CS151" s="88" t="n">
        <f aca="false">CR151-CR150</f>
        <v>7.90747348944251</v>
      </c>
      <c r="CT151" s="88" t="n">
        <f aca="false">IF(B151=2026,INDEX($C$18:$Q$18,1,B151-2025)*$AO$4*C151/MAX(0.0001,12-$AO$3),INDEX($C$18:$Q$18,1,B151-2025)/12)</f>
        <v>1.6450150822527</v>
      </c>
      <c r="CU151" s="88" t="n">
        <f aca="false">$AO$6*0</f>
        <v>0</v>
      </c>
      <c r="CV151" s="88" t="n">
        <f aca="false">CT151+CV150</f>
        <v>258.319224046747</v>
      </c>
      <c r="CW151" s="88" t="n">
        <f aca="false">CU151+CW150</f>
        <v>11</v>
      </c>
      <c r="CX151" s="88" t="n">
        <f aca="false">MAX(CX150,CV151-CW151)</f>
        <v>247.319224046747</v>
      </c>
      <c r="CY151" s="88" t="n">
        <f aca="false">CX151-CX150</f>
        <v>1.64501508225271</v>
      </c>
      <c r="CZ151" s="88" t="n">
        <f aca="false">IF(B151=2026,INDEX($C$19:$Q$19,1,B151-2025)*$AO$4*C151/MAX(0.0001,12-$AO$3),INDEX($C$19:$Q$19,1,B151-2025)/12)</f>
        <v>1.62872780421059</v>
      </c>
      <c r="DA151" s="88" t="n">
        <f aca="false">$AO$6*0</f>
        <v>0</v>
      </c>
      <c r="DB151" s="88" t="n">
        <f aca="false">CZ151+DB150</f>
        <v>255.761607967076</v>
      </c>
      <c r="DC151" s="88" t="n">
        <f aca="false">DA151+DC150</f>
        <v>226</v>
      </c>
      <c r="DD151" s="88" t="n">
        <f aca="false">MAX(DD150,DB151-DC151)</f>
        <v>37.132124495359</v>
      </c>
      <c r="DE151" s="88" t="n">
        <f aca="false">DD151-DD150</f>
        <v>0</v>
      </c>
      <c r="DF151" s="88" t="n">
        <f aca="false">IF(B151=2026,INDEX($C$20:$Q$20,1,B151-2025)*$AO$4*C151/MAX(0.0001,12-$AO$3),INDEX($C$20:$Q$20,1,B151-2025)/12)</f>
        <v>1.32741316043163</v>
      </c>
      <c r="DG151" s="88" t="n">
        <f aca="false">$AO$6*0</f>
        <v>0</v>
      </c>
      <c r="DH151" s="88" t="n">
        <f aca="false">DF151+DH150</f>
        <v>208.445710493167</v>
      </c>
      <c r="DI151" s="88" t="n">
        <f aca="false">DG151+DI150</f>
        <v>0</v>
      </c>
      <c r="DJ151" s="88" t="n">
        <f aca="false">MAX(DJ150,DH151-DI151)</f>
        <v>208.445710493167</v>
      </c>
      <c r="DK151" s="88" t="n">
        <f aca="false">DJ151-DJ150</f>
        <v>1.32741316043163</v>
      </c>
      <c r="DL151" s="88" t="n">
        <f aca="false">IF(B151=2026,INDEX($C$21:$Q$21,1,B151-2025)*$AO$4*C151/MAX(0.0001,12-$AO$3),INDEX($C$21:$Q$21,1,B151-2025)/12)</f>
        <v>0.928374848400037</v>
      </c>
      <c r="DM151" s="88" t="n">
        <f aca="false">$AO$6*0</f>
        <v>0</v>
      </c>
      <c r="DN151" s="88" t="n">
        <f aca="false">DL151+DN150</f>
        <v>145.784116541233</v>
      </c>
      <c r="DO151" s="88" t="n">
        <f aca="false">DM151+DO150</f>
        <v>100</v>
      </c>
      <c r="DP151" s="88" t="n">
        <f aca="false">MAX(DP150,DN151-DO151)</f>
        <v>45.7841165412331</v>
      </c>
      <c r="DQ151" s="88" t="n">
        <f aca="false">DP151-DP150</f>
        <v>0.92837484840004</v>
      </c>
      <c r="DR151" s="88" t="n">
        <f aca="false">IF(B151=2026,INDEX($C$22:$Q$22,1,B151-2025)*$AO$4*C151/MAX(0.0001,12-$AO$3),INDEX($C$22:$Q$22,1,B151-2025)/12)</f>
        <v>0.724783872873713</v>
      </c>
      <c r="DS151" s="88" t="n">
        <f aca="false">$AO$6*0</f>
        <v>0</v>
      </c>
      <c r="DT151" s="88" t="n">
        <f aca="false">DR151+DT150</f>
        <v>113.813915545349</v>
      </c>
      <c r="DU151" s="88" t="n">
        <f aca="false">DS151+DU150</f>
        <v>29</v>
      </c>
      <c r="DV151" s="88" t="n">
        <f aca="false">MAX(DV150,DT151-DU151)</f>
        <v>84.813915545349</v>
      </c>
      <c r="DW151" s="88" t="n">
        <f aca="false">DV151-DV150</f>
        <v>0.724783872873729</v>
      </c>
      <c r="DX151" s="88" t="n">
        <f aca="false">IF(B151=2026,INDEX($C$23:$Q$23,1,B151-2025)*$AO$4*C151/MAX(0.0001,12-$AO$3),INDEX($C$23:$Q$23,1,B151-2025)/12)</f>
        <v>1.16454038001057</v>
      </c>
      <c r="DY151" s="88" t="n">
        <f aca="false">$AO$6*0</f>
        <v>0</v>
      </c>
      <c r="DZ151" s="88" t="n">
        <f aca="false">DX151+DZ150</f>
        <v>182.86954969646</v>
      </c>
      <c r="EA151" s="88" t="n">
        <f aca="false">DY151+EA150</f>
        <v>121</v>
      </c>
      <c r="EB151" s="88" t="n">
        <f aca="false">MAX(EB150,DZ151-EA151)</f>
        <v>61.8695496964595</v>
      </c>
      <c r="EC151" s="88" t="n">
        <f aca="false">EB151-EB150</f>
        <v>1.16454038001058</v>
      </c>
      <c r="ED151" s="88" t="n">
        <f aca="false">IF(B151=2026,INDEX($C$24:$Q$24,1,B151-2025)*$AO$4*C151/MAX(0.0001,12-$AO$3),INDEX($C$24:$Q$24,1,B151-2025)/12)</f>
        <v>0.71664023385266</v>
      </c>
      <c r="EE151" s="88" t="n">
        <f aca="false">$AO$6*0</f>
        <v>0</v>
      </c>
      <c r="EF151" s="88" t="n">
        <f aca="false">ED151+EF150</f>
        <v>112.535107505513</v>
      </c>
      <c r="EG151" s="88" t="n">
        <f aca="false">EE151+EG150</f>
        <v>0</v>
      </c>
      <c r="EH151" s="88" t="n">
        <f aca="false">MAX(EH150,EF151-EG151)</f>
        <v>112.535107505513</v>
      </c>
      <c r="EI151" s="88" t="n">
        <f aca="false">EH151-EH150</f>
        <v>0.716640233852658</v>
      </c>
      <c r="EJ151" s="88" t="n">
        <f aca="false">IF(B151=2026,INDEX($C$25:$Q$25,1,B151-2025)*$AO$4*C151/MAX(0.0001,12-$AO$3),INDEX($C$25:$Q$25,1,B151-2025)/12)</f>
        <v>0.912087570357932</v>
      </c>
      <c r="EK151" s="88" t="n">
        <f aca="false">$AO$6*0</f>
        <v>0</v>
      </c>
      <c r="EL151" s="88" t="n">
        <f aca="false">EJ151+EL150</f>
        <v>143.226500461563</v>
      </c>
      <c r="EM151" s="88" t="n">
        <f aca="false">EK151+EM150</f>
        <v>14</v>
      </c>
      <c r="EN151" s="88" t="n">
        <f aca="false">MAX(EN150,EL151-EM151)</f>
        <v>129.226500461563</v>
      </c>
      <c r="EO151" s="88" t="n">
        <f aca="false">EN151-EN150</f>
        <v>0.912087570357926</v>
      </c>
      <c r="EP151" s="88" t="n">
        <f aca="false">IF(B151=2026,INDEX($C$26:$Q$26,1,B151-2025)*$AO$4*C151/MAX(0.0001,12-$AO$3),INDEX($C$26:$Q$26,1,B151-2025)/12)</f>
        <v>1.31112588238953</v>
      </c>
      <c r="EQ151" s="88" t="n">
        <f aca="false">$AO$6*0</f>
        <v>0</v>
      </c>
      <c r="ER151" s="88" t="n">
        <f aca="false">EP151+ER150</f>
        <v>205.888094413495</v>
      </c>
      <c r="ES151" s="88" t="n">
        <f aca="false">EQ151+ES150</f>
        <v>4</v>
      </c>
      <c r="ET151" s="88" t="n">
        <f aca="false">MAX(ET150,ER151-ES151)</f>
        <v>201.888094413495</v>
      </c>
      <c r="EU151" s="88" t="n">
        <f aca="false">ET151-ET150</f>
        <v>1.31112588238952</v>
      </c>
      <c r="EV151" s="88" t="n">
        <f aca="false">IF(B151=2026,INDEX($C$27:$Q$27,1,B151-2025)*$AO$4*C151/MAX(0.0001,12-$AO$3),INDEX($C$27:$Q$27,1,B151-2025)/12)</f>
        <v>3.25745560842118</v>
      </c>
      <c r="EW151" s="88" t="n">
        <f aca="false">$AO$6*0</f>
        <v>0</v>
      </c>
      <c r="EX151" s="88" t="n">
        <f aca="false">EV151+EX150</f>
        <v>511.523215934153</v>
      </c>
      <c r="EY151" s="88" t="n">
        <f aca="false">EW151+EY150</f>
        <v>391</v>
      </c>
      <c r="EZ151" s="88" t="n">
        <f aca="false">MAX(EZ150,EX151-EY151)</f>
        <v>120.523215934152</v>
      </c>
      <c r="FA151" s="88" t="n">
        <f aca="false">EZ151-EZ150</f>
        <v>3.2574556084212</v>
      </c>
      <c r="FB151" s="88" t="n">
        <f aca="false">IF(B151=2026,INDEX($C$28:$Q$28,1,B151-2025)*$AO$4*C151/MAX(0.0001,12-$AO$3),INDEX($C$28:$Q$28,1,B151-2025)/12)</f>
        <v>17.0527801100849</v>
      </c>
      <c r="FC151" s="88" t="n">
        <f aca="false">$AO$6*0</f>
        <v>0</v>
      </c>
      <c r="FD151" s="88" t="n">
        <f aca="false">FB151+FD150</f>
        <v>2677.82403541529</v>
      </c>
      <c r="FE151" s="88" t="n">
        <f aca="false">FC151+FE150</f>
        <v>169</v>
      </c>
      <c r="FF151" s="88" t="n">
        <f aca="false">MAX(FF150,FD151-FE151)</f>
        <v>2508.82403541529</v>
      </c>
      <c r="FG151" s="88" t="n">
        <f aca="false">FF151-FF150</f>
        <v>17.0527801100848</v>
      </c>
    </row>
    <row r="152" customFormat="false" ht="15" hidden="false" customHeight="false" outlineLevel="0" collapsed="false">
      <c r="A152" s="0" t="n">
        <v>112</v>
      </c>
      <c r="B152" s="88" t="n">
        <f aca="false">2026+INT(A152/12)</f>
        <v>2035</v>
      </c>
      <c r="C152" s="88" t="n">
        <f aca="false">MAX(0,MIN(1,A152+1-$AO$3))</f>
        <v>1</v>
      </c>
      <c r="D152" s="88" t="n">
        <f aca="false">IF((A152+0.5-(0))&lt;$AO$3,0,2026+INT((A152+0.5-(0))/12))</f>
        <v>2035</v>
      </c>
      <c r="E152" s="88" t="n">
        <f aca="false">IF((A152+0.5-($AO$9))&lt;$AO$3,0,2026+INT((A152+0.5-($AO$9))/12))</f>
        <v>2034</v>
      </c>
      <c r="F152" s="88" t="n">
        <f aca="false">IF((A152+0.5-($AO$9+$AO$8))&lt;$AO$3,0,2026+INT((A152+0.5-($AO$9+$AO$8))/12))</f>
        <v>2032</v>
      </c>
      <c r="G152" s="88" t="n">
        <f aca="false">IF((A152+0.5-($AO$9+$AO$8+$AO$7))&lt;$AO$3,0,2026+INT((A152+0.5-($AO$9+$AO$8+$AO$7))/12))</f>
        <v>2032</v>
      </c>
      <c r="H152" s="88" t="n">
        <f aca="false">IF(B152=2026,INDEX($C$3:$Q$3,1,B152-2025)*$AO$4*C152/MAX(0.0001,12-$AO$3),INDEX($C$3:$Q$3,1,B152-2025)/12)</f>
        <v>174.583333333333</v>
      </c>
      <c r="I152" s="88" t="n">
        <f aca="false">$AO$6*0</f>
        <v>0</v>
      </c>
      <c r="J152" s="88" t="n">
        <f aca="false">H152+J151</f>
        <v>27589.6700913243</v>
      </c>
      <c r="K152" s="88" t="n">
        <f aca="false">I152+K151</f>
        <v>8695.00000000001</v>
      </c>
      <c r="L152" s="88" t="n">
        <f aca="false">MAX(L151,J152-K152)</f>
        <v>18894.6700913242</v>
      </c>
      <c r="M152" s="88" t="n">
        <f aca="false">L152-L151</f>
        <v>174.583333333328</v>
      </c>
      <c r="N152" s="88" t="n">
        <f aca="false">IF(B152=2026,INDEX($C$4:$Q$4,1,B152-2025)*$AO$4*C152/MAX(0.0001,12-$AO$3),INDEX($C$4:$Q$4,1,B152-2025)/12)</f>
        <v>5.29281785719042</v>
      </c>
      <c r="O152" s="88" t="n">
        <f aca="false">$AO$6*0</f>
        <v>0</v>
      </c>
      <c r="P152" s="88" t="n">
        <f aca="false">N152+P151</f>
        <v>836.432067971474</v>
      </c>
      <c r="Q152" s="88" t="n">
        <f aca="false">O152+Q151</f>
        <v>398</v>
      </c>
      <c r="R152" s="88" t="n">
        <f aca="false">MAX(R151,P152-Q152)</f>
        <v>438.432067971474</v>
      </c>
      <c r="S152" s="88" t="n">
        <f aca="false">R152-R151</f>
        <v>5.29281785719047</v>
      </c>
      <c r="T152" s="88" t="n">
        <f aca="false">IF(B152=2026,INDEX($C$5:$Q$5,1,B152-2025)*$AO$4*C152/MAX(0.0001,12-$AO$3),INDEX($C$5:$Q$5,1,B152-2025)/12)</f>
        <v>21.5119223261209</v>
      </c>
      <c r="U152" s="88" t="n">
        <f aca="false">$AO$6*0</f>
        <v>0</v>
      </c>
      <c r="V152" s="88" t="n">
        <f aca="false">T152+V151</f>
        <v>3399.5618520737</v>
      </c>
      <c r="W152" s="88" t="n">
        <f aca="false">U152+W151</f>
        <v>1115</v>
      </c>
      <c r="X152" s="88" t="n">
        <f aca="false">MAX(X151,V152-W152)</f>
        <v>2284.5618520737</v>
      </c>
      <c r="Y152" s="88" t="n">
        <f aca="false">X152-X151</f>
        <v>21.5119223261208</v>
      </c>
      <c r="Z152" s="88" t="n">
        <f aca="false">IF(B152=2026,INDEX($C$6:$Q$6,1,B152-2025)*$AO$4*C152/MAX(0.0001,12-$AO$3),INDEX($C$6:$Q$6,1,B152-2025)/12)</f>
        <v>25.5221471249267</v>
      </c>
      <c r="AA152" s="88" t="n">
        <f aca="false">$AO$6*0</f>
        <v>0</v>
      </c>
      <c r="AB152" s="88" t="n">
        <f aca="false">Z152+AB151</f>
        <v>4033.30378538788</v>
      </c>
      <c r="AC152" s="88" t="n">
        <f aca="false">AA152+AC151</f>
        <v>2194</v>
      </c>
      <c r="AD152" s="88" t="n">
        <f aca="false">MAX(AD151,AB152-AC152)</f>
        <v>1839.30378538788</v>
      </c>
      <c r="AE152" s="88" t="n">
        <f aca="false">AD152-AD151</f>
        <v>25.5221471249265</v>
      </c>
      <c r="AF152" s="88" t="n">
        <f aca="false">IF(B152=2026,INDEX($C$7:$Q$7,1,B152-2025)*$AO$4*C152/MAX(0.0001,12-$AO$3),INDEX($C$7:$Q$7,1,B152-2025)/12)</f>
        <v>22.1701907861426</v>
      </c>
      <c r="AG152" s="88" t="n">
        <f aca="false">$AO$6*0</f>
        <v>0</v>
      </c>
      <c r="AH152" s="88" t="n">
        <f aca="false">AF152+AH151</f>
        <v>3503.58901948288</v>
      </c>
      <c r="AI152" s="88" t="n">
        <f aca="false">AG152+AI151</f>
        <v>826</v>
      </c>
      <c r="AJ152" s="88" t="n">
        <f aca="false">MAX(AJ151,AH152-AI152)</f>
        <v>2677.58901948288</v>
      </c>
      <c r="AK152" s="88" t="n">
        <f aca="false">AJ152-AJ151</f>
        <v>22.1701907861425</v>
      </c>
      <c r="AL152" s="88" t="n">
        <f aca="false">IF(B152=2026,INDEX($C$8:$Q$8,1,B152-2025)*$AO$4*C152/MAX(0.0001,12-$AO$3),INDEX($C$8:$Q$8,1,B152-2025)/12)</f>
        <v>5.60801085830575</v>
      </c>
      <c r="AM152" s="88" t="n">
        <f aca="false">$AO$6*0</f>
        <v>0</v>
      </c>
      <c r="AN152" s="88" t="n">
        <f aca="false">AL152+AN151</f>
        <v>886.242498038489</v>
      </c>
      <c r="AO152" s="88" t="n">
        <f aca="false">AM152+AO151</f>
        <v>66</v>
      </c>
      <c r="AP152" s="88" t="n">
        <f aca="false">MAX(AP151,AN152-AO152)</f>
        <v>820.242498038489</v>
      </c>
      <c r="AQ152" s="88" t="n">
        <f aca="false">AP152-AP151</f>
        <v>5.60801085830576</v>
      </c>
      <c r="AR152" s="88" t="n">
        <f aca="false">IF(B152=2026,INDEX($C$9:$Q$9,1,B152-2025)*$AO$4*C152/MAX(0.0001,12-$AO$3),INDEX($C$9:$Q$9,1,B152-2025)/12)</f>
        <v>23.9122382576915</v>
      </c>
      <c r="AS152" s="88" t="n">
        <f aca="false">$AO$6*0</f>
        <v>0</v>
      </c>
      <c r="AT152" s="88" t="n">
        <f aca="false">AR152+AT151</f>
        <v>3778.88743489175</v>
      </c>
      <c r="AU152" s="88" t="n">
        <f aca="false">AS152+AU151</f>
        <v>1810</v>
      </c>
      <c r="AV152" s="88" t="n">
        <f aca="false">MAX(AV151,AT152-AU152)</f>
        <v>1968.88743489175</v>
      </c>
      <c r="AW152" s="88" t="n">
        <f aca="false">AV152-AV151</f>
        <v>23.9122382576916</v>
      </c>
      <c r="AX152" s="88" t="n">
        <f aca="false">IF(B152=2026,INDEX($C$10:$Q$10,1,B152-2025)*$AO$4*C152/MAX(0.0001,12-$AO$3),INDEX($C$10:$Q$10,1,B152-2025)/12)</f>
        <v>2.77369840981486</v>
      </c>
      <c r="AY152" s="88" t="n">
        <f aca="false">$AO$6*0</f>
        <v>0</v>
      </c>
      <c r="AZ152" s="88" t="n">
        <f aca="false">AX152+AZ151</f>
        <v>438.331784589723</v>
      </c>
      <c r="BA152" s="88" t="n">
        <f aca="false">AY152+BA151</f>
        <v>50</v>
      </c>
      <c r="BB152" s="88" t="n">
        <f aca="false">MAX(BB151,AZ152-BA152)</f>
        <v>388.331784589723</v>
      </c>
      <c r="BC152" s="88" t="n">
        <f aca="false">BB152-BB151</f>
        <v>2.77369840981487</v>
      </c>
      <c r="BD152" s="88" t="n">
        <f aca="false">IF(B152=2026,INDEX($C$11:$Q$11,1,B152-2025)*$AO$4*C152/MAX(0.0001,12-$AO$3),INDEX($C$11:$Q$11,1,B152-2025)/12)</f>
        <v>13.7836323949279</v>
      </c>
      <c r="BE152" s="88" t="n">
        <f aca="false">$AO$6*0</f>
        <v>0</v>
      </c>
      <c r="BF152" s="88" t="n">
        <f aca="false">BD152+BF151</f>
        <v>2178.24842254596</v>
      </c>
      <c r="BG152" s="88" t="n">
        <f aca="false">BE152+BG151</f>
        <v>240</v>
      </c>
      <c r="BH152" s="88" t="n">
        <f aca="false">MAX(BH151,BF152-BG152)</f>
        <v>1938.24842254596</v>
      </c>
      <c r="BI152" s="88" t="n">
        <f aca="false">BH152-BH151</f>
        <v>13.7836323949277</v>
      </c>
      <c r="BJ152" s="88" t="n">
        <f aca="false">IF(B152=2026,INDEX($C$12:$Q$12,1,B152-2025)*$AO$4*C152/MAX(0.0001,12-$AO$3),INDEX($C$12:$Q$12,1,B152-2025)/12)</f>
        <v>7.55735834212668</v>
      </c>
      <c r="BK152" s="88" t="n">
        <f aca="false">$AO$6*0</f>
        <v>0</v>
      </c>
      <c r="BL152" s="88" t="n">
        <f aca="false">BJ152+BL151</f>
        <v>1194.30085014525</v>
      </c>
      <c r="BM152" s="88" t="n">
        <f aca="false">BK152+BM151</f>
        <v>465</v>
      </c>
      <c r="BN152" s="88" t="n">
        <f aca="false">MAX(BN151,BL152-BM152)</f>
        <v>729.300850145255</v>
      </c>
      <c r="BO152" s="88" t="n">
        <f aca="false">BN152-BN151</f>
        <v>7.55735834212669</v>
      </c>
      <c r="BP152" s="88" t="n">
        <f aca="false">IF(B152=2026,INDEX($C$13:$Q$13,1,B152-2025)*$AO$4*C152/MAX(0.0001,12-$AO$3),INDEX($C$13:$Q$13,1,B152-2025)/12)</f>
        <v>2.36165531610536</v>
      </c>
      <c r="BQ152" s="88" t="n">
        <f aca="false">$AO$6*0</f>
        <v>0</v>
      </c>
      <c r="BR152" s="88" t="n">
        <f aca="false">BP152+BR151</f>
        <v>373.215986868365</v>
      </c>
      <c r="BS152" s="88" t="n">
        <f aca="false">BQ152+BS151</f>
        <v>87</v>
      </c>
      <c r="BT152" s="88" t="n">
        <f aca="false">MAX(BT151,BR152-BS152)</f>
        <v>286.215986868365</v>
      </c>
      <c r="BU152" s="88" t="n">
        <f aca="false">BT152-BT151</f>
        <v>2.36165531610538</v>
      </c>
      <c r="BV152" s="88" t="n">
        <f aca="false">IF(B152=2026,INDEX($C$14:$Q$14,1,B152-2025)*$AO$4*C152/MAX(0.0001,12-$AO$3),INDEX($C$14:$Q$14,1,B152-2025)/12)</f>
        <v>1.40070591162111</v>
      </c>
      <c r="BW152" s="88" t="n">
        <f aca="false">$AO$6*0</f>
        <v>0</v>
      </c>
      <c r="BX152" s="88" t="n">
        <f aca="false">BV152+BX151</f>
        <v>221.355688763307</v>
      </c>
      <c r="BY152" s="88" t="n">
        <f aca="false">BW152+BY151</f>
        <v>0</v>
      </c>
      <c r="BZ152" s="88" t="n">
        <f aca="false">MAX(BZ151,BX152-BY152)</f>
        <v>221.355688763307</v>
      </c>
      <c r="CA152" s="88" t="n">
        <f aca="false">BZ152-BZ151</f>
        <v>1.40070591162112</v>
      </c>
      <c r="CB152" s="88" t="n">
        <f aca="false">IF(B152=2026,INDEX($C$15:$Q$15,1,B152-2025)*$AO$4*C152/MAX(0.0001,12-$AO$3),INDEX($C$15:$Q$15,1,B152-2025)/12)</f>
        <v>2.29650620393693</v>
      </c>
      <c r="CC152" s="88" t="n">
        <f aca="false">$AO$6*0</f>
        <v>0</v>
      </c>
      <c r="CD152" s="88" t="n">
        <f aca="false">CB152+CD151</f>
        <v>362.920373437513</v>
      </c>
      <c r="CE152" s="88" t="n">
        <f aca="false">CC152+CE151</f>
        <v>88.0000000000001</v>
      </c>
      <c r="CF152" s="88" t="n">
        <f aca="false">MAX(CF151,CD152-CE152)</f>
        <v>274.920373437513</v>
      </c>
      <c r="CG152" s="88" t="n">
        <f aca="false">CF152-CF151</f>
        <v>2.29650620393693</v>
      </c>
      <c r="CH152" s="88" t="n">
        <f aca="false">IF(B152=2026,INDEX($C$16:$Q$16,1,B152-2025)*$AO$4*C152/MAX(0.0001,12-$AO$3),INDEX($C$16:$Q$16,1,B152-2025)/12)</f>
        <v>1.81603150169481</v>
      </c>
      <c r="CI152" s="88" t="n">
        <f aca="false">$AO$6*0</f>
        <v>0</v>
      </c>
      <c r="CJ152" s="88" t="n">
        <f aca="false">CH152+CJ151</f>
        <v>286.990224384984</v>
      </c>
      <c r="CK152" s="88" t="n">
        <f aca="false">CI152+CK151</f>
        <v>70</v>
      </c>
      <c r="CL152" s="88" t="n">
        <f aca="false">MAX(CL151,CJ152-CK152)</f>
        <v>216.990224384985</v>
      </c>
      <c r="CM152" s="88" t="n">
        <f aca="false">CL152-CL151</f>
        <v>1.81603150169479</v>
      </c>
      <c r="CN152" s="88" t="n">
        <f aca="false">IF(B152=2026,INDEX($C$17:$Q$17,1,B152-2025)*$AO$4*C152/MAX(0.0001,12-$AO$3),INDEX($C$17:$Q$17,1,B152-2025)/12)</f>
        <v>7.90747348944242</v>
      </c>
      <c r="CO152" s="88" t="n">
        <f aca="false">$AO$6*0</f>
        <v>0</v>
      </c>
      <c r="CP152" s="88" t="n">
        <f aca="false">CN152+CP151</f>
        <v>1249.6300801696</v>
      </c>
      <c r="CQ152" s="88" t="n">
        <f aca="false">CO152+CQ151</f>
        <v>221</v>
      </c>
      <c r="CR152" s="88" t="n">
        <f aca="false">MAX(CR151,CP152-CQ152)</f>
        <v>1028.6300801696</v>
      </c>
      <c r="CS152" s="88" t="n">
        <f aca="false">CR152-CR151</f>
        <v>7.90747348944251</v>
      </c>
      <c r="CT152" s="88" t="n">
        <f aca="false">IF(B152=2026,INDEX($C$18:$Q$18,1,B152-2025)*$AO$4*C152/MAX(0.0001,12-$AO$3),INDEX($C$18:$Q$18,1,B152-2025)/12)</f>
        <v>1.6450150822527</v>
      </c>
      <c r="CU152" s="88" t="n">
        <f aca="false">$AO$6*0</f>
        <v>0</v>
      </c>
      <c r="CV152" s="88" t="n">
        <f aca="false">CT152+CV151</f>
        <v>259.964239128999</v>
      </c>
      <c r="CW152" s="88" t="n">
        <f aca="false">CU152+CW151</f>
        <v>11</v>
      </c>
      <c r="CX152" s="88" t="n">
        <f aca="false">MAX(CX151,CV152-CW152)</f>
        <v>248.964239128999</v>
      </c>
      <c r="CY152" s="88" t="n">
        <f aca="false">CX152-CX151</f>
        <v>1.64501508225271</v>
      </c>
      <c r="CZ152" s="88" t="n">
        <f aca="false">IF(B152=2026,INDEX($C$19:$Q$19,1,B152-2025)*$AO$4*C152/MAX(0.0001,12-$AO$3),INDEX($C$19:$Q$19,1,B152-2025)/12)</f>
        <v>1.62872780421059</v>
      </c>
      <c r="DA152" s="88" t="n">
        <f aca="false">$AO$6*0</f>
        <v>0</v>
      </c>
      <c r="DB152" s="88" t="n">
        <f aca="false">CZ152+DB151</f>
        <v>257.390335771287</v>
      </c>
      <c r="DC152" s="88" t="n">
        <f aca="false">DA152+DC151</f>
        <v>226</v>
      </c>
      <c r="DD152" s="88" t="n">
        <f aca="false">MAX(DD151,DB152-DC152)</f>
        <v>37.132124495359</v>
      </c>
      <c r="DE152" s="88" t="n">
        <f aca="false">DD152-DD151</f>
        <v>0</v>
      </c>
      <c r="DF152" s="88" t="n">
        <f aca="false">IF(B152=2026,INDEX($C$20:$Q$20,1,B152-2025)*$AO$4*C152/MAX(0.0001,12-$AO$3),INDEX($C$20:$Q$20,1,B152-2025)/12)</f>
        <v>1.32741316043163</v>
      </c>
      <c r="DG152" s="88" t="n">
        <f aca="false">$AO$6*0</f>
        <v>0</v>
      </c>
      <c r="DH152" s="88" t="n">
        <f aca="false">DF152+DH151</f>
        <v>209.773123653598</v>
      </c>
      <c r="DI152" s="88" t="n">
        <f aca="false">DG152+DI151</f>
        <v>0</v>
      </c>
      <c r="DJ152" s="88" t="n">
        <f aca="false">MAX(DJ151,DH152-DI152)</f>
        <v>209.773123653598</v>
      </c>
      <c r="DK152" s="88" t="n">
        <f aca="false">DJ152-DJ151</f>
        <v>1.32741316043163</v>
      </c>
      <c r="DL152" s="88" t="n">
        <f aca="false">IF(B152=2026,INDEX($C$21:$Q$21,1,B152-2025)*$AO$4*C152/MAX(0.0001,12-$AO$3),INDEX($C$21:$Q$21,1,B152-2025)/12)</f>
        <v>0.928374848400037</v>
      </c>
      <c r="DM152" s="88" t="n">
        <f aca="false">$AO$6*0</f>
        <v>0</v>
      </c>
      <c r="DN152" s="88" t="n">
        <f aca="false">DL152+DN151</f>
        <v>146.712491389633</v>
      </c>
      <c r="DO152" s="88" t="n">
        <f aca="false">DM152+DO151</f>
        <v>100</v>
      </c>
      <c r="DP152" s="88" t="n">
        <f aca="false">MAX(DP151,DN152-DO152)</f>
        <v>46.7124913896332</v>
      </c>
      <c r="DQ152" s="88" t="n">
        <f aca="false">DP152-DP151</f>
        <v>0.92837484840004</v>
      </c>
      <c r="DR152" s="88" t="n">
        <f aca="false">IF(B152=2026,INDEX($C$22:$Q$22,1,B152-2025)*$AO$4*C152/MAX(0.0001,12-$AO$3),INDEX($C$22:$Q$22,1,B152-2025)/12)</f>
        <v>0.724783872873713</v>
      </c>
      <c r="DS152" s="88" t="n">
        <f aca="false">$AO$6*0</f>
        <v>0</v>
      </c>
      <c r="DT152" s="88" t="n">
        <f aca="false">DR152+DT151</f>
        <v>114.538699418223</v>
      </c>
      <c r="DU152" s="88" t="n">
        <f aca="false">DS152+DU151</f>
        <v>29</v>
      </c>
      <c r="DV152" s="88" t="n">
        <f aca="false">MAX(DV151,DT152-DU152)</f>
        <v>85.5386994182227</v>
      </c>
      <c r="DW152" s="88" t="n">
        <f aca="false">DV152-DV151</f>
        <v>0.724783872873701</v>
      </c>
      <c r="DX152" s="88" t="n">
        <f aca="false">IF(B152=2026,INDEX($C$23:$Q$23,1,B152-2025)*$AO$4*C152/MAX(0.0001,12-$AO$3),INDEX($C$23:$Q$23,1,B152-2025)/12)</f>
        <v>1.16454038001057</v>
      </c>
      <c r="DY152" s="88" t="n">
        <f aca="false">$AO$6*0</f>
        <v>0</v>
      </c>
      <c r="DZ152" s="88" t="n">
        <f aca="false">DX152+DZ151</f>
        <v>184.03409007647</v>
      </c>
      <c r="EA152" s="88" t="n">
        <f aca="false">DY152+EA151</f>
        <v>121</v>
      </c>
      <c r="EB152" s="88" t="n">
        <f aca="false">MAX(EB151,DZ152-EA152)</f>
        <v>63.0340900764701</v>
      </c>
      <c r="EC152" s="88" t="n">
        <f aca="false">EB152-EB151</f>
        <v>1.16454038001058</v>
      </c>
      <c r="ED152" s="88" t="n">
        <f aca="false">IF(B152=2026,INDEX($C$24:$Q$24,1,B152-2025)*$AO$4*C152/MAX(0.0001,12-$AO$3),INDEX($C$24:$Q$24,1,B152-2025)/12)</f>
        <v>0.71664023385266</v>
      </c>
      <c r="EE152" s="88" t="n">
        <f aca="false">$AO$6*0</f>
        <v>0</v>
      </c>
      <c r="EF152" s="88" t="n">
        <f aca="false">ED152+EF151</f>
        <v>113.251747739366</v>
      </c>
      <c r="EG152" s="88" t="n">
        <f aca="false">EE152+EG151</f>
        <v>0</v>
      </c>
      <c r="EH152" s="88" t="n">
        <f aca="false">MAX(EH151,EF152-EG152)</f>
        <v>113.251747739366</v>
      </c>
      <c r="EI152" s="88" t="n">
        <f aca="false">EH152-EH151</f>
        <v>0.716640233852658</v>
      </c>
      <c r="EJ152" s="88" t="n">
        <f aca="false">IF(B152=2026,INDEX($C$25:$Q$25,1,B152-2025)*$AO$4*C152/MAX(0.0001,12-$AO$3),INDEX($C$25:$Q$25,1,B152-2025)/12)</f>
        <v>0.912087570357932</v>
      </c>
      <c r="EK152" s="88" t="n">
        <f aca="false">$AO$6*0</f>
        <v>0</v>
      </c>
      <c r="EL152" s="88" t="n">
        <f aca="false">EJ152+EL151</f>
        <v>144.13858803192</v>
      </c>
      <c r="EM152" s="88" t="n">
        <f aca="false">EK152+EM151</f>
        <v>14</v>
      </c>
      <c r="EN152" s="88" t="n">
        <f aca="false">MAX(EN151,EL152-EM152)</f>
        <v>130.13858803192</v>
      </c>
      <c r="EO152" s="88" t="n">
        <f aca="false">EN152-EN151</f>
        <v>0.912087570357926</v>
      </c>
      <c r="EP152" s="88" t="n">
        <f aca="false">IF(B152=2026,INDEX($C$26:$Q$26,1,B152-2025)*$AO$4*C152/MAX(0.0001,12-$AO$3),INDEX($C$26:$Q$26,1,B152-2025)/12)</f>
        <v>1.31112588238953</v>
      </c>
      <c r="EQ152" s="88" t="n">
        <f aca="false">$AO$6*0</f>
        <v>0</v>
      </c>
      <c r="ER152" s="88" t="n">
        <f aca="false">EP152+ER151</f>
        <v>207.199220295885</v>
      </c>
      <c r="ES152" s="88" t="n">
        <f aca="false">EQ152+ES151</f>
        <v>4</v>
      </c>
      <c r="ET152" s="88" t="n">
        <f aca="false">MAX(ET151,ER152-ES152)</f>
        <v>203.199220295885</v>
      </c>
      <c r="EU152" s="88" t="n">
        <f aca="false">ET152-ET151</f>
        <v>1.31112588238952</v>
      </c>
      <c r="EV152" s="88" t="n">
        <f aca="false">IF(B152=2026,INDEX($C$27:$Q$27,1,B152-2025)*$AO$4*C152/MAX(0.0001,12-$AO$3),INDEX($C$27:$Q$27,1,B152-2025)/12)</f>
        <v>3.25745560842118</v>
      </c>
      <c r="EW152" s="88" t="n">
        <f aca="false">$AO$6*0</f>
        <v>0</v>
      </c>
      <c r="EX152" s="88" t="n">
        <f aca="false">EV152+EX151</f>
        <v>514.780671542574</v>
      </c>
      <c r="EY152" s="88" t="n">
        <f aca="false">EW152+EY151</f>
        <v>391</v>
      </c>
      <c r="EZ152" s="88" t="n">
        <f aca="false">MAX(EZ151,EX152-EY152)</f>
        <v>123.780671542574</v>
      </c>
      <c r="FA152" s="88" t="n">
        <f aca="false">EZ152-EZ151</f>
        <v>3.2574556084212</v>
      </c>
      <c r="FB152" s="88" t="n">
        <f aca="false">IF(B152=2026,INDEX($C$28:$Q$28,1,B152-2025)*$AO$4*C152/MAX(0.0001,12-$AO$3),INDEX($C$28:$Q$28,1,B152-2025)/12)</f>
        <v>17.0527801100849</v>
      </c>
      <c r="FC152" s="88" t="n">
        <f aca="false">$AO$6*0</f>
        <v>0</v>
      </c>
      <c r="FD152" s="88" t="n">
        <f aca="false">FB152+FD151</f>
        <v>2694.87681552537</v>
      </c>
      <c r="FE152" s="88" t="n">
        <f aca="false">FC152+FE151</f>
        <v>169</v>
      </c>
      <c r="FF152" s="88" t="n">
        <f aca="false">MAX(FF151,FD152-FE152)</f>
        <v>2525.87681552537</v>
      </c>
      <c r="FG152" s="88" t="n">
        <f aca="false">FF152-FF151</f>
        <v>17.0527801100848</v>
      </c>
    </row>
    <row r="153" customFormat="false" ht="15" hidden="false" customHeight="false" outlineLevel="0" collapsed="false">
      <c r="A153" s="0" t="n">
        <v>113</v>
      </c>
      <c r="B153" s="88" t="n">
        <f aca="false">2026+INT(A153/12)</f>
        <v>2035</v>
      </c>
      <c r="C153" s="88" t="n">
        <f aca="false">MAX(0,MIN(1,A153+1-$AO$3))</f>
        <v>1</v>
      </c>
      <c r="D153" s="88" t="n">
        <f aca="false">IF((A153+0.5-(0))&lt;$AO$3,0,2026+INT((A153+0.5-(0))/12))</f>
        <v>2035</v>
      </c>
      <c r="E153" s="88" t="n">
        <f aca="false">IF((A153+0.5-($AO$9))&lt;$AO$3,0,2026+INT((A153+0.5-($AO$9))/12))</f>
        <v>2034</v>
      </c>
      <c r="F153" s="88" t="n">
        <f aca="false">IF((A153+0.5-($AO$9+$AO$8))&lt;$AO$3,0,2026+INT((A153+0.5-($AO$9+$AO$8))/12))</f>
        <v>2032</v>
      </c>
      <c r="G153" s="88" t="n">
        <f aca="false">IF((A153+0.5-($AO$9+$AO$8+$AO$7))&lt;$AO$3,0,2026+INT((A153+0.5-($AO$9+$AO$8+$AO$7))/12))</f>
        <v>2032</v>
      </c>
      <c r="H153" s="88" t="n">
        <f aca="false">IF(B153=2026,INDEX($C$3:$Q$3,1,B153-2025)*$AO$4*C153/MAX(0.0001,12-$AO$3),INDEX($C$3:$Q$3,1,B153-2025)/12)</f>
        <v>174.583333333333</v>
      </c>
      <c r="I153" s="88" t="n">
        <f aca="false">$AO$6*0</f>
        <v>0</v>
      </c>
      <c r="J153" s="88" t="n">
        <f aca="false">H153+J152</f>
        <v>27764.2534246576</v>
      </c>
      <c r="K153" s="88" t="n">
        <f aca="false">I153+K152</f>
        <v>8695.00000000001</v>
      </c>
      <c r="L153" s="88" t="n">
        <f aca="false">MAX(L152,J153-K153)</f>
        <v>19069.2534246576</v>
      </c>
      <c r="M153" s="88" t="n">
        <f aca="false">L153-L152</f>
        <v>174.583333333336</v>
      </c>
      <c r="N153" s="88" t="n">
        <f aca="false">IF(B153=2026,INDEX($C$4:$Q$4,1,B153-2025)*$AO$4*C153/MAX(0.0001,12-$AO$3),INDEX($C$4:$Q$4,1,B153-2025)/12)</f>
        <v>5.29281785719042</v>
      </c>
      <c r="O153" s="88" t="n">
        <f aca="false">$AO$6*0</f>
        <v>0</v>
      </c>
      <c r="P153" s="88" t="n">
        <f aca="false">N153+P152</f>
        <v>841.724885828665</v>
      </c>
      <c r="Q153" s="88" t="n">
        <f aca="false">O153+Q152</f>
        <v>398</v>
      </c>
      <c r="R153" s="88" t="n">
        <f aca="false">MAX(R152,P153-Q153)</f>
        <v>443.724885828665</v>
      </c>
      <c r="S153" s="88" t="n">
        <f aca="false">R153-R152</f>
        <v>5.29281785719047</v>
      </c>
      <c r="T153" s="88" t="n">
        <f aca="false">IF(B153=2026,INDEX($C$5:$Q$5,1,B153-2025)*$AO$4*C153/MAX(0.0001,12-$AO$3),INDEX($C$5:$Q$5,1,B153-2025)/12)</f>
        <v>21.5119223261209</v>
      </c>
      <c r="U153" s="88" t="n">
        <f aca="false">$AO$6*0</f>
        <v>0</v>
      </c>
      <c r="V153" s="88" t="n">
        <f aca="false">T153+V152</f>
        <v>3421.07377439982</v>
      </c>
      <c r="W153" s="88" t="n">
        <f aca="false">U153+W152</f>
        <v>1115</v>
      </c>
      <c r="X153" s="88" t="n">
        <f aca="false">MAX(X152,V153-W153)</f>
        <v>2306.07377439982</v>
      </c>
      <c r="Y153" s="88" t="n">
        <f aca="false">X153-X152</f>
        <v>21.5119223261208</v>
      </c>
      <c r="Z153" s="88" t="n">
        <f aca="false">IF(B153=2026,INDEX($C$6:$Q$6,1,B153-2025)*$AO$4*C153/MAX(0.0001,12-$AO$3),INDEX($C$6:$Q$6,1,B153-2025)/12)</f>
        <v>25.5221471249267</v>
      </c>
      <c r="AA153" s="88" t="n">
        <f aca="false">$AO$6*0</f>
        <v>0</v>
      </c>
      <c r="AB153" s="88" t="n">
        <f aca="false">Z153+AB152</f>
        <v>4058.82593251281</v>
      </c>
      <c r="AC153" s="88" t="n">
        <f aca="false">AA153+AC152</f>
        <v>2194</v>
      </c>
      <c r="AD153" s="88" t="n">
        <f aca="false">MAX(AD152,AB153-AC153)</f>
        <v>1864.8259325128</v>
      </c>
      <c r="AE153" s="88" t="n">
        <f aca="false">AD153-AD152</f>
        <v>25.5221471249265</v>
      </c>
      <c r="AF153" s="88" t="n">
        <f aca="false">IF(B153=2026,INDEX($C$7:$Q$7,1,B153-2025)*$AO$4*C153/MAX(0.0001,12-$AO$3),INDEX($C$7:$Q$7,1,B153-2025)/12)</f>
        <v>22.1701907861426</v>
      </c>
      <c r="AG153" s="88" t="n">
        <f aca="false">$AO$6*0</f>
        <v>0</v>
      </c>
      <c r="AH153" s="88" t="n">
        <f aca="false">AF153+AH152</f>
        <v>3525.75921026903</v>
      </c>
      <c r="AI153" s="88" t="n">
        <f aca="false">AG153+AI152</f>
        <v>826</v>
      </c>
      <c r="AJ153" s="88" t="n">
        <f aca="false">MAX(AJ152,AH153-AI153)</f>
        <v>2699.75921026903</v>
      </c>
      <c r="AK153" s="88" t="n">
        <f aca="false">AJ153-AJ152</f>
        <v>22.1701907861425</v>
      </c>
      <c r="AL153" s="88" t="n">
        <f aca="false">IF(B153=2026,INDEX($C$8:$Q$8,1,B153-2025)*$AO$4*C153/MAX(0.0001,12-$AO$3),INDEX($C$8:$Q$8,1,B153-2025)/12)</f>
        <v>5.60801085830575</v>
      </c>
      <c r="AM153" s="88" t="n">
        <f aca="false">$AO$6*0</f>
        <v>0</v>
      </c>
      <c r="AN153" s="88" t="n">
        <f aca="false">AL153+AN152</f>
        <v>891.850508896795</v>
      </c>
      <c r="AO153" s="88" t="n">
        <f aca="false">AM153+AO152</f>
        <v>66</v>
      </c>
      <c r="AP153" s="88" t="n">
        <f aca="false">MAX(AP152,AN153-AO153)</f>
        <v>825.850508896795</v>
      </c>
      <c r="AQ153" s="88" t="n">
        <f aca="false">AP153-AP152</f>
        <v>5.60801085830576</v>
      </c>
      <c r="AR153" s="88" t="n">
        <f aca="false">IF(B153=2026,INDEX($C$9:$Q$9,1,B153-2025)*$AO$4*C153/MAX(0.0001,12-$AO$3),INDEX($C$9:$Q$9,1,B153-2025)/12)</f>
        <v>23.9122382576915</v>
      </c>
      <c r="AS153" s="88" t="n">
        <f aca="false">$AO$6*0</f>
        <v>0</v>
      </c>
      <c r="AT153" s="88" t="n">
        <f aca="false">AR153+AT152</f>
        <v>3802.79967314944</v>
      </c>
      <c r="AU153" s="88" t="n">
        <f aca="false">AS153+AU152</f>
        <v>1810</v>
      </c>
      <c r="AV153" s="88" t="n">
        <f aca="false">MAX(AV152,AT153-AU153)</f>
        <v>1992.79967314944</v>
      </c>
      <c r="AW153" s="88" t="n">
        <f aca="false">AV153-AV152</f>
        <v>23.9122382576916</v>
      </c>
      <c r="AX153" s="88" t="n">
        <f aca="false">IF(B153=2026,INDEX($C$10:$Q$10,1,B153-2025)*$AO$4*C153/MAX(0.0001,12-$AO$3),INDEX($C$10:$Q$10,1,B153-2025)/12)</f>
        <v>2.77369840981486</v>
      </c>
      <c r="AY153" s="88" t="n">
        <f aca="false">$AO$6*0</f>
        <v>0</v>
      </c>
      <c r="AZ153" s="88" t="n">
        <f aca="false">AX153+AZ152</f>
        <v>441.105482999538</v>
      </c>
      <c r="BA153" s="88" t="n">
        <f aca="false">AY153+BA152</f>
        <v>50</v>
      </c>
      <c r="BB153" s="88" t="n">
        <f aca="false">MAX(BB152,AZ153-BA153)</f>
        <v>391.105482999538</v>
      </c>
      <c r="BC153" s="88" t="n">
        <f aca="false">BB153-BB152</f>
        <v>2.77369840981487</v>
      </c>
      <c r="BD153" s="88" t="n">
        <f aca="false">IF(B153=2026,INDEX($C$11:$Q$11,1,B153-2025)*$AO$4*C153/MAX(0.0001,12-$AO$3),INDEX($C$11:$Q$11,1,B153-2025)/12)</f>
        <v>13.7836323949279</v>
      </c>
      <c r="BE153" s="88" t="n">
        <f aca="false">$AO$6*0</f>
        <v>0</v>
      </c>
      <c r="BF153" s="88" t="n">
        <f aca="false">BD153+BF152</f>
        <v>2192.03205494089</v>
      </c>
      <c r="BG153" s="88" t="n">
        <f aca="false">BE153+BG152</f>
        <v>240</v>
      </c>
      <c r="BH153" s="88" t="n">
        <f aca="false">MAX(BH152,BF153-BG153)</f>
        <v>1952.03205494089</v>
      </c>
      <c r="BI153" s="88" t="n">
        <f aca="false">BH153-BH152</f>
        <v>13.7836323949277</v>
      </c>
      <c r="BJ153" s="88" t="n">
        <f aca="false">IF(B153=2026,INDEX($C$12:$Q$12,1,B153-2025)*$AO$4*C153/MAX(0.0001,12-$AO$3),INDEX($C$12:$Q$12,1,B153-2025)/12)</f>
        <v>7.55735834212668</v>
      </c>
      <c r="BK153" s="88" t="n">
        <f aca="false">$AO$6*0</f>
        <v>0</v>
      </c>
      <c r="BL153" s="88" t="n">
        <f aca="false">BJ153+BL152</f>
        <v>1201.85820848738</v>
      </c>
      <c r="BM153" s="88" t="n">
        <f aca="false">BK153+BM152</f>
        <v>465</v>
      </c>
      <c r="BN153" s="88" t="n">
        <f aca="false">MAX(BN152,BL153-BM153)</f>
        <v>736.858208487381</v>
      </c>
      <c r="BO153" s="88" t="n">
        <f aca="false">BN153-BN152</f>
        <v>7.55735834212669</v>
      </c>
      <c r="BP153" s="88" t="n">
        <f aca="false">IF(B153=2026,INDEX($C$13:$Q$13,1,B153-2025)*$AO$4*C153/MAX(0.0001,12-$AO$3),INDEX($C$13:$Q$13,1,B153-2025)/12)</f>
        <v>2.36165531610536</v>
      </c>
      <c r="BQ153" s="88" t="n">
        <f aca="false">$AO$6*0</f>
        <v>0</v>
      </c>
      <c r="BR153" s="88" t="n">
        <f aca="false">BP153+BR152</f>
        <v>375.57764218447</v>
      </c>
      <c r="BS153" s="88" t="n">
        <f aca="false">BQ153+BS152</f>
        <v>87</v>
      </c>
      <c r="BT153" s="88" t="n">
        <f aca="false">MAX(BT152,BR153-BS153)</f>
        <v>288.57764218447</v>
      </c>
      <c r="BU153" s="88" t="n">
        <f aca="false">BT153-BT152</f>
        <v>2.36165531610538</v>
      </c>
      <c r="BV153" s="88" t="n">
        <f aca="false">IF(B153=2026,INDEX($C$14:$Q$14,1,B153-2025)*$AO$4*C153/MAX(0.0001,12-$AO$3),INDEX($C$14:$Q$14,1,B153-2025)/12)</f>
        <v>1.40070591162111</v>
      </c>
      <c r="BW153" s="88" t="n">
        <f aca="false">$AO$6*0</f>
        <v>0</v>
      </c>
      <c r="BX153" s="88" t="n">
        <f aca="false">BV153+BX152</f>
        <v>222.756394674928</v>
      </c>
      <c r="BY153" s="88" t="n">
        <f aca="false">BW153+BY152</f>
        <v>0</v>
      </c>
      <c r="BZ153" s="88" t="n">
        <f aca="false">MAX(BZ152,BX153-BY153)</f>
        <v>222.756394674928</v>
      </c>
      <c r="CA153" s="88" t="n">
        <f aca="false">BZ153-BZ152</f>
        <v>1.40070591162112</v>
      </c>
      <c r="CB153" s="88" t="n">
        <f aca="false">IF(B153=2026,INDEX($C$15:$Q$15,1,B153-2025)*$AO$4*C153/MAX(0.0001,12-$AO$3),INDEX($C$15:$Q$15,1,B153-2025)/12)</f>
        <v>2.29650620393693</v>
      </c>
      <c r="CC153" s="88" t="n">
        <f aca="false">$AO$6*0</f>
        <v>0</v>
      </c>
      <c r="CD153" s="88" t="n">
        <f aca="false">CB153+CD152</f>
        <v>365.21687964145</v>
      </c>
      <c r="CE153" s="88" t="n">
        <f aca="false">CC153+CE152</f>
        <v>88.0000000000001</v>
      </c>
      <c r="CF153" s="88" t="n">
        <f aca="false">MAX(CF152,CD153-CE153)</f>
        <v>277.21687964145</v>
      </c>
      <c r="CG153" s="88" t="n">
        <f aca="false">CF153-CF152</f>
        <v>2.29650620393693</v>
      </c>
      <c r="CH153" s="88" t="n">
        <f aca="false">IF(B153=2026,INDEX($C$16:$Q$16,1,B153-2025)*$AO$4*C153/MAX(0.0001,12-$AO$3),INDEX($C$16:$Q$16,1,B153-2025)/12)</f>
        <v>1.81603150169481</v>
      </c>
      <c r="CI153" s="88" t="n">
        <f aca="false">$AO$6*0</f>
        <v>0</v>
      </c>
      <c r="CJ153" s="88" t="n">
        <f aca="false">CH153+CJ152</f>
        <v>288.806255886679</v>
      </c>
      <c r="CK153" s="88" t="n">
        <f aca="false">CI153+CK152</f>
        <v>70</v>
      </c>
      <c r="CL153" s="88" t="n">
        <f aca="false">MAX(CL152,CJ153-CK153)</f>
        <v>218.806255886679</v>
      </c>
      <c r="CM153" s="88" t="n">
        <f aca="false">CL153-CL152</f>
        <v>1.81603150169479</v>
      </c>
      <c r="CN153" s="88" t="n">
        <f aca="false">IF(B153=2026,INDEX($C$17:$Q$17,1,B153-2025)*$AO$4*C153/MAX(0.0001,12-$AO$3),INDEX($C$17:$Q$17,1,B153-2025)/12)</f>
        <v>7.90747348944242</v>
      </c>
      <c r="CO153" s="88" t="n">
        <f aca="false">$AO$6*0</f>
        <v>0</v>
      </c>
      <c r="CP153" s="88" t="n">
        <f aca="false">CN153+CP152</f>
        <v>1257.53755365904</v>
      </c>
      <c r="CQ153" s="88" t="n">
        <f aca="false">CO153+CQ152</f>
        <v>221</v>
      </c>
      <c r="CR153" s="88" t="n">
        <f aca="false">MAX(CR152,CP153-CQ153)</f>
        <v>1036.53755365904</v>
      </c>
      <c r="CS153" s="88" t="n">
        <f aca="false">CR153-CR152</f>
        <v>7.90747348944251</v>
      </c>
      <c r="CT153" s="88" t="n">
        <f aca="false">IF(B153=2026,INDEX($C$18:$Q$18,1,B153-2025)*$AO$4*C153/MAX(0.0001,12-$AO$3),INDEX($C$18:$Q$18,1,B153-2025)/12)</f>
        <v>1.6450150822527</v>
      </c>
      <c r="CU153" s="88" t="n">
        <f aca="false">$AO$6*0</f>
        <v>0</v>
      </c>
      <c r="CV153" s="88" t="n">
        <f aca="false">CT153+CV152</f>
        <v>261.609254211252</v>
      </c>
      <c r="CW153" s="88" t="n">
        <f aca="false">CU153+CW152</f>
        <v>11</v>
      </c>
      <c r="CX153" s="88" t="n">
        <f aca="false">MAX(CX152,CV153-CW153)</f>
        <v>250.609254211252</v>
      </c>
      <c r="CY153" s="88" t="n">
        <f aca="false">CX153-CX152</f>
        <v>1.64501508225271</v>
      </c>
      <c r="CZ153" s="88" t="n">
        <f aca="false">IF(B153=2026,INDEX($C$19:$Q$19,1,B153-2025)*$AO$4*C153/MAX(0.0001,12-$AO$3),INDEX($C$19:$Q$19,1,B153-2025)/12)</f>
        <v>1.62872780421059</v>
      </c>
      <c r="DA153" s="88" t="n">
        <f aca="false">$AO$6*0</f>
        <v>0</v>
      </c>
      <c r="DB153" s="88" t="n">
        <f aca="false">CZ153+DB152</f>
        <v>259.019063575498</v>
      </c>
      <c r="DC153" s="88" t="n">
        <f aca="false">DA153+DC152</f>
        <v>226</v>
      </c>
      <c r="DD153" s="88" t="n">
        <f aca="false">MAX(DD152,DB153-DC153)</f>
        <v>37.132124495359</v>
      </c>
      <c r="DE153" s="88" t="n">
        <f aca="false">DD153-DD152</f>
        <v>0</v>
      </c>
      <c r="DF153" s="88" t="n">
        <f aca="false">IF(B153=2026,INDEX($C$20:$Q$20,1,B153-2025)*$AO$4*C153/MAX(0.0001,12-$AO$3),INDEX($C$20:$Q$20,1,B153-2025)/12)</f>
        <v>1.32741316043163</v>
      </c>
      <c r="DG153" s="88" t="n">
        <f aca="false">$AO$6*0</f>
        <v>0</v>
      </c>
      <c r="DH153" s="88" t="n">
        <f aca="false">DF153+DH152</f>
        <v>211.10053681403</v>
      </c>
      <c r="DI153" s="88" t="n">
        <f aca="false">DG153+DI152</f>
        <v>0</v>
      </c>
      <c r="DJ153" s="88" t="n">
        <f aca="false">MAX(DJ152,DH153-DI153)</f>
        <v>211.10053681403</v>
      </c>
      <c r="DK153" s="88" t="n">
        <f aca="false">DJ153-DJ152</f>
        <v>1.32741316043163</v>
      </c>
      <c r="DL153" s="88" t="n">
        <f aca="false">IF(B153=2026,INDEX($C$21:$Q$21,1,B153-2025)*$AO$4*C153/MAX(0.0001,12-$AO$3),INDEX($C$21:$Q$21,1,B153-2025)/12)</f>
        <v>0.928374848400037</v>
      </c>
      <c r="DM153" s="88" t="n">
        <f aca="false">$AO$6*0</f>
        <v>0</v>
      </c>
      <c r="DN153" s="88" t="n">
        <f aca="false">DL153+DN152</f>
        <v>147.640866238033</v>
      </c>
      <c r="DO153" s="88" t="n">
        <f aca="false">DM153+DO152</f>
        <v>100</v>
      </c>
      <c r="DP153" s="88" t="n">
        <f aca="false">MAX(DP152,DN153-DO153)</f>
        <v>47.6408662380332</v>
      </c>
      <c r="DQ153" s="88" t="n">
        <f aca="false">DP153-DP152</f>
        <v>0.92837484840004</v>
      </c>
      <c r="DR153" s="88" t="n">
        <f aca="false">IF(B153=2026,INDEX($C$22:$Q$22,1,B153-2025)*$AO$4*C153/MAX(0.0001,12-$AO$3),INDEX($C$22:$Q$22,1,B153-2025)/12)</f>
        <v>0.724783872873713</v>
      </c>
      <c r="DS153" s="88" t="n">
        <f aca="false">$AO$6*0</f>
        <v>0</v>
      </c>
      <c r="DT153" s="88" t="n">
        <f aca="false">DR153+DT152</f>
        <v>115.263483291096</v>
      </c>
      <c r="DU153" s="88" t="n">
        <f aca="false">DS153+DU152</f>
        <v>29</v>
      </c>
      <c r="DV153" s="88" t="n">
        <f aca="false">MAX(DV152,DT153-DU153)</f>
        <v>86.2634832910964</v>
      </c>
      <c r="DW153" s="88" t="n">
        <f aca="false">DV153-DV152</f>
        <v>0.724783872873729</v>
      </c>
      <c r="DX153" s="88" t="n">
        <f aca="false">IF(B153=2026,INDEX($C$23:$Q$23,1,B153-2025)*$AO$4*C153/MAX(0.0001,12-$AO$3),INDEX($C$23:$Q$23,1,B153-2025)/12)</f>
        <v>1.16454038001057</v>
      </c>
      <c r="DY153" s="88" t="n">
        <f aca="false">$AO$6*0</f>
        <v>0</v>
      </c>
      <c r="DZ153" s="88" t="n">
        <f aca="false">DX153+DZ152</f>
        <v>185.198630456481</v>
      </c>
      <c r="EA153" s="88" t="n">
        <f aca="false">DY153+EA152</f>
        <v>121</v>
      </c>
      <c r="EB153" s="88" t="n">
        <f aca="false">MAX(EB152,DZ153-EA153)</f>
        <v>64.1986304564807</v>
      </c>
      <c r="EC153" s="88" t="n">
        <f aca="false">EB153-EB152</f>
        <v>1.16454038001058</v>
      </c>
      <c r="ED153" s="88" t="n">
        <f aca="false">IF(B153=2026,INDEX($C$24:$Q$24,1,B153-2025)*$AO$4*C153/MAX(0.0001,12-$AO$3),INDEX($C$24:$Q$24,1,B153-2025)/12)</f>
        <v>0.71664023385266</v>
      </c>
      <c r="EE153" s="88" t="n">
        <f aca="false">$AO$6*0</f>
        <v>0</v>
      </c>
      <c r="EF153" s="88" t="n">
        <f aca="false">ED153+EF152</f>
        <v>113.968387973219</v>
      </c>
      <c r="EG153" s="88" t="n">
        <f aca="false">EE153+EG152</f>
        <v>0</v>
      </c>
      <c r="EH153" s="88" t="n">
        <f aca="false">MAX(EH152,EF153-EG153)</f>
        <v>113.968387973219</v>
      </c>
      <c r="EI153" s="88" t="n">
        <f aca="false">EH153-EH152</f>
        <v>0.716640233852658</v>
      </c>
      <c r="EJ153" s="88" t="n">
        <f aca="false">IF(B153=2026,INDEX($C$25:$Q$25,1,B153-2025)*$AO$4*C153/MAX(0.0001,12-$AO$3),INDEX($C$25:$Q$25,1,B153-2025)/12)</f>
        <v>0.912087570357932</v>
      </c>
      <c r="EK153" s="88" t="n">
        <f aca="false">$AO$6*0</f>
        <v>0</v>
      </c>
      <c r="EL153" s="88" t="n">
        <f aca="false">EJ153+EL152</f>
        <v>145.050675602278</v>
      </c>
      <c r="EM153" s="88" t="n">
        <f aca="false">EK153+EM152</f>
        <v>14</v>
      </c>
      <c r="EN153" s="88" t="n">
        <f aca="false">MAX(EN152,EL153-EM153)</f>
        <v>131.050675602278</v>
      </c>
      <c r="EO153" s="88" t="n">
        <f aca="false">EN153-EN152</f>
        <v>0.912087570357926</v>
      </c>
      <c r="EP153" s="88" t="n">
        <f aca="false">IF(B153=2026,INDEX($C$26:$Q$26,1,B153-2025)*$AO$4*C153/MAX(0.0001,12-$AO$3),INDEX($C$26:$Q$26,1,B153-2025)/12)</f>
        <v>1.31112588238953</v>
      </c>
      <c r="EQ153" s="88" t="n">
        <f aca="false">$AO$6*0</f>
        <v>0</v>
      </c>
      <c r="ER153" s="88" t="n">
        <f aca="false">EP153+ER152</f>
        <v>208.510346178274</v>
      </c>
      <c r="ES153" s="88" t="n">
        <f aca="false">EQ153+ES152</f>
        <v>4</v>
      </c>
      <c r="ET153" s="88" t="n">
        <f aca="false">MAX(ET152,ER153-ES153)</f>
        <v>204.510346178274</v>
      </c>
      <c r="EU153" s="88" t="n">
        <f aca="false">ET153-ET152</f>
        <v>1.31112588238952</v>
      </c>
      <c r="EV153" s="88" t="n">
        <f aca="false">IF(B153=2026,INDEX($C$27:$Q$27,1,B153-2025)*$AO$4*C153/MAX(0.0001,12-$AO$3),INDEX($C$27:$Q$27,1,B153-2025)/12)</f>
        <v>3.25745560842118</v>
      </c>
      <c r="EW153" s="88" t="n">
        <f aca="false">$AO$6*0</f>
        <v>0</v>
      </c>
      <c r="EX153" s="88" t="n">
        <f aca="false">EV153+EX152</f>
        <v>518.038127150995</v>
      </c>
      <c r="EY153" s="88" t="n">
        <f aca="false">EW153+EY152</f>
        <v>391</v>
      </c>
      <c r="EZ153" s="88" t="n">
        <f aca="false">MAX(EZ152,EX153-EY153)</f>
        <v>127.038127150995</v>
      </c>
      <c r="FA153" s="88" t="n">
        <f aca="false">EZ153-EZ152</f>
        <v>3.2574556084212</v>
      </c>
      <c r="FB153" s="88" t="n">
        <f aca="false">IF(B153=2026,INDEX($C$28:$Q$28,1,B153-2025)*$AO$4*C153/MAX(0.0001,12-$AO$3),INDEX($C$28:$Q$28,1,B153-2025)/12)</f>
        <v>17.0527801100849</v>
      </c>
      <c r="FC153" s="88" t="n">
        <f aca="false">$AO$6*0</f>
        <v>0</v>
      </c>
      <c r="FD153" s="88" t="n">
        <f aca="false">FB153+FD152</f>
        <v>2711.92959563546</v>
      </c>
      <c r="FE153" s="88" t="n">
        <f aca="false">FC153+FE152</f>
        <v>169</v>
      </c>
      <c r="FF153" s="88" t="n">
        <f aca="false">MAX(FF152,FD153-FE153)</f>
        <v>2542.92959563546</v>
      </c>
      <c r="FG153" s="88" t="n">
        <f aca="false">FF153-FF152</f>
        <v>17.0527801100848</v>
      </c>
    </row>
    <row r="154" customFormat="false" ht="15" hidden="false" customHeight="false" outlineLevel="0" collapsed="false">
      <c r="A154" s="0" t="n">
        <v>114</v>
      </c>
      <c r="B154" s="88" t="n">
        <f aca="false">2026+INT(A154/12)</f>
        <v>2035</v>
      </c>
      <c r="C154" s="88" t="n">
        <f aca="false">MAX(0,MIN(1,A154+1-$AO$3))</f>
        <v>1</v>
      </c>
      <c r="D154" s="88" t="n">
        <f aca="false">IF((A154+0.5-(0))&lt;$AO$3,0,2026+INT((A154+0.5-(0))/12))</f>
        <v>2035</v>
      </c>
      <c r="E154" s="88" t="n">
        <f aca="false">IF((A154+0.5-($AO$9))&lt;$AO$3,0,2026+INT((A154+0.5-($AO$9))/12))</f>
        <v>2034</v>
      </c>
      <c r="F154" s="88" t="n">
        <f aca="false">IF((A154+0.5-($AO$9+$AO$8))&lt;$AO$3,0,2026+INT((A154+0.5-($AO$9+$AO$8))/12))</f>
        <v>2032</v>
      </c>
      <c r="G154" s="88" t="n">
        <f aca="false">IF((A154+0.5-($AO$9+$AO$8+$AO$7))&lt;$AO$3,0,2026+INT((A154+0.5-($AO$9+$AO$8+$AO$7))/12))</f>
        <v>2032</v>
      </c>
      <c r="H154" s="88" t="n">
        <f aca="false">IF(B154=2026,INDEX($C$3:$Q$3,1,B154-2025)*$AO$4*C154/MAX(0.0001,12-$AO$3),INDEX($C$3:$Q$3,1,B154-2025)/12)</f>
        <v>174.583333333333</v>
      </c>
      <c r="I154" s="88" t="n">
        <f aca="false">$AO$6*0</f>
        <v>0</v>
      </c>
      <c r="J154" s="88" t="n">
        <f aca="false">H154+J153</f>
        <v>27938.8367579909</v>
      </c>
      <c r="K154" s="88" t="n">
        <f aca="false">I154+K153</f>
        <v>8695.00000000001</v>
      </c>
      <c r="L154" s="88" t="n">
        <f aca="false">MAX(L153,J154-K154)</f>
        <v>19243.8367579909</v>
      </c>
      <c r="M154" s="88" t="n">
        <f aca="false">L154-L153</f>
        <v>174.583333333328</v>
      </c>
      <c r="N154" s="88" t="n">
        <f aca="false">IF(B154=2026,INDEX($C$4:$Q$4,1,B154-2025)*$AO$4*C154/MAX(0.0001,12-$AO$3),INDEX($C$4:$Q$4,1,B154-2025)/12)</f>
        <v>5.29281785719042</v>
      </c>
      <c r="O154" s="88" t="n">
        <f aca="false">$AO$6*0</f>
        <v>0</v>
      </c>
      <c r="P154" s="88" t="n">
        <f aca="false">N154+P153</f>
        <v>847.017703685855</v>
      </c>
      <c r="Q154" s="88" t="n">
        <f aca="false">O154+Q153</f>
        <v>398</v>
      </c>
      <c r="R154" s="88" t="n">
        <f aca="false">MAX(R153,P154-Q154)</f>
        <v>449.017703685855</v>
      </c>
      <c r="S154" s="88" t="n">
        <f aca="false">R154-R153</f>
        <v>5.29281785719047</v>
      </c>
      <c r="T154" s="88" t="n">
        <f aca="false">IF(B154=2026,INDEX($C$5:$Q$5,1,B154-2025)*$AO$4*C154/MAX(0.0001,12-$AO$3),INDEX($C$5:$Q$5,1,B154-2025)/12)</f>
        <v>21.5119223261209</v>
      </c>
      <c r="U154" s="88" t="n">
        <f aca="false">$AO$6*0</f>
        <v>0</v>
      </c>
      <c r="V154" s="88" t="n">
        <f aca="false">T154+V153</f>
        <v>3442.58569672594</v>
      </c>
      <c r="W154" s="88" t="n">
        <f aca="false">U154+W153</f>
        <v>1115</v>
      </c>
      <c r="X154" s="88" t="n">
        <f aca="false">MAX(X153,V154-W154)</f>
        <v>2327.58569672594</v>
      </c>
      <c r="Y154" s="88" t="n">
        <f aca="false">X154-X153</f>
        <v>21.5119223261208</v>
      </c>
      <c r="Z154" s="88" t="n">
        <f aca="false">IF(B154=2026,INDEX($C$6:$Q$6,1,B154-2025)*$AO$4*C154/MAX(0.0001,12-$AO$3),INDEX($C$6:$Q$6,1,B154-2025)/12)</f>
        <v>25.5221471249267</v>
      </c>
      <c r="AA154" s="88" t="n">
        <f aca="false">$AO$6*0</f>
        <v>0</v>
      </c>
      <c r="AB154" s="88" t="n">
        <f aca="false">Z154+AB153</f>
        <v>4084.34807963773</v>
      </c>
      <c r="AC154" s="88" t="n">
        <f aca="false">AA154+AC153</f>
        <v>2194</v>
      </c>
      <c r="AD154" s="88" t="n">
        <f aca="false">MAX(AD153,AB154-AC154)</f>
        <v>1890.34807963773</v>
      </c>
      <c r="AE154" s="88" t="n">
        <f aca="false">AD154-AD153</f>
        <v>25.5221471249265</v>
      </c>
      <c r="AF154" s="88" t="n">
        <f aca="false">IF(B154=2026,INDEX($C$7:$Q$7,1,B154-2025)*$AO$4*C154/MAX(0.0001,12-$AO$3),INDEX($C$7:$Q$7,1,B154-2025)/12)</f>
        <v>22.1701907861426</v>
      </c>
      <c r="AG154" s="88" t="n">
        <f aca="false">$AO$6*0</f>
        <v>0</v>
      </c>
      <c r="AH154" s="88" t="n">
        <f aca="false">AF154+AH153</f>
        <v>3547.92940105517</v>
      </c>
      <c r="AI154" s="88" t="n">
        <f aca="false">AG154+AI153</f>
        <v>826</v>
      </c>
      <c r="AJ154" s="88" t="n">
        <f aca="false">MAX(AJ153,AH154-AI154)</f>
        <v>2721.92940105517</v>
      </c>
      <c r="AK154" s="88" t="n">
        <f aca="false">AJ154-AJ153</f>
        <v>22.1701907861425</v>
      </c>
      <c r="AL154" s="88" t="n">
        <f aca="false">IF(B154=2026,INDEX($C$8:$Q$8,1,B154-2025)*$AO$4*C154/MAX(0.0001,12-$AO$3),INDEX($C$8:$Q$8,1,B154-2025)/12)</f>
        <v>5.60801085830575</v>
      </c>
      <c r="AM154" s="88" t="n">
        <f aca="false">$AO$6*0</f>
        <v>0</v>
      </c>
      <c r="AN154" s="88" t="n">
        <f aca="false">AL154+AN153</f>
        <v>897.458519755101</v>
      </c>
      <c r="AO154" s="88" t="n">
        <f aca="false">AM154+AO153</f>
        <v>66</v>
      </c>
      <c r="AP154" s="88" t="n">
        <f aca="false">MAX(AP153,AN154-AO154)</f>
        <v>831.458519755101</v>
      </c>
      <c r="AQ154" s="88" t="n">
        <f aca="false">AP154-AP153</f>
        <v>5.60801085830576</v>
      </c>
      <c r="AR154" s="88" t="n">
        <f aca="false">IF(B154=2026,INDEX($C$9:$Q$9,1,B154-2025)*$AO$4*C154/MAX(0.0001,12-$AO$3),INDEX($C$9:$Q$9,1,B154-2025)/12)</f>
        <v>23.9122382576915</v>
      </c>
      <c r="AS154" s="88" t="n">
        <f aca="false">$AO$6*0</f>
        <v>0</v>
      </c>
      <c r="AT154" s="88" t="n">
        <f aca="false">AR154+AT153</f>
        <v>3826.71191140713</v>
      </c>
      <c r="AU154" s="88" t="n">
        <f aca="false">AS154+AU153</f>
        <v>1810</v>
      </c>
      <c r="AV154" s="88" t="n">
        <f aca="false">MAX(AV153,AT154-AU154)</f>
        <v>2016.71191140713</v>
      </c>
      <c r="AW154" s="88" t="n">
        <f aca="false">AV154-AV153</f>
        <v>23.9122382576916</v>
      </c>
      <c r="AX154" s="88" t="n">
        <f aca="false">IF(B154=2026,INDEX($C$10:$Q$10,1,B154-2025)*$AO$4*C154/MAX(0.0001,12-$AO$3),INDEX($C$10:$Q$10,1,B154-2025)/12)</f>
        <v>2.77369840981486</v>
      </c>
      <c r="AY154" s="88" t="n">
        <f aca="false">$AO$6*0</f>
        <v>0</v>
      </c>
      <c r="AZ154" s="88" t="n">
        <f aca="false">AX154+AZ153</f>
        <v>443.879181409352</v>
      </c>
      <c r="BA154" s="88" t="n">
        <f aca="false">AY154+BA153</f>
        <v>50</v>
      </c>
      <c r="BB154" s="88" t="n">
        <f aca="false">MAX(BB153,AZ154-BA154)</f>
        <v>393.879181409352</v>
      </c>
      <c r="BC154" s="88" t="n">
        <f aca="false">BB154-BB153</f>
        <v>2.77369840981487</v>
      </c>
      <c r="BD154" s="88" t="n">
        <f aca="false">IF(B154=2026,INDEX($C$11:$Q$11,1,B154-2025)*$AO$4*C154/MAX(0.0001,12-$AO$3),INDEX($C$11:$Q$11,1,B154-2025)/12)</f>
        <v>13.7836323949279</v>
      </c>
      <c r="BE154" s="88" t="n">
        <f aca="false">$AO$6*0</f>
        <v>0</v>
      </c>
      <c r="BF154" s="88" t="n">
        <f aca="false">BD154+BF153</f>
        <v>2205.81568733582</v>
      </c>
      <c r="BG154" s="88" t="n">
        <f aca="false">BE154+BG153</f>
        <v>240</v>
      </c>
      <c r="BH154" s="88" t="n">
        <f aca="false">MAX(BH153,BF154-BG154)</f>
        <v>1965.81568733582</v>
      </c>
      <c r="BI154" s="88" t="n">
        <f aca="false">BH154-BH153</f>
        <v>13.7836323949277</v>
      </c>
      <c r="BJ154" s="88" t="n">
        <f aca="false">IF(B154=2026,INDEX($C$12:$Q$12,1,B154-2025)*$AO$4*C154/MAX(0.0001,12-$AO$3),INDEX($C$12:$Q$12,1,B154-2025)/12)</f>
        <v>7.55735834212668</v>
      </c>
      <c r="BK154" s="88" t="n">
        <f aca="false">$AO$6*0</f>
        <v>0</v>
      </c>
      <c r="BL154" s="88" t="n">
        <f aca="false">BJ154+BL153</f>
        <v>1209.41556682951</v>
      </c>
      <c r="BM154" s="88" t="n">
        <f aca="false">BK154+BM153</f>
        <v>465</v>
      </c>
      <c r="BN154" s="88" t="n">
        <f aca="false">MAX(BN153,BL154-BM154)</f>
        <v>744.415566829508</v>
      </c>
      <c r="BO154" s="88" t="n">
        <f aca="false">BN154-BN153</f>
        <v>7.55735834212669</v>
      </c>
      <c r="BP154" s="88" t="n">
        <f aca="false">IF(B154=2026,INDEX($C$13:$Q$13,1,B154-2025)*$AO$4*C154/MAX(0.0001,12-$AO$3),INDEX($C$13:$Q$13,1,B154-2025)/12)</f>
        <v>2.36165531610536</v>
      </c>
      <c r="BQ154" s="88" t="n">
        <f aca="false">$AO$6*0</f>
        <v>0</v>
      </c>
      <c r="BR154" s="88" t="n">
        <f aca="false">BP154+BR153</f>
        <v>377.939297500576</v>
      </c>
      <c r="BS154" s="88" t="n">
        <f aca="false">BQ154+BS153</f>
        <v>87</v>
      </c>
      <c r="BT154" s="88" t="n">
        <f aca="false">MAX(BT153,BR154-BS154)</f>
        <v>290.939297500576</v>
      </c>
      <c r="BU154" s="88" t="n">
        <f aca="false">BT154-BT153</f>
        <v>2.36165531610538</v>
      </c>
      <c r="BV154" s="88" t="n">
        <f aca="false">IF(B154=2026,INDEX($C$14:$Q$14,1,B154-2025)*$AO$4*C154/MAX(0.0001,12-$AO$3),INDEX($C$14:$Q$14,1,B154-2025)/12)</f>
        <v>1.40070591162111</v>
      </c>
      <c r="BW154" s="88" t="n">
        <f aca="false">$AO$6*0</f>
        <v>0</v>
      </c>
      <c r="BX154" s="88" t="n">
        <f aca="false">BV154+BX153</f>
        <v>224.157100586549</v>
      </c>
      <c r="BY154" s="88" t="n">
        <f aca="false">BW154+BY153</f>
        <v>0</v>
      </c>
      <c r="BZ154" s="88" t="n">
        <f aca="false">MAX(BZ153,BX154-BY154)</f>
        <v>224.157100586549</v>
      </c>
      <c r="CA154" s="88" t="n">
        <f aca="false">BZ154-BZ153</f>
        <v>1.40070591162112</v>
      </c>
      <c r="CB154" s="88" t="n">
        <f aca="false">IF(B154=2026,INDEX($C$15:$Q$15,1,B154-2025)*$AO$4*C154/MAX(0.0001,12-$AO$3),INDEX($C$15:$Q$15,1,B154-2025)/12)</f>
        <v>2.29650620393693</v>
      </c>
      <c r="CC154" s="88" t="n">
        <f aca="false">$AO$6*0</f>
        <v>0</v>
      </c>
      <c r="CD154" s="88" t="n">
        <f aca="false">CB154+CD153</f>
        <v>367.513385845387</v>
      </c>
      <c r="CE154" s="88" t="n">
        <f aca="false">CC154+CE153</f>
        <v>88.0000000000001</v>
      </c>
      <c r="CF154" s="88" t="n">
        <f aca="false">MAX(CF153,CD154-CE154)</f>
        <v>279.513385845387</v>
      </c>
      <c r="CG154" s="88" t="n">
        <f aca="false">CF154-CF153</f>
        <v>2.29650620393693</v>
      </c>
      <c r="CH154" s="88" t="n">
        <f aca="false">IF(B154=2026,INDEX($C$16:$Q$16,1,B154-2025)*$AO$4*C154/MAX(0.0001,12-$AO$3),INDEX($C$16:$Q$16,1,B154-2025)/12)</f>
        <v>1.81603150169481</v>
      </c>
      <c r="CI154" s="88" t="n">
        <f aca="false">$AO$6*0</f>
        <v>0</v>
      </c>
      <c r="CJ154" s="88" t="n">
        <f aca="false">CH154+CJ153</f>
        <v>290.622287388374</v>
      </c>
      <c r="CK154" s="88" t="n">
        <f aca="false">CI154+CK153</f>
        <v>70</v>
      </c>
      <c r="CL154" s="88" t="n">
        <f aca="false">MAX(CL153,CJ154-CK154)</f>
        <v>220.622287388374</v>
      </c>
      <c r="CM154" s="88" t="n">
        <f aca="false">CL154-CL153</f>
        <v>1.81603150169479</v>
      </c>
      <c r="CN154" s="88" t="n">
        <f aca="false">IF(B154=2026,INDEX($C$17:$Q$17,1,B154-2025)*$AO$4*C154/MAX(0.0001,12-$AO$3),INDEX($C$17:$Q$17,1,B154-2025)/12)</f>
        <v>7.90747348944242</v>
      </c>
      <c r="CO154" s="88" t="n">
        <f aca="false">$AO$6*0</f>
        <v>0</v>
      </c>
      <c r="CP154" s="88" t="n">
        <f aca="false">CN154+CP153</f>
        <v>1265.44502714849</v>
      </c>
      <c r="CQ154" s="88" t="n">
        <f aca="false">CO154+CQ153</f>
        <v>221</v>
      </c>
      <c r="CR154" s="88" t="n">
        <f aca="false">MAX(CR153,CP154-CQ154)</f>
        <v>1044.44502714849</v>
      </c>
      <c r="CS154" s="88" t="n">
        <f aca="false">CR154-CR153</f>
        <v>7.90747348944251</v>
      </c>
      <c r="CT154" s="88" t="n">
        <f aca="false">IF(B154=2026,INDEX($C$18:$Q$18,1,B154-2025)*$AO$4*C154/MAX(0.0001,12-$AO$3),INDEX($C$18:$Q$18,1,B154-2025)/12)</f>
        <v>1.6450150822527</v>
      </c>
      <c r="CU154" s="88" t="n">
        <f aca="false">$AO$6*0</f>
        <v>0</v>
      </c>
      <c r="CV154" s="88" t="n">
        <f aca="false">CT154+CV153</f>
        <v>263.254269293505</v>
      </c>
      <c r="CW154" s="88" t="n">
        <f aca="false">CU154+CW153</f>
        <v>11</v>
      </c>
      <c r="CX154" s="88" t="n">
        <f aca="false">MAX(CX153,CV154-CW154)</f>
        <v>252.254269293505</v>
      </c>
      <c r="CY154" s="88" t="n">
        <f aca="false">CX154-CX153</f>
        <v>1.64501508225271</v>
      </c>
      <c r="CZ154" s="88" t="n">
        <f aca="false">IF(B154=2026,INDEX($C$19:$Q$19,1,B154-2025)*$AO$4*C154/MAX(0.0001,12-$AO$3),INDEX($C$19:$Q$19,1,B154-2025)/12)</f>
        <v>1.62872780421059</v>
      </c>
      <c r="DA154" s="88" t="n">
        <f aca="false">$AO$6*0</f>
        <v>0</v>
      </c>
      <c r="DB154" s="88" t="n">
        <f aca="false">CZ154+DB153</f>
        <v>260.647791379708</v>
      </c>
      <c r="DC154" s="88" t="n">
        <f aca="false">DA154+DC153</f>
        <v>226</v>
      </c>
      <c r="DD154" s="88" t="n">
        <f aca="false">MAX(DD153,DB154-DC154)</f>
        <v>37.132124495359</v>
      </c>
      <c r="DE154" s="88" t="n">
        <f aca="false">DD154-DD153</f>
        <v>0</v>
      </c>
      <c r="DF154" s="88" t="n">
        <f aca="false">IF(B154=2026,INDEX($C$20:$Q$20,1,B154-2025)*$AO$4*C154/MAX(0.0001,12-$AO$3),INDEX($C$20:$Q$20,1,B154-2025)/12)</f>
        <v>1.32741316043163</v>
      </c>
      <c r="DG154" s="88" t="n">
        <f aca="false">$AO$6*0</f>
        <v>0</v>
      </c>
      <c r="DH154" s="88" t="n">
        <f aca="false">DF154+DH153</f>
        <v>212.427949974462</v>
      </c>
      <c r="DI154" s="88" t="n">
        <f aca="false">DG154+DI153</f>
        <v>0</v>
      </c>
      <c r="DJ154" s="88" t="n">
        <f aca="false">MAX(DJ153,DH154-DI154)</f>
        <v>212.427949974462</v>
      </c>
      <c r="DK154" s="88" t="n">
        <f aca="false">DJ154-DJ153</f>
        <v>1.32741316043163</v>
      </c>
      <c r="DL154" s="88" t="n">
        <f aca="false">IF(B154=2026,INDEX($C$21:$Q$21,1,B154-2025)*$AO$4*C154/MAX(0.0001,12-$AO$3),INDEX($C$21:$Q$21,1,B154-2025)/12)</f>
        <v>0.928374848400037</v>
      </c>
      <c r="DM154" s="88" t="n">
        <f aca="false">$AO$6*0</f>
        <v>0</v>
      </c>
      <c r="DN154" s="88" t="n">
        <f aca="false">DL154+DN153</f>
        <v>148.569241086433</v>
      </c>
      <c r="DO154" s="88" t="n">
        <f aca="false">DM154+DO153</f>
        <v>100</v>
      </c>
      <c r="DP154" s="88" t="n">
        <f aca="false">MAX(DP153,DN154-DO154)</f>
        <v>48.5692410864333</v>
      </c>
      <c r="DQ154" s="88" t="n">
        <f aca="false">DP154-DP153</f>
        <v>0.92837484840004</v>
      </c>
      <c r="DR154" s="88" t="n">
        <f aca="false">IF(B154=2026,INDEX($C$22:$Q$22,1,B154-2025)*$AO$4*C154/MAX(0.0001,12-$AO$3),INDEX($C$22:$Q$22,1,B154-2025)/12)</f>
        <v>0.724783872873713</v>
      </c>
      <c r="DS154" s="88" t="n">
        <f aca="false">$AO$6*0</f>
        <v>0</v>
      </c>
      <c r="DT154" s="88" t="n">
        <f aca="false">DR154+DT153</f>
        <v>115.98826716397</v>
      </c>
      <c r="DU154" s="88" t="n">
        <f aca="false">DS154+DU153</f>
        <v>29</v>
      </c>
      <c r="DV154" s="88" t="n">
        <f aca="false">MAX(DV153,DT154-DU154)</f>
        <v>86.9882671639701</v>
      </c>
      <c r="DW154" s="88" t="n">
        <f aca="false">DV154-DV153</f>
        <v>0.724783872873701</v>
      </c>
      <c r="DX154" s="88" t="n">
        <f aca="false">IF(B154=2026,INDEX($C$23:$Q$23,1,B154-2025)*$AO$4*C154/MAX(0.0001,12-$AO$3),INDEX($C$23:$Q$23,1,B154-2025)/12)</f>
        <v>1.16454038001057</v>
      </c>
      <c r="DY154" s="88" t="n">
        <f aca="false">$AO$6*0</f>
        <v>0</v>
      </c>
      <c r="DZ154" s="88" t="n">
        <f aca="false">DX154+DZ153</f>
        <v>186.363170836491</v>
      </c>
      <c r="EA154" s="88" t="n">
        <f aca="false">DY154+EA153</f>
        <v>121</v>
      </c>
      <c r="EB154" s="88" t="n">
        <f aca="false">MAX(EB153,DZ154-EA154)</f>
        <v>65.3631708364913</v>
      </c>
      <c r="EC154" s="88" t="n">
        <f aca="false">EB154-EB153</f>
        <v>1.16454038001058</v>
      </c>
      <c r="ED154" s="88" t="n">
        <f aca="false">IF(B154=2026,INDEX($C$24:$Q$24,1,B154-2025)*$AO$4*C154/MAX(0.0001,12-$AO$3),INDEX($C$24:$Q$24,1,B154-2025)/12)</f>
        <v>0.71664023385266</v>
      </c>
      <c r="EE154" s="88" t="n">
        <f aca="false">$AO$6*0</f>
        <v>0</v>
      </c>
      <c r="EF154" s="88" t="n">
        <f aca="false">ED154+EF153</f>
        <v>114.685028207071</v>
      </c>
      <c r="EG154" s="88" t="n">
        <f aca="false">EE154+EG153</f>
        <v>0</v>
      </c>
      <c r="EH154" s="88" t="n">
        <f aca="false">MAX(EH153,EF154-EG154)</f>
        <v>114.685028207071</v>
      </c>
      <c r="EI154" s="88" t="n">
        <f aca="false">EH154-EH153</f>
        <v>0.716640233852658</v>
      </c>
      <c r="EJ154" s="88" t="n">
        <f aca="false">IF(B154=2026,INDEX($C$25:$Q$25,1,B154-2025)*$AO$4*C154/MAX(0.0001,12-$AO$3),INDEX($C$25:$Q$25,1,B154-2025)/12)</f>
        <v>0.912087570357932</v>
      </c>
      <c r="EK154" s="88" t="n">
        <f aca="false">$AO$6*0</f>
        <v>0</v>
      </c>
      <c r="EL154" s="88" t="n">
        <f aca="false">EJ154+EL153</f>
        <v>145.962763172636</v>
      </c>
      <c r="EM154" s="88" t="n">
        <f aca="false">EK154+EM153</f>
        <v>14</v>
      </c>
      <c r="EN154" s="88" t="n">
        <f aca="false">MAX(EN153,EL154-EM154)</f>
        <v>131.962763172636</v>
      </c>
      <c r="EO154" s="88" t="n">
        <f aca="false">EN154-EN153</f>
        <v>0.912087570357926</v>
      </c>
      <c r="EP154" s="88" t="n">
        <f aca="false">IF(B154=2026,INDEX($C$26:$Q$26,1,B154-2025)*$AO$4*C154/MAX(0.0001,12-$AO$3),INDEX($C$26:$Q$26,1,B154-2025)/12)</f>
        <v>1.31112588238953</v>
      </c>
      <c r="EQ154" s="88" t="n">
        <f aca="false">$AO$6*0</f>
        <v>0</v>
      </c>
      <c r="ER154" s="88" t="n">
        <f aca="false">EP154+ER153</f>
        <v>209.821472060664</v>
      </c>
      <c r="ES154" s="88" t="n">
        <f aca="false">EQ154+ES153</f>
        <v>4</v>
      </c>
      <c r="ET154" s="88" t="n">
        <f aca="false">MAX(ET153,ER154-ES154)</f>
        <v>205.821472060664</v>
      </c>
      <c r="EU154" s="88" t="n">
        <f aca="false">ET154-ET153</f>
        <v>1.31112588238952</v>
      </c>
      <c r="EV154" s="88" t="n">
        <f aca="false">IF(B154=2026,INDEX($C$27:$Q$27,1,B154-2025)*$AO$4*C154/MAX(0.0001,12-$AO$3),INDEX($C$27:$Q$27,1,B154-2025)/12)</f>
        <v>3.25745560842118</v>
      </c>
      <c r="EW154" s="88" t="n">
        <f aca="false">$AO$6*0</f>
        <v>0</v>
      </c>
      <c r="EX154" s="88" t="n">
        <f aca="false">EV154+EX153</f>
        <v>521.295582759416</v>
      </c>
      <c r="EY154" s="88" t="n">
        <f aca="false">EW154+EY153</f>
        <v>391</v>
      </c>
      <c r="EZ154" s="88" t="n">
        <f aca="false">MAX(EZ153,EX154-EY154)</f>
        <v>130.295582759416</v>
      </c>
      <c r="FA154" s="88" t="n">
        <f aca="false">EZ154-EZ153</f>
        <v>3.2574556084212</v>
      </c>
      <c r="FB154" s="88" t="n">
        <f aca="false">IF(B154=2026,INDEX($C$28:$Q$28,1,B154-2025)*$AO$4*C154/MAX(0.0001,12-$AO$3),INDEX($C$28:$Q$28,1,B154-2025)/12)</f>
        <v>17.0527801100849</v>
      </c>
      <c r="FC154" s="88" t="n">
        <f aca="false">$AO$6*0</f>
        <v>0</v>
      </c>
      <c r="FD154" s="88" t="n">
        <f aca="false">FB154+FD153</f>
        <v>2728.98237574554</v>
      </c>
      <c r="FE154" s="88" t="n">
        <f aca="false">FC154+FE153</f>
        <v>169</v>
      </c>
      <c r="FF154" s="88" t="n">
        <f aca="false">MAX(FF153,FD154-FE154)</f>
        <v>2559.98237574554</v>
      </c>
      <c r="FG154" s="88" t="n">
        <f aca="false">FF154-FF153</f>
        <v>17.0527801100848</v>
      </c>
    </row>
    <row r="155" customFormat="false" ht="15" hidden="false" customHeight="false" outlineLevel="0" collapsed="false">
      <c r="A155" s="0" t="n">
        <v>115</v>
      </c>
      <c r="B155" s="88" t="n">
        <f aca="false">2026+INT(A155/12)</f>
        <v>2035</v>
      </c>
      <c r="C155" s="88" t="n">
        <f aca="false">MAX(0,MIN(1,A155+1-$AO$3))</f>
        <v>1</v>
      </c>
      <c r="D155" s="88" t="n">
        <f aca="false">IF((A155+0.5-(0))&lt;$AO$3,0,2026+INT((A155+0.5-(0))/12))</f>
        <v>2035</v>
      </c>
      <c r="E155" s="88" t="n">
        <f aca="false">IF((A155+0.5-($AO$9))&lt;$AO$3,0,2026+INT((A155+0.5-($AO$9))/12))</f>
        <v>2034</v>
      </c>
      <c r="F155" s="88" t="n">
        <f aca="false">IF((A155+0.5-($AO$9+$AO$8))&lt;$AO$3,0,2026+INT((A155+0.5-($AO$9+$AO$8))/12))</f>
        <v>2033</v>
      </c>
      <c r="G155" s="88" t="n">
        <f aca="false">IF((A155+0.5-($AO$9+$AO$8+$AO$7))&lt;$AO$3,0,2026+INT((A155+0.5-($AO$9+$AO$8+$AO$7))/12))</f>
        <v>2032</v>
      </c>
      <c r="H155" s="88" t="n">
        <f aca="false">IF(B155=2026,INDEX($C$3:$Q$3,1,B155-2025)*$AO$4*C155/MAX(0.0001,12-$AO$3),INDEX($C$3:$Q$3,1,B155-2025)/12)</f>
        <v>174.583333333333</v>
      </c>
      <c r="I155" s="88" t="n">
        <f aca="false">$AO$6*0</f>
        <v>0</v>
      </c>
      <c r="J155" s="88" t="n">
        <f aca="false">H155+J154</f>
        <v>28113.4200913243</v>
      </c>
      <c r="K155" s="88" t="n">
        <f aca="false">I155+K154</f>
        <v>8695.00000000001</v>
      </c>
      <c r="L155" s="88" t="n">
        <f aca="false">MAX(L154,J155-K155)</f>
        <v>19418.4200913242</v>
      </c>
      <c r="M155" s="88" t="n">
        <f aca="false">L155-L154</f>
        <v>174.583333333336</v>
      </c>
      <c r="N155" s="88" t="n">
        <f aca="false">IF(B155=2026,INDEX($C$4:$Q$4,1,B155-2025)*$AO$4*C155/MAX(0.0001,12-$AO$3),INDEX($C$4:$Q$4,1,B155-2025)/12)</f>
        <v>5.29281785719042</v>
      </c>
      <c r="O155" s="88" t="n">
        <f aca="false">$AO$6*0</f>
        <v>0</v>
      </c>
      <c r="P155" s="88" t="n">
        <f aca="false">N155+P154</f>
        <v>852.310521543046</v>
      </c>
      <c r="Q155" s="88" t="n">
        <f aca="false">O155+Q154</f>
        <v>398</v>
      </c>
      <c r="R155" s="88" t="n">
        <f aca="false">MAX(R154,P155-Q155)</f>
        <v>454.310521543046</v>
      </c>
      <c r="S155" s="88" t="n">
        <f aca="false">R155-R154</f>
        <v>5.29281785719047</v>
      </c>
      <c r="T155" s="88" t="n">
        <f aca="false">IF(B155=2026,INDEX($C$5:$Q$5,1,B155-2025)*$AO$4*C155/MAX(0.0001,12-$AO$3),INDEX($C$5:$Q$5,1,B155-2025)/12)</f>
        <v>21.5119223261209</v>
      </c>
      <c r="U155" s="88" t="n">
        <f aca="false">$AO$6*0</f>
        <v>0</v>
      </c>
      <c r="V155" s="88" t="n">
        <f aca="false">T155+V154</f>
        <v>3464.09761905206</v>
      </c>
      <c r="W155" s="88" t="n">
        <f aca="false">U155+W154</f>
        <v>1115</v>
      </c>
      <c r="X155" s="88" t="n">
        <f aca="false">MAX(X154,V155-W155)</f>
        <v>2349.09761905206</v>
      </c>
      <c r="Y155" s="88" t="n">
        <f aca="false">X155-X154</f>
        <v>21.5119223261208</v>
      </c>
      <c r="Z155" s="88" t="n">
        <f aca="false">IF(B155=2026,INDEX($C$6:$Q$6,1,B155-2025)*$AO$4*C155/MAX(0.0001,12-$AO$3),INDEX($C$6:$Q$6,1,B155-2025)/12)</f>
        <v>25.5221471249267</v>
      </c>
      <c r="AA155" s="88" t="n">
        <f aca="false">$AO$6*0</f>
        <v>0</v>
      </c>
      <c r="AB155" s="88" t="n">
        <f aca="false">Z155+AB154</f>
        <v>4109.87022676266</v>
      </c>
      <c r="AC155" s="88" t="n">
        <f aca="false">AA155+AC154</f>
        <v>2194</v>
      </c>
      <c r="AD155" s="88" t="n">
        <f aca="false">MAX(AD154,AB155-AC155)</f>
        <v>1915.87022676266</v>
      </c>
      <c r="AE155" s="88" t="n">
        <f aca="false">AD155-AD154</f>
        <v>25.522147124927</v>
      </c>
      <c r="AF155" s="88" t="n">
        <f aca="false">IF(B155=2026,INDEX($C$7:$Q$7,1,B155-2025)*$AO$4*C155/MAX(0.0001,12-$AO$3),INDEX($C$7:$Q$7,1,B155-2025)/12)</f>
        <v>22.1701907861426</v>
      </c>
      <c r="AG155" s="88" t="n">
        <f aca="false">$AO$6*0</f>
        <v>0</v>
      </c>
      <c r="AH155" s="88" t="n">
        <f aca="false">AF155+AH154</f>
        <v>3570.09959184131</v>
      </c>
      <c r="AI155" s="88" t="n">
        <f aca="false">AG155+AI154</f>
        <v>826</v>
      </c>
      <c r="AJ155" s="88" t="n">
        <f aca="false">MAX(AJ154,AH155-AI155)</f>
        <v>2744.09959184131</v>
      </c>
      <c r="AK155" s="88" t="n">
        <f aca="false">AJ155-AJ154</f>
        <v>22.1701907861425</v>
      </c>
      <c r="AL155" s="88" t="n">
        <f aca="false">IF(B155=2026,INDEX($C$8:$Q$8,1,B155-2025)*$AO$4*C155/MAX(0.0001,12-$AO$3),INDEX($C$8:$Q$8,1,B155-2025)/12)</f>
        <v>5.60801085830575</v>
      </c>
      <c r="AM155" s="88" t="n">
        <f aca="false">$AO$6*0</f>
        <v>0</v>
      </c>
      <c r="AN155" s="88" t="n">
        <f aca="false">AL155+AN154</f>
        <v>903.066530613406</v>
      </c>
      <c r="AO155" s="88" t="n">
        <f aca="false">AM155+AO154</f>
        <v>66</v>
      </c>
      <c r="AP155" s="88" t="n">
        <f aca="false">MAX(AP154,AN155-AO155)</f>
        <v>837.066530613406</v>
      </c>
      <c r="AQ155" s="88" t="n">
        <f aca="false">AP155-AP154</f>
        <v>5.60801085830576</v>
      </c>
      <c r="AR155" s="88" t="n">
        <f aca="false">IF(B155=2026,INDEX($C$9:$Q$9,1,B155-2025)*$AO$4*C155/MAX(0.0001,12-$AO$3),INDEX($C$9:$Q$9,1,B155-2025)/12)</f>
        <v>23.9122382576915</v>
      </c>
      <c r="AS155" s="88" t="n">
        <f aca="false">$AO$6*0</f>
        <v>0</v>
      </c>
      <c r="AT155" s="88" t="n">
        <f aca="false">AR155+AT154</f>
        <v>3850.62414966482</v>
      </c>
      <c r="AU155" s="88" t="n">
        <f aca="false">AS155+AU154</f>
        <v>1810</v>
      </c>
      <c r="AV155" s="88" t="n">
        <f aca="false">MAX(AV154,AT155-AU155)</f>
        <v>2040.62414966482</v>
      </c>
      <c r="AW155" s="88" t="n">
        <f aca="false">AV155-AV154</f>
        <v>23.9122382576916</v>
      </c>
      <c r="AX155" s="88" t="n">
        <f aca="false">IF(B155=2026,INDEX($C$10:$Q$10,1,B155-2025)*$AO$4*C155/MAX(0.0001,12-$AO$3),INDEX($C$10:$Q$10,1,B155-2025)/12)</f>
        <v>2.77369840981486</v>
      </c>
      <c r="AY155" s="88" t="n">
        <f aca="false">$AO$6*0</f>
        <v>0</v>
      </c>
      <c r="AZ155" s="88" t="n">
        <f aca="false">AX155+AZ154</f>
        <v>446.652879819167</v>
      </c>
      <c r="BA155" s="88" t="n">
        <f aca="false">AY155+BA154</f>
        <v>50</v>
      </c>
      <c r="BB155" s="88" t="n">
        <f aca="false">MAX(BB154,AZ155-BA155)</f>
        <v>396.652879819167</v>
      </c>
      <c r="BC155" s="88" t="n">
        <f aca="false">BB155-BB154</f>
        <v>2.77369840981487</v>
      </c>
      <c r="BD155" s="88" t="n">
        <f aca="false">IF(B155=2026,INDEX($C$11:$Q$11,1,B155-2025)*$AO$4*C155/MAX(0.0001,12-$AO$3),INDEX($C$11:$Q$11,1,B155-2025)/12)</f>
        <v>13.7836323949279</v>
      </c>
      <c r="BE155" s="88" t="n">
        <f aca="false">$AO$6*0</f>
        <v>0</v>
      </c>
      <c r="BF155" s="88" t="n">
        <f aca="false">BD155+BF154</f>
        <v>2219.59931973075</v>
      </c>
      <c r="BG155" s="88" t="n">
        <f aca="false">BE155+BG154</f>
        <v>240</v>
      </c>
      <c r="BH155" s="88" t="n">
        <f aca="false">MAX(BH154,BF155-BG155)</f>
        <v>1979.59931973075</v>
      </c>
      <c r="BI155" s="88" t="n">
        <f aca="false">BH155-BH154</f>
        <v>13.7836323949277</v>
      </c>
      <c r="BJ155" s="88" t="n">
        <f aca="false">IF(B155=2026,INDEX($C$12:$Q$12,1,B155-2025)*$AO$4*C155/MAX(0.0001,12-$AO$3),INDEX($C$12:$Q$12,1,B155-2025)/12)</f>
        <v>7.55735834212668</v>
      </c>
      <c r="BK155" s="88" t="n">
        <f aca="false">$AO$6*0</f>
        <v>0</v>
      </c>
      <c r="BL155" s="88" t="n">
        <f aca="false">BJ155+BL154</f>
        <v>1216.97292517163</v>
      </c>
      <c r="BM155" s="88" t="n">
        <f aca="false">BK155+BM154</f>
        <v>465</v>
      </c>
      <c r="BN155" s="88" t="n">
        <f aca="false">MAX(BN154,BL155-BM155)</f>
        <v>751.972925171635</v>
      </c>
      <c r="BO155" s="88" t="n">
        <f aca="false">BN155-BN154</f>
        <v>7.55735834212669</v>
      </c>
      <c r="BP155" s="88" t="n">
        <f aca="false">IF(B155=2026,INDEX($C$13:$Q$13,1,B155-2025)*$AO$4*C155/MAX(0.0001,12-$AO$3),INDEX($C$13:$Q$13,1,B155-2025)/12)</f>
        <v>2.36165531610536</v>
      </c>
      <c r="BQ155" s="88" t="n">
        <f aca="false">$AO$6*0</f>
        <v>0</v>
      </c>
      <c r="BR155" s="88" t="n">
        <f aca="false">BP155+BR154</f>
        <v>380.300952816681</v>
      </c>
      <c r="BS155" s="88" t="n">
        <f aca="false">BQ155+BS154</f>
        <v>87</v>
      </c>
      <c r="BT155" s="88" t="n">
        <f aca="false">MAX(BT154,BR155-BS155)</f>
        <v>293.300952816681</v>
      </c>
      <c r="BU155" s="88" t="n">
        <f aca="false">BT155-BT154</f>
        <v>2.36165531610538</v>
      </c>
      <c r="BV155" s="88" t="n">
        <f aca="false">IF(B155=2026,INDEX($C$14:$Q$14,1,B155-2025)*$AO$4*C155/MAX(0.0001,12-$AO$3),INDEX($C$14:$Q$14,1,B155-2025)/12)</f>
        <v>1.40070591162111</v>
      </c>
      <c r="BW155" s="88" t="n">
        <f aca="false">$AO$6*0</f>
        <v>0</v>
      </c>
      <c r="BX155" s="88" t="n">
        <f aca="false">BV155+BX154</f>
        <v>225.55780649817</v>
      </c>
      <c r="BY155" s="88" t="n">
        <f aca="false">BW155+BY154</f>
        <v>0</v>
      </c>
      <c r="BZ155" s="88" t="n">
        <f aca="false">MAX(BZ154,BX155-BY155)</f>
        <v>225.55780649817</v>
      </c>
      <c r="CA155" s="88" t="n">
        <f aca="false">BZ155-BZ154</f>
        <v>1.40070591162112</v>
      </c>
      <c r="CB155" s="88" t="n">
        <f aca="false">IF(B155=2026,INDEX($C$15:$Q$15,1,B155-2025)*$AO$4*C155/MAX(0.0001,12-$AO$3),INDEX($C$15:$Q$15,1,B155-2025)/12)</f>
        <v>2.29650620393693</v>
      </c>
      <c r="CC155" s="88" t="n">
        <f aca="false">$AO$6*0</f>
        <v>0</v>
      </c>
      <c r="CD155" s="88" t="n">
        <f aca="false">CB155+CD154</f>
        <v>369.809892049324</v>
      </c>
      <c r="CE155" s="88" t="n">
        <f aca="false">CC155+CE154</f>
        <v>88.0000000000001</v>
      </c>
      <c r="CF155" s="88" t="n">
        <f aca="false">MAX(CF154,CD155-CE155)</f>
        <v>281.809892049324</v>
      </c>
      <c r="CG155" s="88" t="n">
        <f aca="false">CF155-CF154</f>
        <v>2.29650620393693</v>
      </c>
      <c r="CH155" s="88" t="n">
        <f aca="false">IF(B155=2026,INDEX($C$16:$Q$16,1,B155-2025)*$AO$4*C155/MAX(0.0001,12-$AO$3),INDEX($C$16:$Q$16,1,B155-2025)/12)</f>
        <v>1.81603150169481</v>
      </c>
      <c r="CI155" s="88" t="n">
        <f aca="false">$AO$6*0</f>
        <v>0</v>
      </c>
      <c r="CJ155" s="88" t="n">
        <f aca="false">CH155+CJ154</f>
        <v>292.438318890069</v>
      </c>
      <c r="CK155" s="88" t="n">
        <f aca="false">CI155+CK154</f>
        <v>70</v>
      </c>
      <c r="CL155" s="88" t="n">
        <f aca="false">MAX(CL154,CJ155-CK155)</f>
        <v>222.438318890069</v>
      </c>
      <c r="CM155" s="88" t="n">
        <f aca="false">CL155-CL154</f>
        <v>1.81603150169479</v>
      </c>
      <c r="CN155" s="88" t="n">
        <f aca="false">IF(B155=2026,INDEX($C$17:$Q$17,1,B155-2025)*$AO$4*C155/MAX(0.0001,12-$AO$3),INDEX($C$17:$Q$17,1,B155-2025)/12)</f>
        <v>7.90747348944242</v>
      </c>
      <c r="CO155" s="88" t="n">
        <f aca="false">$AO$6*0</f>
        <v>0</v>
      </c>
      <c r="CP155" s="88" t="n">
        <f aca="false">CN155+CP154</f>
        <v>1273.35250063793</v>
      </c>
      <c r="CQ155" s="88" t="n">
        <f aca="false">CO155+CQ154</f>
        <v>221</v>
      </c>
      <c r="CR155" s="88" t="n">
        <f aca="false">MAX(CR154,CP155-CQ155)</f>
        <v>1052.35250063793</v>
      </c>
      <c r="CS155" s="88" t="n">
        <f aca="false">CR155-CR154</f>
        <v>7.90747348944251</v>
      </c>
      <c r="CT155" s="88" t="n">
        <f aca="false">IF(B155=2026,INDEX($C$18:$Q$18,1,B155-2025)*$AO$4*C155/MAX(0.0001,12-$AO$3),INDEX($C$18:$Q$18,1,B155-2025)/12)</f>
        <v>1.6450150822527</v>
      </c>
      <c r="CU155" s="88" t="n">
        <f aca="false">$AO$6*0</f>
        <v>0</v>
      </c>
      <c r="CV155" s="88" t="n">
        <f aca="false">CT155+CV154</f>
        <v>264.899284375757</v>
      </c>
      <c r="CW155" s="88" t="n">
        <f aca="false">CU155+CW154</f>
        <v>11</v>
      </c>
      <c r="CX155" s="88" t="n">
        <f aca="false">MAX(CX154,CV155-CW155)</f>
        <v>253.899284375757</v>
      </c>
      <c r="CY155" s="88" t="n">
        <f aca="false">CX155-CX154</f>
        <v>1.64501508225271</v>
      </c>
      <c r="CZ155" s="88" t="n">
        <f aca="false">IF(B155=2026,INDEX($C$19:$Q$19,1,B155-2025)*$AO$4*C155/MAX(0.0001,12-$AO$3),INDEX($C$19:$Q$19,1,B155-2025)/12)</f>
        <v>1.62872780421059</v>
      </c>
      <c r="DA155" s="88" t="n">
        <f aca="false">$AO$6*0</f>
        <v>0</v>
      </c>
      <c r="DB155" s="88" t="n">
        <f aca="false">CZ155+DB154</f>
        <v>262.276519183919</v>
      </c>
      <c r="DC155" s="88" t="n">
        <f aca="false">DA155+DC154</f>
        <v>226</v>
      </c>
      <c r="DD155" s="88" t="n">
        <f aca="false">MAX(DD154,DB155-DC155)</f>
        <v>37.132124495359</v>
      </c>
      <c r="DE155" s="88" t="n">
        <f aca="false">DD155-DD154</f>
        <v>0</v>
      </c>
      <c r="DF155" s="88" t="n">
        <f aca="false">IF(B155=2026,INDEX($C$20:$Q$20,1,B155-2025)*$AO$4*C155/MAX(0.0001,12-$AO$3),INDEX($C$20:$Q$20,1,B155-2025)/12)</f>
        <v>1.32741316043163</v>
      </c>
      <c r="DG155" s="88" t="n">
        <f aca="false">$AO$6*0</f>
        <v>0</v>
      </c>
      <c r="DH155" s="88" t="n">
        <f aca="false">DF155+DH154</f>
        <v>213.755363134893</v>
      </c>
      <c r="DI155" s="88" t="n">
        <f aca="false">DG155+DI154</f>
        <v>0</v>
      </c>
      <c r="DJ155" s="88" t="n">
        <f aca="false">MAX(DJ154,DH155-DI155)</f>
        <v>213.755363134893</v>
      </c>
      <c r="DK155" s="88" t="n">
        <f aca="false">DJ155-DJ154</f>
        <v>1.32741316043163</v>
      </c>
      <c r="DL155" s="88" t="n">
        <f aca="false">IF(B155=2026,INDEX($C$21:$Q$21,1,B155-2025)*$AO$4*C155/MAX(0.0001,12-$AO$3),INDEX($C$21:$Q$21,1,B155-2025)/12)</f>
        <v>0.928374848400037</v>
      </c>
      <c r="DM155" s="88" t="n">
        <f aca="false">$AO$6*0</f>
        <v>0</v>
      </c>
      <c r="DN155" s="88" t="n">
        <f aca="false">DL155+DN154</f>
        <v>149.497615934833</v>
      </c>
      <c r="DO155" s="88" t="n">
        <f aca="false">DM155+DO154</f>
        <v>100</v>
      </c>
      <c r="DP155" s="88" t="n">
        <f aca="false">MAX(DP154,DN155-DO155)</f>
        <v>49.4976159348333</v>
      </c>
      <c r="DQ155" s="88" t="n">
        <f aca="false">DP155-DP154</f>
        <v>0.92837484840004</v>
      </c>
      <c r="DR155" s="88" t="n">
        <f aca="false">IF(B155=2026,INDEX($C$22:$Q$22,1,B155-2025)*$AO$4*C155/MAX(0.0001,12-$AO$3),INDEX($C$22:$Q$22,1,B155-2025)/12)</f>
        <v>0.724783872873713</v>
      </c>
      <c r="DS155" s="88" t="n">
        <f aca="false">$AO$6*0</f>
        <v>0</v>
      </c>
      <c r="DT155" s="88" t="n">
        <f aca="false">DR155+DT154</f>
        <v>116.713051036844</v>
      </c>
      <c r="DU155" s="88" t="n">
        <f aca="false">DS155+DU154</f>
        <v>29</v>
      </c>
      <c r="DV155" s="88" t="n">
        <f aca="false">MAX(DV154,DT155-DU155)</f>
        <v>87.7130510368438</v>
      </c>
      <c r="DW155" s="88" t="n">
        <f aca="false">DV155-DV154</f>
        <v>0.724783872873729</v>
      </c>
      <c r="DX155" s="88" t="n">
        <f aca="false">IF(B155=2026,INDEX($C$23:$Q$23,1,B155-2025)*$AO$4*C155/MAX(0.0001,12-$AO$3),INDEX($C$23:$Q$23,1,B155-2025)/12)</f>
        <v>1.16454038001057</v>
      </c>
      <c r="DY155" s="88" t="n">
        <f aca="false">$AO$6*0</f>
        <v>0</v>
      </c>
      <c r="DZ155" s="88" t="n">
        <f aca="false">DX155+DZ154</f>
        <v>187.527711216502</v>
      </c>
      <c r="EA155" s="88" t="n">
        <f aca="false">DY155+EA154</f>
        <v>121</v>
      </c>
      <c r="EB155" s="88" t="n">
        <f aca="false">MAX(EB154,DZ155-EA155)</f>
        <v>66.5277112165019</v>
      </c>
      <c r="EC155" s="88" t="n">
        <f aca="false">EB155-EB154</f>
        <v>1.16454038001058</v>
      </c>
      <c r="ED155" s="88" t="n">
        <f aca="false">IF(B155=2026,INDEX($C$24:$Q$24,1,B155-2025)*$AO$4*C155/MAX(0.0001,12-$AO$3),INDEX($C$24:$Q$24,1,B155-2025)/12)</f>
        <v>0.71664023385266</v>
      </c>
      <c r="EE155" s="88" t="n">
        <f aca="false">$AO$6*0</f>
        <v>0</v>
      </c>
      <c r="EF155" s="88" t="n">
        <f aca="false">ED155+EF154</f>
        <v>115.401668440924</v>
      </c>
      <c r="EG155" s="88" t="n">
        <f aca="false">EE155+EG154</f>
        <v>0</v>
      </c>
      <c r="EH155" s="88" t="n">
        <f aca="false">MAX(EH154,EF155-EG155)</f>
        <v>115.401668440924</v>
      </c>
      <c r="EI155" s="88" t="n">
        <f aca="false">EH155-EH154</f>
        <v>0.716640233852658</v>
      </c>
      <c r="EJ155" s="88" t="n">
        <f aca="false">IF(B155=2026,INDEX($C$25:$Q$25,1,B155-2025)*$AO$4*C155/MAX(0.0001,12-$AO$3),INDEX($C$25:$Q$25,1,B155-2025)/12)</f>
        <v>0.912087570357932</v>
      </c>
      <c r="EK155" s="88" t="n">
        <f aca="false">$AO$6*0</f>
        <v>0</v>
      </c>
      <c r="EL155" s="88" t="n">
        <f aca="false">EJ155+EL154</f>
        <v>146.874850742994</v>
      </c>
      <c r="EM155" s="88" t="n">
        <f aca="false">EK155+EM154</f>
        <v>14</v>
      </c>
      <c r="EN155" s="88" t="n">
        <f aca="false">MAX(EN154,EL155-EM155)</f>
        <v>132.874850742994</v>
      </c>
      <c r="EO155" s="88" t="n">
        <f aca="false">EN155-EN154</f>
        <v>0.912087570357926</v>
      </c>
      <c r="EP155" s="88" t="n">
        <f aca="false">IF(B155=2026,INDEX($C$26:$Q$26,1,B155-2025)*$AO$4*C155/MAX(0.0001,12-$AO$3),INDEX($C$26:$Q$26,1,B155-2025)/12)</f>
        <v>1.31112588238953</v>
      </c>
      <c r="EQ155" s="88" t="n">
        <f aca="false">$AO$6*0</f>
        <v>0</v>
      </c>
      <c r="ER155" s="88" t="n">
        <f aca="false">EP155+ER154</f>
        <v>211.132597943054</v>
      </c>
      <c r="ES155" s="88" t="n">
        <f aca="false">EQ155+ES154</f>
        <v>4</v>
      </c>
      <c r="ET155" s="88" t="n">
        <f aca="false">MAX(ET154,ER155-ES155)</f>
        <v>207.132597943054</v>
      </c>
      <c r="EU155" s="88" t="n">
        <f aca="false">ET155-ET154</f>
        <v>1.31112588238952</v>
      </c>
      <c r="EV155" s="88" t="n">
        <f aca="false">IF(B155=2026,INDEX($C$27:$Q$27,1,B155-2025)*$AO$4*C155/MAX(0.0001,12-$AO$3),INDEX($C$27:$Q$27,1,B155-2025)/12)</f>
        <v>3.25745560842118</v>
      </c>
      <c r="EW155" s="88" t="n">
        <f aca="false">$AO$6*0</f>
        <v>0</v>
      </c>
      <c r="EX155" s="88" t="n">
        <f aca="false">EV155+EX154</f>
        <v>524.553038367838</v>
      </c>
      <c r="EY155" s="88" t="n">
        <f aca="false">EW155+EY154</f>
        <v>391</v>
      </c>
      <c r="EZ155" s="88" t="n">
        <f aca="false">MAX(EZ154,EX155-EY155)</f>
        <v>133.553038367837</v>
      </c>
      <c r="FA155" s="88" t="n">
        <f aca="false">EZ155-EZ154</f>
        <v>3.2574556084212</v>
      </c>
      <c r="FB155" s="88" t="n">
        <f aca="false">IF(B155=2026,INDEX($C$28:$Q$28,1,B155-2025)*$AO$4*C155/MAX(0.0001,12-$AO$3),INDEX($C$28:$Q$28,1,B155-2025)/12)</f>
        <v>17.0527801100849</v>
      </c>
      <c r="FC155" s="88" t="n">
        <f aca="false">$AO$6*0</f>
        <v>0</v>
      </c>
      <c r="FD155" s="88" t="n">
        <f aca="false">FB155+FD154</f>
        <v>2746.03515585563</v>
      </c>
      <c r="FE155" s="88" t="n">
        <f aca="false">FC155+FE154</f>
        <v>169</v>
      </c>
      <c r="FF155" s="88" t="n">
        <f aca="false">MAX(FF154,FD155-FE155)</f>
        <v>2577.03515585563</v>
      </c>
      <c r="FG155" s="88" t="n">
        <f aca="false">FF155-FF154</f>
        <v>17.0527801100848</v>
      </c>
    </row>
    <row r="156" customFormat="false" ht="15" hidden="false" customHeight="false" outlineLevel="0" collapsed="false">
      <c r="A156" s="0" t="n">
        <v>116</v>
      </c>
      <c r="B156" s="88" t="n">
        <f aca="false">2026+INT(A156/12)</f>
        <v>2035</v>
      </c>
      <c r="C156" s="88" t="n">
        <f aca="false">MAX(0,MIN(1,A156+1-$AO$3))</f>
        <v>1</v>
      </c>
      <c r="D156" s="88" t="n">
        <f aca="false">IF((A156+0.5-(0))&lt;$AO$3,0,2026+INT((A156+0.5-(0))/12))</f>
        <v>2035</v>
      </c>
      <c r="E156" s="88" t="n">
        <f aca="false">IF((A156+0.5-($AO$9))&lt;$AO$3,0,2026+INT((A156+0.5-($AO$9))/12))</f>
        <v>2034</v>
      </c>
      <c r="F156" s="88" t="n">
        <f aca="false">IF((A156+0.5-($AO$9+$AO$8))&lt;$AO$3,0,2026+INT((A156+0.5-($AO$9+$AO$8))/12))</f>
        <v>2033</v>
      </c>
      <c r="G156" s="88" t="n">
        <f aca="false">IF((A156+0.5-($AO$9+$AO$8+$AO$7))&lt;$AO$3,0,2026+INT((A156+0.5-($AO$9+$AO$8+$AO$7))/12))</f>
        <v>2032</v>
      </c>
      <c r="H156" s="88" t="n">
        <f aca="false">IF(B156=2026,INDEX($C$3:$Q$3,1,B156-2025)*$AO$4*C156/MAX(0.0001,12-$AO$3),INDEX($C$3:$Q$3,1,B156-2025)/12)</f>
        <v>174.583333333333</v>
      </c>
      <c r="I156" s="88" t="n">
        <f aca="false">$AO$6*0</f>
        <v>0</v>
      </c>
      <c r="J156" s="88" t="n">
        <f aca="false">H156+J155</f>
        <v>28288.0034246576</v>
      </c>
      <c r="K156" s="88" t="n">
        <f aca="false">I156+K155</f>
        <v>8695.00000000001</v>
      </c>
      <c r="L156" s="88" t="n">
        <f aca="false">MAX(L155,J156-K156)</f>
        <v>19593.0034246576</v>
      </c>
      <c r="M156" s="88" t="n">
        <f aca="false">L156-L155</f>
        <v>174.583333333328</v>
      </c>
      <c r="N156" s="88" t="n">
        <f aca="false">IF(B156=2026,INDEX($C$4:$Q$4,1,B156-2025)*$AO$4*C156/MAX(0.0001,12-$AO$3),INDEX($C$4:$Q$4,1,B156-2025)/12)</f>
        <v>5.29281785719042</v>
      </c>
      <c r="O156" s="88" t="n">
        <f aca="false">$AO$6*0</f>
        <v>0</v>
      </c>
      <c r="P156" s="88" t="n">
        <f aca="false">N156+P155</f>
        <v>857.603339400236</v>
      </c>
      <c r="Q156" s="88" t="n">
        <f aca="false">O156+Q155</f>
        <v>398</v>
      </c>
      <c r="R156" s="88" t="n">
        <f aca="false">MAX(R155,P156-Q156)</f>
        <v>459.603339400236</v>
      </c>
      <c r="S156" s="88" t="n">
        <f aca="false">R156-R155</f>
        <v>5.29281785719047</v>
      </c>
      <c r="T156" s="88" t="n">
        <f aca="false">IF(B156=2026,INDEX($C$5:$Q$5,1,B156-2025)*$AO$4*C156/MAX(0.0001,12-$AO$3),INDEX($C$5:$Q$5,1,B156-2025)/12)</f>
        <v>21.5119223261209</v>
      </c>
      <c r="U156" s="88" t="n">
        <f aca="false">$AO$6*0</f>
        <v>0</v>
      </c>
      <c r="V156" s="88" t="n">
        <f aca="false">T156+V155</f>
        <v>3485.60954137818</v>
      </c>
      <c r="W156" s="88" t="n">
        <f aca="false">U156+W155</f>
        <v>1115</v>
      </c>
      <c r="X156" s="88" t="n">
        <f aca="false">MAX(X155,V156-W156)</f>
        <v>2370.60954137818</v>
      </c>
      <c r="Y156" s="88" t="n">
        <f aca="false">X156-X155</f>
        <v>21.5119223261208</v>
      </c>
      <c r="Z156" s="88" t="n">
        <f aca="false">IF(B156=2026,INDEX($C$6:$Q$6,1,B156-2025)*$AO$4*C156/MAX(0.0001,12-$AO$3),INDEX($C$6:$Q$6,1,B156-2025)/12)</f>
        <v>25.5221471249267</v>
      </c>
      <c r="AA156" s="88" t="n">
        <f aca="false">$AO$6*0</f>
        <v>0</v>
      </c>
      <c r="AB156" s="88" t="n">
        <f aca="false">Z156+AB155</f>
        <v>4135.39237388759</v>
      </c>
      <c r="AC156" s="88" t="n">
        <f aca="false">AA156+AC155</f>
        <v>2194</v>
      </c>
      <c r="AD156" s="88" t="n">
        <f aca="false">MAX(AD155,AB156-AC156)</f>
        <v>1941.39237388758</v>
      </c>
      <c r="AE156" s="88" t="n">
        <f aca="false">AD156-AD155</f>
        <v>25.522147124927</v>
      </c>
      <c r="AF156" s="88" t="n">
        <f aca="false">IF(B156=2026,INDEX($C$7:$Q$7,1,B156-2025)*$AO$4*C156/MAX(0.0001,12-$AO$3),INDEX($C$7:$Q$7,1,B156-2025)/12)</f>
        <v>22.1701907861426</v>
      </c>
      <c r="AG156" s="88" t="n">
        <f aca="false">$AO$6*0</f>
        <v>0</v>
      </c>
      <c r="AH156" s="88" t="n">
        <f aca="false">AF156+AH155</f>
        <v>3592.26978262745</v>
      </c>
      <c r="AI156" s="88" t="n">
        <f aca="false">AG156+AI155</f>
        <v>826</v>
      </c>
      <c r="AJ156" s="88" t="n">
        <f aca="false">MAX(AJ155,AH156-AI156)</f>
        <v>2766.26978262745</v>
      </c>
      <c r="AK156" s="88" t="n">
        <f aca="false">AJ156-AJ155</f>
        <v>22.1701907861425</v>
      </c>
      <c r="AL156" s="88" t="n">
        <f aca="false">IF(B156=2026,INDEX($C$8:$Q$8,1,B156-2025)*$AO$4*C156/MAX(0.0001,12-$AO$3),INDEX($C$8:$Q$8,1,B156-2025)/12)</f>
        <v>5.60801085830575</v>
      </c>
      <c r="AM156" s="88" t="n">
        <f aca="false">$AO$6*0</f>
        <v>0</v>
      </c>
      <c r="AN156" s="88" t="n">
        <f aca="false">AL156+AN155</f>
        <v>908.674541471712</v>
      </c>
      <c r="AO156" s="88" t="n">
        <f aca="false">AM156+AO155</f>
        <v>66</v>
      </c>
      <c r="AP156" s="88" t="n">
        <f aca="false">MAX(AP155,AN156-AO156)</f>
        <v>842.674541471712</v>
      </c>
      <c r="AQ156" s="88" t="n">
        <f aca="false">AP156-AP155</f>
        <v>5.60801085830576</v>
      </c>
      <c r="AR156" s="88" t="n">
        <f aca="false">IF(B156=2026,INDEX($C$9:$Q$9,1,B156-2025)*$AO$4*C156/MAX(0.0001,12-$AO$3),INDEX($C$9:$Q$9,1,B156-2025)/12)</f>
        <v>23.9122382576915</v>
      </c>
      <c r="AS156" s="88" t="n">
        <f aca="false">$AO$6*0</f>
        <v>0</v>
      </c>
      <c r="AT156" s="88" t="n">
        <f aca="false">AR156+AT155</f>
        <v>3874.53638792252</v>
      </c>
      <c r="AU156" s="88" t="n">
        <f aca="false">AS156+AU155</f>
        <v>1810</v>
      </c>
      <c r="AV156" s="88" t="n">
        <f aca="false">MAX(AV155,AT156-AU156)</f>
        <v>2064.53638792251</v>
      </c>
      <c r="AW156" s="88" t="n">
        <f aca="false">AV156-AV155</f>
        <v>23.9122382576916</v>
      </c>
      <c r="AX156" s="88" t="n">
        <f aca="false">IF(B156=2026,INDEX($C$10:$Q$10,1,B156-2025)*$AO$4*C156/MAX(0.0001,12-$AO$3),INDEX($C$10:$Q$10,1,B156-2025)/12)</f>
        <v>2.77369840981486</v>
      </c>
      <c r="AY156" s="88" t="n">
        <f aca="false">$AO$6*0</f>
        <v>0</v>
      </c>
      <c r="AZ156" s="88" t="n">
        <f aca="false">AX156+AZ155</f>
        <v>449.426578228982</v>
      </c>
      <c r="BA156" s="88" t="n">
        <f aca="false">AY156+BA155</f>
        <v>50</v>
      </c>
      <c r="BB156" s="88" t="n">
        <f aca="false">MAX(BB155,AZ156-BA156)</f>
        <v>399.426578228982</v>
      </c>
      <c r="BC156" s="88" t="n">
        <f aca="false">BB156-BB155</f>
        <v>2.77369840981487</v>
      </c>
      <c r="BD156" s="88" t="n">
        <f aca="false">IF(B156=2026,INDEX($C$11:$Q$11,1,B156-2025)*$AO$4*C156/MAX(0.0001,12-$AO$3),INDEX($C$11:$Q$11,1,B156-2025)/12)</f>
        <v>13.7836323949279</v>
      </c>
      <c r="BE156" s="88" t="n">
        <f aca="false">$AO$6*0</f>
        <v>0</v>
      </c>
      <c r="BF156" s="88" t="n">
        <f aca="false">BD156+BF155</f>
        <v>2233.38295212567</v>
      </c>
      <c r="BG156" s="88" t="n">
        <f aca="false">BE156+BG155</f>
        <v>240</v>
      </c>
      <c r="BH156" s="88" t="n">
        <f aca="false">MAX(BH155,BF156-BG156)</f>
        <v>1993.38295212567</v>
      </c>
      <c r="BI156" s="88" t="n">
        <f aca="false">BH156-BH155</f>
        <v>13.7836323949277</v>
      </c>
      <c r="BJ156" s="88" t="n">
        <f aca="false">IF(B156=2026,INDEX($C$12:$Q$12,1,B156-2025)*$AO$4*C156/MAX(0.0001,12-$AO$3),INDEX($C$12:$Q$12,1,B156-2025)/12)</f>
        <v>7.55735834212668</v>
      </c>
      <c r="BK156" s="88" t="n">
        <f aca="false">$AO$6*0</f>
        <v>0</v>
      </c>
      <c r="BL156" s="88" t="n">
        <f aca="false">BJ156+BL155</f>
        <v>1224.53028351376</v>
      </c>
      <c r="BM156" s="88" t="n">
        <f aca="false">BK156+BM155</f>
        <v>465</v>
      </c>
      <c r="BN156" s="88" t="n">
        <f aca="false">MAX(BN155,BL156-BM156)</f>
        <v>759.530283513761</v>
      </c>
      <c r="BO156" s="88" t="n">
        <f aca="false">BN156-BN155</f>
        <v>7.55735834212669</v>
      </c>
      <c r="BP156" s="88" t="n">
        <f aca="false">IF(B156=2026,INDEX($C$13:$Q$13,1,B156-2025)*$AO$4*C156/MAX(0.0001,12-$AO$3),INDEX($C$13:$Q$13,1,B156-2025)/12)</f>
        <v>2.36165531610536</v>
      </c>
      <c r="BQ156" s="88" t="n">
        <f aca="false">$AO$6*0</f>
        <v>0</v>
      </c>
      <c r="BR156" s="88" t="n">
        <f aca="false">BP156+BR155</f>
        <v>382.662608132786</v>
      </c>
      <c r="BS156" s="88" t="n">
        <f aca="false">BQ156+BS155</f>
        <v>87</v>
      </c>
      <c r="BT156" s="88" t="n">
        <f aca="false">MAX(BT155,BR156-BS156)</f>
        <v>295.662608132786</v>
      </c>
      <c r="BU156" s="88" t="n">
        <f aca="false">BT156-BT155</f>
        <v>2.36165531610538</v>
      </c>
      <c r="BV156" s="88" t="n">
        <f aca="false">IF(B156=2026,INDEX($C$14:$Q$14,1,B156-2025)*$AO$4*C156/MAX(0.0001,12-$AO$3),INDEX($C$14:$Q$14,1,B156-2025)/12)</f>
        <v>1.40070591162111</v>
      </c>
      <c r="BW156" s="88" t="n">
        <f aca="false">$AO$6*0</f>
        <v>0</v>
      </c>
      <c r="BX156" s="88" t="n">
        <f aca="false">BV156+BX155</f>
        <v>226.958512409791</v>
      </c>
      <c r="BY156" s="88" t="n">
        <f aca="false">BW156+BY155</f>
        <v>0</v>
      </c>
      <c r="BZ156" s="88" t="n">
        <f aca="false">MAX(BZ155,BX156-BY156)</f>
        <v>226.958512409791</v>
      </c>
      <c r="CA156" s="88" t="n">
        <f aca="false">BZ156-BZ155</f>
        <v>1.40070591162112</v>
      </c>
      <c r="CB156" s="88" t="n">
        <f aca="false">IF(B156=2026,INDEX($C$15:$Q$15,1,B156-2025)*$AO$4*C156/MAX(0.0001,12-$AO$3),INDEX($C$15:$Q$15,1,B156-2025)/12)</f>
        <v>2.29650620393693</v>
      </c>
      <c r="CC156" s="88" t="n">
        <f aca="false">$AO$6*0</f>
        <v>0</v>
      </c>
      <c r="CD156" s="88" t="n">
        <f aca="false">CB156+CD155</f>
        <v>372.106398253261</v>
      </c>
      <c r="CE156" s="88" t="n">
        <f aca="false">CC156+CE155</f>
        <v>88.0000000000001</v>
      </c>
      <c r="CF156" s="88" t="n">
        <f aca="false">MAX(CF155,CD156-CE156)</f>
        <v>284.106398253261</v>
      </c>
      <c r="CG156" s="88" t="n">
        <f aca="false">CF156-CF155</f>
        <v>2.29650620393693</v>
      </c>
      <c r="CH156" s="88" t="n">
        <f aca="false">IF(B156=2026,INDEX($C$16:$Q$16,1,B156-2025)*$AO$4*C156/MAX(0.0001,12-$AO$3),INDEX($C$16:$Q$16,1,B156-2025)/12)</f>
        <v>1.81603150169481</v>
      </c>
      <c r="CI156" s="88" t="n">
        <f aca="false">$AO$6*0</f>
        <v>0</v>
      </c>
      <c r="CJ156" s="88" t="n">
        <f aca="false">CH156+CJ155</f>
        <v>294.254350391764</v>
      </c>
      <c r="CK156" s="88" t="n">
        <f aca="false">CI156+CK155</f>
        <v>70</v>
      </c>
      <c r="CL156" s="88" t="n">
        <f aca="false">MAX(CL155,CJ156-CK156)</f>
        <v>224.254350391764</v>
      </c>
      <c r="CM156" s="88" t="n">
        <f aca="false">CL156-CL155</f>
        <v>1.81603150169479</v>
      </c>
      <c r="CN156" s="88" t="n">
        <f aca="false">IF(B156=2026,INDEX($C$17:$Q$17,1,B156-2025)*$AO$4*C156/MAX(0.0001,12-$AO$3),INDEX($C$17:$Q$17,1,B156-2025)/12)</f>
        <v>7.90747348944242</v>
      </c>
      <c r="CO156" s="88" t="n">
        <f aca="false">$AO$6*0</f>
        <v>0</v>
      </c>
      <c r="CP156" s="88" t="n">
        <f aca="false">CN156+CP155</f>
        <v>1281.25997412737</v>
      </c>
      <c r="CQ156" s="88" t="n">
        <f aca="false">CO156+CQ155</f>
        <v>221</v>
      </c>
      <c r="CR156" s="88" t="n">
        <f aca="false">MAX(CR155,CP156-CQ156)</f>
        <v>1060.25997412737</v>
      </c>
      <c r="CS156" s="88" t="n">
        <f aca="false">CR156-CR155</f>
        <v>7.90747348944251</v>
      </c>
      <c r="CT156" s="88" t="n">
        <f aca="false">IF(B156=2026,INDEX($C$18:$Q$18,1,B156-2025)*$AO$4*C156/MAX(0.0001,12-$AO$3),INDEX($C$18:$Q$18,1,B156-2025)/12)</f>
        <v>1.6450150822527</v>
      </c>
      <c r="CU156" s="88" t="n">
        <f aca="false">$AO$6*0</f>
        <v>0</v>
      </c>
      <c r="CV156" s="88" t="n">
        <f aca="false">CT156+CV155</f>
        <v>266.54429945801</v>
      </c>
      <c r="CW156" s="88" t="n">
        <f aca="false">CU156+CW155</f>
        <v>11</v>
      </c>
      <c r="CX156" s="88" t="n">
        <f aca="false">MAX(CX155,CV156-CW156)</f>
        <v>255.54429945801</v>
      </c>
      <c r="CY156" s="88" t="n">
        <f aca="false">CX156-CX155</f>
        <v>1.64501508225271</v>
      </c>
      <c r="CZ156" s="88" t="n">
        <f aca="false">IF(B156=2026,INDEX($C$19:$Q$19,1,B156-2025)*$AO$4*C156/MAX(0.0001,12-$AO$3),INDEX($C$19:$Q$19,1,B156-2025)/12)</f>
        <v>1.62872780421059</v>
      </c>
      <c r="DA156" s="88" t="n">
        <f aca="false">$AO$6*0</f>
        <v>0</v>
      </c>
      <c r="DB156" s="88" t="n">
        <f aca="false">CZ156+DB155</f>
        <v>263.905246988129</v>
      </c>
      <c r="DC156" s="88" t="n">
        <f aca="false">DA156+DC155</f>
        <v>226</v>
      </c>
      <c r="DD156" s="88" t="n">
        <f aca="false">MAX(DD155,DB156-DC156)</f>
        <v>37.9052469881295</v>
      </c>
      <c r="DE156" s="88" t="n">
        <f aca="false">DD156-DD155</f>
        <v>0.773122492770469</v>
      </c>
      <c r="DF156" s="88" t="n">
        <f aca="false">IF(B156=2026,INDEX($C$20:$Q$20,1,B156-2025)*$AO$4*C156/MAX(0.0001,12-$AO$3),INDEX($C$20:$Q$20,1,B156-2025)/12)</f>
        <v>1.32741316043163</v>
      </c>
      <c r="DG156" s="88" t="n">
        <f aca="false">$AO$6*0</f>
        <v>0</v>
      </c>
      <c r="DH156" s="88" t="n">
        <f aca="false">DF156+DH155</f>
        <v>215.082776295325</v>
      </c>
      <c r="DI156" s="88" t="n">
        <f aca="false">DG156+DI155</f>
        <v>0</v>
      </c>
      <c r="DJ156" s="88" t="n">
        <f aca="false">MAX(DJ155,DH156-DI156)</f>
        <v>215.082776295325</v>
      </c>
      <c r="DK156" s="88" t="n">
        <f aca="false">DJ156-DJ155</f>
        <v>1.32741316043163</v>
      </c>
      <c r="DL156" s="88" t="n">
        <f aca="false">IF(B156=2026,INDEX($C$21:$Q$21,1,B156-2025)*$AO$4*C156/MAX(0.0001,12-$AO$3),INDEX($C$21:$Q$21,1,B156-2025)/12)</f>
        <v>0.928374848400037</v>
      </c>
      <c r="DM156" s="88" t="n">
        <f aca="false">$AO$6*0</f>
        <v>0</v>
      </c>
      <c r="DN156" s="88" t="n">
        <f aca="false">DL156+DN155</f>
        <v>150.425990783233</v>
      </c>
      <c r="DO156" s="88" t="n">
        <f aca="false">DM156+DO155</f>
        <v>100</v>
      </c>
      <c r="DP156" s="88" t="n">
        <f aca="false">MAX(DP155,DN156-DO156)</f>
        <v>50.4259907832333</v>
      </c>
      <c r="DQ156" s="88" t="n">
        <f aca="false">DP156-DP155</f>
        <v>0.92837484840004</v>
      </c>
      <c r="DR156" s="88" t="n">
        <f aca="false">IF(B156=2026,INDEX($C$22:$Q$22,1,B156-2025)*$AO$4*C156/MAX(0.0001,12-$AO$3),INDEX($C$22:$Q$22,1,B156-2025)/12)</f>
        <v>0.724783872873713</v>
      </c>
      <c r="DS156" s="88" t="n">
        <f aca="false">$AO$6*0</f>
        <v>0</v>
      </c>
      <c r="DT156" s="88" t="n">
        <f aca="false">DR156+DT155</f>
        <v>117.437834909718</v>
      </c>
      <c r="DU156" s="88" t="n">
        <f aca="false">DS156+DU155</f>
        <v>29</v>
      </c>
      <c r="DV156" s="88" t="n">
        <f aca="false">MAX(DV155,DT156-DU156)</f>
        <v>88.4378349097175</v>
      </c>
      <c r="DW156" s="88" t="n">
        <f aca="false">DV156-DV155</f>
        <v>0.724783872873701</v>
      </c>
      <c r="DX156" s="88" t="n">
        <f aca="false">IF(B156=2026,INDEX($C$23:$Q$23,1,B156-2025)*$AO$4*C156/MAX(0.0001,12-$AO$3),INDEX($C$23:$Q$23,1,B156-2025)/12)</f>
        <v>1.16454038001057</v>
      </c>
      <c r="DY156" s="88" t="n">
        <f aca="false">$AO$6*0</f>
        <v>0</v>
      </c>
      <c r="DZ156" s="88" t="n">
        <f aca="false">DX156+DZ155</f>
        <v>188.692251596512</v>
      </c>
      <c r="EA156" s="88" t="n">
        <f aca="false">DY156+EA155</f>
        <v>121</v>
      </c>
      <c r="EB156" s="88" t="n">
        <f aca="false">MAX(EB155,DZ156-EA156)</f>
        <v>67.6922515965124</v>
      </c>
      <c r="EC156" s="88" t="n">
        <f aca="false">EB156-EB155</f>
        <v>1.16454038001058</v>
      </c>
      <c r="ED156" s="88" t="n">
        <f aca="false">IF(B156=2026,INDEX($C$24:$Q$24,1,B156-2025)*$AO$4*C156/MAX(0.0001,12-$AO$3),INDEX($C$24:$Q$24,1,B156-2025)/12)</f>
        <v>0.71664023385266</v>
      </c>
      <c r="EE156" s="88" t="n">
        <f aca="false">$AO$6*0</f>
        <v>0</v>
      </c>
      <c r="EF156" s="88" t="n">
        <f aca="false">ED156+EF155</f>
        <v>116.118308674777</v>
      </c>
      <c r="EG156" s="88" t="n">
        <f aca="false">EE156+EG155</f>
        <v>0</v>
      </c>
      <c r="EH156" s="88" t="n">
        <f aca="false">MAX(EH155,EF156-EG156)</f>
        <v>116.118308674777</v>
      </c>
      <c r="EI156" s="88" t="n">
        <f aca="false">EH156-EH155</f>
        <v>0.716640233852658</v>
      </c>
      <c r="EJ156" s="88" t="n">
        <f aca="false">IF(B156=2026,INDEX($C$25:$Q$25,1,B156-2025)*$AO$4*C156/MAX(0.0001,12-$AO$3),INDEX($C$25:$Q$25,1,B156-2025)/12)</f>
        <v>0.912087570357932</v>
      </c>
      <c r="EK156" s="88" t="n">
        <f aca="false">$AO$6*0</f>
        <v>0</v>
      </c>
      <c r="EL156" s="88" t="n">
        <f aca="false">EJ156+EL155</f>
        <v>147.786938313352</v>
      </c>
      <c r="EM156" s="88" t="n">
        <f aca="false">EK156+EM155</f>
        <v>14</v>
      </c>
      <c r="EN156" s="88" t="n">
        <f aca="false">MAX(EN155,EL156-EM156)</f>
        <v>133.786938313352</v>
      </c>
      <c r="EO156" s="88" t="n">
        <f aca="false">EN156-EN155</f>
        <v>0.912087570357926</v>
      </c>
      <c r="EP156" s="88" t="n">
        <f aca="false">IF(B156=2026,INDEX($C$26:$Q$26,1,B156-2025)*$AO$4*C156/MAX(0.0001,12-$AO$3),INDEX($C$26:$Q$26,1,B156-2025)/12)</f>
        <v>1.31112588238953</v>
      </c>
      <c r="EQ156" s="88" t="n">
        <f aca="false">$AO$6*0</f>
        <v>0</v>
      </c>
      <c r="ER156" s="88" t="n">
        <f aca="false">EP156+ER155</f>
        <v>212.443723825443</v>
      </c>
      <c r="ES156" s="88" t="n">
        <f aca="false">EQ156+ES155</f>
        <v>4</v>
      </c>
      <c r="ET156" s="88" t="n">
        <f aca="false">MAX(ET155,ER156-ES156)</f>
        <v>208.443723825443</v>
      </c>
      <c r="EU156" s="88" t="n">
        <f aca="false">ET156-ET155</f>
        <v>1.31112588238952</v>
      </c>
      <c r="EV156" s="88" t="n">
        <f aca="false">IF(B156=2026,INDEX($C$27:$Q$27,1,B156-2025)*$AO$4*C156/MAX(0.0001,12-$AO$3),INDEX($C$27:$Q$27,1,B156-2025)/12)</f>
        <v>3.25745560842118</v>
      </c>
      <c r="EW156" s="88" t="n">
        <f aca="false">$AO$6*0</f>
        <v>0</v>
      </c>
      <c r="EX156" s="88" t="n">
        <f aca="false">EV156+EX155</f>
        <v>527.810493976259</v>
      </c>
      <c r="EY156" s="88" t="n">
        <f aca="false">EW156+EY155</f>
        <v>391</v>
      </c>
      <c r="EZ156" s="88" t="n">
        <f aca="false">MAX(EZ155,EX156-EY156)</f>
        <v>136.810493976258</v>
      </c>
      <c r="FA156" s="88" t="n">
        <f aca="false">EZ156-EZ155</f>
        <v>3.2574556084212</v>
      </c>
      <c r="FB156" s="88" t="n">
        <f aca="false">IF(B156=2026,INDEX($C$28:$Q$28,1,B156-2025)*$AO$4*C156/MAX(0.0001,12-$AO$3),INDEX($C$28:$Q$28,1,B156-2025)/12)</f>
        <v>17.0527801100849</v>
      </c>
      <c r="FC156" s="88" t="n">
        <f aca="false">$AO$6*0</f>
        <v>0</v>
      </c>
      <c r="FD156" s="88" t="n">
        <f aca="false">FB156+FD155</f>
        <v>2763.08793596571</v>
      </c>
      <c r="FE156" s="88" t="n">
        <f aca="false">FC156+FE155</f>
        <v>169</v>
      </c>
      <c r="FF156" s="88" t="n">
        <f aca="false">MAX(FF155,FD156-FE156)</f>
        <v>2594.08793596571</v>
      </c>
      <c r="FG156" s="88" t="n">
        <f aca="false">FF156-FF155</f>
        <v>17.0527801100848</v>
      </c>
    </row>
    <row r="157" customFormat="false" ht="15" hidden="false" customHeight="false" outlineLevel="0" collapsed="false">
      <c r="A157" s="0" t="n">
        <v>117</v>
      </c>
      <c r="B157" s="88" t="n">
        <f aca="false">2026+INT(A157/12)</f>
        <v>2035</v>
      </c>
      <c r="C157" s="88" t="n">
        <f aca="false">MAX(0,MIN(1,A157+1-$AO$3))</f>
        <v>1</v>
      </c>
      <c r="D157" s="88" t="n">
        <f aca="false">IF((A157+0.5-(0))&lt;$AO$3,0,2026+INT((A157+0.5-(0))/12))</f>
        <v>2035</v>
      </c>
      <c r="E157" s="88" t="n">
        <f aca="false">IF((A157+0.5-($AO$9))&lt;$AO$3,0,2026+INT((A157+0.5-($AO$9))/12))</f>
        <v>2034</v>
      </c>
      <c r="F157" s="88" t="n">
        <f aca="false">IF((A157+0.5-($AO$9+$AO$8))&lt;$AO$3,0,2026+INT((A157+0.5-($AO$9+$AO$8))/12))</f>
        <v>2033</v>
      </c>
      <c r="G157" s="88" t="n">
        <f aca="false">IF((A157+0.5-($AO$9+$AO$8+$AO$7))&lt;$AO$3,0,2026+INT((A157+0.5-($AO$9+$AO$8+$AO$7))/12))</f>
        <v>2032</v>
      </c>
      <c r="H157" s="88" t="n">
        <f aca="false">IF(B157=2026,INDEX($C$3:$Q$3,1,B157-2025)*$AO$4*C157/MAX(0.0001,12-$AO$3),INDEX($C$3:$Q$3,1,B157-2025)/12)</f>
        <v>174.583333333333</v>
      </c>
      <c r="I157" s="88" t="n">
        <f aca="false">$AO$6*0</f>
        <v>0</v>
      </c>
      <c r="J157" s="88" t="n">
        <f aca="false">H157+J156</f>
        <v>28462.5867579909</v>
      </c>
      <c r="K157" s="88" t="n">
        <f aca="false">I157+K156</f>
        <v>8695.00000000001</v>
      </c>
      <c r="L157" s="88" t="n">
        <f aca="false">MAX(L156,J157-K157)</f>
        <v>19767.5867579909</v>
      </c>
      <c r="M157" s="88" t="n">
        <f aca="false">L157-L156</f>
        <v>174.583333333336</v>
      </c>
      <c r="N157" s="88" t="n">
        <f aca="false">IF(B157=2026,INDEX($C$4:$Q$4,1,B157-2025)*$AO$4*C157/MAX(0.0001,12-$AO$3),INDEX($C$4:$Q$4,1,B157-2025)/12)</f>
        <v>5.29281785719042</v>
      </c>
      <c r="O157" s="88" t="n">
        <f aca="false">$AO$6*0</f>
        <v>0</v>
      </c>
      <c r="P157" s="88" t="n">
        <f aca="false">N157+P156</f>
        <v>862.896157257427</v>
      </c>
      <c r="Q157" s="88" t="n">
        <f aca="false">O157+Q156</f>
        <v>398</v>
      </c>
      <c r="R157" s="88" t="n">
        <f aca="false">MAX(R156,P157-Q157)</f>
        <v>464.896157257427</v>
      </c>
      <c r="S157" s="88" t="n">
        <f aca="false">R157-R156</f>
        <v>5.29281785719047</v>
      </c>
      <c r="T157" s="88" t="n">
        <f aca="false">IF(B157=2026,INDEX($C$5:$Q$5,1,B157-2025)*$AO$4*C157/MAX(0.0001,12-$AO$3),INDEX($C$5:$Q$5,1,B157-2025)/12)</f>
        <v>21.5119223261209</v>
      </c>
      <c r="U157" s="88" t="n">
        <f aca="false">$AO$6*0</f>
        <v>0</v>
      </c>
      <c r="V157" s="88" t="n">
        <f aca="false">T157+V156</f>
        <v>3507.1214637043</v>
      </c>
      <c r="W157" s="88" t="n">
        <f aca="false">U157+W156</f>
        <v>1115</v>
      </c>
      <c r="X157" s="88" t="n">
        <f aca="false">MAX(X156,V157-W157)</f>
        <v>2392.1214637043</v>
      </c>
      <c r="Y157" s="88" t="n">
        <f aca="false">X157-X156</f>
        <v>21.5119223261208</v>
      </c>
      <c r="Z157" s="88" t="n">
        <f aca="false">IF(B157=2026,INDEX($C$6:$Q$6,1,B157-2025)*$AO$4*C157/MAX(0.0001,12-$AO$3),INDEX($C$6:$Q$6,1,B157-2025)/12)</f>
        <v>25.5221471249267</v>
      </c>
      <c r="AA157" s="88" t="n">
        <f aca="false">$AO$6*0</f>
        <v>0</v>
      </c>
      <c r="AB157" s="88" t="n">
        <f aca="false">Z157+AB156</f>
        <v>4160.91452101251</v>
      </c>
      <c r="AC157" s="88" t="n">
        <f aca="false">AA157+AC156</f>
        <v>2194</v>
      </c>
      <c r="AD157" s="88" t="n">
        <f aca="false">MAX(AD156,AB157-AC157)</f>
        <v>1966.91452101251</v>
      </c>
      <c r="AE157" s="88" t="n">
        <f aca="false">AD157-AD156</f>
        <v>25.522147124927</v>
      </c>
      <c r="AF157" s="88" t="n">
        <f aca="false">IF(B157=2026,INDEX($C$7:$Q$7,1,B157-2025)*$AO$4*C157/MAX(0.0001,12-$AO$3),INDEX($C$7:$Q$7,1,B157-2025)/12)</f>
        <v>22.1701907861426</v>
      </c>
      <c r="AG157" s="88" t="n">
        <f aca="false">$AO$6*0</f>
        <v>0</v>
      </c>
      <c r="AH157" s="88" t="n">
        <f aca="false">AF157+AH156</f>
        <v>3614.4399734136</v>
      </c>
      <c r="AI157" s="88" t="n">
        <f aca="false">AG157+AI156</f>
        <v>826</v>
      </c>
      <c r="AJ157" s="88" t="n">
        <f aca="false">MAX(AJ156,AH157-AI157)</f>
        <v>2788.4399734136</v>
      </c>
      <c r="AK157" s="88" t="n">
        <f aca="false">AJ157-AJ156</f>
        <v>22.1701907861425</v>
      </c>
      <c r="AL157" s="88" t="n">
        <f aca="false">IF(B157=2026,INDEX($C$8:$Q$8,1,B157-2025)*$AO$4*C157/MAX(0.0001,12-$AO$3),INDEX($C$8:$Q$8,1,B157-2025)/12)</f>
        <v>5.60801085830575</v>
      </c>
      <c r="AM157" s="88" t="n">
        <f aca="false">$AO$6*0</f>
        <v>0</v>
      </c>
      <c r="AN157" s="88" t="n">
        <f aca="false">AL157+AN156</f>
        <v>914.282552330018</v>
      </c>
      <c r="AO157" s="88" t="n">
        <f aca="false">AM157+AO156</f>
        <v>66</v>
      </c>
      <c r="AP157" s="88" t="n">
        <f aca="false">MAX(AP156,AN157-AO157)</f>
        <v>848.282552330018</v>
      </c>
      <c r="AQ157" s="88" t="n">
        <f aca="false">AP157-AP156</f>
        <v>5.60801085830576</v>
      </c>
      <c r="AR157" s="88" t="n">
        <f aca="false">IF(B157=2026,INDEX($C$9:$Q$9,1,B157-2025)*$AO$4*C157/MAX(0.0001,12-$AO$3),INDEX($C$9:$Q$9,1,B157-2025)/12)</f>
        <v>23.9122382576915</v>
      </c>
      <c r="AS157" s="88" t="n">
        <f aca="false">$AO$6*0</f>
        <v>0</v>
      </c>
      <c r="AT157" s="88" t="n">
        <f aca="false">AR157+AT156</f>
        <v>3898.44862618021</v>
      </c>
      <c r="AU157" s="88" t="n">
        <f aca="false">AS157+AU156</f>
        <v>1810</v>
      </c>
      <c r="AV157" s="88" t="n">
        <f aca="false">MAX(AV156,AT157-AU157)</f>
        <v>2088.44862618021</v>
      </c>
      <c r="AW157" s="88" t="n">
        <f aca="false">AV157-AV156</f>
        <v>23.9122382576916</v>
      </c>
      <c r="AX157" s="88" t="n">
        <f aca="false">IF(B157=2026,INDEX($C$10:$Q$10,1,B157-2025)*$AO$4*C157/MAX(0.0001,12-$AO$3),INDEX($C$10:$Q$10,1,B157-2025)/12)</f>
        <v>2.77369840981486</v>
      </c>
      <c r="AY157" s="88" t="n">
        <f aca="false">$AO$6*0</f>
        <v>0</v>
      </c>
      <c r="AZ157" s="88" t="n">
        <f aca="false">AX157+AZ156</f>
        <v>452.200276638797</v>
      </c>
      <c r="BA157" s="88" t="n">
        <f aca="false">AY157+BA156</f>
        <v>50</v>
      </c>
      <c r="BB157" s="88" t="n">
        <f aca="false">MAX(BB156,AZ157-BA157)</f>
        <v>402.200276638797</v>
      </c>
      <c r="BC157" s="88" t="n">
        <f aca="false">BB157-BB156</f>
        <v>2.77369840981487</v>
      </c>
      <c r="BD157" s="88" t="n">
        <f aca="false">IF(B157=2026,INDEX($C$11:$Q$11,1,B157-2025)*$AO$4*C157/MAX(0.0001,12-$AO$3),INDEX($C$11:$Q$11,1,B157-2025)/12)</f>
        <v>13.7836323949279</v>
      </c>
      <c r="BE157" s="88" t="n">
        <f aca="false">$AO$6*0</f>
        <v>0</v>
      </c>
      <c r="BF157" s="88" t="n">
        <f aca="false">BD157+BF156</f>
        <v>2247.1665845206</v>
      </c>
      <c r="BG157" s="88" t="n">
        <f aca="false">BE157+BG156</f>
        <v>240</v>
      </c>
      <c r="BH157" s="88" t="n">
        <f aca="false">MAX(BH156,BF157-BG157)</f>
        <v>2007.1665845206</v>
      </c>
      <c r="BI157" s="88" t="n">
        <f aca="false">BH157-BH156</f>
        <v>13.7836323949277</v>
      </c>
      <c r="BJ157" s="88" t="n">
        <f aca="false">IF(B157=2026,INDEX($C$12:$Q$12,1,B157-2025)*$AO$4*C157/MAX(0.0001,12-$AO$3),INDEX($C$12:$Q$12,1,B157-2025)/12)</f>
        <v>7.55735834212668</v>
      </c>
      <c r="BK157" s="88" t="n">
        <f aca="false">$AO$6*0</f>
        <v>0</v>
      </c>
      <c r="BL157" s="88" t="n">
        <f aca="false">BJ157+BL156</f>
        <v>1232.08764185589</v>
      </c>
      <c r="BM157" s="88" t="n">
        <f aca="false">BK157+BM156</f>
        <v>465</v>
      </c>
      <c r="BN157" s="88" t="n">
        <f aca="false">MAX(BN156,BL157-BM157)</f>
        <v>767.087641855888</v>
      </c>
      <c r="BO157" s="88" t="n">
        <f aca="false">BN157-BN156</f>
        <v>7.55735834212669</v>
      </c>
      <c r="BP157" s="88" t="n">
        <f aca="false">IF(B157=2026,INDEX($C$13:$Q$13,1,B157-2025)*$AO$4*C157/MAX(0.0001,12-$AO$3),INDEX($C$13:$Q$13,1,B157-2025)/12)</f>
        <v>2.36165531610536</v>
      </c>
      <c r="BQ157" s="88" t="n">
        <f aca="false">$AO$6*0</f>
        <v>0</v>
      </c>
      <c r="BR157" s="88" t="n">
        <f aca="false">BP157+BR156</f>
        <v>385.024263448892</v>
      </c>
      <c r="BS157" s="88" t="n">
        <f aca="false">BQ157+BS156</f>
        <v>87</v>
      </c>
      <c r="BT157" s="88" t="n">
        <f aca="false">MAX(BT156,BR157-BS157)</f>
        <v>298.024263448892</v>
      </c>
      <c r="BU157" s="88" t="n">
        <f aca="false">BT157-BT156</f>
        <v>2.36165531610538</v>
      </c>
      <c r="BV157" s="88" t="n">
        <f aca="false">IF(B157=2026,INDEX($C$14:$Q$14,1,B157-2025)*$AO$4*C157/MAX(0.0001,12-$AO$3),INDEX($C$14:$Q$14,1,B157-2025)/12)</f>
        <v>1.40070591162111</v>
      </c>
      <c r="BW157" s="88" t="n">
        <f aca="false">$AO$6*0</f>
        <v>0</v>
      </c>
      <c r="BX157" s="88" t="n">
        <f aca="false">BV157+BX156</f>
        <v>228.359218321412</v>
      </c>
      <c r="BY157" s="88" t="n">
        <f aca="false">BW157+BY156</f>
        <v>0</v>
      </c>
      <c r="BZ157" s="88" t="n">
        <f aca="false">MAX(BZ156,BX157-BY157)</f>
        <v>228.359218321412</v>
      </c>
      <c r="CA157" s="88" t="n">
        <f aca="false">BZ157-BZ156</f>
        <v>1.40070591162112</v>
      </c>
      <c r="CB157" s="88" t="n">
        <f aca="false">IF(B157=2026,INDEX($C$15:$Q$15,1,B157-2025)*$AO$4*C157/MAX(0.0001,12-$AO$3),INDEX($C$15:$Q$15,1,B157-2025)/12)</f>
        <v>2.29650620393693</v>
      </c>
      <c r="CC157" s="88" t="n">
        <f aca="false">$AO$6*0</f>
        <v>0</v>
      </c>
      <c r="CD157" s="88" t="n">
        <f aca="false">CB157+CD156</f>
        <v>374.402904457198</v>
      </c>
      <c r="CE157" s="88" t="n">
        <f aca="false">CC157+CE156</f>
        <v>88.0000000000001</v>
      </c>
      <c r="CF157" s="88" t="n">
        <f aca="false">MAX(CF156,CD157-CE157)</f>
        <v>286.402904457198</v>
      </c>
      <c r="CG157" s="88" t="n">
        <f aca="false">CF157-CF156</f>
        <v>2.29650620393693</v>
      </c>
      <c r="CH157" s="88" t="n">
        <f aca="false">IF(B157=2026,INDEX($C$16:$Q$16,1,B157-2025)*$AO$4*C157/MAX(0.0001,12-$AO$3),INDEX($C$16:$Q$16,1,B157-2025)/12)</f>
        <v>1.81603150169481</v>
      </c>
      <c r="CI157" s="88" t="n">
        <f aca="false">$AO$6*0</f>
        <v>0</v>
      </c>
      <c r="CJ157" s="88" t="n">
        <f aca="false">CH157+CJ156</f>
        <v>296.070381893458</v>
      </c>
      <c r="CK157" s="88" t="n">
        <f aca="false">CI157+CK156</f>
        <v>70</v>
      </c>
      <c r="CL157" s="88" t="n">
        <f aca="false">MAX(CL156,CJ157-CK157)</f>
        <v>226.070381893459</v>
      </c>
      <c r="CM157" s="88" t="n">
        <f aca="false">CL157-CL156</f>
        <v>1.81603150169479</v>
      </c>
      <c r="CN157" s="88" t="n">
        <f aca="false">IF(B157=2026,INDEX($C$17:$Q$17,1,B157-2025)*$AO$4*C157/MAX(0.0001,12-$AO$3),INDEX($C$17:$Q$17,1,B157-2025)/12)</f>
        <v>7.90747348944242</v>
      </c>
      <c r="CO157" s="88" t="n">
        <f aca="false">$AO$6*0</f>
        <v>0</v>
      </c>
      <c r="CP157" s="88" t="n">
        <f aca="false">CN157+CP156</f>
        <v>1289.16744761681</v>
      </c>
      <c r="CQ157" s="88" t="n">
        <f aca="false">CO157+CQ156</f>
        <v>221</v>
      </c>
      <c r="CR157" s="88" t="n">
        <f aca="false">MAX(CR156,CP157-CQ157)</f>
        <v>1068.16744761681</v>
      </c>
      <c r="CS157" s="88" t="n">
        <f aca="false">CR157-CR156</f>
        <v>7.90747348944251</v>
      </c>
      <c r="CT157" s="88" t="n">
        <f aca="false">IF(B157=2026,INDEX($C$18:$Q$18,1,B157-2025)*$AO$4*C157/MAX(0.0001,12-$AO$3),INDEX($C$18:$Q$18,1,B157-2025)/12)</f>
        <v>1.6450150822527</v>
      </c>
      <c r="CU157" s="88" t="n">
        <f aca="false">$AO$6*0</f>
        <v>0</v>
      </c>
      <c r="CV157" s="88" t="n">
        <f aca="false">CT157+CV156</f>
        <v>268.189314540263</v>
      </c>
      <c r="CW157" s="88" t="n">
        <f aca="false">CU157+CW156</f>
        <v>11</v>
      </c>
      <c r="CX157" s="88" t="n">
        <f aca="false">MAX(CX156,CV157-CW157)</f>
        <v>257.189314540263</v>
      </c>
      <c r="CY157" s="88" t="n">
        <f aca="false">CX157-CX156</f>
        <v>1.64501508225271</v>
      </c>
      <c r="CZ157" s="88" t="n">
        <f aca="false">IF(B157=2026,INDEX($C$19:$Q$19,1,B157-2025)*$AO$4*C157/MAX(0.0001,12-$AO$3),INDEX($C$19:$Q$19,1,B157-2025)/12)</f>
        <v>1.62872780421059</v>
      </c>
      <c r="DA157" s="88" t="n">
        <f aca="false">$AO$6*0</f>
        <v>0</v>
      </c>
      <c r="DB157" s="88" t="n">
        <f aca="false">CZ157+DB156</f>
        <v>265.53397479234</v>
      </c>
      <c r="DC157" s="88" t="n">
        <f aca="false">DA157+DC156</f>
        <v>226</v>
      </c>
      <c r="DD157" s="88" t="n">
        <f aca="false">MAX(DD156,DB157-DC157)</f>
        <v>39.5339747923401</v>
      </c>
      <c r="DE157" s="88" t="n">
        <f aca="false">DD157-DD156</f>
        <v>1.6287278042106</v>
      </c>
      <c r="DF157" s="88" t="n">
        <f aca="false">IF(B157=2026,INDEX($C$20:$Q$20,1,B157-2025)*$AO$4*C157/MAX(0.0001,12-$AO$3),INDEX($C$20:$Q$20,1,B157-2025)/12)</f>
        <v>1.32741316043163</v>
      </c>
      <c r="DG157" s="88" t="n">
        <f aca="false">$AO$6*0</f>
        <v>0</v>
      </c>
      <c r="DH157" s="88" t="n">
        <f aca="false">DF157+DH156</f>
        <v>216.410189455757</v>
      </c>
      <c r="DI157" s="88" t="n">
        <f aca="false">DG157+DI156</f>
        <v>0</v>
      </c>
      <c r="DJ157" s="88" t="n">
        <f aca="false">MAX(DJ156,DH157-DI157)</f>
        <v>216.410189455757</v>
      </c>
      <c r="DK157" s="88" t="n">
        <f aca="false">DJ157-DJ156</f>
        <v>1.32741316043163</v>
      </c>
      <c r="DL157" s="88" t="n">
        <f aca="false">IF(B157=2026,INDEX($C$21:$Q$21,1,B157-2025)*$AO$4*C157/MAX(0.0001,12-$AO$3),INDEX($C$21:$Q$21,1,B157-2025)/12)</f>
        <v>0.928374848400037</v>
      </c>
      <c r="DM157" s="88" t="n">
        <f aca="false">$AO$6*0</f>
        <v>0</v>
      </c>
      <c r="DN157" s="88" t="n">
        <f aca="false">DL157+DN156</f>
        <v>151.354365631633</v>
      </c>
      <c r="DO157" s="88" t="n">
        <f aca="false">DM157+DO156</f>
        <v>100</v>
      </c>
      <c r="DP157" s="88" t="n">
        <f aca="false">MAX(DP156,DN157-DO157)</f>
        <v>51.3543656316334</v>
      </c>
      <c r="DQ157" s="88" t="n">
        <f aca="false">DP157-DP156</f>
        <v>0.92837484840004</v>
      </c>
      <c r="DR157" s="88" t="n">
        <f aca="false">IF(B157=2026,INDEX($C$22:$Q$22,1,B157-2025)*$AO$4*C157/MAX(0.0001,12-$AO$3),INDEX($C$22:$Q$22,1,B157-2025)/12)</f>
        <v>0.724783872873713</v>
      </c>
      <c r="DS157" s="88" t="n">
        <f aca="false">$AO$6*0</f>
        <v>0</v>
      </c>
      <c r="DT157" s="88" t="n">
        <f aca="false">DR157+DT156</f>
        <v>118.162618782591</v>
      </c>
      <c r="DU157" s="88" t="n">
        <f aca="false">DS157+DU156</f>
        <v>29</v>
      </c>
      <c r="DV157" s="88" t="n">
        <f aca="false">MAX(DV156,DT157-DU157)</f>
        <v>89.1626187825913</v>
      </c>
      <c r="DW157" s="88" t="n">
        <f aca="false">DV157-DV156</f>
        <v>0.724783872873729</v>
      </c>
      <c r="DX157" s="88" t="n">
        <f aca="false">IF(B157=2026,INDEX($C$23:$Q$23,1,B157-2025)*$AO$4*C157/MAX(0.0001,12-$AO$3),INDEX($C$23:$Q$23,1,B157-2025)/12)</f>
        <v>1.16454038001057</v>
      </c>
      <c r="DY157" s="88" t="n">
        <f aca="false">$AO$6*0</f>
        <v>0</v>
      </c>
      <c r="DZ157" s="88" t="n">
        <f aca="false">DX157+DZ156</f>
        <v>189.856791976523</v>
      </c>
      <c r="EA157" s="88" t="n">
        <f aca="false">DY157+EA156</f>
        <v>121</v>
      </c>
      <c r="EB157" s="88" t="n">
        <f aca="false">MAX(EB156,DZ157-EA157)</f>
        <v>68.856791976523</v>
      </c>
      <c r="EC157" s="88" t="n">
        <f aca="false">EB157-EB156</f>
        <v>1.16454038001058</v>
      </c>
      <c r="ED157" s="88" t="n">
        <f aca="false">IF(B157=2026,INDEX($C$24:$Q$24,1,B157-2025)*$AO$4*C157/MAX(0.0001,12-$AO$3),INDEX($C$24:$Q$24,1,B157-2025)/12)</f>
        <v>0.71664023385266</v>
      </c>
      <c r="EE157" s="88" t="n">
        <f aca="false">$AO$6*0</f>
        <v>0</v>
      </c>
      <c r="EF157" s="88" t="n">
        <f aca="false">ED157+EF156</f>
        <v>116.834948908629</v>
      </c>
      <c r="EG157" s="88" t="n">
        <f aca="false">EE157+EG156</f>
        <v>0</v>
      </c>
      <c r="EH157" s="88" t="n">
        <f aca="false">MAX(EH156,EF157-EG157)</f>
        <v>116.834948908629</v>
      </c>
      <c r="EI157" s="88" t="n">
        <f aca="false">EH157-EH156</f>
        <v>0.716640233852658</v>
      </c>
      <c r="EJ157" s="88" t="n">
        <f aca="false">IF(B157=2026,INDEX($C$25:$Q$25,1,B157-2025)*$AO$4*C157/MAX(0.0001,12-$AO$3),INDEX($C$25:$Q$25,1,B157-2025)/12)</f>
        <v>0.912087570357932</v>
      </c>
      <c r="EK157" s="88" t="n">
        <f aca="false">$AO$6*0</f>
        <v>0</v>
      </c>
      <c r="EL157" s="88" t="n">
        <f aca="false">EJ157+EL156</f>
        <v>148.69902588371</v>
      </c>
      <c r="EM157" s="88" t="n">
        <f aca="false">EK157+EM156</f>
        <v>14</v>
      </c>
      <c r="EN157" s="88" t="n">
        <f aca="false">MAX(EN156,EL157-EM157)</f>
        <v>134.69902588371</v>
      </c>
      <c r="EO157" s="88" t="n">
        <f aca="false">EN157-EN156</f>
        <v>0.912087570357926</v>
      </c>
      <c r="EP157" s="88" t="n">
        <f aca="false">IF(B157=2026,INDEX($C$26:$Q$26,1,B157-2025)*$AO$4*C157/MAX(0.0001,12-$AO$3),INDEX($C$26:$Q$26,1,B157-2025)/12)</f>
        <v>1.31112588238953</v>
      </c>
      <c r="EQ157" s="88" t="n">
        <f aca="false">$AO$6*0</f>
        <v>0</v>
      </c>
      <c r="ER157" s="88" t="n">
        <f aca="false">EP157+ER156</f>
        <v>213.754849707833</v>
      </c>
      <c r="ES157" s="88" t="n">
        <f aca="false">EQ157+ES156</f>
        <v>4</v>
      </c>
      <c r="ET157" s="88" t="n">
        <f aca="false">MAX(ET156,ER157-ES157)</f>
        <v>209.754849707833</v>
      </c>
      <c r="EU157" s="88" t="n">
        <f aca="false">ET157-ET156</f>
        <v>1.31112588238952</v>
      </c>
      <c r="EV157" s="88" t="n">
        <f aca="false">IF(B157=2026,INDEX($C$27:$Q$27,1,B157-2025)*$AO$4*C157/MAX(0.0001,12-$AO$3),INDEX($C$27:$Q$27,1,B157-2025)/12)</f>
        <v>3.25745560842118</v>
      </c>
      <c r="EW157" s="88" t="n">
        <f aca="false">$AO$6*0</f>
        <v>0</v>
      </c>
      <c r="EX157" s="88" t="n">
        <f aca="false">EV157+EX156</f>
        <v>531.06794958468</v>
      </c>
      <c r="EY157" s="88" t="n">
        <f aca="false">EW157+EY156</f>
        <v>391</v>
      </c>
      <c r="EZ157" s="88" t="n">
        <f aca="false">MAX(EZ156,EX157-EY157)</f>
        <v>140.06794958468</v>
      </c>
      <c r="FA157" s="88" t="n">
        <f aca="false">EZ157-EZ156</f>
        <v>3.2574556084212</v>
      </c>
      <c r="FB157" s="88" t="n">
        <f aca="false">IF(B157=2026,INDEX($C$28:$Q$28,1,B157-2025)*$AO$4*C157/MAX(0.0001,12-$AO$3),INDEX($C$28:$Q$28,1,B157-2025)/12)</f>
        <v>17.0527801100849</v>
      </c>
      <c r="FC157" s="88" t="n">
        <f aca="false">$AO$6*0</f>
        <v>0</v>
      </c>
      <c r="FD157" s="88" t="n">
        <f aca="false">FB157+FD156</f>
        <v>2780.1407160758</v>
      </c>
      <c r="FE157" s="88" t="n">
        <f aca="false">FC157+FE156</f>
        <v>169</v>
      </c>
      <c r="FF157" s="88" t="n">
        <f aca="false">MAX(FF156,FD157-FE157)</f>
        <v>2611.1407160758</v>
      </c>
      <c r="FG157" s="88" t="n">
        <f aca="false">FF157-FF156</f>
        <v>17.0527801100848</v>
      </c>
    </row>
    <row r="158" customFormat="false" ht="15" hidden="false" customHeight="false" outlineLevel="0" collapsed="false">
      <c r="A158" s="0" t="n">
        <v>118</v>
      </c>
      <c r="B158" s="88" t="n">
        <f aca="false">2026+INT(A158/12)</f>
        <v>2035</v>
      </c>
      <c r="C158" s="88" t="n">
        <f aca="false">MAX(0,MIN(1,A158+1-$AO$3))</f>
        <v>1</v>
      </c>
      <c r="D158" s="88" t="n">
        <f aca="false">IF((A158+0.5-(0))&lt;$AO$3,0,2026+INT((A158+0.5-(0))/12))</f>
        <v>2035</v>
      </c>
      <c r="E158" s="88" t="n">
        <f aca="false">IF((A158+0.5-($AO$9))&lt;$AO$3,0,2026+INT((A158+0.5-($AO$9))/12))</f>
        <v>2034</v>
      </c>
      <c r="F158" s="88" t="n">
        <f aca="false">IF((A158+0.5-($AO$9+$AO$8))&lt;$AO$3,0,2026+INT((A158+0.5-($AO$9+$AO$8))/12))</f>
        <v>2033</v>
      </c>
      <c r="G158" s="88" t="n">
        <f aca="false">IF((A158+0.5-($AO$9+$AO$8+$AO$7))&lt;$AO$3,0,2026+INT((A158+0.5-($AO$9+$AO$8+$AO$7))/12))</f>
        <v>2032</v>
      </c>
      <c r="H158" s="88" t="n">
        <f aca="false">IF(B158=2026,INDEX($C$3:$Q$3,1,B158-2025)*$AO$4*C158/MAX(0.0001,12-$AO$3),INDEX($C$3:$Q$3,1,B158-2025)/12)</f>
        <v>174.583333333333</v>
      </c>
      <c r="I158" s="88" t="n">
        <f aca="false">$AO$6*0</f>
        <v>0</v>
      </c>
      <c r="J158" s="88" t="n">
        <f aca="false">H158+J157</f>
        <v>28637.1700913242</v>
      </c>
      <c r="K158" s="88" t="n">
        <f aca="false">I158+K157</f>
        <v>8695.00000000001</v>
      </c>
      <c r="L158" s="88" t="n">
        <f aca="false">MAX(L157,J158-K158)</f>
        <v>19942.1700913242</v>
      </c>
      <c r="M158" s="88" t="n">
        <f aca="false">L158-L157</f>
        <v>174.583333333328</v>
      </c>
      <c r="N158" s="88" t="n">
        <f aca="false">IF(B158=2026,INDEX($C$4:$Q$4,1,B158-2025)*$AO$4*C158/MAX(0.0001,12-$AO$3),INDEX($C$4:$Q$4,1,B158-2025)/12)</f>
        <v>5.29281785719042</v>
      </c>
      <c r="O158" s="88" t="n">
        <f aca="false">$AO$6*0</f>
        <v>0</v>
      </c>
      <c r="P158" s="88" t="n">
        <f aca="false">N158+P157</f>
        <v>868.188975114617</v>
      </c>
      <c r="Q158" s="88" t="n">
        <f aca="false">O158+Q157</f>
        <v>398</v>
      </c>
      <c r="R158" s="88" t="n">
        <f aca="false">MAX(R157,P158-Q158)</f>
        <v>470.188975114617</v>
      </c>
      <c r="S158" s="88" t="n">
        <f aca="false">R158-R157</f>
        <v>5.29281785719047</v>
      </c>
      <c r="T158" s="88" t="n">
        <f aca="false">IF(B158=2026,INDEX($C$5:$Q$5,1,B158-2025)*$AO$4*C158/MAX(0.0001,12-$AO$3),INDEX($C$5:$Q$5,1,B158-2025)/12)</f>
        <v>21.5119223261209</v>
      </c>
      <c r="U158" s="88" t="n">
        <f aca="false">$AO$6*0</f>
        <v>0</v>
      </c>
      <c r="V158" s="88" t="n">
        <f aca="false">T158+V157</f>
        <v>3528.63338603042</v>
      </c>
      <c r="W158" s="88" t="n">
        <f aca="false">U158+W157</f>
        <v>1115</v>
      </c>
      <c r="X158" s="88" t="n">
        <f aca="false">MAX(X157,V158-W158)</f>
        <v>2413.63338603042</v>
      </c>
      <c r="Y158" s="88" t="n">
        <f aca="false">X158-X157</f>
        <v>21.5119223261208</v>
      </c>
      <c r="Z158" s="88" t="n">
        <f aca="false">IF(B158=2026,INDEX($C$6:$Q$6,1,B158-2025)*$AO$4*C158/MAX(0.0001,12-$AO$3),INDEX($C$6:$Q$6,1,B158-2025)/12)</f>
        <v>25.5221471249267</v>
      </c>
      <c r="AA158" s="88" t="n">
        <f aca="false">$AO$6*0</f>
        <v>0</v>
      </c>
      <c r="AB158" s="88" t="n">
        <f aca="false">Z158+AB157</f>
        <v>4186.43666813744</v>
      </c>
      <c r="AC158" s="88" t="n">
        <f aca="false">AA158+AC157</f>
        <v>2194</v>
      </c>
      <c r="AD158" s="88" t="n">
        <f aca="false">MAX(AD157,AB158-AC158)</f>
        <v>1992.43666813744</v>
      </c>
      <c r="AE158" s="88" t="n">
        <f aca="false">AD158-AD157</f>
        <v>25.522147124927</v>
      </c>
      <c r="AF158" s="88" t="n">
        <f aca="false">IF(B158=2026,INDEX($C$7:$Q$7,1,B158-2025)*$AO$4*C158/MAX(0.0001,12-$AO$3),INDEX($C$7:$Q$7,1,B158-2025)/12)</f>
        <v>22.1701907861426</v>
      </c>
      <c r="AG158" s="88" t="n">
        <f aca="false">$AO$6*0</f>
        <v>0</v>
      </c>
      <c r="AH158" s="88" t="n">
        <f aca="false">AF158+AH157</f>
        <v>3636.61016419974</v>
      </c>
      <c r="AI158" s="88" t="n">
        <f aca="false">AG158+AI157</f>
        <v>826</v>
      </c>
      <c r="AJ158" s="88" t="n">
        <f aca="false">MAX(AJ157,AH158-AI158)</f>
        <v>2810.61016419974</v>
      </c>
      <c r="AK158" s="88" t="n">
        <f aca="false">AJ158-AJ157</f>
        <v>22.1701907861425</v>
      </c>
      <c r="AL158" s="88" t="n">
        <f aca="false">IF(B158=2026,INDEX($C$8:$Q$8,1,B158-2025)*$AO$4*C158/MAX(0.0001,12-$AO$3),INDEX($C$8:$Q$8,1,B158-2025)/12)</f>
        <v>5.60801085830575</v>
      </c>
      <c r="AM158" s="88" t="n">
        <f aca="false">$AO$6*0</f>
        <v>0</v>
      </c>
      <c r="AN158" s="88" t="n">
        <f aca="false">AL158+AN157</f>
        <v>919.890563188324</v>
      </c>
      <c r="AO158" s="88" t="n">
        <f aca="false">AM158+AO157</f>
        <v>66</v>
      </c>
      <c r="AP158" s="88" t="n">
        <f aca="false">MAX(AP157,AN158-AO158)</f>
        <v>853.890563188324</v>
      </c>
      <c r="AQ158" s="88" t="n">
        <f aca="false">AP158-AP157</f>
        <v>5.60801085830576</v>
      </c>
      <c r="AR158" s="88" t="n">
        <f aca="false">IF(B158=2026,INDEX($C$9:$Q$9,1,B158-2025)*$AO$4*C158/MAX(0.0001,12-$AO$3),INDEX($C$9:$Q$9,1,B158-2025)/12)</f>
        <v>23.9122382576915</v>
      </c>
      <c r="AS158" s="88" t="n">
        <f aca="false">$AO$6*0</f>
        <v>0</v>
      </c>
      <c r="AT158" s="88" t="n">
        <f aca="false">AR158+AT157</f>
        <v>3922.3608644379</v>
      </c>
      <c r="AU158" s="88" t="n">
        <f aca="false">AS158+AU157</f>
        <v>1810</v>
      </c>
      <c r="AV158" s="88" t="n">
        <f aca="false">MAX(AV157,AT158-AU158)</f>
        <v>2112.3608644379</v>
      </c>
      <c r="AW158" s="88" t="n">
        <f aca="false">AV158-AV157</f>
        <v>23.9122382576916</v>
      </c>
      <c r="AX158" s="88" t="n">
        <f aca="false">IF(B158=2026,INDEX($C$10:$Q$10,1,B158-2025)*$AO$4*C158/MAX(0.0001,12-$AO$3),INDEX($C$10:$Q$10,1,B158-2025)/12)</f>
        <v>2.77369840981486</v>
      </c>
      <c r="AY158" s="88" t="n">
        <f aca="false">$AO$6*0</f>
        <v>0</v>
      </c>
      <c r="AZ158" s="88" t="n">
        <f aca="false">AX158+AZ157</f>
        <v>454.973975048612</v>
      </c>
      <c r="BA158" s="88" t="n">
        <f aca="false">AY158+BA157</f>
        <v>50</v>
      </c>
      <c r="BB158" s="88" t="n">
        <f aca="false">MAX(BB157,AZ158-BA158)</f>
        <v>404.973975048612</v>
      </c>
      <c r="BC158" s="88" t="n">
        <f aca="false">BB158-BB157</f>
        <v>2.77369840981487</v>
      </c>
      <c r="BD158" s="88" t="n">
        <f aca="false">IF(B158=2026,INDEX($C$11:$Q$11,1,B158-2025)*$AO$4*C158/MAX(0.0001,12-$AO$3),INDEX($C$11:$Q$11,1,B158-2025)/12)</f>
        <v>13.7836323949279</v>
      </c>
      <c r="BE158" s="88" t="n">
        <f aca="false">$AO$6*0</f>
        <v>0</v>
      </c>
      <c r="BF158" s="88" t="n">
        <f aca="false">BD158+BF157</f>
        <v>2260.95021691553</v>
      </c>
      <c r="BG158" s="88" t="n">
        <f aca="false">BE158+BG157</f>
        <v>240</v>
      </c>
      <c r="BH158" s="88" t="n">
        <f aca="false">MAX(BH157,BF158-BG158)</f>
        <v>2020.95021691553</v>
      </c>
      <c r="BI158" s="88" t="n">
        <f aca="false">BH158-BH157</f>
        <v>13.7836323949277</v>
      </c>
      <c r="BJ158" s="88" t="n">
        <f aca="false">IF(B158=2026,INDEX($C$12:$Q$12,1,B158-2025)*$AO$4*C158/MAX(0.0001,12-$AO$3),INDEX($C$12:$Q$12,1,B158-2025)/12)</f>
        <v>7.55735834212668</v>
      </c>
      <c r="BK158" s="88" t="n">
        <f aca="false">$AO$6*0</f>
        <v>0</v>
      </c>
      <c r="BL158" s="88" t="n">
        <f aca="false">BJ158+BL157</f>
        <v>1239.64500019801</v>
      </c>
      <c r="BM158" s="88" t="n">
        <f aca="false">BK158+BM157</f>
        <v>465</v>
      </c>
      <c r="BN158" s="88" t="n">
        <f aca="false">MAX(BN157,BL158-BM158)</f>
        <v>774.645000198015</v>
      </c>
      <c r="BO158" s="88" t="n">
        <f aca="false">BN158-BN157</f>
        <v>7.55735834212669</v>
      </c>
      <c r="BP158" s="88" t="n">
        <f aca="false">IF(B158=2026,INDEX($C$13:$Q$13,1,B158-2025)*$AO$4*C158/MAX(0.0001,12-$AO$3),INDEX($C$13:$Q$13,1,B158-2025)/12)</f>
        <v>2.36165531610536</v>
      </c>
      <c r="BQ158" s="88" t="n">
        <f aca="false">$AO$6*0</f>
        <v>0</v>
      </c>
      <c r="BR158" s="88" t="n">
        <f aca="false">BP158+BR157</f>
        <v>387.385918764997</v>
      </c>
      <c r="BS158" s="88" t="n">
        <f aca="false">BQ158+BS157</f>
        <v>87</v>
      </c>
      <c r="BT158" s="88" t="n">
        <f aca="false">MAX(BT157,BR158-BS158)</f>
        <v>300.385918764997</v>
      </c>
      <c r="BU158" s="88" t="n">
        <f aca="false">BT158-BT157</f>
        <v>2.36165531610538</v>
      </c>
      <c r="BV158" s="88" t="n">
        <f aca="false">IF(B158=2026,INDEX($C$14:$Q$14,1,B158-2025)*$AO$4*C158/MAX(0.0001,12-$AO$3),INDEX($C$14:$Q$14,1,B158-2025)/12)</f>
        <v>1.40070591162111</v>
      </c>
      <c r="BW158" s="88" t="n">
        <f aca="false">$AO$6*0</f>
        <v>0</v>
      </c>
      <c r="BX158" s="88" t="n">
        <f aca="false">BV158+BX157</f>
        <v>229.759924233033</v>
      </c>
      <c r="BY158" s="88" t="n">
        <f aca="false">BW158+BY157</f>
        <v>0</v>
      </c>
      <c r="BZ158" s="88" t="n">
        <f aca="false">MAX(BZ157,BX158-BY158)</f>
        <v>229.759924233033</v>
      </c>
      <c r="CA158" s="88" t="n">
        <f aca="false">BZ158-BZ157</f>
        <v>1.40070591162112</v>
      </c>
      <c r="CB158" s="88" t="n">
        <f aca="false">IF(B158=2026,INDEX($C$15:$Q$15,1,B158-2025)*$AO$4*C158/MAX(0.0001,12-$AO$3),INDEX($C$15:$Q$15,1,B158-2025)/12)</f>
        <v>2.29650620393693</v>
      </c>
      <c r="CC158" s="88" t="n">
        <f aca="false">$AO$6*0</f>
        <v>0</v>
      </c>
      <c r="CD158" s="88" t="n">
        <f aca="false">CB158+CD157</f>
        <v>376.699410661135</v>
      </c>
      <c r="CE158" s="88" t="n">
        <f aca="false">CC158+CE157</f>
        <v>88.0000000000001</v>
      </c>
      <c r="CF158" s="88" t="n">
        <f aca="false">MAX(CF157,CD158-CE158)</f>
        <v>288.699410661135</v>
      </c>
      <c r="CG158" s="88" t="n">
        <f aca="false">CF158-CF157</f>
        <v>2.29650620393693</v>
      </c>
      <c r="CH158" s="88" t="n">
        <f aca="false">IF(B158=2026,INDEX($C$16:$Q$16,1,B158-2025)*$AO$4*C158/MAX(0.0001,12-$AO$3),INDEX($C$16:$Q$16,1,B158-2025)/12)</f>
        <v>1.81603150169481</v>
      </c>
      <c r="CI158" s="88" t="n">
        <f aca="false">$AO$6*0</f>
        <v>0</v>
      </c>
      <c r="CJ158" s="88" t="n">
        <f aca="false">CH158+CJ157</f>
        <v>297.886413395153</v>
      </c>
      <c r="CK158" s="88" t="n">
        <f aca="false">CI158+CK157</f>
        <v>70</v>
      </c>
      <c r="CL158" s="88" t="n">
        <f aca="false">MAX(CL157,CJ158-CK158)</f>
        <v>227.886413395153</v>
      </c>
      <c r="CM158" s="88" t="n">
        <f aca="false">CL158-CL157</f>
        <v>1.81603150169479</v>
      </c>
      <c r="CN158" s="88" t="n">
        <f aca="false">IF(B158=2026,INDEX($C$17:$Q$17,1,B158-2025)*$AO$4*C158/MAX(0.0001,12-$AO$3),INDEX($C$17:$Q$17,1,B158-2025)/12)</f>
        <v>7.90747348944242</v>
      </c>
      <c r="CO158" s="88" t="n">
        <f aca="false">$AO$6*0</f>
        <v>0</v>
      </c>
      <c r="CP158" s="88" t="n">
        <f aca="false">CN158+CP157</f>
        <v>1297.07492110626</v>
      </c>
      <c r="CQ158" s="88" t="n">
        <f aca="false">CO158+CQ157</f>
        <v>221</v>
      </c>
      <c r="CR158" s="88" t="n">
        <f aca="false">MAX(CR157,CP158-CQ158)</f>
        <v>1076.07492110626</v>
      </c>
      <c r="CS158" s="88" t="n">
        <f aca="false">CR158-CR157</f>
        <v>7.90747348944251</v>
      </c>
      <c r="CT158" s="88" t="n">
        <f aca="false">IF(B158=2026,INDEX($C$18:$Q$18,1,B158-2025)*$AO$4*C158/MAX(0.0001,12-$AO$3),INDEX($C$18:$Q$18,1,B158-2025)/12)</f>
        <v>1.6450150822527</v>
      </c>
      <c r="CU158" s="88" t="n">
        <f aca="false">$AO$6*0</f>
        <v>0</v>
      </c>
      <c r="CV158" s="88" t="n">
        <f aca="false">CT158+CV157</f>
        <v>269.834329622516</v>
      </c>
      <c r="CW158" s="88" t="n">
        <f aca="false">CU158+CW157</f>
        <v>11</v>
      </c>
      <c r="CX158" s="88" t="n">
        <f aca="false">MAX(CX157,CV158-CW158)</f>
        <v>258.834329622516</v>
      </c>
      <c r="CY158" s="88" t="n">
        <f aca="false">CX158-CX157</f>
        <v>1.64501508225271</v>
      </c>
      <c r="CZ158" s="88" t="n">
        <f aca="false">IF(B158=2026,INDEX($C$19:$Q$19,1,B158-2025)*$AO$4*C158/MAX(0.0001,12-$AO$3),INDEX($C$19:$Q$19,1,B158-2025)/12)</f>
        <v>1.62872780421059</v>
      </c>
      <c r="DA158" s="88" t="n">
        <f aca="false">$AO$6*0</f>
        <v>0</v>
      </c>
      <c r="DB158" s="88" t="n">
        <f aca="false">CZ158+DB157</f>
        <v>267.162702596551</v>
      </c>
      <c r="DC158" s="88" t="n">
        <f aca="false">DA158+DC157</f>
        <v>226</v>
      </c>
      <c r="DD158" s="88" t="n">
        <f aca="false">MAX(DD157,DB158-DC158)</f>
        <v>41.1627025965507</v>
      </c>
      <c r="DE158" s="88" t="n">
        <f aca="false">DD158-DD157</f>
        <v>1.6287278042106</v>
      </c>
      <c r="DF158" s="88" t="n">
        <f aca="false">IF(B158=2026,INDEX($C$20:$Q$20,1,B158-2025)*$AO$4*C158/MAX(0.0001,12-$AO$3),INDEX($C$20:$Q$20,1,B158-2025)/12)</f>
        <v>1.32741316043163</v>
      </c>
      <c r="DG158" s="88" t="n">
        <f aca="false">$AO$6*0</f>
        <v>0</v>
      </c>
      <c r="DH158" s="88" t="n">
        <f aca="false">DF158+DH157</f>
        <v>217.737602616188</v>
      </c>
      <c r="DI158" s="88" t="n">
        <f aca="false">DG158+DI157</f>
        <v>0</v>
      </c>
      <c r="DJ158" s="88" t="n">
        <f aca="false">MAX(DJ157,DH158-DI158)</f>
        <v>217.737602616188</v>
      </c>
      <c r="DK158" s="88" t="n">
        <f aca="false">DJ158-DJ157</f>
        <v>1.32741316043163</v>
      </c>
      <c r="DL158" s="88" t="n">
        <f aca="false">IF(B158=2026,INDEX($C$21:$Q$21,1,B158-2025)*$AO$4*C158/MAX(0.0001,12-$AO$3),INDEX($C$21:$Q$21,1,B158-2025)/12)</f>
        <v>0.928374848400037</v>
      </c>
      <c r="DM158" s="88" t="n">
        <f aca="false">$AO$6*0</f>
        <v>0</v>
      </c>
      <c r="DN158" s="88" t="n">
        <f aca="false">DL158+DN157</f>
        <v>152.282740480033</v>
      </c>
      <c r="DO158" s="88" t="n">
        <f aca="false">DM158+DO157</f>
        <v>100</v>
      </c>
      <c r="DP158" s="88" t="n">
        <f aca="false">MAX(DP157,DN158-DO158)</f>
        <v>52.2827404800334</v>
      </c>
      <c r="DQ158" s="88" t="n">
        <f aca="false">DP158-DP157</f>
        <v>0.92837484840004</v>
      </c>
      <c r="DR158" s="88" t="n">
        <f aca="false">IF(B158=2026,INDEX($C$22:$Q$22,1,B158-2025)*$AO$4*C158/MAX(0.0001,12-$AO$3),INDEX($C$22:$Q$22,1,B158-2025)/12)</f>
        <v>0.724783872873713</v>
      </c>
      <c r="DS158" s="88" t="n">
        <f aca="false">$AO$6*0</f>
        <v>0</v>
      </c>
      <c r="DT158" s="88" t="n">
        <f aca="false">DR158+DT157</f>
        <v>118.887402655465</v>
      </c>
      <c r="DU158" s="88" t="n">
        <f aca="false">DS158+DU157</f>
        <v>29</v>
      </c>
      <c r="DV158" s="88" t="n">
        <f aca="false">MAX(DV157,DT158-DU158)</f>
        <v>89.887402655465</v>
      </c>
      <c r="DW158" s="88" t="n">
        <f aca="false">DV158-DV157</f>
        <v>0.724783872873701</v>
      </c>
      <c r="DX158" s="88" t="n">
        <f aca="false">IF(B158=2026,INDEX($C$23:$Q$23,1,B158-2025)*$AO$4*C158/MAX(0.0001,12-$AO$3),INDEX($C$23:$Q$23,1,B158-2025)/12)</f>
        <v>1.16454038001057</v>
      </c>
      <c r="DY158" s="88" t="n">
        <f aca="false">$AO$6*0</f>
        <v>0</v>
      </c>
      <c r="DZ158" s="88" t="n">
        <f aca="false">DX158+DZ157</f>
        <v>191.021332356534</v>
      </c>
      <c r="EA158" s="88" t="n">
        <f aca="false">DY158+EA157</f>
        <v>121</v>
      </c>
      <c r="EB158" s="88" t="n">
        <f aca="false">MAX(EB157,DZ158-EA158)</f>
        <v>70.0213323565336</v>
      </c>
      <c r="EC158" s="88" t="n">
        <f aca="false">EB158-EB157</f>
        <v>1.16454038001058</v>
      </c>
      <c r="ED158" s="88" t="n">
        <f aca="false">IF(B158=2026,INDEX($C$24:$Q$24,1,B158-2025)*$AO$4*C158/MAX(0.0001,12-$AO$3),INDEX($C$24:$Q$24,1,B158-2025)/12)</f>
        <v>0.71664023385266</v>
      </c>
      <c r="EE158" s="88" t="n">
        <f aca="false">$AO$6*0</f>
        <v>0</v>
      </c>
      <c r="EF158" s="88" t="n">
        <f aca="false">ED158+EF157</f>
        <v>117.551589142482</v>
      </c>
      <c r="EG158" s="88" t="n">
        <f aca="false">EE158+EG157</f>
        <v>0</v>
      </c>
      <c r="EH158" s="88" t="n">
        <f aca="false">MAX(EH157,EF158-EG158)</f>
        <v>117.551589142482</v>
      </c>
      <c r="EI158" s="88" t="n">
        <f aca="false">EH158-EH157</f>
        <v>0.716640233852658</v>
      </c>
      <c r="EJ158" s="88" t="n">
        <f aca="false">IF(B158=2026,INDEX($C$25:$Q$25,1,B158-2025)*$AO$4*C158/MAX(0.0001,12-$AO$3),INDEX($C$25:$Q$25,1,B158-2025)/12)</f>
        <v>0.912087570357932</v>
      </c>
      <c r="EK158" s="88" t="n">
        <f aca="false">$AO$6*0</f>
        <v>0</v>
      </c>
      <c r="EL158" s="88" t="n">
        <f aca="false">EJ158+EL157</f>
        <v>149.611113454068</v>
      </c>
      <c r="EM158" s="88" t="n">
        <f aca="false">EK158+EM157</f>
        <v>14</v>
      </c>
      <c r="EN158" s="88" t="n">
        <f aca="false">MAX(EN157,EL158-EM158)</f>
        <v>135.611113454068</v>
      </c>
      <c r="EO158" s="88" t="n">
        <f aca="false">EN158-EN157</f>
        <v>0.912087570357926</v>
      </c>
      <c r="EP158" s="88" t="n">
        <f aca="false">IF(B158=2026,INDEX($C$26:$Q$26,1,B158-2025)*$AO$4*C158/MAX(0.0001,12-$AO$3),INDEX($C$26:$Q$26,1,B158-2025)/12)</f>
        <v>1.31112588238953</v>
      </c>
      <c r="EQ158" s="88" t="n">
        <f aca="false">$AO$6*0</f>
        <v>0</v>
      </c>
      <c r="ER158" s="88" t="n">
        <f aca="false">EP158+ER157</f>
        <v>215.065975590222</v>
      </c>
      <c r="ES158" s="88" t="n">
        <f aca="false">EQ158+ES157</f>
        <v>4</v>
      </c>
      <c r="ET158" s="88" t="n">
        <f aca="false">MAX(ET157,ER158-ES158)</f>
        <v>211.065975590222</v>
      </c>
      <c r="EU158" s="88" t="n">
        <f aca="false">ET158-ET157</f>
        <v>1.31112588238952</v>
      </c>
      <c r="EV158" s="88" t="n">
        <f aca="false">IF(B158=2026,INDEX($C$27:$Q$27,1,B158-2025)*$AO$4*C158/MAX(0.0001,12-$AO$3),INDEX($C$27:$Q$27,1,B158-2025)/12)</f>
        <v>3.25745560842118</v>
      </c>
      <c r="EW158" s="88" t="n">
        <f aca="false">$AO$6*0</f>
        <v>0</v>
      </c>
      <c r="EX158" s="88" t="n">
        <f aca="false">EV158+EX157</f>
        <v>534.325405193101</v>
      </c>
      <c r="EY158" s="88" t="n">
        <f aca="false">EW158+EY157</f>
        <v>391</v>
      </c>
      <c r="EZ158" s="88" t="n">
        <f aca="false">MAX(EZ157,EX158-EY158)</f>
        <v>143.325405193101</v>
      </c>
      <c r="FA158" s="88" t="n">
        <f aca="false">EZ158-EZ157</f>
        <v>3.2574556084212</v>
      </c>
      <c r="FB158" s="88" t="n">
        <f aca="false">IF(B158=2026,INDEX($C$28:$Q$28,1,B158-2025)*$AO$4*C158/MAX(0.0001,12-$AO$3),INDEX($C$28:$Q$28,1,B158-2025)/12)</f>
        <v>17.0527801100849</v>
      </c>
      <c r="FC158" s="88" t="n">
        <f aca="false">$AO$6*0</f>
        <v>0</v>
      </c>
      <c r="FD158" s="88" t="n">
        <f aca="false">FB158+FD157</f>
        <v>2797.19349618588</v>
      </c>
      <c r="FE158" s="88" t="n">
        <f aca="false">FC158+FE157</f>
        <v>169</v>
      </c>
      <c r="FF158" s="88" t="n">
        <f aca="false">MAX(FF157,FD158-FE158)</f>
        <v>2628.19349618588</v>
      </c>
      <c r="FG158" s="88" t="n">
        <f aca="false">FF158-FF157</f>
        <v>17.0527801100848</v>
      </c>
    </row>
    <row r="159" customFormat="false" ht="15" hidden="false" customHeight="false" outlineLevel="0" collapsed="false">
      <c r="A159" s="0" t="n">
        <v>119</v>
      </c>
      <c r="B159" s="88" t="n">
        <f aca="false">2026+INT(A159/12)</f>
        <v>2035</v>
      </c>
      <c r="C159" s="88" t="n">
        <f aca="false">MAX(0,MIN(1,A159+1-$AO$3))</f>
        <v>1</v>
      </c>
      <c r="D159" s="88" t="n">
        <f aca="false">IF((A159+0.5-(0))&lt;$AO$3,0,2026+INT((A159+0.5-(0))/12))</f>
        <v>2035</v>
      </c>
      <c r="E159" s="88" t="n">
        <f aca="false">IF((A159+0.5-($AO$9))&lt;$AO$3,0,2026+INT((A159+0.5-($AO$9))/12))</f>
        <v>2034</v>
      </c>
      <c r="F159" s="88" t="n">
        <f aca="false">IF((A159+0.5-($AO$9+$AO$8))&lt;$AO$3,0,2026+INT((A159+0.5-($AO$9+$AO$8))/12))</f>
        <v>2033</v>
      </c>
      <c r="G159" s="88" t="n">
        <f aca="false">IF((A159+0.5-($AO$9+$AO$8+$AO$7))&lt;$AO$3,0,2026+INT((A159+0.5-($AO$9+$AO$8+$AO$7))/12))</f>
        <v>2033</v>
      </c>
      <c r="H159" s="88" t="n">
        <f aca="false">IF(B159=2026,INDEX($C$3:$Q$3,1,B159-2025)*$AO$4*C159/MAX(0.0001,12-$AO$3),INDEX($C$3:$Q$3,1,B159-2025)/12)</f>
        <v>174.583333333333</v>
      </c>
      <c r="I159" s="88" t="n">
        <f aca="false">$AO$6*0</f>
        <v>0</v>
      </c>
      <c r="J159" s="88" t="n">
        <f aca="false">H159+J158</f>
        <v>28811.7534246576</v>
      </c>
      <c r="K159" s="88" t="n">
        <f aca="false">I159+K158</f>
        <v>8695.00000000001</v>
      </c>
      <c r="L159" s="88" t="n">
        <f aca="false">MAX(L158,J159-K159)</f>
        <v>20116.7534246576</v>
      </c>
      <c r="M159" s="88" t="n">
        <f aca="false">L159-L158</f>
        <v>174.583333333336</v>
      </c>
      <c r="N159" s="88" t="n">
        <f aca="false">IF(B159=2026,INDEX($C$4:$Q$4,1,B159-2025)*$AO$4*C159/MAX(0.0001,12-$AO$3),INDEX($C$4:$Q$4,1,B159-2025)/12)</f>
        <v>5.29281785719042</v>
      </c>
      <c r="O159" s="88" t="n">
        <f aca="false">$AO$6*0</f>
        <v>0</v>
      </c>
      <c r="P159" s="88" t="n">
        <f aca="false">N159+P158</f>
        <v>873.481792971808</v>
      </c>
      <c r="Q159" s="88" t="n">
        <f aca="false">O159+Q158</f>
        <v>398</v>
      </c>
      <c r="R159" s="88" t="n">
        <f aca="false">MAX(R158,P159-Q159)</f>
        <v>475.481792971808</v>
      </c>
      <c r="S159" s="88" t="n">
        <f aca="false">R159-R158</f>
        <v>5.29281785719047</v>
      </c>
      <c r="T159" s="88" t="n">
        <f aca="false">IF(B159=2026,INDEX($C$5:$Q$5,1,B159-2025)*$AO$4*C159/MAX(0.0001,12-$AO$3),INDEX($C$5:$Q$5,1,B159-2025)/12)</f>
        <v>21.5119223261209</v>
      </c>
      <c r="U159" s="88" t="n">
        <f aca="false">$AO$6*0</f>
        <v>0</v>
      </c>
      <c r="V159" s="88" t="n">
        <f aca="false">T159+V158</f>
        <v>3550.14530835654</v>
      </c>
      <c r="W159" s="88" t="n">
        <f aca="false">U159+W158</f>
        <v>1115</v>
      </c>
      <c r="X159" s="88" t="n">
        <f aca="false">MAX(X158,V159-W159)</f>
        <v>2435.14530835654</v>
      </c>
      <c r="Y159" s="88" t="n">
        <f aca="false">X159-X158</f>
        <v>21.5119223261208</v>
      </c>
      <c r="Z159" s="88" t="n">
        <f aca="false">IF(B159=2026,INDEX($C$6:$Q$6,1,B159-2025)*$AO$4*C159/MAX(0.0001,12-$AO$3),INDEX($C$6:$Q$6,1,B159-2025)/12)</f>
        <v>25.5221471249267</v>
      </c>
      <c r="AA159" s="88" t="n">
        <f aca="false">$AO$6*0</f>
        <v>0</v>
      </c>
      <c r="AB159" s="88" t="n">
        <f aca="false">Z159+AB158</f>
        <v>4211.95881526237</v>
      </c>
      <c r="AC159" s="88" t="n">
        <f aca="false">AA159+AC158</f>
        <v>2194</v>
      </c>
      <c r="AD159" s="88" t="n">
        <f aca="false">MAX(AD158,AB159-AC159)</f>
        <v>2017.95881526236</v>
      </c>
      <c r="AE159" s="88" t="n">
        <f aca="false">AD159-AD158</f>
        <v>25.522147124927</v>
      </c>
      <c r="AF159" s="88" t="n">
        <f aca="false">IF(B159=2026,INDEX($C$7:$Q$7,1,B159-2025)*$AO$4*C159/MAX(0.0001,12-$AO$3),INDEX($C$7:$Q$7,1,B159-2025)/12)</f>
        <v>22.1701907861426</v>
      </c>
      <c r="AG159" s="88" t="n">
        <f aca="false">$AO$6*0</f>
        <v>0</v>
      </c>
      <c r="AH159" s="88" t="n">
        <f aca="false">AF159+AH158</f>
        <v>3658.78035498588</v>
      </c>
      <c r="AI159" s="88" t="n">
        <f aca="false">AG159+AI158</f>
        <v>826</v>
      </c>
      <c r="AJ159" s="88" t="n">
        <f aca="false">MAX(AJ158,AH159-AI159)</f>
        <v>2832.78035498588</v>
      </c>
      <c r="AK159" s="88" t="n">
        <f aca="false">AJ159-AJ158</f>
        <v>22.1701907861425</v>
      </c>
      <c r="AL159" s="88" t="n">
        <f aca="false">IF(B159=2026,INDEX($C$8:$Q$8,1,B159-2025)*$AO$4*C159/MAX(0.0001,12-$AO$3),INDEX($C$8:$Q$8,1,B159-2025)/12)</f>
        <v>5.60801085830575</v>
      </c>
      <c r="AM159" s="88" t="n">
        <f aca="false">$AO$6*0</f>
        <v>0</v>
      </c>
      <c r="AN159" s="88" t="n">
        <f aca="false">AL159+AN158</f>
        <v>925.498574046629</v>
      </c>
      <c r="AO159" s="88" t="n">
        <f aca="false">AM159+AO158</f>
        <v>66</v>
      </c>
      <c r="AP159" s="88" t="n">
        <f aca="false">MAX(AP158,AN159-AO159)</f>
        <v>859.498574046629</v>
      </c>
      <c r="AQ159" s="88" t="n">
        <f aca="false">AP159-AP158</f>
        <v>5.60801085830576</v>
      </c>
      <c r="AR159" s="88" t="n">
        <f aca="false">IF(B159=2026,INDEX($C$9:$Q$9,1,B159-2025)*$AO$4*C159/MAX(0.0001,12-$AO$3),INDEX($C$9:$Q$9,1,B159-2025)/12)</f>
        <v>23.9122382576915</v>
      </c>
      <c r="AS159" s="88" t="n">
        <f aca="false">$AO$6*0</f>
        <v>0</v>
      </c>
      <c r="AT159" s="88" t="n">
        <f aca="false">AR159+AT158</f>
        <v>3946.27310269559</v>
      </c>
      <c r="AU159" s="88" t="n">
        <f aca="false">AS159+AU158</f>
        <v>1810</v>
      </c>
      <c r="AV159" s="88" t="n">
        <f aca="false">MAX(AV158,AT159-AU159)</f>
        <v>2136.27310269559</v>
      </c>
      <c r="AW159" s="88" t="n">
        <f aca="false">AV159-AV158</f>
        <v>23.9122382576916</v>
      </c>
      <c r="AX159" s="88" t="n">
        <f aca="false">IF(B159=2026,INDEX($C$10:$Q$10,1,B159-2025)*$AO$4*C159/MAX(0.0001,12-$AO$3),INDEX($C$10:$Q$10,1,B159-2025)/12)</f>
        <v>2.77369840981486</v>
      </c>
      <c r="AY159" s="88" t="n">
        <f aca="false">$AO$6*0</f>
        <v>0</v>
      </c>
      <c r="AZ159" s="88" t="n">
        <f aca="false">AX159+AZ158</f>
        <v>457.747673458427</v>
      </c>
      <c r="BA159" s="88" t="n">
        <f aca="false">AY159+BA158</f>
        <v>50</v>
      </c>
      <c r="BB159" s="88" t="n">
        <f aca="false">MAX(BB158,AZ159-BA159)</f>
        <v>407.747673458427</v>
      </c>
      <c r="BC159" s="88" t="n">
        <f aca="false">BB159-BB158</f>
        <v>2.77369840981487</v>
      </c>
      <c r="BD159" s="88" t="n">
        <f aca="false">IF(B159=2026,INDEX($C$11:$Q$11,1,B159-2025)*$AO$4*C159/MAX(0.0001,12-$AO$3),INDEX($C$11:$Q$11,1,B159-2025)/12)</f>
        <v>13.7836323949279</v>
      </c>
      <c r="BE159" s="88" t="n">
        <f aca="false">$AO$6*0</f>
        <v>0</v>
      </c>
      <c r="BF159" s="88" t="n">
        <f aca="false">BD159+BF158</f>
        <v>2274.73384931046</v>
      </c>
      <c r="BG159" s="88" t="n">
        <f aca="false">BE159+BG158</f>
        <v>240</v>
      </c>
      <c r="BH159" s="88" t="n">
        <f aca="false">MAX(BH158,BF159-BG159)</f>
        <v>2034.73384931046</v>
      </c>
      <c r="BI159" s="88" t="n">
        <f aca="false">BH159-BH158</f>
        <v>13.7836323949277</v>
      </c>
      <c r="BJ159" s="88" t="n">
        <f aca="false">IF(B159=2026,INDEX($C$12:$Q$12,1,B159-2025)*$AO$4*C159/MAX(0.0001,12-$AO$3),INDEX($C$12:$Q$12,1,B159-2025)/12)</f>
        <v>7.55735834212668</v>
      </c>
      <c r="BK159" s="88" t="n">
        <f aca="false">$AO$6*0</f>
        <v>0</v>
      </c>
      <c r="BL159" s="88" t="n">
        <f aca="false">BJ159+BL158</f>
        <v>1247.20235854014</v>
      </c>
      <c r="BM159" s="88" t="n">
        <f aca="false">BK159+BM158</f>
        <v>465</v>
      </c>
      <c r="BN159" s="88" t="n">
        <f aca="false">MAX(BN158,BL159-BM159)</f>
        <v>782.202358540141</v>
      </c>
      <c r="BO159" s="88" t="n">
        <f aca="false">BN159-BN158</f>
        <v>7.55735834212669</v>
      </c>
      <c r="BP159" s="88" t="n">
        <f aca="false">IF(B159=2026,INDEX($C$13:$Q$13,1,B159-2025)*$AO$4*C159/MAX(0.0001,12-$AO$3),INDEX($C$13:$Q$13,1,B159-2025)/12)</f>
        <v>2.36165531610536</v>
      </c>
      <c r="BQ159" s="88" t="n">
        <f aca="false">$AO$6*0</f>
        <v>0</v>
      </c>
      <c r="BR159" s="88" t="n">
        <f aca="false">BP159+BR158</f>
        <v>389.747574081102</v>
      </c>
      <c r="BS159" s="88" t="n">
        <f aca="false">BQ159+BS158</f>
        <v>87</v>
      </c>
      <c r="BT159" s="88" t="n">
        <f aca="false">MAX(BT158,BR159-BS159)</f>
        <v>302.747574081102</v>
      </c>
      <c r="BU159" s="88" t="n">
        <f aca="false">BT159-BT158</f>
        <v>2.36165531610538</v>
      </c>
      <c r="BV159" s="88" t="n">
        <f aca="false">IF(B159=2026,INDEX($C$14:$Q$14,1,B159-2025)*$AO$4*C159/MAX(0.0001,12-$AO$3),INDEX($C$14:$Q$14,1,B159-2025)/12)</f>
        <v>1.40070591162111</v>
      </c>
      <c r="BW159" s="88" t="n">
        <f aca="false">$AO$6*0</f>
        <v>0</v>
      </c>
      <c r="BX159" s="88" t="n">
        <f aca="false">BV159+BX158</f>
        <v>231.160630144654</v>
      </c>
      <c r="BY159" s="88" t="n">
        <f aca="false">BW159+BY158</f>
        <v>0</v>
      </c>
      <c r="BZ159" s="88" t="n">
        <f aca="false">MAX(BZ158,BX159-BY159)</f>
        <v>231.160630144654</v>
      </c>
      <c r="CA159" s="88" t="n">
        <f aca="false">BZ159-BZ158</f>
        <v>1.40070591162112</v>
      </c>
      <c r="CB159" s="88" t="n">
        <f aca="false">IF(B159=2026,INDEX($C$15:$Q$15,1,B159-2025)*$AO$4*C159/MAX(0.0001,12-$AO$3),INDEX($C$15:$Q$15,1,B159-2025)/12)</f>
        <v>2.29650620393693</v>
      </c>
      <c r="CC159" s="88" t="n">
        <f aca="false">$AO$6*0</f>
        <v>0</v>
      </c>
      <c r="CD159" s="88" t="n">
        <f aca="false">CB159+CD158</f>
        <v>378.995916865072</v>
      </c>
      <c r="CE159" s="88" t="n">
        <f aca="false">CC159+CE158</f>
        <v>88.0000000000001</v>
      </c>
      <c r="CF159" s="88" t="n">
        <f aca="false">MAX(CF158,CD159-CE159)</f>
        <v>290.995916865072</v>
      </c>
      <c r="CG159" s="88" t="n">
        <f aca="false">CF159-CF158</f>
        <v>2.29650620393693</v>
      </c>
      <c r="CH159" s="88" t="n">
        <f aca="false">IF(B159=2026,INDEX($C$16:$Q$16,1,B159-2025)*$AO$4*C159/MAX(0.0001,12-$AO$3),INDEX($C$16:$Q$16,1,B159-2025)/12)</f>
        <v>1.81603150169481</v>
      </c>
      <c r="CI159" s="88" t="n">
        <f aca="false">$AO$6*0</f>
        <v>0</v>
      </c>
      <c r="CJ159" s="88" t="n">
        <f aca="false">CH159+CJ158</f>
        <v>299.702444896848</v>
      </c>
      <c r="CK159" s="88" t="n">
        <f aca="false">CI159+CK158</f>
        <v>70</v>
      </c>
      <c r="CL159" s="88" t="n">
        <f aca="false">MAX(CL158,CJ159-CK159)</f>
        <v>229.702444896848</v>
      </c>
      <c r="CM159" s="88" t="n">
        <f aca="false">CL159-CL158</f>
        <v>1.81603150169479</v>
      </c>
      <c r="CN159" s="88" t="n">
        <f aca="false">IF(B159=2026,INDEX($C$17:$Q$17,1,B159-2025)*$AO$4*C159/MAX(0.0001,12-$AO$3),INDEX($C$17:$Q$17,1,B159-2025)/12)</f>
        <v>7.90747348944242</v>
      </c>
      <c r="CO159" s="88" t="n">
        <f aca="false">$AO$6*0</f>
        <v>0</v>
      </c>
      <c r="CP159" s="88" t="n">
        <f aca="false">CN159+CP158</f>
        <v>1304.9823945957</v>
      </c>
      <c r="CQ159" s="88" t="n">
        <f aca="false">CO159+CQ158</f>
        <v>221</v>
      </c>
      <c r="CR159" s="88" t="n">
        <f aca="false">MAX(CR158,CP159-CQ159)</f>
        <v>1083.9823945957</v>
      </c>
      <c r="CS159" s="88" t="n">
        <f aca="false">CR159-CR158</f>
        <v>7.90747348944251</v>
      </c>
      <c r="CT159" s="88" t="n">
        <f aca="false">IF(B159=2026,INDEX($C$18:$Q$18,1,B159-2025)*$AO$4*C159/MAX(0.0001,12-$AO$3),INDEX($C$18:$Q$18,1,B159-2025)/12)</f>
        <v>1.6450150822527</v>
      </c>
      <c r="CU159" s="88" t="n">
        <f aca="false">$AO$6*0</f>
        <v>0</v>
      </c>
      <c r="CV159" s="88" t="n">
        <f aca="false">CT159+CV158</f>
        <v>271.479344704768</v>
      </c>
      <c r="CW159" s="88" t="n">
        <f aca="false">CU159+CW158</f>
        <v>11</v>
      </c>
      <c r="CX159" s="88" t="n">
        <f aca="false">MAX(CX158,CV159-CW159)</f>
        <v>260.479344704768</v>
      </c>
      <c r="CY159" s="88" t="n">
        <f aca="false">CX159-CX158</f>
        <v>1.64501508225271</v>
      </c>
      <c r="CZ159" s="88" t="n">
        <f aca="false">IF(B159=2026,INDEX($C$19:$Q$19,1,B159-2025)*$AO$4*C159/MAX(0.0001,12-$AO$3),INDEX($C$19:$Q$19,1,B159-2025)/12)</f>
        <v>1.62872780421059</v>
      </c>
      <c r="DA159" s="88" t="n">
        <f aca="false">$AO$6*0</f>
        <v>0</v>
      </c>
      <c r="DB159" s="88" t="n">
        <f aca="false">CZ159+DB158</f>
        <v>268.791430400761</v>
      </c>
      <c r="DC159" s="88" t="n">
        <f aca="false">DA159+DC158</f>
        <v>226</v>
      </c>
      <c r="DD159" s="88" t="n">
        <f aca="false">MAX(DD158,DB159-DC159)</f>
        <v>42.7914304007613</v>
      </c>
      <c r="DE159" s="88" t="n">
        <f aca="false">DD159-DD158</f>
        <v>1.6287278042106</v>
      </c>
      <c r="DF159" s="88" t="n">
        <f aca="false">IF(B159=2026,INDEX($C$20:$Q$20,1,B159-2025)*$AO$4*C159/MAX(0.0001,12-$AO$3),INDEX($C$20:$Q$20,1,B159-2025)/12)</f>
        <v>1.32741316043163</v>
      </c>
      <c r="DG159" s="88" t="n">
        <f aca="false">$AO$6*0</f>
        <v>0</v>
      </c>
      <c r="DH159" s="88" t="n">
        <f aca="false">DF159+DH158</f>
        <v>219.06501577662</v>
      </c>
      <c r="DI159" s="88" t="n">
        <f aca="false">DG159+DI158</f>
        <v>0</v>
      </c>
      <c r="DJ159" s="88" t="n">
        <f aca="false">MAX(DJ158,DH159-DI159)</f>
        <v>219.06501577662</v>
      </c>
      <c r="DK159" s="88" t="n">
        <f aca="false">DJ159-DJ158</f>
        <v>1.32741316043163</v>
      </c>
      <c r="DL159" s="88" t="n">
        <f aca="false">IF(B159=2026,INDEX($C$21:$Q$21,1,B159-2025)*$AO$4*C159/MAX(0.0001,12-$AO$3),INDEX($C$21:$Q$21,1,B159-2025)/12)</f>
        <v>0.928374848400037</v>
      </c>
      <c r="DM159" s="88" t="n">
        <f aca="false">$AO$6*0</f>
        <v>0</v>
      </c>
      <c r="DN159" s="88" t="n">
        <f aca="false">DL159+DN158</f>
        <v>153.211115328433</v>
      </c>
      <c r="DO159" s="88" t="n">
        <f aca="false">DM159+DO158</f>
        <v>100</v>
      </c>
      <c r="DP159" s="88" t="n">
        <f aca="false">MAX(DP158,DN159-DO159)</f>
        <v>53.2111153284335</v>
      </c>
      <c r="DQ159" s="88" t="n">
        <f aca="false">DP159-DP158</f>
        <v>0.92837484840004</v>
      </c>
      <c r="DR159" s="88" t="n">
        <f aca="false">IF(B159=2026,INDEX($C$22:$Q$22,1,B159-2025)*$AO$4*C159/MAX(0.0001,12-$AO$3),INDEX($C$22:$Q$22,1,B159-2025)/12)</f>
        <v>0.724783872873713</v>
      </c>
      <c r="DS159" s="88" t="n">
        <f aca="false">$AO$6*0</f>
        <v>0</v>
      </c>
      <c r="DT159" s="88" t="n">
        <f aca="false">DR159+DT158</f>
        <v>119.612186528339</v>
      </c>
      <c r="DU159" s="88" t="n">
        <f aca="false">DS159+DU158</f>
        <v>29</v>
      </c>
      <c r="DV159" s="88" t="n">
        <f aca="false">MAX(DV158,DT159-DU159)</f>
        <v>90.6121865283387</v>
      </c>
      <c r="DW159" s="88" t="n">
        <f aca="false">DV159-DV158</f>
        <v>0.724783872873729</v>
      </c>
      <c r="DX159" s="88" t="n">
        <f aca="false">IF(B159=2026,INDEX($C$23:$Q$23,1,B159-2025)*$AO$4*C159/MAX(0.0001,12-$AO$3),INDEX($C$23:$Q$23,1,B159-2025)/12)</f>
        <v>1.16454038001057</v>
      </c>
      <c r="DY159" s="88" t="n">
        <f aca="false">$AO$6*0</f>
        <v>0</v>
      </c>
      <c r="DZ159" s="88" t="n">
        <f aca="false">DX159+DZ158</f>
        <v>192.185872736544</v>
      </c>
      <c r="EA159" s="88" t="n">
        <f aca="false">DY159+EA158</f>
        <v>121</v>
      </c>
      <c r="EB159" s="88" t="n">
        <f aca="false">MAX(EB158,DZ159-EA159)</f>
        <v>71.1858727365442</v>
      </c>
      <c r="EC159" s="88" t="n">
        <f aca="false">EB159-EB158</f>
        <v>1.16454038001058</v>
      </c>
      <c r="ED159" s="88" t="n">
        <f aca="false">IF(B159=2026,INDEX($C$24:$Q$24,1,B159-2025)*$AO$4*C159/MAX(0.0001,12-$AO$3),INDEX($C$24:$Q$24,1,B159-2025)/12)</f>
        <v>0.71664023385266</v>
      </c>
      <c r="EE159" s="88" t="n">
        <f aca="false">$AO$6*0</f>
        <v>0</v>
      </c>
      <c r="EF159" s="88" t="n">
        <f aca="false">ED159+EF158</f>
        <v>118.268229376335</v>
      </c>
      <c r="EG159" s="88" t="n">
        <f aca="false">EE159+EG158</f>
        <v>0</v>
      </c>
      <c r="EH159" s="88" t="n">
        <f aca="false">MAX(EH158,EF159-EG159)</f>
        <v>118.268229376335</v>
      </c>
      <c r="EI159" s="88" t="n">
        <f aca="false">EH159-EH158</f>
        <v>0.716640233852658</v>
      </c>
      <c r="EJ159" s="88" t="n">
        <f aca="false">IF(B159=2026,INDEX($C$25:$Q$25,1,B159-2025)*$AO$4*C159/MAX(0.0001,12-$AO$3),INDEX($C$25:$Q$25,1,B159-2025)/12)</f>
        <v>0.912087570357932</v>
      </c>
      <c r="EK159" s="88" t="n">
        <f aca="false">$AO$6*0</f>
        <v>0</v>
      </c>
      <c r="EL159" s="88" t="n">
        <f aca="false">EJ159+EL158</f>
        <v>150.523201024426</v>
      </c>
      <c r="EM159" s="88" t="n">
        <f aca="false">EK159+EM158</f>
        <v>14</v>
      </c>
      <c r="EN159" s="88" t="n">
        <f aca="false">MAX(EN158,EL159-EM159)</f>
        <v>136.523201024426</v>
      </c>
      <c r="EO159" s="88" t="n">
        <f aca="false">EN159-EN158</f>
        <v>0.912087570357926</v>
      </c>
      <c r="EP159" s="88" t="n">
        <f aca="false">IF(B159=2026,INDEX($C$26:$Q$26,1,B159-2025)*$AO$4*C159/MAX(0.0001,12-$AO$3),INDEX($C$26:$Q$26,1,B159-2025)/12)</f>
        <v>1.31112588238953</v>
      </c>
      <c r="EQ159" s="88" t="n">
        <f aca="false">$AO$6*0</f>
        <v>0</v>
      </c>
      <c r="ER159" s="88" t="n">
        <f aca="false">EP159+ER158</f>
        <v>216.377101472612</v>
      </c>
      <c r="ES159" s="88" t="n">
        <f aca="false">EQ159+ES158</f>
        <v>4</v>
      </c>
      <c r="ET159" s="88" t="n">
        <f aca="false">MAX(ET158,ER159-ES159)</f>
        <v>212.377101472612</v>
      </c>
      <c r="EU159" s="88" t="n">
        <f aca="false">ET159-ET158</f>
        <v>1.31112588238952</v>
      </c>
      <c r="EV159" s="88" t="n">
        <f aca="false">IF(B159=2026,INDEX($C$27:$Q$27,1,B159-2025)*$AO$4*C159/MAX(0.0001,12-$AO$3),INDEX($C$27:$Q$27,1,B159-2025)/12)</f>
        <v>3.25745560842118</v>
      </c>
      <c r="EW159" s="88" t="n">
        <f aca="false">$AO$6*0</f>
        <v>0</v>
      </c>
      <c r="EX159" s="88" t="n">
        <f aca="false">EV159+EX158</f>
        <v>537.582860801522</v>
      </c>
      <c r="EY159" s="88" t="n">
        <f aca="false">EW159+EY158</f>
        <v>391</v>
      </c>
      <c r="EZ159" s="88" t="n">
        <f aca="false">MAX(EZ158,EX159-EY159)</f>
        <v>146.582860801522</v>
      </c>
      <c r="FA159" s="88" t="n">
        <f aca="false">EZ159-EZ158</f>
        <v>3.2574556084212</v>
      </c>
      <c r="FB159" s="88" t="n">
        <f aca="false">IF(B159=2026,INDEX($C$28:$Q$28,1,B159-2025)*$AO$4*C159/MAX(0.0001,12-$AO$3),INDEX($C$28:$Q$28,1,B159-2025)/12)</f>
        <v>17.0527801100849</v>
      </c>
      <c r="FC159" s="88" t="n">
        <f aca="false">$AO$6*0</f>
        <v>0</v>
      </c>
      <c r="FD159" s="88" t="n">
        <f aca="false">FB159+FD158</f>
        <v>2814.24627629596</v>
      </c>
      <c r="FE159" s="88" t="n">
        <f aca="false">FC159+FE158</f>
        <v>169</v>
      </c>
      <c r="FF159" s="88" t="n">
        <f aca="false">MAX(FF158,FD159-FE159)</f>
        <v>2645.24627629596</v>
      </c>
      <c r="FG159" s="88" t="n">
        <f aca="false">FF159-FF158</f>
        <v>17.0527801100848</v>
      </c>
    </row>
    <row r="160" customFormat="false" ht="15" hidden="false" customHeight="false" outlineLevel="0" collapsed="false">
      <c r="A160" s="0" t="n">
        <v>120</v>
      </c>
      <c r="B160" s="88" t="n">
        <f aca="false">2026+INT(A160/12)</f>
        <v>2036</v>
      </c>
      <c r="C160" s="88" t="n">
        <f aca="false">MAX(0,MIN(1,A160+1-$AO$3))</f>
        <v>1</v>
      </c>
      <c r="D160" s="88" t="n">
        <f aca="false">IF((A160+0.5-(0))&lt;$AO$3,0,2026+INT((A160+0.5-(0))/12))</f>
        <v>2036</v>
      </c>
      <c r="E160" s="88" t="n">
        <f aca="false">IF((A160+0.5-($AO$9))&lt;$AO$3,0,2026+INT((A160+0.5-($AO$9))/12))</f>
        <v>2034</v>
      </c>
      <c r="F160" s="88" t="n">
        <f aca="false">IF((A160+0.5-($AO$9+$AO$8))&lt;$AO$3,0,2026+INT((A160+0.5-($AO$9+$AO$8))/12))</f>
        <v>2033</v>
      </c>
      <c r="G160" s="88" t="n">
        <f aca="false">IF((A160+0.5-($AO$9+$AO$8+$AO$7))&lt;$AO$3,0,2026+INT((A160+0.5-($AO$9+$AO$8+$AO$7))/12))</f>
        <v>2033</v>
      </c>
      <c r="H160" s="88" t="n">
        <f aca="false">IF(B160=2026,INDEX($C$3:$Q$3,1,B160-2025)*$AO$4*C160/MAX(0.0001,12-$AO$3),INDEX($C$3:$Q$3,1,B160-2025)/12)</f>
        <v>132.25</v>
      </c>
      <c r="I160" s="88" t="n">
        <f aca="false">$AO$6*0</f>
        <v>0</v>
      </c>
      <c r="J160" s="88" t="n">
        <f aca="false">H160+J159</f>
        <v>28944.0034246576</v>
      </c>
      <c r="K160" s="88" t="n">
        <f aca="false">I160+K159</f>
        <v>8695.00000000001</v>
      </c>
      <c r="L160" s="88" t="n">
        <f aca="false">MAX(L159,J160-K160)</f>
        <v>20249.0034246576</v>
      </c>
      <c r="M160" s="88" t="n">
        <f aca="false">L160-L159</f>
        <v>132.25</v>
      </c>
      <c r="N160" s="88" t="n">
        <f aca="false">IF(B160=2026,INDEX($C$4:$Q$4,1,B160-2025)*$AO$4*C160/MAX(0.0001,12-$AO$3),INDEX($C$4:$Q$4,1,B160-2025)/12)</f>
        <v>4.00940426699819</v>
      </c>
      <c r="O160" s="88" t="n">
        <f aca="false">$AO$6*0</f>
        <v>0</v>
      </c>
      <c r="P160" s="88" t="n">
        <f aca="false">N160+P159</f>
        <v>877.491197238806</v>
      </c>
      <c r="Q160" s="88" t="n">
        <f aca="false">O160+Q159</f>
        <v>398</v>
      </c>
      <c r="R160" s="88" t="n">
        <f aca="false">MAX(R159,P160-Q160)</f>
        <v>479.491197238806</v>
      </c>
      <c r="S160" s="88" t="n">
        <f aca="false">R160-R159</f>
        <v>4.00940426699822</v>
      </c>
      <c r="T160" s="88" t="n">
        <f aca="false">IF(B160=2026,INDEX($C$5:$Q$5,1,B160-2025)*$AO$4*C160/MAX(0.0001,12-$AO$3),INDEX($C$5:$Q$5,1,B160-2025)/12)</f>
        <v>16.2956662203121</v>
      </c>
      <c r="U160" s="88" t="n">
        <f aca="false">$AO$6*0</f>
        <v>0</v>
      </c>
      <c r="V160" s="88" t="n">
        <f aca="false">T160+V159</f>
        <v>3566.44097457686</v>
      </c>
      <c r="W160" s="88" t="n">
        <f aca="false">U160+W159</f>
        <v>1115</v>
      </c>
      <c r="X160" s="88" t="n">
        <f aca="false">MAX(X159,V160-W160)</f>
        <v>2451.44097457685</v>
      </c>
      <c r="Y160" s="88" t="n">
        <f aca="false">X160-X159</f>
        <v>16.2956662203114</v>
      </c>
      <c r="Z160" s="88" t="n">
        <f aca="false">IF(B160=2026,INDEX($C$6:$Q$6,1,B160-2025)*$AO$4*C160/MAX(0.0001,12-$AO$3),INDEX($C$6:$Q$6,1,B160-2025)/12)</f>
        <v>19.3334832874743</v>
      </c>
      <c r="AA160" s="88" t="n">
        <f aca="false">$AO$6*0</f>
        <v>0</v>
      </c>
      <c r="AB160" s="88" t="n">
        <f aca="false">Z160+AB159</f>
        <v>4231.29229854984</v>
      </c>
      <c r="AC160" s="88" t="n">
        <f aca="false">AA160+AC159</f>
        <v>2194</v>
      </c>
      <c r="AD160" s="88" t="n">
        <f aca="false">MAX(AD159,AB160-AC160)</f>
        <v>2037.29229854984</v>
      </c>
      <c r="AE160" s="88" t="n">
        <f aca="false">AD160-AD159</f>
        <v>19.3334832874743</v>
      </c>
      <c r="AF160" s="88" t="n">
        <f aca="false">IF(B160=2026,INDEX($C$7:$Q$7,1,B160-2025)*$AO$4*C160/MAX(0.0001,12-$AO$3),INDEX($C$7:$Q$7,1,B160-2025)/12)</f>
        <v>16.7943163616268</v>
      </c>
      <c r="AG160" s="88" t="n">
        <f aca="false">$AO$6*0</f>
        <v>0</v>
      </c>
      <c r="AH160" s="88" t="n">
        <f aca="false">AF160+AH159</f>
        <v>3675.57467134751</v>
      </c>
      <c r="AI160" s="88" t="n">
        <f aca="false">AG160+AI159</f>
        <v>826</v>
      </c>
      <c r="AJ160" s="88" t="n">
        <f aca="false">MAX(AJ159,AH160-AI160)</f>
        <v>2849.57467134751</v>
      </c>
      <c r="AK160" s="88" t="n">
        <f aca="false">AJ160-AJ159</f>
        <v>16.7943163616269</v>
      </c>
      <c r="AL160" s="88" t="n">
        <f aca="false">IF(B160=2026,INDEX($C$8:$Q$8,1,B160-2025)*$AO$4*C160/MAX(0.0001,12-$AO$3),INDEX($C$8:$Q$8,1,B160-2025)/12)</f>
        <v>4.24816860722254</v>
      </c>
      <c r="AM160" s="88" t="n">
        <f aca="false">$AO$6*0</f>
        <v>0</v>
      </c>
      <c r="AN160" s="88" t="n">
        <f aca="false">AL160+AN159</f>
        <v>929.746742653852</v>
      </c>
      <c r="AO160" s="88" t="n">
        <f aca="false">AM160+AO159</f>
        <v>66</v>
      </c>
      <c r="AP160" s="88" t="n">
        <f aca="false">MAX(AP159,AN160-AO160)</f>
        <v>863.746742653852</v>
      </c>
      <c r="AQ160" s="88" t="n">
        <f aca="false">AP160-AP159</f>
        <v>4.24816860722251</v>
      </c>
      <c r="AR160" s="88" t="n">
        <f aca="false">IF(B160=2026,INDEX($C$9:$Q$9,1,B160-2025)*$AO$4*C160/MAX(0.0001,12-$AO$3),INDEX($C$9:$Q$9,1,B160-2025)/12)</f>
        <v>18.1139485035592</v>
      </c>
      <c r="AS160" s="88" t="n">
        <f aca="false">$AO$6*0</f>
        <v>0</v>
      </c>
      <c r="AT160" s="88" t="n">
        <f aca="false">AR160+AT159</f>
        <v>3964.38705119915</v>
      </c>
      <c r="AU160" s="88" t="n">
        <f aca="false">AS160+AU159</f>
        <v>1810</v>
      </c>
      <c r="AV160" s="88" t="n">
        <f aca="false">MAX(AV159,AT160-AU160)</f>
        <v>2154.38705119915</v>
      </c>
      <c r="AW160" s="88" t="n">
        <f aca="false">AV160-AV159</f>
        <v>18.1139485035592</v>
      </c>
      <c r="AX160" s="88" t="n">
        <f aca="false">IF(B160=2026,INDEX($C$10:$Q$10,1,B160-2025)*$AO$4*C160/MAX(0.0001,12-$AO$3),INDEX($C$10:$Q$10,1,B160-2025)/12)</f>
        <v>2.10112619397431</v>
      </c>
      <c r="AY160" s="88" t="n">
        <f aca="false">$AO$6*0</f>
        <v>0</v>
      </c>
      <c r="AZ160" s="88" t="n">
        <f aca="false">AX160+AZ159</f>
        <v>459.848799652401</v>
      </c>
      <c r="BA160" s="88" t="n">
        <f aca="false">AY160+BA159</f>
        <v>50</v>
      </c>
      <c r="BB160" s="88" t="n">
        <f aca="false">MAX(BB159,AZ160-BA160)</f>
        <v>409.848799652401</v>
      </c>
      <c r="BC160" s="88" t="n">
        <f aca="false">BB160-BB159</f>
        <v>2.10112619397432</v>
      </c>
      <c r="BD160" s="88" t="n">
        <f aca="false">IF(B160=2026,INDEX($C$11:$Q$11,1,B160-2025)*$AO$4*C160/MAX(0.0001,12-$AO$3),INDEX($C$11:$Q$11,1,B160-2025)/12)</f>
        <v>10.4413482628881</v>
      </c>
      <c r="BE160" s="88" t="n">
        <f aca="false">$AO$6*0</f>
        <v>0</v>
      </c>
      <c r="BF160" s="88" t="n">
        <f aca="false">BD160+BF159</f>
        <v>2285.17519757335</v>
      </c>
      <c r="BG160" s="88" t="n">
        <f aca="false">BE160+BG159</f>
        <v>240</v>
      </c>
      <c r="BH160" s="88" t="n">
        <f aca="false">MAX(BH159,BF160-BG160)</f>
        <v>2045.17519757335</v>
      </c>
      <c r="BI160" s="88" t="n">
        <f aca="false">BH160-BH159</f>
        <v>10.4413482628879</v>
      </c>
      <c r="BJ160" s="88" t="n">
        <f aca="false">IF(B160=2026,INDEX($C$12:$Q$12,1,B160-2025)*$AO$4*C160/MAX(0.0001,12-$AO$3),INDEX($C$12:$Q$12,1,B160-2025)/12)</f>
        <v>5.72483421907162</v>
      </c>
      <c r="BK160" s="88" t="n">
        <f aca="false">$AO$6*0</f>
        <v>0</v>
      </c>
      <c r="BL160" s="88" t="n">
        <f aca="false">BJ160+BL159</f>
        <v>1252.92719275921</v>
      </c>
      <c r="BM160" s="88" t="n">
        <f aca="false">BK160+BM159</f>
        <v>465</v>
      </c>
      <c r="BN160" s="88" t="n">
        <f aca="false">MAX(BN159,BL160-BM160)</f>
        <v>787.927192759213</v>
      </c>
      <c r="BO160" s="88" t="n">
        <f aca="false">BN160-BN159</f>
        <v>5.72483421907168</v>
      </c>
      <c r="BP160" s="88" t="n">
        <f aca="false">IF(B160=2026,INDEX($C$13:$Q$13,1,B160-2025)*$AO$4*C160/MAX(0.0001,12-$AO$3),INDEX($C$13:$Q$13,1,B160-2025)/12)</f>
        <v>1.78899617501633</v>
      </c>
      <c r="BQ160" s="88" t="n">
        <f aca="false">$AO$6*0</f>
        <v>0</v>
      </c>
      <c r="BR160" s="88" t="n">
        <f aca="false">BP160+BR159</f>
        <v>391.536570256119</v>
      </c>
      <c r="BS160" s="88" t="n">
        <f aca="false">BQ160+BS159</f>
        <v>87</v>
      </c>
      <c r="BT160" s="88" t="n">
        <f aca="false">MAX(BT159,BR160-BS160)</f>
        <v>304.536570256119</v>
      </c>
      <c r="BU160" s="88" t="n">
        <f aca="false">BT160-BT159</f>
        <v>1.78899617501634</v>
      </c>
      <c r="BV160" s="88" t="n">
        <f aca="false">IF(B160=2026,INDEX($C$14:$Q$14,1,B160-2025)*$AO$4*C160/MAX(0.0001,12-$AO$3),INDEX($C$14:$Q$14,1,B160-2025)/12)</f>
        <v>1.06105980035451</v>
      </c>
      <c r="BW160" s="88" t="n">
        <f aca="false">$AO$6*0</f>
        <v>0</v>
      </c>
      <c r="BX160" s="88" t="n">
        <f aca="false">BV160+BX159</f>
        <v>232.221689945009</v>
      </c>
      <c r="BY160" s="88" t="n">
        <f aca="false">BW160+BY159</f>
        <v>0</v>
      </c>
      <c r="BZ160" s="88" t="n">
        <f aca="false">MAX(BZ159,BX160-BY160)</f>
        <v>232.221689945009</v>
      </c>
      <c r="CA160" s="88" t="n">
        <f aca="false">BZ160-BZ159</f>
        <v>1.06105980035451</v>
      </c>
      <c r="CB160" s="88" t="n">
        <f aca="false">IF(B160=2026,INDEX($C$15:$Q$15,1,B160-2025)*$AO$4*C160/MAX(0.0001,12-$AO$3),INDEX($C$15:$Q$15,1,B160-2025)/12)</f>
        <v>1.73964455639519</v>
      </c>
      <c r="CC160" s="88" t="n">
        <f aca="false">$AO$6*0</f>
        <v>0</v>
      </c>
      <c r="CD160" s="88" t="n">
        <f aca="false">CB160+CD159</f>
        <v>380.735561421467</v>
      </c>
      <c r="CE160" s="88" t="n">
        <f aca="false">CC160+CE159</f>
        <v>88.0000000000001</v>
      </c>
      <c r="CF160" s="88" t="n">
        <f aca="false">MAX(CF159,CD160-CE160)</f>
        <v>292.735561421467</v>
      </c>
      <c r="CG160" s="88" t="n">
        <f aca="false">CF160-CF159</f>
        <v>1.73964455639521</v>
      </c>
      <c r="CH160" s="88" t="n">
        <f aca="false">IF(B160=2026,INDEX($C$16:$Q$16,1,B160-2025)*$AO$4*C160/MAX(0.0001,12-$AO$3),INDEX($C$16:$Q$16,1,B160-2025)/12)</f>
        <v>1.37567636906428</v>
      </c>
      <c r="CI160" s="88" t="n">
        <f aca="false">$AO$6*0</f>
        <v>0</v>
      </c>
      <c r="CJ160" s="88" t="n">
        <f aca="false">CH160+CJ159</f>
        <v>301.078121265912</v>
      </c>
      <c r="CK160" s="88" t="n">
        <f aca="false">CI160+CK159</f>
        <v>70</v>
      </c>
      <c r="CL160" s="88" t="n">
        <f aca="false">MAX(CL159,CJ160-CK160)</f>
        <v>231.078121265912</v>
      </c>
      <c r="CM160" s="88" t="n">
        <f aca="false">CL160-CL159</f>
        <v>1.37567636906425</v>
      </c>
      <c r="CN160" s="88" t="n">
        <f aca="false">IF(B160=2026,INDEX($C$17:$Q$17,1,B160-2025)*$AO$4*C160/MAX(0.0001,12-$AO$3),INDEX($C$17:$Q$17,1,B160-2025)/12)</f>
        <v>5.99005271014087</v>
      </c>
      <c r="CO160" s="88" t="n">
        <f aca="false">$AO$6*0</f>
        <v>0</v>
      </c>
      <c r="CP160" s="88" t="n">
        <f aca="false">CN160+CP159</f>
        <v>1310.97244730584</v>
      </c>
      <c r="CQ160" s="88" t="n">
        <f aca="false">CO160+CQ159</f>
        <v>221</v>
      </c>
      <c r="CR160" s="88" t="n">
        <f aca="false">MAX(CR159,CP160-CQ160)</f>
        <v>1089.97244730584</v>
      </c>
      <c r="CS160" s="88" t="n">
        <f aca="false">CR160-CR159</f>
        <v>5.99005271014084</v>
      </c>
      <c r="CT160" s="88" t="n">
        <f aca="false">IF(B160=2026,INDEX($C$18:$Q$18,1,B160-2025)*$AO$4*C160/MAX(0.0001,12-$AO$3),INDEX($C$18:$Q$18,1,B160-2025)/12)</f>
        <v>1.24612837018379</v>
      </c>
      <c r="CU160" s="88" t="n">
        <f aca="false">$AO$6*0</f>
        <v>0</v>
      </c>
      <c r="CV160" s="88" t="n">
        <f aca="false">CT160+CV159</f>
        <v>272.725473074952</v>
      </c>
      <c r="CW160" s="88" t="n">
        <f aca="false">CU160+CW159</f>
        <v>11</v>
      </c>
      <c r="CX160" s="88" t="n">
        <f aca="false">MAX(CX159,CV160-CW160)</f>
        <v>261.725473074952</v>
      </c>
      <c r="CY160" s="88" t="n">
        <f aca="false">CX160-CX159</f>
        <v>1.24612837018378</v>
      </c>
      <c r="CZ160" s="88" t="n">
        <f aca="false">IF(B160=2026,INDEX($C$19:$Q$19,1,B160-2025)*$AO$4*C160/MAX(0.0001,12-$AO$3),INDEX($C$19:$Q$19,1,B160-2025)/12)</f>
        <v>1.2337904655285</v>
      </c>
      <c r="DA160" s="88" t="n">
        <f aca="false">$AO$6*0</f>
        <v>0</v>
      </c>
      <c r="DB160" s="88" t="n">
        <f aca="false">CZ160+DB159</f>
        <v>270.02522086629</v>
      </c>
      <c r="DC160" s="88" t="n">
        <f aca="false">DA160+DC159</f>
        <v>226</v>
      </c>
      <c r="DD160" s="88" t="n">
        <f aca="false">MAX(DD159,DB160-DC160)</f>
        <v>44.0252208662898</v>
      </c>
      <c r="DE160" s="88" t="n">
        <f aca="false">DD160-DD159</f>
        <v>1.2337904655285</v>
      </c>
      <c r="DF160" s="88" t="n">
        <f aca="false">IF(B160=2026,INDEX($C$20:$Q$20,1,B160-2025)*$AO$4*C160/MAX(0.0001,12-$AO$3),INDEX($C$20:$Q$20,1,B160-2025)/12)</f>
        <v>1.00553922940573</v>
      </c>
      <c r="DG160" s="88" t="n">
        <f aca="false">$AO$6*0</f>
        <v>0</v>
      </c>
      <c r="DH160" s="88" t="n">
        <f aca="false">DF160+DH159</f>
        <v>220.070555006026</v>
      </c>
      <c r="DI160" s="88" t="n">
        <f aca="false">DG160+DI159</f>
        <v>0</v>
      </c>
      <c r="DJ160" s="88" t="n">
        <f aca="false">MAX(DJ159,DH160-DI160)</f>
        <v>220.070555006026</v>
      </c>
      <c r="DK160" s="88" t="n">
        <f aca="false">DJ160-DJ159</f>
        <v>1.00553922940574</v>
      </c>
      <c r="DL160" s="88" t="n">
        <f aca="false">IF(B160=2026,INDEX($C$21:$Q$21,1,B160-2025)*$AO$4*C160/MAX(0.0001,12-$AO$3),INDEX($C$21:$Q$21,1,B160-2025)/12)</f>
        <v>0.703260565351246</v>
      </c>
      <c r="DM160" s="88" t="n">
        <f aca="false">$AO$6*0</f>
        <v>0</v>
      </c>
      <c r="DN160" s="88" t="n">
        <f aca="false">DL160+DN159</f>
        <v>153.914375893785</v>
      </c>
      <c r="DO160" s="88" t="n">
        <f aca="false">DM160+DO159</f>
        <v>100</v>
      </c>
      <c r="DP160" s="88" t="n">
        <f aca="false">MAX(DP159,DN160-DO160)</f>
        <v>53.9143758937847</v>
      </c>
      <c r="DQ160" s="88" t="n">
        <f aca="false">DP160-DP159</f>
        <v>0.703260565351258</v>
      </c>
      <c r="DR160" s="88" t="n">
        <f aca="false">IF(B160=2026,INDEX($C$22:$Q$22,1,B160-2025)*$AO$4*C160/MAX(0.0001,12-$AO$3),INDEX($C$22:$Q$22,1,B160-2025)/12)</f>
        <v>0.549036757160183</v>
      </c>
      <c r="DS160" s="88" t="n">
        <f aca="false">$AO$6*0</f>
        <v>0</v>
      </c>
      <c r="DT160" s="88" t="n">
        <f aca="false">DR160+DT159</f>
        <v>120.161223285499</v>
      </c>
      <c r="DU160" s="88" t="n">
        <f aca="false">DS160+DU159</f>
        <v>29</v>
      </c>
      <c r="DV160" s="88" t="n">
        <f aca="false">MAX(DV159,DT160-DU160)</f>
        <v>91.1612232854989</v>
      </c>
      <c r="DW160" s="88" t="n">
        <f aca="false">DV160-DV159</f>
        <v>0.549036757160167</v>
      </c>
      <c r="DX160" s="88" t="n">
        <f aca="false">IF(B160=2026,INDEX($C$23:$Q$23,1,B160-2025)*$AO$4*C160/MAX(0.0001,12-$AO$3),INDEX($C$23:$Q$23,1,B160-2025)/12)</f>
        <v>0.882160182852878</v>
      </c>
      <c r="DY160" s="88" t="n">
        <f aca="false">$AO$6*0</f>
        <v>0</v>
      </c>
      <c r="DZ160" s="88" t="n">
        <f aca="false">DX160+DZ159</f>
        <v>193.068032919397</v>
      </c>
      <c r="EA160" s="88" t="n">
        <f aca="false">DY160+EA159</f>
        <v>121</v>
      </c>
      <c r="EB160" s="88" t="n">
        <f aca="false">MAX(EB159,DZ160-EA160)</f>
        <v>72.0680329193971</v>
      </c>
      <c r="EC160" s="88" t="n">
        <f aca="false">EB160-EB159</f>
        <v>0.882160182852886</v>
      </c>
      <c r="ED160" s="88" t="n">
        <f aca="false">IF(B160=2026,INDEX($C$24:$Q$24,1,B160-2025)*$AO$4*C160/MAX(0.0001,12-$AO$3),INDEX($C$24:$Q$24,1,B160-2025)/12)</f>
        <v>0.54286780483254</v>
      </c>
      <c r="EE160" s="88" t="n">
        <f aca="false">$AO$6*0</f>
        <v>0</v>
      </c>
      <c r="EF160" s="88" t="n">
        <f aca="false">ED160+EF159</f>
        <v>118.811097181167</v>
      </c>
      <c r="EG160" s="88" t="n">
        <f aca="false">EE160+EG159</f>
        <v>0</v>
      </c>
      <c r="EH160" s="88" t="n">
        <f aca="false">MAX(EH159,EF160-EG160)</f>
        <v>118.811097181167</v>
      </c>
      <c r="EI160" s="88" t="n">
        <f aca="false">EH160-EH159</f>
        <v>0.54286780483254</v>
      </c>
      <c r="EJ160" s="88" t="n">
        <f aca="false">IF(B160=2026,INDEX($C$25:$Q$25,1,B160-2025)*$AO$4*C160/MAX(0.0001,12-$AO$3),INDEX($C$25:$Q$25,1,B160-2025)/12)</f>
        <v>0.690922660695961</v>
      </c>
      <c r="EK160" s="88" t="n">
        <f aca="false">$AO$6*0</f>
        <v>0</v>
      </c>
      <c r="EL160" s="88" t="n">
        <f aca="false">EJ160+EL159</f>
        <v>151.214123685122</v>
      </c>
      <c r="EM160" s="88" t="n">
        <f aca="false">EK160+EM159</f>
        <v>14</v>
      </c>
      <c r="EN160" s="88" t="n">
        <f aca="false">MAX(EN159,EL160-EM160)</f>
        <v>137.214123685122</v>
      </c>
      <c r="EO160" s="88" t="n">
        <f aca="false">EN160-EN159</f>
        <v>0.690922660695946</v>
      </c>
      <c r="EP160" s="88" t="n">
        <f aca="false">IF(B160=2026,INDEX($C$26:$Q$26,1,B160-2025)*$AO$4*C160/MAX(0.0001,12-$AO$3),INDEX($C$26:$Q$26,1,B160-2025)/12)</f>
        <v>0.993201324750443</v>
      </c>
      <c r="EQ160" s="88" t="n">
        <f aca="false">$AO$6*0</f>
        <v>0</v>
      </c>
      <c r="ER160" s="88" t="n">
        <f aca="false">EP160+ER159</f>
        <v>217.370302797362</v>
      </c>
      <c r="ES160" s="88" t="n">
        <f aca="false">EQ160+ES159</f>
        <v>4</v>
      </c>
      <c r="ET160" s="88" t="n">
        <f aca="false">MAX(ET159,ER160-ES160)</f>
        <v>213.370302797362</v>
      </c>
      <c r="EU160" s="88" t="n">
        <f aca="false">ET160-ET159</f>
        <v>0.99320132475043</v>
      </c>
      <c r="EV160" s="88" t="n">
        <f aca="false">IF(B160=2026,INDEX($C$27:$Q$27,1,B160-2025)*$AO$4*C160/MAX(0.0001,12-$AO$3),INDEX($C$27:$Q$27,1,B160-2025)/12)</f>
        <v>2.467580931057</v>
      </c>
      <c r="EW160" s="88" t="n">
        <f aca="false">$AO$6*0</f>
        <v>0</v>
      </c>
      <c r="EX160" s="88" t="n">
        <f aca="false">EV160+EX159</f>
        <v>540.050441732579</v>
      </c>
      <c r="EY160" s="88" t="n">
        <f aca="false">EW160+EY159</f>
        <v>391</v>
      </c>
      <c r="EZ160" s="88" t="n">
        <f aca="false">MAX(EZ159,EX160-EY160)</f>
        <v>149.050441732579</v>
      </c>
      <c r="FA160" s="88" t="n">
        <f aca="false">EZ160-EZ159</f>
        <v>2.467580931057</v>
      </c>
      <c r="FB160" s="88" t="n">
        <f aca="false">IF(B160=2026,INDEX($C$28:$Q$28,1,B160-2025)*$AO$4*C160/MAX(0.0001,12-$AO$3),INDEX($C$28:$Q$28,1,B160-2025)/12)</f>
        <v>12.9177861740834</v>
      </c>
      <c r="FC160" s="88" t="n">
        <f aca="false">$AO$6*0</f>
        <v>0</v>
      </c>
      <c r="FD160" s="88" t="n">
        <f aca="false">FB160+FD159</f>
        <v>2827.16406247005</v>
      </c>
      <c r="FE160" s="88" t="n">
        <f aca="false">FC160+FE159</f>
        <v>169</v>
      </c>
      <c r="FF160" s="88" t="n">
        <f aca="false">MAX(FF159,FD160-FE160)</f>
        <v>2658.16406247005</v>
      </c>
      <c r="FG160" s="88" t="n">
        <f aca="false">FF160-FF159</f>
        <v>12.9177861740832</v>
      </c>
    </row>
    <row r="161" customFormat="false" ht="15" hidden="false" customHeight="false" outlineLevel="0" collapsed="false">
      <c r="A161" s="0" t="n">
        <v>121</v>
      </c>
      <c r="B161" s="88" t="n">
        <f aca="false">2026+INT(A161/12)</f>
        <v>2036</v>
      </c>
      <c r="C161" s="88" t="n">
        <f aca="false">MAX(0,MIN(1,A161+1-$AO$3))</f>
        <v>1</v>
      </c>
      <c r="D161" s="88" t="n">
        <f aca="false">IF((A161+0.5-(0))&lt;$AO$3,0,2026+INT((A161+0.5-(0))/12))</f>
        <v>2036</v>
      </c>
      <c r="E161" s="88" t="n">
        <f aca="false">IF((A161+0.5-($AO$9))&lt;$AO$3,0,2026+INT((A161+0.5-($AO$9))/12))</f>
        <v>2034</v>
      </c>
      <c r="F161" s="88" t="n">
        <f aca="false">IF((A161+0.5-($AO$9+$AO$8))&lt;$AO$3,0,2026+INT((A161+0.5-($AO$9+$AO$8))/12))</f>
        <v>2033</v>
      </c>
      <c r="G161" s="88" t="n">
        <f aca="false">IF((A161+0.5-($AO$9+$AO$8+$AO$7))&lt;$AO$3,0,2026+INT((A161+0.5-($AO$9+$AO$8+$AO$7))/12))</f>
        <v>2033</v>
      </c>
      <c r="H161" s="88" t="n">
        <f aca="false">IF(B161=2026,INDEX($C$3:$Q$3,1,B161-2025)*$AO$4*C161/MAX(0.0001,12-$AO$3),INDEX($C$3:$Q$3,1,B161-2025)/12)</f>
        <v>132.25</v>
      </c>
      <c r="I161" s="88" t="n">
        <f aca="false">$AO$6*0</f>
        <v>0</v>
      </c>
      <c r="J161" s="88" t="n">
        <f aca="false">H161+J160</f>
        <v>29076.2534246576</v>
      </c>
      <c r="K161" s="88" t="n">
        <f aca="false">I161+K160</f>
        <v>8695.00000000001</v>
      </c>
      <c r="L161" s="88" t="n">
        <f aca="false">MAX(L160,J161-K161)</f>
        <v>20381.2534246576</v>
      </c>
      <c r="M161" s="88" t="n">
        <f aca="false">L161-L160</f>
        <v>132.25</v>
      </c>
      <c r="N161" s="88" t="n">
        <f aca="false">IF(B161=2026,INDEX($C$4:$Q$4,1,B161-2025)*$AO$4*C161/MAX(0.0001,12-$AO$3),INDEX($C$4:$Q$4,1,B161-2025)/12)</f>
        <v>4.00940426699819</v>
      </c>
      <c r="O161" s="88" t="n">
        <f aca="false">$AO$6*0</f>
        <v>0</v>
      </c>
      <c r="P161" s="88" t="n">
        <f aca="false">N161+P160</f>
        <v>881.500601505804</v>
      </c>
      <c r="Q161" s="88" t="n">
        <f aca="false">O161+Q160</f>
        <v>398</v>
      </c>
      <c r="R161" s="88" t="n">
        <f aca="false">MAX(R160,P161-Q161)</f>
        <v>483.500601505804</v>
      </c>
      <c r="S161" s="88" t="n">
        <f aca="false">R161-R160</f>
        <v>4.00940426699822</v>
      </c>
      <c r="T161" s="88" t="n">
        <f aca="false">IF(B161=2026,INDEX($C$5:$Q$5,1,B161-2025)*$AO$4*C161/MAX(0.0001,12-$AO$3),INDEX($C$5:$Q$5,1,B161-2025)/12)</f>
        <v>16.2956662203121</v>
      </c>
      <c r="U161" s="88" t="n">
        <f aca="false">$AO$6*0</f>
        <v>0</v>
      </c>
      <c r="V161" s="88" t="n">
        <f aca="false">T161+V160</f>
        <v>3582.73664079717</v>
      </c>
      <c r="W161" s="88" t="n">
        <f aca="false">U161+W160</f>
        <v>1115</v>
      </c>
      <c r="X161" s="88" t="n">
        <f aca="false">MAX(X160,V161-W161)</f>
        <v>2467.73664079717</v>
      </c>
      <c r="Y161" s="88" t="n">
        <f aca="false">X161-X160</f>
        <v>16.2956662203123</v>
      </c>
      <c r="Z161" s="88" t="n">
        <f aca="false">IF(B161=2026,INDEX($C$6:$Q$6,1,B161-2025)*$AO$4*C161/MAX(0.0001,12-$AO$3),INDEX($C$6:$Q$6,1,B161-2025)/12)</f>
        <v>19.3334832874743</v>
      </c>
      <c r="AA161" s="88" t="n">
        <f aca="false">$AO$6*0</f>
        <v>0</v>
      </c>
      <c r="AB161" s="88" t="n">
        <f aca="false">Z161+AB160</f>
        <v>4250.62578183732</v>
      </c>
      <c r="AC161" s="88" t="n">
        <f aca="false">AA161+AC160</f>
        <v>2194</v>
      </c>
      <c r="AD161" s="88" t="n">
        <f aca="false">MAX(AD160,AB161-AC161)</f>
        <v>2056.62578183731</v>
      </c>
      <c r="AE161" s="88" t="n">
        <f aca="false">AD161-AD160</f>
        <v>19.3334832874743</v>
      </c>
      <c r="AF161" s="88" t="n">
        <f aca="false">IF(B161=2026,INDEX($C$7:$Q$7,1,B161-2025)*$AO$4*C161/MAX(0.0001,12-$AO$3),INDEX($C$7:$Q$7,1,B161-2025)/12)</f>
        <v>16.7943163616268</v>
      </c>
      <c r="AG161" s="88" t="n">
        <f aca="false">$AO$6*0</f>
        <v>0</v>
      </c>
      <c r="AH161" s="88" t="n">
        <f aca="false">AF161+AH160</f>
        <v>3692.36898770914</v>
      </c>
      <c r="AI161" s="88" t="n">
        <f aca="false">AG161+AI160</f>
        <v>826</v>
      </c>
      <c r="AJ161" s="88" t="n">
        <f aca="false">MAX(AJ160,AH161-AI161)</f>
        <v>2866.36898770914</v>
      </c>
      <c r="AK161" s="88" t="n">
        <f aca="false">AJ161-AJ160</f>
        <v>16.7943163616269</v>
      </c>
      <c r="AL161" s="88" t="n">
        <f aca="false">IF(B161=2026,INDEX($C$8:$Q$8,1,B161-2025)*$AO$4*C161/MAX(0.0001,12-$AO$3),INDEX($C$8:$Q$8,1,B161-2025)/12)</f>
        <v>4.24816860722254</v>
      </c>
      <c r="AM161" s="88" t="n">
        <f aca="false">$AO$6*0</f>
        <v>0</v>
      </c>
      <c r="AN161" s="88" t="n">
        <f aca="false">AL161+AN160</f>
        <v>933.994911261074</v>
      </c>
      <c r="AO161" s="88" t="n">
        <f aca="false">AM161+AO160</f>
        <v>66</v>
      </c>
      <c r="AP161" s="88" t="n">
        <f aca="false">MAX(AP160,AN161-AO161)</f>
        <v>867.994911261074</v>
      </c>
      <c r="AQ161" s="88" t="n">
        <f aca="false">AP161-AP160</f>
        <v>4.24816860722251</v>
      </c>
      <c r="AR161" s="88" t="n">
        <f aca="false">IF(B161=2026,INDEX($C$9:$Q$9,1,B161-2025)*$AO$4*C161/MAX(0.0001,12-$AO$3),INDEX($C$9:$Q$9,1,B161-2025)/12)</f>
        <v>18.1139485035592</v>
      </c>
      <c r="AS161" s="88" t="n">
        <f aca="false">$AO$6*0</f>
        <v>0</v>
      </c>
      <c r="AT161" s="88" t="n">
        <f aca="false">AR161+AT160</f>
        <v>3982.50099970271</v>
      </c>
      <c r="AU161" s="88" t="n">
        <f aca="false">AS161+AU160</f>
        <v>1810</v>
      </c>
      <c r="AV161" s="88" t="n">
        <f aca="false">MAX(AV160,AT161-AU161)</f>
        <v>2172.50099970271</v>
      </c>
      <c r="AW161" s="88" t="n">
        <f aca="false">AV161-AV160</f>
        <v>18.1139485035592</v>
      </c>
      <c r="AX161" s="88" t="n">
        <f aca="false">IF(B161=2026,INDEX($C$10:$Q$10,1,B161-2025)*$AO$4*C161/MAX(0.0001,12-$AO$3),INDEX($C$10:$Q$10,1,B161-2025)/12)</f>
        <v>2.10112619397431</v>
      </c>
      <c r="AY161" s="88" t="n">
        <f aca="false">$AO$6*0</f>
        <v>0</v>
      </c>
      <c r="AZ161" s="88" t="n">
        <f aca="false">AX161+AZ160</f>
        <v>461.949925846375</v>
      </c>
      <c r="BA161" s="88" t="n">
        <f aca="false">AY161+BA160</f>
        <v>50</v>
      </c>
      <c r="BB161" s="88" t="n">
        <f aca="false">MAX(BB160,AZ161-BA161)</f>
        <v>411.949925846375</v>
      </c>
      <c r="BC161" s="88" t="n">
        <f aca="false">BB161-BB160</f>
        <v>2.10112619397432</v>
      </c>
      <c r="BD161" s="88" t="n">
        <f aca="false">IF(B161=2026,INDEX($C$11:$Q$11,1,B161-2025)*$AO$4*C161/MAX(0.0001,12-$AO$3),INDEX($C$11:$Q$11,1,B161-2025)/12)</f>
        <v>10.4413482628881</v>
      </c>
      <c r="BE161" s="88" t="n">
        <f aca="false">$AO$6*0</f>
        <v>0</v>
      </c>
      <c r="BF161" s="88" t="n">
        <f aca="false">BD161+BF160</f>
        <v>2295.61654583623</v>
      </c>
      <c r="BG161" s="88" t="n">
        <f aca="false">BE161+BG160</f>
        <v>240</v>
      </c>
      <c r="BH161" s="88" t="n">
        <f aca="false">MAX(BH160,BF161-BG161)</f>
        <v>2055.61654583623</v>
      </c>
      <c r="BI161" s="88" t="n">
        <f aca="false">BH161-BH160</f>
        <v>10.4413482628877</v>
      </c>
      <c r="BJ161" s="88" t="n">
        <f aca="false">IF(B161=2026,INDEX($C$12:$Q$12,1,B161-2025)*$AO$4*C161/MAX(0.0001,12-$AO$3),INDEX($C$12:$Q$12,1,B161-2025)/12)</f>
        <v>5.72483421907162</v>
      </c>
      <c r="BK161" s="88" t="n">
        <f aca="false">$AO$6*0</f>
        <v>0</v>
      </c>
      <c r="BL161" s="88" t="n">
        <f aca="false">BJ161+BL160</f>
        <v>1258.65202697828</v>
      </c>
      <c r="BM161" s="88" t="n">
        <f aca="false">BK161+BM160</f>
        <v>465</v>
      </c>
      <c r="BN161" s="88" t="n">
        <f aca="false">MAX(BN160,BL161-BM161)</f>
        <v>793.652026978285</v>
      </c>
      <c r="BO161" s="88" t="n">
        <f aca="false">BN161-BN160</f>
        <v>5.72483421907168</v>
      </c>
      <c r="BP161" s="88" t="n">
        <f aca="false">IF(B161=2026,INDEX($C$13:$Q$13,1,B161-2025)*$AO$4*C161/MAX(0.0001,12-$AO$3),INDEX($C$13:$Q$13,1,B161-2025)/12)</f>
        <v>1.78899617501633</v>
      </c>
      <c r="BQ161" s="88" t="n">
        <f aca="false">$AO$6*0</f>
        <v>0</v>
      </c>
      <c r="BR161" s="88" t="n">
        <f aca="false">BP161+BR160</f>
        <v>393.325566431135</v>
      </c>
      <c r="BS161" s="88" t="n">
        <f aca="false">BQ161+BS160</f>
        <v>87</v>
      </c>
      <c r="BT161" s="88" t="n">
        <f aca="false">MAX(BT160,BR161-BS161)</f>
        <v>306.325566431135</v>
      </c>
      <c r="BU161" s="88" t="n">
        <f aca="false">BT161-BT160</f>
        <v>1.78899617501634</v>
      </c>
      <c r="BV161" s="88" t="n">
        <f aca="false">IF(B161=2026,INDEX($C$14:$Q$14,1,B161-2025)*$AO$4*C161/MAX(0.0001,12-$AO$3),INDEX($C$14:$Q$14,1,B161-2025)/12)</f>
        <v>1.06105980035451</v>
      </c>
      <c r="BW161" s="88" t="n">
        <f aca="false">$AO$6*0</f>
        <v>0</v>
      </c>
      <c r="BX161" s="88" t="n">
        <f aca="false">BV161+BX160</f>
        <v>233.282749745363</v>
      </c>
      <c r="BY161" s="88" t="n">
        <f aca="false">BW161+BY160</f>
        <v>0</v>
      </c>
      <c r="BZ161" s="88" t="n">
        <f aca="false">MAX(BZ160,BX161-BY161)</f>
        <v>233.282749745363</v>
      </c>
      <c r="CA161" s="88" t="n">
        <f aca="false">BZ161-BZ160</f>
        <v>1.06105980035451</v>
      </c>
      <c r="CB161" s="88" t="n">
        <f aca="false">IF(B161=2026,INDEX($C$15:$Q$15,1,B161-2025)*$AO$4*C161/MAX(0.0001,12-$AO$3),INDEX($C$15:$Q$15,1,B161-2025)/12)</f>
        <v>1.73964455639519</v>
      </c>
      <c r="CC161" s="88" t="n">
        <f aca="false">$AO$6*0</f>
        <v>0</v>
      </c>
      <c r="CD161" s="88" t="n">
        <f aca="false">CB161+CD160</f>
        <v>382.475205977862</v>
      </c>
      <c r="CE161" s="88" t="n">
        <f aca="false">CC161+CE160</f>
        <v>88.0000000000001</v>
      </c>
      <c r="CF161" s="88" t="n">
        <f aca="false">MAX(CF160,CD161-CE161)</f>
        <v>294.475205977862</v>
      </c>
      <c r="CG161" s="88" t="n">
        <f aca="false">CF161-CF160</f>
        <v>1.73964455639521</v>
      </c>
      <c r="CH161" s="88" t="n">
        <f aca="false">IF(B161=2026,INDEX($C$16:$Q$16,1,B161-2025)*$AO$4*C161/MAX(0.0001,12-$AO$3),INDEX($C$16:$Q$16,1,B161-2025)/12)</f>
        <v>1.37567636906428</v>
      </c>
      <c r="CI161" s="88" t="n">
        <f aca="false">$AO$6*0</f>
        <v>0</v>
      </c>
      <c r="CJ161" s="88" t="n">
        <f aca="false">CH161+CJ160</f>
        <v>302.453797634977</v>
      </c>
      <c r="CK161" s="88" t="n">
        <f aca="false">CI161+CK160</f>
        <v>70</v>
      </c>
      <c r="CL161" s="88" t="n">
        <f aca="false">MAX(CL160,CJ161-CK161)</f>
        <v>232.453797634977</v>
      </c>
      <c r="CM161" s="88" t="n">
        <f aca="false">CL161-CL160</f>
        <v>1.37567636906425</v>
      </c>
      <c r="CN161" s="88" t="n">
        <f aca="false">IF(B161=2026,INDEX($C$17:$Q$17,1,B161-2025)*$AO$4*C161/MAX(0.0001,12-$AO$3),INDEX($C$17:$Q$17,1,B161-2025)/12)</f>
        <v>5.99005271014087</v>
      </c>
      <c r="CO161" s="88" t="n">
        <f aca="false">$AO$6*0</f>
        <v>0</v>
      </c>
      <c r="CP161" s="88" t="n">
        <f aca="false">CN161+CP160</f>
        <v>1316.96250001598</v>
      </c>
      <c r="CQ161" s="88" t="n">
        <f aca="false">CO161+CQ160</f>
        <v>221</v>
      </c>
      <c r="CR161" s="88" t="n">
        <f aca="false">MAX(CR160,CP161-CQ161)</f>
        <v>1095.96250001598</v>
      </c>
      <c r="CS161" s="88" t="n">
        <f aca="false">CR161-CR160</f>
        <v>5.99005271014084</v>
      </c>
      <c r="CT161" s="88" t="n">
        <f aca="false">IF(B161=2026,INDEX($C$18:$Q$18,1,B161-2025)*$AO$4*C161/MAX(0.0001,12-$AO$3),INDEX($C$18:$Q$18,1,B161-2025)/12)</f>
        <v>1.24612837018379</v>
      </c>
      <c r="CU161" s="88" t="n">
        <f aca="false">$AO$6*0</f>
        <v>0</v>
      </c>
      <c r="CV161" s="88" t="n">
        <f aca="false">CT161+CV160</f>
        <v>273.971601445136</v>
      </c>
      <c r="CW161" s="88" t="n">
        <f aca="false">CU161+CW160</f>
        <v>11</v>
      </c>
      <c r="CX161" s="88" t="n">
        <f aca="false">MAX(CX160,CV161-CW161)</f>
        <v>262.971601445136</v>
      </c>
      <c r="CY161" s="88" t="n">
        <f aca="false">CX161-CX160</f>
        <v>1.24612837018378</v>
      </c>
      <c r="CZ161" s="88" t="n">
        <f aca="false">IF(B161=2026,INDEX($C$19:$Q$19,1,B161-2025)*$AO$4*C161/MAX(0.0001,12-$AO$3),INDEX($C$19:$Q$19,1,B161-2025)/12)</f>
        <v>1.2337904655285</v>
      </c>
      <c r="DA161" s="88" t="n">
        <f aca="false">$AO$6*0</f>
        <v>0</v>
      </c>
      <c r="DB161" s="88" t="n">
        <f aca="false">CZ161+DB160</f>
        <v>271.259011331818</v>
      </c>
      <c r="DC161" s="88" t="n">
        <f aca="false">DA161+DC160</f>
        <v>226</v>
      </c>
      <c r="DD161" s="88" t="n">
        <f aca="false">MAX(DD160,DB161-DC161)</f>
        <v>45.2590113318183</v>
      </c>
      <c r="DE161" s="88" t="n">
        <f aca="false">DD161-DD160</f>
        <v>1.2337904655285</v>
      </c>
      <c r="DF161" s="88" t="n">
        <f aca="false">IF(B161=2026,INDEX($C$20:$Q$20,1,B161-2025)*$AO$4*C161/MAX(0.0001,12-$AO$3),INDEX($C$20:$Q$20,1,B161-2025)/12)</f>
        <v>1.00553922940573</v>
      </c>
      <c r="DG161" s="88" t="n">
        <f aca="false">$AO$6*0</f>
        <v>0</v>
      </c>
      <c r="DH161" s="88" t="n">
        <f aca="false">DF161+DH160</f>
        <v>221.076094235431</v>
      </c>
      <c r="DI161" s="88" t="n">
        <f aca="false">DG161+DI160</f>
        <v>0</v>
      </c>
      <c r="DJ161" s="88" t="n">
        <f aca="false">MAX(DJ160,DH161-DI161)</f>
        <v>221.076094235431</v>
      </c>
      <c r="DK161" s="88" t="n">
        <f aca="false">DJ161-DJ160</f>
        <v>1.00553922940574</v>
      </c>
      <c r="DL161" s="88" t="n">
        <f aca="false">IF(B161=2026,INDEX($C$21:$Q$21,1,B161-2025)*$AO$4*C161/MAX(0.0001,12-$AO$3),INDEX($C$21:$Q$21,1,B161-2025)/12)</f>
        <v>0.703260565351246</v>
      </c>
      <c r="DM161" s="88" t="n">
        <f aca="false">$AO$6*0</f>
        <v>0</v>
      </c>
      <c r="DN161" s="88" t="n">
        <f aca="false">DL161+DN160</f>
        <v>154.617636459136</v>
      </c>
      <c r="DO161" s="88" t="n">
        <f aca="false">DM161+DO160</f>
        <v>100</v>
      </c>
      <c r="DP161" s="88" t="n">
        <f aca="false">MAX(DP160,DN161-DO161)</f>
        <v>54.617636459136</v>
      </c>
      <c r="DQ161" s="88" t="n">
        <f aca="false">DP161-DP160</f>
        <v>0.703260565351258</v>
      </c>
      <c r="DR161" s="88" t="n">
        <f aca="false">IF(B161=2026,INDEX($C$22:$Q$22,1,B161-2025)*$AO$4*C161/MAX(0.0001,12-$AO$3),INDEX($C$22:$Q$22,1,B161-2025)/12)</f>
        <v>0.549036757160183</v>
      </c>
      <c r="DS161" s="88" t="n">
        <f aca="false">$AO$6*0</f>
        <v>0</v>
      </c>
      <c r="DT161" s="88" t="n">
        <f aca="false">DR161+DT160</f>
        <v>120.710260042659</v>
      </c>
      <c r="DU161" s="88" t="n">
        <f aca="false">DS161+DU160</f>
        <v>29</v>
      </c>
      <c r="DV161" s="88" t="n">
        <f aca="false">MAX(DV160,DT161-DU161)</f>
        <v>91.7102600426591</v>
      </c>
      <c r="DW161" s="88" t="n">
        <f aca="false">DV161-DV160</f>
        <v>0.549036757160195</v>
      </c>
      <c r="DX161" s="88" t="n">
        <f aca="false">IF(B161=2026,INDEX($C$23:$Q$23,1,B161-2025)*$AO$4*C161/MAX(0.0001,12-$AO$3),INDEX($C$23:$Q$23,1,B161-2025)/12)</f>
        <v>0.882160182852878</v>
      </c>
      <c r="DY161" s="88" t="n">
        <f aca="false">$AO$6*0</f>
        <v>0</v>
      </c>
      <c r="DZ161" s="88" t="n">
        <f aca="false">DX161+DZ160</f>
        <v>193.95019310225</v>
      </c>
      <c r="EA161" s="88" t="n">
        <f aca="false">DY161+EA160</f>
        <v>121</v>
      </c>
      <c r="EB161" s="88" t="n">
        <f aca="false">MAX(EB160,DZ161-EA161)</f>
        <v>72.9501931022499</v>
      </c>
      <c r="EC161" s="88" t="n">
        <f aca="false">EB161-EB160</f>
        <v>0.882160182852886</v>
      </c>
      <c r="ED161" s="88" t="n">
        <f aca="false">IF(B161=2026,INDEX($C$24:$Q$24,1,B161-2025)*$AO$4*C161/MAX(0.0001,12-$AO$3),INDEX($C$24:$Q$24,1,B161-2025)/12)</f>
        <v>0.54286780483254</v>
      </c>
      <c r="EE161" s="88" t="n">
        <f aca="false">$AO$6*0</f>
        <v>0</v>
      </c>
      <c r="EF161" s="88" t="n">
        <f aca="false">ED161+EF160</f>
        <v>119.353964986</v>
      </c>
      <c r="EG161" s="88" t="n">
        <f aca="false">EE161+EG160</f>
        <v>0</v>
      </c>
      <c r="EH161" s="88" t="n">
        <f aca="false">MAX(EH160,EF161-EG161)</f>
        <v>119.353964986</v>
      </c>
      <c r="EI161" s="88" t="n">
        <f aca="false">EH161-EH160</f>
        <v>0.54286780483254</v>
      </c>
      <c r="EJ161" s="88" t="n">
        <f aca="false">IF(B161=2026,INDEX($C$25:$Q$25,1,B161-2025)*$AO$4*C161/MAX(0.0001,12-$AO$3),INDEX($C$25:$Q$25,1,B161-2025)/12)</f>
        <v>0.690922660695961</v>
      </c>
      <c r="EK161" s="88" t="n">
        <f aca="false">$AO$6*0</f>
        <v>0</v>
      </c>
      <c r="EL161" s="88" t="n">
        <f aca="false">EJ161+EL160</f>
        <v>151.905046345818</v>
      </c>
      <c r="EM161" s="88" t="n">
        <f aca="false">EK161+EM160</f>
        <v>14</v>
      </c>
      <c r="EN161" s="88" t="n">
        <f aca="false">MAX(EN160,EL161-EM161)</f>
        <v>137.905046345818</v>
      </c>
      <c r="EO161" s="88" t="n">
        <f aca="false">EN161-EN160</f>
        <v>0.690922660695946</v>
      </c>
      <c r="EP161" s="88" t="n">
        <f aca="false">IF(B161=2026,INDEX($C$26:$Q$26,1,B161-2025)*$AO$4*C161/MAX(0.0001,12-$AO$3),INDEX($C$26:$Q$26,1,B161-2025)/12)</f>
        <v>0.993201324750443</v>
      </c>
      <c r="EQ161" s="88" t="n">
        <f aca="false">$AO$6*0</f>
        <v>0</v>
      </c>
      <c r="ER161" s="88" t="n">
        <f aca="false">EP161+ER160</f>
        <v>218.363504122112</v>
      </c>
      <c r="ES161" s="88" t="n">
        <f aca="false">EQ161+ES160</f>
        <v>4</v>
      </c>
      <c r="ET161" s="88" t="n">
        <f aca="false">MAX(ET160,ER161-ES161)</f>
        <v>214.363504122112</v>
      </c>
      <c r="EU161" s="88" t="n">
        <f aca="false">ET161-ET160</f>
        <v>0.99320132475043</v>
      </c>
      <c r="EV161" s="88" t="n">
        <f aca="false">IF(B161=2026,INDEX($C$27:$Q$27,1,B161-2025)*$AO$4*C161/MAX(0.0001,12-$AO$3),INDEX($C$27:$Q$27,1,B161-2025)/12)</f>
        <v>2.467580931057</v>
      </c>
      <c r="EW161" s="88" t="n">
        <f aca="false">$AO$6*0</f>
        <v>0</v>
      </c>
      <c r="EX161" s="88" t="n">
        <f aca="false">EV161+EX160</f>
        <v>542.518022663636</v>
      </c>
      <c r="EY161" s="88" t="n">
        <f aca="false">EW161+EY160</f>
        <v>391</v>
      </c>
      <c r="EZ161" s="88" t="n">
        <f aca="false">MAX(EZ160,EX161-EY161)</f>
        <v>151.518022663636</v>
      </c>
      <c r="FA161" s="88" t="n">
        <f aca="false">EZ161-EZ160</f>
        <v>2.467580931057</v>
      </c>
      <c r="FB161" s="88" t="n">
        <f aca="false">IF(B161=2026,INDEX($C$28:$Q$28,1,B161-2025)*$AO$4*C161/MAX(0.0001,12-$AO$3),INDEX($C$28:$Q$28,1,B161-2025)/12)</f>
        <v>12.9177861740834</v>
      </c>
      <c r="FC161" s="88" t="n">
        <f aca="false">$AO$6*0</f>
        <v>0</v>
      </c>
      <c r="FD161" s="88" t="n">
        <f aca="false">FB161+FD160</f>
        <v>2840.08184864413</v>
      </c>
      <c r="FE161" s="88" t="n">
        <f aca="false">FC161+FE160</f>
        <v>169</v>
      </c>
      <c r="FF161" s="88" t="n">
        <f aca="false">MAX(FF160,FD161-FE161)</f>
        <v>2671.08184864413</v>
      </c>
      <c r="FG161" s="88" t="n">
        <f aca="false">FF161-FF160</f>
        <v>12.9177861740836</v>
      </c>
    </row>
    <row r="162" customFormat="false" ht="15" hidden="false" customHeight="false" outlineLevel="0" collapsed="false">
      <c r="A162" s="0" t="n">
        <v>122</v>
      </c>
      <c r="B162" s="88" t="n">
        <f aca="false">2026+INT(A162/12)</f>
        <v>2036</v>
      </c>
      <c r="C162" s="88" t="n">
        <f aca="false">MAX(0,MIN(1,A162+1-$AO$3))</f>
        <v>1</v>
      </c>
      <c r="D162" s="88" t="n">
        <f aca="false">IF((A162+0.5-(0))&lt;$AO$3,0,2026+INT((A162+0.5-(0))/12))</f>
        <v>2036</v>
      </c>
      <c r="E162" s="88" t="n">
        <f aca="false">IF((A162+0.5-($AO$9))&lt;$AO$3,0,2026+INT((A162+0.5-($AO$9))/12))</f>
        <v>2034</v>
      </c>
      <c r="F162" s="88" t="n">
        <f aca="false">IF((A162+0.5-($AO$9+$AO$8))&lt;$AO$3,0,2026+INT((A162+0.5-($AO$9+$AO$8))/12))</f>
        <v>2033</v>
      </c>
      <c r="G162" s="88" t="n">
        <f aca="false">IF((A162+0.5-($AO$9+$AO$8+$AO$7))&lt;$AO$3,0,2026+INT((A162+0.5-($AO$9+$AO$8+$AO$7))/12))</f>
        <v>2033</v>
      </c>
      <c r="H162" s="88" t="n">
        <f aca="false">IF(B162=2026,INDEX($C$3:$Q$3,1,B162-2025)*$AO$4*C162/MAX(0.0001,12-$AO$3),INDEX($C$3:$Q$3,1,B162-2025)/12)</f>
        <v>132.25</v>
      </c>
      <c r="I162" s="88" t="n">
        <f aca="false">$AO$6*0</f>
        <v>0</v>
      </c>
      <c r="J162" s="88" t="n">
        <f aca="false">H162+J161</f>
        <v>29208.5034246576</v>
      </c>
      <c r="K162" s="88" t="n">
        <f aca="false">I162+K161</f>
        <v>8695.00000000001</v>
      </c>
      <c r="L162" s="88" t="n">
        <f aca="false">MAX(L161,J162-K162)</f>
        <v>20513.5034246576</v>
      </c>
      <c r="M162" s="88" t="n">
        <f aca="false">L162-L161</f>
        <v>132.25</v>
      </c>
      <c r="N162" s="88" t="n">
        <f aca="false">IF(B162=2026,INDEX($C$4:$Q$4,1,B162-2025)*$AO$4*C162/MAX(0.0001,12-$AO$3),INDEX($C$4:$Q$4,1,B162-2025)/12)</f>
        <v>4.00940426699819</v>
      </c>
      <c r="O162" s="88" t="n">
        <f aca="false">$AO$6*0</f>
        <v>0</v>
      </c>
      <c r="P162" s="88" t="n">
        <f aca="false">N162+P161</f>
        <v>885.510005772802</v>
      </c>
      <c r="Q162" s="88" t="n">
        <f aca="false">O162+Q161</f>
        <v>398</v>
      </c>
      <c r="R162" s="88" t="n">
        <f aca="false">MAX(R161,P162-Q162)</f>
        <v>487.510005772802</v>
      </c>
      <c r="S162" s="88" t="n">
        <f aca="false">R162-R161</f>
        <v>4.00940426699822</v>
      </c>
      <c r="T162" s="88" t="n">
        <f aca="false">IF(B162=2026,INDEX($C$5:$Q$5,1,B162-2025)*$AO$4*C162/MAX(0.0001,12-$AO$3),INDEX($C$5:$Q$5,1,B162-2025)/12)</f>
        <v>16.2956662203121</v>
      </c>
      <c r="U162" s="88" t="n">
        <f aca="false">$AO$6*0</f>
        <v>0</v>
      </c>
      <c r="V162" s="88" t="n">
        <f aca="false">T162+V161</f>
        <v>3599.03230701748</v>
      </c>
      <c r="W162" s="88" t="n">
        <f aca="false">U162+W161</f>
        <v>1115</v>
      </c>
      <c r="X162" s="88" t="n">
        <f aca="false">MAX(X161,V162-W162)</f>
        <v>2484.03230701748</v>
      </c>
      <c r="Y162" s="88" t="n">
        <f aca="false">X162-X161</f>
        <v>16.2956662203114</v>
      </c>
      <c r="Z162" s="88" t="n">
        <f aca="false">IF(B162=2026,INDEX($C$6:$Q$6,1,B162-2025)*$AO$4*C162/MAX(0.0001,12-$AO$3),INDEX($C$6:$Q$6,1,B162-2025)/12)</f>
        <v>19.3334832874743</v>
      </c>
      <c r="AA162" s="88" t="n">
        <f aca="false">$AO$6*0</f>
        <v>0</v>
      </c>
      <c r="AB162" s="88" t="n">
        <f aca="false">Z162+AB161</f>
        <v>4269.95926512479</v>
      </c>
      <c r="AC162" s="88" t="n">
        <f aca="false">AA162+AC161</f>
        <v>2194</v>
      </c>
      <c r="AD162" s="88" t="n">
        <f aca="false">MAX(AD161,AB162-AC162)</f>
        <v>2075.95926512479</v>
      </c>
      <c r="AE162" s="88" t="n">
        <f aca="false">AD162-AD161</f>
        <v>19.3334832874743</v>
      </c>
      <c r="AF162" s="88" t="n">
        <f aca="false">IF(B162=2026,INDEX($C$7:$Q$7,1,B162-2025)*$AO$4*C162/MAX(0.0001,12-$AO$3),INDEX($C$7:$Q$7,1,B162-2025)/12)</f>
        <v>16.7943163616268</v>
      </c>
      <c r="AG162" s="88" t="n">
        <f aca="false">$AO$6*0</f>
        <v>0</v>
      </c>
      <c r="AH162" s="88" t="n">
        <f aca="false">AF162+AH161</f>
        <v>3709.16330407076</v>
      </c>
      <c r="AI162" s="88" t="n">
        <f aca="false">AG162+AI161</f>
        <v>826</v>
      </c>
      <c r="AJ162" s="88" t="n">
        <f aca="false">MAX(AJ161,AH162-AI162)</f>
        <v>2883.16330407076</v>
      </c>
      <c r="AK162" s="88" t="n">
        <f aca="false">AJ162-AJ161</f>
        <v>16.7943163616269</v>
      </c>
      <c r="AL162" s="88" t="n">
        <f aca="false">IF(B162=2026,INDEX($C$8:$Q$8,1,B162-2025)*$AO$4*C162/MAX(0.0001,12-$AO$3),INDEX($C$8:$Q$8,1,B162-2025)/12)</f>
        <v>4.24816860722254</v>
      </c>
      <c r="AM162" s="88" t="n">
        <f aca="false">$AO$6*0</f>
        <v>0</v>
      </c>
      <c r="AN162" s="88" t="n">
        <f aca="false">AL162+AN161</f>
        <v>938.243079868297</v>
      </c>
      <c r="AO162" s="88" t="n">
        <f aca="false">AM162+AO161</f>
        <v>66</v>
      </c>
      <c r="AP162" s="88" t="n">
        <f aca="false">MAX(AP161,AN162-AO162)</f>
        <v>872.243079868297</v>
      </c>
      <c r="AQ162" s="88" t="n">
        <f aca="false">AP162-AP161</f>
        <v>4.24816860722251</v>
      </c>
      <c r="AR162" s="88" t="n">
        <f aca="false">IF(B162=2026,INDEX($C$9:$Q$9,1,B162-2025)*$AO$4*C162/MAX(0.0001,12-$AO$3),INDEX($C$9:$Q$9,1,B162-2025)/12)</f>
        <v>18.1139485035592</v>
      </c>
      <c r="AS162" s="88" t="n">
        <f aca="false">$AO$6*0</f>
        <v>0</v>
      </c>
      <c r="AT162" s="88" t="n">
        <f aca="false">AR162+AT161</f>
        <v>4000.61494820627</v>
      </c>
      <c r="AU162" s="88" t="n">
        <f aca="false">AS162+AU161</f>
        <v>1810</v>
      </c>
      <c r="AV162" s="88" t="n">
        <f aca="false">MAX(AV161,AT162-AU162)</f>
        <v>2190.61494820627</v>
      </c>
      <c r="AW162" s="88" t="n">
        <f aca="false">AV162-AV161</f>
        <v>18.1139485035592</v>
      </c>
      <c r="AX162" s="88" t="n">
        <f aca="false">IF(B162=2026,INDEX($C$10:$Q$10,1,B162-2025)*$AO$4*C162/MAX(0.0001,12-$AO$3),INDEX($C$10:$Q$10,1,B162-2025)/12)</f>
        <v>2.10112619397431</v>
      </c>
      <c r="AY162" s="88" t="n">
        <f aca="false">$AO$6*0</f>
        <v>0</v>
      </c>
      <c r="AZ162" s="88" t="n">
        <f aca="false">AX162+AZ161</f>
        <v>464.05105204035</v>
      </c>
      <c r="BA162" s="88" t="n">
        <f aca="false">AY162+BA161</f>
        <v>50</v>
      </c>
      <c r="BB162" s="88" t="n">
        <f aca="false">MAX(BB161,AZ162-BA162)</f>
        <v>414.05105204035</v>
      </c>
      <c r="BC162" s="88" t="n">
        <f aca="false">BB162-BB161</f>
        <v>2.10112619397432</v>
      </c>
      <c r="BD162" s="88" t="n">
        <f aca="false">IF(B162=2026,INDEX($C$11:$Q$11,1,B162-2025)*$AO$4*C162/MAX(0.0001,12-$AO$3),INDEX($C$11:$Q$11,1,B162-2025)/12)</f>
        <v>10.4413482628881</v>
      </c>
      <c r="BE162" s="88" t="n">
        <f aca="false">$AO$6*0</f>
        <v>0</v>
      </c>
      <c r="BF162" s="88" t="n">
        <f aca="false">BD162+BF161</f>
        <v>2306.05789409912</v>
      </c>
      <c r="BG162" s="88" t="n">
        <f aca="false">BE162+BG161</f>
        <v>240</v>
      </c>
      <c r="BH162" s="88" t="n">
        <f aca="false">MAX(BH161,BF162-BG162)</f>
        <v>2066.05789409912</v>
      </c>
      <c r="BI162" s="88" t="n">
        <f aca="false">BH162-BH161</f>
        <v>10.4413482628879</v>
      </c>
      <c r="BJ162" s="88" t="n">
        <f aca="false">IF(B162=2026,INDEX($C$12:$Q$12,1,B162-2025)*$AO$4*C162/MAX(0.0001,12-$AO$3),INDEX($C$12:$Q$12,1,B162-2025)/12)</f>
        <v>5.72483421907162</v>
      </c>
      <c r="BK162" s="88" t="n">
        <f aca="false">$AO$6*0</f>
        <v>0</v>
      </c>
      <c r="BL162" s="88" t="n">
        <f aca="false">BJ162+BL161</f>
        <v>1264.37686119736</v>
      </c>
      <c r="BM162" s="88" t="n">
        <f aca="false">BK162+BM161</f>
        <v>465</v>
      </c>
      <c r="BN162" s="88" t="n">
        <f aca="false">MAX(BN161,BL162-BM162)</f>
        <v>799.376861197356</v>
      </c>
      <c r="BO162" s="88" t="n">
        <f aca="false">BN162-BN161</f>
        <v>5.72483421907168</v>
      </c>
      <c r="BP162" s="88" t="n">
        <f aca="false">IF(B162=2026,INDEX($C$13:$Q$13,1,B162-2025)*$AO$4*C162/MAX(0.0001,12-$AO$3),INDEX($C$13:$Q$13,1,B162-2025)/12)</f>
        <v>1.78899617501633</v>
      </c>
      <c r="BQ162" s="88" t="n">
        <f aca="false">$AO$6*0</f>
        <v>0</v>
      </c>
      <c r="BR162" s="88" t="n">
        <f aca="false">BP162+BR161</f>
        <v>395.114562606151</v>
      </c>
      <c r="BS162" s="88" t="n">
        <f aca="false">BQ162+BS161</f>
        <v>87</v>
      </c>
      <c r="BT162" s="88" t="n">
        <f aca="false">MAX(BT161,BR162-BS162)</f>
        <v>308.114562606151</v>
      </c>
      <c r="BU162" s="88" t="n">
        <f aca="false">BT162-BT161</f>
        <v>1.78899617501634</v>
      </c>
      <c r="BV162" s="88" t="n">
        <f aca="false">IF(B162=2026,INDEX($C$14:$Q$14,1,B162-2025)*$AO$4*C162/MAX(0.0001,12-$AO$3),INDEX($C$14:$Q$14,1,B162-2025)/12)</f>
        <v>1.06105980035451</v>
      </c>
      <c r="BW162" s="88" t="n">
        <f aca="false">$AO$6*0</f>
        <v>0</v>
      </c>
      <c r="BX162" s="88" t="n">
        <f aca="false">BV162+BX161</f>
        <v>234.343809545718</v>
      </c>
      <c r="BY162" s="88" t="n">
        <f aca="false">BW162+BY161</f>
        <v>0</v>
      </c>
      <c r="BZ162" s="88" t="n">
        <f aca="false">MAX(BZ161,BX162-BY162)</f>
        <v>234.343809545718</v>
      </c>
      <c r="CA162" s="88" t="n">
        <f aca="false">BZ162-BZ161</f>
        <v>1.06105980035451</v>
      </c>
      <c r="CB162" s="88" t="n">
        <f aca="false">IF(B162=2026,INDEX($C$15:$Q$15,1,B162-2025)*$AO$4*C162/MAX(0.0001,12-$AO$3),INDEX($C$15:$Q$15,1,B162-2025)/12)</f>
        <v>1.73964455639519</v>
      </c>
      <c r="CC162" s="88" t="n">
        <f aca="false">$AO$6*0</f>
        <v>0</v>
      </c>
      <c r="CD162" s="88" t="n">
        <f aca="false">CB162+CD161</f>
        <v>384.214850534257</v>
      </c>
      <c r="CE162" s="88" t="n">
        <f aca="false">CC162+CE161</f>
        <v>88.0000000000001</v>
      </c>
      <c r="CF162" s="88" t="n">
        <f aca="false">MAX(CF161,CD162-CE162)</f>
        <v>296.214850534257</v>
      </c>
      <c r="CG162" s="88" t="n">
        <f aca="false">CF162-CF161</f>
        <v>1.73964455639521</v>
      </c>
      <c r="CH162" s="88" t="n">
        <f aca="false">IF(B162=2026,INDEX($C$16:$Q$16,1,B162-2025)*$AO$4*C162/MAX(0.0001,12-$AO$3),INDEX($C$16:$Q$16,1,B162-2025)/12)</f>
        <v>1.37567636906428</v>
      </c>
      <c r="CI162" s="88" t="n">
        <f aca="false">$AO$6*0</f>
        <v>0</v>
      </c>
      <c r="CJ162" s="88" t="n">
        <f aca="false">CH162+CJ161</f>
        <v>303.829474004041</v>
      </c>
      <c r="CK162" s="88" t="n">
        <f aca="false">CI162+CK161</f>
        <v>70</v>
      </c>
      <c r="CL162" s="88" t="n">
        <f aca="false">MAX(CL161,CJ162-CK162)</f>
        <v>233.829474004041</v>
      </c>
      <c r="CM162" s="88" t="n">
        <f aca="false">CL162-CL161</f>
        <v>1.37567636906425</v>
      </c>
      <c r="CN162" s="88" t="n">
        <f aca="false">IF(B162=2026,INDEX($C$17:$Q$17,1,B162-2025)*$AO$4*C162/MAX(0.0001,12-$AO$3),INDEX($C$17:$Q$17,1,B162-2025)/12)</f>
        <v>5.99005271014087</v>
      </c>
      <c r="CO162" s="88" t="n">
        <f aca="false">$AO$6*0</f>
        <v>0</v>
      </c>
      <c r="CP162" s="88" t="n">
        <f aca="false">CN162+CP161</f>
        <v>1322.95255272612</v>
      </c>
      <c r="CQ162" s="88" t="n">
        <f aca="false">CO162+CQ161</f>
        <v>221</v>
      </c>
      <c r="CR162" s="88" t="n">
        <f aca="false">MAX(CR161,CP162-CQ162)</f>
        <v>1101.95255272612</v>
      </c>
      <c r="CS162" s="88" t="n">
        <f aca="false">CR162-CR161</f>
        <v>5.99005271014084</v>
      </c>
      <c r="CT162" s="88" t="n">
        <f aca="false">IF(B162=2026,INDEX($C$18:$Q$18,1,B162-2025)*$AO$4*C162/MAX(0.0001,12-$AO$3),INDEX($C$18:$Q$18,1,B162-2025)/12)</f>
        <v>1.24612837018379</v>
      </c>
      <c r="CU162" s="88" t="n">
        <f aca="false">$AO$6*0</f>
        <v>0</v>
      </c>
      <c r="CV162" s="88" t="n">
        <f aca="false">CT162+CV161</f>
        <v>275.21772981532</v>
      </c>
      <c r="CW162" s="88" t="n">
        <f aca="false">CU162+CW161</f>
        <v>11</v>
      </c>
      <c r="CX162" s="88" t="n">
        <f aca="false">MAX(CX161,CV162-CW162)</f>
        <v>264.21772981532</v>
      </c>
      <c r="CY162" s="88" t="n">
        <f aca="false">CX162-CX161</f>
        <v>1.24612837018378</v>
      </c>
      <c r="CZ162" s="88" t="n">
        <f aca="false">IF(B162=2026,INDEX($C$19:$Q$19,1,B162-2025)*$AO$4*C162/MAX(0.0001,12-$AO$3),INDEX($C$19:$Q$19,1,B162-2025)/12)</f>
        <v>1.2337904655285</v>
      </c>
      <c r="DA162" s="88" t="n">
        <f aca="false">$AO$6*0</f>
        <v>0</v>
      </c>
      <c r="DB162" s="88" t="n">
        <f aca="false">CZ162+DB161</f>
        <v>272.492801797347</v>
      </c>
      <c r="DC162" s="88" t="n">
        <f aca="false">DA162+DC161</f>
        <v>226</v>
      </c>
      <c r="DD162" s="88" t="n">
        <f aca="false">MAX(DD161,DB162-DC162)</f>
        <v>46.4928017973468</v>
      </c>
      <c r="DE162" s="88" t="n">
        <f aca="false">DD162-DD161</f>
        <v>1.2337904655285</v>
      </c>
      <c r="DF162" s="88" t="n">
        <f aca="false">IF(B162=2026,INDEX($C$20:$Q$20,1,B162-2025)*$AO$4*C162/MAX(0.0001,12-$AO$3),INDEX($C$20:$Q$20,1,B162-2025)/12)</f>
        <v>1.00553922940573</v>
      </c>
      <c r="DG162" s="88" t="n">
        <f aca="false">$AO$6*0</f>
        <v>0</v>
      </c>
      <c r="DH162" s="88" t="n">
        <f aca="false">DF162+DH161</f>
        <v>222.081633464837</v>
      </c>
      <c r="DI162" s="88" t="n">
        <f aca="false">DG162+DI161</f>
        <v>0</v>
      </c>
      <c r="DJ162" s="88" t="n">
        <f aca="false">MAX(DJ161,DH162-DI162)</f>
        <v>222.081633464837</v>
      </c>
      <c r="DK162" s="88" t="n">
        <f aca="false">DJ162-DJ161</f>
        <v>1.00553922940574</v>
      </c>
      <c r="DL162" s="88" t="n">
        <f aca="false">IF(B162=2026,INDEX($C$21:$Q$21,1,B162-2025)*$AO$4*C162/MAX(0.0001,12-$AO$3),INDEX($C$21:$Q$21,1,B162-2025)/12)</f>
        <v>0.703260565351246</v>
      </c>
      <c r="DM162" s="88" t="n">
        <f aca="false">$AO$6*0</f>
        <v>0</v>
      </c>
      <c r="DN162" s="88" t="n">
        <f aca="false">DL162+DN161</f>
        <v>155.320897024487</v>
      </c>
      <c r="DO162" s="88" t="n">
        <f aca="false">DM162+DO161</f>
        <v>100</v>
      </c>
      <c r="DP162" s="88" t="n">
        <f aca="false">MAX(DP161,DN162-DO162)</f>
        <v>55.3208970244872</v>
      </c>
      <c r="DQ162" s="88" t="n">
        <f aca="false">DP162-DP161</f>
        <v>0.703260565351258</v>
      </c>
      <c r="DR162" s="88" t="n">
        <f aca="false">IF(B162=2026,INDEX($C$22:$Q$22,1,B162-2025)*$AO$4*C162/MAX(0.0001,12-$AO$3),INDEX($C$22:$Q$22,1,B162-2025)/12)</f>
        <v>0.549036757160183</v>
      </c>
      <c r="DS162" s="88" t="n">
        <f aca="false">$AO$6*0</f>
        <v>0</v>
      </c>
      <c r="DT162" s="88" t="n">
        <f aca="false">DR162+DT161</f>
        <v>121.259296799819</v>
      </c>
      <c r="DU162" s="88" t="n">
        <f aca="false">DS162+DU161</f>
        <v>29</v>
      </c>
      <c r="DV162" s="88" t="n">
        <f aca="false">MAX(DV161,DT162-DU162)</f>
        <v>92.2592967998192</v>
      </c>
      <c r="DW162" s="88" t="n">
        <f aca="false">DV162-DV161</f>
        <v>0.549036757160167</v>
      </c>
      <c r="DX162" s="88" t="n">
        <f aca="false">IF(B162=2026,INDEX($C$23:$Q$23,1,B162-2025)*$AO$4*C162/MAX(0.0001,12-$AO$3),INDEX($C$23:$Q$23,1,B162-2025)/12)</f>
        <v>0.882160182852878</v>
      </c>
      <c r="DY162" s="88" t="n">
        <f aca="false">$AO$6*0</f>
        <v>0</v>
      </c>
      <c r="DZ162" s="88" t="n">
        <f aca="false">DX162+DZ161</f>
        <v>194.832353285103</v>
      </c>
      <c r="EA162" s="88" t="n">
        <f aca="false">DY162+EA161</f>
        <v>121</v>
      </c>
      <c r="EB162" s="88" t="n">
        <f aca="false">MAX(EB161,DZ162-EA162)</f>
        <v>73.8323532851028</v>
      </c>
      <c r="EC162" s="88" t="n">
        <f aca="false">EB162-EB161</f>
        <v>0.882160182852886</v>
      </c>
      <c r="ED162" s="88" t="n">
        <f aca="false">IF(B162=2026,INDEX($C$24:$Q$24,1,B162-2025)*$AO$4*C162/MAX(0.0001,12-$AO$3),INDEX($C$24:$Q$24,1,B162-2025)/12)</f>
        <v>0.54286780483254</v>
      </c>
      <c r="EE162" s="88" t="n">
        <f aca="false">$AO$6*0</f>
        <v>0</v>
      </c>
      <c r="EF162" s="88" t="n">
        <f aca="false">ED162+EF161</f>
        <v>119.896832790832</v>
      </c>
      <c r="EG162" s="88" t="n">
        <f aca="false">EE162+EG161</f>
        <v>0</v>
      </c>
      <c r="EH162" s="88" t="n">
        <f aca="false">MAX(EH161,EF162-EG162)</f>
        <v>119.896832790832</v>
      </c>
      <c r="EI162" s="88" t="n">
        <f aca="false">EH162-EH161</f>
        <v>0.54286780483254</v>
      </c>
      <c r="EJ162" s="88" t="n">
        <f aca="false">IF(B162=2026,INDEX($C$25:$Q$25,1,B162-2025)*$AO$4*C162/MAX(0.0001,12-$AO$3),INDEX($C$25:$Q$25,1,B162-2025)/12)</f>
        <v>0.690922660695961</v>
      </c>
      <c r="EK162" s="88" t="n">
        <f aca="false">$AO$6*0</f>
        <v>0</v>
      </c>
      <c r="EL162" s="88" t="n">
        <f aca="false">EJ162+EL161</f>
        <v>152.595969006514</v>
      </c>
      <c r="EM162" s="88" t="n">
        <f aca="false">EK162+EM161</f>
        <v>14</v>
      </c>
      <c r="EN162" s="88" t="n">
        <f aca="false">MAX(EN161,EL162-EM162)</f>
        <v>138.595969006514</v>
      </c>
      <c r="EO162" s="88" t="n">
        <f aca="false">EN162-EN161</f>
        <v>0.690922660695946</v>
      </c>
      <c r="EP162" s="88" t="n">
        <f aca="false">IF(B162=2026,INDEX($C$26:$Q$26,1,B162-2025)*$AO$4*C162/MAX(0.0001,12-$AO$3),INDEX($C$26:$Q$26,1,B162-2025)/12)</f>
        <v>0.993201324750443</v>
      </c>
      <c r="EQ162" s="88" t="n">
        <f aca="false">$AO$6*0</f>
        <v>0</v>
      </c>
      <c r="ER162" s="88" t="n">
        <f aca="false">EP162+ER161</f>
        <v>219.356705446863</v>
      </c>
      <c r="ES162" s="88" t="n">
        <f aca="false">EQ162+ES161</f>
        <v>4</v>
      </c>
      <c r="ET162" s="88" t="n">
        <f aca="false">MAX(ET161,ER162-ES162)</f>
        <v>215.356705446863</v>
      </c>
      <c r="EU162" s="88" t="n">
        <f aca="false">ET162-ET161</f>
        <v>0.99320132475043</v>
      </c>
      <c r="EV162" s="88" t="n">
        <f aca="false">IF(B162=2026,INDEX($C$27:$Q$27,1,B162-2025)*$AO$4*C162/MAX(0.0001,12-$AO$3),INDEX($C$27:$Q$27,1,B162-2025)/12)</f>
        <v>2.467580931057</v>
      </c>
      <c r="EW162" s="88" t="n">
        <f aca="false">$AO$6*0</f>
        <v>0</v>
      </c>
      <c r="EX162" s="88" t="n">
        <f aca="false">EV162+EX161</f>
        <v>544.985603594693</v>
      </c>
      <c r="EY162" s="88" t="n">
        <f aca="false">EW162+EY161</f>
        <v>391</v>
      </c>
      <c r="EZ162" s="88" t="n">
        <f aca="false">MAX(EZ161,EX162-EY162)</f>
        <v>153.985603594693</v>
      </c>
      <c r="FA162" s="88" t="n">
        <f aca="false">EZ162-EZ161</f>
        <v>2.467580931057</v>
      </c>
      <c r="FB162" s="88" t="n">
        <f aca="false">IF(B162=2026,INDEX($C$28:$Q$28,1,B162-2025)*$AO$4*C162/MAX(0.0001,12-$AO$3),INDEX($C$28:$Q$28,1,B162-2025)/12)</f>
        <v>12.9177861740834</v>
      </c>
      <c r="FC162" s="88" t="n">
        <f aca="false">$AO$6*0</f>
        <v>0</v>
      </c>
      <c r="FD162" s="88" t="n">
        <f aca="false">FB162+FD161</f>
        <v>2852.99963481822</v>
      </c>
      <c r="FE162" s="88" t="n">
        <f aca="false">FC162+FE161</f>
        <v>169</v>
      </c>
      <c r="FF162" s="88" t="n">
        <f aca="false">MAX(FF161,FD162-FE162)</f>
        <v>2683.99963481822</v>
      </c>
      <c r="FG162" s="88" t="n">
        <f aca="false">FF162-FF161</f>
        <v>12.9177861740836</v>
      </c>
    </row>
    <row r="163" customFormat="false" ht="15" hidden="false" customHeight="false" outlineLevel="0" collapsed="false">
      <c r="A163" s="0" t="n">
        <v>123</v>
      </c>
      <c r="B163" s="88" t="n">
        <f aca="false">2026+INT(A163/12)</f>
        <v>2036</v>
      </c>
      <c r="C163" s="88" t="n">
        <f aca="false">MAX(0,MIN(1,A163+1-$AO$3))</f>
        <v>1</v>
      </c>
      <c r="D163" s="88" t="n">
        <f aca="false">IF((A163+0.5-(0))&lt;$AO$3,0,2026+INT((A163+0.5-(0))/12))</f>
        <v>2036</v>
      </c>
      <c r="E163" s="88" t="n">
        <f aca="false">IF((A163+0.5-($AO$9))&lt;$AO$3,0,2026+INT((A163+0.5-($AO$9))/12))</f>
        <v>2035</v>
      </c>
      <c r="F163" s="88" t="n">
        <f aca="false">IF((A163+0.5-($AO$9+$AO$8))&lt;$AO$3,0,2026+INT((A163+0.5-($AO$9+$AO$8))/12))</f>
        <v>2033</v>
      </c>
      <c r="G163" s="88" t="n">
        <f aca="false">IF((A163+0.5-($AO$9+$AO$8+$AO$7))&lt;$AO$3,0,2026+INT((A163+0.5-($AO$9+$AO$8+$AO$7))/12))</f>
        <v>2033</v>
      </c>
      <c r="H163" s="88" t="n">
        <f aca="false">IF(B163=2026,INDEX($C$3:$Q$3,1,B163-2025)*$AO$4*C163/MAX(0.0001,12-$AO$3),INDEX($C$3:$Q$3,1,B163-2025)/12)</f>
        <v>132.25</v>
      </c>
      <c r="I163" s="88" t="n">
        <f aca="false">$AO$6*0</f>
        <v>0</v>
      </c>
      <c r="J163" s="88" t="n">
        <f aca="false">H163+J162</f>
        <v>29340.7534246576</v>
      </c>
      <c r="K163" s="88" t="n">
        <f aca="false">I163+K162</f>
        <v>8695.00000000001</v>
      </c>
      <c r="L163" s="88" t="n">
        <f aca="false">MAX(L162,J163-K163)</f>
        <v>20645.7534246576</v>
      </c>
      <c r="M163" s="88" t="n">
        <f aca="false">L163-L162</f>
        <v>132.25</v>
      </c>
      <c r="N163" s="88" t="n">
        <f aca="false">IF(B163=2026,INDEX($C$4:$Q$4,1,B163-2025)*$AO$4*C163/MAX(0.0001,12-$AO$3),INDEX($C$4:$Q$4,1,B163-2025)/12)</f>
        <v>4.00940426699819</v>
      </c>
      <c r="O163" s="88" t="n">
        <f aca="false">$AO$6*0</f>
        <v>0</v>
      </c>
      <c r="P163" s="88" t="n">
        <f aca="false">N163+P162</f>
        <v>889.519410039801</v>
      </c>
      <c r="Q163" s="88" t="n">
        <f aca="false">O163+Q162</f>
        <v>398</v>
      </c>
      <c r="R163" s="88" t="n">
        <f aca="false">MAX(R162,P163-Q163)</f>
        <v>491.519410039801</v>
      </c>
      <c r="S163" s="88" t="n">
        <f aca="false">R163-R162</f>
        <v>4.00940426699822</v>
      </c>
      <c r="T163" s="88" t="n">
        <f aca="false">IF(B163=2026,INDEX($C$5:$Q$5,1,B163-2025)*$AO$4*C163/MAX(0.0001,12-$AO$3),INDEX($C$5:$Q$5,1,B163-2025)/12)</f>
        <v>16.2956662203121</v>
      </c>
      <c r="U163" s="88" t="n">
        <f aca="false">$AO$6*0</f>
        <v>0</v>
      </c>
      <c r="V163" s="88" t="n">
        <f aca="false">T163+V162</f>
        <v>3615.32797323779</v>
      </c>
      <c r="W163" s="88" t="n">
        <f aca="false">U163+W162</f>
        <v>1115</v>
      </c>
      <c r="X163" s="88" t="n">
        <f aca="false">MAX(X162,V163-W163)</f>
        <v>2500.32797323779</v>
      </c>
      <c r="Y163" s="88" t="n">
        <f aca="false">X163-X162</f>
        <v>16.2956662203123</v>
      </c>
      <c r="Z163" s="88" t="n">
        <f aca="false">IF(B163=2026,INDEX($C$6:$Q$6,1,B163-2025)*$AO$4*C163/MAX(0.0001,12-$AO$3),INDEX($C$6:$Q$6,1,B163-2025)/12)</f>
        <v>19.3334832874743</v>
      </c>
      <c r="AA163" s="88" t="n">
        <f aca="false">$AO$6*0</f>
        <v>0</v>
      </c>
      <c r="AB163" s="88" t="n">
        <f aca="false">Z163+AB162</f>
        <v>4289.29274841226</v>
      </c>
      <c r="AC163" s="88" t="n">
        <f aca="false">AA163+AC162</f>
        <v>2194</v>
      </c>
      <c r="AD163" s="88" t="n">
        <f aca="false">MAX(AD162,AB163-AC163)</f>
        <v>2095.29274841226</v>
      </c>
      <c r="AE163" s="88" t="n">
        <f aca="false">AD163-AD162</f>
        <v>19.3334832874743</v>
      </c>
      <c r="AF163" s="88" t="n">
        <f aca="false">IF(B163=2026,INDEX($C$7:$Q$7,1,B163-2025)*$AO$4*C163/MAX(0.0001,12-$AO$3),INDEX($C$7:$Q$7,1,B163-2025)/12)</f>
        <v>16.7943163616268</v>
      </c>
      <c r="AG163" s="88" t="n">
        <f aca="false">$AO$6*0</f>
        <v>0</v>
      </c>
      <c r="AH163" s="88" t="n">
        <f aca="false">AF163+AH162</f>
        <v>3725.95762043239</v>
      </c>
      <c r="AI163" s="88" t="n">
        <f aca="false">AG163+AI162</f>
        <v>826</v>
      </c>
      <c r="AJ163" s="88" t="n">
        <f aca="false">MAX(AJ162,AH163-AI163)</f>
        <v>2899.95762043239</v>
      </c>
      <c r="AK163" s="88" t="n">
        <f aca="false">AJ163-AJ162</f>
        <v>16.7943163616269</v>
      </c>
      <c r="AL163" s="88" t="n">
        <f aca="false">IF(B163=2026,INDEX($C$8:$Q$8,1,B163-2025)*$AO$4*C163/MAX(0.0001,12-$AO$3),INDEX($C$8:$Q$8,1,B163-2025)/12)</f>
        <v>4.24816860722254</v>
      </c>
      <c r="AM163" s="88" t="n">
        <f aca="false">$AO$6*0</f>
        <v>0</v>
      </c>
      <c r="AN163" s="88" t="n">
        <f aca="false">AL163+AN162</f>
        <v>942.49124847552</v>
      </c>
      <c r="AO163" s="88" t="n">
        <f aca="false">AM163+AO162</f>
        <v>66</v>
      </c>
      <c r="AP163" s="88" t="n">
        <f aca="false">MAX(AP162,AN163-AO163)</f>
        <v>876.49124847552</v>
      </c>
      <c r="AQ163" s="88" t="n">
        <f aca="false">AP163-AP162</f>
        <v>4.24816860722251</v>
      </c>
      <c r="AR163" s="88" t="n">
        <f aca="false">IF(B163=2026,INDEX($C$9:$Q$9,1,B163-2025)*$AO$4*C163/MAX(0.0001,12-$AO$3),INDEX($C$9:$Q$9,1,B163-2025)/12)</f>
        <v>18.1139485035592</v>
      </c>
      <c r="AS163" s="88" t="n">
        <f aca="false">$AO$6*0</f>
        <v>0</v>
      </c>
      <c r="AT163" s="88" t="n">
        <f aca="false">AR163+AT162</f>
        <v>4018.72889670983</v>
      </c>
      <c r="AU163" s="88" t="n">
        <f aca="false">AS163+AU162</f>
        <v>1810</v>
      </c>
      <c r="AV163" s="88" t="n">
        <f aca="false">MAX(AV162,AT163-AU163)</f>
        <v>2208.72889670983</v>
      </c>
      <c r="AW163" s="88" t="n">
        <f aca="false">AV163-AV162</f>
        <v>18.1139485035592</v>
      </c>
      <c r="AX163" s="88" t="n">
        <f aca="false">IF(B163=2026,INDEX($C$10:$Q$10,1,B163-2025)*$AO$4*C163/MAX(0.0001,12-$AO$3),INDEX($C$10:$Q$10,1,B163-2025)/12)</f>
        <v>2.10112619397431</v>
      </c>
      <c r="AY163" s="88" t="n">
        <f aca="false">$AO$6*0</f>
        <v>0</v>
      </c>
      <c r="AZ163" s="88" t="n">
        <f aca="false">AX163+AZ162</f>
        <v>466.152178234324</v>
      </c>
      <c r="BA163" s="88" t="n">
        <f aca="false">AY163+BA162</f>
        <v>50</v>
      </c>
      <c r="BB163" s="88" t="n">
        <f aca="false">MAX(BB162,AZ163-BA163)</f>
        <v>416.152178234324</v>
      </c>
      <c r="BC163" s="88" t="n">
        <f aca="false">BB163-BB162</f>
        <v>2.10112619397432</v>
      </c>
      <c r="BD163" s="88" t="n">
        <f aca="false">IF(B163=2026,INDEX($C$11:$Q$11,1,B163-2025)*$AO$4*C163/MAX(0.0001,12-$AO$3),INDEX($C$11:$Q$11,1,B163-2025)/12)</f>
        <v>10.4413482628881</v>
      </c>
      <c r="BE163" s="88" t="n">
        <f aca="false">$AO$6*0</f>
        <v>0</v>
      </c>
      <c r="BF163" s="88" t="n">
        <f aca="false">BD163+BF162</f>
        <v>2316.49924236201</v>
      </c>
      <c r="BG163" s="88" t="n">
        <f aca="false">BE163+BG162</f>
        <v>240</v>
      </c>
      <c r="BH163" s="88" t="n">
        <f aca="false">MAX(BH162,BF163-BG163)</f>
        <v>2076.49924236201</v>
      </c>
      <c r="BI163" s="88" t="n">
        <f aca="false">BH163-BH162</f>
        <v>10.4413482628879</v>
      </c>
      <c r="BJ163" s="88" t="n">
        <f aca="false">IF(B163=2026,INDEX($C$12:$Q$12,1,B163-2025)*$AO$4*C163/MAX(0.0001,12-$AO$3),INDEX($C$12:$Q$12,1,B163-2025)/12)</f>
        <v>5.72483421907162</v>
      </c>
      <c r="BK163" s="88" t="n">
        <f aca="false">$AO$6*0</f>
        <v>0</v>
      </c>
      <c r="BL163" s="88" t="n">
        <f aca="false">BJ163+BL162</f>
        <v>1270.10169541643</v>
      </c>
      <c r="BM163" s="88" t="n">
        <f aca="false">BK163+BM162</f>
        <v>465</v>
      </c>
      <c r="BN163" s="88" t="n">
        <f aca="false">MAX(BN162,BL163-BM163)</f>
        <v>805.101695416428</v>
      </c>
      <c r="BO163" s="88" t="n">
        <f aca="false">BN163-BN162</f>
        <v>5.72483421907168</v>
      </c>
      <c r="BP163" s="88" t="n">
        <f aca="false">IF(B163=2026,INDEX($C$13:$Q$13,1,B163-2025)*$AO$4*C163/MAX(0.0001,12-$AO$3),INDEX($C$13:$Q$13,1,B163-2025)/12)</f>
        <v>1.78899617501633</v>
      </c>
      <c r="BQ163" s="88" t="n">
        <f aca="false">$AO$6*0</f>
        <v>0</v>
      </c>
      <c r="BR163" s="88" t="n">
        <f aca="false">BP163+BR162</f>
        <v>396.903558781168</v>
      </c>
      <c r="BS163" s="88" t="n">
        <f aca="false">BQ163+BS162</f>
        <v>87</v>
      </c>
      <c r="BT163" s="88" t="n">
        <f aca="false">MAX(BT162,BR163-BS163)</f>
        <v>309.903558781168</v>
      </c>
      <c r="BU163" s="88" t="n">
        <f aca="false">BT163-BT162</f>
        <v>1.78899617501634</v>
      </c>
      <c r="BV163" s="88" t="n">
        <f aca="false">IF(B163=2026,INDEX($C$14:$Q$14,1,B163-2025)*$AO$4*C163/MAX(0.0001,12-$AO$3),INDEX($C$14:$Q$14,1,B163-2025)/12)</f>
        <v>1.06105980035451</v>
      </c>
      <c r="BW163" s="88" t="n">
        <f aca="false">$AO$6*0</f>
        <v>0</v>
      </c>
      <c r="BX163" s="88" t="n">
        <f aca="false">BV163+BX162</f>
        <v>235.404869346072</v>
      </c>
      <c r="BY163" s="88" t="n">
        <f aca="false">BW163+BY162</f>
        <v>0</v>
      </c>
      <c r="BZ163" s="88" t="n">
        <f aca="false">MAX(BZ162,BX163-BY163)</f>
        <v>235.404869346072</v>
      </c>
      <c r="CA163" s="88" t="n">
        <f aca="false">BZ163-BZ162</f>
        <v>1.06105980035451</v>
      </c>
      <c r="CB163" s="88" t="n">
        <f aca="false">IF(B163=2026,INDEX($C$15:$Q$15,1,B163-2025)*$AO$4*C163/MAX(0.0001,12-$AO$3),INDEX($C$15:$Q$15,1,B163-2025)/12)</f>
        <v>1.73964455639519</v>
      </c>
      <c r="CC163" s="88" t="n">
        <f aca="false">$AO$6*0</f>
        <v>0</v>
      </c>
      <c r="CD163" s="88" t="n">
        <f aca="false">CB163+CD162</f>
        <v>385.954495090653</v>
      </c>
      <c r="CE163" s="88" t="n">
        <f aca="false">CC163+CE162</f>
        <v>88.0000000000001</v>
      </c>
      <c r="CF163" s="88" t="n">
        <f aca="false">MAX(CF162,CD163-CE163)</f>
        <v>297.954495090653</v>
      </c>
      <c r="CG163" s="88" t="n">
        <f aca="false">CF163-CF162</f>
        <v>1.73964455639521</v>
      </c>
      <c r="CH163" s="88" t="n">
        <f aca="false">IF(B163=2026,INDEX($C$16:$Q$16,1,B163-2025)*$AO$4*C163/MAX(0.0001,12-$AO$3),INDEX($C$16:$Q$16,1,B163-2025)/12)</f>
        <v>1.37567636906428</v>
      </c>
      <c r="CI163" s="88" t="n">
        <f aca="false">$AO$6*0</f>
        <v>0</v>
      </c>
      <c r="CJ163" s="88" t="n">
        <f aca="false">CH163+CJ162</f>
        <v>305.205150373105</v>
      </c>
      <c r="CK163" s="88" t="n">
        <f aca="false">CI163+CK162</f>
        <v>70</v>
      </c>
      <c r="CL163" s="88" t="n">
        <f aca="false">MAX(CL162,CJ163-CK163)</f>
        <v>235.205150373105</v>
      </c>
      <c r="CM163" s="88" t="n">
        <f aca="false">CL163-CL162</f>
        <v>1.37567636906425</v>
      </c>
      <c r="CN163" s="88" t="n">
        <f aca="false">IF(B163=2026,INDEX($C$17:$Q$17,1,B163-2025)*$AO$4*C163/MAX(0.0001,12-$AO$3),INDEX($C$17:$Q$17,1,B163-2025)/12)</f>
        <v>5.99005271014087</v>
      </c>
      <c r="CO163" s="88" t="n">
        <f aca="false">$AO$6*0</f>
        <v>0</v>
      </c>
      <c r="CP163" s="88" t="n">
        <f aca="false">CN163+CP162</f>
        <v>1328.94260543626</v>
      </c>
      <c r="CQ163" s="88" t="n">
        <f aca="false">CO163+CQ162</f>
        <v>221</v>
      </c>
      <c r="CR163" s="88" t="n">
        <f aca="false">MAX(CR162,CP163-CQ163)</f>
        <v>1107.94260543626</v>
      </c>
      <c r="CS163" s="88" t="n">
        <f aca="false">CR163-CR162</f>
        <v>5.99005271014084</v>
      </c>
      <c r="CT163" s="88" t="n">
        <f aca="false">IF(B163=2026,INDEX($C$18:$Q$18,1,B163-2025)*$AO$4*C163/MAX(0.0001,12-$AO$3),INDEX($C$18:$Q$18,1,B163-2025)/12)</f>
        <v>1.24612837018379</v>
      </c>
      <c r="CU163" s="88" t="n">
        <f aca="false">$AO$6*0</f>
        <v>0</v>
      </c>
      <c r="CV163" s="88" t="n">
        <f aca="false">CT163+CV162</f>
        <v>276.463858185503</v>
      </c>
      <c r="CW163" s="88" t="n">
        <f aca="false">CU163+CW162</f>
        <v>11</v>
      </c>
      <c r="CX163" s="88" t="n">
        <f aca="false">MAX(CX162,CV163-CW163)</f>
        <v>265.463858185503</v>
      </c>
      <c r="CY163" s="88" t="n">
        <f aca="false">CX163-CX162</f>
        <v>1.24612837018378</v>
      </c>
      <c r="CZ163" s="88" t="n">
        <f aca="false">IF(B163=2026,INDEX($C$19:$Q$19,1,B163-2025)*$AO$4*C163/MAX(0.0001,12-$AO$3),INDEX($C$19:$Q$19,1,B163-2025)/12)</f>
        <v>1.2337904655285</v>
      </c>
      <c r="DA163" s="88" t="n">
        <f aca="false">$AO$6*0</f>
        <v>0</v>
      </c>
      <c r="DB163" s="88" t="n">
        <f aca="false">CZ163+DB162</f>
        <v>273.726592262875</v>
      </c>
      <c r="DC163" s="88" t="n">
        <f aca="false">DA163+DC162</f>
        <v>226</v>
      </c>
      <c r="DD163" s="88" t="n">
        <f aca="false">MAX(DD162,DB163-DC163)</f>
        <v>47.7265922628753</v>
      </c>
      <c r="DE163" s="88" t="n">
        <f aca="false">DD163-DD162</f>
        <v>1.2337904655285</v>
      </c>
      <c r="DF163" s="88" t="n">
        <f aca="false">IF(B163=2026,INDEX($C$20:$Q$20,1,B163-2025)*$AO$4*C163/MAX(0.0001,12-$AO$3),INDEX($C$20:$Q$20,1,B163-2025)/12)</f>
        <v>1.00553922940573</v>
      </c>
      <c r="DG163" s="88" t="n">
        <f aca="false">$AO$6*0</f>
        <v>0</v>
      </c>
      <c r="DH163" s="88" t="n">
        <f aca="false">DF163+DH162</f>
        <v>223.087172694243</v>
      </c>
      <c r="DI163" s="88" t="n">
        <f aca="false">DG163+DI162</f>
        <v>0</v>
      </c>
      <c r="DJ163" s="88" t="n">
        <f aca="false">MAX(DJ162,DH163-DI163)</f>
        <v>223.087172694243</v>
      </c>
      <c r="DK163" s="88" t="n">
        <f aca="false">DJ163-DJ162</f>
        <v>1.00553922940574</v>
      </c>
      <c r="DL163" s="88" t="n">
        <f aca="false">IF(B163=2026,INDEX($C$21:$Q$21,1,B163-2025)*$AO$4*C163/MAX(0.0001,12-$AO$3),INDEX($C$21:$Q$21,1,B163-2025)/12)</f>
        <v>0.703260565351246</v>
      </c>
      <c r="DM163" s="88" t="n">
        <f aca="false">$AO$6*0</f>
        <v>0</v>
      </c>
      <c r="DN163" s="88" t="n">
        <f aca="false">DL163+DN162</f>
        <v>156.024157589838</v>
      </c>
      <c r="DO163" s="88" t="n">
        <f aca="false">DM163+DO162</f>
        <v>100</v>
      </c>
      <c r="DP163" s="88" t="n">
        <f aca="false">MAX(DP162,DN163-DO163)</f>
        <v>56.0241575898385</v>
      </c>
      <c r="DQ163" s="88" t="n">
        <f aca="false">DP163-DP162</f>
        <v>0.703260565351258</v>
      </c>
      <c r="DR163" s="88" t="n">
        <f aca="false">IF(B163=2026,INDEX($C$22:$Q$22,1,B163-2025)*$AO$4*C163/MAX(0.0001,12-$AO$3),INDEX($C$22:$Q$22,1,B163-2025)/12)</f>
        <v>0.549036757160183</v>
      </c>
      <c r="DS163" s="88" t="n">
        <f aca="false">$AO$6*0</f>
        <v>0</v>
      </c>
      <c r="DT163" s="88" t="n">
        <f aca="false">DR163+DT162</f>
        <v>121.808333556979</v>
      </c>
      <c r="DU163" s="88" t="n">
        <f aca="false">DS163+DU162</f>
        <v>29</v>
      </c>
      <c r="DV163" s="88" t="n">
        <f aca="false">MAX(DV162,DT163-DU163)</f>
        <v>92.8083335569794</v>
      </c>
      <c r="DW163" s="88" t="n">
        <f aca="false">DV163-DV162</f>
        <v>0.549036757160195</v>
      </c>
      <c r="DX163" s="88" t="n">
        <f aca="false">IF(B163=2026,INDEX($C$23:$Q$23,1,B163-2025)*$AO$4*C163/MAX(0.0001,12-$AO$3),INDEX($C$23:$Q$23,1,B163-2025)/12)</f>
        <v>0.882160182852878</v>
      </c>
      <c r="DY163" s="88" t="n">
        <f aca="false">$AO$6*0</f>
        <v>0</v>
      </c>
      <c r="DZ163" s="88" t="n">
        <f aca="false">DX163+DZ162</f>
        <v>195.714513467956</v>
      </c>
      <c r="EA163" s="88" t="n">
        <f aca="false">DY163+EA162</f>
        <v>121</v>
      </c>
      <c r="EB163" s="88" t="n">
        <f aca="false">MAX(EB162,DZ163-EA163)</f>
        <v>74.7145134679557</v>
      </c>
      <c r="EC163" s="88" t="n">
        <f aca="false">EB163-EB162</f>
        <v>0.882160182852886</v>
      </c>
      <c r="ED163" s="88" t="n">
        <f aca="false">IF(B163=2026,INDEX($C$24:$Q$24,1,B163-2025)*$AO$4*C163/MAX(0.0001,12-$AO$3),INDEX($C$24:$Q$24,1,B163-2025)/12)</f>
        <v>0.54286780483254</v>
      </c>
      <c r="EE163" s="88" t="n">
        <f aca="false">$AO$6*0</f>
        <v>0</v>
      </c>
      <c r="EF163" s="88" t="n">
        <f aca="false">ED163+EF162</f>
        <v>120.439700595665</v>
      </c>
      <c r="EG163" s="88" t="n">
        <f aca="false">EE163+EG162</f>
        <v>0</v>
      </c>
      <c r="EH163" s="88" t="n">
        <f aca="false">MAX(EH162,EF163-EG163)</f>
        <v>120.439700595665</v>
      </c>
      <c r="EI163" s="88" t="n">
        <f aca="false">EH163-EH162</f>
        <v>0.54286780483254</v>
      </c>
      <c r="EJ163" s="88" t="n">
        <f aca="false">IF(B163=2026,INDEX($C$25:$Q$25,1,B163-2025)*$AO$4*C163/MAX(0.0001,12-$AO$3),INDEX($C$25:$Q$25,1,B163-2025)/12)</f>
        <v>0.690922660695961</v>
      </c>
      <c r="EK163" s="88" t="n">
        <f aca="false">$AO$6*0</f>
        <v>0</v>
      </c>
      <c r="EL163" s="88" t="n">
        <f aca="false">EJ163+EL162</f>
        <v>153.28689166721</v>
      </c>
      <c r="EM163" s="88" t="n">
        <f aca="false">EK163+EM162</f>
        <v>14</v>
      </c>
      <c r="EN163" s="88" t="n">
        <f aca="false">MAX(EN162,EL163-EM163)</f>
        <v>139.28689166721</v>
      </c>
      <c r="EO163" s="88" t="n">
        <f aca="false">EN163-EN162</f>
        <v>0.690922660695946</v>
      </c>
      <c r="EP163" s="88" t="n">
        <f aca="false">IF(B163=2026,INDEX($C$26:$Q$26,1,B163-2025)*$AO$4*C163/MAX(0.0001,12-$AO$3),INDEX($C$26:$Q$26,1,B163-2025)/12)</f>
        <v>0.993201324750443</v>
      </c>
      <c r="EQ163" s="88" t="n">
        <f aca="false">$AO$6*0</f>
        <v>0</v>
      </c>
      <c r="ER163" s="88" t="n">
        <f aca="false">EP163+ER162</f>
        <v>220.349906771613</v>
      </c>
      <c r="ES163" s="88" t="n">
        <f aca="false">EQ163+ES162</f>
        <v>4</v>
      </c>
      <c r="ET163" s="88" t="n">
        <f aca="false">MAX(ET162,ER163-ES163)</f>
        <v>216.349906771613</v>
      </c>
      <c r="EU163" s="88" t="n">
        <f aca="false">ET163-ET162</f>
        <v>0.99320132475043</v>
      </c>
      <c r="EV163" s="88" t="n">
        <f aca="false">IF(B163=2026,INDEX($C$27:$Q$27,1,B163-2025)*$AO$4*C163/MAX(0.0001,12-$AO$3),INDEX($C$27:$Q$27,1,B163-2025)/12)</f>
        <v>2.467580931057</v>
      </c>
      <c r="EW163" s="88" t="n">
        <f aca="false">$AO$6*0</f>
        <v>0</v>
      </c>
      <c r="EX163" s="88" t="n">
        <f aca="false">EV163+EX162</f>
        <v>547.45318452575</v>
      </c>
      <c r="EY163" s="88" t="n">
        <f aca="false">EW163+EY162</f>
        <v>391</v>
      </c>
      <c r="EZ163" s="88" t="n">
        <f aca="false">MAX(EZ162,EX163-EY163)</f>
        <v>156.45318452575</v>
      </c>
      <c r="FA163" s="88" t="n">
        <f aca="false">EZ163-EZ162</f>
        <v>2.467580931057</v>
      </c>
      <c r="FB163" s="88" t="n">
        <f aca="false">IF(B163=2026,INDEX($C$28:$Q$28,1,B163-2025)*$AO$4*C163/MAX(0.0001,12-$AO$3),INDEX($C$28:$Q$28,1,B163-2025)/12)</f>
        <v>12.9177861740834</v>
      </c>
      <c r="FC163" s="88" t="n">
        <f aca="false">$AO$6*0</f>
        <v>0</v>
      </c>
      <c r="FD163" s="88" t="n">
        <f aca="false">FB163+FD162</f>
        <v>2865.9174209923</v>
      </c>
      <c r="FE163" s="88" t="n">
        <f aca="false">FC163+FE162</f>
        <v>169</v>
      </c>
      <c r="FF163" s="88" t="n">
        <f aca="false">MAX(FF162,FD163-FE163)</f>
        <v>2696.9174209923</v>
      </c>
      <c r="FG163" s="88" t="n">
        <f aca="false">FF163-FF162</f>
        <v>12.9177861740836</v>
      </c>
    </row>
    <row r="164" customFormat="false" ht="15" hidden="false" customHeight="false" outlineLevel="0" collapsed="false">
      <c r="A164" s="0" t="n">
        <v>124</v>
      </c>
      <c r="B164" s="88" t="n">
        <f aca="false">2026+INT(A164/12)</f>
        <v>2036</v>
      </c>
      <c r="C164" s="88" t="n">
        <f aca="false">MAX(0,MIN(1,A164+1-$AO$3))</f>
        <v>1</v>
      </c>
      <c r="D164" s="88" t="n">
        <f aca="false">IF((A164+0.5-(0))&lt;$AO$3,0,2026+INT((A164+0.5-(0))/12))</f>
        <v>2036</v>
      </c>
      <c r="E164" s="88" t="n">
        <f aca="false">IF((A164+0.5-($AO$9))&lt;$AO$3,0,2026+INT((A164+0.5-($AO$9))/12))</f>
        <v>2035</v>
      </c>
      <c r="F164" s="88" t="n">
        <f aca="false">IF((A164+0.5-($AO$9+$AO$8))&lt;$AO$3,0,2026+INT((A164+0.5-($AO$9+$AO$8))/12))</f>
        <v>2033</v>
      </c>
      <c r="G164" s="88" t="n">
        <f aca="false">IF((A164+0.5-($AO$9+$AO$8+$AO$7))&lt;$AO$3,0,2026+INT((A164+0.5-($AO$9+$AO$8+$AO$7))/12))</f>
        <v>2033</v>
      </c>
      <c r="H164" s="88" t="n">
        <f aca="false">IF(B164=2026,INDEX($C$3:$Q$3,1,B164-2025)*$AO$4*C164/MAX(0.0001,12-$AO$3),INDEX($C$3:$Q$3,1,B164-2025)/12)</f>
        <v>132.25</v>
      </c>
      <c r="I164" s="88" t="n">
        <f aca="false">$AO$6*0</f>
        <v>0</v>
      </c>
      <c r="J164" s="88" t="n">
        <f aca="false">H164+J163</f>
        <v>29473.0034246576</v>
      </c>
      <c r="K164" s="88" t="n">
        <f aca="false">I164+K163</f>
        <v>8695.00000000001</v>
      </c>
      <c r="L164" s="88" t="n">
        <f aca="false">MAX(L163,J164-K164)</f>
        <v>20778.0034246576</v>
      </c>
      <c r="M164" s="88" t="n">
        <f aca="false">L164-L163</f>
        <v>132.25</v>
      </c>
      <c r="N164" s="88" t="n">
        <f aca="false">IF(B164=2026,INDEX($C$4:$Q$4,1,B164-2025)*$AO$4*C164/MAX(0.0001,12-$AO$3),INDEX($C$4:$Q$4,1,B164-2025)/12)</f>
        <v>4.00940426699819</v>
      </c>
      <c r="O164" s="88" t="n">
        <f aca="false">$AO$6*0</f>
        <v>0</v>
      </c>
      <c r="P164" s="88" t="n">
        <f aca="false">N164+P163</f>
        <v>893.528814306799</v>
      </c>
      <c r="Q164" s="88" t="n">
        <f aca="false">O164+Q163</f>
        <v>398</v>
      </c>
      <c r="R164" s="88" t="n">
        <f aca="false">MAX(R163,P164-Q164)</f>
        <v>495.528814306799</v>
      </c>
      <c r="S164" s="88" t="n">
        <f aca="false">R164-R163</f>
        <v>4.00940426699822</v>
      </c>
      <c r="T164" s="88" t="n">
        <f aca="false">IF(B164=2026,INDEX($C$5:$Q$5,1,B164-2025)*$AO$4*C164/MAX(0.0001,12-$AO$3),INDEX($C$5:$Q$5,1,B164-2025)/12)</f>
        <v>16.2956662203121</v>
      </c>
      <c r="U164" s="88" t="n">
        <f aca="false">$AO$6*0</f>
        <v>0</v>
      </c>
      <c r="V164" s="88" t="n">
        <f aca="false">T164+V163</f>
        <v>3631.6236394581</v>
      </c>
      <c r="W164" s="88" t="n">
        <f aca="false">U164+W163</f>
        <v>1115</v>
      </c>
      <c r="X164" s="88" t="n">
        <f aca="false">MAX(X163,V164-W164)</f>
        <v>2516.6236394581</v>
      </c>
      <c r="Y164" s="88" t="n">
        <f aca="false">X164-X163</f>
        <v>16.2956662203114</v>
      </c>
      <c r="Z164" s="88" t="n">
        <f aca="false">IF(B164=2026,INDEX($C$6:$Q$6,1,B164-2025)*$AO$4*C164/MAX(0.0001,12-$AO$3),INDEX($C$6:$Q$6,1,B164-2025)/12)</f>
        <v>19.3334832874743</v>
      </c>
      <c r="AA164" s="88" t="n">
        <f aca="false">$AO$6*0</f>
        <v>0</v>
      </c>
      <c r="AB164" s="88" t="n">
        <f aca="false">Z164+AB163</f>
        <v>4308.62623169974</v>
      </c>
      <c r="AC164" s="88" t="n">
        <f aca="false">AA164+AC163</f>
        <v>2194</v>
      </c>
      <c r="AD164" s="88" t="n">
        <f aca="false">MAX(AD163,AB164-AC164)</f>
        <v>2114.62623169974</v>
      </c>
      <c r="AE164" s="88" t="n">
        <f aca="false">AD164-AD163</f>
        <v>19.3334832874743</v>
      </c>
      <c r="AF164" s="88" t="n">
        <f aca="false">IF(B164=2026,INDEX($C$7:$Q$7,1,B164-2025)*$AO$4*C164/MAX(0.0001,12-$AO$3),INDEX($C$7:$Q$7,1,B164-2025)/12)</f>
        <v>16.7943163616268</v>
      </c>
      <c r="AG164" s="88" t="n">
        <f aca="false">$AO$6*0</f>
        <v>0</v>
      </c>
      <c r="AH164" s="88" t="n">
        <f aca="false">AF164+AH163</f>
        <v>3742.75193679402</v>
      </c>
      <c r="AI164" s="88" t="n">
        <f aca="false">AG164+AI163</f>
        <v>826</v>
      </c>
      <c r="AJ164" s="88" t="n">
        <f aca="false">MAX(AJ163,AH164-AI164)</f>
        <v>2916.75193679402</v>
      </c>
      <c r="AK164" s="88" t="n">
        <f aca="false">AJ164-AJ163</f>
        <v>16.7943163616269</v>
      </c>
      <c r="AL164" s="88" t="n">
        <f aca="false">IF(B164=2026,INDEX($C$8:$Q$8,1,B164-2025)*$AO$4*C164/MAX(0.0001,12-$AO$3),INDEX($C$8:$Q$8,1,B164-2025)/12)</f>
        <v>4.24816860722254</v>
      </c>
      <c r="AM164" s="88" t="n">
        <f aca="false">$AO$6*0</f>
        <v>0</v>
      </c>
      <c r="AN164" s="88" t="n">
        <f aca="false">AL164+AN163</f>
        <v>946.739417082742</v>
      </c>
      <c r="AO164" s="88" t="n">
        <f aca="false">AM164+AO163</f>
        <v>66</v>
      </c>
      <c r="AP164" s="88" t="n">
        <f aca="false">MAX(AP163,AN164-AO164)</f>
        <v>880.739417082742</v>
      </c>
      <c r="AQ164" s="88" t="n">
        <f aca="false">AP164-AP163</f>
        <v>4.24816860722251</v>
      </c>
      <c r="AR164" s="88" t="n">
        <f aca="false">IF(B164=2026,INDEX($C$9:$Q$9,1,B164-2025)*$AO$4*C164/MAX(0.0001,12-$AO$3),INDEX($C$9:$Q$9,1,B164-2025)/12)</f>
        <v>18.1139485035592</v>
      </c>
      <c r="AS164" s="88" t="n">
        <f aca="false">$AO$6*0</f>
        <v>0</v>
      </c>
      <c r="AT164" s="88" t="n">
        <f aca="false">AR164+AT163</f>
        <v>4036.84284521339</v>
      </c>
      <c r="AU164" s="88" t="n">
        <f aca="false">AS164+AU163</f>
        <v>1810</v>
      </c>
      <c r="AV164" s="88" t="n">
        <f aca="false">MAX(AV163,AT164-AU164)</f>
        <v>2226.84284521339</v>
      </c>
      <c r="AW164" s="88" t="n">
        <f aca="false">AV164-AV163</f>
        <v>18.1139485035592</v>
      </c>
      <c r="AX164" s="88" t="n">
        <f aca="false">IF(B164=2026,INDEX($C$10:$Q$10,1,B164-2025)*$AO$4*C164/MAX(0.0001,12-$AO$3),INDEX($C$10:$Q$10,1,B164-2025)/12)</f>
        <v>2.10112619397431</v>
      </c>
      <c r="AY164" s="88" t="n">
        <f aca="false">$AO$6*0</f>
        <v>0</v>
      </c>
      <c r="AZ164" s="88" t="n">
        <f aca="false">AX164+AZ163</f>
        <v>468.253304428298</v>
      </c>
      <c r="BA164" s="88" t="n">
        <f aca="false">AY164+BA163</f>
        <v>50</v>
      </c>
      <c r="BB164" s="88" t="n">
        <f aca="false">MAX(BB163,AZ164-BA164)</f>
        <v>418.253304428298</v>
      </c>
      <c r="BC164" s="88" t="n">
        <f aca="false">BB164-BB163</f>
        <v>2.10112619397432</v>
      </c>
      <c r="BD164" s="88" t="n">
        <f aca="false">IF(B164=2026,INDEX($C$11:$Q$11,1,B164-2025)*$AO$4*C164/MAX(0.0001,12-$AO$3),INDEX($C$11:$Q$11,1,B164-2025)/12)</f>
        <v>10.4413482628881</v>
      </c>
      <c r="BE164" s="88" t="n">
        <f aca="false">$AO$6*0</f>
        <v>0</v>
      </c>
      <c r="BF164" s="88" t="n">
        <f aca="false">BD164+BF163</f>
        <v>2326.9405906249</v>
      </c>
      <c r="BG164" s="88" t="n">
        <f aca="false">BE164+BG163</f>
        <v>240</v>
      </c>
      <c r="BH164" s="88" t="n">
        <f aca="false">MAX(BH163,BF164-BG164)</f>
        <v>2086.9405906249</v>
      </c>
      <c r="BI164" s="88" t="n">
        <f aca="false">BH164-BH163</f>
        <v>10.4413482628879</v>
      </c>
      <c r="BJ164" s="88" t="n">
        <f aca="false">IF(B164=2026,INDEX($C$12:$Q$12,1,B164-2025)*$AO$4*C164/MAX(0.0001,12-$AO$3),INDEX($C$12:$Q$12,1,B164-2025)/12)</f>
        <v>5.72483421907162</v>
      </c>
      <c r="BK164" s="88" t="n">
        <f aca="false">$AO$6*0</f>
        <v>0</v>
      </c>
      <c r="BL164" s="88" t="n">
        <f aca="false">BJ164+BL163</f>
        <v>1275.8265296355</v>
      </c>
      <c r="BM164" s="88" t="n">
        <f aca="false">BK164+BM163</f>
        <v>465</v>
      </c>
      <c r="BN164" s="88" t="n">
        <f aca="false">MAX(BN163,BL164-BM164)</f>
        <v>810.8265296355</v>
      </c>
      <c r="BO164" s="88" t="n">
        <f aca="false">BN164-BN163</f>
        <v>5.72483421907168</v>
      </c>
      <c r="BP164" s="88" t="n">
        <f aca="false">IF(B164=2026,INDEX($C$13:$Q$13,1,B164-2025)*$AO$4*C164/MAX(0.0001,12-$AO$3),INDEX($C$13:$Q$13,1,B164-2025)/12)</f>
        <v>1.78899617501633</v>
      </c>
      <c r="BQ164" s="88" t="n">
        <f aca="false">$AO$6*0</f>
        <v>0</v>
      </c>
      <c r="BR164" s="88" t="n">
        <f aca="false">BP164+BR163</f>
        <v>398.692554956184</v>
      </c>
      <c r="BS164" s="88" t="n">
        <f aca="false">BQ164+BS163</f>
        <v>87</v>
      </c>
      <c r="BT164" s="88" t="n">
        <f aca="false">MAX(BT163,BR164-BS164)</f>
        <v>311.692554956184</v>
      </c>
      <c r="BU164" s="88" t="n">
        <f aca="false">BT164-BT163</f>
        <v>1.78899617501634</v>
      </c>
      <c r="BV164" s="88" t="n">
        <f aca="false">IF(B164=2026,INDEX($C$14:$Q$14,1,B164-2025)*$AO$4*C164/MAX(0.0001,12-$AO$3),INDEX($C$14:$Q$14,1,B164-2025)/12)</f>
        <v>1.06105980035451</v>
      </c>
      <c r="BW164" s="88" t="n">
        <f aca="false">$AO$6*0</f>
        <v>0</v>
      </c>
      <c r="BX164" s="88" t="n">
        <f aca="false">BV164+BX163</f>
        <v>236.465929146427</v>
      </c>
      <c r="BY164" s="88" t="n">
        <f aca="false">BW164+BY163</f>
        <v>0</v>
      </c>
      <c r="BZ164" s="88" t="n">
        <f aca="false">MAX(BZ163,BX164-BY164)</f>
        <v>236.465929146427</v>
      </c>
      <c r="CA164" s="88" t="n">
        <f aca="false">BZ164-BZ163</f>
        <v>1.06105980035451</v>
      </c>
      <c r="CB164" s="88" t="n">
        <f aca="false">IF(B164=2026,INDEX($C$15:$Q$15,1,B164-2025)*$AO$4*C164/MAX(0.0001,12-$AO$3),INDEX($C$15:$Q$15,1,B164-2025)/12)</f>
        <v>1.73964455639519</v>
      </c>
      <c r="CC164" s="88" t="n">
        <f aca="false">$AO$6*0</f>
        <v>0</v>
      </c>
      <c r="CD164" s="88" t="n">
        <f aca="false">CB164+CD163</f>
        <v>387.694139647048</v>
      </c>
      <c r="CE164" s="88" t="n">
        <f aca="false">CC164+CE163</f>
        <v>88.0000000000001</v>
      </c>
      <c r="CF164" s="88" t="n">
        <f aca="false">MAX(CF163,CD164-CE164)</f>
        <v>299.694139647048</v>
      </c>
      <c r="CG164" s="88" t="n">
        <f aca="false">CF164-CF163</f>
        <v>1.73964455639521</v>
      </c>
      <c r="CH164" s="88" t="n">
        <f aca="false">IF(B164=2026,INDEX($C$16:$Q$16,1,B164-2025)*$AO$4*C164/MAX(0.0001,12-$AO$3),INDEX($C$16:$Q$16,1,B164-2025)/12)</f>
        <v>1.37567636906428</v>
      </c>
      <c r="CI164" s="88" t="n">
        <f aca="false">$AO$6*0</f>
        <v>0</v>
      </c>
      <c r="CJ164" s="88" t="n">
        <f aca="false">CH164+CJ163</f>
        <v>306.580826742169</v>
      </c>
      <c r="CK164" s="88" t="n">
        <f aca="false">CI164+CK163</f>
        <v>70</v>
      </c>
      <c r="CL164" s="88" t="n">
        <f aca="false">MAX(CL163,CJ164-CK164)</f>
        <v>236.580826742169</v>
      </c>
      <c r="CM164" s="88" t="n">
        <f aca="false">CL164-CL163</f>
        <v>1.37567636906425</v>
      </c>
      <c r="CN164" s="88" t="n">
        <f aca="false">IF(B164=2026,INDEX($C$17:$Q$17,1,B164-2025)*$AO$4*C164/MAX(0.0001,12-$AO$3),INDEX($C$17:$Q$17,1,B164-2025)/12)</f>
        <v>5.99005271014087</v>
      </c>
      <c r="CO164" s="88" t="n">
        <f aca="false">$AO$6*0</f>
        <v>0</v>
      </c>
      <c r="CP164" s="88" t="n">
        <f aca="false">CN164+CP163</f>
        <v>1334.9326581464</v>
      </c>
      <c r="CQ164" s="88" t="n">
        <f aca="false">CO164+CQ163</f>
        <v>221</v>
      </c>
      <c r="CR164" s="88" t="n">
        <f aca="false">MAX(CR163,CP164-CQ164)</f>
        <v>1113.9326581464</v>
      </c>
      <c r="CS164" s="88" t="n">
        <f aca="false">CR164-CR163</f>
        <v>5.99005271014084</v>
      </c>
      <c r="CT164" s="88" t="n">
        <f aca="false">IF(B164=2026,INDEX($C$18:$Q$18,1,B164-2025)*$AO$4*C164/MAX(0.0001,12-$AO$3),INDEX($C$18:$Q$18,1,B164-2025)/12)</f>
        <v>1.24612837018379</v>
      </c>
      <c r="CU164" s="88" t="n">
        <f aca="false">$AO$6*0</f>
        <v>0</v>
      </c>
      <c r="CV164" s="88" t="n">
        <f aca="false">CT164+CV163</f>
        <v>277.709986555687</v>
      </c>
      <c r="CW164" s="88" t="n">
        <f aca="false">CU164+CW163</f>
        <v>11</v>
      </c>
      <c r="CX164" s="88" t="n">
        <f aca="false">MAX(CX163,CV164-CW164)</f>
        <v>266.709986555687</v>
      </c>
      <c r="CY164" s="88" t="n">
        <f aca="false">CX164-CX163</f>
        <v>1.24612837018378</v>
      </c>
      <c r="CZ164" s="88" t="n">
        <f aca="false">IF(B164=2026,INDEX($C$19:$Q$19,1,B164-2025)*$AO$4*C164/MAX(0.0001,12-$AO$3),INDEX($C$19:$Q$19,1,B164-2025)/12)</f>
        <v>1.2337904655285</v>
      </c>
      <c r="DA164" s="88" t="n">
        <f aca="false">$AO$6*0</f>
        <v>0</v>
      </c>
      <c r="DB164" s="88" t="n">
        <f aca="false">CZ164+DB163</f>
        <v>274.960382728404</v>
      </c>
      <c r="DC164" s="88" t="n">
        <f aca="false">DA164+DC163</f>
        <v>226</v>
      </c>
      <c r="DD164" s="88" t="n">
        <f aca="false">MAX(DD163,DB164-DC164)</f>
        <v>48.9603827284038</v>
      </c>
      <c r="DE164" s="88" t="n">
        <f aca="false">DD164-DD163</f>
        <v>1.2337904655285</v>
      </c>
      <c r="DF164" s="88" t="n">
        <f aca="false">IF(B164=2026,INDEX($C$20:$Q$20,1,B164-2025)*$AO$4*C164/MAX(0.0001,12-$AO$3),INDEX($C$20:$Q$20,1,B164-2025)/12)</f>
        <v>1.00553922940573</v>
      </c>
      <c r="DG164" s="88" t="n">
        <f aca="false">$AO$6*0</f>
        <v>0</v>
      </c>
      <c r="DH164" s="88" t="n">
        <f aca="false">DF164+DH163</f>
        <v>224.092711923649</v>
      </c>
      <c r="DI164" s="88" t="n">
        <f aca="false">DG164+DI163</f>
        <v>0</v>
      </c>
      <c r="DJ164" s="88" t="n">
        <f aca="false">MAX(DJ163,DH164-DI164)</f>
        <v>224.092711923649</v>
      </c>
      <c r="DK164" s="88" t="n">
        <f aca="false">DJ164-DJ163</f>
        <v>1.00553922940574</v>
      </c>
      <c r="DL164" s="88" t="n">
        <f aca="false">IF(B164=2026,INDEX($C$21:$Q$21,1,B164-2025)*$AO$4*C164/MAX(0.0001,12-$AO$3),INDEX($C$21:$Q$21,1,B164-2025)/12)</f>
        <v>0.703260565351246</v>
      </c>
      <c r="DM164" s="88" t="n">
        <f aca="false">$AO$6*0</f>
        <v>0</v>
      </c>
      <c r="DN164" s="88" t="n">
        <f aca="false">DL164+DN163</f>
        <v>156.72741815519</v>
      </c>
      <c r="DO164" s="88" t="n">
        <f aca="false">DM164+DO163</f>
        <v>100</v>
      </c>
      <c r="DP164" s="88" t="n">
        <f aca="false">MAX(DP163,DN164-DO164)</f>
        <v>56.7274181551898</v>
      </c>
      <c r="DQ164" s="88" t="n">
        <f aca="false">DP164-DP163</f>
        <v>0.703260565351258</v>
      </c>
      <c r="DR164" s="88" t="n">
        <f aca="false">IF(B164=2026,INDEX($C$22:$Q$22,1,B164-2025)*$AO$4*C164/MAX(0.0001,12-$AO$3),INDEX($C$22:$Q$22,1,B164-2025)/12)</f>
        <v>0.549036757160183</v>
      </c>
      <c r="DS164" s="88" t="n">
        <f aca="false">$AO$6*0</f>
        <v>0</v>
      </c>
      <c r="DT164" s="88" t="n">
        <f aca="false">DR164+DT163</f>
        <v>122.35737031414</v>
      </c>
      <c r="DU164" s="88" t="n">
        <f aca="false">DS164+DU163</f>
        <v>29</v>
      </c>
      <c r="DV164" s="88" t="n">
        <f aca="false">MAX(DV163,DT164-DU164)</f>
        <v>93.3573703141396</v>
      </c>
      <c r="DW164" s="88" t="n">
        <f aca="false">DV164-DV163</f>
        <v>0.549036757160167</v>
      </c>
      <c r="DX164" s="88" t="n">
        <f aca="false">IF(B164=2026,INDEX($C$23:$Q$23,1,B164-2025)*$AO$4*C164/MAX(0.0001,12-$AO$3),INDEX($C$23:$Q$23,1,B164-2025)/12)</f>
        <v>0.882160182852878</v>
      </c>
      <c r="DY164" s="88" t="n">
        <f aca="false">$AO$6*0</f>
        <v>0</v>
      </c>
      <c r="DZ164" s="88" t="n">
        <f aca="false">DX164+DZ163</f>
        <v>196.596673650809</v>
      </c>
      <c r="EA164" s="88" t="n">
        <f aca="false">DY164+EA163</f>
        <v>121</v>
      </c>
      <c r="EB164" s="88" t="n">
        <f aca="false">MAX(EB163,DZ164-EA164)</f>
        <v>75.5966736508086</v>
      </c>
      <c r="EC164" s="88" t="n">
        <f aca="false">EB164-EB163</f>
        <v>0.882160182852886</v>
      </c>
      <c r="ED164" s="88" t="n">
        <f aca="false">IF(B164=2026,INDEX($C$24:$Q$24,1,B164-2025)*$AO$4*C164/MAX(0.0001,12-$AO$3),INDEX($C$24:$Q$24,1,B164-2025)/12)</f>
        <v>0.54286780483254</v>
      </c>
      <c r="EE164" s="88" t="n">
        <f aca="false">$AO$6*0</f>
        <v>0</v>
      </c>
      <c r="EF164" s="88" t="n">
        <f aca="false">ED164+EF163</f>
        <v>120.982568400497</v>
      </c>
      <c r="EG164" s="88" t="n">
        <f aca="false">EE164+EG163</f>
        <v>0</v>
      </c>
      <c r="EH164" s="88" t="n">
        <f aca="false">MAX(EH163,EF164-EG164)</f>
        <v>120.982568400497</v>
      </c>
      <c r="EI164" s="88" t="n">
        <f aca="false">EH164-EH163</f>
        <v>0.54286780483254</v>
      </c>
      <c r="EJ164" s="88" t="n">
        <f aca="false">IF(B164=2026,INDEX($C$25:$Q$25,1,B164-2025)*$AO$4*C164/MAX(0.0001,12-$AO$3),INDEX($C$25:$Q$25,1,B164-2025)/12)</f>
        <v>0.690922660695961</v>
      </c>
      <c r="EK164" s="88" t="n">
        <f aca="false">$AO$6*0</f>
        <v>0</v>
      </c>
      <c r="EL164" s="88" t="n">
        <f aca="false">EJ164+EL163</f>
        <v>153.977814327906</v>
      </c>
      <c r="EM164" s="88" t="n">
        <f aca="false">EK164+EM163</f>
        <v>14</v>
      </c>
      <c r="EN164" s="88" t="n">
        <f aca="false">MAX(EN163,EL164-EM164)</f>
        <v>139.977814327906</v>
      </c>
      <c r="EO164" s="88" t="n">
        <f aca="false">EN164-EN163</f>
        <v>0.690922660695946</v>
      </c>
      <c r="EP164" s="88" t="n">
        <f aca="false">IF(B164=2026,INDEX($C$26:$Q$26,1,B164-2025)*$AO$4*C164/MAX(0.0001,12-$AO$3),INDEX($C$26:$Q$26,1,B164-2025)/12)</f>
        <v>0.993201324750443</v>
      </c>
      <c r="EQ164" s="88" t="n">
        <f aca="false">$AO$6*0</f>
        <v>0</v>
      </c>
      <c r="ER164" s="88" t="n">
        <f aca="false">EP164+ER163</f>
        <v>221.343108096364</v>
      </c>
      <c r="ES164" s="88" t="n">
        <f aca="false">EQ164+ES163</f>
        <v>4</v>
      </c>
      <c r="ET164" s="88" t="n">
        <f aca="false">MAX(ET163,ER164-ES164)</f>
        <v>217.343108096364</v>
      </c>
      <c r="EU164" s="88" t="n">
        <f aca="false">ET164-ET163</f>
        <v>0.99320132475043</v>
      </c>
      <c r="EV164" s="88" t="n">
        <f aca="false">IF(B164=2026,INDEX($C$27:$Q$27,1,B164-2025)*$AO$4*C164/MAX(0.0001,12-$AO$3),INDEX($C$27:$Q$27,1,B164-2025)/12)</f>
        <v>2.467580931057</v>
      </c>
      <c r="EW164" s="88" t="n">
        <f aca="false">$AO$6*0</f>
        <v>0</v>
      </c>
      <c r="EX164" s="88" t="n">
        <f aca="false">EV164+EX163</f>
        <v>549.920765456807</v>
      </c>
      <c r="EY164" s="88" t="n">
        <f aca="false">EW164+EY163</f>
        <v>391</v>
      </c>
      <c r="EZ164" s="88" t="n">
        <f aca="false">MAX(EZ163,EX164-EY164)</f>
        <v>158.920765456807</v>
      </c>
      <c r="FA164" s="88" t="n">
        <f aca="false">EZ164-EZ163</f>
        <v>2.467580931057</v>
      </c>
      <c r="FB164" s="88" t="n">
        <f aca="false">IF(B164=2026,INDEX($C$28:$Q$28,1,B164-2025)*$AO$4*C164/MAX(0.0001,12-$AO$3),INDEX($C$28:$Q$28,1,B164-2025)/12)</f>
        <v>12.9177861740834</v>
      </c>
      <c r="FC164" s="88" t="n">
        <f aca="false">$AO$6*0</f>
        <v>0</v>
      </c>
      <c r="FD164" s="88" t="n">
        <f aca="false">FB164+FD163</f>
        <v>2878.83520716638</v>
      </c>
      <c r="FE164" s="88" t="n">
        <f aca="false">FC164+FE163</f>
        <v>169</v>
      </c>
      <c r="FF164" s="88" t="n">
        <f aca="false">MAX(FF163,FD164-FE164)</f>
        <v>2709.83520716638</v>
      </c>
      <c r="FG164" s="88" t="n">
        <f aca="false">FF164-FF163</f>
        <v>12.9177861740836</v>
      </c>
    </row>
    <row r="165" customFormat="false" ht="15" hidden="false" customHeight="false" outlineLevel="0" collapsed="false">
      <c r="A165" s="0" t="n">
        <v>125</v>
      </c>
      <c r="B165" s="88" t="n">
        <f aca="false">2026+INT(A165/12)</f>
        <v>2036</v>
      </c>
      <c r="C165" s="88" t="n">
        <f aca="false">MAX(0,MIN(1,A165+1-$AO$3))</f>
        <v>1</v>
      </c>
      <c r="D165" s="88" t="n">
        <f aca="false">IF((A165+0.5-(0))&lt;$AO$3,0,2026+INT((A165+0.5-(0))/12))</f>
        <v>2036</v>
      </c>
      <c r="E165" s="88" t="n">
        <f aca="false">IF((A165+0.5-($AO$9))&lt;$AO$3,0,2026+INT((A165+0.5-($AO$9))/12))</f>
        <v>2035</v>
      </c>
      <c r="F165" s="88" t="n">
        <f aca="false">IF((A165+0.5-($AO$9+$AO$8))&lt;$AO$3,0,2026+INT((A165+0.5-($AO$9+$AO$8))/12))</f>
        <v>2033</v>
      </c>
      <c r="G165" s="88" t="n">
        <f aca="false">IF((A165+0.5-($AO$9+$AO$8+$AO$7))&lt;$AO$3,0,2026+INT((A165+0.5-($AO$9+$AO$8+$AO$7))/12))</f>
        <v>2033</v>
      </c>
      <c r="H165" s="88" t="n">
        <f aca="false">IF(B165=2026,INDEX($C$3:$Q$3,1,B165-2025)*$AO$4*C165/MAX(0.0001,12-$AO$3),INDEX($C$3:$Q$3,1,B165-2025)/12)</f>
        <v>132.25</v>
      </c>
      <c r="I165" s="88" t="n">
        <f aca="false">$AO$6*0</f>
        <v>0</v>
      </c>
      <c r="J165" s="88" t="n">
        <f aca="false">H165+J164</f>
        <v>29605.2534246576</v>
      </c>
      <c r="K165" s="88" t="n">
        <f aca="false">I165+K164</f>
        <v>8695.00000000001</v>
      </c>
      <c r="L165" s="88" t="n">
        <f aca="false">MAX(L164,J165-K165)</f>
        <v>20910.2534246576</v>
      </c>
      <c r="M165" s="88" t="n">
        <f aca="false">L165-L164</f>
        <v>132.25</v>
      </c>
      <c r="N165" s="88" t="n">
        <f aca="false">IF(B165=2026,INDEX($C$4:$Q$4,1,B165-2025)*$AO$4*C165/MAX(0.0001,12-$AO$3),INDEX($C$4:$Q$4,1,B165-2025)/12)</f>
        <v>4.00940426699819</v>
      </c>
      <c r="O165" s="88" t="n">
        <f aca="false">$AO$6*0</f>
        <v>0</v>
      </c>
      <c r="P165" s="88" t="n">
        <f aca="false">N165+P164</f>
        <v>897.538218573797</v>
      </c>
      <c r="Q165" s="88" t="n">
        <f aca="false">O165+Q164</f>
        <v>398</v>
      </c>
      <c r="R165" s="88" t="n">
        <f aca="false">MAX(R164,P165-Q165)</f>
        <v>499.538218573797</v>
      </c>
      <c r="S165" s="88" t="n">
        <f aca="false">R165-R164</f>
        <v>4.00940426699822</v>
      </c>
      <c r="T165" s="88" t="n">
        <f aca="false">IF(B165=2026,INDEX($C$5:$Q$5,1,B165-2025)*$AO$4*C165/MAX(0.0001,12-$AO$3),INDEX($C$5:$Q$5,1,B165-2025)/12)</f>
        <v>16.2956662203121</v>
      </c>
      <c r="U165" s="88" t="n">
        <f aca="false">$AO$6*0</f>
        <v>0</v>
      </c>
      <c r="V165" s="88" t="n">
        <f aca="false">T165+V164</f>
        <v>3647.91930567841</v>
      </c>
      <c r="W165" s="88" t="n">
        <f aca="false">U165+W164</f>
        <v>1115</v>
      </c>
      <c r="X165" s="88" t="n">
        <f aca="false">MAX(X164,V165-W165)</f>
        <v>2532.91930567841</v>
      </c>
      <c r="Y165" s="88" t="n">
        <f aca="false">X165-X164</f>
        <v>16.2956662203123</v>
      </c>
      <c r="Z165" s="88" t="n">
        <f aca="false">IF(B165=2026,INDEX($C$6:$Q$6,1,B165-2025)*$AO$4*C165/MAX(0.0001,12-$AO$3),INDEX($C$6:$Q$6,1,B165-2025)/12)</f>
        <v>19.3334832874743</v>
      </c>
      <c r="AA165" s="88" t="n">
        <f aca="false">$AO$6*0</f>
        <v>0</v>
      </c>
      <c r="AB165" s="88" t="n">
        <f aca="false">Z165+AB164</f>
        <v>4327.95971498721</v>
      </c>
      <c r="AC165" s="88" t="n">
        <f aca="false">AA165+AC164</f>
        <v>2194</v>
      </c>
      <c r="AD165" s="88" t="n">
        <f aca="false">MAX(AD164,AB165-AC165)</f>
        <v>2133.95971498721</v>
      </c>
      <c r="AE165" s="88" t="n">
        <f aca="false">AD165-AD164</f>
        <v>19.3334832874743</v>
      </c>
      <c r="AF165" s="88" t="n">
        <f aca="false">IF(B165=2026,INDEX($C$7:$Q$7,1,B165-2025)*$AO$4*C165/MAX(0.0001,12-$AO$3),INDEX($C$7:$Q$7,1,B165-2025)/12)</f>
        <v>16.7943163616268</v>
      </c>
      <c r="AG165" s="88" t="n">
        <f aca="false">$AO$6*0</f>
        <v>0</v>
      </c>
      <c r="AH165" s="88" t="n">
        <f aca="false">AF165+AH164</f>
        <v>3759.54625315564</v>
      </c>
      <c r="AI165" s="88" t="n">
        <f aca="false">AG165+AI164</f>
        <v>826</v>
      </c>
      <c r="AJ165" s="88" t="n">
        <f aca="false">MAX(AJ164,AH165-AI165)</f>
        <v>2933.54625315564</v>
      </c>
      <c r="AK165" s="88" t="n">
        <f aca="false">AJ165-AJ164</f>
        <v>16.7943163616269</v>
      </c>
      <c r="AL165" s="88" t="n">
        <f aca="false">IF(B165=2026,INDEX($C$8:$Q$8,1,B165-2025)*$AO$4*C165/MAX(0.0001,12-$AO$3),INDEX($C$8:$Q$8,1,B165-2025)/12)</f>
        <v>4.24816860722254</v>
      </c>
      <c r="AM165" s="88" t="n">
        <f aca="false">$AO$6*0</f>
        <v>0</v>
      </c>
      <c r="AN165" s="88" t="n">
        <f aca="false">AL165+AN164</f>
        <v>950.987585689965</v>
      </c>
      <c r="AO165" s="88" t="n">
        <f aca="false">AM165+AO164</f>
        <v>66</v>
      </c>
      <c r="AP165" s="88" t="n">
        <f aca="false">MAX(AP164,AN165-AO165)</f>
        <v>884.987585689965</v>
      </c>
      <c r="AQ165" s="88" t="n">
        <f aca="false">AP165-AP164</f>
        <v>4.24816860722251</v>
      </c>
      <c r="AR165" s="88" t="n">
        <f aca="false">IF(B165=2026,INDEX($C$9:$Q$9,1,B165-2025)*$AO$4*C165/MAX(0.0001,12-$AO$3),INDEX($C$9:$Q$9,1,B165-2025)/12)</f>
        <v>18.1139485035592</v>
      </c>
      <c r="AS165" s="88" t="n">
        <f aca="false">$AO$6*0</f>
        <v>0</v>
      </c>
      <c r="AT165" s="88" t="n">
        <f aca="false">AR165+AT164</f>
        <v>4054.95679371695</v>
      </c>
      <c r="AU165" s="88" t="n">
        <f aca="false">AS165+AU164</f>
        <v>1810</v>
      </c>
      <c r="AV165" s="88" t="n">
        <f aca="false">MAX(AV164,AT165-AU165)</f>
        <v>2244.95679371694</v>
      </c>
      <c r="AW165" s="88" t="n">
        <f aca="false">AV165-AV164</f>
        <v>18.1139485035592</v>
      </c>
      <c r="AX165" s="88" t="n">
        <f aca="false">IF(B165=2026,INDEX($C$10:$Q$10,1,B165-2025)*$AO$4*C165/MAX(0.0001,12-$AO$3),INDEX($C$10:$Q$10,1,B165-2025)/12)</f>
        <v>2.10112619397431</v>
      </c>
      <c r="AY165" s="88" t="n">
        <f aca="false">$AO$6*0</f>
        <v>0</v>
      </c>
      <c r="AZ165" s="88" t="n">
        <f aca="false">AX165+AZ164</f>
        <v>470.354430622273</v>
      </c>
      <c r="BA165" s="88" t="n">
        <f aca="false">AY165+BA164</f>
        <v>50</v>
      </c>
      <c r="BB165" s="88" t="n">
        <f aca="false">MAX(BB164,AZ165-BA165)</f>
        <v>420.354430622273</v>
      </c>
      <c r="BC165" s="88" t="n">
        <f aca="false">BB165-BB164</f>
        <v>2.10112619397432</v>
      </c>
      <c r="BD165" s="88" t="n">
        <f aca="false">IF(B165=2026,INDEX($C$11:$Q$11,1,B165-2025)*$AO$4*C165/MAX(0.0001,12-$AO$3),INDEX($C$11:$Q$11,1,B165-2025)/12)</f>
        <v>10.4413482628881</v>
      </c>
      <c r="BE165" s="88" t="n">
        <f aca="false">$AO$6*0</f>
        <v>0</v>
      </c>
      <c r="BF165" s="88" t="n">
        <f aca="false">BD165+BF164</f>
        <v>2337.38193888779</v>
      </c>
      <c r="BG165" s="88" t="n">
        <f aca="false">BE165+BG164</f>
        <v>240</v>
      </c>
      <c r="BH165" s="88" t="n">
        <f aca="false">MAX(BH164,BF165-BG165)</f>
        <v>2097.38193888778</v>
      </c>
      <c r="BI165" s="88" t="n">
        <f aca="false">BH165-BH164</f>
        <v>10.4413482628879</v>
      </c>
      <c r="BJ165" s="88" t="n">
        <f aca="false">IF(B165=2026,INDEX($C$12:$Q$12,1,B165-2025)*$AO$4*C165/MAX(0.0001,12-$AO$3),INDEX($C$12:$Q$12,1,B165-2025)/12)</f>
        <v>5.72483421907162</v>
      </c>
      <c r="BK165" s="88" t="n">
        <f aca="false">$AO$6*0</f>
        <v>0</v>
      </c>
      <c r="BL165" s="88" t="n">
        <f aca="false">BJ165+BL164</f>
        <v>1281.55136385457</v>
      </c>
      <c r="BM165" s="88" t="n">
        <f aca="false">BK165+BM164</f>
        <v>465</v>
      </c>
      <c r="BN165" s="88" t="n">
        <f aca="false">MAX(BN164,BL165-BM165)</f>
        <v>816.551363854571</v>
      </c>
      <c r="BO165" s="88" t="n">
        <f aca="false">BN165-BN164</f>
        <v>5.72483421907168</v>
      </c>
      <c r="BP165" s="88" t="n">
        <f aca="false">IF(B165=2026,INDEX($C$13:$Q$13,1,B165-2025)*$AO$4*C165/MAX(0.0001,12-$AO$3),INDEX($C$13:$Q$13,1,B165-2025)/12)</f>
        <v>1.78899617501633</v>
      </c>
      <c r="BQ165" s="88" t="n">
        <f aca="false">$AO$6*0</f>
        <v>0</v>
      </c>
      <c r="BR165" s="88" t="n">
        <f aca="false">BP165+BR164</f>
        <v>400.4815511312</v>
      </c>
      <c r="BS165" s="88" t="n">
        <f aca="false">BQ165+BS164</f>
        <v>87</v>
      </c>
      <c r="BT165" s="88" t="n">
        <f aca="false">MAX(BT164,BR165-BS165)</f>
        <v>313.4815511312</v>
      </c>
      <c r="BU165" s="88" t="n">
        <f aca="false">BT165-BT164</f>
        <v>1.78899617501634</v>
      </c>
      <c r="BV165" s="88" t="n">
        <f aca="false">IF(B165=2026,INDEX($C$14:$Q$14,1,B165-2025)*$AO$4*C165/MAX(0.0001,12-$AO$3),INDEX($C$14:$Q$14,1,B165-2025)/12)</f>
        <v>1.06105980035451</v>
      </c>
      <c r="BW165" s="88" t="n">
        <f aca="false">$AO$6*0</f>
        <v>0</v>
      </c>
      <c r="BX165" s="88" t="n">
        <f aca="false">BV165+BX164</f>
        <v>237.526988946782</v>
      </c>
      <c r="BY165" s="88" t="n">
        <f aca="false">BW165+BY164</f>
        <v>0</v>
      </c>
      <c r="BZ165" s="88" t="n">
        <f aca="false">MAX(BZ164,BX165-BY165)</f>
        <v>237.526988946782</v>
      </c>
      <c r="CA165" s="88" t="n">
        <f aca="false">BZ165-BZ164</f>
        <v>1.06105980035451</v>
      </c>
      <c r="CB165" s="88" t="n">
        <f aca="false">IF(B165=2026,INDEX($C$15:$Q$15,1,B165-2025)*$AO$4*C165/MAX(0.0001,12-$AO$3),INDEX($C$15:$Q$15,1,B165-2025)/12)</f>
        <v>1.73964455639519</v>
      </c>
      <c r="CC165" s="88" t="n">
        <f aca="false">$AO$6*0</f>
        <v>0</v>
      </c>
      <c r="CD165" s="88" t="n">
        <f aca="false">CB165+CD164</f>
        <v>389.433784203443</v>
      </c>
      <c r="CE165" s="88" t="n">
        <f aca="false">CC165+CE164</f>
        <v>88.0000000000001</v>
      </c>
      <c r="CF165" s="88" t="n">
        <f aca="false">MAX(CF164,CD165-CE165)</f>
        <v>301.433784203443</v>
      </c>
      <c r="CG165" s="88" t="n">
        <f aca="false">CF165-CF164</f>
        <v>1.73964455639521</v>
      </c>
      <c r="CH165" s="88" t="n">
        <f aca="false">IF(B165=2026,INDEX($C$16:$Q$16,1,B165-2025)*$AO$4*C165/MAX(0.0001,12-$AO$3),INDEX($C$16:$Q$16,1,B165-2025)/12)</f>
        <v>1.37567636906428</v>
      </c>
      <c r="CI165" s="88" t="n">
        <f aca="false">$AO$6*0</f>
        <v>0</v>
      </c>
      <c r="CJ165" s="88" t="n">
        <f aca="false">CH165+CJ164</f>
        <v>307.956503111234</v>
      </c>
      <c r="CK165" s="88" t="n">
        <f aca="false">CI165+CK164</f>
        <v>70</v>
      </c>
      <c r="CL165" s="88" t="n">
        <f aca="false">MAX(CL164,CJ165-CK165)</f>
        <v>237.956503111234</v>
      </c>
      <c r="CM165" s="88" t="n">
        <f aca="false">CL165-CL164</f>
        <v>1.37567636906425</v>
      </c>
      <c r="CN165" s="88" t="n">
        <f aca="false">IF(B165=2026,INDEX($C$17:$Q$17,1,B165-2025)*$AO$4*C165/MAX(0.0001,12-$AO$3),INDEX($C$17:$Q$17,1,B165-2025)/12)</f>
        <v>5.99005271014087</v>
      </c>
      <c r="CO165" s="88" t="n">
        <f aca="false">$AO$6*0</f>
        <v>0</v>
      </c>
      <c r="CP165" s="88" t="n">
        <f aca="false">CN165+CP164</f>
        <v>1340.92271085654</v>
      </c>
      <c r="CQ165" s="88" t="n">
        <f aca="false">CO165+CQ164</f>
        <v>221</v>
      </c>
      <c r="CR165" s="88" t="n">
        <f aca="false">MAX(CR164,CP165-CQ165)</f>
        <v>1119.92271085654</v>
      </c>
      <c r="CS165" s="88" t="n">
        <f aca="false">CR165-CR164</f>
        <v>5.99005271014084</v>
      </c>
      <c r="CT165" s="88" t="n">
        <f aca="false">IF(B165=2026,INDEX($C$18:$Q$18,1,B165-2025)*$AO$4*C165/MAX(0.0001,12-$AO$3),INDEX($C$18:$Q$18,1,B165-2025)/12)</f>
        <v>1.24612837018379</v>
      </c>
      <c r="CU165" s="88" t="n">
        <f aca="false">$AO$6*0</f>
        <v>0</v>
      </c>
      <c r="CV165" s="88" t="n">
        <f aca="false">CT165+CV164</f>
        <v>278.956114925871</v>
      </c>
      <c r="CW165" s="88" t="n">
        <f aca="false">CU165+CW164</f>
        <v>11</v>
      </c>
      <c r="CX165" s="88" t="n">
        <f aca="false">MAX(CX164,CV165-CW165)</f>
        <v>267.956114925871</v>
      </c>
      <c r="CY165" s="88" t="n">
        <f aca="false">CX165-CX164</f>
        <v>1.24612837018378</v>
      </c>
      <c r="CZ165" s="88" t="n">
        <f aca="false">IF(B165=2026,INDEX($C$19:$Q$19,1,B165-2025)*$AO$4*C165/MAX(0.0001,12-$AO$3),INDEX($C$19:$Q$19,1,B165-2025)/12)</f>
        <v>1.2337904655285</v>
      </c>
      <c r="DA165" s="88" t="n">
        <f aca="false">$AO$6*0</f>
        <v>0</v>
      </c>
      <c r="DB165" s="88" t="n">
        <f aca="false">CZ165+DB164</f>
        <v>276.194173193932</v>
      </c>
      <c r="DC165" s="88" t="n">
        <f aca="false">DA165+DC164</f>
        <v>226</v>
      </c>
      <c r="DD165" s="88" t="n">
        <f aca="false">MAX(DD164,DB165-DC165)</f>
        <v>50.1941731939323</v>
      </c>
      <c r="DE165" s="88" t="n">
        <f aca="false">DD165-DD164</f>
        <v>1.2337904655285</v>
      </c>
      <c r="DF165" s="88" t="n">
        <f aca="false">IF(B165=2026,INDEX($C$20:$Q$20,1,B165-2025)*$AO$4*C165/MAX(0.0001,12-$AO$3),INDEX($C$20:$Q$20,1,B165-2025)/12)</f>
        <v>1.00553922940573</v>
      </c>
      <c r="DG165" s="88" t="n">
        <f aca="false">$AO$6*0</f>
        <v>0</v>
      </c>
      <c r="DH165" s="88" t="n">
        <f aca="false">DF165+DH164</f>
        <v>225.098251153054</v>
      </c>
      <c r="DI165" s="88" t="n">
        <f aca="false">DG165+DI164</f>
        <v>0</v>
      </c>
      <c r="DJ165" s="88" t="n">
        <f aca="false">MAX(DJ164,DH165-DI165)</f>
        <v>225.098251153054</v>
      </c>
      <c r="DK165" s="88" t="n">
        <f aca="false">DJ165-DJ164</f>
        <v>1.00553922940574</v>
      </c>
      <c r="DL165" s="88" t="n">
        <f aca="false">IF(B165=2026,INDEX($C$21:$Q$21,1,B165-2025)*$AO$4*C165/MAX(0.0001,12-$AO$3),INDEX($C$21:$Q$21,1,B165-2025)/12)</f>
        <v>0.703260565351246</v>
      </c>
      <c r="DM165" s="88" t="n">
        <f aca="false">$AO$6*0</f>
        <v>0</v>
      </c>
      <c r="DN165" s="88" t="n">
        <f aca="false">DL165+DN164</f>
        <v>157.430678720541</v>
      </c>
      <c r="DO165" s="88" t="n">
        <f aca="false">DM165+DO164</f>
        <v>100</v>
      </c>
      <c r="DP165" s="88" t="n">
        <f aca="false">MAX(DP164,DN165-DO165)</f>
        <v>57.430678720541</v>
      </c>
      <c r="DQ165" s="88" t="n">
        <f aca="false">DP165-DP164</f>
        <v>0.703260565351258</v>
      </c>
      <c r="DR165" s="88" t="n">
        <f aca="false">IF(B165=2026,INDEX($C$22:$Q$22,1,B165-2025)*$AO$4*C165/MAX(0.0001,12-$AO$3),INDEX($C$22:$Q$22,1,B165-2025)/12)</f>
        <v>0.549036757160183</v>
      </c>
      <c r="DS165" s="88" t="n">
        <f aca="false">$AO$6*0</f>
        <v>0</v>
      </c>
      <c r="DT165" s="88" t="n">
        <f aca="false">DR165+DT164</f>
        <v>122.9064070713</v>
      </c>
      <c r="DU165" s="88" t="n">
        <f aca="false">DS165+DU164</f>
        <v>29</v>
      </c>
      <c r="DV165" s="88" t="n">
        <f aca="false">MAX(DV164,DT165-DU165)</f>
        <v>93.9064070712998</v>
      </c>
      <c r="DW165" s="88" t="n">
        <f aca="false">DV165-DV164</f>
        <v>0.549036757160195</v>
      </c>
      <c r="DX165" s="88" t="n">
        <f aca="false">IF(B165=2026,INDEX($C$23:$Q$23,1,B165-2025)*$AO$4*C165/MAX(0.0001,12-$AO$3),INDEX($C$23:$Q$23,1,B165-2025)/12)</f>
        <v>0.882160182852878</v>
      </c>
      <c r="DY165" s="88" t="n">
        <f aca="false">$AO$6*0</f>
        <v>0</v>
      </c>
      <c r="DZ165" s="88" t="n">
        <f aca="false">DX165+DZ164</f>
        <v>197.478833833661</v>
      </c>
      <c r="EA165" s="88" t="n">
        <f aca="false">DY165+EA164</f>
        <v>121</v>
      </c>
      <c r="EB165" s="88" t="n">
        <f aca="false">MAX(EB164,DZ165-EA165)</f>
        <v>76.4788338336615</v>
      </c>
      <c r="EC165" s="88" t="n">
        <f aca="false">EB165-EB164</f>
        <v>0.882160182852886</v>
      </c>
      <c r="ED165" s="88" t="n">
        <f aca="false">IF(B165=2026,INDEX($C$24:$Q$24,1,B165-2025)*$AO$4*C165/MAX(0.0001,12-$AO$3),INDEX($C$24:$Q$24,1,B165-2025)/12)</f>
        <v>0.54286780483254</v>
      </c>
      <c r="EE165" s="88" t="n">
        <f aca="false">$AO$6*0</f>
        <v>0</v>
      </c>
      <c r="EF165" s="88" t="n">
        <f aca="false">ED165+EF164</f>
        <v>121.52543620533</v>
      </c>
      <c r="EG165" s="88" t="n">
        <f aca="false">EE165+EG164</f>
        <v>0</v>
      </c>
      <c r="EH165" s="88" t="n">
        <f aca="false">MAX(EH164,EF165-EG165)</f>
        <v>121.52543620533</v>
      </c>
      <c r="EI165" s="88" t="n">
        <f aca="false">EH165-EH164</f>
        <v>0.54286780483254</v>
      </c>
      <c r="EJ165" s="88" t="n">
        <f aca="false">IF(B165=2026,INDEX($C$25:$Q$25,1,B165-2025)*$AO$4*C165/MAX(0.0001,12-$AO$3),INDEX($C$25:$Q$25,1,B165-2025)/12)</f>
        <v>0.690922660695961</v>
      </c>
      <c r="EK165" s="88" t="n">
        <f aca="false">$AO$6*0</f>
        <v>0</v>
      </c>
      <c r="EL165" s="88" t="n">
        <f aca="false">EJ165+EL164</f>
        <v>154.668736988602</v>
      </c>
      <c r="EM165" s="88" t="n">
        <f aca="false">EK165+EM164</f>
        <v>14</v>
      </c>
      <c r="EN165" s="88" t="n">
        <f aca="false">MAX(EN164,EL165-EM165)</f>
        <v>140.668736988602</v>
      </c>
      <c r="EO165" s="88" t="n">
        <f aca="false">EN165-EN164</f>
        <v>0.690922660695946</v>
      </c>
      <c r="EP165" s="88" t="n">
        <f aca="false">IF(B165=2026,INDEX($C$26:$Q$26,1,B165-2025)*$AO$4*C165/MAX(0.0001,12-$AO$3),INDEX($C$26:$Q$26,1,B165-2025)/12)</f>
        <v>0.993201324750443</v>
      </c>
      <c r="EQ165" s="88" t="n">
        <f aca="false">$AO$6*0</f>
        <v>0</v>
      </c>
      <c r="ER165" s="88" t="n">
        <f aca="false">EP165+ER164</f>
        <v>222.336309421114</v>
      </c>
      <c r="ES165" s="88" t="n">
        <f aca="false">EQ165+ES164</f>
        <v>4</v>
      </c>
      <c r="ET165" s="88" t="n">
        <f aca="false">MAX(ET164,ER165-ES165)</f>
        <v>218.336309421114</v>
      </c>
      <c r="EU165" s="88" t="n">
        <f aca="false">ET165-ET164</f>
        <v>0.99320132475043</v>
      </c>
      <c r="EV165" s="88" t="n">
        <f aca="false">IF(B165=2026,INDEX($C$27:$Q$27,1,B165-2025)*$AO$4*C165/MAX(0.0001,12-$AO$3),INDEX($C$27:$Q$27,1,B165-2025)/12)</f>
        <v>2.467580931057</v>
      </c>
      <c r="EW165" s="88" t="n">
        <f aca="false">$AO$6*0</f>
        <v>0</v>
      </c>
      <c r="EX165" s="88" t="n">
        <f aca="false">EV165+EX164</f>
        <v>552.388346387864</v>
      </c>
      <c r="EY165" s="88" t="n">
        <f aca="false">EW165+EY164</f>
        <v>391</v>
      </c>
      <c r="EZ165" s="88" t="n">
        <f aca="false">MAX(EZ164,EX165-EY165)</f>
        <v>161.388346387864</v>
      </c>
      <c r="FA165" s="88" t="n">
        <f aca="false">EZ165-EZ164</f>
        <v>2.467580931057</v>
      </c>
      <c r="FB165" s="88" t="n">
        <f aca="false">IF(B165=2026,INDEX($C$28:$Q$28,1,B165-2025)*$AO$4*C165/MAX(0.0001,12-$AO$3),INDEX($C$28:$Q$28,1,B165-2025)/12)</f>
        <v>12.9177861740834</v>
      </c>
      <c r="FC165" s="88" t="n">
        <f aca="false">$AO$6*0</f>
        <v>0</v>
      </c>
      <c r="FD165" s="88" t="n">
        <f aca="false">FB165+FD164</f>
        <v>2891.75299334047</v>
      </c>
      <c r="FE165" s="88" t="n">
        <f aca="false">FC165+FE164</f>
        <v>169</v>
      </c>
      <c r="FF165" s="88" t="n">
        <f aca="false">MAX(FF164,FD165-FE165)</f>
        <v>2722.75299334047</v>
      </c>
      <c r="FG165" s="88" t="n">
        <f aca="false">FF165-FF164</f>
        <v>12.9177861740836</v>
      </c>
    </row>
    <row r="166" customFormat="false" ht="15" hidden="false" customHeight="false" outlineLevel="0" collapsed="false">
      <c r="A166" s="0" t="n">
        <v>126</v>
      </c>
      <c r="B166" s="88" t="n">
        <f aca="false">2026+INT(A166/12)</f>
        <v>2036</v>
      </c>
      <c r="C166" s="88" t="n">
        <f aca="false">MAX(0,MIN(1,A166+1-$AO$3))</f>
        <v>1</v>
      </c>
      <c r="D166" s="88" t="n">
        <f aca="false">IF((A166+0.5-(0))&lt;$AO$3,0,2026+INT((A166+0.5-(0))/12))</f>
        <v>2036</v>
      </c>
      <c r="E166" s="88" t="n">
        <f aca="false">IF((A166+0.5-($AO$9))&lt;$AO$3,0,2026+INT((A166+0.5-($AO$9))/12))</f>
        <v>2035</v>
      </c>
      <c r="F166" s="88" t="n">
        <f aca="false">IF((A166+0.5-($AO$9+$AO$8))&lt;$AO$3,0,2026+INT((A166+0.5-($AO$9+$AO$8))/12))</f>
        <v>2033</v>
      </c>
      <c r="G166" s="88" t="n">
        <f aca="false">IF((A166+0.5-($AO$9+$AO$8+$AO$7))&lt;$AO$3,0,2026+INT((A166+0.5-($AO$9+$AO$8+$AO$7))/12))</f>
        <v>2033</v>
      </c>
      <c r="H166" s="88" t="n">
        <f aca="false">IF(B166=2026,INDEX($C$3:$Q$3,1,B166-2025)*$AO$4*C166/MAX(0.0001,12-$AO$3),INDEX($C$3:$Q$3,1,B166-2025)/12)</f>
        <v>132.25</v>
      </c>
      <c r="I166" s="88" t="n">
        <f aca="false">$AO$6*0</f>
        <v>0</v>
      </c>
      <c r="J166" s="88" t="n">
        <f aca="false">H166+J165</f>
        <v>29737.5034246576</v>
      </c>
      <c r="K166" s="88" t="n">
        <f aca="false">I166+K165</f>
        <v>8695.00000000001</v>
      </c>
      <c r="L166" s="88" t="n">
        <f aca="false">MAX(L165,J166-K166)</f>
        <v>21042.5034246576</v>
      </c>
      <c r="M166" s="88" t="n">
        <f aca="false">L166-L165</f>
        <v>132.25</v>
      </c>
      <c r="N166" s="88" t="n">
        <f aca="false">IF(B166=2026,INDEX($C$4:$Q$4,1,B166-2025)*$AO$4*C166/MAX(0.0001,12-$AO$3),INDEX($C$4:$Q$4,1,B166-2025)/12)</f>
        <v>4.00940426699819</v>
      </c>
      <c r="O166" s="88" t="n">
        <f aca="false">$AO$6*0</f>
        <v>0</v>
      </c>
      <c r="P166" s="88" t="n">
        <f aca="false">N166+P165</f>
        <v>901.547622840795</v>
      </c>
      <c r="Q166" s="88" t="n">
        <f aca="false">O166+Q165</f>
        <v>398</v>
      </c>
      <c r="R166" s="88" t="n">
        <f aca="false">MAX(R165,P166-Q166)</f>
        <v>503.547622840795</v>
      </c>
      <c r="S166" s="88" t="n">
        <f aca="false">R166-R165</f>
        <v>4.00940426699822</v>
      </c>
      <c r="T166" s="88" t="n">
        <f aca="false">IF(B166=2026,INDEX($C$5:$Q$5,1,B166-2025)*$AO$4*C166/MAX(0.0001,12-$AO$3),INDEX($C$5:$Q$5,1,B166-2025)/12)</f>
        <v>16.2956662203121</v>
      </c>
      <c r="U166" s="88" t="n">
        <f aca="false">$AO$6*0</f>
        <v>0</v>
      </c>
      <c r="V166" s="88" t="n">
        <f aca="false">T166+V165</f>
        <v>3664.21497189873</v>
      </c>
      <c r="W166" s="88" t="n">
        <f aca="false">U166+W165</f>
        <v>1115</v>
      </c>
      <c r="X166" s="88" t="n">
        <f aca="false">MAX(X165,V166-W166)</f>
        <v>2549.21497189873</v>
      </c>
      <c r="Y166" s="88" t="n">
        <f aca="false">X166-X165</f>
        <v>16.2956662203114</v>
      </c>
      <c r="Z166" s="88" t="n">
        <f aca="false">IF(B166=2026,INDEX($C$6:$Q$6,1,B166-2025)*$AO$4*C166/MAX(0.0001,12-$AO$3),INDEX($C$6:$Q$6,1,B166-2025)/12)</f>
        <v>19.3334832874743</v>
      </c>
      <c r="AA166" s="88" t="n">
        <f aca="false">$AO$6*0</f>
        <v>0</v>
      </c>
      <c r="AB166" s="88" t="n">
        <f aca="false">Z166+AB165</f>
        <v>4347.29319827469</v>
      </c>
      <c r="AC166" s="88" t="n">
        <f aca="false">AA166+AC165</f>
        <v>2194</v>
      </c>
      <c r="AD166" s="88" t="n">
        <f aca="false">MAX(AD165,AB166-AC166)</f>
        <v>2153.29319827468</v>
      </c>
      <c r="AE166" s="88" t="n">
        <f aca="false">AD166-AD165</f>
        <v>19.3334832874743</v>
      </c>
      <c r="AF166" s="88" t="n">
        <f aca="false">IF(B166=2026,INDEX($C$7:$Q$7,1,B166-2025)*$AO$4*C166/MAX(0.0001,12-$AO$3),INDEX($C$7:$Q$7,1,B166-2025)/12)</f>
        <v>16.7943163616268</v>
      </c>
      <c r="AG166" s="88" t="n">
        <f aca="false">$AO$6*0</f>
        <v>0</v>
      </c>
      <c r="AH166" s="88" t="n">
        <f aca="false">AF166+AH165</f>
        <v>3776.34056951727</v>
      </c>
      <c r="AI166" s="88" t="n">
        <f aca="false">AG166+AI165</f>
        <v>826</v>
      </c>
      <c r="AJ166" s="88" t="n">
        <f aca="false">MAX(AJ165,AH166-AI166)</f>
        <v>2950.34056951727</v>
      </c>
      <c r="AK166" s="88" t="n">
        <f aca="false">AJ166-AJ165</f>
        <v>16.7943163616269</v>
      </c>
      <c r="AL166" s="88" t="n">
        <f aca="false">IF(B166=2026,INDEX($C$8:$Q$8,1,B166-2025)*$AO$4*C166/MAX(0.0001,12-$AO$3),INDEX($C$8:$Q$8,1,B166-2025)/12)</f>
        <v>4.24816860722254</v>
      </c>
      <c r="AM166" s="88" t="n">
        <f aca="false">$AO$6*0</f>
        <v>0</v>
      </c>
      <c r="AN166" s="88" t="n">
        <f aca="false">AL166+AN165</f>
        <v>955.235754297187</v>
      </c>
      <c r="AO166" s="88" t="n">
        <f aca="false">AM166+AO165</f>
        <v>66</v>
      </c>
      <c r="AP166" s="88" t="n">
        <f aca="false">MAX(AP165,AN166-AO166)</f>
        <v>889.235754297187</v>
      </c>
      <c r="AQ166" s="88" t="n">
        <f aca="false">AP166-AP165</f>
        <v>4.24816860722251</v>
      </c>
      <c r="AR166" s="88" t="n">
        <f aca="false">IF(B166=2026,INDEX($C$9:$Q$9,1,B166-2025)*$AO$4*C166/MAX(0.0001,12-$AO$3),INDEX($C$9:$Q$9,1,B166-2025)/12)</f>
        <v>18.1139485035592</v>
      </c>
      <c r="AS166" s="88" t="n">
        <f aca="false">$AO$6*0</f>
        <v>0</v>
      </c>
      <c r="AT166" s="88" t="n">
        <f aca="false">AR166+AT165</f>
        <v>4073.0707422205</v>
      </c>
      <c r="AU166" s="88" t="n">
        <f aca="false">AS166+AU165</f>
        <v>1810</v>
      </c>
      <c r="AV166" s="88" t="n">
        <f aca="false">MAX(AV165,AT166-AU166)</f>
        <v>2263.0707422205</v>
      </c>
      <c r="AW166" s="88" t="n">
        <f aca="false">AV166-AV165</f>
        <v>18.1139485035592</v>
      </c>
      <c r="AX166" s="88" t="n">
        <f aca="false">IF(B166=2026,INDEX($C$10:$Q$10,1,B166-2025)*$AO$4*C166/MAX(0.0001,12-$AO$3),INDEX($C$10:$Q$10,1,B166-2025)/12)</f>
        <v>2.10112619397431</v>
      </c>
      <c r="AY166" s="88" t="n">
        <f aca="false">$AO$6*0</f>
        <v>0</v>
      </c>
      <c r="AZ166" s="88" t="n">
        <f aca="false">AX166+AZ165</f>
        <v>472.455556816247</v>
      </c>
      <c r="BA166" s="88" t="n">
        <f aca="false">AY166+BA165</f>
        <v>50</v>
      </c>
      <c r="BB166" s="88" t="n">
        <f aca="false">MAX(BB165,AZ166-BA166)</f>
        <v>422.455556816247</v>
      </c>
      <c r="BC166" s="88" t="n">
        <f aca="false">BB166-BB165</f>
        <v>2.10112619397432</v>
      </c>
      <c r="BD166" s="88" t="n">
        <f aca="false">IF(B166=2026,INDEX($C$11:$Q$11,1,B166-2025)*$AO$4*C166/MAX(0.0001,12-$AO$3),INDEX($C$11:$Q$11,1,B166-2025)/12)</f>
        <v>10.4413482628881</v>
      </c>
      <c r="BE166" s="88" t="n">
        <f aca="false">$AO$6*0</f>
        <v>0</v>
      </c>
      <c r="BF166" s="88" t="n">
        <f aca="false">BD166+BF165</f>
        <v>2347.82328715067</v>
      </c>
      <c r="BG166" s="88" t="n">
        <f aca="false">BE166+BG165</f>
        <v>240</v>
      </c>
      <c r="BH166" s="88" t="n">
        <f aca="false">MAX(BH165,BF166-BG166)</f>
        <v>2107.82328715067</v>
      </c>
      <c r="BI166" s="88" t="n">
        <f aca="false">BH166-BH165</f>
        <v>10.4413482628879</v>
      </c>
      <c r="BJ166" s="88" t="n">
        <f aca="false">IF(B166=2026,INDEX($C$12:$Q$12,1,B166-2025)*$AO$4*C166/MAX(0.0001,12-$AO$3),INDEX($C$12:$Q$12,1,B166-2025)/12)</f>
        <v>5.72483421907162</v>
      </c>
      <c r="BK166" s="88" t="n">
        <f aca="false">$AO$6*0</f>
        <v>0</v>
      </c>
      <c r="BL166" s="88" t="n">
        <f aca="false">BJ166+BL165</f>
        <v>1287.27619807364</v>
      </c>
      <c r="BM166" s="88" t="n">
        <f aca="false">BK166+BM165</f>
        <v>465</v>
      </c>
      <c r="BN166" s="88" t="n">
        <f aca="false">MAX(BN165,BL166-BM166)</f>
        <v>822.276198073643</v>
      </c>
      <c r="BO166" s="88" t="n">
        <f aca="false">BN166-BN165</f>
        <v>5.72483421907168</v>
      </c>
      <c r="BP166" s="88" t="n">
        <f aca="false">IF(B166=2026,INDEX($C$13:$Q$13,1,B166-2025)*$AO$4*C166/MAX(0.0001,12-$AO$3),INDEX($C$13:$Q$13,1,B166-2025)/12)</f>
        <v>1.78899617501633</v>
      </c>
      <c r="BQ166" s="88" t="n">
        <f aca="false">$AO$6*0</f>
        <v>0</v>
      </c>
      <c r="BR166" s="88" t="n">
        <f aca="false">BP166+BR165</f>
        <v>402.270547306217</v>
      </c>
      <c r="BS166" s="88" t="n">
        <f aca="false">BQ166+BS165</f>
        <v>87</v>
      </c>
      <c r="BT166" s="88" t="n">
        <f aca="false">MAX(BT165,BR166-BS166)</f>
        <v>315.270547306217</v>
      </c>
      <c r="BU166" s="88" t="n">
        <f aca="false">BT166-BT165</f>
        <v>1.78899617501634</v>
      </c>
      <c r="BV166" s="88" t="n">
        <f aca="false">IF(B166=2026,INDEX($C$14:$Q$14,1,B166-2025)*$AO$4*C166/MAX(0.0001,12-$AO$3),INDEX($C$14:$Q$14,1,B166-2025)/12)</f>
        <v>1.06105980035451</v>
      </c>
      <c r="BW166" s="88" t="n">
        <f aca="false">$AO$6*0</f>
        <v>0</v>
      </c>
      <c r="BX166" s="88" t="n">
        <f aca="false">BV166+BX165</f>
        <v>238.588048747136</v>
      </c>
      <c r="BY166" s="88" t="n">
        <f aca="false">BW166+BY165</f>
        <v>0</v>
      </c>
      <c r="BZ166" s="88" t="n">
        <f aca="false">MAX(BZ165,BX166-BY166)</f>
        <v>238.588048747136</v>
      </c>
      <c r="CA166" s="88" t="n">
        <f aca="false">BZ166-BZ165</f>
        <v>1.06105980035451</v>
      </c>
      <c r="CB166" s="88" t="n">
        <f aca="false">IF(B166=2026,INDEX($C$15:$Q$15,1,B166-2025)*$AO$4*C166/MAX(0.0001,12-$AO$3),INDEX($C$15:$Q$15,1,B166-2025)/12)</f>
        <v>1.73964455639519</v>
      </c>
      <c r="CC166" s="88" t="n">
        <f aca="false">$AO$6*0</f>
        <v>0</v>
      </c>
      <c r="CD166" s="88" t="n">
        <f aca="false">CB166+CD165</f>
        <v>391.173428759838</v>
      </c>
      <c r="CE166" s="88" t="n">
        <f aca="false">CC166+CE165</f>
        <v>88.0000000000001</v>
      </c>
      <c r="CF166" s="88" t="n">
        <f aca="false">MAX(CF165,CD166-CE166)</f>
        <v>303.173428759838</v>
      </c>
      <c r="CG166" s="88" t="n">
        <f aca="false">CF166-CF165</f>
        <v>1.73964455639521</v>
      </c>
      <c r="CH166" s="88" t="n">
        <f aca="false">IF(B166=2026,INDEX($C$16:$Q$16,1,B166-2025)*$AO$4*C166/MAX(0.0001,12-$AO$3),INDEX($C$16:$Q$16,1,B166-2025)/12)</f>
        <v>1.37567636906428</v>
      </c>
      <c r="CI166" s="88" t="n">
        <f aca="false">$AO$6*0</f>
        <v>0</v>
      </c>
      <c r="CJ166" s="88" t="n">
        <f aca="false">CH166+CJ165</f>
        <v>309.332179480298</v>
      </c>
      <c r="CK166" s="88" t="n">
        <f aca="false">CI166+CK165</f>
        <v>70</v>
      </c>
      <c r="CL166" s="88" t="n">
        <f aca="false">MAX(CL165,CJ166-CK166)</f>
        <v>239.332179480298</v>
      </c>
      <c r="CM166" s="88" t="n">
        <f aca="false">CL166-CL165</f>
        <v>1.37567636906425</v>
      </c>
      <c r="CN166" s="88" t="n">
        <f aca="false">IF(B166=2026,INDEX($C$17:$Q$17,1,B166-2025)*$AO$4*C166/MAX(0.0001,12-$AO$3),INDEX($C$17:$Q$17,1,B166-2025)/12)</f>
        <v>5.99005271014087</v>
      </c>
      <c r="CO166" s="88" t="n">
        <f aca="false">$AO$6*0</f>
        <v>0</v>
      </c>
      <c r="CP166" s="88" t="n">
        <f aca="false">CN166+CP165</f>
        <v>1346.91276356668</v>
      </c>
      <c r="CQ166" s="88" t="n">
        <f aca="false">CO166+CQ165</f>
        <v>221</v>
      </c>
      <c r="CR166" s="88" t="n">
        <f aca="false">MAX(CR165,CP166-CQ166)</f>
        <v>1125.91276356668</v>
      </c>
      <c r="CS166" s="88" t="n">
        <f aca="false">CR166-CR165</f>
        <v>5.99005271014084</v>
      </c>
      <c r="CT166" s="88" t="n">
        <f aca="false">IF(B166=2026,INDEX($C$18:$Q$18,1,B166-2025)*$AO$4*C166/MAX(0.0001,12-$AO$3),INDEX($C$18:$Q$18,1,B166-2025)/12)</f>
        <v>1.24612837018379</v>
      </c>
      <c r="CU166" s="88" t="n">
        <f aca="false">$AO$6*0</f>
        <v>0</v>
      </c>
      <c r="CV166" s="88" t="n">
        <f aca="false">CT166+CV165</f>
        <v>280.202243296055</v>
      </c>
      <c r="CW166" s="88" t="n">
        <f aca="false">CU166+CW165</f>
        <v>11</v>
      </c>
      <c r="CX166" s="88" t="n">
        <f aca="false">MAX(CX165,CV166-CW166)</f>
        <v>269.202243296055</v>
      </c>
      <c r="CY166" s="88" t="n">
        <f aca="false">CX166-CX165</f>
        <v>1.24612837018378</v>
      </c>
      <c r="CZ166" s="88" t="n">
        <f aca="false">IF(B166=2026,INDEX($C$19:$Q$19,1,B166-2025)*$AO$4*C166/MAX(0.0001,12-$AO$3),INDEX($C$19:$Q$19,1,B166-2025)/12)</f>
        <v>1.2337904655285</v>
      </c>
      <c r="DA166" s="88" t="n">
        <f aca="false">$AO$6*0</f>
        <v>0</v>
      </c>
      <c r="DB166" s="88" t="n">
        <f aca="false">CZ166+DB165</f>
        <v>277.427963659461</v>
      </c>
      <c r="DC166" s="88" t="n">
        <f aca="false">DA166+DC165</f>
        <v>226</v>
      </c>
      <c r="DD166" s="88" t="n">
        <f aca="false">MAX(DD165,DB166-DC166)</f>
        <v>51.4279636594608</v>
      </c>
      <c r="DE166" s="88" t="n">
        <f aca="false">DD166-DD165</f>
        <v>1.2337904655285</v>
      </c>
      <c r="DF166" s="88" t="n">
        <f aca="false">IF(B166=2026,INDEX($C$20:$Q$20,1,B166-2025)*$AO$4*C166/MAX(0.0001,12-$AO$3),INDEX($C$20:$Q$20,1,B166-2025)/12)</f>
        <v>1.00553922940573</v>
      </c>
      <c r="DG166" s="88" t="n">
        <f aca="false">$AO$6*0</f>
        <v>0</v>
      </c>
      <c r="DH166" s="88" t="n">
        <f aca="false">DF166+DH165</f>
        <v>226.10379038246</v>
      </c>
      <c r="DI166" s="88" t="n">
        <f aca="false">DG166+DI165</f>
        <v>0</v>
      </c>
      <c r="DJ166" s="88" t="n">
        <f aca="false">MAX(DJ165,DH166-DI166)</f>
        <v>226.10379038246</v>
      </c>
      <c r="DK166" s="88" t="n">
        <f aca="false">DJ166-DJ165</f>
        <v>1.00553922940574</v>
      </c>
      <c r="DL166" s="88" t="n">
        <f aca="false">IF(B166=2026,INDEX($C$21:$Q$21,1,B166-2025)*$AO$4*C166/MAX(0.0001,12-$AO$3),INDEX($C$21:$Q$21,1,B166-2025)/12)</f>
        <v>0.703260565351246</v>
      </c>
      <c r="DM166" s="88" t="n">
        <f aca="false">$AO$6*0</f>
        <v>0</v>
      </c>
      <c r="DN166" s="88" t="n">
        <f aca="false">DL166+DN165</f>
        <v>158.133939285892</v>
      </c>
      <c r="DO166" s="88" t="n">
        <f aca="false">DM166+DO165</f>
        <v>100</v>
      </c>
      <c r="DP166" s="88" t="n">
        <f aca="false">MAX(DP165,DN166-DO166)</f>
        <v>58.1339392858923</v>
      </c>
      <c r="DQ166" s="88" t="n">
        <f aca="false">DP166-DP165</f>
        <v>0.703260565351258</v>
      </c>
      <c r="DR166" s="88" t="n">
        <f aca="false">IF(B166=2026,INDEX($C$22:$Q$22,1,B166-2025)*$AO$4*C166/MAX(0.0001,12-$AO$3),INDEX($C$22:$Q$22,1,B166-2025)/12)</f>
        <v>0.549036757160183</v>
      </c>
      <c r="DS166" s="88" t="n">
        <f aca="false">$AO$6*0</f>
        <v>0</v>
      </c>
      <c r="DT166" s="88" t="n">
        <f aca="false">DR166+DT165</f>
        <v>123.45544382846</v>
      </c>
      <c r="DU166" s="88" t="n">
        <f aca="false">DS166+DU165</f>
        <v>29</v>
      </c>
      <c r="DV166" s="88" t="n">
        <f aca="false">MAX(DV165,DT166-DU166)</f>
        <v>94.45544382846</v>
      </c>
      <c r="DW166" s="88" t="n">
        <f aca="false">DV166-DV165</f>
        <v>0.549036757160167</v>
      </c>
      <c r="DX166" s="88" t="n">
        <f aca="false">IF(B166=2026,INDEX($C$23:$Q$23,1,B166-2025)*$AO$4*C166/MAX(0.0001,12-$AO$3),INDEX($C$23:$Q$23,1,B166-2025)/12)</f>
        <v>0.882160182852878</v>
      </c>
      <c r="DY166" s="88" t="n">
        <f aca="false">$AO$6*0</f>
        <v>0</v>
      </c>
      <c r="DZ166" s="88" t="n">
        <f aca="false">DX166+DZ165</f>
        <v>198.360994016514</v>
      </c>
      <c r="EA166" s="88" t="n">
        <f aca="false">DY166+EA165</f>
        <v>121</v>
      </c>
      <c r="EB166" s="88" t="n">
        <f aca="false">MAX(EB165,DZ166-EA166)</f>
        <v>77.3609940165144</v>
      </c>
      <c r="EC166" s="88" t="n">
        <f aca="false">EB166-EB165</f>
        <v>0.882160182852886</v>
      </c>
      <c r="ED166" s="88" t="n">
        <f aca="false">IF(B166=2026,INDEX($C$24:$Q$24,1,B166-2025)*$AO$4*C166/MAX(0.0001,12-$AO$3),INDEX($C$24:$Q$24,1,B166-2025)/12)</f>
        <v>0.54286780483254</v>
      </c>
      <c r="EE166" s="88" t="n">
        <f aca="false">$AO$6*0</f>
        <v>0</v>
      </c>
      <c r="EF166" s="88" t="n">
        <f aca="false">ED166+EF165</f>
        <v>122.068304010162</v>
      </c>
      <c r="EG166" s="88" t="n">
        <f aca="false">EE166+EG165</f>
        <v>0</v>
      </c>
      <c r="EH166" s="88" t="n">
        <f aca="false">MAX(EH165,EF166-EG166)</f>
        <v>122.068304010162</v>
      </c>
      <c r="EI166" s="88" t="n">
        <f aca="false">EH166-EH165</f>
        <v>0.54286780483254</v>
      </c>
      <c r="EJ166" s="88" t="n">
        <f aca="false">IF(B166=2026,INDEX($C$25:$Q$25,1,B166-2025)*$AO$4*C166/MAX(0.0001,12-$AO$3),INDEX($C$25:$Q$25,1,B166-2025)/12)</f>
        <v>0.690922660695961</v>
      </c>
      <c r="EK166" s="88" t="n">
        <f aca="false">$AO$6*0</f>
        <v>0</v>
      </c>
      <c r="EL166" s="88" t="n">
        <f aca="false">EJ166+EL165</f>
        <v>155.359659649298</v>
      </c>
      <c r="EM166" s="88" t="n">
        <f aca="false">EK166+EM165</f>
        <v>14</v>
      </c>
      <c r="EN166" s="88" t="n">
        <f aca="false">MAX(EN165,EL166-EM166)</f>
        <v>141.359659649298</v>
      </c>
      <c r="EO166" s="88" t="n">
        <f aca="false">EN166-EN165</f>
        <v>0.690922660695946</v>
      </c>
      <c r="EP166" s="88" t="n">
        <f aca="false">IF(B166=2026,INDEX($C$26:$Q$26,1,B166-2025)*$AO$4*C166/MAX(0.0001,12-$AO$3),INDEX($C$26:$Q$26,1,B166-2025)/12)</f>
        <v>0.993201324750443</v>
      </c>
      <c r="EQ166" s="88" t="n">
        <f aca="false">$AO$6*0</f>
        <v>0</v>
      </c>
      <c r="ER166" s="88" t="n">
        <f aca="false">EP166+ER165</f>
        <v>223.329510745865</v>
      </c>
      <c r="ES166" s="88" t="n">
        <f aca="false">EQ166+ES165</f>
        <v>4</v>
      </c>
      <c r="ET166" s="88" t="n">
        <f aca="false">MAX(ET165,ER166-ES166)</f>
        <v>219.329510745865</v>
      </c>
      <c r="EU166" s="88" t="n">
        <f aca="false">ET166-ET165</f>
        <v>0.99320132475043</v>
      </c>
      <c r="EV166" s="88" t="n">
        <f aca="false">IF(B166=2026,INDEX($C$27:$Q$27,1,B166-2025)*$AO$4*C166/MAX(0.0001,12-$AO$3),INDEX($C$27:$Q$27,1,B166-2025)/12)</f>
        <v>2.467580931057</v>
      </c>
      <c r="EW166" s="88" t="n">
        <f aca="false">$AO$6*0</f>
        <v>0</v>
      </c>
      <c r="EX166" s="88" t="n">
        <f aca="false">EV166+EX165</f>
        <v>554.855927318921</v>
      </c>
      <c r="EY166" s="88" t="n">
        <f aca="false">EW166+EY165</f>
        <v>391</v>
      </c>
      <c r="EZ166" s="88" t="n">
        <f aca="false">MAX(EZ165,EX166-EY166)</f>
        <v>163.855927318921</v>
      </c>
      <c r="FA166" s="88" t="n">
        <f aca="false">EZ166-EZ165</f>
        <v>2.467580931057</v>
      </c>
      <c r="FB166" s="88" t="n">
        <f aca="false">IF(B166=2026,INDEX($C$28:$Q$28,1,B166-2025)*$AO$4*C166/MAX(0.0001,12-$AO$3),INDEX($C$28:$Q$28,1,B166-2025)/12)</f>
        <v>12.9177861740834</v>
      </c>
      <c r="FC166" s="88" t="n">
        <f aca="false">$AO$6*0</f>
        <v>0</v>
      </c>
      <c r="FD166" s="88" t="n">
        <f aca="false">FB166+FD165</f>
        <v>2904.67077951455</v>
      </c>
      <c r="FE166" s="88" t="n">
        <f aca="false">FC166+FE165</f>
        <v>169</v>
      </c>
      <c r="FF166" s="88" t="n">
        <f aca="false">MAX(FF165,FD166-FE166)</f>
        <v>2735.67077951455</v>
      </c>
      <c r="FG166" s="88" t="n">
        <f aca="false">FF166-FF165</f>
        <v>12.9177861740836</v>
      </c>
    </row>
    <row r="167" customFormat="false" ht="15" hidden="false" customHeight="false" outlineLevel="0" collapsed="false">
      <c r="A167" s="0" t="n">
        <v>127</v>
      </c>
      <c r="B167" s="88" t="n">
        <f aca="false">2026+INT(A167/12)</f>
        <v>2036</v>
      </c>
      <c r="C167" s="88" t="n">
        <f aca="false">MAX(0,MIN(1,A167+1-$AO$3))</f>
        <v>1</v>
      </c>
      <c r="D167" s="88" t="n">
        <f aca="false">IF((A167+0.5-(0))&lt;$AO$3,0,2026+INT((A167+0.5-(0))/12))</f>
        <v>2036</v>
      </c>
      <c r="E167" s="88" t="n">
        <f aca="false">IF((A167+0.5-($AO$9))&lt;$AO$3,0,2026+INT((A167+0.5-($AO$9))/12))</f>
        <v>2035</v>
      </c>
      <c r="F167" s="88" t="n">
        <f aca="false">IF((A167+0.5-($AO$9+$AO$8))&lt;$AO$3,0,2026+INT((A167+0.5-($AO$9+$AO$8))/12))</f>
        <v>2034</v>
      </c>
      <c r="G167" s="88" t="n">
        <f aca="false">IF((A167+0.5-($AO$9+$AO$8+$AO$7))&lt;$AO$3,0,2026+INT((A167+0.5-($AO$9+$AO$8+$AO$7))/12))</f>
        <v>2033</v>
      </c>
      <c r="H167" s="88" t="n">
        <f aca="false">IF(B167=2026,INDEX($C$3:$Q$3,1,B167-2025)*$AO$4*C167/MAX(0.0001,12-$AO$3),INDEX($C$3:$Q$3,1,B167-2025)/12)</f>
        <v>132.25</v>
      </c>
      <c r="I167" s="88" t="n">
        <f aca="false">$AO$6*0</f>
        <v>0</v>
      </c>
      <c r="J167" s="88" t="n">
        <f aca="false">H167+J166</f>
        <v>29869.7534246576</v>
      </c>
      <c r="K167" s="88" t="n">
        <f aca="false">I167+K166</f>
        <v>8695.00000000001</v>
      </c>
      <c r="L167" s="88" t="n">
        <f aca="false">MAX(L166,J167-K167)</f>
        <v>21174.7534246576</v>
      </c>
      <c r="M167" s="88" t="n">
        <f aca="false">L167-L166</f>
        <v>132.25</v>
      </c>
      <c r="N167" s="88" t="n">
        <f aca="false">IF(B167=2026,INDEX($C$4:$Q$4,1,B167-2025)*$AO$4*C167/MAX(0.0001,12-$AO$3),INDEX($C$4:$Q$4,1,B167-2025)/12)</f>
        <v>4.00940426699819</v>
      </c>
      <c r="O167" s="88" t="n">
        <f aca="false">$AO$6*0</f>
        <v>0</v>
      </c>
      <c r="P167" s="88" t="n">
        <f aca="false">N167+P166</f>
        <v>905.557027107793</v>
      </c>
      <c r="Q167" s="88" t="n">
        <f aca="false">O167+Q166</f>
        <v>398</v>
      </c>
      <c r="R167" s="88" t="n">
        <f aca="false">MAX(R166,P167-Q167)</f>
        <v>507.557027107793</v>
      </c>
      <c r="S167" s="88" t="n">
        <f aca="false">R167-R166</f>
        <v>4.00940426699822</v>
      </c>
      <c r="T167" s="88" t="n">
        <f aca="false">IF(B167=2026,INDEX($C$5:$Q$5,1,B167-2025)*$AO$4*C167/MAX(0.0001,12-$AO$3),INDEX($C$5:$Q$5,1,B167-2025)/12)</f>
        <v>16.2956662203121</v>
      </c>
      <c r="U167" s="88" t="n">
        <f aca="false">$AO$6*0</f>
        <v>0</v>
      </c>
      <c r="V167" s="88" t="n">
        <f aca="false">T167+V166</f>
        <v>3680.51063811904</v>
      </c>
      <c r="W167" s="88" t="n">
        <f aca="false">U167+W166</f>
        <v>1115</v>
      </c>
      <c r="X167" s="88" t="n">
        <f aca="false">MAX(X166,V167-W167)</f>
        <v>2565.51063811904</v>
      </c>
      <c r="Y167" s="88" t="n">
        <f aca="false">X167-X166</f>
        <v>16.2956662203123</v>
      </c>
      <c r="Z167" s="88" t="n">
        <f aca="false">IF(B167=2026,INDEX($C$6:$Q$6,1,B167-2025)*$AO$4*C167/MAX(0.0001,12-$AO$3),INDEX($C$6:$Q$6,1,B167-2025)/12)</f>
        <v>19.3334832874743</v>
      </c>
      <c r="AA167" s="88" t="n">
        <f aca="false">$AO$6*0</f>
        <v>0</v>
      </c>
      <c r="AB167" s="88" t="n">
        <f aca="false">Z167+AB166</f>
        <v>4366.62668156216</v>
      </c>
      <c r="AC167" s="88" t="n">
        <f aca="false">AA167+AC166</f>
        <v>2194</v>
      </c>
      <c r="AD167" s="88" t="n">
        <f aca="false">MAX(AD166,AB167-AC167)</f>
        <v>2172.62668156216</v>
      </c>
      <c r="AE167" s="88" t="n">
        <f aca="false">AD167-AD166</f>
        <v>19.3334832874743</v>
      </c>
      <c r="AF167" s="88" t="n">
        <f aca="false">IF(B167=2026,INDEX($C$7:$Q$7,1,B167-2025)*$AO$4*C167/MAX(0.0001,12-$AO$3),INDEX($C$7:$Q$7,1,B167-2025)/12)</f>
        <v>16.7943163616268</v>
      </c>
      <c r="AG167" s="88" t="n">
        <f aca="false">$AO$6*0</f>
        <v>0</v>
      </c>
      <c r="AH167" s="88" t="n">
        <f aca="false">AF167+AH166</f>
        <v>3793.1348858789</v>
      </c>
      <c r="AI167" s="88" t="n">
        <f aca="false">AG167+AI166</f>
        <v>826</v>
      </c>
      <c r="AJ167" s="88" t="n">
        <f aca="false">MAX(AJ166,AH167-AI167)</f>
        <v>2967.1348858789</v>
      </c>
      <c r="AK167" s="88" t="n">
        <f aca="false">AJ167-AJ166</f>
        <v>16.7943163616269</v>
      </c>
      <c r="AL167" s="88" t="n">
        <f aca="false">IF(B167=2026,INDEX($C$8:$Q$8,1,B167-2025)*$AO$4*C167/MAX(0.0001,12-$AO$3),INDEX($C$8:$Q$8,1,B167-2025)/12)</f>
        <v>4.24816860722254</v>
      </c>
      <c r="AM167" s="88" t="n">
        <f aca="false">$AO$6*0</f>
        <v>0</v>
      </c>
      <c r="AN167" s="88" t="n">
        <f aca="false">AL167+AN166</f>
        <v>959.48392290441</v>
      </c>
      <c r="AO167" s="88" t="n">
        <f aca="false">AM167+AO166</f>
        <v>66</v>
      </c>
      <c r="AP167" s="88" t="n">
        <f aca="false">MAX(AP166,AN167-AO167)</f>
        <v>893.48392290441</v>
      </c>
      <c r="AQ167" s="88" t="n">
        <f aca="false">AP167-AP166</f>
        <v>4.24816860722251</v>
      </c>
      <c r="AR167" s="88" t="n">
        <f aca="false">IF(B167=2026,INDEX($C$9:$Q$9,1,B167-2025)*$AO$4*C167/MAX(0.0001,12-$AO$3),INDEX($C$9:$Q$9,1,B167-2025)/12)</f>
        <v>18.1139485035592</v>
      </c>
      <c r="AS167" s="88" t="n">
        <f aca="false">$AO$6*0</f>
        <v>0</v>
      </c>
      <c r="AT167" s="88" t="n">
        <f aca="false">AR167+AT166</f>
        <v>4091.18469072406</v>
      </c>
      <c r="AU167" s="88" t="n">
        <f aca="false">AS167+AU166</f>
        <v>1810</v>
      </c>
      <c r="AV167" s="88" t="n">
        <f aca="false">MAX(AV166,AT167-AU167)</f>
        <v>2281.18469072406</v>
      </c>
      <c r="AW167" s="88" t="n">
        <f aca="false">AV167-AV166</f>
        <v>18.1139485035592</v>
      </c>
      <c r="AX167" s="88" t="n">
        <f aca="false">IF(B167=2026,INDEX($C$10:$Q$10,1,B167-2025)*$AO$4*C167/MAX(0.0001,12-$AO$3),INDEX($C$10:$Q$10,1,B167-2025)/12)</f>
        <v>2.10112619397431</v>
      </c>
      <c r="AY167" s="88" t="n">
        <f aca="false">$AO$6*0</f>
        <v>0</v>
      </c>
      <c r="AZ167" s="88" t="n">
        <f aca="false">AX167+AZ166</f>
        <v>474.556683010221</v>
      </c>
      <c r="BA167" s="88" t="n">
        <f aca="false">AY167+BA166</f>
        <v>50</v>
      </c>
      <c r="BB167" s="88" t="n">
        <f aca="false">MAX(BB166,AZ167-BA167)</f>
        <v>424.556683010221</v>
      </c>
      <c r="BC167" s="88" t="n">
        <f aca="false">BB167-BB166</f>
        <v>2.10112619397432</v>
      </c>
      <c r="BD167" s="88" t="n">
        <f aca="false">IF(B167=2026,INDEX($C$11:$Q$11,1,B167-2025)*$AO$4*C167/MAX(0.0001,12-$AO$3),INDEX($C$11:$Q$11,1,B167-2025)/12)</f>
        <v>10.4413482628881</v>
      </c>
      <c r="BE167" s="88" t="n">
        <f aca="false">$AO$6*0</f>
        <v>0</v>
      </c>
      <c r="BF167" s="88" t="n">
        <f aca="false">BD167+BF166</f>
        <v>2358.26463541356</v>
      </c>
      <c r="BG167" s="88" t="n">
        <f aca="false">BE167+BG166</f>
        <v>240</v>
      </c>
      <c r="BH167" s="88" t="n">
        <f aca="false">MAX(BH166,BF167-BG167)</f>
        <v>2118.26463541356</v>
      </c>
      <c r="BI167" s="88" t="n">
        <f aca="false">BH167-BH166</f>
        <v>10.4413482628879</v>
      </c>
      <c r="BJ167" s="88" t="n">
        <f aca="false">IF(B167=2026,INDEX($C$12:$Q$12,1,B167-2025)*$AO$4*C167/MAX(0.0001,12-$AO$3),INDEX($C$12:$Q$12,1,B167-2025)/12)</f>
        <v>5.72483421907162</v>
      </c>
      <c r="BK167" s="88" t="n">
        <f aca="false">$AO$6*0</f>
        <v>0</v>
      </c>
      <c r="BL167" s="88" t="n">
        <f aca="false">BJ167+BL166</f>
        <v>1293.00103229271</v>
      </c>
      <c r="BM167" s="88" t="n">
        <f aca="false">BK167+BM166</f>
        <v>465</v>
      </c>
      <c r="BN167" s="88" t="n">
        <f aca="false">MAX(BN166,BL167-BM167)</f>
        <v>828.001032292715</v>
      </c>
      <c r="BO167" s="88" t="n">
        <f aca="false">BN167-BN166</f>
        <v>5.72483421907168</v>
      </c>
      <c r="BP167" s="88" t="n">
        <f aca="false">IF(B167=2026,INDEX($C$13:$Q$13,1,B167-2025)*$AO$4*C167/MAX(0.0001,12-$AO$3),INDEX($C$13:$Q$13,1,B167-2025)/12)</f>
        <v>1.78899617501633</v>
      </c>
      <c r="BQ167" s="88" t="n">
        <f aca="false">$AO$6*0</f>
        <v>0</v>
      </c>
      <c r="BR167" s="88" t="n">
        <f aca="false">BP167+BR166</f>
        <v>404.059543481233</v>
      </c>
      <c r="BS167" s="88" t="n">
        <f aca="false">BQ167+BS166</f>
        <v>87</v>
      </c>
      <c r="BT167" s="88" t="n">
        <f aca="false">MAX(BT166,BR167-BS167)</f>
        <v>317.059543481233</v>
      </c>
      <c r="BU167" s="88" t="n">
        <f aca="false">BT167-BT166</f>
        <v>1.78899617501634</v>
      </c>
      <c r="BV167" s="88" t="n">
        <f aca="false">IF(B167=2026,INDEX($C$14:$Q$14,1,B167-2025)*$AO$4*C167/MAX(0.0001,12-$AO$3),INDEX($C$14:$Q$14,1,B167-2025)/12)</f>
        <v>1.06105980035451</v>
      </c>
      <c r="BW167" s="88" t="n">
        <f aca="false">$AO$6*0</f>
        <v>0</v>
      </c>
      <c r="BX167" s="88" t="n">
        <f aca="false">BV167+BX166</f>
        <v>239.649108547491</v>
      </c>
      <c r="BY167" s="88" t="n">
        <f aca="false">BW167+BY166</f>
        <v>0</v>
      </c>
      <c r="BZ167" s="88" t="n">
        <f aca="false">MAX(BZ166,BX167-BY167)</f>
        <v>239.649108547491</v>
      </c>
      <c r="CA167" s="88" t="n">
        <f aca="false">BZ167-BZ166</f>
        <v>1.06105980035451</v>
      </c>
      <c r="CB167" s="88" t="n">
        <f aca="false">IF(B167=2026,INDEX($C$15:$Q$15,1,B167-2025)*$AO$4*C167/MAX(0.0001,12-$AO$3),INDEX($C$15:$Q$15,1,B167-2025)/12)</f>
        <v>1.73964455639519</v>
      </c>
      <c r="CC167" s="88" t="n">
        <f aca="false">$AO$6*0</f>
        <v>0</v>
      </c>
      <c r="CD167" s="88" t="n">
        <f aca="false">CB167+CD166</f>
        <v>392.913073316233</v>
      </c>
      <c r="CE167" s="88" t="n">
        <f aca="false">CC167+CE166</f>
        <v>88.0000000000001</v>
      </c>
      <c r="CF167" s="88" t="n">
        <f aca="false">MAX(CF166,CD167-CE167)</f>
        <v>304.913073316233</v>
      </c>
      <c r="CG167" s="88" t="n">
        <f aca="false">CF167-CF166</f>
        <v>1.73964455639521</v>
      </c>
      <c r="CH167" s="88" t="n">
        <f aca="false">IF(B167=2026,INDEX($C$16:$Q$16,1,B167-2025)*$AO$4*C167/MAX(0.0001,12-$AO$3),INDEX($C$16:$Q$16,1,B167-2025)/12)</f>
        <v>1.37567636906428</v>
      </c>
      <c r="CI167" s="88" t="n">
        <f aca="false">$AO$6*0</f>
        <v>0</v>
      </c>
      <c r="CJ167" s="88" t="n">
        <f aca="false">CH167+CJ166</f>
        <v>310.707855849362</v>
      </c>
      <c r="CK167" s="88" t="n">
        <f aca="false">CI167+CK166</f>
        <v>70</v>
      </c>
      <c r="CL167" s="88" t="n">
        <f aca="false">MAX(CL166,CJ167-CK167)</f>
        <v>240.707855849362</v>
      </c>
      <c r="CM167" s="88" t="n">
        <f aca="false">CL167-CL166</f>
        <v>1.37567636906425</v>
      </c>
      <c r="CN167" s="88" t="n">
        <f aca="false">IF(B167=2026,INDEX($C$17:$Q$17,1,B167-2025)*$AO$4*C167/MAX(0.0001,12-$AO$3),INDEX($C$17:$Q$17,1,B167-2025)/12)</f>
        <v>5.99005271014087</v>
      </c>
      <c r="CO167" s="88" t="n">
        <f aca="false">$AO$6*0</f>
        <v>0</v>
      </c>
      <c r="CP167" s="88" t="n">
        <f aca="false">CN167+CP166</f>
        <v>1352.90281627682</v>
      </c>
      <c r="CQ167" s="88" t="n">
        <f aca="false">CO167+CQ166</f>
        <v>221</v>
      </c>
      <c r="CR167" s="88" t="n">
        <f aca="false">MAX(CR166,CP167-CQ167)</f>
        <v>1131.90281627682</v>
      </c>
      <c r="CS167" s="88" t="n">
        <f aca="false">CR167-CR166</f>
        <v>5.99005271014084</v>
      </c>
      <c r="CT167" s="88" t="n">
        <f aca="false">IF(B167=2026,INDEX($C$18:$Q$18,1,B167-2025)*$AO$4*C167/MAX(0.0001,12-$AO$3),INDEX($C$18:$Q$18,1,B167-2025)/12)</f>
        <v>1.24612837018379</v>
      </c>
      <c r="CU167" s="88" t="n">
        <f aca="false">$AO$6*0</f>
        <v>0</v>
      </c>
      <c r="CV167" s="88" t="n">
        <f aca="false">CT167+CV166</f>
        <v>281.448371666239</v>
      </c>
      <c r="CW167" s="88" t="n">
        <f aca="false">CU167+CW166</f>
        <v>11</v>
      </c>
      <c r="CX167" s="88" t="n">
        <f aca="false">MAX(CX166,CV167-CW167)</f>
        <v>270.448371666239</v>
      </c>
      <c r="CY167" s="88" t="n">
        <f aca="false">CX167-CX166</f>
        <v>1.24612837018378</v>
      </c>
      <c r="CZ167" s="88" t="n">
        <f aca="false">IF(B167=2026,INDEX($C$19:$Q$19,1,B167-2025)*$AO$4*C167/MAX(0.0001,12-$AO$3),INDEX($C$19:$Q$19,1,B167-2025)/12)</f>
        <v>1.2337904655285</v>
      </c>
      <c r="DA167" s="88" t="n">
        <f aca="false">$AO$6*0</f>
        <v>0</v>
      </c>
      <c r="DB167" s="88" t="n">
        <f aca="false">CZ167+DB166</f>
        <v>278.661754124989</v>
      </c>
      <c r="DC167" s="88" t="n">
        <f aca="false">DA167+DC166</f>
        <v>226</v>
      </c>
      <c r="DD167" s="88" t="n">
        <f aca="false">MAX(DD166,DB167-DC167)</f>
        <v>52.6617541249893</v>
      </c>
      <c r="DE167" s="88" t="n">
        <f aca="false">DD167-DD166</f>
        <v>1.2337904655285</v>
      </c>
      <c r="DF167" s="88" t="n">
        <f aca="false">IF(B167=2026,INDEX($C$20:$Q$20,1,B167-2025)*$AO$4*C167/MAX(0.0001,12-$AO$3),INDEX($C$20:$Q$20,1,B167-2025)/12)</f>
        <v>1.00553922940573</v>
      </c>
      <c r="DG167" s="88" t="n">
        <f aca="false">$AO$6*0</f>
        <v>0</v>
      </c>
      <c r="DH167" s="88" t="n">
        <f aca="false">DF167+DH166</f>
        <v>227.109329611866</v>
      </c>
      <c r="DI167" s="88" t="n">
        <f aca="false">DG167+DI166</f>
        <v>0</v>
      </c>
      <c r="DJ167" s="88" t="n">
        <f aca="false">MAX(DJ166,DH167-DI167)</f>
        <v>227.109329611866</v>
      </c>
      <c r="DK167" s="88" t="n">
        <f aca="false">DJ167-DJ166</f>
        <v>1.00553922940574</v>
      </c>
      <c r="DL167" s="88" t="n">
        <f aca="false">IF(B167=2026,INDEX($C$21:$Q$21,1,B167-2025)*$AO$4*C167/MAX(0.0001,12-$AO$3),INDEX($C$21:$Q$21,1,B167-2025)/12)</f>
        <v>0.703260565351246</v>
      </c>
      <c r="DM167" s="88" t="n">
        <f aca="false">$AO$6*0</f>
        <v>0</v>
      </c>
      <c r="DN167" s="88" t="n">
        <f aca="false">DL167+DN166</f>
        <v>158.837199851244</v>
      </c>
      <c r="DO167" s="88" t="n">
        <f aca="false">DM167+DO166</f>
        <v>100</v>
      </c>
      <c r="DP167" s="88" t="n">
        <f aca="false">MAX(DP166,DN167-DO167)</f>
        <v>58.8371998512435</v>
      </c>
      <c r="DQ167" s="88" t="n">
        <f aca="false">DP167-DP166</f>
        <v>0.703260565351258</v>
      </c>
      <c r="DR167" s="88" t="n">
        <f aca="false">IF(B167=2026,INDEX($C$22:$Q$22,1,B167-2025)*$AO$4*C167/MAX(0.0001,12-$AO$3),INDEX($C$22:$Q$22,1,B167-2025)/12)</f>
        <v>0.549036757160183</v>
      </c>
      <c r="DS167" s="88" t="n">
        <f aca="false">$AO$6*0</f>
        <v>0</v>
      </c>
      <c r="DT167" s="88" t="n">
        <f aca="false">DR167+DT166</f>
        <v>124.00448058562</v>
      </c>
      <c r="DU167" s="88" t="n">
        <f aca="false">DS167+DU166</f>
        <v>29</v>
      </c>
      <c r="DV167" s="88" t="n">
        <f aca="false">MAX(DV166,DT167-DU167)</f>
        <v>95.0044805856201</v>
      </c>
      <c r="DW167" s="88" t="n">
        <f aca="false">DV167-DV166</f>
        <v>0.549036757160195</v>
      </c>
      <c r="DX167" s="88" t="n">
        <f aca="false">IF(B167=2026,INDEX($C$23:$Q$23,1,B167-2025)*$AO$4*C167/MAX(0.0001,12-$AO$3),INDEX($C$23:$Q$23,1,B167-2025)/12)</f>
        <v>0.882160182852878</v>
      </c>
      <c r="DY167" s="88" t="n">
        <f aca="false">$AO$6*0</f>
        <v>0</v>
      </c>
      <c r="DZ167" s="88" t="n">
        <f aca="false">DX167+DZ166</f>
        <v>199.243154199367</v>
      </c>
      <c r="EA167" s="88" t="n">
        <f aca="false">DY167+EA166</f>
        <v>121</v>
      </c>
      <c r="EB167" s="88" t="n">
        <f aca="false">MAX(EB166,DZ167-EA167)</f>
        <v>78.2431541993673</v>
      </c>
      <c r="EC167" s="88" t="n">
        <f aca="false">EB167-EB166</f>
        <v>0.882160182852886</v>
      </c>
      <c r="ED167" s="88" t="n">
        <f aca="false">IF(B167=2026,INDEX($C$24:$Q$24,1,B167-2025)*$AO$4*C167/MAX(0.0001,12-$AO$3),INDEX($C$24:$Q$24,1,B167-2025)/12)</f>
        <v>0.54286780483254</v>
      </c>
      <c r="EE167" s="88" t="n">
        <f aca="false">$AO$6*0</f>
        <v>0</v>
      </c>
      <c r="EF167" s="88" t="n">
        <f aca="false">ED167+EF166</f>
        <v>122.611171814995</v>
      </c>
      <c r="EG167" s="88" t="n">
        <f aca="false">EE167+EG166</f>
        <v>0</v>
      </c>
      <c r="EH167" s="88" t="n">
        <f aca="false">MAX(EH166,EF167-EG167)</f>
        <v>122.611171814995</v>
      </c>
      <c r="EI167" s="88" t="n">
        <f aca="false">EH167-EH166</f>
        <v>0.54286780483254</v>
      </c>
      <c r="EJ167" s="88" t="n">
        <f aca="false">IF(B167=2026,INDEX($C$25:$Q$25,1,B167-2025)*$AO$4*C167/MAX(0.0001,12-$AO$3),INDEX($C$25:$Q$25,1,B167-2025)/12)</f>
        <v>0.690922660695961</v>
      </c>
      <c r="EK167" s="88" t="n">
        <f aca="false">$AO$6*0</f>
        <v>0</v>
      </c>
      <c r="EL167" s="88" t="n">
        <f aca="false">EJ167+EL166</f>
        <v>156.050582309993</v>
      </c>
      <c r="EM167" s="88" t="n">
        <f aca="false">EK167+EM166</f>
        <v>14</v>
      </c>
      <c r="EN167" s="88" t="n">
        <f aca="false">MAX(EN166,EL167-EM167)</f>
        <v>142.050582309993</v>
      </c>
      <c r="EO167" s="88" t="n">
        <f aca="false">EN167-EN166</f>
        <v>0.690922660695946</v>
      </c>
      <c r="EP167" s="88" t="n">
        <f aca="false">IF(B167=2026,INDEX($C$26:$Q$26,1,B167-2025)*$AO$4*C167/MAX(0.0001,12-$AO$3),INDEX($C$26:$Q$26,1,B167-2025)/12)</f>
        <v>0.993201324750443</v>
      </c>
      <c r="EQ167" s="88" t="n">
        <f aca="false">$AO$6*0</f>
        <v>0</v>
      </c>
      <c r="ER167" s="88" t="n">
        <f aca="false">EP167+ER166</f>
        <v>224.322712070615</v>
      </c>
      <c r="ES167" s="88" t="n">
        <f aca="false">EQ167+ES166</f>
        <v>4</v>
      </c>
      <c r="ET167" s="88" t="n">
        <f aca="false">MAX(ET166,ER167-ES167)</f>
        <v>220.322712070615</v>
      </c>
      <c r="EU167" s="88" t="n">
        <f aca="false">ET167-ET166</f>
        <v>0.99320132475043</v>
      </c>
      <c r="EV167" s="88" t="n">
        <f aca="false">IF(B167=2026,INDEX($C$27:$Q$27,1,B167-2025)*$AO$4*C167/MAX(0.0001,12-$AO$3),INDEX($C$27:$Q$27,1,B167-2025)/12)</f>
        <v>2.467580931057</v>
      </c>
      <c r="EW167" s="88" t="n">
        <f aca="false">$AO$6*0</f>
        <v>0</v>
      </c>
      <c r="EX167" s="88" t="n">
        <f aca="false">EV167+EX166</f>
        <v>557.323508249978</v>
      </c>
      <c r="EY167" s="88" t="n">
        <f aca="false">EW167+EY166</f>
        <v>391</v>
      </c>
      <c r="EZ167" s="88" t="n">
        <f aca="false">MAX(EZ166,EX167-EY167)</f>
        <v>166.323508249978</v>
      </c>
      <c r="FA167" s="88" t="n">
        <f aca="false">EZ167-EZ166</f>
        <v>2.467580931057</v>
      </c>
      <c r="FB167" s="88" t="n">
        <f aca="false">IF(B167=2026,INDEX($C$28:$Q$28,1,B167-2025)*$AO$4*C167/MAX(0.0001,12-$AO$3),INDEX($C$28:$Q$28,1,B167-2025)/12)</f>
        <v>12.9177861740834</v>
      </c>
      <c r="FC167" s="88" t="n">
        <f aca="false">$AO$6*0</f>
        <v>0</v>
      </c>
      <c r="FD167" s="88" t="n">
        <f aca="false">FB167+FD166</f>
        <v>2917.58856568863</v>
      </c>
      <c r="FE167" s="88" t="n">
        <f aca="false">FC167+FE166</f>
        <v>169</v>
      </c>
      <c r="FF167" s="88" t="n">
        <f aca="false">MAX(FF166,FD167-FE167)</f>
        <v>2748.58856568863</v>
      </c>
      <c r="FG167" s="88" t="n">
        <f aca="false">FF167-FF166</f>
        <v>12.9177861740836</v>
      </c>
    </row>
    <row r="168" customFormat="false" ht="15" hidden="false" customHeight="false" outlineLevel="0" collapsed="false">
      <c r="A168" s="0" t="n">
        <v>128</v>
      </c>
      <c r="B168" s="88" t="n">
        <f aca="false">2026+INT(A168/12)</f>
        <v>2036</v>
      </c>
      <c r="C168" s="88" t="n">
        <f aca="false">MAX(0,MIN(1,A168+1-$AO$3))</f>
        <v>1</v>
      </c>
      <c r="D168" s="88" t="n">
        <f aca="false">IF((A168+0.5-(0))&lt;$AO$3,0,2026+INT((A168+0.5-(0))/12))</f>
        <v>2036</v>
      </c>
      <c r="E168" s="88" t="n">
        <f aca="false">IF((A168+0.5-($AO$9))&lt;$AO$3,0,2026+INT((A168+0.5-($AO$9))/12))</f>
        <v>2035</v>
      </c>
      <c r="F168" s="88" t="n">
        <f aca="false">IF((A168+0.5-($AO$9+$AO$8))&lt;$AO$3,0,2026+INT((A168+0.5-($AO$9+$AO$8))/12))</f>
        <v>2034</v>
      </c>
      <c r="G168" s="88" t="n">
        <f aca="false">IF((A168+0.5-($AO$9+$AO$8+$AO$7))&lt;$AO$3,0,2026+INT((A168+0.5-($AO$9+$AO$8+$AO$7))/12))</f>
        <v>2033</v>
      </c>
      <c r="H168" s="88" t="n">
        <f aca="false">IF(B168=2026,INDEX($C$3:$Q$3,1,B168-2025)*$AO$4*C168/MAX(0.0001,12-$AO$3),INDEX($C$3:$Q$3,1,B168-2025)/12)</f>
        <v>132.25</v>
      </c>
      <c r="I168" s="88" t="n">
        <f aca="false">$AO$6*0</f>
        <v>0</v>
      </c>
      <c r="J168" s="88" t="n">
        <f aca="false">H168+J167</f>
        <v>30002.0034246576</v>
      </c>
      <c r="K168" s="88" t="n">
        <f aca="false">I168+K167</f>
        <v>8695.00000000001</v>
      </c>
      <c r="L168" s="88" t="n">
        <f aca="false">MAX(L167,J168-K168)</f>
        <v>21307.0034246576</v>
      </c>
      <c r="M168" s="88" t="n">
        <f aca="false">L168-L167</f>
        <v>132.25</v>
      </c>
      <c r="N168" s="88" t="n">
        <f aca="false">IF(B168=2026,INDEX($C$4:$Q$4,1,B168-2025)*$AO$4*C168/MAX(0.0001,12-$AO$3),INDEX($C$4:$Q$4,1,B168-2025)/12)</f>
        <v>4.00940426699819</v>
      </c>
      <c r="O168" s="88" t="n">
        <f aca="false">$AO$6*0</f>
        <v>0</v>
      </c>
      <c r="P168" s="88" t="n">
        <f aca="false">N168+P167</f>
        <v>909.566431374792</v>
      </c>
      <c r="Q168" s="88" t="n">
        <f aca="false">O168+Q167</f>
        <v>398</v>
      </c>
      <c r="R168" s="88" t="n">
        <f aca="false">MAX(R167,P168-Q168)</f>
        <v>511.566431374792</v>
      </c>
      <c r="S168" s="88" t="n">
        <f aca="false">R168-R167</f>
        <v>4.00940426699822</v>
      </c>
      <c r="T168" s="88" t="n">
        <f aca="false">IF(B168=2026,INDEX($C$5:$Q$5,1,B168-2025)*$AO$4*C168/MAX(0.0001,12-$AO$3),INDEX($C$5:$Q$5,1,B168-2025)/12)</f>
        <v>16.2956662203121</v>
      </c>
      <c r="U168" s="88" t="n">
        <f aca="false">$AO$6*0</f>
        <v>0</v>
      </c>
      <c r="V168" s="88" t="n">
        <f aca="false">T168+V167</f>
        <v>3696.80630433935</v>
      </c>
      <c r="W168" s="88" t="n">
        <f aca="false">U168+W167</f>
        <v>1115</v>
      </c>
      <c r="X168" s="88" t="n">
        <f aca="false">MAX(X167,V168-W168)</f>
        <v>2581.80630433935</v>
      </c>
      <c r="Y168" s="88" t="n">
        <f aca="false">X168-X167</f>
        <v>16.2956662203114</v>
      </c>
      <c r="Z168" s="88" t="n">
        <f aca="false">IF(B168=2026,INDEX($C$6:$Q$6,1,B168-2025)*$AO$4*C168/MAX(0.0001,12-$AO$3),INDEX($C$6:$Q$6,1,B168-2025)/12)</f>
        <v>19.3334832874743</v>
      </c>
      <c r="AA168" s="88" t="n">
        <f aca="false">$AO$6*0</f>
        <v>0</v>
      </c>
      <c r="AB168" s="88" t="n">
        <f aca="false">Z168+AB167</f>
        <v>4385.96016484964</v>
      </c>
      <c r="AC168" s="88" t="n">
        <f aca="false">AA168+AC167</f>
        <v>2194</v>
      </c>
      <c r="AD168" s="88" t="n">
        <f aca="false">MAX(AD167,AB168-AC168)</f>
        <v>2191.96016484963</v>
      </c>
      <c r="AE168" s="88" t="n">
        <f aca="false">AD168-AD167</f>
        <v>19.3334832874743</v>
      </c>
      <c r="AF168" s="88" t="n">
        <f aca="false">IF(B168=2026,INDEX($C$7:$Q$7,1,B168-2025)*$AO$4*C168/MAX(0.0001,12-$AO$3),INDEX($C$7:$Q$7,1,B168-2025)/12)</f>
        <v>16.7943163616268</v>
      </c>
      <c r="AG168" s="88" t="n">
        <f aca="false">$AO$6*0</f>
        <v>0</v>
      </c>
      <c r="AH168" s="88" t="n">
        <f aca="false">AF168+AH167</f>
        <v>3809.92920224052</v>
      </c>
      <c r="AI168" s="88" t="n">
        <f aca="false">AG168+AI167</f>
        <v>826</v>
      </c>
      <c r="AJ168" s="88" t="n">
        <f aca="false">MAX(AJ167,AH168-AI168)</f>
        <v>2983.92920224052</v>
      </c>
      <c r="AK168" s="88" t="n">
        <f aca="false">AJ168-AJ167</f>
        <v>16.7943163616269</v>
      </c>
      <c r="AL168" s="88" t="n">
        <f aca="false">IF(B168=2026,INDEX($C$8:$Q$8,1,B168-2025)*$AO$4*C168/MAX(0.0001,12-$AO$3),INDEX($C$8:$Q$8,1,B168-2025)/12)</f>
        <v>4.24816860722254</v>
      </c>
      <c r="AM168" s="88" t="n">
        <f aca="false">$AO$6*0</f>
        <v>0</v>
      </c>
      <c r="AN168" s="88" t="n">
        <f aca="false">AL168+AN167</f>
        <v>963.732091511632</v>
      </c>
      <c r="AO168" s="88" t="n">
        <f aca="false">AM168+AO167</f>
        <v>66</v>
      </c>
      <c r="AP168" s="88" t="n">
        <f aca="false">MAX(AP167,AN168-AO168)</f>
        <v>897.732091511632</v>
      </c>
      <c r="AQ168" s="88" t="n">
        <f aca="false">AP168-AP167</f>
        <v>4.24816860722251</v>
      </c>
      <c r="AR168" s="88" t="n">
        <f aca="false">IF(B168=2026,INDEX($C$9:$Q$9,1,B168-2025)*$AO$4*C168/MAX(0.0001,12-$AO$3),INDEX($C$9:$Q$9,1,B168-2025)/12)</f>
        <v>18.1139485035592</v>
      </c>
      <c r="AS168" s="88" t="n">
        <f aca="false">$AO$6*0</f>
        <v>0</v>
      </c>
      <c r="AT168" s="88" t="n">
        <f aca="false">AR168+AT167</f>
        <v>4109.29863922762</v>
      </c>
      <c r="AU168" s="88" t="n">
        <f aca="false">AS168+AU167</f>
        <v>1810</v>
      </c>
      <c r="AV168" s="88" t="n">
        <f aca="false">MAX(AV167,AT168-AU168)</f>
        <v>2299.29863922762</v>
      </c>
      <c r="AW168" s="88" t="n">
        <f aca="false">AV168-AV167</f>
        <v>18.1139485035587</v>
      </c>
      <c r="AX168" s="88" t="n">
        <f aca="false">IF(B168=2026,INDEX($C$10:$Q$10,1,B168-2025)*$AO$4*C168/MAX(0.0001,12-$AO$3),INDEX($C$10:$Q$10,1,B168-2025)/12)</f>
        <v>2.10112619397431</v>
      </c>
      <c r="AY168" s="88" t="n">
        <f aca="false">$AO$6*0</f>
        <v>0</v>
      </c>
      <c r="AZ168" s="88" t="n">
        <f aca="false">AX168+AZ167</f>
        <v>476.657809204196</v>
      </c>
      <c r="BA168" s="88" t="n">
        <f aca="false">AY168+BA167</f>
        <v>50</v>
      </c>
      <c r="BB168" s="88" t="n">
        <f aca="false">MAX(BB167,AZ168-BA168)</f>
        <v>426.657809204196</v>
      </c>
      <c r="BC168" s="88" t="n">
        <f aca="false">BB168-BB167</f>
        <v>2.10112619397432</v>
      </c>
      <c r="BD168" s="88" t="n">
        <f aca="false">IF(B168=2026,INDEX($C$11:$Q$11,1,B168-2025)*$AO$4*C168/MAX(0.0001,12-$AO$3),INDEX($C$11:$Q$11,1,B168-2025)/12)</f>
        <v>10.4413482628881</v>
      </c>
      <c r="BE168" s="88" t="n">
        <f aca="false">$AO$6*0</f>
        <v>0</v>
      </c>
      <c r="BF168" s="88" t="n">
        <f aca="false">BD168+BF167</f>
        <v>2368.70598367645</v>
      </c>
      <c r="BG168" s="88" t="n">
        <f aca="false">BE168+BG167</f>
        <v>240</v>
      </c>
      <c r="BH168" s="88" t="n">
        <f aca="false">MAX(BH167,BF168-BG168)</f>
        <v>2128.70598367645</v>
      </c>
      <c r="BI168" s="88" t="n">
        <f aca="false">BH168-BH167</f>
        <v>10.4413482628879</v>
      </c>
      <c r="BJ168" s="88" t="n">
        <f aca="false">IF(B168=2026,INDEX($C$12:$Q$12,1,B168-2025)*$AO$4*C168/MAX(0.0001,12-$AO$3),INDEX($C$12:$Q$12,1,B168-2025)/12)</f>
        <v>5.72483421907162</v>
      </c>
      <c r="BK168" s="88" t="n">
        <f aca="false">$AO$6*0</f>
        <v>0</v>
      </c>
      <c r="BL168" s="88" t="n">
        <f aca="false">BJ168+BL167</f>
        <v>1298.72586651179</v>
      </c>
      <c r="BM168" s="88" t="n">
        <f aca="false">BK168+BM167</f>
        <v>465</v>
      </c>
      <c r="BN168" s="88" t="n">
        <f aca="false">MAX(BN167,BL168-BM168)</f>
        <v>833.725866511786</v>
      </c>
      <c r="BO168" s="88" t="n">
        <f aca="false">BN168-BN167</f>
        <v>5.72483421907168</v>
      </c>
      <c r="BP168" s="88" t="n">
        <f aca="false">IF(B168=2026,INDEX($C$13:$Q$13,1,B168-2025)*$AO$4*C168/MAX(0.0001,12-$AO$3),INDEX($C$13:$Q$13,1,B168-2025)/12)</f>
        <v>1.78899617501633</v>
      </c>
      <c r="BQ168" s="88" t="n">
        <f aca="false">$AO$6*0</f>
        <v>0</v>
      </c>
      <c r="BR168" s="88" t="n">
        <f aca="false">BP168+BR167</f>
        <v>405.848539656249</v>
      </c>
      <c r="BS168" s="88" t="n">
        <f aca="false">BQ168+BS167</f>
        <v>87</v>
      </c>
      <c r="BT168" s="88" t="n">
        <f aca="false">MAX(BT167,BR168-BS168)</f>
        <v>318.848539656249</v>
      </c>
      <c r="BU168" s="88" t="n">
        <f aca="false">BT168-BT167</f>
        <v>1.78899617501634</v>
      </c>
      <c r="BV168" s="88" t="n">
        <f aca="false">IF(B168=2026,INDEX($C$14:$Q$14,1,B168-2025)*$AO$4*C168/MAX(0.0001,12-$AO$3),INDEX($C$14:$Q$14,1,B168-2025)/12)</f>
        <v>1.06105980035451</v>
      </c>
      <c r="BW168" s="88" t="n">
        <f aca="false">$AO$6*0</f>
        <v>0</v>
      </c>
      <c r="BX168" s="88" t="n">
        <f aca="false">BV168+BX167</f>
        <v>240.710168347845</v>
      </c>
      <c r="BY168" s="88" t="n">
        <f aca="false">BW168+BY167</f>
        <v>0</v>
      </c>
      <c r="BZ168" s="88" t="n">
        <f aca="false">MAX(BZ167,BX168-BY168)</f>
        <v>240.710168347845</v>
      </c>
      <c r="CA168" s="88" t="n">
        <f aca="false">BZ168-BZ167</f>
        <v>1.06105980035451</v>
      </c>
      <c r="CB168" s="88" t="n">
        <f aca="false">IF(B168=2026,INDEX($C$15:$Q$15,1,B168-2025)*$AO$4*C168/MAX(0.0001,12-$AO$3),INDEX($C$15:$Q$15,1,B168-2025)/12)</f>
        <v>1.73964455639519</v>
      </c>
      <c r="CC168" s="88" t="n">
        <f aca="false">$AO$6*0</f>
        <v>0</v>
      </c>
      <c r="CD168" s="88" t="n">
        <f aca="false">CB168+CD167</f>
        <v>394.652717872629</v>
      </c>
      <c r="CE168" s="88" t="n">
        <f aca="false">CC168+CE167</f>
        <v>88.0000000000001</v>
      </c>
      <c r="CF168" s="88" t="n">
        <f aca="false">MAX(CF167,CD168-CE168)</f>
        <v>306.652717872629</v>
      </c>
      <c r="CG168" s="88" t="n">
        <f aca="false">CF168-CF167</f>
        <v>1.73964455639521</v>
      </c>
      <c r="CH168" s="88" t="n">
        <f aca="false">IF(B168=2026,INDEX($C$16:$Q$16,1,B168-2025)*$AO$4*C168/MAX(0.0001,12-$AO$3),INDEX($C$16:$Q$16,1,B168-2025)/12)</f>
        <v>1.37567636906428</v>
      </c>
      <c r="CI168" s="88" t="n">
        <f aca="false">$AO$6*0</f>
        <v>0</v>
      </c>
      <c r="CJ168" s="88" t="n">
        <f aca="false">CH168+CJ167</f>
        <v>312.083532218426</v>
      </c>
      <c r="CK168" s="88" t="n">
        <f aca="false">CI168+CK167</f>
        <v>70</v>
      </c>
      <c r="CL168" s="88" t="n">
        <f aca="false">MAX(CL167,CJ168-CK168)</f>
        <v>242.083532218426</v>
      </c>
      <c r="CM168" s="88" t="n">
        <f aca="false">CL168-CL167</f>
        <v>1.37567636906425</v>
      </c>
      <c r="CN168" s="88" t="n">
        <f aca="false">IF(B168=2026,INDEX($C$17:$Q$17,1,B168-2025)*$AO$4*C168/MAX(0.0001,12-$AO$3),INDEX($C$17:$Q$17,1,B168-2025)/12)</f>
        <v>5.99005271014087</v>
      </c>
      <c r="CO168" s="88" t="n">
        <f aca="false">$AO$6*0</f>
        <v>0</v>
      </c>
      <c r="CP168" s="88" t="n">
        <f aca="false">CN168+CP167</f>
        <v>1358.89286898697</v>
      </c>
      <c r="CQ168" s="88" t="n">
        <f aca="false">CO168+CQ167</f>
        <v>221</v>
      </c>
      <c r="CR168" s="88" t="n">
        <f aca="false">MAX(CR167,CP168-CQ168)</f>
        <v>1137.89286898697</v>
      </c>
      <c r="CS168" s="88" t="n">
        <f aca="false">CR168-CR167</f>
        <v>5.99005271014084</v>
      </c>
      <c r="CT168" s="88" t="n">
        <f aca="false">IF(B168=2026,INDEX($C$18:$Q$18,1,B168-2025)*$AO$4*C168/MAX(0.0001,12-$AO$3),INDEX($C$18:$Q$18,1,B168-2025)/12)</f>
        <v>1.24612837018379</v>
      </c>
      <c r="CU168" s="88" t="n">
        <f aca="false">$AO$6*0</f>
        <v>0</v>
      </c>
      <c r="CV168" s="88" t="n">
        <f aca="false">CT168+CV167</f>
        <v>282.694500036422</v>
      </c>
      <c r="CW168" s="88" t="n">
        <f aca="false">CU168+CW167</f>
        <v>11</v>
      </c>
      <c r="CX168" s="88" t="n">
        <f aca="false">MAX(CX167,CV168-CW168)</f>
        <v>271.694500036422</v>
      </c>
      <c r="CY168" s="88" t="n">
        <f aca="false">CX168-CX167</f>
        <v>1.24612837018378</v>
      </c>
      <c r="CZ168" s="88" t="n">
        <f aca="false">IF(B168=2026,INDEX($C$19:$Q$19,1,B168-2025)*$AO$4*C168/MAX(0.0001,12-$AO$3),INDEX($C$19:$Q$19,1,B168-2025)/12)</f>
        <v>1.2337904655285</v>
      </c>
      <c r="DA168" s="88" t="n">
        <f aca="false">$AO$6*0</f>
        <v>0</v>
      </c>
      <c r="DB168" s="88" t="n">
        <f aca="false">CZ168+DB167</f>
        <v>279.895544590518</v>
      </c>
      <c r="DC168" s="88" t="n">
        <f aca="false">DA168+DC167</f>
        <v>226</v>
      </c>
      <c r="DD168" s="88" t="n">
        <f aca="false">MAX(DD167,DB168-DC168)</f>
        <v>53.8955445905178</v>
      </c>
      <c r="DE168" s="88" t="n">
        <f aca="false">DD168-DD167</f>
        <v>1.2337904655285</v>
      </c>
      <c r="DF168" s="88" t="n">
        <f aca="false">IF(B168=2026,INDEX($C$20:$Q$20,1,B168-2025)*$AO$4*C168/MAX(0.0001,12-$AO$3),INDEX($C$20:$Q$20,1,B168-2025)/12)</f>
        <v>1.00553922940573</v>
      </c>
      <c r="DG168" s="88" t="n">
        <f aca="false">$AO$6*0</f>
        <v>0</v>
      </c>
      <c r="DH168" s="88" t="n">
        <f aca="false">DF168+DH167</f>
        <v>228.114868841272</v>
      </c>
      <c r="DI168" s="88" t="n">
        <f aca="false">DG168+DI167</f>
        <v>0</v>
      </c>
      <c r="DJ168" s="88" t="n">
        <f aca="false">MAX(DJ167,DH168-DI168)</f>
        <v>228.114868841272</v>
      </c>
      <c r="DK168" s="88" t="n">
        <f aca="false">DJ168-DJ167</f>
        <v>1.00553922940574</v>
      </c>
      <c r="DL168" s="88" t="n">
        <f aca="false">IF(B168=2026,INDEX($C$21:$Q$21,1,B168-2025)*$AO$4*C168/MAX(0.0001,12-$AO$3),INDEX($C$21:$Q$21,1,B168-2025)/12)</f>
        <v>0.703260565351246</v>
      </c>
      <c r="DM168" s="88" t="n">
        <f aca="false">$AO$6*0</f>
        <v>0</v>
      </c>
      <c r="DN168" s="88" t="n">
        <f aca="false">DL168+DN167</f>
        <v>159.540460416595</v>
      </c>
      <c r="DO168" s="88" t="n">
        <f aca="false">DM168+DO167</f>
        <v>100</v>
      </c>
      <c r="DP168" s="88" t="n">
        <f aca="false">MAX(DP167,DN168-DO168)</f>
        <v>59.5404604165948</v>
      </c>
      <c r="DQ168" s="88" t="n">
        <f aca="false">DP168-DP167</f>
        <v>0.703260565351258</v>
      </c>
      <c r="DR168" s="88" t="n">
        <f aca="false">IF(B168=2026,INDEX($C$22:$Q$22,1,B168-2025)*$AO$4*C168/MAX(0.0001,12-$AO$3),INDEX($C$22:$Q$22,1,B168-2025)/12)</f>
        <v>0.549036757160183</v>
      </c>
      <c r="DS168" s="88" t="n">
        <f aca="false">$AO$6*0</f>
        <v>0</v>
      </c>
      <c r="DT168" s="88" t="n">
        <f aca="false">DR168+DT167</f>
        <v>124.55351734278</v>
      </c>
      <c r="DU168" s="88" t="n">
        <f aca="false">DS168+DU167</f>
        <v>29</v>
      </c>
      <c r="DV168" s="88" t="n">
        <f aca="false">MAX(DV167,DT168-DU168)</f>
        <v>95.5535173427803</v>
      </c>
      <c r="DW168" s="88" t="n">
        <f aca="false">DV168-DV167</f>
        <v>0.549036757160167</v>
      </c>
      <c r="DX168" s="88" t="n">
        <f aca="false">IF(B168=2026,INDEX($C$23:$Q$23,1,B168-2025)*$AO$4*C168/MAX(0.0001,12-$AO$3),INDEX($C$23:$Q$23,1,B168-2025)/12)</f>
        <v>0.882160182852878</v>
      </c>
      <c r="DY168" s="88" t="n">
        <f aca="false">$AO$6*0</f>
        <v>0</v>
      </c>
      <c r="DZ168" s="88" t="n">
        <f aca="false">DX168+DZ167</f>
        <v>200.12531438222</v>
      </c>
      <c r="EA168" s="88" t="n">
        <f aca="false">DY168+EA167</f>
        <v>121</v>
      </c>
      <c r="EB168" s="88" t="n">
        <f aca="false">MAX(EB167,DZ168-EA168)</f>
        <v>79.1253143822201</v>
      </c>
      <c r="EC168" s="88" t="n">
        <f aca="false">EB168-EB167</f>
        <v>0.882160182852886</v>
      </c>
      <c r="ED168" s="88" t="n">
        <f aca="false">IF(B168=2026,INDEX($C$24:$Q$24,1,B168-2025)*$AO$4*C168/MAX(0.0001,12-$AO$3),INDEX($C$24:$Q$24,1,B168-2025)/12)</f>
        <v>0.54286780483254</v>
      </c>
      <c r="EE168" s="88" t="n">
        <f aca="false">$AO$6*0</f>
        <v>0</v>
      </c>
      <c r="EF168" s="88" t="n">
        <f aca="false">ED168+EF167</f>
        <v>123.154039619827</v>
      </c>
      <c r="EG168" s="88" t="n">
        <f aca="false">EE168+EG167</f>
        <v>0</v>
      </c>
      <c r="EH168" s="88" t="n">
        <f aca="false">MAX(EH167,EF168-EG168)</f>
        <v>123.154039619827</v>
      </c>
      <c r="EI168" s="88" t="n">
        <f aca="false">EH168-EH167</f>
        <v>0.54286780483254</v>
      </c>
      <c r="EJ168" s="88" t="n">
        <f aca="false">IF(B168=2026,INDEX($C$25:$Q$25,1,B168-2025)*$AO$4*C168/MAX(0.0001,12-$AO$3),INDEX($C$25:$Q$25,1,B168-2025)/12)</f>
        <v>0.690922660695961</v>
      </c>
      <c r="EK168" s="88" t="n">
        <f aca="false">$AO$6*0</f>
        <v>0</v>
      </c>
      <c r="EL168" s="88" t="n">
        <f aca="false">EJ168+EL167</f>
        <v>156.741504970689</v>
      </c>
      <c r="EM168" s="88" t="n">
        <f aca="false">EK168+EM167</f>
        <v>14</v>
      </c>
      <c r="EN168" s="88" t="n">
        <f aca="false">MAX(EN167,EL168-EM168)</f>
        <v>142.741504970689</v>
      </c>
      <c r="EO168" s="88" t="n">
        <f aca="false">EN168-EN167</f>
        <v>0.690922660695946</v>
      </c>
      <c r="EP168" s="88" t="n">
        <f aca="false">IF(B168=2026,INDEX($C$26:$Q$26,1,B168-2025)*$AO$4*C168/MAX(0.0001,12-$AO$3),INDEX($C$26:$Q$26,1,B168-2025)/12)</f>
        <v>0.993201324750443</v>
      </c>
      <c r="EQ168" s="88" t="n">
        <f aca="false">$AO$6*0</f>
        <v>0</v>
      </c>
      <c r="ER168" s="88" t="n">
        <f aca="false">EP168+ER167</f>
        <v>225.315913395365</v>
      </c>
      <c r="ES168" s="88" t="n">
        <f aca="false">EQ168+ES167</f>
        <v>4</v>
      </c>
      <c r="ET168" s="88" t="n">
        <f aca="false">MAX(ET167,ER168-ES168)</f>
        <v>221.315913395365</v>
      </c>
      <c r="EU168" s="88" t="n">
        <f aca="false">ET168-ET167</f>
        <v>0.99320132475043</v>
      </c>
      <c r="EV168" s="88" t="n">
        <f aca="false">IF(B168=2026,INDEX($C$27:$Q$27,1,B168-2025)*$AO$4*C168/MAX(0.0001,12-$AO$3),INDEX($C$27:$Q$27,1,B168-2025)/12)</f>
        <v>2.467580931057</v>
      </c>
      <c r="EW168" s="88" t="n">
        <f aca="false">$AO$6*0</f>
        <v>0</v>
      </c>
      <c r="EX168" s="88" t="n">
        <f aca="false">EV168+EX167</f>
        <v>559.791089181035</v>
      </c>
      <c r="EY168" s="88" t="n">
        <f aca="false">EW168+EY167</f>
        <v>391</v>
      </c>
      <c r="EZ168" s="88" t="n">
        <f aca="false">MAX(EZ167,EX168-EY168)</f>
        <v>168.791089181035</v>
      </c>
      <c r="FA168" s="88" t="n">
        <f aca="false">EZ168-EZ167</f>
        <v>2.467580931057</v>
      </c>
      <c r="FB168" s="88" t="n">
        <f aca="false">IF(B168=2026,INDEX($C$28:$Q$28,1,B168-2025)*$AO$4*C168/MAX(0.0001,12-$AO$3),INDEX($C$28:$Q$28,1,B168-2025)/12)</f>
        <v>12.9177861740834</v>
      </c>
      <c r="FC168" s="88" t="n">
        <f aca="false">$AO$6*0</f>
        <v>0</v>
      </c>
      <c r="FD168" s="88" t="n">
        <f aca="false">FB168+FD167</f>
        <v>2930.50635186272</v>
      </c>
      <c r="FE168" s="88" t="n">
        <f aca="false">FC168+FE167</f>
        <v>169</v>
      </c>
      <c r="FF168" s="88" t="n">
        <f aca="false">MAX(FF167,FD168-FE168)</f>
        <v>2761.50635186272</v>
      </c>
      <c r="FG168" s="88" t="n">
        <f aca="false">FF168-FF167</f>
        <v>12.9177861740836</v>
      </c>
    </row>
    <row r="169" customFormat="false" ht="15" hidden="false" customHeight="false" outlineLevel="0" collapsed="false">
      <c r="A169" s="0" t="n">
        <v>129</v>
      </c>
      <c r="B169" s="88" t="n">
        <f aca="false">2026+INT(A169/12)</f>
        <v>2036</v>
      </c>
      <c r="C169" s="88" t="n">
        <f aca="false">MAX(0,MIN(1,A169+1-$AO$3))</f>
        <v>1</v>
      </c>
      <c r="D169" s="88" t="n">
        <f aca="false">IF((A169+0.5-(0))&lt;$AO$3,0,2026+INT((A169+0.5-(0))/12))</f>
        <v>2036</v>
      </c>
      <c r="E169" s="88" t="n">
        <f aca="false">IF((A169+0.5-($AO$9))&lt;$AO$3,0,2026+INT((A169+0.5-($AO$9))/12))</f>
        <v>2035</v>
      </c>
      <c r="F169" s="88" t="n">
        <f aca="false">IF((A169+0.5-($AO$9+$AO$8))&lt;$AO$3,0,2026+INT((A169+0.5-($AO$9+$AO$8))/12))</f>
        <v>2034</v>
      </c>
      <c r="G169" s="88" t="n">
        <f aca="false">IF((A169+0.5-($AO$9+$AO$8+$AO$7))&lt;$AO$3,0,2026+INT((A169+0.5-($AO$9+$AO$8+$AO$7))/12))</f>
        <v>2033</v>
      </c>
      <c r="H169" s="88" t="n">
        <f aca="false">IF(B169=2026,INDEX($C$3:$Q$3,1,B169-2025)*$AO$4*C169/MAX(0.0001,12-$AO$3),INDEX($C$3:$Q$3,1,B169-2025)/12)</f>
        <v>132.25</v>
      </c>
      <c r="I169" s="88" t="n">
        <f aca="false">$AO$6*0</f>
        <v>0</v>
      </c>
      <c r="J169" s="88" t="n">
        <f aca="false">H169+J168</f>
        <v>30134.2534246576</v>
      </c>
      <c r="K169" s="88" t="n">
        <f aca="false">I169+K168</f>
        <v>8695.00000000001</v>
      </c>
      <c r="L169" s="88" t="n">
        <f aca="false">MAX(L168,J169-K169)</f>
        <v>21439.2534246576</v>
      </c>
      <c r="M169" s="88" t="n">
        <f aca="false">L169-L168</f>
        <v>132.25</v>
      </c>
      <c r="N169" s="88" t="n">
        <f aca="false">IF(B169=2026,INDEX($C$4:$Q$4,1,B169-2025)*$AO$4*C169/MAX(0.0001,12-$AO$3),INDEX($C$4:$Q$4,1,B169-2025)/12)</f>
        <v>4.00940426699819</v>
      </c>
      <c r="O169" s="88" t="n">
        <f aca="false">$AO$6*0</f>
        <v>0</v>
      </c>
      <c r="P169" s="88" t="n">
        <f aca="false">N169+P168</f>
        <v>913.57583564179</v>
      </c>
      <c r="Q169" s="88" t="n">
        <f aca="false">O169+Q168</f>
        <v>398</v>
      </c>
      <c r="R169" s="88" t="n">
        <f aca="false">MAX(R168,P169-Q169)</f>
        <v>515.57583564179</v>
      </c>
      <c r="S169" s="88" t="n">
        <f aca="false">R169-R168</f>
        <v>4.00940426699822</v>
      </c>
      <c r="T169" s="88" t="n">
        <f aca="false">IF(B169=2026,INDEX($C$5:$Q$5,1,B169-2025)*$AO$4*C169/MAX(0.0001,12-$AO$3),INDEX($C$5:$Q$5,1,B169-2025)/12)</f>
        <v>16.2956662203121</v>
      </c>
      <c r="U169" s="88" t="n">
        <f aca="false">$AO$6*0</f>
        <v>0</v>
      </c>
      <c r="V169" s="88" t="n">
        <f aca="false">T169+V168</f>
        <v>3713.10197055966</v>
      </c>
      <c r="W169" s="88" t="n">
        <f aca="false">U169+W168</f>
        <v>1115</v>
      </c>
      <c r="X169" s="88" t="n">
        <f aca="false">MAX(X168,V169-W169)</f>
        <v>2598.10197055966</v>
      </c>
      <c r="Y169" s="88" t="n">
        <f aca="false">X169-X168</f>
        <v>16.2956662203123</v>
      </c>
      <c r="Z169" s="88" t="n">
        <f aca="false">IF(B169=2026,INDEX($C$6:$Q$6,1,B169-2025)*$AO$4*C169/MAX(0.0001,12-$AO$3),INDEX($C$6:$Q$6,1,B169-2025)/12)</f>
        <v>19.3334832874743</v>
      </c>
      <c r="AA169" s="88" t="n">
        <f aca="false">$AO$6*0</f>
        <v>0</v>
      </c>
      <c r="AB169" s="88" t="n">
        <f aca="false">Z169+AB168</f>
        <v>4405.29364813711</v>
      </c>
      <c r="AC169" s="88" t="n">
        <f aca="false">AA169+AC168</f>
        <v>2194</v>
      </c>
      <c r="AD169" s="88" t="n">
        <f aca="false">MAX(AD168,AB169-AC169)</f>
        <v>2211.29364813711</v>
      </c>
      <c r="AE169" s="88" t="n">
        <f aca="false">AD169-AD168</f>
        <v>19.3334832874743</v>
      </c>
      <c r="AF169" s="88" t="n">
        <f aca="false">IF(B169=2026,INDEX($C$7:$Q$7,1,B169-2025)*$AO$4*C169/MAX(0.0001,12-$AO$3),INDEX($C$7:$Q$7,1,B169-2025)/12)</f>
        <v>16.7943163616268</v>
      </c>
      <c r="AG169" s="88" t="n">
        <f aca="false">$AO$6*0</f>
        <v>0</v>
      </c>
      <c r="AH169" s="88" t="n">
        <f aca="false">AF169+AH168</f>
        <v>3826.72351860215</v>
      </c>
      <c r="AI169" s="88" t="n">
        <f aca="false">AG169+AI168</f>
        <v>826</v>
      </c>
      <c r="AJ169" s="88" t="n">
        <f aca="false">MAX(AJ168,AH169-AI169)</f>
        <v>3000.72351860215</v>
      </c>
      <c r="AK169" s="88" t="n">
        <f aca="false">AJ169-AJ168</f>
        <v>16.7943163616269</v>
      </c>
      <c r="AL169" s="88" t="n">
        <f aca="false">IF(B169=2026,INDEX($C$8:$Q$8,1,B169-2025)*$AO$4*C169/MAX(0.0001,12-$AO$3),INDEX($C$8:$Q$8,1,B169-2025)/12)</f>
        <v>4.24816860722254</v>
      </c>
      <c r="AM169" s="88" t="n">
        <f aca="false">$AO$6*0</f>
        <v>0</v>
      </c>
      <c r="AN169" s="88" t="n">
        <f aca="false">AL169+AN168</f>
        <v>967.980260118855</v>
      </c>
      <c r="AO169" s="88" t="n">
        <f aca="false">AM169+AO168</f>
        <v>66</v>
      </c>
      <c r="AP169" s="88" t="n">
        <f aca="false">MAX(AP168,AN169-AO169)</f>
        <v>901.980260118855</v>
      </c>
      <c r="AQ169" s="88" t="n">
        <f aca="false">AP169-AP168</f>
        <v>4.24816860722251</v>
      </c>
      <c r="AR169" s="88" t="n">
        <f aca="false">IF(B169=2026,INDEX($C$9:$Q$9,1,B169-2025)*$AO$4*C169/MAX(0.0001,12-$AO$3),INDEX($C$9:$Q$9,1,B169-2025)/12)</f>
        <v>18.1139485035592</v>
      </c>
      <c r="AS169" s="88" t="n">
        <f aca="false">$AO$6*0</f>
        <v>0</v>
      </c>
      <c r="AT169" s="88" t="n">
        <f aca="false">AR169+AT168</f>
        <v>4127.41258773118</v>
      </c>
      <c r="AU169" s="88" t="n">
        <f aca="false">AS169+AU168</f>
        <v>1810</v>
      </c>
      <c r="AV169" s="88" t="n">
        <f aca="false">MAX(AV168,AT169-AU169)</f>
        <v>2317.41258773118</v>
      </c>
      <c r="AW169" s="88" t="n">
        <f aca="false">AV169-AV168</f>
        <v>18.1139485035592</v>
      </c>
      <c r="AX169" s="88" t="n">
        <f aca="false">IF(B169=2026,INDEX($C$10:$Q$10,1,B169-2025)*$AO$4*C169/MAX(0.0001,12-$AO$3),INDEX($C$10:$Q$10,1,B169-2025)/12)</f>
        <v>2.10112619397431</v>
      </c>
      <c r="AY169" s="88" t="n">
        <f aca="false">$AO$6*0</f>
        <v>0</v>
      </c>
      <c r="AZ169" s="88" t="n">
        <f aca="false">AX169+AZ168</f>
        <v>478.75893539817</v>
      </c>
      <c r="BA169" s="88" t="n">
        <f aca="false">AY169+BA168</f>
        <v>50</v>
      </c>
      <c r="BB169" s="88" t="n">
        <f aca="false">MAX(BB168,AZ169-BA169)</f>
        <v>428.75893539817</v>
      </c>
      <c r="BC169" s="88" t="n">
        <f aca="false">BB169-BB168</f>
        <v>2.10112619397432</v>
      </c>
      <c r="BD169" s="88" t="n">
        <f aca="false">IF(B169=2026,INDEX($C$11:$Q$11,1,B169-2025)*$AO$4*C169/MAX(0.0001,12-$AO$3),INDEX($C$11:$Q$11,1,B169-2025)/12)</f>
        <v>10.4413482628881</v>
      </c>
      <c r="BE169" s="88" t="n">
        <f aca="false">$AO$6*0</f>
        <v>0</v>
      </c>
      <c r="BF169" s="88" t="n">
        <f aca="false">BD169+BF168</f>
        <v>2379.14733193934</v>
      </c>
      <c r="BG169" s="88" t="n">
        <f aca="false">BE169+BG168</f>
        <v>240</v>
      </c>
      <c r="BH169" s="88" t="n">
        <f aca="false">MAX(BH168,BF169-BG169)</f>
        <v>2139.14733193934</v>
      </c>
      <c r="BI169" s="88" t="n">
        <f aca="false">BH169-BH168</f>
        <v>10.4413482628879</v>
      </c>
      <c r="BJ169" s="88" t="n">
        <f aca="false">IF(B169=2026,INDEX($C$12:$Q$12,1,B169-2025)*$AO$4*C169/MAX(0.0001,12-$AO$3),INDEX($C$12:$Q$12,1,B169-2025)/12)</f>
        <v>5.72483421907162</v>
      </c>
      <c r="BK169" s="88" t="n">
        <f aca="false">$AO$6*0</f>
        <v>0</v>
      </c>
      <c r="BL169" s="88" t="n">
        <f aca="false">BJ169+BL168</f>
        <v>1304.45070073086</v>
      </c>
      <c r="BM169" s="88" t="n">
        <f aca="false">BK169+BM168</f>
        <v>465</v>
      </c>
      <c r="BN169" s="88" t="n">
        <f aca="false">MAX(BN168,BL169-BM169)</f>
        <v>839.450700730858</v>
      </c>
      <c r="BO169" s="88" t="n">
        <f aca="false">BN169-BN168</f>
        <v>5.72483421907168</v>
      </c>
      <c r="BP169" s="88" t="n">
        <f aca="false">IF(B169=2026,INDEX($C$13:$Q$13,1,B169-2025)*$AO$4*C169/MAX(0.0001,12-$AO$3),INDEX($C$13:$Q$13,1,B169-2025)/12)</f>
        <v>1.78899617501633</v>
      </c>
      <c r="BQ169" s="88" t="n">
        <f aca="false">$AO$6*0</f>
        <v>0</v>
      </c>
      <c r="BR169" s="88" t="n">
        <f aca="false">BP169+BR168</f>
        <v>407.637535831266</v>
      </c>
      <c r="BS169" s="88" t="n">
        <f aca="false">BQ169+BS168</f>
        <v>87</v>
      </c>
      <c r="BT169" s="88" t="n">
        <f aca="false">MAX(BT168,BR169-BS169)</f>
        <v>320.637535831266</v>
      </c>
      <c r="BU169" s="88" t="n">
        <f aca="false">BT169-BT168</f>
        <v>1.78899617501634</v>
      </c>
      <c r="BV169" s="88" t="n">
        <f aca="false">IF(B169=2026,INDEX($C$14:$Q$14,1,B169-2025)*$AO$4*C169/MAX(0.0001,12-$AO$3),INDEX($C$14:$Q$14,1,B169-2025)/12)</f>
        <v>1.06105980035451</v>
      </c>
      <c r="BW169" s="88" t="n">
        <f aca="false">$AO$6*0</f>
        <v>0</v>
      </c>
      <c r="BX169" s="88" t="n">
        <f aca="false">BV169+BX168</f>
        <v>241.7712281482</v>
      </c>
      <c r="BY169" s="88" t="n">
        <f aca="false">BW169+BY168</f>
        <v>0</v>
      </c>
      <c r="BZ169" s="88" t="n">
        <f aca="false">MAX(BZ168,BX169-BY169)</f>
        <v>241.7712281482</v>
      </c>
      <c r="CA169" s="88" t="n">
        <f aca="false">BZ169-BZ168</f>
        <v>1.06105980035451</v>
      </c>
      <c r="CB169" s="88" t="n">
        <f aca="false">IF(B169=2026,INDEX($C$15:$Q$15,1,B169-2025)*$AO$4*C169/MAX(0.0001,12-$AO$3),INDEX($C$15:$Q$15,1,B169-2025)/12)</f>
        <v>1.73964455639519</v>
      </c>
      <c r="CC169" s="88" t="n">
        <f aca="false">$AO$6*0</f>
        <v>0</v>
      </c>
      <c r="CD169" s="88" t="n">
        <f aca="false">CB169+CD168</f>
        <v>396.392362429024</v>
      </c>
      <c r="CE169" s="88" t="n">
        <f aca="false">CC169+CE168</f>
        <v>88.0000000000001</v>
      </c>
      <c r="CF169" s="88" t="n">
        <f aca="false">MAX(CF168,CD169-CE169)</f>
        <v>308.392362429024</v>
      </c>
      <c r="CG169" s="88" t="n">
        <f aca="false">CF169-CF168</f>
        <v>1.73964455639521</v>
      </c>
      <c r="CH169" s="88" t="n">
        <f aca="false">IF(B169=2026,INDEX($C$16:$Q$16,1,B169-2025)*$AO$4*C169/MAX(0.0001,12-$AO$3),INDEX($C$16:$Q$16,1,B169-2025)/12)</f>
        <v>1.37567636906428</v>
      </c>
      <c r="CI169" s="88" t="n">
        <f aca="false">$AO$6*0</f>
        <v>0</v>
      </c>
      <c r="CJ169" s="88" t="n">
        <f aca="false">CH169+CJ168</f>
        <v>313.459208587491</v>
      </c>
      <c r="CK169" s="88" t="n">
        <f aca="false">CI169+CK168</f>
        <v>70</v>
      </c>
      <c r="CL169" s="88" t="n">
        <f aca="false">MAX(CL168,CJ169-CK169)</f>
        <v>243.459208587491</v>
      </c>
      <c r="CM169" s="88" t="n">
        <f aca="false">CL169-CL168</f>
        <v>1.37567636906425</v>
      </c>
      <c r="CN169" s="88" t="n">
        <f aca="false">IF(B169=2026,INDEX($C$17:$Q$17,1,B169-2025)*$AO$4*C169/MAX(0.0001,12-$AO$3),INDEX($C$17:$Q$17,1,B169-2025)/12)</f>
        <v>5.99005271014087</v>
      </c>
      <c r="CO169" s="88" t="n">
        <f aca="false">$AO$6*0</f>
        <v>0</v>
      </c>
      <c r="CP169" s="88" t="n">
        <f aca="false">CN169+CP168</f>
        <v>1364.88292169711</v>
      </c>
      <c r="CQ169" s="88" t="n">
        <f aca="false">CO169+CQ168</f>
        <v>221</v>
      </c>
      <c r="CR169" s="88" t="n">
        <f aca="false">MAX(CR168,CP169-CQ169)</f>
        <v>1143.88292169711</v>
      </c>
      <c r="CS169" s="88" t="n">
        <f aca="false">CR169-CR168</f>
        <v>5.99005271014084</v>
      </c>
      <c r="CT169" s="88" t="n">
        <f aca="false">IF(B169=2026,INDEX($C$18:$Q$18,1,B169-2025)*$AO$4*C169/MAX(0.0001,12-$AO$3),INDEX($C$18:$Q$18,1,B169-2025)/12)</f>
        <v>1.24612837018379</v>
      </c>
      <c r="CU169" s="88" t="n">
        <f aca="false">$AO$6*0</f>
        <v>0</v>
      </c>
      <c r="CV169" s="88" t="n">
        <f aca="false">CT169+CV168</f>
        <v>283.940628406606</v>
      </c>
      <c r="CW169" s="88" t="n">
        <f aca="false">CU169+CW168</f>
        <v>11</v>
      </c>
      <c r="CX169" s="88" t="n">
        <f aca="false">MAX(CX168,CV169-CW169)</f>
        <v>272.940628406606</v>
      </c>
      <c r="CY169" s="88" t="n">
        <f aca="false">CX169-CX168</f>
        <v>1.24612837018378</v>
      </c>
      <c r="CZ169" s="88" t="n">
        <f aca="false">IF(B169=2026,INDEX($C$19:$Q$19,1,B169-2025)*$AO$4*C169/MAX(0.0001,12-$AO$3),INDEX($C$19:$Q$19,1,B169-2025)/12)</f>
        <v>1.2337904655285</v>
      </c>
      <c r="DA169" s="88" t="n">
        <f aca="false">$AO$6*0</f>
        <v>0</v>
      </c>
      <c r="DB169" s="88" t="n">
        <f aca="false">CZ169+DB168</f>
        <v>281.129335056046</v>
      </c>
      <c r="DC169" s="88" t="n">
        <f aca="false">DA169+DC168</f>
        <v>226</v>
      </c>
      <c r="DD169" s="88" t="n">
        <f aca="false">MAX(DD168,DB169-DC169)</f>
        <v>55.1293350560463</v>
      </c>
      <c r="DE169" s="88" t="n">
        <f aca="false">DD169-DD168</f>
        <v>1.2337904655285</v>
      </c>
      <c r="DF169" s="88" t="n">
        <f aca="false">IF(B169=2026,INDEX($C$20:$Q$20,1,B169-2025)*$AO$4*C169/MAX(0.0001,12-$AO$3),INDEX($C$20:$Q$20,1,B169-2025)/12)</f>
        <v>1.00553922940573</v>
      </c>
      <c r="DG169" s="88" t="n">
        <f aca="false">$AO$6*0</f>
        <v>0</v>
      </c>
      <c r="DH169" s="88" t="n">
        <f aca="false">DF169+DH168</f>
        <v>229.120408070677</v>
      </c>
      <c r="DI169" s="88" t="n">
        <f aca="false">DG169+DI168</f>
        <v>0</v>
      </c>
      <c r="DJ169" s="88" t="n">
        <f aca="false">MAX(DJ168,DH169-DI169)</f>
        <v>229.120408070677</v>
      </c>
      <c r="DK169" s="88" t="n">
        <f aca="false">DJ169-DJ168</f>
        <v>1.00553922940574</v>
      </c>
      <c r="DL169" s="88" t="n">
        <f aca="false">IF(B169=2026,INDEX($C$21:$Q$21,1,B169-2025)*$AO$4*C169/MAX(0.0001,12-$AO$3),INDEX($C$21:$Q$21,1,B169-2025)/12)</f>
        <v>0.703260565351246</v>
      </c>
      <c r="DM169" s="88" t="n">
        <f aca="false">$AO$6*0</f>
        <v>0</v>
      </c>
      <c r="DN169" s="88" t="n">
        <f aca="false">DL169+DN168</f>
        <v>160.243720981946</v>
      </c>
      <c r="DO169" s="88" t="n">
        <f aca="false">DM169+DO168</f>
        <v>100</v>
      </c>
      <c r="DP169" s="88" t="n">
        <f aca="false">MAX(DP168,DN169-DO169)</f>
        <v>60.243720981946</v>
      </c>
      <c r="DQ169" s="88" t="n">
        <f aca="false">DP169-DP168</f>
        <v>0.703260565351258</v>
      </c>
      <c r="DR169" s="88" t="n">
        <f aca="false">IF(B169=2026,INDEX($C$22:$Q$22,1,B169-2025)*$AO$4*C169/MAX(0.0001,12-$AO$3),INDEX($C$22:$Q$22,1,B169-2025)/12)</f>
        <v>0.549036757160183</v>
      </c>
      <c r="DS169" s="88" t="n">
        <f aca="false">$AO$6*0</f>
        <v>0</v>
      </c>
      <c r="DT169" s="88" t="n">
        <f aca="false">DR169+DT168</f>
        <v>125.10255409994</v>
      </c>
      <c r="DU169" s="88" t="n">
        <f aca="false">DS169+DU168</f>
        <v>29</v>
      </c>
      <c r="DV169" s="88" t="n">
        <f aca="false">MAX(DV168,DT169-DU169)</f>
        <v>96.1025540999405</v>
      </c>
      <c r="DW169" s="88" t="n">
        <f aca="false">DV169-DV168</f>
        <v>0.549036757160195</v>
      </c>
      <c r="DX169" s="88" t="n">
        <f aca="false">IF(B169=2026,INDEX($C$23:$Q$23,1,B169-2025)*$AO$4*C169/MAX(0.0001,12-$AO$3),INDEX($C$23:$Q$23,1,B169-2025)/12)</f>
        <v>0.882160182852878</v>
      </c>
      <c r="DY169" s="88" t="n">
        <f aca="false">$AO$6*0</f>
        <v>0</v>
      </c>
      <c r="DZ169" s="88" t="n">
        <f aca="false">DX169+DZ168</f>
        <v>201.007474565073</v>
      </c>
      <c r="EA169" s="88" t="n">
        <f aca="false">DY169+EA168</f>
        <v>121</v>
      </c>
      <c r="EB169" s="88" t="n">
        <f aca="false">MAX(EB168,DZ169-EA169)</f>
        <v>80.007474565073</v>
      </c>
      <c r="EC169" s="88" t="n">
        <f aca="false">EB169-EB168</f>
        <v>0.882160182852886</v>
      </c>
      <c r="ED169" s="88" t="n">
        <f aca="false">IF(B169=2026,INDEX($C$24:$Q$24,1,B169-2025)*$AO$4*C169/MAX(0.0001,12-$AO$3),INDEX($C$24:$Q$24,1,B169-2025)/12)</f>
        <v>0.54286780483254</v>
      </c>
      <c r="EE169" s="88" t="n">
        <f aca="false">$AO$6*0</f>
        <v>0</v>
      </c>
      <c r="EF169" s="88" t="n">
        <f aca="false">ED169+EF168</f>
        <v>123.69690742466</v>
      </c>
      <c r="EG169" s="88" t="n">
        <f aca="false">EE169+EG168</f>
        <v>0</v>
      </c>
      <c r="EH169" s="88" t="n">
        <f aca="false">MAX(EH168,EF169-EG169)</f>
        <v>123.69690742466</v>
      </c>
      <c r="EI169" s="88" t="n">
        <f aca="false">EH169-EH168</f>
        <v>0.54286780483254</v>
      </c>
      <c r="EJ169" s="88" t="n">
        <f aca="false">IF(B169=2026,INDEX($C$25:$Q$25,1,B169-2025)*$AO$4*C169/MAX(0.0001,12-$AO$3),INDEX($C$25:$Q$25,1,B169-2025)/12)</f>
        <v>0.690922660695961</v>
      </c>
      <c r="EK169" s="88" t="n">
        <f aca="false">$AO$6*0</f>
        <v>0</v>
      </c>
      <c r="EL169" s="88" t="n">
        <f aca="false">EJ169+EL168</f>
        <v>157.432427631385</v>
      </c>
      <c r="EM169" s="88" t="n">
        <f aca="false">EK169+EM168</f>
        <v>14</v>
      </c>
      <c r="EN169" s="88" t="n">
        <f aca="false">MAX(EN168,EL169-EM169)</f>
        <v>143.432427631385</v>
      </c>
      <c r="EO169" s="88" t="n">
        <f aca="false">EN169-EN168</f>
        <v>0.690922660695946</v>
      </c>
      <c r="EP169" s="88" t="n">
        <f aca="false">IF(B169=2026,INDEX($C$26:$Q$26,1,B169-2025)*$AO$4*C169/MAX(0.0001,12-$AO$3),INDEX($C$26:$Q$26,1,B169-2025)/12)</f>
        <v>0.993201324750443</v>
      </c>
      <c r="EQ169" s="88" t="n">
        <f aca="false">$AO$6*0</f>
        <v>0</v>
      </c>
      <c r="ER169" s="88" t="n">
        <f aca="false">EP169+ER168</f>
        <v>226.309114720116</v>
      </c>
      <c r="ES169" s="88" t="n">
        <f aca="false">EQ169+ES168</f>
        <v>4</v>
      </c>
      <c r="ET169" s="88" t="n">
        <f aca="false">MAX(ET168,ER169-ES169)</f>
        <v>222.309114720116</v>
      </c>
      <c r="EU169" s="88" t="n">
        <f aca="false">ET169-ET168</f>
        <v>0.99320132475043</v>
      </c>
      <c r="EV169" s="88" t="n">
        <f aca="false">IF(B169=2026,INDEX($C$27:$Q$27,1,B169-2025)*$AO$4*C169/MAX(0.0001,12-$AO$3),INDEX($C$27:$Q$27,1,B169-2025)/12)</f>
        <v>2.467580931057</v>
      </c>
      <c r="EW169" s="88" t="n">
        <f aca="false">$AO$6*0</f>
        <v>0</v>
      </c>
      <c r="EX169" s="88" t="n">
        <f aca="false">EV169+EX168</f>
        <v>562.258670112092</v>
      </c>
      <c r="EY169" s="88" t="n">
        <f aca="false">EW169+EY168</f>
        <v>391</v>
      </c>
      <c r="EZ169" s="88" t="n">
        <f aca="false">MAX(EZ168,EX169-EY169)</f>
        <v>171.258670112092</v>
      </c>
      <c r="FA169" s="88" t="n">
        <f aca="false">EZ169-EZ168</f>
        <v>2.467580931057</v>
      </c>
      <c r="FB169" s="88" t="n">
        <f aca="false">IF(B169=2026,INDEX($C$28:$Q$28,1,B169-2025)*$AO$4*C169/MAX(0.0001,12-$AO$3),INDEX($C$28:$Q$28,1,B169-2025)/12)</f>
        <v>12.9177861740834</v>
      </c>
      <c r="FC169" s="88" t="n">
        <f aca="false">$AO$6*0</f>
        <v>0</v>
      </c>
      <c r="FD169" s="88" t="n">
        <f aca="false">FB169+FD168</f>
        <v>2943.4241380368</v>
      </c>
      <c r="FE169" s="88" t="n">
        <f aca="false">FC169+FE168</f>
        <v>169</v>
      </c>
      <c r="FF169" s="88" t="n">
        <f aca="false">MAX(FF168,FD169-FE169)</f>
        <v>2774.4241380368</v>
      </c>
      <c r="FG169" s="88" t="n">
        <f aca="false">FF169-FF168</f>
        <v>12.9177861740836</v>
      </c>
    </row>
    <row r="170" customFormat="false" ht="15" hidden="false" customHeight="false" outlineLevel="0" collapsed="false">
      <c r="A170" s="0" t="n">
        <v>130</v>
      </c>
      <c r="B170" s="88" t="n">
        <f aca="false">2026+INT(A170/12)</f>
        <v>2036</v>
      </c>
      <c r="C170" s="88" t="n">
        <f aca="false">MAX(0,MIN(1,A170+1-$AO$3))</f>
        <v>1</v>
      </c>
      <c r="D170" s="88" t="n">
        <f aca="false">IF((A170+0.5-(0))&lt;$AO$3,0,2026+INT((A170+0.5-(0))/12))</f>
        <v>2036</v>
      </c>
      <c r="E170" s="88" t="n">
        <f aca="false">IF((A170+0.5-($AO$9))&lt;$AO$3,0,2026+INT((A170+0.5-($AO$9))/12))</f>
        <v>2035</v>
      </c>
      <c r="F170" s="88" t="n">
        <f aca="false">IF((A170+0.5-($AO$9+$AO$8))&lt;$AO$3,0,2026+INT((A170+0.5-($AO$9+$AO$8))/12))</f>
        <v>2034</v>
      </c>
      <c r="G170" s="88" t="n">
        <f aca="false">IF((A170+0.5-($AO$9+$AO$8+$AO$7))&lt;$AO$3,0,2026+INT((A170+0.5-($AO$9+$AO$8+$AO$7))/12))</f>
        <v>2033</v>
      </c>
      <c r="H170" s="88" t="n">
        <f aca="false">IF(B170=2026,INDEX($C$3:$Q$3,1,B170-2025)*$AO$4*C170/MAX(0.0001,12-$AO$3),INDEX($C$3:$Q$3,1,B170-2025)/12)</f>
        <v>132.25</v>
      </c>
      <c r="I170" s="88" t="n">
        <f aca="false">$AO$6*0</f>
        <v>0</v>
      </c>
      <c r="J170" s="88" t="n">
        <f aca="false">H170+J169</f>
        <v>30266.5034246576</v>
      </c>
      <c r="K170" s="88" t="n">
        <f aca="false">I170+K169</f>
        <v>8695.00000000001</v>
      </c>
      <c r="L170" s="88" t="n">
        <f aca="false">MAX(L169,J170-K170)</f>
        <v>21571.5034246576</v>
      </c>
      <c r="M170" s="88" t="n">
        <f aca="false">L170-L169</f>
        <v>132.25</v>
      </c>
      <c r="N170" s="88" t="n">
        <f aca="false">IF(B170=2026,INDEX($C$4:$Q$4,1,B170-2025)*$AO$4*C170/MAX(0.0001,12-$AO$3),INDEX($C$4:$Q$4,1,B170-2025)/12)</f>
        <v>4.00940426699819</v>
      </c>
      <c r="O170" s="88" t="n">
        <f aca="false">$AO$6*0</f>
        <v>0</v>
      </c>
      <c r="P170" s="88" t="n">
        <f aca="false">N170+P169</f>
        <v>917.585239908788</v>
      </c>
      <c r="Q170" s="88" t="n">
        <f aca="false">O170+Q169</f>
        <v>398</v>
      </c>
      <c r="R170" s="88" t="n">
        <f aca="false">MAX(R169,P170-Q170)</f>
        <v>519.585239908788</v>
      </c>
      <c r="S170" s="88" t="n">
        <f aca="false">R170-R169</f>
        <v>4.00940426699822</v>
      </c>
      <c r="T170" s="88" t="n">
        <f aca="false">IF(B170=2026,INDEX($C$5:$Q$5,1,B170-2025)*$AO$4*C170/MAX(0.0001,12-$AO$3),INDEX($C$5:$Q$5,1,B170-2025)/12)</f>
        <v>16.2956662203121</v>
      </c>
      <c r="U170" s="88" t="n">
        <f aca="false">$AO$6*0</f>
        <v>0</v>
      </c>
      <c r="V170" s="88" t="n">
        <f aca="false">T170+V169</f>
        <v>3729.39763677997</v>
      </c>
      <c r="W170" s="88" t="n">
        <f aca="false">U170+W169</f>
        <v>1115</v>
      </c>
      <c r="X170" s="88" t="n">
        <f aca="false">MAX(X169,V170-W170)</f>
        <v>2614.39763677997</v>
      </c>
      <c r="Y170" s="88" t="n">
        <f aca="false">X170-X169</f>
        <v>16.2956662203114</v>
      </c>
      <c r="Z170" s="88" t="n">
        <f aca="false">IF(B170=2026,INDEX($C$6:$Q$6,1,B170-2025)*$AO$4*C170/MAX(0.0001,12-$AO$3),INDEX($C$6:$Q$6,1,B170-2025)/12)</f>
        <v>19.3334832874743</v>
      </c>
      <c r="AA170" s="88" t="n">
        <f aca="false">$AO$6*0</f>
        <v>0</v>
      </c>
      <c r="AB170" s="88" t="n">
        <f aca="false">Z170+AB169</f>
        <v>4424.62713142458</v>
      </c>
      <c r="AC170" s="88" t="n">
        <f aca="false">AA170+AC169</f>
        <v>2194</v>
      </c>
      <c r="AD170" s="88" t="n">
        <f aca="false">MAX(AD169,AB170-AC170)</f>
        <v>2230.62713142458</v>
      </c>
      <c r="AE170" s="88" t="n">
        <f aca="false">AD170-AD169</f>
        <v>19.3334832874743</v>
      </c>
      <c r="AF170" s="88" t="n">
        <f aca="false">IF(B170=2026,INDEX($C$7:$Q$7,1,B170-2025)*$AO$4*C170/MAX(0.0001,12-$AO$3),INDEX($C$7:$Q$7,1,B170-2025)/12)</f>
        <v>16.7943163616268</v>
      </c>
      <c r="AG170" s="88" t="n">
        <f aca="false">$AO$6*0</f>
        <v>0</v>
      </c>
      <c r="AH170" s="88" t="n">
        <f aca="false">AF170+AH169</f>
        <v>3843.51783496378</v>
      </c>
      <c r="AI170" s="88" t="n">
        <f aca="false">AG170+AI169</f>
        <v>826</v>
      </c>
      <c r="AJ170" s="88" t="n">
        <f aca="false">MAX(AJ169,AH170-AI170)</f>
        <v>3017.51783496378</v>
      </c>
      <c r="AK170" s="88" t="n">
        <f aca="false">AJ170-AJ169</f>
        <v>16.7943163616269</v>
      </c>
      <c r="AL170" s="88" t="n">
        <f aca="false">IF(B170=2026,INDEX($C$8:$Q$8,1,B170-2025)*$AO$4*C170/MAX(0.0001,12-$AO$3),INDEX($C$8:$Q$8,1,B170-2025)/12)</f>
        <v>4.24816860722254</v>
      </c>
      <c r="AM170" s="88" t="n">
        <f aca="false">$AO$6*0</f>
        <v>0</v>
      </c>
      <c r="AN170" s="88" t="n">
        <f aca="false">AL170+AN169</f>
        <v>972.228428726077</v>
      </c>
      <c r="AO170" s="88" t="n">
        <f aca="false">AM170+AO169</f>
        <v>66</v>
      </c>
      <c r="AP170" s="88" t="n">
        <f aca="false">MAX(AP169,AN170-AO170)</f>
        <v>906.228428726077</v>
      </c>
      <c r="AQ170" s="88" t="n">
        <f aca="false">AP170-AP169</f>
        <v>4.24816860722251</v>
      </c>
      <c r="AR170" s="88" t="n">
        <f aca="false">IF(B170=2026,INDEX($C$9:$Q$9,1,B170-2025)*$AO$4*C170/MAX(0.0001,12-$AO$3),INDEX($C$9:$Q$9,1,B170-2025)/12)</f>
        <v>18.1139485035592</v>
      </c>
      <c r="AS170" s="88" t="n">
        <f aca="false">$AO$6*0</f>
        <v>0</v>
      </c>
      <c r="AT170" s="88" t="n">
        <f aca="false">AR170+AT169</f>
        <v>4145.52653623474</v>
      </c>
      <c r="AU170" s="88" t="n">
        <f aca="false">AS170+AU169</f>
        <v>1810</v>
      </c>
      <c r="AV170" s="88" t="n">
        <f aca="false">MAX(AV169,AT170-AU170)</f>
        <v>2335.52653623474</v>
      </c>
      <c r="AW170" s="88" t="n">
        <f aca="false">AV170-AV169</f>
        <v>18.1139485035592</v>
      </c>
      <c r="AX170" s="88" t="n">
        <f aca="false">IF(B170=2026,INDEX($C$10:$Q$10,1,B170-2025)*$AO$4*C170/MAX(0.0001,12-$AO$3),INDEX($C$10:$Q$10,1,B170-2025)/12)</f>
        <v>2.10112619397431</v>
      </c>
      <c r="AY170" s="88" t="n">
        <f aca="false">$AO$6*0</f>
        <v>0</v>
      </c>
      <c r="AZ170" s="88" t="n">
        <f aca="false">AX170+AZ169</f>
        <v>480.860061592144</v>
      </c>
      <c r="BA170" s="88" t="n">
        <f aca="false">AY170+BA169</f>
        <v>50</v>
      </c>
      <c r="BB170" s="88" t="n">
        <f aca="false">MAX(BB169,AZ170-BA170)</f>
        <v>430.860061592144</v>
      </c>
      <c r="BC170" s="88" t="n">
        <f aca="false">BB170-BB169</f>
        <v>2.10112619397432</v>
      </c>
      <c r="BD170" s="88" t="n">
        <f aca="false">IF(B170=2026,INDEX($C$11:$Q$11,1,B170-2025)*$AO$4*C170/MAX(0.0001,12-$AO$3),INDEX($C$11:$Q$11,1,B170-2025)/12)</f>
        <v>10.4413482628881</v>
      </c>
      <c r="BE170" s="88" t="n">
        <f aca="false">$AO$6*0</f>
        <v>0</v>
      </c>
      <c r="BF170" s="88" t="n">
        <f aca="false">BD170+BF169</f>
        <v>2389.58868020222</v>
      </c>
      <c r="BG170" s="88" t="n">
        <f aca="false">BE170+BG169</f>
        <v>240</v>
      </c>
      <c r="BH170" s="88" t="n">
        <f aca="false">MAX(BH169,BF170-BG170)</f>
        <v>2149.58868020222</v>
      </c>
      <c r="BI170" s="88" t="n">
        <f aca="false">BH170-BH169</f>
        <v>10.4413482628879</v>
      </c>
      <c r="BJ170" s="88" t="n">
        <f aca="false">IF(B170=2026,INDEX($C$12:$Q$12,1,B170-2025)*$AO$4*C170/MAX(0.0001,12-$AO$3),INDEX($C$12:$Q$12,1,B170-2025)/12)</f>
        <v>5.72483421907162</v>
      </c>
      <c r="BK170" s="88" t="n">
        <f aca="false">$AO$6*0</f>
        <v>0</v>
      </c>
      <c r="BL170" s="88" t="n">
        <f aca="false">BJ170+BL169</f>
        <v>1310.17553494993</v>
      </c>
      <c r="BM170" s="88" t="n">
        <f aca="false">BK170+BM169</f>
        <v>465</v>
      </c>
      <c r="BN170" s="88" t="n">
        <f aca="false">MAX(BN169,BL170-BM170)</f>
        <v>845.17553494993</v>
      </c>
      <c r="BO170" s="88" t="n">
        <f aca="false">BN170-BN169</f>
        <v>5.72483421907168</v>
      </c>
      <c r="BP170" s="88" t="n">
        <f aca="false">IF(B170=2026,INDEX($C$13:$Q$13,1,B170-2025)*$AO$4*C170/MAX(0.0001,12-$AO$3),INDEX($C$13:$Q$13,1,B170-2025)/12)</f>
        <v>1.78899617501633</v>
      </c>
      <c r="BQ170" s="88" t="n">
        <f aca="false">$AO$6*0</f>
        <v>0</v>
      </c>
      <c r="BR170" s="88" t="n">
        <f aca="false">BP170+BR169</f>
        <v>409.426532006282</v>
      </c>
      <c r="BS170" s="88" t="n">
        <f aca="false">BQ170+BS169</f>
        <v>87</v>
      </c>
      <c r="BT170" s="88" t="n">
        <f aca="false">MAX(BT169,BR170-BS170)</f>
        <v>322.426532006282</v>
      </c>
      <c r="BU170" s="88" t="n">
        <f aca="false">BT170-BT169</f>
        <v>1.78899617501634</v>
      </c>
      <c r="BV170" s="88" t="n">
        <f aca="false">IF(B170=2026,INDEX($C$14:$Q$14,1,B170-2025)*$AO$4*C170/MAX(0.0001,12-$AO$3),INDEX($C$14:$Q$14,1,B170-2025)/12)</f>
        <v>1.06105980035451</v>
      </c>
      <c r="BW170" s="88" t="n">
        <f aca="false">$AO$6*0</f>
        <v>0</v>
      </c>
      <c r="BX170" s="88" t="n">
        <f aca="false">BV170+BX169</f>
        <v>242.832287948554</v>
      </c>
      <c r="BY170" s="88" t="n">
        <f aca="false">BW170+BY169</f>
        <v>0</v>
      </c>
      <c r="BZ170" s="88" t="n">
        <f aca="false">MAX(BZ169,BX170-BY170)</f>
        <v>242.832287948554</v>
      </c>
      <c r="CA170" s="88" t="n">
        <f aca="false">BZ170-BZ169</f>
        <v>1.06105980035451</v>
      </c>
      <c r="CB170" s="88" t="n">
        <f aca="false">IF(B170=2026,INDEX($C$15:$Q$15,1,B170-2025)*$AO$4*C170/MAX(0.0001,12-$AO$3),INDEX($C$15:$Q$15,1,B170-2025)/12)</f>
        <v>1.73964455639519</v>
      </c>
      <c r="CC170" s="88" t="n">
        <f aca="false">$AO$6*0</f>
        <v>0</v>
      </c>
      <c r="CD170" s="88" t="n">
        <f aca="false">CB170+CD169</f>
        <v>398.132006985419</v>
      </c>
      <c r="CE170" s="88" t="n">
        <f aca="false">CC170+CE169</f>
        <v>88.0000000000001</v>
      </c>
      <c r="CF170" s="88" t="n">
        <f aca="false">MAX(CF169,CD170-CE170)</f>
        <v>310.132006985419</v>
      </c>
      <c r="CG170" s="88" t="n">
        <f aca="false">CF170-CF169</f>
        <v>1.73964455639521</v>
      </c>
      <c r="CH170" s="88" t="n">
        <f aca="false">IF(B170=2026,INDEX($C$16:$Q$16,1,B170-2025)*$AO$4*C170/MAX(0.0001,12-$AO$3),INDEX($C$16:$Q$16,1,B170-2025)/12)</f>
        <v>1.37567636906428</v>
      </c>
      <c r="CI170" s="88" t="n">
        <f aca="false">$AO$6*0</f>
        <v>0</v>
      </c>
      <c r="CJ170" s="88" t="n">
        <f aca="false">CH170+CJ169</f>
        <v>314.834884956555</v>
      </c>
      <c r="CK170" s="88" t="n">
        <f aca="false">CI170+CK169</f>
        <v>70</v>
      </c>
      <c r="CL170" s="88" t="n">
        <f aca="false">MAX(CL169,CJ170-CK170)</f>
        <v>244.834884956555</v>
      </c>
      <c r="CM170" s="88" t="n">
        <f aca="false">CL170-CL169</f>
        <v>1.37567636906425</v>
      </c>
      <c r="CN170" s="88" t="n">
        <f aca="false">IF(B170=2026,INDEX($C$17:$Q$17,1,B170-2025)*$AO$4*C170/MAX(0.0001,12-$AO$3),INDEX($C$17:$Q$17,1,B170-2025)/12)</f>
        <v>5.99005271014087</v>
      </c>
      <c r="CO170" s="88" t="n">
        <f aca="false">$AO$6*0</f>
        <v>0</v>
      </c>
      <c r="CP170" s="88" t="n">
        <f aca="false">CN170+CP169</f>
        <v>1370.87297440725</v>
      </c>
      <c r="CQ170" s="88" t="n">
        <f aca="false">CO170+CQ169</f>
        <v>221</v>
      </c>
      <c r="CR170" s="88" t="n">
        <f aca="false">MAX(CR169,CP170-CQ170)</f>
        <v>1149.87297440725</v>
      </c>
      <c r="CS170" s="88" t="n">
        <f aca="false">CR170-CR169</f>
        <v>5.99005271014084</v>
      </c>
      <c r="CT170" s="88" t="n">
        <f aca="false">IF(B170=2026,INDEX($C$18:$Q$18,1,B170-2025)*$AO$4*C170/MAX(0.0001,12-$AO$3),INDEX($C$18:$Q$18,1,B170-2025)/12)</f>
        <v>1.24612837018379</v>
      </c>
      <c r="CU170" s="88" t="n">
        <f aca="false">$AO$6*0</f>
        <v>0</v>
      </c>
      <c r="CV170" s="88" t="n">
        <f aca="false">CT170+CV169</f>
        <v>285.18675677679</v>
      </c>
      <c r="CW170" s="88" t="n">
        <f aca="false">CU170+CW169</f>
        <v>11</v>
      </c>
      <c r="CX170" s="88" t="n">
        <f aca="false">MAX(CX169,CV170-CW170)</f>
        <v>274.18675677679</v>
      </c>
      <c r="CY170" s="88" t="n">
        <f aca="false">CX170-CX169</f>
        <v>1.24612837018378</v>
      </c>
      <c r="CZ170" s="88" t="n">
        <f aca="false">IF(B170=2026,INDEX($C$19:$Q$19,1,B170-2025)*$AO$4*C170/MAX(0.0001,12-$AO$3),INDEX($C$19:$Q$19,1,B170-2025)/12)</f>
        <v>1.2337904655285</v>
      </c>
      <c r="DA170" s="88" t="n">
        <f aca="false">$AO$6*0</f>
        <v>0</v>
      </c>
      <c r="DB170" s="88" t="n">
        <f aca="false">CZ170+DB169</f>
        <v>282.363125521575</v>
      </c>
      <c r="DC170" s="88" t="n">
        <f aca="false">DA170+DC169</f>
        <v>226</v>
      </c>
      <c r="DD170" s="88" t="n">
        <f aca="false">MAX(DD169,DB170-DC170)</f>
        <v>56.3631255215748</v>
      </c>
      <c r="DE170" s="88" t="n">
        <f aca="false">DD170-DD169</f>
        <v>1.2337904655285</v>
      </c>
      <c r="DF170" s="88" t="n">
        <f aca="false">IF(B170=2026,INDEX($C$20:$Q$20,1,B170-2025)*$AO$4*C170/MAX(0.0001,12-$AO$3),INDEX($C$20:$Q$20,1,B170-2025)/12)</f>
        <v>1.00553922940573</v>
      </c>
      <c r="DG170" s="88" t="n">
        <f aca="false">$AO$6*0</f>
        <v>0</v>
      </c>
      <c r="DH170" s="88" t="n">
        <f aca="false">DF170+DH169</f>
        <v>230.125947300083</v>
      </c>
      <c r="DI170" s="88" t="n">
        <f aca="false">DG170+DI169</f>
        <v>0</v>
      </c>
      <c r="DJ170" s="88" t="n">
        <f aca="false">MAX(DJ169,DH170-DI170)</f>
        <v>230.125947300083</v>
      </c>
      <c r="DK170" s="88" t="n">
        <f aca="false">DJ170-DJ169</f>
        <v>1.00553922940574</v>
      </c>
      <c r="DL170" s="88" t="n">
        <f aca="false">IF(B170=2026,INDEX($C$21:$Q$21,1,B170-2025)*$AO$4*C170/MAX(0.0001,12-$AO$3),INDEX($C$21:$Q$21,1,B170-2025)/12)</f>
        <v>0.703260565351246</v>
      </c>
      <c r="DM170" s="88" t="n">
        <f aca="false">$AO$6*0</f>
        <v>0</v>
      </c>
      <c r="DN170" s="88" t="n">
        <f aca="false">DL170+DN169</f>
        <v>160.946981547297</v>
      </c>
      <c r="DO170" s="88" t="n">
        <f aca="false">DM170+DO169</f>
        <v>100</v>
      </c>
      <c r="DP170" s="88" t="n">
        <f aca="false">MAX(DP169,DN170-DO170)</f>
        <v>60.9469815472973</v>
      </c>
      <c r="DQ170" s="88" t="n">
        <f aca="false">DP170-DP169</f>
        <v>0.703260565351258</v>
      </c>
      <c r="DR170" s="88" t="n">
        <f aca="false">IF(B170=2026,INDEX($C$22:$Q$22,1,B170-2025)*$AO$4*C170/MAX(0.0001,12-$AO$3),INDEX($C$22:$Q$22,1,B170-2025)/12)</f>
        <v>0.549036757160183</v>
      </c>
      <c r="DS170" s="88" t="n">
        <f aca="false">$AO$6*0</f>
        <v>0</v>
      </c>
      <c r="DT170" s="88" t="n">
        <f aca="false">DR170+DT169</f>
        <v>125.651590857101</v>
      </c>
      <c r="DU170" s="88" t="n">
        <f aca="false">DS170+DU169</f>
        <v>29</v>
      </c>
      <c r="DV170" s="88" t="n">
        <f aca="false">MAX(DV169,DT170-DU170)</f>
        <v>96.6515908571007</v>
      </c>
      <c r="DW170" s="88" t="n">
        <f aca="false">DV170-DV169</f>
        <v>0.549036757160167</v>
      </c>
      <c r="DX170" s="88" t="n">
        <f aca="false">IF(B170=2026,INDEX($C$23:$Q$23,1,B170-2025)*$AO$4*C170/MAX(0.0001,12-$AO$3),INDEX($C$23:$Q$23,1,B170-2025)/12)</f>
        <v>0.882160182852878</v>
      </c>
      <c r="DY170" s="88" t="n">
        <f aca="false">$AO$6*0</f>
        <v>0</v>
      </c>
      <c r="DZ170" s="88" t="n">
        <f aca="false">DX170+DZ169</f>
        <v>201.889634747926</v>
      </c>
      <c r="EA170" s="88" t="n">
        <f aca="false">DY170+EA169</f>
        <v>121</v>
      </c>
      <c r="EB170" s="88" t="n">
        <f aca="false">MAX(EB169,DZ170-EA170)</f>
        <v>80.8896347479259</v>
      </c>
      <c r="EC170" s="88" t="n">
        <f aca="false">EB170-EB169</f>
        <v>0.882160182852886</v>
      </c>
      <c r="ED170" s="88" t="n">
        <f aca="false">IF(B170=2026,INDEX($C$24:$Q$24,1,B170-2025)*$AO$4*C170/MAX(0.0001,12-$AO$3),INDEX($C$24:$Q$24,1,B170-2025)/12)</f>
        <v>0.54286780483254</v>
      </c>
      <c r="EE170" s="88" t="n">
        <f aca="false">$AO$6*0</f>
        <v>0</v>
      </c>
      <c r="EF170" s="88" t="n">
        <f aca="false">ED170+EF169</f>
        <v>124.239775229493</v>
      </c>
      <c r="EG170" s="88" t="n">
        <f aca="false">EE170+EG169</f>
        <v>0</v>
      </c>
      <c r="EH170" s="88" t="n">
        <f aca="false">MAX(EH169,EF170-EG170)</f>
        <v>124.239775229493</v>
      </c>
      <c r="EI170" s="88" t="n">
        <f aca="false">EH170-EH169</f>
        <v>0.54286780483254</v>
      </c>
      <c r="EJ170" s="88" t="n">
        <f aca="false">IF(B170=2026,INDEX($C$25:$Q$25,1,B170-2025)*$AO$4*C170/MAX(0.0001,12-$AO$3),INDEX($C$25:$Q$25,1,B170-2025)/12)</f>
        <v>0.690922660695961</v>
      </c>
      <c r="EK170" s="88" t="n">
        <f aca="false">$AO$6*0</f>
        <v>0</v>
      </c>
      <c r="EL170" s="88" t="n">
        <f aca="false">EJ170+EL169</f>
        <v>158.123350292081</v>
      </c>
      <c r="EM170" s="88" t="n">
        <f aca="false">EK170+EM169</f>
        <v>14</v>
      </c>
      <c r="EN170" s="88" t="n">
        <f aca="false">MAX(EN169,EL170-EM170)</f>
        <v>144.123350292081</v>
      </c>
      <c r="EO170" s="88" t="n">
        <f aca="false">EN170-EN169</f>
        <v>0.690922660695946</v>
      </c>
      <c r="EP170" s="88" t="n">
        <f aca="false">IF(B170=2026,INDEX($C$26:$Q$26,1,B170-2025)*$AO$4*C170/MAX(0.0001,12-$AO$3),INDEX($C$26:$Q$26,1,B170-2025)/12)</f>
        <v>0.993201324750443</v>
      </c>
      <c r="EQ170" s="88" t="n">
        <f aca="false">$AO$6*0</f>
        <v>0</v>
      </c>
      <c r="ER170" s="88" t="n">
        <f aca="false">EP170+ER169</f>
        <v>227.302316044866</v>
      </c>
      <c r="ES170" s="88" t="n">
        <f aca="false">EQ170+ES169</f>
        <v>4</v>
      </c>
      <c r="ET170" s="88" t="n">
        <f aca="false">MAX(ET169,ER170-ES170)</f>
        <v>223.302316044866</v>
      </c>
      <c r="EU170" s="88" t="n">
        <f aca="false">ET170-ET169</f>
        <v>0.99320132475043</v>
      </c>
      <c r="EV170" s="88" t="n">
        <f aca="false">IF(B170=2026,INDEX($C$27:$Q$27,1,B170-2025)*$AO$4*C170/MAX(0.0001,12-$AO$3),INDEX($C$27:$Q$27,1,B170-2025)/12)</f>
        <v>2.467580931057</v>
      </c>
      <c r="EW170" s="88" t="n">
        <f aca="false">$AO$6*0</f>
        <v>0</v>
      </c>
      <c r="EX170" s="88" t="n">
        <f aca="false">EV170+EX169</f>
        <v>564.726251043149</v>
      </c>
      <c r="EY170" s="88" t="n">
        <f aca="false">EW170+EY169</f>
        <v>391</v>
      </c>
      <c r="EZ170" s="88" t="n">
        <f aca="false">MAX(EZ169,EX170-EY170)</f>
        <v>173.726251043149</v>
      </c>
      <c r="FA170" s="88" t="n">
        <f aca="false">EZ170-EZ169</f>
        <v>2.467580931057</v>
      </c>
      <c r="FB170" s="88" t="n">
        <f aca="false">IF(B170=2026,INDEX($C$28:$Q$28,1,B170-2025)*$AO$4*C170/MAX(0.0001,12-$AO$3),INDEX($C$28:$Q$28,1,B170-2025)/12)</f>
        <v>12.9177861740834</v>
      </c>
      <c r="FC170" s="88" t="n">
        <f aca="false">$AO$6*0</f>
        <v>0</v>
      </c>
      <c r="FD170" s="88" t="n">
        <f aca="false">FB170+FD169</f>
        <v>2956.34192421088</v>
      </c>
      <c r="FE170" s="88" t="n">
        <f aca="false">FC170+FE169</f>
        <v>169</v>
      </c>
      <c r="FF170" s="88" t="n">
        <f aca="false">MAX(FF169,FD170-FE170)</f>
        <v>2787.34192421088</v>
      </c>
      <c r="FG170" s="88" t="n">
        <f aca="false">FF170-FF169</f>
        <v>12.9177861740836</v>
      </c>
    </row>
    <row r="171" customFormat="false" ht="15" hidden="false" customHeight="false" outlineLevel="0" collapsed="false">
      <c r="A171" s="0" t="n">
        <v>131</v>
      </c>
      <c r="B171" s="88" t="n">
        <f aca="false">2026+INT(A171/12)</f>
        <v>2036</v>
      </c>
      <c r="C171" s="88" t="n">
        <f aca="false">MAX(0,MIN(1,A171+1-$AO$3))</f>
        <v>1</v>
      </c>
      <c r="D171" s="88" t="n">
        <f aca="false">IF((A171+0.5-(0))&lt;$AO$3,0,2026+INT((A171+0.5-(0))/12))</f>
        <v>2036</v>
      </c>
      <c r="E171" s="88" t="n">
        <f aca="false">IF((A171+0.5-($AO$9))&lt;$AO$3,0,2026+INT((A171+0.5-($AO$9))/12))</f>
        <v>2035</v>
      </c>
      <c r="F171" s="88" t="n">
        <f aca="false">IF((A171+0.5-($AO$9+$AO$8))&lt;$AO$3,0,2026+INT((A171+0.5-($AO$9+$AO$8))/12))</f>
        <v>2034</v>
      </c>
      <c r="G171" s="88" t="n">
        <f aca="false">IF((A171+0.5-($AO$9+$AO$8+$AO$7))&lt;$AO$3,0,2026+INT((A171+0.5-($AO$9+$AO$8+$AO$7))/12))</f>
        <v>2034</v>
      </c>
      <c r="H171" s="88" t="n">
        <f aca="false">IF(B171=2026,INDEX($C$3:$Q$3,1,B171-2025)*$AO$4*C171/MAX(0.0001,12-$AO$3),INDEX($C$3:$Q$3,1,B171-2025)/12)</f>
        <v>132.25</v>
      </c>
      <c r="I171" s="88" t="n">
        <f aca="false">$AO$6*0</f>
        <v>0</v>
      </c>
      <c r="J171" s="88" t="n">
        <f aca="false">H171+J170</f>
        <v>30398.7534246576</v>
      </c>
      <c r="K171" s="88" t="n">
        <f aca="false">I171+K170</f>
        <v>8695.00000000001</v>
      </c>
      <c r="L171" s="88" t="n">
        <f aca="false">MAX(L170,J171-K171)</f>
        <v>21703.7534246576</v>
      </c>
      <c r="M171" s="88" t="n">
        <f aca="false">L171-L170</f>
        <v>132.25</v>
      </c>
      <c r="N171" s="88" t="n">
        <f aca="false">IF(B171=2026,INDEX($C$4:$Q$4,1,B171-2025)*$AO$4*C171/MAX(0.0001,12-$AO$3),INDEX($C$4:$Q$4,1,B171-2025)/12)</f>
        <v>4.00940426699819</v>
      </c>
      <c r="O171" s="88" t="n">
        <f aca="false">$AO$6*0</f>
        <v>0</v>
      </c>
      <c r="P171" s="88" t="n">
        <f aca="false">N171+P170</f>
        <v>921.594644175786</v>
      </c>
      <c r="Q171" s="88" t="n">
        <f aca="false">O171+Q170</f>
        <v>398</v>
      </c>
      <c r="R171" s="88" t="n">
        <f aca="false">MAX(R170,P171-Q171)</f>
        <v>523.594644175786</v>
      </c>
      <c r="S171" s="88" t="n">
        <f aca="false">R171-R170</f>
        <v>4.00940426699822</v>
      </c>
      <c r="T171" s="88" t="n">
        <f aca="false">IF(B171=2026,INDEX($C$5:$Q$5,1,B171-2025)*$AO$4*C171/MAX(0.0001,12-$AO$3),INDEX($C$5:$Q$5,1,B171-2025)/12)</f>
        <v>16.2956662203121</v>
      </c>
      <c r="U171" s="88" t="n">
        <f aca="false">$AO$6*0</f>
        <v>0</v>
      </c>
      <c r="V171" s="88" t="n">
        <f aca="false">T171+V170</f>
        <v>3745.69330300029</v>
      </c>
      <c r="W171" s="88" t="n">
        <f aca="false">U171+W170</f>
        <v>1115</v>
      </c>
      <c r="X171" s="88" t="n">
        <f aca="false">MAX(X170,V171-W171)</f>
        <v>2630.69330300028</v>
      </c>
      <c r="Y171" s="88" t="n">
        <f aca="false">X171-X170</f>
        <v>16.2956662203123</v>
      </c>
      <c r="Z171" s="88" t="n">
        <f aca="false">IF(B171=2026,INDEX($C$6:$Q$6,1,B171-2025)*$AO$4*C171/MAX(0.0001,12-$AO$3),INDEX($C$6:$Q$6,1,B171-2025)/12)</f>
        <v>19.3334832874743</v>
      </c>
      <c r="AA171" s="88" t="n">
        <f aca="false">$AO$6*0</f>
        <v>0</v>
      </c>
      <c r="AB171" s="88" t="n">
        <f aca="false">Z171+AB170</f>
        <v>4443.96061471206</v>
      </c>
      <c r="AC171" s="88" t="n">
        <f aca="false">AA171+AC170</f>
        <v>2194</v>
      </c>
      <c r="AD171" s="88" t="n">
        <f aca="false">MAX(AD170,AB171-AC171)</f>
        <v>2249.96061471206</v>
      </c>
      <c r="AE171" s="88" t="n">
        <f aca="false">AD171-AD170</f>
        <v>19.3334832874743</v>
      </c>
      <c r="AF171" s="88" t="n">
        <f aca="false">IF(B171=2026,INDEX($C$7:$Q$7,1,B171-2025)*$AO$4*C171/MAX(0.0001,12-$AO$3),INDEX($C$7:$Q$7,1,B171-2025)/12)</f>
        <v>16.7943163616268</v>
      </c>
      <c r="AG171" s="88" t="n">
        <f aca="false">$AO$6*0</f>
        <v>0</v>
      </c>
      <c r="AH171" s="88" t="n">
        <f aca="false">AF171+AH170</f>
        <v>3860.3121513254</v>
      </c>
      <c r="AI171" s="88" t="n">
        <f aca="false">AG171+AI170</f>
        <v>826</v>
      </c>
      <c r="AJ171" s="88" t="n">
        <f aca="false">MAX(AJ170,AH171-AI171)</f>
        <v>3034.3121513254</v>
      </c>
      <c r="AK171" s="88" t="n">
        <f aca="false">AJ171-AJ170</f>
        <v>16.7943163616269</v>
      </c>
      <c r="AL171" s="88" t="n">
        <f aca="false">IF(B171=2026,INDEX($C$8:$Q$8,1,B171-2025)*$AO$4*C171/MAX(0.0001,12-$AO$3),INDEX($C$8:$Q$8,1,B171-2025)/12)</f>
        <v>4.24816860722254</v>
      </c>
      <c r="AM171" s="88" t="n">
        <f aca="false">$AO$6*0</f>
        <v>0</v>
      </c>
      <c r="AN171" s="88" t="n">
        <f aca="false">AL171+AN170</f>
        <v>976.4765973333</v>
      </c>
      <c r="AO171" s="88" t="n">
        <f aca="false">AM171+AO170</f>
        <v>66</v>
      </c>
      <c r="AP171" s="88" t="n">
        <f aca="false">MAX(AP170,AN171-AO171)</f>
        <v>910.4765973333</v>
      </c>
      <c r="AQ171" s="88" t="n">
        <f aca="false">AP171-AP170</f>
        <v>4.24816860722251</v>
      </c>
      <c r="AR171" s="88" t="n">
        <f aca="false">IF(B171=2026,INDEX($C$9:$Q$9,1,B171-2025)*$AO$4*C171/MAX(0.0001,12-$AO$3),INDEX($C$9:$Q$9,1,B171-2025)/12)</f>
        <v>18.1139485035592</v>
      </c>
      <c r="AS171" s="88" t="n">
        <f aca="false">$AO$6*0</f>
        <v>0</v>
      </c>
      <c r="AT171" s="88" t="n">
        <f aca="false">AR171+AT170</f>
        <v>4163.6404847383</v>
      </c>
      <c r="AU171" s="88" t="n">
        <f aca="false">AS171+AU170</f>
        <v>1810</v>
      </c>
      <c r="AV171" s="88" t="n">
        <f aca="false">MAX(AV170,AT171-AU171)</f>
        <v>2353.6404847383</v>
      </c>
      <c r="AW171" s="88" t="n">
        <f aca="false">AV171-AV170</f>
        <v>18.1139485035592</v>
      </c>
      <c r="AX171" s="88" t="n">
        <f aca="false">IF(B171=2026,INDEX($C$10:$Q$10,1,B171-2025)*$AO$4*C171/MAX(0.0001,12-$AO$3),INDEX($C$10:$Q$10,1,B171-2025)/12)</f>
        <v>2.10112619397431</v>
      </c>
      <c r="AY171" s="88" t="n">
        <f aca="false">$AO$6*0</f>
        <v>0</v>
      </c>
      <c r="AZ171" s="88" t="n">
        <f aca="false">AX171+AZ170</f>
        <v>482.961187786119</v>
      </c>
      <c r="BA171" s="88" t="n">
        <f aca="false">AY171+BA170</f>
        <v>50</v>
      </c>
      <c r="BB171" s="88" t="n">
        <f aca="false">MAX(BB170,AZ171-BA171)</f>
        <v>432.961187786119</v>
      </c>
      <c r="BC171" s="88" t="n">
        <f aca="false">BB171-BB170</f>
        <v>2.10112619397432</v>
      </c>
      <c r="BD171" s="88" t="n">
        <f aca="false">IF(B171=2026,INDEX($C$11:$Q$11,1,B171-2025)*$AO$4*C171/MAX(0.0001,12-$AO$3),INDEX($C$11:$Q$11,1,B171-2025)/12)</f>
        <v>10.4413482628881</v>
      </c>
      <c r="BE171" s="88" t="n">
        <f aca="false">$AO$6*0</f>
        <v>0</v>
      </c>
      <c r="BF171" s="88" t="n">
        <f aca="false">BD171+BF170</f>
        <v>2400.03002846511</v>
      </c>
      <c r="BG171" s="88" t="n">
        <f aca="false">BE171+BG170</f>
        <v>240</v>
      </c>
      <c r="BH171" s="88" t="n">
        <f aca="false">MAX(BH170,BF171-BG171)</f>
        <v>2160.03002846511</v>
      </c>
      <c r="BI171" s="88" t="n">
        <f aca="false">BH171-BH170</f>
        <v>10.4413482628879</v>
      </c>
      <c r="BJ171" s="88" t="n">
        <f aca="false">IF(B171=2026,INDEX($C$12:$Q$12,1,B171-2025)*$AO$4*C171/MAX(0.0001,12-$AO$3),INDEX($C$12:$Q$12,1,B171-2025)/12)</f>
        <v>5.72483421907162</v>
      </c>
      <c r="BK171" s="88" t="n">
        <f aca="false">$AO$6*0</f>
        <v>0</v>
      </c>
      <c r="BL171" s="88" t="n">
        <f aca="false">BJ171+BL170</f>
        <v>1315.900369169</v>
      </c>
      <c r="BM171" s="88" t="n">
        <f aca="false">BK171+BM170</f>
        <v>465</v>
      </c>
      <c r="BN171" s="88" t="n">
        <f aca="false">MAX(BN170,BL171-BM171)</f>
        <v>850.900369169002</v>
      </c>
      <c r="BO171" s="88" t="n">
        <f aca="false">BN171-BN170</f>
        <v>5.72483421907168</v>
      </c>
      <c r="BP171" s="88" t="n">
        <f aca="false">IF(B171=2026,INDEX($C$13:$Q$13,1,B171-2025)*$AO$4*C171/MAX(0.0001,12-$AO$3),INDEX($C$13:$Q$13,1,B171-2025)/12)</f>
        <v>1.78899617501633</v>
      </c>
      <c r="BQ171" s="88" t="n">
        <f aca="false">$AO$6*0</f>
        <v>0</v>
      </c>
      <c r="BR171" s="88" t="n">
        <f aca="false">BP171+BR170</f>
        <v>411.215528181298</v>
      </c>
      <c r="BS171" s="88" t="n">
        <f aca="false">BQ171+BS170</f>
        <v>87</v>
      </c>
      <c r="BT171" s="88" t="n">
        <f aca="false">MAX(BT170,BR171-BS171)</f>
        <v>324.215528181298</v>
      </c>
      <c r="BU171" s="88" t="n">
        <f aca="false">BT171-BT170</f>
        <v>1.78899617501634</v>
      </c>
      <c r="BV171" s="88" t="n">
        <f aca="false">IF(B171=2026,INDEX($C$14:$Q$14,1,B171-2025)*$AO$4*C171/MAX(0.0001,12-$AO$3),INDEX($C$14:$Q$14,1,B171-2025)/12)</f>
        <v>1.06105980035451</v>
      </c>
      <c r="BW171" s="88" t="n">
        <f aca="false">$AO$6*0</f>
        <v>0</v>
      </c>
      <c r="BX171" s="88" t="n">
        <f aca="false">BV171+BX170</f>
        <v>243.893347748909</v>
      </c>
      <c r="BY171" s="88" t="n">
        <f aca="false">BW171+BY170</f>
        <v>0</v>
      </c>
      <c r="BZ171" s="88" t="n">
        <f aca="false">MAX(BZ170,BX171-BY171)</f>
        <v>243.893347748909</v>
      </c>
      <c r="CA171" s="88" t="n">
        <f aca="false">BZ171-BZ170</f>
        <v>1.06105980035451</v>
      </c>
      <c r="CB171" s="88" t="n">
        <f aca="false">IF(B171=2026,INDEX($C$15:$Q$15,1,B171-2025)*$AO$4*C171/MAX(0.0001,12-$AO$3),INDEX($C$15:$Q$15,1,B171-2025)/12)</f>
        <v>1.73964455639519</v>
      </c>
      <c r="CC171" s="88" t="n">
        <f aca="false">$AO$6*0</f>
        <v>0</v>
      </c>
      <c r="CD171" s="88" t="n">
        <f aca="false">CB171+CD170</f>
        <v>399.871651541814</v>
      </c>
      <c r="CE171" s="88" t="n">
        <f aca="false">CC171+CE170</f>
        <v>88.0000000000001</v>
      </c>
      <c r="CF171" s="88" t="n">
        <f aca="false">MAX(CF170,CD171-CE171)</f>
        <v>311.871651541814</v>
      </c>
      <c r="CG171" s="88" t="n">
        <f aca="false">CF171-CF170</f>
        <v>1.73964455639521</v>
      </c>
      <c r="CH171" s="88" t="n">
        <f aca="false">IF(B171=2026,INDEX($C$16:$Q$16,1,B171-2025)*$AO$4*C171/MAX(0.0001,12-$AO$3),INDEX($C$16:$Q$16,1,B171-2025)/12)</f>
        <v>1.37567636906428</v>
      </c>
      <c r="CI171" s="88" t="n">
        <f aca="false">$AO$6*0</f>
        <v>0</v>
      </c>
      <c r="CJ171" s="88" t="n">
        <f aca="false">CH171+CJ170</f>
        <v>316.210561325619</v>
      </c>
      <c r="CK171" s="88" t="n">
        <f aca="false">CI171+CK170</f>
        <v>70</v>
      </c>
      <c r="CL171" s="88" t="n">
        <f aca="false">MAX(CL170,CJ171-CK171)</f>
        <v>246.210561325619</v>
      </c>
      <c r="CM171" s="88" t="n">
        <f aca="false">CL171-CL170</f>
        <v>1.37567636906425</v>
      </c>
      <c r="CN171" s="88" t="n">
        <f aca="false">IF(B171=2026,INDEX($C$17:$Q$17,1,B171-2025)*$AO$4*C171/MAX(0.0001,12-$AO$3),INDEX($C$17:$Q$17,1,B171-2025)/12)</f>
        <v>5.99005271014087</v>
      </c>
      <c r="CO171" s="88" t="n">
        <f aca="false">$AO$6*0</f>
        <v>0</v>
      </c>
      <c r="CP171" s="88" t="n">
        <f aca="false">CN171+CP170</f>
        <v>1376.86302711739</v>
      </c>
      <c r="CQ171" s="88" t="n">
        <f aca="false">CO171+CQ170</f>
        <v>221</v>
      </c>
      <c r="CR171" s="88" t="n">
        <f aca="false">MAX(CR170,CP171-CQ171)</f>
        <v>1155.86302711739</v>
      </c>
      <c r="CS171" s="88" t="n">
        <f aca="false">CR171-CR170</f>
        <v>5.99005271014084</v>
      </c>
      <c r="CT171" s="88" t="n">
        <f aca="false">IF(B171=2026,INDEX($C$18:$Q$18,1,B171-2025)*$AO$4*C171/MAX(0.0001,12-$AO$3),INDEX($C$18:$Q$18,1,B171-2025)/12)</f>
        <v>1.24612837018379</v>
      </c>
      <c r="CU171" s="88" t="n">
        <f aca="false">$AO$6*0</f>
        <v>0</v>
      </c>
      <c r="CV171" s="88" t="n">
        <f aca="false">CT171+CV170</f>
        <v>286.432885146974</v>
      </c>
      <c r="CW171" s="88" t="n">
        <f aca="false">CU171+CW170</f>
        <v>11</v>
      </c>
      <c r="CX171" s="88" t="n">
        <f aca="false">MAX(CX170,CV171-CW171)</f>
        <v>275.432885146974</v>
      </c>
      <c r="CY171" s="88" t="n">
        <f aca="false">CX171-CX170</f>
        <v>1.24612837018378</v>
      </c>
      <c r="CZ171" s="88" t="n">
        <f aca="false">IF(B171=2026,INDEX($C$19:$Q$19,1,B171-2025)*$AO$4*C171/MAX(0.0001,12-$AO$3),INDEX($C$19:$Q$19,1,B171-2025)/12)</f>
        <v>1.2337904655285</v>
      </c>
      <c r="DA171" s="88" t="n">
        <f aca="false">$AO$6*0</f>
        <v>0</v>
      </c>
      <c r="DB171" s="88" t="n">
        <f aca="false">CZ171+DB170</f>
        <v>283.596915987103</v>
      </c>
      <c r="DC171" s="88" t="n">
        <f aca="false">DA171+DC170</f>
        <v>226</v>
      </c>
      <c r="DD171" s="88" t="n">
        <f aca="false">MAX(DD170,DB171-DC171)</f>
        <v>57.5969159871033</v>
      </c>
      <c r="DE171" s="88" t="n">
        <f aca="false">DD171-DD170</f>
        <v>1.2337904655285</v>
      </c>
      <c r="DF171" s="88" t="n">
        <f aca="false">IF(B171=2026,INDEX($C$20:$Q$20,1,B171-2025)*$AO$4*C171/MAX(0.0001,12-$AO$3),INDEX($C$20:$Q$20,1,B171-2025)/12)</f>
        <v>1.00553922940573</v>
      </c>
      <c r="DG171" s="88" t="n">
        <f aca="false">$AO$6*0</f>
        <v>0</v>
      </c>
      <c r="DH171" s="88" t="n">
        <f aca="false">DF171+DH170</f>
        <v>231.131486529489</v>
      </c>
      <c r="DI171" s="88" t="n">
        <f aca="false">DG171+DI170</f>
        <v>0</v>
      </c>
      <c r="DJ171" s="88" t="n">
        <f aca="false">MAX(DJ170,DH171-DI171)</f>
        <v>231.131486529489</v>
      </c>
      <c r="DK171" s="88" t="n">
        <f aca="false">DJ171-DJ170</f>
        <v>1.00553922940574</v>
      </c>
      <c r="DL171" s="88" t="n">
        <f aca="false">IF(B171=2026,INDEX($C$21:$Q$21,1,B171-2025)*$AO$4*C171/MAX(0.0001,12-$AO$3),INDEX($C$21:$Q$21,1,B171-2025)/12)</f>
        <v>0.703260565351246</v>
      </c>
      <c r="DM171" s="88" t="n">
        <f aca="false">$AO$6*0</f>
        <v>0</v>
      </c>
      <c r="DN171" s="88" t="n">
        <f aca="false">DL171+DN170</f>
        <v>161.650242112649</v>
      </c>
      <c r="DO171" s="88" t="n">
        <f aca="false">DM171+DO170</f>
        <v>100</v>
      </c>
      <c r="DP171" s="88" t="n">
        <f aca="false">MAX(DP170,DN171-DO171)</f>
        <v>61.6502421126486</v>
      </c>
      <c r="DQ171" s="88" t="n">
        <f aca="false">DP171-DP170</f>
        <v>0.703260565351258</v>
      </c>
      <c r="DR171" s="88" t="n">
        <f aca="false">IF(B171=2026,INDEX($C$22:$Q$22,1,B171-2025)*$AO$4*C171/MAX(0.0001,12-$AO$3),INDEX($C$22:$Q$22,1,B171-2025)/12)</f>
        <v>0.549036757160183</v>
      </c>
      <c r="DS171" s="88" t="n">
        <f aca="false">$AO$6*0</f>
        <v>0</v>
      </c>
      <c r="DT171" s="88" t="n">
        <f aca="false">DR171+DT170</f>
        <v>126.200627614261</v>
      </c>
      <c r="DU171" s="88" t="n">
        <f aca="false">DS171+DU170</f>
        <v>29</v>
      </c>
      <c r="DV171" s="88" t="n">
        <f aca="false">MAX(DV170,DT171-DU171)</f>
        <v>97.2006276142609</v>
      </c>
      <c r="DW171" s="88" t="n">
        <f aca="false">DV171-DV170</f>
        <v>0.549036757160195</v>
      </c>
      <c r="DX171" s="88" t="n">
        <f aca="false">IF(B171=2026,INDEX($C$23:$Q$23,1,B171-2025)*$AO$4*C171/MAX(0.0001,12-$AO$3),INDEX($C$23:$Q$23,1,B171-2025)/12)</f>
        <v>0.882160182852878</v>
      </c>
      <c r="DY171" s="88" t="n">
        <f aca="false">$AO$6*0</f>
        <v>0</v>
      </c>
      <c r="DZ171" s="88" t="n">
        <f aca="false">DX171+DZ170</f>
        <v>202.771794930779</v>
      </c>
      <c r="EA171" s="88" t="n">
        <f aca="false">DY171+EA170</f>
        <v>121</v>
      </c>
      <c r="EB171" s="88" t="n">
        <f aca="false">MAX(EB170,DZ171-EA171)</f>
        <v>81.7717949307788</v>
      </c>
      <c r="EC171" s="88" t="n">
        <f aca="false">EB171-EB170</f>
        <v>0.882160182852886</v>
      </c>
      <c r="ED171" s="88" t="n">
        <f aca="false">IF(B171=2026,INDEX($C$24:$Q$24,1,B171-2025)*$AO$4*C171/MAX(0.0001,12-$AO$3),INDEX($C$24:$Q$24,1,B171-2025)/12)</f>
        <v>0.54286780483254</v>
      </c>
      <c r="EE171" s="88" t="n">
        <f aca="false">$AO$6*0</f>
        <v>0</v>
      </c>
      <c r="EF171" s="88" t="n">
        <f aca="false">ED171+EF170</f>
        <v>124.782643034325</v>
      </c>
      <c r="EG171" s="88" t="n">
        <f aca="false">EE171+EG170</f>
        <v>0</v>
      </c>
      <c r="EH171" s="88" t="n">
        <f aca="false">MAX(EH170,EF171-EG171)</f>
        <v>124.782643034325</v>
      </c>
      <c r="EI171" s="88" t="n">
        <f aca="false">EH171-EH170</f>
        <v>0.54286780483254</v>
      </c>
      <c r="EJ171" s="88" t="n">
        <f aca="false">IF(B171=2026,INDEX($C$25:$Q$25,1,B171-2025)*$AO$4*C171/MAX(0.0001,12-$AO$3),INDEX($C$25:$Q$25,1,B171-2025)/12)</f>
        <v>0.690922660695961</v>
      </c>
      <c r="EK171" s="88" t="n">
        <f aca="false">$AO$6*0</f>
        <v>0</v>
      </c>
      <c r="EL171" s="88" t="n">
        <f aca="false">EJ171+EL170</f>
        <v>158.814272952777</v>
      </c>
      <c r="EM171" s="88" t="n">
        <f aca="false">EK171+EM170</f>
        <v>14</v>
      </c>
      <c r="EN171" s="88" t="n">
        <f aca="false">MAX(EN170,EL171-EM171)</f>
        <v>144.814272952777</v>
      </c>
      <c r="EO171" s="88" t="n">
        <f aca="false">EN171-EN170</f>
        <v>0.690922660695946</v>
      </c>
      <c r="EP171" s="88" t="n">
        <f aca="false">IF(B171=2026,INDEX($C$26:$Q$26,1,B171-2025)*$AO$4*C171/MAX(0.0001,12-$AO$3),INDEX($C$26:$Q$26,1,B171-2025)/12)</f>
        <v>0.993201324750443</v>
      </c>
      <c r="EQ171" s="88" t="n">
        <f aca="false">$AO$6*0</f>
        <v>0</v>
      </c>
      <c r="ER171" s="88" t="n">
        <f aca="false">EP171+ER170</f>
        <v>228.295517369617</v>
      </c>
      <c r="ES171" s="88" t="n">
        <f aca="false">EQ171+ES170</f>
        <v>4</v>
      </c>
      <c r="ET171" s="88" t="n">
        <f aca="false">MAX(ET170,ER171-ES171)</f>
        <v>224.295517369617</v>
      </c>
      <c r="EU171" s="88" t="n">
        <f aca="false">ET171-ET170</f>
        <v>0.99320132475043</v>
      </c>
      <c r="EV171" s="88" t="n">
        <f aca="false">IF(B171=2026,INDEX($C$27:$Q$27,1,B171-2025)*$AO$4*C171/MAX(0.0001,12-$AO$3),INDEX($C$27:$Q$27,1,B171-2025)/12)</f>
        <v>2.467580931057</v>
      </c>
      <c r="EW171" s="88" t="n">
        <f aca="false">$AO$6*0</f>
        <v>0</v>
      </c>
      <c r="EX171" s="88" t="n">
        <f aca="false">EV171+EX170</f>
        <v>567.193831974206</v>
      </c>
      <c r="EY171" s="88" t="n">
        <f aca="false">EW171+EY170</f>
        <v>391</v>
      </c>
      <c r="EZ171" s="88" t="n">
        <f aca="false">MAX(EZ170,EX171-EY171)</f>
        <v>176.193831974206</v>
      </c>
      <c r="FA171" s="88" t="n">
        <f aca="false">EZ171-EZ170</f>
        <v>2.467580931057</v>
      </c>
      <c r="FB171" s="88" t="n">
        <f aca="false">IF(B171=2026,INDEX($C$28:$Q$28,1,B171-2025)*$AO$4*C171/MAX(0.0001,12-$AO$3),INDEX($C$28:$Q$28,1,B171-2025)/12)</f>
        <v>12.9177861740834</v>
      </c>
      <c r="FC171" s="88" t="n">
        <f aca="false">$AO$6*0</f>
        <v>0</v>
      </c>
      <c r="FD171" s="88" t="n">
        <f aca="false">FB171+FD170</f>
        <v>2969.25971038497</v>
      </c>
      <c r="FE171" s="88" t="n">
        <f aca="false">FC171+FE170</f>
        <v>169</v>
      </c>
      <c r="FF171" s="88" t="n">
        <f aca="false">MAX(FF170,FD171-FE171)</f>
        <v>2800.25971038497</v>
      </c>
      <c r="FG171" s="88" t="n">
        <f aca="false">FF171-FF170</f>
        <v>12.9177861740836</v>
      </c>
    </row>
    <row r="172" customFormat="false" ht="15" hidden="false" customHeight="false" outlineLevel="0" collapsed="false">
      <c r="A172" s="0" t="n">
        <v>132</v>
      </c>
      <c r="B172" s="88" t="n">
        <f aca="false">2026+INT(A172/12)</f>
        <v>2037</v>
      </c>
      <c r="C172" s="88" t="n">
        <f aca="false">MAX(0,MIN(1,A172+1-$AO$3))</f>
        <v>1</v>
      </c>
      <c r="D172" s="88" t="n">
        <f aca="false">IF((A172+0.5-(0))&lt;$AO$3,0,2026+INT((A172+0.5-(0))/12))</f>
        <v>2037</v>
      </c>
      <c r="E172" s="88" t="n">
        <f aca="false">IF((A172+0.5-($AO$9))&lt;$AO$3,0,2026+INT((A172+0.5-($AO$9))/12))</f>
        <v>2035</v>
      </c>
      <c r="F172" s="88" t="n">
        <f aca="false">IF((A172+0.5-($AO$9+$AO$8))&lt;$AO$3,0,2026+INT((A172+0.5-($AO$9+$AO$8))/12))</f>
        <v>2034</v>
      </c>
      <c r="G172" s="88" t="n">
        <f aca="false">IF((A172+0.5-($AO$9+$AO$8+$AO$7))&lt;$AO$3,0,2026+INT((A172+0.5-($AO$9+$AO$8+$AO$7))/12))</f>
        <v>2034</v>
      </c>
      <c r="H172" s="88" t="n">
        <f aca="false">IF(B172=2026,INDEX($C$3:$Q$3,1,B172-2025)*$AO$4*C172/MAX(0.0001,12-$AO$3),INDEX($C$3:$Q$3,1,B172-2025)/12)</f>
        <v>131.166666666667</v>
      </c>
      <c r="I172" s="88" t="n">
        <f aca="false">$AO$6*0</f>
        <v>0</v>
      </c>
      <c r="J172" s="88" t="n">
        <f aca="false">H172+J171</f>
        <v>30529.9200913242</v>
      </c>
      <c r="K172" s="88" t="n">
        <f aca="false">I172+K171</f>
        <v>8695.00000000001</v>
      </c>
      <c r="L172" s="88" t="n">
        <f aca="false">MAX(L171,J172-K172)</f>
        <v>21834.9200913242</v>
      </c>
      <c r="M172" s="88" t="n">
        <f aca="false">L172-L171</f>
        <v>131.166666666664</v>
      </c>
      <c r="N172" s="88" t="n">
        <f aca="false">IF(B172=2026,INDEX($C$4:$Q$4,1,B172-2025)*$AO$4*C172/MAX(0.0001,12-$AO$3),INDEX($C$4:$Q$4,1,B172-2025)/12)</f>
        <v>3.97656100583185</v>
      </c>
      <c r="O172" s="88" t="n">
        <f aca="false">$AO$6*0</f>
        <v>0</v>
      </c>
      <c r="P172" s="88" t="n">
        <f aca="false">N172+P171</f>
        <v>925.571205181618</v>
      </c>
      <c r="Q172" s="88" t="n">
        <f aca="false">O172+Q171</f>
        <v>398</v>
      </c>
      <c r="R172" s="88" t="n">
        <f aca="false">MAX(R171,P172-Q172)</f>
        <v>527.571205181618</v>
      </c>
      <c r="S172" s="88" t="n">
        <f aca="false">R172-R171</f>
        <v>3.97656100583185</v>
      </c>
      <c r="T172" s="88" t="n">
        <f aca="false">IF(B172=2026,INDEX($C$5:$Q$5,1,B172-2025)*$AO$4*C172/MAX(0.0001,12-$AO$3),INDEX($C$5:$Q$5,1,B172-2025)/12)</f>
        <v>16.1621793514627</v>
      </c>
      <c r="U172" s="88" t="n">
        <f aca="false">$AO$6*0</f>
        <v>0</v>
      </c>
      <c r="V172" s="88" t="n">
        <f aca="false">T172+V171</f>
        <v>3761.85548235175</v>
      </c>
      <c r="W172" s="88" t="n">
        <f aca="false">U172+W171</f>
        <v>1115</v>
      </c>
      <c r="X172" s="88" t="n">
        <f aca="false">MAX(X171,V172-W172)</f>
        <v>2646.85548235175</v>
      </c>
      <c r="Y172" s="88" t="n">
        <f aca="false">X172-X171</f>
        <v>16.1621793514623</v>
      </c>
      <c r="Z172" s="88" t="n">
        <f aca="false">IF(B172=2026,INDEX($C$6:$Q$6,1,B172-2025)*$AO$4*C172/MAX(0.0001,12-$AO$3),INDEX($C$6:$Q$6,1,B172-2025)/12)</f>
        <v>19.1751119687993</v>
      </c>
      <c r="AA172" s="88" t="n">
        <f aca="false">$AO$6*0</f>
        <v>0</v>
      </c>
      <c r="AB172" s="88" t="n">
        <f aca="false">Z172+AB171</f>
        <v>4463.13572668086</v>
      </c>
      <c r="AC172" s="88" t="n">
        <f aca="false">AA172+AC171</f>
        <v>2194</v>
      </c>
      <c r="AD172" s="88" t="n">
        <f aca="false">MAX(AD171,AB172-AC172)</f>
        <v>2269.13572668086</v>
      </c>
      <c r="AE172" s="88" t="n">
        <f aca="false">AD172-AD171</f>
        <v>19.1751119687997</v>
      </c>
      <c r="AF172" s="88" t="n">
        <f aca="false">IF(B172=2026,INDEX($C$7:$Q$7,1,B172-2025)*$AO$4*C172/MAX(0.0001,12-$AO$3),INDEX($C$7:$Q$7,1,B172-2025)/12)</f>
        <v>16.6567447720231</v>
      </c>
      <c r="AG172" s="88" t="n">
        <f aca="false">$AO$6*0</f>
        <v>0</v>
      </c>
      <c r="AH172" s="88" t="n">
        <f aca="false">AF172+AH171</f>
        <v>3876.96889609743</v>
      </c>
      <c r="AI172" s="88" t="n">
        <f aca="false">AG172+AI171</f>
        <v>826</v>
      </c>
      <c r="AJ172" s="88" t="n">
        <f aca="false">MAX(AJ171,AH172-AI172)</f>
        <v>3050.96889609743</v>
      </c>
      <c r="AK172" s="88" t="n">
        <f aca="false">AJ172-AJ171</f>
        <v>16.6567447720231</v>
      </c>
      <c r="AL172" s="88" t="n">
        <f aca="false">IF(B172=2026,INDEX($C$8:$Q$8,1,B172-2025)*$AO$4*C172/MAX(0.0001,12-$AO$3),INDEX($C$8:$Q$8,1,B172-2025)/12)</f>
        <v>4.21336949449797</v>
      </c>
      <c r="AM172" s="88" t="n">
        <f aca="false">$AO$6*0</f>
        <v>0</v>
      </c>
      <c r="AN172" s="88" t="n">
        <f aca="false">AL172+AN171</f>
        <v>980.689966827798</v>
      </c>
      <c r="AO172" s="88" t="n">
        <f aca="false">AM172+AO171</f>
        <v>66</v>
      </c>
      <c r="AP172" s="88" t="n">
        <f aca="false">MAX(AP171,AN172-AO172)</f>
        <v>914.689966827798</v>
      </c>
      <c r="AQ172" s="88" t="n">
        <f aca="false">AP172-AP171</f>
        <v>4.21336949449801</v>
      </c>
      <c r="AR172" s="88" t="n">
        <f aca="false">IF(B172=2026,INDEX($C$9:$Q$9,1,B172-2025)*$AO$4*C172/MAX(0.0001,12-$AO$3),INDEX($C$9:$Q$9,1,B172-2025)/12)</f>
        <v>17.9655670728432</v>
      </c>
      <c r="AS172" s="88" t="n">
        <f aca="false">$AO$6*0</f>
        <v>0</v>
      </c>
      <c r="AT172" s="88" t="n">
        <f aca="false">AR172+AT171</f>
        <v>4181.60605181114</v>
      </c>
      <c r="AU172" s="88" t="n">
        <f aca="false">AS172+AU171</f>
        <v>1810</v>
      </c>
      <c r="AV172" s="88" t="n">
        <f aca="false">MAX(AV171,AT172-AU172)</f>
        <v>2371.60605181114</v>
      </c>
      <c r="AW172" s="88" t="n">
        <f aca="false">AV172-AV171</f>
        <v>17.9655670728434</v>
      </c>
      <c r="AX172" s="88" t="n">
        <f aca="false">IF(B172=2026,INDEX($C$10:$Q$10,1,B172-2025)*$AO$4*C172/MAX(0.0001,12-$AO$3),INDEX($C$10:$Q$10,1,B172-2025)/12)</f>
        <v>2.08391470026186</v>
      </c>
      <c r="AY172" s="88" t="n">
        <f aca="false">$AO$6*0</f>
        <v>0</v>
      </c>
      <c r="AZ172" s="88" t="n">
        <f aca="false">AX172+AZ171</f>
        <v>485.045102486381</v>
      </c>
      <c r="BA172" s="88" t="n">
        <f aca="false">AY172+BA171</f>
        <v>50</v>
      </c>
      <c r="BB172" s="88" t="n">
        <f aca="false">MAX(BB171,AZ172-BA172)</f>
        <v>435.045102486381</v>
      </c>
      <c r="BC172" s="88" t="n">
        <f aca="false">BB172-BB171</f>
        <v>2.08391470026186</v>
      </c>
      <c r="BD172" s="88" t="n">
        <f aca="false">IF(B172=2026,INDEX($C$11:$Q$11,1,B172-2025)*$AO$4*C172/MAX(0.0001,12-$AO$3),INDEX($C$11:$Q$11,1,B172-2025)/12)</f>
        <v>10.3558173697453</v>
      </c>
      <c r="BE172" s="88" t="n">
        <f aca="false">$AO$6*0</f>
        <v>0</v>
      </c>
      <c r="BF172" s="88" t="n">
        <f aca="false">BD172+BF171</f>
        <v>2410.38584583486</v>
      </c>
      <c r="BG172" s="88" t="n">
        <f aca="false">BE172+BG171</f>
        <v>240</v>
      </c>
      <c r="BH172" s="88" t="n">
        <f aca="false">MAX(BH171,BF172-BG172)</f>
        <v>2170.38584583486</v>
      </c>
      <c r="BI172" s="88" t="n">
        <f aca="false">BH172-BH171</f>
        <v>10.3558173697452</v>
      </c>
      <c r="BJ172" s="88" t="n">
        <f aca="false">IF(B172=2026,INDEX($C$12:$Q$12,1,B172-2025)*$AO$4*C172/MAX(0.0001,12-$AO$3),INDEX($C$12:$Q$12,1,B172-2025)/12)</f>
        <v>5.67793891670997</v>
      </c>
      <c r="BK172" s="88" t="n">
        <f aca="false">$AO$6*0</f>
        <v>0</v>
      </c>
      <c r="BL172" s="88" t="n">
        <f aca="false">BJ172+BL171</f>
        <v>1321.57830808571</v>
      </c>
      <c r="BM172" s="88" t="n">
        <f aca="false">BK172+BM171</f>
        <v>465</v>
      </c>
      <c r="BN172" s="88" t="n">
        <f aca="false">MAX(BN171,BL172-BM172)</f>
        <v>856.578308085712</v>
      </c>
      <c r="BO172" s="88" t="n">
        <f aca="false">BN172-BN171</f>
        <v>5.67793891670999</v>
      </c>
      <c r="BP172" s="88" t="n">
        <f aca="false">IF(B172=2026,INDEX($C$13:$Q$13,1,B172-2025)*$AO$4*C172/MAX(0.0001,12-$AO$3),INDEX($C$13:$Q$13,1,B172-2025)/12)</f>
        <v>1.77434151195696</v>
      </c>
      <c r="BQ172" s="88" t="n">
        <f aca="false">$AO$6*0</f>
        <v>0</v>
      </c>
      <c r="BR172" s="88" t="n">
        <f aca="false">BP172+BR171</f>
        <v>412.989869693255</v>
      </c>
      <c r="BS172" s="88" t="n">
        <f aca="false">BQ172+BS171</f>
        <v>87</v>
      </c>
      <c r="BT172" s="88" t="n">
        <f aca="false">MAX(BT171,BR172-BS172)</f>
        <v>325.989869693255</v>
      </c>
      <c r="BU172" s="88" t="n">
        <f aca="false">BT172-BT171</f>
        <v>1.77434151195695</v>
      </c>
      <c r="BV172" s="88" t="n">
        <f aca="false">IF(B172=2026,INDEX($C$14:$Q$14,1,B172-2025)*$AO$4*C172/MAX(0.0001,12-$AO$3),INDEX($C$14:$Q$14,1,B172-2025)/12)</f>
        <v>1.05236806916068</v>
      </c>
      <c r="BW172" s="88" t="n">
        <f aca="false">$AO$6*0</f>
        <v>0</v>
      </c>
      <c r="BX172" s="88" t="n">
        <f aca="false">BV172+BX171</f>
        <v>244.945715818069</v>
      </c>
      <c r="BY172" s="88" t="n">
        <f aca="false">BW172+BY171</f>
        <v>0</v>
      </c>
      <c r="BZ172" s="88" t="n">
        <f aca="false">MAX(BZ171,BX172-BY172)</f>
        <v>244.945715818069</v>
      </c>
      <c r="CA172" s="88" t="n">
        <f aca="false">BZ172-BZ171</f>
        <v>1.05236806916068</v>
      </c>
      <c r="CB172" s="88" t="n">
        <f aca="false">IF(B172=2026,INDEX($C$15:$Q$15,1,B172-2025)*$AO$4*C172/MAX(0.0001,12-$AO$3),INDEX($C$15:$Q$15,1,B172-2025)/12)</f>
        <v>1.72539415990298</v>
      </c>
      <c r="CC172" s="88" t="n">
        <f aca="false">$AO$6*0</f>
        <v>0</v>
      </c>
      <c r="CD172" s="88" t="n">
        <f aca="false">CB172+CD171</f>
        <v>401.597045701717</v>
      </c>
      <c r="CE172" s="88" t="n">
        <f aca="false">CC172+CE171</f>
        <v>88.0000000000001</v>
      </c>
      <c r="CF172" s="88" t="n">
        <f aca="false">MAX(CF171,CD172-CE172)</f>
        <v>313.597045701717</v>
      </c>
      <c r="CG172" s="88" t="n">
        <f aca="false">CF172-CF171</f>
        <v>1.72539415990298</v>
      </c>
      <c r="CH172" s="88" t="n">
        <f aca="false">IF(B172=2026,INDEX($C$16:$Q$16,1,B172-2025)*$AO$4*C172/MAX(0.0001,12-$AO$3),INDEX($C$16:$Q$16,1,B172-2025)/12)</f>
        <v>1.36440743850484</v>
      </c>
      <c r="CI172" s="88" t="n">
        <f aca="false">$AO$6*0</f>
        <v>0</v>
      </c>
      <c r="CJ172" s="88" t="n">
        <f aca="false">CH172+CJ171</f>
        <v>317.574968764124</v>
      </c>
      <c r="CK172" s="88" t="n">
        <f aca="false">CI172+CK171</f>
        <v>70</v>
      </c>
      <c r="CL172" s="88" t="n">
        <f aca="false">MAX(CL171,CJ172-CK172)</f>
        <v>247.574968764124</v>
      </c>
      <c r="CM172" s="88" t="n">
        <f aca="false">CL172-CL171</f>
        <v>1.36440743850483</v>
      </c>
      <c r="CN172" s="88" t="n">
        <f aca="false">IF(B172=2026,INDEX($C$17:$Q$17,1,B172-2025)*$AO$4*C172/MAX(0.0001,12-$AO$3),INDEX($C$17:$Q$17,1,B172-2025)/12)</f>
        <v>5.94098485555245</v>
      </c>
      <c r="CO172" s="88" t="n">
        <f aca="false">$AO$6*0</f>
        <v>0</v>
      </c>
      <c r="CP172" s="88" t="n">
        <f aca="false">CN172+CP171</f>
        <v>1382.80401197294</v>
      </c>
      <c r="CQ172" s="88" t="n">
        <f aca="false">CO172+CQ171</f>
        <v>221</v>
      </c>
      <c r="CR172" s="88" t="n">
        <f aca="false">MAX(CR171,CP172-CQ172)</f>
        <v>1161.80401197294</v>
      </c>
      <c r="CS172" s="88" t="n">
        <f aca="false">CR172-CR171</f>
        <v>5.94098485555242</v>
      </c>
      <c r="CT172" s="88" t="n">
        <f aca="false">IF(B172=2026,INDEX($C$18:$Q$18,1,B172-2025)*$AO$4*C172/MAX(0.0001,12-$AO$3),INDEX($C$18:$Q$18,1,B172-2025)/12)</f>
        <v>1.23592063936312</v>
      </c>
      <c r="CU172" s="88" t="n">
        <f aca="false">$AO$6*0</f>
        <v>0</v>
      </c>
      <c r="CV172" s="88" t="n">
        <f aca="false">CT172+CV171</f>
        <v>287.668805786337</v>
      </c>
      <c r="CW172" s="88" t="n">
        <f aca="false">CU172+CW171</f>
        <v>11</v>
      </c>
      <c r="CX172" s="88" t="n">
        <f aca="false">MAX(CX171,CV172-CW172)</f>
        <v>276.668805786337</v>
      </c>
      <c r="CY172" s="88" t="n">
        <f aca="false">CX172-CX171</f>
        <v>1.23592063936314</v>
      </c>
      <c r="CZ172" s="88" t="n">
        <f aca="false">IF(B172=2026,INDEX($C$19:$Q$19,1,B172-2025)*$AO$4*C172/MAX(0.0001,12-$AO$3),INDEX($C$19:$Q$19,1,B172-2025)/12)</f>
        <v>1.22368380134963</v>
      </c>
      <c r="DA172" s="88" t="n">
        <f aca="false">$AO$6*0</f>
        <v>0</v>
      </c>
      <c r="DB172" s="88" t="n">
        <f aca="false">CZ172+DB171</f>
        <v>284.820599788453</v>
      </c>
      <c r="DC172" s="88" t="n">
        <f aca="false">DA172+DC171</f>
        <v>226</v>
      </c>
      <c r="DD172" s="88" t="n">
        <f aca="false">MAX(DD171,DB172-DC172)</f>
        <v>58.8205997884529</v>
      </c>
      <c r="DE172" s="88" t="n">
        <f aca="false">DD172-DD171</f>
        <v>1.22368380134964</v>
      </c>
      <c r="DF172" s="88" t="n">
        <f aca="false">IF(B172=2026,INDEX($C$20:$Q$20,1,B172-2025)*$AO$4*C172/MAX(0.0001,12-$AO$3),INDEX($C$20:$Q$20,1,B172-2025)/12)</f>
        <v>0.997302298099947</v>
      </c>
      <c r="DG172" s="88" t="n">
        <f aca="false">$AO$6*0</f>
        <v>0</v>
      </c>
      <c r="DH172" s="88" t="n">
        <f aca="false">DF172+DH171</f>
        <v>232.128788827589</v>
      </c>
      <c r="DI172" s="88" t="n">
        <f aca="false">DG172+DI171</f>
        <v>0</v>
      </c>
      <c r="DJ172" s="88" t="n">
        <f aca="false">MAX(DJ171,DH172-DI172)</f>
        <v>232.128788827589</v>
      </c>
      <c r="DK172" s="88" t="n">
        <f aca="false">DJ172-DJ171</f>
        <v>0.997302298099953</v>
      </c>
      <c r="DL172" s="88" t="n">
        <f aca="false">IF(B172=2026,INDEX($C$21:$Q$21,1,B172-2025)*$AO$4*C172/MAX(0.0001,12-$AO$3),INDEX($C$21:$Q$21,1,B172-2025)/12)</f>
        <v>0.697499766769288</v>
      </c>
      <c r="DM172" s="88" t="n">
        <f aca="false">$AO$6*0</f>
        <v>0</v>
      </c>
      <c r="DN172" s="88" t="n">
        <f aca="false">DL172+DN171</f>
        <v>162.347741879418</v>
      </c>
      <c r="DO172" s="88" t="n">
        <f aca="false">DM172+DO171</f>
        <v>100</v>
      </c>
      <c r="DP172" s="88" t="n">
        <f aca="false">MAX(DP171,DN172-DO172)</f>
        <v>62.3477418794178</v>
      </c>
      <c r="DQ172" s="88" t="n">
        <f aca="false">DP172-DP171</f>
        <v>0.697499766769283</v>
      </c>
      <c r="DR172" s="88" t="n">
        <f aca="false">IF(B172=2026,INDEX($C$22:$Q$22,1,B172-2025)*$AO$4*C172/MAX(0.0001,12-$AO$3),INDEX($C$22:$Q$22,1,B172-2025)/12)</f>
        <v>0.544539291600585</v>
      </c>
      <c r="DS172" s="88" t="n">
        <f aca="false">$AO$6*0</f>
        <v>0</v>
      </c>
      <c r="DT172" s="88" t="n">
        <f aca="false">DR172+DT171</f>
        <v>126.745166905861</v>
      </c>
      <c r="DU172" s="88" t="n">
        <f aca="false">DS172+DU171</f>
        <v>29</v>
      </c>
      <c r="DV172" s="88" t="n">
        <f aca="false">MAX(DV171,DT172-DU172)</f>
        <v>97.7451669058615</v>
      </c>
      <c r="DW172" s="88" t="n">
        <f aca="false">DV172-DV171</f>
        <v>0.544539291600586</v>
      </c>
      <c r="DX172" s="88" t="n">
        <f aca="false">IF(B172=2026,INDEX($C$23:$Q$23,1,B172-2025)*$AO$4*C172/MAX(0.0001,12-$AO$3),INDEX($C$23:$Q$23,1,B172-2025)/12)</f>
        <v>0.874933917964984</v>
      </c>
      <c r="DY172" s="88" t="n">
        <f aca="false">$AO$6*0</f>
        <v>0</v>
      </c>
      <c r="DZ172" s="88" t="n">
        <f aca="false">DX172+DZ171</f>
        <v>203.646728848744</v>
      </c>
      <c r="EA172" s="88" t="n">
        <f aca="false">DY172+EA171</f>
        <v>121</v>
      </c>
      <c r="EB172" s="88" t="n">
        <f aca="false">MAX(EB171,DZ172-EA172)</f>
        <v>82.6467288487438</v>
      </c>
      <c r="EC172" s="88" t="n">
        <f aca="false">EB172-EB171</f>
        <v>0.874933917964995</v>
      </c>
      <c r="ED172" s="88" t="n">
        <f aca="false">IF(B172=2026,INDEX($C$24:$Q$24,1,B172-2025)*$AO$4*C172/MAX(0.0001,12-$AO$3),INDEX($C$24:$Q$24,1,B172-2025)/12)</f>
        <v>0.538420872593837</v>
      </c>
      <c r="EE172" s="88" t="n">
        <f aca="false">$AO$6*0</f>
        <v>0</v>
      </c>
      <c r="EF172" s="88" t="n">
        <f aca="false">ED172+EF171</f>
        <v>125.321063906919</v>
      </c>
      <c r="EG172" s="88" t="n">
        <f aca="false">EE172+EG171</f>
        <v>0</v>
      </c>
      <c r="EH172" s="88" t="n">
        <f aca="false">MAX(EH171,EF172-EG172)</f>
        <v>125.321063906919</v>
      </c>
      <c r="EI172" s="88" t="n">
        <f aca="false">EH172-EH171</f>
        <v>0.538420872593832</v>
      </c>
      <c r="EJ172" s="88" t="n">
        <f aca="false">IF(B172=2026,INDEX($C$25:$Q$25,1,B172-2025)*$AO$4*C172/MAX(0.0001,12-$AO$3),INDEX($C$25:$Q$25,1,B172-2025)/12)</f>
        <v>0.685262928755792</v>
      </c>
      <c r="EK172" s="88" t="n">
        <f aca="false">$AO$6*0</f>
        <v>0</v>
      </c>
      <c r="EL172" s="88" t="n">
        <f aca="false">EJ172+EL171</f>
        <v>159.499535881533</v>
      </c>
      <c r="EM172" s="88" t="n">
        <f aca="false">EK172+EM171</f>
        <v>14</v>
      </c>
      <c r="EN172" s="88" t="n">
        <f aca="false">MAX(EN171,EL172-EM172)</f>
        <v>145.499535881533</v>
      </c>
      <c r="EO172" s="88" t="n">
        <f aca="false">EN172-EN171</f>
        <v>0.685262928755805</v>
      </c>
      <c r="EP172" s="88" t="n">
        <f aca="false">IF(B172=2026,INDEX($C$26:$Q$26,1,B172-2025)*$AO$4*C172/MAX(0.0001,12-$AO$3),INDEX($C$26:$Q$26,1,B172-2025)/12)</f>
        <v>0.985065460086451</v>
      </c>
      <c r="EQ172" s="88" t="n">
        <f aca="false">$AO$6*0</f>
        <v>0</v>
      </c>
      <c r="ER172" s="88" t="n">
        <f aca="false">EP172+ER171</f>
        <v>229.280582829703</v>
      </c>
      <c r="ES172" s="88" t="n">
        <f aca="false">EQ172+ES171</f>
        <v>4</v>
      </c>
      <c r="ET172" s="88" t="n">
        <f aca="false">MAX(ET171,ER172-ES172)</f>
        <v>225.280582829703</v>
      </c>
      <c r="EU172" s="88" t="n">
        <f aca="false">ET172-ET171</f>
        <v>0.985065460086446</v>
      </c>
      <c r="EV172" s="88" t="n">
        <f aca="false">IF(B172=2026,INDEX($C$27:$Q$27,1,B172-2025)*$AO$4*C172/MAX(0.0001,12-$AO$3),INDEX($C$27:$Q$27,1,B172-2025)/12)</f>
        <v>2.44736760269926</v>
      </c>
      <c r="EW172" s="88" t="n">
        <f aca="false">$AO$6*0</f>
        <v>0</v>
      </c>
      <c r="EX172" s="88" t="n">
        <f aca="false">EV172+EX171</f>
        <v>569.641199576906</v>
      </c>
      <c r="EY172" s="88" t="n">
        <f aca="false">EW172+EY171</f>
        <v>391</v>
      </c>
      <c r="EZ172" s="88" t="n">
        <f aca="false">MAX(EZ171,EX172-EY172)</f>
        <v>178.641199576905</v>
      </c>
      <c r="FA172" s="88" t="n">
        <f aca="false">EZ172-EZ171</f>
        <v>2.44736760269927</v>
      </c>
      <c r="FB172" s="88" t="n">
        <f aca="false">IF(B172=2026,INDEX($C$28:$Q$28,1,B172-2025)*$AO$4*C172/MAX(0.0001,12-$AO$3),INDEX($C$28:$Q$28,1,B172-2025)/12)</f>
        <v>12.8119694001306</v>
      </c>
      <c r="FC172" s="88" t="n">
        <f aca="false">$AO$6*0</f>
        <v>0</v>
      </c>
      <c r="FD172" s="88" t="n">
        <f aca="false">FB172+FD171</f>
        <v>2982.0716797851</v>
      </c>
      <c r="FE172" s="88" t="n">
        <f aca="false">FC172+FE171</f>
        <v>169</v>
      </c>
      <c r="FF172" s="88" t="n">
        <f aca="false">MAX(FF171,FD172-FE172)</f>
        <v>2813.0716797851</v>
      </c>
      <c r="FG172" s="88" t="n">
        <f aca="false">FF172-FF171</f>
        <v>12.8119694001307</v>
      </c>
    </row>
    <row r="173" customFormat="false" ht="15" hidden="false" customHeight="false" outlineLevel="0" collapsed="false">
      <c r="A173" s="0" t="n">
        <v>133</v>
      </c>
      <c r="B173" s="88" t="n">
        <f aca="false">2026+INT(A173/12)</f>
        <v>2037</v>
      </c>
      <c r="C173" s="88" t="n">
        <f aca="false">MAX(0,MIN(1,A173+1-$AO$3))</f>
        <v>1</v>
      </c>
      <c r="D173" s="88" t="n">
        <f aca="false">IF((A173+0.5-(0))&lt;$AO$3,0,2026+INT((A173+0.5-(0))/12))</f>
        <v>2037</v>
      </c>
      <c r="E173" s="88" t="n">
        <f aca="false">IF((A173+0.5-($AO$9))&lt;$AO$3,0,2026+INT((A173+0.5-($AO$9))/12))</f>
        <v>2035</v>
      </c>
      <c r="F173" s="88" t="n">
        <f aca="false">IF((A173+0.5-($AO$9+$AO$8))&lt;$AO$3,0,2026+INT((A173+0.5-($AO$9+$AO$8))/12))</f>
        <v>2034</v>
      </c>
      <c r="G173" s="88" t="n">
        <f aca="false">IF((A173+0.5-($AO$9+$AO$8+$AO$7))&lt;$AO$3,0,2026+INT((A173+0.5-($AO$9+$AO$8+$AO$7))/12))</f>
        <v>2034</v>
      </c>
      <c r="H173" s="88" t="n">
        <f aca="false">IF(B173=2026,INDEX($C$3:$Q$3,1,B173-2025)*$AO$4*C173/MAX(0.0001,12-$AO$3),INDEX($C$3:$Q$3,1,B173-2025)/12)</f>
        <v>131.166666666667</v>
      </c>
      <c r="I173" s="88" t="n">
        <f aca="false">$AO$6*0</f>
        <v>0</v>
      </c>
      <c r="J173" s="88" t="n">
        <f aca="false">H173+J172</f>
        <v>30661.0867579909</v>
      </c>
      <c r="K173" s="88" t="n">
        <f aca="false">I173+K172</f>
        <v>8695.00000000001</v>
      </c>
      <c r="L173" s="88" t="n">
        <f aca="false">MAX(L172,J173-K173)</f>
        <v>21966.0867579909</v>
      </c>
      <c r="M173" s="88" t="n">
        <f aca="false">L173-L172</f>
        <v>131.166666666672</v>
      </c>
      <c r="N173" s="88" t="n">
        <f aca="false">IF(B173=2026,INDEX($C$4:$Q$4,1,B173-2025)*$AO$4*C173/MAX(0.0001,12-$AO$3),INDEX($C$4:$Q$4,1,B173-2025)/12)</f>
        <v>3.97656100583185</v>
      </c>
      <c r="O173" s="88" t="n">
        <f aca="false">$AO$6*0</f>
        <v>0</v>
      </c>
      <c r="P173" s="88" t="n">
        <f aca="false">N173+P172</f>
        <v>929.54776618745</v>
      </c>
      <c r="Q173" s="88" t="n">
        <f aca="false">O173+Q172</f>
        <v>398</v>
      </c>
      <c r="R173" s="88" t="n">
        <f aca="false">MAX(R172,P173-Q173)</f>
        <v>531.54776618745</v>
      </c>
      <c r="S173" s="88" t="n">
        <f aca="false">R173-R172</f>
        <v>3.97656100583185</v>
      </c>
      <c r="T173" s="88" t="n">
        <f aca="false">IF(B173=2026,INDEX($C$5:$Q$5,1,B173-2025)*$AO$4*C173/MAX(0.0001,12-$AO$3),INDEX($C$5:$Q$5,1,B173-2025)/12)</f>
        <v>16.1621793514627</v>
      </c>
      <c r="U173" s="88" t="n">
        <f aca="false">$AO$6*0</f>
        <v>0</v>
      </c>
      <c r="V173" s="88" t="n">
        <f aca="false">T173+V172</f>
        <v>3778.01766170321</v>
      </c>
      <c r="W173" s="88" t="n">
        <f aca="false">U173+W172</f>
        <v>1115</v>
      </c>
      <c r="X173" s="88" t="n">
        <f aca="false">MAX(X172,V173-W173)</f>
        <v>2663.01766170321</v>
      </c>
      <c r="Y173" s="88" t="n">
        <f aca="false">X173-X172</f>
        <v>16.1621793514632</v>
      </c>
      <c r="Z173" s="88" t="n">
        <f aca="false">IF(B173=2026,INDEX($C$6:$Q$6,1,B173-2025)*$AO$4*C173/MAX(0.0001,12-$AO$3),INDEX($C$6:$Q$6,1,B173-2025)/12)</f>
        <v>19.1751119687993</v>
      </c>
      <c r="AA173" s="88" t="n">
        <f aca="false">$AO$6*0</f>
        <v>0</v>
      </c>
      <c r="AB173" s="88" t="n">
        <f aca="false">Z173+AB172</f>
        <v>4482.31083864966</v>
      </c>
      <c r="AC173" s="88" t="n">
        <f aca="false">AA173+AC172</f>
        <v>2194</v>
      </c>
      <c r="AD173" s="88" t="n">
        <f aca="false">MAX(AD172,AB173-AC173)</f>
        <v>2288.31083864966</v>
      </c>
      <c r="AE173" s="88" t="n">
        <f aca="false">AD173-AD172</f>
        <v>19.1751119687997</v>
      </c>
      <c r="AF173" s="88" t="n">
        <f aca="false">IF(B173=2026,INDEX($C$7:$Q$7,1,B173-2025)*$AO$4*C173/MAX(0.0001,12-$AO$3),INDEX($C$7:$Q$7,1,B173-2025)/12)</f>
        <v>16.6567447720231</v>
      </c>
      <c r="AG173" s="88" t="n">
        <f aca="false">$AO$6*0</f>
        <v>0</v>
      </c>
      <c r="AH173" s="88" t="n">
        <f aca="false">AF173+AH172</f>
        <v>3893.62564086945</v>
      </c>
      <c r="AI173" s="88" t="n">
        <f aca="false">AG173+AI172</f>
        <v>826</v>
      </c>
      <c r="AJ173" s="88" t="n">
        <f aca="false">MAX(AJ172,AH173-AI173)</f>
        <v>3067.62564086945</v>
      </c>
      <c r="AK173" s="88" t="n">
        <f aca="false">AJ173-AJ172</f>
        <v>16.6567447720231</v>
      </c>
      <c r="AL173" s="88" t="n">
        <f aca="false">IF(B173=2026,INDEX($C$8:$Q$8,1,B173-2025)*$AO$4*C173/MAX(0.0001,12-$AO$3),INDEX($C$8:$Q$8,1,B173-2025)/12)</f>
        <v>4.21336949449797</v>
      </c>
      <c r="AM173" s="88" t="n">
        <f aca="false">$AO$6*0</f>
        <v>0</v>
      </c>
      <c r="AN173" s="88" t="n">
        <f aca="false">AL173+AN172</f>
        <v>984.903336322296</v>
      </c>
      <c r="AO173" s="88" t="n">
        <f aca="false">AM173+AO172</f>
        <v>66</v>
      </c>
      <c r="AP173" s="88" t="n">
        <f aca="false">MAX(AP172,AN173-AO173)</f>
        <v>918.903336322296</v>
      </c>
      <c r="AQ173" s="88" t="n">
        <f aca="false">AP173-AP172</f>
        <v>4.21336949449801</v>
      </c>
      <c r="AR173" s="88" t="n">
        <f aca="false">IF(B173=2026,INDEX($C$9:$Q$9,1,B173-2025)*$AO$4*C173/MAX(0.0001,12-$AO$3),INDEX($C$9:$Q$9,1,B173-2025)/12)</f>
        <v>17.9655670728432</v>
      </c>
      <c r="AS173" s="88" t="n">
        <f aca="false">$AO$6*0</f>
        <v>0</v>
      </c>
      <c r="AT173" s="88" t="n">
        <f aca="false">AR173+AT172</f>
        <v>4199.57161888399</v>
      </c>
      <c r="AU173" s="88" t="n">
        <f aca="false">AS173+AU172</f>
        <v>1810</v>
      </c>
      <c r="AV173" s="88" t="n">
        <f aca="false">MAX(AV172,AT173-AU173)</f>
        <v>2389.57161888399</v>
      </c>
      <c r="AW173" s="88" t="n">
        <f aca="false">AV173-AV172</f>
        <v>17.9655670728434</v>
      </c>
      <c r="AX173" s="88" t="n">
        <f aca="false">IF(B173=2026,INDEX($C$10:$Q$10,1,B173-2025)*$AO$4*C173/MAX(0.0001,12-$AO$3),INDEX($C$10:$Q$10,1,B173-2025)/12)</f>
        <v>2.08391470026186</v>
      </c>
      <c r="AY173" s="88" t="n">
        <f aca="false">$AO$6*0</f>
        <v>0</v>
      </c>
      <c r="AZ173" s="88" t="n">
        <f aca="false">AX173+AZ172</f>
        <v>487.129017186642</v>
      </c>
      <c r="BA173" s="88" t="n">
        <f aca="false">AY173+BA172</f>
        <v>50</v>
      </c>
      <c r="BB173" s="88" t="n">
        <f aca="false">MAX(BB172,AZ173-BA173)</f>
        <v>437.129017186642</v>
      </c>
      <c r="BC173" s="88" t="n">
        <f aca="false">BB173-BB172</f>
        <v>2.08391470026186</v>
      </c>
      <c r="BD173" s="88" t="n">
        <f aca="false">IF(B173=2026,INDEX($C$11:$Q$11,1,B173-2025)*$AO$4*C173/MAX(0.0001,12-$AO$3),INDEX($C$11:$Q$11,1,B173-2025)/12)</f>
        <v>10.3558173697453</v>
      </c>
      <c r="BE173" s="88" t="n">
        <f aca="false">$AO$6*0</f>
        <v>0</v>
      </c>
      <c r="BF173" s="88" t="n">
        <f aca="false">BD173+BF172</f>
        <v>2420.7416632046</v>
      </c>
      <c r="BG173" s="88" t="n">
        <f aca="false">BE173+BG172</f>
        <v>240</v>
      </c>
      <c r="BH173" s="88" t="n">
        <f aca="false">MAX(BH172,BF173-BG173)</f>
        <v>2180.7416632046</v>
      </c>
      <c r="BI173" s="88" t="n">
        <f aca="false">BH173-BH172</f>
        <v>10.3558173697452</v>
      </c>
      <c r="BJ173" s="88" t="n">
        <f aca="false">IF(B173=2026,INDEX($C$12:$Q$12,1,B173-2025)*$AO$4*C173/MAX(0.0001,12-$AO$3),INDEX($C$12:$Q$12,1,B173-2025)/12)</f>
        <v>5.67793891670997</v>
      </c>
      <c r="BK173" s="88" t="n">
        <f aca="false">$AO$6*0</f>
        <v>0</v>
      </c>
      <c r="BL173" s="88" t="n">
        <f aca="false">BJ173+BL172</f>
        <v>1327.25624700242</v>
      </c>
      <c r="BM173" s="88" t="n">
        <f aca="false">BK173+BM172</f>
        <v>465</v>
      </c>
      <c r="BN173" s="88" t="n">
        <f aca="false">MAX(BN172,BL173-BM173)</f>
        <v>862.256247002421</v>
      </c>
      <c r="BO173" s="88" t="n">
        <f aca="false">BN173-BN172</f>
        <v>5.67793891670999</v>
      </c>
      <c r="BP173" s="88" t="n">
        <f aca="false">IF(B173=2026,INDEX($C$13:$Q$13,1,B173-2025)*$AO$4*C173/MAX(0.0001,12-$AO$3),INDEX($C$13:$Q$13,1,B173-2025)/12)</f>
        <v>1.77434151195696</v>
      </c>
      <c r="BQ173" s="88" t="n">
        <f aca="false">$AO$6*0</f>
        <v>0</v>
      </c>
      <c r="BR173" s="88" t="n">
        <f aca="false">BP173+BR172</f>
        <v>414.764211205212</v>
      </c>
      <c r="BS173" s="88" t="n">
        <f aca="false">BQ173+BS172</f>
        <v>87</v>
      </c>
      <c r="BT173" s="88" t="n">
        <f aca="false">MAX(BT172,BR173-BS173)</f>
        <v>327.764211205212</v>
      </c>
      <c r="BU173" s="88" t="n">
        <f aca="false">BT173-BT172</f>
        <v>1.77434151195695</v>
      </c>
      <c r="BV173" s="88" t="n">
        <f aca="false">IF(B173=2026,INDEX($C$14:$Q$14,1,B173-2025)*$AO$4*C173/MAX(0.0001,12-$AO$3),INDEX($C$14:$Q$14,1,B173-2025)/12)</f>
        <v>1.05236806916068</v>
      </c>
      <c r="BW173" s="88" t="n">
        <f aca="false">$AO$6*0</f>
        <v>0</v>
      </c>
      <c r="BX173" s="88" t="n">
        <f aca="false">BV173+BX172</f>
        <v>245.99808388723</v>
      </c>
      <c r="BY173" s="88" t="n">
        <f aca="false">BW173+BY172</f>
        <v>0</v>
      </c>
      <c r="BZ173" s="88" t="n">
        <f aca="false">MAX(BZ172,BX173-BY173)</f>
        <v>245.99808388723</v>
      </c>
      <c r="CA173" s="88" t="n">
        <f aca="false">BZ173-BZ172</f>
        <v>1.05236806916068</v>
      </c>
      <c r="CB173" s="88" t="n">
        <f aca="false">IF(B173=2026,INDEX($C$15:$Q$15,1,B173-2025)*$AO$4*C173/MAX(0.0001,12-$AO$3),INDEX($C$15:$Q$15,1,B173-2025)/12)</f>
        <v>1.72539415990298</v>
      </c>
      <c r="CC173" s="88" t="n">
        <f aca="false">$AO$6*0</f>
        <v>0</v>
      </c>
      <c r="CD173" s="88" t="n">
        <f aca="false">CB173+CD172</f>
        <v>403.32243986162</v>
      </c>
      <c r="CE173" s="88" t="n">
        <f aca="false">CC173+CE172</f>
        <v>88.0000000000001</v>
      </c>
      <c r="CF173" s="88" t="n">
        <f aca="false">MAX(CF172,CD173-CE173)</f>
        <v>315.32243986162</v>
      </c>
      <c r="CG173" s="88" t="n">
        <f aca="false">CF173-CF172</f>
        <v>1.72539415990298</v>
      </c>
      <c r="CH173" s="88" t="n">
        <f aca="false">IF(B173=2026,INDEX($C$16:$Q$16,1,B173-2025)*$AO$4*C173/MAX(0.0001,12-$AO$3),INDEX($C$16:$Q$16,1,B173-2025)/12)</f>
        <v>1.36440743850484</v>
      </c>
      <c r="CI173" s="88" t="n">
        <f aca="false">$AO$6*0</f>
        <v>0</v>
      </c>
      <c r="CJ173" s="88" t="n">
        <f aca="false">CH173+CJ172</f>
        <v>318.939376202629</v>
      </c>
      <c r="CK173" s="88" t="n">
        <f aca="false">CI173+CK172</f>
        <v>70</v>
      </c>
      <c r="CL173" s="88" t="n">
        <f aca="false">MAX(CL172,CJ173-CK173)</f>
        <v>248.939376202629</v>
      </c>
      <c r="CM173" s="88" t="n">
        <f aca="false">CL173-CL172</f>
        <v>1.36440743850483</v>
      </c>
      <c r="CN173" s="88" t="n">
        <f aca="false">IF(B173=2026,INDEX($C$17:$Q$17,1,B173-2025)*$AO$4*C173/MAX(0.0001,12-$AO$3),INDEX($C$17:$Q$17,1,B173-2025)/12)</f>
        <v>5.94098485555245</v>
      </c>
      <c r="CO173" s="88" t="n">
        <f aca="false">$AO$6*0</f>
        <v>0</v>
      </c>
      <c r="CP173" s="88" t="n">
        <f aca="false">CN173+CP172</f>
        <v>1388.74499682849</v>
      </c>
      <c r="CQ173" s="88" t="n">
        <f aca="false">CO173+CQ172</f>
        <v>221</v>
      </c>
      <c r="CR173" s="88" t="n">
        <f aca="false">MAX(CR172,CP173-CQ173)</f>
        <v>1167.74499682849</v>
      </c>
      <c r="CS173" s="88" t="n">
        <f aca="false">CR173-CR172</f>
        <v>5.94098485555242</v>
      </c>
      <c r="CT173" s="88" t="n">
        <f aca="false">IF(B173=2026,INDEX($C$18:$Q$18,1,B173-2025)*$AO$4*C173/MAX(0.0001,12-$AO$3),INDEX($C$18:$Q$18,1,B173-2025)/12)</f>
        <v>1.23592063936312</v>
      </c>
      <c r="CU173" s="88" t="n">
        <f aca="false">$AO$6*0</f>
        <v>0</v>
      </c>
      <c r="CV173" s="88" t="n">
        <f aca="false">CT173+CV172</f>
        <v>288.9047264257</v>
      </c>
      <c r="CW173" s="88" t="n">
        <f aca="false">CU173+CW172</f>
        <v>11</v>
      </c>
      <c r="CX173" s="88" t="n">
        <f aca="false">MAX(CX172,CV173-CW173)</f>
        <v>277.9047264257</v>
      </c>
      <c r="CY173" s="88" t="n">
        <f aca="false">CX173-CX172</f>
        <v>1.23592063936314</v>
      </c>
      <c r="CZ173" s="88" t="n">
        <f aca="false">IF(B173=2026,INDEX($C$19:$Q$19,1,B173-2025)*$AO$4*C173/MAX(0.0001,12-$AO$3),INDEX($C$19:$Q$19,1,B173-2025)/12)</f>
        <v>1.22368380134963</v>
      </c>
      <c r="DA173" s="88" t="n">
        <f aca="false">$AO$6*0</f>
        <v>0</v>
      </c>
      <c r="DB173" s="88" t="n">
        <f aca="false">CZ173+DB172</f>
        <v>286.044283589802</v>
      </c>
      <c r="DC173" s="88" t="n">
        <f aca="false">DA173+DC172</f>
        <v>226</v>
      </c>
      <c r="DD173" s="88" t="n">
        <f aca="false">MAX(DD172,DB173-DC173)</f>
        <v>60.0442835898026</v>
      </c>
      <c r="DE173" s="88" t="n">
        <f aca="false">DD173-DD172</f>
        <v>1.22368380134964</v>
      </c>
      <c r="DF173" s="88" t="n">
        <f aca="false">IF(B173=2026,INDEX($C$20:$Q$20,1,B173-2025)*$AO$4*C173/MAX(0.0001,12-$AO$3),INDEX($C$20:$Q$20,1,B173-2025)/12)</f>
        <v>0.997302298099947</v>
      </c>
      <c r="DG173" s="88" t="n">
        <f aca="false">$AO$6*0</f>
        <v>0</v>
      </c>
      <c r="DH173" s="88" t="n">
        <f aca="false">DF173+DH172</f>
        <v>233.126091125689</v>
      </c>
      <c r="DI173" s="88" t="n">
        <f aca="false">DG173+DI172</f>
        <v>0</v>
      </c>
      <c r="DJ173" s="88" t="n">
        <f aca="false">MAX(DJ172,DH173-DI173)</f>
        <v>233.126091125689</v>
      </c>
      <c r="DK173" s="88" t="n">
        <f aca="false">DJ173-DJ172</f>
        <v>0.997302298099953</v>
      </c>
      <c r="DL173" s="88" t="n">
        <f aca="false">IF(B173=2026,INDEX($C$21:$Q$21,1,B173-2025)*$AO$4*C173/MAX(0.0001,12-$AO$3),INDEX($C$21:$Q$21,1,B173-2025)/12)</f>
        <v>0.697499766769288</v>
      </c>
      <c r="DM173" s="88" t="n">
        <f aca="false">$AO$6*0</f>
        <v>0</v>
      </c>
      <c r="DN173" s="88" t="n">
        <f aca="false">DL173+DN172</f>
        <v>163.045241646187</v>
      </c>
      <c r="DO173" s="88" t="n">
        <f aca="false">DM173+DO172</f>
        <v>100</v>
      </c>
      <c r="DP173" s="88" t="n">
        <f aca="false">MAX(DP172,DN173-DO173)</f>
        <v>63.0452416461871</v>
      </c>
      <c r="DQ173" s="88" t="n">
        <f aca="false">DP173-DP172</f>
        <v>0.697499766769283</v>
      </c>
      <c r="DR173" s="88" t="n">
        <f aca="false">IF(B173=2026,INDEX($C$22:$Q$22,1,B173-2025)*$AO$4*C173/MAX(0.0001,12-$AO$3),INDEX($C$22:$Q$22,1,B173-2025)/12)</f>
        <v>0.544539291600585</v>
      </c>
      <c r="DS173" s="88" t="n">
        <f aca="false">$AO$6*0</f>
        <v>0</v>
      </c>
      <c r="DT173" s="88" t="n">
        <f aca="false">DR173+DT172</f>
        <v>127.289706197462</v>
      </c>
      <c r="DU173" s="88" t="n">
        <f aca="false">DS173+DU172</f>
        <v>29</v>
      </c>
      <c r="DV173" s="88" t="n">
        <f aca="false">MAX(DV172,DT173-DU173)</f>
        <v>98.289706197462</v>
      </c>
      <c r="DW173" s="88" t="n">
        <f aca="false">DV173-DV172</f>
        <v>0.544539291600586</v>
      </c>
      <c r="DX173" s="88" t="n">
        <f aca="false">IF(B173=2026,INDEX($C$23:$Q$23,1,B173-2025)*$AO$4*C173/MAX(0.0001,12-$AO$3),INDEX($C$23:$Q$23,1,B173-2025)/12)</f>
        <v>0.874933917964984</v>
      </c>
      <c r="DY173" s="88" t="n">
        <f aca="false">$AO$6*0</f>
        <v>0</v>
      </c>
      <c r="DZ173" s="88" t="n">
        <f aca="false">DX173+DZ172</f>
        <v>204.521662766709</v>
      </c>
      <c r="EA173" s="88" t="n">
        <f aca="false">DY173+EA172</f>
        <v>121</v>
      </c>
      <c r="EB173" s="88" t="n">
        <f aca="false">MAX(EB172,DZ173-EA173)</f>
        <v>83.5216627667088</v>
      </c>
      <c r="EC173" s="88" t="n">
        <f aca="false">EB173-EB172</f>
        <v>0.874933917964995</v>
      </c>
      <c r="ED173" s="88" t="n">
        <f aca="false">IF(B173=2026,INDEX($C$24:$Q$24,1,B173-2025)*$AO$4*C173/MAX(0.0001,12-$AO$3),INDEX($C$24:$Q$24,1,B173-2025)/12)</f>
        <v>0.538420872593837</v>
      </c>
      <c r="EE173" s="88" t="n">
        <f aca="false">$AO$6*0</f>
        <v>0</v>
      </c>
      <c r="EF173" s="88" t="n">
        <f aca="false">ED173+EF172</f>
        <v>125.859484779513</v>
      </c>
      <c r="EG173" s="88" t="n">
        <f aca="false">EE173+EG172</f>
        <v>0</v>
      </c>
      <c r="EH173" s="88" t="n">
        <f aca="false">MAX(EH172,EF173-EG173)</f>
        <v>125.859484779513</v>
      </c>
      <c r="EI173" s="88" t="n">
        <f aca="false">EH173-EH172</f>
        <v>0.538420872593832</v>
      </c>
      <c r="EJ173" s="88" t="n">
        <f aca="false">IF(B173=2026,INDEX($C$25:$Q$25,1,B173-2025)*$AO$4*C173/MAX(0.0001,12-$AO$3),INDEX($C$25:$Q$25,1,B173-2025)/12)</f>
        <v>0.685262928755792</v>
      </c>
      <c r="EK173" s="88" t="n">
        <f aca="false">$AO$6*0</f>
        <v>0</v>
      </c>
      <c r="EL173" s="88" t="n">
        <f aca="false">EJ173+EL172</f>
        <v>160.184798810289</v>
      </c>
      <c r="EM173" s="88" t="n">
        <f aca="false">EK173+EM172</f>
        <v>14</v>
      </c>
      <c r="EN173" s="88" t="n">
        <f aca="false">MAX(EN172,EL173-EM173)</f>
        <v>146.184798810289</v>
      </c>
      <c r="EO173" s="88" t="n">
        <f aca="false">EN173-EN172</f>
        <v>0.685262928755805</v>
      </c>
      <c r="EP173" s="88" t="n">
        <f aca="false">IF(B173=2026,INDEX($C$26:$Q$26,1,B173-2025)*$AO$4*C173/MAX(0.0001,12-$AO$3),INDEX($C$26:$Q$26,1,B173-2025)/12)</f>
        <v>0.985065460086451</v>
      </c>
      <c r="EQ173" s="88" t="n">
        <f aca="false">$AO$6*0</f>
        <v>0</v>
      </c>
      <c r="ER173" s="88" t="n">
        <f aca="false">EP173+ER172</f>
        <v>230.26564828979</v>
      </c>
      <c r="ES173" s="88" t="n">
        <f aca="false">EQ173+ES172</f>
        <v>4</v>
      </c>
      <c r="ET173" s="88" t="n">
        <f aca="false">MAX(ET172,ER173-ES173)</f>
        <v>226.26564828979</v>
      </c>
      <c r="EU173" s="88" t="n">
        <f aca="false">ET173-ET172</f>
        <v>0.985065460086446</v>
      </c>
      <c r="EV173" s="88" t="n">
        <f aca="false">IF(B173=2026,INDEX($C$27:$Q$27,1,B173-2025)*$AO$4*C173/MAX(0.0001,12-$AO$3),INDEX($C$27:$Q$27,1,B173-2025)/12)</f>
        <v>2.44736760269926</v>
      </c>
      <c r="EW173" s="88" t="n">
        <f aca="false">$AO$6*0</f>
        <v>0</v>
      </c>
      <c r="EX173" s="88" t="n">
        <f aca="false">EV173+EX172</f>
        <v>572.088567179605</v>
      </c>
      <c r="EY173" s="88" t="n">
        <f aca="false">EW173+EY172</f>
        <v>391</v>
      </c>
      <c r="EZ173" s="88" t="n">
        <f aca="false">MAX(EZ172,EX173-EY173)</f>
        <v>181.088567179605</v>
      </c>
      <c r="FA173" s="88" t="n">
        <f aca="false">EZ173-EZ172</f>
        <v>2.44736760269927</v>
      </c>
      <c r="FB173" s="88" t="n">
        <f aca="false">IF(B173=2026,INDEX($C$28:$Q$28,1,B173-2025)*$AO$4*C173/MAX(0.0001,12-$AO$3),INDEX($C$28:$Q$28,1,B173-2025)/12)</f>
        <v>12.8119694001306</v>
      </c>
      <c r="FC173" s="88" t="n">
        <f aca="false">$AO$6*0</f>
        <v>0</v>
      </c>
      <c r="FD173" s="88" t="n">
        <f aca="false">FB173+FD172</f>
        <v>2994.88364918523</v>
      </c>
      <c r="FE173" s="88" t="n">
        <f aca="false">FC173+FE172</f>
        <v>169</v>
      </c>
      <c r="FF173" s="88" t="n">
        <f aca="false">MAX(FF172,FD173-FE173)</f>
        <v>2825.88364918523</v>
      </c>
      <c r="FG173" s="88" t="n">
        <f aca="false">FF173-FF172</f>
        <v>12.8119694001307</v>
      </c>
    </row>
    <row r="174" customFormat="false" ht="15" hidden="false" customHeight="false" outlineLevel="0" collapsed="false">
      <c r="A174" s="0" t="n">
        <v>134</v>
      </c>
      <c r="B174" s="88" t="n">
        <f aca="false">2026+INT(A174/12)</f>
        <v>2037</v>
      </c>
      <c r="C174" s="88" t="n">
        <f aca="false">MAX(0,MIN(1,A174+1-$AO$3))</f>
        <v>1</v>
      </c>
      <c r="D174" s="88" t="n">
        <f aca="false">IF((A174+0.5-(0))&lt;$AO$3,0,2026+INT((A174+0.5-(0))/12))</f>
        <v>2037</v>
      </c>
      <c r="E174" s="88" t="n">
        <f aca="false">IF((A174+0.5-($AO$9))&lt;$AO$3,0,2026+INT((A174+0.5-($AO$9))/12))</f>
        <v>2035</v>
      </c>
      <c r="F174" s="88" t="n">
        <f aca="false">IF((A174+0.5-($AO$9+$AO$8))&lt;$AO$3,0,2026+INT((A174+0.5-($AO$9+$AO$8))/12))</f>
        <v>2034</v>
      </c>
      <c r="G174" s="88" t="n">
        <f aca="false">IF((A174+0.5-($AO$9+$AO$8+$AO$7))&lt;$AO$3,0,2026+INT((A174+0.5-($AO$9+$AO$8+$AO$7))/12))</f>
        <v>2034</v>
      </c>
      <c r="H174" s="88" t="n">
        <f aca="false">IF(B174=2026,INDEX($C$3:$Q$3,1,B174-2025)*$AO$4*C174/MAX(0.0001,12-$AO$3),INDEX($C$3:$Q$3,1,B174-2025)/12)</f>
        <v>131.166666666667</v>
      </c>
      <c r="I174" s="88" t="n">
        <f aca="false">$AO$6*0</f>
        <v>0</v>
      </c>
      <c r="J174" s="88" t="n">
        <f aca="false">H174+J173</f>
        <v>30792.2534246576</v>
      </c>
      <c r="K174" s="88" t="n">
        <f aca="false">I174+K173</f>
        <v>8695.00000000001</v>
      </c>
      <c r="L174" s="88" t="n">
        <f aca="false">MAX(L173,J174-K174)</f>
        <v>22097.2534246576</v>
      </c>
      <c r="M174" s="88" t="n">
        <f aca="false">L174-L173</f>
        <v>131.166666666664</v>
      </c>
      <c r="N174" s="88" t="n">
        <f aca="false">IF(B174=2026,INDEX($C$4:$Q$4,1,B174-2025)*$AO$4*C174/MAX(0.0001,12-$AO$3),INDEX($C$4:$Q$4,1,B174-2025)/12)</f>
        <v>3.97656100583185</v>
      </c>
      <c r="O174" s="88" t="n">
        <f aca="false">$AO$6*0</f>
        <v>0</v>
      </c>
      <c r="P174" s="88" t="n">
        <f aca="false">N174+P173</f>
        <v>933.524327193282</v>
      </c>
      <c r="Q174" s="88" t="n">
        <f aca="false">O174+Q173</f>
        <v>398</v>
      </c>
      <c r="R174" s="88" t="n">
        <f aca="false">MAX(R173,P174-Q174)</f>
        <v>535.524327193282</v>
      </c>
      <c r="S174" s="88" t="n">
        <f aca="false">R174-R173</f>
        <v>3.97656100583185</v>
      </c>
      <c r="T174" s="88" t="n">
        <f aca="false">IF(B174=2026,INDEX($C$5:$Q$5,1,B174-2025)*$AO$4*C174/MAX(0.0001,12-$AO$3),INDEX($C$5:$Q$5,1,B174-2025)/12)</f>
        <v>16.1621793514627</v>
      </c>
      <c r="U174" s="88" t="n">
        <f aca="false">$AO$6*0</f>
        <v>0</v>
      </c>
      <c r="V174" s="88" t="n">
        <f aca="false">T174+V173</f>
        <v>3794.17984105467</v>
      </c>
      <c r="W174" s="88" t="n">
        <f aca="false">U174+W173</f>
        <v>1115</v>
      </c>
      <c r="X174" s="88" t="n">
        <f aca="false">MAX(X173,V174-W174)</f>
        <v>2679.17984105467</v>
      </c>
      <c r="Y174" s="88" t="n">
        <f aca="false">X174-X173</f>
        <v>16.1621793514623</v>
      </c>
      <c r="Z174" s="88" t="n">
        <f aca="false">IF(B174=2026,INDEX($C$6:$Q$6,1,B174-2025)*$AO$4*C174/MAX(0.0001,12-$AO$3),INDEX($C$6:$Q$6,1,B174-2025)/12)</f>
        <v>19.1751119687993</v>
      </c>
      <c r="AA174" s="88" t="n">
        <f aca="false">$AO$6*0</f>
        <v>0</v>
      </c>
      <c r="AB174" s="88" t="n">
        <f aca="false">Z174+AB173</f>
        <v>4501.48595061846</v>
      </c>
      <c r="AC174" s="88" t="n">
        <f aca="false">AA174+AC173</f>
        <v>2194</v>
      </c>
      <c r="AD174" s="88" t="n">
        <f aca="false">MAX(AD173,AB174-AC174)</f>
        <v>2307.48595061846</v>
      </c>
      <c r="AE174" s="88" t="n">
        <f aca="false">AD174-AD173</f>
        <v>19.1751119687997</v>
      </c>
      <c r="AF174" s="88" t="n">
        <f aca="false">IF(B174=2026,INDEX($C$7:$Q$7,1,B174-2025)*$AO$4*C174/MAX(0.0001,12-$AO$3),INDEX($C$7:$Q$7,1,B174-2025)/12)</f>
        <v>16.6567447720231</v>
      </c>
      <c r="AG174" s="88" t="n">
        <f aca="false">$AO$6*0</f>
        <v>0</v>
      </c>
      <c r="AH174" s="88" t="n">
        <f aca="false">AF174+AH173</f>
        <v>3910.28238564147</v>
      </c>
      <c r="AI174" s="88" t="n">
        <f aca="false">AG174+AI173</f>
        <v>826</v>
      </c>
      <c r="AJ174" s="88" t="n">
        <f aca="false">MAX(AJ173,AH174-AI174)</f>
        <v>3084.28238564147</v>
      </c>
      <c r="AK174" s="88" t="n">
        <f aca="false">AJ174-AJ173</f>
        <v>16.6567447720231</v>
      </c>
      <c r="AL174" s="88" t="n">
        <f aca="false">IF(B174=2026,INDEX($C$8:$Q$8,1,B174-2025)*$AO$4*C174/MAX(0.0001,12-$AO$3),INDEX($C$8:$Q$8,1,B174-2025)/12)</f>
        <v>4.21336949449797</v>
      </c>
      <c r="AM174" s="88" t="n">
        <f aca="false">$AO$6*0</f>
        <v>0</v>
      </c>
      <c r="AN174" s="88" t="n">
        <f aca="false">AL174+AN173</f>
        <v>989.116705816794</v>
      </c>
      <c r="AO174" s="88" t="n">
        <f aca="false">AM174+AO173</f>
        <v>66</v>
      </c>
      <c r="AP174" s="88" t="n">
        <f aca="false">MAX(AP173,AN174-AO174)</f>
        <v>923.116705816794</v>
      </c>
      <c r="AQ174" s="88" t="n">
        <f aca="false">AP174-AP173</f>
        <v>4.21336949449801</v>
      </c>
      <c r="AR174" s="88" t="n">
        <f aca="false">IF(B174=2026,INDEX($C$9:$Q$9,1,B174-2025)*$AO$4*C174/MAX(0.0001,12-$AO$3),INDEX($C$9:$Q$9,1,B174-2025)/12)</f>
        <v>17.9655670728432</v>
      </c>
      <c r="AS174" s="88" t="n">
        <f aca="false">$AO$6*0</f>
        <v>0</v>
      </c>
      <c r="AT174" s="88" t="n">
        <f aca="false">AR174+AT173</f>
        <v>4217.53718595683</v>
      </c>
      <c r="AU174" s="88" t="n">
        <f aca="false">AS174+AU173</f>
        <v>1810</v>
      </c>
      <c r="AV174" s="88" t="n">
        <f aca="false">MAX(AV173,AT174-AU174)</f>
        <v>2407.53718595683</v>
      </c>
      <c r="AW174" s="88" t="n">
        <f aca="false">AV174-AV173</f>
        <v>17.9655670728434</v>
      </c>
      <c r="AX174" s="88" t="n">
        <f aca="false">IF(B174=2026,INDEX($C$10:$Q$10,1,B174-2025)*$AO$4*C174/MAX(0.0001,12-$AO$3),INDEX($C$10:$Q$10,1,B174-2025)/12)</f>
        <v>2.08391470026186</v>
      </c>
      <c r="AY174" s="88" t="n">
        <f aca="false">$AO$6*0</f>
        <v>0</v>
      </c>
      <c r="AZ174" s="88" t="n">
        <f aca="false">AX174+AZ173</f>
        <v>489.212931886904</v>
      </c>
      <c r="BA174" s="88" t="n">
        <f aca="false">AY174+BA173</f>
        <v>50</v>
      </c>
      <c r="BB174" s="88" t="n">
        <f aca="false">MAX(BB173,AZ174-BA174)</f>
        <v>439.212931886904</v>
      </c>
      <c r="BC174" s="88" t="n">
        <f aca="false">BB174-BB173</f>
        <v>2.08391470026186</v>
      </c>
      <c r="BD174" s="88" t="n">
        <f aca="false">IF(B174=2026,INDEX($C$11:$Q$11,1,B174-2025)*$AO$4*C174/MAX(0.0001,12-$AO$3),INDEX($C$11:$Q$11,1,B174-2025)/12)</f>
        <v>10.3558173697453</v>
      </c>
      <c r="BE174" s="88" t="n">
        <f aca="false">$AO$6*0</f>
        <v>0</v>
      </c>
      <c r="BF174" s="88" t="n">
        <f aca="false">BD174+BF173</f>
        <v>2431.09748057435</v>
      </c>
      <c r="BG174" s="88" t="n">
        <f aca="false">BE174+BG173</f>
        <v>240</v>
      </c>
      <c r="BH174" s="88" t="n">
        <f aca="false">MAX(BH173,BF174-BG174)</f>
        <v>2191.09748057435</v>
      </c>
      <c r="BI174" s="88" t="n">
        <f aca="false">BH174-BH173</f>
        <v>10.3558173697452</v>
      </c>
      <c r="BJ174" s="88" t="n">
        <f aca="false">IF(B174=2026,INDEX($C$12:$Q$12,1,B174-2025)*$AO$4*C174/MAX(0.0001,12-$AO$3),INDEX($C$12:$Q$12,1,B174-2025)/12)</f>
        <v>5.67793891670997</v>
      </c>
      <c r="BK174" s="88" t="n">
        <f aca="false">$AO$6*0</f>
        <v>0</v>
      </c>
      <c r="BL174" s="88" t="n">
        <f aca="false">BJ174+BL173</f>
        <v>1332.93418591913</v>
      </c>
      <c r="BM174" s="88" t="n">
        <f aca="false">BK174+BM173</f>
        <v>465</v>
      </c>
      <c r="BN174" s="88" t="n">
        <f aca="false">MAX(BN173,BL174-BM174)</f>
        <v>867.934185919131</v>
      </c>
      <c r="BO174" s="88" t="n">
        <f aca="false">BN174-BN173</f>
        <v>5.67793891670999</v>
      </c>
      <c r="BP174" s="88" t="n">
        <f aca="false">IF(B174=2026,INDEX($C$13:$Q$13,1,B174-2025)*$AO$4*C174/MAX(0.0001,12-$AO$3),INDEX($C$13:$Q$13,1,B174-2025)/12)</f>
        <v>1.77434151195696</v>
      </c>
      <c r="BQ174" s="88" t="n">
        <f aca="false">$AO$6*0</f>
        <v>0</v>
      </c>
      <c r="BR174" s="88" t="n">
        <f aca="false">BP174+BR173</f>
        <v>416.538552717169</v>
      </c>
      <c r="BS174" s="88" t="n">
        <f aca="false">BQ174+BS173</f>
        <v>87</v>
      </c>
      <c r="BT174" s="88" t="n">
        <f aca="false">MAX(BT173,BR174-BS174)</f>
        <v>329.538552717169</v>
      </c>
      <c r="BU174" s="88" t="n">
        <f aca="false">BT174-BT173</f>
        <v>1.77434151195695</v>
      </c>
      <c r="BV174" s="88" t="n">
        <f aca="false">IF(B174=2026,INDEX($C$14:$Q$14,1,B174-2025)*$AO$4*C174/MAX(0.0001,12-$AO$3),INDEX($C$14:$Q$14,1,B174-2025)/12)</f>
        <v>1.05236806916068</v>
      </c>
      <c r="BW174" s="88" t="n">
        <f aca="false">$AO$6*0</f>
        <v>0</v>
      </c>
      <c r="BX174" s="88" t="n">
        <f aca="false">BV174+BX173</f>
        <v>247.050451956391</v>
      </c>
      <c r="BY174" s="88" t="n">
        <f aca="false">BW174+BY173</f>
        <v>0</v>
      </c>
      <c r="BZ174" s="88" t="n">
        <f aca="false">MAX(BZ173,BX174-BY174)</f>
        <v>247.050451956391</v>
      </c>
      <c r="CA174" s="88" t="n">
        <f aca="false">BZ174-BZ173</f>
        <v>1.05236806916068</v>
      </c>
      <c r="CB174" s="88" t="n">
        <f aca="false">IF(B174=2026,INDEX($C$15:$Q$15,1,B174-2025)*$AO$4*C174/MAX(0.0001,12-$AO$3),INDEX($C$15:$Q$15,1,B174-2025)/12)</f>
        <v>1.72539415990298</v>
      </c>
      <c r="CC174" s="88" t="n">
        <f aca="false">$AO$6*0</f>
        <v>0</v>
      </c>
      <c r="CD174" s="88" t="n">
        <f aca="false">CB174+CD173</f>
        <v>405.047834021523</v>
      </c>
      <c r="CE174" s="88" t="n">
        <f aca="false">CC174+CE173</f>
        <v>88.0000000000001</v>
      </c>
      <c r="CF174" s="88" t="n">
        <f aca="false">MAX(CF173,CD174-CE174)</f>
        <v>317.047834021523</v>
      </c>
      <c r="CG174" s="88" t="n">
        <f aca="false">CF174-CF173</f>
        <v>1.72539415990298</v>
      </c>
      <c r="CH174" s="88" t="n">
        <f aca="false">IF(B174=2026,INDEX($C$16:$Q$16,1,B174-2025)*$AO$4*C174/MAX(0.0001,12-$AO$3),INDEX($C$16:$Q$16,1,B174-2025)/12)</f>
        <v>1.36440743850484</v>
      </c>
      <c r="CI174" s="88" t="n">
        <f aca="false">$AO$6*0</f>
        <v>0</v>
      </c>
      <c r="CJ174" s="88" t="n">
        <f aca="false">CH174+CJ173</f>
        <v>320.303783641134</v>
      </c>
      <c r="CK174" s="88" t="n">
        <f aca="false">CI174+CK173</f>
        <v>70</v>
      </c>
      <c r="CL174" s="88" t="n">
        <f aca="false">MAX(CL173,CJ174-CK174)</f>
        <v>250.303783641134</v>
      </c>
      <c r="CM174" s="88" t="n">
        <f aca="false">CL174-CL173</f>
        <v>1.36440743850483</v>
      </c>
      <c r="CN174" s="88" t="n">
        <f aca="false">IF(B174=2026,INDEX($C$17:$Q$17,1,B174-2025)*$AO$4*C174/MAX(0.0001,12-$AO$3),INDEX($C$17:$Q$17,1,B174-2025)/12)</f>
        <v>5.94098485555245</v>
      </c>
      <c r="CO174" s="88" t="n">
        <f aca="false">$AO$6*0</f>
        <v>0</v>
      </c>
      <c r="CP174" s="88" t="n">
        <f aca="false">CN174+CP173</f>
        <v>1394.68598168405</v>
      </c>
      <c r="CQ174" s="88" t="n">
        <f aca="false">CO174+CQ173</f>
        <v>221</v>
      </c>
      <c r="CR174" s="88" t="n">
        <f aca="false">MAX(CR173,CP174-CQ174)</f>
        <v>1173.68598168405</v>
      </c>
      <c r="CS174" s="88" t="n">
        <f aca="false">CR174-CR173</f>
        <v>5.94098485555242</v>
      </c>
      <c r="CT174" s="88" t="n">
        <f aca="false">IF(B174=2026,INDEX($C$18:$Q$18,1,B174-2025)*$AO$4*C174/MAX(0.0001,12-$AO$3),INDEX($C$18:$Q$18,1,B174-2025)/12)</f>
        <v>1.23592063936312</v>
      </c>
      <c r="CU174" s="88" t="n">
        <f aca="false">$AO$6*0</f>
        <v>0</v>
      </c>
      <c r="CV174" s="88" t="n">
        <f aca="false">CT174+CV173</f>
        <v>290.140647065063</v>
      </c>
      <c r="CW174" s="88" t="n">
        <f aca="false">CU174+CW173</f>
        <v>11</v>
      </c>
      <c r="CX174" s="88" t="n">
        <f aca="false">MAX(CX173,CV174-CW174)</f>
        <v>279.140647065063</v>
      </c>
      <c r="CY174" s="88" t="n">
        <f aca="false">CX174-CX173</f>
        <v>1.23592063936314</v>
      </c>
      <c r="CZ174" s="88" t="n">
        <f aca="false">IF(B174=2026,INDEX($C$19:$Q$19,1,B174-2025)*$AO$4*C174/MAX(0.0001,12-$AO$3),INDEX($C$19:$Q$19,1,B174-2025)/12)</f>
        <v>1.22368380134963</v>
      </c>
      <c r="DA174" s="88" t="n">
        <f aca="false">$AO$6*0</f>
        <v>0</v>
      </c>
      <c r="DB174" s="88" t="n">
        <f aca="false">CZ174+DB173</f>
        <v>287.267967391152</v>
      </c>
      <c r="DC174" s="88" t="n">
        <f aca="false">DA174+DC173</f>
        <v>226</v>
      </c>
      <c r="DD174" s="88" t="n">
        <f aca="false">MAX(DD173,DB174-DC174)</f>
        <v>61.2679673911522</v>
      </c>
      <c r="DE174" s="88" t="n">
        <f aca="false">DD174-DD173</f>
        <v>1.22368380134964</v>
      </c>
      <c r="DF174" s="88" t="n">
        <f aca="false">IF(B174=2026,INDEX($C$20:$Q$20,1,B174-2025)*$AO$4*C174/MAX(0.0001,12-$AO$3),INDEX($C$20:$Q$20,1,B174-2025)/12)</f>
        <v>0.997302298099947</v>
      </c>
      <c r="DG174" s="88" t="n">
        <f aca="false">$AO$6*0</f>
        <v>0</v>
      </c>
      <c r="DH174" s="88" t="n">
        <f aca="false">DF174+DH173</f>
        <v>234.123393423789</v>
      </c>
      <c r="DI174" s="88" t="n">
        <f aca="false">DG174+DI173</f>
        <v>0</v>
      </c>
      <c r="DJ174" s="88" t="n">
        <f aca="false">MAX(DJ173,DH174-DI174)</f>
        <v>234.123393423789</v>
      </c>
      <c r="DK174" s="88" t="n">
        <f aca="false">DJ174-DJ173</f>
        <v>0.997302298099953</v>
      </c>
      <c r="DL174" s="88" t="n">
        <f aca="false">IF(B174=2026,INDEX($C$21:$Q$21,1,B174-2025)*$AO$4*C174/MAX(0.0001,12-$AO$3),INDEX($C$21:$Q$21,1,B174-2025)/12)</f>
        <v>0.697499766769288</v>
      </c>
      <c r="DM174" s="88" t="n">
        <f aca="false">$AO$6*0</f>
        <v>0</v>
      </c>
      <c r="DN174" s="88" t="n">
        <f aca="false">DL174+DN173</f>
        <v>163.742741412956</v>
      </c>
      <c r="DO174" s="88" t="n">
        <f aca="false">DM174+DO173</f>
        <v>100</v>
      </c>
      <c r="DP174" s="88" t="n">
        <f aca="false">MAX(DP173,DN174-DO174)</f>
        <v>63.7427414129564</v>
      </c>
      <c r="DQ174" s="88" t="n">
        <f aca="false">DP174-DP173</f>
        <v>0.697499766769283</v>
      </c>
      <c r="DR174" s="88" t="n">
        <f aca="false">IF(B174=2026,INDEX($C$22:$Q$22,1,B174-2025)*$AO$4*C174/MAX(0.0001,12-$AO$3),INDEX($C$22:$Q$22,1,B174-2025)/12)</f>
        <v>0.544539291600585</v>
      </c>
      <c r="DS174" s="88" t="n">
        <f aca="false">$AO$6*0</f>
        <v>0</v>
      </c>
      <c r="DT174" s="88" t="n">
        <f aca="false">DR174+DT173</f>
        <v>127.834245489063</v>
      </c>
      <c r="DU174" s="88" t="n">
        <f aca="false">DS174+DU173</f>
        <v>29</v>
      </c>
      <c r="DV174" s="88" t="n">
        <f aca="false">MAX(DV173,DT174-DU174)</f>
        <v>98.8342454890626</v>
      </c>
      <c r="DW174" s="88" t="n">
        <f aca="false">DV174-DV173</f>
        <v>0.544539291600586</v>
      </c>
      <c r="DX174" s="88" t="n">
        <f aca="false">IF(B174=2026,INDEX($C$23:$Q$23,1,B174-2025)*$AO$4*C174/MAX(0.0001,12-$AO$3),INDEX($C$23:$Q$23,1,B174-2025)/12)</f>
        <v>0.874933917964984</v>
      </c>
      <c r="DY174" s="88" t="n">
        <f aca="false">$AO$6*0</f>
        <v>0</v>
      </c>
      <c r="DZ174" s="88" t="n">
        <f aca="false">DX174+DZ173</f>
        <v>205.396596684674</v>
      </c>
      <c r="EA174" s="88" t="n">
        <f aca="false">DY174+EA173</f>
        <v>121</v>
      </c>
      <c r="EB174" s="88" t="n">
        <f aca="false">MAX(EB173,DZ174-EA174)</f>
        <v>84.3965966846738</v>
      </c>
      <c r="EC174" s="88" t="n">
        <f aca="false">EB174-EB173</f>
        <v>0.874933917964995</v>
      </c>
      <c r="ED174" s="88" t="n">
        <f aca="false">IF(B174=2026,INDEX($C$24:$Q$24,1,B174-2025)*$AO$4*C174/MAX(0.0001,12-$AO$3),INDEX($C$24:$Q$24,1,B174-2025)/12)</f>
        <v>0.538420872593837</v>
      </c>
      <c r="EE174" s="88" t="n">
        <f aca="false">$AO$6*0</f>
        <v>0</v>
      </c>
      <c r="EF174" s="88" t="n">
        <f aca="false">ED174+EF173</f>
        <v>126.397905652107</v>
      </c>
      <c r="EG174" s="88" t="n">
        <f aca="false">EE174+EG173</f>
        <v>0</v>
      </c>
      <c r="EH174" s="88" t="n">
        <f aca="false">MAX(EH173,EF174-EG174)</f>
        <v>126.397905652107</v>
      </c>
      <c r="EI174" s="88" t="n">
        <f aca="false">EH174-EH173</f>
        <v>0.538420872593832</v>
      </c>
      <c r="EJ174" s="88" t="n">
        <f aca="false">IF(B174=2026,INDEX($C$25:$Q$25,1,B174-2025)*$AO$4*C174/MAX(0.0001,12-$AO$3),INDEX($C$25:$Q$25,1,B174-2025)/12)</f>
        <v>0.685262928755792</v>
      </c>
      <c r="EK174" s="88" t="n">
        <f aca="false">$AO$6*0</f>
        <v>0</v>
      </c>
      <c r="EL174" s="88" t="n">
        <f aca="false">EJ174+EL173</f>
        <v>160.870061739045</v>
      </c>
      <c r="EM174" s="88" t="n">
        <f aca="false">EK174+EM173</f>
        <v>14</v>
      </c>
      <c r="EN174" s="88" t="n">
        <f aca="false">MAX(EN173,EL174-EM174)</f>
        <v>146.870061739045</v>
      </c>
      <c r="EO174" s="88" t="n">
        <f aca="false">EN174-EN173</f>
        <v>0.685262928755805</v>
      </c>
      <c r="EP174" s="88" t="n">
        <f aca="false">IF(B174=2026,INDEX($C$26:$Q$26,1,B174-2025)*$AO$4*C174/MAX(0.0001,12-$AO$3),INDEX($C$26:$Q$26,1,B174-2025)/12)</f>
        <v>0.985065460086451</v>
      </c>
      <c r="EQ174" s="88" t="n">
        <f aca="false">$AO$6*0</f>
        <v>0</v>
      </c>
      <c r="ER174" s="88" t="n">
        <f aca="false">EP174+ER173</f>
        <v>231.250713749876</v>
      </c>
      <c r="ES174" s="88" t="n">
        <f aca="false">EQ174+ES173</f>
        <v>4</v>
      </c>
      <c r="ET174" s="88" t="n">
        <f aca="false">MAX(ET173,ER174-ES174)</f>
        <v>227.250713749876</v>
      </c>
      <c r="EU174" s="88" t="n">
        <f aca="false">ET174-ET173</f>
        <v>0.985065460086446</v>
      </c>
      <c r="EV174" s="88" t="n">
        <f aca="false">IF(B174=2026,INDEX($C$27:$Q$27,1,B174-2025)*$AO$4*C174/MAX(0.0001,12-$AO$3),INDEX($C$27:$Q$27,1,B174-2025)/12)</f>
        <v>2.44736760269926</v>
      </c>
      <c r="EW174" s="88" t="n">
        <f aca="false">$AO$6*0</f>
        <v>0</v>
      </c>
      <c r="EX174" s="88" t="n">
        <f aca="false">EV174+EX173</f>
        <v>574.535934782304</v>
      </c>
      <c r="EY174" s="88" t="n">
        <f aca="false">EW174+EY173</f>
        <v>391</v>
      </c>
      <c r="EZ174" s="88" t="n">
        <f aca="false">MAX(EZ173,EX174-EY174)</f>
        <v>183.535934782304</v>
      </c>
      <c r="FA174" s="88" t="n">
        <f aca="false">EZ174-EZ173</f>
        <v>2.44736760269927</v>
      </c>
      <c r="FB174" s="88" t="n">
        <f aca="false">IF(B174=2026,INDEX($C$28:$Q$28,1,B174-2025)*$AO$4*C174/MAX(0.0001,12-$AO$3),INDEX($C$28:$Q$28,1,B174-2025)/12)</f>
        <v>12.8119694001306</v>
      </c>
      <c r="FC174" s="88" t="n">
        <f aca="false">$AO$6*0</f>
        <v>0</v>
      </c>
      <c r="FD174" s="88" t="n">
        <f aca="false">FB174+FD173</f>
        <v>3007.69561858536</v>
      </c>
      <c r="FE174" s="88" t="n">
        <f aca="false">FC174+FE173</f>
        <v>169</v>
      </c>
      <c r="FF174" s="88" t="n">
        <f aca="false">MAX(FF173,FD174-FE174)</f>
        <v>2838.69561858536</v>
      </c>
      <c r="FG174" s="88" t="n">
        <f aca="false">FF174-FF173</f>
        <v>12.8119694001307</v>
      </c>
    </row>
    <row r="175" customFormat="false" ht="15" hidden="false" customHeight="false" outlineLevel="0" collapsed="false">
      <c r="A175" s="0" t="n">
        <v>135</v>
      </c>
      <c r="B175" s="88" t="n">
        <f aca="false">2026+INT(A175/12)</f>
        <v>2037</v>
      </c>
      <c r="C175" s="88" t="n">
        <f aca="false">MAX(0,MIN(1,A175+1-$AO$3))</f>
        <v>1</v>
      </c>
      <c r="D175" s="88" t="n">
        <f aca="false">IF((A175+0.5-(0))&lt;$AO$3,0,2026+INT((A175+0.5-(0))/12))</f>
        <v>2037</v>
      </c>
      <c r="E175" s="88" t="n">
        <f aca="false">IF((A175+0.5-($AO$9))&lt;$AO$3,0,2026+INT((A175+0.5-($AO$9))/12))</f>
        <v>2036</v>
      </c>
      <c r="F175" s="88" t="n">
        <f aca="false">IF((A175+0.5-($AO$9+$AO$8))&lt;$AO$3,0,2026+INT((A175+0.5-($AO$9+$AO$8))/12))</f>
        <v>2034</v>
      </c>
      <c r="G175" s="88" t="n">
        <f aca="false">IF((A175+0.5-($AO$9+$AO$8+$AO$7))&lt;$AO$3,0,2026+INT((A175+0.5-($AO$9+$AO$8+$AO$7))/12))</f>
        <v>2034</v>
      </c>
      <c r="H175" s="88" t="n">
        <f aca="false">IF(B175=2026,INDEX($C$3:$Q$3,1,B175-2025)*$AO$4*C175/MAX(0.0001,12-$AO$3),INDEX($C$3:$Q$3,1,B175-2025)/12)</f>
        <v>131.166666666667</v>
      </c>
      <c r="I175" s="88" t="n">
        <f aca="false">$AO$6*0</f>
        <v>0</v>
      </c>
      <c r="J175" s="88" t="n">
        <f aca="false">H175+J174</f>
        <v>30923.4200913243</v>
      </c>
      <c r="K175" s="88" t="n">
        <f aca="false">I175+K174</f>
        <v>8695.00000000001</v>
      </c>
      <c r="L175" s="88" t="n">
        <f aca="false">MAX(L174,J175-K175)</f>
        <v>22228.4200913242</v>
      </c>
      <c r="M175" s="88" t="n">
        <f aca="false">L175-L174</f>
        <v>131.166666666672</v>
      </c>
      <c r="N175" s="88" t="n">
        <f aca="false">IF(B175=2026,INDEX($C$4:$Q$4,1,B175-2025)*$AO$4*C175/MAX(0.0001,12-$AO$3),INDEX($C$4:$Q$4,1,B175-2025)/12)</f>
        <v>3.97656100583185</v>
      </c>
      <c r="O175" s="88" t="n">
        <f aca="false">$AO$6*0</f>
        <v>0</v>
      </c>
      <c r="P175" s="88" t="n">
        <f aca="false">N175+P174</f>
        <v>937.500888199114</v>
      </c>
      <c r="Q175" s="88" t="n">
        <f aca="false">O175+Q174</f>
        <v>398</v>
      </c>
      <c r="R175" s="88" t="n">
        <f aca="false">MAX(R174,P175-Q175)</f>
        <v>539.500888199114</v>
      </c>
      <c r="S175" s="88" t="n">
        <f aca="false">R175-R174</f>
        <v>3.97656100583185</v>
      </c>
      <c r="T175" s="88" t="n">
        <f aca="false">IF(B175=2026,INDEX($C$5:$Q$5,1,B175-2025)*$AO$4*C175/MAX(0.0001,12-$AO$3),INDEX($C$5:$Q$5,1,B175-2025)/12)</f>
        <v>16.1621793514627</v>
      </c>
      <c r="U175" s="88" t="n">
        <f aca="false">$AO$6*0</f>
        <v>0</v>
      </c>
      <c r="V175" s="88" t="n">
        <f aca="false">T175+V174</f>
        <v>3810.34202040614</v>
      </c>
      <c r="W175" s="88" t="n">
        <f aca="false">U175+W174</f>
        <v>1115</v>
      </c>
      <c r="X175" s="88" t="n">
        <f aca="false">MAX(X174,V175-W175)</f>
        <v>2695.34202040614</v>
      </c>
      <c r="Y175" s="88" t="n">
        <f aca="false">X175-X174</f>
        <v>16.1621793514632</v>
      </c>
      <c r="Z175" s="88" t="n">
        <f aca="false">IF(B175=2026,INDEX($C$6:$Q$6,1,B175-2025)*$AO$4*C175/MAX(0.0001,12-$AO$3),INDEX($C$6:$Q$6,1,B175-2025)/12)</f>
        <v>19.1751119687993</v>
      </c>
      <c r="AA175" s="88" t="n">
        <f aca="false">$AO$6*0</f>
        <v>0</v>
      </c>
      <c r="AB175" s="88" t="n">
        <f aca="false">Z175+AB174</f>
        <v>4520.66106258726</v>
      </c>
      <c r="AC175" s="88" t="n">
        <f aca="false">AA175+AC174</f>
        <v>2194</v>
      </c>
      <c r="AD175" s="88" t="n">
        <f aca="false">MAX(AD174,AB175-AC175)</f>
        <v>2326.66106258725</v>
      </c>
      <c r="AE175" s="88" t="n">
        <f aca="false">AD175-AD174</f>
        <v>19.1751119687997</v>
      </c>
      <c r="AF175" s="88" t="n">
        <f aca="false">IF(B175=2026,INDEX($C$7:$Q$7,1,B175-2025)*$AO$4*C175/MAX(0.0001,12-$AO$3),INDEX($C$7:$Q$7,1,B175-2025)/12)</f>
        <v>16.6567447720231</v>
      </c>
      <c r="AG175" s="88" t="n">
        <f aca="false">$AO$6*0</f>
        <v>0</v>
      </c>
      <c r="AH175" s="88" t="n">
        <f aca="false">AF175+AH174</f>
        <v>3926.9391304135</v>
      </c>
      <c r="AI175" s="88" t="n">
        <f aca="false">AG175+AI174</f>
        <v>826</v>
      </c>
      <c r="AJ175" s="88" t="n">
        <f aca="false">MAX(AJ174,AH175-AI175)</f>
        <v>3100.9391304135</v>
      </c>
      <c r="AK175" s="88" t="n">
        <f aca="false">AJ175-AJ174</f>
        <v>16.6567447720231</v>
      </c>
      <c r="AL175" s="88" t="n">
        <f aca="false">IF(B175=2026,INDEX($C$8:$Q$8,1,B175-2025)*$AO$4*C175/MAX(0.0001,12-$AO$3),INDEX($C$8:$Q$8,1,B175-2025)/12)</f>
        <v>4.21336949449797</v>
      </c>
      <c r="AM175" s="88" t="n">
        <f aca="false">$AO$6*0</f>
        <v>0</v>
      </c>
      <c r="AN175" s="88" t="n">
        <f aca="false">AL175+AN174</f>
        <v>993.330075311292</v>
      </c>
      <c r="AO175" s="88" t="n">
        <f aca="false">AM175+AO174</f>
        <v>66</v>
      </c>
      <c r="AP175" s="88" t="n">
        <f aca="false">MAX(AP174,AN175-AO175)</f>
        <v>927.330075311292</v>
      </c>
      <c r="AQ175" s="88" t="n">
        <f aca="false">AP175-AP174</f>
        <v>4.21336949449801</v>
      </c>
      <c r="AR175" s="88" t="n">
        <f aca="false">IF(B175=2026,INDEX($C$9:$Q$9,1,B175-2025)*$AO$4*C175/MAX(0.0001,12-$AO$3),INDEX($C$9:$Q$9,1,B175-2025)/12)</f>
        <v>17.9655670728432</v>
      </c>
      <c r="AS175" s="88" t="n">
        <f aca="false">$AO$6*0</f>
        <v>0</v>
      </c>
      <c r="AT175" s="88" t="n">
        <f aca="false">AR175+AT174</f>
        <v>4235.50275302967</v>
      </c>
      <c r="AU175" s="88" t="n">
        <f aca="false">AS175+AU174</f>
        <v>1810</v>
      </c>
      <c r="AV175" s="88" t="n">
        <f aca="false">MAX(AV174,AT175-AU175)</f>
        <v>2425.50275302967</v>
      </c>
      <c r="AW175" s="88" t="n">
        <f aca="false">AV175-AV174</f>
        <v>17.9655670728434</v>
      </c>
      <c r="AX175" s="88" t="n">
        <f aca="false">IF(B175=2026,INDEX($C$10:$Q$10,1,B175-2025)*$AO$4*C175/MAX(0.0001,12-$AO$3),INDEX($C$10:$Q$10,1,B175-2025)/12)</f>
        <v>2.08391470026186</v>
      </c>
      <c r="AY175" s="88" t="n">
        <f aca="false">$AO$6*0</f>
        <v>0</v>
      </c>
      <c r="AZ175" s="88" t="n">
        <f aca="false">AX175+AZ174</f>
        <v>491.296846587166</v>
      </c>
      <c r="BA175" s="88" t="n">
        <f aca="false">AY175+BA174</f>
        <v>50</v>
      </c>
      <c r="BB175" s="88" t="n">
        <f aca="false">MAX(BB174,AZ175-BA175)</f>
        <v>441.296846587166</v>
      </c>
      <c r="BC175" s="88" t="n">
        <f aca="false">BB175-BB174</f>
        <v>2.08391470026186</v>
      </c>
      <c r="BD175" s="88" t="n">
        <f aca="false">IF(B175=2026,INDEX($C$11:$Q$11,1,B175-2025)*$AO$4*C175/MAX(0.0001,12-$AO$3),INDEX($C$11:$Q$11,1,B175-2025)/12)</f>
        <v>10.3558173697453</v>
      </c>
      <c r="BE175" s="88" t="n">
        <f aca="false">$AO$6*0</f>
        <v>0</v>
      </c>
      <c r="BF175" s="88" t="n">
        <f aca="false">BD175+BF174</f>
        <v>2441.45329794409</v>
      </c>
      <c r="BG175" s="88" t="n">
        <f aca="false">BE175+BG174</f>
        <v>240</v>
      </c>
      <c r="BH175" s="88" t="n">
        <f aca="false">MAX(BH174,BF175-BG175)</f>
        <v>2201.45329794409</v>
      </c>
      <c r="BI175" s="88" t="n">
        <f aca="false">BH175-BH174</f>
        <v>10.3558173697452</v>
      </c>
      <c r="BJ175" s="88" t="n">
        <f aca="false">IF(B175=2026,INDEX($C$12:$Q$12,1,B175-2025)*$AO$4*C175/MAX(0.0001,12-$AO$3),INDEX($C$12:$Q$12,1,B175-2025)/12)</f>
        <v>5.67793891670997</v>
      </c>
      <c r="BK175" s="88" t="n">
        <f aca="false">$AO$6*0</f>
        <v>0</v>
      </c>
      <c r="BL175" s="88" t="n">
        <f aca="false">BJ175+BL174</f>
        <v>1338.61212483584</v>
      </c>
      <c r="BM175" s="88" t="n">
        <f aca="false">BK175+BM174</f>
        <v>465</v>
      </c>
      <c r="BN175" s="88" t="n">
        <f aca="false">MAX(BN174,BL175-BM175)</f>
        <v>873.612124835841</v>
      </c>
      <c r="BO175" s="88" t="n">
        <f aca="false">BN175-BN174</f>
        <v>5.67793891670999</v>
      </c>
      <c r="BP175" s="88" t="n">
        <f aca="false">IF(B175=2026,INDEX($C$13:$Q$13,1,B175-2025)*$AO$4*C175/MAX(0.0001,12-$AO$3),INDEX($C$13:$Q$13,1,B175-2025)/12)</f>
        <v>1.77434151195696</v>
      </c>
      <c r="BQ175" s="88" t="n">
        <f aca="false">$AO$6*0</f>
        <v>0</v>
      </c>
      <c r="BR175" s="88" t="n">
        <f aca="false">BP175+BR174</f>
        <v>418.312894229126</v>
      </c>
      <c r="BS175" s="88" t="n">
        <f aca="false">BQ175+BS174</f>
        <v>87</v>
      </c>
      <c r="BT175" s="88" t="n">
        <f aca="false">MAX(BT174,BR175-BS175)</f>
        <v>331.312894229126</v>
      </c>
      <c r="BU175" s="88" t="n">
        <f aca="false">BT175-BT174</f>
        <v>1.77434151195695</v>
      </c>
      <c r="BV175" s="88" t="n">
        <f aca="false">IF(B175=2026,INDEX($C$14:$Q$14,1,B175-2025)*$AO$4*C175/MAX(0.0001,12-$AO$3),INDEX($C$14:$Q$14,1,B175-2025)/12)</f>
        <v>1.05236806916068</v>
      </c>
      <c r="BW175" s="88" t="n">
        <f aca="false">$AO$6*0</f>
        <v>0</v>
      </c>
      <c r="BX175" s="88" t="n">
        <f aca="false">BV175+BX174</f>
        <v>248.102820025551</v>
      </c>
      <c r="BY175" s="88" t="n">
        <f aca="false">BW175+BY174</f>
        <v>0</v>
      </c>
      <c r="BZ175" s="88" t="n">
        <f aca="false">MAX(BZ174,BX175-BY175)</f>
        <v>248.102820025551</v>
      </c>
      <c r="CA175" s="88" t="n">
        <f aca="false">BZ175-BZ174</f>
        <v>1.05236806916068</v>
      </c>
      <c r="CB175" s="88" t="n">
        <f aca="false">IF(B175=2026,INDEX($C$15:$Q$15,1,B175-2025)*$AO$4*C175/MAX(0.0001,12-$AO$3),INDEX($C$15:$Q$15,1,B175-2025)/12)</f>
        <v>1.72539415990298</v>
      </c>
      <c r="CC175" s="88" t="n">
        <f aca="false">$AO$6*0</f>
        <v>0</v>
      </c>
      <c r="CD175" s="88" t="n">
        <f aca="false">CB175+CD174</f>
        <v>406.773228181426</v>
      </c>
      <c r="CE175" s="88" t="n">
        <f aca="false">CC175+CE174</f>
        <v>88.0000000000001</v>
      </c>
      <c r="CF175" s="88" t="n">
        <f aca="false">MAX(CF174,CD175-CE175)</f>
        <v>318.773228181426</v>
      </c>
      <c r="CG175" s="88" t="n">
        <f aca="false">CF175-CF174</f>
        <v>1.72539415990298</v>
      </c>
      <c r="CH175" s="88" t="n">
        <f aca="false">IF(B175=2026,INDEX($C$16:$Q$16,1,B175-2025)*$AO$4*C175/MAX(0.0001,12-$AO$3),INDEX($C$16:$Q$16,1,B175-2025)/12)</f>
        <v>1.36440743850484</v>
      </c>
      <c r="CI175" s="88" t="n">
        <f aca="false">$AO$6*0</f>
        <v>0</v>
      </c>
      <c r="CJ175" s="88" t="n">
        <f aca="false">CH175+CJ174</f>
        <v>321.668191079638</v>
      </c>
      <c r="CK175" s="88" t="n">
        <f aca="false">CI175+CK174</f>
        <v>70</v>
      </c>
      <c r="CL175" s="88" t="n">
        <f aca="false">MAX(CL174,CJ175-CK175)</f>
        <v>251.668191079638</v>
      </c>
      <c r="CM175" s="88" t="n">
        <f aca="false">CL175-CL174</f>
        <v>1.36440743850483</v>
      </c>
      <c r="CN175" s="88" t="n">
        <f aca="false">IF(B175=2026,INDEX($C$17:$Q$17,1,B175-2025)*$AO$4*C175/MAX(0.0001,12-$AO$3),INDEX($C$17:$Q$17,1,B175-2025)/12)</f>
        <v>5.94098485555245</v>
      </c>
      <c r="CO175" s="88" t="n">
        <f aca="false">$AO$6*0</f>
        <v>0</v>
      </c>
      <c r="CP175" s="88" t="n">
        <f aca="false">CN175+CP174</f>
        <v>1400.6269665396</v>
      </c>
      <c r="CQ175" s="88" t="n">
        <f aca="false">CO175+CQ174</f>
        <v>221</v>
      </c>
      <c r="CR175" s="88" t="n">
        <f aca="false">MAX(CR174,CP175-CQ175)</f>
        <v>1179.6269665396</v>
      </c>
      <c r="CS175" s="88" t="n">
        <f aca="false">CR175-CR174</f>
        <v>5.94098485555242</v>
      </c>
      <c r="CT175" s="88" t="n">
        <f aca="false">IF(B175=2026,INDEX($C$18:$Q$18,1,B175-2025)*$AO$4*C175/MAX(0.0001,12-$AO$3),INDEX($C$18:$Q$18,1,B175-2025)/12)</f>
        <v>1.23592063936312</v>
      </c>
      <c r="CU175" s="88" t="n">
        <f aca="false">$AO$6*0</f>
        <v>0</v>
      </c>
      <c r="CV175" s="88" t="n">
        <f aca="false">CT175+CV174</f>
        <v>291.376567704426</v>
      </c>
      <c r="CW175" s="88" t="n">
        <f aca="false">CU175+CW174</f>
        <v>11</v>
      </c>
      <c r="CX175" s="88" t="n">
        <f aca="false">MAX(CX174,CV175-CW175)</f>
        <v>280.376567704426</v>
      </c>
      <c r="CY175" s="88" t="n">
        <f aca="false">CX175-CX174</f>
        <v>1.23592063936314</v>
      </c>
      <c r="CZ175" s="88" t="n">
        <f aca="false">IF(B175=2026,INDEX($C$19:$Q$19,1,B175-2025)*$AO$4*C175/MAX(0.0001,12-$AO$3),INDEX($C$19:$Q$19,1,B175-2025)/12)</f>
        <v>1.22368380134963</v>
      </c>
      <c r="DA175" s="88" t="n">
        <f aca="false">$AO$6*0</f>
        <v>0</v>
      </c>
      <c r="DB175" s="88" t="n">
        <f aca="false">CZ175+DB174</f>
        <v>288.491651192502</v>
      </c>
      <c r="DC175" s="88" t="n">
        <f aca="false">DA175+DC174</f>
        <v>226</v>
      </c>
      <c r="DD175" s="88" t="n">
        <f aca="false">MAX(DD174,DB175-DC175)</f>
        <v>62.4916511925019</v>
      </c>
      <c r="DE175" s="88" t="n">
        <f aca="false">DD175-DD174</f>
        <v>1.22368380134964</v>
      </c>
      <c r="DF175" s="88" t="n">
        <f aca="false">IF(B175=2026,INDEX($C$20:$Q$20,1,B175-2025)*$AO$4*C175/MAX(0.0001,12-$AO$3),INDEX($C$20:$Q$20,1,B175-2025)/12)</f>
        <v>0.997302298099947</v>
      </c>
      <c r="DG175" s="88" t="n">
        <f aca="false">$AO$6*0</f>
        <v>0</v>
      </c>
      <c r="DH175" s="88" t="n">
        <f aca="false">DF175+DH174</f>
        <v>235.120695721889</v>
      </c>
      <c r="DI175" s="88" t="n">
        <f aca="false">DG175+DI174</f>
        <v>0</v>
      </c>
      <c r="DJ175" s="88" t="n">
        <f aca="false">MAX(DJ174,DH175-DI175)</f>
        <v>235.120695721889</v>
      </c>
      <c r="DK175" s="88" t="n">
        <f aca="false">DJ175-DJ174</f>
        <v>0.997302298099953</v>
      </c>
      <c r="DL175" s="88" t="n">
        <f aca="false">IF(B175=2026,INDEX($C$21:$Q$21,1,B175-2025)*$AO$4*C175/MAX(0.0001,12-$AO$3),INDEX($C$21:$Q$21,1,B175-2025)/12)</f>
        <v>0.697499766769288</v>
      </c>
      <c r="DM175" s="88" t="n">
        <f aca="false">$AO$6*0</f>
        <v>0</v>
      </c>
      <c r="DN175" s="88" t="n">
        <f aca="false">DL175+DN174</f>
        <v>164.440241179726</v>
      </c>
      <c r="DO175" s="88" t="n">
        <f aca="false">DM175+DO174</f>
        <v>100</v>
      </c>
      <c r="DP175" s="88" t="n">
        <f aca="false">MAX(DP174,DN175-DO175)</f>
        <v>64.4402411797257</v>
      </c>
      <c r="DQ175" s="88" t="n">
        <f aca="false">DP175-DP174</f>
        <v>0.697499766769283</v>
      </c>
      <c r="DR175" s="88" t="n">
        <f aca="false">IF(B175=2026,INDEX($C$22:$Q$22,1,B175-2025)*$AO$4*C175/MAX(0.0001,12-$AO$3),INDEX($C$22:$Q$22,1,B175-2025)/12)</f>
        <v>0.544539291600585</v>
      </c>
      <c r="DS175" s="88" t="n">
        <f aca="false">$AO$6*0</f>
        <v>0</v>
      </c>
      <c r="DT175" s="88" t="n">
        <f aca="false">DR175+DT174</f>
        <v>128.378784780663</v>
      </c>
      <c r="DU175" s="88" t="n">
        <f aca="false">DS175+DU174</f>
        <v>29</v>
      </c>
      <c r="DV175" s="88" t="n">
        <f aca="false">MAX(DV174,DT175-DU175)</f>
        <v>99.3787847806632</v>
      </c>
      <c r="DW175" s="88" t="n">
        <f aca="false">DV175-DV174</f>
        <v>0.544539291600586</v>
      </c>
      <c r="DX175" s="88" t="n">
        <f aca="false">IF(B175=2026,INDEX($C$23:$Q$23,1,B175-2025)*$AO$4*C175/MAX(0.0001,12-$AO$3),INDEX($C$23:$Q$23,1,B175-2025)/12)</f>
        <v>0.874933917964984</v>
      </c>
      <c r="DY175" s="88" t="n">
        <f aca="false">$AO$6*0</f>
        <v>0</v>
      </c>
      <c r="DZ175" s="88" t="n">
        <f aca="false">DX175+DZ174</f>
        <v>206.271530602639</v>
      </c>
      <c r="EA175" s="88" t="n">
        <f aca="false">DY175+EA174</f>
        <v>121</v>
      </c>
      <c r="EB175" s="88" t="n">
        <f aca="false">MAX(EB174,DZ175-EA175)</f>
        <v>85.2715306026388</v>
      </c>
      <c r="EC175" s="88" t="n">
        <f aca="false">EB175-EB174</f>
        <v>0.874933917964995</v>
      </c>
      <c r="ED175" s="88" t="n">
        <f aca="false">IF(B175=2026,INDEX($C$24:$Q$24,1,B175-2025)*$AO$4*C175/MAX(0.0001,12-$AO$3),INDEX($C$24:$Q$24,1,B175-2025)/12)</f>
        <v>0.538420872593837</v>
      </c>
      <c r="EE175" s="88" t="n">
        <f aca="false">$AO$6*0</f>
        <v>0</v>
      </c>
      <c r="EF175" s="88" t="n">
        <f aca="false">ED175+EF174</f>
        <v>126.9363265247</v>
      </c>
      <c r="EG175" s="88" t="n">
        <f aca="false">EE175+EG174</f>
        <v>0</v>
      </c>
      <c r="EH175" s="88" t="n">
        <f aca="false">MAX(EH174,EF175-EG175)</f>
        <v>126.9363265247</v>
      </c>
      <c r="EI175" s="88" t="n">
        <f aca="false">EH175-EH174</f>
        <v>0.538420872593832</v>
      </c>
      <c r="EJ175" s="88" t="n">
        <f aca="false">IF(B175=2026,INDEX($C$25:$Q$25,1,B175-2025)*$AO$4*C175/MAX(0.0001,12-$AO$3),INDEX($C$25:$Q$25,1,B175-2025)/12)</f>
        <v>0.685262928755792</v>
      </c>
      <c r="EK175" s="88" t="n">
        <f aca="false">$AO$6*0</f>
        <v>0</v>
      </c>
      <c r="EL175" s="88" t="n">
        <f aca="false">EJ175+EL174</f>
        <v>161.5553246678</v>
      </c>
      <c r="EM175" s="88" t="n">
        <f aca="false">EK175+EM174</f>
        <v>14</v>
      </c>
      <c r="EN175" s="88" t="n">
        <f aca="false">MAX(EN174,EL175-EM175)</f>
        <v>147.5553246678</v>
      </c>
      <c r="EO175" s="88" t="n">
        <f aca="false">EN175-EN174</f>
        <v>0.685262928755805</v>
      </c>
      <c r="EP175" s="88" t="n">
        <f aca="false">IF(B175=2026,INDEX($C$26:$Q$26,1,B175-2025)*$AO$4*C175/MAX(0.0001,12-$AO$3),INDEX($C$26:$Q$26,1,B175-2025)/12)</f>
        <v>0.985065460086451</v>
      </c>
      <c r="EQ175" s="88" t="n">
        <f aca="false">$AO$6*0</f>
        <v>0</v>
      </c>
      <c r="ER175" s="88" t="n">
        <f aca="false">EP175+ER174</f>
        <v>232.235779209963</v>
      </c>
      <c r="ES175" s="88" t="n">
        <f aca="false">EQ175+ES174</f>
        <v>4</v>
      </c>
      <c r="ET175" s="88" t="n">
        <f aca="false">MAX(ET174,ER175-ES175)</f>
        <v>228.235779209963</v>
      </c>
      <c r="EU175" s="88" t="n">
        <f aca="false">ET175-ET174</f>
        <v>0.985065460086446</v>
      </c>
      <c r="EV175" s="88" t="n">
        <f aca="false">IF(B175=2026,INDEX($C$27:$Q$27,1,B175-2025)*$AO$4*C175/MAX(0.0001,12-$AO$3),INDEX($C$27:$Q$27,1,B175-2025)/12)</f>
        <v>2.44736760269926</v>
      </c>
      <c r="EW175" s="88" t="n">
        <f aca="false">$AO$6*0</f>
        <v>0</v>
      </c>
      <c r="EX175" s="88" t="n">
        <f aca="false">EV175+EX174</f>
        <v>576.983302385003</v>
      </c>
      <c r="EY175" s="88" t="n">
        <f aca="false">EW175+EY174</f>
        <v>391</v>
      </c>
      <c r="EZ175" s="88" t="n">
        <f aca="false">MAX(EZ174,EX175-EY175)</f>
        <v>185.983302385003</v>
      </c>
      <c r="FA175" s="88" t="n">
        <f aca="false">EZ175-EZ174</f>
        <v>2.44736760269927</v>
      </c>
      <c r="FB175" s="88" t="n">
        <f aca="false">IF(B175=2026,INDEX($C$28:$Q$28,1,B175-2025)*$AO$4*C175/MAX(0.0001,12-$AO$3),INDEX($C$28:$Q$28,1,B175-2025)/12)</f>
        <v>12.8119694001306</v>
      </c>
      <c r="FC175" s="88" t="n">
        <f aca="false">$AO$6*0</f>
        <v>0</v>
      </c>
      <c r="FD175" s="88" t="n">
        <f aca="false">FB175+FD174</f>
        <v>3020.50758798549</v>
      </c>
      <c r="FE175" s="88" t="n">
        <f aca="false">FC175+FE174</f>
        <v>169</v>
      </c>
      <c r="FF175" s="88" t="n">
        <f aca="false">MAX(FF174,FD175-FE175)</f>
        <v>2851.50758798549</v>
      </c>
      <c r="FG175" s="88" t="n">
        <f aca="false">FF175-FF174</f>
        <v>12.8119694001307</v>
      </c>
    </row>
    <row r="176" customFormat="false" ht="15" hidden="false" customHeight="false" outlineLevel="0" collapsed="false">
      <c r="A176" s="0" t="n">
        <v>136</v>
      </c>
      <c r="B176" s="88" t="n">
        <f aca="false">2026+INT(A176/12)</f>
        <v>2037</v>
      </c>
      <c r="C176" s="88" t="n">
        <f aca="false">MAX(0,MIN(1,A176+1-$AO$3))</f>
        <v>1</v>
      </c>
      <c r="D176" s="88" t="n">
        <f aca="false">IF((A176+0.5-(0))&lt;$AO$3,0,2026+INT((A176+0.5-(0))/12))</f>
        <v>2037</v>
      </c>
      <c r="E176" s="88" t="n">
        <f aca="false">IF((A176+0.5-($AO$9))&lt;$AO$3,0,2026+INT((A176+0.5-($AO$9))/12))</f>
        <v>2036</v>
      </c>
      <c r="F176" s="88" t="n">
        <f aca="false">IF((A176+0.5-($AO$9+$AO$8))&lt;$AO$3,0,2026+INT((A176+0.5-($AO$9+$AO$8))/12))</f>
        <v>2034</v>
      </c>
      <c r="G176" s="88" t="n">
        <f aca="false">IF((A176+0.5-($AO$9+$AO$8+$AO$7))&lt;$AO$3,0,2026+INT((A176+0.5-($AO$9+$AO$8+$AO$7))/12))</f>
        <v>2034</v>
      </c>
      <c r="H176" s="88" t="n">
        <f aca="false">IF(B176=2026,INDEX($C$3:$Q$3,1,B176-2025)*$AO$4*C176/MAX(0.0001,12-$AO$3),INDEX($C$3:$Q$3,1,B176-2025)/12)</f>
        <v>131.166666666667</v>
      </c>
      <c r="I176" s="88" t="n">
        <f aca="false">$AO$6*0</f>
        <v>0</v>
      </c>
      <c r="J176" s="88" t="n">
        <f aca="false">H176+J175</f>
        <v>31054.5867579909</v>
      </c>
      <c r="K176" s="88" t="n">
        <f aca="false">I176+K175</f>
        <v>8695.00000000001</v>
      </c>
      <c r="L176" s="88" t="n">
        <f aca="false">MAX(L175,J176-K176)</f>
        <v>22359.5867579909</v>
      </c>
      <c r="M176" s="88" t="n">
        <f aca="false">L176-L175</f>
        <v>131.166666666664</v>
      </c>
      <c r="N176" s="88" t="n">
        <f aca="false">IF(B176=2026,INDEX($C$4:$Q$4,1,B176-2025)*$AO$4*C176/MAX(0.0001,12-$AO$3),INDEX($C$4:$Q$4,1,B176-2025)/12)</f>
        <v>3.97656100583185</v>
      </c>
      <c r="O176" s="88" t="n">
        <f aca="false">$AO$6*0</f>
        <v>0</v>
      </c>
      <c r="P176" s="88" t="n">
        <f aca="false">N176+P175</f>
        <v>941.477449204946</v>
      </c>
      <c r="Q176" s="88" t="n">
        <f aca="false">O176+Q175</f>
        <v>398</v>
      </c>
      <c r="R176" s="88" t="n">
        <f aca="false">MAX(R175,P176-Q176)</f>
        <v>543.477449204946</v>
      </c>
      <c r="S176" s="88" t="n">
        <f aca="false">R176-R175</f>
        <v>3.97656100583185</v>
      </c>
      <c r="T176" s="88" t="n">
        <f aca="false">IF(B176=2026,INDEX($C$5:$Q$5,1,B176-2025)*$AO$4*C176/MAX(0.0001,12-$AO$3),INDEX($C$5:$Q$5,1,B176-2025)/12)</f>
        <v>16.1621793514627</v>
      </c>
      <c r="U176" s="88" t="n">
        <f aca="false">$AO$6*0</f>
        <v>0</v>
      </c>
      <c r="V176" s="88" t="n">
        <f aca="false">T176+V175</f>
        <v>3826.5041997576</v>
      </c>
      <c r="W176" s="88" t="n">
        <f aca="false">U176+W175</f>
        <v>1115</v>
      </c>
      <c r="X176" s="88" t="n">
        <f aca="false">MAX(X175,V176-W176)</f>
        <v>2711.5041997576</v>
      </c>
      <c r="Y176" s="88" t="n">
        <f aca="false">X176-X175</f>
        <v>16.1621793514623</v>
      </c>
      <c r="Z176" s="88" t="n">
        <f aca="false">IF(B176=2026,INDEX($C$6:$Q$6,1,B176-2025)*$AO$4*C176/MAX(0.0001,12-$AO$3),INDEX($C$6:$Q$6,1,B176-2025)/12)</f>
        <v>19.1751119687993</v>
      </c>
      <c r="AA176" s="88" t="n">
        <f aca="false">$AO$6*0</f>
        <v>0</v>
      </c>
      <c r="AB176" s="88" t="n">
        <f aca="false">Z176+AB175</f>
        <v>4539.83617455606</v>
      </c>
      <c r="AC176" s="88" t="n">
        <f aca="false">AA176+AC175</f>
        <v>2194</v>
      </c>
      <c r="AD176" s="88" t="n">
        <f aca="false">MAX(AD175,AB176-AC176)</f>
        <v>2345.83617455605</v>
      </c>
      <c r="AE176" s="88" t="n">
        <f aca="false">AD176-AD175</f>
        <v>19.1751119687997</v>
      </c>
      <c r="AF176" s="88" t="n">
        <f aca="false">IF(B176=2026,INDEX($C$7:$Q$7,1,B176-2025)*$AO$4*C176/MAX(0.0001,12-$AO$3),INDEX($C$7:$Q$7,1,B176-2025)/12)</f>
        <v>16.6567447720231</v>
      </c>
      <c r="AG176" s="88" t="n">
        <f aca="false">$AO$6*0</f>
        <v>0</v>
      </c>
      <c r="AH176" s="88" t="n">
        <f aca="false">AF176+AH175</f>
        <v>3943.59587518552</v>
      </c>
      <c r="AI176" s="88" t="n">
        <f aca="false">AG176+AI175</f>
        <v>826</v>
      </c>
      <c r="AJ176" s="88" t="n">
        <f aca="false">MAX(AJ175,AH176-AI176)</f>
        <v>3117.59587518552</v>
      </c>
      <c r="AK176" s="88" t="n">
        <f aca="false">AJ176-AJ175</f>
        <v>16.6567447720231</v>
      </c>
      <c r="AL176" s="88" t="n">
        <f aca="false">IF(B176=2026,INDEX($C$8:$Q$8,1,B176-2025)*$AO$4*C176/MAX(0.0001,12-$AO$3),INDEX($C$8:$Q$8,1,B176-2025)/12)</f>
        <v>4.21336949449797</v>
      </c>
      <c r="AM176" s="88" t="n">
        <f aca="false">$AO$6*0</f>
        <v>0</v>
      </c>
      <c r="AN176" s="88" t="n">
        <f aca="false">AL176+AN175</f>
        <v>997.54344480579</v>
      </c>
      <c r="AO176" s="88" t="n">
        <f aca="false">AM176+AO175</f>
        <v>66</v>
      </c>
      <c r="AP176" s="88" t="n">
        <f aca="false">MAX(AP175,AN176-AO176)</f>
        <v>931.54344480579</v>
      </c>
      <c r="AQ176" s="88" t="n">
        <f aca="false">AP176-AP175</f>
        <v>4.21336949449801</v>
      </c>
      <c r="AR176" s="88" t="n">
        <f aca="false">IF(B176=2026,INDEX($C$9:$Q$9,1,B176-2025)*$AO$4*C176/MAX(0.0001,12-$AO$3),INDEX($C$9:$Q$9,1,B176-2025)/12)</f>
        <v>17.9655670728432</v>
      </c>
      <c r="AS176" s="88" t="n">
        <f aca="false">$AO$6*0</f>
        <v>0</v>
      </c>
      <c r="AT176" s="88" t="n">
        <f aca="false">AR176+AT175</f>
        <v>4253.46832010252</v>
      </c>
      <c r="AU176" s="88" t="n">
        <f aca="false">AS176+AU175</f>
        <v>1810</v>
      </c>
      <c r="AV176" s="88" t="n">
        <f aca="false">MAX(AV175,AT176-AU176)</f>
        <v>2443.46832010252</v>
      </c>
      <c r="AW176" s="88" t="n">
        <f aca="false">AV176-AV175</f>
        <v>17.9655670728434</v>
      </c>
      <c r="AX176" s="88" t="n">
        <f aca="false">IF(B176=2026,INDEX($C$10:$Q$10,1,B176-2025)*$AO$4*C176/MAX(0.0001,12-$AO$3),INDEX($C$10:$Q$10,1,B176-2025)/12)</f>
        <v>2.08391470026186</v>
      </c>
      <c r="AY176" s="88" t="n">
        <f aca="false">$AO$6*0</f>
        <v>0</v>
      </c>
      <c r="AZ176" s="88" t="n">
        <f aca="false">AX176+AZ175</f>
        <v>493.380761287428</v>
      </c>
      <c r="BA176" s="88" t="n">
        <f aca="false">AY176+BA175</f>
        <v>50</v>
      </c>
      <c r="BB176" s="88" t="n">
        <f aca="false">MAX(BB175,AZ176-BA176)</f>
        <v>443.380761287428</v>
      </c>
      <c r="BC176" s="88" t="n">
        <f aca="false">BB176-BB175</f>
        <v>2.08391470026186</v>
      </c>
      <c r="BD176" s="88" t="n">
        <f aca="false">IF(B176=2026,INDEX($C$11:$Q$11,1,B176-2025)*$AO$4*C176/MAX(0.0001,12-$AO$3),INDEX($C$11:$Q$11,1,B176-2025)/12)</f>
        <v>10.3558173697453</v>
      </c>
      <c r="BE176" s="88" t="n">
        <f aca="false">$AO$6*0</f>
        <v>0</v>
      </c>
      <c r="BF176" s="88" t="n">
        <f aca="false">BD176+BF175</f>
        <v>2451.80911531384</v>
      </c>
      <c r="BG176" s="88" t="n">
        <f aca="false">BE176+BG175</f>
        <v>240</v>
      </c>
      <c r="BH176" s="88" t="n">
        <f aca="false">MAX(BH175,BF176-BG176)</f>
        <v>2211.80911531384</v>
      </c>
      <c r="BI176" s="88" t="n">
        <f aca="false">BH176-BH175</f>
        <v>10.3558173697452</v>
      </c>
      <c r="BJ176" s="88" t="n">
        <f aca="false">IF(B176=2026,INDEX($C$12:$Q$12,1,B176-2025)*$AO$4*C176/MAX(0.0001,12-$AO$3),INDEX($C$12:$Q$12,1,B176-2025)/12)</f>
        <v>5.67793891670997</v>
      </c>
      <c r="BK176" s="88" t="n">
        <f aca="false">$AO$6*0</f>
        <v>0</v>
      </c>
      <c r="BL176" s="88" t="n">
        <f aca="false">BJ176+BL175</f>
        <v>1344.29006375255</v>
      </c>
      <c r="BM176" s="88" t="n">
        <f aca="false">BK176+BM175</f>
        <v>465</v>
      </c>
      <c r="BN176" s="88" t="n">
        <f aca="false">MAX(BN175,BL176-BM176)</f>
        <v>879.290063752551</v>
      </c>
      <c r="BO176" s="88" t="n">
        <f aca="false">BN176-BN175</f>
        <v>5.67793891670999</v>
      </c>
      <c r="BP176" s="88" t="n">
        <f aca="false">IF(B176=2026,INDEX($C$13:$Q$13,1,B176-2025)*$AO$4*C176/MAX(0.0001,12-$AO$3),INDEX($C$13:$Q$13,1,B176-2025)/12)</f>
        <v>1.77434151195696</v>
      </c>
      <c r="BQ176" s="88" t="n">
        <f aca="false">$AO$6*0</f>
        <v>0</v>
      </c>
      <c r="BR176" s="88" t="n">
        <f aca="false">BP176+BR175</f>
        <v>420.087235741083</v>
      </c>
      <c r="BS176" s="88" t="n">
        <f aca="false">BQ176+BS175</f>
        <v>87</v>
      </c>
      <c r="BT176" s="88" t="n">
        <f aca="false">MAX(BT175,BR176-BS176)</f>
        <v>333.087235741083</v>
      </c>
      <c r="BU176" s="88" t="n">
        <f aca="false">BT176-BT175</f>
        <v>1.77434151195695</v>
      </c>
      <c r="BV176" s="88" t="n">
        <f aca="false">IF(B176=2026,INDEX($C$14:$Q$14,1,B176-2025)*$AO$4*C176/MAX(0.0001,12-$AO$3),INDEX($C$14:$Q$14,1,B176-2025)/12)</f>
        <v>1.05236806916068</v>
      </c>
      <c r="BW176" s="88" t="n">
        <f aca="false">$AO$6*0</f>
        <v>0</v>
      </c>
      <c r="BX176" s="88" t="n">
        <f aca="false">BV176+BX175</f>
        <v>249.155188094712</v>
      </c>
      <c r="BY176" s="88" t="n">
        <f aca="false">BW176+BY175</f>
        <v>0</v>
      </c>
      <c r="BZ176" s="88" t="n">
        <f aca="false">MAX(BZ175,BX176-BY176)</f>
        <v>249.155188094712</v>
      </c>
      <c r="CA176" s="88" t="n">
        <f aca="false">BZ176-BZ175</f>
        <v>1.05236806916068</v>
      </c>
      <c r="CB176" s="88" t="n">
        <f aca="false">IF(B176=2026,INDEX($C$15:$Q$15,1,B176-2025)*$AO$4*C176/MAX(0.0001,12-$AO$3),INDEX($C$15:$Q$15,1,B176-2025)/12)</f>
        <v>1.72539415990298</v>
      </c>
      <c r="CC176" s="88" t="n">
        <f aca="false">$AO$6*0</f>
        <v>0</v>
      </c>
      <c r="CD176" s="88" t="n">
        <f aca="false">CB176+CD175</f>
        <v>408.498622341329</v>
      </c>
      <c r="CE176" s="88" t="n">
        <f aca="false">CC176+CE175</f>
        <v>88.0000000000001</v>
      </c>
      <c r="CF176" s="88" t="n">
        <f aca="false">MAX(CF175,CD176-CE176)</f>
        <v>320.498622341329</v>
      </c>
      <c r="CG176" s="88" t="n">
        <f aca="false">CF176-CF175</f>
        <v>1.72539415990298</v>
      </c>
      <c r="CH176" s="88" t="n">
        <f aca="false">IF(B176=2026,INDEX($C$16:$Q$16,1,B176-2025)*$AO$4*C176/MAX(0.0001,12-$AO$3),INDEX($C$16:$Q$16,1,B176-2025)/12)</f>
        <v>1.36440743850484</v>
      </c>
      <c r="CI176" s="88" t="n">
        <f aca="false">$AO$6*0</f>
        <v>0</v>
      </c>
      <c r="CJ176" s="88" t="n">
        <f aca="false">CH176+CJ175</f>
        <v>323.032598518143</v>
      </c>
      <c r="CK176" s="88" t="n">
        <f aca="false">CI176+CK175</f>
        <v>70</v>
      </c>
      <c r="CL176" s="88" t="n">
        <f aca="false">MAX(CL175,CJ176-CK176)</f>
        <v>253.032598518143</v>
      </c>
      <c r="CM176" s="88" t="n">
        <f aca="false">CL176-CL175</f>
        <v>1.36440743850483</v>
      </c>
      <c r="CN176" s="88" t="n">
        <f aca="false">IF(B176=2026,INDEX($C$17:$Q$17,1,B176-2025)*$AO$4*C176/MAX(0.0001,12-$AO$3),INDEX($C$17:$Q$17,1,B176-2025)/12)</f>
        <v>5.94098485555245</v>
      </c>
      <c r="CO176" s="88" t="n">
        <f aca="false">$AO$6*0</f>
        <v>0</v>
      </c>
      <c r="CP176" s="88" t="n">
        <f aca="false">CN176+CP175</f>
        <v>1406.56795139515</v>
      </c>
      <c r="CQ176" s="88" t="n">
        <f aca="false">CO176+CQ175</f>
        <v>221</v>
      </c>
      <c r="CR176" s="88" t="n">
        <f aca="false">MAX(CR175,CP176-CQ176)</f>
        <v>1185.56795139515</v>
      </c>
      <c r="CS176" s="88" t="n">
        <f aca="false">CR176-CR175</f>
        <v>5.94098485555242</v>
      </c>
      <c r="CT176" s="88" t="n">
        <f aca="false">IF(B176=2026,INDEX($C$18:$Q$18,1,B176-2025)*$AO$4*C176/MAX(0.0001,12-$AO$3),INDEX($C$18:$Q$18,1,B176-2025)/12)</f>
        <v>1.23592063936312</v>
      </c>
      <c r="CU176" s="88" t="n">
        <f aca="false">$AO$6*0</f>
        <v>0</v>
      </c>
      <c r="CV176" s="88" t="n">
        <f aca="false">CT176+CV175</f>
        <v>292.612488343789</v>
      </c>
      <c r="CW176" s="88" t="n">
        <f aca="false">CU176+CW175</f>
        <v>11</v>
      </c>
      <c r="CX176" s="88" t="n">
        <f aca="false">MAX(CX175,CV176-CW176)</f>
        <v>281.612488343789</v>
      </c>
      <c r="CY176" s="88" t="n">
        <f aca="false">CX176-CX175</f>
        <v>1.23592063936314</v>
      </c>
      <c r="CZ176" s="88" t="n">
        <f aca="false">IF(B176=2026,INDEX($C$19:$Q$19,1,B176-2025)*$AO$4*C176/MAX(0.0001,12-$AO$3),INDEX($C$19:$Q$19,1,B176-2025)/12)</f>
        <v>1.22368380134963</v>
      </c>
      <c r="DA176" s="88" t="n">
        <f aca="false">$AO$6*0</f>
        <v>0</v>
      </c>
      <c r="DB176" s="88" t="n">
        <f aca="false">CZ176+DB175</f>
        <v>289.715334993851</v>
      </c>
      <c r="DC176" s="88" t="n">
        <f aca="false">DA176+DC175</f>
        <v>226</v>
      </c>
      <c r="DD176" s="88" t="n">
        <f aca="false">MAX(DD175,DB176-DC176)</f>
        <v>63.7153349938515</v>
      </c>
      <c r="DE176" s="88" t="n">
        <f aca="false">DD176-DD175</f>
        <v>1.22368380134964</v>
      </c>
      <c r="DF176" s="88" t="n">
        <f aca="false">IF(B176=2026,INDEX($C$20:$Q$20,1,B176-2025)*$AO$4*C176/MAX(0.0001,12-$AO$3),INDEX($C$20:$Q$20,1,B176-2025)/12)</f>
        <v>0.997302298099947</v>
      </c>
      <c r="DG176" s="88" t="n">
        <f aca="false">$AO$6*0</f>
        <v>0</v>
      </c>
      <c r="DH176" s="88" t="n">
        <f aca="false">DF176+DH175</f>
        <v>236.117998019989</v>
      </c>
      <c r="DI176" s="88" t="n">
        <f aca="false">DG176+DI175</f>
        <v>0</v>
      </c>
      <c r="DJ176" s="88" t="n">
        <f aca="false">MAX(DJ175,DH176-DI176)</f>
        <v>236.117998019989</v>
      </c>
      <c r="DK176" s="88" t="n">
        <f aca="false">DJ176-DJ175</f>
        <v>0.997302298099953</v>
      </c>
      <c r="DL176" s="88" t="n">
        <f aca="false">IF(B176=2026,INDEX($C$21:$Q$21,1,B176-2025)*$AO$4*C176/MAX(0.0001,12-$AO$3),INDEX($C$21:$Q$21,1,B176-2025)/12)</f>
        <v>0.697499766769288</v>
      </c>
      <c r="DM176" s="88" t="n">
        <f aca="false">$AO$6*0</f>
        <v>0</v>
      </c>
      <c r="DN176" s="88" t="n">
        <f aca="false">DL176+DN175</f>
        <v>165.137740946495</v>
      </c>
      <c r="DO176" s="88" t="n">
        <f aca="false">DM176+DO175</f>
        <v>100</v>
      </c>
      <c r="DP176" s="88" t="n">
        <f aca="false">MAX(DP175,DN176-DO176)</f>
        <v>65.137740946495</v>
      </c>
      <c r="DQ176" s="88" t="n">
        <f aca="false">DP176-DP175</f>
        <v>0.697499766769283</v>
      </c>
      <c r="DR176" s="88" t="n">
        <f aca="false">IF(B176=2026,INDEX($C$22:$Q$22,1,B176-2025)*$AO$4*C176/MAX(0.0001,12-$AO$3),INDEX($C$22:$Q$22,1,B176-2025)/12)</f>
        <v>0.544539291600585</v>
      </c>
      <c r="DS176" s="88" t="n">
        <f aca="false">$AO$6*0</f>
        <v>0</v>
      </c>
      <c r="DT176" s="88" t="n">
        <f aca="false">DR176+DT175</f>
        <v>128.923324072264</v>
      </c>
      <c r="DU176" s="88" t="n">
        <f aca="false">DS176+DU175</f>
        <v>29</v>
      </c>
      <c r="DV176" s="88" t="n">
        <f aca="false">MAX(DV175,DT176-DU176)</f>
        <v>99.9233240722638</v>
      </c>
      <c r="DW176" s="88" t="n">
        <f aca="false">DV176-DV175</f>
        <v>0.544539291600586</v>
      </c>
      <c r="DX176" s="88" t="n">
        <f aca="false">IF(B176=2026,INDEX($C$23:$Q$23,1,B176-2025)*$AO$4*C176/MAX(0.0001,12-$AO$3),INDEX($C$23:$Q$23,1,B176-2025)/12)</f>
        <v>0.874933917964984</v>
      </c>
      <c r="DY176" s="88" t="n">
        <f aca="false">$AO$6*0</f>
        <v>0</v>
      </c>
      <c r="DZ176" s="88" t="n">
        <f aca="false">DX176+DZ175</f>
        <v>207.146464520604</v>
      </c>
      <c r="EA176" s="88" t="n">
        <f aca="false">DY176+EA175</f>
        <v>121</v>
      </c>
      <c r="EB176" s="88" t="n">
        <f aca="false">MAX(EB175,DZ176-EA176)</f>
        <v>86.1464645206038</v>
      </c>
      <c r="EC176" s="88" t="n">
        <f aca="false">EB176-EB175</f>
        <v>0.874933917964995</v>
      </c>
      <c r="ED176" s="88" t="n">
        <f aca="false">IF(B176=2026,INDEX($C$24:$Q$24,1,B176-2025)*$AO$4*C176/MAX(0.0001,12-$AO$3),INDEX($C$24:$Q$24,1,B176-2025)/12)</f>
        <v>0.538420872593837</v>
      </c>
      <c r="EE176" s="88" t="n">
        <f aca="false">$AO$6*0</f>
        <v>0</v>
      </c>
      <c r="EF176" s="88" t="n">
        <f aca="false">ED176+EF175</f>
        <v>127.474747397294</v>
      </c>
      <c r="EG176" s="88" t="n">
        <f aca="false">EE176+EG175</f>
        <v>0</v>
      </c>
      <c r="EH176" s="88" t="n">
        <f aca="false">MAX(EH175,EF176-EG176)</f>
        <v>127.474747397294</v>
      </c>
      <c r="EI176" s="88" t="n">
        <f aca="false">EH176-EH175</f>
        <v>0.538420872593832</v>
      </c>
      <c r="EJ176" s="88" t="n">
        <f aca="false">IF(B176=2026,INDEX($C$25:$Q$25,1,B176-2025)*$AO$4*C176/MAX(0.0001,12-$AO$3),INDEX($C$25:$Q$25,1,B176-2025)/12)</f>
        <v>0.685262928755792</v>
      </c>
      <c r="EK176" s="88" t="n">
        <f aca="false">$AO$6*0</f>
        <v>0</v>
      </c>
      <c r="EL176" s="88" t="n">
        <f aca="false">EJ176+EL175</f>
        <v>162.240587596556</v>
      </c>
      <c r="EM176" s="88" t="n">
        <f aca="false">EK176+EM175</f>
        <v>14</v>
      </c>
      <c r="EN176" s="88" t="n">
        <f aca="false">MAX(EN175,EL176-EM176)</f>
        <v>148.240587596556</v>
      </c>
      <c r="EO176" s="88" t="n">
        <f aca="false">EN176-EN175</f>
        <v>0.685262928755805</v>
      </c>
      <c r="EP176" s="88" t="n">
        <f aca="false">IF(B176=2026,INDEX($C$26:$Q$26,1,B176-2025)*$AO$4*C176/MAX(0.0001,12-$AO$3),INDEX($C$26:$Q$26,1,B176-2025)/12)</f>
        <v>0.985065460086451</v>
      </c>
      <c r="EQ176" s="88" t="n">
        <f aca="false">$AO$6*0</f>
        <v>0</v>
      </c>
      <c r="ER176" s="88" t="n">
        <f aca="false">EP176+ER175</f>
        <v>233.220844670049</v>
      </c>
      <c r="ES176" s="88" t="n">
        <f aca="false">EQ176+ES175</f>
        <v>4</v>
      </c>
      <c r="ET176" s="88" t="n">
        <f aca="false">MAX(ET175,ER176-ES176)</f>
        <v>229.220844670049</v>
      </c>
      <c r="EU176" s="88" t="n">
        <f aca="false">ET176-ET175</f>
        <v>0.985065460086446</v>
      </c>
      <c r="EV176" s="88" t="n">
        <f aca="false">IF(B176=2026,INDEX($C$27:$Q$27,1,B176-2025)*$AO$4*C176/MAX(0.0001,12-$AO$3),INDEX($C$27:$Q$27,1,B176-2025)/12)</f>
        <v>2.44736760269926</v>
      </c>
      <c r="EW176" s="88" t="n">
        <f aca="false">$AO$6*0</f>
        <v>0</v>
      </c>
      <c r="EX176" s="88" t="n">
        <f aca="false">EV176+EX175</f>
        <v>579.430669987703</v>
      </c>
      <c r="EY176" s="88" t="n">
        <f aca="false">EW176+EY175</f>
        <v>391</v>
      </c>
      <c r="EZ176" s="88" t="n">
        <f aca="false">MAX(EZ175,EX176-EY176)</f>
        <v>188.430669987702</v>
      </c>
      <c r="FA176" s="88" t="n">
        <f aca="false">EZ176-EZ175</f>
        <v>2.44736760269927</v>
      </c>
      <c r="FB176" s="88" t="n">
        <f aca="false">IF(B176=2026,INDEX($C$28:$Q$28,1,B176-2025)*$AO$4*C176/MAX(0.0001,12-$AO$3),INDEX($C$28:$Q$28,1,B176-2025)/12)</f>
        <v>12.8119694001306</v>
      </c>
      <c r="FC176" s="88" t="n">
        <f aca="false">$AO$6*0</f>
        <v>0</v>
      </c>
      <c r="FD176" s="88" t="n">
        <f aca="false">FB176+FD175</f>
        <v>3033.31955738562</v>
      </c>
      <c r="FE176" s="88" t="n">
        <f aca="false">FC176+FE175</f>
        <v>169</v>
      </c>
      <c r="FF176" s="88" t="n">
        <f aca="false">MAX(FF175,FD176-FE176)</f>
        <v>2864.31955738562</v>
      </c>
      <c r="FG176" s="88" t="n">
        <f aca="false">FF176-FF175</f>
        <v>12.8119694001307</v>
      </c>
    </row>
    <row r="177" customFormat="false" ht="15" hidden="false" customHeight="false" outlineLevel="0" collapsed="false">
      <c r="A177" s="0" t="n">
        <v>137</v>
      </c>
      <c r="B177" s="88" t="n">
        <f aca="false">2026+INT(A177/12)</f>
        <v>2037</v>
      </c>
      <c r="C177" s="88" t="n">
        <f aca="false">MAX(0,MIN(1,A177+1-$AO$3))</f>
        <v>1</v>
      </c>
      <c r="D177" s="88" t="n">
        <f aca="false">IF((A177+0.5-(0))&lt;$AO$3,0,2026+INT((A177+0.5-(0))/12))</f>
        <v>2037</v>
      </c>
      <c r="E177" s="88" t="n">
        <f aca="false">IF((A177+0.5-($AO$9))&lt;$AO$3,0,2026+INT((A177+0.5-($AO$9))/12))</f>
        <v>2036</v>
      </c>
      <c r="F177" s="88" t="n">
        <f aca="false">IF((A177+0.5-($AO$9+$AO$8))&lt;$AO$3,0,2026+INT((A177+0.5-($AO$9+$AO$8))/12))</f>
        <v>2034</v>
      </c>
      <c r="G177" s="88" t="n">
        <f aca="false">IF((A177+0.5-($AO$9+$AO$8+$AO$7))&lt;$AO$3,0,2026+INT((A177+0.5-($AO$9+$AO$8+$AO$7))/12))</f>
        <v>2034</v>
      </c>
      <c r="H177" s="88" t="n">
        <f aca="false">IF(B177=2026,INDEX($C$3:$Q$3,1,B177-2025)*$AO$4*C177/MAX(0.0001,12-$AO$3),INDEX($C$3:$Q$3,1,B177-2025)/12)</f>
        <v>131.166666666667</v>
      </c>
      <c r="I177" s="88" t="n">
        <f aca="false">$AO$6*0</f>
        <v>0</v>
      </c>
      <c r="J177" s="88" t="n">
        <f aca="false">H177+J176</f>
        <v>31185.7534246576</v>
      </c>
      <c r="K177" s="88" t="n">
        <f aca="false">I177+K176</f>
        <v>8695.00000000001</v>
      </c>
      <c r="L177" s="88" t="n">
        <f aca="false">MAX(L176,J177-K177)</f>
        <v>22490.7534246576</v>
      </c>
      <c r="M177" s="88" t="n">
        <f aca="false">L177-L176</f>
        <v>131.166666666672</v>
      </c>
      <c r="N177" s="88" t="n">
        <f aca="false">IF(B177=2026,INDEX($C$4:$Q$4,1,B177-2025)*$AO$4*C177/MAX(0.0001,12-$AO$3),INDEX($C$4:$Q$4,1,B177-2025)/12)</f>
        <v>3.97656100583185</v>
      </c>
      <c r="O177" s="88" t="n">
        <f aca="false">$AO$6*0</f>
        <v>0</v>
      </c>
      <c r="P177" s="88" t="n">
        <f aca="false">N177+P176</f>
        <v>945.454010210777</v>
      </c>
      <c r="Q177" s="88" t="n">
        <f aca="false">O177+Q176</f>
        <v>398</v>
      </c>
      <c r="R177" s="88" t="n">
        <f aca="false">MAX(R176,P177-Q177)</f>
        <v>547.454010210777</v>
      </c>
      <c r="S177" s="88" t="n">
        <f aca="false">R177-R176</f>
        <v>3.97656100583185</v>
      </c>
      <c r="T177" s="88" t="n">
        <f aca="false">IF(B177=2026,INDEX($C$5:$Q$5,1,B177-2025)*$AO$4*C177/MAX(0.0001,12-$AO$3),INDEX($C$5:$Q$5,1,B177-2025)/12)</f>
        <v>16.1621793514627</v>
      </c>
      <c r="U177" s="88" t="n">
        <f aca="false">$AO$6*0</f>
        <v>0</v>
      </c>
      <c r="V177" s="88" t="n">
        <f aca="false">T177+V176</f>
        <v>3842.66637910906</v>
      </c>
      <c r="W177" s="88" t="n">
        <f aca="false">U177+W176</f>
        <v>1115</v>
      </c>
      <c r="X177" s="88" t="n">
        <f aca="false">MAX(X176,V177-W177)</f>
        <v>2727.66637910906</v>
      </c>
      <c r="Y177" s="88" t="n">
        <f aca="false">X177-X176</f>
        <v>16.1621793514632</v>
      </c>
      <c r="Z177" s="88" t="n">
        <f aca="false">IF(B177=2026,INDEX($C$6:$Q$6,1,B177-2025)*$AO$4*C177/MAX(0.0001,12-$AO$3),INDEX($C$6:$Q$6,1,B177-2025)/12)</f>
        <v>19.1751119687993</v>
      </c>
      <c r="AA177" s="88" t="n">
        <f aca="false">$AO$6*0</f>
        <v>0</v>
      </c>
      <c r="AB177" s="88" t="n">
        <f aca="false">Z177+AB176</f>
        <v>4559.01128652486</v>
      </c>
      <c r="AC177" s="88" t="n">
        <f aca="false">AA177+AC176</f>
        <v>2194</v>
      </c>
      <c r="AD177" s="88" t="n">
        <f aca="false">MAX(AD176,AB177-AC177)</f>
        <v>2365.01128652485</v>
      </c>
      <c r="AE177" s="88" t="n">
        <f aca="false">AD177-AD176</f>
        <v>19.1751119687997</v>
      </c>
      <c r="AF177" s="88" t="n">
        <f aca="false">IF(B177=2026,INDEX($C$7:$Q$7,1,B177-2025)*$AO$4*C177/MAX(0.0001,12-$AO$3),INDEX($C$7:$Q$7,1,B177-2025)/12)</f>
        <v>16.6567447720231</v>
      </c>
      <c r="AG177" s="88" t="n">
        <f aca="false">$AO$6*0</f>
        <v>0</v>
      </c>
      <c r="AH177" s="88" t="n">
        <f aca="false">AF177+AH176</f>
        <v>3960.25261995754</v>
      </c>
      <c r="AI177" s="88" t="n">
        <f aca="false">AG177+AI176</f>
        <v>826</v>
      </c>
      <c r="AJ177" s="88" t="n">
        <f aca="false">MAX(AJ176,AH177-AI177)</f>
        <v>3134.25261995754</v>
      </c>
      <c r="AK177" s="88" t="n">
        <f aca="false">AJ177-AJ176</f>
        <v>16.6567447720231</v>
      </c>
      <c r="AL177" s="88" t="n">
        <f aca="false">IF(B177=2026,INDEX($C$8:$Q$8,1,B177-2025)*$AO$4*C177/MAX(0.0001,12-$AO$3),INDEX($C$8:$Q$8,1,B177-2025)/12)</f>
        <v>4.21336949449797</v>
      </c>
      <c r="AM177" s="88" t="n">
        <f aca="false">$AO$6*0</f>
        <v>0</v>
      </c>
      <c r="AN177" s="88" t="n">
        <f aca="false">AL177+AN176</f>
        <v>1001.75681430029</v>
      </c>
      <c r="AO177" s="88" t="n">
        <f aca="false">AM177+AO176</f>
        <v>66</v>
      </c>
      <c r="AP177" s="88" t="n">
        <f aca="false">MAX(AP176,AN177-AO177)</f>
        <v>935.756814300288</v>
      </c>
      <c r="AQ177" s="88" t="n">
        <f aca="false">AP177-AP176</f>
        <v>4.21336949449801</v>
      </c>
      <c r="AR177" s="88" t="n">
        <f aca="false">IF(B177=2026,INDEX($C$9:$Q$9,1,B177-2025)*$AO$4*C177/MAX(0.0001,12-$AO$3),INDEX($C$9:$Q$9,1,B177-2025)/12)</f>
        <v>17.9655670728432</v>
      </c>
      <c r="AS177" s="88" t="n">
        <f aca="false">$AO$6*0</f>
        <v>0</v>
      </c>
      <c r="AT177" s="88" t="n">
        <f aca="false">AR177+AT176</f>
        <v>4271.43388717536</v>
      </c>
      <c r="AU177" s="88" t="n">
        <f aca="false">AS177+AU176</f>
        <v>1810</v>
      </c>
      <c r="AV177" s="88" t="n">
        <f aca="false">MAX(AV176,AT177-AU177)</f>
        <v>2461.43388717536</v>
      </c>
      <c r="AW177" s="88" t="n">
        <f aca="false">AV177-AV176</f>
        <v>17.9655670728434</v>
      </c>
      <c r="AX177" s="88" t="n">
        <f aca="false">IF(B177=2026,INDEX($C$10:$Q$10,1,B177-2025)*$AO$4*C177/MAX(0.0001,12-$AO$3),INDEX($C$10:$Q$10,1,B177-2025)/12)</f>
        <v>2.08391470026186</v>
      </c>
      <c r="AY177" s="88" t="n">
        <f aca="false">$AO$6*0</f>
        <v>0</v>
      </c>
      <c r="AZ177" s="88" t="n">
        <f aca="false">AX177+AZ176</f>
        <v>495.46467598769</v>
      </c>
      <c r="BA177" s="88" t="n">
        <f aca="false">AY177+BA176</f>
        <v>50</v>
      </c>
      <c r="BB177" s="88" t="n">
        <f aca="false">MAX(BB176,AZ177-BA177)</f>
        <v>445.46467598769</v>
      </c>
      <c r="BC177" s="88" t="n">
        <f aca="false">BB177-BB176</f>
        <v>2.08391470026186</v>
      </c>
      <c r="BD177" s="88" t="n">
        <f aca="false">IF(B177=2026,INDEX($C$11:$Q$11,1,B177-2025)*$AO$4*C177/MAX(0.0001,12-$AO$3),INDEX($C$11:$Q$11,1,B177-2025)/12)</f>
        <v>10.3558173697453</v>
      </c>
      <c r="BE177" s="88" t="n">
        <f aca="false">$AO$6*0</f>
        <v>0</v>
      </c>
      <c r="BF177" s="88" t="n">
        <f aca="false">BD177+BF176</f>
        <v>2462.16493268358</v>
      </c>
      <c r="BG177" s="88" t="n">
        <f aca="false">BE177+BG176</f>
        <v>240</v>
      </c>
      <c r="BH177" s="88" t="n">
        <f aca="false">MAX(BH176,BF177-BG177)</f>
        <v>2222.16493268358</v>
      </c>
      <c r="BI177" s="88" t="n">
        <f aca="false">BH177-BH176</f>
        <v>10.3558173697452</v>
      </c>
      <c r="BJ177" s="88" t="n">
        <f aca="false">IF(B177=2026,INDEX($C$12:$Q$12,1,B177-2025)*$AO$4*C177/MAX(0.0001,12-$AO$3),INDEX($C$12:$Q$12,1,B177-2025)/12)</f>
        <v>5.67793891670997</v>
      </c>
      <c r="BK177" s="88" t="n">
        <f aca="false">$AO$6*0</f>
        <v>0</v>
      </c>
      <c r="BL177" s="88" t="n">
        <f aca="false">BJ177+BL176</f>
        <v>1349.96800266926</v>
      </c>
      <c r="BM177" s="88" t="n">
        <f aca="false">BK177+BM176</f>
        <v>465</v>
      </c>
      <c r="BN177" s="88" t="n">
        <f aca="false">MAX(BN176,BL177-BM177)</f>
        <v>884.968002669261</v>
      </c>
      <c r="BO177" s="88" t="n">
        <f aca="false">BN177-BN176</f>
        <v>5.67793891670999</v>
      </c>
      <c r="BP177" s="88" t="n">
        <f aca="false">IF(B177=2026,INDEX($C$13:$Q$13,1,B177-2025)*$AO$4*C177/MAX(0.0001,12-$AO$3),INDEX($C$13:$Q$13,1,B177-2025)/12)</f>
        <v>1.77434151195696</v>
      </c>
      <c r="BQ177" s="88" t="n">
        <f aca="false">$AO$6*0</f>
        <v>0</v>
      </c>
      <c r="BR177" s="88" t="n">
        <f aca="false">BP177+BR176</f>
        <v>421.86157725304</v>
      </c>
      <c r="BS177" s="88" t="n">
        <f aca="false">BQ177+BS176</f>
        <v>87</v>
      </c>
      <c r="BT177" s="88" t="n">
        <f aca="false">MAX(BT176,BR177-BS177)</f>
        <v>334.86157725304</v>
      </c>
      <c r="BU177" s="88" t="n">
        <f aca="false">BT177-BT176</f>
        <v>1.77434151195695</v>
      </c>
      <c r="BV177" s="88" t="n">
        <f aca="false">IF(B177=2026,INDEX($C$14:$Q$14,1,B177-2025)*$AO$4*C177/MAX(0.0001,12-$AO$3),INDEX($C$14:$Q$14,1,B177-2025)/12)</f>
        <v>1.05236806916068</v>
      </c>
      <c r="BW177" s="88" t="n">
        <f aca="false">$AO$6*0</f>
        <v>0</v>
      </c>
      <c r="BX177" s="88" t="n">
        <f aca="false">BV177+BX176</f>
        <v>250.207556163873</v>
      </c>
      <c r="BY177" s="88" t="n">
        <f aca="false">BW177+BY176</f>
        <v>0</v>
      </c>
      <c r="BZ177" s="88" t="n">
        <f aca="false">MAX(BZ176,BX177-BY177)</f>
        <v>250.207556163873</v>
      </c>
      <c r="CA177" s="88" t="n">
        <f aca="false">BZ177-BZ176</f>
        <v>1.05236806916068</v>
      </c>
      <c r="CB177" s="88" t="n">
        <f aca="false">IF(B177=2026,INDEX($C$15:$Q$15,1,B177-2025)*$AO$4*C177/MAX(0.0001,12-$AO$3),INDEX($C$15:$Q$15,1,B177-2025)/12)</f>
        <v>1.72539415990298</v>
      </c>
      <c r="CC177" s="88" t="n">
        <f aca="false">$AO$6*0</f>
        <v>0</v>
      </c>
      <c r="CD177" s="88" t="n">
        <f aca="false">CB177+CD176</f>
        <v>410.224016501232</v>
      </c>
      <c r="CE177" s="88" t="n">
        <f aca="false">CC177+CE176</f>
        <v>88.0000000000001</v>
      </c>
      <c r="CF177" s="88" t="n">
        <f aca="false">MAX(CF176,CD177-CE177)</f>
        <v>322.224016501232</v>
      </c>
      <c r="CG177" s="88" t="n">
        <f aca="false">CF177-CF176</f>
        <v>1.72539415990298</v>
      </c>
      <c r="CH177" s="88" t="n">
        <f aca="false">IF(B177=2026,INDEX($C$16:$Q$16,1,B177-2025)*$AO$4*C177/MAX(0.0001,12-$AO$3),INDEX($C$16:$Q$16,1,B177-2025)/12)</f>
        <v>1.36440743850484</v>
      </c>
      <c r="CI177" s="88" t="n">
        <f aca="false">$AO$6*0</f>
        <v>0</v>
      </c>
      <c r="CJ177" s="88" t="n">
        <f aca="false">CH177+CJ176</f>
        <v>324.397005956648</v>
      </c>
      <c r="CK177" s="88" t="n">
        <f aca="false">CI177+CK176</f>
        <v>70</v>
      </c>
      <c r="CL177" s="88" t="n">
        <f aca="false">MAX(CL176,CJ177-CK177)</f>
        <v>254.397005956648</v>
      </c>
      <c r="CM177" s="88" t="n">
        <f aca="false">CL177-CL176</f>
        <v>1.36440743850483</v>
      </c>
      <c r="CN177" s="88" t="n">
        <f aca="false">IF(B177=2026,INDEX($C$17:$Q$17,1,B177-2025)*$AO$4*C177/MAX(0.0001,12-$AO$3),INDEX($C$17:$Q$17,1,B177-2025)/12)</f>
        <v>5.94098485555245</v>
      </c>
      <c r="CO177" s="88" t="n">
        <f aca="false">$AO$6*0</f>
        <v>0</v>
      </c>
      <c r="CP177" s="88" t="n">
        <f aca="false">CN177+CP176</f>
        <v>1412.5089362507</v>
      </c>
      <c r="CQ177" s="88" t="n">
        <f aca="false">CO177+CQ176</f>
        <v>221</v>
      </c>
      <c r="CR177" s="88" t="n">
        <f aca="false">MAX(CR176,CP177-CQ177)</f>
        <v>1191.5089362507</v>
      </c>
      <c r="CS177" s="88" t="n">
        <f aca="false">CR177-CR176</f>
        <v>5.94098485555242</v>
      </c>
      <c r="CT177" s="88" t="n">
        <f aca="false">IF(B177=2026,INDEX($C$18:$Q$18,1,B177-2025)*$AO$4*C177/MAX(0.0001,12-$AO$3),INDEX($C$18:$Q$18,1,B177-2025)/12)</f>
        <v>1.23592063936312</v>
      </c>
      <c r="CU177" s="88" t="n">
        <f aca="false">$AO$6*0</f>
        <v>0</v>
      </c>
      <c r="CV177" s="88" t="n">
        <f aca="false">CT177+CV176</f>
        <v>293.848408983153</v>
      </c>
      <c r="CW177" s="88" t="n">
        <f aca="false">CU177+CW176</f>
        <v>11</v>
      </c>
      <c r="CX177" s="88" t="n">
        <f aca="false">MAX(CX176,CV177-CW177)</f>
        <v>282.848408983153</v>
      </c>
      <c r="CY177" s="88" t="n">
        <f aca="false">CX177-CX176</f>
        <v>1.23592063936314</v>
      </c>
      <c r="CZ177" s="88" t="n">
        <f aca="false">IF(B177=2026,INDEX($C$19:$Q$19,1,B177-2025)*$AO$4*C177/MAX(0.0001,12-$AO$3),INDEX($C$19:$Q$19,1,B177-2025)/12)</f>
        <v>1.22368380134963</v>
      </c>
      <c r="DA177" s="88" t="n">
        <f aca="false">$AO$6*0</f>
        <v>0</v>
      </c>
      <c r="DB177" s="88" t="n">
        <f aca="false">CZ177+DB176</f>
        <v>290.939018795201</v>
      </c>
      <c r="DC177" s="88" t="n">
        <f aca="false">DA177+DC176</f>
        <v>226</v>
      </c>
      <c r="DD177" s="88" t="n">
        <f aca="false">MAX(DD176,DB177-DC177)</f>
        <v>64.9390187952011</v>
      </c>
      <c r="DE177" s="88" t="n">
        <f aca="false">DD177-DD176</f>
        <v>1.22368380134964</v>
      </c>
      <c r="DF177" s="88" t="n">
        <f aca="false">IF(B177=2026,INDEX($C$20:$Q$20,1,B177-2025)*$AO$4*C177/MAX(0.0001,12-$AO$3),INDEX($C$20:$Q$20,1,B177-2025)/12)</f>
        <v>0.997302298099947</v>
      </c>
      <c r="DG177" s="88" t="n">
        <f aca="false">$AO$6*0</f>
        <v>0</v>
      </c>
      <c r="DH177" s="88" t="n">
        <f aca="false">DF177+DH176</f>
        <v>237.115300318088</v>
      </c>
      <c r="DI177" s="88" t="n">
        <f aca="false">DG177+DI176</f>
        <v>0</v>
      </c>
      <c r="DJ177" s="88" t="n">
        <f aca="false">MAX(DJ176,DH177-DI177)</f>
        <v>237.115300318088</v>
      </c>
      <c r="DK177" s="88" t="n">
        <f aca="false">DJ177-DJ176</f>
        <v>0.997302298099953</v>
      </c>
      <c r="DL177" s="88" t="n">
        <f aca="false">IF(B177=2026,INDEX($C$21:$Q$21,1,B177-2025)*$AO$4*C177/MAX(0.0001,12-$AO$3),INDEX($C$21:$Q$21,1,B177-2025)/12)</f>
        <v>0.697499766769288</v>
      </c>
      <c r="DM177" s="88" t="n">
        <f aca="false">$AO$6*0</f>
        <v>0</v>
      </c>
      <c r="DN177" s="88" t="n">
        <f aca="false">DL177+DN176</f>
        <v>165.835240713264</v>
      </c>
      <c r="DO177" s="88" t="n">
        <f aca="false">DM177+DO176</f>
        <v>100</v>
      </c>
      <c r="DP177" s="88" t="n">
        <f aca="false">MAX(DP176,DN177-DO177)</f>
        <v>65.8352407132643</v>
      </c>
      <c r="DQ177" s="88" t="n">
        <f aca="false">DP177-DP176</f>
        <v>0.697499766769283</v>
      </c>
      <c r="DR177" s="88" t="n">
        <f aca="false">IF(B177=2026,INDEX($C$22:$Q$22,1,B177-2025)*$AO$4*C177/MAX(0.0001,12-$AO$3),INDEX($C$22:$Q$22,1,B177-2025)/12)</f>
        <v>0.544539291600585</v>
      </c>
      <c r="DS177" s="88" t="n">
        <f aca="false">$AO$6*0</f>
        <v>0</v>
      </c>
      <c r="DT177" s="88" t="n">
        <f aca="false">DR177+DT176</f>
        <v>129.467863363864</v>
      </c>
      <c r="DU177" s="88" t="n">
        <f aca="false">DS177+DU176</f>
        <v>29</v>
      </c>
      <c r="DV177" s="88" t="n">
        <f aca="false">MAX(DV176,DT177-DU177)</f>
        <v>100.467863363864</v>
      </c>
      <c r="DW177" s="88" t="n">
        <f aca="false">DV177-DV176</f>
        <v>0.544539291600586</v>
      </c>
      <c r="DX177" s="88" t="n">
        <f aca="false">IF(B177=2026,INDEX($C$23:$Q$23,1,B177-2025)*$AO$4*C177/MAX(0.0001,12-$AO$3),INDEX($C$23:$Q$23,1,B177-2025)/12)</f>
        <v>0.874933917964984</v>
      </c>
      <c r="DY177" s="88" t="n">
        <f aca="false">$AO$6*0</f>
        <v>0</v>
      </c>
      <c r="DZ177" s="88" t="n">
        <f aca="false">DX177+DZ176</f>
        <v>208.021398438569</v>
      </c>
      <c r="EA177" s="88" t="n">
        <f aca="false">DY177+EA176</f>
        <v>121</v>
      </c>
      <c r="EB177" s="88" t="n">
        <f aca="false">MAX(EB176,DZ177-EA177)</f>
        <v>87.0213984385688</v>
      </c>
      <c r="EC177" s="88" t="n">
        <f aca="false">EB177-EB176</f>
        <v>0.874933917964995</v>
      </c>
      <c r="ED177" s="88" t="n">
        <f aca="false">IF(B177=2026,INDEX($C$24:$Q$24,1,B177-2025)*$AO$4*C177/MAX(0.0001,12-$AO$3),INDEX($C$24:$Q$24,1,B177-2025)/12)</f>
        <v>0.538420872593837</v>
      </c>
      <c r="EE177" s="88" t="n">
        <f aca="false">$AO$6*0</f>
        <v>0</v>
      </c>
      <c r="EF177" s="88" t="n">
        <f aca="false">ED177+EF176</f>
        <v>128.013168269888</v>
      </c>
      <c r="EG177" s="88" t="n">
        <f aca="false">EE177+EG176</f>
        <v>0</v>
      </c>
      <c r="EH177" s="88" t="n">
        <f aca="false">MAX(EH176,EF177-EG177)</f>
        <v>128.013168269888</v>
      </c>
      <c r="EI177" s="88" t="n">
        <f aca="false">EH177-EH176</f>
        <v>0.538420872593846</v>
      </c>
      <c r="EJ177" s="88" t="n">
        <f aca="false">IF(B177=2026,INDEX($C$25:$Q$25,1,B177-2025)*$AO$4*C177/MAX(0.0001,12-$AO$3),INDEX($C$25:$Q$25,1,B177-2025)/12)</f>
        <v>0.685262928755792</v>
      </c>
      <c r="EK177" s="88" t="n">
        <f aca="false">$AO$6*0</f>
        <v>0</v>
      </c>
      <c r="EL177" s="88" t="n">
        <f aca="false">EJ177+EL176</f>
        <v>162.925850525312</v>
      </c>
      <c r="EM177" s="88" t="n">
        <f aca="false">EK177+EM176</f>
        <v>14</v>
      </c>
      <c r="EN177" s="88" t="n">
        <f aca="false">MAX(EN176,EL177-EM177)</f>
        <v>148.925850525312</v>
      </c>
      <c r="EO177" s="88" t="n">
        <f aca="false">EN177-EN176</f>
        <v>0.685262928755805</v>
      </c>
      <c r="EP177" s="88" t="n">
        <f aca="false">IF(B177=2026,INDEX($C$26:$Q$26,1,B177-2025)*$AO$4*C177/MAX(0.0001,12-$AO$3),INDEX($C$26:$Q$26,1,B177-2025)/12)</f>
        <v>0.985065460086451</v>
      </c>
      <c r="EQ177" s="88" t="n">
        <f aca="false">$AO$6*0</f>
        <v>0</v>
      </c>
      <c r="ER177" s="88" t="n">
        <f aca="false">EP177+ER176</f>
        <v>234.205910130135</v>
      </c>
      <c r="ES177" s="88" t="n">
        <f aca="false">EQ177+ES176</f>
        <v>4</v>
      </c>
      <c r="ET177" s="88" t="n">
        <f aca="false">MAX(ET176,ER177-ES177)</f>
        <v>230.205910130135</v>
      </c>
      <c r="EU177" s="88" t="n">
        <f aca="false">ET177-ET176</f>
        <v>0.985065460086446</v>
      </c>
      <c r="EV177" s="88" t="n">
        <f aca="false">IF(B177=2026,INDEX($C$27:$Q$27,1,B177-2025)*$AO$4*C177/MAX(0.0001,12-$AO$3),INDEX($C$27:$Q$27,1,B177-2025)/12)</f>
        <v>2.44736760269926</v>
      </c>
      <c r="EW177" s="88" t="n">
        <f aca="false">$AO$6*0</f>
        <v>0</v>
      </c>
      <c r="EX177" s="88" t="n">
        <f aca="false">EV177+EX176</f>
        <v>581.878037590402</v>
      </c>
      <c r="EY177" s="88" t="n">
        <f aca="false">EW177+EY176</f>
        <v>391</v>
      </c>
      <c r="EZ177" s="88" t="n">
        <f aca="false">MAX(EZ176,EX177-EY177)</f>
        <v>190.878037590402</v>
      </c>
      <c r="FA177" s="88" t="n">
        <f aca="false">EZ177-EZ176</f>
        <v>2.44736760269927</v>
      </c>
      <c r="FB177" s="88" t="n">
        <f aca="false">IF(B177=2026,INDEX($C$28:$Q$28,1,B177-2025)*$AO$4*C177/MAX(0.0001,12-$AO$3),INDEX($C$28:$Q$28,1,B177-2025)/12)</f>
        <v>12.8119694001306</v>
      </c>
      <c r="FC177" s="88" t="n">
        <f aca="false">$AO$6*0</f>
        <v>0</v>
      </c>
      <c r="FD177" s="88" t="n">
        <f aca="false">FB177+FD176</f>
        <v>3046.13152678575</v>
      </c>
      <c r="FE177" s="88" t="n">
        <f aca="false">FC177+FE176</f>
        <v>169</v>
      </c>
      <c r="FF177" s="88" t="n">
        <f aca="false">MAX(FF176,FD177-FE177)</f>
        <v>2877.13152678575</v>
      </c>
      <c r="FG177" s="88" t="n">
        <f aca="false">FF177-FF176</f>
        <v>12.8119694001307</v>
      </c>
    </row>
    <row r="178" customFormat="false" ht="15" hidden="false" customHeight="false" outlineLevel="0" collapsed="false">
      <c r="A178" s="0" t="n">
        <v>138</v>
      </c>
      <c r="B178" s="88" t="n">
        <f aca="false">2026+INT(A178/12)</f>
        <v>2037</v>
      </c>
      <c r="C178" s="88" t="n">
        <f aca="false">MAX(0,MIN(1,A178+1-$AO$3))</f>
        <v>1</v>
      </c>
      <c r="D178" s="88" t="n">
        <f aca="false">IF((A178+0.5-(0))&lt;$AO$3,0,2026+INT((A178+0.5-(0))/12))</f>
        <v>2037</v>
      </c>
      <c r="E178" s="88" t="n">
        <f aca="false">IF((A178+0.5-($AO$9))&lt;$AO$3,0,2026+INT((A178+0.5-($AO$9))/12))</f>
        <v>2036</v>
      </c>
      <c r="F178" s="88" t="n">
        <f aca="false">IF((A178+0.5-($AO$9+$AO$8))&lt;$AO$3,0,2026+INT((A178+0.5-($AO$9+$AO$8))/12))</f>
        <v>2034</v>
      </c>
      <c r="G178" s="88" t="n">
        <f aca="false">IF((A178+0.5-($AO$9+$AO$8+$AO$7))&lt;$AO$3,0,2026+INT((A178+0.5-($AO$9+$AO$8+$AO$7))/12))</f>
        <v>2034</v>
      </c>
      <c r="H178" s="88" t="n">
        <f aca="false">IF(B178=2026,INDEX($C$3:$Q$3,1,B178-2025)*$AO$4*C178/MAX(0.0001,12-$AO$3),INDEX($C$3:$Q$3,1,B178-2025)/12)</f>
        <v>131.166666666667</v>
      </c>
      <c r="I178" s="88" t="n">
        <f aca="false">$AO$6*0</f>
        <v>0</v>
      </c>
      <c r="J178" s="88" t="n">
        <f aca="false">H178+J177</f>
        <v>31316.9200913243</v>
      </c>
      <c r="K178" s="88" t="n">
        <f aca="false">I178+K177</f>
        <v>8695.00000000001</v>
      </c>
      <c r="L178" s="88" t="n">
        <f aca="false">MAX(L177,J178-K178)</f>
        <v>22621.9200913242</v>
      </c>
      <c r="M178" s="88" t="n">
        <f aca="false">L178-L177</f>
        <v>131.166666666664</v>
      </c>
      <c r="N178" s="88" t="n">
        <f aca="false">IF(B178=2026,INDEX($C$4:$Q$4,1,B178-2025)*$AO$4*C178/MAX(0.0001,12-$AO$3),INDEX($C$4:$Q$4,1,B178-2025)/12)</f>
        <v>3.97656100583185</v>
      </c>
      <c r="O178" s="88" t="n">
        <f aca="false">$AO$6*0</f>
        <v>0</v>
      </c>
      <c r="P178" s="88" t="n">
        <f aca="false">N178+P177</f>
        <v>949.430571216609</v>
      </c>
      <c r="Q178" s="88" t="n">
        <f aca="false">O178+Q177</f>
        <v>398</v>
      </c>
      <c r="R178" s="88" t="n">
        <f aca="false">MAX(R177,P178-Q178)</f>
        <v>551.430571216609</v>
      </c>
      <c r="S178" s="88" t="n">
        <f aca="false">R178-R177</f>
        <v>3.97656100583185</v>
      </c>
      <c r="T178" s="88" t="n">
        <f aca="false">IF(B178=2026,INDEX($C$5:$Q$5,1,B178-2025)*$AO$4*C178/MAX(0.0001,12-$AO$3),INDEX($C$5:$Q$5,1,B178-2025)/12)</f>
        <v>16.1621793514627</v>
      </c>
      <c r="U178" s="88" t="n">
        <f aca="false">$AO$6*0</f>
        <v>0</v>
      </c>
      <c r="V178" s="88" t="n">
        <f aca="false">T178+V177</f>
        <v>3858.82855846053</v>
      </c>
      <c r="W178" s="88" t="n">
        <f aca="false">U178+W177</f>
        <v>1115</v>
      </c>
      <c r="X178" s="88" t="n">
        <f aca="false">MAX(X177,V178-W178)</f>
        <v>2743.82855846052</v>
      </c>
      <c r="Y178" s="88" t="n">
        <f aca="false">X178-X177</f>
        <v>16.1621793514623</v>
      </c>
      <c r="Z178" s="88" t="n">
        <f aca="false">IF(B178=2026,INDEX($C$6:$Q$6,1,B178-2025)*$AO$4*C178/MAX(0.0001,12-$AO$3),INDEX($C$6:$Q$6,1,B178-2025)/12)</f>
        <v>19.1751119687993</v>
      </c>
      <c r="AA178" s="88" t="n">
        <f aca="false">$AO$6*0</f>
        <v>0</v>
      </c>
      <c r="AB178" s="88" t="n">
        <f aca="false">Z178+AB177</f>
        <v>4578.18639849366</v>
      </c>
      <c r="AC178" s="88" t="n">
        <f aca="false">AA178+AC177</f>
        <v>2194</v>
      </c>
      <c r="AD178" s="88" t="n">
        <f aca="false">MAX(AD177,AB178-AC178)</f>
        <v>2384.18639849365</v>
      </c>
      <c r="AE178" s="88" t="n">
        <f aca="false">AD178-AD177</f>
        <v>19.1751119687997</v>
      </c>
      <c r="AF178" s="88" t="n">
        <f aca="false">IF(B178=2026,INDEX($C$7:$Q$7,1,B178-2025)*$AO$4*C178/MAX(0.0001,12-$AO$3),INDEX($C$7:$Q$7,1,B178-2025)/12)</f>
        <v>16.6567447720231</v>
      </c>
      <c r="AG178" s="88" t="n">
        <f aca="false">$AO$6*0</f>
        <v>0</v>
      </c>
      <c r="AH178" s="88" t="n">
        <f aca="false">AF178+AH177</f>
        <v>3976.90936472957</v>
      </c>
      <c r="AI178" s="88" t="n">
        <f aca="false">AG178+AI177</f>
        <v>826</v>
      </c>
      <c r="AJ178" s="88" t="n">
        <f aca="false">MAX(AJ177,AH178-AI178)</f>
        <v>3150.90936472957</v>
      </c>
      <c r="AK178" s="88" t="n">
        <f aca="false">AJ178-AJ177</f>
        <v>16.6567447720231</v>
      </c>
      <c r="AL178" s="88" t="n">
        <f aca="false">IF(B178=2026,INDEX($C$8:$Q$8,1,B178-2025)*$AO$4*C178/MAX(0.0001,12-$AO$3),INDEX($C$8:$Q$8,1,B178-2025)/12)</f>
        <v>4.21336949449797</v>
      </c>
      <c r="AM178" s="88" t="n">
        <f aca="false">$AO$6*0</f>
        <v>0</v>
      </c>
      <c r="AN178" s="88" t="n">
        <f aca="false">AL178+AN177</f>
        <v>1005.97018379479</v>
      </c>
      <c r="AO178" s="88" t="n">
        <f aca="false">AM178+AO177</f>
        <v>66</v>
      </c>
      <c r="AP178" s="88" t="n">
        <f aca="false">MAX(AP177,AN178-AO178)</f>
        <v>939.970183794786</v>
      </c>
      <c r="AQ178" s="88" t="n">
        <f aca="false">AP178-AP177</f>
        <v>4.21336949449801</v>
      </c>
      <c r="AR178" s="88" t="n">
        <f aca="false">IF(B178=2026,INDEX($C$9:$Q$9,1,B178-2025)*$AO$4*C178/MAX(0.0001,12-$AO$3),INDEX($C$9:$Q$9,1,B178-2025)/12)</f>
        <v>17.9655670728432</v>
      </c>
      <c r="AS178" s="88" t="n">
        <f aca="false">$AO$6*0</f>
        <v>0</v>
      </c>
      <c r="AT178" s="88" t="n">
        <f aca="false">AR178+AT177</f>
        <v>4289.3994542482</v>
      </c>
      <c r="AU178" s="88" t="n">
        <f aca="false">AS178+AU177</f>
        <v>1810</v>
      </c>
      <c r="AV178" s="88" t="n">
        <f aca="false">MAX(AV177,AT178-AU178)</f>
        <v>2479.3994542482</v>
      </c>
      <c r="AW178" s="88" t="n">
        <f aca="false">AV178-AV177</f>
        <v>17.9655670728434</v>
      </c>
      <c r="AX178" s="88" t="n">
        <f aca="false">IF(B178=2026,INDEX($C$10:$Q$10,1,B178-2025)*$AO$4*C178/MAX(0.0001,12-$AO$3),INDEX($C$10:$Q$10,1,B178-2025)/12)</f>
        <v>2.08391470026186</v>
      </c>
      <c r="AY178" s="88" t="n">
        <f aca="false">$AO$6*0</f>
        <v>0</v>
      </c>
      <c r="AZ178" s="88" t="n">
        <f aca="false">AX178+AZ177</f>
        <v>497.548590687952</v>
      </c>
      <c r="BA178" s="88" t="n">
        <f aca="false">AY178+BA177</f>
        <v>50</v>
      </c>
      <c r="BB178" s="88" t="n">
        <f aca="false">MAX(BB177,AZ178-BA178)</f>
        <v>447.548590687952</v>
      </c>
      <c r="BC178" s="88" t="n">
        <f aca="false">BB178-BB177</f>
        <v>2.08391470026186</v>
      </c>
      <c r="BD178" s="88" t="n">
        <f aca="false">IF(B178=2026,INDEX($C$11:$Q$11,1,B178-2025)*$AO$4*C178/MAX(0.0001,12-$AO$3),INDEX($C$11:$Q$11,1,B178-2025)/12)</f>
        <v>10.3558173697453</v>
      </c>
      <c r="BE178" s="88" t="n">
        <f aca="false">$AO$6*0</f>
        <v>0</v>
      </c>
      <c r="BF178" s="88" t="n">
        <f aca="false">BD178+BF177</f>
        <v>2472.52075005333</v>
      </c>
      <c r="BG178" s="88" t="n">
        <f aca="false">BE178+BG177</f>
        <v>240</v>
      </c>
      <c r="BH178" s="88" t="n">
        <f aca="false">MAX(BH177,BF178-BG178)</f>
        <v>2232.52075005333</v>
      </c>
      <c r="BI178" s="88" t="n">
        <f aca="false">BH178-BH177</f>
        <v>10.3558173697452</v>
      </c>
      <c r="BJ178" s="88" t="n">
        <f aca="false">IF(B178=2026,INDEX($C$12:$Q$12,1,B178-2025)*$AO$4*C178/MAX(0.0001,12-$AO$3),INDEX($C$12:$Q$12,1,B178-2025)/12)</f>
        <v>5.67793891670997</v>
      </c>
      <c r="BK178" s="88" t="n">
        <f aca="false">$AO$6*0</f>
        <v>0</v>
      </c>
      <c r="BL178" s="88" t="n">
        <f aca="false">BJ178+BL177</f>
        <v>1355.64594158597</v>
      </c>
      <c r="BM178" s="88" t="n">
        <f aca="false">BK178+BM177</f>
        <v>465</v>
      </c>
      <c r="BN178" s="88" t="n">
        <f aca="false">MAX(BN177,BL178-BM178)</f>
        <v>890.645941585971</v>
      </c>
      <c r="BO178" s="88" t="n">
        <f aca="false">BN178-BN177</f>
        <v>5.67793891670999</v>
      </c>
      <c r="BP178" s="88" t="n">
        <f aca="false">IF(B178=2026,INDEX($C$13:$Q$13,1,B178-2025)*$AO$4*C178/MAX(0.0001,12-$AO$3),INDEX($C$13:$Q$13,1,B178-2025)/12)</f>
        <v>1.77434151195696</v>
      </c>
      <c r="BQ178" s="88" t="n">
        <f aca="false">$AO$6*0</f>
        <v>0</v>
      </c>
      <c r="BR178" s="88" t="n">
        <f aca="false">BP178+BR177</f>
        <v>423.635918764997</v>
      </c>
      <c r="BS178" s="88" t="n">
        <f aca="false">BQ178+BS177</f>
        <v>87</v>
      </c>
      <c r="BT178" s="88" t="n">
        <f aca="false">MAX(BT177,BR178-BS178)</f>
        <v>336.635918764997</v>
      </c>
      <c r="BU178" s="88" t="n">
        <f aca="false">BT178-BT177</f>
        <v>1.77434151195695</v>
      </c>
      <c r="BV178" s="88" t="n">
        <f aca="false">IF(B178=2026,INDEX($C$14:$Q$14,1,B178-2025)*$AO$4*C178/MAX(0.0001,12-$AO$3),INDEX($C$14:$Q$14,1,B178-2025)/12)</f>
        <v>1.05236806916068</v>
      </c>
      <c r="BW178" s="88" t="n">
        <f aca="false">$AO$6*0</f>
        <v>0</v>
      </c>
      <c r="BX178" s="88" t="n">
        <f aca="false">BV178+BX177</f>
        <v>251.259924233033</v>
      </c>
      <c r="BY178" s="88" t="n">
        <f aca="false">BW178+BY177</f>
        <v>0</v>
      </c>
      <c r="BZ178" s="88" t="n">
        <f aca="false">MAX(BZ177,BX178-BY178)</f>
        <v>251.259924233033</v>
      </c>
      <c r="CA178" s="88" t="n">
        <f aca="false">BZ178-BZ177</f>
        <v>1.05236806916068</v>
      </c>
      <c r="CB178" s="88" t="n">
        <f aca="false">IF(B178=2026,INDEX($C$15:$Q$15,1,B178-2025)*$AO$4*C178/MAX(0.0001,12-$AO$3),INDEX($C$15:$Q$15,1,B178-2025)/12)</f>
        <v>1.72539415990298</v>
      </c>
      <c r="CC178" s="88" t="n">
        <f aca="false">$AO$6*0</f>
        <v>0</v>
      </c>
      <c r="CD178" s="88" t="n">
        <f aca="false">CB178+CD177</f>
        <v>411.949410661135</v>
      </c>
      <c r="CE178" s="88" t="n">
        <f aca="false">CC178+CE177</f>
        <v>88.0000000000001</v>
      </c>
      <c r="CF178" s="88" t="n">
        <f aca="false">MAX(CF177,CD178-CE178)</f>
        <v>323.949410661135</v>
      </c>
      <c r="CG178" s="88" t="n">
        <f aca="false">CF178-CF177</f>
        <v>1.72539415990298</v>
      </c>
      <c r="CH178" s="88" t="n">
        <f aca="false">IF(B178=2026,INDEX($C$16:$Q$16,1,B178-2025)*$AO$4*C178/MAX(0.0001,12-$AO$3),INDEX($C$16:$Q$16,1,B178-2025)/12)</f>
        <v>1.36440743850484</v>
      </c>
      <c r="CI178" s="88" t="n">
        <f aca="false">$AO$6*0</f>
        <v>0</v>
      </c>
      <c r="CJ178" s="88" t="n">
        <f aca="false">CH178+CJ177</f>
        <v>325.761413395153</v>
      </c>
      <c r="CK178" s="88" t="n">
        <f aca="false">CI178+CK177</f>
        <v>70</v>
      </c>
      <c r="CL178" s="88" t="n">
        <f aca="false">MAX(CL177,CJ178-CK178)</f>
        <v>255.761413395153</v>
      </c>
      <c r="CM178" s="88" t="n">
        <f aca="false">CL178-CL177</f>
        <v>1.36440743850483</v>
      </c>
      <c r="CN178" s="88" t="n">
        <f aca="false">IF(B178=2026,INDEX($C$17:$Q$17,1,B178-2025)*$AO$4*C178/MAX(0.0001,12-$AO$3),INDEX($C$17:$Q$17,1,B178-2025)/12)</f>
        <v>5.94098485555245</v>
      </c>
      <c r="CO178" s="88" t="n">
        <f aca="false">$AO$6*0</f>
        <v>0</v>
      </c>
      <c r="CP178" s="88" t="n">
        <f aca="false">CN178+CP177</f>
        <v>1418.44992110625</v>
      </c>
      <c r="CQ178" s="88" t="n">
        <f aca="false">CO178+CQ177</f>
        <v>221</v>
      </c>
      <c r="CR178" s="88" t="n">
        <f aca="false">MAX(CR177,CP178-CQ178)</f>
        <v>1197.44992110625</v>
      </c>
      <c r="CS178" s="88" t="n">
        <f aca="false">CR178-CR177</f>
        <v>5.94098485555242</v>
      </c>
      <c r="CT178" s="88" t="n">
        <f aca="false">IF(B178=2026,INDEX($C$18:$Q$18,1,B178-2025)*$AO$4*C178/MAX(0.0001,12-$AO$3),INDEX($C$18:$Q$18,1,B178-2025)/12)</f>
        <v>1.23592063936312</v>
      </c>
      <c r="CU178" s="88" t="n">
        <f aca="false">$AO$6*0</f>
        <v>0</v>
      </c>
      <c r="CV178" s="88" t="n">
        <f aca="false">CT178+CV177</f>
        <v>295.084329622516</v>
      </c>
      <c r="CW178" s="88" t="n">
        <f aca="false">CU178+CW177</f>
        <v>11</v>
      </c>
      <c r="CX178" s="88" t="n">
        <f aca="false">MAX(CX177,CV178-CW178)</f>
        <v>284.084329622516</v>
      </c>
      <c r="CY178" s="88" t="n">
        <f aca="false">CX178-CX177</f>
        <v>1.23592063936314</v>
      </c>
      <c r="CZ178" s="88" t="n">
        <f aca="false">IF(B178=2026,INDEX($C$19:$Q$19,1,B178-2025)*$AO$4*C178/MAX(0.0001,12-$AO$3),INDEX($C$19:$Q$19,1,B178-2025)/12)</f>
        <v>1.22368380134963</v>
      </c>
      <c r="DA178" s="88" t="n">
        <f aca="false">$AO$6*0</f>
        <v>0</v>
      </c>
      <c r="DB178" s="88" t="n">
        <f aca="false">CZ178+DB177</f>
        <v>292.162702596551</v>
      </c>
      <c r="DC178" s="88" t="n">
        <f aca="false">DA178+DC177</f>
        <v>226</v>
      </c>
      <c r="DD178" s="88" t="n">
        <f aca="false">MAX(DD177,DB178-DC178)</f>
        <v>66.1627025965508</v>
      </c>
      <c r="DE178" s="88" t="n">
        <f aca="false">DD178-DD177</f>
        <v>1.22368380134964</v>
      </c>
      <c r="DF178" s="88" t="n">
        <f aca="false">IF(B178=2026,INDEX($C$20:$Q$20,1,B178-2025)*$AO$4*C178/MAX(0.0001,12-$AO$3),INDEX($C$20:$Q$20,1,B178-2025)/12)</f>
        <v>0.997302298099947</v>
      </c>
      <c r="DG178" s="88" t="n">
        <f aca="false">$AO$6*0</f>
        <v>0</v>
      </c>
      <c r="DH178" s="88" t="n">
        <f aca="false">DF178+DH177</f>
        <v>238.112602616188</v>
      </c>
      <c r="DI178" s="88" t="n">
        <f aca="false">DG178+DI177</f>
        <v>0</v>
      </c>
      <c r="DJ178" s="88" t="n">
        <f aca="false">MAX(DJ177,DH178-DI178)</f>
        <v>238.112602616188</v>
      </c>
      <c r="DK178" s="88" t="n">
        <f aca="false">DJ178-DJ177</f>
        <v>0.997302298099953</v>
      </c>
      <c r="DL178" s="88" t="n">
        <f aca="false">IF(B178=2026,INDEX($C$21:$Q$21,1,B178-2025)*$AO$4*C178/MAX(0.0001,12-$AO$3),INDEX($C$21:$Q$21,1,B178-2025)/12)</f>
        <v>0.697499766769288</v>
      </c>
      <c r="DM178" s="88" t="n">
        <f aca="false">$AO$6*0</f>
        <v>0</v>
      </c>
      <c r="DN178" s="88" t="n">
        <f aca="false">DL178+DN177</f>
        <v>166.532740480034</v>
      </c>
      <c r="DO178" s="88" t="n">
        <f aca="false">DM178+DO177</f>
        <v>100</v>
      </c>
      <c r="DP178" s="88" t="n">
        <f aca="false">MAX(DP177,DN178-DO178)</f>
        <v>66.5327404800335</v>
      </c>
      <c r="DQ178" s="88" t="n">
        <f aca="false">DP178-DP177</f>
        <v>0.697499766769283</v>
      </c>
      <c r="DR178" s="88" t="n">
        <f aca="false">IF(B178=2026,INDEX($C$22:$Q$22,1,B178-2025)*$AO$4*C178/MAX(0.0001,12-$AO$3),INDEX($C$22:$Q$22,1,B178-2025)/12)</f>
        <v>0.544539291600585</v>
      </c>
      <c r="DS178" s="88" t="n">
        <f aca="false">$AO$6*0</f>
        <v>0</v>
      </c>
      <c r="DT178" s="88" t="n">
        <f aca="false">DR178+DT177</f>
        <v>130.012402655465</v>
      </c>
      <c r="DU178" s="88" t="n">
        <f aca="false">DS178+DU177</f>
        <v>29</v>
      </c>
      <c r="DV178" s="88" t="n">
        <f aca="false">MAX(DV177,DT178-DU178)</f>
        <v>101.012402655465</v>
      </c>
      <c r="DW178" s="88" t="n">
        <f aca="false">DV178-DV177</f>
        <v>0.544539291600586</v>
      </c>
      <c r="DX178" s="88" t="n">
        <f aca="false">IF(B178=2026,INDEX($C$23:$Q$23,1,B178-2025)*$AO$4*C178/MAX(0.0001,12-$AO$3),INDEX($C$23:$Q$23,1,B178-2025)/12)</f>
        <v>0.874933917964984</v>
      </c>
      <c r="DY178" s="88" t="n">
        <f aca="false">$AO$6*0</f>
        <v>0</v>
      </c>
      <c r="DZ178" s="88" t="n">
        <f aca="false">DX178+DZ177</f>
        <v>208.896332356534</v>
      </c>
      <c r="EA178" s="88" t="n">
        <f aca="false">DY178+EA177</f>
        <v>121</v>
      </c>
      <c r="EB178" s="88" t="n">
        <f aca="false">MAX(EB177,DZ178-EA178)</f>
        <v>87.8963323565338</v>
      </c>
      <c r="EC178" s="88" t="n">
        <f aca="false">EB178-EB177</f>
        <v>0.874933917964995</v>
      </c>
      <c r="ED178" s="88" t="n">
        <f aca="false">IF(B178=2026,INDEX($C$24:$Q$24,1,B178-2025)*$AO$4*C178/MAX(0.0001,12-$AO$3),INDEX($C$24:$Q$24,1,B178-2025)/12)</f>
        <v>0.538420872593837</v>
      </c>
      <c r="EE178" s="88" t="n">
        <f aca="false">$AO$6*0</f>
        <v>0</v>
      </c>
      <c r="EF178" s="88" t="n">
        <f aca="false">ED178+EF177</f>
        <v>128.551589142482</v>
      </c>
      <c r="EG178" s="88" t="n">
        <f aca="false">EE178+EG177</f>
        <v>0</v>
      </c>
      <c r="EH178" s="88" t="n">
        <f aca="false">MAX(EH177,EF178-EG178)</f>
        <v>128.551589142482</v>
      </c>
      <c r="EI178" s="88" t="n">
        <f aca="false">EH178-EH177</f>
        <v>0.538420872593832</v>
      </c>
      <c r="EJ178" s="88" t="n">
        <f aca="false">IF(B178=2026,INDEX($C$25:$Q$25,1,B178-2025)*$AO$4*C178/MAX(0.0001,12-$AO$3),INDEX($C$25:$Q$25,1,B178-2025)/12)</f>
        <v>0.685262928755792</v>
      </c>
      <c r="EK178" s="88" t="n">
        <f aca="false">$AO$6*0</f>
        <v>0</v>
      </c>
      <c r="EL178" s="88" t="n">
        <f aca="false">EJ178+EL177</f>
        <v>163.611113454068</v>
      </c>
      <c r="EM178" s="88" t="n">
        <f aca="false">EK178+EM177</f>
        <v>14</v>
      </c>
      <c r="EN178" s="88" t="n">
        <f aca="false">MAX(EN177,EL178-EM178)</f>
        <v>149.611113454068</v>
      </c>
      <c r="EO178" s="88" t="n">
        <f aca="false">EN178-EN177</f>
        <v>0.685262928755805</v>
      </c>
      <c r="EP178" s="88" t="n">
        <f aca="false">IF(B178=2026,INDEX($C$26:$Q$26,1,B178-2025)*$AO$4*C178/MAX(0.0001,12-$AO$3),INDEX($C$26:$Q$26,1,B178-2025)/12)</f>
        <v>0.985065460086451</v>
      </c>
      <c r="EQ178" s="88" t="n">
        <f aca="false">$AO$6*0</f>
        <v>0</v>
      </c>
      <c r="ER178" s="88" t="n">
        <f aca="false">EP178+ER177</f>
        <v>235.190975590222</v>
      </c>
      <c r="ES178" s="88" t="n">
        <f aca="false">EQ178+ES177</f>
        <v>4</v>
      </c>
      <c r="ET178" s="88" t="n">
        <f aca="false">MAX(ET177,ER178-ES178)</f>
        <v>231.190975590222</v>
      </c>
      <c r="EU178" s="88" t="n">
        <f aca="false">ET178-ET177</f>
        <v>0.985065460086446</v>
      </c>
      <c r="EV178" s="88" t="n">
        <f aca="false">IF(B178=2026,INDEX($C$27:$Q$27,1,B178-2025)*$AO$4*C178/MAX(0.0001,12-$AO$3),INDEX($C$27:$Q$27,1,B178-2025)/12)</f>
        <v>2.44736760269926</v>
      </c>
      <c r="EW178" s="88" t="n">
        <f aca="false">$AO$6*0</f>
        <v>0</v>
      </c>
      <c r="EX178" s="88" t="n">
        <f aca="false">EV178+EX177</f>
        <v>584.325405193101</v>
      </c>
      <c r="EY178" s="88" t="n">
        <f aca="false">EW178+EY177</f>
        <v>391</v>
      </c>
      <c r="EZ178" s="88" t="n">
        <f aca="false">MAX(EZ177,EX178-EY178)</f>
        <v>193.325405193101</v>
      </c>
      <c r="FA178" s="88" t="n">
        <f aca="false">EZ178-EZ177</f>
        <v>2.44736760269927</v>
      </c>
      <c r="FB178" s="88" t="n">
        <f aca="false">IF(B178=2026,INDEX($C$28:$Q$28,1,B178-2025)*$AO$4*C178/MAX(0.0001,12-$AO$3),INDEX($C$28:$Q$28,1,B178-2025)/12)</f>
        <v>12.8119694001306</v>
      </c>
      <c r="FC178" s="88" t="n">
        <f aca="false">$AO$6*0</f>
        <v>0</v>
      </c>
      <c r="FD178" s="88" t="n">
        <f aca="false">FB178+FD177</f>
        <v>3058.94349618588</v>
      </c>
      <c r="FE178" s="88" t="n">
        <f aca="false">FC178+FE177</f>
        <v>169</v>
      </c>
      <c r="FF178" s="88" t="n">
        <f aca="false">MAX(FF177,FD178-FE178)</f>
        <v>2889.94349618588</v>
      </c>
      <c r="FG178" s="88" t="n">
        <f aca="false">FF178-FF177</f>
        <v>12.8119694001307</v>
      </c>
    </row>
    <row r="179" customFormat="false" ht="15" hidden="false" customHeight="false" outlineLevel="0" collapsed="false">
      <c r="A179" s="0" t="n">
        <v>139</v>
      </c>
      <c r="B179" s="88" t="n">
        <f aca="false">2026+INT(A179/12)</f>
        <v>2037</v>
      </c>
      <c r="C179" s="88" t="n">
        <f aca="false">MAX(0,MIN(1,A179+1-$AO$3))</f>
        <v>1</v>
      </c>
      <c r="D179" s="88" t="n">
        <f aca="false">IF((A179+0.5-(0))&lt;$AO$3,0,2026+INT((A179+0.5-(0))/12))</f>
        <v>2037</v>
      </c>
      <c r="E179" s="88" t="n">
        <f aca="false">IF((A179+0.5-($AO$9))&lt;$AO$3,0,2026+INT((A179+0.5-($AO$9))/12))</f>
        <v>2036</v>
      </c>
      <c r="F179" s="88" t="n">
        <f aca="false">IF((A179+0.5-($AO$9+$AO$8))&lt;$AO$3,0,2026+INT((A179+0.5-($AO$9+$AO$8))/12))</f>
        <v>2035</v>
      </c>
      <c r="G179" s="88" t="n">
        <f aca="false">IF((A179+0.5-($AO$9+$AO$8+$AO$7))&lt;$AO$3,0,2026+INT((A179+0.5-($AO$9+$AO$8+$AO$7))/12))</f>
        <v>2034</v>
      </c>
      <c r="H179" s="88" t="n">
        <f aca="false">IF(B179=2026,INDEX($C$3:$Q$3,1,B179-2025)*$AO$4*C179/MAX(0.0001,12-$AO$3),INDEX($C$3:$Q$3,1,B179-2025)/12)</f>
        <v>131.166666666667</v>
      </c>
      <c r="I179" s="88" t="n">
        <f aca="false">$AO$6*0</f>
        <v>0</v>
      </c>
      <c r="J179" s="88" t="n">
        <f aca="false">H179+J178</f>
        <v>31448.0867579909</v>
      </c>
      <c r="K179" s="88" t="n">
        <f aca="false">I179+K178</f>
        <v>8695.00000000001</v>
      </c>
      <c r="L179" s="88" t="n">
        <f aca="false">MAX(L178,J179-K179)</f>
        <v>22753.0867579909</v>
      </c>
      <c r="M179" s="88" t="n">
        <f aca="false">L179-L178</f>
        <v>131.166666666672</v>
      </c>
      <c r="N179" s="88" t="n">
        <f aca="false">IF(B179=2026,INDEX($C$4:$Q$4,1,B179-2025)*$AO$4*C179/MAX(0.0001,12-$AO$3),INDEX($C$4:$Q$4,1,B179-2025)/12)</f>
        <v>3.97656100583185</v>
      </c>
      <c r="O179" s="88" t="n">
        <f aca="false">$AO$6*0</f>
        <v>0</v>
      </c>
      <c r="P179" s="88" t="n">
        <f aca="false">N179+P178</f>
        <v>953.407132222441</v>
      </c>
      <c r="Q179" s="88" t="n">
        <f aca="false">O179+Q178</f>
        <v>398</v>
      </c>
      <c r="R179" s="88" t="n">
        <f aca="false">MAX(R178,P179-Q179)</f>
        <v>555.407132222441</v>
      </c>
      <c r="S179" s="88" t="n">
        <f aca="false">R179-R178</f>
        <v>3.97656100583185</v>
      </c>
      <c r="T179" s="88" t="n">
        <f aca="false">IF(B179=2026,INDEX($C$5:$Q$5,1,B179-2025)*$AO$4*C179/MAX(0.0001,12-$AO$3),INDEX($C$5:$Q$5,1,B179-2025)/12)</f>
        <v>16.1621793514627</v>
      </c>
      <c r="U179" s="88" t="n">
        <f aca="false">$AO$6*0</f>
        <v>0</v>
      </c>
      <c r="V179" s="88" t="n">
        <f aca="false">T179+V178</f>
        <v>3874.99073781199</v>
      </c>
      <c r="W179" s="88" t="n">
        <f aca="false">U179+W178</f>
        <v>1115</v>
      </c>
      <c r="X179" s="88" t="n">
        <f aca="false">MAX(X178,V179-W179)</f>
        <v>2759.99073781199</v>
      </c>
      <c r="Y179" s="88" t="n">
        <f aca="false">X179-X178</f>
        <v>16.1621793514632</v>
      </c>
      <c r="Z179" s="88" t="n">
        <f aca="false">IF(B179=2026,INDEX($C$6:$Q$6,1,B179-2025)*$AO$4*C179/MAX(0.0001,12-$AO$3),INDEX($C$6:$Q$6,1,B179-2025)/12)</f>
        <v>19.1751119687993</v>
      </c>
      <c r="AA179" s="88" t="n">
        <f aca="false">$AO$6*0</f>
        <v>0</v>
      </c>
      <c r="AB179" s="88" t="n">
        <f aca="false">Z179+AB178</f>
        <v>4597.36151046246</v>
      </c>
      <c r="AC179" s="88" t="n">
        <f aca="false">AA179+AC178</f>
        <v>2194</v>
      </c>
      <c r="AD179" s="88" t="n">
        <f aca="false">MAX(AD178,AB179-AC179)</f>
        <v>2403.36151046245</v>
      </c>
      <c r="AE179" s="88" t="n">
        <f aca="false">AD179-AD178</f>
        <v>19.1751119687997</v>
      </c>
      <c r="AF179" s="88" t="n">
        <f aca="false">IF(B179=2026,INDEX($C$7:$Q$7,1,B179-2025)*$AO$4*C179/MAX(0.0001,12-$AO$3),INDEX($C$7:$Q$7,1,B179-2025)/12)</f>
        <v>16.6567447720231</v>
      </c>
      <c r="AG179" s="88" t="n">
        <f aca="false">$AO$6*0</f>
        <v>0</v>
      </c>
      <c r="AH179" s="88" t="n">
        <f aca="false">AF179+AH178</f>
        <v>3993.56610950159</v>
      </c>
      <c r="AI179" s="88" t="n">
        <f aca="false">AG179+AI178</f>
        <v>826</v>
      </c>
      <c r="AJ179" s="88" t="n">
        <f aca="false">MAX(AJ178,AH179-AI179)</f>
        <v>3167.56610950159</v>
      </c>
      <c r="AK179" s="88" t="n">
        <f aca="false">AJ179-AJ178</f>
        <v>16.6567447720231</v>
      </c>
      <c r="AL179" s="88" t="n">
        <f aca="false">IF(B179=2026,INDEX($C$8:$Q$8,1,B179-2025)*$AO$4*C179/MAX(0.0001,12-$AO$3),INDEX($C$8:$Q$8,1,B179-2025)/12)</f>
        <v>4.21336949449797</v>
      </c>
      <c r="AM179" s="88" t="n">
        <f aca="false">$AO$6*0</f>
        <v>0</v>
      </c>
      <c r="AN179" s="88" t="n">
        <f aca="false">AL179+AN178</f>
        <v>1010.18355328928</v>
      </c>
      <c r="AO179" s="88" t="n">
        <f aca="false">AM179+AO178</f>
        <v>66</v>
      </c>
      <c r="AP179" s="88" t="n">
        <f aca="false">MAX(AP178,AN179-AO179)</f>
        <v>944.183553289284</v>
      </c>
      <c r="AQ179" s="88" t="n">
        <f aca="false">AP179-AP178</f>
        <v>4.21336949449801</v>
      </c>
      <c r="AR179" s="88" t="n">
        <f aca="false">IF(B179=2026,INDEX($C$9:$Q$9,1,B179-2025)*$AO$4*C179/MAX(0.0001,12-$AO$3),INDEX($C$9:$Q$9,1,B179-2025)/12)</f>
        <v>17.9655670728432</v>
      </c>
      <c r="AS179" s="88" t="n">
        <f aca="false">$AO$6*0</f>
        <v>0</v>
      </c>
      <c r="AT179" s="88" t="n">
        <f aca="false">AR179+AT178</f>
        <v>4307.36502132105</v>
      </c>
      <c r="AU179" s="88" t="n">
        <f aca="false">AS179+AU178</f>
        <v>1810</v>
      </c>
      <c r="AV179" s="88" t="n">
        <f aca="false">MAX(AV178,AT179-AU179)</f>
        <v>2497.36502132105</v>
      </c>
      <c r="AW179" s="88" t="n">
        <f aca="false">AV179-AV178</f>
        <v>17.9655670728434</v>
      </c>
      <c r="AX179" s="88" t="n">
        <f aca="false">IF(B179=2026,INDEX($C$10:$Q$10,1,B179-2025)*$AO$4*C179/MAX(0.0001,12-$AO$3),INDEX($C$10:$Q$10,1,B179-2025)/12)</f>
        <v>2.08391470026186</v>
      </c>
      <c r="AY179" s="88" t="n">
        <f aca="false">$AO$6*0</f>
        <v>0</v>
      </c>
      <c r="AZ179" s="88" t="n">
        <f aca="false">AX179+AZ178</f>
        <v>499.632505388214</v>
      </c>
      <c r="BA179" s="88" t="n">
        <f aca="false">AY179+BA178</f>
        <v>50</v>
      </c>
      <c r="BB179" s="88" t="n">
        <f aca="false">MAX(BB178,AZ179-BA179)</f>
        <v>449.632505388214</v>
      </c>
      <c r="BC179" s="88" t="n">
        <f aca="false">BB179-BB178</f>
        <v>2.08391470026186</v>
      </c>
      <c r="BD179" s="88" t="n">
        <f aca="false">IF(B179=2026,INDEX($C$11:$Q$11,1,B179-2025)*$AO$4*C179/MAX(0.0001,12-$AO$3),INDEX($C$11:$Q$11,1,B179-2025)/12)</f>
        <v>10.3558173697453</v>
      </c>
      <c r="BE179" s="88" t="n">
        <f aca="false">$AO$6*0</f>
        <v>0</v>
      </c>
      <c r="BF179" s="88" t="n">
        <f aca="false">BD179+BF178</f>
        <v>2482.87656742307</v>
      </c>
      <c r="BG179" s="88" t="n">
        <f aca="false">BE179+BG178</f>
        <v>240</v>
      </c>
      <c r="BH179" s="88" t="n">
        <f aca="false">MAX(BH178,BF179-BG179)</f>
        <v>2242.87656742307</v>
      </c>
      <c r="BI179" s="88" t="n">
        <f aca="false">BH179-BH178</f>
        <v>10.3558173697452</v>
      </c>
      <c r="BJ179" s="88" t="n">
        <f aca="false">IF(B179=2026,INDEX($C$12:$Q$12,1,B179-2025)*$AO$4*C179/MAX(0.0001,12-$AO$3),INDEX($C$12:$Q$12,1,B179-2025)/12)</f>
        <v>5.67793891670997</v>
      </c>
      <c r="BK179" s="88" t="n">
        <f aca="false">$AO$6*0</f>
        <v>0</v>
      </c>
      <c r="BL179" s="88" t="n">
        <f aca="false">BJ179+BL178</f>
        <v>1361.32388050268</v>
      </c>
      <c r="BM179" s="88" t="n">
        <f aca="false">BK179+BM178</f>
        <v>465</v>
      </c>
      <c r="BN179" s="88" t="n">
        <f aca="false">MAX(BN178,BL179-BM179)</f>
        <v>896.323880502681</v>
      </c>
      <c r="BO179" s="88" t="n">
        <f aca="false">BN179-BN178</f>
        <v>5.67793891670999</v>
      </c>
      <c r="BP179" s="88" t="n">
        <f aca="false">IF(B179=2026,INDEX($C$13:$Q$13,1,B179-2025)*$AO$4*C179/MAX(0.0001,12-$AO$3),INDEX($C$13:$Q$13,1,B179-2025)/12)</f>
        <v>1.77434151195696</v>
      </c>
      <c r="BQ179" s="88" t="n">
        <f aca="false">$AO$6*0</f>
        <v>0</v>
      </c>
      <c r="BR179" s="88" t="n">
        <f aca="false">BP179+BR178</f>
        <v>425.410260276954</v>
      </c>
      <c r="BS179" s="88" t="n">
        <f aca="false">BQ179+BS178</f>
        <v>87</v>
      </c>
      <c r="BT179" s="88" t="n">
        <f aca="false">MAX(BT178,BR179-BS179)</f>
        <v>338.410260276954</v>
      </c>
      <c r="BU179" s="88" t="n">
        <f aca="false">BT179-BT178</f>
        <v>1.77434151195695</v>
      </c>
      <c r="BV179" s="88" t="n">
        <f aca="false">IF(B179=2026,INDEX($C$14:$Q$14,1,B179-2025)*$AO$4*C179/MAX(0.0001,12-$AO$3),INDEX($C$14:$Q$14,1,B179-2025)/12)</f>
        <v>1.05236806916068</v>
      </c>
      <c r="BW179" s="88" t="n">
        <f aca="false">$AO$6*0</f>
        <v>0</v>
      </c>
      <c r="BX179" s="88" t="n">
        <f aca="false">BV179+BX178</f>
        <v>252.312292302194</v>
      </c>
      <c r="BY179" s="88" t="n">
        <f aca="false">BW179+BY178</f>
        <v>0</v>
      </c>
      <c r="BZ179" s="88" t="n">
        <f aca="false">MAX(BZ178,BX179-BY179)</f>
        <v>252.312292302194</v>
      </c>
      <c r="CA179" s="88" t="n">
        <f aca="false">BZ179-BZ178</f>
        <v>1.05236806916068</v>
      </c>
      <c r="CB179" s="88" t="n">
        <f aca="false">IF(B179=2026,INDEX($C$15:$Q$15,1,B179-2025)*$AO$4*C179/MAX(0.0001,12-$AO$3),INDEX($C$15:$Q$15,1,B179-2025)/12)</f>
        <v>1.72539415990298</v>
      </c>
      <c r="CC179" s="88" t="n">
        <f aca="false">$AO$6*0</f>
        <v>0</v>
      </c>
      <c r="CD179" s="88" t="n">
        <f aca="false">CB179+CD178</f>
        <v>413.674804821038</v>
      </c>
      <c r="CE179" s="88" t="n">
        <f aca="false">CC179+CE178</f>
        <v>88.0000000000001</v>
      </c>
      <c r="CF179" s="88" t="n">
        <f aca="false">MAX(CF178,CD179-CE179)</f>
        <v>325.674804821038</v>
      </c>
      <c r="CG179" s="88" t="n">
        <f aca="false">CF179-CF178</f>
        <v>1.72539415990298</v>
      </c>
      <c r="CH179" s="88" t="n">
        <f aca="false">IF(B179=2026,INDEX($C$16:$Q$16,1,B179-2025)*$AO$4*C179/MAX(0.0001,12-$AO$3),INDEX($C$16:$Q$16,1,B179-2025)/12)</f>
        <v>1.36440743850484</v>
      </c>
      <c r="CI179" s="88" t="n">
        <f aca="false">$AO$6*0</f>
        <v>0</v>
      </c>
      <c r="CJ179" s="88" t="n">
        <f aca="false">CH179+CJ178</f>
        <v>327.125820833658</v>
      </c>
      <c r="CK179" s="88" t="n">
        <f aca="false">CI179+CK178</f>
        <v>70</v>
      </c>
      <c r="CL179" s="88" t="n">
        <f aca="false">MAX(CL178,CJ179-CK179)</f>
        <v>257.125820833658</v>
      </c>
      <c r="CM179" s="88" t="n">
        <f aca="false">CL179-CL178</f>
        <v>1.36440743850483</v>
      </c>
      <c r="CN179" s="88" t="n">
        <f aca="false">IF(B179=2026,INDEX($C$17:$Q$17,1,B179-2025)*$AO$4*C179/MAX(0.0001,12-$AO$3),INDEX($C$17:$Q$17,1,B179-2025)/12)</f>
        <v>5.94098485555245</v>
      </c>
      <c r="CO179" s="88" t="n">
        <f aca="false">$AO$6*0</f>
        <v>0</v>
      </c>
      <c r="CP179" s="88" t="n">
        <f aca="false">CN179+CP178</f>
        <v>1424.39090596181</v>
      </c>
      <c r="CQ179" s="88" t="n">
        <f aca="false">CO179+CQ178</f>
        <v>221</v>
      </c>
      <c r="CR179" s="88" t="n">
        <f aca="false">MAX(CR178,CP179-CQ179)</f>
        <v>1203.39090596181</v>
      </c>
      <c r="CS179" s="88" t="n">
        <f aca="false">CR179-CR178</f>
        <v>5.94098485555242</v>
      </c>
      <c r="CT179" s="88" t="n">
        <f aca="false">IF(B179=2026,INDEX($C$18:$Q$18,1,B179-2025)*$AO$4*C179/MAX(0.0001,12-$AO$3),INDEX($C$18:$Q$18,1,B179-2025)/12)</f>
        <v>1.23592063936312</v>
      </c>
      <c r="CU179" s="88" t="n">
        <f aca="false">$AO$6*0</f>
        <v>0</v>
      </c>
      <c r="CV179" s="88" t="n">
        <f aca="false">CT179+CV178</f>
        <v>296.320250261879</v>
      </c>
      <c r="CW179" s="88" t="n">
        <f aca="false">CU179+CW178</f>
        <v>11</v>
      </c>
      <c r="CX179" s="88" t="n">
        <f aca="false">MAX(CX178,CV179-CW179)</f>
        <v>285.320250261879</v>
      </c>
      <c r="CY179" s="88" t="n">
        <f aca="false">CX179-CX178</f>
        <v>1.23592063936314</v>
      </c>
      <c r="CZ179" s="88" t="n">
        <f aca="false">IF(B179=2026,INDEX($C$19:$Q$19,1,B179-2025)*$AO$4*C179/MAX(0.0001,12-$AO$3),INDEX($C$19:$Q$19,1,B179-2025)/12)</f>
        <v>1.22368380134963</v>
      </c>
      <c r="DA179" s="88" t="n">
        <f aca="false">$AO$6*0</f>
        <v>0</v>
      </c>
      <c r="DB179" s="88" t="n">
        <f aca="false">CZ179+DB178</f>
        <v>293.3863863979</v>
      </c>
      <c r="DC179" s="88" t="n">
        <f aca="false">DA179+DC178</f>
        <v>226</v>
      </c>
      <c r="DD179" s="88" t="n">
        <f aca="false">MAX(DD178,DB179-DC179)</f>
        <v>67.3863863979004</v>
      </c>
      <c r="DE179" s="88" t="n">
        <f aca="false">DD179-DD178</f>
        <v>1.22368380134964</v>
      </c>
      <c r="DF179" s="88" t="n">
        <f aca="false">IF(B179=2026,INDEX($C$20:$Q$20,1,B179-2025)*$AO$4*C179/MAX(0.0001,12-$AO$3),INDEX($C$20:$Q$20,1,B179-2025)/12)</f>
        <v>0.997302298099947</v>
      </c>
      <c r="DG179" s="88" t="n">
        <f aca="false">$AO$6*0</f>
        <v>0</v>
      </c>
      <c r="DH179" s="88" t="n">
        <f aca="false">DF179+DH178</f>
        <v>239.109904914288</v>
      </c>
      <c r="DI179" s="88" t="n">
        <f aca="false">DG179+DI178</f>
        <v>0</v>
      </c>
      <c r="DJ179" s="88" t="n">
        <f aca="false">MAX(DJ178,DH179-DI179)</f>
        <v>239.109904914288</v>
      </c>
      <c r="DK179" s="88" t="n">
        <f aca="false">DJ179-DJ178</f>
        <v>0.997302298099953</v>
      </c>
      <c r="DL179" s="88" t="n">
        <f aca="false">IF(B179=2026,INDEX($C$21:$Q$21,1,B179-2025)*$AO$4*C179/MAX(0.0001,12-$AO$3),INDEX($C$21:$Q$21,1,B179-2025)/12)</f>
        <v>0.697499766769288</v>
      </c>
      <c r="DM179" s="88" t="n">
        <f aca="false">$AO$6*0</f>
        <v>0</v>
      </c>
      <c r="DN179" s="88" t="n">
        <f aca="false">DL179+DN178</f>
        <v>167.230240246803</v>
      </c>
      <c r="DO179" s="88" t="n">
        <f aca="false">DM179+DO178</f>
        <v>100</v>
      </c>
      <c r="DP179" s="88" t="n">
        <f aca="false">MAX(DP178,DN179-DO179)</f>
        <v>67.2302402468028</v>
      </c>
      <c r="DQ179" s="88" t="n">
        <f aca="false">DP179-DP178</f>
        <v>0.697499766769283</v>
      </c>
      <c r="DR179" s="88" t="n">
        <f aca="false">IF(B179=2026,INDEX($C$22:$Q$22,1,B179-2025)*$AO$4*C179/MAX(0.0001,12-$AO$3),INDEX($C$22:$Q$22,1,B179-2025)/12)</f>
        <v>0.544539291600585</v>
      </c>
      <c r="DS179" s="88" t="n">
        <f aca="false">$AO$6*0</f>
        <v>0</v>
      </c>
      <c r="DT179" s="88" t="n">
        <f aca="false">DR179+DT178</f>
        <v>130.556941947066</v>
      </c>
      <c r="DU179" s="88" t="n">
        <f aca="false">DS179+DU178</f>
        <v>29</v>
      </c>
      <c r="DV179" s="88" t="n">
        <f aca="false">MAX(DV178,DT179-DU179)</f>
        <v>101.556941947066</v>
      </c>
      <c r="DW179" s="88" t="n">
        <f aca="false">DV179-DV178</f>
        <v>0.544539291600586</v>
      </c>
      <c r="DX179" s="88" t="n">
        <f aca="false">IF(B179=2026,INDEX($C$23:$Q$23,1,B179-2025)*$AO$4*C179/MAX(0.0001,12-$AO$3),INDEX($C$23:$Q$23,1,B179-2025)/12)</f>
        <v>0.874933917964984</v>
      </c>
      <c r="DY179" s="88" t="n">
        <f aca="false">$AO$6*0</f>
        <v>0</v>
      </c>
      <c r="DZ179" s="88" t="n">
        <f aca="false">DX179+DZ178</f>
        <v>209.771266274499</v>
      </c>
      <c r="EA179" s="88" t="n">
        <f aca="false">DY179+EA178</f>
        <v>121</v>
      </c>
      <c r="EB179" s="88" t="n">
        <f aca="false">MAX(EB178,DZ179-EA179)</f>
        <v>88.7712662744988</v>
      </c>
      <c r="EC179" s="88" t="n">
        <f aca="false">EB179-EB178</f>
        <v>0.874933917964995</v>
      </c>
      <c r="ED179" s="88" t="n">
        <f aca="false">IF(B179=2026,INDEX($C$24:$Q$24,1,B179-2025)*$AO$4*C179/MAX(0.0001,12-$AO$3),INDEX($C$24:$Q$24,1,B179-2025)/12)</f>
        <v>0.538420872593837</v>
      </c>
      <c r="EE179" s="88" t="n">
        <f aca="false">$AO$6*0</f>
        <v>0</v>
      </c>
      <c r="EF179" s="88" t="n">
        <f aca="false">ED179+EF178</f>
        <v>129.090010015076</v>
      </c>
      <c r="EG179" s="88" t="n">
        <f aca="false">EE179+EG178</f>
        <v>0</v>
      </c>
      <c r="EH179" s="88" t="n">
        <f aca="false">MAX(EH178,EF179-EG179)</f>
        <v>129.090010015076</v>
      </c>
      <c r="EI179" s="88" t="n">
        <f aca="false">EH179-EH178</f>
        <v>0.538420872593832</v>
      </c>
      <c r="EJ179" s="88" t="n">
        <f aca="false">IF(B179=2026,INDEX($C$25:$Q$25,1,B179-2025)*$AO$4*C179/MAX(0.0001,12-$AO$3),INDEX($C$25:$Q$25,1,B179-2025)/12)</f>
        <v>0.685262928755792</v>
      </c>
      <c r="EK179" s="88" t="n">
        <f aca="false">$AO$6*0</f>
        <v>0</v>
      </c>
      <c r="EL179" s="88" t="n">
        <f aca="false">EJ179+EL178</f>
        <v>164.296376382824</v>
      </c>
      <c r="EM179" s="88" t="n">
        <f aca="false">EK179+EM178</f>
        <v>14</v>
      </c>
      <c r="EN179" s="88" t="n">
        <f aca="false">MAX(EN178,EL179-EM179)</f>
        <v>150.296376382824</v>
      </c>
      <c r="EO179" s="88" t="n">
        <f aca="false">EN179-EN178</f>
        <v>0.685262928755805</v>
      </c>
      <c r="EP179" s="88" t="n">
        <f aca="false">IF(B179=2026,INDEX($C$26:$Q$26,1,B179-2025)*$AO$4*C179/MAX(0.0001,12-$AO$3),INDEX($C$26:$Q$26,1,B179-2025)/12)</f>
        <v>0.985065460086451</v>
      </c>
      <c r="EQ179" s="88" t="n">
        <f aca="false">$AO$6*0</f>
        <v>0</v>
      </c>
      <c r="ER179" s="88" t="n">
        <f aca="false">EP179+ER178</f>
        <v>236.176041050308</v>
      </c>
      <c r="ES179" s="88" t="n">
        <f aca="false">EQ179+ES178</f>
        <v>4</v>
      </c>
      <c r="ET179" s="88" t="n">
        <f aca="false">MAX(ET178,ER179-ES179)</f>
        <v>232.176041050308</v>
      </c>
      <c r="EU179" s="88" t="n">
        <f aca="false">ET179-ET178</f>
        <v>0.985065460086446</v>
      </c>
      <c r="EV179" s="88" t="n">
        <f aca="false">IF(B179=2026,INDEX($C$27:$Q$27,1,B179-2025)*$AO$4*C179/MAX(0.0001,12-$AO$3),INDEX($C$27:$Q$27,1,B179-2025)/12)</f>
        <v>2.44736760269926</v>
      </c>
      <c r="EW179" s="88" t="n">
        <f aca="false">$AO$6*0</f>
        <v>0</v>
      </c>
      <c r="EX179" s="88" t="n">
        <f aca="false">EV179+EX178</f>
        <v>586.772772795801</v>
      </c>
      <c r="EY179" s="88" t="n">
        <f aca="false">EW179+EY178</f>
        <v>391</v>
      </c>
      <c r="EZ179" s="88" t="n">
        <f aca="false">MAX(EZ178,EX179-EY179)</f>
        <v>195.7727727958</v>
      </c>
      <c r="FA179" s="88" t="n">
        <f aca="false">EZ179-EZ178</f>
        <v>2.44736760269927</v>
      </c>
      <c r="FB179" s="88" t="n">
        <f aca="false">IF(B179=2026,INDEX($C$28:$Q$28,1,B179-2025)*$AO$4*C179/MAX(0.0001,12-$AO$3),INDEX($C$28:$Q$28,1,B179-2025)/12)</f>
        <v>12.8119694001306</v>
      </c>
      <c r="FC179" s="88" t="n">
        <f aca="false">$AO$6*0</f>
        <v>0</v>
      </c>
      <c r="FD179" s="88" t="n">
        <f aca="false">FB179+FD178</f>
        <v>3071.75546558601</v>
      </c>
      <c r="FE179" s="88" t="n">
        <f aca="false">FC179+FE178</f>
        <v>169</v>
      </c>
      <c r="FF179" s="88" t="n">
        <f aca="false">MAX(FF178,FD179-FE179)</f>
        <v>2902.75546558601</v>
      </c>
      <c r="FG179" s="88" t="n">
        <f aca="false">FF179-FF178</f>
        <v>12.8119694001307</v>
      </c>
    </row>
    <row r="180" customFormat="false" ht="15" hidden="false" customHeight="false" outlineLevel="0" collapsed="false">
      <c r="A180" s="0" t="n">
        <v>140</v>
      </c>
      <c r="B180" s="88" t="n">
        <f aca="false">2026+INT(A180/12)</f>
        <v>2037</v>
      </c>
      <c r="C180" s="88" t="n">
        <f aca="false">MAX(0,MIN(1,A180+1-$AO$3))</f>
        <v>1</v>
      </c>
      <c r="D180" s="88" t="n">
        <f aca="false">IF((A180+0.5-(0))&lt;$AO$3,0,2026+INT((A180+0.5-(0))/12))</f>
        <v>2037</v>
      </c>
      <c r="E180" s="88" t="n">
        <f aca="false">IF((A180+0.5-($AO$9))&lt;$AO$3,0,2026+INT((A180+0.5-($AO$9))/12))</f>
        <v>2036</v>
      </c>
      <c r="F180" s="88" t="n">
        <f aca="false">IF((A180+0.5-($AO$9+$AO$8))&lt;$AO$3,0,2026+INT((A180+0.5-($AO$9+$AO$8))/12))</f>
        <v>2035</v>
      </c>
      <c r="G180" s="88" t="n">
        <f aca="false">IF((A180+0.5-($AO$9+$AO$8+$AO$7))&lt;$AO$3,0,2026+INT((A180+0.5-($AO$9+$AO$8+$AO$7))/12))</f>
        <v>2034</v>
      </c>
      <c r="H180" s="88" t="n">
        <f aca="false">IF(B180=2026,INDEX($C$3:$Q$3,1,B180-2025)*$AO$4*C180/MAX(0.0001,12-$AO$3),INDEX($C$3:$Q$3,1,B180-2025)/12)</f>
        <v>131.166666666667</v>
      </c>
      <c r="I180" s="88" t="n">
        <f aca="false">$AO$6*0</f>
        <v>0</v>
      </c>
      <c r="J180" s="88" t="n">
        <f aca="false">H180+J179</f>
        <v>31579.2534246576</v>
      </c>
      <c r="K180" s="88" t="n">
        <f aca="false">I180+K179</f>
        <v>8695.00000000001</v>
      </c>
      <c r="L180" s="88" t="n">
        <f aca="false">MAX(L179,J180-K180)</f>
        <v>22884.2534246576</v>
      </c>
      <c r="M180" s="88" t="n">
        <f aca="false">L180-L179</f>
        <v>131.166666666664</v>
      </c>
      <c r="N180" s="88" t="n">
        <f aca="false">IF(B180=2026,INDEX($C$4:$Q$4,1,B180-2025)*$AO$4*C180/MAX(0.0001,12-$AO$3),INDEX($C$4:$Q$4,1,B180-2025)/12)</f>
        <v>3.97656100583185</v>
      </c>
      <c r="O180" s="88" t="n">
        <f aca="false">$AO$6*0</f>
        <v>0</v>
      </c>
      <c r="P180" s="88" t="n">
        <f aca="false">N180+P179</f>
        <v>957.383693228273</v>
      </c>
      <c r="Q180" s="88" t="n">
        <f aca="false">O180+Q179</f>
        <v>398</v>
      </c>
      <c r="R180" s="88" t="n">
        <f aca="false">MAX(R179,P180-Q180)</f>
        <v>559.383693228273</v>
      </c>
      <c r="S180" s="88" t="n">
        <f aca="false">R180-R179</f>
        <v>3.97656100583185</v>
      </c>
      <c r="T180" s="88" t="n">
        <f aca="false">IF(B180=2026,INDEX($C$5:$Q$5,1,B180-2025)*$AO$4*C180/MAX(0.0001,12-$AO$3),INDEX($C$5:$Q$5,1,B180-2025)/12)</f>
        <v>16.1621793514627</v>
      </c>
      <c r="U180" s="88" t="n">
        <f aca="false">$AO$6*0</f>
        <v>0</v>
      </c>
      <c r="V180" s="88" t="n">
        <f aca="false">T180+V179</f>
        <v>3891.15291716345</v>
      </c>
      <c r="W180" s="88" t="n">
        <f aca="false">U180+W179</f>
        <v>1115</v>
      </c>
      <c r="X180" s="88" t="n">
        <f aca="false">MAX(X179,V180-W180)</f>
        <v>2776.15291716345</v>
      </c>
      <c r="Y180" s="88" t="n">
        <f aca="false">X180-X179</f>
        <v>16.1621793514623</v>
      </c>
      <c r="Z180" s="88" t="n">
        <f aca="false">IF(B180=2026,INDEX($C$6:$Q$6,1,B180-2025)*$AO$4*C180/MAX(0.0001,12-$AO$3),INDEX($C$6:$Q$6,1,B180-2025)/12)</f>
        <v>19.1751119687993</v>
      </c>
      <c r="AA180" s="88" t="n">
        <f aca="false">$AO$6*0</f>
        <v>0</v>
      </c>
      <c r="AB180" s="88" t="n">
        <f aca="false">Z180+AB179</f>
        <v>4616.53662243126</v>
      </c>
      <c r="AC180" s="88" t="n">
        <f aca="false">AA180+AC179</f>
        <v>2194</v>
      </c>
      <c r="AD180" s="88" t="n">
        <f aca="false">MAX(AD179,AB180-AC180)</f>
        <v>2422.53662243125</v>
      </c>
      <c r="AE180" s="88" t="n">
        <f aca="false">AD180-AD179</f>
        <v>19.1751119687997</v>
      </c>
      <c r="AF180" s="88" t="n">
        <f aca="false">IF(B180=2026,INDEX($C$7:$Q$7,1,B180-2025)*$AO$4*C180/MAX(0.0001,12-$AO$3),INDEX($C$7:$Q$7,1,B180-2025)/12)</f>
        <v>16.6567447720231</v>
      </c>
      <c r="AG180" s="88" t="n">
        <f aca="false">$AO$6*0</f>
        <v>0</v>
      </c>
      <c r="AH180" s="88" t="n">
        <f aca="false">AF180+AH179</f>
        <v>4010.22285427361</v>
      </c>
      <c r="AI180" s="88" t="n">
        <f aca="false">AG180+AI179</f>
        <v>826</v>
      </c>
      <c r="AJ180" s="88" t="n">
        <f aca="false">MAX(AJ179,AH180-AI180)</f>
        <v>3184.22285427361</v>
      </c>
      <c r="AK180" s="88" t="n">
        <f aca="false">AJ180-AJ179</f>
        <v>16.6567447720231</v>
      </c>
      <c r="AL180" s="88" t="n">
        <f aca="false">IF(B180=2026,INDEX($C$8:$Q$8,1,B180-2025)*$AO$4*C180/MAX(0.0001,12-$AO$3),INDEX($C$8:$Q$8,1,B180-2025)/12)</f>
        <v>4.21336949449797</v>
      </c>
      <c r="AM180" s="88" t="n">
        <f aca="false">$AO$6*0</f>
        <v>0</v>
      </c>
      <c r="AN180" s="88" t="n">
        <f aca="false">AL180+AN179</f>
        <v>1014.39692278378</v>
      </c>
      <c r="AO180" s="88" t="n">
        <f aca="false">AM180+AO179</f>
        <v>66</v>
      </c>
      <c r="AP180" s="88" t="n">
        <f aca="false">MAX(AP179,AN180-AO180)</f>
        <v>948.396922783782</v>
      </c>
      <c r="AQ180" s="88" t="n">
        <f aca="false">AP180-AP179</f>
        <v>4.21336949449801</v>
      </c>
      <c r="AR180" s="88" t="n">
        <f aca="false">IF(B180=2026,INDEX($C$9:$Q$9,1,B180-2025)*$AO$4*C180/MAX(0.0001,12-$AO$3),INDEX($C$9:$Q$9,1,B180-2025)/12)</f>
        <v>17.9655670728432</v>
      </c>
      <c r="AS180" s="88" t="n">
        <f aca="false">$AO$6*0</f>
        <v>0</v>
      </c>
      <c r="AT180" s="88" t="n">
        <f aca="false">AR180+AT179</f>
        <v>4325.33058839389</v>
      </c>
      <c r="AU180" s="88" t="n">
        <f aca="false">AS180+AU179</f>
        <v>1810</v>
      </c>
      <c r="AV180" s="88" t="n">
        <f aca="false">MAX(AV179,AT180-AU180)</f>
        <v>2515.33058839389</v>
      </c>
      <c r="AW180" s="88" t="n">
        <f aca="false">AV180-AV179</f>
        <v>17.9655670728434</v>
      </c>
      <c r="AX180" s="88" t="n">
        <f aca="false">IF(B180=2026,INDEX($C$10:$Q$10,1,B180-2025)*$AO$4*C180/MAX(0.0001,12-$AO$3),INDEX($C$10:$Q$10,1,B180-2025)/12)</f>
        <v>2.08391470026186</v>
      </c>
      <c r="AY180" s="88" t="n">
        <f aca="false">$AO$6*0</f>
        <v>0</v>
      </c>
      <c r="AZ180" s="88" t="n">
        <f aca="false">AX180+AZ179</f>
        <v>501.716420088475</v>
      </c>
      <c r="BA180" s="88" t="n">
        <f aca="false">AY180+BA179</f>
        <v>50</v>
      </c>
      <c r="BB180" s="88" t="n">
        <f aca="false">MAX(BB179,AZ180-BA180)</f>
        <v>451.716420088475</v>
      </c>
      <c r="BC180" s="88" t="n">
        <f aca="false">BB180-BB179</f>
        <v>2.08391470026186</v>
      </c>
      <c r="BD180" s="88" t="n">
        <f aca="false">IF(B180=2026,INDEX($C$11:$Q$11,1,B180-2025)*$AO$4*C180/MAX(0.0001,12-$AO$3),INDEX($C$11:$Q$11,1,B180-2025)/12)</f>
        <v>10.3558173697453</v>
      </c>
      <c r="BE180" s="88" t="n">
        <f aca="false">$AO$6*0</f>
        <v>0</v>
      </c>
      <c r="BF180" s="88" t="n">
        <f aca="false">BD180+BF179</f>
        <v>2493.23238479282</v>
      </c>
      <c r="BG180" s="88" t="n">
        <f aca="false">BE180+BG179</f>
        <v>240</v>
      </c>
      <c r="BH180" s="88" t="n">
        <f aca="false">MAX(BH179,BF180-BG180)</f>
        <v>2253.23238479282</v>
      </c>
      <c r="BI180" s="88" t="n">
        <f aca="false">BH180-BH179</f>
        <v>10.3558173697452</v>
      </c>
      <c r="BJ180" s="88" t="n">
        <f aca="false">IF(B180=2026,INDEX($C$12:$Q$12,1,B180-2025)*$AO$4*C180/MAX(0.0001,12-$AO$3),INDEX($C$12:$Q$12,1,B180-2025)/12)</f>
        <v>5.67793891670997</v>
      </c>
      <c r="BK180" s="88" t="n">
        <f aca="false">$AO$6*0</f>
        <v>0</v>
      </c>
      <c r="BL180" s="88" t="n">
        <f aca="false">BJ180+BL179</f>
        <v>1367.00181941939</v>
      </c>
      <c r="BM180" s="88" t="n">
        <f aca="false">BK180+BM179</f>
        <v>465</v>
      </c>
      <c r="BN180" s="88" t="n">
        <f aca="false">MAX(BN179,BL180-BM180)</f>
        <v>902.001819419391</v>
      </c>
      <c r="BO180" s="88" t="n">
        <f aca="false">BN180-BN179</f>
        <v>5.67793891670999</v>
      </c>
      <c r="BP180" s="88" t="n">
        <f aca="false">IF(B180=2026,INDEX($C$13:$Q$13,1,B180-2025)*$AO$4*C180/MAX(0.0001,12-$AO$3),INDEX($C$13:$Q$13,1,B180-2025)/12)</f>
        <v>1.77434151195696</v>
      </c>
      <c r="BQ180" s="88" t="n">
        <f aca="false">$AO$6*0</f>
        <v>0</v>
      </c>
      <c r="BR180" s="88" t="n">
        <f aca="false">BP180+BR179</f>
        <v>427.184601788911</v>
      </c>
      <c r="BS180" s="88" t="n">
        <f aca="false">BQ180+BS179</f>
        <v>87</v>
      </c>
      <c r="BT180" s="88" t="n">
        <f aca="false">MAX(BT179,BR180-BS180)</f>
        <v>340.184601788911</v>
      </c>
      <c r="BU180" s="88" t="n">
        <f aca="false">BT180-BT179</f>
        <v>1.77434151195695</v>
      </c>
      <c r="BV180" s="88" t="n">
        <f aca="false">IF(B180=2026,INDEX($C$14:$Q$14,1,B180-2025)*$AO$4*C180/MAX(0.0001,12-$AO$3),INDEX($C$14:$Q$14,1,B180-2025)/12)</f>
        <v>1.05236806916068</v>
      </c>
      <c r="BW180" s="88" t="n">
        <f aca="false">$AO$6*0</f>
        <v>0</v>
      </c>
      <c r="BX180" s="88" t="n">
        <f aca="false">BV180+BX179</f>
        <v>253.364660371355</v>
      </c>
      <c r="BY180" s="88" t="n">
        <f aca="false">BW180+BY179</f>
        <v>0</v>
      </c>
      <c r="BZ180" s="88" t="n">
        <f aca="false">MAX(BZ179,BX180-BY180)</f>
        <v>253.364660371355</v>
      </c>
      <c r="CA180" s="88" t="n">
        <f aca="false">BZ180-BZ179</f>
        <v>1.05236806916068</v>
      </c>
      <c r="CB180" s="88" t="n">
        <f aca="false">IF(B180=2026,INDEX($C$15:$Q$15,1,B180-2025)*$AO$4*C180/MAX(0.0001,12-$AO$3),INDEX($C$15:$Q$15,1,B180-2025)/12)</f>
        <v>1.72539415990298</v>
      </c>
      <c r="CC180" s="88" t="n">
        <f aca="false">$AO$6*0</f>
        <v>0</v>
      </c>
      <c r="CD180" s="88" t="n">
        <f aca="false">CB180+CD179</f>
        <v>415.400198980941</v>
      </c>
      <c r="CE180" s="88" t="n">
        <f aca="false">CC180+CE179</f>
        <v>88.0000000000001</v>
      </c>
      <c r="CF180" s="88" t="n">
        <f aca="false">MAX(CF179,CD180-CE180)</f>
        <v>327.400198980941</v>
      </c>
      <c r="CG180" s="88" t="n">
        <f aca="false">CF180-CF179</f>
        <v>1.72539415990298</v>
      </c>
      <c r="CH180" s="88" t="n">
        <f aca="false">IF(B180=2026,INDEX($C$16:$Q$16,1,B180-2025)*$AO$4*C180/MAX(0.0001,12-$AO$3),INDEX($C$16:$Q$16,1,B180-2025)/12)</f>
        <v>1.36440743850484</v>
      </c>
      <c r="CI180" s="88" t="n">
        <f aca="false">$AO$6*0</f>
        <v>0</v>
      </c>
      <c r="CJ180" s="88" t="n">
        <f aca="false">CH180+CJ179</f>
        <v>328.490228272163</v>
      </c>
      <c r="CK180" s="88" t="n">
        <f aca="false">CI180+CK179</f>
        <v>70</v>
      </c>
      <c r="CL180" s="88" t="n">
        <f aca="false">MAX(CL179,CJ180-CK180)</f>
        <v>258.490228272163</v>
      </c>
      <c r="CM180" s="88" t="n">
        <f aca="false">CL180-CL179</f>
        <v>1.36440743850483</v>
      </c>
      <c r="CN180" s="88" t="n">
        <f aca="false">IF(B180=2026,INDEX($C$17:$Q$17,1,B180-2025)*$AO$4*C180/MAX(0.0001,12-$AO$3),INDEX($C$17:$Q$17,1,B180-2025)/12)</f>
        <v>5.94098485555245</v>
      </c>
      <c r="CO180" s="88" t="n">
        <f aca="false">$AO$6*0</f>
        <v>0</v>
      </c>
      <c r="CP180" s="88" t="n">
        <f aca="false">CN180+CP179</f>
        <v>1430.33189081736</v>
      </c>
      <c r="CQ180" s="88" t="n">
        <f aca="false">CO180+CQ179</f>
        <v>221</v>
      </c>
      <c r="CR180" s="88" t="n">
        <f aca="false">MAX(CR179,CP180-CQ180)</f>
        <v>1209.33189081736</v>
      </c>
      <c r="CS180" s="88" t="n">
        <f aca="false">CR180-CR179</f>
        <v>5.94098485555242</v>
      </c>
      <c r="CT180" s="88" t="n">
        <f aca="false">IF(B180=2026,INDEX($C$18:$Q$18,1,B180-2025)*$AO$4*C180/MAX(0.0001,12-$AO$3),INDEX($C$18:$Q$18,1,B180-2025)/12)</f>
        <v>1.23592063936312</v>
      </c>
      <c r="CU180" s="88" t="n">
        <f aca="false">$AO$6*0</f>
        <v>0</v>
      </c>
      <c r="CV180" s="88" t="n">
        <f aca="false">CT180+CV179</f>
        <v>297.556170901242</v>
      </c>
      <c r="CW180" s="88" t="n">
        <f aca="false">CU180+CW179</f>
        <v>11</v>
      </c>
      <c r="CX180" s="88" t="n">
        <f aca="false">MAX(CX179,CV180-CW180)</f>
        <v>286.556170901242</v>
      </c>
      <c r="CY180" s="88" t="n">
        <f aca="false">CX180-CX179</f>
        <v>1.23592063936314</v>
      </c>
      <c r="CZ180" s="88" t="n">
        <f aca="false">IF(B180=2026,INDEX($C$19:$Q$19,1,B180-2025)*$AO$4*C180/MAX(0.0001,12-$AO$3),INDEX($C$19:$Q$19,1,B180-2025)/12)</f>
        <v>1.22368380134963</v>
      </c>
      <c r="DA180" s="88" t="n">
        <f aca="false">$AO$6*0</f>
        <v>0</v>
      </c>
      <c r="DB180" s="88" t="n">
        <f aca="false">CZ180+DB179</f>
        <v>294.61007019925</v>
      </c>
      <c r="DC180" s="88" t="n">
        <f aca="false">DA180+DC179</f>
        <v>226</v>
      </c>
      <c r="DD180" s="88" t="n">
        <f aca="false">MAX(DD179,DB180-DC180)</f>
        <v>68.61007019925</v>
      </c>
      <c r="DE180" s="88" t="n">
        <f aca="false">DD180-DD179</f>
        <v>1.22368380134964</v>
      </c>
      <c r="DF180" s="88" t="n">
        <f aca="false">IF(B180=2026,INDEX($C$20:$Q$20,1,B180-2025)*$AO$4*C180/MAX(0.0001,12-$AO$3),INDEX($C$20:$Q$20,1,B180-2025)/12)</f>
        <v>0.997302298099947</v>
      </c>
      <c r="DG180" s="88" t="n">
        <f aca="false">$AO$6*0</f>
        <v>0</v>
      </c>
      <c r="DH180" s="88" t="n">
        <f aca="false">DF180+DH179</f>
        <v>240.107207212388</v>
      </c>
      <c r="DI180" s="88" t="n">
        <f aca="false">DG180+DI179</f>
        <v>0</v>
      </c>
      <c r="DJ180" s="88" t="n">
        <f aca="false">MAX(DJ179,DH180-DI180)</f>
        <v>240.107207212388</v>
      </c>
      <c r="DK180" s="88" t="n">
        <f aca="false">DJ180-DJ179</f>
        <v>0.997302298099953</v>
      </c>
      <c r="DL180" s="88" t="n">
        <f aca="false">IF(B180=2026,INDEX($C$21:$Q$21,1,B180-2025)*$AO$4*C180/MAX(0.0001,12-$AO$3),INDEX($C$21:$Q$21,1,B180-2025)/12)</f>
        <v>0.697499766769288</v>
      </c>
      <c r="DM180" s="88" t="n">
        <f aca="false">$AO$6*0</f>
        <v>0</v>
      </c>
      <c r="DN180" s="88" t="n">
        <f aca="false">DL180+DN179</f>
        <v>167.927740013572</v>
      </c>
      <c r="DO180" s="88" t="n">
        <f aca="false">DM180+DO179</f>
        <v>100</v>
      </c>
      <c r="DP180" s="88" t="n">
        <f aca="false">MAX(DP179,DN180-DO180)</f>
        <v>67.9277400135721</v>
      </c>
      <c r="DQ180" s="88" t="n">
        <f aca="false">DP180-DP179</f>
        <v>0.697499766769283</v>
      </c>
      <c r="DR180" s="88" t="n">
        <f aca="false">IF(B180=2026,INDEX($C$22:$Q$22,1,B180-2025)*$AO$4*C180/MAX(0.0001,12-$AO$3),INDEX($C$22:$Q$22,1,B180-2025)/12)</f>
        <v>0.544539291600585</v>
      </c>
      <c r="DS180" s="88" t="n">
        <f aca="false">$AO$6*0</f>
        <v>0</v>
      </c>
      <c r="DT180" s="88" t="n">
        <f aca="false">DR180+DT179</f>
        <v>131.101481238666</v>
      </c>
      <c r="DU180" s="88" t="n">
        <f aca="false">DS180+DU179</f>
        <v>29</v>
      </c>
      <c r="DV180" s="88" t="n">
        <f aca="false">MAX(DV179,DT180-DU180)</f>
        <v>102.101481238666</v>
      </c>
      <c r="DW180" s="88" t="n">
        <f aca="false">DV180-DV179</f>
        <v>0.544539291600586</v>
      </c>
      <c r="DX180" s="88" t="n">
        <f aca="false">IF(B180=2026,INDEX($C$23:$Q$23,1,B180-2025)*$AO$4*C180/MAX(0.0001,12-$AO$3),INDEX($C$23:$Q$23,1,B180-2025)/12)</f>
        <v>0.874933917964984</v>
      </c>
      <c r="DY180" s="88" t="n">
        <f aca="false">$AO$6*0</f>
        <v>0</v>
      </c>
      <c r="DZ180" s="88" t="n">
        <f aca="false">DX180+DZ179</f>
        <v>210.646200192464</v>
      </c>
      <c r="EA180" s="88" t="n">
        <f aca="false">DY180+EA179</f>
        <v>121</v>
      </c>
      <c r="EB180" s="88" t="n">
        <f aca="false">MAX(EB179,DZ180-EA180)</f>
        <v>89.6462001924638</v>
      </c>
      <c r="EC180" s="88" t="n">
        <f aca="false">EB180-EB179</f>
        <v>0.874933917964995</v>
      </c>
      <c r="ED180" s="88" t="n">
        <f aca="false">IF(B180=2026,INDEX($C$24:$Q$24,1,B180-2025)*$AO$4*C180/MAX(0.0001,12-$AO$3),INDEX($C$24:$Q$24,1,B180-2025)/12)</f>
        <v>0.538420872593837</v>
      </c>
      <c r="EE180" s="88" t="n">
        <f aca="false">$AO$6*0</f>
        <v>0</v>
      </c>
      <c r="EF180" s="88" t="n">
        <f aca="false">ED180+EF179</f>
        <v>129.62843088767</v>
      </c>
      <c r="EG180" s="88" t="n">
        <f aca="false">EE180+EG179</f>
        <v>0</v>
      </c>
      <c r="EH180" s="88" t="n">
        <f aca="false">MAX(EH179,EF180-EG180)</f>
        <v>129.62843088767</v>
      </c>
      <c r="EI180" s="88" t="n">
        <f aca="false">EH180-EH179</f>
        <v>0.538420872593832</v>
      </c>
      <c r="EJ180" s="88" t="n">
        <f aca="false">IF(B180=2026,INDEX($C$25:$Q$25,1,B180-2025)*$AO$4*C180/MAX(0.0001,12-$AO$3),INDEX($C$25:$Q$25,1,B180-2025)/12)</f>
        <v>0.685262928755792</v>
      </c>
      <c r="EK180" s="88" t="n">
        <f aca="false">$AO$6*0</f>
        <v>0</v>
      </c>
      <c r="EL180" s="88" t="n">
        <f aca="false">EJ180+EL179</f>
        <v>164.98163931158</v>
      </c>
      <c r="EM180" s="88" t="n">
        <f aca="false">EK180+EM179</f>
        <v>14</v>
      </c>
      <c r="EN180" s="88" t="n">
        <f aca="false">MAX(EN179,EL180-EM180)</f>
        <v>150.98163931158</v>
      </c>
      <c r="EO180" s="88" t="n">
        <f aca="false">EN180-EN179</f>
        <v>0.685262928755805</v>
      </c>
      <c r="EP180" s="88" t="n">
        <f aca="false">IF(B180=2026,INDEX($C$26:$Q$26,1,B180-2025)*$AO$4*C180/MAX(0.0001,12-$AO$3),INDEX($C$26:$Q$26,1,B180-2025)/12)</f>
        <v>0.985065460086451</v>
      </c>
      <c r="EQ180" s="88" t="n">
        <f aca="false">$AO$6*0</f>
        <v>0</v>
      </c>
      <c r="ER180" s="88" t="n">
        <f aca="false">EP180+ER179</f>
        <v>237.161106510395</v>
      </c>
      <c r="ES180" s="88" t="n">
        <f aca="false">EQ180+ES179</f>
        <v>4</v>
      </c>
      <c r="ET180" s="88" t="n">
        <f aca="false">MAX(ET179,ER180-ES180)</f>
        <v>233.161106510395</v>
      </c>
      <c r="EU180" s="88" t="n">
        <f aca="false">ET180-ET179</f>
        <v>0.985065460086446</v>
      </c>
      <c r="EV180" s="88" t="n">
        <f aca="false">IF(B180=2026,INDEX($C$27:$Q$27,1,B180-2025)*$AO$4*C180/MAX(0.0001,12-$AO$3),INDEX($C$27:$Q$27,1,B180-2025)/12)</f>
        <v>2.44736760269926</v>
      </c>
      <c r="EW180" s="88" t="n">
        <f aca="false">$AO$6*0</f>
        <v>0</v>
      </c>
      <c r="EX180" s="88" t="n">
        <f aca="false">EV180+EX179</f>
        <v>589.2201403985</v>
      </c>
      <c r="EY180" s="88" t="n">
        <f aca="false">EW180+EY179</f>
        <v>391</v>
      </c>
      <c r="EZ180" s="88" t="n">
        <f aca="false">MAX(EZ179,EX180-EY180)</f>
        <v>198.2201403985</v>
      </c>
      <c r="FA180" s="88" t="n">
        <f aca="false">EZ180-EZ179</f>
        <v>2.44736760269927</v>
      </c>
      <c r="FB180" s="88" t="n">
        <f aca="false">IF(B180=2026,INDEX($C$28:$Q$28,1,B180-2025)*$AO$4*C180/MAX(0.0001,12-$AO$3),INDEX($C$28:$Q$28,1,B180-2025)/12)</f>
        <v>12.8119694001306</v>
      </c>
      <c r="FC180" s="88" t="n">
        <f aca="false">$AO$6*0</f>
        <v>0</v>
      </c>
      <c r="FD180" s="88" t="n">
        <f aca="false">FB180+FD179</f>
        <v>3084.56743498614</v>
      </c>
      <c r="FE180" s="88" t="n">
        <f aca="false">FC180+FE179</f>
        <v>169</v>
      </c>
      <c r="FF180" s="88" t="n">
        <f aca="false">MAX(FF179,FD180-FE180)</f>
        <v>2915.56743498614</v>
      </c>
      <c r="FG180" s="88" t="n">
        <f aca="false">FF180-FF179</f>
        <v>12.8119694001307</v>
      </c>
    </row>
    <row r="181" customFormat="false" ht="15" hidden="false" customHeight="false" outlineLevel="0" collapsed="false">
      <c r="A181" s="0" t="n">
        <v>141</v>
      </c>
      <c r="B181" s="88" t="n">
        <f aca="false">2026+INT(A181/12)</f>
        <v>2037</v>
      </c>
      <c r="C181" s="88" t="n">
        <f aca="false">MAX(0,MIN(1,A181+1-$AO$3))</f>
        <v>1</v>
      </c>
      <c r="D181" s="88" t="n">
        <f aca="false">IF((A181+0.5-(0))&lt;$AO$3,0,2026+INT((A181+0.5-(0))/12))</f>
        <v>2037</v>
      </c>
      <c r="E181" s="88" t="n">
        <f aca="false">IF((A181+0.5-($AO$9))&lt;$AO$3,0,2026+INT((A181+0.5-($AO$9))/12))</f>
        <v>2036</v>
      </c>
      <c r="F181" s="88" t="n">
        <f aca="false">IF((A181+0.5-($AO$9+$AO$8))&lt;$AO$3,0,2026+INT((A181+0.5-($AO$9+$AO$8))/12))</f>
        <v>2035</v>
      </c>
      <c r="G181" s="88" t="n">
        <f aca="false">IF((A181+0.5-($AO$9+$AO$8+$AO$7))&lt;$AO$3,0,2026+INT((A181+0.5-($AO$9+$AO$8+$AO$7))/12))</f>
        <v>2034</v>
      </c>
      <c r="H181" s="88" t="n">
        <f aca="false">IF(B181=2026,INDEX($C$3:$Q$3,1,B181-2025)*$AO$4*C181/MAX(0.0001,12-$AO$3),INDEX($C$3:$Q$3,1,B181-2025)/12)</f>
        <v>131.166666666667</v>
      </c>
      <c r="I181" s="88" t="n">
        <f aca="false">$AO$6*0</f>
        <v>0</v>
      </c>
      <c r="J181" s="88" t="n">
        <f aca="false">H181+J180</f>
        <v>31710.4200913243</v>
      </c>
      <c r="K181" s="88" t="n">
        <f aca="false">I181+K180</f>
        <v>8695.00000000001</v>
      </c>
      <c r="L181" s="88" t="n">
        <f aca="false">MAX(L180,J181-K181)</f>
        <v>23015.4200913243</v>
      </c>
      <c r="M181" s="88" t="n">
        <f aca="false">L181-L180</f>
        <v>131.166666666672</v>
      </c>
      <c r="N181" s="88" t="n">
        <f aca="false">IF(B181=2026,INDEX($C$4:$Q$4,1,B181-2025)*$AO$4*C181/MAX(0.0001,12-$AO$3),INDEX($C$4:$Q$4,1,B181-2025)/12)</f>
        <v>3.97656100583185</v>
      </c>
      <c r="O181" s="88" t="n">
        <f aca="false">$AO$6*0</f>
        <v>0</v>
      </c>
      <c r="P181" s="88" t="n">
        <f aca="false">N181+P180</f>
        <v>961.360254234105</v>
      </c>
      <c r="Q181" s="88" t="n">
        <f aca="false">O181+Q180</f>
        <v>398</v>
      </c>
      <c r="R181" s="88" t="n">
        <f aca="false">MAX(R180,P181-Q181)</f>
        <v>563.360254234105</v>
      </c>
      <c r="S181" s="88" t="n">
        <f aca="false">R181-R180</f>
        <v>3.97656100583185</v>
      </c>
      <c r="T181" s="88" t="n">
        <f aca="false">IF(B181=2026,INDEX($C$5:$Q$5,1,B181-2025)*$AO$4*C181/MAX(0.0001,12-$AO$3),INDEX($C$5:$Q$5,1,B181-2025)/12)</f>
        <v>16.1621793514627</v>
      </c>
      <c r="U181" s="88" t="n">
        <f aca="false">$AO$6*0</f>
        <v>0</v>
      </c>
      <c r="V181" s="88" t="n">
        <f aca="false">T181+V180</f>
        <v>3907.31509651491</v>
      </c>
      <c r="W181" s="88" t="n">
        <f aca="false">U181+W180</f>
        <v>1115</v>
      </c>
      <c r="X181" s="88" t="n">
        <f aca="false">MAX(X180,V181-W181)</f>
        <v>2792.31509651491</v>
      </c>
      <c r="Y181" s="88" t="n">
        <f aca="false">X181-X180</f>
        <v>16.1621793514632</v>
      </c>
      <c r="Z181" s="88" t="n">
        <f aca="false">IF(B181=2026,INDEX($C$6:$Q$6,1,B181-2025)*$AO$4*C181/MAX(0.0001,12-$AO$3),INDEX($C$6:$Q$6,1,B181-2025)/12)</f>
        <v>19.1751119687993</v>
      </c>
      <c r="AA181" s="88" t="n">
        <f aca="false">$AO$6*0</f>
        <v>0</v>
      </c>
      <c r="AB181" s="88" t="n">
        <f aca="false">Z181+AB180</f>
        <v>4635.71173440006</v>
      </c>
      <c r="AC181" s="88" t="n">
        <f aca="false">AA181+AC180</f>
        <v>2194</v>
      </c>
      <c r="AD181" s="88" t="n">
        <f aca="false">MAX(AD180,AB181-AC181)</f>
        <v>2441.71173440005</v>
      </c>
      <c r="AE181" s="88" t="n">
        <f aca="false">AD181-AD180</f>
        <v>19.1751119687997</v>
      </c>
      <c r="AF181" s="88" t="n">
        <f aca="false">IF(B181=2026,INDEX($C$7:$Q$7,1,B181-2025)*$AO$4*C181/MAX(0.0001,12-$AO$3),INDEX($C$7:$Q$7,1,B181-2025)/12)</f>
        <v>16.6567447720231</v>
      </c>
      <c r="AG181" s="88" t="n">
        <f aca="false">$AO$6*0</f>
        <v>0</v>
      </c>
      <c r="AH181" s="88" t="n">
        <f aca="false">AF181+AH180</f>
        <v>4026.87959904564</v>
      </c>
      <c r="AI181" s="88" t="n">
        <f aca="false">AG181+AI180</f>
        <v>826</v>
      </c>
      <c r="AJ181" s="88" t="n">
        <f aca="false">MAX(AJ180,AH181-AI181)</f>
        <v>3200.87959904564</v>
      </c>
      <c r="AK181" s="88" t="n">
        <f aca="false">AJ181-AJ180</f>
        <v>16.6567447720231</v>
      </c>
      <c r="AL181" s="88" t="n">
        <f aca="false">IF(B181=2026,INDEX($C$8:$Q$8,1,B181-2025)*$AO$4*C181/MAX(0.0001,12-$AO$3),INDEX($C$8:$Q$8,1,B181-2025)/12)</f>
        <v>4.21336949449797</v>
      </c>
      <c r="AM181" s="88" t="n">
        <f aca="false">$AO$6*0</f>
        <v>0</v>
      </c>
      <c r="AN181" s="88" t="n">
        <f aca="false">AL181+AN180</f>
        <v>1018.61029227828</v>
      </c>
      <c r="AO181" s="88" t="n">
        <f aca="false">AM181+AO180</f>
        <v>66</v>
      </c>
      <c r="AP181" s="88" t="n">
        <f aca="false">MAX(AP180,AN181-AO181)</f>
        <v>952.61029227828</v>
      </c>
      <c r="AQ181" s="88" t="n">
        <f aca="false">AP181-AP180</f>
        <v>4.21336949449801</v>
      </c>
      <c r="AR181" s="88" t="n">
        <f aca="false">IF(B181=2026,INDEX($C$9:$Q$9,1,B181-2025)*$AO$4*C181/MAX(0.0001,12-$AO$3),INDEX($C$9:$Q$9,1,B181-2025)/12)</f>
        <v>17.9655670728432</v>
      </c>
      <c r="AS181" s="88" t="n">
        <f aca="false">$AO$6*0</f>
        <v>0</v>
      </c>
      <c r="AT181" s="88" t="n">
        <f aca="false">AR181+AT180</f>
        <v>4343.29615546673</v>
      </c>
      <c r="AU181" s="88" t="n">
        <f aca="false">AS181+AU180</f>
        <v>1810</v>
      </c>
      <c r="AV181" s="88" t="n">
        <f aca="false">MAX(AV180,AT181-AU181)</f>
        <v>2533.29615546673</v>
      </c>
      <c r="AW181" s="88" t="n">
        <f aca="false">AV181-AV180</f>
        <v>17.9655670728434</v>
      </c>
      <c r="AX181" s="88" t="n">
        <f aca="false">IF(B181=2026,INDEX($C$10:$Q$10,1,B181-2025)*$AO$4*C181/MAX(0.0001,12-$AO$3),INDEX($C$10:$Q$10,1,B181-2025)/12)</f>
        <v>2.08391470026186</v>
      </c>
      <c r="AY181" s="88" t="n">
        <f aca="false">$AO$6*0</f>
        <v>0</v>
      </c>
      <c r="AZ181" s="88" t="n">
        <f aca="false">AX181+AZ180</f>
        <v>503.800334788737</v>
      </c>
      <c r="BA181" s="88" t="n">
        <f aca="false">AY181+BA180</f>
        <v>50</v>
      </c>
      <c r="BB181" s="88" t="n">
        <f aca="false">MAX(BB180,AZ181-BA181)</f>
        <v>453.800334788737</v>
      </c>
      <c r="BC181" s="88" t="n">
        <f aca="false">BB181-BB180</f>
        <v>2.08391470026186</v>
      </c>
      <c r="BD181" s="88" t="n">
        <f aca="false">IF(B181=2026,INDEX($C$11:$Q$11,1,B181-2025)*$AO$4*C181/MAX(0.0001,12-$AO$3),INDEX($C$11:$Q$11,1,B181-2025)/12)</f>
        <v>10.3558173697453</v>
      </c>
      <c r="BE181" s="88" t="n">
        <f aca="false">$AO$6*0</f>
        <v>0</v>
      </c>
      <c r="BF181" s="88" t="n">
        <f aca="false">BD181+BF180</f>
        <v>2503.58820216256</v>
      </c>
      <c r="BG181" s="88" t="n">
        <f aca="false">BE181+BG180</f>
        <v>240</v>
      </c>
      <c r="BH181" s="88" t="n">
        <f aca="false">MAX(BH180,BF181-BG181)</f>
        <v>2263.58820216256</v>
      </c>
      <c r="BI181" s="88" t="n">
        <f aca="false">BH181-BH180</f>
        <v>10.3558173697452</v>
      </c>
      <c r="BJ181" s="88" t="n">
        <f aca="false">IF(B181=2026,INDEX($C$12:$Q$12,1,B181-2025)*$AO$4*C181/MAX(0.0001,12-$AO$3),INDEX($C$12:$Q$12,1,B181-2025)/12)</f>
        <v>5.67793891670997</v>
      </c>
      <c r="BK181" s="88" t="n">
        <f aca="false">$AO$6*0</f>
        <v>0</v>
      </c>
      <c r="BL181" s="88" t="n">
        <f aca="false">BJ181+BL180</f>
        <v>1372.6797583361</v>
      </c>
      <c r="BM181" s="88" t="n">
        <f aca="false">BK181+BM180</f>
        <v>465</v>
      </c>
      <c r="BN181" s="88" t="n">
        <f aca="false">MAX(BN180,BL181-BM181)</f>
        <v>907.679758336101</v>
      </c>
      <c r="BO181" s="88" t="n">
        <f aca="false">BN181-BN180</f>
        <v>5.67793891670999</v>
      </c>
      <c r="BP181" s="88" t="n">
        <f aca="false">IF(B181=2026,INDEX($C$13:$Q$13,1,B181-2025)*$AO$4*C181/MAX(0.0001,12-$AO$3),INDEX($C$13:$Q$13,1,B181-2025)/12)</f>
        <v>1.77434151195696</v>
      </c>
      <c r="BQ181" s="88" t="n">
        <f aca="false">$AO$6*0</f>
        <v>0</v>
      </c>
      <c r="BR181" s="88" t="n">
        <f aca="false">BP181+BR180</f>
        <v>428.958943300868</v>
      </c>
      <c r="BS181" s="88" t="n">
        <f aca="false">BQ181+BS180</f>
        <v>87</v>
      </c>
      <c r="BT181" s="88" t="n">
        <f aca="false">MAX(BT180,BR181-BS181)</f>
        <v>341.958943300868</v>
      </c>
      <c r="BU181" s="88" t="n">
        <f aca="false">BT181-BT180</f>
        <v>1.77434151195695</v>
      </c>
      <c r="BV181" s="88" t="n">
        <f aca="false">IF(B181=2026,INDEX($C$14:$Q$14,1,B181-2025)*$AO$4*C181/MAX(0.0001,12-$AO$3),INDEX($C$14:$Q$14,1,B181-2025)/12)</f>
        <v>1.05236806916068</v>
      </c>
      <c r="BW181" s="88" t="n">
        <f aca="false">$AO$6*0</f>
        <v>0</v>
      </c>
      <c r="BX181" s="88" t="n">
        <f aca="false">BV181+BX180</f>
        <v>254.417028440515</v>
      </c>
      <c r="BY181" s="88" t="n">
        <f aca="false">BW181+BY180</f>
        <v>0</v>
      </c>
      <c r="BZ181" s="88" t="n">
        <f aca="false">MAX(BZ180,BX181-BY181)</f>
        <v>254.417028440515</v>
      </c>
      <c r="CA181" s="88" t="n">
        <f aca="false">BZ181-BZ180</f>
        <v>1.05236806916068</v>
      </c>
      <c r="CB181" s="88" t="n">
        <f aca="false">IF(B181=2026,INDEX($C$15:$Q$15,1,B181-2025)*$AO$4*C181/MAX(0.0001,12-$AO$3),INDEX($C$15:$Q$15,1,B181-2025)/12)</f>
        <v>1.72539415990298</v>
      </c>
      <c r="CC181" s="88" t="n">
        <f aca="false">$AO$6*0</f>
        <v>0</v>
      </c>
      <c r="CD181" s="88" t="n">
        <f aca="false">CB181+CD180</f>
        <v>417.125593140844</v>
      </c>
      <c r="CE181" s="88" t="n">
        <f aca="false">CC181+CE180</f>
        <v>88.0000000000001</v>
      </c>
      <c r="CF181" s="88" t="n">
        <f aca="false">MAX(CF180,CD181-CE181)</f>
        <v>329.125593140844</v>
      </c>
      <c r="CG181" s="88" t="n">
        <f aca="false">CF181-CF180</f>
        <v>1.72539415990298</v>
      </c>
      <c r="CH181" s="88" t="n">
        <f aca="false">IF(B181=2026,INDEX($C$16:$Q$16,1,B181-2025)*$AO$4*C181/MAX(0.0001,12-$AO$3),INDEX($C$16:$Q$16,1,B181-2025)/12)</f>
        <v>1.36440743850484</v>
      </c>
      <c r="CI181" s="88" t="n">
        <f aca="false">$AO$6*0</f>
        <v>0</v>
      </c>
      <c r="CJ181" s="88" t="n">
        <f aca="false">CH181+CJ180</f>
        <v>329.854635710667</v>
      </c>
      <c r="CK181" s="88" t="n">
        <f aca="false">CI181+CK180</f>
        <v>70</v>
      </c>
      <c r="CL181" s="88" t="n">
        <f aca="false">MAX(CL180,CJ181-CK181)</f>
        <v>259.854635710667</v>
      </c>
      <c r="CM181" s="88" t="n">
        <f aca="false">CL181-CL180</f>
        <v>1.36440743850483</v>
      </c>
      <c r="CN181" s="88" t="n">
        <f aca="false">IF(B181=2026,INDEX($C$17:$Q$17,1,B181-2025)*$AO$4*C181/MAX(0.0001,12-$AO$3),INDEX($C$17:$Q$17,1,B181-2025)/12)</f>
        <v>5.94098485555245</v>
      </c>
      <c r="CO181" s="88" t="n">
        <f aca="false">$AO$6*0</f>
        <v>0</v>
      </c>
      <c r="CP181" s="88" t="n">
        <f aca="false">CN181+CP180</f>
        <v>1436.27287567291</v>
      </c>
      <c r="CQ181" s="88" t="n">
        <f aca="false">CO181+CQ180</f>
        <v>221</v>
      </c>
      <c r="CR181" s="88" t="n">
        <f aca="false">MAX(CR180,CP181-CQ181)</f>
        <v>1215.27287567291</v>
      </c>
      <c r="CS181" s="88" t="n">
        <f aca="false">CR181-CR180</f>
        <v>5.94098485555242</v>
      </c>
      <c r="CT181" s="88" t="n">
        <f aca="false">IF(B181=2026,INDEX($C$18:$Q$18,1,B181-2025)*$AO$4*C181/MAX(0.0001,12-$AO$3),INDEX($C$18:$Q$18,1,B181-2025)/12)</f>
        <v>1.23592063936312</v>
      </c>
      <c r="CU181" s="88" t="n">
        <f aca="false">$AO$6*0</f>
        <v>0</v>
      </c>
      <c r="CV181" s="88" t="n">
        <f aca="false">CT181+CV180</f>
        <v>298.792091540605</v>
      </c>
      <c r="CW181" s="88" t="n">
        <f aca="false">CU181+CW180</f>
        <v>11</v>
      </c>
      <c r="CX181" s="88" t="n">
        <f aca="false">MAX(CX180,CV181-CW181)</f>
        <v>287.792091540605</v>
      </c>
      <c r="CY181" s="88" t="n">
        <f aca="false">CX181-CX180</f>
        <v>1.23592063936314</v>
      </c>
      <c r="CZ181" s="88" t="n">
        <f aca="false">IF(B181=2026,INDEX($C$19:$Q$19,1,B181-2025)*$AO$4*C181/MAX(0.0001,12-$AO$3),INDEX($C$19:$Q$19,1,B181-2025)/12)</f>
        <v>1.22368380134963</v>
      </c>
      <c r="DA181" s="88" t="n">
        <f aca="false">$AO$6*0</f>
        <v>0</v>
      </c>
      <c r="DB181" s="88" t="n">
        <f aca="false">CZ181+DB180</f>
        <v>295.8337540006</v>
      </c>
      <c r="DC181" s="88" t="n">
        <f aca="false">DA181+DC180</f>
        <v>226</v>
      </c>
      <c r="DD181" s="88" t="n">
        <f aca="false">MAX(DD180,DB181-DC181)</f>
        <v>69.8337540005997</v>
      </c>
      <c r="DE181" s="88" t="n">
        <f aca="false">DD181-DD180</f>
        <v>1.22368380134964</v>
      </c>
      <c r="DF181" s="88" t="n">
        <f aca="false">IF(B181=2026,INDEX($C$20:$Q$20,1,B181-2025)*$AO$4*C181/MAX(0.0001,12-$AO$3),INDEX($C$20:$Q$20,1,B181-2025)/12)</f>
        <v>0.997302298099947</v>
      </c>
      <c r="DG181" s="88" t="n">
        <f aca="false">$AO$6*0</f>
        <v>0</v>
      </c>
      <c r="DH181" s="88" t="n">
        <f aca="false">DF181+DH180</f>
        <v>241.104509510488</v>
      </c>
      <c r="DI181" s="88" t="n">
        <f aca="false">DG181+DI180</f>
        <v>0</v>
      </c>
      <c r="DJ181" s="88" t="n">
        <f aca="false">MAX(DJ180,DH181-DI181)</f>
        <v>241.104509510488</v>
      </c>
      <c r="DK181" s="88" t="n">
        <f aca="false">DJ181-DJ180</f>
        <v>0.997302298099953</v>
      </c>
      <c r="DL181" s="88" t="n">
        <f aca="false">IF(B181=2026,INDEX($C$21:$Q$21,1,B181-2025)*$AO$4*C181/MAX(0.0001,12-$AO$3),INDEX($C$21:$Q$21,1,B181-2025)/12)</f>
        <v>0.697499766769288</v>
      </c>
      <c r="DM181" s="88" t="n">
        <f aca="false">$AO$6*0</f>
        <v>0</v>
      </c>
      <c r="DN181" s="88" t="n">
        <f aca="false">DL181+DN180</f>
        <v>168.625239780341</v>
      </c>
      <c r="DO181" s="88" t="n">
        <f aca="false">DM181+DO180</f>
        <v>100</v>
      </c>
      <c r="DP181" s="88" t="n">
        <f aca="false">MAX(DP180,DN181-DO181)</f>
        <v>68.6252397803414</v>
      </c>
      <c r="DQ181" s="88" t="n">
        <f aca="false">DP181-DP180</f>
        <v>0.697499766769283</v>
      </c>
      <c r="DR181" s="88" t="n">
        <f aca="false">IF(B181=2026,INDEX($C$22:$Q$22,1,B181-2025)*$AO$4*C181/MAX(0.0001,12-$AO$3),INDEX($C$22:$Q$22,1,B181-2025)/12)</f>
        <v>0.544539291600585</v>
      </c>
      <c r="DS181" s="88" t="n">
        <f aca="false">$AO$6*0</f>
        <v>0</v>
      </c>
      <c r="DT181" s="88" t="n">
        <f aca="false">DR181+DT180</f>
        <v>131.646020530267</v>
      </c>
      <c r="DU181" s="88" t="n">
        <f aca="false">DS181+DU180</f>
        <v>29</v>
      </c>
      <c r="DV181" s="88" t="n">
        <f aca="false">MAX(DV180,DT181-DU181)</f>
        <v>102.646020530267</v>
      </c>
      <c r="DW181" s="88" t="n">
        <f aca="false">DV181-DV180</f>
        <v>0.544539291600586</v>
      </c>
      <c r="DX181" s="88" t="n">
        <f aca="false">IF(B181=2026,INDEX($C$23:$Q$23,1,B181-2025)*$AO$4*C181/MAX(0.0001,12-$AO$3),INDEX($C$23:$Q$23,1,B181-2025)/12)</f>
        <v>0.874933917964984</v>
      </c>
      <c r="DY181" s="88" t="n">
        <f aca="false">$AO$6*0</f>
        <v>0</v>
      </c>
      <c r="DZ181" s="88" t="n">
        <f aca="false">DX181+DZ180</f>
        <v>211.521134110429</v>
      </c>
      <c r="EA181" s="88" t="n">
        <f aca="false">DY181+EA180</f>
        <v>121</v>
      </c>
      <c r="EB181" s="88" t="n">
        <f aca="false">MAX(EB180,DZ181-EA181)</f>
        <v>90.5211341104288</v>
      </c>
      <c r="EC181" s="88" t="n">
        <f aca="false">EB181-EB180</f>
        <v>0.874933917964995</v>
      </c>
      <c r="ED181" s="88" t="n">
        <f aca="false">IF(B181=2026,INDEX($C$24:$Q$24,1,B181-2025)*$AO$4*C181/MAX(0.0001,12-$AO$3),INDEX($C$24:$Q$24,1,B181-2025)/12)</f>
        <v>0.538420872593837</v>
      </c>
      <c r="EE181" s="88" t="n">
        <f aca="false">$AO$6*0</f>
        <v>0</v>
      </c>
      <c r="EF181" s="88" t="n">
        <f aca="false">ED181+EF180</f>
        <v>130.166851760263</v>
      </c>
      <c r="EG181" s="88" t="n">
        <f aca="false">EE181+EG180</f>
        <v>0</v>
      </c>
      <c r="EH181" s="88" t="n">
        <f aca="false">MAX(EH180,EF181-EG181)</f>
        <v>130.166851760263</v>
      </c>
      <c r="EI181" s="88" t="n">
        <f aca="false">EH181-EH180</f>
        <v>0.538420872593832</v>
      </c>
      <c r="EJ181" s="88" t="n">
        <f aca="false">IF(B181=2026,INDEX($C$25:$Q$25,1,B181-2025)*$AO$4*C181/MAX(0.0001,12-$AO$3),INDEX($C$25:$Q$25,1,B181-2025)/12)</f>
        <v>0.685262928755792</v>
      </c>
      <c r="EK181" s="88" t="n">
        <f aca="false">$AO$6*0</f>
        <v>0</v>
      </c>
      <c r="EL181" s="88" t="n">
        <f aca="false">EJ181+EL180</f>
        <v>165.666902240335</v>
      </c>
      <c r="EM181" s="88" t="n">
        <f aca="false">EK181+EM180</f>
        <v>14</v>
      </c>
      <c r="EN181" s="88" t="n">
        <f aca="false">MAX(EN180,EL181-EM181)</f>
        <v>151.666902240335</v>
      </c>
      <c r="EO181" s="88" t="n">
        <f aca="false">EN181-EN180</f>
        <v>0.685262928755805</v>
      </c>
      <c r="EP181" s="88" t="n">
        <f aca="false">IF(B181=2026,INDEX($C$26:$Q$26,1,B181-2025)*$AO$4*C181/MAX(0.0001,12-$AO$3),INDEX($C$26:$Q$26,1,B181-2025)/12)</f>
        <v>0.985065460086451</v>
      </c>
      <c r="EQ181" s="88" t="n">
        <f aca="false">$AO$6*0</f>
        <v>0</v>
      </c>
      <c r="ER181" s="88" t="n">
        <f aca="false">EP181+ER180</f>
        <v>238.146171970481</v>
      </c>
      <c r="ES181" s="88" t="n">
        <f aca="false">EQ181+ES180</f>
        <v>4</v>
      </c>
      <c r="ET181" s="88" t="n">
        <f aca="false">MAX(ET180,ER181-ES181)</f>
        <v>234.146171970481</v>
      </c>
      <c r="EU181" s="88" t="n">
        <f aca="false">ET181-ET180</f>
        <v>0.985065460086446</v>
      </c>
      <c r="EV181" s="88" t="n">
        <f aca="false">IF(B181=2026,INDEX($C$27:$Q$27,1,B181-2025)*$AO$4*C181/MAX(0.0001,12-$AO$3),INDEX($C$27:$Q$27,1,B181-2025)/12)</f>
        <v>2.44736760269926</v>
      </c>
      <c r="EW181" s="88" t="n">
        <f aca="false">$AO$6*0</f>
        <v>0</v>
      </c>
      <c r="EX181" s="88" t="n">
        <f aca="false">EV181+EX180</f>
        <v>591.667508001199</v>
      </c>
      <c r="EY181" s="88" t="n">
        <f aca="false">EW181+EY180</f>
        <v>391</v>
      </c>
      <c r="EZ181" s="88" t="n">
        <f aca="false">MAX(EZ180,EX181-EY181)</f>
        <v>200.667508001199</v>
      </c>
      <c r="FA181" s="88" t="n">
        <f aca="false">EZ181-EZ180</f>
        <v>2.44736760269927</v>
      </c>
      <c r="FB181" s="88" t="n">
        <f aca="false">IF(B181=2026,INDEX($C$28:$Q$28,1,B181-2025)*$AO$4*C181/MAX(0.0001,12-$AO$3),INDEX($C$28:$Q$28,1,B181-2025)/12)</f>
        <v>12.8119694001306</v>
      </c>
      <c r="FC181" s="88" t="n">
        <f aca="false">$AO$6*0</f>
        <v>0</v>
      </c>
      <c r="FD181" s="88" t="n">
        <f aca="false">FB181+FD180</f>
        <v>3097.37940438627</v>
      </c>
      <c r="FE181" s="88" t="n">
        <f aca="false">FC181+FE180</f>
        <v>169</v>
      </c>
      <c r="FF181" s="88" t="n">
        <f aca="false">MAX(FF180,FD181-FE181)</f>
        <v>2928.37940438627</v>
      </c>
      <c r="FG181" s="88" t="n">
        <f aca="false">FF181-FF180</f>
        <v>12.8119694001307</v>
      </c>
    </row>
    <row r="182" customFormat="false" ht="15" hidden="false" customHeight="false" outlineLevel="0" collapsed="false">
      <c r="A182" s="0" t="n">
        <v>142</v>
      </c>
      <c r="B182" s="88" t="n">
        <f aca="false">2026+INT(A182/12)</f>
        <v>2037</v>
      </c>
      <c r="C182" s="88" t="n">
        <f aca="false">MAX(0,MIN(1,A182+1-$AO$3))</f>
        <v>1</v>
      </c>
      <c r="D182" s="88" t="n">
        <f aca="false">IF((A182+0.5-(0))&lt;$AO$3,0,2026+INT((A182+0.5-(0))/12))</f>
        <v>2037</v>
      </c>
      <c r="E182" s="88" t="n">
        <f aca="false">IF((A182+0.5-($AO$9))&lt;$AO$3,0,2026+INT((A182+0.5-($AO$9))/12))</f>
        <v>2036</v>
      </c>
      <c r="F182" s="88" t="n">
        <f aca="false">IF((A182+0.5-($AO$9+$AO$8))&lt;$AO$3,0,2026+INT((A182+0.5-($AO$9+$AO$8))/12))</f>
        <v>2035</v>
      </c>
      <c r="G182" s="88" t="n">
        <f aca="false">IF((A182+0.5-($AO$9+$AO$8+$AO$7))&lt;$AO$3,0,2026+INT((A182+0.5-($AO$9+$AO$8+$AO$7))/12))</f>
        <v>2034</v>
      </c>
      <c r="H182" s="88" t="n">
        <f aca="false">IF(B182=2026,INDEX($C$3:$Q$3,1,B182-2025)*$AO$4*C182/MAX(0.0001,12-$AO$3),INDEX($C$3:$Q$3,1,B182-2025)/12)</f>
        <v>131.166666666667</v>
      </c>
      <c r="I182" s="88" t="n">
        <f aca="false">$AO$6*0</f>
        <v>0</v>
      </c>
      <c r="J182" s="88" t="n">
        <f aca="false">H182+J181</f>
        <v>31841.5867579909</v>
      </c>
      <c r="K182" s="88" t="n">
        <f aca="false">I182+K181</f>
        <v>8695.00000000001</v>
      </c>
      <c r="L182" s="88" t="n">
        <f aca="false">MAX(L181,J182-K182)</f>
        <v>23146.5867579909</v>
      </c>
      <c r="M182" s="88" t="n">
        <f aca="false">L182-L181</f>
        <v>131.166666666664</v>
      </c>
      <c r="N182" s="88" t="n">
        <f aca="false">IF(B182=2026,INDEX($C$4:$Q$4,1,B182-2025)*$AO$4*C182/MAX(0.0001,12-$AO$3),INDEX($C$4:$Q$4,1,B182-2025)/12)</f>
        <v>3.97656100583185</v>
      </c>
      <c r="O182" s="88" t="n">
        <f aca="false">$AO$6*0</f>
        <v>0</v>
      </c>
      <c r="P182" s="88" t="n">
        <f aca="false">N182+P181</f>
        <v>965.336815239937</v>
      </c>
      <c r="Q182" s="88" t="n">
        <f aca="false">O182+Q181</f>
        <v>398</v>
      </c>
      <c r="R182" s="88" t="n">
        <f aca="false">MAX(R181,P182-Q182)</f>
        <v>567.336815239937</v>
      </c>
      <c r="S182" s="88" t="n">
        <f aca="false">R182-R181</f>
        <v>3.97656100583185</v>
      </c>
      <c r="T182" s="88" t="n">
        <f aca="false">IF(B182=2026,INDEX($C$5:$Q$5,1,B182-2025)*$AO$4*C182/MAX(0.0001,12-$AO$3),INDEX($C$5:$Q$5,1,B182-2025)/12)</f>
        <v>16.1621793514627</v>
      </c>
      <c r="U182" s="88" t="n">
        <f aca="false">$AO$6*0</f>
        <v>0</v>
      </c>
      <c r="V182" s="88" t="n">
        <f aca="false">T182+V181</f>
        <v>3923.47727586638</v>
      </c>
      <c r="W182" s="88" t="n">
        <f aca="false">U182+W181</f>
        <v>1115</v>
      </c>
      <c r="X182" s="88" t="n">
        <f aca="false">MAX(X181,V182-W182)</f>
        <v>2808.47727586638</v>
      </c>
      <c r="Y182" s="88" t="n">
        <f aca="false">X182-X181</f>
        <v>16.1621793514623</v>
      </c>
      <c r="Z182" s="88" t="n">
        <f aca="false">IF(B182=2026,INDEX($C$6:$Q$6,1,B182-2025)*$AO$4*C182/MAX(0.0001,12-$AO$3),INDEX($C$6:$Q$6,1,B182-2025)/12)</f>
        <v>19.1751119687993</v>
      </c>
      <c r="AA182" s="88" t="n">
        <f aca="false">$AO$6*0</f>
        <v>0</v>
      </c>
      <c r="AB182" s="88" t="n">
        <f aca="false">Z182+AB181</f>
        <v>4654.88684636886</v>
      </c>
      <c r="AC182" s="88" t="n">
        <f aca="false">AA182+AC181</f>
        <v>2194</v>
      </c>
      <c r="AD182" s="88" t="n">
        <f aca="false">MAX(AD181,AB182-AC182)</f>
        <v>2460.88684636885</v>
      </c>
      <c r="AE182" s="88" t="n">
        <f aca="false">AD182-AD181</f>
        <v>19.1751119687997</v>
      </c>
      <c r="AF182" s="88" t="n">
        <f aca="false">IF(B182=2026,INDEX($C$7:$Q$7,1,B182-2025)*$AO$4*C182/MAX(0.0001,12-$AO$3),INDEX($C$7:$Q$7,1,B182-2025)/12)</f>
        <v>16.6567447720231</v>
      </c>
      <c r="AG182" s="88" t="n">
        <f aca="false">$AO$6*0</f>
        <v>0</v>
      </c>
      <c r="AH182" s="88" t="n">
        <f aca="false">AF182+AH181</f>
        <v>4043.53634381766</v>
      </c>
      <c r="AI182" s="88" t="n">
        <f aca="false">AG182+AI181</f>
        <v>826</v>
      </c>
      <c r="AJ182" s="88" t="n">
        <f aca="false">MAX(AJ181,AH182-AI182)</f>
        <v>3217.53634381766</v>
      </c>
      <c r="AK182" s="88" t="n">
        <f aca="false">AJ182-AJ181</f>
        <v>16.6567447720231</v>
      </c>
      <c r="AL182" s="88" t="n">
        <f aca="false">IF(B182=2026,INDEX($C$8:$Q$8,1,B182-2025)*$AO$4*C182/MAX(0.0001,12-$AO$3),INDEX($C$8:$Q$8,1,B182-2025)/12)</f>
        <v>4.21336949449797</v>
      </c>
      <c r="AM182" s="88" t="n">
        <f aca="false">$AO$6*0</f>
        <v>0</v>
      </c>
      <c r="AN182" s="88" t="n">
        <f aca="false">AL182+AN181</f>
        <v>1022.82366177278</v>
      </c>
      <c r="AO182" s="88" t="n">
        <f aca="false">AM182+AO181</f>
        <v>66</v>
      </c>
      <c r="AP182" s="88" t="n">
        <f aca="false">MAX(AP181,AN182-AO182)</f>
        <v>956.823661772778</v>
      </c>
      <c r="AQ182" s="88" t="n">
        <f aca="false">AP182-AP181</f>
        <v>4.21336949449801</v>
      </c>
      <c r="AR182" s="88" t="n">
        <f aca="false">IF(B182=2026,INDEX($C$9:$Q$9,1,B182-2025)*$AO$4*C182/MAX(0.0001,12-$AO$3),INDEX($C$9:$Q$9,1,B182-2025)/12)</f>
        <v>17.9655670728432</v>
      </c>
      <c r="AS182" s="88" t="n">
        <f aca="false">$AO$6*0</f>
        <v>0</v>
      </c>
      <c r="AT182" s="88" t="n">
        <f aca="false">AR182+AT181</f>
        <v>4361.26172253958</v>
      </c>
      <c r="AU182" s="88" t="n">
        <f aca="false">AS182+AU181</f>
        <v>1810</v>
      </c>
      <c r="AV182" s="88" t="n">
        <f aca="false">MAX(AV181,AT182-AU182)</f>
        <v>2551.26172253958</v>
      </c>
      <c r="AW182" s="88" t="n">
        <f aca="false">AV182-AV181</f>
        <v>17.9655670728434</v>
      </c>
      <c r="AX182" s="88" t="n">
        <f aca="false">IF(B182=2026,INDEX($C$10:$Q$10,1,B182-2025)*$AO$4*C182/MAX(0.0001,12-$AO$3),INDEX($C$10:$Q$10,1,B182-2025)/12)</f>
        <v>2.08391470026186</v>
      </c>
      <c r="AY182" s="88" t="n">
        <f aca="false">$AO$6*0</f>
        <v>0</v>
      </c>
      <c r="AZ182" s="88" t="n">
        <f aca="false">AX182+AZ181</f>
        <v>505.884249488999</v>
      </c>
      <c r="BA182" s="88" t="n">
        <f aca="false">AY182+BA181</f>
        <v>50</v>
      </c>
      <c r="BB182" s="88" t="n">
        <f aca="false">MAX(BB181,AZ182-BA182)</f>
        <v>455.884249488999</v>
      </c>
      <c r="BC182" s="88" t="n">
        <f aca="false">BB182-BB181</f>
        <v>2.08391470026186</v>
      </c>
      <c r="BD182" s="88" t="n">
        <f aca="false">IF(B182=2026,INDEX($C$11:$Q$11,1,B182-2025)*$AO$4*C182/MAX(0.0001,12-$AO$3),INDEX($C$11:$Q$11,1,B182-2025)/12)</f>
        <v>10.3558173697453</v>
      </c>
      <c r="BE182" s="88" t="n">
        <f aca="false">$AO$6*0</f>
        <v>0</v>
      </c>
      <c r="BF182" s="88" t="n">
        <f aca="false">BD182+BF181</f>
        <v>2513.94401953231</v>
      </c>
      <c r="BG182" s="88" t="n">
        <f aca="false">BE182+BG181</f>
        <v>240</v>
      </c>
      <c r="BH182" s="88" t="n">
        <f aca="false">MAX(BH181,BF182-BG182)</f>
        <v>2273.94401953231</v>
      </c>
      <c r="BI182" s="88" t="n">
        <f aca="false">BH182-BH181</f>
        <v>10.3558173697452</v>
      </c>
      <c r="BJ182" s="88" t="n">
        <f aca="false">IF(B182=2026,INDEX($C$12:$Q$12,1,B182-2025)*$AO$4*C182/MAX(0.0001,12-$AO$3),INDEX($C$12:$Q$12,1,B182-2025)/12)</f>
        <v>5.67793891670997</v>
      </c>
      <c r="BK182" s="88" t="n">
        <f aca="false">$AO$6*0</f>
        <v>0</v>
      </c>
      <c r="BL182" s="88" t="n">
        <f aca="false">BJ182+BL181</f>
        <v>1378.35769725281</v>
      </c>
      <c r="BM182" s="88" t="n">
        <f aca="false">BK182+BM181</f>
        <v>465</v>
      </c>
      <c r="BN182" s="88" t="n">
        <f aca="false">MAX(BN181,BL182-BM182)</f>
        <v>913.357697252811</v>
      </c>
      <c r="BO182" s="88" t="n">
        <f aca="false">BN182-BN181</f>
        <v>5.67793891670999</v>
      </c>
      <c r="BP182" s="88" t="n">
        <f aca="false">IF(B182=2026,INDEX($C$13:$Q$13,1,B182-2025)*$AO$4*C182/MAX(0.0001,12-$AO$3),INDEX($C$13:$Q$13,1,B182-2025)/12)</f>
        <v>1.77434151195696</v>
      </c>
      <c r="BQ182" s="88" t="n">
        <f aca="false">$AO$6*0</f>
        <v>0</v>
      </c>
      <c r="BR182" s="88" t="n">
        <f aca="false">BP182+BR181</f>
        <v>430.733284812825</v>
      </c>
      <c r="BS182" s="88" t="n">
        <f aca="false">BQ182+BS181</f>
        <v>87</v>
      </c>
      <c r="BT182" s="88" t="n">
        <f aca="false">MAX(BT181,BR182-BS182)</f>
        <v>343.733284812825</v>
      </c>
      <c r="BU182" s="88" t="n">
        <f aca="false">BT182-BT181</f>
        <v>1.77434151195695</v>
      </c>
      <c r="BV182" s="88" t="n">
        <f aca="false">IF(B182=2026,INDEX($C$14:$Q$14,1,B182-2025)*$AO$4*C182/MAX(0.0001,12-$AO$3),INDEX($C$14:$Q$14,1,B182-2025)/12)</f>
        <v>1.05236806916068</v>
      </c>
      <c r="BW182" s="88" t="n">
        <f aca="false">$AO$6*0</f>
        <v>0</v>
      </c>
      <c r="BX182" s="88" t="n">
        <f aca="false">BV182+BX181</f>
        <v>255.469396509676</v>
      </c>
      <c r="BY182" s="88" t="n">
        <f aca="false">BW182+BY181</f>
        <v>0</v>
      </c>
      <c r="BZ182" s="88" t="n">
        <f aca="false">MAX(BZ181,BX182-BY182)</f>
        <v>255.469396509676</v>
      </c>
      <c r="CA182" s="88" t="n">
        <f aca="false">BZ182-BZ181</f>
        <v>1.05236806916068</v>
      </c>
      <c r="CB182" s="88" t="n">
        <f aca="false">IF(B182=2026,INDEX($C$15:$Q$15,1,B182-2025)*$AO$4*C182/MAX(0.0001,12-$AO$3),INDEX($C$15:$Q$15,1,B182-2025)/12)</f>
        <v>1.72539415990298</v>
      </c>
      <c r="CC182" s="88" t="n">
        <f aca="false">$AO$6*0</f>
        <v>0</v>
      </c>
      <c r="CD182" s="88" t="n">
        <f aca="false">CB182+CD181</f>
        <v>418.850987300747</v>
      </c>
      <c r="CE182" s="88" t="n">
        <f aca="false">CC182+CE181</f>
        <v>88.0000000000001</v>
      </c>
      <c r="CF182" s="88" t="n">
        <f aca="false">MAX(CF181,CD182-CE182)</f>
        <v>330.850987300747</v>
      </c>
      <c r="CG182" s="88" t="n">
        <f aca="false">CF182-CF181</f>
        <v>1.72539415990298</v>
      </c>
      <c r="CH182" s="88" t="n">
        <f aca="false">IF(B182=2026,INDEX($C$16:$Q$16,1,B182-2025)*$AO$4*C182/MAX(0.0001,12-$AO$3),INDEX($C$16:$Q$16,1,B182-2025)/12)</f>
        <v>1.36440743850484</v>
      </c>
      <c r="CI182" s="88" t="n">
        <f aca="false">$AO$6*0</f>
        <v>0</v>
      </c>
      <c r="CJ182" s="88" t="n">
        <f aca="false">CH182+CJ181</f>
        <v>331.219043149172</v>
      </c>
      <c r="CK182" s="88" t="n">
        <f aca="false">CI182+CK181</f>
        <v>70</v>
      </c>
      <c r="CL182" s="88" t="n">
        <f aca="false">MAX(CL181,CJ182-CK182)</f>
        <v>261.219043149172</v>
      </c>
      <c r="CM182" s="88" t="n">
        <f aca="false">CL182-CL181</f>
        <v>1.36440743850483</v>
      </c>
      <c r="CN182" s="88" t="n">
        <f aca="false">IF(B182=2026,INDEX($C$17:$Q$17,1,B182-2025)*$AO$4*C182/MAX(0.0001,12-$AO$3),INDEX($C$17:$Q$17,1,B182-2025)/12)</f>
        <v>5.94098485555245</v>
      </c>
      <c r="CO182" s="88" t="n">
        <f aca="false">$AO$6*0</f>
        <v>0</v>
      </c>
      <c r="CP182" s="88" t="n">
        <f aca="false">CN182+CP181</f>
        <v>1442.21386052846</v>
      </c>
      <c r="CQ182" s="88" t="n">
        <f aca="false">CO182+CQ181</f>
        <v>221</v>
      </c>
      <c r="CR182" s="88" t="n">
        <f aca="false">MAX(CR181,CP182-CQ182)</f>
        <v>1221.21386052846</v>
      </c>
      <c r="CS182" s="88" t="n">
        <f aca="false">CR182-CR181</f>
        <v>5.94098485555242</v>
      </c>
      <c r="CT182" s="88" t="n">
        <f aca="false">IF(B182=2026,INDEX($C$18:$Q$18,1,B182-2025)*$AO$4*C182/MAX(0.0001,12-$AO$3),INDEX($C$18:$Q$18,1,B182-2025)/12)</f>
        <v>1.23592063936312</v>
      </c>
      <c r="CU182" s="88" t="n">
        <f aca="false">$AO$6*0</f>
        <v>0</v>
      </c>
      <c r="CV182" s="88" t="n">
        <f aca="false">CT182+CV181</f>
        <v>300.028012179968</v>
      </c>
      <c r="CW182" s="88" t="n">
        <f aca="false">CU182+CW181</f>
        <v>11</v>
      </c>
      <c r="CX182" s="88" t="n">
        <f aca="false">MAX(CX181,CV182-CW182)</f>
        <v>289.028012179968</v>
      </c>
      <c r="CY182" s="88" t="n">
        <f aca="false">CX182-CX181</f>
        <v>1.23592063936314</v>
      </c>
      <c r="CZ182" s="88" t="n">
        <f aca="false">IF(B182=2026,INDEX($C$19:$Q$19,1,B182-2025)*$AO$4*C182/MAX(0.0001,12-$AO$3),INDEX($C$19:$Q$19,1,B182-2025)/12)</f>
        <v>1.22368380134963</v>
      </c>
      <c r="DA182" s="88" t="n">
        <f aca="false">$AO$6*0</f>
        <v>0</v>
      </c>
      <c r="DB182" s="88" t="n">
        <f aca="false">CZ182+DB181</f>
        <v>297.057437801949</v>
      </c>
      <c r="DC182" s="88" t="n">
        <f aca="false">DA182+DC181</f>
        <v>226</v>
      </c>
      <c r="DD182" s="88" t="n">
        <f aca="false">MAX(DD181,DB182-DC182)</f>
        <v>71.0574378019493</v>
      </c>
      <c r="DE182" s="88" t="n">
        <f aca="false">DD182-DD181</f>
        <v>1.22368380134964</v>
      </c>
      <c r="DF182" s="88" t="n">
        <f aca="false">IF(B182=2026,INDEX($C$20:$Q$20,1,B182-2025)*$AO$4*C182/MAX(0.0001,12-$AO$3),INDEX($C$20:$Q$20,1,B182-2025)/12)</f>
        <v>0.997302298099947</v>
      </c>
      <c r="DG182" s="88" t="n">
        <f aca="false">$AO$6*0</f>
        <v>0</v>
      </c>
      <c r="DH182" s="88" t="n">
        <f aca="false">DF182+DH181</f>
        <v>242.101811808588</v>
      </c>
      <c r="DI182" s="88" t="n">
        <f aca="false">DG182+DI181</f>
        <v>0</v>
      </c>
      <c r="DJ182" s="88" t="n">
        <f aca="false">MAX(DJ181,DH182-DI182)</f>
        <v>242.101811808588</v>
      </c>
      <c r="DK182" s="88" t="n">
        <f aca="false">DJ182-DJ181</f>
        <v>0.997302298099953</v>
      </c>
      <c r="DL182" s="88" t="n">
        <f aca="false">IF(B182=2026,INDEX($C$21:$Q$21,1,B182-2025)*$AO$4*C182/MAX(0.0001,12-$AO$3),INDEX($C$21:$Q$21,1,B182-2025)/12)</f>
        <v>0.697499766769288</v>
      </c>
      <c r="DM182" s="88" t="n">
        <f aca="false">$AO$6*0</f>
        <v>0</v>
      </c>
      <c r="DN182" s="88" t="n">
        <f aca="false">DL182+DN181</f>
        <v>169.322739547111</v>
      </c>
      <c r="DO182" s="88" t="n">
        <f aca="false">DM182+DO181</f>
        <v>100</v>
      </c>
      <c r="DP182" s="88" t="n">
        <f aca="false">MAX(DP181,DN182-DO182)</f>
        <v>69.3227395471107</v>
      </c>
      <c r="DQ182" s="88" t="n">
        <f aca="false">DP182-DP181</f>
        <v>0.697499766769283</v>
      </c>
      <c r="DR182" s="88" t="n">
        <f aca="false">IF(B182=2026,INDEX($C$22:$Q$22,1,B182-2025)*$AO$4*C182/MAX(0.0001,12-$AO$3),INDEX($C$22:$Q$22,1,B182-2025)/12)</f>
        <v>0.544539291600585</v>
      </c>
      <c r="DS182" s="88" t="n">
        <f aca="false">$AO$6*0</f>
        <v>0</v>
      </c>
      <c r="DT182" s="88" t="n">
        <f aca="false">DR182+DT181</f>
        <v>132.190559821867</v>
      </c>
      <c r="DU182" s="88" t="n">
        <f aca="false">DS182+DU181</f>
        <v>29</v>
      </c>
      <c r="DV182" s="88" t="n">
        <f aca="false">MAX(DV181,DT182-DU182)</f>
        <v>103.190559821867</v>
      </c>
      <c r="DW182" s="88" t="n">
        <f aca="false">DV182-DV181</f>
        <v>0.544539291600586</v>
      </c>
      <c r="DX182" s="88" t="n">
        <f aca="false">IF(B182=2026,INDEX($C$23:$Q$23,1,B182-2025)*$AO$4*C182/MAX(0.0001,12-$AO$3),INDEX($C$23:$Q$23,1,B182-2025)/12)</f>
        <v>0.874933917964984</v>
      </c>
      <c r="DY182" s="88" t="n">
        <f aca="false">$AO$6*0</f>
        <v>0</v>
      </c>
      <c r="DZ182" s="88" t="n">
        <f aca="false">DX182+DZ181</f>
        <v>212.396068028394</v>
      </c>
      <c r="EA182" s="88" t="n">
        <f aca="false">DY182+EA181</f>
        <v>121</v>
      </c>
      <c r="EB182" s="88" t="n">
        <f aca="false">MAX(EB181,DZ182-EA182)</f>
        <v>91.3960680283937</v>
      </c>
      <c r="EC182" s="88" t="n">
        <f aca="false">EB182-EB181</f>
        <v>0.874933917964995</v>
      </c>
      <c r="ED182" s="88" t="n">
        <f aca="false">IF(B182=2026,INDEX($C$24:$Q$24,1,B182-2025)*$AO$4*C182/MAX(0.0001,12-$AO$3),INDEX($C$24:$Q$24,1,B182-2025)/12)</f>
        <v>0.538420872593837</v>
      </c>
      <c r="EE182" s="88" t="n">
        <f aca="false">$AO$6*0</f>
        <v>0</v>
      </c>
      <c r="EF182" s="88" t="n">
        <f aca="false">ED182+EF181</f>
        <v>130.705272632857</v>
      </c>
      <c r="EG182" s="88" t="n">
        <f aca="false">EE182+EG181</f>
        <v>0</v>
      </c>
      <c r="EH182" s="88" t="n">
        <f aca="false">MAX(EH181,EF182-EG182)</f>
        <v>130.705272632857</v>
      </c>
      <c r="EI182" s="88" t="n">
        <f aca="false">EH182-EH181</f>
        <v>0.538420872593832</v>
      </c>
      <c r="EJ182" s="88" t="n">
        <f aca="false">IF(B182=2026,INDEX($C$25:$Q$25,1,B182-2025)*$AO$4*C182/MAX(0.0001,12-$AO$3),INDEX($C$25:$Q$25,1,B182-2025)/12)</f>
        <v>0.685262928755792</v>
      </c>
      <c r="EK182" s="88" t="n">
        <f aca="false">$AO$6*0</f>
        <v>0</v>
      </c>
      <c r="EL182" s="88" t="n">
        <f aca="false">EJ182+EL181</f>
        <v>166.352165169091</v>
      </c>
      <c r="EM182" s="88" t="n">
        <f aca="false">EK182+EM181</f>
        <v>14</v>
      </c>
      <c r="EN182" s="88" t="n">
        <f aca="false">MAX(EN181,EL182-EM182)</f>
        <v>152.352165169091</v>
      </c>
      <c r="EO182" s="88" t="n">
        <f aca="false">EN182-EN181</f>
        <v>0.685262928755805</v>
      </c>
      <c r="EP182" s="88" t="n">
        <f aca="false">IF(B182=2026,INDEX($C$26:$Q$26,1,B182-2025)*$AO$4*C182/MAX(0.0001,12-$AO$3),INDEX($C$26:$Q$26,1,B182-2025)/12)</f>
        <v>0.985065460086451</v>
      </c>
      <c r="EQ182" s="88" t="n">
        <f aca="false">$AO$6*0</f>
        <v>0</v>
      </c>
      <c r="ER182" s="88" t="n">
        <f aca="false">EP182+ER181</f>
        <v>239.131237430568</v>
      </c>
      <c r="ES182" s="88" t="n">
        <f aca="false">EQ182+ES181</f>
        <v>4</v>
      </c>
      <c r="ET182" s="88" t="n">
        <f aca="false">MAX(ET181,ER182-ES182)</f>
        <v>235.131237430568</v>
      </c>
      <c r="EU182" s="88" t="n">
        <f aca="false">ET182-ET181</f>
        <v>0.985065460086446</v>
      </c>
      <c r="EV182" s="88" t="n">
        <f aca="false">IF(B182=2026,INDEX($C$27:$Q$27,1,B182-2025)*$AO$4*C182/MAX(0.0001,12-$AO$3),INDEX($C$27:$Q$27,1,B182-2025)/12)</f>
        <v>2.44736760269926</v>
      </c>
      <c r="EW182" s="88" t="n">
        <f aca="false">$AO$6*0</f>
        <v>0</v>
      </c>
      <c r="EX182" s="88" t="n">
        <f aca="false">EV182+EX181</f>
        <v>594.114875603898</v>
      </c>
      <c r="EY182" s="88" t="n">
        <f aca="false">EW182+EY181</f>
        <v>391</v>
      </c>
      <c r="EZ182" s="88" t="n">
        <f aca="false">MAX(EZ181,EX182-EY182)</f>
        <v>203.114875603898</v>
      </c>
      <c r="FA182" s="88" t="n">
        <f aca="false">EZ182-EZ181</f>
        <v>2.44736760269927</v>
      </c>
      <c r="FB182" s="88" t="n">
        <f aca="false">IF(B182=2026,INDEX($C$28:$Q$28,1,B182-2025)*$AO$4*C182/MAX(0.0001,12-$AO$3),INDEX($C$28:$Q$28,1,B182-2025)/12)</f>
        <v>12.8119694001306</v>
      </c>
      <c r="FC182" s="88" t="n">
        <f aca="false">$AO$6*0</f>
        <v>0</v>
      </c>
      <c r="FD182" s="88" t="n">
        <f aca="false">FB182+FD181</f>
        <v>3110.19137378641</v>
      </c>
      <c r="FE182" s="88" t="n">
        <f aca="false">FC182+FE181</f>
        <v>169</v>
      </c>
      <c r="FF182" s="88" t="n">
        <f aca="false">MAX(FF181,FD182-FE182)</f>
        <v>2941.19137378641</v>
      </c>
      <c r="FG182" s="88" t="n">
        <f aca="false">FF182-FF181</f>
        <v>12.8119694001307</v>
      </c>
    </row>
    <row r="183" customFormat="false" ht="15" hidden="false" customHeight="false" outlineLevel="0" collapsed="false">
      <c r="A183" s="0" t="n">
        <v>143</v>
      </c>
      <c r="B183" s="88" t="n">
        <f aca="false">2026+INT(A183/12)</f>
        <v>2037</v>
      </c>
      <c r="C183" s="88" t="n">
        <f aca="false">MAX(0,MIN(1,A183+1-$AO$3))</f>
        <v>1</v>
      </c>
      <c r="D183" s="88" t="n">
        <f aca="false">IF((A183+0.5-(0))&lt;$AO$3,0,2026+INT((A183+0.5-(0))/12))</f>
        <v>2037</v>
      </c>
      <c r="E183" s="88" t="n">
        <f aca="false">IF((A183+0.5-($AO$9))&lt;$AO$3,0,2026+INT((A183+0.5-($AO$9))/12))</f>
        <v>2036</v>
      </c>
      <c r="F183" s="88" t="n">
        <f aca="false">IF((A183+0.5-($AO$9+$AO$8))&lt;$AO$3,0,2026+INT((A183+0.5-($AO$9+$AO$8))/12))</f>
        <v>2035</v>
      </c>
      <c r="G183" s="88" t="n">
        <f aca="false">IF((A183+0.5-($AO$9+$AO$8+$AO$7))&lt;$AO$3,0,2026+INT((A183+0.5-($AO$9+$AO$8+$AO$7))/12))</f>
        <v>2035</v>
      </c>
      <c r="H183" s="88" t="n">
        <f aca="false">IF(B183=2026,INDEX($C$3:$Q$3,1,B183-2025)*$AO$4*C183/MAX(0.0001,12-$AO$3),INDEX($C$3:$Q$3,1,B183-2025)/12)</f>
        <v>131.166666666667</v>
      </c>
      <c r="I183" s="88" t="n">
        <f aca="false">$AO$6*0</f>
        <v>0</v>
      </c>
      <c r="J183" s="88" t="n">
        <f aca="false">H183+J182</f>
        <v>31972.7534246576</v>
      </c>
      <c r="K183" s="88" t="n">
        <f aca="false">I183+K182</f>
        <v>8695.00000000001</v>
      </c>
      <c r="L183" s="88" t="n">
        <f aca="false">MAX(L182,J183-K183)</f>
        <v>23277.7534246576</v>
      </c>
      <c r="M183" s="88" t="n">
        <f aca="false">L183-L182</f>
        <v>131.166666666672</v>
      </c>
      <c r="N183" s="88" t="n">
        <f aca="false">IF(B183=2026,INDEX($C$4:$Q$4,1,B183-2025)*$AO$4*C183/MAX(0.0001,12-$AO$3),INDEX($C$4:$Q$4,1,B183-2025)/12)</f>
        <v>3.97656100583185</v>
      </c>
      <c r="O183" s="88" t="n">
        <f aca="false">$AO$6*0</f>
        <v>0</v>
      </c>
      <c r="P183" s="88" t="n">
        <f aca="false">N183+P182</f>
        <v>969.313376245769</v>
      </c>
      <c r="Q183" s="88" t="n">
        <f aca="false">O183+Q182</f>
        <v>398</v>
      </c>
      <c r="R183" s="88" t="n">
        <f aca="false">MAX(R182,P183-Q183)</f>
        <v>571.313376245769</v>
      </c>
      <c r="S183" s="88" t="n">
        <f aca="false">R183-R182</f>
        <v>3.97656100583185</v>
      </c>
      <c r="T183" s="88" t="n">
        <f aca="false">IF(B183=2026,INDEX($C$5:$Q$5,1,B183-2025)*$AO$4*C183/MAX(0.0001,12-$AO$3),INDEX($C$5:$Q$5,1,B183-2025)/12)</f>
        <v>16.1621793514627</v>
      </c>
      <c r="U183" s="88" t="n">
        <f aca="false">$AO$6*0</f>
        <v>0</v>
      </c>
      <c r="V183" s="88" t="n">
        <f aca="false">T183+V182</f>
        <v>3939.63945521784</v>
      </c>
      <c r="W183" s="88" t="n">
        <f aca="false">U183+W182</f>
        <v>1115</v>
      </c>
      <c r="X183" s="88" t="n">
        <f aca="false">MAX(X182,V183-W183)</f>
        <v>2824.63945521784</v>
      </c>
      <c r="Y183" s="88" t="n">
        <f aca="false">X183-X182</f>
        <v>16.1621793514632</v>
      </c>
      <c r="Z183" s="88" t="n">
        <f aca="false">IF(B183=2026,INDEX($C$6:$Q$6,1,B183-2025)*$AO$4*C183/MAX(0.0001,12-$AO$3),INDEX($C$6:$Q$6,1,B183-2025)/12)</f>
        <v>19.1751119687993</v>
      </c>
      <c r="AA183" s="88" t="n">
        <f aca="false">$AO$6*0</f>
        <v>0</v>
      </c>
      <c r="AB183" s="88" t="n">
        <f aca="false">Z183+AB182</f>
        <v>4674.06195833766</v>
      </c>
      <c r="AC183" s="88" t="n">
        <f aca="false">AA183+AC182</f>
        <v>2194</v>
      </c>
      <c r="AD183" s="88" t="n">
        <f aca="false">MAX(AD182,AB183-AC183)</f>
        <v>2480.06195833765</v>
      </c>
      <c r="AE183" s="88" t="n">
        <f aca="false">AD183-AD182</f>
        <v>19.1751119687997</v>
      </c>
      <c r="AF183" s="88" t="n">
        <f aca="false">IF(B183=2026,INDEX($C$7:$Q$7,1,B183-2025)*$AO$4*C183/MAX(0.0001,12-$AO$3),INDEX($C$7:$Q$7,1,B183-2025)/12)</f>
        <v>16.6567447720231</v>
      </c>
      <c r="AG183" s="88" t="n">
        <f aca="false">$AO$6*0</f>
        <v>0</v>
      </c>
      <c r="AH183" s="88" t="n">
        <f aca="false">AF183+AH182</f>
        <v>4060.19308858968</v>
      </c>
      <c r="AI183" s="88" t="n">
        <f aca="false">AG183+AI182</f>
        <v>826</v>
      </c>
      <c r="AJ183" s="88" t="n">
        <f aca="false">MAX(AJ182,AH183-AI183)</f>
        <v>3234.19308858968</v>
      </c>
      <c r="AK183" s="88" t="n">
        <f aca="false">AJ183-AJ182</f>
        <v>16.6567447720231</v>
      </c>
      <c r="AL183" s="88" t="n">
        <f aca="false">IF(B183=2026,INDEX($C$8:$Q$8,1,B183-2025)*$AO$4*C183/MAX(0.0001,12-$AO$3),INDEX($C$8:$Q$8,1,B183-2025)/12)</f>
        <v>4.21336949449797</v>
      </c>
      <c r="AM183" s="88" t="n">
        <f aca="false">$AO$6*0</f>
        <v>0</v>
      </c>
      <c r="AN183" s="88" t="n">
        <f aca="false">AL183+AN182</f>
        <v>1027.03703126728</v>
      </c>
      <c r="AO183" s="88" t="n">
        <f aca="false">AM183+AO182</f>
        <v>66</v>
      </c>
      <c r="AP183" s="88" t="n">
        <f aca="false">MAX(AP182,AN183-AO183)</f>
        <v>961.037031267276</v>
      </c>
      <c r="AQ183" s="88" t="n">
        <f aca="false">AP183-AP182</f>
        <v>4.2133694944979</v>
      </c>
      <c r="AR183" s="88" t="n">
        <f aca="false">IF(B183=2026,INDEX($C$9:$Q$9,1,B183-2025)*$AO$4*C183/MAX(0.0001,12-$AO$3),INDEX($C$9:$Q$9,1,B183-2025)/12)</f>
        <v>17.9655670728432</v>
      </c>
      <c r="AS183" s="88" t="n">
        <f aca="false">$AO$6*0</f>
        <v>0</v>
      </c>
      <c r="AT183" s="88" t="n">
        <f aca="false">AR183+AT182</f>
        <v>4379.22728961242</v>
      </c>
      <c r="AU183" s="88" t="n">
        <f aca="false">AS183+AU182</f>
        <v>1810</v>
      </c>
      <c r="AV183" s="88" t="n">
        <f aca="false">MAX(AV182,AT183-AU183)</f>
        <v>2569.22728961242</v>
      </c>
      <c r="AW183" s="88" t="n">
        <f aca="false">AV183-AV182</f>
        <v>17.9655670728434</v>
      </c>
      <c r="AX183" s="88" t="n">
        <f aca="false">IF(B183=2026,INDEX($C$10:$Q$10,1,B183-2025)*$AO$4*C183/MAX(0.0001,12-$AO$3),INDEX($C$10:$Q$10,1,B183-2025)/12)</f>
        <v>2.08391470026186</v>
      </c>
      <c r="AY183" s="88" t="n">
        <f aca="false">$AO$6*0</f>
        <v>0</v>
      </c>
      <c r="AZ183" s="88" t="n">
        <f aca="false">AX183+AZ182</f>
        <v>507.968164189261</v>
      </c>
      <c r="BA183" s="88" t="n">
        <f aca="false">AY183+BA182</f>
        <v>50</v>
      </c>
      <c r="BB183" s="88" t="n">
        <f aca="false">MAX(BB182,AZ183-BA183)</f>
        <v>457.968164189261</v>
      </c>
      <c r="BC183" s="88" t="n">
        <f aca="false">BB183-BB182</f>
        <v>2.08391470026186</v>
      </c>
      <c r="BD183" s="88" t="n">
        <f aca="false">IF(B183=2026,INDEX($C$11:$Q$11,1,B183-2025)*$AO$4*C183/MAX(0.0001,12-$AO$3),INDEX($C$11:$Q$11,1,B183-2025)/12)</f>
        <v>10.3558173697453</v>
      </c>
      <c r="BE183" s="88" t="n">
        <f aca="false">$AO$6*0</f>
        <v>0</v>
      </c>
      <c r="BF183" s="88" t="n">
        <f aca="false">BD183+BF182</f>
        <v>2524.29983690205</v>
      </c>
      <c r="BG183" s="88" t="n">
        <f aca="false">BE183+BG182</f>
        <v>240</v>
      </c>
      <c r="BH183" s="88" t="n">
        <f aca="false">MAX(BH182,BF183-BG183)</f>
        <v>2284.29983690205</v>
      </c>
      <c r="BI183" s="88" t="n">
        <f aca="false">BH183-BH182</f>
        <v>10.3558173697452</v>
      </c>
      <c r="BJ183" s="88" t="n">
        <f aca="false">IF(B183=2026,INDEX($C$12:$Q$12,1,B183-2025)*$AO$4*C183/MAX(0.0001,12-$AO$3),INDEX($C$12:$Q$12,1,B183-2025)/12)</f>
        <v>5.67793891670997</v>
      </c>
      <c r="BK183" s="88" t="n">
        <f aca="false">$AO$6*0</f>
        <v>0</v>
      </c>
      <c r="BL183" s="88" t="n">
        <f aca="false">BJ183+BL182</f>
        <v>1384.03563616952</v>
      </c>
      <c r="BM183" s="88" t="n">
        <f aca="false">BK183+BM182</f>
        <v>465</v>
      </c>
      <c r="BN183" s="88" t="n">
        <f aca="false">MAX(BN182,BL183-BM183)</f>
        <v>919.035636169521</v>
      </c>
      <c r="BO183" s="88" t="n">
        <f aca="false">BN183-BN182</f>
        <v>5.67793891670999</v>
      </c>
      <c r="BP183" s="88" t="n">
        <f aca="false">IF(B183=2026,INDEX($C$13:$Q$13,1,B183-2025)*$AO$4*C183/MAX(0.0001,12-$AO$3),INDEX($C$13:$Q$13,1,B183-2025)/12)</f>
        <v>1.77434151195696</v>
      </c>
      <c r="BQ183" s="88" t="n">
        <f aca="false">$AO$6*0</f>
        <v>0</v>
      </c>
      <c r="BR183" s="88" t="n">
        <f aca="false">BP183+BR182</f>
        <v>432.507626324782</v>
      </c>
      <c r="BS183" s="88" t="n">
        <f aca="false">BQ183+BS182</f>
        <v>87</v>
      </c>
      <c r="BT183" s="88" t="n">
        <f aca="false">MAX(BT182,BR183-BS183)</f>
        <v>345.507626324782</v>
      </c>
      <c r="BU183" s="88" t="n">
        <f aca="false">BT183-BT182</f>
        <v>1.77434151195695</v>
      </c>
      <c r="BV183" s="88" t="n">
        <f aca="false">IF(B183=2026,INDEX($C$14:$Q$14,1,B183-2025)*$AO$4*C183/MAX(0.0001,12-$AO$3),INDEX($C$14:$Q$14,1,B183-2025)/12)</f>
        <v>1.05236806916068</v>
      </c>
      <c r="BW183" s="88" t="n">
        <f aca="false">$AO$6*0</f>
        <v>0</v>
      </c>
      <c r="BX183" s="88" t="n">
        <f aca="false">BV183+BX182</f>
        <v>256.521764578837</v>
      </c>
      <c r="BY183" s="88" t="n">
        <f aca="false">BW183+BY182</f>
        <v>0</v>
      </c>
      <c r="BZ183" s="88" t="n">
        <f aca="false">MAX(BZ182,BX183-BY183)</f>
        <v>256.521764578837</v>
      </c>
      <c r="CA183" s="88" t="n">
        <f aca="false">BZ183-BZ182</f>
        <v>1.05236806916068</v>
      </c>
      <c r="CB183" s="88" t="n">
        <f aca="false">IF(B183=2026,INDEX($C$15:$Q$15,1,B183-2025)*$AO$4*C183/MAX(0.0001,12-$AO$3),INDEX($C$15:$Q$15,1,B183-2025)/12)</f>
        <v>1.72539415990298</v>
      </c>
      <c r="CC183" s="88" t="n">
        <f aca="false">$AO$6*0</f>
        <v>0</v>
      </c>
      <c r="CD183" s="88" t="n">
        <f aca="false">CB183+CD182</f>
        <v>420.57638146065</v>
      </c>
      <c r="CE183" s="88" t="n">
        <f aca="false">CC183+CE182</f>
        <v>88.0000000000001</v>
      </c>
      <c r="CF183" s="88" t="n">
        <f aca="false">MAX(CF182,CD183-CE183)</f>
        <v>332.57638146065</v>
      </c>
      <c r="CG183" s="88" t="n">
        <f aca="false">CF183-CF182</f>
        <v>1.72539415990298</v>
      </c>
      <c r="CH183" s="88" t="n">
        <f aca="false">IF(B183=2026,INDEX($C$16:$Q$16,1,B183-2025)*$AO$4*C183/MAX(0.0001,12-$AO$3),INDEX($C$16:$Q$16,1,B183-2025)/12)</f>
        <v>1.36440743850484</v>
      </c>
      <c r="CI183" s="88" t="n">
        <f aca="false">$AO$6*0</f>
        <v>0</v>
      </c>
      <c r="CJ183" s="88" t="n">
        <f aca="false">CH183+CJ182</f>
        <v>332.583450587677</v>
      </c>
      <c r="CK183" s="88" t="n">
        <f aca="false">CI183+CK182</f>
        <v>70</v>
      </c>
      <c r="CL183" s="88" t="n">
        <f aca="false">MAX(CL182,CJ183-CK183)</f>
        <v>262.583450587677</v>
      </c>
      <c r="CM183" s="88" t="n">
        <f aca="false">CL183-CL182</f>
        <v>1.36440743850483</v>
      </c>
      <c r="CN183" s="88" t="n">
        <f aca="false">IF(B183=2026,INDEX($C$17:$Q$17,1,B183-2025)*$AO$4*C183/MAX(0.0001,12-$AO$3),INDEX($C$17:$Q$17,1,B183-2025)/12)</f>
        <v>5.94098485555245</v>
      </c>
      <c r="CO183" s="88" t="n">
        <f aca="false">$AO$6*0</f>
        <v>0</v>
      </c>
      <c r="CP183" s="88" t="n">
        <f aca="false">CN183+CP182</f>
        <v>1448.15484538402</v>
      </c>
      <c r="CQ183" s="88" t="n">
        <f aca="false">CO183+CQ182</f>
        <v>221</v>
      </c>
      <c r="CR183" s="88" t="n">
        <f aca="false">MAX(CR182,CP183-CQ183)</f>
        <v>1227.15484538402</v>
      </c>
      <c r="CS183" s="88" t="n">
        <f aca="false">CR183-CR182</f>
        <v>5.94098485555242</v>
      </c>
      <c r="CT183" s="88" t="n">
        <f aca="false">IF(B183=2026,INDEX($C$18:$Q$18,1,B183-2025)*$AO$4*C183/MAX(0.0001,12-$AO$3),INDEX($C$18:$Q$18,1,B183-2025)/12)</f>
        <v>1.23592063936312</v>
      </c>
      <c r="CU183" s="88" t="n">
        <f aca="false">$AO$6*0</f>
        <v>0</v>
      </c>
      <c r="CV183" s="88" t="n">
        <f aca="false">CT183+CV182</f>
        <v>301.263932819331</v>
      </c>
      <c r="CW183" s="88" t="n">
        <f aca="false">CU183+CW182</f>
        <v>11</v>
      </c>
      <c r="CX183" s="88" t="n">
        <f aca="false">MAX(CX182,CV183-CW183)</f>
        <v>290.263932819331</v>
      </c>
      <c r="CY183" s="88" t="n">
        <f aca="false">CX183-CX182</f>
        <v>1.23592063936314</v>
      </c>
      <c r="CZ183" s="88" t="n">
        <f aca="false">IF(B183=2026,INDEX($C$19:$Q$19,1,B183-2025)*$AO$4*C183/MAX(0.0001,12-$AO$3),INDEX($C$19:$Q$19,1,B183-2025)/12)</f>
        <v>1.22368380134963</v>
      </c>
      <c r="DA183" s="88" t="n">
        <f aca="false">$AO$6*0</f>
        <v>0</v>
      </c>
      <c r="DB183" s="88" t="n">
        <f aca="false">CZ183+DB182</f>
        <v>298.281121603299</v>
      </c>
      <c r="DC183" s="88" t="n">
        <f aca="false">DA183+DC182</f>
        <v>226</v>
      </c>
      <c r="DD183" s="88" t="n">
        <f aca="false">MAX(DD182,DB183-DC183)</f>
        <v>72.2811216032989</v>
      </c>
      <c r="DE183" s="88" t="n">
        <f aca="false">DD183-DD182</f>
        <v>1.22368380134964</v>
      </c>
      <c r="DF183" s="88" t="n">
        <f aca="false">IF(B183=2026,INDEX($C$20:$Q$20,1,B183-2025)*$AO$4*C183/MAX(0.0001,12-$AO$3),INDEX($C$20:$Q$20,1,B183-2025)/12)</f>
        <v>0.997302298099947</v>
      </c>
      <c r="DG183" s="88" t="n">
        <f aca="false">$AO$6*0</f>
        <v>0</v>
      </c>
      <c r="DH183" s="88" t="n">
        <f aca="false">DF183+DH182</f>
        <v>243.099114106688</v>
      </c>
      <c r="DI183" s="88" t="n">
        <f aca="false">DG183+DI182</f>
        <v>0</v>
      </c>
      <c r="DJ183" s="88" t="n">
        <f aca="false">MAX(DJ182,DH183-DI183)</f>
        <v>243.099114106688</v>
      </c>
      <c r="DK183" s="88" t="n">
        <f aca="false">DJ183-DJ182</f>
        <v>0.997302298099953</v>
      </c>
      <c r="DL183" s="88" t="n">
        <f aca="false">IF(B183=2026,INDEX($C$21:$Q$21,1,B183-2025)*$AO$4*C183/MAX(0.0001,12-$AO$3),INDEX($C$21:$Q$21,1,B183-2025)/12)</f>
        <v>0.697499766769288</v>
      </c>
      <c r="DM183" s="88" t="n">
        <f aca="false">$AO$6*0</f>
        <v>0</v>
      </c>
      <c r="DN183" s="88" t="n">
        <f aca="false">DL183+DN182</f>
        <v>170.02023931388</v>
      </c>
      <c r="DO183" s="88" t="n">
        <f aca="false">DM183+DO182</f>
        <v>100</v>
      </c>
      <c r="DP183" s="88" t="n">
        <f aca="false">MAX(DP182,DN183-DO183)</f>
        <v>70.02023931388</v>
      </c>
      <c r="DQ183" s="88" t="n">
        <f aca="false">DP183-DP182</f>
        <v>0.697499766769283</v>
      </c>
      <c r="DR183" s="88" t="n">
        <f aca="false">IF(B183=2026,INDEX($C$22:$Q$22,1,B183-2025)*$AO$4*C183/MAX(0.0001,12-$AO$3),INDEX($C$22:$Q$22,1,B183-2025)/12)</f>
        <v>0.544539291600585</v>
      </c>
      <c r="DS183" s="88" t="n">
        <f aca="false">$AO$6*0</f>
        <v>0</v>
      </c>
      <c r="DT183" s="88" t="n">
        <f aca="false">DR183+DT182</f>
        <v>132.735099113468</v>
      </c>
      <c r="DU183" s="88" t="n">
        <f aca="false">DS183+DU182</f>
        <v>29</v>
      </c>
      <c r="DV183" s="88" t="n">
        <f aca="false">MAX(DV182,DT183-DU183)</f>
        <v>103.735099113468</v>
      </c>
      <c r="DW183" s="88" t="n">
        <f aca="false">DV183-DV182</f>
        <v>0.544539291600586</v>
      </c>
      <c r="DX183" s="88" t="n">
        <f aca="false">IF(B183=2026,INDEX($C$23:$Q$23,1,B183-2025)*$AO$4*C183/MAX(0.0001,12-$AO$3),INDEX($C$23:$Q$23,1,B183-2025)/12)</f>
        <v>0.874933917964984</v>
      </c>
      <c r="DY183" s="88" t="n">
        <f aca="false">$AO$6*0</f>
        <v>0</v>
      </c>
      <c r="DZ183" s="88" t="n">
        <f aca="false">DX183+DZ182</f>
        <v>213.271001946359</v>
      </c>
      <c r="EA183" s="88" t="n">
        <f aca="false">DY183+EA182</f>
        <v>121</v>
      </c>
      <c r="EB183" s="88" t="n">
        <f aca="false">MAX(EB182,DZ183-EA183)</f>
        <v>92.2710019463587</v>
      </c>
      <c r="EC183" s="88" t="n">
        <f aca="false">EB183-EB182</f>
        <v>0.874933917964995</v>
      </c>
      <c r="ED183" s="88" t="n">
        <f aca="false">IF(B183=2026,INDEX($C$24:$Q$24,1,B183-2025)*$AO$4*C183/MAX(0.0001,12-$AO$3),INDEX($C$24:$Q$24,1,B183-2025)/12)</f>
        <v>0.538420872593837</v>
      </c>
      <c r="EE183" s="88" t="n">
        <f aca="false">$AO$6*0</f>
        <v>0</v>
      </c>
      <c r="EF183" s="88" t="n">
        <f aca="false">ED183+EF182</f>
        <v>131.243693505451</v>
      </c>
      <c r="EG183" s="88" t="n">
        <f aca="false">EE183+EG182</f>
        <v>0</v>
      </c>
      <c r="EH183" s="88" t="n">
        <f aca="false">MAX(EH182,EF183-EG183)</f>
        <v>131.243693505451</v>
      </c>
      <c r="EI183" s="88" t="n">
        <f aca="false">EH183-EH182</f>
        <v>0.538420872593832</v>
      </c>
      <c r="EJ183" s="88" t="n">
        <f aca="false">IF(B183=2026,INDEX($C$25:$Q$25,1,B183-2025)*$AO$4*C183/MAX(0.0001,12-$AO$3),INDEX($C$25:$Q$25,1,B183-2025)/12)</f>
        <v>0.685262928755792</v>
      </c>
      <c r="EK183" s="88" t="n">
        <f aca="false">$AO$6*0</f>
        <v>0</v>
      </c>
      <c r="EL183" s="88" t="n">
        <f aca="false">EJ183+EL182</f>
        <v>167.037428097847</v>
      </c>
      <c r="EM183" s="88" t="n">
        <f aca="false">EK183+EM182</f>
        <v>14</v>
      </c>
      <c r="EN183" s="88" t="n">
        <f aca="false">MAX(EN182,EL183-EM183)</f>
        <v>153.037428097847</v>
      </c>
      <c r="EO183" s="88" t="n">
        <f aca="false">EN183-EN182</f>
        <v>0.685262928755805</v>
      </c>
      <c r="EP183" s="88" t="n">
        <f aca="false">IF(B183=2026,INDEX($C$26:$Q$26,1,B183-2025)*$AO$4*C183/MAX(0.0001,12-$AO$3),INDEX($C$26:$Q$26,1,B183-2025)/12)</f>
        <v>0.985065460086451</v>
      </c>
      <c r="EQ183" s="88" t="n">
        <f aca="false">$AO$6*0</f>
        <v>0</v>
      </c>
      <c r="ER183" s="88" t="n">
        <f aca="false">EP183+ER182</f>
        <v>240.116302890654</v>
      </c>
      <c r="ES183" s="88" t="n">
        <f aca="false">EQ183+ES182</f>
        <v>4</v>
      </c>
      <c r="ET183" s="88" t="n">
        <f aca="false">MAX(ET182,ER183-ES183)</f>
        <v>236.116302890654</v>
      </c>
      <c r="EU183" s="88" t="n">
        <f aca="false">ET183-ET182</f>
        <v>0.985065460086446</v>
      </c>
      <c r="EV183" s="88" t="n">
        <f aca="false">IF(B183=2026,INDEX($C$27:$Q$27,1,B183-2025)*$AO$4*C183/MAX(0.0001,12-$AO$3),INDEX($C$27:$Q$27,1,B183-2025)/12)</f>
        <v>2.44736760269926</v>
      </c>
      <c r="EW183" s="88" t="n">
        <f aca="false">$AO$6*0</f>
        <v>0</v>
      </c>
      <c r="EX183" s="88" t="n">
        <f aca="false">EV183+EX182</f>
        <v>596.562243206598</v>
      </c>
      <c r="EY183" s="88" t="n">
        <f aca="false">EW183+EY182</f>
        <v>391</v>
      </c>
      <c r="EZ183" s="88" t="n">
        <f aca="false">MAX(EZ182,EX183-EY183)</f>
        <v>205.562243206597</v>
      </c>
      <c r="FA183" s="88" t="n">
        <f aca="false">EZ183-EZ182</f>
        <v>2.44736760269927</v>
      </c>
      <c r="FB183" s="88" t="n">
        <f aca="false">IF(B183=2026,INDEX($C$28:$Q$28,1,B183-2025)*$AO$4*C183/MAX(0.0001,12-$AO$3),INDEX($C$28:$Q$28,1,B183-2025)/12)</f>
        <v>12.8119694001306</v>
      </c>
      <c r="FC183" s="88" t="n">
        <f aca="false">$AO$6*0</f>
        <v>0</v>
      </c>
      <c r="FD183" s="88" t="n">
        <f aca="false">FB183+FD182</f>
        <v>3123.00334318654</v>
      </c>
      <c r="FE183" s="88" t="n">
        <f aca="false">FC183+FE182</f>
        <v>169</v>
      </c>
      <c r="FF183" s="88" t="n">
        <f aca="false">MAX(FF182,FD183-FE183)</f>
        <v>2954.00334318654</v>
      </c>
      <c r="FG183" s="88" t="n">
        <f aca="false">FF183-FF182</f>
        <v>12.8119694001307</v>
      </c>
    </row>
    <row r="184" customFormat="false" ht="15" hidden="false" customHeight="false" outlineLevel="0" collapsed="false">
      <c r="A184" s="0" t="n">
        <v>144</v>
      </c>
      <c r="B184" s="88" t="n">
        <f aca="false">2026+INT(A184/12)</f>
        <v>2038</v>
      </c>
      <c r="C184" s="88" t="n">
        <f aca="false">MAX(0,MIN(1,A184+1-$AO$3))</f>
        <v>1</v>
      </c>
      <c r="D184" s="88" t="n">
        <f aca="false">IF((A184+0.5-(0))&lt;$AO$3,0,2026+INT((A184+0.5-(0))/12))</f>
        <v>2038</v>
      </c>
      <c r="E184" s="88" t="n">
        <f aca="false">IF((A184+0.5-($AO$9))&lt;$AO$3,0,2026+INT((A184+0.5-($AO$9))/12))</f>
        <v>2036</v>
      </c>
      <c r="F184" s="88" t="n">
        <f aca="false">IF((A184+0.5-($AO$9+$AO$8))&lt;$AO$3,0,2026+INT((A184+0.5-($AO$9+$AO$8))/12))</f>
        <v>2035</v>
      </c>
      <c r="G184" s="88" t="n">
        <f aca="false">IF((A184+0.5-($AO$9+$AO$8+$AO$7))&lt;$AO$3,0,2026+INT((A184+0.5-($AO$9+$AO$8+$AO$7))/12))</f>
        <v>2035</v>
      </c>
      <c r="H184" s="88" t="n">
        <f aca="false">IF(B184=2026,INDEX($C$3:$Q$3,1,B184-2025)*$AO$4*C184/MAX(0.0001,12-$AO$3),INDEX($C$3:$Q$3,1,B184-2025)/12)</f>
        <v>129.583333333333</v>
      </c>
      <c r="I184" s="88" t="n">
        <f aca="false">$AO$6*0</f>
        <v>0</v>
      </c>
      <c r="J184" s="88" t="n">
        <f aca="false">H184+J183</f>
        <v>32102.3367579909</v>
      </c>
      <c r="K184" s="88" t="n">
        <f aca="false">I184+K183</f>
        <v>8695.00000000001</v>
      </c>
      <c r="L184" s="88" t="n">
        <f aca="false">MAX(L183,J184-K184)</f>
        <v>23407.3367579909</v>
      </c>
      <c r="M184" s="88" t="n">
        <f aca="false">L184-L183</f>
        <v>129.583333333328</v>
      </c>
      <c r="N184" s="88" t="n">
        <f aca="false">IF(B184=2026,INDEX($C$4:$Q$4,1,B184-2025)*$AO$4*C184/MAX(0.0001,12-$AO$3),INDEX($C$4:$Q$4,1,B184-2025)/12)</f>
        <v>3.9285593164349</v>
      </c>
      <c r="O184" s="88" t="n">
        <f aca="false">$AO$6*0</f>
        <v>0</v>
      </c>
      <c r="P184" s="88" t="n">
        <f aca="false">N184+P183</f>
        <v>973.241935562203</v>
      </c>
      <c r="Q184" s="88" t="n">
        <f aca="false">O184+Q183</f>
        <v>398</v>
      </c>
      <c r="R184" s="88" t="n">
        <f aca="false">MAX(R183,P184-Q184)</f>
        <v>575.241935562203</v>
      </c>
      <c r="S184" s="88" t="n">
        <f aca="false">R184-R183</f>
        <v>3.92855931643487</v>
      </c>
      <c r="T184" s="88" t="n">
        <f aca="false">IF(B184=2026,INDEX($C$5:$Q$5,1,B184-2025)*$AO$4*C184/MAX(0.0001,12-$AO$3),INDEX($C$5:$Q$5,1,B184-2025)/12)</f>
        <v>15.9670831585289</v>
      </c>
      <c r="U184" s="88" t="n">
        <f aca="false">$AO$6*0</f>
        <v>0</v>
      </c>
      <c r="V184" s="88" t="n">
        <f aca="false">T184+V183</f>
        <v>3955.60653837637</v>
      </c>
      <c r="W184" s="88" t="n">
        <f aca="false">U184+W183</f>
        <v>1115</v>
      </c>
      <c r="X184" s="88" t="n">
        <f aca="false">MAX(X183,V184-W184)</f>
        <v>2840.60653837637</v>
      </c>
      <c r="Y184" s="88" t="n">
        <f aca="false">X184-X183</f>
        <v>15.967083158529</v>
      </c>
      <c r="Z184" s="88" t="n">
        <f aca="false">IF(B184=2026,INDEX($C$6:$Q$6,1,B184-2025)*$AO$4*C184/MAX(0.0001,12-$AO$3),INDEX($C$6:$Q$6,1,B184-2025)/12)</f>
        <v>18.9436461953513</v>
      </c>
      <c r="AA184" s="88" t="n">
        <f aca="false">$AO$6*0</f>
        <v>0</v>
      </c>
      <c r="AB184" s="88" t="n">
        <f aca="false">Z184+AB183</f>
        <v>4693.00560453301</v>
      </c>
      <c r="AC184" s="88" t="n">
        <f aca="false">AA184+AC183</f>
        <v>2194</v>
      </c>
      <c r="AD184" s="88" t="n">
        <f aca="false">MAX(AD183,AB184-AC184)</f>
        <v>2499.005604533</v>
      </c>
      <c r="AE184" s="88" t="n">
        <f aca="false">AD184-AD183</f>
        <v>18.943646195351</v>
      </c>
      <c r="AF184" s="88" t="n">
        <f aca="false">IF(B184=2026,INDEX($C$7:$Q$7,1,B184-2025)*$AO$4*C184/MAX(0.0001,12-$AO$3),INDEX($C$7:$Q$7,1,B184-2025)/12)</f>
        <v>16.4556786026022</v>
      </c>
      <c r="AG184" s="88" t="n">
        <f aca="false">$AO$6*0</f>
        <v>0</v>
      </c>
      <c r="AH184" s="88" t="n">
        <f aca="false">AF184+AH183</f>
        <v>4076.64876719228</v>
      </c>
      <c r="AI184" s="88" t="n">
        <f aca="false">AG184+AI183</f>
        <v>826</v>
      </c>
      <c r="AJ184" s="88" t="n">
        <f aca="false">MAX(AJ183,AH184-AI184)</f>
        <v>3250.64876719228</v>
      </c>
      <c r="AK184" s="88" t="n">
        <f aca="false">AJ184-AJ183</f>
        <v>16.4556786026023</v>
      </c>
      <c r="AL184" s="88" t="n">
        <f aca="false">IF(B184=2026,INDEX($C$8:$Q$8,1,B184-2025)*$AO$4*C184/MAX(0.0001,12-$AO$3),INDEX($C$8:$Q$8,1,B184-2025)/12)</f>
        <v>4.1625092528236</v>
      </c>
      <c r="AM184" s="88" t="n">
        <f aca="false">$AO$6*0</f>
        <v>0</v>
      </c>
      <c r="AN184" s="88" t="n">
        <f aca="false">AL184+AN183</f>
        <v>1031.1995405201</v>
      </c>
      <c r="AO184" s="88" t="n">
        <f aca="false">AM184+AO183</f>
        <v>66</v>
      </c>
      <c r="AP184" s="88" t="n">
        <f aca="false">MAX(AP183,AN184-AO184)</f>
        <v>965.199540520099</v>
      </c>
      <c r="AQ184" s="88" t="n">
        <f aca="false">AP184-AP183</f>
        <v>4.16250925282361</v>
      </c>
      <c r="AR184" s="88" t="n">
        <f aca="false">IF(B184=2026,INDEX($C$9:$Q$9,1,B184-2025)*$AO$4*C184/MAX(0.0001,12-$AO$3),INDEX($C$9:$Q$9,1,B184-2025)/12)</f>
        <v>17.7487019048737</v>
      </c>
      <c r="AS184" s="88" t="n">
        <f aca="false">$AO$6*0</f>
        <v>0</v>
      </c>
      <c r="AT184" s="88" t="n">
        <f aca="false">AR184+AT183</f>
        <v>4396.9759915173</v>
      </c>
      <c r="AU184" s="88" t="n">
        <f aca="false">AS184+AU183</f>
        <v>1810</v>
      </c>
      <c r="AV184" s="88" t="n">
        <f aca="false">MAX(AV183,AT184-AU184)</f>
        <v>2586.97599151729</v>
      </c>
      <c r="AW184" s="88" t="n">
        <f aca="false">AV184-AV183</f>
        <v>17.748701904874</v>
      </c>
      <c r="AX184" s="88" t="n">
        <f aca="false">IF(B184=2026,INDEX($C$10:$Q$10,1,B184-2025)*$AO$4*C184/MAX(0.0001,12-$AO$3),INDEX($C$10:$Q$10,1,B184-2025)/12)</f>
        <v>2.05875944022058</v>
      </c>
      <c r="AY184" s="88" t="n">
        <f aca="false">$AO$6*0</f>
        <v>0</v>
      </c>
      <c r="AZ184" s="88" t="n">
        <f aca="false">AX184+AZ183</f>
        <v>510.026923629482</v>
      </c>
      <c r="BA184" s="88" t="n">
        <f aca="false">AY184+BA183</f>
        <v>50</v>
      </c>
      <c r="BB184" s="88" t="n">
        <f aca="false">MAX(BB183,AZ184-BA184)</f>
        <v>460.026923629482</v>
      </c>
      <c r="BC184" s="88" t="n">
        <f aca="false">BB184-BB183</f>
        <v>2.05875944022057</v>
      </c>
      <c r="BD184" s="88" t="n">
        <f aca="false">IF(B184=2026,INDEX($C$11:$Q$11,1,B184-2025)*$AO$4*C184/MAX(0.0001,12-$AO$3),INDEX($C$11:$Q$11,1,B184-2025)/12)</f>
        <v>10.2308106797675</v>
      </c>
      <c r="BE184" s="88" t="n">
        <f aca="false">$AO$6*0</f>
        <v>0</v>
      </c>
      <c r="BF184" s="88" t="n">
        <f aca="false">BD184+BF183</f>
        <v>2534.53064758182</v>
      </c>
      <c r="BG184" s="88" t="n">
        <f aca="false">BE184+BG183</f>
        <v>240</v>
      </c>
      <c r="BH184" s="88" t="n">
        <f aca="false">MAX(BH183,BF184-BG184)</f>
        <v>2294.53064758182</v>
      </c>
      <c r="BI184" s="88" t="n">
        <f aca="false">BH184-BH183</f>
        <v>10.2308106797673</v>
      </c>
      <c r="BJ184" s="88" t="n">
        <f aca="false">IF(B184=2026,INDEX($C$12:$Q$12,1,B184-2025)*$AO$4*C184/MAX(0.0001,12-$AO$3),INDEX($C$12:$Q$12,1,B184-2025)/12)</f>
        <v>5.60939962864295</v>
      </c>
      <c r="BK184" s="88" t="n">
        <f aca="false">$AO$6*0</f>
        <v>0</v>
      </c>
      <c r="BL184" s="88" t="n">
        <f aca="false">BJ184+BL183</f>
        <v>1389.64503579816</v>
      </c>
      <c r="BM184" s="88" t="n">
        <f aca="false">BK184+BM183</f>
        <v>465</v>
      </c>
      <c r="BN184" s="88" t="n">
        <f aca="false">MAX(BN183,BL184-BM184)</f>
        <v>924.645035798164</v>
      </c>
      <c r="BO184" s="88" t="n">
        <f aca="false">BN184-BN183</f>
        <v>5.60939962864291</v>
      </c>
      <c r="BP184" s="88" t="n">
        <f aca="false">IF(B184=2026,INDEX($C$13:$Q$13,1,B184-2025)*$AO$4*C184/MAX(0.0001,12-$AO$3),INDEX($C$13:$Q$13,1,B184-2025)/12)</f>
        <v>1.75292315825481</v>
      </c>
      <c r="BQ184" s="88" t="n">
        <f aca="false">$AO$6*0</f>
        <v>0</v>
      </c>
      <c r="BR184" s="88" t="n">
        <f aca="false">BP184+BR183</f>
        <v>434.260549483037</v>
      </c>
      <c r="BS184" s="88" t="n">
        <f aca="false">BQ184+BS183</f>
        <v>87</v>
      </c>
      <c r="BT184" s="88" t="n">
        <f aca="false">MAX(BT183,BR184-BS184)</f>
        <v>347.260549483037</v>
      </c>
      <c r="BU184" s="88" t="n">
        <f aca="false">BT184-BT183</f>
        <v>1.75292315825482</v>
      </c>
      <c r="BV184" s="88" t="n">
        <f aca="false">IF(B184=2026,INDEX($C$14:$Q$14,1,B184-2025)*$AO$4*C184/MAX(0.0001,12-$AO$3),INDEX($C$14:$Q$14,1,B184-2025)/12)</f>
        <v>1.03966476972354</v>
      </c>
      <c r="BW184" s="88" t="n">
        <f aca="false">$AO$6*0</f>
        <v>0</v>
      </c>
      <c r="BX184" s="88" t="n">
        <f aca="false">BV184+BX183</f>
        <v>257.56142934856</v>
      </c>
      <c r="BY184" s="88" t="n">
        <f aca="false">BW184+BY183</f>
        <v>0</v>
      </c>
      <c r="BZ184" s="88" t="n">
        <f aca="false">MAX(BZ183,BX184-BY184)</f>
        <v>257.56142934856</v>
      </c>
      <c r="CA184" s="88" t="n">
        <f aca="false">BZ184-BZ183</f>
        <v>1.03966476972357</v>
      </c>
      <c r="CB184" s="88" t="n">
        <f aca="false">IF(B184=2026,INDEX($C$15:$Q$15,1,B184-2025)*$AO$4*C184/MAX(0.0001,12-$AO$3),INDEX($C$15:$Q$15,1,B184-2025)/12)</f>
        <v>1.70456665733744</v>
      </c>
      <c r="CC184" s="88" t="n">
        <f aca="false">$AO$6*0</f>
        <v>0</v>
      </c>
      <c r="CD184" s="88" t="n">
        <f aca="false">CB184+CD183</f>
        <v>422.280948117987</v>
      </c>
      <c r="CE184" s="88" t="n">
        <f aca="false">CC184+CE183</f>
        <v>88.0000000000001</v>
      </c>
      <c r="CF184" s="88" t="n">
        <f aca="false">MAX(CF183,CD184-CE184)</f>
        <v>334.280948117987</v>
      </c>
      <c r="CG184" s="88" t="n">
        <f aca="false">CF184-CF183</f>
        <v>1.70456665733747</v>
      </c>
      <c r="CH184" s="88" t="n">
        <f aca="false">IF(B184=2026,INDEX($C$16:$Q$16,1,B184-2025)*$AO$4*C184/MAX(0.0001,12-$AO$3),INDEX($C$16:$Q$16,1,B184-2025)/12)</f>
        <v>1.3479374630718</v>
      </c>
      <c r="CI184" s="88" t="n">
        <f aca="false">$AO$6*0</f>
        <v>0</v>
      </c>
      <c r="CJ184" s="88" t="n">
        <f aca="false">CH184+CJ183</f>
        <v>333.931388050749</v>
      </c>
      <c r="CK184" s="88" t="n">
        <f aca="false">CI184+CK183</f>
        <v>70</v>
      </c>
      <c r="CL184" s="88" t="n">
        <f aca="false">MAX(CL183,CJ184-CK184)</f>
        <v>263.931388050749</v>
      </c>
      <c r="CM184" s="88" t="n">
        <f aca="false">CL184-CL183</f>
        <v>1.34793746307179</v>
      </c>
      <c r="CN184" s="88" t="n">
        <f aca="false">IF(B184=2026,INDEX($C$17:$Q$17,1,B184-2025)*$AO$4*C184/MAX(0.0001,12-$AO$3),INDEX($C$17:$Q$17,1,B184-2025)/12)</f>
        <v>5.86927029884629</v>
      </c>
      <c r="CO184" s="88" t="n">
        <f aca="false">$AO$6*0</f>
        <v>0</v>
      </c>
      <c r="CP184" s="88" t="n">
        <f aca="false">CN184+CP183</f>
        <v>1454.02411568286</v>
      </c>
      <c r="CQ184" s="88" t="n">
        <f aca="false">CO184+CQ183</f>
        <v>221</v>
      </c>
      <c r="CR184" s="88" t="n">
        <f aca="false">MAX(CR183,CP184-CQ184)</f>
        <v>1233.02411568286</v>
      </c>
      <c r="CS184" s="88" t="n">
        <f aca="false">CR184-CR183</f>
        <v>5.86927029884623</v>
      </c>
      <c r="CT184" s="88" t="n">
        <f aca="false">IF(B184=2026,INDEX($C$18:$Q$18,1,B184-2025)*$AO$4*C184/MAX(0.0001,12-$AO$3),INDEX($C$18:$Q$18,1,B184-2025)/12)</f>
        <v>1.2210016481637</v>
      </c>
      <c r="CU184" s="88" t="n">
        <f aca="false">$AO$6*0</f>
        <v>0</v>
      </c>
      <c r="CV184" s="88" t="n">
        <f aca="false">CT184+CV183</f>
        <v>302.484934467495</v>
      </c>
      <c r="CW184" s="88" t="n">
        <f aca="false">CU184+CW183</f>
        <v>11</v>
      </c>
      <c r="CX184" s="88" t="n">
        <f aca="false">MAX(CX183,CV184-CW184)</f>
        <v>291.484934467495</v>
      </c>
      <c r="CY184" s="88" t="n">
        <f aca="false">CX184-CX183</f>
        <v>1.22100164816368</v>
      </c>
      <c r="CZ184" s="88" t="n">
        <f aca="false">IF(B184=2026,INDEX($C$19:$Q$19,1,B184-2025)*$AO$4*C184/MAX(0.0001,12-$AO$3),INDEX($C$19:$Q$19,1,B184-2025)/12)</f>
        <v>1.20891252293435</v>
      </c>
      <c r="DA184" s="88" t="n">
        <f aca="false">$AO$6*0</f>
        <v>0</v>
      </c>
      <c r="DB184" s="88" t="n">
        <f aca="false">CZ184+DB183</f>
        <v>299.490034126233</v>
      </c>
      <c r="DC184" s="88" t="n">
        <f aca="false">DA184+DC183</f>
        <v>226</v>
      </c>
      <c r="DD184" s="88" t="n">
        <f aca="false">MAX(DD183,DB184-DC184)</f>
        <v>73.4900341262333</v>
      </c>
      <c r="DE184" s="88" t="n">
        <f aca="false">DD184-DD183</f>
        <v>1.20891252293433</v>
      </c>
      <c r="DF184" s="88" t="n">
        <f aca="false">IF(B184=2026,INDEX($C$20:$Q$20,1,B184-2025)*$AO$4*C184/MAX(0.0001,12-$AO$3),INDEX($C$20:$Q$20,1,B184-2025)/12)</f>
        <v>0.985263706191498</v>
      </c>
      <c r="DG184" s="88" t="n">
        <f aca="false">$AO$6*0</f>
        <v>0</v>
      </c>
      <c r="DH184" s="88" t="n">
        <f aca="false">DF184+DH183</f>
        <v>244.08437781288</v>
      </c>
      <c r="DI184" s="88" t="n">
        <f aca="false">DG184+DI183</f>
        <v>0</v>
      </c>
      <c r="DJ184" s="88" t="n">
        <f aca="false">MAX(DJ183,DH184-DI184)</f>
        <v>244.08437781288</v>
      </c>
      <c r="DK184" s="88" t="n">
        <f aca="false">DJ184-DJ183</f>
        <v>0.985263706191489</v>
      </c>
      <c r="DL184" s="88" t="n">
        <f aca="false">IF(B184=2026,INDEX($C$21:$Q$21,1,B184-2025)*$AO$4*C184/MAX(0.0001,12-$AO$3),INDEX($C$21:$Q$21,1,B184-2025)/12)</f>
        <v>0.689080138072581</v>
      </c>
      <c r="DM184" s="88" t="n">
        <f aca="false">$AO$6*0</f>
        <v>0</v>
      </c>
      <c r="DN184" s="88" t="n">
        <f aca="false">DL184+DN183</f>
        <v>170.709319451953</v>
      </c>
      <c r="DO184" s="88" t="n">
        <f aca="false">DM184+DO183</f>
        <v>100</v>
      </c>
      <c r="DP184" s="88" t="n">
        <f aca="false">MAX(DP183,DN184-DO184)</f>
        <v>70.7093194519525</v>
      </c>
      <c r="DQ184" s="88" t="n">
        <f aca="false">DP184-DP183</f>
        <v>0.689080138072569</v>
      </c>
      <c r="DR184" s="88" t="n">
        <f aca="false">IF(B184=2026,INDEX($C$22:$Q$22,1,B184-2025)*$AO$4*C184/MAX(0.0001,12-$AO$3),INDEX($C$22:$Q$22,1,B184-2025)/12)</f>
        <v>0.537966072705787</v>
      </c>
      <c r="DS184" s="88" t="n">
        <f aca="false">$AO$6*0</f>
        <v>0</v>
      </c>
      <c r="DT184" s="88" t="n">
        <f aca="false">DR184+DT183</f>
        <v>133.273065186174</v>
      </c>
      <c r="DU184" s="88" t="n">
        <f aca="false">DS184+DU183</f>
        <v>29</v>
      </c>
      <c r="DV184" s="88" t="n">
        <f aca="false">MAX(DV183,DT184-DU184)</f>
        <v>104.273065186174</v>
      </c>
      <c r="DW184" s="88" t="n">
        <f aca="false">DV184-DV183</f>
        <v>0.537966072705785</v>
      </c>
      <c r="DX184" s="88" t="n">
        <f aca="false">IF(B184=2026,INDEX($C$23:$Q$23,1,B184-2025)*$AO$4*C184/MAX(0.0001,12-$AO$3),INDEX($C$23:$Q$23,1,B184-2025)/12)</f>
        <v>0.864372453898063</v>
      </c>
      <c r="DY184" s="88" t="n">
        <f aca="false">$AO$6*0</f>
        <v>0</v>
      </c>
      <c r="DZ184" s="88" t="n">
        <f aca="false">DX184+DZ183</f>
        <v>214.135374400257</v>
      </c>
      <c r="EA184" s="88" t="n">
        <f aca="false">DY184+EA183</f>
        <v>121</v>
      </c>
      <c r="EB184" s="88" t="n">
        <f aca="false">MAX(EB183,DZ184-EA184)</f>
        <v>93.1353744002568</v>
      </c>
      <c r="EC184" s="88" t="n">
        <f aca="false">EB184-EB183</f>
        <v>0.864372453898056</v>
      </c>
      <c r="ED184" s="88" t="n">
        <f aca="false">IF(B184=2026,INDEX($C$24:$Q$24,1,B184-2025)*$AO$4*C184/MAX(0.0001,12-$AO$3),INDEX($C$24:$Q$24,1,B184-2025)/12)</f>
        <v>0.531921510091116</v>
      </c>
      <c r="EE184" s="88" t="n">
        <f aca="false">$AO$6*0</f>
        <v>0</v>
      </c>
      <c r="EF184" s="88" t="n">
        <f aca="false">ED184+EF183</f>
        <v>131.775615015542</v>
      </c>
      <c r="EG184" s="88" t="n">
        <f aca="false">EE184+EG183</f>
        <v>0</v>
      </c>
      <c r="EH184" s="88" t="n">
        <f aca="false">MAX(EH183,EF184-EG184)</f>
        <v>131.775615015542</v>
      </c>
      <c r="EI184" s="88" t="n">
        <f aca="false">EH184-EH183</f>
        <v>0.531921510091109</v>
      </c>
      <c r="EJ184" s="88" t="n">
        <f aca="false">IF(B184=2026,INDEX($C$25:$Q$25,1,B184-2025)*$AO$4*C184/MAX(0.0001,12-$AO$3),INDEX($C$25:$Q$25,1,B184-2025)/12)</f>
        <v>0.676991012843238</v>
      </c>
      <c r="EK184" s="88" t="n">
        <f aca="false">$AO$6*0</f>
        <v>0</v>
      </c>
      <c r="EL184" s="88" t="n">
        <f aca="false">EJ184+EL183</f>
        <v>167.71441911069</v>
      </c>
      <c r="EM184" s="88" t="n">
        <f aca="false">EK184+EM183</f>
        <v>14</v>
      </c>
      <c r="EN184" s="88" t="n">
        <f aca="false">MAX(EN183,EL184-EM184)</f>
        <v>153.71441911069</v>
      </c>
      <c r="EO184" s="88" t="n">
        <f aca="false">EN184-EN183</f>
        <v>0.676991012843246</v>
      </c>
      <c r="EP184" s="88" t="n">
        <f aca="false">IF(B184=2026,INDEX($C$26:$Q$26,1,B184-2025)*$AO$4*C184/MAX(0.0001,12-$AO$3),INDEX($C$26:$Q$26,1,B184-2025)/12)</f>
        <v>0.973174580962155</v>
      </c>
      <c r="EQ184" s="88" t="n">
        <f aca="false">$AO$6*0</f>
        <v>0</v>
      </c>
      <c r="ER184" s="88" t="n">
        <f aca="false">EP184+ER183</f>
        <v>241.089477471616</v>
      </c>
      <c r="ES184" s="88" t="n">
        <f aca="false">EQ184+ES183</f>
        <v>4</v>
      </c>
      <c r="ET184" s="88" t="n">
        <f aca="false">MAX(ET183,ER184-ES184)</f>
        <v>237.089477471616</v>
      </c>
      <c r="EU184" s="88" t="n">
        <f aca="false">ET184-ET183</f>
        <v>0.973174580962166</v>
      </c>
      <c r="EV184" s="88" t="n">
        <f aca="false">IF(B184=2026,INDEX($C$27:$Q$27,1,B184-2025)*$AO$4*C184/MAX(0.0001,12-$AO$3),INDEX($C$27:$Q$27,1,B184-2025)/12)</f>
        <v>2.41782504586871</v>
      </c>
      <c r="EW184" s="88" t="n">
        <f aca="false">$AO$6*0</f>
        <v>0</v>
      </c>
      <c r="EX184" s="88" t="n">
        <f aca="false">EV184+EX183</f>
        <v>598.980068252466</v>
      </c>
      <c r="EY184" s="88" t="n">
        <f aca="false">EW184+EY183</f>
        <v>391</v>
      </c>
      <c r="EZ184" s="88" t="n">
        <f aca="false">MAX(EZ183,EX184-EY184)</f>
        <v>207.980068252466</v>
      </c>
      <c r="FA184" s="88" t="n">
        <f aca="false">EZ184-EZ183</f>
        <v>2.41782504586865</v>
      </c>
      <c r="FB184" s="88" t="n">
        <f aca="false">IF(B184=2026,INDEX($C$28:$Q$28,1,B184-2025)*$AO$4*C184/MAX(0.0001,12-$AO$3),INDEX($C$28:$Q$28,1,B184-2025)/12)</f>
        <v>12.6573141151227</v>
      </c>
      <c r="FC184" s="88" t="n">
        <f aca="false">$AO$6*0</f>
        <v>0</v>
      </c>
      <c r="FD184" s="88" t="n">
        <f aca="false">FB184+FD183</f>
        <v>3135.66065730166</v>
      </c>
      <c r="FE184" s="88" t="n">
        <f aca="false">FC184+FE183</f>
        <v>169</v>
      </c>
      <c r="FF184" s="88" t="n">
        <f aca="false">MAX(FF183,FD184-FE184)</f>
        <v>2966.66065730166</v>
      </c>
      <c r="FG184" s="88" t="n">
        <f aca="false">FF184-FF183</f>
        <v>12.6573141151225</v>
      </c>
    </row>
    <row r="185" customFormat="false" ht="15" hidden="false" customHeight="false" outlineLevel="0" collapsed="false">
      <c r="A185" s="0" t="n">
        <v>145</v>
      </c>
      <c r="B185" s="88" t="n">
        <f aca="false">2026+INT(A185/12)</f>
        <v>2038</v>
      </c>
      <c r="C185" s="88" t="n">
        <f aca="false">MAX(0,MIN(1,A185+1-$AO$3))</f>
        <v>1</v>
      </c>
      <c r="D185" s="88" t="n">
        <f aca="false">IF((A185+0.5-(0))&lt;$AO$3,0,2026+INT((A185+0.5-(0))/12))</f>
        <v>2038</v>
      </c>
      <c r="E185" s="88" t="n">
        <f aca="false">IF((A185+0.5-($AO$9))&lt;$AO$3,0,2026+INT((A185+0.5-($AO$9))/12))</f>
        <v>2036</v>
      </c>
      <c r="F185" s="88" t="n">
        <f aca="false">IF((A185+0.5-($AO$9+$AO$8))&lt;$AO$3,0,2026+INT((A185+0.5-($AO$9+$AO$8))/12))</f>
        <v>2035</v>
      </c>
      <c r="G185" s="88" t="n">
        <f aca="false">IF((A185+0.5-($AO$9+$AO$8+$AO$7))&lt;$AO$3,0,2026+INT((A185+0.5-($AO$9+$AO$8+$AO$7))/12))</f>
        <v>2035</v>
      </c>
      <c r="H185" s="88" t="n">
        <f aca="false">IF(B185=2026,INDEX($C$3:$Q$3,1,B185-2025)*$AO$4*C185/MAX(0.0001,12-$AO$3),INDEX($C$3:$Q$3,1,B185-2025)/12)</f>
        <v>129.583333333333</v>
      </c>
      <c r="I185" s="88" t="n">
        <f aca="false">$AO$6*0</f>
        <v>0</v>
      </c>
      <c r="J185" s="88" t="n">
        <f aca="false">H185+J184</f>
        <v>32231.9200913243</v>
      </c>
      <c r="K185" s="88" t="n">
        <f aca="false">I185+K184</f>
        <v>8695.00000000001</v>
      </c>
      <c r="L185" s="88" t="n">
        <f aca="false">MAX(L184,J185-K185)</f>
        <v>23536.9200913243</v>
      </c>
      <c r="M185" s="88" t="n">
        <f aca="false">L185-L184</f>
        <v>129.583333333336</v>
      </c>
      <c r="N185" s="88" t="n">
        <f aca="false">IF(B185=2026,INDEX($C$4:$Q$4,1,B185-2025)*$AO$4*C185/MAX(0.0001,12-$AO$3),INDEX($C$4:$Q$4,1,B185-2025)/12)</f>
        <v>3.9285593164349</v>
      </c>
      <c r="O185" s="88" t="n">
        <f aca="false">$AO$6*0</f>
        <v>0</v>
      </c>
      <c r="P185" s="88" t="n">
        <f aca="false">N185+P184</f>
        <v>977.170494878638</v>
      </c>
      <c r="Q185" s="88" t="n">
        <f aca="false">O185+Q184</f>
        <v>398</v>
      </c>
      <c r="R185" s="88" t="n">
        <f aca="false">MAX(R184,P185-Q185)</f>
        <v>579.170494878638</v>
      </c>
      <c r="S185" s="88" t="n">
        <f aca="false">R185-R184</f>
        <v>3.92855931643487</v>
      </c>
      <c r="T185" s="88" t="n">
        <f aca="false">IF(B185=2026,INDEX($C$5:$Q$5,1,B185-2025)*$AO$4*C185/MAX(0.0001,12-$AO$3),INDEX($C$5:$Q$5,1,B185-2025)/12)</f>
        <v>15.9670831585289</v>
      </c>
      <c r="U185" s="88" t="n">
        <f aca="false">$AO$6*0</f>
        <v>0</v>
      </c>
      <c r="V185" s="88" t="n">
        <f aca="false">T185+V184</f>
        <v>3971.5736215349</v>
      </c>
      <c r="W185" s="88" t="n">
        <f aca="false">U185+W184</f>
        <v>1115</v>
      </c>
      <c r="X185" s="88" t="n">
        <f aca="false">MAX(X184,V185-W185)</f>
        <v>2856.5736215349</v>
      </c>
      <c r="Y185" s="88" t="n">
        <f aca="false">X185-X184</f>
        <v>15.967083158529</v>
      </c>
      <c r="Z185" s="88" t="n">
        <f aca="false">IF(B185=2026,INDEX($C$6:$Q$6,1,B185-2025)*$AO$4*C185/MAX(0.0001,12-$AO$3),INDEX($C$6:$Q$6,1,B185-2025)/12)</f>
        <v>18.9436461953513</v>
      </c>
      <c r="AA185" s="88" t="n">
        <f aca="false">$AO$6*0</f>
        <v>0</v>
      </c>
      <c r="AB185" s="88" t="n">
        <f aca="false">Z185+AB184</f>
        <v>4711.94925072836</v>
      </c>
      <c r="AC185" s="88" t="n">
        <f aca="false">AA185+AC184</f>
        <v>2194</v>
      </c>
      <c r="AD185" s="88" t="n">
        <f aca="false">MAX(AD184,AB185-AC185)</f>
        <v>2517.94925072835</v>
      </c>
      <c r="AE185" s="88" t="n">
        <f aca="false">AD185-AD184</f>
        <v>18.943646195351</v>
      </c>
      <c r="AF185" s="88" t="n">
        <f aca="false">IF(B185=2026,INDEX($C$7:$Q$7,1,B185-2025)*$AO$4*C185/MAX(0.0001,12-$AO$3),INDEX($C$7:$Q$7,1,B185-2025)/12)</f>
        <v>16.4556786026022</v>
      </c>
      <c r="AG185" s="88" t="n">
        <f aca="false">$AO$6*0</f>
        <v>0</v>
      </c>
      <c r="AH185" s="88" t="n">
        <f aca="false">AF185+AH184</f>
        <v>4093.10444579489</v>
      </c>
      <c r="AI185" s="88" t="n">
        <f aca="false">AG185+AI184</f>
        <v>826</v>
      </c>
      <c r="AJ185" s="88" t="n">
        <f aca="false">MAX(AJ184,AH185-AI185)</f>
        <v>3267.10444579489</v>
      </c>
      <c r="AK185" s="88" t="n">
        <f aca="false">AJ185-AJ184</f>
        <v>16.4556786026023</v>
      </c>
      <c r="AL185" s="88" t="n">
        <f aca="false">IF(B185=2026,INDEX($C$8:$Q$8,1,B185-2025)*$AO$4*C185/MAX(0.0001,12-$AO$3),INDEX($C$8:$Q$8,1,B185-2025)/12)</f>
        <v>4.1625092528236</v>
      </c>
      <c r="AM185" s="88" t="n">
        <f aca="false">$AO$6*0</f>
        <v>0</v>
      </c>
      <c r="AN185" s="88" t="n">
        <f aca="false">AL185+AN184</f>
        <v>1035.36204977292</v>
      </c>
      <c r="AO185" s="88" t="n">
        <f aca="false">AM185+AO184</f>
        <v>66</v>
      </c>
      <c r="AP185" s="88" t="n">
        <f aca="false">MAX(AP184,AN185-AO185)</f>
        <v>969.362049772923</v>
      </c>
      <c r="AQ185" s="88" t="n">
        <f aca="false">AP185-AP184</f>
        <v>4.16250925282361</v>
      </c>
      <c r="AR185" s="88" t="n">
        <f aca="false">IF(B185=2026,INDEX($C$9:$Q$9,1,B185-2025)*$AO$4*C185/MAX(0.0001,12-$AO$3),INDEX($C$9:$Q$9,1,B185-2025)/12)</f>
        <v>17.7487019048737</v>
      </c>
      <c r="AS185" s="88" t="n">
        <f aca="false">$AO$6*0</f>
        <v>0</v>
      </c>
      <c r="AT185" s="88" t="n">
        <f aca="false">AR185+AT184</f>
        <v>4414.72469342217</v>
      </c>
      <c r="AU185" s="88" t="n">
        <f aca="false">AS185+AU184</f>
        <v>1810</v>
      </c>
      <c r="AV185" s="88" t="n">
        <f aca="false">MAX(AV184,AT185-AU185)</f>
        <v>2604.72469342217</v>
      </c>
      <c r="AW185" s="88" t="n">
        <f aca="false">AV185-AV184</f>
        <v>17.748701904874</v>
      </c>
      <c r="AX185" s="88" t="n">
        <f aca="false">IF(B185=2026,INDEX($C$10:$Q$10,1,B185-2025)*$AO$4*C185/MAX(0.0001,12-$AO$3),INDEX($C$10:$Q$10,1,B185-2025)/12)</f>
        <v>2.05875944022058</v>
      </c>
      <c r="AY185" s="88" t="n">
        <f aca="false">$AO$6*0</f>
        <v>0</v>
      </c>
      <c r="AZ185" s="88" t="n">
        <f aca="false">AX185+AZ184</f>
        <v>512.085683069702</v>
      </c>
      <c r="BA185" s="88" t="n">
        <f aca="false">AY185+BA184</f>
        <v>50</v>
      </c>
      <c r="BB185" s="88" t="n">
        <f aca="false">MAX(BB184,AZ185-BA185)</f>
        <v>462.085683069702</v>
      </c>
      <c r="BC185" s="88" t="n">
        <f aca="false">BB185-BB184</f>
        <v>2.05875944022063</v>
      </c>
      <c r="BD185" s="88" t="n">
        <f aca="false">IF(B185=2026,INDEX($C$11:$Q$11,1,B185-2025)*$AO$4*C185/MAX(0.0001,12-$AO$3),INDEX($C$11:$Q$11,1,B185-2025)/12)</f>
        <v>10.2308106797675</v>
      </c>
      <c r="BE185" s="88" t="n">
        <f aca="false">$AO$6*0</f>
        <v>0</v>
      </c>
      <c r="BF185" s="88" t="n">
        <f aca="false">BD185+BF184</f>
        <v>2544.76145826159</v>
      </c>
      <c r="BG185" s="88" t="n">
        <f aca="false">BE185+BG184</f>
        <v>240</v>
      </c>
      <c r="BH185" s="88" t="n">
        <f aca="false">MAX(BH184,BF185-BG185)</f>
        <v>2304.76145826159</v>
      </c>
      <c r="BI185" s="88" t="n">
        <f aca="false">BH185-BH184</f>
        <v>10.2308106797673</v>
      </c>
      <c r="BJ185" s="88" t="n">
        <f aca="false">IF(B185=2026,INDEX($C$12:$Q$12,1,B185-2025)*$AO$4*C185/MAX(0.0001,12-$AO$3),INDEX($C$12:$Q$12,1,B185-2025)/12)</f>
        <v>5.60939962864295</v>
      </c>
      <c r="BK185" s="88" t="n">
        <f aca="false">$AO$6*0</f>
        <v>0</v>
      </c>
      <c r="BL185" s="88" t="n">
        <f aca="false">BJ185+BL184</f>
        <v>1395.25443542681</v>
      </c>
      <c r="BM185" s="88" t="n">
        <f aca="false">BK185+BM184</f>
        <v>465</v>
      </c>
      <c r="BN185" s="88" t="n">
        <f aca="false">MAX(BN184,BL185-BM185)</f>
        <v>930.254435426807</v>
      </c>
      <c r="BO185" s="88" t="n">
        <f aca="false">BN185-BN184</f>
        <v>5.60939962864291</v>
      </c>
      <c r="BP185" s="88" t="n">
        <f aca="false">IF(B185=2026,INDEX($C$13:$Q$13,1,B185-2025)*$AO$4*C185/MAX(0.0001,12-$AO$3),INDEX($C$13:$Q$13,1,B185-2025)/12)</f>
        <v>1.75292315825481</v>
      </c>
      <c r="BQ185" s="88" t="n">
        <f aca="false">$AO$6*0</f>
        <v>0</v>
      </c>
      <c r="BR185" s="88" t="n">
        <f aca="false">BP185+BR184</f>
        <v>436.013472641291</v>
      </c>
      <c r="BS185" s="88" t="n">
        <f aca="false">BQ185+BS184</f>
        <v>87</v>
      </c>
      <c r="BT185" s="88" t="n">
        <f aca="false">MAX(BT184,BR185-BS185)</f>
        <v>349.013472641291</v>
      </c>
      <c r="BU185" s="88" t="n">
        <f aca="false">BT185-BT184</f>
        <v>1.75292315825482</v>
      </c>
      <c r="BV185" s="88" t="n">
        <f aca="false">IF(B185=2026,INDEX($C$14:$Q$14,1,B185-2025)*$AO$4*C185/MAX(0.0001,12-$AO$3),INDEX($C$14:$Q$14,1,B185-2025)/12)</f>
        <v>1.03966476972354</v>
      </c>
      <c r="BW185" s="88" t="n">
        <f aca="false">$AO$6*0</f>
        <v>0</v>
      </c>
      <c r="BX185" s="88" t="n">
        <f aca="false">BV185+BX184</f>
        <v>258.601094118284</v>
      </c>
      <c r="BY185" s="88" t="n">
        <f aca="false">BW185+BY184</f>
        <v>0</v>
      </c>
      <c r="BZ185" s="88" t="n">
        <f aca="false">MAX(BZ184,BX185-BY185)</f>
        <v>258.601094118284</v>
      </c>
      <c r="CA185" s="88" t="n">
        <f aca="false">BZ185-BZ184</f>
        <v>1.03966476972357</v>
      </c>
      <c r="CB185" s="88" t="n">
        <f aca="false">IF(B185=2026,INDEX($C$15:$Q$15,1,B185-2025)*$AO$4*C185/MAX(0.0001,12-$AO$3),INDEX($C$15:$Q$15,1,B185-2025)/12)</f>
        <v>1.70456665733744</v>
      </c>
      <c r="CC185" s="88" t="n">
        <f aca="false">$AO$6*0</f>
        <v>0</v>
      </c>
      <c r="CD185" s="88" t="n">
        <f aca="false">CB185+CD184</f>
        <v>423.985514775325</v>
      </c>
      <c r="CE185" s="88" t="n">
        <f aca="false">CC185+CE184</f>
        <v>88.0000000000001</v>
      </c>
      <c r="CF185" s="88" t="n">
        <f aca="false">MAX(CF184,CD185-CE185)</f>
        <v>335.985514775325</v>
      </c>
      <c r="CG185" s="88" t="n">
        <f aca="false">CF185-CF184</f>
        <v>1.70456665733747</v>
      </c>
      <c r="CH185" s="88" t="n">
        <f aca="false">IF(B185=2026,INDEX($C$16:$Q$16,1,B185-2025)*$AO$4*C185/MAX(0.0001,12-$AO$3),INDEX($C$16:$Q$16,1,B185-2025)/12)</f>
        <v>1.3479374630718</v>
      </c>
      <c r="CI185" s="88" t="n">
        <f aca="false">$AO$6*0</f>
        <v>0</v>
      </c>
      <c r="CJ185" s="88" t="n">
        <f aca="false">CH185+CJ184</f>
        <v>335.279325513821</v>
      </c>
      <c r="CK185" s="88" t="n">
        <f aca="false">CI185+CK184</f>
        <v>70</v>
      </c>
      <c r="CL185" s="88" t="n">
        <f aca="false">MAX(CL184,CJ185-CK185)</f>
        <v>265.279325513821</v>
      </c>
      <c r="CM185" s="88" t="n">
        <f aca="false">CL185-CL184</f>
        <v>1.34793746307179</v>
      </c>
      <c r="CN185" s="88" t="n">
        <f aca="false">IF(B185=2026,INDEX($C$17:$Q$17,1,B185-2025)*$AO$4*C185/MAX(0.0001,12-$AO$3),INDEX($C$17:$Q$17,1,B185-2025)/12)</f>
        <v>5.86927029884629</v>
      </c>
      <c r="CO185" s="88" t="n">
        <f aca="false">$AO$6*0</f>
        <v>0</v>
      </c>
      <c r="CP185" s="88" t="n">
        <f aca="false">CN185+CP184</f>
        <v>1459.89338598171</v>
      </c>
      <c r="CQ185" s="88" t="n">
        <f aca="false">CO185+CQ184</f>
        <v>221</v>
      </c>
      <c r="CR185" s="88" t="n">
        <f aca="false">MAX(CR184,CP185-CQ185)</f>
        <v>1238.89338598171</v>
      </c>
      <c r="CS185" s="88" t="n">
        <f aca="false">CR185-CR184</f>
        <v>5.86927029884623</v>
      </c>
      <c r="CT185" s="88" t="n">
        <f aca="false">IF(B185=2026,INDEX($C$18:$Q$18,1,B185-2025)*$AO$4*C185/MAX(0.0001,12-$AO$3),INDEX($C$18:$Q$18,1,B185-2025)/12)</f>
        <v>1.2210016481637</v>
      </c>
      <c r="CU185" s="88" t="n">
        <f aca="false">$AO$6*0</f>
        <v>0</v>
      </c>
      <c r="CV185" s="88" t="n">
        <f aca="false">CT185+CV184</f>
        <v>303.705936115659</v>
      </c>
      <c r="CW185" s="88" t="n">
        <f aca="false">CU185+CW184</f>
        <v>11</v>
      </c>
      <c r="CX185" s="88" t="n">
        <f aca="false">MAX(CX184,CV185-CW185)</f>
        <v>292.705936115659</v>
      </c>
      <c r="CY185" s="88" t="n">
        <f aca="false">CX185-CX184</f>
        <v>1.22100164816368</v>
      </c>
      <c r="CZ185" s="88" t="n">
        <f aca="false">IF(B185=2026,INDEX($C$19:$Q$19,1,B185-2025)*$AO$4*C185/MAX(0.0001,12-$AO$3),INDEX($C$19:$Q$19,1,B185-2025)/12)</f>
        <v>1.20891252293435</v>
      </c>
      <c r="DA185" s="88" t="n">
        <f aca="false">$AO$6*0</f>
        <v>0</v>
      </c>
      <c r="DB185" s="88" t="n">
        <f aca="false">CZ185+DB184</f>
        <v>300.698946649167</v>
      </c>
      <c r="DC185" s="88" t="n">
        <f aca="false">DA185+DC184</f>
        <v>226</v>
      </c>
      <c r="DD185" s="88" t="n">
        <f aca="false">MAX(DD184,DB185-DC185)</f>
        <v>74.6989466491676</v>
      </c>
      <c r="DE185" s="88" t="n">
        <f aca="false">DD185-DD184</f>
        <v>1.20891252293433</v>
      </c>
      <c r="DF185" s="88" t="n">
        <f aca="false">IF(B185=2026,INDEX($C$20:$Q$20,1,B185-2025)*$AO$4*C185/MAX(0.0001,12-$AO$3),INDEX($C$20:$Q$20,1,B185-2025)/12)</f>
        <v>0.985263706191498</v>
      </c>
      <c r="DG185" s="88" t="n">
        <f aca="false">$AO$6*0</f>
        <v>0</v>
      </c>
      <c r="DH185" s="88" t="n">
        <f aca="false">DF185+DH184</f>
        <v>245.069641519071</v>
      </c>
      <c r="DI185" s="88" t="n">
        <f aca="false">DG185+DI184</f>
        <v>0</v>
      </c>
      <c r="DJ185" s="88" t="n">
        <f aca="false">MAX(DJ184,DH185-DI185)</f>
        <v>245.069641519071</v>
      </c>
      <c r="DK185" s="88" t="n">
        <f aca="false">DJ185-DJ184</f>
        <v>0.985263706191489</v>
      </c>
      <c r="DL185" s="88" t="n">
        <f aca="false">IF(B185=2026,INDEX($C$21:$Q$21,1,B185-2025)*$AO$4*C185/MAX(0.0001,12-$AO$3),INDEX($C$21:$Q$21,1,B185-2025)/12)</f>
        <v>0.689080138072581</v>
      </c>
      <c r="DM185" s="88" t="n">
        <f aca="false">$AO$6*0</f>
        <v>0</v>
      </c>
      <c r="DN185" s="88" t="n">
        <f aca="false">DL185+DN184</f>
        <v>171.398399590025</v>
      </c>
      <c r="DO185" s="88" t="n">
        <f aca="false">DM185+DO184</f>
        <v>100</v>
      </c>
      <c r="DP185" s="88" t="n">
        <f aca="false">MAX(DP184,DN185-DO185)</f>
        <v>71.3983995900251</v>
      </c>
      <c r="DQ185" s="88" t="n">
        <f aca="false">DP185-DP184</f>
        <v>0.689080138072569</v>
      </c>
      <c r="DR185" s="88" t="n">
        <f aca="false">IF(B185=2026,INDEX($C$22:$Q$22,1,B185-2025)*$AO$4*C185/MAX(0.0001,12-$AO$3),INDEX($C$22:$Q$22,1,B185-2025)/12)</f>
        <v>0.537966072705787</v>
      </c>
      <c r="DS185" s="88" t="n">
        <f aca="false">$AO$6*0</f>
        <v>0</v>
      </c>
      <c r="DT185" s="88" t="n">
        <f aca="false">DR185+DT184</f>
        <v>133.811031258879</v>
      </c>
      <c r="DU185" s="88" t="n">
        <f aca="false">DS185+DU184</f>
        <v>29</v>
      </c>
      <c r="DV185" s="88" t="n">
        <f aca="false">MAX(DV184,DT185-DU185)</f>
        <v>104.811031258879</v>
      </c>
      <c r="DW185" s="88" t="n">
        <f aca="false">DV185-DV184</f>
        <v>0.537966072705785</v>
      </c>
      <c r="DX185" s="88" t="n">
        <f aca="false">IF(B185=2026,INDEX($C$23:$Q$23,1,B185-2025)*$AO$4*C185/MAX(0.0001,12-$AO$3),INDEX($C$23:$Q$23,1,B185-2025)/12)</f>
        <v>0.864372453898063</v>
      </c>
      <c r="DY185" s="88" t="n">
        <f aca="false">$AO$6*0</f>
        <v>0</v>
      </c>
      <c r="DZ185" s="88" t="n">
        <f aca="false">DX185+DZ184</f>
        <v>214.999746854155</v>
      </c>
      <c r="EA185" s="88" t="n">
        <f aca="false">DY185+EA184</f>
        <v>121</v>
      </c>
      <c r="EB185" s="88" t="n">
        <f aca="false">MAX(EB184,DZ185-EA185)</f>
        <v>93.9997468541549</v>
      </c>
      <c r="EC185" s="88" t="n">
        <f aca="false">EB185-EB184</f>
        <v>0.864372453898056</v>
      </c>
      <c r="ED185" s="88" t="n">
        <f aca="false">IF(B185=2026,INDEX($C$24:$Q$24,1,B185-2025)*$AO$4*C185/MAX(0.0001,12-$AO$3),INDEX($C$24:$Q$24,1,B185-2025)/12)</f>
        <v>0.531921510091116</v>
      </c>
      <c r="EE185" s="88" t="n">
        <f aca="false">$AO$6*0</f>
        <v>0</v>
      </c>
      <c r="EF185" s="88" t="n">
        <f aca="false">ED185+EF184</f>
        <v>132.307536525633</v>
      </c>
      <c r="EG185" s="88" t="n">
        <f aca="false">EE185+EG184</f>
        <v>0</v>
      </c>
      <c r="EH185" s="88" t="n">
        <f aca="false">MAX(EH184,EF185-EG185)</f>
        <v>132.307536525633</v>
      </c>
      <c r="EI185" s="88" t="n">
        <f aca="false">EH185-EH184</f>
        <v>0.531921510091109</v>
      </c>
      <c r="EJ185" s="88" t="n">
        <f aca="false">IF(B185=2026,INDEX($C$25:$Q$25,1,B185-2025)*$AO$4*C185/MAX(0.0001,12-$AO$3),INDEX($C$25:$Q$25,1,B185-2025)/12)</f>
        <v>0.676991012843238</v>
      </c>
      <c r="EK185" s="88" t="n">
        <f aca="false">$AO$6*0</f>
        <v>0</v>
      </c>
      <c r="EL185" s="88" t="n">
        <f aca="false">EJ185+EL184</f>
        <v>168.391410123533</v>
      </c>
      <c r="EM185" s="88" t="n">
        <f aca="false">EK185+EM184</f>
        <v>14</v>
      </c>
      <c r="EN185" s="88" t="n">
        <f aca="false">MAX(EN184,EL185-EM185)</f>
        <v>154.391410123533</v>
      </c>
      <c r="EO185" s="88" t="n">
        <f aca="false">EN185-EN184</f>
        <v>0.676991012843246</v>
      </c>
      <c r="EP185" s="88" t="n">
        <f aca="false">IF(B185=2026,INDEX($C$26:$Q$26,1,B185-2025)*$AO$4*C185/MAX(0.0001,12-$AO$3),INDEX($C$26:$Q$26,1,B185-2025)/12)</f>
        <v>0.973174580962155</v>
      </c>
      <c r="EQ185" s="88" t="n">
        <f aca="false">$AO$6*0</f>
        <v>0</v>
      </c>
      <c r="ER185" s="88" t="n">
        <f aca="false">EP185+ER184</f>
        <v>242.062652052578</v>
      </c>
      <c r="ES185" s="88" t="n">
        <f aca="false">EQ185+ES184</f>
        <v>4</v>
      </c>
      <c r="ET185" s="88" t="n">
        <f aca="false">MAX(ET184,ER185-ES185)</f>
        <v>238.062652052578</v>
      </c>
      <c r="EU185" s="88" t="n">
        <f aca="false">ET185-ET184</f>
        <v>0.973174580962166</v>
      </c>
      <c r="EV185" s="88" t="n">
        <f aca="false">IF(B185=2026,INDEX($C$27:$Q$27,1,B185-2025)*$AO$4*C185/MAX(0.0001,12-$AO$3),INDEX($C$27:$Q$27,1,B185-2025)/12)</f>
        <v>2.41782504586871</v>
      </c>
      <c r="EW185" s="88" t="n">
        <f aca="false">$AO$6*0</f>
        <v>0</v>
      </c>
      <c r="EX185" s="88" t="n">
        <f aca="false">EV185+EX184</f>
        <v>601.397893298335</v>
      </c>
      <c r="EY185" s="88" t="n">
        <f aca="false">EW185+EY184</f>
        <v>391</v>
      </c>
      <c r="EZ185" s="88" t="n">
        <f aca="false">MAX(EZ184,EX185-EY185)</f>
        <v>210.397893298335</v>
      </c>
      <c r="FA185" s="88" t="n">
        <f aca="false">EZ185-EZ184</f>
        <v>2.41782504586865</v>
      </c>
      <c r="FB185" s="88" t="n">
        <f aca="false">IF(B185=2026,INDEX($C$28:$Q$28,1,B185-2025)*$AO$4*C185/MAX(0.0001,12-$AO$3),INDEX($C$28:$Q$28,1,B185-2025)/12)</f>
        <v>12.6573141151227</v>
      </c>
      <c r="FC185" s="88" t="n">
        <f aca="false">$AO$6*0</f>
        <v>0</v>
      </c>
      <c r="FD185" s="88" t="n">
        <f aca="false">FB185+FD184</f>
        <v>3148.31797141678</v>
      </c>
      <c r="FE185" s="88" t="n">
        <f aca="false">FC185+FE184</f>
        <v>169</v>
      </c>
      <c r="FF185" s="88" t="n">
        <f aca="false">MAX(FF184,FD185-FE185)</f>
        <v>2979.31797141678</v>
      </c>
      <c r="FG185" s="88" t="n">
        <f aca="false">FF185-FF184</f>
        <v>12.6573141151225</v>
      </c>
    </row>
    <row r="186" customFormat="false" ht="15" hidden="false" customHeight="false" outlineLevel="0" collapsed="false">
      <c r="A186" s="0" t="n">
        <v>146</v>
      </c>
      <c r="B186" s="88" t="n">
        <f aca="false">2026+INT(A186/12)</f>
        <v>2038</v>
      </c>
      <c r="C186" s="88" t="n">
        <f aca="false">MAX(0,MIN(1,A186+1-$AO$3))</f>
        <v>1</v>
      </c>
      <c r="D186" s="88" t="n">
        <f aca="false">IF((A186+0.5-(0))&lt;$AO$3,0,2026+INT((A186+0.5-(0))/12))</f>
        <v>2038</v>
      </c>
      <c r="E186" s="88" t="n">
        <f aca="false">IF((A186+0.5-($AO$9))&lt;$AO$3,0,2026+INT((A186+0.5-($AO$9))/12))</f>
        <v>2036</v>
      </c>
      <c r="F186" s="88" t="n">
        <f aca="false">IF((A186+0.5-($AO$9+$AO$8))&lt;$AO$3,0,2026+INT((A186+0.5-($AO$9+$AO$8))/12))</f>
        <v>2035</v>
      </c>
      <c r="G186" s="88" t="n">
        <f aca="false">IF((A186+0.5-($AO$9+$AO$8+$AO$7))&lt;$AO$3,0,2026+INT((A186+0.5-($AO$9+$AO$8+$AO$7))/12))</f>
        <v>2035</v>
      </c>
      <c r="H186" s="88" t="n">
        <f aca="false">IF(B186=2026,INDEX($C$3:$Q$3,1,B186-2025)*$AO$4*C186/MAX(0.0001,12-$AO$3),INDEX($C$3:$Q$3,1,B186-2025)/12)</f>
        <v>129.583333333333</v>
      </c>
      <c r="I186" s="88" t="n">
        <f aca="false">$AO$6*0</f>
        <v>0</v>
      </c>
      <c r="J186" s="88" t="n">
        <f aca="false">H186+J185</f>
        <v>32361.5034246576</v>
      </c>
      <c r="K186" s="88" t="n">
        <f aca="false">I186+K185</f>
        <v>8695.00000000001</v>
      </c>
      <c r="L186" s="88" t="n">
        <f aca="false">MAX(L185,J186-K186)</f>
        <v>23666.5034246576</v>
      </c>
      <c r="M186" s="88" t="n">
        <f aca="false">L186-L185</f>
        <v>129.583333333328</v>
      </c>
      <c r="N186" s="88" t="n">
        <f aca="false">IF(B186=2026,INDEX($C$4:$Q$4,1,B186-2025)*$AO$4*C186/MAX(0.0001,12-$AO$3),INDEX($C$4:$Q$4,1,B186-2025)/12)</f>
        <v>3.9285593164349</v>
      </c>
      <c r="O186" s="88" t="n">
        <f aca="false">$AO$6*0</f>
        <v>0</v>
      </c>
      <c r="P186" s="88" t="n">
        <f aca="false">N186+P185</f>
        <v>981.099054195073</v>
      </c>
      <c r="Q186" s="88" t="n">
        <f aca="false">O186+Q185</f>
        <v>398</v>
      </c>
      <c r="R186" s="88" t="n">
        <f aca="false">MAX(R185,P186-Q186)</f>
        <v>583.099054195073</v>
      </c>
      <c r="S186" s="88" t="n">
        <f aca="false">R186-R185</f>
        <v>3.92855931643487</v>
      </c>
      <c r="T186" s="88" t="n">
        <f aca="false">IF(B186=2026,INDEX($C$5:$Q$5,1,B186-2025)*$AO$4*C186/MAX(0.0001,12-$AO$3),INDEX($C$5:$Q$5,1,B186-2025)/12)</f>
        <v>15.9670831585289</v>
      </c>
      <c r="U186" s="88" t="n">
        <f aca="false">$AO$6*0</f>
        <v>0</v>
      </c>
      <c r="V186" s="88" t="n">
        <f aca="false">T186+V185</f>
        <v>3987.54070469343</v>
      </c>
      <c r="W186" s="88" t="n">
        <f aca="false">U186+W185</f>
        <v>1115</v>
      </c>
      <c r="X186" s="88" t="n">
        <f aca="false">MAX(X185,V186-W186)</f>
        <v>2872.54070469343</v>
      </c>
      <c r="Y186" s="88" t="n">
        <f aca="false">X186-X185</f>
        <v>15.967083158529</v>
      </c>
      <c r="Z186" s="88" t="n">
        <f aca="false">IF(B186=2026,INDEX($C$6:$Q$6,1,B186-2025)*$AO$4*C186/MAX(0.0001,12-$AO$3),INDEX($C$6:$Q$6,1,B186-2025)/12)</f>
        <v>18.9436461953513</v>
      </c>
      <c r="AA186" s="88" t="n">
        <f aca="false">$AO$6*0</f>
        <v>0</v>
      </c>
      <c r="AB186" s="88" t="n">
        <f aca="false">Z186+AB185</f>
        <v>4730.89289692371</v>
      </c>
      <c r="AC186" s="88" t="n">
        <f aca="false">AA186+AC185</f>
        <v>2194</v>
      </c>
      <c r="AD186" s="88" t="n">
        <f aca="false">MAX(AD185,AB186-AC186)</f>
        <v>2536.89289692371</v>
      </c>
      <c r="AE186" s="88" t="n">
        <f aca="false">AD186-AD185</f>
        <v>18.943646195351</v>
      </c>
      <c r="AF186" s="88" t="n">
        <f aca="false">IF(B186=2026,INDEX($C$7:$Q$7,1,B186-2025)*$AO$4*C186/MAX(0.0001,12-$AO$3),INDEX($C$7:$Q$7,1,B186-2025)/12)</f>
        <v>16.4556786026022</v>
      </c>
      <c r="AG186" s="88" t="n">
        <f aca="false">$AO$6*0</f>
        <v>0</v>
      </c>
      <c r="AH186" s="88" t="n">
        <f aca="false">AF186+AH185</f>
        <v>4109.56012439749</v>
      </c>
      <c r="AI186" s="88" t="n">
        <f aca="false">AG186+AI185</f>
        <v>826</v>
      </c>
      <c r="AJ186" s="88" t="n">
        <f aca="false">MAX(AJ185,AH186-AI186)</f>
        <v>3283.56012439749</v>
      </c>
      <c r="AK186" s="88" t="n">
        <f aca="false">AJ186-AJ185</f>
        <v>16.4556786026019</v>
      </c>
      <c r="AL186" s="88" t="n">
        <f aca="false">IF(B186=2026,INDEX($C$8:$Q$8,1,B186-2025)*$AO$4*C186/MAX(0.0001,12-$AO$3),INDEX($C$8:$Q$8,1,B186-2025)/12)</f>
        <v>4.1625092528236</v>
      </c>
      <c r="AM186" s="88" t="n">
        <f aca="false">$AO$6*0</f>
        <v>0</v>
      </c>
      <c r="AN186" s="88" t="n">
        <f aca="false">AL186+AN185</f>
        <v>1039.52455902575</v>
      </c>
      <c r="AO186" s="88" t="n">
        <f aca="false">AM186+AO185</f>
        <v>66</v>
      </c>
      <c r="AP186" s="88" t="n">
        <f aca="false">MAX(AP185,AN186-AO186)</f>
        <v>973.524559025746</v>
      </c>
      <c r="AQ186" s="88" t="n">
        <f aca="false">AP186-AP185</f>
        <v>4.16250925282361</v>
      </c>
      <c r="AR186" s="88" t="n">
        <f aca="false">IF(B186=2026,INDEX($C$9:$Q$9,1,B186-2025)*$AO$4*C186/MAX(0.0001,12-$AO$3),INDEX($C$9:$Q$9,1,B186-2025)/12)</f>
        <v>17.7487019048737</v>
      </c>
      <c r="AS186" s="88" t="n">
        <f aca="false">$AO$6*0</f>
        <v>0</v>
      </c>
      <c r="AT186" s="88" t="n">
        <f aca="false">AR186+AT185</f>
        <v>4432.47339532704</v>
      </c>
      <c r="AU186" s="88" t="n">
        <f aca="false">AS186+AU185</f>
        <v>1810</v>
      </c>
      <c r="AV186" s="88" t="n">
        <f aca="false">MAX(AV185,AT186-AU186)</f>
        <v>2622.47339532704</v>
      </c>
      <c r="AW186" s="88" t="n">
        <f aca="false">AV186-AV185</f>
        <v>17.748701904874</v>
      </c>
      <c r="AX186" s="88" t="n">
        <f aca="false">IF(B186=2026,INDEX($C$10:$Q$10,1,B186-2025)*$AO$4*C186/MAX(0.0001,12-$AO$3),INDEX($C$10:$Q$10,1,B186-2025)/12)</f>
        <v>2.05875944022058</v>
      </c>
      <c r="AY186" s="88" t="n">
        <f aca="false">$AO$6*0</f>
        <v>0</v>
      </c>
      <c r="AZ186" s="88" t="n">
        <f aca="false">AX186+AZ185</f>
        <v>514.144442509923</v>
      </c>
      <c r="BA186" s="88" t="n">
        <f aca="false">AY186+BA185</f>
        <v>50</v>
      </c>
      <c r="BB186" s="88" t="n">
        <f aca="false">MAX(BB185,AZ186-BA186)</f>
        <v>464.144442509923</v>
      </c>
      <c r="BC186" s="88" t="n">
        <f aca="false">BB186-BB185</f>
        <v>2.05875944022057</v>
      </c>
      <c r="BD186" s="88" t="n">
        <f aca="false">IF(B186=2026,INDEX($C$11:$Q$11,1,B186-2025)*$AO$4*C186/MAX(0.0001,12-$AO$3),INDEX($C$11:$Q$11,1,B186-2025)/12)</f>
        <v>10.2308106797675</v>
      </c>
      <c r="BE186" s="88" t="n">
        <f aca="false">$AO$6*0</f>
        <v>0</v>
      </c>
      <c r="BF186" s="88" t="n">
        <f aca="false">BD186+BF185</f>
        <v>2554.99226894136</v>
      </c>
      <c r="BG186" s="88" t="n">
        <f aca="false">BE186+BG185</f>
        <v>240</v>
      </c>
      <c r="BH186" s="88" t="n">
        <f aca="false">MAX(BH185,BF186-BG186)</f>
        <v>2314.99226894136</v>
      </c>
      <c r="BI186" s="88" t="n">
        <f aca="false">BH186-BH185</f>
        <v>10.2308106797673</v>
      </c>
      <c r="BJ186" s="88" t="n">
        <f aca="false">IF(B186=2026,INDEX($C$12:$Q$12,1,B186-2025)*$AO$4*C186/MAX(0.0001,12-$AO$3),INDEX($C$12:$Q$12,1,B186-2025)/12)</f>
        <v>5.60939962864295</v>
      </c>
      <c r="BK186" s="88" t="n">
        <f aca="false">$AO$6*0</f>
        <v>0</v>
      </c>
      <c r="BL186" s="88" t="n">
        <f aca="false">BJ186+BL185</f>
        <v>1400.86383505545</v>
      </c>
      <c r="BM186" s="88" t="n">
        <f aca="false">BK186+BM185</f>
        <v>465</v>
      </c>
      <c r="BN186" s="88" t="n">
        <f aca="false">MAX(BN185,BL186-BM186)</f>
        <v>935.86383505545</v>
      </c>
      <c r="BO186" s="88" t="n">
        <f aca="false">BN186-BN185</f>
        <v>5.60939962864291</v>
      </c>
      <c r="BP186" s="88" t="n">
        <f aca="false">IF(B186=2026,INDEX($C$13:$Q$13,1,B186-2025)*$AO$4*C186/MAX(0.0001,12-$AO$3),INDEX($C$13:$Q$13,1,B186-2025)/12)</f>
        <v>1.75292315825481</v>
      </c>
      <c r="BQ186" s="88" t="n">
        <f aca="false">$AO$6*0</f>
        <v>0</v>
      </c>
      <c r="BR186" s="88" t="n">
        <f aca="false">BP186+BR185</f>
        <v>437.766395799546</v>
      </c>
      <c r="BS186" s="88" t="n">
        <f aca="false">BQ186+BS185</f>
        <v>87</v>
      </c>
      <c r="BT186" s="88" t="n">
        <f aca="false">MAX(BT185,BR186-BS186)</f>
        <v>350.766395799546</v>
      </c>
      <c r="BU186" s="88" t="n">
        <f aca="false">BT186-BT185</f>
        <v>1.75292315825482</v>
      </c>
      <c r="BV186" s="88" t="n">
        <f aca="false">IF(B186=2026,INDEX($C$14:$Q$14,1,B186-2025)*$AO$4*C186/MAX(0.0001,12-$AO$3),INDEX($C$14:$Q$14,1,B186-2025)/12)</f>
        <v>1.03966476972354</v>
      </c>
      <c r="BW186" s="88" t="n">
        <f aca="false">$AO$6*0</f>
        <v>0</v>
      </c>
      <c r="BX186" s="88" t="n">
        <f aca="false">BV186+BX185</f>
        <v>259.640758888007</v>
      </c>
      <c r="BY186" s="88" t="n">
        <f aca="false">BW186+BY185</f>
        <v>0</v>
      </c>
      <c r="BZ186" s="88" t="n">
        <f aca="false">MAX(BZ185,BX186-BY186)</f>
        <v>259.640758888007</v>
      </c>
      <c r="CA186" s="88" t="n">
        <f aca="false">BZ186-BZ185</f>
        <v>1.03966476972357</v>
      </c>
      <c r="CB186" s="88" t="n">
        <f aca="false">IF(B186=2026,INDEX($C$15:$Q$15,1,B186-2025)*$AO$4*C186/MAX(0.0001,12-$AO$3),INDEX($C$15:$Q$15,1,B186-2025)/12)</f>
        <v>1.70456665733744</v>
      </c>
      <c r="CC186" s="88" t="n">
        <f aca="false">$AO$6*0</f>
        <v>0</v>
      </c>
      <c r="CD186" s="88" t="n">
        <f aca="false">CB186+CD185</f>
        <v>425.690081432662</v>
      </c>
      <c r="CE186" s="88" t="n">
        <f aca="false">CC186+CE185</f>
        <v>88.0000000000001</v>
      </c>
      <c r="CF186" s="88" t="n">
        <f aca="false">MAX(CF185,CD186-CE186)</f>
        <v>337.690081432662</v>
      </c>
      <c r="CG186" s="88" t="n">
        <f aca="false">CF186-CF185</f>
        <v>1.70456665733747</v>
      </c>
      <c r="CH186" s="88" t="n">
        <f aca="false">IF(B186=2026,INDEX($C$16:$Q$16,1,B186-2025)*$AO$4*C186/MAX(0.0001,12-$AO$3),INDEX($C$16:$Q$16,1,B186-2025)/12)</f>
        <v>1.3479374630718</v>
      </c>
      <c r="CI186" s="88" t="n">
        <f aca="false">$AO$6*0</f>
        <v>0</v>
      </c>
      <c r="CJ186" s="88" t="n">
        <f aca="false">CH186+CJ185</f>
        <v>336.627262976892</v>
      </c>
      <c r="CK186" s="88" t="n">
        <f aca="false">CI186+CK185</f>
        <v>70</v>
      </c>
      <c r="CL186" s="88" t="n">
        <f aca="false">MAX(CL185,CJ186-CK186)</f>
        <v>266.627262976892</v>
      </c>
      <c r="CM186" s="88" t="n">
        <f aca="false">CL186-CL185</f>
        <v>1.34793746307179</v>
      </c>
      <c r="CN186" s="88" t="n">
        <f aca="false">IF(B186=2026,INDEX($C$17:$Q$17,1,B186-2025)*$AO$4*C186/MAX(0.0001,12-$AO$3),INDEX($C$17:$Q$17,1,B186-2025)/12)</f>
        <v>5.86927029884629</v>
      </c>
      <c r="CO186" s="88" t="n">
        <f aca="false">$AO$6*0</f>
        <v>0</v>
      </c>
      <c r="CP186" s="88" t="n">
        <f aca="false">CN186+CP185</f>
        <v>1465.76265628056</v>
      </c>
      <c r="CQ186" s="88" t="n">
        <f aca="false">CO186+CQ185</f>
        <v>221</v>
      </c>
      <c r="CR186" s="88" t="n">
        <f aca="false">MAX(CR185,CP186-CQ186)</f>
        <v>1244.76265628056</v>
      </c>
      <c r="CS186" s="88" t="n">
        <f aca="false">CR186-CR185</f>
        <v>5.86927029884623</v>
      </c>
      <c r="CT186" s="88" t="n">
        <f aca="false">IF(B186=2026,INDEX($C$18:$Q$18,1,B186-2025)*$AO$4*C186/MAX(0.0001,12-$AO$3),INDEX($C$18:$Q$18,1,B186-2025)/12)</f>
        <v>1.2210016481637</v>
      </c>
      <c r="CU186" s="88" t="n">
        <f aca="false">$AO$6*0</f>
        <v>0</v>
      </c>
      <c r="CV186" s="88" t="n">
        <f aca="false">CT186+CV185</f>
        <v>304.926937763822</v>
      </c>
      <c r="CW186" s="88" t="n">
        <f aca="false">CU186+CW185</f>
        <v>11</v>
      </c>
      <c r="CX186" s="88" t="n">
        <f aca="false">MAX(CX185,CV186-CW186)</f>
        <v>293.926937763822</v>
      </c>
      <c r="CY186" s="88" t="n">
        <f aca="false">CX186-CX185</f>
        <v>1.22100164816368</v>
      </c>
      <c r="CZ186" s="88" t="n">
        <f aca="false">IF(B186=2026,INDEX($C$19:$Q$19,1,B186-2025)*$AO$4*C186/MAX(0.0001,12-$AO$3),INDEX($C$19:$Q$19,1,B186-2025)/12)</f>
        <v>1.20891252293435</v>
      </c>
      <c r="DA186" s="88" t="n">
        <f aca="false">$AO$6*0</f>
        <v>0</v>
      </c>
      <c r="DB186" s="88" t="n">
        <f aca="false">CZ186+DB185</f>
        <v>301.907859172102</v>
      </c>
      <c r="DC186" s="88" t="n">
        <f aca="false">DA186+DC185</f>
        <v>226</v>
      </c>
      <c r="DD186" s="88" t="n">
        <f aca="false">MAX(DD185,DB186-DC186)</f>
        <v>75.9078591721019</v>
      </c>
      <c r="DE186" s="88" t="n">
        <f aca="false">DD186-DD185</f>
        <v>1.20891252293433</v>
      </c>
      <c r="DF186" s="88" t="n">
        <f aca="false">IF(B186=2026,INDEX($C$20:$Q$20,1,B186-2025)*$AO$4*C186/MAX(0.0001,12-$AO$3),INDEX($C$20:$Q$20,1,B186-2025)/12)</f>
        <v>0.985263706191498</v>
      </c>
      <c r="DG186" s="88" t="n">
        <f aca="false">$AO$6*0</f>
        <v>0</v>
      </c>
      <c r="DH186" s="88" t="n">
        <f aca="false">DF186+DH185</f>
        <v>246.054905225263</v>
      </c>
      <c r="DI186" s="88" t="n">
        <f aca="false">DG186+DI185</f>
        <v>0</v>
      </c>
      <c r="DJ186" s="88" t="n">
        <f aca="false">MAX(DJ185,DH186-DI186)</f>
        <v>246.054905225263</v>
      </c>
      <c r="DK186" s="88" t="n">
        <f aca="false">DJ186-DJ185</f>
        <v>0.985263706191489</v>
      </c>
      <c r="DL186" s="88" t="n">
        <f aca="false">IF(B186=2026,INDEX($C$21:$Q$21,1,B186-2025)*$AO$4*C186/MAX(0.0001,12-$AO$3),INDEX($C$21:$Q$21,1,B186-2025)/12)</f>
        <v>0.689080138072581</v>
      </c>
      <c r="DM186" s="88" t="n">
        <f aca="false">$AO$6*0</f>
        <v>0</v>
      </c>
      <c r="DN186" s="88" t="n">
        <f aca="false">DL186+DN185</f>
        <v>172.087479728098</v>
      </c>
      <c r="DO186" s="88" t="n">
        <f aca="false">DM186+DO185</f>
        <v>100</v>
      </c>
      <c r="DP186" s="88" t="n">
        <f aca="false">MAX(DP185,DN186-DO186)</f>
        <v>72.0874797280977</v>
      </c>
      <c r="DQ186" s="88" t="n">
        <f aca="false">DP186-DP185</f>
        <v>0.689080138072569</v>
      </c>
      <c r="DR186" s="88" t="n">
        <f aca="false">IF(B186=2026,INDEX($C$22:$Q$22,1,B186-2025)*$AO$4*C186/MAX(0.0001,12-$AO$3),INDEX($C$22:$Q$22,1,B186-2025)/12)</f>
        <v>0.537966072705787</v>
      </c>
      <c r="DS186" s="88" t="n">
        <f aca="false">$AO$6*0</f>
        <v>0</v>
      </c>
      <c r="DT186" s="88" t="n">
        <f aca="false">DR186+DT185</f>
        <v>134.348997331585</v>
      </c>
      <c r="DU186" s="88" t="n">
        <f aca="false">DS186+DU185</f>
        <v>29</v>
      </c>
      <c r="DV186" s="88" t="n">
        <f aca="false">MAX(DV185,DT186-DU186)</f>
        <v>105.348997331585</v>
      </c>
      <c r="DW186" s="88" t="n">
        <f aca="false">DV186-DV185</f>
        <v>0.537966072705785</v>
      </c>
      <c r="DX186" s="88" t="n">
        <f aca="false">IF(B186=2026,INDEX($C$23:$Q$23,1,B186-2025)*$AO$4*C186/MAX(0.0001,12-$AO$3),INDEX($C$23:$Q$23,1,B186-2025)/12)</f>
        <v>0.864372453898063</v>
      </c>
      <c r="DY186" s="88" t="n">
        <f aca="false">$AO$6*0</f>
        <v>0</v>
      </c>
      <c r="DZ186" s="88" t="n">
        <f aca="false">DX186+DZ185</f>
        <v>215.864119308053</v>
      </c>
      <c r="EA186" s="88" t="n">
        <f aca="false">DY186+EA185</f>
        <v>121</v>
      </c>
      <c r="EB186" s="88" t="n">
        <f aca="false">MAX(EB185,DZ186-EA186)</f>
        <v>94.8641193080529</v>
      </c>
      <c r="EC186" s="88" t="n">
        <f aca="false">EB186-EB185</f>
        <v>0.864372453898056</v>
      </c>
      <c r="ED186" s="88" t="n">
        <f aca="false">IF(B186=2026,INDEX($C$24:$Q$24,1,B186-2025)*$AO$4*C186/MAX(0.0001,12-$AO$3),INDEX($C$24:$Q$24,1,B186-2025)/12)</f>
        <v>0.531921510091116</v>
      </c>
      <c r="EE186" s="88" t="n">
        <f aca="false">$AO$6*0</f>
        <v>0</v>
      </c>
      <c r="EF186" s="88" t="n">
        <f aca="false">ED186+EF185</f>
        <v>132.839458035724</v>
      </c>
      <c r="EG186" s="88" t="n">
        <f aca="false">EE186+EG185</f>
        <v>0</v>
      </c>
      <c r="EH186" s="88" t="n">
        <f aca="false">MAX(EH185,EF186-EG186)</f>
        <v>132.839458035724</v>
      </c>
      <c r="EI186" s="88" t="n">
        <f aca="false">EH186-EH185</f>
        <v>0.531921510091109</v>
      </c>
      <c r="EJ186" s="88" t="n">
        <f aca="false">IF(B186=2026,INDEX($C$25:$Q$25,1,B186-2025)*$AO$4*C186/MAX(0.0001,12-$AO$3),INDEX($C$25:$Q$25,1,B186-2025)/12)</f>
        <v>0.676991012843238</v>
      </c>
      <c r="EK186" s="88" t="n">
        <f aca="false">$AO$6*0</f>
        <v>0</v>
      </c>
      <c r="EL186" s="88" t="n">
        <f aca="false">EJ186+EL185</f>
        <v>169.068401136377</v>
      </c>
      <c r="EM186" s="88" t="n">
        <f aca="false">EK186+EM185</f>
        <v>14</v>
      </c>
      <c r="EN186" s="88" t="n">
        <f aca="false">MAX(EN185,EL186-EM186)</f>
        <v>155.068401136377</v>
      </c>
      <c r="EO186" s="88" t="n">
        <f aca="false">EN186-EN185</f>
        <v>0.676991012843246</v>
      </c>
      <c r="EP186" s="88" t="n">
        <f aca="false">IF(B186=2026,INDEX($C$26:$Q$26,1,B186-2025)*$AO$4*C186/MAX(0.0001,12-$AO$3),INDEX($C$26:$Q$26,1,B186-2025)/12)</f>
        <v>0.973174580962155</v>
      </c>
      <c r="EQ186" s="88" t="n">
        <f aca="false">$AO$6*0</f>
        <v>0</v>
      </c>
      <c r="ER186" s="88" t="n">
        <f aca="false">EP186+ER185</f>
        <v>243.035826633541</v>
      </c>
      <c r="ES186" s="88" t="n">
        <f aca="false">EQ186+ES185</f>
        <v>4</v>
      </c>
      <c r="ET186" s="88" t="n">
        <f aca="false">MAX(ET185,ER186-ES186)</f>
        <v>239.035826633541</v>
      </c>
      <c r="EU186" s="88" t="n">
        <f aca="false">ET186-ET185</f>
        <v>0.973174580962166</v>
      </c>
      <c r="EV186" s="88" t="n">
        <f aca="false">IF(B186=2026,INDEX($C$27:$Q$27,1,B186-2025)*$AO$4*C186/MAX(0.0001,12-$AO$3),INDEX($C$27:$Q$27,1,B186-2025)/12)</f>
        <v>2.41782504586871</v>
      </c>
      <c r="EW186" s="88" t="n">
        <f aca="false">$AO$6*0</f>
        <v>0</v>
      </c>
      <c r="EX186" s="88" t="n">
        <f aca="false">EV186+EX185</f>
        <v>603.815718344204</v>
      </c>
      <c r="EY186" s="88" t="n">
        <f aca="false">EW186+EY185</f>
        <v>391</v>
      </c>
      <c r="EZ186" s="88" t="n">
        <f aca="false">MAX(EZ185,EX186-EY186)</f>
        <v>212.815718344203</v>
      </c>
      <c r="FA186" s="88" t="n">
        <f aca="false">EZ186-EZ185</f>
        <v>2.41782504586865</v>
      </c>
      <c r="FB186" s="88" t="n">
        <f aca="false">IF(B186=2026,INDEX($C$28:$Q$28,1,B186-2025)*$AO$4*C186/MAX(0.0001,12-$AO$3),INDEX($C$28:$Q$28,1,B186-2025)/12)</f>
        <v>12.6573141151227</v>
      </c>
      <c r="FC186" s="88" t="n">
        <f aca="false">$AO$6*0</f>
        <v>0</v>
      </c>
      <c r="FD186" s="88" t="n">
        <f aca="false">FB186+FD185</f>
        <v>3160.9752855319</v>
      </c>
      <c r="FE186" s="88" t="n">
        <f aca="false">FC186+FE185</f>
        <v>169</v>
      </c>
      <c r="FF186" s="88" t="n">
        <f aca="false">MAX(FF185,FD186-FE186)</f>
        <v>2991.9752855319</v>
      </c>
      <c r="FG186" s="88" t="n">
        <f aca="false">FF186-FF185</f>
        <v>12.6573141151225</v>
      </c>
    </row>
    <row r="187" customFormat="false" ht="15" hidden="false" customHeight="false" outlineLevel="0" collapsed="false">
      <c r="A187" s="0" t="n">
        <v>147</v>
      </c>
      <c r="B187" s="88" t="n">
        <f aca="false">2026+INT(A187/12)</f>
        <v>2038</v>
      </c>
      <c r="C187" s="88" t="n">
        <f aca="false">MAX(0,MIN(1,A187+1-$AO$3))</f>
        <v>1</v>
      </c>
      <c r="D187" s="88" t="n">
        <f aca="false">IF((A187+0.5-(0))&lt;$AO$3,0,2026+INT((A187+0.5-(0))/12))</f>
        <v>2038</v>
      </c>
      <c r="E187" s="88" t="n">
        <f aca="false">IF((A187+0.5-($AO$9))&lt;$AO$3,0,2026+INT((A187+0.5-($AO$9))/12))</f>
        <v>2037</v>
      </c>
      <c r="F187" s="88" t="n">
        <f aca="false">IF((A187+0.5-($AO$9+$AO$8))&lt;$AO$3,0,2026+INT((A187+0.5-($AO$9+$AO$8))/12))</f>
        <v>2035</v>
      </c>
      <c r="G187" s="88" t="n">
        <f aca="false">IF((A187+0.5-($AO$9+$AO$8+$AO$7))&lt;$AO$3,0,2026+INT((A187+0.5-($AO$9+$AO$8+$AO$7))/12))</f>
        <v>2035</v>
      </c>
      <c r="H187" s="88" t="n">
        <f aca="false">IF(B187=2026,INDEX($C$3:$Q$3,1,B187-2025)*$AO$4*C187/MAX(0.0001,12-$AO$3),INDEX($C$3:$Q$3,1,B187-2025)/12)</f>
        <v>129.583333333333</v>
      </c>
      <c r="I187" s="88" t="n">
        <f aca="false">$AO$6*0</f>
        <v>0</v>
      </c>
      <c r="J187" s="88" t="n">
        <f aca="false">H187+J186</f>
        <v>32491.0867579909</v>
      </c>
      <c r="K187" s="88" t="n">
        <f aca="false">I187+K186</f>
        <v>8695.00000000001</v>
      </c>
      <c r="L187" s="88" t="n">
        <f aca="false">MAX(L186,J187-K187)</f>
        <v>23796.0867579909</v>
      </c>
      <c r="M187" s="88" t="n">
        <f aca="false">L187-L186</f>
        <v>129.583333333336</v>
      </c>
      <c r="N187" s="88" t="n">
        <f aca="false">IF(B187=2026,INDEX($C$4:$Q$4,1,B187-2025)*$AO$4*C187/MAX(0.0001,12-$AO$3),INDEX($C$4:$Q$4,1,B187-2025)/12)</f>
        <v>3.9285593164349</v>
      </c>
      <c r="O187" s="88" t="n">
        <f aca="false">$AO$6*0</f>
        <v>0</v>
      </c>
      <c r="P187" s="88" t="n">
        <f aca="false">N187+P186</f>
        <v>985.027613511508</v>
      </c>
      <c r="Q187" s="88" t="n">
        <f aca="false">O187+Q186</f>
        <v>398</v>
      </c>
      <c r="R187" s="88" t="n">
        <f aca="false">MAX(R186,P187-Q187)</f>
        <v>587.027613511508</v>
      </c>
      <c r="S187" s="88" t="n">
        <f aca="false">R187-R186</f>
        <v>3.92855931643487</v>
      </c>
      <c r="T187" s="88" t="n">
        <f aca="false">IF(B187=2026,INDEX($C$5:$Q$5,1,B187-2025)*$AO$4*C187/MAX(0.0001,12-$AO$3),INDEX($C$5:$Q$5,1,B187-2025)/12)</f>
        <v>15.9670831585289</v>
      </c>
      <c r="U187" s="88" t="n">
        <f aca="false">$AO$6*0</f>
        <v>0</v>
      </c>
      <c r="V187" s="88" t="n">
        <f aca="false">T187+V186</f>
        <v>4003.50778785196</v>
      </c>
      <c r="W187" s="88" t="n">
        <f aca="false">U187+W186</f>
        <v>1115</v>
      </c>
      <c r="X187" s="88" t="n">
        <f aca="false">MAX(X186,V187-W187)</f>
        <v>2888.50778785195</v>
      </c>
      <c r="Y187" s="88" t="n">
        <f aca="false">X187-X186</f>
        <v>15.967083158529</v>
      </c>
      <c r="Z187" s="88" t="n">
        <f aca="false">IF(B187=2026,INDEX($C$6:$Q$6,1,B187-2025)*$AO$4*C187/MAX(0.0001,12-$AO$3),INDEX($C$6:$Q$6,1,B187-2025)/12)</f>
        <v>18.9436461953513</v>
      </c>
      <c r="AA187" s="88" t="n">
        <f aca="false">$AO$6*0</f>
        <v>0</v>
      </c>
      <c r="AB187" s="88" t="n">
        <f aca="false">Z187+AB186</f>
        <v>4749.83654311906</v>
      </c>
      <c r="AC187" s="88" t="n">
        <f aca="false">AA187+AC186</f>
        <v>2194</v>
      </c>
      <c r="AD187" s="88" t="n">
        <f aca="false">MAX(AD186,AB187-AC187)</f>
        <v>2555.83654311906</v>
      </c>
      <c r="AE187" s="88" t="n">
        <f aca="false">AD187-AD186</f>
        <v>18.943646195351</v>
      </c>
      <c r="AF187" s="88" t="n">
        <f aca="false">IF(B187=2026,INDEX($C$7:$Q$7,1,B187-2025)*$AO$4*C187/MAX(0.0001,12-$AO$3),INDEX($C$7:$Q$7,1,B187-2025)/12)</f>
        <v>16.4556786026022</v>
      </c>
      <c r="AG187" s="88" t="n">
        <f aca="false">$AO$6*0</f>
        <v>0</v>
      </c>
      <c r="AH187" s="88" t="n">
        <f aca="false">AF187+AH186</f>
        <v>4126.01580300009</v>
      </c>
      <c r="AI187" s="88" t="n">
        <f aca="false">AG187+AI186</f>
        <v>826</v>
      </c>
      <c r="AJ187" s="88" t="n">
        <f aca="false">MAX(AJ186,AH187-AI187)</f>
        <v>3300.01580300009</v>
      </c>
      <c r="AK187" s="88" t="n">
        <f aca="false">AJ187-AJ186</f>
        <v>16.4556786026023</v>
      </c>
      <c r="AL187" s="88" t="n">
        <f aca="false">IF(B187=2026,INDEX($C$8:$Q$8,1,B187-2025)*$AO$4*C187/MAX(0.0001,12-$AO$3),INDEX($C$8:$Q$8,1,B187-2025)/12)</f>
        <v>4.1625092528236</v>
      </c>
      <c r="AM187" s="88" t="n">
        <f aca="false">$AO$6*0</f>
        <v>0</v>
      </c>
      <c r="AN187" s="88" t="n">
        <f aca="false">AL187+AN186</f>
        <v>1043.68706827857</v>
      </c>
      <c r="AO187" s="88" t="n">
        <f aca="false">AM187+AO186</f>
        <v>66</v>
      </c>
      <c r="AP187" s="88" t="n">
        <f aca="false">MAX(AP186,AN187-AO187)</f>
        <v>977.68706827857</v>
      </c>
      <c r="AQ187" s="88" t="n">
        <f aca="false">AP187-AP186</f>
        <v>4.16250925282361</v>
      </c>
      <c r="AR187" s="88" t="n">
        <f aca="false">IF(B187=2026,INDEX($C$9:$Q$9,1,B187-2025)*$AO$4*C187/MAX(0.0001,12-$AO$3),INDEX($C$9:$Q$9,1,B187-2025)/12)</f>
        <v>17.7487019048737</v>
      </c>
      <c r="AS187" s="88" t="n">
        <f aca="false">$AO$6*0</f>
        <v>0</v>
      </c>
      <c r="AT187" s="88" t="n">
        <f aca="false">AR187+AT186</f>
        <v>4450.22209723192</v>
      </c>
      <c r="AU187" s="88" t="n">
        <f aca="false">AS187+AU186</f>
        <v>1810</v>
      </c>
      <c r="AV187" s="88" t="n">
        <f aca="false">MAX(AV186,AT187-AU187)</f>
        <v>2640.22209723192</v>
      </c>
      <c r="AW187" s="88" t="n">
        <f aca="false">AV187-AV186</f>
        <v>17.748701904874</v>
      </c>
      <c r="AX187" s="88" t="n">
        <f aca="false">IF(B187=2026,INDEX($C$10:$Q$10,1,B187-2025)*$AO$4*C187/MAX(0.0001,12-$AO$3),INDEX($C$10:$Q$10,1,B187-2025)/12)</f>
        <v>2.05875944022058</v>
      </c>
      <c r="AY187" s="88" t="n">
        <f aca="false">$AO$6*0</f>
        <v>0</v>
      </c>
      <c r="AZ187" s="88" t="n">
        <f aca="false">AX187+AZ186</f>
        <v>516.203201950143</v>
      </c>
      <c r="BA187" s="88" t="n">
        <f aca="false">AY187+BA186</f>
        <v>50</v>
      </c>
      <c r="BB187" s="88" t="n">
        <f aca="false">MAX(BB186,AZ187-BA187)</f>
        <v>466.203201950143</v>
      </c>
      <c r="BC187" s="88" t="n">
        <f aca="false">BB187-BB186</f>
        <v>2.05875944022057</v>
      </c>
      <c r="BD187" s="88" t="n">
        <f aca="false">IF(B187=2026,INDEX($C$11:$Q$11,1,B187-2025)*$AO$4*C187/MAX(0.0001,12-$AO$3),INDEX($C$11:$Q$11,1,B187-2025)/12)</f>
        <v>10.2308106797675</v>
      </c>
      <c r="BE187" s="88" t="n">
        <f aca="false">$AO$6*0</f>
        <v>0</v>
      </c>
      <c r="BF187" s="88" t="n">
        <f aca="false">BD187+BF186</f>
        <v>2565.22307962112</v>
      </c>
      <c r="BG187" s="88" t="n">
        <f aca="false">BE187+BG186</f>
        <v>240</v>
      </c>
      <c r="BH187" s="88" t="n">
        <f aca="false">MAX(BH186,BF187-BG187)</f>
        <v>2325.22307962112</v>
      </c>
      <c r="BI187" s="88" t="n">
        <f aca="false">BH187-BH186</f>
        <v>10.2308106797673</v>
      </c>
      <c r="BJ187" s="88" t="n">
        <f aca="false">IF(B187=2026,INDEX($C$12:$Q$12,1,B187-2025)*$AO$4*C187/MAX(0.0001,12-$AO$3),INDEX($C$12:$Q$12,1,B187-2025)/12)</f>
        <v>5.60939962864295</v>
      </c>
      <c r="BK187" s="88" t="n">
        <f aca="false">$AO$6*0</f>
        <v>0</v>
      </c>
      <c r="BL187" s="88" t="n">
        <f aca="false">BJ187+BL186</f>
        <v>1406.47323468409</v>
      </c>
      <c r="BM187" s="88" t="n">
        <f aca="false">BK187+BM186</f>
        <v>465</v>
      </c>
      <c r="BN187" s="88" t="n">
        <f aca="false">MAX(BN186,BL187-BM187)</f>
        <v>941.473234684093</v>
      </c>
      <c r="BO187" s="88" t="n">
        <f aca="false">BN187-BN186</f>
        <v>5.60939962864291</v>
      </c>
      <c r="BP187" s="88" t="n">
        <f aca="false">IF(B187=2026,INDEX($C$13:$Q$13,1,B187-2025)*$AO$4*C187/MAX(0.0001,12-$AO$3),INDEX($C$13:$Q$13,1,B187-2025)/12)</f>
        <v>1.75292315825481</v>
      </c>
      <c r="BQ187" s="88" t="n">
        <f aca="false">$AO$6*0</f>
        <v>0</v>
      </c>
      <c r="BR187" s="88" t="n">
        <f aca="false">BP187+BR186</f>
        <v>439.519318957801</v>
      </c>
      <c r="BS187" s="88" t="n">
        <f aca="false">BQ187+BS186</f>
        <v>87</v>
      </c>
      <c r="BT187" s="88" t="n">
        <f aca="false">MAX(BT186,BR187-BS187)</f>
        <v>352.519318957801</v>
      </c>
      <c r="BU187" s="88" t="n">
        <f aca="false">BT187-BT186</f>
        <v>1.75292315825482</v>
      </c>
      <c r="BV187" s="88" t="n">
        <f aca="false">IF(B187=2026,INDEX($C$14:$Q$14,1,B187-2025)*$AO$4*C187/MAX(0.0001,12-$AO$3),INDEX($C$14:$Q$14,1,B187-2025)/12)</f>
        <v>1.03966476972354</v>
      </c>
      <c r="BW187" s="88" t="n">
        <f aca="false">$AO$6*0</f>
        <v>0</v>
      </c>
      <c r="BX187" s="88" t="n">
        <f aca="false">BV187+BX186</f>
        <v>260.680423657731</v>
      </c>
      <c r="BY187" s="88" t="n">
        <f aca="false">BW187+BY186</f>
        <v>0</v>
      </c>
      <c r="BZ187" s="88" t="n">
        <f aca="false">MAX(BZ186,BX187-BY187)</f>
        <v>260.680423657731</v>
      </c>
      <c r="CA187" s="88" t="n">
        <f aca="false">BZ187-BZ186</f>
        <v>1.03966476972357</v>
      </c>
      <c r="CB187" s="88" t="n">
        <f aca="false">IF(B187=2026,INDEX($C$15:$Q$15,1,B187-2025)*$AO$4*C187/MAX(0.0001,12-$AO$3),INDEX($C$15:$Q$15,1,B187-2025)/12)</f>
        <v>1.70456665733744</v>
      </c>
      <c r="CC187" s="88" t="n">
        <f aca="false">$AO$6*0</f>
        <v>0</v>
      </c>
      <c r="CD187" s="88" t="n">
        <f aca="false">CB187+CD186</f>
        <v>427.39464809</v>
      </c>
      <c r="CE187" s="88" t="n">
        <f aca="false">CC187+CE186</f>
        <v>88.0000000000001</v>
      </c>
      <c r="CF187" s="88" t="n">
        <f aca="false">MAX(CF186,CD187-CE187)</f>
        <v>339.39464809</v>
      </c>
      <c r="CG187" s="88" t="n">
        <f aca="false">CF187-CF186</f>
        <v>1.70456665733747</v>
      </c>
      <c r="CH187" s="88" t="n">
        <f aca="false">IF(B187=2026,INDEX($C$16:$Q$16,1,B187-2025)*$AO$4*C187/MAX(0.0001,12-$AO$3),INDEX($C$16:$Q$16,1,B187-2025)/12)</f>
        <v>1.3479374630718</v>
      </c>
      <c r="CI187" s="88" t="n">
        <f aca="false">$AO$6*0</f>
        <v>0</v>
      </c>
      <c r="CJ187" s="88" t="n">
        <f aca="false">CH187+CJ186</f>
        <v>337.975200439964</v>
      </c>
      <c r="CK187" s="88" t="n">
        <f aca="false">CI187+CK186</f>
        <v>70</v>
      </c>
      <c r="CL187" s="88" t="n">
        <f aca="false">MAX(CL186,CJ187-CK187)</f>
        <v>267.975200439964</v>
      </c>
      <c r="CM187" s="88" t="n">
        <f aca="false">CL187-CL186</f>
        <v>1.34793746307179</v>
      </c>
      <c r="CN187" s="88" t="n">
        <f aca="false">IF(B187=2026,INDEX($C$17:$Q$17,1,B187-2025)*$AO$4*C187/MAX(0.0001,12-$AO$3),INDEX($C$17:$Q$17,1,B187-2025)/12)</f>
        <v>5.86927029884629</v>
      </c>
      <c r="CO187" s="88" t="n">
        <f aca="false">$AO$6*0</f>
        <v>0</v>
      </c>
      <c r="CP187" s="88" t="n">
        <f aca="false">CN187+CP186</f>
        <v>1471.6319265794</v>
      </c>
      <c r="CQ187" s="88" t="n">
        <f aca="false">CO187+CQ186</f>
        <v>221</v>
      </c>
      <c r="CR187" s="88" t="n">
        <f aca="false">MAX(CR186,CP187-CQ187)</f>
        <v>1250.6319265794</v>
      </c>
      <c r="CS187" s="88" t="n">
        <f aca="false">CR187-CR186</f>
        <v>5.86927029884623</v>
      </c>
      <c r="CT187" s="88" t="n">
        <f aca="false">IF(B187=2026,INDEX($C$18:$Q$18,1,B187-2025)*$AO$4*C187/MAX(0.0001,12-$AO$3),INDEX($C$18:$Q$18,1,B187-2025)/12)</f>
        <v>1.2210016481637</v>
      </c>
      <c r="CU187" s="88" t="n">
        <f aca="false">$AO$6*0</f>
        <v>0</v>
      </c>
      <c r="CV187" s="88" t="n">
        <f aca="false">CT187+CV186</f>
        <v>306.147939411986</v>
      </c>
      <c r="CW187" s="88" t="n">
        <f aca="false">CU187+CW186</f>
        <v>11</v>
      </c>
      <c r="CX187" s="88" t="n">
        <f aca="false">MAX(CX186,CV187-CW187)</f>
        <v>295.147939411986</v>
      </c>
      <c r="CY187" s="88" t="n">
        <f aca="false">CX187-CX186</f>
        <v>1.22100164816368</v>
      </c>
      <c r="CZ187" s="88" t="n">
        <f aca="false">IF(B187=2026,INDEX($C$19:$Q$19,1,B187-2025)*$AO$4*C187/MAX(0.0001,12-$AO$3),INDEX($C$19:$Q$19,1,B187-2025)/12)</f>
        <v>1.20891252293435</v>
      </c>
      <c r="DA187" s="88" t="n">
        <f aca="false">$AO$6*0</f>
        <v>0</v>
      </c>
      <c r="DB187" s="88" t="n">
        <f aca="false">CZ187+DB186</f>
        <v>303.116771695036</v>
      </c>
      <c r="DC187" s="88" t="n">
        <f aca="false">DA187+DC186</f>
        <v>226</v>
      </c>
      <c r="DD187" s="88" t="n">
        <f aca="false">MAX(DD186,DB187-DC187)</f>
        <v>77.1167716950363</v>
      </c>
      <c r="DE187" s="88" t="n">
        <f aca="false">DD187-DD186</f>
        <v>1.20891252293433</v>
      </c>
      <c r="DF187" s="88" t="n">
        <f aca="false">IF(B187=2026,INDEX($C$20:$Q$20,1,B187-2025)*$AO$4*C187/MAX(0.0001,12-$AO$3),INDEX($C$20:$Q$20,1,B187-2025)/12)</f>
        <v>0.985263706191498</v>
      </c>
      <c r="DG187" s="88" t="n">
        <f aca="false">$AO$6*0</f>
        <v>0</v>
      </c>
      <c r="DH187" s="88" t="n">
        <f aca="false">DF187+DH186</f>
        <v>247.040168931454</v>
      </c>
      <c r="DI187" s="88" t="n">
        <f aca="false">DG187+DI186</f>
        <v>0</v>
      </c>
      <c r="DJ187" s="88" t="n">
        <f aca="false">MAX(DJ186,DH187-DI187)</f>
        <v>247.040168931454</v>
      </c>
      <c r="DK187" s="88" t="n">
        <f aca="false">DJ187-DJ186</f>
        <v>0.985263706191489</v>
      </c>
      <c r="DL187" s="88" t="n">
        <f aca="false">IF(B187=2026,INDEX($C$21:$Q$21,1,B187-2025)*$AO$4*C187/MAX(0.0001,12-$AO$3),INDEX($C$21:$Q$21,1,B187-2025)/12)</f>
        <v>0.689080138072581</v>
      </c>
      <c r="DM187" s="88" t="n">
        <f aca="false">$AO$6*0</f>
        <v>0</v>
      </c>
      <c r="DN187" s="88" t="n">
        <f aca="false">DL187+DN186</f>
        <v>172.77655986617</v>
      </c>
      <c r="DO187" s="88" t="n">
        <f aca="false">DM187+DO186</f>
        <v>100</v>
      </c>
      <c r="DP187" s="88" t="n">
        <f aca="false">MAX(DP186,DN187-DO187)</f>
        <v>72.7765598661702</v>
      </c>
      <c r="DQ187" s="88" t="n">
        <f aca="false">DP187-DP186</f>
        <v>0.689080138072569</v>
      </c>
      <c r="DR187" s="88" t="n">
        <f aca="false">IF(B187=2026,INDEX($C$22:$Q$22,1,B187-2025)*$AO$4*C187/MAX(0.0001,12-$AO$3),INDEX($C$22:$Q$22,1,B187-2025)/12)</f>
        <v>0.537966072705787</v>
      </c>
      <c r="DS187" s="88" t="n">
        <f aca="false">$AO$6*0</f>
        <v>0</v>
      </c>
      <c r="DT187" s="88" t="n">
        <f aca="false">DR187+DT186</f>
        <v>134.886963404291</v>
      </c>
      <c r="DU187" s="88" t="n">
        <f aca="false">DS187+DU186</f>
        <v>29</v>
      </c>
      <c r="DV187" s="88" t="n">
        <f aca="false">MAX(DV186,DT187-DU187)</f>
        <v>105.886963404291</v>
      </c>
      <c r="DW187" s="88" t="n">
        <f aca="false">DV187-DV186</f>
        <v>0.537966072705785</v>
      </c>
      <c r="DX187" s="88" t="n">
        <f aca="false">IF(B187=2026,INDEX($C$23:$Q$23,1,B187-2025)*$AO$4*C187/MAX(0.0001,12-$AO$3),INDEX($C$23:$Q$23,1,B187-2025)/12)</f>
        <v>0.864372453898063</v>
      </c>
      <c r="DY187" s="88" t="n">
        <f aca="false">$AO$6*0</f>
        <v>0</v>
      </c>
      <c r="DZ187" s="88" t="n">
        <f aca="false">DX187+DZ186</f>
        <v>216.728491761951</v>
      </c>
      <c r="EA187" s="88" t="n">
        <f aca="false">DY187+EA186</f>
        <v>121</v>
      </c>
      <c r="EB187" s="88" t="n">
        <f aca="false">MAX(EB186,DZ187-EA187)</f>
        <v>95.728491761951</v>
      </c>
      <c r="EC187" s="88" t="n">
        <f aca="false">EB187-EB186</f>
        <v>0.864372453898056</v>
      </c>
      <c r="ED187" s="88" t="n">
        <f aca="false">IF(B187=2026,INDEX($C$24:$Q$24,1,B187-2025)*$AO$4*C187/MAX(0.0001,12-$AO$3),INDEX($C$24:$Q$24,1,B187-2025)/12)</f>
        <v>0.531921510091116</v>
      </c>
      <c r="EE187" s="88" t="n">
        <f aca="false">$AO$6*0</f>
        <v>0</v>
      </c>
      <c r="EF187" s="88" t="n">
        <f aca="false">ED187+EF186</f>
        <v>133.371379545816</v>
      </c>
      <c r="EG187" s="88" t="n">
        <f aca="false">EE187+EG186</f>
        <v>0</v>
      </c>
      <c r="EH187" s="88" t="n">
        <f aca="false">MAX(EH186,EF187-EG187)</f>
        <v>133.371379545816</v>
      </c>
      <c r="EI187" s="88" t="n">
        <f aca="false">EH187-EH186</f>
        <v>0.531921510091109</v>
      </c>
      <c r="EJ187" s="88" t="n">
        <f aca="false">IF(B187=2026,INDEX($C$25:$Q$25,1,B187-2025)*$AO$4*C187/MAX(0.0001,12-$AO$3),INDEX($C$25:$Q$25,1,B187-2025)/12)</f>
        <v>0.676991012843238</v>
      </c>
      <c r="EK187" s="88" t="n">
        <f aca="false">$AO$6*0</f>
        <v>0</v>
      </c>
      <c r="EL187" s="88" t="n">
        <f aca="false">EJ187+EL186</f>
        <v>169.74539214922</v>
      </c>
      <c r="EM187" s="88" t="n">
        <f aca="false">EK187+EM186</f>
        <v>14</v>
      </c>
      <c r="EN187" s="88" t="n">
        <f aca="false">MAX(EN186,EL187-EM187)</f>
        <v>155.74539214922</v>
      </c>
      <c r="EO187" s="88" t="n">
        <f aca="false">EN187-EN186</f>
        <v>0.676991012843246</v>
      </c>
      <c r="EP187" s="88" t="n">
        <f aca="false">IF(B187=2026,INDEX($C$26:$Q$26,1,B187-2025)*$AO$4*C187/MAX(0.0001,12-$AO$3),INDEX($C$26:$Q$26,1,B187-2025)/12)</f>
        <v>0.973174580962155</v>
      </c>
      <c r="EQ187" s="88" t="n">
        <f aca="false">$AO$6*0</f>
        <v>0</v>
      </c>
      <c r="ER187" s="88" t="n">
        <f aca="false">EP187+ER186</f>
        <v>244.009001214503</v>
      </c>
      <c r="ES187" s="88" t="n">
        <f aca="false">EQ187+ES186</f>
        <v>4</v>
      </c>
      <c r="ET187" s="88" t="n">
        <f aca="false">MAX(ET186,ER187-ES187)</f>
        <v>240.009001214503</v>
      </c>
      <c r="EU187" s="88" t="n">
        <f aca="false">ET187-ET186</f>
        <v>0.973174580962166</v>
      </c>
      <c r="EV187" s="88" t="n">
        <f aca="false">IF(B187=2026,INDEX($C$27:$Q$27,1,B187-2025)*$AO$4*C187/MAX(0.0001,12-$AO$3),INDEX($C$27:$Q$27,1,B187-2025)/12)</f>
        <v>2.41782504586871</v>
      </c>
      <c r="EW187" s="88" t="n">
        <f aca="false">$AO$6*0</f>
        <v>0</v>
      </c>
      <c r="EX187" s="88" t="n">
        <f aca="false">EV187+EX186</f>
        <v>606.233543390072</v>
      </c>
      <c r="EY187" s="88" t="n">
        <f aca="false">EW187+EY186</f>
        <v>391</v>
      </c>
      <c r="EZ187" s="88" t="n">
        <f aca="false">MAX(EZ186,EX187-EY187)</f>
        <v>215.233543390072</v>
      </c>
      <c r="FA187" s="88" t="n">
        <f aca="false">EZ187-EZ186</f>
        <v>2.41782504586865</v>
      </c>
      <c r="FB187" s="88" t="n">
        <f aca="false">IF(B187=2026,INDEX($C$28:$Q$28,1,B187-2025)*$AO$4*C187/MAX(0.0001,12-$AO$3),INDEX($C$28:$Q$28,1,B187-2025)/12)</f>
        <v>12.6573141151227</v>
      </c>
      <c r="FC187" s="88" t="n">
        <f aca="false">$AO$6*0</f>
        <v>0</v>
      </c>
      <c r="FD187" s="88" t="n">
        <f aca="false">FB187+FD186</f>
        <v>3173.63259964703</v>
      </c>
      <c r="FE187" s="88" t="n">
        <f aca="false">FC187+FE186</f>
        <v>169</v>
      </c>
      <c r="FF187" s="88" t="n">
        <f aca="false">MAX(FF186,FD187-FE187)</f>
        <v>3004.63259964703</v>
      </c>
      <c r="FG187" s="88" t="n">
        <f aca="false">FF187-FF186</f>
        <v>12.6573141151225</v>
      </c>
    </row>
    <row r="188" customFormat="false" ht="15" hidden="false" customHeight="false" outlineLevel="0" collapsed="false">
      <c r="A188" s="0" t="n">
        <v>148</v>
      </c>
      <c r="B188" s="88" t="n">
        <f aca="false">2026+INT(A188/12)</f>
        <v>2038</v>
      </c>
      <c r="C188" s="88" t="n">
        <f aca="false">MAX(0,MIN(1,A188+1-$AO$3))</f>
        <v>1</v>
      </c>
      <c r="D188" s="88" t="n">
        <f aca="false">IF((A188+0.5-(0))&lt;$AO$3,0,2026+INT((A188+0.5-(0))/12))</f>
        <v>2038</v>
      </c>
      <c r="E188" s="88" t="n">
        <f aca="false">IF((A188+0.5-($AO$9))&lt;$AO$3,0,2026+INT((A188+0.5-($AO$9))/12))</f>
        <v>2037</v>
      </c>
      <c r="F188" s="88" t="n">
        <f aca="false">IF((A188+0.5-($AO$9+$AO$8))&lt;$AO$3,0,2026+INT((A188+0.5-($AO$9+$AO$8))/12))</f>
        <v>2035</v>
      </c>
      <c r="G188" s="88" t="n">
        <f aca="false">IF((A188+0.5-($AO$9+$AO$8+$AO$7))&lt;$AO$3,0,2026+INT((A188+0.5-($AO$9+$AO$8+$AO$7))/12))</f>
        <v>2035</v>
      </c>
      <c r="H188" s="88" t="n">
        <f aca="false">IF(B188=2026,INDEX($C$3:$Q$3,1,B188-2025)*$AO$4*C188/MAX(0.0001,12-$AO$3),INDEX($C$3:$Q$3,1,B188-2025)/12)</f>
        <v>129.583333333333</v>
      </c>
      <c r="I188" s="88" t="n">
        <f aca="false">$AO$6*0</f>
        <v>0</v>
      </c>
      <c r="J188" s="88" t="n">
        <f aca="false">H188+J187</f>
        <v>32620.6700913243</v>
      </c>
      <c r="K188" s="88" t="n">
        <f aca="false">I188+K187</f>
        <v>8695.00000000001</v>
      </c>
      <c r="L188" s="88" t="n">
        <f aca="false">MAX(L187,J188-K188)</f>
        <v>23925.6700913242</v>
      </c>
      <c r="M188" s="88" t="n">
        <f aca="false">L188-L187</f>
        <v>129.583333333328</v>
      </c>
      <c r="N188" s="88" t="n">
        <f aca="false">IF(B188=2026,INDEX($C$4:$Q$4,1,B188-2025)*$AO$4*C188/MAX(0.0001,12-$AO$3),INDEX($C$4:$Q$4,1,B188-2025)/12)</f>
        <v>3.9285593164349</v>
      </c>
      <c r="O188" s="88" t="n">
        <f aca="false">$AO$6*0</f>
        <v>0</v>
      </c>
      <c r="P188" s="88" t="n">
        <f aca="false">N188+P187</f>
        <v>988.956172827943</v>
      </c>
      <c r="Q188" s="88" t="n">
        <f aca="false">O188+Q187</f>
        <v>398</v>
      </c>
      <c r="R188" s="88" t="n">
        <f aca="false">MAX(R187,P188-Q188)</f>
        <v>590.956172827943</v>
      </c>
      <c r="S188" s="88" t="n">
        <f aca="false">R188-R187</f>
        <v>3.92855931643487</v>
      </c>
      <c r="T188" s="88" t="n">
        <f aca="false">IF(B188=2026,INDEX($C$5:$Q$5,1,B188-2025)*$AO$4*C188/MAX(0.0001,12-$AO$3),INDEX($C$5:$Q$5,1,B188-2025)/12)</f>
        <v>15.9670831585289</v>
      </c>
      <c r="U188" s="88" t="n">
        <f aca="false">$AO$6*0</f>
        <v>0</v>
      </c>
      <c r="V188" s="88" t="n">
        <f aca="false">T188+V187</f>
        <v>4019.47487101048</v>
      </c>
      <c r="W188" s="88" t="n">
        <f aca="false">U188+W187</f>
        <v>1115</v>
      </c>
      <c r="X188" s="88" t="n">
        <f aca="false">MAX(X187,V188-W188)</f>
        <v>2904.47487101048</v>
      </c>
      <c r="Y188" s="88" t="n">
        <f aca="false">X188-X187</f>
        <v>15.967083158529</v>
      </c>
      <c r="Z188" s="88" t="n">
        <f aca="false">IF(B188=2026,INDEX($C$6:$Q$6,1,B188-2025)*$AO$4*C188/MAX(0.0001,12-$AO$3),INDEX($C$6:$Q$6,1,B188-2025)/12)</f>
        <v>18.9436461953513</v>
      </c>
      <c r="AA188" s="88" t="n">
        <f aca="false">$AO$6*0</f>
        <v>0</v>
      </c>
      <c r="AB188" s="88" t="n">
        <f aca="false">Z188+AB187</f>
        <v>4768.78018931441</v>
      </c>
      <c r="AC188" s="88" t="n">
        <f aca="false">AA188+AC187</f>
        <v>2194</v>
      </c>
      <c r="AD188" s="88" t="n">
        <f aca="false">MAX(AD187,AB188-AC188)</f>
        <v>2574.78018931441</v>
      </c>
      <c r="AE188" s="88" t="n">
        <f aca="false">AD188-AD187</f>
        <v>18.943646195351</v>
      </c>
      <c r="AF188" s="88" t="n">
        <f aca="false">IF(B188=2026,INDEX($C$7:$Q$7,1,B188-2025)*$AO$4*C188/MAX(0.0001,12-$AO$3),INDEX($C$7:$Q$7,1,B188-2025)/12)</f>
        <v>16.4556786026022</v>
      </c>
      <c r="AG188" s="88" t="n">
        <f aca="false">$AO$6*0</f>
        <v>0</v>
      </c>
      <c r="AH188" s="88" t="n">
        <f aca="false">AF188+AH187</f>
        <v>4142.47148160269</v>
      </c>
      <c r="AI188" s="88" t="n">
        <f aca="false">AG188+AI187</f>
        <v>826</v>
      </c>
      <c r="AJ188" s="88" t="n">
        <f aca="false">MAX(AJ187,AH188-AI188)</f>
        <v>3316.47148160269</v>
      </c>
      <c r="AK188" s="88" t="n">
        <f aca="false">AJ188-AJ187</f>
        <v>16.4556786026023</v>
      </c>
      <c r="AL188" s="88" t="n">
        <f aca="false">IF(B188=2026,INDEX($C$8:$Q$8,1,B188-2025)*$AO$4*C188/MAX(0.0001,12-$AO$3),INDEX($C$8:$Q$8,1,B188-2025)/12)</f>
        <v>4.1625092528236</v>
      </c>
      <c r="AM188" s="88" t="n">
        <f aca="false">$AO$6*0</f>
        <v>0</v>
      </c>
      <c r="AN188" s="88" t="n">
        <f aca="false">AL188+AN187</f>
        <v>1047.84957753139</v>
      </c>
      <c r="AO188" s="88" t="n">
        <f aca="false">AM188+AO187</f>
        <v>66</v>
      </c>
      <c r="AP188" s="88" t="n">
        <f aca="false">MAX(AP187,AN188-AO188)</f>
        <v>981.849577531394</v>
      </c>
      <c r="AQ188" s="88" t="n">
        <f aca="false">AP188-AP187</f>
        <v>4.16250925282361</v>
      </c>
      <c r="AR188" s="88" t="n">
        <f aca="false">IF(B188=2026,INDEX($C$9:$Q$9,1,B188-2025)*$AO$4*C188/MAX(0.0001,12-$AO$3),INDEX($C$9:$Q$9,1,B188-2025)/12)</f>
        <v>17.7487019048737</v>
      </c>
      <c r="AS188" s="88" t="n">
        <f aca="false">$AO$6*0</f>
        <v>0</v>
      </c>
      <c r="AT188" s="88" t="n">
        <f aca="false">AR188+AT187</f>
        <v>4467.97079913679</v>
      </c>
      <c r="AU188" s="88" t="n">
        <f aca="false">AS188+AU187</f>
        <v>1810</v>
      </c>
      <c r="AV188" s="88" t="n">
        <f aca="false">MAX(AV187,AT188-AU188)</f>
        <v>2657.97079913679</v>
      </c>
      <c r="AW188" s="88" t="n">
        <f aca="false">AV188-AV187</f>
        <v>17.748701904874</v>
      </c>
      <c r="AX188" s="88" t="n">
        <f aca="false">IF(B188=2026,INDEX($C$10:$Q$10,1,B188-2025)*$AO$4*C188/MAX(0.0001,12-$AO$3),INDEX($C$10:$Q$10,1,B188-2025)/12)</f>
        <v>2.05875944022058</v>
      </c>
      <c r="AY188" s="88" t="n">
        <f aca="false">$AO$6*0</f>
        <v>0</v>
      </c>
      <c r="AZ188" s="88" t="n">
        <f aca="false">AX188+AZ187</f>
        <v>518.261961390364</v>
      </c>
      <c r="BA188" s="88" t="n">
        <f aca="false">AY188+BA187</f>
        <v>50</v>
      </c>
      <c r="BB188" s="88" t="n">
        <f aca="false">MAX(BB187,AZ188-BA188)</f>
        <v>468.261961390364</v>
      </c>
      <c r="BC188" s="88" t="n">
        <f aca="false">BB188-BB187</f>
        <v>2.05875944022057</v>
      </c>
      <c r="BD188" s="88" t="n">
        <f aca="false">IF(B188=2026,INDEX($C$11:$Q$11,1,B188-2025)*$AO$4*C188/MAX(0.0001,12-$AO$3),INDEX($C$11:$Q$11,1,B188-2025)/12)</f>
        <v>10.2308106797675</v>
      </c>
      <c r="BE188" s="88" t="n">
        <f aca="false">$AO$6*0</f>
        <v>0</v>
      </c>
      <c r="BF188" s="88" t="n">
        <f aca="false">BD188+BF187</f>
        <v>2575.45389030089</v>
      </c>
      <c r="BG188" s="88" t="n">
        <f aca="false">BE188+BG187</f>
        <v>240</v>
      </c>
      <c r="BH188" s="88" t="n">
        <f aca="false">MAX(BH187,BF188-BG188)</f>
        <v>2335.45389030089</v>
      </c>
      <c r="BI188" s="88" t="n">
        <f aca="false">BH188-BH187</f>
        <v>10.2308106797673</v>
      </c>
      <c r="BJ188" s="88" t="n">
        <f aca="false">IF(B188=2026,INDEX($C$12:$Q$12,1,B188-2025)*$AO$4*C188/MAX(0.0001,12-$AO$3),INDEX($C$12:$Q$12,1,B188-2025)/12)</f>
        <v>5.60939962864295</v>
      </c>
      <c r="BK188" s="88" t="n">
        <f aca="false">$AO$6*0</f>
        <v>0</v>
      </c>
      <c r="BL188" s="88" t="n">
        <f aca="false">BJ188+BL187</f>
        <v>1412.08263431274</v>
      </c>
      <c r="BM188" s="88" t="n">
        <f aca="false">BK188+BM187</f>
        <v>465</v>
      </c>
      <c r="BN188" s="88" t="n">
        <f aca="false">MAX(BN187,BL188-BM188)</f>
        <v>947.082634312736</v>
      </c>
      <c r="BO188" s="88" t="n">
        <f aca="false">BN188-BN187</f>
        <v>5.60939962864291</v>
      </c>
      <c r="BP188" s="88" t="n">
        <f aca="false">IF(B188=2026,INDEX($C$13:$Q$13,1,B188-2025)*$AO$4*C188/MAX(0.0001,12-$AO$3),INDEX($C$13:$Q$13,1,B188-2025)/12)</f>
        <v>1.75292315825481</v>
      </c>
      <c r="BQ188" s="88" t="n">
        <f aca="false">$AO$6*0</f>
        <v>0</v>
      </c>
      <c r="BR188" s="88" t="n">
        <f aca="false">BP188+BR187</f>
        <v>441.272242116056</v>
      </c>
      <c r="BS188" s="88" t="n">
        <f aca="false">BQ188+BS187</f>
        <v>87</v>
      </c>
      <c r="BT188" s="88" t="n">
        <f aca="false">MAX(BT187,BR188-BS188)</f>
        <v>354.272242116056</v>
      </c>
      <c r="BU188" s="88" t="n">
        <f aca="false">BT188-BT187</f>
        <v>1.75292315825482</v>
      </c>
      <c r="BV188" s="88" t="n">
        <f aca="false">IF(B188=2026,INDEX($C$14:$Q$14,1,B188-2025)*$AO$4*C188/MAX(0.0001,12-$AO$3),INDEX($C$14:$Q$14,1,B188-2025)/12)</f>
        <v>1.03966476972354</v>
      </c>
      <c r="BW188" s="88" t="n">
        <f aca="false">$AO$6*0</f>
        <v>0</v>
      </c>
      <c r="BX188" s="88" t="n">
        <f aca="false">BV188+BX187</f>
        <v>261.720088427455</v>
      </c>
      <c r="BY188" s="88" t="n">
        <f aca="false">BW188+BY187</f>
        <v>0</v>
      </c>
      <c r="BZ188" s="88" t="n">
        <f aca="false">MAX(BZ187,BX188-BY188)</f>
        <v>261.720088427455</v>
      </c>
      <c r="CA188" s="88" t="n">
        <f aca="false">BZ188-BZ187</f>
        <v>1.03966476972357</v>
      </c>
      <c r="CB188" s="88" t="n">
        <f aca="false">IF(B188=2026,INDEX($C$15:$Q$15,1,B188-2025)*$AO$4*C188/MAX(0.0001,12-$AO$3),INDEX($C$15:$Q$15,1,B188-2025)/12)</f>
        <v>1.70456665733744</v>
      </c>
      <c r="CC188" s="88" t="n">
        <f aca="false">$AO$6*0</f>
        <v>0</v>
      </c>
      <c r="CD188" s="88" t="n">
        <f aca="false">CB188+CD187</f>
        <v>429.099214747337</v>
      </c>
      <c r="CE188" s="88" t="n">
        <f aca="false">CC188+CE187</f>
        <v>88.0000000000001</v>
      </c>
      <c r="CF188" s="88" t="n">
        <f aca="false">MAX(CF187,CD188-CE188)</f>
        <v>341.099214747337</v>
      </c>
      <c r="CG188" s="88" t="n">
        <f aca="false">CF188-CF187</f>
        <v>1.70456665733747</v>
      </c>
      <c r="CH188" s="88" t="n">
        <f aca="false">IF(B188=2026,INDEX($C$16:$Q$16,1,B188-2025)*$AO$4*C188/MAX(0.0001,12-$AO$3),INDEX($C$16:$Q$16,1,B188-2025)/12)</f>
        <v>1.3479374630718</v>
      </c>
      <c r="CI188" s="88" t="n">
        <f aca="false">$AO$6*0</f>
        <v>0</v>
      </c>
      <c r="CJ188" s="88" t="n">
        <f aca="false">CH188+CJ187</f>
        <v>339.323137903036</v>
      </c>
      <c r="CK188" s="88" t="n">
        <f aca="false">CI188+CK187</f>
        <v>70</v>
      </c>
      <c r="CL188" s="88" t="n">
        <f aca="false">MAX(CL187,CJ188-CK188)</f>
        <v>269.323137903036</v>
      </c>
      <c r="CM188" s="88" t="n">
        <f aca="false">CL188-CL187</f>
        <v>1.34793746307179</v>
      </c>
      <c r="CN188" s="88" t="n">
        <f aca="false">IF(B188=2026,INDEX($C$17:$Q$17,1,B188-2025)*$AO$4*C188/MAX(0.0001,12-$AO$3),INDEX($C$17:$Q$17,1,B188-2025)/12)</f>
        <v>5.86927029884629</v>
      </c>
      <c r="CO188" s="88" t="n">
        <f aca="false">$AO$6*0</f>
        <v>0</v>
      </c>
      <c r="CP188" s="88" t="n">
        <f aca="false">CN188+CP187</f>
        <v>1477.50119687825</v>
      </c>
      <c r="CQ188" s="88" t="n">
        <f aca="false">CO188+CQ187</f>
        <v>221</v>
      </c>
      <c r="CR188" s="88" t="n">
        <f aca="false">MAX(CR187,CP188-CQ188)</f>
        <v>1256.50119687825</v>
      </c>
      <c r="CS188" s="88" t="n">
        <f aca="false">CR188-CR187</f>
        <v>5.86927029884623</v>
      </c>
      <c r="CT188" s="88" t="n">
        <f aca="false">IF(B188=2026,INDEX($C$18:$Q$18,1,B188-2025)*$AO$4*C188/MAX(0.0001,12-$AO$3),INDEX($C$18:$Q$18,1,B188-2025)/12)</f>
        <v>1.2210016481637</v>
      </c>
      <c r="CU188" s="88" t="n">
        <f aca="false">$AO$6*0</f>
        <v>0</v>
      </c>
      <c r="CV188" s="88" t="n">
        <f aca="false">CT188+CV187</f>
        <v>307.36894106015</v>
      </c>
      <c r="CW188" s="88" t="n">
        <f aca="false">CU188+CW187</f>
        <v>11</v>
      </c>
      <c r="CX188" s="88" t="n">
        <f aca="false">MAX(CX187,CV188-CW188)</f>
        <v>296.36894106015</v>
      </c>
      <c r="CY188" s="88" t="n">
        <f aca="false">CX188-CX187</f>
        <v>1.22100164816368</v>
      </c>
      <c r="CZ188" s="88" t="n">
        <f aca="false">IF(B188=2026,INDEX($C$19:$Q$19,1,B188-2025)*$AO$4*C188/MAX(0.0001,12-$AO$3),INDEX($C$19:$Q$19,1,B188-2025)/12)</f>
        <v>1.20891252293435</v>
      </c>
      <c r="DA188" s="88" t="n">
        <f aca="false">$AO$6*0</f>
        <v>0</v>
      </c>
      <c r="DB188" s="88" t="n">
        <f aca="false">CZ188+DB187</f>
        <v>304.32568421797</v>
      </c>
      <c r="DC188" s="88" t="n">
        <f aca="false">DA188+DC187</f>
        <v>226</v>
      </c>
      <c r="DD188" s="88" t="n">
        <f aca="false">MAX(DD187,DB188-DC188)</f>
        <v>78.3256842179706</v>
      </c>
      <c r="DE188" s="88" t="n">
        <f aca="false">DD188-DD187</f>
        <v>1.20891252293433</v>
      </c>
      <c r="DF188" s="88" t="n">
        <f aca="false">IF(B188=2026,INDEX($C$20:$Q$20,1,B188-2025)*$AO$4*C188/MAX(0.0001,12-$AO$3),INDEX($C$20:$Q$20,1,B188-2025)/12)</f>
        <v>0.985263706191498</v>
      </c>
      <c r="DG188" s="88" t="n">
        <f aca="false">$AO$6*0</f>
        <v>0</v>
      </c>
      <c r="DH188" s="88" t="n">
        <f aca="false">DF188+DH187</f>
        <v>248.025432637646</v>
      </c>
      <c r="DI188" s="88" t="n">
        <f aca="false">DG188+DI187</f>
        <v>0</v>
      </c>
      <c r="DJ188" s="88" t="n">
        <f aca="false">MAX(DJ187,DH188-DI188)</f>
        <v>248.025432637646</v>
      </c>
      <c r="DK188" s="88" t="n">
        <f aca="false">DJ188-DJ187</f>
        <v>0.985263706191489</v>
      </c>
      <c r="DL188" s="88" t="n">
        <f aca="false">IF(B188=2026,INDEX($C$21:$Q$21,1,B188-2025)*$AO$4*C188/MAX(0.0001,12-$AO$3),INDEX($C$21:$Q$21,1,B188-2025)/12)</f>
        <v>0.689080138072581</v>
      </c>
      <c r="DM188" s="88" t="n">
        <f aca="false">$AO$6*0</f>
        <v>0</v>
      </c>
      <c r="DN188" s="88" t="n">
        <f aca="false">DL188+DN187</f>
        <v>173.465640004243</v>
      </c>
      <c r="DO188" s="88" t="n">
        <f aca="false">DM188+DO187</f>
        <v>100</v>
      </c>
      <c r="DP188" s="88" t="n">
        <f aca="false">MAX(DP187,DN188-DO188)</f>
        <v>73.4656400042428</v>
      </c>
      <c r="DQ188" s="88" t="n">
        <f aca="false">DP188-DP187</f>
        <v>0.689080138072569</v>
      </c>
      <c r="DR188" s="88" t="n">
        <f aca="false">IF(B188=2026,INDEX($C$22:$Q$22,1,B188-2025)*$AO$4*C188/MAX(0.0001,12-$AO$3),INDEX($C$22:$Q$22,1,B188-2025)/12)</f>
        <v>0.537966072705787</v>
      </c>
      <c r="DS188" s="88" t="n">
        <f aca="false">$AO$6*0</f>
        <v>0</v>
      </c>
      <c r="DT188" s="88" t="n">
        <f aca="false">DR188+DT187</f>
        <v>135.424929476997</v>
      </c>
      <c r="DU188" s="88" t="n">
        <f aca="false">DS188+DU187</f>
        <v>29</v>
      </c>
      <c r="DV188" s="88" t="n">
        <f aca="false">MAX(DV187,DT188-DU188)</f>
        <v>106.424929476997</v>
      </c>
      <c r="DW188" s="88" t="n">
        <f aca="false">DV188-DV187</f>
        <v>0.537966072705785</v>
      </c>
      <c r="DX188" s="88" t="n">
        <f aca="false">IF(B188=2026,INDEX($C$23:$Q$23,1,B188-2025)*$AO$4*C188/MAX(0.0001,12-$AO$3),INDEX($C$23:$Q$23,1,B188-2025)/12)</f>
        <v>0.864372453898063</v>
      </c>
      <c r="DY188" s="88" t="n">
        <f aca="false">$AO$6*0</f>
        <v>0</v>
      </c>
      <c r="DZ188" s="88" t="n">
        <f aca="false">DX188+DZ187</f>
        <v>217.592864215849</v>
      </c>
      <c r="EA188" s="88" t="n">
        <f aca="false">DY188+EA187</f>
        <v>121</v>
      </c>
      <c r="EB188" s="88" t="n">
        <f aca="false">MAX(EB187,DZ188-EA188)</f>
        <v>96.592864215849</v>
      </c>
      <c r="EC188" s="88" t="n">
        <f aca="false">EB188-EB187</f>
        <v>0.864372453898056</v>
      </c>
      <c r="ED188" s="88" t="n">
        <f aca="false">IF(B188=2026,INDEX($C$24:$Q$24,1,B188-2025)*$AO$4*C188/MAX(0.0001,12-$AO$3),INDEX($C$24:$Q$24,1,B188-2025)/12)</f>
        <v>0.531921510091116</v>
      </c>
      <c r="EE188" s="88" t="n">
        <f aca="false">$AO$6*0</f>
        <v>0</v>
      </c>
      <c r="EF188" s="88" t="n">
        <f aca="false">ED188+EF187</f>
        <v>133.903301055907</v>
      </c>
      <c r="EG188" s="88" t="n">
        <f aca="false">EE188+EG187</f>
        <v>0</v>
      </c>
      <c r="EH188" s="88" t="n">
        <f aca="false">MAX(EH187,EF188-EG188)</f>
        <v>133.903301055907</v>
      </c>
      <c r="EI188" s="88" t="n">
        <f aca="false">EH188-EH187</f>
        <v>0.531921510091109</v>
      </c>
      <c r="EJ188" s="88" t="n">
        <f aca="false">IF(B188=2026,INDEX($C$25:$Q$25,1,B188-2025)*$AO$4*C188/MAX(0.0001,12-$AO$3),INDEX($C$25:$Q$25,1,B188-2025)/12)</f>
        <v>0.676991012843238</v>
      </c>
      <c r="EK188" s="88" t="n">
        <f aca="false">$AO$6*0</f>
        <v>0</v>
      </c>
      <c r="EL188" s="88" t="n">
        <f aca="false">EJ188+EL187</f>
        <v>170.422383162063</v>
      </c>
      <c r="EM188" s="88" t="n">
        <f aca="false">EK188+EM187</f>
        <v>14</v>
      </c>
      <c r="EN188" s="88" t="n">
        <f aca="false">MAX(EN187,EL188-EM188)</f>
        <v>156.422383162063</v>
      </c>
      <c r="EO188" s="88" t="n">
        <f aca="false">EN188-EN187</f>
        <v>0.676991012843246</v>
      </c>
      <c r="EP188" s="88" t="n">
        <f aca="false">IF(B188=2026,INDEX($C$26:$Q$26,1,B188-2025)*$AO$4*C188/MAX(0.0001,12-$AO$3),INDEX($C$26:$Q$26,1,B188-2025)/12)</f>
        <v>0.973174580962155</v>
      </c>
      <c r="EQ188" s="88" t="n">
        <f aca="false">$AO$6*0</f>
        <v>0</v>
      </c>
      <c r="ER188" s="88" t="n">
        <f aca="false">EP188+ER187</f>
        <v>244.982175795465</v>
      </c>
      <c r="ES188" s="88" t="n">
        <f aca="false">EQ188+ES187</f>
        <v>4</v>
      </c>
      <c r="ET188" s="88" t="n">
        <f aca="false">MAX(ET187,ER188-ES188)</f>
        <v>240.982175795465</v>
      </c>
      <c r="EU188" s="88" t="n">
        <f aca="false">ET188-ET187</f>
        <v>0.973174580962166</v>
      </c>
      <c r="EV188" s="88" t="n">
        <f aca="false">IF(B188=2026,INDEX($C$27:$Q$27,1,B188-2025)*$AO$4*C188/MAX(0.0001,12-$AO$3),INDEX($C$27:$Q$27,1,B188-2025)/12)</f>
        <v>2.41782504586871</v>
      </c>
      <c r="EW188" s="88" t="n">
        <f aca="false">$AO$6*0</f>
        <v>0</v>
      </c>
      <c r="EX188" s="88" t="n">
        <f aca="false">EV188+EX187</f>
        <v>608.651368435941</v>
      </c>
      <c r="EY188" s="88" t="n">
        <f aca="false">EW188+EY187</f>
        <v>391</v>
      </c>
      <c r="EZ188" s="88" t="n">
        <f aca="false">MAX(EZ187,EX188-EY188)</f>
        <v>217.651368435941</v>
      </c>
      <c r="FA188" s="88" t="n">
        <f aca="false">EZ188-EZ187</f>
        <v>2.41782504586865</v>
      </c>
      <c r="FB188" s="88" t="n">
        <f aca="false">IF(B188=2026,INDEX($C$28:$Q$28,1,B188-2025)*$AO$4*C188/MAX(0.0001,12-$AO$3),INDEX($C$28:$Q$28,1,B188-2025)/12)</f>
        <v>12.6573141151227</v>
      </c>
      <c r="FC188" s="88" t="n">
        <f aca="false">$AO$6*0</f>
        <v>0</v>
      </c>
      <c r="FD188" s="88" t="n">
        <f aca="false">FB188+FD187</f>
        <v>3186.28991376215</v>
      </c>
      <c r="FE188" s="88" t="n">
        <f aca="false">FC188+FE187</f>
        <v>169</v>
      </c>
      <c r="FF188" s="88" t="n">
        <f aca="false">MAX(FF187,FD188-FE188)</f>
        <v>3017.28991376215</v>
      </c>
      <c r="FG188" s="88" t="n">
        <f aca="false">FF188-FF187</f>
        <v>12.6573141151225</v>
      </c>
    </row>
    <row r="189" customFormat="false" ht="15" hidden="false" customHeight="false" outlineLevel="0" collapsed="false">
      <c r="A189" s="0" t="n">
        <v>149</v>
      </c>
      <c r="B189" s="88" t="n">
        <f aca="false">2026+INT(A189/12)</f>
        <v>2038</v>
      </c>
      <c r="C189" s="88" t="n">
        <f aca="false">MAX(0,MIN(1,A189+1-$AO$3))</f>
        <v>1</v>
      </c>
      <c r="D189" s="88" t="n">
        <f aca="false">IF((A189+0.5-(0))&lt;$AO$3,0,2026+INT((A189+0.5-(0))/12))</f>
        <v>2038</v>
      </c>
      <c r="E189" s="88" t="n">
        <f aca="false">IF((A189+0.5-($AO$9))&lt;$AO$3,0,2026+INT((A189+0.5-($AO$9))/12))</f>
        <v>2037</v>
      </c>
      <c r="F189" s="88" t="n">
        <f aca="false">IF((A189+0.5-($AO$9+$AO$8))&lt;$AO$3,0,2026+INT((A189+0.5-($AO$9+$AO$8))/12))</f>
        <v>2035</v>
      </c>
      <c r="G189" s="88" t="n">
        <f aca="false">IF((A189+0.5-($AO$9+$AO$8+$AO$7))&lt;$AO$3,0,2026+INT((A189+0.5-($AO$9+$AO$8+$AO$7))/12))</f>
        <v>2035</v>
      </c>
      <c r="H189" s="88" t="n">
        <f aca="false">IF(B189=2026,INDEX($C$3:$Q$3,1,B189-2025)*$AO$4*C189/MAX(0.0001,12-$AO$3),INDEX($C$3:$Q$3,1,B189-2025)/12)</f>
        <v>129.583333333333</v>
      </c>
      <c r="I189" s="88" t="n">
        <f aca="false">$AO$6*0</f>
        <v>0</v>
      </c>
      <c r="J189" s="88" t="n">
        <f aca="false">H189+J188</f>
        <v>32750.2534246576</v>
      </c>
      <c r="K189" s="88" t="n">
        <f aca="false">I189+K188</f>
        <v>8695.00000000001</v>
      </c>
      <c r="L189" s="88" t="n">
        <f aca="false">MAX(L188,J189-K189)</f>
        <v>24055.2534246576</v>
      </c>
      <c r="M189" s="88" t="n">
        <f aca="false">L189-L188</f>
        <v>129.583333333336</v>
      </c>
      <c r="N189" s="88" t="n">
        <f aca="false">IF(B189=2026,INDEX($C$4:$Q$4,1,B189-2025)*$AO$4*C189/MAX(0.0001,12-$AO$3),INDEX($C$4:$Q$4,1,B189-2025)/12)</f>
        <v>3.9285593164349</v>
      </c>
      <c r="O189" s="88" t="n">
        <f aca="false">$AO$6*0</f>
        <v>0</v>
      </c>
      <c r="P189" s="88" t="n">
        <f aca="false">N189+P188</f>
        <v>992.884732144378</v>
      </c>
      <c r="Q189" s="88" t="n">
        <f aca="false">O189+Q188</f>
        <v>398</v>
      </c>
      <c r="R189" s="88" t="n">
        <f aca="false">MAX(R188,P189-Q189)</f>
        <v>594.884732144378</v>
      </c>
      <c r="S189" s="88" t="n">
        <f aca="false">R189-R188</f>
        <v>3.92855931643487</v>
      </c>
      <c r="T189" s="88" t="n">
        <f aca="false">IF(B189=2026,INDEX($C$5:$Q$5,1,B189-2025)*$AO$4*C189/MAX(0.0001,12-$AO$3),INDEX($C$5:$Q$5,1,B189-2025)/12)</f>
        <v>15.9670831585289</v>
      </c>
      <c r="U189" s="88" t="n">
        <f aca="false">$AO$6*0</f>
        <v>0</v>
      </c>
      <c r="V189" s="88" t="n">
        <f aca="false">T189+V188</f>
        <v>4035.44195416901</v>
      </c>
      <c r="W189" s="88" t="n">
        <f aca="false">U189+W188</f>
        <v>1115</v>
      </c>
      <c r="X189" s="88" t="n">
        <f aca="false">MAX(X188,V189-W189)</f>
        <v>2920.44195416901</v>
      </c>
      <c r="Y189" s="88" t="n">
        <f aca="false">X189-X188</f>
        <v>15.967083158529</v>
      </c>
      <c r="Z189" s="88" t="n">
        <f aca="false">IF(B189=2026,INDEX($C$6:$Q$6,1,B189-2025)*$AO$4*C189/MAX(0.0001,12-$AO$3),INDEX($C$6:$Q$6,1,B189-2025)/12)</f>
        <v>18.9436461953513</v>
      </c>
      <c r="AA189" s="88" t="n">
        <f aca="false">$AO$6*0</f>
        <v>0</v>
      </c>
      <c r="AB189" s="88" t="n">
        <f aca="false">Z189+AB188</f>
        <v>4787.72383550976</v>
      </c>
      <c r="AC189" s="88" t="n">
        <f aca="false">AA189+AC188</f>
        <v>2194</v>
      </c>
      <c r="AD189" s="88" t="n">
        <f aca="false">MAX(AD188,AB189-AC189)</f>
        <v>2593.72383550976</v>
      </c>
      <c r="AE189" s="88" t="n">
        <f aca="false">AD189-AD188</f>
        <v>18.943646195351</v>
      </c>
      <c r="AF189" s="88" t="n">
        <f aca="false">IF(B189=2026,INDEX($C$7:$Q$7,1,B189-2025)*$AO$4*C189/MAX(0.0001,12-$AO$3),INDEX($C$7:$Q$7,1,B189-2025)/12)</f>
        <v>16.4556786026022</v>
      </c>
      <c r="AG189" s="88" t="n">
        <f aca="false">$AO$6*0</f>
        <v>0</v>
      </c>
      <c r="AH189" s="88" t="n">
        <f aca="false">AF189+AH188</f>
        <v>4158.9271602053</v>
      </c>
      <c r="AI189" s="88" t="n">
        <f aca="false">AG189+AI188</f>
        <v>826</v>
      </c>
      <c r="AJ189" s="88" t="n">
        <f aca="false">MAX(AJ188,AH189-AI189)</f>
        <v>3332.9271602053</v>
      </c>
      <c r="AK189" s="88" t="n">
        <f aca="false">AJ189-AJ188</f>
        <v>16.4556786026023</v>
      </c>
      <c r="AL189" s="88" t="n">
        <f aca="false">IF(B189=2026,INDEX($C$8:$Q$8,1,B189-2025)*$AO$4*C189/MAX(0.0001,12-$AO$3),INDEX($C$8:$Q$8,1,B189-2025)/12)</f>
        <v>4.1625092528236</v>
      </c>
      <c r="AM189" s="88" t="n">
        <f aca="false">$AO$6*0</f>
        <v>0</v>
      </c>
      <c r="AN189" s="88" t="n">
        <f aca="false">AL189+AN188</f>
        <v>1052.01208678422</v>
      </c>
      <c r="AO189" s="88" t="n">
        <f aca="false">AM189+AO188</f>
        <v>66</v>
      </c>
      <c r="AP189" s="88" t="n">
        <f aca="false">MAX(AP188,AN189-AO189)</f>
        <v>986.012086784217</v>
      </c>
      <c r="AQ189" s="88" t="n">
        <f aca="false">AP189-AP188</f>
        <v>4.16250925282361</v>
      </c>
      <c r="AR189" s="88" t="n">
        <f aca="false">IF(B189=2026,INDEX($C$9:$Q$9,1,B189-2025)*$AO$4*C189/MAX(0.0001,12-$AO$3),INDEX($C$9:$Q$9,1,B189-2025)/12)</f>
        <v>17.7487019048737</v>
      </c>
      <c r="AS189" s="88" t="n">
        <f aca="false">$AO$6*0</f>
        <v>0</v>
      </c>
      <c r="AT189" s="88" t="n">
        <f aca="false">AR189+AT188</f>
        <v>4485.71950104167</v>
      </c>
      <c r="AU189" s="88" t="n">
        <f aca="false">AS189+AU188</f>
        <v>1810</v>
      </c>
      <c r="AV189" s="88" t="n">
        <f aca="false">MAX(AV188,AT189-AU189)</f>
        <v>2675.71950104166</v>
      </c>
      <c r="AW189" s="88" t="n">
        <f aca="false">AV189-AV188</f>
        <v>17.748701904874</v>
      </c>
      <c r="AX189" s="88" t="n">
        <f aca="false">IF(B189=2026,INDEX($C$10:$Q$10,1,B189-2025)*$AO$4*C189/MAX(0.0001,12-$AO$3),INDEX($C$10:$Q$10,1,B189-2025)/12)</f>
        <v>2.05875944022058</v>
      </c>
      <c r="AY189" s="88" t="n">
        <f aca="false">$AO$6*0</f>
        <v>0</v>
      </c>
      <c r="AZ189" s="88" t="n">
        <f aca="false">AX189+AZ188</f>
        <v>520.320720830584</v>
      </c>
      <c r="BA189" s="88" t="n">
        <f aca="false">AY189+BA188</f>
        <v>50</v>
      </c>
      <c r="BB189" s="88" t="n">
        <f aca="false">MAX(BB188,AZ189-BA189)</f>
        <v>470.320720830584</v>
      </c>
      <c r="BC189" s="88" t="n">
        <f aca="false">BB189-BB188</f>
        <v>2.05875944022057</v>
      </c>
      <c r="BD189" s="88" t="n">
        <f aca="false">IF(B189=2026,INDEX($C$11:$Q$11,1,B189-2025)*$AO$4*C189/MAX(0.0001,12-$AO$3),INDEX($C$11:$Q$11,1,B189-2025)/12)</f>
        <v>10.2308106797675</v>
      </c>
      <c r="BE189" s="88" t="n">
        <f aca="false">$AO$6*0</f>
        <v>0</v>
      </c>
      <c r="BF189" s="88" t="n">
        <f aca="false">BD189+BF188</f>
        <v>2585.68470098066</v>
      </c>
      <c r="BG189" s="88" t="n">
        <f aca="false">BE189+BG188</f>
        <v>240</v>
      </c>
      <c r="BH189" s="88" t="n">
        <f aca="false">MAX(BH188,BF189-BG189)</f>
        <v>2345.68470098066</v>
      </c>
      <c r="BI189" s="88" t="n">
        <f aca="false">BH189-BH188</f>
        <v>10.2308106797673</v>
      </c>
      <c r="BJ189" s="88" t="n">
        <f aca="false">IF(B189=2026,INDEX($C$12:$Q$12,1,B189-2025)*$AO$4*C189/MAX(0.0001,12-$AO$3),INDEX($C$12:$Q$12,1,B189-2025)/12)</f>
        <v>5.60939962864295</v>
      </c>
      <c r="BK189" s="88" t="n">
        <f aca="false">$AO$6*0</f>
        <v>0</v>
      </c>
      <c r="BL189" s="88" t="n">
        <f aca="false">BJ189+BL188</f>
        <v>1417.69203394138</v>
      </c>
      <c r="BM189" s="88" t="n">
        <f aca="false">BK189+BM188</f>
        <v>465</v>
      </c>
      <c r="BN189" s="88" t="n">
        <f aca="false">MAX(BN188,BL189-BM189)</f>
        <v>952.692033941379</v>
      </c>
      <c r="BO189" s="88" t="n">
        <f aca="false">BN189-BN188</f>
        <v>5.60939962864291</v>
      </c>
      <c r="BP189" s="88" t="n">
        <f aca="false">IF(B189=2026,INDEX($C$13:$Q$13,1,B189-2025)*$AO$4*C189/MAX(0.0001,12-$AO$3),INDEX($C$13:$Q$13,1,B189-2025)/12)</f>
        <v>1.75292315825481</v>
      </c>
      <c r="BQ189" s="88" t="n">
        <f aca="false">$AO$6*0</f>
        <v>0</v>
      </c>
      <c r="BR189" s="88" t="n">
        <f aca="false">BP189+BR188</f>
        <v>443.025165274311</v>
      </c>
      <c r="BS189" s="88" t="n">
        <f aca="false">BQ189+BS188</f>
        <v>87</v>
      </c>
      <c r="BT189" s="88" t="n">
        <f aca="false">MAX(BT188,BR189-BS189)</f>
        <v>356.025165274311</v>
      </c>
      <c r="BU189" s="88" t="n">
        <f aca="false">BT189-BT188</f>
        <v>1.75292315825482</v>
      </c>
      <c r="BV189" s="88" t="n">
        <f aca="false">IF(B189=2026,INDEX($C$14:$Q$14,1,B189-2025)*$AO$4*C189/MAX(0.0001,12-$AO$3),INDEX($C$14:$Q$14,1,B189-2025)/12)</f>
        <v>1.03966476972354</v>
      </c>
      <c r="BW189" s="88" t="n">
        <f aca="false">$AO$6*0</f>
        <v>0</v>
      </c>
      <c r="BX189" s="88" t="n">
        <f aca="false">BV189+BX188</f>
        <v>262.759753197178</v>
      </c>
      <c r="BY189" s="88" t="n">
        <f aca="false">BW189+BY188</f>
        <v>0</v>
      </c>
      <c r="BZ189" s="88" t="n">
        <f aca="false">MAX(BZ188,BX189-BY189)</f>
        <v>262.759753197178</v>
      </c>
      <c r="CA189" s="88" t="n">
        <f aca="false">BZ189-BZ188</f>
        <v>1.03966476972357</v>
      </c>
      <c r="CB189" s="88" t="n">
        <f aca="false">IF(B189=2026,INDEX($C$15:$Q$15,1,B189-2025)*$AO$4*C189/MAX(0.0001,12-$AO$3),INDEX($C$15:$Q$15,1,B189-2025)/12)</f>
        <v>1.70456665733744</v>
      </c>
      <c r="CC189" s="88" t="n">
        <f aca="false">$AO$6*0</f>
        <v>0</v>
      </c>
      <c r="CD189" s="88" t="n">
        <f aca="false">CB189+CD188</f>
        <v>430.803781404675</v>
      </c>
      <c r="CE189" s="88" t="n">
        <f aca="false">CC189+CE188</f>
        <v>88.0000000000001</v>
      </c>
      <c r="CF189" s="88" t="n">
        <f aca="false">MAX(CF188,CD189-CE189)</f>
        <v>342.803781404675</v>
      </c>
      <c r="CG189" s="88" t="n">
        <f aca="false">CF189-CF188</f>
        <v>1.70456665733747</v>
      </c>
      <c r="CH189" s="88" t="n">
        <f aca="false">IF(B189=2026,INDEX($C$16:$Q$16,1,B189-2025)*$AO$4*C189/MAX(0.0001,12-$AO$3),INDEX($C$16:$Q$16,1,B189-2025)/12)</f>
        <v>1.3479374630718</v>
      </c>
      <c r="CI189" s="88" t="n">
        <f aca="false">$AO$6*0</f>
        <v>0</v>
      </c>
      <c r="CJ189" s="88" t="n">
        <f aca="false">CH189+CJ188</f>
        <v>340.671075366108</v>
      </c>
      <c r="CK189" s="88" t="n">
        <f aca="false">CI189+CK188</f>
        <v>70</v>
      </c>
      <c r="CL189" s="88" t="n">
        <f aca="false">MAX(CL188,CJ189-CK189)</f>
        <v>270.671075366108</v>
      </c>
      <c r="CM189" s="88" t="n">
        <f aca="false">CL189-CL188</f>
        <v>1.34793746307179</v>
      </c>
      <c r="CN189" s="88" t="n">
        <f aca="false">IF(B189=2026,INDEX($C$17:$Q$17,1,B189-2025)*$AO$4*C189/MAX(0.0001,12-$AO$3),INDEX($C$17:$Q$17,1,B189-2025)/12)</f>
        <v>5.86927029884629</v>
      </c>
      <c r="CO189" s="88" t="n">
        <f aca="false">$AO$6*0</f>
        <v>0</v>
      </c>
      <c r="CP189" s="88" t="n">
        <f aca="false">CN189+CP188</f>
        <v>1483.37046717709</v>
      </c>
      <c r="CQ189" s="88" t="n">
        <f aca="false">CO189+CQ188</f>
        <v>221</v>
      </c>
      <c r="CR189" s="88" t="n">
        <f aca="false">MAX(CR188,CP189-CQ189)</f>
        <v>1262.37046717709</v>
      </c>
      <c r="CS189" s="88" t="n">
        <f aca="false">CR189-CR188</f>
        <v>5.86927029884623</v>
      </c>
      <c r="CT189" s="88" t="n">
        <f aca="false">IF(B189=2026,INDEX($C$18:$Q$18,1,B189-2025)*$AO$4*C189/MAX(0.0001,12-$AO$3),INDEX($C$18:$Q$18,1,B189-2025)/12)</f>
        <v>1.2210016481637</v>
      </c>
      <c r="CU189" s="88" t="n">
        <f aca="false">$AO$6*0</f>
        <v>0</v>
      </c>
      <c r="CV189" s="88" t="n">
        <f aca="false">CT189+CV188</f>
        <v>308.589942708313</v>
      </c>
      <c r="CW189" s="88" t="n">
        <f aca="false">CU189+CW188</f>
        <v>11</v>
      </c>
      <c r="CX189" s="88" t="n">
        <f aca="false">MAX(CX188,CV189-CW189)</f>
        <v>297.589942708313</v>
      </c>
      <c r="CY189" s="88" t="n">
        <f aca="false">CX189-CX188</f>
        <v>1.22100164816368</v>
      </c>
      <c r="CZ189" s="88" t="n">
        <f aca="false">IF(B189=2026,INDEX($C$19:$Q$19,1,B189-2025)*$AO$4*C189/MAX(0.0001,12-$AO$3),INDEX($C$19:$Q$19,1,B189-2025)/12)</f>
        <v>1.20891252293435</v>
      </c>
      <c r="DA189" s="88" t="n">
        <f aca="false">$AO$6*0</f>
        <v>0</v>
      </c>
      <c r="DB189" s="88" t="n">
        <f aca="false">CZ189+DB188</f>
        <v>305.534596740905</v>
      </c>
      <c r="DC189" s="88" t="n">
        <f aca="false">DA189+DC188</f>
        <v>226</v>
      </c>
      <c r="DD189" s="88" t="n">
        <f aca="false">MAX(DD188,DB189-DC189)</f>
        <v>79.5345967409049</v>
      </c>
      <c r="DE189" s="88" t="n">
        <f aca="false">DD189-DD188</f>
        <v>1.20891252293433</v>
      </c>
      <c r="DF189" s="88" t="n">
        <f aca="false">IF(B189=2026,INDEX($C$20:$Q$20,1,B189-2025)*$AO$4*C189/MAX(0.0001,12-$AO$3),INDEX($C$20:$Q$20,1,B189-2025)/12)</f>
        <v>0.985263706191498</v>
      </c>
      <c r="DG189" s="88" t="n">
        <f aca="false">$AO$6*0</f>
        <v>0</v>
      </c>
      <c r="DH189" s="88" t="n">
        <f aca="false">DF189+DH188</f>
        <v>249.010696343837</v>
      </c>
      <c r="DI189" s="88" t="n">
        <f aca="false">DG189+DI188</f>
        <v>0</v>
      </c>
      <c r="DJ189" s="88" t="n">
        <f aca="false">MAX(DJ188,DH189-DI189)</f>
        <v>249.010696343837</v>
      </c>
      <c r="DK189" s="88" t="n">
        <f aca="false">DJ189-DJ188</f>
        <v>0.985263706191489</v>
      </c>
      <c r="DL189" s="88" t="n">
        <f aca="false">IF(B189=2026,INDEX($C$21:$Q$21,1,B189-2025)*$AO$4*C189/MAX(0.0001,12-$AO$3),INDEX($C$21:$Q$21,1,B189-2025)/12)</f>
        <v>0.689080138072581</v>
      </c>
      <c r="DM189" s="88" t="n">
        <f aca="false">$AO$6*0</f>
        <v>0</v>
      </c>
      <c r="DN189" s="88" t="n">
        <f aca="false">DL189+DN188</f>
        <v>174.154720142315</v>
      </c>
      <c r="DO189" s="88" t="n">
        <f aca="false">DM189+DO188</f>
        <v>100</v>
      </c>
      <c r="DP189" s="88" t="n">
        <f aca="false">MAX(DP188,DN189-DO189)</f>
        <v>74.1547201423154</v>
      </c>
      <c r="DQ189" s="88" t="n">
        <f aca="false">DP189-DP188</f>
        <v>0.689080138072569</v>
      </c>
      <c r="DR189" s="88" t="n">
        <f aca="false">IF(B189=2026,INDEX($C$22:$Q$22,1,B189-2025)*$AO$4*C189/MAX(0.0001,12-$AO$3),INDEX($C$22:$Q$22,1,B189-2025)/12)</f>
        <v>0.537966072705787</v>
      </c>
      <c r="DS189" s="88" t="n">
        <f aca="false">$AO$6*0</f>
        <v>0</v>
      </c>
      <c r="DT189" s="88" t="n">
        <f aca="false">DR189+DT188</f>
        <v>135.962895549703</v>
      </c>
      <c r="DU189" s="88" t="n">
        <f aca="false">DS189+DU188</f>
        <v>29</v>
      </c>
      <c r="DV189" s="88" t="n">
        <f aca="false">MAX(DV188,DT189-DU189)</f>
        <v>106.962895549703</v>
      </c>
      <c r="DW189" s="88" t="n">
        <f aca="false">DV189-DV188</f>
        <v>0.537966072705785</v>
      </c>
      <c r="DX189" s="88" t="n">
        <f aca="false">IF(B189=2026,INDEX($C$23:$Q$23,1,B189-2025)*$AO$4*C189/MAX(0.0001,12-$AO$3),INDEX($C$23:$Q$23,1,B189-2025)/12)</f>
        <v>0.864372453898063</v>
      </c>
      <c r="DY189" s="88" t="n">
        <f aca="false">$AO$6*0</f>
        <v>0</v>
      </c>
      <c r="DZ189" s="88" t="n">
        <f aca="false">DX189+DZ188</f>
        <v>218.457236669747</v>
      </c>
      <c r="EA189" s="88" t="n">
        <f aca="false">DY189+EA188</f>
        <v>121</v>
      </c>
      <c r="EB189" s="88" t="n">
        <f aca="false">MAX(EB188,DZ189-EA189)</f>
        <v>97.4572366697471</v>
      </c>
      <c r="EC189" s="88" t="n">
        <f aca="false">EB189-EB188</f>
        <v>0.864372453898056</v>
      </c>
      <c r="ED189" s="88" t="n">
        <f aca="false">IF(B189=2026,INDEX($C$24:$Q$24,1,B189-2025)*$AO$4*C189/MAX(0.0001,12-$AO$3),INDEX($C$24:$Q$24,1,B189-2025)/12)</f>
        <v>0.531921510091116</v>
      </c>
      <c r="EE189" s="88" t="n">
        <f aca="false">$AO$6*0</f>
        <v>0</v>
      </c>
      <c r="EF189" s="88" t="n">
        <f aca="false">ED189+EF188</f>
        <v>134.435222565998</v>
      </c>
      <c r="EG189" s="88" t="n">
        <f aca="false">EE189+EG188</f>
        <v>0</v>
      </c>
      <c r="EH189" s="88" t="n">
        <f aca="false">MAX(EH188,EF189-EG189)</f>
        <v>134.435222565998</v>
      </c>
      <c r="EI189" s="88" t="n">
        <f aca="false">EH189-EH188</f>
        <v>0.531921510091109</v>
      </c>
      <c r="EJ189" s="88" t="n">
        <f aca="false">IF(B189=2026,INDEX($C$25:$Q$25,1,B189-2025)*$AO$4*C189/MAX(0.0001,12-$AO$3),INDEX($C$25:$Q$25,1,B189-2025)/12)</f>
        <v>0.676991012843238</v>
      </c>
      <c r="EK189" s="88" t="n">
        <f aca="false">$AO$6*0</f>
        <v>0</v>
      </c>
      <c r="EL189" s="88" t="n">
        <f aca="false">EJ189+EL188</f>
        <v>171.099374174906</v>
      </c>
      <c r="EM189" s="88" t="n">
        <f aca="false">EK189+EM188</f>
        <v>14</v>
      </c>
      <c r="EN189" s="88" t="n">
        <f aca="false">MAX(EN188,EL189-EM189)</f>
        <v>157.099374174906</v>
      </c>
      <c r="EO189" s="88" t="n">
        <f aca="false">EN189-EN188</f>
        <v>0.676991012843246</v>
      </c>
      <c r="EP189" s="88" t="n">
        <f aca="false">IF(B189=2026,INDEX($C$26:$Q$26,1,B189-2025)*$AO$4*C189/MAX(0.0001,12-$AO$3),INDEX($C$26:$Q$26,1,B189-2025)/12)</f>
        <v>0.973174580962155</v>
      </c>
      <c r="EQ189" s="88" t="n">
        <f aca="false">$AO$6*0</f>
        <v>0</v>
      </c>
      <c r="ER189" s="88" t="n">
        <f aca="false">EP189+ER188</f>
        <v>245.955350376427</v>
      </c>
      <c r="ES189" s="88" t="n">
        <f aca="false">EQ189+ES188</f>
        <v>4</v>
      </c>
      <c r="ET189" s="88" t="n">
        <f aca="false">MAX(ET188,ER189-ES189)</f>
        <v>241.955350376427</v>
      </c>
      <c r="EU189" s="88" t="n">
        <f aca="false">ET189-ET188</f>
        <v>0.973174580962166</v>
      </c>
      <c r="EV189" s="88" t="n">
        <f aca="false">IF(B189=2026,INDEX($C$27:$Q$27,1,B189-2025)*$AO$4*C189/MAX(0.0001,12-$AO$3),INDEX($C$27:$Q$27,1,B189-2025)/12)</f>
        <v>2.41782504586871</v>
      </c>
      <c r="EW189" s="88" t="n">
        <f aca="false">$AO$6*0</f>
        <v>0</v>
      </c>
      <c r="EX189" s="88" t="n">
        <f aca="false">EV189+EX188</f>
        <v>611.06919348181</v>
      </c>
      <c r="EY189" s="88" t="n">
        <f aca="false">EW189+EY188</f>
        <v>391</v>
      </c>
      <c r="EZ189" s="88" t="n">
        <f aca="false">MAX(EZ188,EX189-EY189)</f>
        <v>220.069193481809</v>
      </c>
      <c r="FA189" s="88" t="n">
        <f aca="false">EZ189-EZ188</f>
        <v>2.41782504586865</v>
      </c>
      <c r="FB189" s="88" t="n">
        <f aca="false">IF(B189=2026,INDEX($C$28:$Q$28,1,B189-2025)*$AO$4*C189/MAX(0.0001,12-$AO$3),INDEX($C$28:$Q$28,1,B189-2025)/12)</f>
        <v>12.6573141151227</v>
      </c>
      <c r="FC189" s="88" t="n">
        <f aca="false">$AO$6*0</f>
        <v>0</v>
      </c>
      <c r="FD189" s="88" t="n">
        <f aca="false">FB189+FD188</f>
        <v>3198.94722787727</v>
      </c>
      <c r="FE189" s="88" t="n">
        <f aca="false">FC189+FE188</f>
        <v>169</v>
      </c>
      <c r="FF189" s="88" t="n">
        <f aca="false">MAX(FF188,FD189-FE189)</f>
        <v>3029.94722787727</v>
      </c>
      <c r="FG189" s="88" t="n">
        <f aca="false">FF189-FF188</f>
        <v>12.6573141151225</v>
      </c>
    </row>
    <row r="190" customFormat="false" ht="15" hidden="false" customHeight="false" outlineLevel="0" collapsed="false">
      <c r="A190" s="0" t="n">
        <v>150</v>
      </c>
      <c r="B190" s="88" t="n">
        <f aca="false">2026+INT(A190/12)</f>
        <v>2038</v>
      </c>
      <c r="C190" s="88" t="n">
        <f aca="false">MAX(0,MIN(1,A190+1-$AO$3))</f>
        <v>1</v>
      </c>
      <c r="D190" s="88" t="n">
        <f aca="false">IF((A190+0.5-(0))&lt;$AO$3,0,2026+INT((A190+0.5-(0))/12))</f>
        <v>2038</v>
      </c>
      <c r="E190" s="88" t="n">
        <f aca="false">IF((A190+0.5-($AO$9))&lt;$AO$3,0,2026+INT((A190+0.5-($AO$9))/12))</f>
        <v>2037</v>
      </c>
      <c r="F190" s="88" t="n">
        <f aca="false">IF((A190+0.5-($AO$9+$AO$8))&lt;$AO$3,0,2026+INT((A190+0.5-($AO$9+$AO$8))/12))</f>
        <v>2035</v>
      </c>
      <c r="G190" s="88" t="n">
        <f aca="false">IF((A190+0.5-($AO$9+$AO$8+$AO$7))&lt;$AO$3,0,2026+INT((A190+0.5-($AO$9+$AO$8+$AO$7))/12))</f>
        <v>2035</v>
      </c>
      <c r="H190" s="88" t="n">
        <f aca="false">IF(B190=2026,INDEX($C$3:$Q$3,1,B190-2025)*$AO$4*C190/MAX(0.0001,12-$AO$3),INDEX($C$3:$Q$3,1,B190-2025)/12)</f>
        <v>129.583333333333</v>
      </c>
      <c r="I190" s="88" t="n">
        <f aca="false">$AO$6*0</f>
        <v>0</v>
      </c>
      <c r="J190" s="88" t="n">
        <f aca="false">H190+J189</f>
        <v>32879.8367579909</v>
      </c>
      <c r="K190" s="88" t="n">
        <f aca="false">I190+K189</f>
        <v>8695.00000000001</v>
      </c>
      <c r="L190" s="88" t="n">
        <f aca="false">MAX(L189,J190-K190)</f>
        <v>24184.8367579909</v>
      </c>
      <c r="M190" s="88" t="n">
        <f aca="false">L190-L189</f>
        <v>129.583333333328</v>
      </c>
      <c r="N190" s="88" t="n">
        <f aca="false">IF(B190=2026,INDEX($C$4:$Q$4,1,B190-2025)*$AO$4*C190/MAX(0.0001,12-$AO$3),INDEX($C$4:$Q$4,1,B190-2025)/12)</f>
        <v>3.9285593164349</v>
      </c>
      <c r="O190" s="88" t="n">
        <f aca="false">$AO$6*0</f>
        <v>0</v>
      </c>
      <c r="P190" s="88" t="n">
        <f aca="false">N190+P189</f>
        <v>996.813291460813</v>
      </c>
      <c r="Q190" s="88" t="n">
        <f aca="false">O190+Q189</f>
        <v>398</v>
      </c>
      <c r="R190" s="88" t="n">
        <f aca="false">MAX(R189,P190-Q190)</f>
        <v>598.813291460813</v>
      </c>
      <c r="S190" s="88" t="n">
        <f aca="false">R190-R189</f>
        <v>3.92855931643487</v>
      </c>
      <c r="T190" s="88" t="n">
        <f aca="false">IF(B190=2026,INDEX($C$5:$Q$5,1,B190-2025)*$AO$4*C190/MAX(0.0001,12-$AO$3),INDEX($C$5:$Q$5,1,B190-2025)/12)</f>
        <v>15.9670831585289</v>
      </c>
      <c r="U190" s="88" t="n">
        <f aca="false">$AO$6*0</f>
        <v>0</v>
      </c>
      <c r="V190" s="88" t="n">
        <f aca="false">T190+V189</f>
        <v>4051.40903732754</v>
      </c>
      <c r="W190" s="88" t="n">
        <f aca="false">U190+W189</f>
        <v>1115</v>
      </c>
      <c r="X190" s="88" t="n">
        <f aca="false">MAX(X189,V190-W190)</f>
        <v>2936.40903732754</v>
      </c>
      <c r="Y190" s="88" t="n">
        <f aca="false">X190-X189</f>
        <v>15.967083158529</v>
      </c>
      <c r="Z190" s="88" t="n">
        <f aca="false">IF(B190=2026,INDEX($C$6:$Q$6,1,B190-2025)*$AO$4*C190/MAX(0.0001,12-$AO$3),INDEX($C$6:$Q$6,1,B190-2025)/12)</f>
        <v>18.9436461953513</v>
      </c>
      <c r="AA190" s="88" t="n">
        <f aca="false">$AO$6*0</f>
        <v>0</v>
      </c>
      <c r="AB190" s="88" t="n">
        <f aca="false">Z190+AB189</f>
        <v>4806.66748170511</v>
      </c>
      <c r="AC190" s="88" t="n">
        <f aca="false">AA190+AC189</f>
        <v>2194</v>
      </c>
      <c r="AD190" s="88" t="n">
        <f aca="false">MAX(AD189,AB190-AC190)</f>
        <v>2612.66748170511</v>
      </c>
      <c r="AE190" s="88" t="n">
        <f aca="false">AD190-AD189</f>
        <v>18.943646195351</v>
      </c>
      <c r="AF190" s="88" t="n">
        <f aca="false">IF(B190=2026,INDEX($C$7:$Q$7,1,B190-2025)*$AO$4*C190/MAX(0.0001,12-$AO$3),INDEX($C$7:$Q$7,1,B190-2025)/12)</f>
        <v>16.4556786026022</v>
      </c>
      <c r="AG190" s="88" t="n">
        <f aca="false">$AO$6*0</f>
        <v>0</v>
      </c>
      <c r="AH190" s="88" t="n">
        <f aca="false">AF190+AH189</f>
        <v>4175.3828388079</v>
      </c>
      <c r="AI190" s="88" t="n">
        <f aca="false">AG190+AI189</f>
        <v>826</v>
      </c>
      <c r="AJ190" s="88" t="n">
        <f aca="false">MAX(AJ189,AH190-AI190)</f>
        <v>3349.3828388079</v>
      </c>
      <c r="AK190" s="88" t="n">
        <f aca="false">AJ190-AJ189</f>
        <v>16.4556786026023</v>
      </c>
      <c r="AL190" s="88" t="n">
        <f aca="false">IF(B190=2026,INDEX($C$8:$Q$8,1,B190-2025)*$AO$4*C190/MAX(0.0001,12-$AO$3),INDEX($C$8:$Q$8,1,B190-2025)/12)</f>
        <v>4.1625092528236</v>
      </c>
      <c r="AM190" s="88" t="n">
        <f aca="false">$AO$6*0</f>
        <v>0</v>
      </c>
      <c r="AN190" s="88" t="n">
        <f aca="false">AL190+AN189</f>
        <v>1056.17459603704</v>
      </c>
      <c r="AO190" s="88" t="n">
        <f aca="false">AM190+AO189</f>
        <v>66</v>
      </c>
      <c r="AP190" s="88" t="n">
        <f aca="false">MAX(AP189,AN190-AO190)</f>
        <v>990.174596037041</v>
      </c>
      <c r="AQ190" s="88" t="n">
        <f aca="false">AP190-AP189</f>
        <v>4.16250925282361</v>
      </c>
      <c r="AR190" s="88" t="n">
        <f aca="false">IF(B190=2026,INDEX($C$9:$Q$9,1,B190-2025)*$AO$4*C190/MAX(0.0001,12-$AO$3),INDEX($C$9:$Q$9,1,B190-2025)/12)</f>
        <v>17.7487019048737</v>
      </c>
      <c r="AS190" s="88" t="n">
        <f aca="false">$AO$6*0</f>
        <v>0</v>
      </c>
      <c r="AT190" s="88" t="n">
        <f aca="false">AR190+AT189</f>
        <v>4503.46820294654</v>
      </c>
      <c r="AU190" s="88" t="n">
        <f aca="false">AS190+AU189</f>
        <v>1810</v>
      </c>
      <c r="AV190" s="88" t="n">
        <f aca="false">MAX(AV189,AT190-AU190)</f>
        <v>2693.46820294654</v>
      </c>
      <c r="AW190" s="88" t="n">
        <f aca="false">AV190-AV189</f>
        <v>17.748701904874</v>
      </c>
      <c r="AX190" s="88" t="n">
        <f aca="false">IF(B190=2026,INDEX($C$10:$Q$10,1,B190-2025)*$AO$4*C190/MAX(0.0001,12-$AO$3),INDEX($C$10:$Q$10,1,B190-2025)/12)</f>
        <v>2.05875944022058</v>
      </c>
      <c r="AY190" s="88" t="n">
        <f aca="false">$AO$6*0</f>
        <v>0</v>
      </c>
      <c r="AZ190" s="88" t="n">
        <f aca="false">AX190+AZ189</f>
        <v>522.379480270805</v>
      </c>
      <c r="BA190" s="88" t="n">
        <f aca="false">AY190+BA189</f>
        <v>50</v>
      </c>
      <c r="BB190" s="88" t="n">
        <f aca="false">MAX(BB189,AZ190-BA190)</f>
        <v>472.379480270805</v>
      </c>
      <c r="BC190" s="88" t="n">
        <f aca="false">BB190-BB189</f>
        <v>2.05875944022057</v>
      </c>
      <c r="BD190" s="88" t="n">
        <f aca="false">IF(B190=2026,INDEX($C$11:$Q$11,1,B190-2025)*$AO$4*C190/MAX(0.0001,12-$AO$3),INDEX($C$11:$Q$11,1,B190-2025)/12)</f>
        <v>10.2308106797675</v>
      </c>
      <c r="BE190" s="88" t="n">
        <f aca="false">$AO$6*0</f>
        <v>0</v>
      </c>
      <c r="BF190" s="88" t="n">
        <f aca="false">BD190+BF189</f>
        <v>2595.91551166043</v>
      </c>
      <c r="BG190" s="88" t="n">
        <f aca="false">BE190+BG189</f>
        <v>240</v>
      </c>
      <c r="BH190" s="88" t="n">
        <f aca="false">MAX(BH189,BF190-BG190)</f>
        <v>2355.91551166043</v>
      </c>
      <c r="BI190" s="88" t="n">
        <f aca="false">BH190-BH189</f>
        <v>10.2308106797673</v>
      </c>
      <c r="BJ190" s="88" t="n">
        <f aca="false">IF(B190=2026,INDEX($C$12:$Q$12,1,B190-2025)*$AO$4*C190/MAX(0.0001,12-$AO$3),INDEX($C$12:$Q$12,1,B190-2025)/12)</f>
        <v>5.60939962864295</v>
      </c>
      <c r="BK190" s="88" t="n">
        <f aca="false">$AO$6*0</f>
        <v>0</v>
      </c>
      <c r="BL190" s="88" t="n">
        <f aca="false">BJ190+BL189</f>
        <v>1423.30143357002</v>
      </c>
      <c r="BM190" s="88" t="n">
        <f aca="false">BK190+BM189</f>
        <v>465</v>
      </c>
      <c r="BN190" s="88" t="n">
        <f aca="false">MAX(BN189,BL190-BM190)</f>
        <v>958.301433570022</v>
      </c>
      <c r="BO190" s="88" t="n">
        <f aca="false">BN190-BN189</f>
        <v>5.60939962864291</v>
      </c>
      <c r="BP190" s="88" t="n">
        <f aca="false">IF(B190=2026,INDEX($C$13:$Q$13,1,B190-2025)*$AO$4*C190/MAX(0.0001,12-$AO$3),INDEX($C$13:$Q$13,1,B190-2025)/12)</f>
        <v>1.75292315825481</v>
      </c>
      <c r="BQ190" s="88" t="n">
        <f aca="false">$AO$6*0</f>
        <v>0</v>
      </c>
      <c r="BR190" s="88" t="n">
        <f aca="false">BP190+BR189</f>
        <v>444.778088432566</v>
      </c>
      <c r="BS190" s="88" t="n">
        <f aca="false">BQ190+BS189</f>
        <v>87</v>
      </c>
      <c r="BT190" s="88" t="n">
        <f aca="false">MAX(BT189,BR190-BS190)</f>
        <v>357.778088432566</v>
      </c>
      <c r="BU190" s="88" t="n">
        <f aca="false">BT190-BT189</f>
        <v>1.75292315825482</v>
      </c>
      <c r="BV190" s="88" t="n">
        <f aca="false">IF(B190=2026,INDEX($C$14:$Q$14,1,B190-2025)*$AO$4*C190/MAX(0.0001,12-$AO$3),INDEX($C$14:$Q$14,1,B190-2025)/12)</f>
        <v>1.03966476972354</v>
      </c>
      <c r="BW190" s="88" t="n">
        <f aca="false">$AO$6*0</f>
        <v>0</v>
      </c>
      <c r="BX190" s="88" t="n">
        <f aca="false">BV190+BX189</f>
        <v>263.799417966902</v>
      </c>
      <c r="BY190" s="88" t="n">
        <f aca="false">BW190+BY189</f>
        <v>0</v>
      </c>
      <c r="BZ190" s="88" t="n">
        <f aca="false">MAX(BZ189,BX190-BY190)</f>
        <v>263.799417966902</v>
      </c>
      <c r="CA190" s="88" t="n">
        <f aca="false">BZ190-BZ189</f>
        <v>1.03966476972357</v>
      </c>
      <c r="CB190" s="88" t="n">
        <f aca="false">IF(B190=2026,INDEX($C$15:$Q$15,1,B190-2025)*$AO$4*C190/MAX(0.0001,12-$AO$3),INDEX($C$15:$Q$15,1,B190-2025)/12)</f>
        <v>1.70456665733744</v>
      </c>
      <c r="CC190" s="88" t="n">
        <f aca="false">$AO$6*0</f>
        <v>0</v>
      </c>
      <c r="CD190" s="88" t="n">
        <f aca="false">CB190+CD189</f>
        <v>432.508348062012</v>
      </c>
      <c r="CE190" s="88" t="n">
        <f aca="false">CC190+CE189</f>
        <v>88.0000000000001</v>
      </c>
      <c r="CF190" s="88" t="n">
        <f aca="false">MAX(CF189,CD190-CE190)</f>
        <v>344.508348062012</v>
      </c>
      <c r="CG190" s="88" t="n">
        <f aca="false">CF190-CF189</f>
        <v>1.70456665733747</v>
      </c>
      <c r="CH190" s="88" t="n">
        <f aca="false">IF(B190=2026,INDEX($C$16:$Q$16,1,B190-2025)*$AO$4*C190/MAX(0.0001,12-$AO$3),INDEX($C$16:$Q$16,1,B190-2025)/12)</f>
        <v>1.3479374630718</v>
      </c>
      <c r="CI190" s="88" t="n">
        <f aca="false">$AO$6*0</f>
        <v>0</v>
      </c>
      <c r="CJ190" s="88" t="n">
        <f aca="false">CH190+CJ189</f>
        <v>342.01901282918</v>
      </c>
      <c r="CK190" s="88" t="n">
        <f aca="false">CI190+CK189</f>
        <v>70</v>
      </c>
      <c r="CL190" s="88" t="n">
        <f aca="false">MAX(CL189,CJ190-CK190)</f>
        <v>272.01901282918</v>
      </c>
      <c r="CM190" s="88" t="n">
        <f aca="false">CL190-CL189</f>
        <v>1.34793746307179</v>
      </c>
      <c r="CN190" s="88" t="n">
        <f aca="false">IF(B190=2026,INDEX($C$17:$Q$17,1,B190-2025)*$AO$4*C190/MAX(0.0001,12-$AO$3),INDEX($C$17:$Q$17,1,B190-2025)/12)</f>
        <v>5.86927029884629</v>
      </c>
      <c r="CO190" s="88" t="n">
        <f aca="false">$AO$6*0</f>
        <v>0</v>
      </c>
      <c r="CP190" s="88" t="n">
        <f aca="false">CN190+CP189</f>
        <v>1489.23973747594</v>
      </c>
      <c r="CQ190" s="88" t="n">
        <f aca="false">CO190+CQ189</f>
        <v>221</v>
      </c>
      <c r="CR190" s="88" t="n">
        <f aca="false">MAX(CR189,CP190-CQ190)</f>
        <v>1268.23973747594</v>
      </c>
      <c r="CS190" s="88" t="n">
        <f aca="false">CR190-CR189</f>
        <v>5.86927029884623</v>
      </c>
      <c r="CT190" s="88" t="n">
        <f aca="false">IF(B190=2026,INDEX($C$18:$Q$18,1,B190-2025)*$AO$4*C190/MAX(0.0001,12-$AO$3),INDEX($C$18:$Q$18,1,B190-2025)/12)</f>
        <v>1.2210016481637</v>
      </c>
      <c r="CU190" s="88" t="n">
        <f aca="false">$AO$6*0</f>
        <v>0</v>
      </c>
      <c r="CV190" s="88" t="n">
        <f aca="false">CT190+CV189</f>
        <v>309.810944356477</v>
      </c>
      <c r="CW190" s="88" t="n">
        <f aca="false">CU190+CW189</f>
        <v>11</v>
      </c>
      <c r="CX190" s="88" t="n">
        <f aca="false">MAX(CX189,CV190-CW190)</f>
        <v>298.810944356477</v>
      </c>
      <c r="CY190" s="88" t="n">
        <f aca="false">CX190-CX189</f>
        <v>1.22100164816368</v>
      </c>
      <c r="CZ190" s="88" t="n">
        <f aca="false">IF(B190=2026,INDEX($C$19:$Q$19,1,B190-2025)*$AO$4*C190/MAX(0.0001,12-$AO$3),INDEX($C$19:$Q$19,1,B190-2025)/12)</f>
        <v>1.20891252293435</v>
      </c>
      <c r="DA190" s="88" t="n">
        <f aca="false">$AO$6*0</f>
        <v>0</v>
      </c>
      <c r="DB190" s="88" t="n">
        <f aca="false">CZ190+DB189</f>
        <v>306.743509263839</v>
      </c>
      <c r="DC190" s="88" t="n">
        <f aca="false">DA190+DC189</f>
        <v>226</v>
      </c>
      <c r="DD190" s="88" t="n">
        <f aca="false">MAX(DD189,DB190-DC190)</f>
        <v>80.7435092638392</v>
      </c>
      <c r="DE190" s="88" t="n">
        <f aca="false">DD190-DD189</f>
        <v>1.20891252293433</v>
      </c>
      <c r="DF190" s="88" t="n">
        <f aca="false">IF(B190=2026,INDEX($C$20:$Q$20,1,B190-2025)*$AO$4*C190/MAX(0.0001,12-$AO$3),INDEX($C$20:$Q$20,1,B190-2025)/12)</f>
        <v>0.985263706191498</v>
      </c>
      <c r="DG190" s="88" t="n">
        <f aca="false">$AO$6*0</f>
        <v>0</v>
      </c>
      <c r="DH190" s="88" t="n">
        <f aca="false">DF190+DH189</f>
        <v>249.995960050029</v>
      </c>
      <c r="DI190" s="88" t="n">
        <f aca="false">DG190+DI189</f>
        <v>0</v>
      </c>
      <c r="DJ190" s="88" t="n">
        <f aca="false">MAX(DJ189,DH190-DI190)</f>
        <v>249.995960050029</v>
      </c>
      <c r="DK190" s="88" t="n">
        <f aca="false">DJ190-DJ189</f>
        <v>0.985263706191489</v>
      </c>
      <c r="DL190" s="88" t="n">
        <f aca="false">IF(B190=2026,INDEX($C$21:$Q$21,1,B190-2025)*$AO$4*C190/MAX(0.0001,12-$AO$3),INDEX($C$21:$Q$21,1,B190-2025)/12)</f>
        <v>0.689080138072581</v>
      </c>
      <c r="DM190" s="88" t="n">
        <f aca="false">$AO$6*0</f>
        <v>0</v>
      </c>
      <c r="DN190" s="88" t="n">
        <f aca="false">DL190+DN189</f>
        <v>174.843800280388</v>
      </c>
      <c r="DO190" s="88" t="n">
        <f aca="false">DM190+DO189</f>
        <v>100</v>
      </c>
      <c r="DP190" s="88" t="n">
        <f aca="false">MAX(DP189,DN190-DO190)</f>
        <v>74.8438002803879</v>
      </c>
      <c r="DQ190" s="88" t="n">
        <f aca="false">DP190-DP189</f>
        <v>0.689080138072569</v>
      </c>
      <c r="DR190" s="88" t="n">
        <f aca="false">IF(B190=2026,INDEX($C$22:$Q$22,1,B190-2025)*$AO$4*C190/MAX(0.0001,12-$AO$3),INDEX($C$22:$Q$22,1,B190-2025)/12)</f>
        <v>0.537966072705787</v>
      </c>
      <c r="DS190" s="88" t="n">
        <f aca="false">$AO$6*0</f>
        <v>0</v>
      </c>
      <c r="DT190" s="88" t="n">
        <f aca="false">DR190+DT189</f>
        <v>136.500861622408</v>
      </c>
      <c r="DU190" s="88" t="n">
        <f aca="false">DS190+DU189</f>
        <v>29</v>
      </c>
      <c r="DV190" s="88" t="n">
        <f aca="false">MAX(DV189,DT190-DU190)</f>
        <v>107.500861622408</v>
      </c>
      <c r="DW190" s="88" t="n">
        <f aca="false">DV190-DV189</f>
        <v>0.537966072705785</v>
      </c>
      <c r="DX190" s="88" t="n">
        <f aca="false">IF(B190=2026,INDEX($C$23:$Q$23,1,B190-2025)*$AO$4*C190/MAX(0.0001,12-$AO$3),INDEX($C$23:$Q$23,1,B190-2025)/12)</f>
        <v>0.864372453898063</v>
      </c>
      <c r="DY190" s="88" t="n">
        <f aca="false">$AO$6*0</f>
        <v>0</v>
      </c>
      <c r="DZ190" s="88" t="n">
        <f aca="false">DX190+DZ189</f>
        <v>219.321609123645</v>
      </c>
      <c r="EA190" s="88" t="n">
        <f aca="false">DY190+EA189</f>
        <v>121</v>
      </c>
      <c r="EB190" s="88" t="n">
        <f aca="false">MAX(EB189,DZ190-EA190)</f>
        <v>98.3216091236451</v>
      </c>
      <c r="EC190" s="88" t="n">
        <f aca="false">EB190-EB189</f>
        <v>0.864372453898056</v>
      </c>
      <c r="ED190" s="88" t="n">
        <f aca="false">IF(B190=2026,INDEX($C$24:$Q$24,1,B190-2025)*$AO$4*C190/MAX(0.0001,12-$AO$3),INDEX($C$24:$Q$24,1,B190-2025)/12)</f>
        <v>0.531921510091116</v>
      </c>
      <c r="EE190" s="88" t="n">
        <f aca="false">$AO$6*0</f>
        <v>0</v>
      </c>
      <c r="EF190" s="88" t="n">
        <f aca="false">ED190+EF189</f>
        <v>134.967144076089</v>
      </c>
      <c r="EG190" s="88" t="n">
        <f aca="false">EE190+EG189</f>
        <v>0</v>
      </c>
      <c r="EH190" s="88" t="n">
        <f aca="false">MAX(EH189,EF190-EG190)</f>
        <v>134.967144076089</v>
      </c>
      <c r="EI190" s="88" t="n">
        <f aca="false">EH190-EH189</f>
        <v>0.531921510091109</v>
      </c>
      <c r="EJ190" s="88" t="n">
        <f aca="false">IF(B190=2026,INDEX($C$25:$Q$25,1,B190-2025)*$AO$4*C190/MAX(0.0001,12-$AO$3),INDEX($C$25:$Q$25,1,B190-2025)/12)</f>
        <v>0.676991012843238</v>
      </c>
      <c r="EK190" s="88" t="n">
        <f aca="false">$AO$6*0</f>
        <v>0</v>
      </c>
      <c r="EL190" s="88" t="n">
        <f aca="false">EJ190+EL189</f>
        <v>171.77636518775</v>
      </c>
      <c r="EM190" s="88" t="n">
        <f aca="false">EK190+EM189</f>
        <v>14</v>
      </c>
      <c r="EN190" s="88" t="n">
        <f aca="false">MAX(EN189,EL190-EM190)</f>
        <v>157.77636518775</v>
      </c>
      <c r="EO190" s="88" t="n">
        <f aca="false">EN190-EN189</f>
        <v>0.676991012843246</v>
      </c>
      <c r="EP190" s="88" t="n">
        <f aca="false">IF(B190=2026,INDEX($C$26:$Q$26,1,B190-2025)*$AO$4*C190/MAX(0.0001,12-$AO$3),INDEX($C$26:$Q$26,1,B190-2025)/12)</f>
        <v>0.973174580962155</v>
      </c>
      <c r="EQ190" s="88" t="n">
        <f aca="false">$AO$6*0</f>
        <v>0</v>
      </c>
      <c r="ER190" s="88" t="n">
        <f aca="false">EP190+ER189</f>
        <v>246.928524957389</v>
      </c>
      <c r="ES190" s="88" t="n">
        <f aca="false">EQ190+ES189</f>
        <v>4</v>
      </c>
      <c r="ET190" s="88" t="n">
        <f aca="false">MAX(ET189,ER190-ES190)</f>
        <v>242.928524957389</v>
      </c>
      <c r="EU190" s="88" t="n">
        <f aca="false">ET190-ET189</f>
        <v>0.973174580962166</v>
      </c>
      <c r="EV190" s="88" t="n">
        <f aca="false">IF(B190=2026,INDEX($C$27:$Q$27,1,B190-2025)*$AO$4*C190/MAX(0.0001,12-$AO$3),INDEX($C$27:$Q$27,1,B190-2025)/12)</f>
        <v>2.41782504586871</v>
      </c>
      <c r="EW190" s="88" t="n">
        <f aca="false">$AO$6*0</f>
        <v>0</v>
      </c>
      <c r="EX190" s="88" t="n">
        <f aca="false">EV190+EX189</f>
        <v>613.487018527678</v>
      </c>
      <c r="EY190" s="88" t="n">
        <f aca="false">EW190+EY189</f>
        <v>391</v>
      </c>
      <c r="EZ190" s="88" t="n">
        <f aca="false">MAX(EZ189,EX190-EY190)</f>
        <v>222.487018527678</v>
      </c>
      <c r="FA190" s="88" t="n">
        <f aca="false">EZ190-EZ189</f>
        <v>2.41782504586865</v>
      </c>
      <c r="FB190" s="88" t="n">
        <f aca="false">IF(B190=2026,INDEX($C$28:$Q$28,1,B190-2025)*$AO$4*C190/MAX(0.0001,12-$AO$3),INDEX($C$28:$Q$28,1,B190-2025)/12)</f>
        <v>12.6573141151227</v>
      </c>
      <c r="FC190" s="88" t="n">
        <f aca="false">$AO$6*0</f>
        <v>0</v>
      </c>
      <c r="FD190" s="88" t="n">
        <f aca="false">FB190+FD189</f>
        <v>3211.60454199239</v>
      </c>
      <c r="FE190" s="88" t="n">
        <f aca="false">FC190+FE189</f>
        <v>169</v>
      </c>
      <c r="FF190" s="88" t="n">
        <f aca="false">MAX(FF189,FD190-FE190)</f>
        <v>3042.60454199239</v>
      </c>
      <c r="FG190" s="88" t="n">
        <f aca="false">FF190-FF189</f>
        <v>12.6573141151225</v>
      </c>
    </row>
    <row r="191" customFormat="false" ht="15" hidden="false" customHeight="false" outlineLevel="0" collapsed="false">
      <c r="A191" s="0" t="n">
        <v>151</v>
      </c>
      <c r="B191" s="88" t="n">
        <f aca="false">2026+INT(A191/12)</f>
        <v>2038</v>
      </c>
      <c r="C191" s="88" t="n">
        <f aca="false">MAX(0,MIN(1,A191+1-$AO$3))</f>
        <v>1</v>
      </c>
      <c r="D191" s="88" t="n">
        <f aca="false">IF((A191+0.5-(0))&lt;$AO$3,0,2026+INT((A191+0.5-(0))/12))</f>
        <v>2038</v>
      </c>
      <c r="E191" s="88" t="n">
        <f aca="false">IF((A191+0.5-($AO$9))&lt;$AO$3,0,2026+INT((A191+0.5-($AO$9))/12))</f>
        <v>2037</v>
      </c>
      <c r="F191" s="88" t="n">
        <f aca="false">IF((A191+0.5-($AO$9+$AO$8))&lt;$AO$3,0,2026+INT((A191+0.5-($AO$9+$AO$8))/12))</f>
        <v>2036</v>
      </c>
      <c r="G191" s="88" t="n">
        <f aca="false">IF((A191+0.5-($AO$9+$AO$8+$AO$7))&lt;$AO$3,0,2026+INT((A191+0.5-($AO$9+$AO$8+$AO$7))/12))</f>
        <v>2035</v>
      </c>
      <c r="H191" s="88" t="n">
        <f aca="false">IF(B191=2026,INDEX($C$3:$Q$3,1,B191-2025)*$AO$4*C191/MAX(0.0001,12-$AO$3),INDEX($C$3:$Q$3,1,B191-2025)/12)</f>
        <v>129.583333333333</v>
      </c>
      <c r="I191" s="88" t="n">
        <f aca="false">$AO$6*0</f>
        <v>0</v>
      </c>
      <c r="J191" s="88" t="n">
        <f aca="false">H191+J190</f>
        <v>33009.4200913243</v>
      </c>
      <c r="K191" s="88" t="n">
        <f aca="false">I191+K190</f>
        <v>8695.00000000001</v>
      </c>
      <c r="L191" s="88" t="n">
        <f aca="false">MAX(L190,J191-K191)</f>
        <v>24314.4200913242</v>
      </c>
      <c r="M191" s="88" t="n">
        <f aca="false">L191-L190</f>
        <v>129.583333333336</v>
      </c>
      <c r="N191" s="88" t="n">
        <f aca="false">IF(B191=2026,INDEX($C$4:$Q$4,1,B191-2025)*$AO$4*C191/MAX(0.0001,12-$AO$3),INDEX($C$4:$Q$4,1,B191-2025)/12)</f>
        <v>3.9285593164349</v>
      </c>
      <c r="O191" s="88" t="n">
        <f aca="false">$AO$6*0</f>
        <v>0</v>
      </c>
      <c r="P191" s="88" t="n">
        <f aca="false">N191+P190</f>
        <v>1000.74185077725</v>
      </c>
      <c r="Q191" s="88" t="n">
        <f aca="false">O191+Q190</f>
        <v>398</v>
      </c>
      <c r="R191" s="88" t="n">
        <f aca="false">MAX(R190,P191-Q191)</f>
        <v>602.741850777248</v>
      </c>
      <c r="S191" s="88" t="n">
        <f aca="false">R191-R190</f>
        <v>3.92855931643487</v>
      </c>
      <c r="T191" s="88" t="n">
        <f aca="false">IF(B191=2026,INDEX($C$5:$Q$5,1,B191-2025)*$AO$4*C191/MAX(0.0001,12-$AO$3),INDEX($C$5:$Q$5,1,B191-2025)/12)</f>
        <v>15.9670831585289</v>
      </c>
      <c r="U191" s="88" t="n">
        <f aca="false">$AO$6*0</f>
        <v>0</v>
      </c>
      <c r="V191" s="88" t="n">
        <f aca="false">T191+V190</f>
        <v>4067.37612048607</v>
      </c>
      <c r="W191" s="88" t="n">
        <f aca="false">U191+W190</f>
        <v>1115</v>
      </c>
      <c r="X191" s="88" t="n">
        <f aca="false">MAX(X190,V191-W191)</f>
        <v>2952.37612048607</v>
      </c>
      <c r="Y191" s="88" t="n">
        <f aca="false">X191-X190</f>
        <v>15.967083158529</v>
      </c>
      <c r="Z191" s="88" t="n">
        <f aca="false">IF(B191=2026,INDEX($C$6:$Q$6,1,B191-2025)*$AO$4*C191/MAX(0.0001,12-$AO$3),INDEX($C$6:$Q$6,1,B191-2025)/12)</f>
        <v>18.9436461953513</v>
      </c>
      <c r="AA191" s="88" t="n">
        <f aca="false">$AO$6*0</f>
        <v>0</v>
      </c>
      <c r="AB191" s="88" t="n">
        <f aca="false">Z191+AB190</f>
        <v>4825.61112790046</v>
      </c>
      <c r="AC191" s="88" t="n">
        <f aca="false">AA191+AC190</f>
        <v>2194</v>
      </c>
      <c r="AD191" s="88" t="n">
        <f aca="false">MAX(AD190,AB191-AC191)</f>
        <v>2631.61112790046</v>
      </c>
      <c r="AE191" s="88" t="n">
        <f aca="false">AD191-AD190</f>
        <v>18.943646195351</v>
      </c>
      <c r="AF191" s="88" t="n">
        <f aca="false">IF(B191=2026,INDEX($C$7:$Q$7,1,B191-2025)*$AO$4*C191/MAX(0.0001,12-$AO$3),INDEX($C$7:$Q$7,1,B191-2025)/12)</f>
        <v>16.4556786026022</v>
      </c>
      <c r="AG191" s="88" t="n">
        <f aca="false">$AO$6*0</f>
        <v>0</v>
      </c>
      <c r="AH191" s="88" t="n">
        <f aca="false">AF191+AH190</f>
        <v>4191.8385174105</v>
      </c>
      <c r="AI191" s="88" t="n">
        <f aca="false">AG191+AI190</f>
        <v>826</v>
      </c>
      <c r="AJ191" s="88" t="n">
        <f aca="false">MAX(AJ190,AH191-AI191)</f>
        <v>3365.8385174105</v>
      </c>
      <c r="AK191" s="88" t="n">
        <f aca="false">AJ191-AJ190</f>
        <v>16.4556786026023</v>
      </c>
      <c r="AL191" s="88" t="n">
        <f aca="false">IF(B191=2026,INDEX($C$8:$Q$8,1,B191-2025)*$AO$4*C191/MAX(0.0001,12-$AO$3),INDEX($C$8:$Q$8,1,B191-2025)/12)</f>
        <v>4.1625092528236</v>
      </c>
      <c r="AM191" s="88" t="n">
        <f aca="false">$AO$6*0</f>
        <v>0</v>
      </c>
      <c r="AN191" s="88" t="n">
        <f aca="false">AL191+AN190</f>
        <v>1060.33710528986</v>
      </c>
      <c r="AO191" s="88" t="n">
        <f aca="false">AM191+AO190</f>
        <v>66</v>
      </c>
      <c r="AP191" s="88" t="n">
        <f aca="false">MAX(AP190,AN191-AO191)</f>
        <v>994.337105289864</v>
      </c>
      <c r="AQ191" s="88" t="n">
        <f aca="false">AP191-AP190</f>
        <v>4.16250925282361</v>
      </c>
      <c r="AR191" s="88" t="n">
        <f aca="false">IF(B191=2026,INDEX($C$9:$Q$9,1,B191-2025)*$AO$4*C191/MAX(0.0001,12-$AO$3),INDEX($C$9:$Q$9,1,B191-2025)/12)</f>
        <v>17.7487019048737</v>
      </c>
      <c r="AS191" s="88" t="n">
        <f aca="false">$AO$6*0</f>
        <v>0</v>
      </c>
      <c r="AT191" s="88" t="n">
        <f aca="false">AR191+AT190</f>
        <v>4521.21690485141</v>
      </c>
      <c r="AU191" s="88" t="n">
        <f aca="false">AS191+AU190</f>
        <v>1810</v>
      </c>
      <c r="AV191" s="88" t="n">
        <f aca="false">MAX(AV190,AT191-AU191)</f>
        <v>2711.21690485141</v>
      </c>
      <c r="AW191" s="88" t="n">
        <f aca="false">AV191-AV190</f>
        <v>17.748701904874</v>
      </c>
      <c r="AX191" s="88" t="n">
        <f aca="false">IF(B191=2026,INDEX($C$10:$Q$10,1,B191-2025)*$AO$4*C191/MAX(0.0001,12-$AO$3),INDEX($C$10:$Q$10,1,B191-2025)/12)</f>
        <v>2.05875944022058</v>
      </c>
      <c r="AY191" s="88" t="n">
        <f aca="false">$AO$6*0</f>
        <v>0</v>
      </c>
      <c r="AZ191" s="88" t="n">
        <f aca="false">AX191+AZ190</f>
        <v>524.438239711026</v>
      </c>
      <c r="BA191" s="88" t="n">
        <f aca="false">AY191+BA190</f>
        <v>50</v>
      </c>
      <c r="BB191" s="88" t="n">
        <f aca="false">MAX(BB190,AZ191-BA191)</f>
        <v>474.438239711026</v>
      </c>
      <c r="BC191" s="88" t="n">
        <f aca="false">BB191-BB190</f>
        <v>2.05875944022057</v>
      </c>
      <c r="BD191" s="88" t="n">
        <f aca="false">IF(B191=2026,INDEX($C$11:$Q$11,1,B191-2025)*$AO$4*C191/MAX(0.0001,12-$AO$3),INDEX($C$11:$Q$11,1,B191-2025)/12)</f>
        <v>10.2308106797675</v>
      </c>
      <c r="BE191" s="88" t="n">
        <f aca="false">$AO$6*0</f>
        <v>0</v>
      </c>
      <c r="BF191" s="88" t="n">
        <f aca="false">BD191+BF190</f>
        <v>2606.14632234019</v>
      </c>
      <c r="BG191" s="88" t="n">
        <f aca="false">BE191+BG190</f>
        <v>240</v>
      </c>
      <c r="BH191" s="88" t="n">
        <f aca="false">MAX(BH190,BF191-BG191)</f>
        <v>2366.14632234019</v>
      </c>
      <c r="BI191" s="88" t="n">
        <f aca="false">BH191-BH190</f>
        <v>10.2308106797673</v>
      </c>
      <c r="BJ191" s="88" t="n">
        <f aca="false">IF(B191=2026,INDEX($C$12:$Q$12,1,B191-2025)*$AO$4*C191/MAX(0.0001,12-$AO$3),INDEX($C$12:$Q$12,1,B191-2025)/12)</f>
        <v>5.60939962864295</v>
      </c>
      <c r="BK191" s="88" t="n">
        <f aca="false">$AO$6*0</f>
        <v>0</v>
      </c>
      <c r="BL191" s="88" t="n">
        <f aca="false">BJ191+BL190</f>
        <v>1428.91083319866</v>
      </c>
      <c r="BM191" s="88" t="n">
        <f aca="false">BK191+BM190</f>
        <v>465</v>
      </c>
      <c r="BN191" s="88" t="n">
        <f aca="false">MAX(BN190,BL191-BM191)</f>
        <v>963.910833198665</v>
      </c>
      <c r="BO191" s="88" t="n">
        <f aca="false">BN191-BN190</f>
        <v>5.60939962864291</v>
      </c>
      <c r="BP191" s="88" t="n">
        <f aca="false">IF(B191=2026,INDEX($C$13:$Q$13,1,B191-2025)*$AO$4*C191/MAX(0.0001,12-$AO$3),INDEX($C$13:$Q$13,1,B191-2025)/12)</f>
        <v>1.75292315825481</v>
      </c>
      <c r="BQ191" s="88" t="n">
        <f aca="false">$AO$6*0</f>
        <v>0</v>
      </c>
      <c r="BR191" s="88" t="n">
        <f aca="false">BP191+BR190</f>
        <v>446.53101159082</v>
      </c>
      <c r="BS191" s="88" t="n">
        <f aca="false">BQ191+BS190</f>
        <v>87</v>
      </c>
      <c r="BT191" s="88" t="n">
        <f aca="false">MAX(BT190,BR191-BS191)</f>
        <v>359.53101159082</v>
      </c>
      <c r="BU191" s="88" t="n">
        <f aca="false">BT191-BT190</f>
        <v>1.75292315825482</v>
      </c>
      <c r="BV191" s="88" t="n">
        <f aca="false">IF(B191=2026,INDEX($C$14:$Q$14,1,B191-2025)*$AO$4*C191/MAX(0.0001,12-$AO$3),INDEX($C$14:$Q$14,1,B191-2025)/12)</f>
        <v>1.03966476972354</v>
      </c>
      <c r="BW191" s="88" t="n">
        <f aca="false">$AO$6*0</f>
        <v>0</v>
      </c>
      <c r="BX191" s="88" t="n">
        <f aca="false">BV191+BX190</f>
        <v>264.839082736625</v>
      </c>
      <c r="BY191" s="88" t="n">
        <f aca="false">BW191+BY190</f>
        <v>0</v>
      </c>
      <c r="BZ191" s="88" t="n">
        <f aca="false">MAX(BZ190,BX191-BY191)</f>
        <v>264.839082736625</v>
      </c>
      <c r="CA191" s="88" t="n">
        <f aca="false">BZ191-BZ190</f>
        <v>1.03966476972357</v>
      </c>
      <c r="CB191" s="88" t="n">
        <f aca="false">IF(B191=2026,INDEX($C$15:$Q$15,1,B191-2025)*$AO$4*C191/MAX(0.0001,12-$AO$3),INDEX($C$15:$Q$15,1,B191-2025)/12)</f>
        <v>1.70456665733744</v>
      </c>
      <c r="CC191" s="88" t="n">
        <f aca="false">$AO$6*0</f>
        <v>0</v>
      </c>
      <c r="CD191" s="88" t="n">
        <f aca="false">CB191+CD190</f>
        <v>434.21291471935</v>
      </c>
      <c r="CE191" s="88" t="n">
        <f aca="false">CC191+CE190</f>
        <v>88.0000000000001</v>
      </c>
      <c r="CF191" s="88" t="n">
        <f aca="false">MAX(CF190,CD191-CE191)</f>
        <v>346.21291471935</v>
      </c>
      <c r="CG191" s="88" t="n">
        <f aca="false">CF191-CF190</f>
        <v>1.70456665733747</v>
      </c>
      <c r="CH191" s="88" t="n">
        <f aca="false">IF(B191=2026,INDEX($C$16:$Q$16,1,B191-2025)*$AO$4*C191/MAX(0.0001,12-$AO$3),INDEX($C$16:$Q$16,1,B191-2025)/12)</f>
        <v>1.3479374630718</v>
      </c>
      <c r="CI191" s="88" t="n">
        <f aca="false">$AO$6*0</f>
        <v>0</v>
      </c>
      <c r="CJ191" s="88" t="n">
        <f aca="false">CH191+CJ190</f>
        <v>343.366950292251</v>
      </c>
      <c r="CK191" s="88" t="n">
        <f aca="false">CI191+CK190</f>
        <v>70</v>
      </c>
      <c r="CL191" s="88" t="n">
        <f aca="false">MAX(CL190,CJ191-CK191)</f>
        <v>273.366950292251</v>
      </c>
      <c r="CM191" s="88" t="n">
        <f aca="false">CL191-CL190</f>
        <v>1.34793746307179</v>
      </c>
      <c r="CN191" s="88" t="n">
        <f aca="false">IF(B191=2026,INDEX($C$17:$Q$17,1,B191-2025)*$AO$4*C191/MAX(0.0001,12-$AO$3),INDEX($C$17:$Q$17,1,B191-2025)/12)</f>
        <v>5.86927029884629</v>
      </c>
      <c r="CO191" s="88" t="n">
        <f aca="false">$AO$6*0</f>
        <v>0</v>
      </c>
      <c r="CP191" s="88" t="n">
        <f aca="false">CN191+CP190</f>
        <v>1495.10900777479</v>
      </c>
      <c r="CQ191" s="88" t="n">
        <f aca="false">CO191+CQ190</f>
        <v>221</v>
      </c>
      <c r="CR191" s="88" t="n">
        <f aca="false">MAX(CR190,CP191-CQ191)</f>
        <v>1274.10900777479</v>
      </c>
      <c r="CS191" s="88" t="n">
        <f aca="false">CR191-CR190</f>
        <v>5.86927029884623</v>
      </c>
      <c r="CT191" s="88" t="n">
        <f aca="false">IF(B191=2026,INDEX($C$18:$Q$18,1,B191-2025)*$AO$4*C191/MAX(0.0001,12-$AO$3),INDEX($C$18:$Q$18,1,B191-2025)/12)</f>
        <v>1.2210016481637</v>
      </c>
      <c r="CU191" s="88" t="n">
        <f aca="false">$AO$6*0</f>
        <v>0</v>
      </c>
      <c r="CV191" s="88" t="n">
        <f aca="false">CT191+CV190</f>
        <v>311.031946004641</v>
      </c>
      <c r="CW191" s="88" t="n">
        <f aca="false">CU191+CW190</f>
        <v>11</v>
      </c>
      <c r="CX191" s="88" t="n">
        <f aca="false">MAX(CX190,CV191-CW191)</f>
        <v>300.031946004641</v>
      </c>
      <c r="CY191" s="88" t="n">
        <f aca="false">CX191-CX190</f>
        <v>1.22100164816368</v>
      </c>
      <c r="CZ191" s="88" t="n">
        <f aca="false">IF(B191=2026,INDEX($C$19:$Q$19,1,B191-2025)*$AO$4*C191/MAX(0.0001,12-$AO$3),INDEX($C$19:$Q$19,1,B191-2025)/12)</f>
        <v>1.20891252293435</v>
      </c>
      <c r="DA191" s="88" t="n">
        <f aca="false">$AO$6*0</f>
        <v>0</v>
      </c>
      <c r="DB191" s="88" t="n">
        <f aca="false">CZ191+DB190</f>
        <v>307.952421786773</v>
      </c>
      <c r="DC191" s="88" t="n">
        <f aca="false">DA191+DC190</f>
        <v>226</v>
      </c>
      <c r="DD191" s="88" t="n">
        <f aca="false">MAX(DD190,DB191-DC191)</f>
        <v>81.9524217867736</v>
      </c>
      <c r="DE191" s="88" t="n">
        <f aca="false">DD191-DD190</f>
        <v>1.20891252293433</v>
      </c>
      <c r="DF191" s="88" t="n">
        <f aca="false">IF(B191=2026,INDEX($C$20:$Q$20,1,B191-2025)*$AO$4*C191/MAX(0.0001,12-$AO$3),INDEX($C$20:$Q$20,1,B191-2025)/12)</f>
        <v>0.985263706191498</v>
      </c>
      <c r="DG191" s="88" t="n">
        <f aca="false">$AO$6*0</f>
        <v>0</v>
      </c>
      <c r="DH191" s="88" t="n">
        <f aca="false">DF191+DH190</f>
        <v>250.98122375622</v>
      </c>
      <c r="DI191" s="88" t="n">
        <f aca="false">DG191+DI190</f>
        <v>0</v>
      </c>
      <c r="DJ191" s="88" t="n">
        <f aca="false">MAX(DJ190,DH191-DI191)</f>
        <v>250.98122375622</v>
      </c>
      <c r="DK191" s="88" t="n">
        <f aca="false">DJ191-DJ190</f>
        <v>0.985263706191489</v>
      </c>
      <c r="DL191" s="88" t="n">
        <f aca="false">IF(B191=2026,INDEX($C$21:$Q$21,1,B191-2025)*$AO$4*C191/MAX(0.0001,12-$AO$3),INDEX($C$21:$Q$21,1,B191-2025)/12)</f>
        <v>0.689080138072581</v>
      </c>
      <c r="DM191" s="88" t="n">
        <f aca="false">$AO$6*0</f>
        <v>0</v>
      </c>
      <c r="DN191" s="88" t="n">
        <f aca="false">DL191+DN190</f>
        <v>175.53288041846</v>
      </c>
      <c r="DO191" s="88" t="n">
        <f aca="false">DM191+DO190</f>
        <v>100</v>
      </c>
      <c r="DP191" s="88" t="n">
        <f aca="false">MAX(DP190,DN191-DO191)</f>
        <v>75.5328804184605</v>
      </c>
      <c r="DQ191" s="88" t="n">
        <f aca="false">DP191-DP190</f>
        <v>0.689080138072569</v>
      </c>
      <c r="DR191" s="88" t="n">
        <f aca="false">IF(B191=2026,INDEX($C$22:$Q$22,1,B191-2025)*$AO$4*C191/MAX(0.0001,12-$AO$3),INDEX($C$22:$Q$22,1,B191-2025)/12)</f>
        <v>0.537966072705787</v>
      </c>
      <c r="DS191" s="88" t="n">
        <f aca="false">$AO$6*0</f>
        <v>0</v>
      </c>
      <c r="DT191" s="88" t="n">
        <f aca="false">DR191+DT190</f>
        <v>137.038827695114</v>
      </c>
      <c r="DU191" s="88" t="n">
        <f aca="false">DS191+DU190</f>
        <v>29</v>
      </c>
      <c r="DV191" s="88" t="n">
        <f aca="false">MAX(DV190,DT191-DU191)</f>
        <v>108.038827695114</v>
      </c>
      <c r="DW191" s="88" t="n">
        <f aca="false">DV191-DV190</f>
        <v>0.537966072705785</v>
      </c>
      <c r="DX191" s="88" t="n">
        <f aca="false">IF(B191=2026,INDEX($C$23:$Q$23,1,B191-2025)*$AO$4*C191/MAX(0.0001,12-$AO$3),INDEX($C$23:$Q$23,1,B191-2025)/12)</f>
        <v>0.864372453898063</v>
      </c>
      <c r="DY191" s="88" t="n">
        <f aca="false">$AO$6*0</f>
        <v>0</v>
      </c>
      <c r="DZ191" s="88" t="n">
        <f aca="false">DX191+DZ190</f>
        <v>220.185981577543</v>
      </c>
      <c r="EA191" s="88" t="n">
        <f aca="false">DY191+EA190</f>
        <v>121</v>
      </c>
      <c r="EB191" s="88" t="n">
        <f aca="false">MAX(EB190,DZ191-EA191)</f>
        <v>99.1859815775432</v>
      </c>
      <c r="EC191" s="88" t="n">
        <f aca="false">EB191-EB190</f>
        <v>0.864372453898056</v>
      </c>
      <c r="ED191" s="88" t="n">
        <f aca="false">IF(B191=2026,INDEX($C$24:$Q$24,1,B191-2025)*$AO$4*C191/MAX(0.0001,12-$AO$3),INDEX($C$24:$Q$24,1,B191-2025)/12)</f>
        <v>0.531921510091116</v>
      </c>
      <c r="EE191" s="88" t="n">
        <f aca="false">$AO$6*0</f>
        <v>0</v>
      </c>
      <c r="EF191" s="88" t="n">
        <f aca="false">ED191+EF190</f>
        <v>135.49906558618</v>
      </c>
      <c r="EG191" s="88" t="n">
        <f aca="false">EE191+EG190</f>
        <v>0</v>
      </c>
      <c r="EH191" s="88" t="n">
        <f aca="false">MAX(EH190,EF191-EG191)</f>
        <v>135.49906558618</v>
      </c>
      <c r="EI191" s="88" t="n">
        <f aca="false">EH191-EH190</f>
        <v>0.531921510091109</v>
      </c>
      <c r="EJ191" s="88" t="n">
        <f aca="false">IF(B191=2026,INDEX($C$25:$Q$25,1,B191-2025)*$AO$4*C191/MAX(0.0001,12-$AO$3),INDEX($C$25:$Q$25,1,B191-2025)/12)</f>
        <v>0.676991012843238</v>
      </c>
      <c r="EK191" s="88" t="n">
        <f aca="false">$AO$6*0</f>
        <v>0</v>
      </c>
      <c r="EL191" s="88" t="n">
        <f aca="false">EJ191+EL190</f>
        <v>172.453356200593</v>
      </c>
      <c r="EM191" s="88" t="n">
        <f aca="false">EK191+EM190</f>
        <v>14</v>
      </c>
      <c r="EN191" s="88" t="n">
        <f aca="false">MAX(EN190,EL191-EM191)</f>
        <v>158.453356200593</v>
      </c>
      <c r="EO191" s="88" t="n">
        <f aca="false">EN191-EN190</f>
        <v>0.676991012843246</v>
      </c>
      <c r="EP191" s="88" t="n">
        <f aca="false">IF(B191=2026,INDEX($C$26:$Q$26,1,B191-2025)*$AO$4*C191/MAX(0.0001,12-$AO$3),INDEX($C$26:$Q$26,1,B191-2025)/12)</f>
        <v>0.973174580962155</v>
      </c>
      <c r="EQ191" s="88" t="n">
        <f aca="false">$AO$6*0</f>
        <v>0</v>
      </c>
      <c r="ER191" s="88" t="n">
        <f aca="false">EP191+ER190</f>
        <v>247.901699538351</v>
      </c>
      <c r="ES191" s="88" t="n">
        <f aca="false">EQ191+ES190</f>
        <v>4</v>
      </c>
      <c r="ET191" s="88" t="n">
        <f aca="false">MAX(ET190,ER191-ES191)</f>
        <v>243.901699538351</v>
      </c>
      <c r="EU191" s="88" t="n">
        <f aca="false">ET191-ET190</f>
        <v>0.973174580962166</v>
      </c>
      <c r="EV191" s="88" t="n">
        <f aca="false">IF(B191=2026,INDEX($C$27:$Q$27,1,B191-2025)*$AO$4*C191/MAX(0.0001,12-$AO$3),INDEX($C$27:$Q$27,1,B191-2025)/12)</f>
        <v>2.41782504586871</v>
      </c>
      <c r="EW191" s="88" t="n">
        <f aca="false">$AO$6*0</f>
        <v>0</v>
      </c>
      <c r="EX191" s="88" t="n">
        <f aca="false">EV191+EX190</f>
        <v>615.904843573547</v>
      </c>
      <c r="EY191" s="88" t="n">
        <f aca="false">EW191+EY190</f>
        <v>391</v>
      </c>
      <c r="EZ191" s="88" t="n">
        <f aca="false">MAX(EZ190,EX191-EY191)</f>
        <v>224.904843573547</v>
      </c>
      <c r="FA191" s="88" t="n">
        <f aca="false">EZ191-EZ190</f>
        <v>2.41782504586865</v>
      </c>
      <c r="FB191" s="88" t="n">
        <f aca="false">IF(B191=2026,INDEX($C$28:$Q$28,1,B191-2025)*$AO$4*C191/MAX(0.0001,12-$AO$3),INDEX($C$28:$Q$28,1,B191-2025)/12)</f>
        <v>12.6573141151227</v>
      </c>
      <c r="FC191" s="88" t="n">
        <f aca="false">$AO$6*0</f>
        <v>0</v>
      </c>
      <c r="FD191" s="88" t="n">
        <f aca="false">FB191+FD190</f>
        <v>3224.26185610752</v>
      </c>
      <c r="FE191" s="88" t="n">
        <f aca="false">FC191+FE190</f>
        <v>169</v>
      </c>
      <c r="FF191" s="88" t="n">
        <f aca="false">MAX(FF190,FD191-FE191)</f>
        <v>3055.26185610752</v>
      </c>
      <c r="FG191" s="88" t="n">
        <f aca="false">FF191-FF190</f>
        <v>12.6573141151225</v>
      </c>
    </row>
    <row r="192" customFormat="false" ht="15" hidden="false" customHeight="false" outlineLevel="0" collapsed="false">
      <c r="A192" s="0" t="n">
        <v>152</v>
      </c>
      <c r="B192" s="88" t="n">
        <f aca="false">2026+INT(A192/12)</f>
        <v>2038</v>
      </c>
      <c r="C192" s="88" t="n">
        <f aca="false">MAX(0,MIN(1,A192+1-$AO$3))</f>
        <v>1</v>
      </c>
      <c r="D192" s="88" t="n">
        <f aca="false">IF((A192+0.5-(0))&lt;$AO$3,0,2026+INT((A192+0.5-(0))/12))</f>
        <v>2038</v>
      </c>
      <c r="E192" s="88" t="n">
        <f aca="false">IF((A192+0.5-($AO$9))&lt;$AO$3,0,2026+INT((A192+0.5-($AO$9))/12))</f>
        <v>2037</v>
      </c>
      <c r="F192" s="88" t="n">
        <f aca="false">IF((A192+0.5-($AO$9+$AO$8))&lt;$AO$3,0,2026+INT((A192+0.5-($AO$9+$AO$8))/12))</f>
        <v>2036</v>
      </c>
      <c r="G192" s="88" t="n">
        <f aca="false">IF((A192+0.5-($AO$9+$AO$8+$AO$7))&lt;$AO$3,0,2026+INT((A192+0.5-($AO$9+$AO$8+$AO$7))/12))</f>
        <v>2035</v>
      </c>
      <c r="H192" s="88" t="n">
        <f aca="false">IF(B192=2026,INDEX($C$3:$Q$3,1,B192-2025)*$AO$4*C192/MAX(0.0001,12-$AO$3),INDEX($C$3:$Q$3,1,B192-2025)/12)</f>
        <v>129.583333333333</v>
      </c>
      <c r="I192" s="88" t="n">
        <f aca="false">$AO$6*0</f>
        <v>0</v>
      </c>
      <c r="J192" s="88" t="n">
        <f aca="false">H192+J191</f>
        <v>33139.0034246576</v>
      </c>
      <c r="K192" s="88" t="n">
        <f aca="false">I192+K191</f>
        <v>8695.00000000001</v>
      </c>
      <c r="L192" s="88" t="n">
        <f aca="false">MAX(L191,J192-K192)</f>
        <v>24444.0034246576</v>
      </c>
      <c r="M192" s="88" t="n">
        <f aca="false">L192-L191</f>
        <v>129.583333333336</v>
      </c>
      <c r="N192" s="88" t="n">
        <f aca="false">IF(B192=2026,INDEX($C$4:$Q$4,1,B192-2025)*$AO$4*C192/MAX(0.0001,12-$AO$3),INDEX($C$4:$Q$4,1,B192-2025)/12)</f>
        <v>3.9285593164349</v>
      </c>
      <c r="O192" s="88" t="n">
        <f aca="false">$AO$6*0</f>
        <v>0</v>
      </c>
      <c r="P192" s="88" t="n">
        <f aca="false">N192+P191</f>
        <v>1004.67041009368</v>
      </c>
      <c r="Q192" s="88" t="n">
        <f aca="false">O192+Q191</f>
        <v>398</v>
      </c>
      <c r="R192" s="88" t="n">
        <f aca="false">MAX(R191,P192-Q192)</f>
        <v>606.670410093682</v>
      </c>
      <c r="S192" s="88" t="n">
        <f aca="false">R192-R191</f>
        <v>3.92855931643487</v>
      </c>
      <c r="T192" s="88" t="n">
        <f aca="false">IF(B192=2026,INDEX($C$5:$Q$5,1,B192-2025)*$AO$4*C192/MAX(0.0001,12-$AO$3),INDEX($C$5:$Q$5,1,B192-2025)/12)</f>
        <v>15.9670831585289</v>
      </c>
      <c r="U192" s="88" t="n">
        <f aca="false">$AO$6*0</f>
        <v>0</v>
      </c>
      <c r="V192" s="88" t="n">
        <f aca="false">T192+V191</f>
        <v>4083.3432036446</v>
      </c>
      <c r="W192" s="88" t="n">
        <f aca="false">U192+W191</f>
        <v>1115</v>
      </c>
      <c r="X192" s="88" t="n">
        <f aca="false">MAX(X191,V192-W192)</f>
        <v>2968.3432036446</v>
      </c>
      <c r="Y192" s="88" t="n">
        <f aca="false">X192-X191</f>
        <v>15.967083158529</v>
      </c>
      <c r="Z192" s="88" t="n">
        <f aca="false">IF(B192=2026,INDEX($C$6:$Q$6,1,B192-2025)*$AO$4*C192/MAX(0.0001,12-$AO$3),INDEX($C$6:$Q$6,1,B192-2025)/12)</f>
        <v>18.9436461953513</v>
      </c>
      <c r="AA192" s="88" t="n">
        <f aca="false">$AO$6*0</f>
        <v>0</v>
      </c>
      <c r="AB192" s="88" t="n">
        <f aca="false">Z192+AB191</f>
        <v>4844.55477409581</v>
      </c>
      <c r="AC192" s="88" t="n">
        <f aca="false">AA192+AC191</f>
        <v>2194</v>
      </c>
      <c r="AD192" s="88" t="n">
        <f aca="false">MAX(AD191,AB192-AC192)</f>
        <v>2650.55477409581</v>
      </c>
      <c r="AE192" s="88" t="n">
        <f aca="false">AD192-AD191</f>
        <v>18.943646195351</v>
      </c>
      <c r="AF192" s="88" t="n">
        <f aca="false">IF(B192=2026,INDEX($C$7:$Q$7,1,B192-2025)*$AO$4*C192/MAX(0.0001,12-$AO$3),INDEX($C$7:$Q$7,1,B192-2025)/12)</f>
        <v>16.4556786026022</v>
      </c>
      <c r="AG192" s="88" t="n">
        <f aca="false">$AO$6*0</f>
        <v>0</v>
      </c>
      <c r="AH192" s="88" t="n">
        <f aca="false">AF192+AH191</f>
        <v>4208.2941960131</v>
      </c>
      <c r="AI192" s="88" t="n">
        <f aca="false">AG192+AI191</f>
        <v>826</v>
      </c>
      <c r="AJ192" s="88" t="n">
        <f aca="false">MAX(AJ191,AH192-AI192)</f>
        <v>3382.2941960131</v>
      </c>
      <c r="AK192" s="88" t="n">
        <f aca="false">AJ192-AJ191</f>
        <v>16.4556786026023</v>
      </c>
      <c r="AL192" s="88" t="n">
        <f aca="false">IF(B192=2026,INDEX($C$8:$Q$8,1,B192-2025)*$AO$4*C192/MAX(0.0001,12-$AO$3),INDEX($C$8:$Q$8,1,B192-2025)/12)</f>
        <v>4.1625092528236</v>
      </c>
      <c r="AM192" s="88" t="n">
        <f aca="false">$AO$6*0</f>
        <v>0</v>
      </c>
      <c r="AN192" s="88" t="n">
        <f aca="false">AL192+AN191</f>
        <v>1064.49961454269</v>
      </c>
      <c r="AO192" s="88" t="n">
        <f aca="false">AM192+AO191</f>
        <v>66</v>
      </c>
      <c r="AP192" s="88" t="n">
        <f aca="false">MAX(AP191,AN192-AO192)</f>
        <v>998.499614542688</v>
      </c>
      <c r="AQ192" s="88" t="n">
        <f aca="false">AP192-AP191</f>
        <v>4.16250925282361</v>
      </c>
      <c r="AR192" s="88" t="n">
        <f aca="false">IF(B192=2026,INDEX($C$9:$Q$9,1,B192-2025)*$AO$4*C192/MAX(0.0001,12-$AO$3),INDEX($C$9:$Q$9,1,B192-2025)/12)</f>
        <v>17.7487019048737</v>
      </c>
      <c r="AS192" s="88" t="n">
        <f aca="false">$AO$6*0</f>
        <v>0</v>
      </c>
      <c r="AT192" s="88" t="n">
        <f aca="false">AR192+AT191</f>
        <v>4538.96560675629</v>
      </c>
      <c r="AU192" s="88" t="n">
        <f aca="false">AS192+AU191</f>
        <v>1810</v>
      </c>
      <c r="AV192" s="88" t="n">
        <f aca="false">MAX(AV191,AT192-AU192)</f>
        <v>2728.96560675629</v>
      </c>
      <c r="AW192" s="88" t="n">
        <f aca="false">AV192-AV191</f>
        <v>17.748701904874</v>
      </c>
      <c r="AX192" s="88" t="n">
        <f aca="false">IF(B192=2026,INDEX($C$10:$Q$10,1,B192-2025)*$AO$4*C192/MAX(0.0001,12-$AO$3),INDEX($C$10:$Q$10,1,B192-2025)/12)</f>
        <v>2.05875944022058</v>
      </c>
      <c r="AY192" s="88" t="n">
        <f aca="false">$AO$6*0</f>
        <v>0</v>
      </c>
      <c r="AZ192" s="88" t="n">
        <f aca="false">AX192+AZ191</f>
        <v>526.496999151246</v>
      </c>
      <c r="BA192" s="88" t="n">
        <f aca="false">AY192+BA191</f>
        <v>50</v>
      </c>
      <c r="BB192" s="88" t="n">
        <f aca="false">MAX(BB191,AZ192-BA192)</f>
        <v>476.496999151246</v>
      </c>
      <c r="BC192" s="88" t="n">
        <f aca="false">BB192-BB191</f>
        <v>2.05875944022057</v>
      </c>
      <c r="BD192" s="88" t="n">
        <f aca="false">IF(B192=2026,INDEX($C$11:$Q$11,1,B192-2025)*$AO$4*C192/MAX(0.0001,12-$AO$3),INDEX($C$11:$Q$11,1,B192-2025)/12)</f>
        <v>10.2308106797675</v>
      </c>
      <c r="BE192" s="88" t="n">
        <f aca="false">$AO$6*0</f>
        <v>0</v>
      </c>
      <c r="BF192" s="88" t="n">
        <f aca="false">BD192+BF191</f>
        <v>2616.37713301996</v>
      </c>
      <c r="BG192" s="88" t="n">
        <f aca="false">BE192+BG191</f>
        <v>240</v>
      </c>
      <c r="BH192" s="88" t="n">
        <f aca="false">MAX(BH191,BF192-BG192)</f>
        <v>2376.37713301996</v>
      </c>
      <c r="BI192" s="88" t="n">
        <f aca="false">BH192-BH191</f>
        <v>10.2308106797673</v>
      </c>
      <c r="BJ192" s="88" t="n">
        <f aca="false">IF(B192=2026,INDEX($C$12:$Q$12,1,B192-2025)*$AO$4*C192/MAX(0.0001,12-$AO$3),INDEX($C$12:$Q$12,1,B192-2025)/12)</f>
        <v>5.60939962864295</v>
      </c>
      <c r="BK192" s="88" t="n">
        <f aca="false">$AO$6*0</f>
        <v>0</v>
      </c>
      <c r="BL192" s="88" t="n">
        <f aca="false">BJ192+BL191</f>
        <v>1434.52023282731</v>
      </c>
      <c r="BM192" s="88" t="n">
        <f aca="false">BK192+BM191</f>
        <v>465</v>
      </c>
      <c r="BN192" s="88" t="n">
        <f aca="false">MAX(BN191,BL192-BM192)</f>
        <v>969.520232827308</v>
      </c>
      <c r="BO192" s="88" t="n">
        <f aca="false">BN192-BN191</f>
        <v>5.60939962864291</v>
      </c>
      <c r="BP192" s="88" t="n">
        <f aca="false">IF(B192=2026,INDEX($C$13:$Q$13,1,B192-2025)*$AO$4*C192/MAX(0.0001,12-$AO$3),INDEX($C$13:$Q$13,1,B192-2025)/12)</f>
        <v>1.75292315825481</v>
      </c>
      <c r="BQ192" s="88" t="n">
        <f aca="false">$AO$6*0</f>
        <v>0</v>
      </c>
      <c r="BR192" s="88" t="n">
        <f aca="false">BP192+BR191</f>
        <v>448.283934749075</v>
      </c>
      <c r="BS192" s="88" t="n">
        <f aca="false">BQ192+BS191</f>
        <v>87</v>
      </c>
      <c r="BT192" s="88" t="n">
        <f aca="false">MAX(BT191,BR192-BS192)</f>
        <v>361.283934749075</v>
      </c>
      <c r="BU192" s="88" t="n">
        <f aca="false">BT192-BT191</f>
        <v>1.75292315825482</v>
      </c>
      <c r="BV192" s="88" t="n">
        <f aca="false">IF(B192=2026,INDEX($C$14:$Q$14,1,B192-2025)*$AO$4*C192/MAX(0.0001,12-$AO$3),INDEX($C$14:$Q$14,1,B192-2025)/12)</f>
        <v>1.03966476972354</v>
      </c>
      <c r="BW192" s="88" t="n">
        <f aca="false">$AO$6*0</f>
        <v>0</v>
      </c>
      <c r="BX192" s="88" t="n">
        <f aca="false">BV192+BX191</f>
        <v>265.878747506349</v>
      </c>
      <c r="BY192" s="88" t="n">
        <f aca="false">BW192+BY191</f>
        <v>0</v>
      </c>
      <c r="BZ192" s="88" t="n">
        <f aca="false">MAX(BZ191,BX192-BY192)</f>
        <v>265.878747506349</v>
      </c>
      <c r="CA192" s="88" t="n">
        <f aca="false">BZ192-BZ191</f>
        <v>1.03966476972357</v>
      </c>
      <c r="CB192" s="88" t="n">
        <f aca="false">IF(B192=2026,INDEX($C$15:$Q$15,1,B192-2025)*$AO$4*C192/MAX(0.0001,12-$AO$3),INDEX($C$15:$Q$15,1,B192-2025)/12)</f>
        <v>1.70456665733744</v>
      </c>
      <c r="CC192" s="88" t="n">
        <f aca="false">$AO$6*0</f>
        <v>0</v>
      </c>
      <c r="CD192" s="88" t="n">
        <f aca="false">CB192+CD191</f>
        <v>435.917481376687</v>
      </c>
      <c r="CE192" s="88" t="n">
        <f aca="false">CC192+CE191</f>
        <v>88.0000000000001</v>
      </c>
      <c r="CF192" s="88" t="n">
        <f aca="false">MAX(CF191,CD192-CE192)</f>
        <v>347.917481376687</v>
      </c>
      <c r="CG192" s="88" t="n">
        <f aca="false">CF192-CF191</f>
        <v>1.70456665733747</v>
      </c>
      <c r="CH192" s="88" t="n">
        <f aca="false">IF(B192=2026,INDEX($C$16:$Q$16,1,B192-2025)*$AO$4*C192/MAX(0.0001,12-$AO$3),INDEX($C$16:$Q$16,1,B192-2025)/12)</f>
        <v>1.3479374630718</v>
      </c>
      <c r="CI192" s="88" t="n">
        <f aca="false">$AO$6*0</f>
        <v>0</v>
      </c>
      <c r="CJ192" s="88" t="n">
        <f aca="false">CH192+CJ191</f>
        <v>344.714887755323</v>
      </c>
      <c r="CK192" s="88" t="n">
        <f aca="false">CI192+CK191</f>
        <v>70</v>
      </c>
      <c r="CL192" s="88" t="n">
        <f aca="false">MAX(CL191,CJ192-CK192)</f>
        <v>274.714887755323</v>
      </c>
      <c r="CM192" s="88" t="n">
        <f aca="false">CL192-CL191</f>
        <v>1.34793746307179</v>
      </c>
      <c r="CN192" s="88" t="n">
        <f aca="false">IF(B192=2026,INDEX($C$17:$Q$17,1,B192-2025)*$AO$4*C192/MAX(0.0001,12-$AO$3),INDEX($C$17:$Q$17,1,B192-2025)/12)</f>
        <v>5.86927029884629</v>
      </c>
      <c r="CO192" s="88" t="n">
        <f aca="false">$AO$6*0</f>
        <v>0</v>
      </c>
      <c r="CP192" s="88" t="n">
        <f aca="false">CN192+CP191</f>
        <v>1500.97827807363</v>
      </c>
      <c r="CQ192" s="88" t="n">
        <f aca="false">CO192+CQ191</f>
        <v>221</v>
      </c>
      <c r="CR192" s="88" t="n">
        <f aca="false">MAX(CR191,CP192-CQ192)</f>
        <v>1279.97827807363</v>
      </c>
      <c r="CS192" s="88" t="n">
        <f aca="false">CR192-CR191</f>
        <v>5.86927029884623</v>
      </c>
      <c r="CT192" s="88" t="n">
        <f aca="false">IF(B192=2026,INDEX($C$18:$Q$18,1,B192-2025)*$AO$4*C192/MAX(0.0001,12-$AO$3),INDEX($C$18:$Q$18,1,B192-2025)/12)</f>
        <v>1.2210016481637</v>
      </c>
      <c r="CU192" s="88" t="n">
        <f aca="false">$AO$6*0</f>
        <v>0</v>
      </c>
      <c r="CV192" s="88" t="n">
        <f aca="false">CT192+CV191</f>
        <v>312.252947652805</v>
      </c>
      <c r="CW192" s="88" t="n">
        <f aca="false">CU192+CW191</f>
        <v>11</v>
      </c>
      <c r="CX192" s="88" t="n">
        <f aca="false">MAX(CX191,CV192-CW192)</f>
        <v>301.252947652805</v>
      </c>
      <c r="CY192" s="88" t="n">
        <f aca="false">CX192-CX191</f>
        <v>1.22100164816368</v>
      </c>
      <c r="CZ192" s="88" t="n">
        <f aca="false">IF(B192=2026,INDEX($C$19:$Q$19,1,B192-2025)*$AO$4*C192/MAX(0.0001,12-$AO$3),INDEX($C$19:$Q$19,1,B192-2025)/12)</f>
        <v>1.20891252293435</v>
      </c>
      <c r="DA192" s="88" t="n">
        <f aca="false">$AO$6*0</f>
        <v>0</v>
      </c>
      <c r="DB192" s="88" t="n">
        <f aca="false">CZ192+DB191</f>
        <v>309.161334309708</v>
      </c>
      <c r="DC192" s="88" t="n">
        <f aca="false">DA192+DC191</f>
        <v>226</v>
      </c>
      <c r="DD192" s="88" t="n">
        <f aca="false">MAX(DD191,DB192-DC192)</f>
        <v>83.1613343097079</v>
      </c>
      <c r="DE192" s="88" t="n">
        <f aca="false">DD192-DD191</f>
        <v>1.20891252293433</v>
      </c>
      <c r="DF192" s="88" t="n">
        <f aca="false">IF(B192=2026,INDEX($C$20:$Q$20,1,B192-2025)*$AO$4*C192/MAX(0.0001,12-$AO$3),INDEX($C$20:$Q$20,1,B192-2025)/12)</f>
        <v>0.985263706191498</v>
      </c>
      <c r="DG192" s="88" t="n">
        <f aca="false">$AO$6*0</f>
        <v>0</v>
      </c>
      <c r="DH192" s="88" t="n">
        <f aca="false">DF192+DH191</f>
        <v>251.966487462412</v>
      </c>
      <c r="DI192" s="88" t="n">
        <f aca="false">DG192+DI191</f>
        <v>0</v>
      </c>
      <c r="DJ192" s="88" t="n">
        <f aca="false">MAX(DJ191,DH192-DI192)</f>
        <v>251.966487462412</v>
      </c>
      <c r="DK192" s="88" t="n">
        <f aca="false">DJ192-DJ191</f>
        <v>0.985263706191489</v>
      </c>
      <c r="DL192" s="88" t="n">
        <f aca="false">IF(B192=2026,INDEX($C$21:$Q$21,1,B192-2025)*$AO$4*C192/MAX(0.0001,12-$AO$3),INDEX($C$21:$Q$21,1,B192-2025)/12)</f>
        <v>0.689080138072581</v>
      </c>
      <c r="DM192" s="88" t="n">
        <f aca="false">$AO$6*0</f>
        <v>0</v>
      </c>
      <c r="DN192" s="88" t="n">
        <f aca="false">DL192+DN191</f>
        <v>176.221960556533</v>
      </c>
      <c r="DO192" s="88" t="n">
        <f aca="false">DM192+DO191</f>
        <v>100</v>
      </c>
      <c r="DP192" s="88" t="n">
        <f aca="false">MAX(DP191,DN192-DO192)</f>
        <v>76.2219605565331</v>
      </c>
      <c r="DQ192" s="88" t="n">
        <f aca="false">DP192-DP191</f>
        <v>0.689080138072569</v>
      </c>
      <c r="DR192" s="88" t="n">
        <f aca="false">IF(B192=2026,INDEX($C$22:$Q$22,1,B192-2025)*$AO$4*C192/MAX(0.0001,12-$AO$3),INDEX($C$22:$Q$22,1,B192-2025)/12)</f>
        <v>0.537966072705787</v>
      </c>
      <c r="DS192" s="88" t="n">
        <f aca="false">$AO$6*0</f>
        <v>0</v>
      </c>
      <c r="DT192" s="88" t="n">
        <f aca="false">DR192+DT191</f>
        <v>137.57679376782</v>
      </c>
      <c r="DU192" s="88" t="n">
        <f aca="false">DS192+DU191</f>
        <v>29</v>
      </c>
      <c r="DV192" s="88" t="n">
        <f aca="false">MAX(DV191,DT192-DU192)</f>
        <v>108.57679376782</v>
      </c>
      <c r="DW192" s="88" t="n">
        <f aca="false">DV192-DV191</f>
        <v>0.537966072705785</v>
      </c>
      <c r="DX192" s="88" t="n">
        <f aca="false">IF(B192=2026,INDEX($C$23:$Q$23,1,B192-2025)*$AO$4*C192/MAX(0.0001,12-$AO$3),INDEX($C$23:$Q$23,1,B192-2025)/12)</f>
        <v>0.864372453898063</v>
      </c>
      <c r="DY192" s="88" t="n">
        <f aca="false">$AO$6*0</f>
        <v>0</v>
      </c>
      <c r="DZ192" s="88" t="n">
        <f aca="false">DX192+DZ191</f>
        <v>221.050354031441</v>
      </c>
      <c r="EA192" s="88" t="n">
        <f aca="false">DY192+EA191</f>
        <v>121</v>
      </c>
      <c r="EB192" s="88" t="n">
        <f aca="false">MAX(EB191,DZ192-EA192)</f>
        <v>100.050354031441</v>
      </c>
      <c r="EC192" s="88" t="n">
        <f aca="false">EB192-EB191</f>
        <v>0.864372453898056</v>
      </c>
      <c r="ED192" s="88" t="n">
        <f aca="false">IF(B192=2026,INDEX($C$24:$Q$24,1,B192-2025)*$AO$4*C192/MAX(0.0001,12-$AO$3),INDEX($C$24:$Q$24,1,B192-2025)/12)</f>
        <v>0.531921510091116</v>
      </c>
      <c r="EE192" s="88" t="n">
        <f aca="false">$AO$6*0</f>
        <v>0</v>
      </c>
      <c r="EF192" s="88" t="n">
        <f aca="false">ED192+EF191</f>
        <v>136.030987096271</v>
      </c>
      <c r="EG192" s="88" t="n">
        <f aca="false">EE192+EG191</f>
        <v>0</v>
      </c>
      <c r="EH192" s="88" t="n">
        <f aca="false">MAX(EH191,EF192-EG192)</f>
        <v>136.030987096271</v>
      </c>
      <c r="EI192" s="88" t="n">
        <f aca="false">EH192-EH191</f>
        <v>0.531921510091109</v>
      </c>
      <c r="EJ192" s="88" t="n">
        <f aca="false">IF(B192=2026,INDEX($C$25:$Q$25,1,B192-2025)*$AO$4*C192/MAX(0.0001,12-$AO$3),INDEX($C$25:$Q$25,1,B192-2025)/12)</f>
        <v>0.676991012843238</v>
      </c>
      <c r="EK192" s="88" t="n">
        <f aca="false">$AO$6*0</f>
        <v>0</v>
      </c>
      <c r="EL192" s="88" t="n">
        <f aca="false">EJ192+EL191</f>
        <v>173.130347213436</v>
      </c>
      <c r="EM192" s="88" t="n">
        <f aca="false">EK192+EM191</f>
        <v>14</v>
      </c>
      <c r="EN192" s="88" t="n">
        <f aca="false">MAX(EN191,EL192-EM192)</f>
        <v>159.130347213436</v>
      </c>
      <c r="EO192" s="88" t="n">
        <f aca="false">EN192-EN191</f>
        <v>0.676991012843246</v>
      </c>
      <c r="EP192" s="88" t="n">
        <f aca="false">IF(B192=2026,INDEX($C$26:$Q$26,1,B192-2025)*$AO$4*C192/MAX(0.0001,12-$AO$3),INDEX($C$26:$Q$26,1,B192-2025)/12)</f>
        <v>0.973174580962155</v>
      </c>
      <c r="EQ192" s="88" t="n">
        <f aca="false">$AO$6*0</f>
        <v>0</v>
      </c>
      <c r="ER192" s="88" t="n">
        <f aca="false">EP192+ER191</f>
        <v>248.874874119314</v>
      </c>
      <c r="ES192" s="88" t="n">
        <f aca="false">EQ192+ES191</f>
        <v>4</v>
      </c>
      <c r="ET192" s="88" t="n">
        <f aca="false">MAX(ET191,ER192-ES192)</f>
        <v>244.874874119314</v>
      </c>
      <c r="EU192" s="88" t="n">
        <f aca="false">ET192-ET191</f>
        <v>0.973174580962166</v>
      </c>
      <c r="EV192" s="88" t="n">
        <f aca="false">IF(B192=2026,INDEX($C$27:$Q$27,1,B192-2025)*$AO$4*C192/MAX(0.0001,12-$AO$3),INDEX($C$27:$Q$27,1,B192-2025)/12)</f>
        <v>2.41782504586871</v>
      </c>
      <c r="EW192" s="88" t="n">
        <f aca="false">$AO$6*0</f>
        <v>0</v>
      </c>
      <c r="EX192" s="88" t="n">
        <f aca="false">EV192+EX191</f>
        <v>618.322668619416</v>
      </c>
      <c r="EY192" s="88" t="n">
        <f aca="false">EW192+EY191</f>
        <v>391</v>
      </c>
      <c r="EZ192" s="88" t="n">
        <f aca="false">MAX(EZ191,EX192-EY192)</f>
        <v>227.322668619415</v>
      </c>
      <c r="FA192" s="88" t="n">
        <f aca="false">EZ192-EZ191</f>
        <v>2.41782504586865</v>
      </c>
      <c r="FB192" s="88" t="n">
        <f aca="false">IF(B192=2026,INDEX($C$28:$Q$28,1,B192-2025)*$AO$4*C192/MAX(0.0001,12-$AO$3),INDEX($C$28:$Q$28,1,B192-2025)/12)</f>
        <v>12.6573141151227</v>
      </c>
      <c r="FC192" s="88" t="n">
        <f aca="false">$AO$6*0</f>
        <v>0</v>
      </c>
      <c r="FD192" s="88" t="n">
        <f aca="false">FB192+FD191</f>
        <v>3236.91917022264</v>
      </c>
      <c r="FE192" s="88" t="n">
        <f aca="false">FC192+FE191</f>
        <v>169</v>
      </c>
      <c r="FF192" s="88" t="n">
        <f aca="false">MAX(FF191,FD192-FE192)</f>
        <v>3067.91917022264</v>
      </c>
      <c r="FG192" s="88" t="n">
        <f aca="false">FF192-FF191</f>
        <v>12.6573141151225</v>
      </c>
    </row>
    <row r="193" customFormat="false" ht="15" hidden="false" customHeight="false" outlineLevel="0" collapsed="false">
      <c r="A193" s="0" t="n">
        <v>153</v>
      </c>
      <c r="B193" s="88" t="n">
        <f aca="false">2026+INT(A193/12)</f>
        <v>2038</v>
      </c>
      <c r="C193" s="88" t="n">
        <f aca="false">MAX(0,MIN(1,A193+1-$AO$3))</f>
        <v>1</v>
      </c>
      <c r="D193" s="88" t="n">
        <f aca="false">IF((A193+0.5-(0))&lt;$AO$3,0,2026+INT((A193+0.5-(0))/12))</f>
        <v>2038</v>
      </c>
      <c r="E193" s="88" t="n">
        <f aca="false">IF((A193+0.5-($AO$9))&lt;$AO$3,0,2026+INT((A193+0.5-($AO$9))/12))</f>
        <v>2037</v>
      </c>
      <c r="F193" s="88" t="n">
        <f aca="false">IF((A193+0.5-($AO$9+$AO$8))&lt;$AO$3,0,2026+INT((A193+0.5-($AO$9+$AO$8))/12))</f>
        <v>2036</v>
      </c>
      <c r="G193" s="88" t="n">
        <f aca="false">IF((A193+0.5-($AO$9+$AO$8+$AO$7))&lt;$AO$3,0,2026+INT((A193+0.5-($AO$9+$AO$8+$AO$7))/12))</f>
        <v>2035</v>
      </c>
      <c r="H193" s="88" t="n">
        <f aca="false">IF(B193=2026,INDEX($C$3:$Q$3,1,B193-2025)*$AO$4*C193/MAX(0.0001,12-$AO$3),INDEX($C$3:$Q$3,1,B193-2025)/12)</f>
        <v>129.583333333333</v>
      </c>
      <c r="I193" s="88" t="n">
        <f aca="false">$AO$6*0</f>
        <v>0</v>
      </c>
      <c r="J193" s="88" t="n">
        <f aca="false">H193+J192</f>
        <v>33268.5867579909</v>
      </c>
      <c r="K193" s="88" t="n">
        <f aca="false">I193+K192</f>
        <v>8695.00000000001</v>
      </c>
      <c r="L193" s="88" t="n">
        <f aca="false">MAX(L192,J193-K193)</f>
        <v>24573.5867579909</v>
      </c>
      <c r="M193" s="88" t="n">
        <f aca="false">L193-L192</f>
        <v>129.583333333336</v>
      </c>
      <c r="N193" s="88" t="n">
        <f aca="false">IF(B193=2026,INDEX($C$4:$Q$4,1,B193-2025)*$AO$4*C193/MAX(0.0001,12-$AO$3),INDEX($C$4:$Q$4,1,B193-2025)/12)</f>
        <v>3.9285593164349</v>
      </c>
      <c r="O193" s="88" t="n">
        <f aca="false">$AO$6*0</f>
        <v>0</v>
      </c>
      <c r="P193" s="88" t="n">
        <f aca="false">N193+P192</f>
        <v>1008.59896941012</v>
      </c>
      <c r="Q193" s="88" t="n">
        <f aca="false">O193+Q192</f>
        <v>398</v>
      </c>
      <c r="R193" s="88" t="n">
        <f aca="false">MAX(R192,P193-Q193)</f>
        <v>610.598969410117</v>
      </c>
      <c r="S193" s="88" t="n">
        <f aca="false">R193-R192</f>
        <v>3.92855931643487</v>
      </c>
      <c r="T193" s="88" t="n">
        <f aca="false">IF(B193=2026,INDEX($C$5:$Q$5,1,B193-2025)*$AO$4*C193/MAX(0.0001,12-$AO$3),INDEX($C$5:$Q$5,1,B193-2025)/12)</f>
        <v>15.9670831585289</v>
      </c>
      <c r="U193" s="88" t="n">
        <f aca="false">$AO$6*0</f>
        <v>0</v>
      </c>
      <c r="V193" s="88" t="n">
        <f aca="false">T193+V192</f>
        <v>4099.31028680313</v>
      </c>
      <c r="W193" s="88" t="n">
        <f aca="false">U193+W192</f>
        <v>1115</v>
      </c>
      <c r="X193" s="88" t="n">
        <f aca="false">MAX(X192,V193-W193)</f>
        <v>2984.31028680313</v>
      </c>
      <c r="Y193" s="88" t="n">
        <f aca="false">X193-X192</f>
        <v>15.967083158529</v>
      </c>
      <c r="Z193" s="88" t="n">
        <f aca="false">IF(B193=2026,INDEX($C$6:$Q$6,1,B193-2025)*$AO$4*C193/MAX(0.0001,12-$AO$3),INDEX($C$6:$Q$6,1,B193-2025)/12)</f>
        <v>18.9436461953513</v>
      </c>
      <c r="AA193" s="88" t="n">
        <f aca="false">$AO$6*0</f>
        <v>0</v>
      </c>
      <c r="AB193" s="88" t="n">
        <f aca="false">Z193+AB192</f>
        <v>4863.49842029117</v>
      </c>
      <c r="AC193" s="88" t="n">
        <f aca="false">AA193+AC192</f>
        <v>2194</v>
      </c>
      <c r="AD193" s="88" t="n">
        <f aca="false">MAX(AD192,AB193-AC193)</f>
        <v>2669.49842029116</v>
      </c>
      <c r="AE193" s="88" t="n">
        <f aca="false">AD193-AD192</f>
        <v>18.943646195351</v>
      </c>
      <c r="AF193" s="88" t="n">
        <f aca="false">IF(B193=2026,INDEX($C$7:$Q$7,1,B193-2025)*$AO$4*C193/MAX(0.0001,12-$AO$3),INDEX($C$7:$Q$7,1,B193-2025)/12)</f>
        <v>16.4556786026022</v>
      </c>
      <c r="AG193" s="88" t="n">
        <f aca="false">$AO$6*0</f>
        <v>0</v>
      </c>
      <c r="AH193" s="88" t="n">
        <f aca="false">AF193+AH192</f>
        <v>4224.7498746157</v>
      </c>
      <c r="AI193" s="88" t="n">
        <f aca="false">AG193+AI192</f>
        <v>826</v>
      </c>
      <c r="AJ193" s="88" t="n">
        <f aca="false">MAX(AJ192,AH193-AI193)</f>
        <v>3398.74987461571</v>
      </c>
      <c r="AK193" s="88" t="n">
        <f aca="false">AJ193-AJ192</f>
        <v>16.4556786026023</v>
      </c>
      <c r="AL193" s="88" t="n">
        <f aca="false">IF(B193=2026,INDEX($C$8:$Q$8,1,B193-2025)*$AO$4*C193/MAX(0.0001,12-$AO$3),INDEX($C$8:$Q$8,1,B193-2025)/12)</f>
        <v>4.1625092528236</v>
      </c>
      <c r="AM193" s="88" t="n">
        <f aca="false">$AO$6*0</f>
        <v>0</v>
      </c>
      <c r="AN193" s="88" t="n">
        <f aca="false">AL193+AN192</f>
        <v>1068.66212379551</v>
      </c>
      <c r="AO193" s="88" t="n">
        <f aca="false">AM193+AO192</f>
        <v>66</v>
      </c>
      <c r="AP193" s="88" t="n">
        <f aca="false">MAX(AP192,AN193-AO193)</f>
        <v>1002.66212379551</v>
      </c>
      <c r="AQ193" s="88" t="n">
        <f aca="false">AP193-AP192</f>
        <v>4.16250925282361</v>
      </c>
      <c r="AR193" s="88" t="n">
        <f aca="false">IF(B193=2026,INDEX($C$9:$Q$9,1,B193-2025)*$AO$4*C193/MAX(0.0001,12-$AO$3),INDEX($C$9:$Q$9,1,B193-2025)/12)</f>
        <v>17.7487019048737</v>
      </c>
      <c r="AS193" s="88" t="n">
        <f aca="false">$AO$6*0</f>
        <v>0</v>
      </c>
      <c r="AT193" s="88" t="n">
        <f aca="false">AR193+AT192</f>
        <v>4556.71430866116</v>
      </c>
      <c r="AU193" s="88" t="n">
        <f aca="false">AS193+AU192</f>
        <v>1810</v>
      </c>
      <c r="AV193" s="88" t="n">
        <f aca="false">MAX(AV192,AT193-AU193)</f>
        <v>2746.71430866116</v>
      </c>
      <c r="AW193" s="88" t="n">
        <f aca="false">AV193-AV192</f>
        <v>17.748701904874</v>
      </c>
      <c r="AX193" s="88" t="n">
        <f aca="false">IF(B193=2026,INDEX($C$10:$Q$10,1,B193-2025)*$AO$4*C193/MAX(0.0001,12-$AO$3),INDEX($C$10:$Q$10,1,B193-2025)/12)</f>
        <v>2.05875944022058</v>
      </c>
      <c r="AY193" s="88" t="n">
        <f aca="false">$AO$6*0</f>
        <v>0</v>
      </c>
      <c r="AZ193" s="88" t="n">
        <f aca="false">AX193+AZ192</f>
        <v>528.555758591467</v>
      </c>
      <c r="BA193" s="88" t="n">
        <f aca="false">AY193+BA192</f>
        <v>50</v>
      </c>
      <c r="BB193" s="88" t="n">
        <f aca="false">MAX(BB192,AZ193-BA193)</f>
        <v>478.555758591467</v>
      </c>
      <c r="BC193" s="88" t="n">
        <f aca="false">BB193-BB192</f>
        <v>2.05875944022057</v>
      </c>
      <c r="BD193" s="88" t="n">
        <f aca="false">IF(B193=2026,INDEX($C$11:$Q$11,1,B193-2025)*$AO$4*C193/MAX(0.0001,12-$AO$3),INDEX($C$11:$Q$11,1,B193-2025)/12)</f>
        <v>10.2308106797675</v>
      </c>
      <c r="BE193" s="88" t="n">
        <f aca="false">$AO$6*0</f>
        <v>0</v>
      </c>
      <c r="BF193" s="88" t="n">
        <f aca="false">BD193+BF192</f>
        <v>2626.60794369973</v>
      </c>
      <c r="BG193" s="88" t="n">
        <f aca="false">BE193+BG192</f>
        <v>240</v>
      </c>
      <c r="BH193" s="88" t="n">
        <f aca="false">MAX(BH192,BF193-BG193)</f>
        <v>2386.60794369973</v>
      </c>
      <c r="BI193" s="88" t="n">
        <f aca="false">BH193-BH192</f>
        <v>10.2308106797673</v>
      </c>
      <c r="BJ193" s="88" t="n">
        <f aca="false">IF(B193=2026,INDEX($C$12:$Q$12,1,B193-2025)*$AO$4*C193/MAX(0.0001,12-$AO$3),INDEX($C$12:$Q$12,1,B193-2025)/12)</f>
        <v>5.60939962864295</v>
      </c>
      <c r="BK193" s="88" t="n">
        <f aca="false">$AO$6*0</f>
        <v>0</v>
      </c>
      <c r="BL193" s="88" t="n">
        <f aca="false">BJ193+BL192</f>
        <v>1440.12963245595</v>
      </c>
      <c r="BM193" s="88" t="n">
        <f aca="false">BK193+BM192</f>
        <v>465</v>
      </c>
      <c r="BN193" s="88" t="n">
        <f aca="false">MAX(BN192,BL193-BM193)</f>
        <v>975.12963245595</v>
      </c>
      <c r="BO193" s="88" t="n">
        <f aca="false">BN193-BN192</f>
        <v>5.60939962864291</v>
      </c>
      <c r="BP193" s="88" t="n">
        <f aca="false">IF(B193=2026,INDEX($C$13:$Q$13,1,B193-2025)*$AO$4*C193/MAX(0.0001,12-$AO$3),INDEX($C$13:$Q$13,1,B193-2025)/12)</f>
        <v>1.75292315825481</v>
      </c>
      <c r="BQ193" s="88" t="n">
        <f aca="false">$AO$6*0</f>
        <v>0</v>
      </c>
      <c r="BR193" s="88" t="n">
        <f aca="false">BP193+BR192</f>
        <v>450.03685790733</v>
      </c>
      <c r="BS193" s="88" t="n">
        <f aca="false">BQ193+BS192</f>
        <v>87</v>
      </c>
      <c r="BT193" s="88" t="n">
        <f aca="false">MAX(BT192,BR193-BS193)</f>
        <v>363.03685790733</v>
      </c>
      <c r="BU193" s="88" t="n">
        <f aca="false">BT193-BT192</f>
        <v>1.75292315825482</v>
      </c>
      <c r="BV193" s="88" t="n">
        <f aca="false">IF(B193=2026,INDEX($C$14:$Q$14,1,B193-2025)*$AO$4*C193/MAX(0.0001,12-$AO$3),INDEX($C$14:$Q$14,1,B193-2025)/12)</f>
        <v>1.03966476972354</v>
      </c>
      <c r="BW193" s="88" t="n">
        <f aca="false">$AO$6*0</f>
        <v>0</v>
      </c>
      <c r="BX193" s="88" t="n">
        <f aca="false">BV193+BX192</f>
        <v>266.918412276072</v>
      </c>
      <c r="BY193" s="88" t="n">
        <f aca="false">BW193+BY192</f>
        <v>0</v>
      </c>
      <c r="BZ193" s="88" t="n">
        <f aca="false">MAX(BZ192,BX193-BY193)</f>
        <v>266.918412276072</v>
      </c>
      <c r="CA193" s="88" t="n">
        <f aca="false">BZ193-BZ192</f>
        <v>1.03966476972357</v>
      </c>
      <c r="CB193" s="88" t="n">
        <f aca="false">IF(B193=2026,INDEX($C$15:$Q$15,1,B193-2025)*$AO$4*C193/MAX(0.0001,12-$AO$3),INDEX($C$15:$Q$15,1,B193-2025)/12)</f>
        <v>1.70456665733744</v>
      </c>
      <c r="CC193" s="88" t="n">
        <f aca="false">$AO$6*0</f>
        <v>0</v>
      </c>
      <c r="CD193" s="88" t="n">
        <f aca="false">CB193+CD192</f>
        <v>437.622048034025</v>
      </c>
      <c r="CE193" s="88" t="n">
        <f aca="false">CC193+CE192</f>
        <v>88.0000000000001</v>
      </c>
      <c r="CF193" s="88" t="n">
        <f aca="false">MAX(CF192,CD193-CE193)</f>
        <v>349.622048034025</v>
      </c>
      <c r="CG193" s="88" t="n">
        <f aca="false">CF193-CF192</f>
        <v>1.70456665733747</v>
      </c>
      <c r="CH193" s="88" t="n">
        <f aca="false">IF(B193=2026,INDEX($C$16:$Q$16,1,B193-2025)*$AO$4*C193/MAX(0.0001,12-$AO$3),INDEX($C$16:$Q$16,1,B193-2025)/12)</f>
        <v>1.3479374630718</v>
      </c>
      <c r="CI193" s="88" t="n">
        <f aca="false">$AO$6*0</f>
        <v>0</v>
      </c>
      <c r="CJ193" s="88" t="n">
        <f aca="false">CH193+CJ192</f>
        <v>346.062825218395</v>
      </c>
      <c r="CK193" s="88" t="n">
        <f aca="false">CI193+CK192</f>
        <v>70</v>
      </c>
      <c r="CL193" s="88" t="n">
        <f aca="false">MAX(CL192,CJ193-CK193)</f>
        <v>276.062825218395</v>
      </c>
      <c r="CM193" s="88" t="n">
        <f aca="false">CL193-CL192</f>
        <v>1.34793746307179</v>
      </c>
      <c r="CN193" s="88" t="n">
        <f aca="false">IF(B193=2026,INDEX($C$17:$Q$17,1,B193-2025)*$AO$4*C193/MAX(0.0001,12-$AO$3),INDEX($C$17:$Q$17,1,B193-2025)/12)</f>
        <v>5.86927029884629</v>
      </c>
      <c r="CO193" s="88" t="n">
        <f aca="false">$AO$6*0</f>
        <v>0</v>
      </c>
      <c r="CP193" s="88" t="n">
        <f aca="false">CN193+CP192</f>
        <v>1506.84754837248</v>
      </c>
      <c r="CQ193" s="88" t="n">
        <f aca="false">CO193+CQ192</f>
        <v>221</v>
      </c>
      <c r="CR193" s="88" t="n">
        <f aca="false">MAX(CR192,CP193-CQ193)</f>
        <v>1285.84754837248</v>
      </c>
      <c r="CS193" s="88" t="n">
        <f aca="false">CR193-CR192</f>
        <v>5.86927029884623</v>
      </c>
      <c r="CT193" s="88" t="n">
        <f aca="false">IF(B193=2026,INDEX($C$18:$Q$18,1,B193-2025)*$AO$4*C193/MAX(0.0001,12-$AO$3),INDEX($C$18:$Q$18,1,B193-2025)/12)</f>
        <v>1.2210016481637</v>
      </c>
      <c r="CU193" s="88" t="n">
        <f aca="false">$AO$6*0</f>
        <v>0</v>
      </c>
      <c r="CV193" s="88" t="n">
        <f aca="false">CT193+CV192</f>
        <v>313.473949300968</v>
      </c>
      <c r="CW193" s="88" t="n">
        <f aca="false">CU193+CW192</f>
        <v>11</v>
      </c>
      <c r="CX193" s="88" t="n">
        <f aca="false">MAX(CX192,CV193-CW193)</f>
        <v>302.473949300968</v>
      </c>
      <c r="CY193" s="88" t="n">
        <f aca="false">CX193-CX192</f>
        <v>1.22100164816368</v>
      </c>
      <c r="CZ193" s="88" t="n">
        <f aca="false">IF(B193=2026,INDEX($C$19:$Q$19,1,B193-2025)*$AO$4*C193/MAX(0.0001,12-$AO$3),INDEX($C$19:$Q$19,1,B193-2025)/12)</f>
        <v>1.20891252293435</v>
      </c>
      <c r="DA193" s="88" t="n">
        <f aca="false">$AO$6*0</f>
        <v>0</v>
      </c>
      <c r="DB193" s="88" t="n">
        <f aca="false">CZ193+DB192</f>
        <v>310.370246832642</v>
      </c>
      <c r="DC193" s="88" t="n">
        <f aca="false">DA193+DC192</f>
        <v>226</v>
      </c>
      <c r="DD193" s="88" t="n">
        <f aca="false">MAX(DD192,DB193-DC193)</f>
        <v>84.3702468326422</v>
      </c>
      <c r="DE193" s="88" t="n">
        <f aca="false">DD193-DD192</f>
        <v>1.20891252293433</v>
      </c>
      <c r="DF193" s="88" t="n">
        <f aca="false">IF(B193=2026,INDEX($C$20:$Q$20,1,B193-2025)*$AO$4*C193/MAX(0.0001,12-$AO$3),INDEX($C$20:$Q$20,1,B193-2025)/12)</f>
        <v>0.985263706191498</v>
      </c>
      <c r="DG193" s="88" t="n">
        <f aca="false">$AO$6*0</f>
        <v>0</v>
      </c>
      <c r="DH193" s="88" t="n">
        <f aca="false">DF193+DH192</f>
        <v>252.951751168603</v>
      </c>
      <c r="DI193" s="88" t="n">
        <f aca="false">DG193+DI192</f>
        <v>0</v>
      </c>
      <c r="DJ193" s="88" t="n">
        <f aca="false">MAX(DJ192,DH193-DI193)</f>
        <v>252.951751168603</v>
      </c>
      <c r="DK193" s="88" t="n">
        <f aca="false">DJ193-DJ192</f>
        <v>0.985263706191489</v>
      </c>
      <c r="DL193" s="88" t="n">
        <f aca="false">IF(B193=2026,INDEX($C$21:$Q$21,1,B193-2025)*$AO$4*C193/MAX(0.0001,12-$AO$3),INDEX($C$21:$Q$21,1,B193-2025)/12)</f>
        <v>0.689080138072581</v>
      </c>
      <c r="DM193" s="88" t="n">
        <f aca="false">$AO$6*0</f>
        <v>0</v>
      </c>
      <c r="DN193" s="88" t="n">
        <f aca="false">DL193+DN192</f>
        <v>176.911040694606</v>
      </c>
      <c r="DO193" s="88" t="n">
        <f aca="false">DM193+DO192</f>
        <v>100</v>
      </c>
      <c r="DP193" s="88" t="n">
        <f aca="false">MAX(DP192,DN193-DO193)</f>
        <v>76.9110406946057</v>
      </c>
      <c r="DQ193" s="88" t="n">
        <f aca="false">DP193-DP192</f>
        <v>0.689080138072569</v>
      </c>
      <c r="DR193" s="88" t="n">
        <f aca="false">IF(B193=2026,INDEX($C$22:$Q$22,1,B193-2025)*$AO$4*C193/MAX(0.0001,12-$AO$3),INDEX($C$22:$Q$22,1,B193-2025)/12)</f>
        <v>0.537966072705787</v>
      </c>
      <c r="DS193" s="88" t="n">
        <f aca="false">$AO$6*0</f>
        <v>0</v>
      </c>
      <c r="DT193" s="88" t="n">
        <f aca="false">DR193+DT192</f>
        <v>138.114759840526</v>
      </c>
      <c r="DU193" s="88" t="n">
        <f aca="false">DS193+DU192</f>
        <v>29</v>
      </c>
      <c r="DV193" s="88" t="n">
        <f aca="false">MAX(DV192,DT193-DU193)</f>
        <v>109.114759840526</v>
      </c>
      <c r="DW193" s="88" t="n">
        <f aca="false">DV193-DV192</f>
        <v>0.537966072705785</v>
      </c>
      <c r="DX193" s="88" t="n">
        <f aca="false">IF(B193=2026,INDEX($C$23:$Q$23,1,B193-2025)*$AO$4*C193/MAX(0.0001,12-$AO$3),INDEX($C$23:$Q$23,1,B193-2025)/12)</f>
        <v>0.864372453898063</v>
      </c>
      <c r="DY193" s="88" t="n">
        <f aca="false">$AO$6*0</f>
        <v>0</v>
      </c>
      <c r="DZ193" s="88" t="n">
        <f aca="false">DX193+DZ192</f>
        <v>221.914726485339</v>
      </c>
      <c r="EA193" s="88" t="n">
        <f aca="false">DY193+EA192</f>
        <v>121</v>
      </c>
      <c r="EB193" s="88" t="n">
        <f aca="false">MAX(EB192,DZ193-EA193)</f>
        <v>100.914726485339</v>
      </c>
      <c r="EC193" s="88" t="n">
        <f aca="false">EB193-EB192</f>
        <v>0.864372453898056</v>
      </c>
      <c r="ED193" s="88" t="n">
        <f aca="false">IF(B193=2026,INDEX($C$24:$Q$24,1,B193-2025)*$AO$4*C193/MAX(0.0001,12-$AO$3),INDEX($C$24:$Q$24,1,B193-2025)/12)</f>
        <v>0.531921510091116</v>
      </c>
      <c r="EE193" s="88" t="n">
        <f aca="false">$AO$6*0</f>
        <v>0</v>
      </c>
      <c r="EF193" s="88" t="n">
        <f aca="false">ED193+EF192</f>
        <v>136.562908606362</v>
      </c>
      <c r="EG193" s="88" t="n">
        <f aca="false">EE193+EG192</f>
        <v>0</v>
      </c>
      <c r="EH193" s="88" t="n">
        <f aca="false">MAX(EH192,EF193-EG193)</f>
        <v>136.562908606362</v>
      </c>
      <c r="EI193" s="88" t="n">
        <f aca="false">EH193-EH192</f>
        <v>0.531921510091109</v>
      </c>
      <c r="EJ193" s="88" t="n">
        <f aca="false">IF(B193=2026,INDEX($C$25:$Q$25,1,B193-2025)*$AO$4*C193/MAX(0.0001,12-$AO$3),INDEX($C$25:$Q$25,1,B193-2025)/12)</f>
        <v>0.676991012843238</v>
      </c>
      <c r="EK193" s="88" t="n">
        <f aca="false">$AO$6*0</f>
        <v>0</v>
      </c>
      <c r="EL193" s="88" t="n">
        <f aca="false">EJ193+EL192</f>
        <v>173.807338226279</v>
      </c>
      <c r="EM193" s="88" t="n">
        <f aca="false">EK193+EM192</f>
        <v>14</v>
      </c>
      <c r="EN193" s="88" t="n">
        <f aca="false">MAX(EN192,EL193-EM193)</f>
        <v>159.807338226279</v>
      </c>
      <c r="EO193" s="88" t="n">
        <f aca="false">EN193-EN192</f>
        <v>0.676991012843246</v>
      </c>
      <c r="EP193" s="88" t="n">
        <f aca="false">IF(B193=2026,INDEX($C$26:$Q$26,1,B193-2025)*$AO$4*C193/MAX(0.0001,12-$AO$3),INDEX($C$26:$Q$26,1,B193-2025)/12)</f>
        <v>0.973174580962155</v>
      </c>
      <c r="EQ193" s="88" t="n">
        <f aca="false">$AO$6*0</f>
        <v>0</v>
      </c>
      <c r="ER193" s="88" t="n">
        <f aca="false">EP193+ER192</f>
        <v>249.848048700276</v>
      </c>
      <c r="ES193" s="88" t="n">
        <f aca="false">EQ193+ES192</f>
        <v>4</v>
      </c>
      <c r="ET193" s="88" t="n">
        <f aca="false">MAX(ET192,ER193-ES193)</f>
        <v>245.848048700276</v>
      </c>
      <c r="EU193" s="88" t="n">
        <f aca="false">ET193-ET192</f>
        <v>0.973174580962166</v>
      </c>
      <c r="EV193" s="88" t="n">
        <f aca="false">IF(B193=2026,INDEX($C$27:$Q$27,1,B193-2025)*$AO$4*C193/MAX(0.0001,12-$AO$3),INDEX($C$27:$Q$27,1,B193-2025)/12)</f>
        <v>2.41782504586871</v>
      </c>
      <c r="EW193" s="88" t="n">
        <f aca="false">$AO$6*0</f>
        <v>0</v>
      </c>
      <c r="EX193" s="88" t="n">
        <f aca="false">EV193+EX192</f>
        <v>620.740493665284</v>
      </c>
      <c r="EY193" s="88" t="n">
        <f aca="false">EW193+EY192</f>
        <v>391</v>
      </c>
      <c r="EZ193" s="88" t="n">
        <f aca="false">MAX(EZ192,EX193-EY193)</f>
        <v>229.740493665284</v>
      </c>
      <c r="FA193" s="88" t="n">
        <f aca="false">EZ193-EZ192</f>
        <v>2.41782504586865</v>
      </c>
      <c r="FB193" s="88" t="n">
        <f aca="false">IF(B193=2026,INDEX($C$28:$Q$28,1,B193-2025)*$AO$4*C193/MAX(0.0001,12-$AO$3),INDEX($C$28:$Q$28,1,B193-2025)/12)</f>
        <v>12.6573141151227</v>
      </c>
      <c r="FC193" s="88" t="n">
        <f aca="false">$AO$6*0</f>
        <v>0</v>
      </c>
      <c r="FD193" s="88" t="n">
        <f aca="false">FB193+FD192</f>
        <v>3249.57648433776</v>
      </c>
      <c r="FE193" s="88" t="n">
        <f aca="false">FC193+FE192</f>
        <v>169</v>
      </c>
      <c r="FF193" s="88" t="n">
        <f aca="false">MAX(FF192,FD193-FE193)</f>
        <v>3080.57648433776</v>
      </c>
      <c r="FG193" s="88" t="n">
        <f aca="false">FF193-FF192</f>
        <v>12.6573141151225</v>
      </c>
    </row>
    <row r="194" customFormat="false" ht="15" hidden="false" customHeight="false" outlineLevel="0" collapsed="false">
      <c r="A194" s="0" t="n">
        <v>154</v>
      </c>
      <c r="B194" s="88" t="n">
        <f aca="false">2026+INT(A194/12)</f>
        <v>2038</v>
      </c>
      <c r="C194" s="88" t="n">
        <f aca="false">MAX(0,MIN(1,A194+1-$AO$3))</f>
        <v>1</v>
      </c>
      <c r="D194" s="88" t="n">
        <f aca="false">IF((A194+0.5-(0))&lt;$AO$3,0,2026+INT((A194+0.5-(0))/12))</f>
        <v>2038</v>
      </c>
      <c r="E194" s="88" t="n">
        <f aca="false">IF((A194+0.5-($AO$9))&lt;$AO$3,0,2026+INT((A194+0.5-($AO$9))/12))</f>
        <v>2037</v>
      </c>
      <c r="F194" s="88" t="n">
        <f aca="false">IF((A194+0.5-($AO$9+$AO$8))&lt;$AO$3,0,2026+INT((A194+0.5-($AO$9+$AO$8))/12))</f>
        <v>2036</v>
      </c>
      <c r="G194" s="88" t="n">
        <f aca="false">IF((A194+0.5-($AO$9+$AO$8+$AO$7))&lt;$AO$3,0,2026+INT((A194+0.5-($AO$9+$AO$8+$AO$7))/12))</f>
        <v>2035</v>
      </c>
      <c r="H194" s="88" t="n">
        <f aca="false">IF(B194=2026,INDEX($C$3:$Q$3,1,B194-2025)*$AO$4*C194/MAX(0.0001,12-$AO$3),INDEX($C$3:$Q$3,1,B194-2025)/12)</f>
        <v>129.583333333333</v>
      </c>
      <c r="I194" s="88" t="n">
        <f aca="false">$AO$6*0</f>
        <v>0</v>
      </c>
      <c r="J194" s="88" t="n">
        <f aca="false">H194+J193</f>
        <v>33398.1700913243</v>
      </c>
      <c r="K194" s="88" t="n">
        <f aca="false">I194+K193</f>
        <v>8695.00000000001</v>
      </c>
      <c r="L194" s="88" t="n">
        <f aca="false">MAX(L193,J194-K194)</f>
        <v>24703.1700913243</v>
      </c>
      <c r="M194" s="88" t="n">
        <f aca="false">L194-L193</f>
        <v>129.583333333336</v>
      </c>
      <c r="N194" s="88" t="n">
        <f aca="false">IF(B194=2026,INDEX($C$4:$Q$4,1,B194-2025)*$AO$4*C194/MAX(0.0001,12-$AO$3),INDEX($C$4:$Q$4,1,B194-2025)/12)</f>
        <v>3.9285593164349</v>
      </c>
      <c r="O194" s="88" t="n">
        <f aca="false">$AO$6*0</f>
        <v>0</v>
      </c>
      <c r="P194" s="88" t="n">
        <f aca="false">N194+P193</f>
        <v>1012.52752872655</v>
      </c>
      <c r="Q194" s="88" t="n">
        <f aca="false">O194+Q193</f>
        <v>398</v>
      </c>
      <c r="R194" s="88" t="n">
        <f aca="false">MAX(R193,P194-Q194)</f>
        <v>614.527528726552</v>
      </c>
      <c r="S194" s="88" t="n">
        <f aca="false">R194-R193</f>
        <v>3.92855931643487</v>
      </c>
      <c r="T194" s="88" t="n">
        <f aca="false">IF(B194=2026,INDEX($C$5:$Q$5,1,B194-2025)*$AO$4*C194/MAX(0.0001,12-$AO$3),INDEX($C$5:$Q$5,1,B194-2025)/12)</f>
        <v>15.9670831585289</v>
      </c>
      <c r="U194" s="88" t="n">
        <f aca="false">$AO$6*0</f>
        <v>0</v>
      </c>
      <c r="V194" s="88" t="n">
        <f aca="false">T194+V193</f>
        <v>4115.27736996166</v>
      </c>
      <c r="W194" s="88" t="n">
        <f aca="false">U194+W193</f>
        <v>1115</v>
      </c>
      <c r="X194" s="88" t="n">
        <f aca="false">MAX(X193,V194-W194)</f>
        <v>3000.27736996166</v>
      </c>
      <c r="Y194" s="88" t="n">
        <f aca="false">X194-X193</f>
        <v>15.967083158529</v>
      </c>
      <c r="Z194" s="88" t="n">
        <f aca="false">IF(B194=2026,INDEX($C$6:$Q$6,1,B194-2025)*$AO$4*C194/MAX(0.0001,12-$AO$3),INDEX($C$6:$Q$6,1,B194-2025)/12)</f>
        <v>18.9436461953513</v>
      </c>
      <c r="AA194" s="88" t="n">
        <f aca="false">$AO$6*0</f>
        <v>0</v>
      </c>
      <c r="AB194" s="88" t="n">
        <f aca="false">Z194+AB193</f>
        <v>4882.44206648652</v>
      </c>
      <c r="AC194" s="88" t="n">
        <f aca="false">AA194+AC193</f>
        <v>2194</v>
      </c>
      <c r="AD194" s="88" t="n">
        <f aca="false">MAX(AD193,AB194-AC194)</f>
        <v>2688.44206648651</v>
      </c>
      <c r="AE194" s="88" t="n">
        <f aca="false">AD194-AD193</f>
        <v>18.943646195351</v>
      </c>
      <c r="AF194" s="88" t="n">
        <f aca="false">IF(B194=2026,INDEX($C$7:$Q$7,1,B194-2025)*$AO$4*C194/MAX(0.0001,12-$AO$3),INDEX($C$7:$Q$7,1,B194-2025)/12)</f>
        <v>16.4556786026022</v>
      </c>
      <c r="AG194" s="88" t="n">
        <f aca="false">$AO$6*0</f>
        <v>0</v>
      </c>
      <c r="AH194" s="88" t="n">
        <f aca="false">AF194+AH193</f>
        <v>4241.20555321831</v>
      </c>
      <c r="AI194" s="88" t="n">
        <f aca="false">AG194+AI193</f>
        <v>826</v>
      </c>
      <c r="AJ194" s="88" t="n">
        <f aca="false">MAX(AJ193,AH194-AI194)</f>
        <v>3415.20555321831</v>
      </c>
      <c r="AK194" s="88" t="n">
        <f aca="false">AJ194-AJ193</f>
        <v>16.4556786026023</v>
      </c>
      <c r="AL194" s="88" t="n">
        <f aca="false">IF(B194=2026,INDEX($C$8:$Q$8,1,B194-2025)*$AO$4*C194/MAX(0.0001,12-$AO$3),INDEX($C$8:$Q$8,1,B194-2025)/12)</f>
        <v>4.1625092528236</v>
      </c>
      <c r="AM194" s="88" t="n">
        <f aca="false">$AO$6*0</f>
        <v>0</v>
      </c>
      <c r="AN194" s="88" t="n">
        <f aca="false">AL194+AN193</f>
        <v>1072.82463304834</v>
      </c>
      <c r="AO194" s="88" t="n">
        <f aca="false">AM194+AO193</f>
        <v>66</v>
      </c>
      <c r="AP194" s="88" t="n">
        <f aca="false">MAX(AP193,AN194-AO194)</f>
        <v>1006.82463304834</v>
      </c>
      <c r="AQ194" s="88" t="n">
        <f aca="false">AP194-AP193</f>
        <v>4.16250925282361</v>
      </c>
      <c r="AR194" s="88" t="n">
        <f aca="false">IF(B194=2026,INDEX($C$9:$Q$9,1,B194-2025)*$AO$4*C194/MAX(0.0001,12-$AO$3),INDEX($C$9:$Q$9,1,B194-2025)/12)</f>
        <v>17.7487019048737</v>
      </c>
      <c r="AS194" s="88" t="n">
        <f aca="false">$AO$6*0</f>
        <v>0</v>
      </c>
      <c r="AT194" s="88" t="n">
        <f aca="false">AR194+AT193</f>
        <v>4574.46301056604</v>
      </c>
      <c r="AU194" s="88" t="n">
        <f aca="false">AS194+AU193</f>
        <v>1810</v>
      </c>
      <c r="AV194" s="88" t="n">
        <f aca="false">MAX(AV193,AT194-AU194)</f>
        <v>2764.46301056603</v>
      </c>
      <c r="AW194" s="88" t="n">
        <f aca="false">AV194-AV193</f>
        <v>17.748701904874</v>
      </c>
      <c r="AX194" s="88" t="n">
        <f aca="false">IF(B194=2026,INDEX($C$10:$Q$10,1,B194-2025)*$AO$4*C194/MAX(0.0001,12-$AO$3),INDEX($C$10:$Q$10,1,B194-2025)/12)</f>
        <v>2.05875944022058</v>
      </c>
      <c r="AY194" s="88" t="n">
        <f aca="false">$AO$6*0</f>
        <v>0</v>
      </c>
      <c r="AZ194" s="88" t="n">
        <f aca="false">AX194+AZ193</f>
        <v>530.614518031687</v>
      </c>
      <c r="BA194" s="88" t="n">
        <f aca="false">AY194+BA193</f>
        <v>50</v>
      </c>
      <c r="BB194" s="88" t="n">
        <f aca="false">MAX(BB193,AZ194-BA194)</f>
        <v>480.614518031687</v>
      </c>
      <c r="BC194" s="88" t="n">
        <f aca="false">BB194-BB193</f>
        <v>2.05875944022057</v>
      </c>
      <c r="BD194" s="88" t="n">
        <f aca="false">IF(B194=2026,INDEX($C$11:$Q$11,1,B194-2025)*$AO$4*C194/MAX(0.0001,12-$AO$3),INDEX($C$11:$Q$11,1,B194-2025)/12)</f>
        <v>10.2308106797675</v>
      </c>
      <c r="BE194" s="88" t="n">
        <f aca="false">$AO$6*0</f>
        <v>0</v>
      </c>
      <c r="BF194" s="88" t="n">
        <f aca="false">BD194+BF193</f>
        <v>2636.83875437949</v>
      </c>
      <c r="BG194" s="88" t="n">
        <f aca="false">BE194+BG193</f>
        <v>240</v>
      </c>
      <c r="BH194" s="88" t="n">
        <f aca="false">MAX(BH193,BF194-BG194)</f>
        <v>2396.83875437949</v>
      </c>
      <c r="BI194" s="88" t="n">
        <f aca="false">BH194-BH193</f>
        <v>10.2308106797673</v>
      </c>
      <c r="BJ194" s="88" t="n">
        <f aca="false">IF(B194=2026,INDEX($C$12:$Q$12,1,B194-2025)*$AO$4*C194/MAX(0.0001,12-$AO$3),INDEX($C$12:$Q$12,1,B194-2025)/12)</f>
        <v>5.60939962864295</v>
      </c>
      <c r="BK194" s="88" t="n">
        <f aca="false">$AO$6*0</f>
        <v>0</v>
      </c>
      <c r="BL194" s="88" t="n">
        <f aca="false">BJ194+BL193</f>
        <v>1445.73903208459</v>
      </c>
      <c r="BM194" s="88" t="n">
        <f aca="false">BK194+BM193</f>
        <v>465</v>
      </c>
      <c r="BN194" s="88" t="n">
        <f aca="false">MAX(BN193,BL194-BM194)</f>
        <v>980.739032084593</v>
      </c>
      <c r="BO194" s="88" t="n">
        <f aca="false">BN194-BN193</f>
        <v>5.60939962864291</v>
      </c>
      <c r="BP194" s="88" t="n">
        <f aca="false">IF(B194=2026,INDEX($C$13:$Q$13,1,B194-2025)*$AO$4*C194/MAX(0.0001,12-$AO$3),INDEX($C$13:$Q$13,1,B194-2025)/12)</f>
        <v>1.75292315825481</v>
      </c>
      <c r="BQ194" s="88" t="n">
        <f aca="false">$AO$6*0</f>
        <v>0</v>
      </c>
      <c r="BR194" s="88" t="n">
        <f aca="false">BP194+BR193</f>
        <v>451.789781065585</v>
      </c>
      <c r="BS194" s="88" t="n">
        <f aca="false">BQ194+BS193</f>
        <v>87</v>
      </c>
      <c r="BT194" s="88" t="n">
        <f aca="false">MAX(BT193,BR194-BS194)</f>
        <v>364.789781065585</v>
      </c>
      <c r="BU194" s="88" t="n">
        <f aca="false">BT194-BT193</f>
        <v>1.75292315825482</v>
      </c>
      <c r="BV194" s="88" t="n">
        <f aca="false">IF(B194=2026,INDEX($C$14:$Q$14,1,B194-2025)*$AO$4*C194/MAX(0.0001,12-$AO$3),INDEX($C$14:$Q$14,1,B194-2025)/12)</f>
        <v>1.03966476972354</v>
      </c>
      <c r="BW194" s="88" t="n">
        <f aca="false">$AO$6*0</f>
        <v>0</v>
      </c>
      <c r="BX194" s="88" t="n">
        <f aca="false">BV194+BX193</f>
        <v>267.958077045796</v>
      </c>
      <c r="BY194" s="88" t="n">
        <f aca="false">BW194+BY193</f>
        <v>0</v>
      </c>
      <c r="BZ194" s="88" t="n">
        <f aca="false">MAX(BZ193,BX194-BY194)</f>
        <v>267.958077045796</v>
      </c>
      <c r="CA194" s="88" t="n">
        <f aca="false">BZ194-BZ193</f>
        <v>1.03966476972357</v>
      </c>
      <c r="CB194" s="88" t="n">
        <f aca="false">IF(B194=2026,INDEX($C$15:$Q$15,1,B194-2025)*$AO$4*C194/MAX(0.0001,12-$AO$3),INDEX($C$15:$Q$15,1,B194-2025)/12)</f>
        <v>1.70456665733744</v>
      </c>
      <c r="CC194" s="88" t="n">
        <f aca="false">$AO$6*0</f>
        <v>0</v>
      </c>
      <c r="CD194" s="88" t="n">
        <f aca="false">CB194+CD193</f>
        <v>439.326614691362</v>
      </c>
      <c r="CE194" s="88" t="n">
        <f aca="false">CC194+CE193</f>
        <v>88.0000000000001</v>
      </c>
      <c r="CF194" s="88" t="n">
        <f aca="false">MAX(CF193,CD194-CE194)</f>
        <v>351.326614691362</v>
      </c>
      <c r="CG194" s="88" t="n">
        <f aca="false">CF194-CF193</f>
        <v>1.70456665733747</v>
      </c>
      <c r="CH194" s="88" t="n">
        <f aca="false">IF(B194=2026,INDEX($C$16:$Q$16,1,B194-2025)*$AO$4*C194/MAX(0.0001,12-$AO$3),INDEX($C$16:$Q$16,1,B194-2025)/12)</f>
        <v>1.3479374630718</v>
      </c>
      <c r="CI194" s="88" t="n">
        <f aca="false">$AO$6*0</f>
        <v>0</v>
      </c>
      <c r="CJ194" s="88" t="n">
        <f aca="false">CH194+CJ193</f>
        <v>347.410762681467</v>
      </c>
      <c r="CK194" s="88" t="n">
        <f aca="false">CI194+CK193</f>
        <v>70</v>
      </c>
      <c r="CL194" s="88" t="n">
        <f aca="false">MAX(CL193,CJ194-CK194)</f>
        <v>277.410762681467</v>
      </c>
      <c r="CM194" s="88" t="n">
        <f aca="false">CL194-CL193</f>
        <v>1.34793746307179</v>
      </c>
      <c r="CN194" s="88" t="n">
        <f aca="false">IF(B194=2026,INDEX($C$17:$Q$17,1,B194-2025)*$AO$4*C194/MAX(0.0001,12-$AO$3),INDEX($C$17:$Q$17,1,B194-2025)/12)</f>
        <v>5.86927029884629</v>
      </c>
      <c r="CO194" s="88" t="n">
        <f aca="false">$AO$6*0</f>
        <v>0</v>
      </c>
      <c r="CP194" s="88" t="n">
        <f aca="false">CN194+CP193</f>
        <v>1512.71681867133</v>
      </c>
      <c r="CQ194" s="88" t="n">
        <f aca="false">CO194+CQ193</f>
        <v>221</v>
      </c>
      <c r="CR194" s="88" t="n">
        <f aca="false">MAX(CR193,CP194-CQ194)</f>
        <v>1291.71681867133</v>
      </c>
      <c r="CS194" s="88" t="n">
        <f aca="false">CR194-CR193</f>
        <v>5.86927029884623</v>
      </c>
      <c r="CT194" s="88" t="n">
        <f aca="false">IF(B194=2026,INDEX($C$18:$Q$18,1,B194-2025)*$AO$4*C194/MAX(0.0001,12-$AO$3),INDEX($C$18:$Q$18,1,B194-2025)/12)</f>
        <v>1.2210016481637</v>
      </c>
      <c r="CU194" s="88" t="n">
        <f aca="false">$AO$6*0</f>
        <v>0</v>
      </c>
      <c r="CV194" s="88" t="n">
        <f aca="false">CT194+CV193</f>
        <v>314.694950949132</v>
      </c>
      <c r="CW194" s="88" t="n">
        <f aca="false">CU194+CW193</f>
        <v>11</v>
      </c>
      <c r="CX194" s="88" t="n">
        <f aca="false">MAX(CX193,CV194-CW194)</f>
        <v>303.694950949132</v>
      </c>
      <c r="CY194" s="88" t="n">
        <f aca="false">CX194-CX193</f>
        <v>1.22100164816368</v>
      </c>
      <c r="CZ194" s="88" t="n">
        <f aca="false">IF(B194=2026,INDEX($C$19:$Q$19,1,B194-2025)*$AO$4*C194/MAX(0.0001,12-$AO$3),INDEX($C$19:$Q$19,1,B194-2025)/12)</f>
        <v>1.20891252293435</v>
      </c>
      <c r="DA194" s="88" t="n">
        <f aca="false">$AO$6*0</f>
        <v>0</v>
      </c>
      <c r="DB194" s="88" t="n">
        <f aca="false">CZ194+DB193</f>
        <v>311.579159355576</v>
      </c>
      <c r="DC194" s="88" t="n">
        <f aca="false">DA194+DC193</f>
        <v>226</v>
      </c>
      <c r="DD194" s="88" t="n">
        <f aca="false">MAX(DD193,DB194-DC194)</f>
        <v>85.5791593555765</v>
      </c>
      <c r="DE194" s="88" t="n">
        <f aca="false">DD194-DD193</f>
        <v>1.20891252293433</v>
      </c>
      <c r="DF194" s="88" t="n">
        <f aca="false">IF(B194=2026,INDEX($C$20:$Q$20,1,B194-2025)*$AO$4*C194/MAX(0.0001,12-$AO$3),INDEX($C$20:$Q$20,1,B194-2025)/12)</f>
        <v>0.985263706191498</v>
      </c>
      <c r="DG194" s="88" t="n">
        <f aca="false">$AO$6*0</f>
        <v>0</v>
      </c>
      <c r="DH194" s="88" t="n">
        <f aca="false">DF194+DH193</f>
        <v>253.937014874795</v>
      </c>
      <c r="DI194" s="88" t="n">
        <f aca="false">DG194+DI193</f>
        <v>0</v>
      </c>
      <c r="DJ194" s="88" t="n">
        <f aca="false">MAX(DJ193,DH194-DI194)</f>
        <v>253.937014874795</v>
      </c>
      <c r="DK194" s="88" t="n">
        <f aca="false">DJ194-DJ193</f>
        <v>0.985263706191489</v>
      </c>
      <c r="DL194" s="88" t="n">
        <f aca="false">IF(B194=2026,INDEX($C$21:$Q$21,1,B194-2025)*$AO$4*C194/MAX(0.0001,12-$AO$3),INDEX($C$21:$Q$21,1,B194-2025)/12)</f>
        <v>0.689080138072581</v>
      </c>
      <c r="DM194" s="88" t="n">
        <f aca="false">$AO$6*0</f>
        <v>0</v>
      </c>
      <c r="DN194" s="88" t="n">
        <f aca="false">DL194+DN193</f>
        <v>177.600120832678</v>
      </c>
      <c r="DO194" s="88" t="n">
        <f aca="false">DM194+DO193</f>
        <v>100</v>
      </c>
      <c r="DP194" s="88" t="n">
        <f aca="false">MAX(DP193,DN194-DO194)</f>
        <v>77.6001208326782</v>
      </c>
      <c r="DQ194" s="88" t="n">
        <f aca="false">DP194-DP193</f>
        <v>0.689080138072569</v>
      </c>
      <c r="DR194" s="88" t="n">
        <f aca="false">IF(B194=2026,INDEX($C$22:$Q$22,1,B194-2025)*$AO$4*C194/MAX(0.0001,12-$AO$3),INDEX($C$22:$Q$22,1,B194-2025)/12)</f>
        <v>0.537966072705787</v>
      </c>
      <c r="DS194" s="88" t="n">
        <f aca="false">$AO$6*0</f>
        <v>0</v>
      </c>
      <c r="DT194" s="88" t="n">
        <f aca="false">DR194+DT193</f>
        <v>138.652725913232</v>
      </c>
      <c r="DU194" s="88" t="n">
        <f aca="false">DS194+DU193</f>
        <v>29</v>
      </c>
      <c r="DV194" s="88" t="n">
        <f aca="false">MAX(DV193,DT194-DU194)</f>
        <v>109.652725913232</v>
      </c>
      <c r="DW194" s="88" t="n">
        <f aca="false">DV194-DV193</f>
        <v>0.537966072705785</v>
      </c>
      <c r="DX194" s="88" t="n">
        <f aca="false">IF(B194=2026,INDEX($C$23:$Q$23,1,B194-2025)*$AO$4*C194/MAX(0.0001,12-$AO$3),INDEX($C$23:$Q$23,1,B194-2025)/12)</f>
        <v>0.864372453898063</v>
      </c>
      <c r="DY194" s="88" t="n">
        <f aca="false">$AO$6*0</f>
        <v>0</v>
      </c>
      <c r="DZ194" s="88" t="n">
        <f aca="false">DX194+DZ193</f>
        <v>222.779098939237</v>
      </c>
      <c r="EA194" s="88" t="n">
        <f aca="false">DY194+EA193</f>
        <v>121</v>
      </c>
      <c r="EB194" s="88" t="n">
        <f aca="false">MAX(EB193,DZ194-EA194)</f>
        <v>101.779098939237</v>
      </c>
      <c r="EC194" s="88" t="n">
        <f aca="false">EB194-EB193</f>
        <v>0.864372453898056</v>
      </c>
      <c r="ED194" s="88" t="n">
        <f aca="false">IF(B194=2026,INDEX($C$24:$Q$24,1,B194-2025)*$AO$4*C194/MAX(0.0001,12-$AO$3),INDEX($C$24:$Q$24,1,B194-2025)/12)</f>
        <v>0.531921510091116</v>
      </c>
      <c r="EE194" s="88" t="n">
        <f aca="false">$AO$6*0</f>
        <v>0</v>
      </c>
      <c r="EF194" s="88" t="n">
        <f aca="false">ED194+EF193</f>
        <v>137.094830116453</v>
      </c>
      <c r="EG194" s="88" t="n">
        <f aca="false">EE194+EG193</f>
        <v>0</v>
      </c>
      <c r="EH194" s="88" t="n">
        <f aca="false">MAX(EH193,EF194-EG194)</f>
        <v>137.094830116453</v>
      </c>
      <c r="EI194" s="88" t="n">
        <f aca="false">EH194-EH193</f>
        <v>0.531921510091109</v>
      </c>
      <c r="EJ194" s="88" t="n">
        <f aca="false">IF(B194=2026,INDEX($C$25:$Q$25,1,B194-2025)*$AO$4*C194/MAX(0.0001,12-$AO$3),INDEX($C$25:$Q$25,1,B194-2025)/12)</f>
        <v>0.676991012843238</v>
      </c>
      <c r="EK194" s="88" t="n">
        <f aca="false">$AO$6*0</f>
        <v>0</v>
      </c>
      <c r="EL194" s="88" t="n">
        <f aca="false">EJ194+EL193</f>
        <v>174.484329239123</v>
      </c>
      <c r="EM194" s="88" t="n">
        <f aca="false">EK194+EM193</f>
        <v>14</v>
      </c>
      <c r="EN194" s="88" t="n">
        <f aca="false">MAX(EN193,EL194-EM194)</f>
        <v>160.484329239123</v>
      </c>
      <c r="EO194" s="88" t="n">
        <f aca="false">EN194-EN193</f>
        <v>0.676991012843246</v>
      </c>
      <c r="EP194" s="88" t="n">
        <f aca="false">IF(B194=2026,INDEX($C$26:$Q$26,1,B194-2025)*$AO$4*C194/MAX(0.0001,12-$AO$3),INDEX($C$26:$Q$26,1,B194-2025)/12)</f>
        <v>0.973174580962155</v>
      </c>
      <c r="EQ194" s="88" t="n">
        <f aca="false">$AO$6*0</f>
        <v>0</v>
      </c>
      <c r="ER194" s="88" t="n">
        <f aca="false">EP194+ER193</f>
        <v>250.821223281238</v>
      </c>
      <c r="ES194" s="88" t="n">
        <f aca="false">EQ194+ES193</f>
        <v>4</v>
      </c>
      <c r="ET194" s="88" t="n">
        <f aca="false">MAX(ET193,ER194-ES194)</f>
        <v>246.821223281238</v>
      </c>
      <c r="EU194" s="88" t="n">
        <f aca="false">ET194-ET193</f>
        <v>0.973174580962166</v>
      </c>
      <c r="EV194" s="88" t="n">
        <f aca="false">IF(B194=2026,INDEX($C$27:$Q$27,1,B194-2025)*$AO$4*C194/MAX(0.0001,12-$AO$3),INDEX($C$27:$Q$27,1,B194-2025)/12)</f>
        <v>2.41782504586871</v>
      </c>
      <c r="EW194" s="88" t="n">
        <f aca="false">$AO$6*0</f>
        <v>0</v>
      </c>
      <c r="EX194" s="88" t="n">
        <f aca="false">EV194+EX193</f>
        <v>623.158318711153</v>
      </c>
      <c r="EY194" s="88" t="n">
        <f aca="false">EW194+EY193</f>
        <v>391</v>
      </c>
      <c r="EZ194" s="88" t="n">
        <f aca="false">MAX(EZ193,EX194-EY194)</f>
        <v>232.158318711153</v>
      </c>
      <c r="FA194" s="88" t="n">
        <f aca="false">EZ194-EZ193</f>
        <v>2.41782504586865</v>
      </c>
      <c r="FB194" s="88" t="n">
        <f aca="false">IF(B194=2026,INDEX($C$28:$Q$28,1,B194-2025)*$AO$4*C194/MAX(0.0001,12-$AO$3),INDEX($C$28:$Q$28,1,B194-2025)/12)</f>
        <v>12.6573141151227</v>
      </c>
      <c r="FC194" s="88" t="n">
        <f aca="false">$AO$6*0</f>
        <v>0</v>
      </c>
      <c r="FD194" s="88" t="n">
        <f aca="false">FB194+FD193</f>
        <v>3262.23379845288</v>
      </c>
      <c r="FE194" s="88" t="n">
        <f aca="false">FC194+FE193</f>
        <v>169</v>
      </c>
      <c r="FF194" s="88" t="n">
        <f aca="false">MAX(FF193,FD194-FE194)</f>
        <v>3093.23379845288</v>
      </c>
      <c r="FG194" s="88" t="n">
        <f aca="false">FF194-FF193</f>
        <v>12.6573141151225</v>
      </c>
    </row>
    <row r="195" customFormat="false" ht="15" hidden="false" customHeight="false" outlineLevel="0" collapsed="false">
      <c r="A195" s="0" t="n">
        <v>155</v>
      </c>
      <c r="B195" s="88" t="n">
        <f aca="false">2026+INT(A195/12)</f>
        <v>2038</v>
      </c>
      <c r="C195" s="88" t="n">
        <f aca="false">MAX(0,MIN(1,A195+1-$AO$3))</f>
        <v>1</v>
      </c>
      <c r="D195" s="88" t="n">
        <f aca="false">IF((A195+0.5-(0))&lt;$AO$3,0,2026+INT((A195+0.5-(0))/12))</f>
        <v>2038</v>
      </c>
      <c r="E195" s="88" t="n">
        <f aca="false">IF((A195+0.5-($AO$9))&lt;$AO$3,0,2026+INT((A195+0.5-($AO$9))/12))</f>
        <v>2037</v>
      </c>
      <c r="F195" s="88" t="n">
        <f aca="false">IF((A195+0.5-($AO$9+$AO$8))&lt;$AO$3,0,2026+INT((A195+0.5-($AO$9+$AO$8))/12))</f>
        <v>2036</v>
      </c>
      <c r="G195" s="88" t="n">
        <f aca="false">IF((A195+0.5-($AO$9+$AO$8+$AO$7))&lt;$AO$3,0,2026+INT((A195+0.5-($AO$9+$AO$8+$AO$7))/12))</f>
        <v>2036</v>
      </c>
      <c r="H195" s="88" t="n">
        <f aca="false">IF(B195=2026,INDEX($C$3:$Q$3,1,B195-2025)*$AO$4*C195/MAX(0.0001,12-$AO$3),INDEX($C$3:$Q$3,1,B195-2025)/12)</f>
        <v>129.583333333333</v>
      </c>
      <c r="I195" s="88" t="n">
        <f aca="false">$AO$6*0</f>
        <v>0</v>
      </c>
      <c r="J195" s="88" t="n">
        <f aca="false">H195+J194</f>
        <v>33527.7534246576</v>
      </c>
      <c r="K195" s="88" t="n">
        <f aca="false">I195+K194</f>
        <v>8695.00000000001</v>
      </c>
      <c r="L195" s="88" t="n">
        <f aca="false">MAX(L194,J195-K195)</f>
        <v>24832.7534246576</v>
      </c>
      <c r="M195" s="88" t="n">
        <f aca="false">L195-L194</f>
        <v>129.583333333336</v>
      </c>
      <c r="N195" s="88" t="n">
        <f aca="false">IF(B195=2026,INDEX($C$4:$Q$4,1,B195-2025)*$AO$4*C195/MAX(0.0001,12-$AO$3),INDEX($C$4:$Q$4,1,B195-2025)/12)</f>
        <v>3.9285593164349</v>
      </c>
      <c r="O195" s="88" t="n">
        <f aca="false">$AO$6*0</f>
        <v>0</v>
      </c>
      <c r="P195" s="88" t="n">
        <f aca="false">N195+P194</f>
        <v>1016.45608804299</v>
      </c>
      <c r="Q195" s="88" t="n">
        <f aca="false">O195+Q194</f>
        <v>398</v>
      </c>
      <c r="R195" s="88" t="n">
        <f aca="false">MAX(R194,P195-Q195)</f>
        <v>618.456088042987</v>
      </c>
      <c r="S195" s="88" t="n">
        <f aca="false">R195-R194</f>
        <v>3.92855931643487</v>
      </c>
      <c r="T195" s="88" t="n">
        <f aca="false">IF(B195=2026,INDEX($C$5:$Q$5,1,B195-2025)*$AO$4*C195/MAX(0.0001,12-$AO$3),INDEX($C$5:$Q$5,1,B195-2025)/12)</f>
        <v>15.9670831585289</v>
      </c>
      <c r="U195" s="88" t="n">
        <f aca="false">$AO$6*0</f>
        <v>0</v>
      </c>
      <c r="V195" s="88" t="n">
        <f aca="false">T195+V194</f>
        <v>4131.24445312019</v>
      </c>
      <c r="W195" s="88" t="n">
        <f aca="false">U195+W194</f>
        <v>1115</v>
      </c>
      <c r="X195" s="88" t="n">
        <f aca="false">MAX(X194,V195-W195)</f>
        <v>3016.24445312019</v>
      </c>
      <c r="Y195" s="88" t="n">
        <f aca="false">X195-X194</f>
        <v>15.967083158529</v>
      </c>
      <c r="Z195" s="88" t="n">
        <f aca="false">IF(B195=2026,INDEX($C$6:$Q$6,1,B195-2025)*$AO$4*C195/MAX(0.0001,12-$AO$3),INDEX($C$6:$Q$6,1,B195-2025)/12)</f>
        <v>18.9436461953513</v>
      </c>
      <c r="AA195" s="88" t="n">
        <f aca="false">$AO$6*0</f>
        <v>0</v>
      </c>
      <c r="AB195" s="88" t="n">
        <f aca="false">Z195+AB194</f>
        <v>4901.38571268187</v>
      </c>
      <c r="AC195" s="88" t="n">
        <f aca="false">AA195+AC194</f>
        <v>2194</v>
      </c>
      <c r="AD195" s="88" t="n">
        <f aca="false">MAX(AD194,AB195-AC195)</f>
        <v>2707.38571268186</v>
      </c>
      <c r="AE195" s="88" t="n">
        <f aca="false">AD195-AD194</f>
        <v>18.943646195351</v>
      </c>
      <c r="AF195" s="88" t="n">
        <f aca="false">IF(B195=2026,INDEX($C$7:$Q$7,1,B195-2025)*$AO$4*C195/MAX(0.0001,12-$AO$3),INDEX($C$7:$Q$7,1,B195-2025)/12)</f>
        <v>16.4556786026022</v>
      </c>
      <c r="AG195" s="88" t="n">
        <f aca="false">$AO$6*0</f>
        <v>0</v>
      </c>
      <c r="AH195" s="88" t="n">
        <f aca="false">AF195+AH194</f>
        <v>4257.66123182091</v>
      </c>
      <c r="AI195" s="88" t="n">
        <f aca="false">AG195+AI194</f>
        <v>826</v>
      </c>
      <c r="AJ195" s="88" t="n">
        <f aca="false">MAX(AJ194,AH195-AI195)</f>
        <v>3431.66123182091</v>
      </c>
      <c r="AK195" s="88" t="n">
        <f aca="false">AJ195-AJ194</f>
        <v>16.4556786026023</v>
      </c>
      <c r="AL195" s="88" t="n">
        <f aca="false">IF(B195=2026,INDEX($C$8:$Q$8,1,B195-2025)*$AO$4*C195/MAX(0.0001,12-$AO$3),INDEX($C$8:$Q$8,1,B195-2025)/12)</f>
        <v>4.1625092528236</v>
      </c>
      <c r="AM195" s="88" t="n">
        <f aca="false">$AO$6*0</f>
        <v>0</v>
      </c>
      <c r="AN195" s="88" t="n">
        <f aca="false">AL195+AN194</f>
        <v>1076.98714230116</v>
      </c>
      <c r="AO195" s="88" t="n">
        <f aca="false">AM195+AO194</f>
        <v>66</v>
      </c>
      <c r="AP195" s="88" t="n">
        <f aca="false">MAX(AP194,AN195-AO195)</f>
        <v>1010.98714230116</v>
      </c>
      <c r="AQ195" s="88" t="n">
        <f aca="false">AP195-AP194</f>
        <v>4.16250925282361</v>
      </c>
      <c r="AR195" s="88" t="n">
        <f aca="false">IF(B195=2026,INDEX($C$9:$Q$9,1,B195-2025)*$AO$4*C195/MAX(0.0001,12-$AO$3),INDEX($C$9:$Q$9,1,B195-2025)/12)</f>
        <v>17.7487019048737</v>
      </c>
      <c r="AS195" s="88" t="n">
        <f aca="false">$AO$6*0</f>
        <v>0</v>
      </c>
      <c r="AT195" s="88" t="n">
        <f aca="false">AR195+AT194</f>
        <v>4592.21171247091</v>
      </c>
      <c r="AU195" s="88" t="n">
        <f aca="false">AS195+AU194</f>
        <v>1810</v>
      </c>
      <c r="AV195" s="88" t="n">
        <f aca="false">MAX(AV194,AT195-AU195)</f>
        <v>2782.21171247091</v>
      </c>
      <c r="AW195" s="88" t="n">
        <f aca="false">AV195-AV194</f>
        <v>17.748701904874</v>
      </c>
      <c r="AX195" s="88" t="n">
        <f aca="false">IF(B195=2026,INDEX($C$10:$Q$10,1,B195-2025)*$AO$4*C195/MAX(0.0001,12-$AO$3),INDEX($C$10:$Q$10,1,B195-2025)/12)</f>
        <v>2.05875944022058</v>
      </c>
      <c r="AY195" s="88" t="n">
        <f aca="false">$AO$6*0</f>
        <v>0</v>
      </c>
      <c r="AZ195" s="88" t="n">
        <f aca="false">AX195+AZ194</f>
        <v>532.673277471908</v>
      </c>
      <c r="BA195" s="88" t="n">
        <f aca="false">AY195+BA194</f>
        <v>50</v>
      </c>
      <c r="BB195" s="88" t="n">
        <f aca="false">MAX(BB194,AZ195-BA195)</f>
        <v>482.673277471908</v>
      </c>
      <c r="BC195" s="88" t="n">
        <f aca="false">BB195-BB194</f>
        <v>2.05875944022057</v>
      </c>
      <c r="BD195" s="88" t="n">
        <f aca="false">IF(B195=2026,INDEX($C$11:$Q$11,1,B195-2025)*$AO$4*C195/MAX(0.0001,12-$AO$3),INDEX($C$11:$Q$11,1,B195-2025)/12)</f>
        <v>10.2308106797675</v>
      </c>
      <c r="BE195" s="88" t="n">
        <f aca="false">$AO$6*0</f>
        <v>0</v>
      </c>
      <c r="BF195" s="88" t="n">
        <f aca="false">BD195+BF194</f>
        <v>2647.06956505926</v>
      </c>
      <c r="BG195" s="88" t="n">
        <f aca="false">BE195+BG194</f>
        <v>240</v>
      </c>
      <c r="BH195" s="88" t="n">
        <f aca="false">MAX(BH194,BF195-BG195)</f>
        <v>2407.06956505926</v>
      </c>
      <c r="BI195" s="88" t="n">
        <f aca="false">BH195-BH194</f>
        <v>10.2308106797673</v>
      </c>
      <c r="BJ195" s="88" t="n">
        <f aca="false">IF(B195=2026,INDEX($C$12:$Q$12,1,B195-2025)*$AO$4*C195/MAX(0.0001,12-$AO$3),INDEX($C$12:$Q$12,1,B195-2025)/12)</f>
        <v>5.60939962864295</v>
      </c>
      <c r="BK195" s="88" t="n">
        <f aca="false">$AO$6*0</f>
        <v>0</v>
      </c>
      <c r="BL195" s="88" t="n">
        <f aca="false">BJ195+BL194</f>
        <v>1451.34843171324</v>
      </c>
      <c r="BM195" s="88" t="n">
        <f aca="false">BK195+BM194</f>
        <v>465</v>
      </c>
      <c r="BN195" s="88" t="n">
        <f aca="false">MAX(BN194,BL195-BM195)</f>
        <v>986.348431713236</v>
      </c>
      <c r="BO195" s="88" t="n">
        <f aca="false">BN195-BN194</f>
        <v>5.60939962864291</v>
      </c>
      <c r="BP195" s="88" t="n">
        <f aca="false">IF(B195=2026,INDEX($C$13:$Q$13,1,B195-2025)*$AO$4*C195/MAX(0.0001,12-$AO$3),INDEX($C$13:$Q$13,1,B195-2025)/12)</f>
        <v>1.75292315825481</v>
      </c>
      <c r="BQ195" s="88" t="n">
        <f aca="false">$AO$6*0</f>
        <v>0</v>
      </c>
      <c r="BR195" s="88" t="n">
        <f aca="false">BP195+BR194</f>
        <v>453.54270422384</v>
      </c>
      <c r="BS195" s="88" t="n">
        <f aca="false">BQ195+BS194</f>
        <v>87</v>
      </c>
      <c r="BT195" s="88" t="n">
        <f aca="false">MAX(BT194,BR195-BS195)</f>
        <v>366.54270422384</v>
      </c>
      <c r="BU195" s="88" t="n">
        <f aca="false">BT195-BT194</f>
        <v>1.75292315825482</v>
      </c>
      <c r="BV195" s="88" t="n">
        <f aca="false">IF(B195=2026,INDEX($C$14:$Q$14,1,B195-2025)*$AO$4*C195/MAX(0.0001,12-$AO$3),INDEX($C$14:$Q$14,1,B195-2025)/12)</f>
        <v>1.03966476972354</v>
      </c>
      <c r="BW195" s="88" t="n">
        <f aca="false">$AO$6*0</f>
        <v>0</v>
      </c>
      <c r="BX195" s="88" t="n">
        <f aca="false">BV195+BX194</f>
        <v>268.99774181552</v>
      </c>
      <c r="BY195" s="88" t="n">
        <f aca="false">BW195+BY194</f>
        <v>0</v>
      </c>
      <c r="BZ195" s="88" t="n">
        <f aca="false">MAX(BZ194,BX195-BY195)</f>
        <v>268.99774181552</v>
      </c>
      <c r="CA195" s="88" t="n">
        <f aca="false">BZ195-BZ194</f>
        <v>1.03966476972357</v>
      </c>
      <c r="CB195" s="88" t="n">
        <f aca="false">IF(B195=2026,INDEX($C$15:$Q$15,1,B195-2025)*$AO$4*C195/MAX(0.0001,12-$AO$3),INDEX($C$15:$Q$15,1,B195-2025)/12)</f>
        <v>1.70456665733744</v>
      </c>
      <c r="CC195" s="88" t="n">
        <f aca="false">$AO$6*0</f>
        <v>0</v>
      </c>
      <c r="CD195" s="88" t="n">
        <f aca="false">CB195+CD194</f>
        <v>441.0311813487</v>
      </c>
      <c r="CE195" s="88" t="n">
        <f aca="false">CC195+CE194</f>
        <v>88.0000000000001</v>
      </c>
      <c r="CF195" s="88" t="n">
        <f aca="false">MAX(CF194,CD195-CE195)</f>
        <v>353.031181348699</v>
      </c>
      <c r="CG195" s="88" t="n">
        <f aca="false">CF195-CF194</f>
        <v>1.70456665733747</v>
      </c>
      <c r="CH195" s="88" t="n">
        <f aca="false">IF(B195=2026,INDEX($C$16:$Q$16,1,B195-2025)*$AO$4*C195/MAX(0.0001,12-$AO$3),INDEX($C$16:$Q$16,1,B195-2025)/12)</f>
        <v>1.3479374630718</v>
      </c>
      <c r="CI195" s="88" t="n">
        <f aca="false">$AO$6*0</f>
        <v>0</v>
      </c>
      <c r="CJ195" s="88" t="n">
        <f aca="false">CH195+CJ194</f>
        <v>348.758700144538</v>
      </c>
      <c r="CK195" s="88" t="n">
        <f aca="false">CI195+CK194</f>
        <v>70</v>
      </c>
      <c r="CL195" s="88" t="n">
        <f aca="false">MAX(CL194,CJ195-CK195)</f>
        <v>278.758700144538</v>
      </c>
      <c r="CM195" s="88" t="n">
        <f aca="false">CL195-CL194</f>
        <v>1.34793746307179</v>
      </c>
      <c r="CN195" s="88" t="n">
        <f aca="false">IF(B195=2026,INDEX($C$17:$Q$17,1,B195-2025)*$AO$4*C195/MAX(0.0001,12-$AO$3),INDEX($C$17:$Q$17,1,B195-2025)/12)</f>
        <v>5.86927029884629</v>
      </c>
      <c r="CO195" s="88" t="n">
        <f aca="false">$AO$6*0</f>
        <v>0</v>
      </c>
      <c r="CP195" s="88" t="n">
        <f aca="false">CN195+CP194</f>
        <v>1518.58608897017</v>
      </c>
      <c r="CQ195" s="88" t="n">
        <f aca="false">CO195+CQ194</f>
        <v>221</v>
      </c>
      <c r="CR195" s="88" t="n">
        <f aca="false">MAX(CR194,CP195-CQ195)</f>
        <v>1297.58608897017</v>
      </c>
      <c r="CS195" s="88" t="n">
        <f aca="false">CR195-CR194</f>
        <v>5.86927029884623</v>
      </c>
      <c r="CT195" s="88" t="n">
        <f aca="false">IF(B195=2026,INDEX($C$18:$Q$18,1,B195-2025)*$AO$4*C195/MAX(0.0001,12-$AO$3),INDEX($C$18:$Q$18,1,B195-2025)/12)</f>
        <v>1.2210016481637</v>
      </c>
      <c r="CU195" s="88" t="n">
        <f aca="false">$AO$6*0</f>
        <v>0</v>
      </c>
      <c r="CV195" s="88" t="n">
        <f aca="false">CT195+CV194</f>
        <v>315.915952597296</v>
      </c>
      <c r="CW195" s="88" t="n">
        <f aca="false">CU195+CW194</f>
        <v>11</v>
      </c>
      <c r="CX195" s="88" t="n">
        <f aca="false">MAX(CX194,CV195-CW195)</f>
        <v>304.915952597296</v>
      </c>
      <c r="CY195" s="88" t="n">
        <f aca="false">CX195-CX194</f>
        <v>1.22100164816368</v>
      </c>
      <c r="CZ195" s="88" t="n">
        <f aca="false">IF(B195=2026,INDEX($C$19:$Q$19,1,B195-2025)*$AO$4*C195/MAX(0.0001,12-$AO$3),INDEX($C$19:$Q$19,1,B195-2025)/12)</f>
        <v>1.20891252293435</v>
      </c>
      <c r="DA195" s="88" t="n">
        <f aca="false">$AO$6*0</f>
        <v>0</v>
      </c>
      <c r="DB195" s="88" t="n">
        <f aca="false">CZ195+DB194</f>
        <v>312.788071878511</v>
      </c>
      <c r="DC195" s="88" t="n">
        <f aca="false">DA195+DC194</f>
        <v>226</v>
      </c>
      <c r="DD195" s="88" t="n">
        <f aca="false">MAX(DD194,DB195-DC195)</f>
        <v>86.7880718785109</v>
      </c>
      <c r="DE195" s="88" t="n">
        <f aca="false">DD195-DD194</f>
        <v>1.20891252293433</v>
      </c>
      <c r="DF195" s="88" t="n">
        <f aca="false">IF(B195=2026,INDEX($C$20:$Q$20,1,B195-2025)*$AO$4*C195/MAX(0.0001,12-$AO$3),INDEX($C$20:$Q$20,1,B195-2025)/12)</f>
        <v>0.985263706191498</v>
      </c>
      <c r="DG195" s="88" t="n">
        <f aca="false">$AO$6*0</f>
        <v>0</v>
      </c>
      <c r="DH195" s="88" t="n">
        <f aca="false">DF195+DH194</f>
        <v>254.922278580986</v>
      </c>
      <c r="DI195" s="88" t="n">
        <f aca="false">DG195+DI194</f>
        <v>0</v>
      </c>
      <c r="DJ195" s="88" t="n">
        <f aca="false">MAX(DJ194,DH195-DI195)</f>
        <v>254.922278580986</v>
      </c>
      <c r="DK195" s="88" t="n">
        <f aca="false">DJ195-DJ194</f>
        <v>0.985263706191489</v>
      </c>
      <c r="DL195" s="88" t="n">
        <f aca="false">IF(B195=2026,INDEX($C$21:$Q$21,1,B195-2025)*$AO$4*C195/MAX(0.0001,12-$AO$3),INDEX($C$21:$Q$21,1,B195-2025)/12)</f>
        <v>0.689080138072581</v>
      </c>
      <c r="DM195" s="88" t="n">
        <f aca="false">$AO$6*0</f>
        <v>0</v>
      </c>
      <c r="DN195" s="88" t="n">
        <f aca="false">DL195+DN194</f>
        <v>178.289200970751</v>
      </c>
      <c r="DO195" s="88" t="n">
        <f aca="false">DM195+DO194</f>
        <v>100</v>
      </c>
      <c r="DP195" s="88" t="n">
        <f aca="false">MAX(DP194,DN195-DO195)</f>
        <v>78.2892009707508</v>
      </c>
      <c r="DQ195" s="88" t="n">
        <f aca="false">DP195-DP194</f>
        <v>0.689080138072569</v>
      </c>
      <c r="DR195" s="88" t="n">
        <f aca="false">IF(B195=2026,INDEX($C$22:$Q$22,1,B195-2025)*$AO$4*C195/MAX(0.0001,12-$AO$3),INDEX($C$22:$Q$22,1,B195-2025)/12)</f>
        <v>0.537966072705787</v>
      </c>
      <c r="DS195" s="88" t="n">
        <f aca="false">$AO$6*0</f>
        <v>0</v>
      </c>
      <c r="DT195" s="88" t="n">
        <f aca="false">DR195+DT194</f>
        <v>139.190691985937</v>
      </c>
      <c r="DU195" s="88" t="n">
        <f aca="false">DS195+DU194</f>
        <v>29</v>
      </c>
      <c r="DV195" s="88" t="n">
        <f aca="false">MAX(DV194,DT195-DU195)</f>
        <v>110.190691985937</v>
      </c>
      <c r="DW195" s="88" t="n">
        <f aca="false">DV195-DV194</f>
        <v>0.537966072705785</v>
      </c>
      <c r="DX195" s="88" t="n">
        <f aca="false">IF(B195=2026,INDEX($C$23:$Q$23,1,B195-2025)*$AO$4*C195/MAX(0.0001,12-$AO$3),INDEX($C$23:$Q$23,1,B195-2025)/12)</f>
        <v>0.864372453898063</v>
      </c>
      <c r="DY195" s="88" t="n">
        <f aca="false">$AO$6*0</f>
        <v>0</v>
      </c>
      <c r="DZ195" s="88" t="n">
        <f aca="false">DX195+DZ194</f>
        <v>223.643471393135</v>
      </c>
      <c r="EA195" s="88" t="n">
        <f aca="false">DY195+EA194</f>
        <v>121</v>
      </c>
      <c r="EB195" s="88" t="n">
        <f aca="false">MAX(EB194,DZ195-EA195)</f>
        <v>102.643471393135</v>
      </c>
      <c r="EC195" s="88" t="n">
        <f aca="false">EB195-EB194</f>
        <v>0.864372453898056</v>
      </c>
      <c r="ED195" s="88" t="n">
        <f aca="false">IF(B195=2026,INDEX($C$24:$Q$24,1,B195-2025)*$AO$4*C195/MAX(0.0001,12-$AO$3),INDEX($C$24:$Q$24,1,B195-2025)/12)</f>
        <v>0.531921510091116</v>
      </c>
      <c r="EE195" s="88" t="n">
        <f aca="false">$AO$6*0</f>
        <v>0</v>
      </c>
      <c r="EF195" s="88" t="n">
        <f aca="false">ED195+EF194</f>
        <v>137.626751626544</v>
      </c>
      <c r="EG195" s="88" t="n">
        <f aca="false">EE195+EG194</f>
        <v>0</v>
      </c>
      <c r="EH195" s="88" t="n">
        <f aca="false">MAX(EH194,EF195-EG195)</f>
        <v>137.626751626544</v>
      </c>
      <c r="EI195" s="88" t="n">
        <f aca="false">EH195-EH194</f>
        <v>0.531921510091109</v>
      </c>
      <c r="EJ195" s="88" t="n">
        <f aca="false">IF(B195=2026,INDEX($C$25:$Q$25,1,B195-2025)*$AO$4*C195/MAX(0.0001,12-$AO$3),INDEX($C$25:$Q$25,1,B195-2025)/12)</f>
        <v>0.676991012843238</v>
      </c>
      <c r="EK195" s="88" t="n">
        <f aca="false">$AO$6*0</f>
        <v>0</v>
      </c>
      <c r="EL195" s="88" t="n">
        <f aca="false">EJ195+EL194</f>
        <v>175.161320251966</v>
      </c>
      <c r="EM195" s="88" t="n">
        <f aca="false">EK195+EM194</f>
        <v>14</v>
      </c>
      <c r="EN195" s="88" t="n">
        <f aca="false">MAX(EN194,EL195-EM195)</f>
        <v>161.161320251966</v>
      </c>
      <c r="EO195" s="88" t="n">
        <f aca="false">EN195-EN194</f>
        <v>0.676991012843246</v>
      </c>
      <c r="EP195" s="88" t="n">
        <f aca="false">IF(B195=2026,INDEX($C$26:$Q$26,1,B195-2025)*$AO$4*C195/MAX(0.0001,12-$AO$3),INDEX($C$26:$Q$26,1,B195-2025)/12)</f>
        <v>0.973174580962155</v>
      </c>
      <c r="EQ195" s="88" t="n">
        <f aca="false">$AO$6*0</f>
        <v>0</v>
      </c>
      <c r="ER195" s="88" t="n">
        <f aca="false">EP195+ER194</f>
        <v>251.7943978622</v>
      </c>
      <c r="ES195" s="88" t="n">
        <f aca="false">EQ195+ES194</f>
        <v>4</v>
      </c>
      <c r="ET195" s="88" t="n">
        <f aca="false">MAX(ET194,ER195-ES195)</f>
        <v>247.7943978622</v>
      </c>
      <c r="EU195" s="88" t="n">
        <f aca="false">ET195-ET194</f>
        <v>0.973174580962166</v>
      </c>
      <c r="EV195" s="88" t="n">
        <f aca="false">IF(B195=2026,INDEX($C$27:$Q$27,1,B195-2025)*$AO$4*C195/MAX(0.0001,12-$AO$3),INDEX($C$27:$Q$27,1,B195-2025)/12)</f>
        <v>2.41782504586871</v>
      </c>
      <c r="EW195" s="88" t="n">
        <f aca="false">$AO$6*0</f>
        <v>0</v>
      </c>
      <c r="EX195" s="88" t="n">
        <f aca="false">EV195+EX194</f>
        <v>625.576143757021</v>
      </c>
      <c r="EY195" s="88" t="n">
        <f aca="false">EW195+EY194</f>
        <v>391</v>
      </c>
      <c r="EZ195" s="88" t="n">
        <f aca="false">MAX(EZ194,EX195-EY195)</f>
        <v>234.576143757021</v>
      </c>
      <c r="FA195" s="88" t="n">
        <f aca="false">EZ195-EZ194</f>
        <v>2.41782504586865</v>
      </c>
      <c r="FB195" s="88" t="n">
        <f aca="false">IF(B195=2026,INDEX($C$28:$Q$28,1,B195-2025)*$AO$4*C195/MAX(0.0001,12-$AO$3),INDEX($C$28:$Q$28,1,B195-2025)/12)</f>
        <v>12.6573141151227</v>
      </c>
      <c r="FC195" s="88" t="n">
        <f aca="false">$AO$6*0</f>
        <v>0</v>
      </c>
      <c r="FD195" s="88" t="n">
        <f aca="false">FB195+FD194</f>
        <v>3274.89111256801</v>
      </c>
      <c r="FE195" s="88" t="n">
        <f aca="false">FC195+FE194</f>
        <v>169</v>
      </c>
      <c r="FF195" s="88" t="n">
        <f aca="false">MAX(FF194,FD195-FE195)</f>
        <v>3105.89111256801</v>
      </c>
      <c r="FG195" s="88" t="n">
        <f aca="false">FF195-FF194</f>
        <v>12.6573141151225</v>
      </c>
    </row>
    <row r="196" customFormat="false" ht="15" hidden="false" customHeight="false" outlineLevel="0" collapsed="false">
      <c r="A196" s="0" t="n">
        <v>156</v>
      </c>
      <c r="B196" s="88" t="n">
        <f aca="false">2026+INT(A196/12)</f>
        <v>2039</v>
      </c>
      <c r="C196" s="88" t="n">
        <f aca="false">MAX(0,MIN(1,A196+1-$AO$3))</f>
        <v>1</v>
      </c>
      <c r="D196" s="88" t="n">
        <f aca="false">IF((A196+0.5-(0))&lt;$AO$3,0,2026+INT((A196+0.5-(0))/12))</f>
        <v>2039</v>
      </c>
      <c r="E196" s="88" t="n">
        <f aca="false">IF((A196+0.5-($AO$9))&lt;$AO$3,0,2026+INT((A196+0.5-($AO$9))/12))</f>
        <v>2037</v>
      </c>
      <c r="F196" s="88" t="n">
        <f aca="false">IF((A196+0.5-($AO$9+$AO$8))&lt;$AO$3,0,2026+INT((A196+0.5-($AO$9+$AO$8))/12))</f>
        <v>2036</v>
      </c>
      <c r="G196" s="88" t="n">
        <f aca="false">IF((A196+0.5-($AO$9+$AO$8+$AO$7))&lt;$AO$3,0,2026+INT((A196+0.5-($AO$9+$AO$8+$AO$7))/12))</f>
        <v>2036</v>
      </c>
      <c r="H196" s="88" t="n">
        <f aca="false">IF(B196=2026,INDEX($C$3:$Q$3,1,B196-2025)*$AO$4*C196/MAX(0.0001,12-$AO$3),INDEX($C$3:$Q$3,1,B196-2025)/12)</f>
        <v>128.416666666667</v>
      </c>
      <c r="I196" s="88" t="n">
        <f aca="false">$AO$6*0</f>
        <v>0</v>
      </c>
      <c r="J196" s="88" t="n">
        <f aca="false">H196+J195</f>
        <v>33656.1700913243</v>
      </c>
      <c r="K196" s="88" t="n">
        <f aca="false">I196+K195</f>
        <v>8695.00000000001</v>
      </c>
      <c r="L196" s="88" t="n">
        <f aca="false">MAX(L195,J196-K196)</f>
        <v>24961.1700913243</v>
      </c>
      <c r="M196" s="88" t="n">
        <f aca="false">L196-L195</f>
        <v>128.416666666664</v>
      </c>
      <c r="N196" s="88" t="n">
        <f aca="false">IF(B196=2026,INDEX($C$4:$Q$4,1,B196-2025)*$AO$4*C196/MAX(0.0001,12-$AO$3),INDEX($C$4:$Q$4,1,B196-2025)/12)</f>
        <v>3.89318965056346</v>
      </c>
      <c r="O196" s="88" t="n">
        <f aca="false">$AO$6*0</f>
        <v>0</v>
      </c>
      <c r="P196" s="88" t="n">
        <f aca="false">N196+P195</f>
        <v>1020.34927769355</v>
      </c>
      <c r="Q196" s="88" t="n">
        <f aca="false">O196+Q195</f>
        <v>398</v>
      </c>
      <c r="R196" s="88" t="n">
        <f aca="false">MAX(R195,P196-Q196)</f>
        <v>622.34927769355</v>
      </c>
      <c r="S196" s="88" t="n">
        <f aca="false">R196-R195</f>
        <v>3.8931896505635</v>
      </c>
      <c r="T196" s="88" t="n">
        <f aca="false">IF(B196=2026,INDEX($C$5:$Q$5,1,B196-2025)*$AO$4*C196/MAX(0.0001,12-$AO$3),INDEX($C$5:$Q$5,1,B196-2025)/12)</f>
        <v>15.8233280689987</v>
      </c>
      <c r="U196" s="88" t="n">
        <f aca="false">$AO$6*0</f>
        <v>0</v>
      </c>
      <c r="V196" s="88" t="n">
        <f aca="false">T196+V195</f>
        <v>4147.06778118919</v>
      </c>
      <c r="W196" s="88" t="n">
        <f aca="false">U196+W195</f>
        <v>1115</v>
      </c>
      <c r="X196" s="88" t="n">
        <f aca="false">MAX(X195,V196-W196)</f>
        <v>3032.06778118918</v>
      </c>
      <c r="Y196" s="88" t="n">
        <f aca="false">X196-X195</f>
        <v>15.8233280689983</v>
      </c>
      <c r="Z196" s="88" t="n">
        <f aca="false">IF(B196=2026,INDEX($C$6:$Q$6,1,B196-2025)*$AO$4*C196/MAX(0.0001,12-$AO$3),INDEX($C$6:$Q$6,1,B196-2025)/12)</f>
        <v>18.7730924675475</v>
      </c>
      <c r="AA196" s="88" t="n">
        <f aca="false">$AO$6*0</f>
        <v>0</v>
      </c>
      <c r="AB196" s="88" t="n">
        <f aca="false">Z196+AB195</f>
        <v>4920.15880514942</v>
      </c>
      <c r="AC196" s="88" t="n">
        <f aca="false">AA196+AC195</f>
        <v>2194</v>
      </c>
      <c r="AD196" s="88" t="n">
        <f aca="false">MAX(AD195,AB196-AC196)</f>
        <v>2726.15880514941</v>
      </c>
      <c r="AE196" s="88" t="n">
        <f aca="false">AD196-AD195</f>
        <v>18.7730924675479</v>
      </c>
      <c r="AF196" s="88" t="n">
        <f aca="false">IF(B196=2026,INDEX($C$7:$Q$7,1,B196-2025)*$AO$4*C196/MAX(0.0001,12-$AO$3),INDEX($C$7:$Q$7,1,B196-2025)/12)</f>
        <v>16.307524583029</v>
      </c>
      <c r="AG196" s="88" t="n">
        <f aca="false">$AO$6*0</f>
        <v>0</v>
      </c>
      <c r="AH196" s="88" t="n">
        <f aca="false">AF196+AH195</f>
        <v>4273.96875640394</v>
      </c>
      <c r="AI196" s="88" t="n">
        <f aca="false">AG196+AI195</f>
        <v>826</v>
      </c>
      <c r="AJ196" s="88" t="n">
        <f aca="false">MAX(AJ195,AH196-AI196)</f>
        <v>3447.96875640394</v>
      </c>
      <c r="AK196" s="88" t="n">
        <f aca="false">AJ196-AJ195</f>
        <v>16.3075245830287</v>
      </c>
      <c r="AL196" s="88" t="n">
        <f aca="false">IF(B196=2026,INDEX($C$8:$Q$8,1,B196-2025)*$AO$4*C196/MAX(0.0001,12-$AO$3),INDEX($C$8:$Q$8,1,B196-2025)/12)</f>
        <v>4.12503328527406</v>
      </c>
      <c r="AM196" s="88" t="n">
        <f aca="false">$AO$6*0</f>
        <v>0</v>
      </c>
      <c r="AN196" s="88" t="n">
        <f aca="false">AL196+AN195</f>
        <v>1081.11217558643</v>
      </c>
      <c r="AO196" s="88" t="n">
        <f aca="false">AM196+AO195</f>
        <v>66</v>
      </c>
      <c r="AP196" s="88" t="n">
        <f aca="false">MAX(AP195,AN196-AO196)</f>
        <v>1015.11217558643</v>
      </c>
      <c r="AQ196" s="88" t="n">
        <f aca="false">AP196-AP195</f>
        <v>4.12503328527396</v>
      </c>
      <c r="AR196" s="88" t="n">
        <f aca="false">IF(B196=2026,INDEX($C$9:$Q$9,1,B196-2025)*$AO$4*C196/MAX(0.0001,12-$AO$3),INDEX($C$9:$Q$9,1,B196-2025)/12)</f>
        <v>17.5889065179488</v>
      </c>
      <c r="AS196" s="88" t="n">
        <f aca="false">$AO$6*0</f>
        <v>0</v>
      </c>
      <c r="AT196" s="88" t="n">
        <f aca="false">AR196+AT195</f>
        <v>4609.80061898886</v>
      </c>
      <c r="AU196" s="88" t="n">
        <f aca="false">AS196+AU195</f>
        <v>1810</v>
      </c>
      <c r="AV196" s="88" t="n">
        <f aca="false">MAX(AV195,AT196-AU196)</f>
        <v>2799.80061898886</v>
      </c>
      <c r="AW196" s="88" t="n">
        <f aca="false">AV196-AV195</f>
        <v>17.588906517949</v>
      </c>
      <c r="AX196" s="88" t="n">
        <f aca="false">IF(B196=2026,INDEX($C$10:$Q$10,1,B196-2025)*$AO$4*C196/MAX(0.0001,12-$AO$3),INDEX($C$10:$Q$10,1,B196-2025)/12)</f>
        <v>2.04022398545332</v>
      </c>
      <c r="AY196" s="88" t="n">
        <f aca="false">$AO$6*0</f>
        <v>0</v>
      </c>
      <c r="AZ196" s="88" t="n">
        <f aca="false">AX196+AZ195</f>
        <v>534.713501457361</v>
      </c>
      <c r="BA196" s="88" t="n">
        <f aca="false">AY196+BA195</f>
        <v>50</v>
      </c>
      <c r="BB196" s="88" t="n">
        <f aca="false">MAX(BB195,AZ196-BA196)</f>
        <v>484.713501457361</v>
      </c>
      <c r="BC196" s="88" t="n">
        <f aca="false">BB196-BB195</f>
        <v>2.04022398545328</v>
      </c>
      <c r="BD196" s="88" t="n">
        <f aca="false">IF(B196=2026,INDEX($C$11:$Q$11,1,B196-2025)*$AO$4*C196/MAX(0.0001,12-$AO$3),INDEX($C$11:$Q$11,1,B196-2025)/12)</f>
        <v>10.1387004871522</v>
      </c>
      <c r="BE196" s="88" t="n">
        <f aca="false">$AO$6*0</f>
        <v>0</v>
      </c>
      <c r="BF196" s="88" t="n">
        <f aca="false">BD196+BF195</f>
        <v>2657.20826554641</v>
      </c>
      <c r="BG196" s="88" t="n">
        <f aca="false">BE196+BG195</f>
        <v>240</v>
      </c>
      <c r="BH196" s="88" t="n">
        <f aca="false">MAX(BH195,BF196-BG196)</f>
        <v>2417.20826554641</v>
      </c>
      <c r="BI196" s="88" t="n">
        <f aca="false">BH196-BH195</f>
        <v>10.1387004871522</v>
      </c>
      <c r="BJ196" s="88" t="n">
        <f aca="false">IF(B196=2026,INDEX($C$12:$Q$12,1,B196-2025)*$AO$4*C196/MAX(0.0001,12-$AO$3),INDEX($C$12:$Q$12,1,B196-2025)/12)</f>
        <v>5.55889699533041</v>
      </c>
      <c r="BK196" s="88" t="n">
        <f aca="false">$AO$6*0</f>
        <v>0</v>
      </c>
      <c r="BL196" s="88" t="n">
        <f aca="false">BJ196+BL195</f>
        <v>1456.90732870857</v>
      </c>
      <c r="BM196" s="88" t="n">
        <f aca="false">BK196+BM195</f>
        <v>465</v>
      </c>
      <c r="BN196" s="88" t="n">
        <f aca="false">MAX(BN195,BL196-BM196)</f>
        <v>991.907328708567</v>
      </c>
      <c r="BO196" s="88" t="n">
        <f aca="false">BN196-BN195</f>
        <v>5.55889699533032</v>
      </c>
      <c r="BP196" s="88" t="n">
        <f aca="false">IF(B196=2026,INDEX($C$13:$Q$13,1,B196-2025)*$AO$4*C196/MAX(0.0001,12-$AO$3),INDEX($C$13:$Q$13,1,B196-2025)/12)</f>
        <v>1.73714121342165</v>
      </c>
      <c r="BQ196" s="88" t="n">
        <f aca="false">$AO$6*0</f>
        <v>0</v>
      </c>
      <c r="BR196" s="88" t="n">
        <f aca="false">BP196+BR195</f>
        <v>455.279845437261</v>
      </c>
      <c r="BS196" s="88" t="n">
        <f aca="false">BQ196+BS195</f>
        <v>87</v>
      </c>
      <c r="BT196" s="88" t="n">
        <f aca="false">MAX(BT195,BR196-BS196)</f>
        <v>368.279845437261</v>
      </c>
      <c r="BU196" s="88" t="n">
        <f aca="false">BT196-BT195</f>
        <v>1.73714121342164</v>
      </c>
      <c r="BV196" s="88" t="n">
        <f aca="false">IF(B196=2026,INDEX($C$14:$Q$14,1,B196-2025)*$AO$4*C196/MAX(0.0001,12-$AO$3),INDEX($C$14:$Q$14,1,B196-2025)/12)</f>
        <v>1.0303044438225</v>
      </c>
      <c r="BW196" s="88" t="n">
        <f aca="false">$AO$6*0</f>
        <v>0</v>
      </c>
      <c r="BX196" s="88" t="n">
        <f aca="false">BV196+BX195</f>
        <v>270.028046259342</v>
      </c>
      <c r="BY196" s="88" t="n">
        <f aca="false">BW196+BY195</f>
        <v>0</v>
      </c>
      <c r="BZ196" s="88" t="n">
        <f aca="false">MAX(BZ195,BX196-BY196)</f>
        <v>270.028046259342</v>
      </c>
      <c r="CA196" s="88" t="n">
        <f aca="false">BZ196-BZ195</f>
        <v>1.0303044438225</v>
      </c>
      <c r="CB196" s="88" t="n">
        <f aca="false">IF(B196=2026,INDEX($C$15:$Q$15,1,B196-2025)*$AO$4*C196/MAX(0.0001,12-$AO$3),INDEX($C$15:$Q$15,1,B196-2025)/12)</f>
        <v>1.68922007649967</v>
      </c>
      <c r="CC196" s="88" t="n">
        <f aca="false">$AO$6*0</f>
        <v>0</v>
      </c>
      <c r="CD196" s="88" t="n">
        <f aca="false">CB196+CD195</f>
        <v>442.720401425199</v>
      </c>
      <c r="CE196" s="88" t="n">
        <f aca="false">CC196+CE195</f>
        <v>88.0000000000001</v>
      </c>
      <c r="CF196" s="88" t="n">
        <f aca="false">MAX(CF195,CD196-CE196)</f>
        <v>354.720401425199</v>
      </c>
      <c r="CG196" s="88" t="n">
        <f aca="false">CF196-CF195</f>
        <v>1.68922007649968</v>
      </c>
      <c r="CH196" s="88" t="n">
        <f aca="false">IF(B196=2026,INDEX($C$16:$Q$16,1,B196-2025)*$AO$4*C196/MAX(0.0001,12-$AO$3),INDEX($C$16:$Q$16,1,B196-2025)/12)</f>
        <v>1.3358016917001</v>
      </c>
      <c r="CI196" s="88" t="n">
        <f aca="false">$AO$6*0</f>
        <v>0</v>
      </c>
      <c r="CJ196" s="88" t="n">
        <f aca="false">CH196+CJ195</f>
        <v>350.094501836239</v>
      </c>
      <c r="CK196" s="88" t="n">
        <f aca="false">CI196+CK195</f>
        <v>70</v>
      </c>
      <c r="CL196" s="88" t="n">
        <f aca="false">MAX(CL195,CJ196-CK196)</f>
        <v>280.094501836239</v>
      </c>
      <c r="CM196" s="88" t="n">
        <f aca="false">CL196-CL195</f>
        <v>1.33580169170011</v>
      </c>
      <c r="CN196" s="88" t="n">
        <f aca="false">IF(B196=2026,INDEX($C$17:$Q$17,1,B196-2025)*$AO$4*C196/MAX(0.0001,12-$AO$3),INDEX($C$17:$Q$17,1,B196-2025)/12)</f>
        <v>5.81642799390491</v>
      </c>
      <c r="CO196" s="88" t="n">
        <f aca="false">$AO$6*0</f>
        <v>0</v>
      </c>
      <c r="CP196" s="88" t="n">
        <f aca="false">CN196+CP195</f>
        <v>1524.40251696408</v>
      </c>
      <c r="CQ196" s="88" t="n">
        <f aca="false">CO196+CQ195</f>
        <v>221</v>
      </c>
      <c r="CR196" s="88" t="n">
        <f aca="false">MAX(CR195,CP196-CQ196)</f>
        <v>1303.40251696408</v>
      </c>
      <c r="CS196" s="88" t="n">
        <f aca="false">CR196-CR195</f>
        <v>5.81642799390488</v>
      </c>
      <c r="CT196" s="88" t="n">
        <f aca="false">IF(B196=2026,INDEX($C$18:$Q$18,1,B196-2025)*$AO$4*C196/MAX(0.0001,12-$AO$3),INDEX($C$18:$Q$18,1,B196-2025)/12)</f>
        <v>1.21000870727991</v>
      </c>
      <c r="CU196" s="88" t="n">
        <f aca="false">$AO$6*0</f>
        <v>0</v>
      </c>
      <c r="CV196" s="88" t="n">
        <f aca="false">CT196+CV195</f>
        <v>317.125961304575</v>
      </c>
      <c r="CW196" s="88" t="n">
        <f aca="false">CU196+CW195</f>
        <v>11</v>
      </c>
      <c r="CX196" s="88" t="n">
        <f aca="false">MAX(CX195,CV196-CW196)</f>
        <v>306.125961304575</v>
      </c>
      <c r="CY196" s="88" t="n">
        <f aca="false">CX196-CX195</f>
        <v>1.21000870727988</v>
      </c>
      <c r="CZ196" s="88" t="n">
        <f aca="false">IF(B196=2026,INDEX($C$19:$Q$19,1,B196-2025)*$AO$4*C196/MAX(0.0001,12-$AO$3),INDEX($C$19:$Q$19,1,B196-2025)/12)</f>
        <v>1.19802842304941</v>
      </c>
      <c r="DA196" s="88" t="n">
        <f aca="false">$AO$6*0</f>
        <v>0</v>
      </c>
      <c r="DB196" s="88" t="n">
        <f aca="false">CZ196+DB195</f>
        <v>313.98610030156</v>
      </c>
      <c r="DC196" s="88" t="n">
        <f aca="false">DA196+DC195</f>
        <v>226</v>
      </c>
      <c r="DD196" s="88" t="n">
        <f aca="false">MAX(DD195,DB196-DC196)</f>
        <v>87.9861003015603</v>
      </c>
      <c r="DE196" s="88" t="n">
        <f aca="false">DD196-DD195</f>
        <v>1.19802842304944</v>
      </c>
      <c r="DF196" s="88" t="n">
        <f aca="false">IF(B196=2026,INDEX($C$20:$Q$20,1,B196-2025)*$AO$4*C196/MAX(0.0001,12-$AO$3),INDEX($C$20:$Q$20,1,B196-2025)/12)</f>
        <v>0.976393164785272</v>
      </c>
      <c r="DG196" s="88" t="n">
        <f aca="false">$AO$6*0</f>
        <v>0</v>
      </c>
      <c r="DH196" s="88" t="n">
        <f aca="false">DF196+DH195</f>
        <v>255.898671745771</v>
      </c>
      <c r="DI196" s="88" t="n">
        <f aca="false">DG196+DI195</f>
        <v>0</v>
      </c>
      <c r="DJ196" s="88" t="n">
        <f aca="false">MAX(DJ195,DH196-DI196)</f>
        <v>255.898671745771</v>
      </c>
      <c r="DK196" s="88" t="n">
        <f aca="false">DJ196-DJ195</f>
        <v>0.976393164785264</v>
      </c>
      <c r="DL196" s="88" t="n">
        <f aca="false">IF(B196=2026,INDEX($C$21:$Q$21,1,B196-2025)*$AO$4*C196/MAX(0.0001,12-$AO$3),INDEX($C$21:$Q$21,1,B196-2025)/12)</f>
        <v>0.682876201138166</v>
      </c>
      <c r="DM196" s="88" t="n">
        <f aca="false">$AO$6*0</f>
        <v>0</v>
      </c>
      <c r="DN196" s="88" t="n">
        <f aca="false">DL196+DN195</f>
        <v>178.972077171889</v>
      </c>
      <c r="DO196" s="88" t="n">
        <f aca="false">DM196+DO195</f>
        <v>100</v>
      </c>
      <c r="DP196" s="88" t="n">
        <f aca="false">MAX(DP195,DN196-DO196)</f>
        <v>78.9720771718889</v>
      </c>
      <c r="DQ196" s="88" t="n">
        <f aca="false">DP196-DP195</f>
        <v>0.682876201138157</v>
      </c>
      <c r="DR196" s="88" t="n">
        <f aca="false">IF(B196=2026,INDEX($C$22:$Q$22,1,B196-2025)*$AO$4*C196/MAX(0.0001,12-$AO$3),INDEX($C$22:$Q$22,1,B196-2025)/12)</f>
        <v>0.533122648256989</v>
      </c>
      <c r="DS196" s="88" t="n">
        <f aca="false">$AO$6*0</f>
        <v>0</v>
      </c>
      <c r="DT196" s="88" t="n">
        <f aca="false">DR196+DT195</f>
        <v>139.723814634194</v>
      </c>
      <c r="DU196" s="88" t="n">
        <f aca="false">DS196+DU195</f>
        <v>29</v>
      </c>
      <c r="DV196" s="88" t="n">
        <f aca="false">MAX(DV195,DT196-DU196)</f>
        <v>110.723814634194</v>
      </c>
      <c r="DW196" s="88" t="n">
        <f aca="false">DV196-DV195</f>
        <v>0.533122648256978</v>
      </c>
      <c r="DX196" s="88" t="n">
        <f aca="false">IF(B196=2026,INDEX($C$23:$Q$23,1,B196-2025)*$AO$4*C196/MAX(0.0001,12-$AO$3),INDEX($C$23:$Q$23,1,B196-2025)/12)</f>
        <v>0.856590322480331</v>
      </c>
      <c r="DY196" s="88" t="n">
        <f aca="false">$AO$6*0</f>
        <v>0</v>
      </c>
      <c r="DZ196" s="88" t="n">
        <f aca="false">DX196+DZ195</f>
        <v>224.500061715616</v>
      </c>
      <c r="EA196" s="88" t="n">
        <f aca="false">DY196+EA195</f>
        <v>121</v>
      </c>
      <c r="EB196" s="88" t="n">
        <f aca="false">MAX(EB195,DZ196-EA196)</f>
        <v>103.500061715616</v>
      </c>
      <c r="EC196" s="88" t="n">
        <f aca="false">EB196-EB195</f>
        <v>0.856590322480344</v>
      </c>
      <c r="ED196" s="88" t="n">
        <f aca="false">IF(B196=2026,INDEX($C$24:$Q$24,1,B196-2025)*$AO$4*C196/MAX(0.0001,12-$AO$3),INDEX($C$24:$Q$24,1,B196-2025)/12)</f>
        <v>0.527132506141742</v>
      </c>
      <c r="EE196" s="88" t="n">
        <f aca="false">$AO$6*0</f>
        <v>0</v>
      </c>
      <c r="EF196" s="88" t="n">
        <f aca="false">ED196+EF195</f>
        <v>138.153884132686</v>
      </c>
      <c r="EG196" s="88" t="n">
        <f aca="false">EE196+EG195</f>
        <v>0</v>
      </c>
      <c r="EH196" s="88" t="n">
        <f aca="false">MAX(EH195,EF196-EG196)</f>
        <v>138.153884132686</v>
      </c>
      <c r="EI196" s="88" t="n">
        <f aca="false">EH196-EH195</f>
        <v>0.527132506141754</v>
      </c>
      <c r="EJ196" s="88" t="n">
        <f aca="false">IF(B196=2026,INDEX($C$25:$Q$25,1,B196-2025)*$AO$4*C196/MAX(0.0001,12-$AO$3),INDEX($C$25:$Q$25,1,B196-2025)/12)</f>
        <v>0.670895916907672</v>
      </c>
      <c r="EK196" s="88" t="n">
        <f aca="false">$AO$6*0</f>
        <v>0</v>
      </c>
      <c r="EL196" s="88" t="n">
        <f aca="false">EJ196+EL195</f>
        <v>175.832216168874</v>
      </c>
      <c r="EM196" s="88" t="n">
        <f aca="false">EK196+EM195</f>
        <v>14</v>
      </c>
      <c r="EN196" s="88" t="n">
        <f aca="false">MAX(EN195,EL196-EM196)</f>
        <v>161.832216168874</v>
      </c>
      <c r="EO196" s="88" t="n">
        <f aca="false">EN196-EN195</f>
        <v>0.670895916907682</v>
      </c>
      <c r="EP196" s="88" t="n">
        <f aca="false">IF(B196=2026,INDEX($C$26:$Q$26,1,B196-2025)*$AO$4*C196/MAX(0.0001,12-$AO$3),INDEX($C$26:$Q$26,1,B196-2025)/12)</f>
        <v>0.964412880554778</v>
      </c>
      <c r="EQ196" s="88" t="n">
        <f aca="false">$AO$6*0</f>
        <v>0</v>
      </c>
      <c r="ER196" s="88" t="n">
        <f aca="false">EP196+ER195</f>
        <v>252.758810742755</v>
      </c>
      <c r="ES196" s="88" t="n">
        <f aca="false">EQ196+ES195</f>
        <v>4</v>
      </c>
      <c r="ET196" s="88" t="n">
        <f aca="false">MAX(ET195,ER196-ES196)</f>
        <v>248.758810742755</v>
      </c>
      <c r="EU196" s="88" t="n">
        <f aca="false">ET196-ET195</f>
        <v>0.964412880554789</v>
      </c>
      <c r="EV196" s="88" t="n">
        <f aca="false">IF(B196=2026,INDEX($C$27:$Q$27,1,B196-2025)*$AO$4*C196/MAX(0.0001,12-$AO$3),INDEX($C$27:$Q$27,1,B196-2025)/12)</f>
        <v>2.39605684609883</v>
      </c>
      <c r="EW196" s="88" t="n">
        <f aca="false">$AO$6*0</f>
        <v>0</v>
      </c>
      <c r="EX196" s="88" t="n">
        <f aca="false">EV196+EX195</f>
        <v>627.97220060312</v>
      </c>
      <c r="EY196" s="88" t="n">
        <f aca="false">EW196+EY195</f>
        <v>391</v>
      </c>
      <c r="EZ196" s="88" t="n">
        <f aca="false">MAX(EZ195,EX196-EY196)</f>
        <v>236.97220060312</v>
      </c>
      <c r="FA196" s="88" t="n">
        <f aca="false">EZ196-EZ195</f>
        <v>2.39605684609887</v>
      </c>
      <c r="FB196" s="88" t="n">
        <f aca="false">IF(B196=2026,INDEX($C$28:$Q$28,1,B196-2025)*$AO$4*C196/MAX(0.0001,12-$AO$3),INDEX($C$28:$Q$28,1,B196-2025)/12)</f>
        <v>12.5433575893274</v>
      </c>
      <c r="FC196" s="88" t="n">
        <f aca="false">$AO$6*0</f>
        <v>0</v>
      </c>
      <c r="FD196" s="88" t="n">
        <f aca="false">FB196+FD195</f>
        <v>3287.43447015733</v>
      </c>
      <c r="FE196" s="88" t="n">
        <f aca="false">FC196+FE195</f>
        <v>169</v>
      </c>
      <c r="FF196" s="88" t="n">
        <f aca="false">MAX(FF195,FD196-FE196)</f>
        <v>3118.43447015733</v>
      </c>
      <c r="FG196" s="88" t="n">
        <f aca="false">FF196-FF195</f>
        <v>12.5433575893276</v>
      </c>
    </row>
    <row r="197" customFormat="false" ht="15" hidden="false" customHeight="false" outlineLevel="0" collapsed="false">
      <c r="A197" s="0" t="n">
        <v>157</v>
      </c>
      <c r="B197" s="88" t="n">
        <f aca="false">2026+INT(A197/12)</f>
        <v>2039</v>
      </c>
      <c r="C197" s="88" t="n">
        <f aca="false">MAX(0,MIN(1,A197+1-$AO$3))</f>
        <v>1</v>
      </c>
      <c r="D197" s="88" t="n">
        <f aca="false">IF((A197+0.5-(0))&lt;$AO$3,0,2026+INT((A197+0.5-(0))/12))</f>
        <v>2039</v>
      </c>
      <c r="E197" s="88" t="n">
        <f aca="false">IF((A197+0.5-($AO$9))&lt;$AO$3,0,2026+INT((A197+0.5-($AO$9))/12))</f>
        <v>2037</v>
      </c>
      <c r="F197" s="88" t="n">
        <f aca="false">IF((A197+0.5-($AO$9+$AO$8))&lt;$AO$3,0,2026+INT((A197+0.5-($AO$9+$AO$8))/12))</f>
        <v>2036</v>
      </c>
      <c r="G197" s="88" t="n">
        <f aca="false">IF((A197+0.5-($AO$9+$AO$8+$AO$7))&lt;$AO$3,0,2026+INT((A197+0.5-($AO$9+$AO$8+$AO$7))/12))</f>
        <v>2036</v>
      </c>
      <c r="H197" s="88" t="n">
        <f aca="false">IF(B197=2026,INDEX($C$3:$Q$3,1,B197-2025)*$AO$4*C197/MAX(0.0001,12-$AO$3),INDEX($C$3:$Q$3,1,B197-2025)/12)</f>
        <v>128.416666666667</v>
      </c>
      <c r="I197" s="88" t="n">
        <f aca="false">$AO$6*0</f>
        <v>0</v>
      </c>
      <c r="J197" s="88" t="n">
        <f aca="false">H197+J196</f>
        <v>33784.5867579909</v>
      </c>
      <c r="K197" s="88" t="n">
        <f aca="false">I197+K196</f>
        <v>8695.00000000001</v>
      </c>
      <c r="L197" s="88" t="n">
        <f aca="false">MAX(L196,J197-K197)</f>
        <v>25089.5867579909</v>
      </c>
      <c r="M197" s="88" t="n">
        <f aca="false">L197-L196</f>
        <v>128.416666666664</v>
      </c>
      <c r="N197" s="88" t="n">
        <f aca="false">IF(B197=2026,INDEX($C$4:$Q$4,1,B197-2025)*$AO$4*C197/MAX(0.0001,12-$AO$3),INDEX($C$4:$Q$4,1,B197-2025)/12)</f>
        <v>3.89318965056346</v>
      </c>
      <c r="O197" s="88" t="n">
        <f aca="false">$AO$6*0</f>
        <v>0</v>
      </c>
      <c r="P197" s="88" t="n">
        <f aca="false">N197+P196</f>
        <v>1024.24246734411</v>
      </c>
      <c r="Q197" s="88" t="n">
        <f aca="false">O197+Q196</f>
        <v>398</v>
      </c>
      <c r="R197" s="88" t="n">
        <f aca="false">MAX(R196,P197-Q197)</f>
        <v>626.242467344114</v>
      </c>
      <c r="S197" s="88" t="n">
        <f aca="false">R197-R196</f>
        <v>3.8931896505635</v>
      </c>
      <c r="T197" s="88" t="n">
        <f aca="false">IF(B197=2026,INDEX($C$5:$Q$5,1,B197-2025)*$AO$4*C197/MAX(0.0001,12-$AO$3),INDEX($C$5:$Q$5,1,B197-2025)/12)</f>
        <v>15.8233280689987</v>
      </c>
      <c r="U197" s="88" t="n">
        <f aca="false">$AO$6*0</f>
        <v>0</v>
      </c>
      <c r="V197" s="88" t="n">
        <f aca="false">T197+V196</f>
        <v>4162.89110925818</v>
      </c>
      <c r="W197" s="88" t="n">
        <f aca="false">U197+W196</f>
        <v>1115</v>
      </c>
      <c r="X197" s="88" t="n">
        <f aca="false">MAX(X196,V197-W197)</f>
        <v>3047.89110925818</v>
      </c>
      <c r="Y197" s="88" t="n">
        <f aca="false">X197-X196</f>
        <v>15.8233280689983</v>
      </c>
      <c r="Z197" s="88" t="n">
        <f aca="false">IF(B197=2026,INDEX($C$6:$Q$6,1,B197-2025)*$AO$4*C197/MAX(0.0001,12-$AO$3),INDEX($C$6:$Q$6,1,B197-2025)/12)</f>
        <v>18.7730924675475</v>
      </c>
      <c r="AA197" s="88" t="n">
        <f aca="false">$AO$6*0</f>
        <v>0</v>
      </c>
      <c r="AB197" s="88" t="n">
        <f aca="false">Z197+AB196</f>
        <v>4938.93189761696</v>
      </c>
      <c r="AC197" s="88" t="n">
        <f aca="false">AA197+AC196</f>
        <v>2194</v>
      </c>
      <c r="AD197" s="88" t="n">
        <f aca="false">MAX(AD196,AB197-AC197)</f>
        <v>2744.93189761696</v>
      </c>
      <c r="AE197" s="88" t="n">
        <f aca="false">AD197-AD196</f>
        <v>18.7730924675479</v>
      </c>
      <c r="AF197" s="88" t="n">
        <f aca="false">IF(B197=2026,INDEX($C$7:$Q$7,1,B197-2025)*$AO$4*C197/MAX(0.0001,12-$AO$3),INDEX($C$7:$Q$7,1,B197-2025)/12)</f>
        <v>16.307524583029</v>
      </c>
      <c r="AG197" s="88" t="n">
        <f aca="false">$AO$6*0</f>
        <v>0</v>
      </c>
      <c r="AH197" s="88" t="n">
        <f aca="false">AF197+AH196</f>
        <v>4290.27628098697</v>
      </c>
      <c r="AI197" s="88" t="n">
        <f aca="false">AG197+AI196</f>
        <v>826</v>
      </c>
      <c r="AJ197" s="88" t="n">
        <f aca="false">MAX(AJ196,AH197-AI197)</f>
        <v>3464.27628098697</v>
      </c>
      <c r="AK197" s="88" t="n">
        <f aca="false">AJ197-AJ196</f>
        <v>16.3075245830287</v>
      </c>
      <c r="AL197" s="88" t="n">
        <f aca="false">IF(B197=2026,INDEX($C$8:$Q$8,1,B197-2025)*$AO$4*C197/MAX(0.0001,12-$AO$3),INDEX($C$8:$Q$8,1,B197-2025)/12)</f>
        <v>4.12503328527406</v>
      </c>
      <c r="AM197" s="88" t="n">
        <f aca="false">$AO$6*0</f>
        <v>0</v>
      </c>
      <c r="AN197" s="88" t="n">
        <f aca="false">AL197+AN196</f>
        <v>1085.23720887171</v>
      </c>
      <c r="AO197" s="88" t="n">
        <f aca="false">AM197+AO196</f>
        <v>66</v>
      </c>
      <c r="AP197" s="88" t="n">
        <f aca="false">MAX(AP196,AN197-AO197)</f>
        <v>1019.23720887171</v>
      </c>
      <c r="AQ197" s="88" t="n">
        <f aca="false">AP197-AP196</f>
        <v>4.12503328527396</v>
      </c>
      <c r="AR197" s="88" t="n">
        <f aca="false">IF(B197=2026,INDEX($C$9:$Q$9,1,B197-2025)*$AO$4*C197/MAX(0.0001,12-$AO$3),INDEX($C$9:$Q$9,1,B197-2025)/12)</f>
        <v>17.5889065179488</v>
      </c>
      <c r="AS197" s="88" t="n">
        <f aca="false">$AO$6*0</f>
        <v>0</v>
      </c>
      <c r="AT197" s="88" t="n">
        <f aca="false">AR197+AT196</f>
        <v>4627.38952550681</v>
      </c>
      <c r="AU197" s="88" t="n">
        <f aca="false">AS197+AU196</f>
        <v>1810</v>
      </c>
      <c r="AV197" s="88" t="n">
        <f aca="false">MAX(AV196,AT197-AU197)</f>
        <v>2817.38952550681</v>
      </c>
      <c r="AW197" s="88" t="n">
        <f aca="false">AV197-AV196</f>
        <v>17.588906517949</v>
      </c>
      <c r="AX197" s="88" t="n">
        <f aca="false">IF(B197=2026,INDEX($C$10:$Q$10,1,B197-2025)*$AO$4*C197/MAX(0.0001,12-$AO$3),INDEX($C$10:$Q$10,1,B197-2025)/12)</f>
        <v>2.04022398545332</v>
      </c>
      <c r="AY197" s="88" t="n">
        <f aca="false">$AO$6*0</f>
        <v>0</v>
      </c>
      <c r="AZ197" s="88" t="n">
        <f aca="false">AX197+AZ196</f>
        <v>536.753725442814</v>
      </c>
      <c r="BA197" s="88" t="n">
        <f aca="false">AY197+BA196</f>
        <v>50</v>
      </c>
      <c r="BB197" s="88" t="n">
        <f aca="false">MAX(BB196,AZ197-BA197)</f>
        <v>486.753725442814</v>
      </c>
      <c r="BC197" s="88" t="n">
        <f aca="false">BB197-BB196</f>
        <v>2.04022398545328</v>
      </c>
      <c r="BD197" s="88" t="n">
        <f aca="false">IF(B197=2026,INDEX($C$11:$Q$11,1,B197-2025)*$AO$4*C197/MAX(0.0001,12-$AO$3),INDEX($C$11:$Q$11,1,B197-2025)/12)</f>
        <v>10.1387004871522</v>
      </c>
      <c r="BE197" s="88" t="n">
        <f aca="false">$AO$6*0</f>
        <v>0</v>
      </c>
      <c r="BF197" s="88" t="n">
        <f aca="false">BD197+BF196</f>
        <v>2667.34696603357</v>
      </c>
      <c r="BG197" s="88" t="n">
        <f aca="false">BE197+BG196</f>
        <v>240</v>
      </c>
      <c r="BH197" s="88" t="n">
        <f aca="false">MAX(BH196,BF197-BG197)</f>
        <v>2427.34696603357</v>
      </c>
      <c r="BI197" s="88" t="n">
        <f aca="false">BH197-BH196</f>
        <v>10.1387004871522</v>
      </c>
      <c r="BJ197" s="88" t="n">
        <f aca="false">IF(B197=2026,INDEX($C$12:$Q$12,1,B197-2025)*$AO$4*C197/MAX(0.0001,12-$AO$3),INDEX($C$12:$Q$12,1,B197-2025)/12)</f>
        <v>5.55889699533041</v>
      </c>
      <c r="BK197" s="88" t="n">
        <f aca="false">$AO$6*0</f>
        <v>0</v>
      </c>
      <c r="BL197" s="88" t="n">
        <f aca="false">BJ197+BL196</f>
        <v>1462.4662257039</v>
      </c>
      <c r="BM197" s="88" t="n">
        <f aca="false">BK197+BM196</f>
        <v>465</v>
      </c>
      <c r="BN197" s="88" t="n">
        <f aca="false">MAX(BN196,BL197-BM197)</f>
        <v>997.466225703897</v>
      </c>
      <c r="BO197" s="88" t="n">
        <f aca="false">BN197-BN196</f>
        <v>5.55889699533032</v>
      </c>
      <c r="BP197" s="88" t="n">
        <f aca="false">IF(B197=2026,INDEX($C$13:$Q$13,1,B197-2025)*$AO$4*C197/MAX(0.0001,12-$AO$3),INDEX($C$13:$Q$13,1,B197-2025)/12)</f>
        <v>1.73714121342165</v>
      </c>
      <c r="BQ197" s="88" t="n">
        <f aca="false">$AO$6*0</f>
        <v>0</v>
      </c>
      <c r="BR197" s="88" t="n">
        <f aca="false">BP197+BR196</f>
        <v>457.016986650683</v>
      </c>
      <c r="BS197" s="88" t="n">
        <f aca="false">BQ197+BS196</f>
        <v>87</v>
      </c>
      <c r="BT197" s="88" t="n">
        <f aca="false">MAX(BT196,BR197-BS197)</f>
        <v>370.016986650683</v>
      </c>
      <c r="BU197" s="88" t="n">
        <f aca="false">BT197-BT196</f>
        <v>1.73714121342164</v>
      </c>
      <c r="BV197" s="88" t="n">
        <f aca="false">IF(B197=2026,INDEX($C$14:$Q$14,1,B197-2025)*$AO$4*C197/MAX(0.0001,12-$AO$3),INDEX($C$14:$Q$14,1,B197-2025)/12)</f>
        <v>1.0303044438225</v>
      </c>
      <c r="BW197" s="88" t="n">
        <f aca="false">$AO$6*0</f>
        <v>0</v>
      </c>
      <c r="BX197" s="88" t="n">
        <f aca="false">BV197+BX196</f>
        <v>271.058350703165</v>
      </c>
      <c r="BY197" s="88" t="n">
        <f aca="false">BW197+BY196</f>
        <v>0</v>
      </c>
      <c r="BZ197" s="88" t="n">
        <f aca="false">MAX(BZ196,BX197-BY197)</f>
        <v>271.058350703165</v>
      </c>
      <c r="CA197" s="88" t="n">
        <f aca="false">BZ197-BZ196</f>
        <v>1.0303044438225</v>
      </c>
      <c r="CB197" s="88" t="n">
        <f aca="false">IF(B197=2026,INDEX($C$15:$Q$15,1,B197-2025)*$AO$4*C197/MAX(0.0001,12-$AO$3),INDEX($C$15:$Q$15,1,B197-2025)/12)</f>
        <v>1.68922007649967</v>
      </c>
      <c r="CC197" s="88" t="n">
        <f aca="false">$AO$6*0</f>
        <v>0</v>
      </c>
      <c r="CD197" s="88" t="n">
        <f aca="false">CB197+CD196</f>
        <v>444.409621501699</v>
      </c>
      <c r="CE197" s="88" t="n">
        <f aca="false">CC197+CE196</f>
        <v>88.0000000000001</v>
      </c>
      <c r="CF197" s="88" t="n">
        <f aca="false">MAX(CF196,CD197-CE197)</f>
        <v>356.409621501699</v>
      </c>
      <c r="CG197" s="88" t="n">
        <f aca="false">CF197-CF196</f>
        <v>1.68922007649968</v>
      </c>
      <c r="CH197" s="88" t="n">
        <f aca="false">IF(B197=2026,INDEX($C$16:$Q$16,1,B197-2025)*$AO$4*C197/MAX(0.0001,12-$AO$3),INDEX($C$16:$Q$16,1,B197-2025)/12)</f>
        <v>1.3358016917001</v>
      </c>
      <c r="CI197" s="88" t="n">
        <f aca="false">$AO$6*0</f>
        <v>0</v>
      </c>
      <c r="CJ197" s="88" t="n">
        <f aca="false">CH197+CJ196</f>
        <v>351.430303527939</v>
      </c>
      <c r="CK197" s="88" t="n">
        <f aca="false">CI197+CK196</f>
        <v>70</v>
      </c>
      <c r="CL197" s="88" t="n">
        <f aca="false">MAX(CL196,CJ197-CK197)</f>
        <v>281.430303527939</v>
      </c>
      <c r="CM197" s="88" t="n">
        <f aca="false">CL197-CL196</f>
        <v>1.33580169170011</v>
      </c>
      <c r="CN197" s="88" t="n">
        <f aca="false">IF(B197=2026,INDEX($C$17:$Q$17,1,B197-2025)*$AO$4*C197/MAX(0.0001,12-$AO$3),INDEX($C$17:$Q$17,1,B197-2025)/12)</f>
        <v>5.81642799390491</v>
      </c>
      <c r="CO197" s="88" t="n">
        <f aca="false">$AO$6*0</f>
        <v>0</v>
      </c>
      <c r="CP197" s="88" t="n">
        <f aca="false">CN197+CP196</f>
        <v>1530.21894495798</v>
      </c>
      <c r="CQ197" s="88" t="n">
        <f aca="false">CO197+CQ196</f>
        <v>221</v>
      </c>
      <c r="CR197" s="88" t="n">
        <f aca="false">MAX(CR196,CP197-CQ197)</f>
        <v>1309.21894495798</v>
      </c>
      <c r="CS197" s="88" t="n">
        <f aca="false">CR197-CR196</f>
        <v>5.81642799390488</v>
      </c>
      <c r="CT197" s="88" t="n">
        <f aca="false">IF(B197=2026,INDEX($C$18:$Q$18,1,B197-2025)*$AO$4*C197/MAX(0.0001,12-$AO$3),INDEX($C$18:$Q$18,1,B197-2025)/12)</f>
        <v>1.21000870727991</v>
      </c>
      <c r="CU197" s="88" t="n">
        <f aca="false">$AO$6*0</f>
        <v>0</v>
      </c>
      <c r="CV197" s="88" t="n">
        <f aca="false">CT197+CV196</f>
        <v>318.335970011855</v>
      </c>
      <c r="CW197" s="88" t="n">
        <f aca="false">CU197+CW196</f>
        <v>11</v>
      </c>
      <c r="CX197" s="88" t="n">
        <f aca="false">MAX(CX196,CV197-CW197)</f>
        <v>307.335970011855</v>
      </c>
      <c r="CY197" s="88" t="n">
        <f aca="false">CX197-CX196</f>
        <v>1.21000870727988</v>
      </c>
      <c r="CZ197" s="88" t="n">
        <f aca="false">IF(B197=2026,INDEX($C$19:$Q$19,1,B197-2025)*$AO$4*C197/MAX(0.0001,12-$AO$3),INDEX($C$19:$Q$19,1,B197-2025)/12)</f>
        <v>1.19802842304941</v>
      </c>
      <c r="DA197" s="88" t="n">
        <f aca="false">$AO$6*0</f>
        <v>0</v>
      </c>
      <c r="DB197" s="88" t="n">
        <f aca="false">CZ197+DB196</f>
        <v>315.18412872461</v>
      </c>
      <c r="DC197" s="88" t="n">
        <f aca="false">DA197+DC196</f>
        <v>226</v>
      </c>
      <c r="DD197" s="88" t="n">
        <f aca="false">MAX(DD196,DB197-DC197)</f>
        <v>89.1841287246097</v>
      </c>
      <c r="DE197" s="88" t="n">
        <f aca="false">DD197-DD196</f>
        <v>1.19802842304944</v>
      </c>
      <c r="DF197" s="88" t="n">
        <f aca="false">IF(B197=2026,INDEX($C$20:$Q$20,1,B197-2025)*$AO$4*C197/MAX(0.0001,12-$AO$3),INDEX($C$20:$Q$20,1,B197-2025)/12)</f>
        <v>0.976393164785272</v>
      </c>
      <c r="DG197" s="88" t="n">
        <f aca="false">$AO$6*0</f>
        <v>0</v>
      </c>
      <c r="DH197" s="88" t="n">
        <f aca="false">DF197+DH196</f>
        <v>256.875064910557</v>
      </c>
      <c r="DI197" s="88" t="n">
        <f aca="false">DG197+DI196</f>
        <v>0</v>
      </c>
      <c r="DJ197" s="88" t="n">
        <f aca="false">MAX(DJ196,DH197-DI197)</f>
        <v>256.875064910557</v>
      </c>
      <c r="DK197" s="88" t="n">
        <f aca="false">DJ197-DJ196</f>
        <v>0.976393164785293</v>
      </c>
      <c r="DL197" s="88" t="n">
        <f aca="false">IF(B197=2026,INDEX($C$21:$Q$21,1,B197-2025)*$AO$4*C197/MAX(0.0001,12-$AO$3),INDEX($C$21:$Q$21,1,B197-2025)/12)</f>
        <v>0.682876201138166</v>
      </c>
      <c r="DM197" s="88" t="n">
        <f aca="false">$AO$6*0</f>
        <v>0</v>
      </c>
      <c r="DN197" s="88" t="n">
        <f aca="false">DL197+DN196</f>
        <v>179.654953373027</v>
      </c>
      <c r="DO197" s="88" t="n">
        <f aca="false">DM197+DO196</f>
        <v>100</v>
      </c>
      <c r="DP197" s="88" t="n">
        <f aca="false">MAX(DP196,DN197-DO197)</f>
        <v>79.6549533730271</v>
      </c>
      <c r="DQ197" s="88" t="n">
        <f aca="false">DP197-DP196</f>
        <v>0.682876201138157</v>
      </c>
      <c r="DR197" s="88" t="n">
        <f aca="false">IF(B197=2026,INDEX($C$22:$Q$22,1,B197-2025)*$AO$4*C197/MAX(0.0001,12-$AO$3),INDEX($C$22:$Q$22,1,B197-2025)/12)</f>
        <v>0.533122648256989</v>
      </c>
      <c r="DS197" s="88" t="n">
        <f aca="false">$AO$6*0</f>
        <v>0</v>
      </c>
      <c r="DT197" s="88" t="n">
        <f aca="false">DR197+DT196</f>
        <v>140.256937282451</v>
      </c>
      <c r="DU197" s="88" t="n">
        <f aca="false">DS197+DU196</f>
        <v>29</v>
      </c>
      <c r="DV197" s="88" t="n">
        <f aca="false">MAX(DV196,DT197-DU197)</f>
        <v>111.256937282451</v>
      </c>
      <c r="DW197" s="88" t="n">
        <f aca="false">DV197-DV196</f>
        <v>0.533122648256978</v>
      </c>
      <c r="DX197" s="88" t="n">
        <f aca="false">IF(B197=2026,INDEX($C$23:$Q$23,1,B197-2025)*$AO$4*C197/MAX(0.0001,12-$AO$3),INDEX($C$23:$Q$23,1,B197-2025)/12)</f>
        <v>0.856590322480331</v>
      </c>
      <c r="DY197" s="88" t="n">
        <f aca="false">$AO$6*0</f>
        <v>0</v>
      </c>
      <c r="DZ197" s="88" t="n">
        <f aca="false">DX197+DZ196</f>
        <v>225.356652038096</v>
      </c>
      <c r="EA197" s="88" t="n">
        <f aca="false">DY197+EA196</f>
        <v>121</v>
      </c>
      <c r="EB197" s="88" t="n">
        <f aca="false">MAX(EB196,DZ197-EA197)</f>
        <v>104.356652038096</v>
      </c>
      <c r="EC197" s="88" t="n">
        <f aca="false">EB197-EB196</f>
        <v>0.856590322480344</v>
      </c>
      <c r="ED197" s="88" t="n">
        <f aca="false">IF(B197=2026,INDEX($C$24:$Q$24,1,B197-2025)*$AO$4*C197/MAX(0.0001,12-$AO$3),INDEX($C$24:$Q$24,1,B197-2025)/12)</f>
        <v>0.527132506141742</v>
      </c>
      <c r="EE197" s="88" t="n">
        <f aca="false">$AO$6*0</f>
        <v>0</v>
      </c>
      <c r="EF197" s="88" t="n">
        <f aca="false">ED197+EF196</f>
        <v>138.681016638828</v>
      </c>
      <c r="EG197" s="88" t="n">
        <f aca="false">EE197+EG196</f>
        <v>0</v>
      </c>
      <c r="EH197" s="88" t="n">
        <f aca="false">MAX(EH196,EF197-EG197)</f>
        <v>138.681016638828</v>
      </c>
      <c r="EI197" s="88" t="n">
        <f aca="false">EH197-EH196</f>
        <v>0.527132506141754</v>
      </c>
      <c r="EJ197" s="88" t="n">
        <f aca="false">IF(B197=2026,INDEX($C$25:$Q$25,1,B197-2025)*$AO$4*C197/MAX(0.0001,12-$AO$3),INDEX($C$25:$Q$25,1,B197-2025)/12)</f>
        <v>0.670895916907672</v>
      </c>
      <c r="EK197" s="88" t="n">
        <f aca="false">$AO$6*0</f>
        <v>0</v>
      </c>
      <c r="EL197" s="88" t="n">
        <f aca="false">EJ197+EL196</f>
        <v>176.503112085781</v>
      </c>
      <c r="EM197" s="88" t="n">
        <f aca="false">EK197+EM196</f>
        <v>14</v>
      </c>
      <c r="EN197" s="88" t="n">
        <f aca="false">MAX(EN196,EL197-EM197)</f>
        <v>162.503112085781</v>
      </c>
      <c r="EO197" s="88" t="n">
        <f aca="false">EN197-EN196</f>
        <v>0.670895916907682</v>
      </c>
      <c r="EP197" s="88" t="n">
        <f aca="false">IF(B197=2026,INDEX($C$26:$Q$26,1,B197-2025)*$AO$4*C197/MAX(0.0001,12-$AO$3),INDEX($C$26:$Q$26,1,B197-2025)/12)</f>
        <v>0.964412880554778</v>
      </c>
      <c r="EQ197" s="88" t="n">
        <f aca="false">$AO$6*0</f>
        <v>0</v>
      </c>
      <c r="ER197" s="88" t="n">
        <f aca="false">EP197+ER196</f>
        <v>253.72322362331</v>
      </c>
      <c r="ES197" s="88" t="n">
        <f aca="false">EQ197+ES196</f>
        <v>4</v>
      </c>
      <c r="ET197" s="88" t="n">
        <f aca="false">MAX(ET196,ER197-ES197)</f>
        <v>249.72322362331</v>
      </c>
      <c r="EU197" s="88" t="n">
        <f aca="false">ET197-ET196</f>
        <v>0.964412880554789</v>
      </c>
      <c r="EV197" s="88" t="n">
        <f aca="false">IF(B197=2026,INDEX($C$27:$Q$27,1,B197-2025)*$AO$4*C197/MAX(0.0001,12-$AO$3),INDEX($C$27:$Q$27,1,B197-2025)/12)</f>
        <v>2.39605684609883</v>
      </c>
      <c r="EW197" s="88" t="n">
        <f aca="false">$AO$6*0</f>
        <v>0</v>
      </c>
      <c r="EX197" s="88" t="n">
        <f aca="false">EV197+EX196</f>
        <v>630.368257449219</v>
      </c>
      <c r="EY197" s="88" t="n">
        <f aca="false">EW197+EY196</f>
        <v>391</v>
      </c>
      <c r="EZ197" s="88" t="n">
        <f aca="false">MAX(EZ196,EX197-EY197)</f>
        <v>239.368257449219</v>
      </c>
      <c r="FA197" s="88" t="n">
        <f aca="false">EZ197-EZ196</f>
        <v>2.39605684609887</v>
      </c>
      <c r="FB197" s="88" t="n">
        <f aca="false">IF(B197=2026,INDEX($C$28:$Q$28,1,B197-2025)*$AO$4*C197/MAX(0.0001,12-$AO$3),INDEX($C$28:$Q$28,1,B197-2025)/12)</f>
        <v>12.5433575893274</v>
      </c>
      <c r="FC197" s="88" t="n">
        <f aca="false">$AO$6*0</f>
        <v>0</v>
      </c>
      <c r="FD197" s="88" t="n">
        <f aca="false">FB197+FD196</f>
        <v>3299.97782774666</v>
      </c>
      <c r="FE197" s="88" t="n">
        <f aca="false">FC197+FE196</f>
        <v>169</v>
      </c>
      <c r="FF197" s="88" t="n">
        <f aca="false">MAX(FF196,FD197-FE197)</f>
        <v>3130.97782774666</v>
      </c>
      <c r="FG197" s="88" t="n">
        <f aca="false">FF197-FF196</f>
        <v>12.5433575893276</v>
      </c>
    </row>
    <row r="198" customFormat="false" ht="15" hidden="false" customHeight="false" outlineLevel="0" collapsed="false">
      <c r="A198" s="0" t="n">
        <v>158</v>
      </c>
      <c r="B198" s="88" t="n">
        <f aca="false">2026+INT(A198/12)</f>
        <v>2039</v>
      </c>
      <c r="C198" s="88" t="n">
        <f aca="false">MAX(0,MIN(1,A198+1-$AO$3))</f>
        <v>1</v>
      </c>
      <c r="D198" s="88" t="n">
        <f aca="false">IF((A198+0.5-(0))&lt;$AO$3,0,2026+INT((A198+0.5-(0))/12))</f>
        <v>2039</v>
      </c>
      <c r="E198" s="88" t="n">
        <f aca="false">IF((A198+0.5-($AO$9))&lt;$AO$3,0,2026+INT((A198+0.5-($AO$9))/12))</f>
        <v>2037</v>
      </c>
      <c r="F198" s="88" t="n">
        <f aca="false">IF((A198+0.5-($AO$9+$AO$8))&lt;$AO$3,0,2026+INT((A198+0.5-($AO$9+$AO$8))/12))</f>
        <v>2036</v>
      </c>
      <c r="G198" s="88" t="n">
        <f aca="false">IF((A198+0.5-($AO$9+$AO$8+$AO$7))&lt;$AO$3,0,2026+INT((A198+0.5-($AO$9+$AO$8+$AO$7))/12))</f>
        <v>2036</v>
      </c>
      <c r="H198" s="88" t="n">
        <f aca="false">IF(B198=2026,INDEX($C$3:$Q$3,1,B198-2025)*$AO$4*C198/MAX(0.0001,12-$AO$3),INDEX($C$3:$Q$3,1,B198-2025)/12)</f>
        <v>128.416666666667</v>
      </c>
      <c r="I198" s="88" t="n">
        <f aca="false">$AO$6*0</f>
        <v>0</v>
      </c>
      <c r="J198" s="88" t="n">
        <f aca="false">H198+J197</f>
        <v>33913.0034246576</v>
      </c>
      <c r="K198" s="88" t="n">
        <f aca="false">I198+K197</f>
        <v>8695.00000000001</v>
      </c>
      <c r="L198" s="88" t="n">
        <f aca="false">MAX(L197,J198-K198)</f>
        <v>25218.0034246576</v>
      </c>
      <c r="M198" s="88" t="n">
        <f aca="false">L198-L197</f>
        <v>128.416666666664</v>
      </c>
      <c r="N198" s="88" t="n">
        <f aca="false">IF(B198=2026,INDEX($C$4:$Q$4,1,B198-2025)*$AO$4*C198/MAX(0.0001,12-$AO$3),INDEX($C$4:$Q$4,1,B198-2025)/12)</f>
        <v>3.89318965056346</v>
      </c>
      <c r="O198" s="88" t="n">
        <f aca="false">$AO$6*0</f>
        <v>0</v>
      </c>
      <c r="P198" s="88" t="n">
        <f aca="false">N198+P197</f>
        <v>1028.13565699468</v>
      </c>
      <c r="Q198" s="88" t="n">
        <f aca="false">O198+Q197</f>
        <v>398</v>
      </c>
      <c r="R198" s="88" t="n">
        <f aca="false">MAX(R197,P198-Q198)</f>
        <v>630.135656994677</v>
      </c>
      <c r="S198" s="88" t="n">
        <f aca="false">R198-R197</f>
        <v>3.8931896505635</v>
      </c>
      <c r="T198" s="88" t="n">
        <f aca="false">IF(B198=2026,INDEX($C$5:$Q$5,1,B198-2025)*$AO$4*C198/MAX(0.0001,12-$AO$3),INDEX($C$5:$Q$5,1,B198-2025)/12)</f>
        <v>15.8233280689987</v>
      </c>
      <c r="U198" s="88" t="n">
        <f aca="false">$AO$6*0</f>
        <v>0</v>
      </c>
      <c r="V198" s="88" t="n">
        <f aca="false">T198+V197</f>
        <v>4178.71443732718</v>
      </c>
      <c r="W198" s="88" t="n">
        <f aca="false">U198+W197</f>
        <v>1115</v>
      </c>
      <c r="X198" s="88" t="n">
        <f aca="false">MAX(X197,V198-W198)</f>
        <v>3063.71443732718</v>
      </c>
      <c r="Y198" s="88" t="n">
        <f aca="false">X198-X197</f>
        <v>15.8233280689983</v>
      </c>
      <c r="Z198" s="88" t="n">
        <f aca="false">IF(B198=2026,INDEX($C$6:$Q$6,1,B198-2025)*$AO$4*C198/MAX(0.0001,12-$AO$3),INDEX($C$6:$Q$6,1,B198-2025)/12)</f>
        <v>18.7730924675475</v>
      </c>
      <c r="AA198" s="88" t="n">
        <f aca="false">$AO$6*0</f>
        <v>0</v>
      </c>
      <c r="AB198" s="88" t="n">
        <f aca="false">Z198+AB197</f>
        <v>4957.70499008451</v>
      </c>
      <c r="AC198" s="88" t="n">
        <f aca="false">AA198+AC197</f>
        <v>2194</v>
      </c>
      <c r="AD198" s="88" t="n">
        <f aca="false">MAX(AD197,AB198-AC198)</f>
        <v>2763.70499008451</v>
      </c>
      <c r="AE198" s="88" t="n">
        <f aca="false">AD198-AD197</f>
        <v>18.7730924675479</v>
      </c>
      <c r="AF198" s="88" t="n">
        <f aca="false">IF(B198=2026,INDEX($C$7:$Q$7,1,B198-2025)*$AO$4*C198/MAX(0.0001,12-$AO$3),INDEX($C$7:$Q$7,1,B198-2025)/12)</f>
        <v>16.307524583029</v>
      </c>
      <c r="AG198" s="88" t="n">
        <f aca="false">$AO$6*0</f>
        <v>0</v>
      </c>
      <c r="AH198" s="88" t="n">
        <f aca="false">AF198+AH197</f>
        <v>4306.58380557</v>
      </c>
      <c r="AI198" s="88" t="n">
        <f aca="false">AG198+AI197</f>
        <v>826</v>
      </c>
      <c r="AJ198" s="88" t="n">
        <f aca="false">MAX(AJ197,AH198-AI198)</f>
        <v>3480.58380557</v>
      </c>
      <c r="AK198" s="88" t="n">
        <f aca="false">AJ198-AJ197</f>
        <v>16.3075245830287</v>
      </c>
      <c r="AL198" s="88" t="n">
        <f aca="false">IF(B198=2026,INDEX($C$8:$Q$8,1,B198-2025)*$AO$4*C198/MAX(0.0001,12-$AO$3),INDEX($C$8:$Q$8,1,B198-2025)/12)</f>
        <v>4.12503328527406</v>
      </c>
      <c r="AM198" s="88" t="n">
        <f aca="false">$AO$6*0</f>
        <v>0</v>
      </c>
      <c r="AN198" s="88" t="n">
        <f aca="false">AL198+AN197</f>
        <v>1089.36224215698</v>
      </c>
      <c r="AO198" s="88" t="n">
        <f aca="false">AM198+AO197</f>
        <v>66</v>
      </c>
      <c r="AP198" s="88" t="n">
        <f aca="false">MAX(AP197,AN198-AO198)</f>
        <v>1023.36224215698</v>
      </c>
      <c r="AQ198" s="88" t="n">
        <f aca="false">AP198-AP197</f>
        <v>4.12503328527396</v>
      </c>
      <c r="AR198" s="88" t="n">
        <f aca="false">IF(B198=2026,INDEX($C$9:$Q$9,1,B198-2025)*$AO$4*C198/MAX(0.0001,12-$AO$3),INDEX($C$9:$Q$9,1,B198-2025)/12)</f>
        <v>17.5889065179488</v>
      </c>
      <c r="AS198" s="88" t="n">
        <f aca="false">$AO$6*0</f>
        <v>0</v>
      </c>
      <c r="AT198" s="88" t="n">
        <f aca="false">AR198+AT197</f>
        <v>4644.97843202476</v>
      </c>
      <c r="AU198" s="88" t="n">
        <f aca="false">AS198+AU197</f>
        <v>1810</v>
      </c>
      <c r="AV198" s="88" t="n">
        <f aca="false">MAX(AV197,AT198-AU198)</f>
        <v>2834.97843202476</v>
      </c>
      <c r="AW198" s="88" t="n">
        <f aca="false">AV198-AV197</f>
        <v>17.588906517949</v>
      </c>
      <c r="AX198" s="88" t="n">
        <f aca="false">IF(B198=2026,INDEX($C$10:$Q$10,1,B198-2025)*$AO$4*C198/MAX(0.0001,12-$AO$3),INDEX($C$10:$Q$10,1,B198-2025)/12)</f>
        <v>2.04022398545332</v>
      </c>
      <c r="AY198" s="88" t="n">
        <f aca="false">$AO$6*0</f>
        <v>0</v>
      </c>
      <c r="AZ198" s="88" t="n">
        <f aca="false">AX198+AZ197</f>
        <v>538.793949428268</v>
      </c>
      <c r="BA198" s="88" t="n">
        <f aca="false">AY198+BA197</f>
        <v>50</v>
      </c>
      <c r="BB198" s="88" t="n">
        <f aca="false">MAX(BB197,AZ198-BA198)</f>
        <v>488.793949428268</v>
      </c>
      <c r="BC198" s="88" t="n">
        <f aca="false">BB198-BB197</f>
        <v>2.04022398545328</v>
      </c>
      <c r="BD198" s="88" t="n">
        <f aca="false">IF(B198=2026,INDEX($C$11:$Q$11,1,B198-2025)*$AO$4*C198/MAX(0.0001,12-$AO$3),INDEX($C$11:$Q$11,1,B198-2025)/12)</f>
        <v>10.1387004871522</v>
      </c>
      <c r="BE198" s="88" t="n">
        <f aca="false">$AO$6*0</f>
        <v>0</v>
      </c>
      <c r="BF198" s="88" t="n">
        <f aca="false">BD198+BF197</f>
        <v>2677.48566652072</v>
      </c>
      <c r="BG198" s="88" t="n">
        <f aca="false">BE198+BG197</f>
        <v>240</v>
      </c>
      <c r="BH198" s="88" t="n">
        <f aca="false">MAX(BH197,BF198-BG198)</f>
        <v>2437.48566652072</v>
      </c>
      <c r="BI198" s="88" t="n">
        <f aca="false">BH198-BH197</f>
        <v>10.1387004871522</v>
      </c>
      <c r="BJ198" s="88" t="n">
        <f aca="false">IF(B198=2026,INDEX($C$12:$Q$12,1,B198-2025)*$AO$4*C198/MAX(0.0001,12-$AO$3),INDEX($C$12:$Q$12,1,B198-2025)/12)</f>
        <v>5.55889699533041</v>
      </c>
      <c r="BK198" s="88" t="n">
        <f aca="false">$AO$6*0</f>
        <v>0</v>
      </c>
      <c r="BL198" s="88" t="n">
        <f aca="false">BJ198+BL197</f>
        <v>1468.02512269923</v>
      </c>
      <c r="BM198" s="88" t="n">
        <f aca="false">BK198+BM197</f>
        <v>465</v>
      </c>
      <c r="BN198" s="88" t="n">
        <f aca="false">MAX(BN197,BL198-BM198)</f>
        <v>1003.02512269923</v>
      </c>
      <c r="BO198" s="88" t="n">
        <f aca="false">BN198-BN197</f>
        <v>5.55889699533032</v>
      </c>
      <c r="BP198" s="88" t="n">
        <f aca="false">IF(B198=2026,INDEX($C$13:$Q$13,1,B198-2025)*$AO$4*C198/MAX(0.0001,12-$AO$3),INDEX($C$13:$Q$13,1,B198-2025)/12)</f>
        <v>1.73714121342165</v>
      </c>
      <c r="BQ198" s="88" t="n">
        <f aca="false">$AO$6*0</f>
        <v>0</v>
      </c>
      <c r="BR198" s="88" t="n">
        <f aca="false">BP198+BR197</f>
        <v>458.754127864105</v>
      </c>
      <c r="BS198" s="88" t="n">
        <f aca="false">BQ198+BS197</f>
        <v>87</v>
      </c>
      <c r="BT198" s="88" t="n">
        <f aca="false">MAX(BT197,BR198-BS198)</f>
        <v>371.754127864105</v>
      </c>
      <c r="BU198" s="88" t="n">
        <f aca="false">BT198-BT197</f>
        <v>1.73714121342164</v>
      </c>
      <c r="BV198" s="88" t="n">
        <f aca="false">IF(B198=2026,INDEX($C$14:$Q$14,1,B198-2025)*$AO$4*C198/MAX(0.0001,12-$AO$3),INDEX($C$14:$Q$14,1,B198-2025)/12)</f>
        <v>1.0303044438225</v>
      </c>
      <c r="BW198" s="88" t="n">
        <f aca="false">$AO$6*0</f>
        <v>0</v>
      </c>
      <c r="BX198" s="88" t="n">
        <f aca="false">BV198+BX197</f>
        <v>272.088655146987</v>
      </c>
      <c r="BY198" s="88" t="n">
        <f aca="false">BW198+BY197</f>
        <v>0</v>
      </c>
      <c r="BZ198" s="88" t="n">
        <f aca="false">MAX(BZ197,BX198-BY198)</f>
        <v>272.088655146987</v>
      </c>
      <c r="CA198" s="88" t="n">
        <f aca="false">BZ198-BZ197</f>
        <v>1.0303044438225</v>
      </c>
      <c r="CB198" s="88" t="n">
        <f aca="false">IF(B198=2026,INDEX($C$15:$Q$15,1,B198-2025)*$AO$4*C198/MAX(0.0001,12-$AO$3),INDEX($C$15:$Q$15,1,B198-2025)/12)</f>
        <v>1.68922007649967</v>
      </c>
      <c r="CC198" s="88" t="n">
        <f aca="false">$AO$6*0</f>
        <v>0</v>
      </c>
      <c r="CD198" s="88" t="n">
        <f aca="false">CB198+CD197</f>
        <v>446.098841578199</v>
      </c>
      <c r="CE198" s="88" t="n">
        <f aca="false">CC198+CE197</f>
        <v>88.0000000000001</v>
      </c>
      <c r="CF198" s="88" t="n">
        <f aca="false">MAX(CF197,CD198-CE198)</f>
        <v>358.098841578198</v>
      </c>
      <c r="CG198" s="88" t="n">
        <f aca="false">CF198-CF197</f>
        <v>1.68922007649968</v>
      </c>
      <c r="CH198" s="88" t="n">
        <f aca="false">IF(B198=2026,INDEX($C$16:$Q$16,1,B198-2025)*$AO$4*C198/MAX(0.0001,12-$AO$3),INDEX($C$16:$Q$16,1,B198-2025)/12)</f>
        <v>1.3358016917001</v>
      </c>
      <c r="CI198" s="88" t="n">
        <f aca="false">$AO$6*0</f>
        <v>0</v>
      </c>
      <c r="CJ198" s="88" t="n">
        <f aca="false">CH198+CJ197</f>
        <v>352.766105219639</v>
      </c>
      <c r="CK198" s="88" t="n">
        <f aca="false">CI198+CK197</f>
        <v>70</v>
      </c>
      <c r="CL198" s="88" t="n">
        <f aca="false">MAX(CL197,CJ198-CK198)</f>
        <v>282.766105219639</v>
      </c>
      <c r="CM198" s="88" t="n">
        <f aca="false">CL198-CL197</f>
        <v>1.33580169170011</v>
      </c>
      <c r="CN198" s="88" t="n">
        <f aca="false">IF(B198=2026,INDEX($C$17:$Q$17,1,B198-2025)*$AO$4*C198/MAX(0.0001,12-$AO$3),INDEX($C$17:$Q$17,1,B198-2025)/12)</f>
        <v>5.81642799390491</v>
      </c>
      <c r="CO198" s="88" t="n">
        <f aca="false">$AO$6*0</f>
        <v>0</v>
      </c>
      <c r="CP198" s="88" t="n">
        <f aca="false">CN198+CP197</f>
        <v>1536.03537295189</v>
      </c>
      <c r="CQ198" s="88" t="n">
        <f aca="false">CO198+CQ197</f>
        <v>221</v>
      </c>
      <c r="CR198" s="88" t="n">
        <f aca="false">MAX(CR197,CP198-CQ198)</f>
        <v>1315.03537295189</v>
      </c>
      <c r="CS198" s="88" t="n">
        <f aca="false">CR198-CR197</f>
        <v>5.81642799390488</v>
      </c>
      <c r="CT198" s="88" t="n">
        <f aca="false">IF(B198=2026,INDEX($C$18:$Q$18,1,B198-2025)*$AO$4*C198/MAX(0.0001,12-$AO$3),INDEX($C$18:$Q$18,1,B198-2025)/12)</f>
        <v>1.21000870727991</v>
      </c>
      <c r="CU198" s="88" t="n">
        <f aca="false">$AO$6*0</f>
        <v>0</v>
      </c>
      <c r="CV198" s="88" t="n">
        <f aca="false">CT198+CV197</f>
        <v>319.545978719135</v>
      </c>
      <c r="CW198" s="88" t="n">
        <f aca="false">CU198+CW197</f>
        <v>11</v>
      </c>
      <c r="CX198" s="88" t="n">
        <f aca="false">MAX(CX197,CV198-CW198)</f>
        <v>308.545978719135</v>
      </c>
      <c r="CY198" s="88" t="n">
        <f aca="false">CX198-CX197</f>
        <v>1.21000870727988</v>
      </c>
      <c r="CZ198" s="88" t="n">
        <f aca="false">IF(B198=2026,INDEX($C$19:$Q$19,1,B198-2025)*$AO$4*C198/MAX(0.0001,12-$AO$3),INDEX($C$19:$Q$19,1,B198-2025)/12)</f>
        <v>1.19802842304941</v>
      </c>
      <c r="DA198" s="88" t="n">
        <f aca="false">$AO$6*0</f>
        <v>0</v>
      </c>
      <c r="DB198" s="88" t="n">
        <f aca="false">CZ198+DB197</f>
        <v>316.382157147659</v>
      </c>
      <c r="DC198" s="88" t="n">
        <f aca="false">DA198+DC197</f>
        <v>226</v>
      </c>
      <c r="DD198" s="88" t="n">
        <f aca="false">MAX(DD197,DB198-DC198)</f>
        <v>90.3821571476592</v>
      </c>
      <c r="DE198" s="88" t="n">
        <f aca="false">DD198-DD197</f>
        <v>1.19802842304944</v>
      </c>
      <c r="DF198" s="88" t="n">
        <f aca="false">IF(B198=2026,INDEX($C$20:$Q$20,1,B198-2025)*$AO$4*C198/MAX(0.0001,12-$AO$3),INDEX($C$20:$Q$20,1,B198-2025)/12)</f>
        <v>0.976393164785272</v>
      </c>
      <c r="DG198" s="88" t="n">
        <f aca="false">$AO$6*0</f>
        <v>0</v>
      </c>
      <c r="DH198" s="88" t="n">
        <f aca="false">DF198+DH197</f>
        <v>257.851458075342</v>
      </c>
      <c r="DI198" s="88" t="n">
        <f aca="false">DG198+DI197</f>
        <v>0</v>
      </c>
      <c r="DJ198" s="88" t="n">
        <f aca="false">MAX(DJ197,DH198-DI198)</f>
        <v>257.851458075342</v>
      </c>
      <c r="DK198" s="88" t="n">
        <f aca="false">DJ198-DJ197</f>
        <v>0.976393164785293</v>
      </c>
      <c r="DL198" s="88" t="n">
        <f aca="false">IF(B198=2026,INDEX($C$21:$Q$21,1,B198-2025)*$AO$4*C198/MAX(0.0001,12-$AO$3),INDEX($C$21:$Q$21,1,B198-2025)/12)</f>
        <v>0.682876201138166</v>
      </c>
      <c r="DM198" s="88" t="n">
        <f aca="false">$AO$6*0</f>
        <v>0</v>
      </c>
      <c r="DN198" s="88" t="n">
        <f aca="false">DL198+DN197</f>
        <v>180.337829574165</v>
      </c>
      <c r="DO198" s="88" t="n">
        <f aca="false">DM198+DO197</f>
        <v>100</v>
      </c>
      <c r="DP198" s="88" t="n">
        <f aca="false">MAX(DP197,DN198-DO198)</f>
        <v>80.3378295741653</v>
      </c>
      <c r="DQ198" s="88" t="n">
        <f aca="false">DP198-DP197</f>
        <v>0.682876201138157</v>
      </c>
      <c r="DR198" s="88" t="n">
        <f aca="false">IF(B198=2026,INDEX($C$22:$Q$22,1,B198-2025)*$AO$4*C198/MAX(0.0001,12-$AO$3),INDEX($C$22:$Q$22,1,B198-2025)/12)</f>
        <v>0.533122648256989</v>
      </c>
      <c r="DS198" s="88" t="n">
        <f aca="false">$AO$6*0</f>
        <v>0</v>
      </c>
      <c r="DT198" s="88" t="n">
        <f aca="false">DR198+DT197</f>
        <v>140.790059930708</v>
      </c>
      <c r="DU198" s="88" t="n">
        <f aca="false">DS198+DU197</f>
        <v>29</v>
      </c>
      <c r="DV198" s="88" t="n">
        <f aca="false">MAX(DV197,DT198-DU198)</f>
        <v>111.790059930708</v>
      </c>
      <c r="DW198" s="88" t="n">
        <f aca="false">DV198-DV197</f>
        <v>0.533122648256978</v>
      </c>
      <c r="DX198" s="88" t="n">
        <f aca="false">IF(B198=2026,INDEX($C$23:$Q$23,1,B198-2025)*$AO$4*C198/MAX(0.0001,12-$AO$3),INDEX($C$23:$Q$23,1,B198-2025)/12)</f>
        <v>0.856590322480331</v>
      </c>
      <c r="DY198" s="88" t="n">
        <f aca="false">$AO$6*0</f>
        <v>0</v>
      </c>
      <c r="DZ198" s="88" t="n">
        <f aca="false">DX198+DZ197</f>
        <v>226.213242360576</v>
      </c>
      <c r="EA198" s="88" t="n">
        <f aca="false">DY198+EA197</f>
        <v>121</v>
      </c>
      <c r="EB198" s="88" t="n">
        <f aca="false">MAX(EB197,DZ198-EA198)</f>
        <v>105.213242360576</v>
      </c>
      <c r="EC198" s="88" t="n">
        <f aca="false">EB198-EB197</f>
        <v>0.856590322480344</v>
      </c>
      <c r="ED198" s="88" t="n">
        <f aca="false">IF(B198=2026,INDEX($C$24:$Q$24,1,B198-2025)*$AO$4*C198/MAX(0.0001,12-$AO$3),INDEX($C$24:$Q$24,1,B198-2025)/12)</f>
        <v>0.527132506141742</v>
      </c>
      <c r="EE198" s="88" t="n">
        <f aca="false">$AO$6*0</f>
        <v>0</v>
      </c>
      <c r="EF198" s="88" t="n">
        <f aca="false">ED198+EF197</f>
        <v>139.20814914497</v>
      </c>
      <c r="EG198" s="88" t="n">
        <f aca="false">EE198+EG197</f>
        <v>0</v>
      </c>
      <c r="EH198" s="88" t="n">
        <f aca="false">MAX(EH197,EF198-EG198)</f>
        <v>139.20814914497</v>
      </c>
      <c r="EI198" s="88" t="n">
        <f aca="false">EH198-EH197</f>
        <v>0.527132506141754</v>
      </c>
      <c r="EJ198" s="88" t="n">
        <f aca="false">IF(B198=2026,INDEX($C$25:$Q$25,1,B198-2025)*$AO$4*C198/MAX(0.0001,12-$AO$3),INDEX($C$25:$Q$25,1,B198-2025)/12)</f>
        <v>0.670895916907672</v>
      </c>
      <c r="EK198" s="88" t="n">
        <f aca="false">$AO$6*0</f>
        <v>0</v>
      </c>
      <c r="EL198" s="88" t="n">
        <f aca="false">EJ198+EL197</f>
        <v>177.174008002689</v>
      </c>
      <c r="EM198" s="88" t="n">
        <f aca="false">EK198+EM197</f>
        <v>14</v>
      </c>
      <c r="EN198" s="88" t="n">
        <f aca="false">MAX(EN197,EL198-EM198)</f>
        <v>163.174008002689</v>
      </c>
      <c r="EO198" s="88" t="n">
        <f aca="false">EN198-EN197</f>
        <v>0.670895916907682</v>
      </c>
      <c r="EP198" s="88" t="n">
        <f aca="false">IF(B198=2026,INDEX($C$26:$Q$26,1,B198-2025)*$AO$4*C198/MAX(0.0001,12-$AO$3),INDEX($C$26:$Q$26,1,B198-2025)/12)</f>
        <v>0.964412880554778</v>
      </c>
      <c r="EQ198" s="88" t="n">
        <f aca="false">$AO$6*0</f>
        <v>0</v>
      </c>
      <c r="ER198" s="88" t="n">
        <f aca="false">EP198+ER197</f>
        <v>254.687636503864</v>
      </c>
      <c r="ES198" s="88" t="n">
        <f aca="false">EQ198+ES197</f>
        <v>4</v>
      </c>
      <c r="ET198" s="88" t="n">
        <f aca="false">MAX(ET197,ER198-ES198)</f>
        <v>250.687636503864</v>
      </c>
      <c r="EU198" s="88" t="n">
        <f aca="false">ET198-ET197</f>
        <v>0.964412880554789</v>
      </c>
      <c r="EV198" s="88" t="n">
        <f aca="false">IF(B198=2026,INDEX($C$27:$Q$27,1,B198-2025)*$AO$4*C198/MAX(0.0001,12-$AO$3),INDEX($C$27:$Q$27,1,B198-2025)/12)</f>
        <v>2.39605684609883</v>
      </c>
      <c r="EW198" s="88" t="n">
        <f aca="false">$AO$6*0</f>
        <v>0</v>
      </c>
      <c r="EX198" s="88" t="n">
        <f aca="false">EV198+EX197</f>
        <v>632.764314295318</v>
      </c>
      <c r="EY198" s="88" t="n">
        <f aca="false">EW198+EY197</f>
        <v>391</v>
      </c>
      <c r="EZ198" s="88" t="n">
        <f aca="false">MAX(EZ197,EX198-EY198)</f>
        <v>241.764314295318</v>
      </c>
      <c r="FA198" s="88" t="n">
        <f aca="false">EZ198-EZ197</f>
        <v>2.39605684609887</v>
      </c>
      <c r="FB198" s="88" t="n">
        <f aca="false">IF(B198=2026,INDEX($C$28:$Q$28,1,B198-2025)*$AO$4*C198/MAX(0.0001,12-$AO$3),INDEX($C$28:$Q$28,1,B198-2025)/12)</f>
        <v>12.5433575893274</v>
      </c>
      <c r="FC198" s="88" t="n">
        <f aca="false">$AO$6*0</f>
        <v>0</v>
      </c>
      <c r="FD198" s="88" t="n">
        <f aca="false">FB198+FD197</f>
        <v>3312.52118533599</v>
      </c>
      <c r="FE198" s="88" t="n">
        <f aca="false">FC198+FE197</f>
        <v>169</v>
      </c>
      <c r="FF198" s="88" t="n">
        <f aca="false">MAX(FF197,FD198-FE198)</f>
        <v>3143.52118533599</v>
      </c>
      <c r="FG198" s="88" t="n">
        <f aca="false">FF198-FF197</f>
        <v>12.5433575893276</v>
      </c>
    </row>
    <row r="199" customFormat="false" ht="15" hidden="false" customHeight="false" outlineLevel="0" collapsed="false">
      <c r="A199" s="0" t="n">
        <v>159</v>
      </c>
      <c r="B199" s="88" t="n">
        <f aca="false">2026+INT(A199/12)</f>
        <v>2039</v>
      </c>
      <c r="C199" s="88" t="n">
        <f aca="false">MAX(0,MIN(1,A199+1-$AO$3))</f>
        <v>1</v>
      </c>
      <c r="D199" s="88" t="n">
        <f aca="false">IF((A199+0.5-(0))&lt;$AO$3,0,2026+INT((A199+0.5-(0))/12))</f>
        <v>2039</v>
      </c>
      <c r="E199" s="88" t="n">
        <f aca="false">IF((A199+0.5-($AO$9))&lt;$AO$3,0,2026+INT((A199+0.5-($AO$9))/12))</f>
        <v>2038</v>
      </c>
      <c r="F199" s="88" t="n">
        <f aca="false">IF((A199+0.5-($AO$9+$AO$8))&lt;$AO$3,0,2026+INT((A199+0.5-($AO$9+$AO$8))/12))</f>
        <v>2036</v>
      </c>
      <c r="G199" s="88" t="n">
        <f aca="false">IF((A199+0.5-($AO$9+$AO$8+$AO$7))&lt;$AO$3,0,2026+INT((A199+0.5-($AO$9+$AO$8+$AO$7))/12))</f>
        <v>2036</v>
      </c>
      <c r="H199" s="88" t="n">
        <f aca="false">IF(B199=2026,INDEX($C$3:$Q$3,1,B199-2025)*$AO$4*C199/MAX(0.0001,12-$AO$3),INDEX($C$3:$Q$3,1,B199-2025)/12)</f>
        <v>128.416666666667</v>
      </c>
      <c r="I199" s="88" t="n">
        <f aca="false">$AO$6*0</f>
        <v>0</v>
      </c>
      <c r="J199" s="88" t="n">
        <f aca="false">H199+J198</f>
        <v>34041.4200913243</v>
      </c>
      <c r="K199" s="88" t="n">
        <f aca="false">I199+K198</f>
        <v>8695.00000000001</v>
      </c>
      <c r="L199" s="88" t="n">
        <f aca="false">MAX(L198,J199-K199)</f>
        <v>25346.4200913242</v>
      </c>
      <c r="M199" s="88" t="n">
        <f aca="false">L199-L198</f>
        <v>128.416666666664</v>
      </c>
      <c r="N199" s="88" t="n">
        <f aca="false">IF(B199=2026,INDEX($C$4:$Q$4,1,B199-2025)*$AO$4*C199/MAX(0.0001,12-$AO$3),INDEX($C$4:$Q$4,1,B199-2025)/12)</f>
        <v>3.89318965056346</v>
      </c>
      <c r="O199" s="88" t="n">
        <f aca="false">$AO$6*0</f>
        <v>0</v>
      </c>
      <c r="P199" s="88" t="n">
        <f aca="false">N199+P198</f>
        <v>1032.02884664524</v>
      </c>
      <c r="Q199" s="88" t="n">
        <f aca="false">O199+Q198</f>
        <v>398</v>
      </c>
      <c r="R199" s="88" t="n">
        <f aca="false">MAX(R198,P199-Q199)</f>
        <v>634.028846645241</v>
      </c>
      <c r="S199" s="88" t="n">
        <f aca="false">R199-R198</f>
        <v>3.8931896505635</v>
      </c>
      <c r="T199" s="88" t="n">
        <f aca="false">IF(B199=2026,INDEX($C$5:$Q$5,1,B199-2025)*$AO$4*C199/MAX(0.0001,12-$AO$3),INDEX($C$5:$Q$5,1,B199-2025)/12)</f>
        <v>15.8233280689987</v>
      </c>
      <c r="U199" s="88" t="n">
        <f aca="false">$AO$6*0</f>
        <v>0</v>
      </c>
      <c r="V199" s="88" t="n">
        <f aca="false">T199+V198</f>
        <v>4194.53776539618</v>
      </c>
      <c r="W199" s="88" t="n">
        <f aca="false">U199+W198</f>
        <v>1115</v>
      </c>
      <c r="X199" s="88" t="n">
        <f aca="false">MAX(X198,V199-W199)</f>
        <v>3079.53776539618</v>
      </c>
      <c r="Y199" s="88" t="n">
        <f aca="false">X199-X198</f>
        <v>15.8233280689983</v>
      </c>
      <c r="Z199" s="88" t="n">
        <f aca="false">IF(B199=2026,INDEX($C$6:$Q$6,1,B199-2025)*$AO$4*C199/MAX(0.0001,12-$AO$3),INDEX($C$6:$Q$6,1,B199-2025)/12)</f>
        <v>18.7730924675475</v>
      </c>
      <c r="AA199" s="88" t="n">
        <f aca="false">$AO$6*0</f>
        <v>0</v>
      </c>
      <c r="AB199" s="88" t="n">
        <f aca="false">Z199+AB198</f>
        <v>4976.47808255206</v>
      </c>
      <c r="AC199" s="88" t="n">
        <f aca="false">AA199+AC198</f>
        <v>2194</v>
      </c>
      <c r="AD199" s="88" t="n">
        <f aca="false">MAX(AD198,AB199-AC199)</f>
        <v>2782.47808255206</v>
      </c>
      <c r="AE199" s="88" t="n">
        <f aca="false">AD199-AD198</f>
        <v>18.7730924675479</v>
      </c>
      <c r="AF199" s="88" t="n">
        <f aca="false">IF(B199=2026,INDEX($C$7:$Q$7,1,B199-2025)*$AO$4*C199/MAX(0.0001,12-$AO$3),INDEX($C$7:$Q$7,1,B199-2025)/12)</f>
        <v>16.307524583029</v>
      </c>
      <c r="AG199" s="88" t="n">
        <f aca="false">$AO$6*0</f>
        <v>0</v>
      </c>
      <c r="AH199" s="88" t="n">
        <f aca="false">AF199+AH198</f>
        <v>4322.89133015302</v>
      </c>
      <c r="AI199" s="88" t="n">
        <f aca="false">AG199+AI198</f>
        <v>826</v>
      </c>
      <c r="AJ199" s="88" t="n">
        <f aca="false">MAX(AJ198,AH199-AI199)</f>
        <v>3496.89133015302</v>
      </c>
      <c r="AK199" s="88" t="n">
        <f aca="false">AJ199-AJ198</f>
        <v>16.3075245830287</v>
      </c>
      <c r="AL199" s="88" t="n">
        <f aca="false">IF(B199=2026,INDEX($C$8:$Q$8,1,B199-2025)*$AO$4*C199/MAX(0.0001,12-$AO$3),INDEX($C$8:$Q$8,1,B199-2025)/12)</f>
        <v>4.12503328527406</v>
      </c>
      <c r="AM199" s="88" t="n">
        <f aca="false">$AO$6*0</f>
        <v>0</v>
      </c>
      <c r="AN199" s="88" t="n">
        <f aca="false">AL199+AN198</f>
        <v>1093.48727544225</v>
      </c>
      <c r="AO199" s="88" t="n">
        <f aca="false">AM199+AO198</f>
        <v>66</v>
      </c>
      <c r="AP199" s="88" t="n">
        <f aca="false">MAX(AP198,AN199-AO199)</f>
        <v>1027.48727544225</v>
      </c>
      <c r="AQ199" s="88" t="n">
        <f aca="false">AP199-AP198</f>
        <v>4.12503328527396</v>
      </c>
      <c r="AR199" s="88" t="n">
        <f aca="false">IF(B199=2026,INDEX($C$9:$Q$9,1,B199-2025)*$AO$4*C199/MAX(0.0001,12-$AO$3),INDEX($C$9:$Q$9,1,B199-2025)/12)</f>
        <v>17.5889065179488</v>
      </c>
      <c r="AS199" s="88" t="n">
        <f aca="false">$AO$6*0</f>
        <v>0</v>
      </c>
      <c r="AT199" s="88" t="n">
        <f aca="false">AR199+AT198</f>
        <v>4662.56733854271</v>
      </c>
      <c r="AU199" s="88" t="n">
        <f aca="false">AS199+AU198</f>
        <v>1810</v>
      </c>
      <c r="AV199" s="88" t="n">
        <f aca="false">MAX(AV198,AT199-AU199)</f>
        <v>2852.5673385427</v>
      </c>
      <c r="AW199" s="88" t="n">
        <f aca="false">AV199-AV198</f>
        <v>17.588906517949</v>
      </c>
      <c r="AX199" s="88" t="n">
        <f aca="false">IF(B199=2026,INDEX($C$10:$Q$10,1,B199-2025)*$AO$4*C199/MAX(0.0001,12-$AO$3),INDEX($C$10:$Q$10,1,B199-2025)/12)</f>
        <v>2.04022398545332</v>
      </c>
      <c r="AY199" s="88" t="n">
        <f aca="false">$AO$6*0</f>
        <v>0</v>
      </c>
      <c r="AZ199" s="88" t="n">
        <f aca="false">AX199+AZ198</f>
        <v>540.834173413721</v>
      </c>
      <c r="BA199" s="88" t="n">
        <f aca="false">AY199+BA198</f>
        <v>50</v>
      </c>
      <c r="BB199" s="88" t="n">
        <f aca="false">MAX(BB198,AZ199-BA199)</f>
        <v>490.834173413721</v>
      </c>
      <c r="BC199" s="88" t="n">
        <f aca="false">BB199-BB198</f>
        <v>2.04022398545328</v>
      </c>
      <c r="BD199" s="88" t="n">
        <f aca="false">IF(B199=2026,INDEX($C$11:$Q$11,1,B199-2025)*$AO$4*C199/MAX(0.0001,12-$AO$3),INDEX($C$11:$Q$11,1,B199-2025)/12)</f>
        <v>10.1387004871522</v>
      </c>
      <c r="BE199" s="88" t="n">
        <f aca="false">$AO$6*0</f>
        <v>0</v>
      </c>
      <c r="BF199" s="88" t="n">
        <f aca="false">BD199+BF198</f>
        <v>2687.62436700787</v>
      </c>
      <c r="BG199" s="88" t="n">
        <f aca="false">BE199+BG198</f>
        <v>240</v>
      </c>
      <c r="BH199" s="88" t="n">
        <f aca="false">MAX(BH198,BF199-BG199)</f>
        <v>2447.62436700787</v>
      </c>
      <c r="BI199" s="88" t="n">
        <f aca="false">BH199-BH198</f>
        <v>10.1387004871522</v>
      </c>
      <c r="BJ199" s="88" t="n">
        <f aca="false">IF(B199=2026,INDEX($C$12:$Q$12,1,B199-2025)*$AO$4*C199/MAX(0.0001,12-$AO$3),INDEX($C$12:$Q$12,1,B199-2025)/12)</f>
        <v>5.55889699533041</v>
      </c>
      <c r="BK199" s="88" t="n">
        <f aca="false">$AO$6*0</f>
        <v>0</v>
      </c>
      <c r="BL199" s="88" t="n">
        <f aca="false">BJ199+BL198</f>
        <v>1473.58401969456</v>
      </c>
      <c r="BM199" s="88" t="n">
        <f aca="false">BK199+BM198</f>
        <v>465</v>
      </c>
      <c r="BN199" s="88" t="n">
        <f aca="false">MAX(BN198,BL199-BM199)</f>
        <v>1008.58401969456</v>
      </c>
      <c r="BO199" s="88" t="n">
        <f aca="false">BN199-BN198</f>
        <v>5.55889699533032</v>
      </c>
      <c r="BP199" s="88" t="n">
        <f aca="false">IF(B199=2026,INDEX($C$13:$Q$13,1,B199-2025)*$AO$4*C199/MAX(0.0001,12-$AO$3),INDEX($C$13:$Q$13,1,B199-2025)/12)</f>
        <v>1.73714121342165</v>
      </c>
      <c r="BQ199" s="88" t="n">
        <f aca="false">$AO$6*0</f>
        <v>0</v>
      </c>
      <c r="BR199" s="88" t="n">
        <f aca="false">BP199+BR198</f>
        <v>460.491269077526</v>
      </c>
      <c r="BS199" s="88" t="n">
        <f aca="false">BQ199+BS198</f>
        <v>87</v>
      </c>
      <c r="BT199" s="88" t="n">
        <f aca="false">MAX(BT198,BR199-BS199)</f>
        <v>373.491269077526</v>
      </c>
      <c r="BU199" s="88" t="n">
        <f aca="false">BT199-BT198</f>
        <v>1.73714121342164</v>
      </c>
      <c r="BV199" s="88" t="n">
        <f aca="false">IF(B199=2026,INDEX($C$14:$Q$14,1,B199-2025)*$AO$4*C199/MAX(0.0001,12-$AO$3),INDEX($C$14:$Q$14,1,B199-2025)/12)</f>
        <v>1.0303044438225</v>
      </c>
      <c r="BW199" s="88" t="n">
        <f aca="false">$AO$6*0</f>
        <v>0</v>
      </c>
      <c r="BX199" s="88" t="n">
        <f aca="false">BV199+BX198</f>
        <v>273.11895959081</v>
      </c>
      <c r="BY199" s="88" t="n">
        <f aca="false">BW199+BY198</f>
        <v>0</v>
      </c>
      <c r="BZ199" s="88" t="n">
        <f aca="false">MAX(BZ198,BX199-BY199)</f>
        <v>273.11895959081</v>
      </c>
      <c r="CA199" s="88" t="n">
        <f aca="false">BZ199-BZ198</f>
        <v>1.0303044438225</v>
      </c>
      <c r="CB199" s="88" t="n">
        <f aca="false">IF(B199=2026,INDEX($C$15:$Q$15,1,B199-2025)*$AO$4*C199/MAX(0.0001,12-$AO$3),INDEX($C$15:$Q$15,1,B199-2025)/12)</f>
        <v>1.68922007649967</v>
      </c>
      <c r="CC199" s="88" t="n">
        <f aca="false">$AO$6*0</f>
        <v>0</v>
      </c>
      <c r="CD199" s="88" t="n">
        <f aca="false">CB199+CD198</f>
        <v>447.788061654698</v>
      </c>
      <c r="CE199" s="88" t="n">
        <f aca="false">CC199+CE198</f>
        <v>88.0000000000001</v>
      </c>
      <c r="CF199" s="88" t="n">
        <f aca="false">MAX(CF198,CD199-CE199)</f>
        <v>359.788061654698</v>
      </c>
      <c r="CG199" s="88" t="n">
        <f aca="false">CF199-CF198</f>
        <v>1.68922007649968</v>
      </c>
      <c r="CH199" s="88" t="n">
        <f aca="false">IF(B199=2026,INDEX($C$16:$Q$16,1,B199-2025)*$AO$4*C199/MAX(0.0001,12-$AO$3),INDEX($C$16:$Q$16,1,B199-2025)/12)</f>
        <v>1.3358016917001</v>
      </c>
      <c r="CI199" s="88" t="n">
        <f aca="false">$AO$6*0</f>
        <v>0</v>
      </c>
      <c r="CJ199" s="88" t="n">
        <f aca="false">CH199+CJ198</f>
        <v>354.101906911339</v>
      </c>
      <c r="CK199" s="88" t="n">
        <f aca="false">CI199+CK198</f>
        <v>70</v>
      </c>
      <c r="CL199" s="88" t="n">
        <f aca="false">MAX(CL198,CJ199-CK199)</f>
        <v>284.101906911339</v>
      </c>
      <c r="CM199" s="88" t="n">
        <f aca="false">CL199-CL198</f>
        <v>1.33580169170011</v>
      </c>
      <c r="CN199" s="88" t="n">
        <f aca="false">IF(B199=2026,INDEX($C$17:$Q$17,1,B199-2025)*$AO$4*C199/MAX(0.0001,12-$AO$3),INDEX($C$17:$Q$17,1,B199-2025)/12)</f>
        <v>5.81642799390491</v>
      </c>
      <c r="CO199" s="88" t="n">
        <f aca="false">$AO$6*0</f>
        <v>0</v>
      </c>
      <c r="CP199" s="88" t="n">
        <f aca="false">CN199+CP198</f>
        <v>1541.85180094579</v>
      </c>
      <c r="CQ199" s="88" t="n">
        <f aca="false">CO199+CQ198</f>
        <v>221</v>
      </c>
      <c r="CR199" s="88" t="n">
        <f aca="false">MAX(CR198,CP199-CQ199)</f>
        <v>1320.85180094579</v>
      </c>
      <c r="CS199" s="88" t="n">
        <f aca="false">CR199-CR198</f>
        <v>5.81642799390488</v>
      </c>
      <c r="CT199" s="88" t="n">
        <f aca="false">IF(B199=2026,INDEX($C$18:$Q$18,1,B199-2025)*$AO$4*C199/MAX(0.0001,12-$AO$3),INDEX($C$18:$Q$18,1,B199-2025)/12)</f>
        <v>1.21000870727991</v>
      </c>
      <c r="CU199" s="88" t="n">
        <f aca="false">$AO$6*0</f>
        <v>0</v>
      </c>
      <c r="CV199" s="88" t="n">
        <f aca="false">CT199+CV198</f>
        <v>320.755987426415</v>
      </c>
      <c r="CW199" s="88" t="n">
        <f aca="false">CU199+CW198</f>
        <v>11</v>
      </c>
      <c r="CX199" s="88" t="n">
        <f aca="false">MAX(CX198,CV199-CW199)</f>
        <v>309.755987426415</v>
      </c>
      <c r="CY199" s="88" t="n">
        <f aca="false">CX199-CX198</f>
        <v>1.21000870727988</v>
      </c>
      <c r="CZ199" s="88" t="n">
        <f aca="false">IF(B199=2026,INDEX($C$19:$Q$19,1,B199-2025)*$AO$4*C199/MAX(0.0001,12-$AO$3),INDEX($C$19:$Q$19,1,B199-2025)/12)</f>
        <v>1.19802842304941</v>
      </c>
      <c r="DA199" s="88" t="n">
        <f aca="false">$AO$6*0</f>
        <v>0</v>
      </c>
      <c r="DB199" s="88" t="n">
        <f aca="false">CZ199+DB198</f>
        <v>317.580185570708</v>
      </c>
      <c r="DC199" s="88" t="n">
        <f aca="false">DA199+DC198</f>
        <v>226</v>
      </c>
      <c r="DD199" s="88" t="n">
        <f aca="false">MAX(DD198,DB199-DC199)</f>
        <v>91.5801855707086</v>
      </c>
      <c r="DE199" s="88" t="n">
        <f aca="false">DD199-DD198</f>
        <v>1.19802842304944</v>
      </c>
      <c r="DF199" s="88" t="n">
        <f aca="false">IF(B199=2026,INDEX($C$20:$Q$20,1,B199-2025)*$AO$4*C199/MAX(0.0001,12-$AO$3),INDEX($C$20:$Q$20,1,B199-2025)/12)</f>
        <v>0.976393164785272</v>
      </c>
      <c r="DG199" s="88" t="n">
        <f aca="false">$AO$6*0</f>
        <v>0</v>
      </c>
      <c r="DH199" s="88" t="n">
        <f aca="false">DF199+DH198</f>
        <v>258.827851240127</v>
      </c>
      <c r="DI199" s="88" t="n">
        <f aca="false">DG199+DI198</f>
        <v>0</v>
      </c>
      <c r="DJ199" s="88" t="n">
        <f aca="false">MAX(DJ198,DH199-DI199)</f>
        <v>258.827851240127</v>
      </c>
      <c r="DK199" s="88" t="n">
        <f aca="false">DJ199-DJ198</f>
        <v>0.976393164785293</v>
      </c>
      <c r="DL199" s="88" t="n">
        <f aca="false">IF(B199=2026,INDEX($C$21:$Q$21,1,B199-2025)*$AO$4*C199/MAX(0.0001,12-$AO$3),INDEX($C$21:$Q$21,1,B199-2025)/12)</f>
        <v>0.682876201138166</v>
      </c>
      <c r="DM199" s="88" t="n">
        <f aca="false">$AO$6*0</f>
        <v>0</v>
      </c>
      <c r="DN199" s="88" t="n">
        <f aca="false">DL199+DN198</f>
        <v>181.020705775303</v>
      </c>
      <c r="DO199" s="88" t="n">
        <f aca="false">DM199+DO198</f>
        <v>100</v>
      </c>
      <c r="DP199" s="88" t="n">
        <f aca="false">MAX(DP198,DN199-DO199)</f>
        <v>81.0207057753034</v>
      </c>
      <c r="DQ199" s="88" t="n">
        <f aca="false">DP199-DP198</f>
        <v>0.682876201138157</v>
      </c>
      <c r="DR199" s="88" t="n">
        <f aca="false">IF(B199=2026,INDEX($C$22:$Q$22,1,B199-2025)*$AO$4*C199/MAX(0.0001,12-$AO$3),INDEX($C$22:$Q$22,1,B199-2025)/12)</f>
        <v>0.533122648256989</v>
      </c>
      <c r="DS199" s="88" t="n">
        <f aca="false">$AO$6*0</f>
        <v>0</v>
      </c>
      <c r="DT199" s="88" t="n">
        <f aca="false">DR199+DT198</f>
        <v>141.323182578965</v>
      </c>
      <c r="DU199" s="88" t="n">
        <f aca="false">DS199+DU198</f>
        <v>29</v>
      </c>
      <c r="DV199" s="88" t="n">
        <f aca="false">MAX(DV198,DT199-DU199)</f>
        <v>112.323182578965</v>
      </c>
      <c r="DW199" s="88" t="n">
        <f aca="false">DV199-DV198</f>
        <v>0.533122648256978</v>
      </c>
      <c r="DX199" s="88" t="n">
        <f aca="false">IF(B199=2026,INDEX($C$23:$Q$23,1,B199-2025)*$AO$4*C199/MAX(0.0001,12-$AO$3),INDEX($C$23:$Q$23,1,B199-2025)/12)</f>
        <v>0.856590322480331</v>
      </c>
      <c r="DY199" s="88" t="n">
        <f aca="false">$AO$6*0</f>
        <v>0</v>
      </c>
      <c r="DZ199" s="88" t="n">
        <f aca="false">DX199+DZ198</f>
        <v>227.069832683057</v>
      </c>
      <c r="EA199" s="88" t="n">
        <f aca="false">DY199+EA198</f>
        <v>121</v>
      </c>
      <c r="EB199" s="88" t="n">
        <f aca="false">MAX(EB198,DZ199-EA199)</f>
        <v>106.069832683057</v>
      </c>
      <c r="EC199" s="88" t="n">
        <f aca="false">EB199-EB198</f>
        <v>0.856590322480344</v>
      </c>
      <c r="ED199" s="88" t="n">
        <f aca="false">IF(B199=2026,INDEX($C$24:$Q$24,1,B199-2025)*$AO$4*C199/MAX(0.0001,12-$AO$3),INDEX($C$24:$Q$24,1,B199-2025)/12)</f>
        <v>0.527132506141742</v>
      </c>
      <c r="EE199" s="88" t="n">
        <f aca="false">$AO$6*0</f>
        <v>0</v>
      </c>
      <c r="EF199" s="88" t="n">
        <f aca="false">ED199+EF198</f>
        <v>139.735281651111</v>
      </c>
      <c r="EG199" s="88" t="n">
        <f aca="false">EE199+EG198</f>
        <v>0</v>
      </c>
      <c r="EH199" s="88" t="n">
        <f aca="false">MAX(EH198,EF199-EG199)</f>
        <v>139.735281651111</v>
      </c>
      <c r="EI199" s="88" t="n">
        <f aca="false">EH199-EH198</f>
        <v>0.527132506141754</v>
      </c>
      <c r="EJ199" s="88" t="n">
        <f aca="false">IF(B199=2026,INDEX($C$25:$Q$25,1,B199-2025)*$AO$4*C199/MAX(0.0001,12-$AO$3),INDEX($C$25:$Q$25,1,B199-2025)/12)</f>
        <v>0.670895916907672</v>
      </c>
      <c r="EK199" s="88" t="n">
        <f aca="false">$AO$6*0</f>
        <v>0</v>
      </c>
      <c r="EL199" s="88" t="n">
        <f aca="false">EJ199+EL198</f>
        <v>177.844903919597</v>
      </c>
      <c r="EM199" s="88" t="n">
        <f aca="false">EK199+EM198</f>
        <v>14</v>
      </c>
      <c r="EN199" s="88" t="n">
        <f aca="false">MAX(EN198,EL199-EM199)</f>
        <v>163.844903919597</v>
      </c>
      <c r="EO199" s="88" t="n">
        <f aca="false">EN199-EN198</f>
        <v>0.670895916907682</v>
      </c>
      <c r="EP199" s="88" t="n">
        <f aca="false">IF(B199=2026,INDEX($C$26:$Q$26,1,B199-2025)*$AO$4*C199/MAX(0.0001,12-$AO$3),INDEX($C$26:$Q$26,1,B199-2025)/12)</f>
        <v>0.964412880554778</v>
      </c>
      <c r="EQ199" s="88" t="n">
        <f aca="false">$AO$6*0</f>
        <v>0</v>
      </c>
      <c r="ER199" s="88" t="n">
        <f aca="false">EP199+ER198</f>
        <v>255.652049384419</v>
      </c>
      <c r="ES199" s="88" t="n">
        <f aca="false">EQ199+ES198</f>
        <v>4</v>
      </c>
      <c r="ET199" s="88" t="n">
        <f aca="false">MAX(ET198,ER199-ES199)</f>
        <v>251.652049384419</v>
      </c>
      <c r="EU199" s="88" t="n">
        <f aca="false">ET199-ET198</f>
        <v>0.964412880554789</v>
      </c>
      <c r="EV199" s="88" t="n">
        <f aca="false">IF(B199=2026,INDEX($C$27:$Q$27,1,B199-2025)*$AO$4*C199/MAX(0.0001,12-$AO$3),INDEX($C$27:$Q$27,1,B199-2025)/12)</f>
        <v>2.39605684609883</v>
      </c>
      <c r="EW199" s="88" t="n">
        <f aca="false">$AO$6*0</f>
        <v>0</v>
      </c>
      <c r="EX199" s="88" t="n">
        <f aca="false">EV199+EX198</f>
        <v>635.160371141417</v>
      </c>
      <c r="EY199" s="88" t="n">
        <f aca="false">EW199+EY198</f>
        <v>391</v>
      </c>
      <c r="EZ199" s="88" t="n">
        <f aca="false">MAX(EZ198,EX199-EY199)</f>
        <v>244.160371141417</v>
      </c>
      <c r="FA199" s="88" t="n">
        <f aca="false">EZ199-EZ198</f>
        <v>2.39605684609887</v>
      </c>
      <c r="FB199" s="88" t="n">
        <f aca="false">IF(B199=2026,INDEX($C$28:$Q$28,1,B199-2025)*$AO$4*C199/MAX(0.0001,12-$AO$3),INDEX($C$28:$Q$28,1,B199-2025)/12)</f>
        <v>12.5433575893274</v>
      </c>
      <c r="FC199" s="88" t="n">
        <f aca="false">$AO$6*0</f>
        <v>0</v>
      </c>
      <c r="FD199" s="88" t="n">
        <f aca="false">FB199+FD198</f>
        <v>3325.06454292532</v>
      </c>
      <c r="FE199" s="88" t="n">
        <f aca="false">FC199+FE198</f>
        <v>169</v>
      </c>
      <c r="FF199" s="88" t="n">
        <f aca="false">MAX(FF198,FD199-FE199)</f>
        <v>3156.06454292532</v>
      </c>
      <c r="FG199" s="88" t="n">
        <f aca="false">FF199-FF198</f>
        <v>12.5433575893276</v>
      </c>
    </row>
    <row r="200" customFormat="false" ht="15" hidden="false" customHeight="false" outlineLevel="0" collapsed="false">
      <c r="A200" s="0" t="n">
        <v>160</v>
      </c>
      <c r="B200" s="88" t="n">
        <f aca="false">2026+INT(A200/12)</f>
        <v>2039</v>
      </c>
      <c r="C200" s="88" t="n">
        <f aca="false">MAX(0,MIN(1,A200+1-$AO$3))</f>
        <v>1</v>
      </c>
      <c r="D200" s="88" t="n">
        <f aca="false">IF((A200+0.5-(0))&lt;$AO$3,0,2026+INT((A200+0.5-(0))/12))</f>
        <v>2039</v>
      </c>
      <c r="E200" s="88" t="n">
        <f aca="false">IF((A200+0.5-($AO$9))&lt;$AO$3,0,2026+INT((A200+0.5-($AO$9))/12))</f>
        <v>2038</v>
      </c>
      <c r="F200" s="88" t="n">
        <f aca="false">IF((A200+0.5-($AO$9+$AO$8))&lt;$AO$3,0,2026+INT((A200+0.5-($AO$9+$AO$8))/12))</f>
        <v>2036</v>
      </c>
      <c r="G200" s="88" t="n">
        <f aca="false">IF((A200+0.5-($AO$9+$AO$8+$AO$7))&lt;$AO$3,0,2026+INT((A200+0.5-($AO$9+$AO$8+$AO$7))/12))</f>
        <v>2036</v>
      </c>
      <c r="H200" s="88" t="n">
        <f aca="false">IF(B200=2026,INDEX($C$3:$Q$3,1,B200-2025)*$AO$4*C200/MAX(0.0001,12-$AO$3),INDEX($C$3:$Q$3,1,B200-2025)/12)</f>
        <v>128.416666666667</v>
      </c>
      <c r="I200" s="88" t="n">
        <f aca="false">$AO$6*0</f>
        <v>0</v>
      </c>
      <c r="J200" s="88" t="n">
        <f aca="false">H200+J199</f>
        <v>34169.8367579909</v>
      </c>
      <c r="K200" s="88" t="n">
        <f aca="false">I200+K199</f>
        <v>8695.00000000001</v>
      </c>
      <c r="L200" s="88" t="n">
        <f aca="false">MAX(L199,J200-K200)</f>
        <v>25474.8367579909</v>
      </c>
      <c r="M200" s="88" t="n">
        <f aca="false">L200-L199</f>
        <v>128.416666666664</v>
      </c>
      <c r="N200" s="88" t="n">
        <f aca="false">IF(B200=2026,INDEX($C$4:$Q$4,1,B200-2025)*$AO$4*C200/MAX(0.0001,12-$AO$3),INDEX($C$4:$Q$4,1,B200-2025)/12)</f>
        <v>3.89318965056346</v>
      </c>
      <c r="O200" s="88" t="n">
        <f aca="false">$AO$6*0</f>
        <v>0</v>
      </c>
      <c r="P200" s="88" t="n">
        <f aca="false">N200+P199</f>
        <v>1035.9220362958</v>
      </c>
      <c r="Q200" s="88" t="n">
        <f aca="false">O200+Q199</f>
        <v>398</v>
      </c>
      <c r="R200" s="88" t="n">
        <f aca="false">MAX(R199,P200-Q200)</f>
        <v>637.922036295804</v>
      </c>
      <c r="S200" s="88" t="n">
        <f aca="false">R200-R199</f>
        <v>3.8931896505635</v>
      </c>
      <c r="T200" s="88" t="n">
        <f aca="false">IF(B200=2026,INDEX($C$5:$Q$5,1,B200-2025)*$AO$4*C200/MAX(0.0001,12-$AO$3),INDEX($C$5:$Q$5,1,B200-2025)/12)</f>
        <v>15.8233280689987</v>
      </c>
      <c r="U200" s="88" t="n">
        <f aca="false">$AO$6*0</f>
        <v>0</v>
      </c>
      <c r="V200" s="88" t="n">
        <f aca="false">T200+V199</f>
        <v>4210.36109346518</v>
      </c>
      <c r="W200" s="88" t="n">
        <f aca="false">U200+W199</f>
        <v>1115</v>
      </c>
      <c r="X200" s="88" t="n">
        <f aca="false">MAX(X199,V200-W200)</f>
        <v>3095.36109346518</v>
      </c>
      <c r="Y200" s="88" t="n">
        <f aca="false">X200-X199</f>
        <v>15.8233280689983</v>
      </c>
      <c r="Z200" s="88" t="n">
        <f aca="false">IF(B200=2026,INDEX($C$6:$Q$6,1,B200-2025)*$AO$4*C200/MAX(0.0001,12-$AO$3),INDEX($C$6:$Q$6,1,B200-2025)/12)</f>
        <v>18.7730924675475</v>
      </c>
      <c r="AA200" s="88" t="n">
        <f aca="false">$AO$6*0</f>
        <v>0</v>
      </c>
      <c r="AB200" s="88" t="n">
        <f aca="false">Z200+AB199</f>
        <v>4995.25117501961</v>
      </c>
      <c r="AC200" s="88" t="n">
        <f aca="false">AA200+AC199</f>
        <v>2194</v>
      </c>
      <c r="AD200" s="88" t="n">
        <f aca="false">MAX(AD199,AB200-AC200)</f>
        <v>2801.2511750196</v>
      </c>
      <c r="AE200" s="88" t="n">
        <f aca="false">AD200-AD199</f>
        <v>18.7730924675479</v>
      </c>
      <c r="AF200" s="88" t="n">
        <f aca="false">IF(B200=2026,INDEX($C$7:$Q$7,1,B200-2025)*$AO$4*C200/MAX(0.0001,12-$AO$3),INDEX($C$7:$Q$7,1,B200-2025)/12)</f>
        <v>16.307524583029</v>
      </c>
      <c r="AG200" s="88" t="n">
        <f aca="false">$AO$6*0</f>
        <v>0</v>
      </c>
      <c r="AH200" s="88" t="n">
        <f aca="false">AF200+AH199</f>
        <v>4339.19885473605</v>
      </c>
      <c r="AI200" s="88" t="n">
        <f aca="false">AG200+AI199</f>
        <v>826</v>
      </c>
      <c r="AJ200" s="88" t="n">
        <f aca="false">MAX(AJ199,AH200-AI200)</f>
        <v>3513.19885473605</v>
      </c>
      <c r="AK200" s="88" t="n">
        <f aca="false">AJ200-AJ199</f>
        <v>16.3075245830287</v>
      </c>
      <c r="AL200" s="88" t="n">
        <f aca="false">IF(B200=2026,INDEX($C$8:$Q$8,1,B200-2025)*$AO$4*C200/MAX(0.0001,12-$AO$3),INDEX($C$8:$Q$8,1,B200-2025)/12)</f>
        <v>4.12503328527406</v>
      </c>
      <c r="AM200" s="88" t="n">
        <f aca="false">$AO$6*0</f>
        <v>0</v>
      </c>
      <c r="AN200" s="88" t="n">
        <f aca="false">AL200+AN199</f>
        <v>1097.61230872753</v>
      </c>
      <c r="AO200" s="88" t="n">
        <f aca="false">AM200+AO199</f>
        <v>66</v>
      </c>
      <c r="AP200" s="88" t="n">
        <f aca="false">MAX(AP199,AN200-AO200)</f>
        <v>1031.61230872753</v>
      </c>
      <c r="AQ200" s="88" t="n">
        <f aca="false">AP200-AP199</f>
        <v>4.12503328527396</v>
      </c>
      <c r="AR200" s="88" t="n">
        <f aca="false">IF(B200=2026,INDEX($C$9:$Q$9,1,B200-2025)*$AO$4*C200/MAX(0.0001,12-$AO$3),INDEX($C$9:$Q$9,1,B200-2025)/12)</f>
        <v>17.5889065179488</v>
      </c>
      <c r="AS200" s="88" t="n">
        <f aca="false">$AO$6*0</f>
        <v>0</v>
      </c>
      <c r="AT200" s="88" t="n">
        <f aca="false">AR200+AT199</f>
        <v>4680.15624506065</v>
      </c>
      <c r="AU200" s="88" t="n">
        <f aca="false">AS200+AU199</f>
        <v>1810</v>
      </c>
      <c r="AV200" s="88" t="n">
        <f aca="false">MAX(AV199,AT200-AU200)</f>
        <v>2870.15624506065</v>
      </c>
      <c r="AW200" s="88" t="n">
        <f aca="false">AV200-AV199</f>
        <v>17.588906517949</v>
      </c>
      <c r="AX200" s="88" t="n">
        <f aca="false">IF(B200=2026,INDEX($C$10:$Q$10,1,B200-2025)*$AO$4*C200/MAX(0.0001,12-$AO$3),INDEX($C$10:$Q$10,1,B200-2025)/12)</f>
        <v>2.04022398545332</v>
      </c>
      <c r="AY200" s="88" t="n">
        <f aca="false">$AO$6*0</f>
        <v>0</v>
      </c>
      <c r="AZ200" s="88" t="n">
        <f aca="false">AX200+AZ199</f>
        <v>542.874397399174</v>
      </c>
      <c r="BA200" s="88" t="n">
        <f aca="false">AY200+BA199</f>
        <v>50</v>
      </c>
      <c r="BB200" s="88" t="n">
        <f aca="false">MAX(BB199,AZ200-BA200)</f>
        <v>492.874397399174</v>
      </c>
      <c r="BC200" s="88" t="n">
        <f aca="false">BB200-BB199</f>
        <v>2.04022398545328</v>
      </c>
      <c r="BD200" s="88" t="n">
        <f aca="false">IF(B200=2026,INDEX($C$11:$Q$11,1,B200-2025)*$AO$4*C200/MAX(0.0001,12-$AO$3),INDEX($C$11:$Q$11,1,B200-2025)/12)</f>
        <v>10.1387004871522</v>
      </c>
      <c r="BE200" s="88" t="n">
        <f aca="false">$AO$6*0</f>
        <v>0</v>
      </c>
      <c r="BF200" s="88" t="n">
        <f aca="false">BD200+BF199</f>
        <v>2697.76306749502</v>
      </c>
      <c r="BG200" s="88" t="n">
        <f aca="false">BE200+BG199</f>
        <v>240</v>
      </c>
      <c r="BH200" s="88" t="n">
        <f aca="false">MAX(BH199,BF200-BG200)</f>
        <v>2457.76306749502</v>
      </c>
      <c r="BI200" s="88" t="n">
        <f aca="false">BH200-BH199</f>
        <v>10.1387004871522</v>
      </c>
      <c r="BJ200" s="88" t="n">
        <f aca="false">IF(B200=2026,INDEX($C$12:$Q$12,1,B200-2025)*$AO$4*C200/MAX(0.0001,12-$AO$3),INDEX($C$12:$Q$12,1,B200-2025)/12)</f>
        <v>5.55889699533041</v>
      </c>
      <c r="BK200" s="88" t="n">
        <f aca="false">$AO$6*0</f>
        <v>0</v>
      </c>
      <c r="BL200" s="88" t="n">
        <f aca="false">BJ200+BL199</f>
        <v>1479.14291668989</v>
      </c>
      <c r="BM200" s="88" t="n">
        <f aca="false">BK200+BM199</f>
        <v>465</v>
      </c>
      <c r="BN200" s="88" t="n">
        <f aca="false">MAX(BN199,BL200-BM200)</f>
        <v>1014.14291668989</v>
      </c>
      <c r="BO200" s="88" t="n">
        <f aca="false">BN200-BN199</f>
        <v>5.55889699533032</v>
      </c>
      <c r="BP200" s="88" t="n">
        <f aca="false">IF(B200=2026,INDEX($C$13:$Q$13,1,B200-2025)*$AO$4*C200/MAX(0.0001,12-$AO$3),INDEX($C$13:$Q$13,1,B200-2025)/12)</f>
        <v>1.73714121342165</v>
      </c>
      <c r="BQ200" s="88" t="n">
        <f aca="false">$AO$6*0</f>
        <v>0</v>
      </c>
      <c r="BR200" s="88" t="n">
        <f aca="false">BP200+BR199</f>
        <v>462.228410290948</v>
      </c>
      <c r="BS200" s="88" t="n">
        <f aca="false">BQ200+BS199</f>
        <v>87</v>
      </c>
      <c r="BT200" s="88" t="n">
        <f aca="false">MAX(BT199,BR200-BS200)</f>
        <v>375.228410290948</v>
      </c>
      <c r="BU200" s="88" t="n">
        <f aca="false">BT200-BT199</f>
        <v>1.73714121342164</v>
      </c>
      <c r="BV200" s="88" t="n">
        <f aca="false">IF(B200=2026,INDEX($C$14:$Q$14,1,B200-2025)*$AO$4*C200/MAX(0.0001,12-$AO$3),INDEX($C$14:$Q$14,1,B200-2025)/12)</f>
        <v>1.0303044438225</v>
      </c>
      <c r="BW200" s="88" t="n">
        <f aca="false">$AO$6*0</f>
        <v>0</v>
      </c>
      <c r="BX200" s="88" t="n">
        <f aca="false">BV200+BX199</f>
        <v>274.149264034632</v>
      </c>
      <c r="BY200" s="88" t="n">
        <f aca="false">BW200+BY199</f>
        <v>0</v>
      </c>
      <c r="BZ200" s="88" t="n">
        <f aca="false">MAX(BZ199,BX200-BY200)</f>
        <v>274.149264034632</v>
      </c>
      <c r="CA200" s="88" t="n">
        <f aca="false">BZ200-BZ199</f>
        <v>1.0303044438225</v>
      </c>
      <c r="CB200" s="88" t="n">
        <f aca="false">IF(B200=2026,INDEX($C$15:$Q$15,1,B200-2025)*$AO$4*C200/MAX(0.0001,12-$AO$3),INDEX($C$15:$Q$15,1,B200-2025)/12)</f>
        <v>1.68922007649967</v>
      </c>
      <c r="CC200" s="88" t="n">
        <f aca="false">$AO$6*0</f>
        <v>0</v>
      </c>
      <c r="CD200" s="88" t="n">
        <f aca="false">CB200+CD199</f>
        <v>449.477281731198</v>
      </c>
      <c r="CE200" s="88" t="n">
        <f aca="false">CC200+CE199</f>
        <v>88.0000000000001</v>
      </c>
      <c r="CF200" s="88" t="n">
        <f aca="false">MAX(CF199,CD200-CE200)</f>
        <v>361.477281731198</v>
      </c>
      <c r="CG200" s="88" t="n">
        <f aca="false">CF200-CF199</f>
        <v>1.68922007649968</v>
      </c>
      <c r="CH200" s="88" t="n">
        <f aca="false">IF(B200=2026,INDEX($C$16:$Q$16,1,B200-2025)*$AO$4*C200/MAX(0.0001,12-$AO$3),INDEX($C$16:$Q$16,1,B200-2025)/12)</f>
        <v>1.3358016917001</v>
      </c>
      <c r="CI200" s="88" t="n">
        <f aca="false">$AO$6*0</f>
        <v>0</v>
      </c>
      <c r="CJ200" s="88" t="n">
        <f aca="false">CH200+CJ199</f>
        <v>355.437708603039</v>
      </c>
      <c r="CK200" s="88" t="n">
        <f aca="false">CI200+CK199</f>
        <v>70</v>
      </c>
      <c r="CL200" s="88" t="n">
        <f aca="false">MAX(CL199,CJ200-CK200)</f>
        <v>285.437708603039</v>
      </c>
      <c r="CM200" s="88" t="n">
        <f aca="false">CL200-CL199</f>
        <v>1.33580169170011</v>
      </c>
      <c r="CN200" s="88" t="n">
        <f aca="false">IF(B200=2026,INDEX($C$17:$Q$17,1,B200-2025)*$AO$4*C200/MAX(0.0001,12-$AO$3),INDEX($C$17:$Q$17,1,B200-2025)/12)</f>
        <v>5.81642799390491</v>
      </c>
      <c r="CO200" s="88" t="n">
        <f aca="false">$AO$6*0</f>
        <v>0</v>
      </c>
      <c r="CP200" s="88" t="n">
        <f aca="false">CN200+CP199</f>
        <v>1547.6682289397</v>
      </c>
      <c r="CQ200" s="88" t="n">
        <f aca="false">CO200+CQ199</f>
        <v>221</v>
      </c>
      <c r="CR200" s="88" t="n">
        <f aca="false">MAX(CR199,CP200-CQ200)</f>
        <v>1326.6682289397</v>
      </c>
      <c r="CS200" s="88" t="n">
        <f aca="false">CR200-CR199</f>
        <v>5.81642799390488</v>
      </c>
      <c r="CT200" s="88" t="n">
        <f aca="false">IF(B200=2026,INDEX($C$18:$Q$18,1,B200-2025)*$AO$4*C200/MAX(0.0001,12-$AO$3),INDEX($C$18:$Q$18,1,B200-2025)/12)</f>
        <v>1.21000870727991</v>
      </c>
      <c r="CU200" s="88" t="n">
        <f aca="false">$AO$6*0</f>
        <v>0</v>
      </c>
      <c r="CV200" s="88" t="n">
        <f aca="false">CT200+CV199</f>
        <v>321.965996133695</v>
      </c>
      <c r="CW200" s="88" t="n">
        <f aca="false">CU200+CW199</f>
        <v>11</v>
      </c>
      <c r="CX200" s="88" t="n">
        <f aca="false">MAX(CX199,CV200-CW200)</f>
        <v>310.965996133695</v>
      </c>
      <c r="CY200" s="88" t="n">
        <f aca="false">CX200-CX199</f>
        <v>1.21000870727988</v>
      </c>
      <c r="CZ200" s="88" t="n">
        <f aca="false">IF(B200=2026,INDEX($C$19:$Q$19,1,B200-2025)*$AO$4*C200/MAX(0.0001,12-$AO$3),INDEX($C$19:$Q$19,1,B200-2025)/12)</f>
        <v>1.19802842304941</v>
      </c>
      <c r="DA200" s="88" t="n">
        <f aca="false">$AO$6*0</f>
        <v>0</v>
      </c>
      <c r="DB200" s="88" t="n">
        <f aca="false">CZ200+DB199</f>
        <v>318.778213993758</v>
      </c>
      <c r="DC200" s="88" t="n">
        <f aca="false">DA200+DC199</f>
        <v>226</v>
      </c>
      <c r="DD200" s="88" t="n">
        <f aca="false">MAX(DD199,DB200-DC200)</f>
        <v>92.778213993758</v>
      </c>
      <c r="DE200" s="88" t="n">
        <f aca="false">DD200-DD199</f>
        <v>1.19802842304944</v>
      </c>
      <c r="DF200" s="88" t="n">
        <f aca="false">IF(B200=2026,INDEX($C$20:$Q$20,1,B200-2025)*$AO$4*C200/MAX(0.0001,12-$AO$3),INDEX($C$20:$Q$20,1,B200-2025)/12)</f>
        <v>0.976393164785272</v>
      </c>
      <c r="DG200" s="88" t="n">
        <f aca="false">$AO$6*0</f>
        <v>0</v>
      </c>
      <c r="DH200" s="88" t="n">
        <f aca="false">DF200+DH199</f>
        <v>259.804244404913</v>
      </c>
      <c r="DI200" s="88" t="n">
        <f aca="false">DG200+DI199</f>
        <v>0</v>
      </c>
      <c r="DJ200" s="88" t="n">
        <f aca="false">MAX(DJ199,DH200-DI200)</f>
        <v>259.804244404913</v>
      </c>
      <c r="DK200" s="88" t="n">
        <f aca="false">DJ200-DJ199</f>
        <v>0.976393164785293</v>
      </c>
      <c r="DL200" s="88" t="n">
        <f aca="false">IF(B200=2026,INDEX($C$21:$Q$21,1,B200-2025)*$AO$4*C200/MAX(0.0001,12-$AO$3),INDEX($C$21:$Q$21,1,B200-2025)/12)</f>
        <v>0.682876201138166</v>
      </c>
      <c r="DM200" s="88" t="n">
        <f aca="false">$AO$6*0</f>
        <v>0</v>
      </c>
      <c r="DN200" s="88" t="n">
        <f aca="false">DL200+DN199</f>
        <v>181.703581976442</v>
      </c>
      <c r="DO200" s="88" t="n">
        <f aca="false">DM200+DO199</f>
        <v>100</v>
      </c>
      <c r="DP200" s="88" t="n">
        <f aca="false">MAX(DP199,DN200-DO200)</f>
        <v>81.7035819764416</v>
      </c>
      <c r="DQ200" s="88" t="n">
        <f aca="false">DP200-DP199</f>
        <v>0.682876201138157</v>
      </c>
      <c r="DR200" s="88" t="n">
        <f aca="false">IF(B200=2026,INDEX($C$22:$Q$22,1,B200-2025)*$AO$4*C200/MAX(0.0001,12-$AO$3),INDEX($C$22:$Q$22,1,B200-2025)/12)</f>
        <v>0.533122648256989</v>
      </c>
      <c r="DS200" s="88" t="n">
        <f aca="false">$AO$6*0</f>
        <v>0</v>
      </c>
      <c r="DT200" s="88" t="n">
        <f aca="false">DR200+DT199</f>
        <v>141.856305227222</v>
      </c>
      <c r="DU200" s="88" t="n">
        <f aca="false">DS200+DU199</f>
        <v>29</v>
      </c>
      <c r="DV200" s="88" t="n">
        <f aca="false">MAX(DV199,DT200-DU200)</f>
        <v>112.856305227222</v>
      </c>
      <c r="DW200" s="88" t="n">
        <f aca="false">DV200-DV199</f>
        <v>0.533122648256978</v>
      </c>
      <c r="DX200" s="88" t="n">
        <f aca="false">IF(B200=2026,INDEX($C$23:$Q$23,1,B200-2025)*$AO$4*C200/MAX(0.0001,12-$AO$3),INDEX($C$23:$Q$23,1,B200-2025)/12)</f>
        <v>0.856590322480331</v>
      </c>
      <c r="DY200" s="88" t="n">
        <f aca="false">$AO$6*0</f>
        <v>0</v>
      </c>
      <c r="DZ200" s="88" t="n">
        <f aca="false">DX200+DZ199</f>
        <v>227.926423005537</v>
      </c>
      <c r="EA200" s="88" t="n">
        <f aca="false">DY200+EA199</f>
        <v>121</v>
      </c>
      <c r="EB200" s="88" t="n">
        <f aca="false">MAX(EB199,DZ200-EA200)</f>
        <v>106.926423005537</v>
      </c>
      <c r="EC200" s="88" t="n">
        <f aca="false">EB200-EB199</f>
        <v>0.856590322480344</v>
      </c>
      <c r="ED200" s="88" t="n">
        <f aca="false">IF(B200=2026,INDEX($C$24:$Q$24,1,B200-2025)*$AO$4*C200/MAX(0.0001,12-$AO$3),INDEX($C$24:$Q$24,1,B200-2025)/12)</f>
        <v>0.527132506141742</v>
      </c>
      <c r="EE200" s="88" t="n">
        <f aca="false">$AO$6*0</f>
        <v>0</v>
      </c>
      <c r="EF200" s="88" t="n">
        <f aca="false">ED200+EF199</f>
        <v>140.262414157253</v>
      </c>
      <c r="EG200" s="88" t="n">
        <f aca="false">EE200+EG199</f>
        <v>0</v>
      </c>
      <c r="EH200" s="88" t="n">
        <f aca="false">MAX(EH199,EF200-EG200)</f>
        <v>140.262414157253</v>
      </c>
      <c r="EI200" s="88" t="n">
        <f aca="false">EH200-EH199</f>
        <v>0.527132506141754</v>
      </c>
      <c r="EJ200" s="88" t="n">
        <f aca="false">IF(B200=2026,INDEX($C$25:$Q$25,1,B200-2025)*$AO$4*C200/MAX(0.0001,12-$AO$3),INDEX($C$25:$Q$25,1,B200-2025)/12)</f>
        <v>0.670895916907672</v>
      </c>
      <c r="EK200" s="88" t="n">
        <f aca="false">$AO$6*0</f>
        <v>0</v>
      </c>
      <c r="EL200" s="88" t="n">
        <f aca="false">EJ200+EL199</f>
        <v>178.515799836504</v>
      </c>
      <c r="EM200" s="88" t="n">
        <f aca="false">EK200+EM199</f>
        <v>14</v>
      </c>
      <c r="EN200" s="88" t="n">
        <f aca="false">MAX(EN199,EL200-EM200)</f>
        <v>164.515799836504</v>
      </c>
      <c r="EO200" s="88" t="n">
        <f aca="false">EN200-EN199</f>
        <v>0.670895916907682</v>
      </c>
      <c r="EP200" s="88" t="n">
        <f aca="false">IF(B200=2026,INDEX($C$26:$Q$26,1,B200-2025)*$AO$4*C200/MAX(0.0001,12-$AO$3),INDEX($C$26:$Q$26,1,B200-2025)/12)</f>
        <v>0.964412880554778</v>
      </c>
      <c r="EQ200" s="88" t="n">
        <f aca="false">$AO$6*0</f>
        <v>0</v>
      </c>
      <c r="ER200" s="88" t="n">
        <f aca="false">EP200+ER199</f>
        <v>256.616462264974</v>
      </c>
      <c r="ES200" s="88" t="n">
        <f aca="false">EQ200+ES199</f>
        <v>4</v>
      </c>
      <c r="ET200" s="88" t="n">
        <f aca="false">MAX(ET199,ER200-ES200)</f>
        <v>252.616462264974</v>
      </c>
      <c r="EU200" s="88" t="n">
        <f aca="false">ET200-ET199</f>
        <v>0.964412880554789</v>
      </c>
      <c r="EV200" s="88" t="n">
        <f aca="false">IF(B200=2026,INDEX($C$27:$Q$27,1,B200-2025)*$AO$4*C200/MAX(0.0001,12-$AO$3),INDEX($C$27:$Q$27,1,B200-2025)/12)</f>
        <v>2.39605684609883</v>
      </c>
      <c r="EW200" s="88" t="n">
        <f aca="false">$AO$6*0</f>
        <v>0</v>
      </c>
      <c r="EX200" s="88" t="n">
        <f aca="false">EV200+EX199</f>
        <v>637.556427987516</v>
      </c>
      <c r="EY200" s="88" t="n">
        <f aca="false">EW200+EY199</f>
        <v>391</v>
      </c>
      <c r="EZ200" s="88" t="n">
        <f aca="false">MAX(EZ199,EX200-EY200)</f>
        <v>246.556427987516</v>
      </c>
      <c r="FA200" s="88" t="n">
        <f aca="false">EZ200-EZ199</f>
        <v>2.39605684609887</v>
      </c>
      <c r="FB200" s="88" t="n">
        <f aca="false">IF(B200=2026,INDEX($C$28:$Q$28,1,B200-2025)*$AO$4*C200/MAX(0.0001,12-$AO$3),INDEX($C$28:$Q$28,1,B200-2025)/12)</f>
        <v>12.5433575893274</v>
      </c>
      <c r="FC200" s="88" t="n">
        <f aca="false">$AO$6*0</f>
        <v>0</v>
      </c>
      <c r="FD200" s="88" t="n">
        <f aca="false">FB200+FD199</f>
        <v>3337.60790051464</v>
      </c>
      <c r="FE200" s="88" t="n">
        <f aca="false">FC200+FE199</f>
        <v>169</v>
      </c>
      <c r="FF200" s="88" t="n">
        <f aca="false">MAX(FF199,FD200-FE200)</f>
        <v>3168.60790051464</v>
      </c>
      <c r="FG200" s="88" t="n">
        <f aca="false">FF200-FF199</f>
        <v>12.5433575893276</v>
      </c>
    </row>
    <row r="201" customFormat="false" ht="15" hidden="false" customHeight="false" outlineLevel="0" collapsed="false">
      <c r="A201" s="0" t="n">
        <v>161</v>
      </c>
      <c r="B201" s="88" t="n">
        <f aca="false">2026+INT(A201/12)</f>
        <v>2039</v>
      </c>
      <c r="C201" s="88" t="n">
        <f aca="false">MAX(0,MIN(1,A201+1-$AO$3))</f>
        <v>1</v>
      </c>
      <c r="D201" s="88" t="n">
        <f aca="false">IF((A201+0.5-(0))&lt;$AO$3,0,2026+INT((A201+0.5-(0))/12))</f>
        <v>2039</v>
      </c>
      <c r="E201" s="88" t="n">
        <f aca="false">IF((A201+0.5-($AO$9))&lt;$AO$3,0,2026+INT((A201+0.5-($AO$9))/12))</f>
        <v>2038</v>
      </c>
      <c r="F201" s="88" t="n">
        <f aca="false">IF((A201+0.5-($AO$9+$AO$8))&lt;$AO$3,0,2026+INT((A201+0.5-($AO$9+$AO$8))/12))</f>
        <v>2036</v>
      </c>
      <c r="G201" s="88" t="n">
        <f aca="false">IF((A201+0.5-($AO$9+$AO$8+$AO$7))&lt;$AO$3,0,2026+INT((A201+0.5-($AO$9+$AO$8+$AO$7))/12))</f>
        <v>2036</v>
      </c>
      <c r="H201" s="88" t="n">
        <f aca="false">IF(B201=2026,INDEX($C$3:$Q$3,1,B201-2025)*$AO$4*C201/MAX(0.0001,12-$AO$3),INDEX($C$3:$Q$3,1,B201-2025)/12)</f>
        <v>128.416666666667</v>
      </c>
      <c r="I201" s="88" t="n">
        <f aca="false">$AO$6*0</f>
        <v>0</v>
      </c>
      <c r="J201" s="88" t="n">
        <f aca="false">H201+J200</f>
        <v>34298.2534246576</v>
      </c>
      <c r="K201" s="88" t="n">
        <f aca="false">I201+K200</f>
        <v>8695.00000000001</v>
      </c>
      <c r="L201" s="88" t="n">
        <f aca="false">MAX(L200,J201-K201)</f>
        <v>25603.2534246576</v>
      </c>
      <c r="M201" s="88" t="n">
        <f aca="false">L201-L200</f>
        <v>128.416666666664</v>
      </c>
      <c r="N201" s="88" t="n">
        <f aca="false">IF(B201=2026,INDEX($C$4:$Q$4,1,B201-2025)*$AO$4*C201/MAX(0.0001,12-$AO$3),INDEX($C$4:$Q$4,1,B201-2025)/12)</f>
        <v>3.89318965056346</v>
      </c>
      <c r="O201" s="88" t="n">
        <f aca="false">$AO$6*0</f>
        <v>0</v>
      </c>
      <c r="P201" s="88" t="n">
        <f aca="false">N201+P200</f>
        <v>1039.81522594637</v>
      </c>
      <c r="Q201" s="88" t="n">
        <f aca="false">O201+Q200</f>
        <v>398</v>
      </c>
      <c r="R201" s="88" t="n">
        <f aca="false">MAX(R200,P201-Q201)</f>
        <v>641.815225946368</v>
      </c>
      <c r="S201" s="88" t="n">
        <f aca="false">R201-R200</f>
        <v>3.8931896505635</v>
      </c>
      <c r="T201" s="88" t="n">
        <f aca="false">IF(B201=2026,INDEX($C$5:$Q$5,1,B201-2025)*$AO$4*C201/MAX(0.0001,12-$AO$3),INDEX($C$5:$Q$5,1,B201-2025)/12)</f>
        <v>15.8233280689987</v>
      </c>
      <c r="U201" s="88" t="n">
        <f aca="false">$AO$6*0</f>
        <v>0</v>
      </c>
      <c r="V201" s="88" t="n">
        <f aca="false">T201+V200</f>
        <v>4226.18442153418</v>
      </c>
      <c r="W201" s="88" t="n">
        <f aca="false">U201+W200</f>
        <v>1115</v>
      </c>
      <c r="X201" s="88" t="n">
        <f aca="false">MAX(X200,V201-W201)</f>
        <v>3111.18442153418</v>
      </c>
      <c r="Y201" s="88" t="n">
        <f aca="false">X201-X200</f>
        <v>15.8233280689983</v>
      </c>
      <c r="Z201" s="88" t="n">
        <f aca="false">IF(B201=2026,INDEX($C$6:$Q$6,1,B201-2025)*$AO$4*C201/MAX(0.0001,12-$AO$3),INDEX($C$6:$Q$6,1,B201-2025)/12)</f>
        <v>18.7730924675475</v>
      </c>
      <c r="AA201" s="88" t="n">
        <f aca="false">$AO$6*0</f>
        <v>0</v>
      </c>
      <c r="AB201" s="88" t="n">
        <f aca="false">Z201+AB200</f>
        <v>5014.02426748715</v>
      </c>
      <c r="AC201" s="88" t="n">
        <f aca="false">AA201+AC200</f>
        <v>2194</v>
      </c>
      <c r="AD201" s="88" t="n">
        <f aca="false">MAX(AD200,AB201-AC201)</f>
        <v>2820.02426748715</v>
      </c>
      <c r="AE201" s="88" t="n">
        <f aca="false">AD201-AD200</f>
        <v>18.7730924675479</v>
      </c>
      <c r="AF201" s="88" t="n">
        <f aca="false">IF(B201=2026,INDEX($C$7:$Q$7,1,B201-2025)*$AO$4*C201/MAX(0.0001,12-$AO$3),INDEX($C$7:$Q$7,1,B201-2025)/12)</f>
        <v>16.307524583029</v>
      </c>
      <c r="AG201" s="88" t="n">
        <f aca="false">$AO$6*0</f>
        <v>0</v>
      </c>
      <c r="AH201" s="88" t="n">
        <f aca="false">AF201+AH200</f>
        <v>4355.50637931908</v>
      </c>
      <c r="AI201" s="88" t="n">
        <f aca="false">AG201+AI200</f>
        <v>826</v>
      </c>
      <c r="AJ201" s="88" t="n">
        <f aca="false">MAX(AJ200,AH201-AI201)</f>
        <v>3529.50637931908</v>
      </c>
      <c r="AK201" s="88" t="n">
        <f aca="false">AJ201-AJ200</f>
        <v>16.3075245830287</v>
      </c>
      <c r="AL201" s="88" t="n">
        <f aca="false">IF(B201=2026,INDEX($C$8:$Q$8,1,B201-2025)*$AO$4*C201/MAX(0.0001,12-$AO$3),INDEX($C$8:$Q$8,1,B201-2025)/12)</f>
        <v>4.12503328527406</v>
      </c>
      <c r="AM201" s="88" t="n">
        <f aca="false">$AO$6*0</f>
        <v>0</v>
      </c>
      <c r="AN201" s="88" t="n">
        <f aca="false">AL201+AN200</f>
        <v>1101.7373420128</v>
      </c>
      <c r="AO201" s="88" t="n">
        <f aca="false">AM201+AO200</f>
        <v>66</v>
      </c>
      <c r="AP201" s="88" t="n">
        <f aca="false">MAX(AP200,AN201-AO201)</f>
        <v>1035.7373420128</v>
      </c>
      <c r="AQ201" s="88" t="n">
        <f aca="false">AP201-AP200</f>
        <v>4.12503328527396</v>
      </c>
      <c r="AR201" s="88" t="n">
        <f aca="false">IF(B201=2026,INDEX($C$9:$Q$9,1,B201-2025)*$AO$4*C201/MAX(0.0001,12-$AO$3),INDEX($C$9:$Q$9,1,B201-2025)/12)</f>
        <v>17.5889065179488</v>
      </c>
      <c r="AS201" s="88" t="n">
        <f aca="false">$AO$6*0</f>
        <v>0</v>
      </c>
      <c r="AT201" s="88" t="n">
        <f aca="false">AR201+AT200</f>
        <v>4697.7451515786</v>
      </c>
      <c r="AU201" s="88" t="n">
        <f aca="false">AS201+AU200</f>
        <v>1810</v>
      </c>
      <c r="AV201" s="88" t="n">
        <f aca="false">MAX(AV200,AT201-AU201)</f>
        <v>2887.7451515786</v>
      </c>
      <c r="AW201" s="88" t="n">
        <f aca="false">AV201-AV200</f>
        <v>17.588906517949</v>
      </c>
      <c r="AX201" s="88" t="n">
        <f aca="false">IF(B201=2026,INDEX($C$10:$Q$10,1,B201-2025)*$AO$4*C201/MAX(0.0001,12-$AO$3),INDEX($C$10:$Q$10,1,B201-2025)/12)</f>
        <v>2.04022398545332</v>
      </c>
      <c r="AY201" s="88" t="n">
        <f aca="false">$AO$6*0</f>
        <v>0</v>
      </c>
      <c r="AZ201" s="88" t="n">
        <f aca="false">AX201+AZ200</f>
        <v>544.914621384628</v>
      </c>
      <c r="BA201" s="88" t="n">
        <f aca="false">AY201+BA200</f>
        <v>50</v>
      </c>
      <c r="BB201" s="88" t="n">
        <f aca="false">MAX(BB200,AZ201-BA201)</f>
        <v>494.914621384628</v>
      </c>
      <c r="BC201" s="88" t="n">
        <f aca="false">BB201-BB200</f>
        <v>2.04022398545328</v>
      </c>
      <c r="BD201" s="88" t="n">
        <f aca="false">IF(B201=2026,INDEX($C$11:$Q$11,1,B201-2025)*$AO$4*C201/MAX(0.0001,12-$AO$3),INDEX($C$11:$Q$11,1,B201-2025)/12)</f>
        <v>10.1387004871522</v>
      </c>
      <c r="BE201" s="88" t="n">
        <f aca="false">$AO$6*0</f>
        <v>0</v>
      </c>
      <c r="BF201" s="88" t="n">
        <f aca="false">BD201+BF200</f>
        <v>2707.90176798218</v>
      </c>
      <c r="BG201" s="88" t="n">
        <f aca="false">BE201+BG200</f>
        <v>240</v>
      </c>
      <c r="BH201" s="88" t="n">
        <f aca="false">MAX(BH200,BF201-BG201)</f>
        <v>2467.90176798217</v>
      </c>
      <c r="BI201" s="88" t="n">
        <f aca="false">BH201-BH200</f>
        <v>10.1387004871522</v>
      </c>
      <c r="BJ201" s="88" t="n">
        <f aca="false">IF(B201=2026,INDEX($C$12:$Q$12,1,B201-2025)*$AO$4*C201/MAX(0.0001,12-$AO$3),INDEX($C$12:$Q$12,1,B201-2025)/12)</f>
        <v>5.55889699533041</v>
      </c>
      <c r="BK201" s="88" t="n">
        <f aca="false">$AO$6*0</f>
        <v>0</v>
      </c>
      <c r="BL201" s="88" t="n">
        <f aca="false">BJ201+BL200</f>
        <v>1484.70181368522</v>
      </c>
      <c r="BM201" s="88" t="n">
        <f aca="false">BK201+BM200</f>
        <v>465</v>
      </c>
      <c r="BN201" s="88" t="n">
        <f aca="false">MAX(BN200,BL201-BM201)</f>
        <v>1019.70181368522</v>
      </c>
      <c r="BO201" s="88" t="n">
        <f aca="false">BN201-BN200</f>
        <v>5.55889699533032</v>
      </c>
      <c r="BP201" s="88" t="n">
        <f aca="false">IF(B201=2026,INDEX($C$13:$Q$13,1,B201-2025)*$AO$4*C201/MAX(0.0001,12-$AO$3),INDEX($C$13:$Q$13,1,B201-2025)/12)</f>
        <v>1.73714121342165</v>
      </c>
      <c r="BQ201" s="88" t="n">
        <f aca="false">$AO$6*0</f>
        <v>0</v>
      </c>
      <c r="BR201" s="88" t="n">
        <f aca="false">BP201+BR200</f>
        <v>463.965551504369</v>
      </c>
      <c r="BS201" s="88" t="n">
        <f aca="false">BQ201+BS200</f>
        <v>87</v>
      </c>
      <c r="BT201" s="88" t="n">
        <f aca="false">MAX(BT200,BR201-BS201)</f>
        <v>376.965551504369</v>
      </c>
      <c r="BU201" s="88" t="n">
        <f aca="false">BT201-BT200</f>
        <v>1.73714121342164</v>
      </c>
      <c r="BV201" s="88" t="n">
        <f aca="false">IF(B201=2026,INDEX($C$14:$Q$14,1,B201-2025)*$AO$4*C201/MAX(0.0001,12-$AO$3),INDEX($C$14:$Q$14,1,B201-2025)/12)</f>
        <v>1.0303044438225</v>
      </c>
      <c r="BW201" s="88" t="n">
        <f aca="false">$AO$6*0</f>
        <v>0</v>
      </c>
      <c r="BX201" s="88" t="n">
        <f aca="false">BV201+BX200</f>
        <v>275.179568478455</v>
      </c>
      <c r="BY201" s="88" t="n">
        <f aca="false">BW201+BY200</f>
        <v>0</v>
      </c>
      <c r="BZ201" s="88" t="n">
        <f aca="false">MAX(BZ200,BX201-BY201)</f>
        <v>275.179568478455</v>
      </c>
      <c r="CA201" s="88" t="n">
        <f aca="false">BZ201-BZ200</f>
        <v>1.0303044438225</v>
      </c>
      <c r="CB201" s="88" t="n">
        <f aca="false">IF(B201=2026,INDEX($C$15:$Q$15,1,B201-2025)*$AO$4*C201/MAX(0.0001,12-$AO$3),INDEX($C$15:$Q$15,1,B201-2025)/12)</f>
        <v>1.68922007649967</v>
      </c>
      <c r="CC201" s="88" t="n">
        <f aca="false">$AO$6*0</f>
        <v>0</v>
      </c>
      <c r="CD201" s="88" t="n">
        <f aca="false">CB201+CD200</f>
        <v>451.166501807698</v>
      </c>
      <c r="CE201" s="88" t="n">
        <f aca="false">CC201+CE200</f>
        <v>88.0000000000001</v>
      </c>
      <c r="CF201" s="88" t="n">
        <f aca="false">MAX(CF200,CD201-CE201)</f>
        <v>363.166501807698</v>
      </c>
      <c r="CG201" s="88" t="n">
        <f aca="false">CF201-CF200</f>
        <v>1.68922007649968</v>
      </c>
      <c r="CH201" s="88" t="n">
        <f aca="false">IF(B201=2026,INDEX($C$16:$Q$16,1,B201-2025)*$AO$4*C201/MAX(0.0001,12-$AO$3),INDEX($C$16:$Q$16,1,B201-2025)/12)</f>
        <v>1.3358016917001</v>
      </c>
      <c r="CI201" s="88" t="n">
        <f aca="false">$AO$6*0</f>
        <v>0</v>
      </c>
      <c r="CJ201" s="88" t="n">
        <f aca="false">CH201+CJ200</f>
        <v>356.773510294739</v>
      </c>
      <c r="CK201" s="88" t="n">
        <f aca="false">CI201+CK200</f>
        <v>70</v>
      </c>
      <c r="CL201" s="88" t="n">
        <f aca="false">MAX(CL200,CJ201-CK201)</f>
        <v>286.773510294739</v>
      </c>
      <c r="CM201" s="88" t="n">
        <f aca="false">CL201-CL200</f>
        <v>1.33580169170011</v>
      </c>
      <c r="CN201" s="88" t="n">
        <f aca="false">IF(B201=2026,INDEX($C$17:$Q$17,1,B201-2025)*$AO$4*C201/MAX(0.0001,12-$AO$3),INDEX($C$17:$Q$17,1,B201-2025)/12)</f>
        <v>5.81642799390491</v>
      </c>
      <c r="CO201" s="88" t="n">
        <f aca="false">$AO$6*0</f>
        <v>0</v>
      </c>
      <c r="CP201" s="88" t="n">
        <f aca="false">CN201+CP200</f>
        <v>1553.4846569336</v>
      </c>
      <c r="CQ201" s="88" t="n">
        <f aca="false">CO201+CQ200</f>
        <v>221</v>
      </c>
      <c r="CR201" s="88" t="n">
        <f aca="false">MAX(CR200,CP201-CQ201)</f>
        <v>1332.4846569336</v>
      </c>
      <c r="CS201" s="88" t="n">
        <f aca="false">CR201-CR200</f>
        <v>5.81642799390488</v>
      </c>
      <c r="CT201" s="88" t="n">
        <f aca="false">IF(B201=2026,INDEX($C$18:$Q$18,1,B201-2025)*$AO$4*C201/MAX(0.0001,12-$AO$3),INDEX($C$18:$Q$18,1,B201-2025)/12)</f>
        <v>1.21000870727991</v>
      </c>
      <c r="CU201" s="88" t="n">
        <f aca="false">$AO$6*0</f>
        <v>0</v>
      </c>
      <c r="CV201" s="88" t="n">
        <f aca="false">CT201+CV200</f>
        <v>323.176004840975</v>
      </c>
      <c r="CW201" s="88" t="n">
        <f aca="false">CU201+CW200</f>
        <v>11</v>
      </c>
      <c r="CX201" s="88" t="n">
        <f aca="false">MAX(CX200,CV201-CW201)</f>
        <v>312.176004840975</v>
      </c>
      <c r="CY201" s="88" t="n">
        <f aca="false">CX201-CX200</f>
        <v>1.21000870727988</v>
      </c>
      <c r="CZ201" s="88" t="n">
        <f aca="false">IF(B201=2026,INDEX($C$19:$Q$19,1,B201-2025)*$AO$4*C201/MAX(0.0001,12-$AO$3),INDEX($C$19:$Q$19,1,B201-2025)/12)</f>
        <v>1.19802842304941</v>
      </c>
      <c r="DA201" s="88" t="n">
        <f aca="false">$AO$6*0</f>
        <v>0</v>
      </c>
      <c r="DB201" s="88" t="n">
        <f aca="false">CZ201+DB200</f>
        <v>319.976242416807</v>
      </c>
      <c r="DC201" s="88" t="n">
        <f aca="false">DA201+DC200</f>
        <v>226</v>
      </c>
      <c r="DD201" s="88" t="n">
        <f aca="false">MAX(DD200,DB201-DC201)</f>
        <v>93.9762424168075</v>
      </c>
      <c r="DE201" s="88" t="n">
        <f aca="false">DD201-DD200</f>
        <v>1.19802842304944</v>
      </c>
      <c r="DF201" s="88" t="n">
        <f aca="false">IF(B201=2026,INDEX($C$20:$Q$20,1,B201-2025)*$AO$4*C201/MAX(0.0001,12-$AO$3),INDEX($C$20:$Q$20,1,B201-2025)/12)</f>
        <v>0.976393164785272</v>
      </c>
      <c r="DG201" s="88" t="n">
        <f aca="false">$AO$6*0</f>
        <v>0</v>
      </c>
      <c r="DH201" s="88" t="n">
        <f aca="false">DF201+DH200</f>
        <v>260.780637569698</v>
      </c>
      <c r="DI201" s="88" t="n">
        <f aca="false">DG201+DI200</f>
        <v>0</v>
      </c>
      <c r="DJ201" s="88" t="n">
        <f aca="false">MAX(DJ200,DH201-DI201)</f>
        <v>260.780637569698</v>
      </c>
      <c r="DK201" s="88" t="n">
        <f aca="false">DJ201-DJ200</f>
        <v>0.976393164785293</v>
      </c>
      <c r="DL201" s="88" t="n">
        <f aca="false">IF(B201=2026,INDEX($C$21:$Q$21,1,B201-2025)*$AO$4*C201/MAX(0.0001,12-$AO$3),INDEX($C$21:$Q$21,1,B201-2025)/12)</f>
        <v>0.682876201138166</v>
      </c>
      <c r="DM201" s="88" t="n">
        <f aca="false">$AO$6*0</f>
        <v>0</v>
      </c>
      <c r="DN201" s="88" t="n">
        <f aca="false">DL201+DN200</f>
        <v>182.38645817758</v>
      </c>
      <c r="DO201" s="88" t="n">
        <f aca="false">DM201+DO200</f>
        <v>100</v>
      </c>
      <c r="DP201" s="88" t="n">
        <f aca="false">MAX(DP200,DN201-DO201)</f>
        <v>82.3864581775797</v>
      </c>
      <c r="DQ201" s="88" t="n">
        <f aca="false">DP201-DP200</f>
        <v>0.682876201138157</v>
      </c>
      <c r="DR201" s="88" t="n">
        <f aca="false">IF(B201=2026,INDEX($C$22:$Q$22,1,B201-2025)*$AO$4*C201/MAX(0.0001,12-$AO$3),INDEX($C$22:$Q$22,1,B201-2025)/12)</f>
        <v>0.533122648256989</v>
      </c>
      <c r="DS201" s="88" t="n">
        <f aca="false">$AO$6*0</f>
        <v>0</v>
      </c>
      <c r="DT201" s="88" t="n">
        <f aca="false">DR201+DT200</f>
        <v>142.389427875479</v>
      </c>
      <c r="DU201" s="88" t="n">
        <f aca="false">DS201+DU200</f>
        <v>29</v>
      </c>
      <c r="DV201" s="88" t="n">
        <f aca="false">MAX(DV200,DT201-DU201)</f>
        <v>113.389427875479</v>
      </c>
      <c r="DW201" s="88" t="n">
        <f aca="false">DV201-DV200</f>
        <v>0.533122648256978</v>
      </c>
      <c r="DX201" s="88" t="n">
        <f aca="false">IF(B201=2026,INDEX($C$23:$Q$23,1,B201-2025)*$AO$4*C201/MAX(0.0001,12-$AO$3),INDEX($C$23:$Q$23,1,B201-2025)/12)</f>
        <v>0.856590322480331</v>
      </c>
      <c r="DY201" s="88" t="n">
        <f aca="false">$AO$6*0</f>
        <v>0</v>
      </c>
      <c r="DZ201" s="88" t="n">
        <f aca="false">DX201+DZ200</f>
        <v>228.783013328017</v>
      </c>
      <c r="EA201" s="88" t="n">
        <f aca="false">DY201+EA200</f>
        <v>121</v>
      </c>
      <c r="EB201" s="88" t="n">
        <f aca="false">MAX(EB200,DZ201-EA201)</f>
        <v>107.783013328017</v>
      </c>
      <c r="EC201" s="88" t="n">
        <f aca="false">EB201-EB200</f>
        <v>0.856590322480344</v>
      </c>
      <c r="ED201" s="88" t="n">
        <f aca="false">IF(B201=2026,INDEX($C$24:$Q$24,1,B201-2025)*$AO$4*C201/MAX(0.0001,12-$AO$3),INDEX($C$24:$Q$24,1,B201-2025)/12)</f>
        <v>0.527132506141742</v>
      </c>
      <c r="EE201" s="88" t="n">
        <f aca="false">$AO$6*0</f>
        <v>0</v>
      </c>
      <c r="EF201" s="88" t="n">
        <f aca="false">ED201+EF200</f>
        <v>140.789546663395</v>
      </c>
      <c r="EG201" s="88" t="n">
        <f aca="false">EE201+EG200</f>
        <v>0</v>
      </c>
      <c r="EH201" s="88" t="n">
        <f aca="false">MAX(EH200,EF201-EG201)</f>
        <v>140.789546663395</v>
      </c>
      <c r="EI201" s="88" t="n">
        <f aca="false">EH201-EH200</f>
        <v>0.527132506141754</v>
      </c>
      <c r="EJ201" s="88" t="n">
        <f aca="false">IF(B201=2026,INDEX($C$25:$Q$25,1,B201-2025)*$AO$4*C201/MAX(0.0001,12-$AO$3),INDEX($C$25:$Q$25,1,B201-2025)/12)</f>
        <v>0.670895916907672</v>
      </c>
      <c r="EK201" s="88" t="n">
        <f aca="false">$AO$6*0</f>
        <v>0</v>
      </c>
      <c r="EL201" s="88" t="n">
        <f aca="false">EJ201+EL200</f>
        <v>179.186695753412</v>
      </c>
      <c r="EM201" s="88" t="n">
        <f aca="false">EK201+EM200</f>
        <v>14</v>
      </c>
      <c r="EN201" s="88" t="n">
        <f aca="false">MAX(EN200,EL201-EM201)</f>
        <v>165.186695753412</v>
      </c>
      <c r="EO201" s="88" t="n">
        <f aca="false">EN201-EN200</f>
        <v>0.670895916907682</v>
      </c>
      <c r="EP201" s="88" t="n">
        <f aca="false">IF(B201=2026,INDEX($C$26:$Q$26,1,B201-2025)*$AO$4*C201/MAX(0.0001,12-$AO$3),INDEX($C$26:$Q$26,1,B201-2025)/12)</f>
        <v>0.964412880554778</v>
      </c>
      <c r="EQ201" s="88" t="n">
        <f aca="false">$AO$6*0</f>
        <v>0</v>
      </c>
      <c r="ER201" s="88" t="n">
        <f aca="false">EP201+ER200</f>
        <v>257.580875145529</v>
      </c>
      <c r="ES201" s="88" t="n">
        <f aca="false">EQ201+ES200</f>
        <v>4</v>
      </c>
      <c r="ET201" s="88" t="n">
        <f aca="false">MAX(ET200,ER201-ES201)</f>
        <v>253.580875145529</v>
      </c>
      <c r="EU201" s="88" t="n">
        <f aca="false">ET201-ET200</f>
        <v>0.964412880554789</v>
      </c>
      <c r="EV201" s="88" t="n">
        <f aca="false">IF(B201=2026,INDEX($C$27:$Q$27,1,B201-2025)*$AO$4*C201/MAX(0.0001,12-$AO$3),INDEX($C$27:$Q$27,1,B201-2025)/12)</f>
        <v>2.39605684609883</v>
      </c>
      <c r="EW201" s="88" t="n">
        <f aca="false">$AO$6*0</f>
        <v>0</v>
      </c>
      <c r="EX201" s="88" t="n">
        <f aca="false">EV201+EX200</f>
        <v>639.952484833615</v>
      </c>
      <c r="EY201" s="88" t="n">
        <f aca="false">EW201+EY200</f>
        <v>391</v>
      </c>
      <c r="EZ201" s="88" t="n">
        <f aca="false">MAX(EZ200,EX201-EY201)</f>
        <v>248.952484833614</v>
      </c>
      <c r="FA201" s="88" t="n">
        <f aca="false">EZ201-EZ200</f>
        <v>2.39605684609887</v>
      </c>
      <c r="FB201" s="88" t="n">
        <f aca="false">IF(B201=2026,INDEX($C$28:$Q$28,1,B201-2025)*$AO$4*C201/MAX(0.0001,12-$AO$3),INDEX($C$28:$Q$28,1,B201-2025)/12)</f>
        <v>12.5433575893274</v>
      </c>
      <c r="FC201" s="88" t="n">
        <f aca="false">$AO$6*0</f>
        <v>0</v>
      </c>
      <c r="FD201" s="88" t="n">
        <f aca="false">FB201+FD200</f>
        <v>3350.15125810397</v>
      </c>
      <c r="FE201" s="88" t="n">
        <f aca="false">FC201+FE200</f>
        <v>169</v>
      </c>
      <c r="FF201" s="88" t="n">
        <f aca="false">MAX(FF200,FD201-FE201)</f>
        <v>3181.15125810397</v>
      </c>
      <c r="FG201" s="88" t="n">
        <f aca="false">FF201-FF200</f>
        <v>12.5433575893276</v>
      </c>
    </row>
    <row r="202" customFormat="false" ht="15" hidden="false" customHeight="false" outlineLevel="0" collapsed="false">
      <c r="A202" s="0" t="n">
        <v>162</v>
      </c>
      <c r="B202" s="88" t="n">
        <f aca="false">2026+INT(A202/12)</f>
        <v>2039</v>
      </c>
      <c r="C202" s="88" t="n">
        <f aca="false">MAX(0,MIN(1,A202+1-$AO$3))</f>
        <v>1</v>
      </c>
      <c r="D202" s="88" t="n">
        <f aca="false">IF((A202+0.5-(0))&lt;$AO$3,0,2026+INT((A202+0.5-(0))/12))</f>
        <v>2039</v>
      </c>
      <c r="E202" s="88" t="n">
        <f aca="false">IF((A202+0.5-($AO$9))&lt;$AO$3,0,2026+INT((A202+0.5-($AO$9))/12))</f>
        <v>2038</v>
      </c>
      <c r="F202" s="88" t="n">
        <f aca="false">IF((A202+0.5-($AO$9+$AO$8))&lt;$AO$3,0,2026+INT((A202+0.5-($AO$9+$AO$8))/12))</f>
        <v>2036</v>
      </c>
      <c r="G202" s="88" t="n">
        <f aca="false">IF((A202+0.5-($AO$9+$AO$8+$AO$7))&lt;$AO$3,0,2026+INT((A202+0.5-($AO$9+$AO$8+$AO$7))/12))</f>
        <v>2036</v>
      </c>
      <c r="H202" s="88" t="n">
        <f aca="false">IF(B202=2026,INDEX($C$3:$Q$3,1,B202-2025)*$AO$4*C202/MAX(0.0001,12-$AO$3),INDEX($C$3:$Q$3,1,B202-2025)/12)</f>
        <v>128.416666666667</v>
      </c>
      <c r="I202" s="88" t="n">
        <f aca="false">$AO$6*0</f>
        <v>0</v>
      </c>
      <c r="J202" s="88" t="n">
        <f aca="false">H202+J201</f>
        <v>34426.6700913242</v>
      </c>
      <c r="K202" s="88" t="n">
        <f aca="false">I202+K201</f>
        <v>8695.00000000001</v>
      </c>
      <c r="L202" s="88" t="n">
        <f aca="false">MAX(L201,J202-K202)</f>
        <v>25731.6700913242</v>
      </c>
      <c r="M202" s="88" t="n">
        <f aca="false">L202-L201</f>
        <v>128.416666666664</v>
      </c>
      <c r="N202" s="88" t="n">
        <f aca="false">IF(B202=2026,INDEX($C$4:$Q$4,1,B202-2025)*$AO$4*C202/MAX(0.0001,12-$AO$3),INDEX($C$4:$Q$4,1,B202-2025)/12)</f>
        <v>3.89318965056346</v>
      </c>
      <c r="O202" s="88" t="n">
        <f aca="false">$AO$6*0</f>
        <v>0</v>
      </c>
      <c r="P202" s="88" t="n">
        <f aca="false">N202+P201</f>
        <v>1043.70841559693</v>
      </c>
      <c r="Q202" s="88" t="n">
        <f aca="false">O202+Q201</f>
        <v>398</v>
      </c>
      <c r="R202" s="88" t="n">
        <f aca="false">MAX(R201,P202-Q202)</f>
        <v>645.708415596931</v>
      </c>
      <c r="S202" s="88" t="n">
        <f aca="false">R202-R201</f>
        <v>3.8931896505635</v>
      </c>
      <c r="T202" s="88" t="n">
        <f aca="false">IF(B202=2026,INDEX($C$5:$Q$5,1,B202-2025)*$AO$4*C202/MAX(0.0001,12-$AO$3),INDEX($C$5:$Q$5,1,B202-2025)/12)</f>
        <v>15.8233280689987</v>
      </c>
      <c r="U202" s="88" t="n">
        <f aca="false">$AO$6*0</f>
        <v>0</v>
      </c>
      <c r="V202" s="88" t="n">
        <f aca="false">T202+V201</f>
        <v>4242.00774960318</v>
      </c>
      <c r="W202" s="88" t="n">
        <f aca="false">U202+W201</f>
        <v>1115</v>
      </c>
      <c r="X202" s="88" t="n">
        <f aca="false">MAX(X201,V202-W202)</f>
        <v>3127.00774960317</v>
      </c>
      <c r="Y202" s="88" t="n">
        <f aca="false">X202-X201</f>
        <v>15.8233280689983</v>
      </c>
      <c r="Z202" s="88" t="n">
        <f aca="false">IF(B202=2026,INDEX($C$6:$Q$6,1,B202-2025)*$AO$4*C202/MAX(0.0001,12-$AO$3),INDEX($C$6:$Q$6,1,B202-2025)/12)</f>
        <v>18.7730924675475</v>
      </c>
      <c r="AA202" s="88" t="n">
        <f aca="false">$AO$6*0</f>
        <v>0</v>
      </c>
      <c r="AB202" s="88" t="n">
        <f aca="false">Z202+AB201</f>
        <v>5032.7973599547</v>
      </c>
      <c r="AC202" s="88" t="n">
        <f aca="false">AA202+AC201</f>
        <v>2194</v>
      </c>
      <c r="AD202" s="88" t="n">
        <f aca="false">MAX(AD201,AB202-AC202)</f>
        <v>2838.7973599547</v>
      </c>
      <c r="AE202" s="88" t="n">
        <f aca="false">AD202-AD201</f>
        <v>18.7730924675479</v>
      </c>
      <c r="AF202" s="88" t="n">
        <f aca="false">IF(B202=2026,INDEX($C$7:$Q$7,1,B202-2025)*$AO$4*C202/MAX(0.0001,12-$AO$3),INDEX($C$7:$Q$7,1,B202-2025)/12)</f>
        <v>16.307524583029</v>
      </c>
      <c r="AG202" s="88" t="n">
        <f aca="false">$AO$6*0</f>
        <v>0</v>
      </c>
      <c r="AH202" s="88" t="n">
        <f aca="false">AF202+AH201</f>
        <v>4371.81390390211</v>
      </c>
      <c r="AI202" s="88" t="n">
        <f aca="false">AG202+AI201</f>
        <v>826</v>
      </c>
      <c r="AJ202" s="88" t="n">
        <f aca="false">MAX(AJ201,AH202-AI202)</f>
        <v>3545.81390390211</v>
      </c>
      <c r="AK202" s="88" t="n">
        <f aca="false">AJ202-AJ201</f>
        <v>16.3075245830287</v>
      </c>
      <c r="AL202" s="88" t="n">
        <f aca="false">IF(B202=2026,INDEX($C$8:$Q$8,1,B202-2025)*$AO$4*C202/MAX(0.0001,12-$AO$3),INDEX($C$8:$Q$8,1,B202-2025)/12)</f>
        <v>4.12503328527406</v>
      </c>
      <c r="AM202" s="88" t="n">
        <f aca="false">$AO$6*0</f>
        <v>0</v>
      </c>
      <c r="AN202" s="88" t="n">
        <f aca="false">AL202+AN201</f>
        <v>1105.86237529808</v>
      </c>
      <c r="AO202" s="88" t="n">
        <f aca="false">AM202+AO201</f>
        <v>66</v>
      </c>
      <c r="AP202" s="88" t="n">
        <f aca="false">MAX(AP201,AN202-AO202)</f>
        <v>1039.86237529808</v>
      </c>
      <c r="AQ202" s="88" t="n">
        <f aca="false">AP202-AP201</f>
        <v>4.12503328527396</v>
      </c>
      <c r="AR202" s="88" t="n">
        <f aca="false">IF(B202=2026,INDEX($C$9:$Q$9,1,B202-2025)*$AO$4*C202/MAX(0.0001,12-$AO$3),INDEX($C$9:$Q$9,1,B202-2025)/12)</f>
        <v>17.5889065179488</v>
      </c>
      <c r="AS202" s="88" t="n">
        <f aca="false">$AO$6*0</f>
        <v>0</v>
      </c>
      <c r="AT202" s="88" t="n">
        <f aca="false">AR202+AT201</f>
        <v>4715.33405809655</v>
      </c>
      <c r="AU202" s="88" t="n">
        <f aca="false">AS202+AU201</f>
        <v>1810</v>
      </c>
      <c r="AV202" s="88" t="n">
        <f aca="false">MAX(AV201,AT202-AU202)</f>
        <v>2905.33405809655</v>
      </c>
      <c r="AW202" s="88" t="n">
        <f aca="false">AV202-AV201</f>
        <v>17.588906517949</v>
      </c>
      <c r="AX202" s="88" t="n">
        <f aca="false">IF(B202=2026,INDEX($C$10:$Q$10,1,B202-2025)*$AO$4*C202/MAX(0.0001,12-$AO$3),INDEX($C$10:$Q$10,1,B202-2025)/12)</f>
        <v>2.04022398545332</v>
      </c>
      <c r="AY202" s="88" t="n">
        <f aca="false">$AO$6*0</f>
        <v>0</v>
      </c>
      <c r="AZ202" s="88" t="n">
        <f aca="false">AX202+AZ201</f>
        <v>546.954845370081</v>
      </c>
      <c r="BA202" s="88" t="n">
        <f aca="false">AY202+BA201</f>
        <v>50</v>
      </c>
      <c r="BB202" s="88" t="n">
        <f aca="false">MAX(BB201,AZ202-BA202)</f>
        <v>496.954845370081</v>
      </c>
      <c r="BC202" s="88" t="n">
        <f aca="false">BB202-BB201</f>
        <v>2.04022398545328</v>
      </c>
      <c r="BD202" s="88" t="n">
        <f aca="false">IF(B202=2026,INDEX($C$11:$Q$11,1,B202-2025)*$AO$4*C202/MAX(0.0001,12-$AO$3),INDEX($C$11:$Q$11,1,B202-2025)/12)</f>
        <v>10.1387004871522</v>
      </c>
      <c r="BE202" s="88" t="n">
        <f aca="false">$AO$6*0</f>
        <v>0</v>
      </c>
      <c r="BF202" s="88" t="n">
        <f aca="false">BD202+BF201</f>
        <v>2718.04046846933</v>
      </c>
      <c r="BG202" s="88" t="n">
        <f aca="false">BE202+BG201</f>
        <v>240</v>
      </c>
      <c r="BH202" s="88" t="n">
        <f aca="false">MAX(BH201,BF202-BG202)</f>
        <v>2478.04046846933</v>
      </c>
      <c r="BI202" s="88" t="n">
        <f aca="false">BH202-BH201</f>
        <v>10.1387004871522</v>
      </c>
      <c r="BJ202" s="88" t="n">
        <f aca="false">IF(B202=2026,INDEX($C$12:$Q$12,1,B202-2025)*$AO$4*C202/MAX(0.0001,12-$AO$3),INDEX($C$12:$Q$12,1,B202-2025)/12)</f>
        <v>5.55889699533041</v>
      </c>
      <c r="BK202" s="88" t="n">
        <f aca="false">$AO$6*0</f>
        <v>0</v>
      </c>
      <c r="BL202" s="88" t="n">
        <f aca="false">BJ202+BL201</f>
        <v>1490.26071068055</v>
      </c>
      <c r="BM202" s="88" t="n">
        <f aca="false">BK202+BM201</f>
        <v>465</v>
      </c>
      <c r="BN202" s="88" t="n">
        <f aca="false">MAX(BN201,BL202-BM202)</f>
        <v>1025.26071068055</v>
      </c>
      <c r="BO202" s="88" t="n">
        <f aca="false">BN202-BN201</f>
        <v>5.55889699533043</v>
      </c>
      <c r="BP202" s="88" t="n">
        <f aca="false">IF(B202=2026,INDEX($C$13:$Q$13,1,B202-2025)*$AO$4*C202/MAX(0.0001,12-$AO$3),INDEX($C$13:$Q$13,1,B202-2025)/12)</f>
        <v>1.73714121342165</v>
      </c>
      <c r="BQ202" s="88" t="n">
        <f aca="false">$AO$6*0</f>
        <v>0</v>
      </c>
      <c r="BR202" s="88" t="n">
        <f aca="false">BP202+BR201</f>
        <v>465.702692717791</v>
      </c>
      <c r="BS202" s="88" t="n">
        <f aca="false">BQ202+BS201</f>
        <v>87</v>
      </c>
      <c r="BT202" s="88" t="n">
        <f aca="false">MAX(BT201,BR202-BS202)</f>
        <v>378.702692717791</v>
      </c>
      <c r="BU202" s="88" t="n">
        <f aca="false">BT202-BT201</f>
        <v>1.73714121342164</v>
      </c>
      <c r="BV202" s="88" t="n">
        <f aca="false">IF(B202=2026,INDEX($C$14:$Q$14,1,B202-2025)*$AO$4*C202/MAX(0.0001,12-$AO$3),INDEX($C$14:$Q$14,1,B202-2025)/12)</f>
        <v>1.0303044438225</v>
      </c>
      <c r="BW202" s="88" t="n">
        <f aca="false">$AO$6*0</f>
        <v>0</v>
      </c>
      <c r="BX202" s="88" t="n">
        <f aca="false">BV202+BX201</f>
        <v>276.209872922277</v>
      </c>
      <c r="BY202" s="88" t="n">
        <f aca="false">BW202+BY201</f>
        <v>0</v>
      </c>
      <c r="BZ202" s="88" t="n">
        <f aca="false">MAX(BZ201,BX202-BY202)</f>
        <v>276.209872922277</v>
      </c>
      <c r="CA202" s="88" t="n">
        <f aca="false">BZ202-BZ201</f>
        <v>1.0303044438225</v>
      </c>
      <c r="CB202" s="88" t="n">
        <f aca="false">IF(B202=2026,INDEX($C$15:$Q$15,1,B202-2025)*$AO$4*C202/MAX(0.0001,12-$AO$3),INDEX($C$15:$Q$15,1,B202-2025)/12)</f>
        <v>1.68922007649967</v>
      </c>
      <c r="CC202" s="88" t="n">
        <f aca="false">$AO$6*0</f>
        <v>0</v>
      </c>
      <c r="CD202" s="88" t="n">
        <f aca="false">CB202+CD201</f>
        <v>452.855721884197</v>
      </c>
      <c r="CE202" s="88" t="n">
        <f aca="false">CC202+CE201</f>
        <v>88.0000000000001</v>
      </c>
      <c r="CF202" s="88" t="n">
        <f aca="false">MAX(CF201,CD202-CE202)</f>
        <v>364.855721884197</v>
      </c>
      <c r="CG202" s="88" t="n">
        <f aca="false">CF202-CF201</f>
        <v>1.68922007649968</v>
      </c>
      <c r="CH202" s="88" t="n">
        <f aca="false">IF(B202=2026,INDEX($C$16:$Q$16,1,B202-2025)*$AO$4*C202/MAX(0.0001,12-$AO$3),INDEX($C$16:$Q$16,1,B202-2025)/12)</f>
        <v>1.3358016917001</v>
      </c>
      <c r="CI202" s="88" t="n">
        <f aca="false">$AO$6*0</f>
        <v>0</v>
      </c>
      <c r="CJ202" s="88" t="n">
        <f aca="false">CH202+CJ201</f>
        <v>358.109311986439</v>
      </c>
      <c r="CK202" s="88" t="n">
        <f aca="false">CI202+CK201</f>
        <v>70</v>
      </c>
      <c r="CL202" s="88" t="n">
        <f aca="false">MAX(CL201,CJ202-CK202)</f>
        <v>288.109311986439</v>
      </c>
      <c r="CM202" s="88" t="n">
        <f aca="false">CL202-CL201</f>
        <v>1.33580169170011</v>
      </c>
      <c r="CN202" s="88" t="n">
        <f aca="false">IF(B202=2026,INDEX($C$17:$Q$17,1,B202-2025)*$AO$4*C202/MAX(0.0001,12-$AO$3),INDEX($C$17:$Q$17,1,B202-2025)/12)</f>
        <v>5.81642799390491</v>
      </c>
      <c r="CO202" s="88" t="n">
        <f aca="false">$AO$6*0</f>
        <v>0</v>
      </c>
      <c r="CP202" s="88" t="n">
        <f aca="false">CN202+CP201</f>
        <v>1559.30108492751</v>
      </c>
      <c r="CQ202" s="88" t="n">
        <f aca="false">CO202+CQ201</f>
        <v>221</v>
      </c>
      <c r="CR202" s="88" t="n">
        <f aca="false">MAX(CR201,CP202-CQ202)</f>
        <v>1338.30108492751</v>
      </c>
      <c r="CS202" s="88" t="n">
        <f aca="false">CR202-CR201</f>
        <v>5.81642799390488</v>
      </c>
      <c r="CT202" s="88" t="n">
        <f aca="false">IF(B202=2026,INDEX($C$18:$Q$18,1,B202-2025)*$AO$4*C202/MAX(0.0001,12-$AO$3),INDEX($C$18:$Q$18,1,B202-2025)/12)</f>
        <v>1.21000870727991</v>
      </c>
      <c r="CU202" s="88" t="n">
        <f aca="false">$AO$6*0</f>
        <v>0</v>
      </c>
      <c r="CV202" s="88" t="n">
        <f aca="false">CT202+CV201</f>
        <v>324.386013548255</v>
      </c>
      <c r="CW202" s="88" t="n">
        <f aca="false">CU202+CW201</f>
        <v>11</v>
      </c>
      <c r="CX202" s="88" t="n">
        <f aca="false">MAX(CX201,CV202-CW202)</f>
        <v>313.386013548255</v>
      </c>
      <c r="CY202" s="88" t="n">
        <f aca="false">CX202-CX201</f>
        <v>1.21000870727988</v>
      </c>
      <c r="CZ202" s="88" t="n">
        <f aca="false">IF(B202=2026,INDEX($C$19:$Q$19,1,B202-2025)*$AO$4*C202/MAX(0.0001,12-$AO$3),INDEX($C$19:$Q$19,1,B202-2025)/12)</f>
        <v>1.19802842304941</v>
      </c>
      <c r="DA202" s="88" t="n">
        <f aca="false">$AO$6*0</f>
        <v>0</v>
      </c>
      <c r="DB202" s="88" t="n">
        <f aca="false">CZ202+DB201</f>
        <v>321.174270839857</v>
      </c>
      <c r="DC202" s="88" t="n">
        <f aca="false">DA202+DC201</f>
        <v>226</v>
      </c>
      <c r="DD202" s="88" t="n">
        <f aca="false">MAX(DD201,DB202-DC202)</f>
        <v>95.1742708398569</v>
      </c>
      <c r="DE202" s="88" t="n">
        <f aca="false">DD202-DD201</f>
        <v>1.19802842304944</v>
      </c>
      <c r="DF202" s="88" t="n">
        <f aca="false">IF(B202=2026,INDEX($C$20:$Q$20,1,B202-2025)*$AO$4*C202/MAX(0.0001,12-$AO$3),INDEX($C$20:$Q$20,1,B202-2025)/12)</f>
        <v>0.976393164785272</v>
      </c>
      <c r="DG202" s="88" t="n">
        <f aca="false">$AO$6*0</f>
        <v>0</v>
      </c>
      <c r="DH202" s="88" t="n">
        <f aca="false">DF202+DH201</f>
        <v>261.757030734483</v>
      </c>
      <c r="DI202" s="88" t="n">
        <f aca="false">DG202+DI201</f>
        <v>0</v>
      </c>
      <c r="DJ202" s="88" t="n">
        <f aca="false">MAX(DJ201,DH202-DI202)</f>
        <v>261.757030734483</v>
      </c>
      <c r="DK202" s="88" t="n">
        <f aca="false">DJ202-DJ201</f>
        <v>0.976393164785293</v>
      </c>
      <c r="DL202" s="88" t="n">
        <f aca="false">IF(B202=2026,INDEX($C$21:$Q$21,1,B202-2025)*$AO$4*C202/MAX(0.0001,12-$AO$3),INDEX($C$21:$Q$21,1,B202-2025)/12)</f>
        <v>0.682876201138166</v>
      </c>
      <c r="DM202" s="88" t="n">
        <f aca="false">$AO$6*0</f>
        <v>0</v>
      </c>
      <c r="DN202" s="88" t="n">
        <f aca="false">DL202+DN201</f>
        <v>183.069334378718</v>
      </c>
      <c r="DO202" s="88" t="n">
        <f aca="false">DM202+DO201</f>
        <v>100</v>
      </c>
      <c r="DP202" s="88" t="n">
        <f aca="false">MAX(DP201,DN202-DO202)</f>
        <v>83.0693343787179</v>
      </c>
      <c r="DQ202" s="88" t="n">
        <f aca="false">DP202-DP201</f>
        <v>0.682876201138157</v>
      </c>
      <c r="DR202" s="88" t="n">
        <f aca="false">IF(B202=2026,INDEX($C$22:$Q$22,1,B202-2025)*$AO$4*C202/MAX(0.0001,12-$AO$3),INDEX($C$22:$Q$22,1,B202-2025)/12)</f>
        <v>0.533122648256989</v>
      </c>
      <c r="DS202" s="88" t="n">
        <f aca="false">$AO$6*0</f>
        <v>0</v>
      </c>
      <c r="DT202" s="88" t="n">
        <f aca="false">DR202+DT201</f>
        <v>142.922550523736</v>
      </c>
      <c r="DU202" s="88" t="n">
        <f aca="false">DS202+DU201</f>
        <v>29</v>
      </c>
      <c r="DV202" s="88" t="n">
        <f aca="false">MAX(DV201,DT202-DU202)</f>
        <v>113.922550523736</v>
      </c>
      <c r="DW202" s="88" t="n">
        <f aca="false">DV202-DV201</f>
        <v>0.533122648256978</v>
      </c>
      <c r="DX202" s="88" t="n">
        <f aca="false">IF(B202=2026,INDEX($C$23:$Q$23,1,B202-2025)*$AO$4*C202/MAX(0.0001,12-$AO$3),INDEX($C$23:$Q$23,1,B202-2025)/12)</f>
        <v>0.856590322480331</v>
      </c>
      <c r="DY202" s="88" t="n">
        <f aca="false">$AO$6*0</f>
        <v>0</v>
      </c>
      <c r="DZ202" s="88" t="n">
        <f aca="false">DX202+DZ201</f>
        <v>229.639603650498</v>
      </c>
      <c r="EA202" s="88" t="n">
        <f aca="false">DY202+EA201</f>
        <v>121</v>
      </c>
      <c r="EB202" s="88" t="n">
        <f aca="false">MAX(EB201,DZ202-EA202)</f>
        <v>108.639603650498</v>
      </c>
      <c r="EC202" s="88" t="n">
        <f aca="false">EB202-EB201</f>
        <v>0.856590322480344</v>
      </c>
      <c r="ED202" s="88" t="n">
        <f aca="false">IF(B202=2026,INDEX($C$24:$Q$24,1,B202-2025)*$AO$4*C202/MAX(0.0001,12-$AO$3),INDEX($C$24:$Q$24,1,B202-2025)/12)</f>
        <v>0.527132506141742</v>
      </c>
      <c r="EE202" s="88" t="n">
        <f aca="false">$AO$6*0</f>
        <v>0</v>
      </c>
      <c r="EF202" s="88" t="n">
        <f aca="false">ED202+EF201</f>
        <v>141.316679169537</v>
      </c>
      <c r="EG202" s="88" t="n">
        <f aca="false">EE202+EG201</f>
        <v>0</v>
      </c>
      <c r="EH202" s="88" t="n">
        <f aca="false">MAX(EH201,EF202-EG202)</f>
        <v>141.316679169537</v>
      </c>
      <c r="EI202" s="88" t="n">
        <f aca="false">EH202-EH201</f>
        <v>0.527132506141754</v>
      </c>
      <c r="EJ202" s="88" t="n">
        <f aca="false">IF(B202=2026,INDEX($C$25:$Q$25,1,B202-2025)*$AO$4*C202/MAX(0.0001,12-$AO$3),INDEX($C$25:$Q$25,1,B202-2025)/12)</f>
        <v>0.670895916907672</v>
      </c>
      <c r="EK202" s="88" t="n">
        <f aca="false">$AO$6*0</f>
        <v>0</v>
      </c>
      <c r="EL202" s="88" t="n">
        <f aca="false">EJ202+EL201</f>
        <v>179.85759167032</v>
      </c>
      <c r="EM202" s="88" t="n">
        <f aca="false">EK202+EM201</f>
        <v>14</v>
      </c>
      <c r="EN202" s="88" t="n">
        <f aca="false">MAX(EN201,EL202-EM202)</f>
        <v>165.85759167032</v>
      </c>
      <c r="EO202" s="88" t="n">
        <f aca="false">EN202-EN201</f>
        <v>0.670895916907682</v>
      </c>
      <c r="EP202" s="88" t="n">
        <f aca="false">IF(B202=2026,INDEX($C$26:$Q$26,1,B202-2025)*$AO$4*C202/MAX(0.0001,12-$AO$3),INDEX($C$26:$Q$26,1,B202-2025)/12)</f>
        <v>0.964412880554778</v>
      </c>
      <c r="EQ202" s="88" t="n">
        <f aca="false">$AO$6*0</f>
        <v>0</v>
      </c>
      <c r="ER202" s="88" t="n">
        <f aca="false">EP202+ER201</f>
        <v>258.545288026084</v>
      </c>
      <c r="ES202" s="88" t="n">
        <f aca="false">EQ202+ES201</f>
        <v>4</v>
      </c>
      <c r="ET202" s="88" t="n">
        <f aca="false">MAX(ET201,ER202-ES202)</f>
        <v>254.545288026084</v>
      </c>
      <c r="EU202" s="88" t="n">
        <f aca="false">ET202-ET201</f>
        <v>0.964412880554789</v>
      </c>
      <c r="EV202" s="88" t="n">
        <f aca="false">IF(B202=2026,INDEX($C$27:$Q$27,1,B202-2025)*$AO$4*C202/MAX(0.0001,12-$AO$3),INDEX($C$27:$Q$27,1,B202-2025)/12)</f>
        <v>2.39605684609883</v>
      </c>
      <c r="EW202" s="88" t="n">
        <f aca="false">$AO$6*0</f>
        <v>0</v>
      </c>
      <c r="EX202" s="88" t="n">
        <f aca="false">EV202+EX201</f>
        <v>642.348541679714</v>
      </c>
      <c r="EY202" s="88" t="n">
        <f aca="false">EW202+EY201</f>
        <v>391</v>
      </c>
      <c r="EZ202" s="88" t="n">
        <f aca="false">MAX(EZ201,EX202-EY202)</f>
        <v>251.348541679713</v>
      </c>
      <c r="FA202" s="88" t="n">
        <f aca="false">EZ202-EZ201</f>
        <v>2.39605684609887</v>
      </c>
      <c r="FB202" s="88" t="n">
        <f aca="false">IF(B202=2026,INDEX($C$28:$Q$28,1,B202-2025)*$AO$4*C202/MAX(0.0001,12-$AO$3),INDEX($C$28:$Q$28,1,B202-2025)/12)</f>
        <v>12.5433575893274</v>
      </c>
      <c r="FC202" s="88" t="n">
        <f aca="false">$AO$6*0</f>
        <v>0</v>
      </c>
      <c r="FD202" s="88" t="n">
        <f aca="false">FB202+FD201</f>
        <v>3362.6946156933</v>
      </c>
      <c r="FE202" s="88" t="n">
        <f aca="false">FC202+FE201</f>
        <v>169</v>
      </c>
      <c r="FF202" s="88" t="n">
        <f aca="false">MAX(FF201,FD202-FE202)</f>
        <v>3193.6946156933</v>
      </c>
      <c r="FG202" s="88" t="n">
        <f aca="false">FF202-FF201</f>
        <v>12.5433575893276</v>
      </c>
    </row>
    <row r="203" customFormat="false" ht="15" hidden="false" customHeight="false" outlineLevel="0" collapsed="false">
      <c r="A203" s="0" t="n">
        <v>163</v>
      </c>
      <c r="B203" s="88" t="n">
        <f aca="false">2026+INT(A203/12)</f>
        <v>2039</v>
      </c>
      <c r="C203" s="88" t="n">
        <f aca="false">MAX(0,MIN(1,A203+1-$AO$3))</f>
        <v>1</v>
      </c>
      <c r="D203" s="88" t="n">
        <f aca="false">IF((A203+0.5-(0))&lt;$AO$3,0,2026+INT((A203+0.5-(0))/12))</f>
        <v>2039</v>
      </c>
      <c r="E203" s="88" t="n">
        <f aca="false">IF((A203+0.5-($AO$9))&lt;$AO$3,0,2026+INT((A203+0.5-($AO$9))/12))</f>
        <v>2038</v>
      </c>
      <c r="F203" s="88" t="n">
        <f aca="false">IF((A203+0.5-($AO$9+$AO$8))&lt;$AO$3,0,2026+INT((A203+0.5-($AO$9+$AO$8))/12))</f>
        <v>2037</v>
      </c>
      <c r="G203" s="88" t="n">
        <f aca="false">IF((A203+0.5-($AO$9+$AO$8+$AO$7))&lt;$AO$3,0,2026+INT((A203+0.5-($AO$9+$AO$8+$AO$7))/12))</f>
        <v>2036</v>
      </c>
      <c r="H203" s="88" t="n">
        <f aca="false">IF(B203=2026,INDEX($C$3:$Q$3,1,B203-2025)*$AO$4*C203/MAX(0.0001,12-$AO$3),INDEX($C$3:$Q$3,1,B203-2025)/12)</f>
        <v>128.416666666667</v>
      </c>
      <c r="I203" s="88" t="n">
        <f aca="false">$AO$6*0</f>
        <v>0</v>
      </c>
      <c r="J203" s="88" t="n">
        <f aca="false">H203+J202</f>
        <v>34555.0867579909</v>
      </c>
      <c r="K203" s="88" t="n">
        <f aca="false">I203+K202</f>
        <v>8695.00000000001</v>
      </c>
      <c r="L203" s="88" t="n">
        <f aca="false">MAX(L202,J203-K203)</f>
        <v>25860.0867579909</v>
      </c>
      <c r="M203" s="88" t="n">
        <f aca="false">L203-L202</f>
        <v>128.416666666664</v>
      </c>
      <c r="N203" s="88" t="n">
        <f aca="false">IF(B203=2026,INDEX($C$4:$Q$4,1,B203-2025)*$AO$4*C203/MAX(0.0001,12-$AO$3),INDEX($C$4:$Q$4,1,B203-2025)/12)</f>
        <v>3.89318965056346</v>
      </c>
      <c r="O203" s="88" t="n">
        <f aca="false">$AO$6*0</f>
        <v>0</v>
      </c>
      <c r="P203" s="88" t="n">
        <f aca="false">N203+P202</f>
        <v>1047.6016052475</v>
      </c>
      <c r="Q203" s="88" t="n">
        <f aca="false">O203+Q202</f>
        <v>398</v>
      </c>
      <c r="R203" s="88" t="n">
        <f aca="false">MAX(R202,P203-Q203)</f>
        <v>649.601605247495</v>
      </c>
      <c r="S203" s="88" t="n">
        <f aca="false">R203-R202</f>
        <v>3.8931896505635</v>
      </c>
      <c r="T203" s="88" t="n">
        <f aca="false">IF(B203=2026,INDEX($C$5:$Q$5,1,B203-2025)*$AO$4*C203/MAX(0.0001,12-$AO$3),INDEX($C$5:$Q$5,1,B203-2025)/12)</f>
        <v>15.8233280689987</v>
      </c>
      <c r="U203" s="88" t="n">
        <f aca="false">$AO$6*0</f>
        <v>0</v>
      </c>
      <c r="V203" s="88" t="n">
        <f aca="false">T203+V202</f>
        <v>4257.83107767217</v>
      </c>
      <c r="W203" s="88" t="n">
        <f aca="false">U203+W202</f>
        <v>1115</v>
      </c>
      <c r="X203" s="88" t="n">
        <f aca="false">MAX(X202,V203-W203)</f>
        <v>3142.83107767217</v>
      </c>
      <c r="Y203" s="88" t="n">
        <f aca="false">X203-X202</f>
        <v>15.8233280689983</v>
      </c>
      <c r="Z203" s="88" t="n">
        <f aca="false">IF(B203=2026,INDEX($C$6:$Q$6,1,B203-2025)*$AO$4*C203/MAX(0.0001,12-$AO$3),INDEX($C$6:$Q$6,1,B203-2025)/12)</f>
        <v>18.7730924675475</v>
      </c>
      <c r="AA203" s="88" t="n">
        <f aca="false">$AO$6*0</f>
        <v>0</v>
      </c>
      <c r="AB203" s="88" t="n">
        <f aca="false">Z203+AB202</f>
        <v>5051.57045242225</v>
      </c>
      <c r="AC203" s="88" t="n">
        <f aca="false">AA203+AC202</f>
        <v>2194</v>
      </c>
      <c r="AD203" s="88" t="n">
        <f aca="false">MAX(AD202,AB203-AC203)</f>
        <v>2857.57045242225</v>
      </c>
      <c r="AE203" s="88" t="n">
        <f aca="false">AD203-AD202</f>
        <v>18.7730924675479</v>
      </c>
      <c r="AF203" s="88" t="n">
        <f aca="false">IF(B203=2026,INDEX($C$7:$Q$7,1,B203-2025)*$AO$4*C203/MAX(0.0001,12-$AO$3),INDEX($C$7:$Q$7,1,B203-2025)/12)</f>
        <v>16.307524583029</v>
      </c>
      <c r="AG203" s="88" t="n">
        <f aca="false">$AO$6*0</f>
        <v>0</v>
      </c>
      <c r="AH203" s="88" t="n">
        <f aca="false">AF203+AH202</f>
        <v>4388.12142848514</v>
      </c>
      <c r="AI203" s="88" t="n">
        <f aca="false">AG203+AI202</f>
        <v>826</v>
      </c>
      <c r="AJ203" s="88" t="n">
        <f aca="false">MAX(AJ202,AH203-AI203)</f>
        <v>3562.12142848514</v>
      </c>
      <c r="AK203" s="88" t="n">
        <f aca="false">AJ203-AJ202</f>
        <v>16.3075245830287</v>
      </c>
      <c r="AL203" s="88" t="n">
        <f aca="false">IF(B203=2026,INDEX($C$8:$Q$8,1,B203-2025)*$AO$4*C203/MAX(0.0001,12-$AO$3),INDEX($C$8:$Q$8,1,B203-2025)/12)</f>
        <v>4.12503328527406</v>
      </c>
      <c r="AM203" s="88" t="n">
        <f aca="false">$AO$6*0</f>
        <v>0</v>
      </c>
      <c r="AN203" s="88" t="n">
        <f aca="false">AL203+AN202</f>
        <v>1109.98740858335</v>
      </c>
      <c r="AO203" s="88" t="n">
        <f aca="false">AM203+AO202</f>
        <v>66</v>
      </c>
      <c r="AP203" s="88" t="n">
        <f aca="false">MAX(AP202,AN203-AO203)</f>
        <v>1043.98740858335</v>
      </c>
      <c r="AQ203" s="88" t="n">
        <f aca="false">AP203-AP202</f>
        <v>4.12503328527396</v>
      </c>
      <c r="AR203" s="88" t="n">
        <f aca="false">IF(B203=2026,INDEX($C$9:$Q$9,1,B203-2025)*$AO$4*C203/MAX(0.0001,12-$AO$3),INDEX($C$9:$Q$9,1,B203-2025)/12)</f>
        <v>17.5889065179488</v>
      </c>
      <c r="AS203" s="88" t="n">
        <f aca="false">$AO$6*0</f>
        <v>0</v>
      </c>
      <c r="AT203" s="88" t="n">
        <f aca="false">AR203+AT202</f>
        <v>4732.9229646145</v>
      </c>
      <c r="AU203" s="88" t="n">
        <f aca="false">AS203+AU202</f>
        <v>1810</v>
      </c>
      <c r="AV203" s="88" t="n">
        <f aca="false">MAX(AV202,AT203-AU203)</f>
        <v>2922.9229646145</v>
      </c>
      <c r="AW203" s="88" t="n">
        <f aca="false">AV203-AV202</f>
        <v>17.588906517949</v>
      </c>
      <c r="AX203" s="88" t="n">
        <f aca="false">IF(B203=2026,INDEX($C$10:$Q$10,1,B203-2025)*$AO$4*C203/MAX(0.0001,12-$AO$3),INDEX($C$10:$Q$10,1,B203-2025)/12)</f>
        <v>2.04022398545332</v>
      </c>
      <c r="AY203" s="88" t="n">
        <f aca="false">$AO$6*0</f>
        <v>0</v>
      </c>
      <c r="AZ203" s="88" t="n">
        <f aca="false">AX203+AZ202</f>
        <v>548.995069355534</v>
      </c>
      <c r="BA203" s="88" t="n">
        <f aca="false">AY203+BA202</f>
        <v>50</v>
      </c>
      <c r="BB203" s="88" t="n">
        <f aca="false">MAX(BB202,AZ203-BA203)</f>
        <v>498.995069355534</v>
      </c>
      <c r="BC203" s="88" t="n">
        <f aca="false">BB203-BB202</f>
        <v>2.04022398545328</v>
      </c>
      <c r="BD203" s="88" t="n">
        <f aca="false">IF(B203=2026,INDEX($C$11:$Q$11,1,B203-2025)*$AO$4*C203/MAX(0.0001,12-$AO$3),INDEX($C$11:$Q$11,1,B203-2025)/12)</f>
        <v>10.1387004871522</v>
      </c>
      <c r="BE203" s="88" t="n">
        <f aca="false">$AO$6*0</f>
        <v>0</v>
      </c>
      <c r="BF203" s="88" t="n">
        <f aca="false">BD203+BF202</f>
        <v>2728.17916895648</v>
      </c>
      <c r="BG203" s="88" t="n">
        <f aca="false">BE203+BG202</f>
        <v>240</v>
      </c>
      <c r="BH203" s="88" t="n">
        <f aca="false">MAX(BH202,BF203-BG203)</f>
        <v>2488.17916895648</v>
      </c>
      <c r="BI203" s="88" t="n">
        <f aca="false">BH203-BH202</f>
        <v>10.1387004871522</v>
      </c>
      <c r="BJ203" s="88" t="n">
        <f aca="false">IF(B203=2026,INDEX($C$12:$Q$12,1,B203-2025)*$AO$4*C203/MAX(0.0001,12-$AO$3),INDEX($C$12:$Q$12,1,B203-2025)/12)</f>
        <v>5.55889699533041</v>
      </c>
      <c r="BK203" s="88" t="n">
        <f aca="false">$AO$6*0</f>
        <v>0</v>
      </c>
      <c r="BL203" s="88" t="n">
        <f aca="false">BJ203+BL202</f>
        <v>1495.81960767588</v>
      </c>
      <c r="BM203" s="88" t="n">
        <f aca="false">BK203+BM202</f>
        <v>465</v>
      </c>
      <c r="BN203" s="88" t="n">
        <f aca="false">MAX(BN202,BL203-BM203)</f>
        <v>1030.81960767588</v>
      </c>
      <c r="BO203" s="88" t="n">
        <f aca="false">BN203-BN202</f>
        <v>5.55889699533009</v>
      </c>
      <c r="BP203" s="88" t="n">
        <f aca="false">IF(B203=2026,INDEX($C$13:$Q$13,1,B203-2025)*$AO$4*C203/MAX(0.0001,12-$AO$3),INDEX($C$13:$Q$13,1,B203-2025)/12)</f>
        <v>1.73714121342165</v>
      </c>
      <c r="BQ203" s="88" t="n">
        <f aca="false">$AO$6*0</f>
        <v>0</v>
      </c>
      <c r="BR203" s="88" t="n">
        <f aca="false">BP203+BR202</f>
        <v>467.439833931213</v>
      </c>
      <c r="BS203" s="88" t="n">
        <f aca="false">BQ203+BS202</f>
        <v>87</v>
      </c>
      <c r="BT203" s="88" t="n">
        <f aca="false">MAX(BT202,BR203-BS203)</f>
        <v>380.439833931213</v>
      </c>
      <c r="BU203" s="88" t="n">
        <f aca="false">BT203-BT202</f>
        <v>1.73714121342164</v>
      </c>
      <c r="BV203" s="88" t="n">
        <f aca="false">IF(B203=2026,INDEX($C$14:$Q$14,1,B203-2025)*$AO$4*C203/MAX(0.0001,12-$AO$3),INDEX($C$14:$Q$14,1,B203-2025)/12)</f>
        <v>1.0303044438225</v>
      </c>
      <c r="BW203" s="88" t="n">
        <f aca="false">$AO$6*0</f>
        <v>0</v>
      </c>
      <c r="BX203" s="88" t="n">
        <f aca="false">BV203+BX202</f>
        <v>277.2401773661</v>
      </c>
      <c r="BY203" s="88" t="n">
        <f aca="false">BW203+BY202</f>
        <v>0</v>
      </c>
      <c r="BZ203" s="88" t="n">
        <f aca="false">MAX(BZ202,BX203-BY203)</f>
        <v>277.2401773661</v>
      </c>
      <c r="CA203" s="88" t="n">
        <f aca="false">BZ203-BZ202</f>
        <v>1.0303044438225</v>
      </c>
      <c r="CB203" s="88" t="n">
        <f aca="false">IF(B203=2026,INDEX($C$15:$Q$15,1,B203-2025)*$AO$4*C203/MAX(0.0001,12-$AO$3),INDEX($C$15:$Q$15,1,B203-2025)/12)</f>
        <v>1.68922007649967</v>
      </c>
      <c r="CC203" s="88" t="n">
        <f aca="false">$AO$6*0</f>
        <v>0</v>
      </c>
      <c r="CD203" s="88" t="n">
        <f aca="false">CB203+CD202</f>
        <v>454.544941960697</v>
      </c>
      <c r="CE203" s="88" t="n">
        <f aca="false">CC203+CE202</f>
        <v>88.0000000000001</v>
      </c>
      <c r="CF203" s="88" t="n">
        <f aca="false">MAX(CF202,CD203-CE203)</f>
        <v>366.544941960697</v>
      </c>
      <c r="CG203" s="88" t="n">
        <f aca="false">CF203-CF202</f>
        <v>1.68922007649968</v>
      </c>
      <c r="CH203" s="88" t="n">
        <f aca="false">IF(B203=2026,INDEX($C$16:$Q$16,1,B203-2025)*$AO$4*C203/MAX(0.0001,12-$AO$3),INDEX($C$16:$Q$16,1,B203-2025)/12)</f>
        <v>1.3358016917001</v>
      </c>
      <c r="CI203" s="88" t="n">
        <f aca="false">$AO$6*0</f>
        <v>0</v>
      </c>
      <c r="CJ203" s="88" t="n">
        <f aca="false">CH203+CJ202</f>
        <v>359.445113678139</v>
      </c>
      <c r="CK203" s="88" t="n">
        <f aca="false">CI203+CK202</f>
        <v>70</v>
      </c>
      <c r="CL203" s="88" t="n">
        <f aca="false">MAX(CL202,CJ203-CK203)</f>
        <v>289.445113678139</v>
      </c>
      <c r="CM203" s="88" t="n">
        <f aca="false">CL203-CL202</f>
        <v>1.33580169170011</v>
      </c>
      <c r="CN203" s="88" t="n">
        <f aca="false">IF(B203=2026,INDEX($C$17:$Q$17,1,B203-2025)*$AO$4*C203/MAX(0.0001,12-$AO$3),INDEX($C$17:$Q$17,1,B203-2025)/12)</f>
        <v>5.81642799390491</v>
      </c>
      <c r="CO203" s="88" t="n">
        <f aca="false">$AO$6*0</f>
        <v>0</v>
      </c>
      <c r="CP203" s="88" t="n">
        <f aca="false">CN203+CP202</f>
        <v>1565.11751292141</v>
      </c>
      <c r="CQ203" s="88" t="n">
        <f aca="false">CO203+CQ202</f>
        <v>221</v>
      </c>
      <c r="CR203" s="88" t="n">
        <f aca="false">MAX(CR202,CP203-CQ203)</f>
        <v>1344.11751292141</v>
      </c>
      <c r="CS203" s="88" t="n">
        <f aca="false">CR203-CR202</f>
        <v>5.81642799390488</v>
      </c>
      <c r="CT203" s="88" t="n">
        <f aca="false">IF(B203=2026,INDEX($C$18:$Q$18,1,B203-2025)*$AO$4*C203/MAX(0.0001,12-$AO$3),INDEX($C$18:$Q$18,1,B203-2025)/12)</f>
        <v>1.21000870727991</v>
      </c>
      <c r="CU203" s="88" t="n">
        <f aca="false">$AO$6*0</f>
        <v>0</v>
      </c>
      <c r="CV203" s="88" t="n">
        <f aca="false">CT203+CV202</f>
        <v>325.596022255535</v>
      </c>
      <c r="CW203" s="88" t="n">
        <f aca="false">CU203+CW202</f>
        <v>11</v>
      </c>
      <c r="CX203" s="88" t="n">
        <f aca="false">MAX(CX202,CV203-CW203)</f>
        <v>314.596022255535</v>
      </c>
      <c r="CY203" s="88" t="n">
        <f aca="false">CX203-CX202</f>
        <v>1.21000870727988</v>
      </c>
      <c r="CZ203" s="88" t="n">
        <f aca="false">IF(B203=2026,INDEX($C$19:$Q$19,1,B203-2025)*$AO$4*C203/MAX(0.0001,12-$AO$3),INDEX($C$19:$Q$19,1,B203-2025)/12)</f>
        <v>1.19802842304941</v>
      </c>
      <c r="DA203" s="88" t="n">
        <f aca="false">$AO$6*0</f>
        <v>0</v>
      </c>
      <c r="DB203" s="88" t="n">
        <f aca="false">CZ203+DB202</f>
        <v>322.372299262906</v>
      </c>
      <c r="DC203" s="88" t="n">
        <f aca="false">DA203+DC202</f>
        <v>226</v>
      </c>
      <c r="DD203" s="88" t="n">
        <f aca="false">MAX(DD202,DB203-DC203)</f>
        <v>96.3722992629064</v>
      </c>
      <c r="DE203" s="88" t="n">
        <f aca="false">DD203-DD202</f>
        <v>1.19802842304944</v>
      </c>
      <c r="DF203" s="88" t="n">
        <f aca="false">IF(B203=2026,INDEX($C$20:$Q$20,1,B203-2025)*$AO$4*C203/MAX(0.0001,12-$AO$3),INDEX($C$20:$Q$20,1,B203-2025)/12)</f>
        <v>0.976393164785272</v>
      </c>
      <c r="DG203" s="88" t="n">
        <f aca="false">$AO$6*0</f>
        <v>0</v>
      </c>
      <c r="DH203" s="88" t="n">
        <f aca="false">DF203+DH202</f>
        <v>262.733423899268</v>
      </c>
      <c r="DI203" s="88" t="n">
        <f aca="false">DG203+DI202</f>
        <v>0</v>
      </c>
      <c r="DJ203" s="88" t="n">
        <f aca="false">MAX(DJ202,DH203-DI203)</f>
        <v>262.733423899268</v>
      </c>
      <c r="DK203" s="88" t="n">
        <f aca="false">DJ203-DJ202</f>
        <v>0.976393164785293</v>
      </c>
      <c r="DL203" s="88" t="n">
        <f aca="false">IF(B203=2026,INDEX($C$21:$Q$21,1,B203-2025)*$AO$4*C203/MAX(0.0001,12-$AO$3),INDEX($C$21:$Q$21,1,B203-2025)/12)</f>
        <v>0.682876201138166</v>
      </c>
      <c r="DM203" s="88" t="n">
        <f aca="false">$AO$6*0</f>
        <v>0</v>
      </c>
      <c r="DN203" s="88" t="n">
        <f aca="false">DL203+DN202</f>
        <v>183.752210579856</v>
      </c>
      <c r="DO203" s="88" t="n">
        <f aca="false">DM203+DO202</f>
        <v>100</v>
      </c>
      <c r="DP203" s="88" t="n">
        <f aca="false">MAX(DP202,DN203-DO203)</f>
        <v>83.752210579856</v>
      </c>
      <c r="DQ203" s="88" t="n">
        <f aca="false">DP203-DP202</f>
        <v>0.682876201138157</v>
      </c>
      <c r="DR203" s="88" t="n">
        <f aca="false">IF(B203=2026,INDEX($C$22:$Q$22,1,B203-2025)*$AO$4*C203/MAX(0.0001,12-$AO$3),INDEX($C$22:$Q$22,1,B203-2025)/12)</f>
        <v>0.533122648256989</v>
      </c>
      <c r="DS203" s="88" t="n">
        <f aca="false">$AO$6*0</f>
        <v>0</v>
      </c>
      <c r="DT203" s="88" t="n">
        <f aca="false">DR203+DT202</f>
        <v>143.455673171993</v>
      </c>
      <c r="DU203" s="88" t="n">
        <f aca="false">DS203+DU202</f>
        <v>29</v>
      </c>
      <c r="DV203" s="88" t="n">
        <f aca="false">MAX(DV202,DT203-DU203)</f>
        <v>114.455673171993</v>
      </c>
      <c r="DW203" s="88" t="n">
        <f aca="false">DV203-DV202</f>
        <v>0.533122648256978</v>
      </c>
      <c r="DX203" s="88" t="n">
        <f aca="false">IF(B203=2026,INDEX($C$23:$Q$23,1,B203-2025)*$AO$4*C203/MAX(0.0001,12-$AO$3),INDEX($C$23:$Q$23,1,B203-2025)/12)</f>
        <v>0.856590322480331</v>
      </c>
      <c r="DY203" s="88" t="n">
        <f aca="false">$AO$6*0</f>
        <v>0</v>
      </c>
      <c r="DZ203" s="88" t="n">
        <f aca="false">DX203+DZ202</f>
        <v>230.496193972978</v>
      </c>
      <c r="EA203" s="88" t="n">
        <f aca="false">DY203+EA202</f>
        <v>121</v>
      </c>
      <c r="EB203" s="88" t="n">
        <f aca="false">MAX(EB202,DZ203-EA203)</f>
        <v>109.496193972978</v>
      </c>
      <c r="EC203" s="88" t="n">
        <f aca="false">EB203-EB202</f>
        <v>0.856590322480344</v>
      </c>
      <c r="ED203" s="88" t="n">
        <f aca="false">IF(B203=2026,INDEX($C$24:$Q$24,1,B203-2025)*$AO$4*C203/MAX(0.0001,12-$AO$3),INDEX($C$24:$Q$24,1,B203-2025)/12)</f>
        <v>0.527132506141742</v>
      </c>
      <c r="EE203" s="88" t="n">
        <f aca="false">$AO$6*0</f>
        <v>0</v>
      </c>
      <c r="EF203" s="88" t="n">
        <f aca="false">ED203+EF202</f>
        <v>141.843811675678</v>
      </c>
      <c r="EG203" s="88" t="n">
        <f aca="false">EE203+EG202</f>
        <v>0</v>
      </c>
      <c r="EH203" s="88" t="n">
        <f aca="false">MAX(EH202,EF203-EG203)</f>
        <v>141.843811675678</v>
      </c>
      <c r="EI203" s="88" t="n">
        <f aca="false">EH203-EH202</f>
        <v>0.527132506141754</v>
      </c>
      <c r="EJ203" s="88" t="n">
        <f aca="false">IF(B203=2026,INDEX($C$25:$Q$25,1,B203-2025)*$AO$4*C203/MAX(0.0001,12-$AO$3),INDEX($C$25:$Q$25,1,B203-2025)/12)</f>
        <v>0.670895916907672</v>
      </c>
      <c r="EK203" s="88" t="n">
        <f aca="false">$AO$6*0</f>
        <v>0</v>
      </c>
      <c r="EL203" s="88" t="n">
        <f aca="false">EJ203+EL202</f>
        <v>180.528487587227</v>
      </c>
      <c r="EM203" s="88" t="n">
        <f aca="false">EK203+EM202</f>
        <v>14</v>
      </c>
      <c r="EN203" s="88" t="n">
        <f aca="false">MAX(EN202,EL203-EM203)</f>
        <v>166.528487587227</v>
      </c>
      <c r="EO203" s="88" t="n">
        <f aca="false">EN203-EN202</f>
        <v>0.670895916907682</v>
      </c>
      <c r="EP203" s="88" t="n">
        <f aca="false">IF(B203=2026,INDEX($C$26:$Q$26,1,B203-2025)*$AO$4*C203/MAX(0.0001,12-$AO$3),INDEX($C$26:$Q$26,1,B203-2025)/12)</f>
        <v>0.964412880554778</v>
      </c>
      <c r="EQ203" s="88" t="n">
        <f aca="false">$AO$6*0</f>
        <v>0</v>
      </c>
      <c r="ER203" s="88" t="n">
        <f aca="false">EP203+ER202</f>
        <v>259.509700906638</v>
      </c>
      <c r="ES203" s="88" t="n">
        <f aca="false">EQ203+ES202</f>
        <v>4</v>
      </c>
      <c r="ET203" s="88" t="n">
        <f aca="false">MAX(ET202,ER203-ES203)</f>
        <v>255.509700906638</v>
      </c>
      <c r="EU203" s="88" t="n">
        <f aca="false">ET203-ET202</f>
        <v>0.964412880554789</v>
      </c>
      <c r="EV203" s="88" t="n">
        <f aca="false">IF(B203=2026,INDEX($C$27:$Q$27,1,B203-2025)*$AO$4*C203/MAX(0.0001,12-$AO$3),INDEX($C$27:$Q$27,1,B203-2025)/12)</f>
        <v>2.39605684609883</v>
      </c>
      <c r="EW203" s="88" t="n">
        <f aca="false">$AO$6*0</f>
        <v>0</v>
      </c>
      <c r="EX203" s="88" t="n">
        <f aca="false">EV203+EX202</f>
        <v>644.744598525812</v>
      </c>
      <c r="EY203" s="88" t="n">
        <f aca="false">EW203+EY202</f>
        <v>391</v>
      </c>
      <c r="EZ203" s="88" t="n">
        <f aca="false">MAX(EZ202,EX203-EY203)</f>
        <v>253.744598525812</v>
      </c>
      <c r="FA203" s="88" t="n">
        <f aca="false">EZ203-EZ202</f>
        <v>2.39605684609887</v>
      </c>
      <c r="FB203" s="88" t="n">
        <f aca="false">IF(B203=2026,INDEX($C$28:$Q$28,1,B203-2025)*$AO$4*C203/MAX(0.0001,12-$AO$3),INDEX($C$28:$Q$28,1,B203-2025)/12)</f>
        <v>12.5433575893274</v>
      </c>
      <c r="FC203" s="88" t="n">
        <f aca="false">$AO$6*0</f>
        <v>0</v>
      </c>
      <c r="FD203" s="88" t="n">
        <f aca="false">FB203+FD202</f>
        <v>3375.23797328263</v>
      </c>
      <c r="FE203" s="88" t="n">
        <f aca="false">FC203+FE202</f>
        <v>169</v>
      </c>
      <c r="FF203" s="88" t="n">
        <f aca="false">MAX(FF202,FD203-FE203)</f>
        <v>3206.23797328263</v>
      </c>
      <c r="FG203" s="88" t="n">
        <f aca="false">FF203-FF202</f>
        <v>12.5433575893276</v>
      </c>
    </row>
    <row r="204" customFormat="false" ht="15" hidden="false" customHeight="false" outlineLevel="0" collapsed="false">
      <c r="A204" s="0" t="n">
        <v>164</v>
      </c>
      <c r="B204" s="88" t="n">
        <f aca="false">2026+INT(A204/12)</f>
        <v>2039</v>
      </c>
      <c r="C204" s="88" t="n">
        <f aca="false">MAX(0,MIN(1,A204+1-$AO$3))</f>
        <v>1</v>
      </c>
      <c r="D204" s="88" t="n">
        <f aca="false">IF((A204+0.5-(0))&lt;$AO$3,0,2026+INT((A204+0.5-(0))/12))</f>
        <v>2039</v>
      </c>
      <c r="E204" s="88" t="n">
        <f aca="false">IF((A204+0.5-($AO$9))&lt;$AO$3,0,2026+INT((A204+0.5-($AO$9))/12))</f>
        <v>2038</v>
      </c>
      <c r="F204" s="88" t="n">
        <f aca="false">IF((A204+0.5-($AO$9+$AO$8))&lt;$AO$3,0,2026+INT((A204+0.5-($AO$9+$AO$8))/12))</f>
        <v>2037</v>
      </c>
      <c r="G204" s="88" t="n">
        <f aca="false">IF((A204+0.5-($AO$9+$AO$8+$AO$7))&lt;$AO$3,0,2026+INT((A204+0.5-($AO$9+$AO$8+$AO$7))/12))</f>
        <v>2036</v>
      </c>
      <c r="H204" s="88" t="n">
        <f aca="false">IF(B204=2026,INDEX($C$3:$Q$3,1,B204-2025)*$AO$4*C204/MAX(0.0001,12-$AO$3),INDEX($C$3:$Q$3,1,B204-2025)/12)</f>
        <v>128.416666666667</v>
      </c>
      <c r="I204" s="88" t="n">
        <f aca="false">$AO$6*0</f>
        <v>0</v>
      </c>
      <c r="J204" s="88" t="n">
        <f aca="false">H204+J203</f>
        <v>34683.5034246576</v>
      </c>
      <c r="K204" s="88" t="n">
        <f aca="false">I204+K203</f>
        <v>8695.00000000001</v>
      </c>
      <c r="L204" s="88" t="n">
        <f aca="false">MAX(L203,J204-K204)</f>
        <v>25988.5034246576</v>
      </c>
      <c r="M204" s="88" t="n">
        <f aca="false">L204-L203</f>
        <v>128.416666666664</v>
      </c>
      <c r="N204" s="88" t="n">
        <f aca="false">IF(B204=2026,INDEX($C$4:$Q$4,1,B204-2025)*$AO$4*C204/MAX(0.0001,12-$AO$3),INDEX($C$4:$Q$4,1,B204-2025)/12)</f>
        <v>3.89318965056346</v>
      </c>
      <c r="O204" s="88" t="n">
        <f aca="false">$AO$6*0</f>
        <v>0</v>
      </c>
      <c r="P204" s="88" t="n">
        <f aca="false">N204+P203</f>
        <v>1051.49479489806</v>
      </c>
      <c r="Q204" s="88" t="n">
        <f aca="false">O204+Q203</f>
        <v>398</v>
      </c>
      <c r="R204" s="88" t="n">
        <f aca="false">MAX(R203,P204-Q204)</f>
        <v>653.494794898058</v>
      </c>
      <c r="S204" s="88" t="n">
        <f aca="false">R204-R203</f>
        <v>3.8931896505635</v>
      </c>
      <c r="T204" s="88" t="n">
        <f aca="false">IF(B204=2026,INDEX($C$5:$Q$5,1,B204-2025)*$AO$4*C204/MAX(0.0001,12-$AO$3),INDEX($C$5:$Q$5,1,B204-2025)/12)</f>
        <v>15.8233280689987</v>
      </c>
      <c r="U204" s="88" t="n">
        <f aca="false">$AO$6*0</f>
        <v>0</v>
      </c>
      <c r="V204" s="88" t="n">
        <f aca="false">T204+V203</f>
        <v>4273.65440574117</v>
      </c>
      <c r="W204" s="88" t="n">
        <f aca="false">U204+W203</f>
        <v>1115</v>
      </c>
      <c r="X204" s="88" t="n">
        <f aca="false">MAX(X203,V204-W204)</f>
        <v>3158.65440574117</v>
      </c>
      <c r="Y204" s="88" t="n">
        <f aca="false">X204-X203</f>
        <v>15.8233280689983</v>
      </c>
      <c r="Z204" s="88" t="n">
        <f aca="false">IF(B204=2026,INDEX($C$6:$Q$6,1,B204-2025)*$AO$4*C204/MAX(0.0001,12-$AO$3),INDEX($C$6:$Q$6,1,B204-2025)/12)</f>
        <v>18.7730924675475</v>
      </c>
      <c r="AA204" s="88" t="n">
        <f aca="false">$AO$6*0</f>
        <v>0</v>
      </c>
      <c r="AB204" s="88" t="n">
        <f aca="false">Z204+AB203</f>
        <v>5070.3435448898</v>
      </c>
      <c r="AC204" s="88" t="n">
        <f aca="false">AA204+AC203</f>
        <v>2194</v>
      </c>
      <c r="AD204" s="88" t="n">
        <f aca="false">MAX(AD203,AB204-AC204)</f>
        <v>2876.3435448898</v>
      </c>
      <c r="AE204" s="88" t="n">
        <f aca="false">AD204-AD203</f>
        <v>18.7730924675479</v>
      </c>
      <c r="AF204" s="88" t="n">
        <f aca="false">IF(B204=2026,INDEX($C$7:$Q$7,1,B204-2025)*$AO$4*C204/MAX(0.0001,12-$AO$3),INDEX($C$7:$Q$7,1,B204-2025)/12)</f>
        <v>16.307524583029</v>
      </c>
      <c r="AG204" s="88" t="n">
        <f aca="false">$AO$6*0</f>
        <v>0</v>
      </c>
      <c r="AH204" s="88" t="n">
        <f aca="false">AF204+AH203</f>
        <v>4404.42895306817</v>
      </c>
      <c r="AI204" s="88" t="n">
        <f aca="false">AG204+AI203</f>
        <v>826</v>
      </c>
      <c r="AJ204" s="88" t="n">
        <f aca="false">MAX(AJ203,AH204-AI204)</f>
        <v>3578.42895306817</v>
      </c>
      <c r="AK204" s="88" t="n">
        <f aca="false">AJ204-AJ203</f>
        <v>16.3075245830287</v>
      </c>
      <c r="AL204" s="88" t="n">
        <f aca="false">IF(B204=2026,INDEX($C$8:$Q$8,1,B204-2025)*$AO$4*C204/MAX(0.0001,12-$AO$3),INDEX($C$8:$Q$8,1,B204-2025)/12)</f>
        <v>4.12503328527406</v>
      </c>
      <c r="AM204" s="88" t="n">
        <f aca="false">$AO$6*0</f>
        <v>0</v>
      </c>
      <c r="AN204" s="88" t="n">
        <f aca="false">AL204+AN203</f>
        <v>1114.11244186862</v>
      </c>
      <c r="AO204" s="88" t="n">
        <f aca="false">AM204+AO203</f>
        <v>66</v>
      </c>
      <c r="AP204" s="88" t="n">
        <f aca="false">MAX(AP203,AN204-AO204)</f>
        <v>1048.11244186862</v>
      </c>
      <c r="AQ204" s="88" t="n">
        <f aca="false">AP204-AP203</f>
        <v>4.12503328527396</v>
      </c>
      <c r="AR204" s="88" t="n">
        <f aca="false">IF(B204=2026,INDEX($C$9:$Q$9,1,B204-2025)*$AO$4*C204/MAX(0.0001,12-$AO$3),INDEX($C$9:$Q$9,1,B204-2025)/12)</f>
        <v>17.5889065179488</v>
      </c>
      <c r="AS204" s="88" t="n">
        <f aca="false">$AO$6*0</f>
        <v>0</v>
      </c>
      <c r="AT204" s="88" t="n">
        <f aca="false">AR204+AT203</f>
        <v>4750.51187113245</v>
      </c>
      <c r="AU204" s="88" t="n">
        <f aca="false">AS204+AU203</f>
        <v>1810</v>
      </c>
      <c r="AV204" s="88" t="n">
        <f aca="false">MAX(AV203,AT204-AU204)</f>
        <v>2940.51187113245</v>
      </c>
      <c r="AW204" s="88" t="n">
        <f aca="false">AV204-AV203</f>
        <v>17.588906517949</v>
      </c>
      <c r="AX204" s="88" t="n">
        <f aca="false">IF(B204=2026,INDEX($C$10:$Q$10,1,B204-2025)*$AO$4*C204/MAX(0.0001,12-$AO$3),INDEX($C$10:$Q$10,1,B204-2025)/12)</f>
        <v>2.04022398545332</v>
      </c>
      <c r="AY204" s="88" t="n">
        <f aca="false">$AO$6*0</f>
        <v>0</v>
      </c>
      <c r="AZ204" s="88" t="n">
        <f aca="false">AX204+AZ203</f>
        <v>551.035293340987</v>
      </c>
      <c r="BA204" s="88" t="n">
        <f aca="false">AY204+BA203</f>
        <v>50</v>
      </c>
      <c r="BB204" s="88" t="n">
        <f aca="false">MAX(BB203,AZ204-BA204)</f>
        <v>501.035293340987</v>
      </c>
      <c r="BC204" s="88" t="n">
        <f aca="false">BB204-BB203</f>
        <v>2.04022398545328</v>
      </c>
      <c r="BD204" s="88" t="n">
        <f aca="false">IF(B204=2026,INDEX($C$11:$Q$11,1,B204-2025)*$AO$4*C204/MAX(0.0001,12-$AO$3),INDEX($C$11:$Q$11,1,B204-2025)/12)</f>
        <v>10.1387004871522</v>
      </c>
      <c r="BE204" s="88" t="n">
        <f aca="false">$AO$6*0</f>
        <v>0</v>
      </c>
      <c r="BF204" s="88" t="n">
        <f aca="false">BD204+BF203</f>
        <v>2738.31786944363</v>
      </c>
      <c r="BG204" s="88" t="n">
        <f aca="false">BE204+BG203</f>
        <v>240</v>
      </c>
      <c r="BH204" s="88" t="n">
        <f aca="false">MAX(BH203,BF204-BG204)</f>
        <v>2498.31786944363</v>
      </c>
      <c r="BI204" s="88" t="n">
        <f aca="false">BH204-BH203</f>
        <v>10.1387004871522</v>
      </c>
      <c r="BJ204" s="88" t="n">
        <f aca="false">IF(B204=2026,INDEX($C$12:$Q$12,1,B204-2025)*$AO$4*C204/MAX(0.0001,12-$AO$3),INDEX($C$12:$Q$12,1,B204-2025)/12)</f>
        <v>5.55889699533041</v>
      </c>
      <c r="BK204" s="88" t="n">
        <f aca="false">$AO$6*0</f>
        <v>0</v>
      </c>
      <c r="BL204" s="88" t="n">
        <f aca="false">BJ204+BL203</f>
        <v>1501.37850467121</v>
      </c>
      <c r="BM204" s="88" t="n">
        <f aca="false">BK204+BM203</f>
        <v>465</v>
      </c>
      <c r="BN204" s="88" t="n">
        <f aca="false">MAX(BN203,BL204-BM204)</f>
        <v>1036.37850467121</v>
      </c>
      <c r="BO204" s="88" t="n">
        <f aca="false">BN204-BN203</f>
        <v>5.55889699533054</v>
      </c>
      <c r="BP204" s="88" t="n">
        <f aca="false">IF(B204=2026,INDEX($C$13:$Q$13,1,B204-2025)*$AO$4*C204/MAX(0.0001,12-$AO$3),INDEX($C$13:$Q$13,1,B204-2025)/12)</f>
        <v>1.73714121342165</v>
      </c>
      <c r="BQ204" s="88" t="n">
        <f aca="false">$AO$6*0</f>
        <v>0</v>
      </c>
      <c r="BR204" s="88" t="n">
        <f aca="false">BP204+BR203</f>
        <v>469.176975144634</v>
      </c>
      <c r="BS204" s="88" t="n">
        <f aca="false">BQ204+BS203</f>
        <v>87</v>
      </c>
      <c r="BT204" s="88" t="n">
        <f aca="false">MAX(BT203,BR204-BS204)</f>
        <v>382.176975144634</v>
      </c>
      <c r="BU204" s="88" t="n">
        <f aca="false">BT204-BT203</f>
        <v>1.73714121342164</v>
      </c>
      <c r="BV204" s="88" t="n">
        <f aca="false">IF(B204=2026,INDEX($C$14:$Q$14,1,B204-2025)*$AO$4*C204/MAX(0.0001,12-$AO$3),INDEX($C$14:$Q$14,1,B204-2025)/12)</f>
        <v>1.0303044438225</v>
      </c>
      <c r="BW204" s="88" t="n">
        <f aca="false">$AO$6*0</f>
        <v>0</v>
      </c>
      <c r="BX204" s="88" t="n">
        <f aca="false">BV204+BX203</f>
        <v>278.270481809922</v>
      </c>
      <c r="BY204" s="88" t="n">
        <f aca="false">BW204+BY203</f>
        <v>0</v>
      </c>
      <c r="BZ204" s="88" t="n">
        <f aca="false">MAX(BZ203,BX204-BY204)</f>
        <v>278.270481809922</v>
      </c>
      <c r="CA204" s="88" t="n">
        <f aca="false">BZ204-BZ203</f>
        <v>1.0303044438225</v>
      </c>
      <c r="CB204" s="88" t="n">
        <f aca="false">IF(B204=2026,INDEX($C$15:$Q$15,1,B204-2025)*$AO$4*C204/MAX(0.0001,12-$AO$3),INDEX($C$15:$Q$15,1,B204-2025)/12)</f>
        <v>1.68922007649967</v>
      </c>
      <c r="CC204" s="88" t="n">
        <f aca="false">$AO$6*0</f>
        <v>0</v>
      </c>
      <c r="CD204" s="88" t="n">
        <f aca="false">CB204+CD203</f>
        <v>456.234162037197</v>
      </c>
      <c r="CE204" s="88" t="n">
        <f aca="false">CC204+CE203</f>
        <v>88.0000000000001</v>
      </c>
      <c r="CF204" s="88" t="n">
        <f aca="false">MAX(CF203,CD204-CE204)</f>
        <v>368.234162037197</v>
      </c>
      <c r="CG204" s="88" t="n">
        <f aca="false">CF204-CF203</f>
        <v>1.68922007649968</v>
      </c>
      <c r="CH204" s="88" t="n">
        <f aca="false">IF(B204=2026,INDEX($C$16:$Q$16,1,B204-2025)*$AO$4*C204/MAX(0.0001,12-$AO$3),INDEX($C$16:$Q$16,1,B204-2025)/12)</f>
        <v>1.3358016917001</v>
      </c>
      <c r="CI204" s="88" t="n">
        <f aca="false">$AO$6*0</f>
        <v>0</v>
      </c>
      <c r="CJ204" s="88" t="n">
        <f aca="false">CH204+CJ203</f>
        <v>360.780915369839</v>
      </c>
      <c r="CK204" s="88" t="n">
        <f aca="false">CI204+CK203</f>
        <v>70</v>
      </c>
      <c r="CL204" s="88" t="n">
        <f aca="false">MAX(CL203,CJ204-CK204)</f>
        <v>290.78091536984</v>
      </c>
      <c r="CM204" s="88" t="n">
        <f aca="false">CL204-CL203</f>
        <v>1.33580169170011</v>
      </c>
      <c r="CN204" s="88" t="n">
        <f aca="false">IF(B204=2026,INDEX($C$17:$Q$17,1,B204-2025)*$AO$4*C204/MAX(0.0001,12-$AO$3),INDEX($C$17:$Q$17,1,B204-2025)/12)</f>
        <v>5.81642799390491</v>
      </c>
      <c r="CO204" s="88" t="n">
        <f aca="false">$AO$6*0</f>
        <v>0</v>
      </c>
      <c r="CP204" s="88" t="n">
        <f aca="false">CN204+CP203</f>
        <v>1570.93394091532</v>
      </c>
      <c r="CQ204" s="88" t="n">
        <f aca="false">CO204+CQ203</f>
        <v>221</v>
      </c>
      <c r="CR204" s="88" t="n">
        <f aca="false">MAX(CR203,CP204-CQ204)</f>
        <v>1349.93394091532</v>
      </c>
      <c r="CS204" s="88" t="n">
        <f aca="false">CR204-CR203</f>
        <v>5.81642799390488</v>
      </c>
      <c r="CT204" s="88" t="n">
        <f aca="false">IF(B204=2026,INDEX($C$18:$Q$18,1,B204-2025)*$AO$4*C204/MAX(0.0001,12-$AO$3),INDEX($C$18:$Q$18,1,B204-2025)/12)</f>
        <v>1.21000870727991</v>
      </c>
      <c r="CU204" s="88" t="n">
        <f aca="false">$AO$6*0</f>
        <v>0</v>
      </c>
      <c r="CV204" s="88" t="n">
        <f aca="false">CT204+CV203</f>
        <v>326.806030962815</v>
      </c>
      <c r="CW204" s="88" t="n">
        <f aca="false">CU204+CW203</f>
        <v>11</v>
      </c>
      <c r="CX204" s="88" t="n">
        <f aca="false">MAX(CX203,CV204-CW204)</f>
        <v>315.806030962815</v>
      </c>
      <c r="CY204" s="88" t="n">
        <f aca="false">CX204-CX203</f>
        <v>1.21000870727988</v>
      </c>
      <c r="CZ204" s="88" t="n">
        <f aca="false">IF(B204=2026,INDEX($C$19:$Q$19,1,B204-2025)*$AO$4*C204/MAX(0.0001,12-$AO$3),INDEX($C$19:$Q$19,1,B204-2025)/12)</f>
        <v>1.19802842304941</v>
      </c>
      <c r="DA204" s="88" t="n">
        <f aca="false">$AO$6*0</f>
        <v>0</v>
      </c>
      <c r="DB204" s="88" t="n">
        <f aca="false">CZ204+DB203</f>
        <v>323.570327685956</v>
      </c>
      <c r="DC204" s="88" t="n">
        <f aca="false">DA204+DC203</f>
        <v>226</v>
      </c>
      <c r="DD204" s="88" t="n">
        <f aca="false">MAX(DD203,DB204-DC204)</f>
        <v>97.5703276859558</v>
      </c>
      <c r="DE204" s="88" t="n">
        <f aca="false">DD204-DD203</f>
        <v>1.19802842304944</v>
      </c>
      <c r="DF204" s="88" t="n">
        <f aca="false">IF(B204=2026,INDEX($C$20:$Q$20,1,B204-2025)*$AO$4*C204/MAX(0.0001,12-$AO$3),INDEX($C$20:$Q$20,1,B204-2025)/12)</f>
        <v>0.976393164785272</v>
      </c>
      <c r="DG204" s="88" t="n">
        <f aca="false">$AO$6*0</f>
        <v>0</v>
      </c>
      <c r="DH204" s="88" t="n">
        <f aca="false">DF204+DH203</f>
        <v>263.709817064054</v>
      </c>
      <c r="DI204" s="88" t="n">
        <f aca="false">DG204+DI203</f>
        <v>0</v>
      </c>
      <c r="DJ204" s="88" t="n">
        <f aca="false">MAX(DJ203,DH204-DI204)</f>
        <v>263.709817064054</v>
      </c>
      <c r="DK204" s="88" t="n">
        <f aca="false">DJ204-DJ203</f>
        <v>0.976393164785293</v>
      </c>
      <c r="DL204" s="88" t="n">
        <f aca="false">IF(B204=2026,INDEX($C$21:$Q$21,1,B204-2025)*$AO$4*C204/MAX(0.0001,12-$AO$3),INDEX($C$21:$Q$21,1,B204-2025)/12)</f>
        <v>0.682876201138166</v>
      </c>
      <c r="DM204" s="88" t="n">
        <f aca="false">$AO$6*0</f>
        <v>0</v>
      </c>
      <c r="DN204" s="88" t="n">
        <f aca="false">DL204+DN203</f>
        <v>184.435086780994</v>
      </c>
      <c r="DO204" s="88" t="n">
        <f aca="false">DM204+DO203</f>
        <v>100</v>
      </c>
      <c r="DP204" s="88" t="n">
        <f aca="false">MAX(DP203,DN204-DO204)</f>
        <v>84.4350867809942</v>
      </c>
      <c r="DQ204" s="88" t="n">
        <f aca="false">DP204-DP203</f>
        <v>0.682876201138157</v>
      </c>
      <c r="DR204" s="88" t="n">
        <f aca="false">IF(B204=2026,INDEX($C$22:$Q$22,1,B204-2025)*$AO$4*C204/MAX(0.0001,12-$AO$3),INDEX($C$22:$Q$22,1,B204-2025)/12)</f>
        <v>0.533122648256989</v>
      </c>
      <c r="DS204" s="88" t="n">
        <f aca="false">$AO$6*0</f>
        <v>0</v>
      </c>
      <c r="DT204" s="88" t="n">
        <f aca="false">DR204+DT203</f>
        <v>143.98879582025</v>
      </c>
      <c r="DU204" s="88" t="n">
        <f aca="false">DS204+DU203</f>
        <v>29</v>
      </c>
      <c r="DV204" s="88" t="n">
        <f aca="false">MAX(DV203,DT204-DU204)</f>
        <v>114.98879582025</v>
      </c>
      <c r="DW204" s="88" t="n">
        <f aca="false">DV204-DV203</f>
        <v>0.533122648256978</v>
      </c>
      <c r="DX204" s="88" t="n">
        <f aca="false">IF(B204=2026,INDEX($C$23:$Q$23,1,B204-2025)*$AO$4*C204/MAX(0.0001,12-$AO$3),INDEX($C$23:$Q$23,1,B204-2025)/12)</f>
        <v>0.856590322480331</v>
      </c>
      <c r="DY204" s="88" t="n">
        <f aca="false">$AO$6*0</f>
        <v>0</v>
      </c>
      <c r="DZ204" s="88" t="n">
        <f aca="false">DX204+DZ203</f>
        <v>231.352784295458</v>
      </c>
      <c r="EA204" s="88" t="n">
        <f aca="false">DY204+EA203</f>
        <v>121</v>
      </c>
      <c r="EB204" s="88" t="n">
        <f aca="false">MAX(EB203,DZ204-EA204)</f>
        <v>110.352784295459</v>
      </c>
      <c r="EC204" s="88" t="n">
        <f aca="false">EB204-EB203</f>
        <v>0.856590322480344</v>
      </c>
      <c r="ED204" s="88" t="n">
        <f aca="false">IF(B204=2026,INDEX($C$24:$Q$24,1,B204-2025)*$AO$4*C204/MAX(0.0001,12-$AO$3),INDEX($C$24:$Q$24,1,B204-2025)/12)</f>
        <v>0.527132506141742</v>
      </c>
      <c r="EE204" s="88" t="n">
        <f aca="false">$AO$6*0</f>
        <v>0</v>
      </c>
      <c r="EF204" s="88" t="n">
        <f aca="false">ED204+EF203</f>
        <v>142.37094418182</v>
      </c>
      <c r="EG204" s="88" t="n">
        <f aca="false">EE204+EG203</f>
        <v>0</v>
      </c>
      <c r="EH204" s="88" t="n">
        <f aca="false">MAX(EH203,EF204-EG204)</f>
        <v>142.37094418182</v>
      </c>
      <c r="EI204" s="88" t="n">
        <f aca="false">EH204-EH203</f>
        <v>0.527132506141754</v>
      </c>
      <c r="EJ204" s="88" t="n">
        <f aca="false">IF(B204=2026,INDEX($C$25:$Q$25,1,B204-2025)*$AO$4*C204/MAX(0.0001,12-$AO$3),INDEX($C$25:$Q$25,1,B204-2025)/12)</f>
        <v>0.670895916907672</v>
      </c>
      <c r="EK204" s="88" t="n">
        <f aca="false">$AO$6*0</f>
        <v>0</v>
      </c>
      <c r="EL204" s="88" t="n">
        <f aca="false">EJ204+EL203</f>
        <v>181.199383504135</v>
      </c>
      <c r="EM204" s="88" t="n">
        <f aca="false">EK204+EM203</f>
        <v>14</v>
      </c>
      <c r="EN204" s="88" t="n">
        <f aca="false">MAX(EN203,EL204-EM204)</f>
        <v>167.199383504135</v>
      </c>
      <c r="EO204" s="88" t="n">
        <f aca="false">EN204-EN203</f>
        <v>0.670895916907682</v>
      </c>
      <c r="EP204" s="88" t="n">
        <f aca="false">IF(B204=2026,INDEX($C$26:$Q$26,1,B204-2025)*$AO$4*C204/MAX(0.0001,12-$AO$3),INDEX($C$26:$Q$26,1,B204-2025)/12)</f>
        <v>0.964412880554778</v>
      </c>
      <c r="EQ204" s="88" t="n">
        <f aca="false">$AO$6*0</f>
        <v>0</v>
      </c>
      <c r="ER204" s="88" t="n">
        <f aca="false">EP204+ER203</f>
        <v>260.474113787193</v>
      </c>
      <c r="ES204" s="88" t="n">
        <f aca="false">EQ204+ES203</f>
        <v>4</v>
      </c>
      <c r="ET204" s="88" t="n">
        <f aca="false">MAX(ET203,ER204-ES204)</f>
        <v>256.474113787193</v>
      </c>
      <c r="EU204" s="88" t="n">
        <f aca="false">ET204-ET203</f>
        <v>0.964412880554789</v>
      </c>
      <c r="EV204" s="88" t="n">
        <f aca="false">IF(B204=2026,INDEX($C$27:$Q$27,1,B204-2025)*$AO$4*C204/MAX(0.0001,12-$AO$3),INDEX($C$27:$Q$27,1,B204-2025)/12)</f>
        <v>2.39605684609883</v>
      </c>
      <c r="EW204" s="88" t="n">
        <f aca="false">$AO$6*0</f>
        <v>0</v>
      </c>
      <c r="EX204" s="88" t="n">
        <f aca="false">EV204+EX203</f>
        <v>647.140655371911</v>
      </c>
      <c r="EY204" s="88" t="n">
        <f aca="false">EW204+EY203</f>
        <v>391</v>
      </c>
      <c r="EZ204" s="88" t="n">
        <f aca="false">MAX(EZ203,EX204-EY204)</f>
        <v>256.140655371911</v>
      </c>
      <c r="FA204" s="88" t="n">
        <f aca="false">EZ204-EZ203</f>
        <v>2.39605684609887</v>
      </c>
      <c r="FB204" s="88" t="n">
        <f aca="false">IF(B204=2026,INDEX($C$28:$Q$28,1,B204-2025)*$AO$4*C204/MAX(0.0001,12-$AO$3),INDEX($C$28:$Q$28,1,B204-2025)/12)</f>
        <v>12.5433575893274</v>
      </c>
      <c r="FC204" s="88" t="n">
        <f aca="false">$AO$6*0</f>
        <v>0</v>
      </c>
      <c r="FD204" s="88" t="n">
        <f aca="false">FB204+FD203</f>
        <v>3387.78133087195</v>
      </c>
      <c r="FE204" s="88" t="n">
        <f aca="false">FC204+FE203</f>
        <v>169</v>
      </c>
      <c r="FF204" s="88" t="n">
        <f aca="false">MAX(FF203,FD204-FE204)</f>
        <v>3218.78133087195</v>
      </c>
      <c r="FG204" s="88" t="n">
        <f aca="false">FF204-FF203</f>
        <v>12.5433575893276</v>
      </c>
    </row>
    <row r="205" customFormat="false" ht="15" hidden="false" customHeight="false" outlineLevel="0" collapsed="false">
      <c r="A205" s="0" t="n">
        <v>165</v>
      </c>
      <c r="B205" s="88" t="n">
        <f aca="false">2026+INT(A205/12)</f>
        <v>2039</v>
      </c>
      <c r="C205" s="88" t="n">
        <f aca="false">MAX(0,MIN(1,A205+1-$AO$3))</f>
        <v>1</v>
      </c>
      <c r="D205" s="88" t="n">
        <f aca="false">IF((A205+0.5-(0))&lt;$AO$3,0,2026+INT((A205+0.5-(0))/12))</f>
        <v>2039</v>
      </c>
      <c r="E205" s="88" t="n">
        <f aca="false">IF((A205+0.5-($AO$9))&lt;$AO$3,0,2026+INT((A205+0.5-($AO$9))/12))</f>
        <v>2038</v>
      </c>
      <c r="F205" s="88" t="n">
        <f aca="false">IF((A205+0.5-($AO$9+$AO$8))&lt;$AO$3,0,2026+INT((A205+0.5-($AO$9+$AO$8))/12))</f>
        <v>2037</v>
      </c>
      <c r="G205" s="88" t="n">
        <f aca="false">IF((A205+0.5-($AO$9+$AO$8+$AO$7))&lt;$AO$3,0,2026+INT((A205+0.5-($AO$9+$AO$8+$AO$7))/12))</f>
        <v>2036</v>
      </c>
      <c r="H205" s="88" t="n">
        <f aca="false">IF(B205=2026,INDEX($C$3:$Q$3,1,B205-2025)*$AO$4*C205/MAX(0.0001,12-$AO$3),INDEX($C$3:$Q$3,1,B205-2025)/12)</f>
        <v>128.416666666667</v>
      </c>
      <c r="I205" s="88" t="n">
        <f aca="false">$AO$6*0</f>
        <v>0</v>
      </c>
      <c r="J205" s="88" t="n">
        <f aca="false">H205+J204</f>
        <v>34811.9200913242</v>
      </c>
      <c r="K205" s="88" t="n">
        <f aca="false">I205+K204</f>
        <v>8695.00000000001</v>
      </c>
      <c r="L205" s="88" t="n">
        <f aca="false">MAX(L204,J205-K205)</f>
        <v>26116.9200913242</v>
      </c>
      <c r="M205" s="88" t="n">
        <f aca="false">L205-L204</f>
        <v>128.416666666664</v>
      </c>
      <c r="N205" s="88" t="n">
        <f aca="false">IF(B205=2026,INDEX($C$4:$Q$4,1,B205-2025)*$AO$4*C205/MAX(0.0001,12-$AO$3),INDEX($C$4:$Q$4,1,B205-2025)/12)</f>
        <v>3.89318965056346</v>
      </c>
      <c r="O205" s="88" t="n">
        <f aca="false">$AO$6*0</f>
        <v>0</v>
      </c>
      <c r="P205" s="88" t="n">
        <f aca="false">N205+P204</f>
        <v>1055.38798454862</v>
      </c>
      <c r="Q205" s="88" t="n">
        <f aca="false">O205+Q204</f>
        <v>398</v>
      </c>
      <c r="R205" s="88" t="n">
        <f aca="false">MAX(R204,P205-Q205)</f>
        <v>657.387984548622</v>
      </c>
      <c r="S205" s="88" t="n">
        <f aca="false">R205-R204</f>
        <v>3.8931896505635</v>
      </c>
      <c r="T205" s="88" t="n">
        <f aca="false">IF(B205=2026,INDEX($C$5:$Q$5,1,B205-2025)*$AO$4*C205/MAX(0.0001,12-$AO$3),INDEX($C$5:$Q$5,1,B205-2025)/12)</f>
        <v>15.8233280689987</v>
      </c>
      <c r="U205" s="88" t="n">
        <f aca="false">$AO$6*0</f>
        <v>0</v>
      </c>
      <c r="V205" s="88" t="n">
        <f aca="false">T205+V204</f>
        <v>4289.47773381017</v>
      </c>
      <c r="W205" s="88" t="n">
        <f aca="false">U205+W204</f>
        <v>1115</v>
      </c>
      <c r="X205" s="88" t="n">
        <f aca="false">MAX(X204,V205-W205)</f>
        <v>3174.47773381017</v>
      </c>
      <c r="Y205" s="88" t="n">
        <f aca="false">X205-X204</f>
        <v>15.8233280689983</v>
      </c>
      <c r="Z205" s="88" t="n">
        <f aca="false">IF(B205=2026,INDEX($C$6:$Q$6,1,B205-2025)*$AO$4*C205/MAX(0.0001,12-$AO$3),INDEX($C$6:$Q$6,1,B205-2025)/12)</f>
        <v>18.7730924675475</v>
      </c>
      <c r="AA205" s="88" t="n">
        <f aca="false">$AO$6*0</f>
        <v>0</v>
      </c>
      <c r="AB205" s="88" t="n">
        <f aca="false">Z205+AB204</f>
        <v>5089.11663735735</v>
      </c>
      <c r="AC205" s="88" t="n">
        <f aca="false">AA205+AC204</f>
        <v>2194</v>
      </c>
      <c r="AD205" s="88" t="n">
        <f aca="false">MAX(AD204,AB205-AC205)</f>
        <v>2895.11663735734</v>
      </c>
      <c r="AE205" s="88" t="n">
        <f aca="false">AD205-AD204</f>
        <v>18.7730924675479</v>
      </c>
      <c r="AF205" s="88" t="n">
        <f aca="false">IF(B205=2026,INDEX($C$7:$Q$7,1,B205-2025)*$AO$4*C205/MAX(0.0001,12-$AO$3),INDEX($C$7:$Q$7,1,B205-2025)/12)</f>
        <v>16.307524583029</v>
      </c>
      <c r="AG205" s="88" t="n">
        <f aca="false">$AO$6*0</f>
        <v>0</v>
      </c>
      <c r="AH205" s="88" t="n">
        <f aca="false">AF205+AH204</f>
        <v>4420.7364776512</v>
      </c>
      <c r="AI205" s="88" t="n">
        <f aca="false">AG205+AI204</f>
        <v>826</v>
      </c>
      <c r="AJ205" s="88" t="n">
        <f aca="false">MAX(AJ204,AH205-AI205)</f>
        <v>3594.7364776512</v>
      </c>
      <c r="AK205" s="88" t="n">
        <f aca="false">AJ205-AJ204</f>
        <v>16.3075245830287</v>
      </c>
      <c r="AL205" s="88" t="n">
        <f aca="false">IF(B205=2026,INDEX($C$8:$Q$8,1,B205-2025)*$AO$4*C205/MAX(0.0001,12-$AO$3),INDEX($C$8:$Q$8,1,B205-2025)/12)</f>
        <v>4.12503328527406</v>
      </c>
      <c r="AM205" s="88" t="n">
        <f aca="false">$AO$6*0</f>
        <v>0</v>
      </c>
      <c r="AN205" s="88" t="n">
        <f aca="false">AL205+AN204</f>
        <v>1118.2374751539</v>
      </c>
      <c r="AO205" s="88" t="n">
        <f aca="false">AM205+AO204</f>
        <v>66</v>
      </c>
      <c r="AP205" s="88" t="n">
        <f aca="false">MAX(AP204,AN205-AO205)</f>
        <v>1052.2374751539</v>
      </c>
      <c r="AQ205" s="88" t="n">
        <f aca="false">AP205-AP204</f>
        <v>4.12503328527396</v>
      </c>
      <c r="AR205" s="88" t="n">
        <f aca="false">IF(B205=2026,INDEX($C$9:$Q$9,1,B205-2025)*$AO$4*C205/MAX(0.0001,12-$AO$3),INDEX($C$9:$Q$9,1,B205-2025)/12)</f>
        <v>17.5889065179488</v>
      </c>
      <c r="AS205" s="88" t="n">
        <f aca="false">$AO$6*0</f>
        <v>0</v>
      </c>
      <c r="AT205" s="88" t="n">
        <f aca="false">AR205+AT204</f>
        <v>4768.1007776504</v>
      </c>
      <c r="AU205" s="88" t="n">
        <f aca="false">AS205+AU204</f>
        <v>1810</v>
      </c>
      <c r="AV205" s="88" t="n">
        <f aca="false">MAX(AV204,AT205-AU205)</f>
        <v>2958.1007776504</v>
      </c>
      <c r="AW205" s="88" t="n">
        <f aca="false">AV205-AV204</f>
        <v>17.588906517949</v>
      </c>
      <c r="AX205" s="88" t="n">
        <f aca="false">IF(B205=2026,INDEX($C$10:$Q$10,1,B205-2025)*$AO$4*C205/MAX(0.0001,12-$AO$3),INDEX($C$10:$Q$10,1,B205-2025)/12)</f>
        <v>2.04022398545332</v>
      </c>
      <c r="AY205" s="88" t="n">
        <f aca="false">$AO$6*0</f>
        <v>0</v>
      </c>
      <c r="AZ205" s="88" t="n">
        <f aca="false">AX205+AZ204</f>
        <v>553.075517326441</v>
      </c>
      <c r="BA205" s="88" t="n">
        <f aca="false">AY205+BA204</f>
        <v>50</v>
      </c>
      <c r="BB205" s="88" t="n">
        <f aca="false">MAX(BB204,AZ205-BA205)</f>
        <v>503.075517326441</v>
      </c>
      <c r="BC205" s="88" t="n">
        <f aca="false">BB205-BB204</f>
        <v>2.04022398545328</v>
      </c>
      <c r="BD205" s="88" t="n">
        <f aca="false">IF(B205=2026,INDEX($C$11:$Q$11,1,B205-2025)*$AO$4*C205/MAX(0.0001,12-$AO$3),INDEX($C$11:$Q$11,1,B205-2025)/12)</f>
        <v>10.1387004871522</v>
      </c>
      <c r="BE205" s="88" t="n">
        <f aca="false">$AO$6*0</f>
        <v>0</v>
      </c>
      <c r="BF205" s="88" t="n">
        <f aca="false">BD205+BF204</f>
        <v>2748.45656993078</v>
      </c>
      <c r="BG205" s="88" t="n">
        <f aca="false">BE205+BG204</f>
        <v>240</v>
      </c>
      <c r="BH205" s="88" t="n">
        <f aca="false">MAX(BH204,BF205-BG205)</f>
        <v>2508.45656993078</v>
      </c>
      <c r="BI205" s="88" t="n">
        <f aca="false">BH205-BH204</f>
        <v>10.1387004871522</v>
      </c>
      <c r="BJ205" s="88" t="n">
        <f aca="false">IF(B205=2026,INDEX($C$12:$Q$12,1,B205-2025)*$AO$4*C205/MAX(0.0001,12-$AO$3),INDEX($C$12:$Q$12,1,B205-2025)/12)</f>
        <v>5.55889699533041</v>
      </c>
      <c r="BK205" s="88" t="n">
        <f aca="false">$AO$6*0</f>
        <v>0</v>
      </c>
      <c r="BL205" s="88" t="n">
        <f aca="false">BJ205+BL204</f>
        <v>1506.93740166654</v>
      </c>
      <c r="BM205" s="88" t="n">
        <f aca="false">BK205+BM204</f>
        <v>465</v>
      </c>
      <c r="BN205" s="88" t="n">
        <f aca="false">MAX(BN204,BL205-BM205)</f>
        <v>1041.93740166654</v>
      </c>
      <c r="BO205" s="88" t="n">
        <f aca="false">BN205-BN204</f>
        <v>5.55889699533009</v>
      </c>
      <c r="BP205" s="88" t="n">
        <f aca="false">IF(B205=2026,INDEX($C$13:$Q$13,1,B205-2025)*$AO$4*C205/MAX(0.0001,12-$AO$3),INDEX($C$13:$Q$13,1,B205-2025)/12)</f>
        <v>1.73714121342165</v>
      </c>
      <c r="BQ205" s="88" t="n">
        <f aca="false">$AO$6*0</f>
        <v>0</v>
      </c>
      <c r="BR205" s="88" t="n">
        <f aca="false">BP205+BR204</f>
        <v>470.914116358056</v>
      </c>
      <c r="BS205" s="88" t="n">
        <f aca="false">BQ205+BS204</f>
        <v>87</v>
      </c>
      <c r="BT205" s="88" t="n">
        <f aca="false">MAX(BT204,BR205-BS205)</f>
        <v>383.914116358056</v>
      </c>
      <c r="BU205" s="88" t="n">
        <f aca="false">BT205-BT204</f>
        <v>1.73714121342164</v>
      </c>
      <c r="BV205" s="88" t="n">
        <f aca="false">IF(B205=2026,INDEX($C$14:$Q$14,1,B205-2025)*$AO$4*C205/MAX(0.0001,12-$AO$3),INDEX($C$14:$Q$14,1,B205-2025)/12)</f>
        <v>1.0303044438225</v>
      </c>
      <c r="BW205" s="88" t="n">
        <f aca="false">$AO$6*0</f>
        <v>0</v>
      </c>
      <c r="BX205" s="88" t="n">
        <f aca="false">BV205+BX204</f>
        <v>279.300786253745</v>
      </c>
      <c r="BY205" s="88" t="n">
        <f aca="false">BW205+BY204</f>
        <v>0</v>
      </c>
      <c r="BZ205" s="88" t="n">
        <f aca="false">MAX(BZ204,BX205-BY205)</f>
        <v>279.300786253745</v>
      </c>
      <c r="CA205" s="88" t="n">
        <f aca="false">BZ205-BZ204</f>
        <v>1.0303044438225</v>
      </c>
      <c r="CB205" s="88" t="n">
        <f aca="false">IF(B205=2026,INDEX($C$15:$Q$15,1,B205-2025)*$AO$4*C205/MAX(0.0001,12-$AO$3),INDEX($C$15:$Q$15,1,B205-2025)/12)</f>
        <v>1.68922007649967</v>
      </c>
      <c r="CC205" s="88" t="n">
        <f aca="false">$AO$6*0</f>
        <v>0</v>
      </c>
      <c r="CD205" s="88" t="n">
        <f aca="false">CB205+CD204</f>
        <v>457.923382113696</v>
      </c>
      <c r="CE205" s="88" t="n">
        <f aca="false">CC205+CE204</f>
        <v>88.0000000000001</v>
      </c>
      <c r="CF205" s="88" t="n">
        <f aca="false">MAX(CF204,CD205-CE205)</f>
        <v>369.923382113696</v>
      </c>
      <c r="CG205" s="88" t="n">
        <f aca="false">CF205-CF204</f>
        <v>1.68922007649968</v>
      </c>
      <c r="CH205" s="88" t="n">
        <f aca="false">IF(B205=2026,INDEX($C$16:$Q$16,1,B205-2025)*$AO$4*C205/MAX(0.0001,12-$AO$3),INDEX($C$16:$Q$16,1,B205-2025)/12)</f>
        <v>1.3358016917001</v>
      </c>
      <c r="CI205" s="88" t="n">
        <f aca="false">$AO$6*0</f>
        <v>0</v>
      </c>
      <c r="CJ205" s="88" t="n">
        <f aca="false">CH205+CJ204</f>
        <v>362.11671706154</v>
      </c>
      <c r="CK205" s="88" t="n">
        <f aca="false">CI205+CK204</f>
        <v>70</v>
      </c>
      <c r="CL205" s="88" t="n">
        <f aca="false">MAX(CL204,CJ205-CK205)</f>
        <v>292.11671706154</v>
      </c>
      <c r="CM205" s="88" t="n">
        <f aca="false">CL205-CL204</f>
        <v>1.33580169170011</v>
      </c>
      <c r="CN205" s="88" t="n">
        <f aca="false">IF(B205=2026,INDEX($C$17:$Q$17,1,B205-2025)*$AO$4*C205/MAX(0.0001,12-$AO$3),INDEX($C$17:$Q$17,1,B205-2025)/12)</f>
        <v>5.81642799390491</v>
      </c>
      <c r="CO205" s="88" t="n">
        <f aca="false">$AO$6*0</f>
        <v>0</v>
      </c>
      <c r="CP205" s="88" t="n">
        <f aca="false">CN205+CP204</f>
        <v>1576.75036890922</v>
      </c>
      <c r="CQ205" s="88" t="n">
        <f aca="false">CO205+CQ204</f>
        <v>221</v>
      </c>
      <c r="CR205" s="88" t="n">
        <f aca="false">MAX(CR204,CP205-CQ205)</f>
        <v>1355.75036890922</v>
      </c>
      <c r="CS205" s="88" t="n">
        <f aca="false">CR205-CR204</f>
        <v>5.81642799390488</v>
      </c>
      <c r="CT205" s="88" t="n">
        <f aca="false">IF(B205=2026,INDEX($C$18:$Q$18,1,B205-2025)*$AO$4*C205/MAX(0.0001,12-$AO$3),INDEX($C$18:$Q$18,1,B205-2025)/12)</f>
        <v>1.21000870727991</v>
      </c>
      <c r="CU205" s="88" t="n">
        <f aca="false">$AO$6*0</f>
        <v>0</v>
      </c>
      <c r="CV205" s="88" t="n">
        <f aca="false">CT205+CV204</f>
        <v>328.016039670094</v>
      </c>
      <c r="CW205" s="88" t="n">
        <f aca="false">CU205+CW204</f>
        <v>11</v>
      </c>
      <c r="CX205" s="88" t="n">
        <f aca="false">MAX(CX204,CV205-CW205)</f>
        <v>317.016039670094</v>
      </c>
      <c r="CY205" s="88" t="n">
        <f aca="false">CX205-CX204</f>
        <v>1.21000870727988</v>
      </c>
      <c r="CZ205" s="88" t="n">
        <f aca="false">IF(B205=2026,INDEX($C$19:$Q$19,1,B205-2025)*$AO$4*C205/MAX(0.0001,12-$AO$3),INDEX($C$19:$Q$19,1,B205-2025)/12)</f>
        <v>1.19802842304941</v>
      </c>
      <c r="DA205" s="88" t="n">
        <f aca="false">$AO$6*0</f>
        <v>0</v>
      </c>
      <c r="DB205" s="88" t="n">
        <f aca="false">CZ205+DB204</f>
        <v>324.768356109005</v>
      </c>
      <c r="DC205" s="88" t="n">
        <f aca="false">DA205+DC204</f>
        <v>226</v>
      </c>
      <c r="DD205" s="88" t="n">
        <f aca="false">MAX(DD204,DB205-DC205)</f>
        <v>98.7683561090052</v>
      </c>
      <c r="DE205" s="88" t="n">
        <f aca="false">DD205-DD204</f>
        <v>1.19802842304944</v>
      </c>
      <c r="DF205" s="88" t="n">
        <f aca="false">IF(B205=2026,INDEX($C$20:$Q$20,1,B205-2025)*$AO$4*C205/MAX(0.0001,12-$AO$3),INDEX($C$20:$Q$20,1,B205-2025)/12)</f>
        <v>0.976393164785272</v>
      </c>
      <c r="DG205" s="88" t="n">
        <f aca="false">$AO$6*0</f>
        <v>0</v>
      </c>
      <c r="DH205" s="88" t="n">
        <f aca="false">DF205+DH204</f>
        <v>264.686210228839</v>
      </c>
      <c r="DI205" s="88" t="n">
        <f aca="false">DG205+DI204</f>
        <v>0</v>
      </c>
      <c r="DJ205" s="88" t="n">
        <f aca="false">MAX(DJ204,DH205-DI205)</f>
        <v>264.686210228839</v>
      </c>
      <c r="DK205" s="88" t="n">
        <f aca="false">DJ205-DJ204</f>
        <v>0.976393164785293</v>
      </c>
      <c r="DL205" s="88" t="n">
        <f aca="false">IF(B205=2026,INDEX($C$21:$Q$21,1,B205-2025)*$AO$4*C205/MAX(0.0001,12-$AO$3),INDEX($C$21:$Q$21,1,B205-2025)/12)</f>
        <v>0.682876201138166</v>
      </c>
      <c r="DM205" s="88" t="n">
        <f aca="false">$AO$6*0</f>
        <v>0</v>
      </c>
      <c r="DN205" s="88" t="n">
        <f aca="false">DL205+DN204</f>
        <v>185.117962982132</v>
      </c>
      <c r="DO205" s="88" t="n">
        <f aca="false">DM205+DO204</f>
        <v>100</v>
      </c>
      <c r="DP205" s="88" t="n">
        <f aca="false">MAX(DP204,DN205-DO205)</f>
        <v>85.1179629821324</v>
      </c>
      <c r="DQ205" s="88" t="n">
        <f aca="false">DP205-DP204</f>
        <v>0.682876201138157</v>
      </c>
      <c r="DR205" s="88" t="n">
        <f aca="false">IF(B205=2026,INDEX($C$22:$Q$22,1,B205-2025)*$AO$4*C205/MAX(0.0001,12-$AO$3),INDEX($C$22:$Q$22,1,B205-2025)/12)</f>
        <v>0.533122648256989</v>
      </c>
      <c r="DS205" s="88" t="n">
        <f aca="false">$AO$6*0</f>
        <v>0</v>
      </c>
      <c r="DT205" s="88" t="n">
        <f aca="false">DR205+DT204</f>
        <v>144.521918468507</v>
      </c>
      <c r="DU205" s="88" t="n">
        <f aca="false">DS205+DU204</f>
        <v>29</v>
      </c>
      <c r="DV205" s="88" t="n">
        <f aca="false">MAX(DV204,DT205-DU205)</f>
        <v>115.521918468507</v>
      </c>
      <c r="DW205" s="88" t="n">
        <f aca="false">DV205-DV204</f>
        <v>0.533122648256978</v>
      </c>
      <c r="DX205" s="88" t="n">
        <f aca="false">IF(B205=2026,INDEX($C$23:$Q$23,1,B205-2025)*$AO$4*C205/MAX(0.0001,12-$AO$3),INDEX($C$23:$Q$23,1,B205-2025)/12)</f>
        <v>0.856590322480331</v>
      </c>
      <c r="DY205" s="88" t="n">
        <f aca="false">$AO$6*0</f>
        <v>0</v>
      </c>
      <c r="DZ205" s="88" t="n">
        <f aca="false">DX205+DZ204</f>
        <v>232.209374617939</v>
      </c>
      <c r="EA205" s="88" t="n">
        <f aca="false">DY205+EA204</f>
        <v>121</v>
      </c>
      <c r="EB205" s="88" t="n">
        <f aca="false">MAX(EB204,DZ205-EA205)</f>
        <v>111.209374617939</v>
      </c>
      <c r="EC205" s="88" t="n">
        <f aca="false">EB205-EB204</f>
        <v>0.856590322480344</v>
      </c>
      <c r="ED205" s="88" t="n">
        <f aca="false">IF(B205=2026,INDEX($C$24:$Q$24,1,B205-2025)*$AO$4*C205/MAX(0.0001,12-$AO$3),INDEX($C$24:$Q$24,1,B205-2025)/12)</f>
        <v>0.527132506141742</v>
      </c>
      <c r="EE205" s="88" t="n">
        <f aca="false">$AO$6*0</f>
        <v>0</v>
      </c>
      <c r="EF205" s="88" t="n">
        <f aca="false">ED205+EF204</f>
        <v>142.898076687962</v>
      </c>
      <c r="EG205" s="88" t="n">
        <f aca="false">EE205+EG204</f>
        <v>0</v>
      </c>
      <c r="EH205" s="88" t="n">
        <f aca="false">MAX(EH204,EF205-EG205)</f>
        <v>142.898076687962</v>
      </c>
      <c r="EI205" s="88" t="n">
        <f aca="false">EH205-EH204</f>
        <v>0.527132506141754</v>
      </c>
      <c r="EJ205" s="88" t="n">
        <f aca="false">IF(B205=2026,INDEX($C$25:$Q$25,1,B205-2025)*$AO$4*C205/MAX(0.0001,12-$AO$3),INDEX($C$25:$Q$25,1,B205-2025)/12)</f>
        <v>0.670895916907672</v>
      </c>
      <c r="EK205" s="88" t="n">
        <f aca="false">$AO$6*0</f>
        <v>0</v>
      </c>
      <c r="EL205" s="88" t="n">
        <f aca="false">EJ205+EL204</f>
        <v>181.870279421043</v>
      </c>
      <c r="EM205" s="88" t="n">
        <f aca="false">EK205+EM204</f>
        <v>14</v>
      </c>
      <c r="EN205" s="88" t="n">
        <f aca="false">MAX(EN204,EL205-EM205)</f>
        <v>167.870279421043</v>
      </c>
      <c r="EO205" s="88" t="n">
        <f aca="false">EN205-EN204</f>
        <v>0.670895916907682</v>
      </c>
      <c r="EP205" s="88" t="n">
        <f aca="false">IF(B205=2026,INDEX($C$26:$Q$26,1,B205-2025)*$AO$4*C205/MAX(0.0001,12-$AO$3),INDEX($C$26:$Q$26,1,B205-2025)/12)</f>
        <v>0.964412880554778</v>
      </c>
      <c r="EQ205" s="88" t="n">
        <f aca="false">$AO$6*0</f>
        <v>0</v>
      </c>
      <c r="ER205" s="88" t="n">
        <f aca="false">EP205+ER204</f>
        <v>261.438526667748</v>
      </c>
      <c r="ES205" s="88" t="n">
        <f aca="false">EQ205+ES204</f>
        <v>4</v>
      </c>
      <c r="ET205" s="88" t="n">
        <f aca="false">MAX(ET204,ER205-ES205)</f>
        <v>257.438526667748</v>
      </c>
      <c r="EU205" s="88" t="n">
        <f aca="false">ET205-ET204</f>
        <v>0.964412880554789</v>
      </c>
      <c r="EV205" s="88" t="n">
        <f aca="false">IF(B205=2026,INDEX($C$27:$Q$27,1,B205-2025)*$AO$4*C205/MAX(0.0001,12-$AO$3),INDEX($C$27:$Q$27,1,B205-2025)/12)</f>
        <v>2.39605684609883</v>
      </c>
      <c r="EW205" s="88" t="n">
        <f aca="false">$AO$6*0</f>
        <v>0</v>
      </c>
      <c r="EX205" s="88" t="n">
        <f aca="false">EV205+EX204</f>
        <v>649.53671221801</v>
      </c>
      <c r="EY205" s="88" t="n">
        <f aca="false">EW205+EY204</f>
        <v>391</v>
      </c>
      <c r="EZ205" s="88" t="n">
        <f aca="false">MAX(EZ204,EX205-EY205)</f>
        <v>258.53671221801</v>
      </c>
      <c r="FA205" s="88" t="n">
        <f aca="false">EZ205-EZ204</f>
        <v>2.39605684609887</v>
      </c>
      <c r="FB205" s="88" t="n">
        <f aca="false">IF(B205=2026,INDEX($C$28:$Q$28,1,B205-2025)*$AO$4*C205/MAX(0.0001,12-$AO$3),INDEX($C$28:$Q$28,1,B205-2025)/12)</f>
        <v>12.5433575893274</v>
      </c>
      <c r="FC205" s="88" t="n">
        <f aca="false">$AO$6*0</f>
        <v>0</v>
      </c>
      <c r="FD205" s="88" t="n">
        <f aca="false">FB205+FD204</f>
        <v>3400.32468846128</v>
      </c>
      <c r="FE205" s="88" t="n">
        <f aca="false">FC205+FE204</f>
        <v>169</v>
      </c>
      <c r="FF205" s="88" t="n">
        <f aca="false">MAX(FF204,FD205-FE205)</f>
        <v>3231.32468846128</v>
      </c>
      <c r="FG205" s="88" t="n">
        <f aca="false">FF205-FF204</f>
        <v>12.5433575893276</v>
      </c>
    </row>
    <row r="206" customFormat="false" ht="15" hidden="false" customHeight="false" outlineLevel="0" collapsed="false">
      <c r="A206" s="0" t="n">
        <v>166</v>
      </c>
      <c r="B206" s="88" t="n">
        <f aca="false">2026+INT(A206/12)</f>
        <v>2039</v>
      </c>
      <c r="C206" s="88" t="n">
        <f aca="false">MAX(0,MIN(1,A206+1-$AO$3))</f>
        <v>1</v>
      </c>
      <c r="D206" s="88" t="n">
        <f aca="false">IF((A206+0.5-(0))&lt;$AO$3,0,2026+INT((A206+0.5-(0))/12))</f>
        <v>2039</v>
      </c>
      <c r="E206" s="88" t="n">
        <f aca="false">IF((A206+0.5-($AO$9))&lt;$AO$3,0,2026+INT((A206+0.5-($AO$9))/12))</f>
        <v>2038</v>
      </c>
      <c r="F206" s="88" t="n">
        <f aca="false">IF((A206+0.5-($AO$9+$AO$8))&lt;$AO$3,0,2026+INT((A206+0.5-($AO$9+$AO$8))/12))</f>
        <v>2037</v>
      </c>
      <c r="G206" s="88" t="n">
        <f aca="false">IF((A206+0.5-($AO$9+$AO$8+$AO$7))&lt;$AO$3,0,2026+INT((A206+0.5-($AO$9+$AO$8+$AO$7))/12))</f>
        <v>2036</v>
      </c>
      <c r="H206" s="88" t="n">
        <f aca="false">IF(B206=2026,INDEX($C$3:$Q$3,1,B206-2025)*$AO$4*C206/MAX(0.0001,12-$AO$3),INDEX($C$3:$Q$3,1,B206-2025)/12)</f>
        <v>128.416666666667</v>
      </c>
      <c r="I206" s="88" t="n">
        <f aca="false">$AO$6*0</f>
        <v>0</v>
      </c>
      <c r="J206" s="88" t="n">
        <f aca="false">H206+J205</f>
        <v>34940.3367579909</v>
      </c>
      <c r="K206" s="88" t="n">
        <f aca="false">I206+K205</f>
        <v>8695.00000000001</v>
      </c>
      <c r="L206" s="88" t="n">
        <f aca="false">MAX(L205,J206-K206)</f>
        <v>26245.3367579909</v>
      </c>
      <c r="M206" s="88" t="n">
        <f aca="false">L206-L205</f>
        <v>128.416666666664</v>
      </c>
      <c r="N206" s="88" t="n">
        <f aca="false">IF(B206=2026,INDEX($C$4:$Q$4,1,B206-2025)*$AO$4*C206/MAX(0.0001,12-$AO$3),INDEX($C$4:$Q$4,1,B206-2025)/12)</f>
        <v>3.89318965056346</v>
      </c>
      <c r="O206" s="88" t="n">
        <f aca="false">$AO$6*0</f>
        <v>0</v>
      </c>
      <c r="P206" s="88" t="n">
        <f aca="false">N206+P205</f>
        <v>1059.28117419919</v>
      </c>
      <c r="Q206" s="88" t="n">
        <f aca="false">O206+Q205</f>
        <v>398</v>
      </c>
      <c r="R206" s="88" t="n">
        <f aca="false">MAX(R205,P206-Q206)</f>
        <v>661.281174199185</v>
      </c>
      <c r="S206" s="88" t="n">
        <f aca="false">R206-R205</f>
        <v>3.8931896505635</v>
      </c>
      <c r="T206" s="88" t="n">
        <f aca="false">IF(B206=2026,INDEX($C$5:$Q$5,1,B206-2025)*$AO$4*C206/MAX(0.0001,12-$AO$3),INDEX($C$5:$Q$5,1,B206-2025)/12)</f>
        <v>15.8233280689987</v>
      </c>
      <c r="U206" s="88" t="n">
        <f aca="false">$AO$6*0</f>
        <v>0</v>
      </c>
      <c r="V206" s="88" t="n">
        <f aca="false">T206+V205</f>
        <v>4305.30106187917</v>
      </c>
      <c r="W206" s="88" t="n">
        <f aca="false">U206+W205</f>
        <v>1115</v>
      </c>
      <c r="X206" s="88" t="n">
        <f aca="false">MAX(X205,V206-W206)</f>
        <v>3190.30106187917</v>
      </c>
      <c r="Y206" s="88" t="n">
        <f aca="false">X206-X205</f>
        <v>15.8233280689983</v>
      </c>
      <c r="Z206" s="88" t="n">
        <f aca="false">IF(B206=2026,INDEX($C$6:$Q$6,1,B206-2025)*$AO$4*C206/MAX(0.0001,12-$AO$3),INDEX($C$6:$Q$6,1,B206-2025)/12)</f>
        <v>18.7730924675475</v>
      </c>
      <c r="AA206" s="88" t="n">
        <f aca="false">$AO$6*0</f>
        <v>0</v>
      </c>
      <c r="AB206" s="88" t="n">
        <f aca="false">Z206+AB205</f>
        <v>5107.88972982489</v>
      </c>
      <c r="AC206" s="88" t="n">
        <f aca="false">AA206+AC205</f>
        <v>2194</v>
      </c>
      <c r="AD206" s="88" t="n">
        <f aca="false">MAX(AD205,AB206-AC206)</f>
        <v>2913.88972982489</v>
      </c>
      <c r="AE206" s="88" t="n">
        <f aca="false">AD206-AD205</f>
        <v>18.7730924675479</v>
      </c>
      <c r="AF206" s="88" t="n">
        <f aca="false">IF(B206=2026,INDEX($C$7:$Q$7,1,B206-2025)*$AO$4*C206/MAX(0.0001,12-$AO$3),INDEX($C$7:$Q$7,1,B206-2025)/12)</f>
        <v>16.307524583029</v>
      </c>
      <c r="AG206" s="88" t="n">
        <f aca="false">$AO$6*0</f>
        <v>0</v>
      </c>
      <c r="AH206" s="88" t="n">
        <f aca="false">AF206+AH205</f>
        <v>4437.04400223422</v>
      </c>
      <c r="AI206" s="88" t="n">
        <f aca="false">AG206+AI205</f>
        <v>826</v>
      </c>
      <c r="AJ206" s="88" t="n">
        <f aca="false">MAX(AJ205,AH206-AI206)</f>
        <v>3611.04400223423</v>
      </c>
      <c r="AK206" s="88" t="n">
        <f aca="false">AJ206-AJ205</f>
        <v>16.3075245830287</v>
      </c>
      <c r="AL206" s="88" t="n">
        <f aca="false">IF(B206=2026,INDEX($C$8:$Q$8,1,B206-2025)*$AO$4*C206/MAX(0.0001,12-$AO$3),INDEX($C$8:$Q$8,1,B206-2025)/12)</f>
        <v>4.12503328527406</v>
      </c>
      <c r="AM206" s="88" t="n">
        <f aca="false">$AO$6*0</f>
        <v>0</v>
      </c>
      <c r="AN206" s="88" t="n">
        <f aca="false">AL206+AN205</f>
        <v>1122.36250843917</v>
      </c>
      <c r="AO206" s="88" t="n">
        <f aca="false">AM206+AO205</f>
        <v>66</v>
      </c>
      <c r="AP206" s="88" t="n">
        <f aca="false">MAX(AP205,AN206-AO206)</f>
        <v>1056.36250843917</v>
      </c>
      <c r="AQ206" s="88" t="n">
        <f aca="false">AP206-AP205</f>
        <v>4.12503328527396</v>
      </c>
      <c r="AR206" s="88" t="n">
        <f aca="false">IF(B206=2026,INDEX($C$9:$Q$9,1,B206-2025)*$AO$4*C206/MAX(0.0001,12-$AO$3),INDEX($C$9:$Q$9,1,B206-2025)/12)</f>
        <v>17.5889065179488</v>
      </c>
      <c r="AS206" s="88" t="n">
        <f aca="false">$AO$6*0</f>
        <v>0</v>
      </c>
      <c r="AT206" s="88" t="n">
        <f aca="false">AR206+AT205</f>
        <v>4785.68968416835</v>
      </c>
      <c r="AU206" s="88" t="n">
        <f aca="false">AS206+AU205</f>
        <v>1810</v>
      </c>
      <c r="AV206" s="88" t="n">
        <f aca="false">MAX(AV205,AT206-AU206)</f>
        <v>2975.68968416835</v>
      </c>
      <c r="AW206" s="88" t="n">
        <f aca="false">AV206-AV205</f>
        <v>17.588906517949</v>
      </c>
      <c r="AX206" s="88" t="n">
        <f aca="false">IF(B206=2026,INDEX($C$10:$Q$10,1,B206-2025)*$AO$4*C206/MAX(0.0001,12-$AO$3),INDEX($C$10:$Q$10,1,B206-2025)/12)</f>
        <v>2.04022398545332</v>
      </c>
      <c r="AY206" s="88" t="n">
        <f aca="false">$AO$6*0</f>
        <v>0</v>
      </c>
      <c r="AZ206" s="88" t="n">
        <f aca="false">AX206+AZ205</f>
        <v>555.115741311894</v>
      </c>
      <c r="BA206" s="88" t="n">
        <f aca="false">AY206+BA205</f>
        <v>50</v>
      </c>
      <c r="BB206" s="88" t="n">
        <f aca="false">MAX(BB205,AZ206-BA206)</f>
        <v>505.115741311894</v>
      </c>
      <c r="BC206" s="88" t="n">
        <f aca="false">BB206-BB205</f>
        <v>2.04022398545328</v>
      </c>
      <c r="BD206" s="88" t="n">
        <f aca="false">IF(B206=2026,INDEX($C$11:$Q$11,1,B206-2025)*$AO$4*C206/MAX(0.0001,12-$AO$3),INDEX($C$11:$Q$11,1,B206-2025)/12)</f>
        <v>10.1387004871522</v>
      </c>
      <c r="BE206" s="88" t="n">
        <f aca="false">$AO$6*0</f>
        <v>0</v>
      </c>
      <c r="BF206" s="88" t="n">
        <f aca="false">BD206+BF205</f>
        <v>2758.59527041794</v>
      </c>
      <c r="BG206" s="88" t="n">
        <f aca="false">BE206+BG205</f>
        <v>240</v>
      </c>
      <c r="BH206" s="88" t="n">
        <f aca="false">MAX(BH205,BF206-BG206)</f>
        <v>2518.59527041794</v>
      </c>
      <c r="BI206" s="88" t="n">
        <f aca="false">BH206-BH205</f>
        <v>10.1387004871522</v>
      </c>
      <c r="BJ206" s="88" t="n">
        <f aca="false">IF(B206=2026,INDEX($C$12:$Q$12,1,B206-2025)*$AO$4*C206/MAX(0.0001,12-$AO$3),INDEX($C$12:$Q$12,1,B206-2025)/12)</f>
        <v>5.55889699533041</v>
      </c>
      <c r="BK206" s="88" t="n">
        <f aca="false">$AO$6*0</f>
        <v>0</v>
      </c>
      <c r="BL206" s="88" t="n">
        <f aca="false">BJ206+BL205</f>
        <v>1512.49629866187</v>
      </c>
      <c r="BM206" s="88" t="n">
        <f aca="false">BK206+BM205</f>
        <v>465</v>
      </c>
      <c r="BN206" s="88" t="n">
        <f aca="false">MAX(BN205,BL206-BM206)</f>
        <v>1047.49629866187</v>
      </c>
      <c r="BO206" s="88" t="n">
        <f aca="false">BN206-BN205</f>
        <v>5.55889699533054</v>
      </c>
      <c r="BP206" s="88" t="n">
        <f aca="false">IF(B206=2026,INDEX($C$13:$Q$13,1,B206-2025)*$AO$4*C206/MAX(0.0001,12-$AO$3),INDEX($C$13:$Q$13,1,B206-2025)/12)</f>
        <v>1.73714121342165</v>
      </c>
      <c r="BQ206" s="88" t="n">
        <f aca="false">$AO$6*0</f>
        <v>0</v>
      </c>
      <c r="BR206" s="88" t="n">
        <f aca="false">BP206+BR205</f>
        <v>472.651257571478</v>
      </c>
      <c r="BS206" s="88" t="n">
        <f aca="false">BQ206+BS205</f>
        <v>87</v>
      </c>
      <c r="BT206" s="88" t="n">
        <f aca="false">MAX(BT205,BR206-BS206)</f>
        <v>385.651257571478</v>
      </c>
      <c r="BU206" s="88" t="n">
        <f aca="false">BT206-BT205</f>
        <v>1.73714121342164</v>
      </c>
      <c r="BV206" s="88" t="n">
        <f aca="false">IF(B206=2026,INDEX($C$14:$Q$14,1,B206-2025)*$AO$4*C206/MAX(0.0001,12-$AO$3),INDEX($C$14:$Q$14,1,B206-2025)/12)</f>
        <v>1.0303044438225</v>
      </c>
      <c r="BW206" s="88" t="n">
        <f aca="false">$AO$6*0</f>
        <v>0</v>
      </c>
      <c r="BX206" s="88" t="n">
        <f aca="false">BV206+BX205</f>
        <v>280.331090697567</v>
      </c>
      <c r="BY206" s="88" t="n">
        <f aca="false">BW206+BY205</f>
        <v>0</v>
      </c>
      <c r="BZ206" s="88" t="n">
        <f aca="false">MAX(BZ205,BX206-BY206)</f>
        <v>280.331090697567</v>
      </c>
      <c r="CA206" s="88" t="n">
        <f aca="false">BZ206-BZ205</f>
        <v>1.0303044438225</v>
      </c>
      <c r="CB206" s="88" t="n">
        <f aca="false">IF(B206=2026,INDEX($C$15:$Q$15,1,B206-2025)*$AO$4*C206/MAX(0.0001,12-$AO$3),INDEX($C$15:$Q$15,1,B206-2025)/12)</f>
        <v>1.68922007649967</v>
      </c>
      <c r="CC206" s="88" t="n">
        <f aca="false">$AO$6*0</f>
        <v>0</v>
      </c>
      <c r="CD206" s="88" t="n">
        <f aca="false">CB206+CD205</f>
        <v>459.612602190196</v>
      </c>
      <c r="CE206" s="88" t="n">
        <f aca="false">CC206+CE205</f>
        <v>88.0000000000001</v>
      </c>
      <c r="CF206" s="88" t="n">
        <f aca="false">MAX(CF205,CD206-CE206)</f>
        <v>371.612602190196</v>
      </c>
      <c r="CG206" s="88" t="n">
        <f aca="false">CF206-CF205</f>
        <v>1.68922007649968</v>
      </c>
      <c r="CH206" s="88" t="n">
        <f aca="false">IF(B206=2026,INDEX($C$16:$Q$16,1,B206-2025)*$AO$4*C206/MAX(0.0001,12-$AO$3),INDEX($C$16:$Q$16,1,B206-2025)/12)</f>
        <v>1.3358016917001</v>
      </c>
      <c r="CI206" s="88" t="n">
        <f aca="false">$AO$6*0</f>
        <v>0</v>
      </c>
      <c r="CJ206" s="88" t="n">
        <f aca="false">CH206+CJ205</f>
        <v>363.45251875324</v>
      </c>
      <c r="CK206" s="88" t="n">
        <f aca="false">CI206+CK205</f>
        <v>70</v>
      </c>
      <c r="CL206" s="88" t="n">
        <f aca="false">MAX(CL205,CJ206-CK206)</f>
        <v>293.45251875324</v>
      </c>
      <c r="CM206" s="88" t="n">
        <f aca="false">CL206-CL205</f>
        <v>1.33580169170011</v>
      </c>
      <c r="CN206" s="88" t="n">
        <f aca="false">IF(B206=2026,INDEX($C$17:$Q$17,1,B206-2025)*$AO$4*C206/MAX(0.0001,12-$AO$3),INDEX($C$17:$Q$17,1,B206-2025)/12)</f>
        <v>5.81642799390491</v>
      </c>
      <c r="CO206" s="88" t="n">
        <f aca="false">$AO$6*0</f>
        <v>0</v>
      </c>
      <c r="CP206" s="88" t="n">
        <f aca="false">CN206+CP205</f>
        <v>1582.56679690313</v>
      </c>
      <c r="CQ206" s="88" t="n">
        <f aca="false">CO206+CQ205</f>
        <v>221</v>
      </c>
      <c r="CR206" s="88" t="n">
        <f aca="false">MAX(CR205,CP206-CQ206)</f>
        <v>1361.56679690313</v>
      </c>
      <c r="CS206" s="88" t="n">
        <f aca="false">CR206-CR205</f>
        <v>5.81642799390488</v>
      </c>
      <c r="CT206" s="88" t="n">
        <f aca="false">IF(B206=2026,INDEX($C$18:$Q$18,1,B206-2025)*$AO$4*C206/MAX(0.0001,12-$AO$3),INDEX($C$18:$Q$18,1,B206-2025)/12)</f>
        <v>1.21000870727991</v>
      </c>
      <c r="CU206" s="88" t="n">
        <f aca="false">$AO$6*0</f>
        <v>0</v>
      </c>
      <c r="CV206" s="88" t="n">
        <f aca="false">CT206+CV205</f>
        <v>329.226048377374</v>
      </c>
      <c r="CW206" s="88" t="n">
        <f aca="false">CU206+CW205</f>
        <v>11</v>
      </c>
      <c r="CX206" s="88" t="n">
        <f aca="false">MAX(CX205,CV206-CW206)</f>
        <v>318.226048377374</v>
      </c>
      <c r="CY206" s="88" t="n">
        <f aca="false">CX206-CX205</f>
        <v>1.21000870727988</v>
      </c>
      <c r="CZ206" s="88" t="n">
        <f aca="false">IF(B206=2026,INDEX($C$19:$Q$19,1,B206-2025)*$AO$4*C206/MAX(0.0001,12-$AO$3),INDEX($C$19:$Q$19,1,B206-2025)/12)</f>
        <v>1.19802842304941</v>
      </c>
      <c r="DA206" s="88" t="n">
        <f aca="false">$AO$6*0</f>
        <v>0</v>
      </c>
      <c r="DB206" s="88" t="n">
        <f aca="false">CZ206+DB205</f>
        <v>325.966384532055</v>
      </c>
      <c r="DC206" s="88" t="n">
        <f aca="false">DA206+DC205</f>
        <v>226</v>
      </c>
      <c r="DD206" s="88" t="n">
        <f aca="false">MAX(DD205,DB206-DC206)</f>
        <v>99.9663845320547</v>
      </c>
      <c r="DE206" s="88" t="n">
        <f aca="false">DD206-DD205</f>
        <v>1.19802842304944</v>
      </c>
      <c r="DF206" s="88" t="n">
        <f aca="false">IF(B206=2026,INDEX($C$20:$Q$20,1,B206-2025)*$AO$4*C206/MAX(0.0001,12-$AO$3),INDEX($C$20:$Q$20,1,B206-2025)/12)</f>
        <v>0.976393164785272</v>
      </c>
      <c r="DG206" s="88" t="n">
        <f aca="false">$AO$6*0</f>
        <v>0</v>
      </c>
      <c r="DH206" s="88" t="n">
        <f aca="false">DF206+DH205</f>
        <v>265.662603393624</v>
      </c>
      <c r="DI206" s="88" t="n">
        <f aca="false">DG206+DI205</f>
        <v>0</v>
      </c>
      <c r="DJ206" s="88" t="n">
        <f aca="false">MAX(DJ205,DH206-DI206)</f>
        <v>265.662603393624</v>
      </c>
      <c r="DK206" s="88" t="n">
        <f aca="false">DJ206-DJ205</f>
        <v>0.976393164785293</v>
      </c>
      <c r="DL206" s="88" t="n">
        <f aca="false">IF(B206=2026,INDEX($C$21:$Q$21,1,B206-2025)*$AO$4*C206/MAX(0.0001,12-$AO$3),INDEX($C$21:$Q$21,1,B206-2025)/12)</f>
        <v>0.682876201138166</v>
      </c>
      <c r="DM206" s="88" t="n">
        <f aca="false">$AO$6*0</f>
        <v>0</v>
      </c>
      <c r="DN206" s="88" t="n">
        <f aca="false">DL206+DN205</f>
        <v>185.80083918327</v>
      </c>
      <c r="DO206" s="88" t="n">
        <f aca="false">DM206+DO205</f>
        <v>100</v>
      </c>
      <c r="DP206" s="88" t="n">
        <f aca="false">MAX(DP205,DN206-DO206)</f>
        <v>85.8008391832705</v>
      </c>
      <c r="DQ206" s="88" t="n">
        <f aca="false">DP206-DP205</f>
        <v>0.682876201138157</v>
      </c>
      <c r="DR206" s="88" t="n">
        <f aca="false">IF(B206=2026,INDEX($C$22:$Q$22,1,B206-2025)*$AO$4*C206/MAX(0.0001,12-$AO$3),INDEX($C$22:$Q$22,1,B206-2025)/12)</f>
        <v>0.533122648256989</v>
      </c>
      <c r="DS206" s="88" t="n">
        <f aca="false">$AO$6*0</f>
        <v>0</v>
      </c>
      <c r="DT206" s="88" t="n">
        <f aca="false">DR206+DT205</f>
        <v>145.055041116764</v>
      </c>
      <c r="DU206" s="88" t="n">
        <f aca="false">DS206+DU205</f>
        <v>29</v>
      </c>
      <c r="DV206" s="88" t="n">
        <f aca="false">MAX(DV205,DT206-DU206)</f>
        <v>116.055041116764</v>
      </c>
      <c r="DW206" s="88" t="n">
        <f aca="false">DV206-DV205</f>
        <v>0.533122648256978</v>
      </c>
      <c r="DX206" s="88" t="n">
        <f aca="false">IF(B206=2026,INDEX($C$23:$Q$23,1,B206-2025)*$AO$4*C206/MAX(0.0001,12-$AO$3),INDEX($C$23:$Q$23,1,B206-2025)/12)</f>
        <v>0.856590322480331</v>
      </c>
      <c r="DY206" s="88" t="n">
        <f aca="false">$AO$6*0</f>
        <v>0</v>
      </c>
      <c r="DZ206" s="88" t="n">
        <f aca="false">DX206+DZ205</f>
        <v>233.065964940419</v>
      </c>
      <c r="EA206" s="88" t="n">
        <f aca="false">DY206+EA205</f>
        <v>121</v>
      </c>
      <c r="EB206" s="88" t="n">
        <f aca="false">MAX(EB205,DZ206-EA206)</f>
        <v>112.065964940419</v>
      </c>
      <c r="EC206" s="88" t="n">
        <f aca="false">EB206-EB205</f>
        <v>0.856590322480344</v>
      </c>
      <c r="ED206" s="88" t="n">
        <f aca="false">IF(B206=2026,INDEX($C$24:$Q$24,1,B206-2025)*$AO$4*C206/MAX(0.0001,12-$AO$3),INDEX($C$24:$Q$24,1,B206-2025)/12)</f>
        <v>0.527132506141742</v>
      </c>
      <c r="EE206" s="88" t="n">
        <f aca="false">$AO$6*0</f>
        <v>0</v>
      </c>
      <c r="EF206" s="88" t="n">
        <f aca="false">ED206+EF205</f>
        <v>143.425209194104</v>
      </c>
      <c r="EG206" s="88" t="n">
        <f aca="false">EE206+EG205</f>
        <v>0</v>
      </c>
      <c r="EH206" s="88" t="n">
        <f aca="false">MAX(EH205,EF206-EG206)</f>
        <v>143.425209194104</v>
      </c>
      <c r="EI206" s="88" t="n">
        <f aca="false">EH206-EH205</f>
        <v>0.527132506141754</v>
      </c>
      <c r="EJ206" s="88" t="n">
        <f aca="false">IF(B206=2026,INDEX($C$25:$Q$25,1,B206-2025)*$AO$4*C206/MAX(0.0001,12-$AO$3),INDEX($C$25:$Q$25,1,B206-2025)/12)</f>
        <v>0.670895916907672</v>
      </c>
      <c r="EK206" s="88" t="n">
        <f aca="false">$AO$6*0</f>
        <v>0</v>
      </c>
      <c r="EL206" s="88" t="n">
        <f aca="false">EJ206+EL205</f>
        <v>182.54117533795</v>
      </c>
      <c r="EM206" s="88" t="n">
        <f aca="false">EK206+EM205</f>
        <v>14</v>
      </c>
      <c r="EN206" s="88" t="n">
        <f aca="false">MAX(EN205,EL206-EM206)</f>
        <v>168.54117533795</v>
      </c>
      <c r="EO206" s="88" t="n">
        <f aca="false">EN206-EN205</f>
        <v>0.670895916907682</v>
      </c>
      <c r="EP206" s="88" t="n">
        <f aca="false">IF(B206=2026,INDEX($C$26:$Q$26,1,B206-2025)*$AO$4*C206/MAX(0.0001,12-$AO$3),INDEX($C$26:$Q$26,1,B206-2025)/12)</f>
        <v>0.964412880554778</v>
      </c>
      <c r="EQ206" s="88" t="n">
        <f aca="false">$AO$6*0</f>
        <v>0</v>
      </c>
      <c r="ER206" s="88" t="n">
        <f aca="false">EP206+ER205</f>
        <v>262.402939548303</v>
      </c>
      <c r="ES206" s="88" t="n">
        <f aca="false">EQ206+ES205</f>
        <v>4</v>
      </c>
      <c r="ET206" s="88" t="n">
        <f aca="false">MAX(ET205,ER206-ES206)</f>
        <v>258.402939548303</v>
      </c>
      <c r="EU206" s="88" t="n">
        <f aca="false">ET206-ET205</f>
        <v>0.964412880554789</v>
      </c>
      <c r="EV206" s="88" t="n">
        <f aca="false">IF(B206=2026,INDEX($C$27:$Q$27,1,B206-2025)*$AO$4*C206/MAX(0.0001,12-$AO$3),INDEX($C$27:$Q$27,1,B206-2025)/12)</f>
        <v>2.39605684609883</v>
      </c>
      <c r="EW206" s="88" t="n">
        <f aca="false">$AO$6*0</f>
        <v>0</v>
      </c>
      <c r="EX206" s="88" t="n">
        <f aca="false">EV206+EX205</f>
        <v>651.932769064109</v>
      </c>
      <c r="EY206" s="88" t="n">
        <f aca="false">EW206+EY205</f>
        <v>391</v>
      </c>
      <c r="EZ206" s="88" t="n">
        <f aca="false">MAX(EZ205,EX206-EY206)</f>
        <v>260.932769064109</v>
      </c>
      <c r="FA206" s="88" t="n">
        <f aca="false">EZ206-EZ205</f>
        <v>2.39605684609887</v>
      </c>
      <c r="FB206" s="88" t="n">
        <f aca="false">IF(B206=2026,INDEX($C$28:$Q$28,1,B206-2025)*$AO$4*C206/MAX(0.0001,12-$AO$3),INDEX($C$28:$Q$28,1,B206-2025)/12)</f>
        <v>12.5433575893274</v>
      </c>
      <c r="FC206" s="88" t="n">
        <f aca="false">$AO$6*0</f>
        <v>0</v>
      </c>
      <c r="FD206" s="88" t="n">
        <f aca="false">FB206+FD205</f>
        <v>3412.86804605061</v>
      </c>
      <c r="FE206" s="88" t="n">
        <f aca="false">FC206+FE205</f>
        <v>169</v>
      </c>
      <c r="FF206" s="88" t="n">
        <f aca="false">MAX(FF205,FD206-FE206)</f>
        <v>3243.86804605061</v>
      </c>
      <c r="FG206" s="88" t="n">
        <f aca="false">FF206-FF205</f>
        <v>12.5433575893276</v>
      </c>
    </row>
    <row r="207" customFormat="false" ht="15" hidden="false" customHeight="false" outlineLevel="0" collapsed="false">
      <c r="A207" s="0" t="n">
        <v>167</v>
      </c>
      <c r="B207" s="88" t="n">
        <f aca="false">2026+INT(A207/12)</f>
        <v>2039</v>
      </c>
      <c r="C207" s="88" t="n">
        <f aca="false">MAX(0,MIN(1,A207+1-$AO$3))</f>
        <v>1</v>
      </c>
      <c r="D207" s="88" t="n">
        <f aca="false">IF((A207+0.5-(0))&lt;$AO$3,0,2026+INT((A207+0.5-(0))/12))</f>
        <v>2039</v>
      </c>
      <c r="E207" s="88" t="n">
        <f aca="false">IF((A207+0.5-($AO$9))&lt;$AO$3,0,2026+INT((A207+0.5-($AO$9))/12))</f>
        <v>2038</v>
      </c>
      <c r="F207" s="88" t="n">
        <f aca="false">IF((A207+0.5-($AO$9+$AO$8))&lt;$AO$3,0,2026+INT((A207+0.5-($AO$9+$AO$8))/12))</f>
        <v>2037</v>
      </c>
      <c r="G207" s="88" t="n">
        <f aca="false">IF((A207+0.5-($AO$9+$AO$8+$AO$7))&lt;$AO$3,0,2026+INT((A207+0.5-($AO$9+$AO$8+$AO$7))/12))</f>
        <v>2037</v>
      </c>
      <c r="H207" s="88" t="n">
        <f aca="false">IF(B207=2026,INDEX($C$3:$Q$3,1,B207-2025)*$AO$4*C207/MAX(0.0001,12-$AO$3),INDEX($C$3:$Q$3,1,B207-2025)/12)</f>
        <v>128.416666666667</v>
      </c>
      <c r="I207" s="88" t="n">
        <f aca="false">$AO$6*0</f>
        <v>0</v>
      </c>
      <c r="J207" s="88" t="n">
        <f aca="false">H207+J206</f>
        <v>35068.7534246576</v>
      </c>
      <c r="K207" s="88" t="n">
        <f aca="false">I207+K206</f>
        <v>8695.00000000001</v>
      </c>
      <c r="L207" s="88" t="n">
        <f aca="false">MAX(L206,J207-K207)</f>
        <v>26373.7534246576</v>
      </c>
      <c r="M207" s="88" t="n">
        <f aca="false">L207-L206</f>
        <v>128.416666666664</v>
      </c>
      <c r="N207" s="88" t="n">
        <f aca="false">IF(B207=2026,INDEX($C$4:$Q$4,1,B207-2025)*$AO$4*C207/MAX(0.0001,12-$AO$3),INDEX($C$4:$Q$4,1,B207-2025)/12)</f>
        <v>3.89318965056346</v>
      </c>
      <c r="O207" s="88" t="n">
        <f aca="false">$AO$6*0</f>
        <v>0</v>
      </c>
      <c r="P207" s="88" t="n">
        <f aca="false">N207+P206</f>
        <v>1063.17436384975</v>
      </c>
      <c r="Q207" s="88" t="n">
        <f aca="false">O207+Q206</f>
        <v>398</v>
      </c>
      <c r="R207" s="88" t="n">
        <f aca="false">MAX(R206,P207-Q207)</f>
        <v>665.174363849749</v>
      </c>
      <c r="S207" s="88" t="n">
        <f aca="false">R207-R206</f>
        <v>3.8931896505635</v>
      </c>
      <c r="T207" s="88" t="n">
        <f aca="false">IF(B207=2026,INDEX($C$5:$Q$5,1,B207-2025)*$AO$4*C207/MAX(0.0001,12-$AO$3),INDEX($C$5:$Q$5,1,B207-2025)/12)</f>
        <v>15.8233280689987</v>
      </c>
      <c r="U207" s="88" t="n">
        <f aca="false">$AO$6*0</f>
        <v>0</v>
      </c>
      <c r="V207" s="88" t="n">
        <f aca="false">T207+V206</f>
        <v>4321.12438994817</v>
      </c>
      <c r="W207" s="88" t="n">
        <f aca="false">U207+W206</f>
        <v>1115</v>
      </c>
      <c r="X207" s="88" t="n">
        <f aca="false">MAX(X206,V207-W207)</f>
        <v>3206.12438994817</v>
      </c>
      <c r="Y207" s="88" t="n">
        <f aca="false">X207-X206</f>
        <v>15.8233280689983</v>
      </c>
      <c r="Z207" s="88" t="n">
        <f aca="false">IF(B207=2026,INDEX($C$6:$Q$6,1,B207-2025)*$AO$4*C207/MAX(0.0001,12-$AO$3),INDEX($C$6:$Q$6,1,B207-2025)/12)</f>
        <v>18.7730924675475</v>
      </c>
      <c r="AA207" s="88" t="n">
        <f aca="false">$AO$6*0</f>
        <v>0</v>
      </c>
      <c r="AB207" s="88" t="n">
        <f aca="false">Z207+AB206</f>
        <v>5126.66282229244</v>
      </c>
      <c r="AC207" s="88" t="n">
        <f aca="false">AA207+AC206</f>
        <v>2194</v>
      </c>
      <c r="AD207" s="88" t="n">
        <f aca="false">MAX(AD206,AB207-AC207)</f>
        <v>2932.66282229244</v>
      </c>
      <c r="AE207" s="88" t="n">
        <f aca="false">AD207-AD206</f>
        <v>18.7730924675479</v>
      </c>
      <c r="AF207" s="88" t="n">
        <f aca="false">IF(B207=2026,INDEX($C$7:$Q$7,1,B207-2025)*$AO$4*C207/MAX(0.0001,12-$AO$3),INDEX($C$7:$Q$7,1,B207-2025)/12)</f>
        <v>16.307524583029</v>
      </c>
      <c r="AG207" s="88" t="n">
        <f aca="false">$AO$6*0</f>
        <v>0</v>
      </c>
      <c r="AH207" s="88" t="n">
        <f aca="false">AF207+AH206</f>
        <v>4453.35152681725</v>
      </c>
      <c r="AI207" s="88" t="n">
        <f aca="false">AG207+AI206</f>
        <v>826</v>
      </c>
      <c r="AJ207" s="88" t="n">
        <f aca="false">MAX(AJ206,AH207-AI207)</f>
        <v>3627.35152681725</v>
      </c>
      <c r="AK207" s="88" t="n">
        <f aca="false">AJ207-AJ206</f>
        <v>16.3075245830287</v>
      </c>
      <c r="AL207" s="88" t="n">
        <f aca="false">IF(B207=2026,INDEX($C$8:$Q$8,1,B207-2025)*$AO$4*C207/MAX(0.0001,12-$AO$3),INDEX($C$8:$Q$8,1,B207-2025)/12)</f>
        <v>4.12503328527406</v>
      </c>
      <c r="AM207" s="88" t="n">
        <f aca="false">$AO$6*0</f>
        <v>0</v>
      </c>
      <c r="AN207" s="88" t="n">
        <f aca="false">AL207+AN206</f>
        <v>1126.48754172445</v>
      </c>
      <c r="AO207" s="88" t="n">
        <f aca="false">AM207+AO206</f>
        <v>66</v>
      </c>
      <c r="AP207" s="88" t="n">
        <f aca="false">MAX(AP206,AN207-AO207)</f>
        <v>1060.48754172445</v>
      </c>
      <c r="AQ207" s="88" t="n">
        <f aca="false">AP207-AP206</f>
        <v>4.12503328527396</v>
      </c>
      <c r="AR207" s="88" t="n">
        <f aca="false">IF(B207=2026,INDEX($C$9:$Q$9,1,B207-2025)*$AO$4*C207/MAX(0.0001,12-$AO$3),INDEX($C$9:$Q$9,1,B207-2025)/12)</f>
        <v>17.5889065179488</v>
      </c>
      <c r="AS207" s="88" t="n">
        <f aca="false">$AO$6*0</f>
        <v>0</v>
      </c>
      <c r="AT207" s="88" t="n">
        <f aca="false">AR207+AT206</f>
        <v>4803.2785906863</v>
      </c>
      <c r="AU207" s="88" t="n">
        <f aca="false">AS207+AU206</f>
        <v>1810</v>
      </c>
      <c r="AV207" s="88" t="n">
        <f aca="false">MAX(AV206,AT207-AU207)</f>
        <v>2993.2785906863</v>
      </c>
      <c r="AW207" s="88" t="n">
        <f aca="false">AV207-AV206</f>
        <v>17.588906517949</v>
      </c>
      <c r="AX207" s="88" t="n">
        <f aca="false">IF(B207=2026,INDEX($C$10:$Q$10,1,B207-2025)*$AO$4*C207/MAX(0.0001,12-$AO$3),INDEX($C$10:$Q$10,1,B207-2025)/12)</f>
        <v>2.04022398545332</v>
      </c>
      <c r="AY207" s="88" t="n">
        <f aca="false">$AO$6*0</f>
        <v>0</v>
      </c>
      <c r="AZ207" s="88" t="n">
        <f aca="false">AX207+AZ206</f>
        <v>557.155965297347</v>
      </c>
      <c r="BA207" s="88" t="n">
        <f aca="false">AY207+BA206</f>
        <v>50</v>
      </c>
      <c r="BB207" s="88" t="n">
        <f aca="false">MAX(BB206,AZ207-BA207)</f>
        <v>507.155965297347</v>
      </c>
      <c r="BC207" s="88" t="n">
        <f aca="false">BB207-BB206</f>
        <v>2.04022398545328</v>
      </c>
      <c r="BD207" s="88" t="n">
        <f aca="false">IF(B207=2026,INDEX($C$11:$Q$11,1,B207-2025)*$AO$4*C207/MAX(0.0001,12-$AO$3),INDEX($C$11:$Q$11,1,B207-2025)/12)</f>
        <v>10.1387004871522</v>
      </c>
      <c r="BE207" s="88" t="n">
        <f aca="false">$AO$6*0</f>
        <v>0</v>
      </c>
      <c r="BF207" s="88" t="n">
        <f aca="false">BD207+BF206</f>
        <v>2768.73397090509</v>
      </c>
      <c r="BG207" s="88" t="n">
        <f aca="false">BE207+BG206</f>
        <v>240</v>
      </c>
      <c r="BH207" s="88" t="n">
        <f aca="false">MAX(BH206,BF207-BG207)</f>
        <v>2528.73397090509</v>
      </c>
      <c r="BI207" s="88" t="n">
        <f aca="false">BH207-BH206</f>
        <v>10.1387004871522</v>
      </c>
      <c r="BJ207" s="88" t="n">
        <f aca="false">IF(B207=2026,INDEX($C$12:$Q$12,1,B207-2025)*$AO$4*C207/MAX(0.0001,12-$AO$3),INDEX($C$12:$Q$12,1,B207-2025)/12)</f>
        <v>5.55889699533041</v>
      </c>
      <c r="BK207" s="88" t="n">
        <f aca="false">$AO$6*0</f>
        <v>0</v>
      </c>
      <c r="BL207" s="88" t="n">
        <f aca="false">BJ207+BL206</f>
        <v>1518.0551956572</v>
      </c>
      <c r="BM207" s="88" t="n">
        <f aca="false">BK207+BM206</f>
        <v>465</v>
      </c>
      <c r="BN207" s="88" t="n">
        <f aca="false">MAX(BN206,BL207-BM207)</f>
        <v>1053.0551956572</v>
      </c>
      <c r="BO207" s="88" t="n">
        <f aca="false">BN207-BN206</f>
        <v>5.55889699533009</v>
      </c>
      <c r="BP207" s="88" t="n">
        <f aca="false">IF(B207=2026,INDEX($C$13:$Q$13,1,B207-2025)*$AO$4*C207/MAX(0.0001,12-$AO$3),INDEX($C$13:$Q$13,1,B207-2025)/12)</f>
        <v>1.73714121342165</v>
      </c>
      <c r="BQ207" s="88" t="n">
        <f aca="false">$AO$6*0</f>
        <v>0</v>
      </c>
      <c r="BR207" s="88" t="n">
        <f aca="false">BP207+BR206</f>
        <v>474.388398784899</v>
      </c>
      <c r="BS207" s="88" t="n">
        <f aca="false">BQ207+BS206</f>
        <v>87</v>
      </c>
      <c r="BT207" s="88" t="n">
        <f aca="false">MAX(BT206,BR207-BS207)</f>
        <v>387.388398784899</v>
      </c>
      <c r="BU207" s="88" t="n">
        <f aca="false">BT207-BT206</f>
        <v>1.73714121342164</v>
      </c>
      <c r="BV207" s="88" t="n">
        <f aca="false">IF(B207=2026,INDEX($C$14:$Q$14,1,B207-2025)*$AO$4*C207/MAX(0.0001,12-$AO$3),INDEX($C$14:$Q$14,1,B207-2025)/12)</f>
        <v>1.0303044438225</v>
      </c>
      <c r="BW207" s="88" t="n">
        <f aca="false">$AO$6*0</f>
        <v>0</v>
      </c>
      <c r="BX207" s="88" t="n">
        <f aca="false">BV207+BX206</f>
        <v>281.36139514139</v>
      </c>
      <c r="BY207" s="88" t="n">
        <f aca="false">BW207+BY206</f>
        <v>0</v>
      </c>
      <c r="BZ207" s="88" t="n">
        <f aca="false">MAX(BZ206,BX207-BY207)</f>
        <v>281.36139514139</v>
      </c>
      <c r="CA207" s="88" t="n">
        <f aca="false">BZ207-BZ206</f>
        <v>1.0303044438225</v>
      </c>
      <c r="CB207" s="88" t="n">
        <f aca="false">IF(B207=2026,INDEX($C$15:$Q$15,1,B207-2025)*$AO$4*C207/MAX(0.0001,12-$AO$3),INDEX($C$15:$Q$15,1,B207-2025)/12)</f>
        <v>1.68922007649967</v>
      </c>
      <c r="CC207" s="88" t="n">
        <f aca="false">$AO$6*0</f>
        <v>0</v>
      </c>
      <c r="CD207" s="88" t="n">
        <f aca="false">CB207+CD206</f>
        <v>461.301822266696</v>
      </c>
      <c r="CE207" s="88" t="n">
        <f aca="false">CC207+CE206</f>
        <v>88.0000000000001</v>
      </c>
      <c r="CF207" s="88" t="n">
        <f aca="false">MAX(CF206,CD207-CE207)</f>
        <v>373.301822266696</v>
      </c>
      <c r="CG207" s="88" t="n">
        <f aca="false">CF207-CF206</f>
        <v>1.68922007649968</v>
      </c>
      <c r="CH207" s="88" t="n">
        <f aca="false">IF(B207=2026,INDEX($C$16:$Q$16,1,B207-2025)*$AO$4*C207/MAX(0.0001,12-$AO$3),INDEX($C$16:$Q$16,1,B207-2025)/12)</f>
        <v>1.3358016917001</v>
      </c>
      <c r="CI207" s="88" t="n">
        <f aca="false">$AO$6*0</f>
        <v>0</v>
      </c>
      <c r="CJ207" s="88" t="n">
        <f aca="false">CH207+CJ206</f>
        <v>364.78832044494</v>
      </c>
      <c r="CK207" s="88" t="n">
        <f aca="false">CI207+CK206</f>
        <v>70</v>
      </c>
      <c r="CL207" s="88" t="n">
        <f aca="false">MAX(CL206,CJ207-CK207)</f>
        <v>294.78832044494</v>
      </c>
      <c r="CM207" s="88" t="n">
        <f aca="false">CL207-CL206</f>
        <v>1.33580169170011</v>
      </c>
      <c r="CN207" s="88" t="n">
        <f aca="false">IF(B207=2026,INDEX($C$17:$Q$17,1,B207-2025)*$AO$4*C207/MAX(0.0001,12-$AO$3),INDEX($C$17:$Q$17,1,B207-2025)/12)</f>
        <v>5.81642799390491</v>
      </c>
      <c r="CO207" s="88" t="n">
        <f aca="false">$AO$6*0</f>
        <v>0</v>
      </c>
      <c r="CP207" s="88" t="n">
        <f aca="false">CN207+CP206</f>
        <v>1588.38322489703</v>
      </c>
      <c r="CQ207" s="88" t="n">
        <f aca="false">CO207+CQ206</f>
        <v>221</v>
      </c>
      <c r="CR207" s="88" t="n">
        <f aca="false">MAX(CR206,CP207-CQ207)</f>
        <v>1367.38322489703</v>
      </c>
      <c r="CS207" s="88" t="n">
        <f aca="false">CR207-CR206</f>
        <v>5.81642799390488</v>
      </c>
      <c r="CT207" s="88" t="n">
        <f aca="false">IF(B207=2026,INDEX($C$18:$Q$18,1,B207-2025)*$AO$4*C207/MAX(0.0001,12-$AO$3),INDEX($C$18:$Q$18,1,B207-2025)/12)</f>
        <v>1.21000870727991</v>
      </c>
      <c r="CU207" s="88" t="n">
        <f aca="false">$AO$6*0</f>
        <v>0</v>
      </c>
      <c r="CV207" s="88" t="n">
        <f aca="false">CT207+CV206</f>
        <v>330.436057084654</v>
      </c>
      <c r="CW207" s="88" t="n">
        <f aca="false">CU207+CW206</f>
        <v>11</v>
      </c>
      <c r="CX207" s="88" t="n">
        <f aca="false">MAX(CX206,CV207-CW207)</f>
        <v>319.436057084654</v>
      </c>
      <c r="CY207" s="88" t="n">
        <f aca="false">CX207-CX206</f>
        <v>1.21000870727988</v>
      </c>
      <c r="CZ207" s="88" t="n">
        <f aca="false">IF(B207=2026,INDEX($C$19:$Q$19,1,B207-2025)*$AO$4*C207/MAX(0.0001,12-$AO$3),INDEX($C$19:$Q$19,1,B207-2025)/12)</f>
        <v>1.19802842304941</v>
      </c>
      <c r="DA207" s="88" t="n">
        <f aca="false">$AO$6*0</f>
        <v>0</v>
      </c>
      <c r="DB207" s="88" t="n">
        <f aca="false">CZ207+DB206</f>
        <v>327.164412955104</v>
      </c>
      <c r="DC207" s="88" t="n">
        <f aca="false">DA207+DC206</f>
        <v>226</v>
      </c>
      <c r="DD207" s="88" t="n">
        <f aca="false">MAX(DD206,DB207-DC207)</f>
        <v>101.164412955104</v>
      </c>
      <c r="DE207" s="88" t="n">
        <f aca="false">DD207-DD206</f>
        <v>1.19802842304944</v>
      </c>
      <c r="DF207" s="88" t="n">
        <f aca="false">IF(B207=2026,INDEX($C$20:$Q$20,1,B207-2025)*$AO$4*C207/MAX(0.0001,12-$AO$3),INDEX($C$20:$Q$20,1,B207-2025)/12)</f>
        <v>0.976393164785272</v>
      </c>
      <c r="DG207" s="88" t="n">
        <f aca="false">$AO$6*0</f>
        <v>0</v>
      </c>
      <c r="DH207" s="88" t="n">
        <f aca="false">DF207+DH206</f>
        <v>266.63899655841</v>
      </c>
      <c r="DI207" s="88" t="n">
        <f aca="false">DG207+DI206</f>
        <v>0</v>
      </c>
      <c r="DJ207" s="88" t="n">
        <f aca="false">MAX(DJ206,DH207-DI207)</f>
        <v>266.63899655841</v>
      </c>
      <c r="DK207" s="88" t="n">
        <f aca="false">DJ207-DJ206</f>
        <v>0.976393164785293</v>
      </c>
      <c r="DL207" s="88" t="n">
        <f aca="false">IF(B207=2026,INDEX($C$21:$Q$21,1,B207-2025)*$AO$4*C207/MAX(0.0001,12-$AO$3),INDEX($C$21:$Q$21,1,B207-2025)/12)</f>
        <v>0.682876201138166</v>
      </c>
      <c r="DM207" s="88" t="n">
        <f aca="false">$AO$6*0</f>
        <v>0</v>
      </c>
      <c r="DN207" s="88" t="n">
        <f aca="false">DL207+DN206</f>
        <v>186.483715384409</v>
      </c>
      <c r="DO207" s="88" t="n">
        <f aca="false">DM207+DO206</f>
        <v>100</v>
      </c>
      <c r="DP207" s="88" t="n">
        <f aca="false">MAX(DP206,DN207-DO207)</f>
        <v>86.4837153844087</v>
      </c>
      <c r="DQ207" s="88" t="n">
        <f aca="false">DP207-DP206</f>
        <v>0.682876201138157</v>
      </c>
      <c r="DR207" s="88" t="n">
        <f aca="false">IF(B207=2026,INDEX($C$22:$Q$22,1,B207-2025)*$AO$4*C207/MAX(0.0001,12-$AO$3),INDEX($C$22:$Q$22,1,B207-2025)/12)</f>
        <v>0.533122648256989</v>
      </c>
      <c r="DS207" s="88" t="n">
        <f aca="false">$AO$6*0</f>
        <v>0</v>
      </c>
      <c r="DT207" s="88" t="n">
        <f aca="false">DR207+DT206</f>
        <v>145.588163765021</v>
      </c>
      <c r="DU207" s="88" t="n">
        <f aca="false">DS207+DU206</f>
        <v>29</v>
      </c>
      <c r="DV207" s="88" t="n">
        <f aca="false">MAX(DV206,DT207-DU207)</f>
        <v>116.588163765021</v>
      </c>
      <c r="DW207" s="88" t="n">
        <f aca="false">DV207-DV206</f>
        <v>0.533122648256978</v>
      </c>
      <c r="DX207" s="88" t="n">
        <f aca="false">IF(B207=2026,INDEX($C$23:$Q$23,1,B207-2025)*$AO$4*C207/MAX(0.0001,12-$AO$3),INDEX($C$23:$Q$23,1,B207-2025)/12)</f>
        <v>0.856590322480331</v>
      </c>
      <c r="DY207" s="88" t="n">
        <f aca="false">$AO$6*0</f>
        <v>0</v>
      </c>
      <c r="DZ207" s="88" t="n">
        <f aca="false">DX207+DZ206</f>
        <v>233.9225552629</v>
      </c>
      <c r="EA207" s="88" t="n">
        <f aca="false">DY207+EA206</f>
        <v>121</v>
      </c>
      <c r="EB207" s="88" t="n">
        <f aca="false">MAX(EB206,DZ207-EA207)</f>
        <v>112.9225552629</v>
      </c>
      <c r="EC207" s="88" t="n">
        <f aca="false">EB207-EB206</f>
        <v>0.856590322480344</v>
      </c>
      <c r="ED207" s="88" t="n">
        <f aca="false">IF(B207=2026,INDEX($C$24:$Q$24,1,B207-2025)*$AO$4*C207/MAX(0.0001,12-$AO$3),INDEX($C$24:$Q$24,1,B207-2025)/12)</f>
        <v>0.527132506141742</v>
      </c>
      <c r="EE207" s="88" t="n">
        <f aca="false">$AO$6*0</f>
        <v>0</v>
      </c>
      <c r="EF207" s="88" t="n">
        <f aca="false">ED207+EF206</f>
        <v>143.952341700245</v>
      </c>
      <c r="EG207" s="88" t="n">
        <f aca="false">EE207+EG206</f>
        <v>0</v>
      </c>
      <c r="EH207" s="88" t="n">
        <f aca="false">MAX(EH206,EF207-EG207)</f>
        <v>143.952341700245</v>
      </c>
      <c r="EI207" s="88" t="n">
        <f aca="false">EH207-EH206</f>
        <v>0.527132506141754</v>
      </c>
      <c r="EJ207" s="88" t="n">
        <f aca="false">IF(B207=2026,INDEX($C$25:$Q$25,1,B207-2025)*$AO$4*C207/MAX(0.0001,12-$AO$3),INDEX($C$25:$Q$25,1,B207-2025)/12)</f>
        <v>0.670895916907672</v>
      </c>
      <c r="EK207" s="88" t="n">
        <f aca="false">$AO$6*0</f>
        <v>0</v>
      </c>
      <c r="EL207" s="88" t="n">
        <f aca="false">EJ207+EL206</f>
        <v>183.212071254858</v>
      </c>
      <c r="EM207" s="88" t="n">
        <f aca="false">EK207+EM206</f>
        <v>14</v>
      </c>
      <c r="EN207" s="88" t="n">
        <f aca="false">MAX(EN206,EL207-EM207)</f>
        <v>169.212071254858</v>
      </c>
      <c r="EO207" s="88" t="n">
        <f aca="false">EN207-EN206</f>
        <v>0.670895916907682</v>
      </c>
      <c r="EP207" s="88" t="n">
        <f aca="false">IF(B207=2026,INDEX($C$26:$Q$26,1,B207-2025)*$AO$4*C207/MAX(0.0001,12-$AO$3),INDEX($C$26:$Q$26,1,B207-2025)/12)</f>
        <v>0.964412880554778</v>
      </c>
      <c r="EQ207" s="88" t="n">
        <f aca="false">$AO$6*0</f>
        <v>0</v>
      </c>
      <c r="ER207" s="88" t="n">
        <f aca="false">EP207+ER206</f>
        <v>263.367352428858</v>
      </c>
      <c r="ES207" s="88" t="n">
        <f aca="false">EQ207+ES206</f>
        <v>4</v>
      </c>
      <c r="ET207" s="88" t="n">
        <f aca="false">MAX(ET206,ER207-ES207)</f>
        <v>259.367352428858</v>
      </c>
      <c r="EU207" s="88" t="n">
        <f aca="false">ET207-ET206</f>
        <v>0.964412880554789</v>
      </c>
      <c r="EV207" s="88" t="n">
        <f aca="false">IF(B207=2026,INDEX($C$27:$Q$27,1,B207-2025)*$AO$4*C207/MAX(0.0001,12-$AO$3),INDEX($C$27:$Q$27,1,B207-2025)/12)</f>
        <v>2.39605684609883</v>
      </c>
      <c r="EW207" s="88" t="n">
        <f aca="false">$AO$6*0</f>
        <v>0</v>
      </c>
      <c r="EX207" s="88" t="n">
        <f aca="false">EV207+EX206</f>
        <v>654.328825910208</v>
      </c>
      <c r="EY207" s="88" t="n">
        <f aca="false">EW207+EY206</f>
        <v>391</v>
      </c>
      <c r="EZ207" s="88" t="n">
        <f aca="false">MAX(EZ206,EX207-EY207)</f>
        <v>263.328825910208</v>
      </c>
      <c r="FA207" s="88" t="n">
        <f aca="false">EZ207-EZ206</f>
        <v>2.39605684609887</v>
      </c>
      <c r="FB207" s="88" t="n">
        <f aca="false">IF(B207=2026,INDEX($C$28:$Q$28,1,B207-2025)*$AO$4*C207/MAX(0.0001,12-$AO$3),INDEX($C$28:$Q$28,1,B207-2025)/12)</f>
        <v>12.5433575893274</v>
      </c>
      <c r="FC207" s="88" t="n">
        <f aca="false">$AO$6*0</f>
        <v>0</v>
      </c>
      <c r="FD207" s="88" t="n">
        <f aca="false">FB207+FD206</f>
        <v>3425.41140363994</v>
      </c>
      <c r="FE207" s="88" t="n">
        <f aca="false">FC207+FE206</f>
        <v>169</v>
      </c>
      <c r="FF207" s="88" t="n">
        <f aca="false">MAX(FF206,FD207-FE207)</f>
        <v>3256.41140363994</v>
      </c>
      <c r="FG207" s="88" t="n">
        <f aca="false">FF207-FF206</f>
        <v>12.5433575893276</v>
      </c>
    </row>
    <row r="208" customFormat="false" ht="15" hidden="false" customHeight="false" outlineLevel="0" collapsed="false">
      <c r="A208" s="0" t="n">
        <v>168</v>
      </c>
      <c r="B208" s="88" t="n">
        <f aca="false">2026+INT(A208/12)</f>
        <v>2040</v>
      </c>
      <c r="C208" s="88" t="n">
        <f aca="false">MAX(0,MIN(1,A208+1-$AO$3))</f>
        <v>1</v>
      </c>
      <c r="D208" s="88" t="n">
        <f aca="false">IF((A208+0.5-(0))&lt;$AO$3,0,2026+INT((A208+0.5-(0))/12))</f>
        <v>2040</v>
      </c>
      <c r="E208" s="88" t="n">
        <f aca="false">IF((A208+0.5-($AO$9))&lt;$AO$3,0,2026+INT((A208+0.5-($AO$9))/12))</f>
        <v>2038</v>
      </c>
      <c r="F208" s="88" t="n">
        <f aca="false">IF((A208+0.5-($AO$9+$AO$8))&lt;$AO$3,0,2026+INT((A208+0.5-($AO$9+$AO$8))/12))</f>
        <v>2037</v>
      </c>
      <c r="G208" s="88" t="n">
        <f aca="false">IF((A208+0.5-($AO$9+$AO$8+$AO$7))&lt;$AO$3,0,2026+INT((A208+0.5-($AO$9+$AO$8+$AO$7))/12))</f>
        <v>2037</v>
      </c>
      <c r="H208" s="88" t="n">
        <f aca="false">IF(B208=2026,INDEX($C$3:$Q$3,1,B208-2025)*$AO$4*C208/MAX(0.0001,12-$AO$3),INDEX($C$3:$Q$3,1,B208-2025)/12)</f>
        <v>127.083333333333</v>
      </c>
      <c r="I208" s="88" t="n">
        <f aca="false">$AO$6*0</f>
        <v>0</v>
      </c>
      <c r="J208" s="88" t="n">
        <f aca="false">H208+J207</f>
        <v>35195.8367579909</v>
      </c>
      <c r="K208" s="88" t="n">
        <f aca="false">I208+K207</f>
        <v>8695.00000000001</v>
      </c>
      <c r="L208" s="88" t="n">
        <f aca="false">MAX(L207,J208-K208)</f>
        <v>26500.8367579909</v>
      </c>
      <c r="M208" s="88" t="n">
        <f aca="false">L208-L207</f>
        <v>127.083333333336</v>
      </c>
      <c r="N208" s="88" t="n">
        <f aca="false">IF(B208=2026,INDEX($C$4:$Q$4,1,B208-2025)*$AO$4*C208/MAX(0.0001,12-$AO$3),INDEX($C$4:$Q$4,1,B208-2025)/12)</f>
        <v>3.85276717528181</v>
      </c>
      <c r="O208" s="88" t="n">
        <f aca="false">$AO$6*0</f>
        <v>0</v>
      </c>
      <c r="P208" s="88" t="n">
        <f aca="false">N208+P207</f>
        <v>1067.02713102503</v>
      </c>
      <c r="Q208" s="88" t="n">
        <f aca="false">O208+Q207</f>
        <v>398</v>
      </c>
      <c r="R208" s="88" t="n">
        <f aca="false">MAX(R207,P208-Q208)</f>
        <v>669.027131025031</v>
      </c>
      <c r="S208" s="88" t="n">
        <f aca="false">R208-R207</f>
        <v>3.85276717528177</v>
      </c>
      <c r="T208" s="88" t="n">
        <f aca="false">IF(B208=2026,INDEX($C$5:$Q$5,1,B208-2025)*$AO$4*C208/MAX(0.0001,12-$AO$3),INDEX($C$5:$Q$5,1,B208-2025)/12)</f>
        <v>15.6590365381071</v>
      </c>
      <c r="U208" s="88" t="n">
        <f aca="false">$AO$6*0</f>
        <v>0</v>
      </c>
      <c r="V208" s="88" t="n">
        <f aca="false">T208+V207</f>
        <v>4336.78342648627</v>
      </c>
      <c r="W208" s="88" t="n">
        <f aca="false">U208+W207</f>
        <v>1115</v>
      </c>
      <c r="X208" s="88" t="n">
        <f aca="false">MAX(X207,V208-W208)</f>
        <v>3221.78342648627</v>
      </c>
      <c r="Y208" s="88" t="n">
        <f aca="false">X208-X207</f>
        <v>15.6590365381071</v>
      </c>
      <c r="Z208" s="88" t="n">
        <f aca="false">IF(B208=2026,INDEX($C$6:$Q$6,1,B208-2025)*$AO$4*C208/MAX(0.0001,12-$AO$3),INDEX($C$6:$Q$6,1,B208-2025)/12)</f>
        <v>18.578173921486</v>
      </c>
      <c r="AA208" s="88" t="n">
        <f aca="false">$AO$6*0</f>
        <v>0</v>
      </c>
      <c r="AB208" s="88" t="n">
        <f aca="false">Z208+AB207</f>
        <v>5145.24099621393</v>
      </c>
      <c r="AC208" s="88" t="n">
        <f aca="false">AA208+AC207</f>
        <v>2194</v>
      </c>
      <c r="AD208" s="88" t="n">
        <f aca="false">MAX(AD207,AB208-AC208)</f>
        <v>2951.24099621393</v>
      </c>
      <c r="AE208" s="88" t="n">
        <f aca="false">AD208-AD207</f>
        <v>18.5781739214863</v>
      </c>
      <c r="AF208" s="88" t="n">
        <f aca="false">IF(B208=2026,INDEX($C$7:$Q$7,1,B208-2025)*$AO$4*C208/MAX(0.0001,12-$AO$3),INDEX($C$7:$Q$7,1,B208-2025)/12)</f>
        <v>16.1382057035167</v>
      </c>
      <c r="AG208" s="88" t="n">
        <f aca="false">$AO$6*0</f>
        <v>0</v>
      </c>
      <c r="AH208" s="88" t="n">
        <f aca="false">AF208+AH207</f>
        <v>4469.48973252077</v>
      </c>
      <c r="AI208" s="88" t="n">
        <f aca="false">AG208+AI207</f>
        <v>826</v>
      </c>
      <c r="AJ208" s="88" t="n">
        <f aca="false">MAX(AJ207,AH208-AI208)</f>
        <v>3643.48973252077</v>
      </c>
      <c r="AK208" s="88" t="n">
        <f aca="false">AJ208-AJ207</f>
        <v>16.1382057035171</v>
      </c>
      <c r="AL208" s="88" t="n">
        <f aca="false">IF(B208=2026,INDEX($C$8:$Q$8,1,B208-2025)*$AO$4*C208/MAX(0.0001,12-$AO$3),INDEX($C$8:$Q$8,1,B208-2025)/12)</f>
        <v>4.08220360807459</v>
      </c>
      <c r="AM208" s="88" t="n">
        <f aca="false">$AO$6*0</f>
        <v>0</v>
      </c>
      <c r="AN208" s="88" t="n">
        <f aca="false">AL208+AN207</f>
        <v>1130.56974533252</v>
      </c>
      <c r="AO208" s="88" t="n">
        <f aca="false">AM208+AO207</f>
        <v>66</v>
      </c>
      <c r="AP208" s="88" t="n">
        <f aca="false">MAX(AP207,AN208-AO208)</f>
        <v>1064.56974533252</v>
      </c>
      <c r="AQ208" s="88" t="n">
        <f aca="false">AP208-AP207</f>
        <v>4.08220360807468</v>
      </c>
      <c r="AR208" s="88" t="n">
        <f aca="false">IF(B208=2026,INDEX($C$9:$Q$9,1,B208-2025)*$AO$4*C208/MAX(0.0001,12-$AO$3),INDEX($C$9:$Q$9,1,B208-2025)/12)</f>
        <v>17.406283218606</v>
      </c>
      <c r="AS208" s="88" t="n">
        <f aca="false">$AO$6*0</f>
        <v>0</v>
      </c>
      <c r="AT208" s="88" t="n">
        <f aca="false">AR208+AT207</f>
        <v>4820.6848739049</v>
      </c>
      <c r="AU208" s="88" t="n">
        <f aca="false">AS208+AU207</f>
        <v>1810</v>
      </c>
      <c r="AV208" s="88" t="n">
        <f aca="false">MAX(AV207,AT208-AU208)</f>
        <v>3010.6848739049</v>
      </c>
      <c r="AW208" s="88" t="n">
        <f aca="false">AV208-AV207</f>
        <v>17.4062832186064</v>
      </c>
      <c r="AX208" s="88" t="n">
        <f aca="false">IF(B208=2026,INDEX($C$10:$Q$10,1,B208-2025)*$AO$4*C208/MAX(0.0001,12-$AO$3),INDEX($C$10:$Q$10,1,B208-2025)/12)</f>
        <v>2.01904060857645</v>
      </c>
      <c r="AY208" s="88" t="n">
        <f aca="false">$AO$6*0</f>
        <v>0</v>
      </c>
      <c r="AZ208" s="88" t="n">
        <f aca="false">AX208+AZ207</f>
        <v>559.175005905924</v>
      </c>
      <c r="BA208" s="88" t="n">
        <f aca="false">AY208+BA207</f>
        <v>50</v>
      </c>
      <c r="BB208" s="88" t="n">
        <f aca="false">MAX(BB207,AZ208-BA208)</f>
        <v>509.175005905924</v>
      </c>
      <c r="BC208" s="88" t="n">
        <f aca="false">BB208-BB207</f>
        <v>2.01904060857646</v>
      </c>
      <c r="BD208" s="88" t="n">
        <f aca="false">IF(B208=2026,INDEX($C$11:$Q$11,1,B208-2025)*$AO$4*C208/MAX(0.0001,12-$AO$3),INDEX($C$11:$Q$11,1,B208-2025)/12)</f>
        <v>10.0334316955919</v>
      </c>
      <c r="BE208" s="88" t="n">
        <f aca="false">$AO$6*0</f>
        <v>0</v>
      </c>
      <c r="BF208" s="88" t="n">
        <f aca="false">BD208+BF207</f>
        <v>2778.76740260068</v>
      </c>
      <c r="BG208" s="88" t="n">
        <f aca="false">BE208+BG207</f>
        <v>240</v>
      </c>
      <c r="BH208" s="88" t="n">
        <f aca="false">MAX(BH207,BF208-BG208)</f>
        <v>2538.76740260068</v>
      </c>
      <c r="BI208" s="88" t="n">
        <f aca="false">BH208-BH207</f>
        <v>10.0334316955918</v>
      </c>
      <c r="BJ208" s="88" t="n">
        <f aca="false">IF(B208=2026,INDEX($C$12:$Q$12,1,B208-2025)*$AO$4*C208/MAX(0.0001,12-$AO$3),INDEX($C$12:$Q$12,1,B208-2025)/12)</f>
        <v>5.50117970011608</v>
      </c>
      <c r="BK208" s="88" t="n">
        <f aca="false">$AO$6*0</f>
        <v>0</v>
      </c>
      <c r="BL208" s="88" t="n">
        <f aca="false">BJ208+BL207</f>
        <v>1523.55637535732</v>
      </c>
      <c r="BM208" s="88" t="n">
        <f aca="false">BK208+BM207</f>
        <v>465</v>
      </c>
      <c r="BN208" s="88" t="n">
        <f aca="false">MAX(BN207,BL208-BM208)</f>
        <v>1058.55637535732</v>
      </c>
      <c r="BO208" s="88" t="n">
        <f aca="false">BN208-BN207</f>
        <v>5.50117970011615</v>
      </c>
      <c r="BP208" s="88" t="n">
        <f aca="false">IF(B208=2026,INDEX($C$13:$Q$13,1,B208-2025)*$AO$4*C208/MAX(0.0001,12-$AO$3),INDEX($C$13:$Q$13,1,B208-2025)/12)</f>
        <v>1.71910470504089</v>
      </c>
      <c r="BQ208" s="88" t="n">
        <f aca="false">$AO$6*0</f>
        <v>0</v>
      </c>
      <c r="BR208" s="88" t="n">
        <f aca="false">BP208+BR207</f>
        <v>476.10750348994</v>
      </c>
      <c r="BS208" s="88" t="n">
        <f aca="false">BQ208+BS207</f>
        <v>87</v>
      </c>
      <c r="BT208" s="88" t="n">
        <f aca="false">MAX(BT207,BR208-BS208)</f>
        <v>389.10750348994</v>
      </c>
      <c r="BU208" s="88" t="n">
        <f aca="false">BT208-BT207</f>
        <v>1.71910470504088</v>
      </c>
      <c r="BV208" s="88" t="n">
        <f aca="false">IF(B208=2026,INDEX($C$14:$Q$14,1,B208-2025)*$AO$4*C208/MAX(0.0001,12-$AO$3),INDEX($C$14:$Q$14,1,B208-2025)/12)</f>
        <v>1.01960692850701</v>
      </c>
      <c r="BW208" s="88" t="n">
        <f aca="false">$AO$6*0</f>
        <v>0</v>
      </c>
      <c r="BX208" s="88" t="n">
        <f aca="false">BV208+BX207</f>
        <v>282.381002069897</v>
      </c>
      <c r="BY208" s="88" t="n">
        <f aca="false">BW208+BY207</f>
        <v>0</v>
      </c>
      <c r="BZ208" s="88" t="n">
        <f aca="false">MAX(BZ207,BX208-BY208)</f>
        <v>282.381002069897</v>
      </c>
      <c r="CA208" s="88" t="n">
        <f aca="false">BZ208-BZ207</f>
        <v>1.01960692850702</v>
      </c>
      <c r="CB208" s="88" t="n">
        <f aca="false">IF(B208=2026,INDEX($C$15:$Q$15,1,B208-2025)*$AO$4*C208/MAX(0.0001,12-$AO$3),INDEX($C$15:$Q$15,1,B208-2025)/12)</f>
        <v>1.6716811269708</v>
      </c>
      <c r="CC208" s="88" t="n">
        <f aca="false">$AO$6*0</f>
        <v>0</v>
      </c>
      <c r="CD208" s="88" t="n">
        <f aca="false">CB208+CD207</f>
        <v>462.973503393666</v>
      </c>
      <c r="CE208" s="88" t="n">
        <f aca="false">CC208+CE207</f>
        <v>88.0000000000001</v>
      </c>
      <c r="CF208" s="88" t="n">
        <f aca="false">MAX(CF207,CD208-CE208)</f>
        <v>374.973503393666</v>
      </c>
      <c r="CG208" s="88" t="n">
        <f aca="false">CF208-CF207</f>
        <v>1.67168112697078</v>
      </c>
      <c r="CH208" s="88" t="n">
        <f aca="false">IF(B208=2026,INDEX($C$16:$Q$16,1,B208-2025)*$AO$4*C208/MAX(0.0001,12-$AO$3),INDEX($C$16:$Q$16,1,B208-2025)/12)</f>
        <v>1.32193223870386</v>
      </c>
      <c r="CI208" s="88" t="n">
        <f aca="false">$AO$6*0</f>
        <v>0</v>
      </c>
      <c r="CJ208" s="88" t="n">
        <f aca="false">CH208+CJ207</f>
        <v>366.110252683644</v>
      </c>
      <c r="CK208" s="88" t="n">
        <f aca="false">CI208+CK207</f>
        <v>70</v>
      </c>
      <c r="CL208" s="88" t="n">
        <f aca="false">MAX(CL207,CJ208-CK208)</f>
        <v>296.110252683644</v>
      </c>
      <c r="CM208" s="88" t="n">
        <f aca="false">CL208-CL207</f>
        <v>1.32193223870388</v>
      </c>
      <c r="CN208" s="88" t="n">
        <f aca="false">IF(B208=2026,INDEX($C$17:$Q$17,1,B208-2025)*$AO$4*C208/MAX(0.0001,12-$AO$3),INDEX($C$17:$Q$17,1,B208-2025)/12)</f>
        <v>5.75603678825761</v>
      </c>
      <c r="CO208" s="88" t="n">
        <f aca="false">$AO$6*0</f>
        <v>0</v>
      </c>
      <c r="CP208" s="88" t="n">
        <f aca="false">CN208+CP207</f>
        <v>1594.13926168529</v>
      </c>
      <c r="CQ208" s="88" t="n">
        <f aca="false">CO208+CQ207</f>
        <v>221</v>
      </c>
      <c r="CR208" s="88" t="n">
        <f aca="false">MAX(CR207,CP208-CQ208)</f>
        <v>1373.13926168529</v>
      </c>
      <c r="CS208" s="88" t="n">
        <f aca="false">CR208-CR207</f>
        <v>5.75603678825769</v>
      </c>
      <c r="CT208" s="88" t="n">
        <f aca="false">IF(B208=2026,INDEX($C$18:$Q$18,1,B208-2025)*$AO$4*C208/MAX(0.0001,12-$AO$3),INDEX($C$18:$Q$18,1,B208-2025)/12)</f>
        <v>1.19744534626986</v>
      </c>
      <c r="CU208" s="88" t="n">
        <f aca="false">$AO$6*0</f>
        <v>0</v>
      </c>
      <c r="CV208" s="88" t="n">
        <f aca="false">CT208+CV207</f>
        <v>331.633502430924</v>
      </c>
      <c r="CW208" s="88" t="n">
        <f aca="false">CU208+CW207</f>
        <v>11</v>
      </c>
      <c r="CX208" s="88" t="n">
        <f aca="false">MAX(CX207,CV208-CW208)</f>
        <v>320.633502430924</v>
      </c>
      <c r="CY208" s="88" t="n">
        <f aca="false">CX208-CX207</f>
        <v>1.19744534626989</v>
      </c>
      <c r="CZ208" s="88" t="n">
        <f aca="false">IF(B208=2026,INDEX($C$19:$Q$19,1,B208-2025)*$AO$4*C208/MAX(0.0001,12-$AO$3),INDEX($C$19:$Q$19,1,B208-2025)/12)</f>
        <v>1.18558945175234</v>
      </c>
      <c r="DA208" s="88" t="n">
        <f aca="false">$AO$6*0</f>
        <v>0</v>
      </c>
      <c r="DB208" s="88" t="n">
        <f aca="false">CZ208+DB207</f>
        <v>328.350002406856</v>
      </c>
      <c r="DC208" s="88" t="n">
        <f aca="false">DA208+DC207</f>
        <v>226</v>
      </c>
      <c r="DD208" s="88" t="n">
        <f aca="false">MAX(DD207,DB208-DC208)</f>
        <v>102.350002406856</v>
      </c>
      <c r="DE208" s="88" t="n">
        <f aca="false">DD208-DD207</f>
        <v>1.18558945175232</v>
      </c>
      <c r="DF208" s="88" t="n">
        <f aca="false">IF(B208=2026,INDEX($C$20:$Q$20,1,B208-2025)*$AO$4*C208/MAX(0.0001,12-$AO$3),INDEX($C$20:$Q$20,1,B208-2025)/12)</f>
        <v>0.966255403178157</v>
      </c>
      <c r="DG208" s="88" t="n">
        <f aca="false">$AO$6*0</f>
        <v>0</v>
      </c>
      <c r="DH208" s="88" t="n">
        <f aca="false">DF208+DH207</f>
        <v>267.605251961588</v>
      </c>
      <c r="DI208" s="88" t="n">
        <f aca="false">DG208+DI207</f>
        <v>0</v>
      </c>
      <c r="DJ208" s="88" t="n">
        <f aca="false">MAX(DJ207,DH208-DI208)</f>
        <v>267.605251961588</v>
      </c>
      <c r="DK208" s="88" t="n">
        <f aca="false">DJ208-DJ207</f>
        <v>0.966255403178138</v>
      </c>
      <c r="DL208" s="88" t="n">
        <f aca="false">IF(B208=2026,INDEX($C$21:$Q$21,1,B208-2025)*$AO$4*C208/MAX(0.0001,12-$AO$3),INDEX($C$21:$Q$21,1,B208-2025)/12)</f>
        <v>0.675785987498834</v>
      </c>
      <c r="DM208" s="88" t="n">
        <f aca="false">$AO$6*0</f>
        <v>0</v>
      </c>
      <c r="DN208" s="88" t="n">
        <f aca="false">DL208+DN207</f>
        <v>187.159501371907</v>
      </c>
      <c r="DO208" s="88" t="n">
        <f aca="false">DM208+DO207</f>
        <v>100</v>
      </c>
      <c r="DP208" s="88" t="n">
        <f aca="false">MAX(DP207,DN208-DO208)</f>
        <v>87.1595013719075</v>
      </c>
      <c r="DQ208" s="88" t="n">
        <f aca="false">DP208-DP207</f>
        <v>0.675785987498841</v>
      </c>
      <c r="DR208" s="88" t="n">
        <f aca="false">IF(B208=2026,INDEX($C$22:$Q$22,1,B208-2025)*$AO$4*C208/MAX(0.0001,12-$AO$3),INDEX($C$22:$Q$22,1,B208-2025)/12)</f>
        <v>0.527587306029791</v>
      </c>
      <c r="DS208" s="88" t="n">
        <f aca="false">$AO$6*0</f>
        <v>0</v>
      </c>
      <c r="DT208" s="88" t="n">
        <f aca="false">DR208+DT207</f>
        <v>146.115751071051</v>
      </c>
      <c r="DU208" s="88" t="n">
        <f aca="false">DS208+DU207</f>
        <v>29</v>
      </c>
      <c r="DV208" s="88" t="n">
        <f aca="false">MAX(DV207,DT208-DU208)</f>
        <v>117.115751071051</v>
      </c>
      <c r="DW208" s="88" t="n">
        <f aca="false">DV208-DV207</f>
        <v>0.527587306029801</v>
      </c>
      <c r="DX208" s="88" t="n">
        <f aca="false">IF(B208=2026,INDEX($C$23:$Q$23,1,B208-2025)*$AO$4*C208/MAX(0.0001,12-$AO$3),INDEX($C$23:$Q$23,1,B208-2025)/12)</f>
        <v>0.847696458002923</v>
      </c>
      <c r="DY208" s="88" t="n">
        <f aca="false">$AO$6*0</f>
        <v>0</v>
      </c>
      <c r="DZ208" s="88" t="n">
        <f aca="false">DX208+DZ207</f>
        <v>234.770251720902</v>
      </c>
      <c r="EA208" s="88" t="n">
        <f aca="false">DY208+EA207</f>
        <v>121</v>
      </c>
      <c r="EB208" s="88" t="n">
        <f aca="false">MAX(EB207,DZ208-EA208)</f>
        <v>113.770251720902</v>
      </c>
      <c r="EC208" s="88" t="n">
        <f aca="false">EB208-EB207</f>
        <v>0.847696458002929</v>
      </c>
      <c r="ED208" s="88" t="n">
        <f aca="false">IF(B208=2026,INDEX($C$24:$Q$24,1,B208-2025)*$AO$4*C208/MAX(0.0001,12-$AO$3),INDEX($C$24:$Q$24,1,B208-2025)/12)</f>
        <v>0.52165935877103</v>
      </c>
      <c r="EE208" s="88" t="n">
        <f aca="false">$AO$6*0</f>
        <v>0</v>
      </c>
      <c r="EF208" s="88" t="n">
        <f aca="false">ED208+EF207</f>
        <v>144.474001059016</v>
      </c>
      <c r="EG208" s="88" t="n">
        <f aca="false">EE208+EG207</f>
        <v>0</v>
      </c>
      <c r="EH208" s="88" t="n">
        <f aca="false">MAX(EH207,EF208-EG208)</f>
        <v>144.474001059016</v>
      </c>
      <c r="EI208" s="88" t="n">
        <f aca="false">EH208-EH207</f>
        <v>0.521659358771018</v>
      </c>
      <c r="EJ208" s="88" t="n">
        <f aca="false">IF(B208=2026,INDEX($C$25:$Q$25,1,B208-2025)*$AO$4*C208/MAX(0.0001,12-$AO$3),INDEX($C$25:$Q$25,1,B208-2025)/12)</f>
        <v>0.66393009298131</v>
      </c>
      <c r="EK208" s="88" t="n">
        <f aca="false">$AO$6*0</f>
        <v>0</v>
      </c>
      <c r="EL208" s="88" t="n">
        <f aca="false">EJ208+EL207</f>
        <v>183.876001347839</v>
      </c>
      <c r="EM208" s="88" t="n">
        <f aca="false">EK208+EM207</f>
        <v>14</v>
      </c>
      <c r="EN208" s="88" t="n">
        <f aca="false">MAX(EN207,EL208-EM208)</f>
        <v>169.876001347839</v>
      </c>
      <c r="EO208" s="88" t="n">
        <f aca="false">EN208-EN207</f>
        <v>0.663930092981303</v>
      </c>
      <c r="EP208" s="88" t="n">
        <f aca="false">IF(B208=2026,INDEX($C$26:$Q$26,1,B208-2025)*$AO$4*C208/MAX(0.0001,12-$AO$3),INDEX($C$26:$Q$26,1,B208-2025)/12)</f>
        <v>0.954399508660634</v>
      </c>
      <c r="EQ208" s="88" t="n">
        <f aca="false">$AO$6*0</f>
        <v>0</v>
      </c>
      <c r="ER208" s="88" t="n">
        <f aca="false">EP208+ER207</f>
        <v>264.321751937518</v>
      </c>
      <c r="ES208" s="88" t="n">
        <f aca="false">EQ208+ES207</f>
        <v>4</v>
      </c>
      <c r="ET208" s="88" t="n">
        <f aca="false">MAX(ET207,ER208-ES208)</f>
        <v>260.321751937518</v>
      </c>
      <c r="EU208" s="88" t="n">
        <f aca="false">ET208-ET207</f>
        <v>0.954399508660629</v>
      </c>
      <c r="EV208" s="88" t="n">
        <f aca="false">IF(B208=2026,INDEX($C$27:$Q$27,1,B208-2025)*$AO$4*C208/MAX(0.0001,12-$AO$3),INDEX($C$27:$Q$27,1,B208-2025)/12)</f>
        <v>2.37117890350468</v>
      </c>
      <c r="EW208" s="88" t="n">
        <f aca="false">$AO$6*0</f>
        <v>0</v>
      </c>
      <c r="EX208" s="88" t="n">
        <f aca="false">EV208+EX207</f>
        <v>656.700004813713</v>
      </c>
      <c r="EY208" s="88" t="n">
        <f aca="false">EW208+EY207</f>
        <v>391</v>
      </c>
      <c r="EZ208" s="88" t="n">
        <f aca="false">MAX(EZ207,EX208-EY208)</f>
        <v>265.700004813712</v>
      </c>
      <c r="FA208" s="88" t="n">
        <f aca="false">EZ208-EZ207</f>
        <v>2.37117890350464</v>
      </c>
      <c r="FB208" s="88" t="n">
        <f aca="false">IF(B208=2026,INDEX($C$28:$Q$28,1,B208-2025)*$AO$4*C208/MAX(0.0001,12-$AO$3),INDEX($C$28:$Q$28,1,B208-2025)/12)</f>
        <v>12.413121559847</v>
      </c>
      <c r="FC208" s="88" t="n">
        <f aca="false">$AO$6*0</f>
        <v>0</v>
      </c>
      <c r="FD208" s="88" t="n">
        <f aca="false">FB208+FD207</f>
        <v>3437.82452519978</v>
      </c>
      <c r="FE208" s="88" t="n">
        <f aca="false">FC208+FE207</f>
        <v>169</v>
      </c>
      <c r="FF208" s="88" t="n">
        <f aca="false">MAX(FF207,FD208-FE208)</f>
        <v>3268.82452519978</v>
      </c>
      <c r="FG208" s="88" t="n">
        <f aca="false">FF208-FF207</f>
        <v>12.4131215598468</v>
      </c>
    </row>
    <row r="209" customFormat="false" ht="15" hidden="false" customHeight="false" outlineLevel="0" collapsed="false">
      <c r="A209" s="0" t="n">
        <v>169</v>
      </c>
      <c r="B209" s="88" t="n">
        <f aca="false">2026+INT(A209/12)</f>
        <v>2040</v>
      </c>
      <c r="C209" s="88" t="n">
        <f aca="false">MAX(0,MIN(1,A209+1-$AO$3))</f>
        <v>1</v>
      </c>
      <c r="D209" s="88" t="n">
        <f aca="false">IF((A209+0.5-(0))&lt;$AO$3,0,2026+INT((A209+0.5-(0))/12))</f>
        <v>2040</v>
      </c>
      <c r="E209" s="88" t="n">
        <f aca="false">IF((A209+0.5-($AO$9))&lt;$AO$3,0,2026+INT((A209+0.5-($AO$9))/12))</f>
        <v>2038</v>
      </c>
      <c r="F209" s="88" t="n">
        <f aca="false">IF((A209+0.5-($AO$9+$AO$8))&lt;$AO$3,0,2026+INT((A209+0.5-($AO$9+$AO$8))/12))</f>
        <v>2037</v>
      </c>
      <c r="G209" s="88" t="n">
        <f aca="false">IF((A209+0.5-($AO$9+$AO$8+$AO$7))&lt;$AO$3,0,2026+INT((A209+0.5-($AO$9+$AO$8+$AO$7))/12))</f>
        <v>2037</v>
      </c>
      <c r="H209" s="88" t="n">
        <f aca="false">IF(B209=2026,INDEX($C$3:$Q$3,1,B209-2025)*$AO$4*C209/MAX(0.0001,12-$AO$3),INDEX($C$3:$Q$3,1,B209-2025)/12)</f>
        <v>127.083333333333</v>
      </c>
      <c r="I209" s="88" t="n">
        <f aca="false">$AO$6*0</f>
        <v>0</v>
      </c>
      <c r="J209" s="88" t="n">
        <f aca="false">H209+J208</f>
        <v>35322.9200913242</v>
      </c>
      <c r="K209" s="88" t="n">
        <f aca="false">I209+K208</f>
        <v>8695.00000000001</v>
      </c>
      <c r="L209" s="88" t="n">
        <f aca="false">MAX(L208,J209-K209)</f>
        <v>26627.9200913242</v>
      </c>
      <c r="M209" s="88" t="n">
        <f aca="false">L209-L208</f>
        <v>127.083333333336</v>
      </c>
      <c r="N209" s="88" t="n">
        <f aca="false">IF(B209=2026,INDEX($C$4:$Q$4,1,B209-2025)*$AO$4*C209/MAX(0.0001,12-$AO$3),INDEX($C$4:$Q$4,1,B209-2025)/12)</f>
        <v>3.85276717528181</v>
      </c>
      <c r="O209" s="88" t="n">
        <f aca="false">$AO$6*0</f>
        <v>0</v>
      </c>
      <c r="P209" s="88" t="n">
        <f aca="false">N209+P208</f>
        <v>1070.87989820031</v>
      </c>
      <c r="Q209" s="88" t="n">
        <f aca="false">O209+Q208</f>
        <v>398</v>
      </c>
      <c r="R209" s="88" t="n">
        <f aca="false">MAX(R208,P209-Q209)</f>
        <v>672.879898200313</v>
      </c>
      <c r="S209" s="88" t="n">
        <f aca="false">R209-R208</f>
        <v>3.85276717528177</v>
      </c>
      <c r="T209" s="88" t="n">
        <f aca="false">IF(B209=2026,INDEX($C$5:$Q$5,1,B209-2025)*$AO$4*C209/MAX(0.0001,12-$AO$3),INDEX($C$5:$Q$5,1,B209-2025)/12)</f>
        <v>15.6590365381071</v>
      </c>
      <c r="U209" s="88" t="n">
        <f aca="false">$AO$6*0</f>
        <v>0</v>
      </c>
      <c r="V209" s="88" t="n">
        <f aca="false">T209+V208</f>
        <v>4352.44246302438</v>
      </c>
      <c r="W209" s="88" t="n">
        <f aca="false">U209+W208</f>
        <v>1115</v>
      </c>
      <c r="X209" s="88" t="n">
        <f aca="false">MAX(X208,V209-W209)</f>
        <v>3237.44246302438</v>
      </c>
      <c r="Y209" s="88" t="n">
        <f aca="false">X209-X208</f>
        <v>15.6590365381071</v>
      </c>
      <c r="Z209" s="88" t="n">
        <f aca="false">IF(B209=2026,INDEX($C$6:$Q$6,1,B209-2025)*$AO$4*C209/MAX(0.0001,12-$AO$3),INDEX($C$6:$Q$6,1,B209-2025)/12)</f>
        <v>18.578173921486</v>
      </c>
      <c r="AA209" s="88" t="n">
        <f aca="false">$AO$6*0</f>
        <v>0</v>
      </c>
      <c r="AB209" s="88" t="n">
        <f aca="false">Z209+AB208</f>
        <v>5163.81917013541</v>
      </c>
      <c r="AC209" s="88" t="n">
        <f aca="false">AA209+AC208</f>
        <v>2194</v>
      </c>
      <c r="AD209" s="88" t="n">
        <f aca="false">MAX(AD208,AB209-AC209)</f>
        <v>2969.81917013541</v>
      </c>
      <c r="AE209" s="88" t="n">
        <f aca="false">AD209-AD208</f>
        <v>18.5781739214863</v>
      </c>
      <c r="AF209" s="88" t="n">
        <f aca="false">IF(B209=2026,INDEX($C$7:$Q$7,1,B209-2025)*$AO$4*C209/MAX(0.0001,12-$AO$3),INDEX($C$7:$Q$7,1,B209-2025)/12)</f>
        <v>16.1382057035167</v>
      </c>
      <c r="AG209" s="88" t="n">
        <f aca="false">$AO$6*0</f>
        <v>0</v>
      </c>
      <c r="AH209" s="88" t="n">
        <f aca="false">AF209+AH208</f>
        <v>4485.62793822429</v>
      </c>
      <c r="AI209" s="88" t="n">
        <f aca="false">AG209+AI208</f>
        <v>826</v>
      </c>
      <c r="AJ209" s="88" t="n">
        <f aca="false">MAX(AJ208,AH209-AI209)</f>
        <v>3659.62793822429</v>
      </c>
      <c r="AK209" s="88" t="n">
        <f aca="false">AJ209-AJ208</f>
        <v>16.1382057035171</v>
      </c>
      <c r="AL209" s="88" t="n">
        <f aca="false">IF(B209=2026,INDEX($C$8:$Q$8,1,B209-2025)*$AO$4*C209/MAX(0.0001,12-$AO$3),INDEX($C$8:$Q$8,1,B209-2025)/12)</f>
        <v>4.08220360807459</v>
      </c>
      <c r="AM209" s="88" t="n">
        <f aca="false">$AO$6*0</f>
        <v>0</v>
      </c>
      <c r="AN209" s="88" t="n">
        <f aca="false">AL209+AN208</f>
        <v>1134.6519489406</v>
      </c>
      <c r="AO209" s="88" t="n">
        <f aca="false">AM209+AO208</f>
        <v>66</v>
      </c>
      <c r="AP209" s="88" t="n">
        <f aca="false">MAX(AP208,AN209-AO209)</f>
        <v>1068.6519489406</v>
      </c>
      <c r="AQ209" s="88" t="n">
        <f aca="false">AP209-AP208</f>
        <v>4.08220360807468</v>
      </c>
      <c r="AR209" s="88" t="n">
        <f aca="false">IF(B209=2026,INDEX($C$9:$Q$9,1,B209-2025)*$AO$4*C209/MAX(0.0001,12-$AO$3),INDEX($C$9:$Q$9,1,B209-2025)/12)</f>
        <v>17.406283218606</v>
      </c>
      <c r="AS209" s="88" t="n">
        <f aca="false">$AO$6*0</f>
        <v>0</v>
      </c>
      <c r="AT209" s="88" t="n">
        <f aca="false">AR209+AT208</f>
        <v>4838.09115712351</v>
      </c>
      <c r="AU209" s="88" t="n">
        <f aca="false">AS209+AU208</f>
        <v>1810</v>
      </c>
      <c r="AV209" s="88" t="n">
        <f aca="false">MAX(AV208,AT209-AU209)</f>
        <v>3028.09115712351</v>
      </c>
      <c r="AW209" s="88" t="n">
        <f aca="false">AV209-AV208</f>
        <v>17.4062832186064</v>
      </c>
      <c r="AX209" s="88" t="n">
        <f aca="false">IF(B209=2026,INDEX($C$10:$Q$10,1,B209-2025)*$AO$4*C209/MAX(0.0001,12-$AO$3),INDEX($C$10:$Q$10,1,B209-2025)/12)</f>
        <v>2.01904060857645</v>
      </c>
      <c r="AY209" s="88" t="n">
        <f aca="false">$AO$6*0</f>
        <v>0</v>
      </c>
      <c r="AZ209" s="88" t="n">
        <f aca="false">AX209+AZ208</f>
        <v>561.1940465145</v>
      </c>
      <c r="BA209" s="88" t="n">
        <f aca="false">AY209+BA208</f>
        <v>50</v>
      </c>
      <c r="BB209" s="88" t="n">
        <f aca="false">MAX(BB208,AZ209-BA209)</f>
        <v>511.1940465145</v>
      </c>
      <c r="BC209" s="88" t="n">
        <f aca="false">BB209-BB208</f>
        <v>2.01904060857646</v>
      </c>
      <c r="BD209" s="88" t="n">
        <f aca="false">IF(B209=2026,INDEX($C$11:$Q$11,1,B209-2025)*$AO$4*C209/MAX(0.0001,12-$AO$3),INDEX($C$11:$Q$11,1,B209-2025)/12)</f>
        <v>10.0334316955919</v>
      </c>
      <c r="BE209" s="88" t="n">
        <f aca="false">$AO$6*0</f>
        <v>0</v>
      </c>
      <c r="BF209" s="88" t="n">
        <f aca="false">BD209+BF208</f>
        <v>2788.80083429627</v>
      </c>
      <c r="BG209" s="88" t="n">
        <f aca="false">BE209+BG208</f>
        <v>240</v>
      </c>
      <c r="BH209" s="88" t="n">
        <f aca="false">MAX(BH208,BF209-BG209)</f>
        <v>2548.80083429627</v>
      </c>
      <c r="BI209" s="88" t="n">
        <f aca="false">BH209-BH208</f>
        <v>10.0334316955918</v>
      </c>
      <c r="BJ209" s="88" t="n">
        <f aca="false">IF(B209=2026,INDEX($C$12:$Q$12,1,B209-2025)*$AO$4*C209/MAX(0.0001,12-$AO$3),INDEX($C$12:$Q$12,1,B209-2025)/12)</f>
        <v>5.50117970011608</v>
      </c>
      <c r="BK209" s="88" t="n">
        <f aca="false">$AO$6*0</f>
        <v>0</v>
      </c>
      <c r="BL209" s="88" t="n">
        <f aca="false">BJ209+BL208</f>
        <v>1529.05755505743</v>
      </c>
      <c r="BM209" s="88" t="n">
        <f aca="false">BK209+BM208</f>
        <v>465</v>
      </c>
      <c r="BN209" s="88" t="n">
        <f aca="false">MAX(BN208,BL209-BM209)</f>
        <v>1064.05755505743</v>
      </c>
      <c r="BO209" s="88" t="n">
        <f aca="false">BN209-BN208</f>
        <v>5.50117970011615</v>
      </c>
      <c r="BP209" s="88" t="n">
        <f aca="false">IF(B209=2026,INDEX($C$13:$Q$13,1,B209-2025)*$AO$4*C209/MAX(0.0001,12-$AO$3),INDEX($C$13:$Q$13,1,B209-2025)/12)</f>
        <v>1.71910470504089</v>
      </c>
      <c r="BQ209" s="88" t="n">
        <f aca="false">$AO$6*0</f>
        <v>0</v>
      </c>
      <c r="BR209" s="88" t="n">
        <f aca="false">BP209+BR208</f>
        <v>477.826608194981</v>
      </c>
      <c r="BS209" s="88" t="n">
        <f aca="false">BQ209+BS208</f>
        <v>87</v>
      </c>
      <c r="BT209" s="88" t="n">
        <f aca="false">MAX(BT208,BR209-BS209)</f>
        <v>390.826608194981</v>
      </c>
      <c r="BU209" s="88" t="n">
        <f aca="false">BT209-BT208</f>
        <v>1.71910470504088</v>
      </c>
      <c r="BV209" s="88" t="n">
        <f aca="false">IF(B209=2026,INDEX($C$14:$Q$14,1,B209-2025)*$AO$4*C209/MAX(0.0001,12-$AO$3),INDEX($C$14:$Q$14,1,B209-2025)/12)</f>
        <v>1.01960692850701</v>
      </c>
      <c r="BW209" s="88" t="n">
        <f aca="false">$AO$6*0</f>
        <v>0</v>
      </c>
      <c r="BX209" s="88" t="n">
        <f aca="false">BV209+BX208</f>
        <v>283.400608998404</v>
      </c>
      <c r="BY209" s="88" t="n">
        <f aca="false">BW209+BY208</f>
        <v>0</v>
      </c>
      <c r="BZ209" s="88" t="n">
        <f aca="false">MAX(BZ208,BX209-BY209)</f>
        <v>283.400608998404</v>
      </c>
      <c r="CA209" s="88" t="n">
        <f aca="false">BZ209-BZ208</f>
        <v>1.01960692850702</v>
      </c>
      <c r="CB209" s="88" t="n">
        <f aca="false">IF(B209=2026,INDEX($C$15:$Q$15,1,B209-2025)*$AO$4*C209/MAX(0.0001,12-$AO$3),INDEX($C$15:$Q$15,1,B209-2025)/12)</f>
        <v>1.6716811269708</v>
      </c>
      <c r="CC209" s="88" t="n">
        <f aca="false">$AO$6*0</f>
        <v>0</v>
      </c>
      <c r="CD209" s="88" t="n">
        <f aca="false">CB209+CD208</f>
        <v>464.645184520637</v>
      </c>
      <c r="CE209" s="88" t="n">
        <f aca="false">CC209+CE208</f>
        <v>88.0000000000001</v>
      </c>
      <c r="CF209" s="88" t="n">
        <f aca="false">MAX(CF208,CD209-CE209)</f>
        <v>376.645184520637</v>
      </c>
      <c r="CG209" s="88" t="n">
        <f aca="false">CF209-CF208</f>
        <v>1.67168112697078</v>
      </c>
      <c r="CH209" s="88" t="n">
        <f aca="false">IF(B209=2026,INDEX($C$16:$Q$16,1,B209-2025)*$AO$4*C209/MAX(0.0001,12-$AO$3),INDEX($C$16:$Q$16,1,B209-2025)/12)</f>
        <v>1.32193223870386</v>
      </c>
      <c r="CI209" s="88" t="n">
        <f aca="false">$AO$6*0</f>
        <v>0</v>
      </c>
      <c r="CJ209" s="88" t="n">
        <f aca="false">CH209+CJ208</f>
        <v>367.432184922348</v>
      </c>
      <c r="CK209" s="88" t="n">
        <f aca="false">CI209+CK208</f>
        <v>70</v>
      </c>
      <c r="CL209" s="88" t="n">
        <f aca="false">MAX(CL208,CJ209-CK209)</f>
        <v>297.432184922348</v>
      </c>
      <c r="CM209" s="88" t="n">
        <f aca="false">CL209-CL208</f>
        <v>1.32193223870388</v>
      </c>
      <c r="CN209" s="88" t="n">
        <f aca="false">IF(B209=2026,INDEX($C$17:$Q$17,1,B209-2025)*$AO$4*C209/MAX(0.0001,12-$AO$3),INDEX($C$17:$Q$17,1,B209-2025)/12)</f>
        <v>5.75603678825761</v>
      </c>
      <c r="CO209" s="88" t="n">
        <f aca="false">$AO$6*0</f>
        <v>0</v>
      </c>
      <c r="CP209" s="88" t="n">
        <f aca="false">CN209+CP208</f>
        <v>1599.89529847355</v>
      </c>
      <c r="CQ209" s="88" t="n">
        <f aca="false">CO209+CQ208</f>
        <v>221</v>
      </c>
      <c r="CR209" s="88" t="n">
        <f aca="false">MAX(CR208,CP209-CQ209)</f>
        <v>1378.89529847355</v>
      </c>
      <c r="CS209" s="88" t="n">
        <f aca="false">CR209-CR208</f>
        <v>5.75603678825769</v>
      </c>
      <c r="CT209" s="88" t="n">
        <f aca="false">IF(B209=2026,INDEX($C$18:$Q$18,1,B209-2025)*$AO$4*C209/MAX(0.0001,12-$AO$3),INDEX($C$18:$Q$18,1,B209-2025)/12)</f>
        <v>1.19744534626986</v>
      </c>
      <c r="CU209" s="88" t="n">
        <f aca="false">$AO$6*0</f>
        <v>0</v>
      </c>
      <c r="CV209" s="88" t="n">
        <f aca="false">CT209+CV208</f>
        <v>332.830947777194</v>
      </c>
      <c r="CW209" s="88" t="n">
        <f aca="false">CU209+CW208</f>
        <v>11</v>
      </c>
      <c r="CX209" s="88" t="n">
        <f aca="false">MAX(CX208,CV209-CW209)</f>
        <v>321.830947777194</v>
      </c>
      <c r="CY209" s="88" t="n">
        <f aca="false">CX209-CX208</f>
        <v>1.19744534626989</v>
      </c>
      <c r="CZ209" s="88" t="n">
        <f aca="false">IF(B209=2026,INDEX($C$19:$Q$19,1,B209-2025)*$AO$4*C209/MAX(0.0001,12-$AO$3),INDEX($C$19:$Q$19,1,B209-2025)/12)</f>
        <v>1.18558945175234</v>
      </c>
      <c r="DA209" s="88" t="n">
        <f aca="false">$AO$6*0</f>
        <v>0</v>
      </c>
      <c r="DB209" s="88" t="n">
        <f aca="false">CZ209+DB208</f>
        <v>329.535591858609</v>
      </c>
      <c r="DC209" s="88" t="n">
        <f aca="false">DA209+DC208</f>
        <v>226</v>
      </c>
      <c r="DD209" s="88" t="n">
        <f aca="false">MAX(DD208,DB209-DC209)</f>
        <v>103.535591858609</v>
      </c>
      <c r="DE209" s="88" t="n">
        <f aca="false">DD209-DD208</f>
        <v>1.18558945175232</v>
      </c>
      <c r="DF209" s="88" t="n">
        <f aca="false">IF(B209=2026,INDEX($C$20:$Q$20,1,B209-2025)*$AO$4*C209/MAX(0.0001,12-$AO$3),INDEX($C$20:$Q$20,1,B209-2025)/12)</f>
        <v>0.966255403178157</v>
      </c>
      <c r="DG209" s="88" t="n">
        <f aca="false">$AO$6*0</f>
        <v>0</v>
      </c>
      <c r="DH209" s="88" t="n">
        <f aca="false">DF209+DH208</f>
        <v>268.571507364766</v>
      </c>
      <c r="DI209" s="88" t="n">
        <f aca="false">DG209+DI208</f>
        <v>0</v>
      </c>
      <c r="DJ209" s="88" t="n">
        <f aca="false">MAX(DJ208,DH209-DI209)</f>
        <v>268.571507364766</v>
      </c>
      <c r="DK209" s="88" t="n">
        <f aca="false">DJ209-DJ208</f>
        <v>0.966255403178138</v>
      </c>
      <c r="DL209" s="88" t="n">
        <f aca="false">IF(B209=2026,INDEX($C$21:$Q$21,1,B209-2025)*$AO$4*C209/MAX(0.0001,12-$AO$3),INDEX($C$21:$Q$21,1,B209-2025)/12)</f>
        <v>0.675785987498834</v>
      </c>
      <c r="DM209" s="88" t="n">
        <f aca="false">$AO$6*0</f>
        <v>0</v>
      </c>
      <c r="DN209" s="88" t="n">
        <f aca="false">DL209+DN208</f>
        <v>187.835287359406</v>
      </c>
      <c r="DO209" s="88" t="n">
        <f aca="false">DM209+DO208</f>
        <v>100</v>
      </c>
      <c r="DP209" s="88" t="n">
        <f aca="false">MAX(DP208,DN209-DO209)</f>
        <v>87.8352873594064</v>
      </c>
      <c r="DQ209" s="88" t="n">
        <f aca="false">DP209-DP208</f>
        <v>0.675785987498841</v>
      </c>
      <c r="DR209" s="88" t="n">
        <f aca="false">IF(B209=2026,INDEX($C$22:$Q$22,1,B209-2025)*$AO$4*C209/MAX(0.0001,12-$AO$3),INDEX($C$22:$Q$22,1,B209-2025)/12)</f>
        <v>0.527587306029791</v>
      </c>
      <c r="DS209" s="88" t="n">
        <f aca="false">$AO$6*0</f>
        <v>0</v>
      </c>
      <c r="DT209" s="88" t="n">
        <f aca="false">DR209+DT208</f>
        <v>146.643338377081</v>
      </c>
      <c r="DU209" s="88" t="n">
        <f aca="false">DS209+DU208</f>
        <v>29</v>
      </c>
      <c r="DV209" s="88" t="n">
        <f aca="false">MAX(DV208,DT209-DU209)</f>
        <v>117.643338377081</v>
      </c>
      <c r="DW209" s="88" t="n">
        <f aca="false">DV209-DV208</f>
        <v>0.527587306029801</v>
      </c>
      <c r="DX209" s="88" t="n">
        <f aca="false">IF(B209=2026,INDEX($C$23:$Q$23,1,B209-2025)*$AO$4*C209/MAX(0.0001,12-$AO$3),INDEX($C$23:$Q$23,1,B209-2025)/12)</f>
        <v>0.847696458002923</v>
      </c>
      <c r="DY209" s="88" t="n">
        <f aca="false">$AO$6*0</f>
        <v>0</v>
      </c>
      <c r="DZ209" s="88" t="n">
        <f aca="false">DX209+DZ208</f>
        <v>235.617948178905</v>
      </c>
      <c r="EA209" s="88" t="n">
        <f aca="false">DY209+EA208</f>
        <v>121</v>
      </c>
      <c r="EB209" s="88" t="n">
        <f aca="false">MAX(EB208,DZ209-EA209)</f>
        <v>114.617948178905</v>
      </c>
      <c r="EC209" s="88" t="n">
        <f aca="false">EB209-EB208</f>
        <v>0.847696458002929</v>
      </c>
      <c r="ED209" s="88" t="n">
        <f aca="false">IF(B209=2026,INDEX($C$24:$Q$24,1,B209-2025)*$AO$4*C209/MAX(0.0001,12-$AO$3),INDEX($C$24:$Q$24,1,B209-2025)/12)</f>
        <v>0.52165935877103</v>
      </c>
      <c r="EE209" s="88" t="n">
        <f aca="false">$AO$6*0</f>
        <v>0</v>
      </c>
      <c r="EF209" s="88" t="n">
        <f aca="false">ED209+EF208</f>
        <v>144.995660417788</v>
      </c>
      <c r="EG209" s="88" t="n">
        <f aca="false">EE209+EG208</f>
        <v>0</v>
      </c>
      <c r="EH209" s="88" t="n">
        <f aca="false">MAX(EH208,EF209-EG209)</f>
        <v>144.995660417788</v>
      </c>
      <c r="EI209" s="88" t="n">
        <f aca="false">EH209-EH208</f>
        <v>0.521659358771018</v>
      </c>
      <c r="EJ209" s="88" t="n">
        <f aca="false">IF(B209=2026,INDEX($C$25:$Q$25,1,B209-2025)*$AO$4*C209/MAX(0.0001,12-$AO$3),INDEX($C$25:$Q$25,1,B209-2025)/12)</f>
        <v>0.66393009298131</v>
      </c>
      <c r="EK209" s="88" t="n">
        <f aca="false">$AO$6*0</f>
        <v>0</v>
      </c>
      <c r="EL209" s="88" t="n">
        <f aca="false">EJ209+EL208</f>
        <v>184.539931440821</v>
      </c>
      <c r="EM209" s="88" t="n">
        <f aca="false">EK209+EM208</f>
        <v>14</v>
      </c>
      <c r="EN209" s="88" t="n">
        <f aca="false">MAX(EN208,EL209-EM209)</f>
        <v>170.539931440821</v>
      </c>
      <c r="EO209" s="88" t="n">
        <f aca="false">EN209-EN208</f>
        <v>0.663930092981303</v>
      </c>
      <c r="EP209" s="88" t="n">
        <f aca="false">IF(B209=2026,INDEX($C$26:$Q$26,1,B209-2025)*$AO$4*C209/MAX(0.0001,12-$AO$3),INDEX($C$26:$Q$26,1,B209-2025)/12)</f>
        <v>0.954399508660634</v>
      </c>
      <c r="EQ209" s="88" t="n">
        <f aca="false">$AO$6*0</f>
        <v>0</v>
      </c>
      <c r="ER209" s="88" t="n">
        <f aca="false">EP209+ER208</f>
        <v>265.276151446179</v>
      </c>
      <c r="ES209" s="88" t="n">
        <f aca="false">EQ209+ES208</f>
        <v>4</v>
      </c>
      <c r="ET209" s="88" t="n">
        <f aca="false">MAX(ET208,ER209-ES209)</f>
        <v>261.276151446179</v>
      </c>
      <c r="EU209" s="88" t="n">
        <f aca="false">ET209-ET208</f>
        <v>0.954399508660629</v>
      </c>
      <c r="EV209" s="88" t="n">
        <f aca="false">IF(B209=2026,INDEX($C$27:$Q$27,1,B209-2025)*$AO$4*C209/MAX(0.0001,12-$AO$3),INDEX($C$27:$Q$27,1,B209-2025)/12)</f>
        <v>2.37117890350468</v>
      </c>
      <c r="EW209" s="88" t="n">
        <f aca="false">$AO$6*0</f>
        <v>0</v>
      </c>
      <c r="EX209" s="88" t="n">
        <f aca="false">EV209+EX208</f>
        <v>659.071183717217</v>
      </c>
      <c r="EY209" s="88" t="n">
        <f aca="false">EW209+EY208</f>
        <v>391</v>
      </c>
      <c r="EZ209" s="88" t="n">
        <f aca="false">MAX(EZ208,EX209-EY209)</f>
        <v>268.071183717217</v>
      </c>
      <c r="FA209" s="88" t="n">
        <f aca="false">EZ209-EZ208</f>
        <v>2.37117890350464</v>
      </c>
      <c r="FB209" s="88" t="n">
        <f aca="false">IF(B209=2026,INDEX($C$28:$Q$28,1,B209-2025)*$AO$4*C209/MAX(0.0001,12-$AO$3),INDEX($C$28:$Q$28,1,B209-2025)/12)</f>
        <v>12.413121559847</v>
      </c>
      <c r="FC209" s="88" t="n">
        <f aca="false">$AO$6*0</f>
        <v>0</v>
      </c>
      <c r="FD209" s="88" t="n">
        <f aca="false">FB209+FD208</f>
        <v>3450.23764675963</v>
      </c>
      <c r="FE209" s="88" t="n">
        <f aca="false">FC209+FE208</f>
        <v>169</v>
      </c>
      <c r="FF209" s="88" t="n">
        <f aca="false">MAX(FF208,FD209-FE209)</f>
        <v>3281.23764675963</v>
      </c>
      <c r="FG209" s="88" t="n">
        <f aca="false">FF209-FF208</f>
        <v>12.4131215598468</v>
      </c>
    </row>
    <row r="210" customFormat="false" ht="15" hidden="false" customHeight="false" outlineLevel="0" collapsed="false">
      <c r="A210" s="0" t="n">
        <v>170</v>
      </c>
      <c r="B210" s="88" t="n">
        <f aca="false">2026+INT(A210/12)</f>
        <v>2040</v>
      </c>
      <c r="C210" s="88" t="n">
        <f aca="false">MAX(0,MIN(1,A210+1-$AO$3))</f>
        <v>1</v>
      </c>
      <c r="D210" s="88" t="n">
        <f aca="false">IF((A210+0.5-(0))&lt;$AO$3,0,2026+INT((A210+0.5-(0))/12))</f>
        <v>2040</v>
      </c>
      <c r="E210" s="88" t="n">
        <f aca="false">IF((A210+0.5-($AO$9))&lt;$AO$3,0,2026+INT((A210+0.5-($AO$9))/12))</f>
        <v>2038</v>
      </c>
      <c r="F210" s="88" t="n">
        <f aca="false">IF((A210+0.5-($AO$9+$AO$8))&lt;$AO$3,0,2026+INT((A210+0.5-($AO$9+$AO$8))/12))</f>
        <v>2037</v>
      </c>
      <c r="G210" s="88" t="n">
        <f aca="false">IF((A210+0.5-($AO$9+$AO$8+$AO$7))&lt;$AO$3,0,2026+INT((A210+0.5-($AO$9+$AO$8+$AO$7))/12))</f>
        <v>2037</v>
      </c>
      <c r="H210" s="88" t="n">
        <f aca="false">IF(B210=2026,INDEX($C$3:$Q$3,1,B210-2025)*$AO$4*C210/MAX(0.0001,12-$AO$3),INDEX($C$3:$Q$3,1,B210-2025)/12)</f>
        <v>127.083333333333</v>
      </c>
      <c r="I210" s="88" t="n">
        <f aca="false">$AO$6*0</f>
        <v>0</v>
      </c>
      <c r="J210" s="88" t="n">
        <f aca="false">H210+J209</f>
        <v>35450.0034246576</v>
      </c>
      <c r="K210" s="88" t="n">
        <f aca="false">I210+K209</f>
        <v>8695.00000000001</v>
      </c>
      <c r="L210" s="88" t="n">
        <f aca="false">MAX(L209,J210-K210)</f>
        <v>26755.0034246576</v>
      </c>
      <c r="M210" s="88" t="n">
        <f aca="false">L210-L209</f>
        <v>127.083333333336</v>
      </c>
      <c r="N210" s="88" t="n">
        <f aca="false">IF(B210=2026,INDEX($C$4:$Q$4,1,B210-2025)*$AO$4*C210/MAX(0.0001,12-$AO$3),INDEX($C$4:$Q$4,1,B210-2025)/12)</f>
        <v>3.85276717528181</v>
      </c>
      <c r="O210" s="88" t="n">
        <f aca="false">$AO$6*0</f>
        <v>0</v>
      </c>
      <c r="P210" s="88" t="n">
        <f aca="false">N210+P209</f>
        <v>1074.73266537559</v>
      </c>
      <c r="Q210" s="88" t="n">
        <f aca="false">O210+Q209</f>
        <v>398</v>
      </c>
      <c r="R210" s="88" t="n">
        <f aca="false">MAX(R209,P210-Q210)</f>
        <v>676.732665375594</v>
      </c>
      <c r="S210" s="88" t="n">
        <f aca="false">R210-R209</f>
        <v>3.85276717528177</v>
      </c>
      <c r="T210" s="88" t="n">
        <f aca="false">IF(B210=2026,INDEX($C$5:$Q$5,1,B210-2025)*$AO$4*C210/MAX(0.0001,12-$AO$3),INDEX($C$5:$Q$5,1,B210-2025)/12)</f>
        <v>15.6590365381071</v>
      </c>
      <c r="U210" s="88" t="n">
        <f aca="false">$AO$6*0</f>
        <v>0</v>
      </c>
      <c r="V210" s="88" t="n">
        <f aca="false">T210+V209</f>
        <v>4368.10149956249</v>
      </c>
      <c r="W210" s="88" t="n">
        <f aca="false">U210+W209</f>
        <v>1115</v>
      </c>
      <c r="X210" s="88" t="n">
        <f aca="false">MAX(X209,V210-W210)</f>
        <v>3253.10149956249</v>
      </c>
      <c r="Y210" s="88" t="n">
        <f aca="false">X210-X209</f>
        <v>15.6590365381071</v>
      </c>
      <c r="Z210" s="88" t="n">
        <f aca="false">IF(B210=2026,INDEX($C$6:$Q$6,1,B210-2025)*$AO$4*C210/MAX(0.0001,12-$AO$3),INDEX($C$6:$Q$6,1,B210-2025)/12)</f>
        <v>18.578173921486</v>
      </c>
      <c r="AA210" s="88" t="n">
        <f aca="false">$AO$6*0</f>
        <v>0</v>
      </c>
      <c r="AB210" s="88" t="n">
        <f aca="false">Z210+AB209</f>
        <v>5182.3973440569</v>
      </c>
      <c r="AC210" s="88" t="n">
        <f aca="false">AA210+AC209</f>
        <v>2194</v>
      </c>
      <c r="AD210" s="88" t="n">
        <f aca="false">MAX(AD209,AB210-AC210)</f>
        <v>2988.3973440569</v>
      </c>
      <c r="AE210" s="88" t="n">
        <f aca="false">AD210-AD209</f>
        <v>18.5781739214863</v>
      </c>
      <c r="AF210" s="88" t="n">
        <f aca="false">IF(B210=2026,INDEX($C$7:$Q$7,1,B210-2025)*$AO$4*C210/MAX(0.0001,12-$AO$3),INDEX($C$7:$Q$7,1,B210-2025)/12)</f>
        <v>16.1382057035167</v>
      </c>
      <c r="AG210" s="88" t="n">
        <f aca="false">$AO$6*0</f>
        <v>0</v>
      </c>
      <c r="AH210" s="88" t="n">
        <f aca="false">AF210+AH209</f>
        <v>4501.7661439278</v>
      </c>
      <c r="AI210" s="88" t="n">
        <f aca="false">AG210+AI209</f>
        <v>826</v>
      </c>
      <c r="AJ210" s="88" t="n">
        <f aca="false">MAX(AJ209,AH210-AI210)</f>
        <v>3675.76614392781</v>
      </c>
      <c r="AK210" s="88" t="n">
        <f aca="false">AJ210-AJ209</f>
        <v>16.1382057035171</v>
      </c>
      <c r="AL210" s="88" t="n">
        <f aca="false">IF(B210=2026,INDEX($C$8:$Q$8,1,B210-2025)*$AO$4*C210/MAX(0.0001,12-$AO$3),INDEX($C$8:$Q$8,1,B210-2025)/12)</f>
        <v>4.08220360807459</v>
      </c>
      <c r="AM210" s="88" t="n">
        <f aca="false">$AO$6*0</f>
        <v>0</v>
      </c>
      <c r="AN210" s="88" t="n">
        <f aca="false">AL210+AN209</f>
        <v>1138.73415254867</v>
      </c>
      <c r="AO210" s="88" t="n">
        <f aca="false">AM210+AO209</f>
        <v>66</v>
      </c>
      <c r="AP210" s="88" t="n">
        <f aca="false">MAX(AP209,AN210-AO210)</f>
        <v>1072.73415254867</v>
      </c>
      <c r="AQ210" s="88" t="n">
        <f aca="false">AP210-AP209</f>
        <v>4.08220360807468</v>
      </c>
      <c r="AR210" s="88" t="n">
        <f aca="false">IF(B210=2026,INDEX($C$9:$Q$9,1,B210-2025)*$AO$4*C210/MAX(0.0001,12-$AO$3),INDEX($C$9:$Q$9,1,B210-2025)/12)</f>
        <v>17.406283218606</v>
      </c>
      <c r="AS210" s="88" t="n">
        <f aca="false">$AO$6*0</f>
        <v>0</v>
      </c>
      <c r="AT210" s="88" t="n">
        <f aca="false">AR210+AT209</f>
        <v>4855.49744034212</v>
      </c>
      <c r="AU210" s="88" t="n">
        <f aca="false">AS210+AU209</f>
        <v>1810</v>
      </c>
      <c r="AV210" s="88" t="n">
        <f aca="false">MAX(AV209,AT210-AU210)</f>
        <v>3045.49744034212</v>
      </c>
      <c r="AW210" s="88" t="n">
        <f aca="false">AV210-AV209</f>
        <v>17.4062832186064</v>
      </c>
      <c r="AX210" s="88" t="n">
        <f aca="false">IF(B210=2026,INDEX($C$10:$Q$10,1,B210-2025)*$AO$4*C210/MAX(0.0001,12-$AO$3),INDEX($C$10:$Q$10,1,B210-2025)/12)</f>
        <v>2.01904060857645</v>
      </c>
      <c r="AY210" s="88" t="n">
        <f aca="false">$AO$6*0</f>
        <v>0</v>
      </c>
      <c r="AZ210" s="88" t="n">
        <f aca="false">AX210+AZ209</f>
        <v>563.213087123077</v>
      </c>
      <c r="BA210" s="88" t="n">
        <f aca="false">AY210+BA209</f>
        <v>50</v>
      </c>
      <c r="BB210" s="88" t="n">
        <f aca="false">MAX(BB209,AZ210-BA210)</f>
        <v>513.213087123077</v>
      </c>
      <c r="BC210" s="88" t="n">
        <f aca="false">BB210-BB209</f>
        <v>2.01904060857646</v>
      </c>
      <c r="BD210" s="88" t="n">
        <f aca="false">IF(B210=2026,INDEX($C$11:$Q$11,1,B210-2025)*$AO$4*C210/MAX(0.0001,12-$AO$3),INDEX($C$11:$Q$11,1,B210-2025)/12)</f>
        <v>10.0334316955919</v>
      </c>
      <c r="BE210" s="88" t="n">
        <f aca="false">$AO$6*0</f>
        <v>0</v>
      </c>
      <c r="BF210" s="88" t="n">
        <f aca="false">BD210+BF209</f>
        <v>2798.83426599186</v>
      </c>
      <c r="BG210" s="88" t="n">
        <f aca="false">BE210+BG209</f>
        <v>240</v>
      </c>
      <c r="BH210" s="88" t="n">
        <f aca="false">MAX(BH209,BF210-BG210)</f>
        <v>2558.83426599186</v>
      </c>
      <c r="BI210" s="88" t="n">
        <f aca="false">BH210-BH209</f>
        <v>10.0334316955918</v>
      </c>
      <c r="BJ210" s="88" t="n">
        <f aca="false">IF(B210=2026,INDEX($C$12:$Q$12,1,B210-2025)*$AO$4*C210/MAX(0.0001,12-$AO$3),INDEX($C$12:$Q$12,1,B210-2025)/12)</f>
        <v>5.50117970011608</v>
      </c>
      <c r="BK210" s="88" t="n">
        <f aca="false">$AO$6*0</f>
        <v>0</v>
      </c>
      <c r="BL210" s="88" t="n">
        <f aca="false">BJ210+BL209</f>
        <v>1534.55873475755</v>
      </c>
      <c r="BM210" s="88" t="n">
        <f aca="false">BK210+BM209</f>
        <v>465</v>
      </c>
      <c r="BN210" s="88" t="n">
        <f aca="false">MAX(BN209,BL210-BM210)</f>
        <v>1069.55873475755</v>
      </c>
      <c r="BO210" s="88" t="n">
        <f aca="false">BN210-BN209</f>
        <v>5.50117970011615</v>
      </c>
      <c r="BP210" s="88" t="n">
        <f aca="false">IF(B210=2026,INDEX($C$13:$Q$13,1,B210-2025)*$AO$4*C210/MAX(0.0001,12-$AO$3),INDEX($C$13:$Q$13,1,B210-2025)/12)</f>
        <v>1.71910470504089</v>
      </c>
      <c r="BQ210" s="88" t="n">
        <f aca="false">$AO$6*0</f>
        <v>0</v>
      </c>
      <c r="BR210" s="88" t="n">
        <f aca="false">BP210+BR209</f>
        <v>479.545712900022</v>
      </c>
      <c r="BS210" s="88" t="n">
        <f aca="false">BQ210+BS209</f>
        <v>87</v>
      </c>
      <c r="BT210" s="88" t="n">
        <f aca="false">MAX(BT209,BR210-BS210)</f>
        <v>392.545712900022</v>
      </c>
      <c r="BU210" s="88" t="n">
        <f aca="false">BT210-BT209</f>
        <v>1.71910470504088</v>
      </c>
      <c r="BV210" s="88" t="n">
        <f aca="false">IF(B210=2026,INDEX($C$14:$Q$14,1,B210-2025)*$AO$4*C210/MAX(0.0001,12-$AO$3),INDEX($C$14:$Q$14,1,B210-2025)/12)</f>
        <v>1.01960692850701</v>
      </c>
      <c r="BW210" s="88" t="n">
        <f aca="false">$AO$6*0</f>
        <v>0</v>
      </c>
      <c r="BX210" s="88" t="n">
        <f aca="false">BV210+BX209</f>
        <v>284.420215926911</v>
      </c>
      <c r="BY210" s="88" t="n">
        <f aca="false">BW210+BY209</f>
        <v>0</v>
      </c>
      <c r="BZ210" s="88" t="n">
        <f aca="false">MAX(BZ209,BX210-BY210)</f>
        <v>284.420215926911</v>
      </c>
      <c r="CA210" s="88" t="n">
        <f aca="false">BZ210-BZ209</f>
        <v>1.01960692850702</v>
      </c>
      <c r="CB210" s="88" t="n">
        <f aca="false">IF(B210=2026,INDEX($C$15:$Q$15,1,B210-2025)*$AO$4*C210/MAX(0.0001,12-$AO$3),INDEX($C$15:$Q$15,1,B210-2025)/12)</f>
        <v>1.6716811269708</v>
      </c>
      <c r="CC210" s="88" t="n">
        <f aca="false">$AO$6*0</f>
        <v>0</v>
      </c>
      <c r="CD210" s="88" t="n">
        <f aca="false">CB210+CD209</f>
        <v>466.316865647608</v>
      </c>
      <c r="CE210" s="88" t="n">
        <f aca="false">CC210+CE209</f>
        <v>88.0000000000001</v>
      </c>
      <c r="CF210" s="88" t="n">
        <f aca="false">MAX(CF209,CD210-CE210)</f>
        <v>378.316865647608</v>
      </c>
      <c r="CG210" s="88" t="n">
        <f aca="false">CF210-CF209</f>
        <v>1.67168112697078</v>
      </c>
      <c r="CH210" s="88" t="n">
        <f aca="false">IF(B210=2026,INDEX($C$16:$Q$16,1,B210-2025)*$AO$4*C210/MAX(0.0001,12-$AO$3),INDEX($C$16:$Q$16,1,B210-2025)/12)</f>
        <v>1.32193223870386</v>
      </c>
      <c r="CI210" s="88" t="n">
        <f aca="false">$AO$6*0</f>
        <v>0</v>
      </c>
      <c r="CJ210" s="88" t="n">
        <f aca="false">CH210+CJ209</f>
        <v>368.754117161051</v>
      </c>
      <c r="CK210" s="88" t="n">
        <f aca="false">CI210+CK209</f>
        <v>70</v>
      </c>
      <c r="CL210" s="88" t="n">
        <f aca="false">MAX(CL209,CJ210-CK210)</f>
        <v>298.754117161051</v>
      </c>
      <c r="CM210" s="88" t="n">
        <f aca="false">CL210-CL209</f>
        <v>1.32193223870388</v>
      </c>
      <c r="CN210" s="88" t="n">
        <f aca="false">IF(B210=2026,INDEX($C$17:$Q$17,1,B210-2025)*$AO$4*C210/MAX(0.0001,12-$AO$3),INDEX($C$17:$Q$17,1,B210-2025)/12)</f>
        <v>5.75603678825761</v>
      </c>
      <c r="CO210" s="88" t="n">
        <f aca="false">$AO$6*0</f>
        <v>0</v>
      </c>
      <c r="CP210" s="88" t="n">
        <f aca="false">CN210+CP209</f>
        <v>1605.6513352618</v>
      </c>
      <c r="CQ210" s="88" t="n">
        <f aca="false">CO210+CQ209</f>
        <v>221</v>
      </c>
      <c r="CR210" s="88" t="n">
        <f aca="false">MAX(CR209,CP210-CQ210)</f>
        <v>1384.6513352618</v>
      </c>
      <c r="CS210" s="88" t="n">
        <f aca="false">CR210-CR209</f>
        <v>5.75603678825769</v>
      </c>
      <c r="CT210" s="88" t="n">
        <f aca="false">IF(B210=2026,INDEX($C$18:$Q$18,1,B210-2025)*$AO$4*C210/MAX(0.0001,12-$AO$3),INDEX($C$18:$Q$18,1,B210-2025)/12)</f>
        <v>1.19744534626986</v>
      </c>
      <c r="CU210" s="88" t="n">
        <f aca="false">$AO$6*0</f>
        <v>0</v>
      </c>
      <c r="CV210" s="88" t="n">
        <f aca="false">CT210+CV209</f>
        <v>334.028393123464</v>
      </c>
      <c r="CW210" s="88" t="n">
        <f aca="false">CU210+CW209</f>
        <v>11</v>
      </c>
      <c r="CX210" s="88" t="n">
        <f aca="false">MAX(CX209,CV210-CW210)</f>
        <v>323.028393123464</v>
      </c>
      <c r="CY210" s="88" t="n">
        <f aca="false">CX210-CX209</f>
        <v>1.19744534626989</v>
      </c>
      <c r="CZ210" s="88" t="n">
        <f aca="false">IF(B210=2026,INDEX($C$19:$Q$19,1,B210-2025)*$AO$4*C210/MAX(0.0001,12-$AO$3),INDEX($C$19:$Q$19,1,B210-2025)/12)</f>
        <v>1.18558945175234</v>
      </c>
      <c r="DA210" s="88" t="n">
        <f aca="false">$AO$6*0</f>
        <v>0</v>
      </c>
      <c r="DB210" s="88" t="n">
        <f aca="false">CZ210+DB209</f>
        <v>330.721181310361</v>
      </c>
      <c r="DC210" s="88" t="n">
        <f aca="false">DA210+DC209</f>
        <v>226</v>
      </c>
      <c r="DD210" s="88" t="n">
        <f aca="false">MAX(DD209,DB210-DC210)</f>
        <v>104.721181310361</v>
      </c>
      <c r="DE210" s="88" t="n">
        <f aca="false">DD210-DD209</f>
        <v>1.18558945175232</v>
      </c>
      <c r="DF210" s="88" t="n">
        <f aca="false">IF(B210=2026,INDEX($C$20:$Q$20,1,B210-2025)*$AO$4*C210/MAX(0.0001,12-$AO$3),INDEX($C$20:$Q$20,1,B210-2025)/12)</f>
        <v>0.966255403178157</v>
      </c>
      <c r="DG210" s="88" t="n">
        <f aca="false">$AO$6*0</f>
        <v>0</v>
      </c>
      <c r="DH210" s="88" t="n">
        <f aca="false">DF210+DH209</f>
        <v>269.537762767944</v>
      </c>
      <c r="DI210" s="88" t="n">
        <f aca="false">DG210+DI209</f>
        <v>0</v>
      </c>
      <c r="DJ210" s="88" t="n">
        <f aca="false">MAX(DJ209,DH210-DI210)</f>
        <v>269.537762767944</v>
      </c>
      <c r="DK210" s="88" t="n">
        <f aca="false">DJ210-DJ209</f>
        <v>0.966255403178138</v>
      </c>
      <c r="DL210" s="88" t="n">
        <f aca="false">IF(B210=2026,INDEX($C$21:$Q$21,1,B210-2025)*$AO$4*C210/MAX(0.0001,12-$AO$3),INDEX($C$21:$Q$21,1,B210-2025)/12)</f>
        <v>0.675785987498834</v>
      </c>
      <c r="DM210" s="88" t="n">
        <f aca="false">$AO$6*0</f>
        <v>0</v>
      </c>
      <c r="DN210" s="88" t="n">
        <f aca="false">DL210+DN209</f>
        <v>188.511073346905</v>
      </c>
      <c r="DO210" s="88" t="n">
        <f aca="false">DM210+DO209</f>
        <v>100</v>
      </c>
      <c r="DP210" s="88" t="n">
        <f aca="false">MAX(DP209,DN210-DO210)</f>
        <v>88.5110733469052</v>
      </c>
      <c r="DQ210" s="88" t="n">
        <f aca="false">DP210-DP209</f>
        <v>0.675785987498841</v>
      </c>
      <c r="DR210" s="88" t="n">
        <f aca="false">IF(B210=2026,INDEX($C$22:$Q$22,1,B210-2025)*$AO$4*C210/MAX(0.0001,12-$AO$3),INDEX($C$22:$Q$22,1,B210-2025)/12)</f>
        <v>0.527587306029791</v>
      </c>
      <c r="DS210" s="88" t="n">
        <f aca="false">$AO$6*0</f>
        <v>0</v>
      </c>
      <c r="DT210" s="88" t="n">
        <f aca="false">DR210+DT209</f>
        <v>147.17092568311</v>
      </c>
      <c r="DU210" s="88" t="n">
        <f aca="false">DS210+DU209</f>
        <v>29</v>
      </c>
      <c r="DV210" s="88" t="n">
        <f aca="false">MAX(DV209,DT210-DU210)</f>
        <v>118.17092568311</v>
      </c>
      <c r="DW210" s="88" t="n">
        <f aca="false">DV210-DV209</f>
        <v>0.527587306029801</v>
      </c>
      <c r="DX210" s="88" t="n">
        <f aca="false">IF(B210=2026,INDEX($C$23:$Q$23,1,B210-2025)*$AO$4*C210/MAX(0.0001,12-$AO$3),INDEX($C$23:$Q$23,1,B210-2025)/12)</f>
        <v>0.847696458002923</v>
      </c>
      <c r="DY210" s="88" t="n">
        <f aca="false">$AO$6*0</f>
        <v>0</v>
      </c>
      <c r="DZ210" s="88" t="n">
        <f aca="false">DX210+DZ209</f>
        <v>236.465644636908</v>
      </c>
      <c r="EA210" s="88" t="n">
        <f aca="false">DY210+EA209</f>
        <v>121</v>
      </c>
      <c r="EB210" s="88" t="n">
        <f aca="false">MAX(EB209,DZ210-EA210)</f>
        <v>115.465644636908</v>
      </c>
      <c r="EC210" s="88" t="n">
        <f aca="false">EB210-EB209</f>
        <v>0.847696458002929</v>
      </c>
      <c r="ED210" s="88" t="n">
        <f aca="false">IF(B210=2026,INDEX($C$24:$Q$24,1,B210-2025)*$AO$4*C210/MAX(0.0001,12-$AO$3),INDEX($C$24:$Q$24,1,B210-2025)/12)</f>
        <v>0.52165935877103</v>
      </c>
      <c r="EE210" s="88" t="n">
        <f aca="false">$AO$6*0</f>
        <v>0</v>
      </c>
      <c r="EF210" s="88" t="n">
        <f aca="false">ED210+EF209</f>
        <v>145.517319776559</v>
      </c>
      <c r="EG210" s="88" t="n">
        <f aca="false">EE210+EG209</f>
        <v>0</v>
      </c>
      <c r="EH210" s="88" t="n">
        <f aca="false">MAX(EH209,EF210-EG210)</f>
        <v>145.517319776559</v>
      </c>
      <c r="EI210" s="88" t="n">
        <f aca="false">EH210-EH209</f>
        <v>0.521659358771018</v>
      </c>
      <c r="EJ210" s="88" t="n">
        <f aca="false">IF(B210=2026,INDEX($C$25:$Q$25,1,B210-2025)*$AO$4*C210/MAX(0.0001,12-$AO$3),INDEX($C$25:$Q$25,1,B210-2025)/12)</f>
        <v>0.66393009298131</v>
      </c>
      <c r="EK210" s="88" t="n">
        <f aca="false">$AO$6*0</f>
        <v>0</v>
      </c>
      <c r="EL210" s="88" t="n">
        <f aca="false">EJ210+EL209</f>
        <v>185.203861533802</v>
      </c>
      <c r="EM210" s="88" t="n">
        <f aca="false">EK210+EM209</f>
        <v>14</v>
      </c>
      <c r="EN210" s="88" t="n">
        <f aca="false">MAX(EN209,EL210-EM210)</f>
        <v>171.203861533802</v>
      </c>
      <c r="EO210" s="88" t="n">
        <f aca="false">EN210-EN209</f>
        <v>0.663930092981303</v>
      </c>
      <c r="EP210" s="88" t="n">
        <f aca="false">IF(B210=2026,INDEX($C$26:$Q$26,1,B210-2025)*$AO$4*C210/MAX(0.0001,12-$AO$3),INDEX($C$26:$Q$26,1,B210-2025)/12)</f>
        <v>0.954399508660634</v>
      </c>
      <c r="EQ210" s="88" t="n">
        <f aca="false">$AO$6*0</f>
        <v>0</v>
      </c>
      <c r="ER210" s="88" t="n">
        <f aca="false">EP210+ER209</f>
        <v>266.230550954839</v>
      </c>
      <c r="ES210" s="88" t="n">
        <f aca="false">EQ210+ES209</f>
        <v>4</v>
      </c>
      <c r="ET210" s="88" t="n">
        <f aca="false">MAX(ET209,ER210-ES210)</f>
        <v>262.230550954839</v>
      </c>
      <c r="EU210" s="88" t="n">
        <f aca="false">ET210-ET209</f>
        <v>0.954399508660629</v>
      </c>
      <c r="EV210" s="88" t="n">
        <f aca="false">IF(B210=2026,INDEX($C$27:$Q$27,1,B210-2025)*$AO$4*C210/MAX(0.0001,12-$AO$3),INDEX($C$27:$Q$27,1,B210-2025)/12)</f>
        <v>2.37117890350468</v>
      </c>
      <c r="EW210" s="88" t="n">
        <f aca="false">$AO$6*0</f>
        <v>0</v>
      </c>
      <c r="EX210" s="88" t="n">
        <f aca="false">EV210+EX209</f>
        <v>661.442362620722</v>
      </c>
      <c r="EY210" s="88" t="n">
        <f aca="false">EW210+EY209</f>
        <v>391</v>
      </c>
      <c r="EZ210" s="88" t="n">
        <f aca="false">MAX(EZ209,EX210-EY210)</f>
        <v>270.442362620722</v>
      </c>
      <c r="FA210" s="88" t="n">
        <f aca="false">EZ210-EZ209</f>
        <v>2.37117890350464</v>
      </c>
      <c r="FB210" s="88" t="n">
        <f aca="false">IF(B210=2026,INDEX($C$28:$Q$28,1,B210-2025)*$AO$4*C210/MAX(0.0001,12-$AO$3),INDEX($C$28:$Q$28,1,B210-2025)/12)</f>
        <v>12.413121559847</v>
      </c>
      <c r="FC210" s="88" t="n">
        <f aca="false">$AO$6*0</f>
        <v>0</v>
      </c>
      <c r="FD210" s="88" t="n">
        <f aca="false">FB210+FD209</f>
        <v>3462.65076831948</v>
      </c>
      <c r="FE210" s="88" t="n">
        <f aca="false">FC210+FE209</f>
        <v>169</v>
      </c>
      <c r="FF210" s="88" t="n">
        <f aca="false">MAX(FF209,FD210-FE210)</f>
        <v>3293.65076831948</v>
      </c>
      <c r="FG210" s="88" t="n">
        <f aca="false">FF210-FF209</f>
        <v>12.4131215598468</v>
      </c>
    </row>
    <row r="211" customFormat="false" ht="15" hidden="false" customHeight="false" outlineLevel="0" collapsed="false">
      <c r="A211" s="0" t="n">
        <v>171</v>
      </c>
      <c r="B211" s="88" t="n">
        <f aca="false">2026+INT(A211/12)</f>
        <v>2040</v>
      </c>
      <c r="C211" s="88" t="n">
        <f aca="false">MAX(0,MIN(1,A211+1-$AO$3))</f>
        <v>1</v>
      </c>
      <c r="D211" s="88" t="n">
        <f aca="false">IF((A211+0.5-(0))&lt;$AO$3,0,2026+INT((A211+0.5-(0))/12))</f>
        <v>2040</v>
      </c>
      <c r="E211" s="88" t="n">
        <f aca="false">IF((A211+0.5-($AO$9))&lt;$AO$3,0,2026+INT((A211+0.5-($AO$9))/12))</f>
        <v>2039</v>
      </c>
      <c r="F211" s="88" t="n">
        <f aca="false">IF((A211+0.5-($AO$9+$AO$8))&lt;$AO$3,0,2026+INT((A211+0.5-($AO$9+$AO$8))/12))</f>
        <v>2037</v>
      </c>
      <c r="G211" s="88" t="n">
        <f aca="false">IF((A211+0.5-($AO$9+$AO$8+$AO$7))&lt;$AO$3,0,2026+INT((A211+0.5-($AO$9+$AO$8+$AO$7))/12))</f>
        <v>2037</v>
      </c>
      <c r="H211" s="88" t="n">
        <f aca="false">IF(B211=2026,INDEX($C$3:$Q$3,1,B211-2025)*$AO$4*C211/MAX(0.0001,12-$AO$3),INDEX($C$3:$Q$3,1,B211-2025)/12)</f>
        <v>127.083333333333</v>
      </c>
      <c r="I211" s="88" t="n">
        <f aca="false">$AO$6*0</f>
        <v>0</v>
      </c>
      <c r="J211" s="88" t="n">
        <f aca="false">H211+J210</f>
        <v>35577.0867579909</v>
      </c>
      <c r="K211" s="88" t="n">
        <f aca="false">I211+K210</f>
        <v>8695.00000000001</v>
      </c>
      <c r="L211" s="88" t="n">
        <f aca="false">MAX(L210,J211-K211)</f>
        <v>26882.0867579909</v>
      </c>
      <c r="M211" s="88" t="n">
        <f aca="false">L211-L210</f>
        <v>127.083333333336</v>
      </c>
      <c r="N211" s="88" t="n">
        <f aca="false">IF(B211=2026,INDEX($C$4:$Q$4,1,B211-2025)*$AO$4*C211/MAX(0.0001,12-$AO$3),INDEX($C$4:$Q$4,1,B211-2025)/12)</f>
        <v>3.85276717528181</v>
      </c>
      <c r="O211" s="88" t="n">
        <f aca="false">$AO$6*0</f>
        <v>0</v>
      </c>
      <c r="P211" s="88" t="n">
        <f aca="false">N211+P210</f>
        <v>1078.58543255088</v>
      </c>
      <c r="Q211" s="88" t="n">
        <f aca="false">O211+Q210</f>
        <v>398</v>
      </c>
      <c r="R211" s="88" t="n">
        <f aca="false">MAX(R210,P211-Q211)</f>
        <v>680.585432550876</v>
      </c>
      <c r="S211" s="88" t="n">
        <f aca="false">R211-R210</f>
        <v>3.85276717528177</v>
      </c>
      <c r="T211" s="88" t="n">
        <f aca="false">IF(B211=2026,INDEX($C$5:$Q$5,1,B211-2025)*$AO$4*C211/MAX(0.0001,12-$AO$3),INDEX($C$5:$Q$5,1,B211-2025)/12)</f>
        <v>15.6590365381071</v>
      </c>
      <c r="U211" s="88" t="n">
        <f aca="false">$AO$6*0</f>
        <v>0</v>
      </c>
      <c r="V211" s="88" t="n">
        <f aca="false">T211+V210</f>
        <v>4383.7605361006</v>
      </c>
      <c r="W211" s="88" t="n">
        <f aca="false">U211+W210</f>
        <v>1115</v>
      </c>
      <c r="X211" s="88" t="n">
        <f aca="false">MAX(X210,V211-W211)</f>
        <v>3268.76053610059</v>
      </c>
      <c r="Y211" s="88" t="n">
        <f aca="false">X211-X210</f>
        <v>15.6590365381071</v>
      </c>
      <c r="Z211" s="88" t="n">
        <f aca="false">IF(B211=2026,INDEX($C$6:$Q$6,1,B211-2025)*$AO$4*C211/MAX(0.0001,12-$AO$3),INDEX($C$6:$Q$6,1,B211-2025)/12)</f>
        <v>18.578173921486</v>
      </c>
      <c r="AA211" s="88" t="n">
        <f aca="false">$AO$6*0</f>
        <v>0</v>
      </c>
      <c r="AB211" s="88" t="n">
        <f aca="false">Z211+AB210</f>
        <v>5200.97551797839</v>
      </c>
      <c r="AC211" s="88" t="n">
        <f aca="false">AA211+AC210</f>
        <v>2194</v>
      </c>
      <c r="AD211" s="88" t="n">
        <f aca="false">MAX(AD210,AB211-AC211)</f>
        <v>3006.97551797838</v>
      </c>
      <c r="AE211" s="88" t="n">
        <f aca="false">AD211-AD210</f>
        <v>18.5781739214863</v>
      </c>
      <c r="AF211" s="88" t="n">
        <f aca="false">IF(B211=2026,INDEX($C$7:$Q$7,1,B211-2025)*$AO$4*C211/MAX(0.0001,12-$AO$3),INDEX($C$7:$Q$7,1,B211-2025)/12)</f>
        <v>16.1382057035167</v>
      </c>
      <c r="AG211" s="88" t="n">
        <f aca="false">$AO$6*0</f>
        <v>0</v>
      </c>
      <c r="AH211" s="88" t="n">
        <f aca="false">AF211+AH210</f>
        <v>4517.90434963132</v>
      </c>
      <c r="AI211" s="88" t="n">
        <f aca="false">AG211+AI210</f>
        <v>826</v>
      </c>
      <c r="AJ211" s="88" t="n">
        <f aca="false">MAX(AJ210,AH211-AI211)</f>
        <v>3691.90434963132</v>
      </c>
      <c r="AK211" s="88" t="n">
        <f aca="false">AJ211-AJ210</f>
        <v>16.1382057035171</v>
      </c>
      <c r="AL211" s="88" t="n">
        <f aca="false">IF(B211=2026,INDEX($C$8:$Q$8,1,B211-2025)*$AO$4*C211/MAX(0.0001,12-$AO$3),INDEX($C$8:$Q$8,1,B211-2025)/12)</f>
        <v>4.08220360807459</v>
      </c>
      <c r="AM211" s="88" t="n">
        <f aca="false">$AO$6*0</f>
        <v>0</v>
      </c>
      <c r="AN211" s="88" t="n">
        <f aca="false">AL211+AN210</f>
        <v>1142.81635615675</v>
      </c>
      <c r="AO211" s="88" t="n">
        <f aca="false">AM211+AO210</f>
        <v>66</v>
      </c>
      <c r="AP211" s="88" t="n">
        <f aca="false">MAX(AP210,AN211-AO211)</f>
        <v>1076.81635615675</v>
      </c>
      <c r="AQ211" s="88" t="n">
        <f aca="false">AP211-AP210</f>
        <v>4.08220360807468</v>
      </c>
      <c r="AR211" s="88" t="n">
        <f aca="false">IF(B211=2026,INDEX($C$9:$Q$9,1,B211-2025)*$AO$4*C211/MAX(0.0001,12-$AO$3),INDEX($C$9:$Q$9,1,B211-2025)/12)</f>
        <v>17.406283218606</v>
      </c>
      <c r="AS211" s="88" t="n">
        <f aca="false">$AO$6*0</f>
        <v>0</v>
      </c>
      <c r="AT211" s="88" t="n">
        <f aca="false">AR211+AT210</f>
        <v>4872.90372356072</v>
      </c>
      <c r="AU211" s="88" t="n">
        <f aca="false">AS211+AU210</f>
        <v>1810</v>
      </c>
      <c r="AV211" s="88" t="n">
        <f aca="false">MAX(AV210,AT211-AU211)</f>
        <v>3062.90372356072</v>
      </c>
      <c r="AW211" s="88" t="n">
        <f aca="false">AV211-AV210</f>
        <v>17.4062832186064</v>
      </c>
      <c r="AX211" s="88" t="n">
        <f aca="false">IF(B211=2026,INDEX($C$10:$Q$10,1,B211-2025)*$AO$4*C211/MAX(0.0001,12-$AO$3),INDEX($C$10:$Q$10,1,B211-2025)/12)</f>
        <v>2.01904060857645</v>
      </c>
      <c r="AY211" s="88" t="n">
        <f aca="false">$AO$6*0</f>
        <v>0</v>
      </c>
      <c r="AZ211" s="88" t="n">
        <f aca="false">AX211+AZ210</f>
        <v>565.232127731653</v>
      </c>
      <c r="BA211" s="88" t="n">
        <f aca="false">AY211+BA210</f>
        <v>50</v>
      </c>
      <c r="BB211" s="88" t="n">
        <f aca="false">MAX(BB210,AZ211-BA211)</f>
        <v>515.232127731653</v>
      </c>
      <c r="BC211" s="88" t="n">
        <f aca="false">BB211-BB210</f>
        <v>2.01904060857646</v>
      </c>
      <c r="BD211" s="88" t="n">
        <f aca="false">IF(B211=2026,INDEX($C$11:$Q$11,1,B211-2025)*$AO$4*C211/MAX(0.0001,12-$AO$3),INDEX($C$11:$Q$11,1,B211-2025)/12)</f>
        <v>10.0334316955919</v>
      </c>
      <c r="BE211" s="88" t="n">
        <f aca="false">$AO$6*0</f>
        <v>0</v>
      </c>
      <c r="BF211" s="88" t="n">
        <f aca="false">BD211+BF210</f>
        <v>2808.86769768746</v>
      </c>
      <c r="BG211" s="88" t="n">
        <f aca="false">BE211+BG210</f>
        <v>240</v>
      </c>
      <c r="BH211" s="88" t="n">
        <f aca="false">MAX(BH210,BF211-BG211)</f>
        <v>2568.86769768746</v>
      </c>
      <c r="BI211" s="88" t="n">
        <f aca="false">BH211-BH210</f>
        <v>10.0334316955918</v>
      </c>
      <c r="BJ211" s="88" t="n">
        <f aca="false">IF(B211=2026,INDEX($C$12:$Q$12,1,B211-2025)*$AO$4*C211/MAX(0.0001,12-$AO$3),INDEX($C$12:$Q$12,1,B211-2025)/12)</f>
        <v>5.50117970011608</v>
      </c>
      <c r="BK211" s="88" t="n">
        <f aca="false">$AO$6*0</f>
        <v>0</v>
      </c>
      <c r="BL211" s="88" t="n">
        <f aca="false">BJ211+BL210</f>
        <v>1540.05991445766</v>
      </c>
      <c r="BM211" s="88" t="n">
        <f aca="false">BK211+BM210</f>
        <v>465</v>
      </c>
      <c r="BN211" s="88" t="n">
        <f aca="false">MAX(BN210,BL211-BM211)</f>
        <v>1075.05991445766</v>
      </c>
      <c r="BO211" s="88" t="n">
        <f aca="false">BN211-BN210</f>
        <v>5.50117970011615</v>
      </c>
      <c r="BP211" s="88" t="n">
        <f aca="false">IF(B211=2026,INDEX($C$13:$Q$13,1,B211-2025)*$AO$4*C211/MAX(0.0001,12-$AO$3),INDEX($C$13:$Q$13,1,B211-2025)/12)</f>
        <v>1.71910470504089</v>
      </c>
      <c r="BQ211" s="88" t="n">
        <f aca="false">$AO$6*0</f>
        <v>0</v>
      </c>
      <c r="BR211" s="88" t="n">
        <f aca="false">BP211+BR210</f>
        <v>481.264817605063</v>
      </c>
      <c r="BS211" s="88" t="n">
        <f aca="false">BQ211+BS210</f>
        <v>87</v>
      </c>
      <c r="BT211" s="88" t="n">
        <f aca="false">MAX(BT210,BR211-BS211)</f>
        <v>394.264817605063</v>
      </c>
      <c r="BU211" s="88" t="n">
        <f aca="false">BT211-BT210</f>
        <v>1.71910470504088</v>
      </c>
      <c r="BV211" s="88" t="n">
        <f aca="false">IF(B211=2026,INDEX($C$14:$Q$14,1,B211-2025)*$AO$4*C211/MAX(0.0001,12-$AO$3),INDEX($C$14:$Q$14,1,B211-2025)/12)</f>
        <v>1.01960692850701</v>
      </c>
      <c r="BW211" s="88" t="n">
        <f aca="false">$AO$6*0</f>
        <v>0</v>
      </c>
      <c r="BX211" s="88" t="n">
        <f aca="false">BV211+BX210</f>
        <v>285.439822855418</v>
      </c>
      <c r="BY211" s="88" t="n">
        <f aca="false">BW211+BY210</f>
        <v>0</v>
      </c>
      <c r="BZ211" s="88" t="n">
        <f aca="false">MAX(BZ210,BX211-BY211)</f>
        <v>285.439822855418</v>
      </c>
      <c r="CA211" s="88" t="n">
        <f aca="false">BZ211-BZ210</f>
        <v>1.01960692850702</v>
      </c>
      <c r="CB211" s="88" t="n">
        <f aca="false">IF(B211=2026,INDEX($C$15:$Q$15,1,B211-2025)*$AO$4*C211/MAX(0.0001,12-$AO$3),INDEX($C$15:$Q$15,1,B211-2025)/12)</f>
        <v>1.6716811269708</v>
      </c>
      <c r="CC211" s="88" t="n">
        <f aca="false">$AO$6*0</f>
        <v>0</v>
      </c>
      <c r="CD211" s="88" t="n">
        <f aca="false">CB211+CD210</f>
        <v>467.988546774579</v>
      </c>
      <c r="CE211" s="88" t="n">
        <f aca="false">CC211+CE210</f>
        <v>88.0000000000001</v>
      </c>
      <c r="CF211" s="88" t="n">
        <f aca="false">MAX(CF210,CD211-CE211)</f>
        <v>379.988546774579</v>
      </c>
      <c r="CG211" s="88" t="n">
        <f aca="false">CF211-CF210</f>
        <v>1.67168112697078</v>
      </c>
      <c r="CH211" s="88" t="n">
        <f aca="false">IF(B211=2026,INDEX($C$16:$Q$16,1,B211-2025)*$AO$4*C211/MAX(0.0001,12-$AO$3),INDEX($C$16:$Q$16,1,B211-2025)/12)</f>
        <v>1.32193223870386</v>
      </c>
      <c r="CI211" s="88" t="n">
        <f aca="false">$AO$6*0</f>
        <v>0</v>
      </c>
      <c r="CJ211" s="88" t="n">
        <f aca="false">CH211+CJ210</f>
        <v>370.076049399755</v>
      </c>
      <c r="CK211" s="88" t="n">
        <f aca="false">CI211+CK210</f>
        <v>70</v>
      </c>
      <c r="CL211" s="88" t="n">
        <f aca="false">MAX(CL210,CJ211-CK211)</f>
        <v>300.076049399755</v>
      </c>
      <c r="CM211" s="88" t="n">
        <f aca="false">CL211-CL210</f>
        <v>1.32193223870388</v>
      </c>
      <c r="CN211" s="88" t="n">
        <f aca="false">IF(B211=2026,INDEX($C$17:$Q$17,1,B211-2025)*$AO$4*C211/MAX(0.0001,12-$AO$3),INDEX($C$17:$Q$17,1,B211-2025)/12)</f>
        <v>5.75603678825761</v>
      </c>
      <c r="CO211" s="88" t="n">
        <f aca="false">$AO$6*0</f>
        <v>0</v>
      </c>
      <c r="CP211" s="88" t="n">
        <f aca="false">CN211+CP210</f>
        <v>1611.40737205006</v>
      </c>
      <c r="CQ211" s="88" t="n">
        <f aca="false">CO211+CQ210</f>
        <v>221</v>
      </c>
      <c r="CR211" s="88" t="n">
        <f aca="false">MAX(CR210,CP211-CQ211)</f>
        <v>1390.40737205006</v>
      </c>
      <c r="CS211" s="88" t="n">
        <f aca="false">CR211-CR210</f>
        <v>5.75603678825769</v>
      </c>
      <c r="CT211" s="88" t="n">
        <f aca="false">IF(B211=2026,INDEX($C$18:$Q$18,1,B211-2025)*$AO$4*C211/MAX(0.0001,12-$AO$3),INDEX($C$18:$Q$18,1,B211-2025)/12)</f>
        <v>1.19744534626986</v>
      </c>
      <c r="CU211" s="88" t="n">
        <f aca="false">$AO$6*0</f>
        <v>0</v>
      </c>
      <c r="CV211" s="88" t="n">
        <f aca="false">CT211+CV210</f>
        <v>335.225838469734</v>
      </c>
      <c r="CW211" s="88" t="n">
        <f aca="false">CU211+CW210</f>
        <v>11</v>
      </c>
      <c r="CX211" s="88" t="n">
        <f aca="false">MAX(CX210,CV211-CW211)</f>
        <v>324.225838469734</v>
      </c>
      <c r="CY211" s="88" t="n">
        <f aca="false">CX211-CX210</f>
        <v>1.19744534626989</v>
      </c>
      <c r="CZ211" s="88" t="n">
        <f aca="false">IF(B211=2026,INDEX($C$19:$Q$19,1,B211-2025)*$AO$4*C211/MAX(0.0001,12-$AO$3),INDEX($C$19:$Q$19,1,B211-2025)/12)</f>
        <v>1.18558945175234</v>
      </c>
      <c r="DA211" s="88" t="n">
        <f aca="false">$AO$6*0</f>
        <v>0</v>
      </c>
      <c r="DB211" s="88" t="n">
        <f aca="false">CZ211+DB210</f>
        <v>331.906770762113</v>
      </c>
      <c r="DC211" s="88" t="n">
        <f aca="false">DA211+DC210</f>
        <v>226</v>
      </c>
      <c r="DD211" s="88" t="n">
        <f aca="false">MAX(DD210,DB211-DC211)</f>
        <v>105.906770762113</v>
      </c>
      <c r="DE211" s="88" t="n">
        <f aca="false">DD211-DD210</f>
        <v>1.18558945175232</v>
      </c>
      <c r="DF211" s="88" t="n">
        <f aca="false">IF(B211=2026,INDEX($C$20:$Q$20,1,B211-2025)*$AO$4*C211/MAX(0.0001,12-$AO$3),INDEX($C$20:$Q$20,1,B211-2025)/12)</f>
        <v>0.966255403178157</v>
      </c>
      <c r="DG211" s="88" t="n">
        <f aca="false">$AO$6*0</f>
        <v>0</v>
      </c>
      <c r="DH211" s="88" t="n">
        <f aca="false">DF211+DH210</f>
        <v>270.504018171122</v>
      </c>
      <c r="DI211" s="88" t="n">
        <f aca="false">DG211+DI210</f>
        <v>0</v>
      </c>
      <c r="DJ211" s="88" t="n">
        <f aca="false">MAX(DJ210,DH211-DI211)</f>
        <v>270.504018171122</v>
      </c>
      <c r="DK211" s="88" t="n">
        <f aca="false">DJ211-DJ210</f>
        <v>0.966255403178138</v>
      </c>
      <c r="DL211" s="88" t="n">
        <f aca="false">IF(B211=2026,INDEX($C$21:$Q$21,1,B211-2025)*$AO$4*C211/MAX(0.0001,12-$AO$3),INDEX($C$21:$Q$21,1,B211-2025)/12)</f>
        <v>0.675785987498834</v>
      </c>
      <c r="DM211" s="88" t="n">
        <f aca="false">$AO$6*0</f>
        <v>0</v>
      </c>
      <c r="DN211" s="88" t="n">
        <f aca="false">DL211+DN210</f>
        <v>189.186859334404</v>
      </c>
      <c r="DO211" s="88" t="n">
        <f aca="false">DM211+DO210</f>
        <v>100</v>
      </c>
      <c r="DP211" s="88" t="n">
        <f aca="false">MAX(DP210,DN211-DO211)</f>
        <v>89.186859334404</v>
      </c>
      <c r="DQ211" s="88" t="n">
        <f aca="false">DP211-DP210</f>
        <v>0.675785987498841</v>
      </c>
      <c r="DR211" s="88" t="n">
        <f aca="false">IF(B211=2026,INDEX($C$22:$Q$22,1,B211-2025)*$AO$4*C211/MAX(0.0001,12-$AO$3),INDEX($C$22:$Q$22,1,B211-2025)/12)</f>
        <v>0.527587306029791</v>
      </c>
      <c r="DS211" s="88" t="n">
        <f aca="false">$AO$6*0</f>
        <v>0</v>
      </c>
      <c r="DT211" s="88" t="n">
        <f aca="false">DR211+DT210</f>
        <v>147.69851298914</v>
      </c>
      <c r="DU211" s="88" t="n">
        <f aca="false">DS211+DU210</f>
        <v>29</v>
      </c>
      <c r="DV211" s="88" t="n">
        <f aca="false">MAX(DV210,DT211-DU211)</f>
        <v>118.69851298914</v>
      </c>
      <c r="DW211" s="88" t="n">
        <f aca="false">DV211-DV210</f>
        <v>0.527587306029801</v>
      </c>
      <c r="DX211" s="88" t="n">
        <f aca="false">IF(B211=2026,INDEX($C$23:$Q$23,1,B211-2025)*$AO$4*C211/MAX(0.0001,12-$AO$3),INDEX($C$23:$Q$23,1,B211-2025)/12)</f>
        <v>0.847696458002923</v>
      </c>
      <c r="DY211" s="88" t="n">
        <f aca="false">$AO$6*0</f>
        <v>0</v>
      </c>
      <c r="DZ211" s="88" t="n">
        <f aca="false">DX211+DZ210</f>
        <v>237.313341094911</v>
      </c>
      <c r="EA211" s="88" t="n">
        <f aca="false">DY211+EA210</f>
        <v>121</v>
      </c>
      <c r="EB211" s="88" t="n">
        <f aca="false">MAX(EB210,DZ211-EA211)</f>
        <v>116.313341094911</v>
      </c>
      <c r="EC211" s="88" t="n">
        <f aca="false">EB211-EB210</f>
        <v>0.847696458002929</v>
      </c>
      <c r="ED211" s="88" t="n">
        <f aca="false">IF(B211=2026,INDEX($C$24:$Q$24,1,B211-2025)*$AO$4*C211/MAX(0.0001,12-$AO$3),INDEX($C$24:$Q$24,1,B211-2025)/12)</f>
        <v>0.52165935877103</v>
      </c>
      <c r="EE211" s="88" t="n">
        <f aca="false">$AO$6*0</f>
        <v>0</v>
      </c>
      <c r="EF211" s="88" t="n">
        <f aca="false">ED211+EF210</f>
        <v>146.03897913533</v>
      </c>
      <c r="EG211" s="88" t="n">
        <f aca="false">EE211+EG210</f>
        <v>0</v>
      </c>
      <c r="EH211" s="88" t="n">
        <f aca="false">MAX(EH210,EF211-EG211)</f>
        <v>146.03897913533</v>
      </c>
      <c r="EI211" s="88" t="n">
        <f aca="false">EH211-EH210</f>
        <v>0.521659358771018</v>
      </c>
      <c r="EJ211" s="88" t="n">
        <f aca="false">IF(B211=2026,INDEX($C$25:$Q$25,1,B211-2025)*$AO$4*C211/MAX(0.0001,12-$AO$3),INDEX($C$25:$Q$25,1,B211-2025)/12)</f>
        <v>0.66393009298131</v>
      </c>
      <c r="EK211" s="88" t="n">
        <f aca="false">$AO$6*0</f>
        <v>0</v>
      </c>
      <c r="EL211" s="88" t="n">
        <f aca="false">EJ211+EL210</f>
        <v>185.867791626783</v>
      </c>
      <c r="EM211" s="88" t="n">
        <f aca="false">EK211+EM210</f>
        <v>14</v>
      </c>
      <c r="EN211" s="88" t="n">
        <f aca="false">MAX(EN210,EL211-EM211)</f>
        <v>171.867791626783</v>
      </c>
      <c r="EO211" s="88" t="n">
        <f aca="false">EN211-EN210</f>
        <v>0.663930092981303</v>
      </c>
      <c r="EP211" s="88" t="n">
        <f aca="false">IF(B211=2026,INDEX($C$26:$Q$26,1,B211-2025)*$AO$4*C211/MAX(0.0001,12-$AO$3),INDEX($C$26:$Q$26,1,B211-2025)/12)</f>
        <v>0.954399508660634</v>
      </c>
      <c r="EQ211" s="88" t="n">
        <f aca="false">$AO$6*0</f>
        <v>0</v>
      </c>
      <c r="ER211" s="88" t="n">
        <f aca="false">EP211+ER210</f>
        <v>267.1849504635</v>
      </c>
      <c r="ES211" s="88" t="n">
        <f aca="false">EQ211+ES210</f>
        <v>4</v>
      </c>
      <c r="ET211" s="88" t="n">
        <f aca="false">MAX(ET210,ER211-ES211)</f>
        <v>263.1849504635</v>
      </c>
      <c r="EU211" s="88" t="n">
        <f aca="false">ET211-ET210</f>
        <v>0.954399508660629</v>
      </c>
      <c r="EV211" s="88" t="n">
        <f aca="false">IF(B211=2026,INDEX($C$27:$Q$27,1,B211-2025)*$AO$4*C211/MAX(0.0001,12-$AO$3),INDEX($C$27:$Q$27,1,B211-2025)/12)</f>
        <v>2.37117890350468</v>
      </c>
      <c r="EW211" s="88" t="n">
        <f aca="false">$AO$6*0</f>
        <v>0</v>
      </c>
      <c r="EX211" s="88" t="n">
        <f aca="false">EV211+EX210</f>
        <v>663.813541524227</v>
      </c>
      <c r="EY211" s="88" t="n">
        <f aca="false">EW211+EY210</f>
        <v>391</v>
      </c>
      <c r="EZ211" s="88" t="n">
        <f aca="false">MAX(EZ210,EX211-EY211)</f>
        <v>272.813541524226</v>
      </c>
      <c r="FA211" s="88" t="n">
        <f aca="false">EZ211-EZ210</f>
        <v>2.37117890350464</v>
      </c>
      <c r="FB211" s="88" t="n">
        <f aca="false">IF(B211=2026,INDEX($C$28:$Q$28,1,B211-2025)*$AO$4*C211/MAX(0.0001,12-$AO$3),INDEX($C$28:$Q$28,1,B211-2025)/12)</f>
        <v>12.413121559847</v>
      </c>
      <c r="FC211" s="88" t="n">
        <f aca="false">$AO$6*0</f>
        <v>0</v>
      </c>
      <c r="FD211" s="88" t="n">
        <f aca="false">FB211+FD210</f>
        <v>3475.06388987932</v>
      </c>
      <c r="FE211" s="88" t="n">
        <f aca="false">FC211+FE210</f>
        <v>169</v>
      </c>
      <c r="FF211" s="88" t="n">
        <f aca="false">MAX(FF210,FD211-FE211)</f>
        <v>3306.06388987932</v>
      </c>
      <c r="FG211" s="88" t="n">
        <f aca="false">FF211-FF210</f>
        <v>12.4131215598468</v>
      </c>
    </row>
    <row r="212" customFormat="false" ht="15" hidden="false" customHeight="false" outlineLevel="0" collapsed="false">
      <c r="A212" s="0" t="n">
        <v>172</v>
      </c>
      <c r="B212" s="88" t="n">
        <f aca="false">2026+INT(A212/12)</f>
        <v>2040</v>
      </c>
      <c r="C212" s="88" t="n">
        <f aca="false">MAX(0,MIN(1,A212+1-$AO$3))</f>
        <v>1</v>
      </c>
      <c r="D212" s="88" t="n">
        <f aca="false">IF((A212+0.5-(0))&lt;$AO$3,0,2026+INT((A212+0.5-(0))/12))</f>
        <v>2040</v>
      </c>
      <c r="E212" s="88" t="n">
        <f aca="false">IF((A212+0.5-($AO$9))&lt;$AO$3,0,2026+INT((A212+0.5-($AO$9))/12))</f>
        <v>2039</v>
      </c>
      <c r="F212" s="88" t="n">
        <f aca="false">IF((A212+0.5-($AO$9+$AO$8))&lt;$AO$3,0,2026+INT((A212+0.5-($AO$9+$AO$8))/12))</f>
        <v>2037</v>
      </c>
      <c r="G212" s="88" t="n">
        <f aca="false">IF((A212+0.5-($AO$9+$AO$8+$AO$7))&lt;$AO$3,0,2026+INT((A212+0.5-($AO$9+$AO$8+$AO$7))/12))</f>
        <v>2037</v>
      </c>
      <c r="H212" s="88" t="n">
        <f aca="false">IF(B212=2026,INDEX($C$3:$Q$3,1,B212-2025)*$AO$4*C212/MAX(0.0001,12-$AO$3),INDEX($C$3:$Q$3,1,B212-2025)/12)</f>
        <v>127.083333333333</v>
      </c>
      <c r="I212" s="88" t="n">
        <f aca="false">$AO$6*0</f>
        <v>0</v>
      </c>
      <c r="J212" s="88" t="n">
        <f aca="false">H212+J211</f>
        <v>35704.1700913242</v>
      </c>
      <c r="K212" s="88" t="n">
        <f aca="false">I212+K211</f>
        <v>8695.00000000001</v>
      </c>
      <c r="L212" s="88" t="n">
        <f aca="false">MAX(L211,J212-K212)</f>
        <v>27009.1700913242</v>
      </c>
      <c r="M212" s="88" t="n">
        <f aca="false">L212-L211</f>
        <v>127.083333333336</v>
      </c>
      <c r="N212" s="88" t="n">
        <f aca="false">IF(B212=2026,INDEX($C$4:$Q$4,1,B212-2025)*$AO$4*C212/MAX(0.0001,12-$AO$3),INDEX($C$4:$Q$4,1,B212-2025)/12)</f>
        <v>3.85276717528181</v>
      </c>
      <c r="O212" s="88" t="n">
        <f aca="false">$AO$6*0</f>
        <v>0</v>
      </c>
      <c r="P212" s="88" t="n">
        <f aca="false">N212+P211</f>
        <v>1082.43819972616</v>
      </c>
      <c r="Q212" s="88" t="n">
        <f aca="false">O212+Q211</f>
        <v>398</v>
      </c>
      <c r="R212" s="88" t="n">
        <f aca="false">MAX(R211,P212-Q212)</f>
        <v>684.438199726158</v>
      </c>
      <c r="S212" s="88" t="n">
        <f aca="false">R212-R211</f>
        <v>3.85276717528177</v>
      </c>
      <c r="T212" s="88" t="n">
        <f aca="false">IF(B212=2026,INDEX($C$5:$Q$5,1,B212-2025)*$AO$4*C212/MAX(0.0001,12-$AO$3),INDEX($C$5:$Q$5,1,B212-2025)/12)</f>
        <v>15.6590365381071</v>
      </c>
      <c r="U212" s="88" t="n">
        <f aca="false">$AO$6*0</f>
        <v>0</v>
      </c>
      <c r="V212" s="88" t="n">
        <f aca="false">T212+V211</f>
        <v>4399.4195726387</v>
      </c>
      <c r="W212" s="88" t="n">
        <f aca="false">U212+W211</f>
        <v>1115</v>
      </c>
      <c r="X212" s="88" t="n">
        <f aca="false">MAX(X211,V212-W212)</f>
        <v>3284.4195726387</v>
      </c>
      <c r="Y212" s="88" t="n">
        <f aca="false">X212-X211</f>
        <v>15.6590365381071</v>
      </c>
      <c r="Z212" s="88" t="n">
        <f aca="false">IF(B212=2026,INDEX($C$6:$Q$6,1,B212-2025)*$AO$4*C212/MAX(0.0001,12-$AO$3),INDEX($C$6:$Q$6,1,B212-2025)/12)</f>
        <v>18.578173921486</v>
      </c>
      <c r="AA212" s="88" t="n">
        <f aca="false">$AO$6*0</f>
        <v>0</v>
      </c>
      <c r="AB212" s="88" t="n">
        <f aca="false">Z212+AB211</f>
        <v>5219.55369189987</v>
      </c>
      <c r="AC212" s="88" t="n">
        <f aca="false">AA212+AC211</f>
        <v>2194</v>
      </c>
      <c r="AD212" s="88" t="n">
        <f aca="false">MAX(AD211,AB212-AC212)</f>
        <v>3025.55369189987</v>
      </c>
      <c r="AE212" s="88" t="n">
        <f aca="false">AD212-AD211</f>
        <v>18.5781739214863</v>
      </c>
      <c r="AF212" s="88" t="n">
        <f aca="false">IF(B212=2026,INDEX($C$7:$Q$7,1,B212-2025)*$AO$4*C212/MAX(0.0001,12-$AO$3),INDEX($C$7:$Q$7,1,B212-2025)/12)</f>
        <v>16.1382057035167</v>
      </c>
      <c r="AG212" s="88" t="n">
        <f aca="false">$AO$6*0</f>
        <v>0</v>
      </c>
      <c r="AH212" s="88" t="n">
        <f aca="false">AF212+AH211</f>
        <v>4534.04255533484</v>
      </c>
      <c r="AI212" s="88" t="n">
        <f aca="false">AG212+AI211</f>
        <v>826</v>
      </c>
      <c r="AJ212" s="88" t="n">
        <f aca="false">MAX(AJ211,AH212-AI212)</f>
        <v>3708.04255533484</v>
      </c>
      <c r="AK212" s="88" t="n">
        <f aca="false">AJ212-AJ211</f>
        <v>16.1382057035171</v>
      </c>
      <c r="AL212" s="88" t="n">
        <f aca="false">IF(B212=2026,INDEX($C$8:$Q$8,1,B212-2025)*$AO$4*C212/MAX(0.0001,12-$AO$3),INDEX($C$8:$Q$8,1,B212-2025)/12)</f>
        <v>4.08220360807459</v>
      </c>
      <c r="AM212" s="88" t="n">
        <f aca="false">$AO$6*0</f>
        <v>0</v>
      </c>
      <c r="AN212" s="88" t="n">
        <f aca="false">AL212+AN211</f>
        <v>1146.89855976482</v>
      </c>
      <c r="AO212" s="88" t="n">
        <f aca="false">AM212+AO211</f>
        <v>66</v>
      </c>
      <c r="AP212" s="88" t="n">
        <f aca="false">MAX(AP211,AN212-AO212)</f>
        <v>1080.89855976482</v>
      </c>
      <c r="AQ212" s="88" t="n">
        <f aca="false">AP212-AP211</f>
        <v>4.08220360807468</v>
      </c>
      <c r="AR212" s="88" t="n">
        <f aca="false">IF(B212=2026,INDEX($C$9:$Q$9,1,B212-2025)*$AO$4*C212/MAX(0.0001,12-$AO$3),INDEX($C$9:$Q$9,1,B212-2025)/12)</f>
        <v>17.406283218606</v>
      </c>
      <c r="AS212" s="88" t="n">
        <f aca="false">$AO$6*0</f>
        <v>0</v>
      </c>
      <c r="AT212" s="88" t="n">
        <f aca="false">AR212+AT211</f>
        <v>4890.31000677933</v>
      </c>
      <c r="AU212" s="88" t="n">
        <f aca="false">AS212+AU211</f>
        <v>1810</v>
      </c>
      <c r="AV212" s="88" t="n">
        <f aca="false">MAX(AV211,AT212-AU212)</f>
        <v>3080.31000677933</v>
      </c>
      <c r="AW212" s="88" t="n">
        <f aca="false">AV212-AV211</f>
        <v>17.4062832186064</v>
      </c>
      <c r="AX212" s="88" t="n">
        <f aca="false">IF(B212=2026,INDEX($C$10:$Q$10,1,B212-2025)*$AO$4*C212/MAX(0.0001,12-$AO$3),INDEX($C$10:$Q$10,1,B212-2025)/12)</f>
        <v>2.01904060857645</v>
      </c>
      <c r="AY212" s="88" t="n">
        <f aca="false">$AO$6*0</f>
        <v>0</v>
      </c>
      <c r="AZ212" s="88" t="n">
        <f aca="false">AX212+AZ211</f>
        <v>567.25116834023</v>
      </c>
      <c r="BA212" s="88" t="n">
        <f aca="false">AY212+BA211</f>
        <v>50</v>
      </c>
      <c r="BB212" s="88" t="n">
        <f aca="false">MAX(BB211,AZ212-BA212)</f>
        <v>517.25116834023</v>
      </c>
      <c r="BC212" s="88" t="n">
        <f aca="false">BB212-BB211</f>
        <v>2.01904060857646</v>
      </c>
      <c r="BD212" s="88" t="n">
        <f aca="false">IF(B212=2026,INDEX($C$11:$Q$11,1,B212-2025)*$AO$4*C212/MAX(0.0001,12-$AO$3),INDEX($C$11:$Q$11,1,B212-2025)/12)</f>
        <v>10.0334316955919</v>
      </c>
      <c r="BE212" s="88" t="n">
        <f aca="false">$AO$6*0</f>
        <v>0</v>
      </c>
      <c r="BF212" s="88" t="n">
        <f aca="false">BD212+BF211</f>
        <v>2818.90112938305</v>
      </c>
      <c r="BG212" s="88" t="n">
        <f aca="false">BE212+BG211</f>
        <v>240</v>
      </c>
      <c r="BH212" s="88" t="n">
        <f aca="false">MAX(BH211,BF212-BG212)</f>
        <v>2578.90112938305</v>
      </c>
      <c r="BI212" s="88" t="n">
        <f aca="false">BH212-BH211</f>
        <v>10.0334316955918</v>
      </c>
      <c r="BJ212" s="88" t="n">
        <f aca="false">IF(B212=2026,INDEX($C$12:$Q$12,1,B212-2025)*$AO$4*C212/MAX(0.0001,12-$AO$3),INDEX($C$12:$Q$12,1,B212-2025)/12)</f>
        <v>5.50117970011608</v>
      </c>
      <c r="BK212" s="88" t="n">
        <f aca="false">$AO$6*0</f>
        <v>0</v>
      </c>
      <c r="BL212" s="88" t="n">
        <f aca="false">BJ212+BL211</f>
        <v>1545.56109415778</v>
      </c>
      <c r="BM212" s="88" t="n">
        <f aca="false">BK212+BM211</f>
        <v>465</v>
      </c>
      <c r="BN212" s="88" t="n">
        <f aca="false">MAX(BN211,BL212-BM212)</f>
        <v>1080.56109415778</v>
      </c>
      <c r="BO212" s="88" t="n">
        <f aca="false">BN212-BN211</f>
        <v>5.50117970011615</v>
      </c>
      <c r="BP212" s="88" t="n">
        <f aca="false">IF(B212=2026,INDEX($C$13:$Q$13,1,B212-2025)*$AO$4*C212/MAX(0.0001,12-$AO$3),INDEX($C$13:$Q$13,1,B212-2025)/12)</f>
        <v>1.71910470504089</v>
      </c>
      <c r="BQ212" s="88" t="n">
        <f aca="false">$AO$6*0</f>
        <v>0</v>
      </c>
      <c r="BR212" s="88" t="n">
        <f aca="false">BP212+BR211</f>
        <v>482.983922310104</v>
      </c>
      <c r="BS212" s="88" t="n">
        <f aca="false">BQ212+BS211</f>
        <v>87</v>
      </c>
      <c r="BT212" s="88" t="n">
        <f aca="false">MAX(BT211,BR212-BS212)</f>
        <v>395.983922310104</v>
      </c>
      <c r="BU212" s="88" t="n">
        <f aca="false">BT212-BT211</f>
        <v>1.71910470504088</v>
      </c>
      <c r="BV212" s="88" t="n">
        <f aca="false">IF(B212=2026,INDEX($C$14:$Q$14,1,B212-2025)*$AO$4*C212/MAX(0.0001,12-$AO$3),INDEX($C$14:$Q$14,1,B212-2025)/12)</f>
        <v>1.01960692850701</v>
      </c>
      <c r="BW212" s="88" t="n">
        <f aca="false">$AO$6*0</f>
        <v>0</v>
      </c>
      <c r="BX212" s="88" t="n">
        <f aca="false">BV212+BX211</f>
        <v>286.459429783925</v>
      </c>
      <c r="BY212" s="88" t="n">
        <f aca="false">BW212+BY211</f>
        <v>0</v>
      </c>
      <c r="BZ212" s="88" t="n">
        <f aca="false">MAX(BZ211,BX212-BY212)</f>
        <v>286.459429783925</v>
      </c>
      <c r="CA212" s="88" t="n">
        <f aca="false">BZ212-BZ211</f>
        <v>1.01960692850702</v>
      </c>
      <c r="CB212" s="88" t="n">
        <f aca="false">IF(B212=2026,INDEX($C$15:$Q$15,1,B212-2025)*$AO$4*C212/MAX(0.0001,12-$AO$3),INDEX($C$15:$Q$15,1,B212-2025)/12)</f>
        <v>1.6716811269708</v>
      </c>
      <c r="CC212" s="88" t="n">
        <f aca="false">$AO$6*0</f>
        <v>0</v>
      </c>
      <c r="CD212" s="88" t="n">
        <f aca="false">CB212+CD211</f>
        <v>469.66022790155</v>
      </c>
      <c r="CE212" s="88" t="n">
        <f aca="false">CC212+CE211</f>
        <v>88.0000000000001</v>
      </c>
      <c r="CF212" s="88" t="n">
        <f aca="false">MAX(CF211,CD212-CE212)</f>
        <v>381.66022790155</v>
      </c>
      <c r="CG212" s="88" t="n">
        <f aca="false">CF212-CF211</f>
        <v>1.67168112697078</v>
      </c>
      <c r="CH212" s="88" t="n">
        <f aca="false">IF(B212=2026,INDEX($C$16:$Q$16,1,B212-2025)*$AO$4*C212/MAX(0.0001,12-$AO$3),INDEX($C$16:$Q$16,1,B212-2025)/12)</f>
        <v>1.32193223870386</v>
      </c>
      <c r="CI212" s="88" t="n">
        <f aca="false">$AO$6*0</f>
        <v>0</v>
      </c>
      <c r="CJ212" s="88" t="n">
        <f aca="false">CH212+CJ211</f>
        <v>371.397981638459</v>
      </c>
      <c r="CK212" s="88" t="n">
        <f aca="false">CI212+CK211</f>
        <v>70</v>
      </c>
      <c r="CL212" s="88" t="n">
        <f aca="false">MAX(CL211,CJ212-CK212)</f>
        <v>301.397981638459</v>
      </c>
      <c r="CM212" s="88" t="n">
        <f aca="false">CL212-CL211</f>
        <v>1.32193223870388</v>
      </c>
      <c r="CN212" s="88" t="n">
        <f aca="false">IF(B212=2026,INDEX($C$17:$Q$17,1,B212-2025)*$AO$4*C212/MAX(0.0001,12-$AO$3),INDEX($C$17:$Q$17,1,B212-2025)/12)</f>
        <v>5.75603678825761</v>
      </c>
      <c r="CO212" s="88" t="n">
        <f aca="false">$AO$6*0</f>
        <v>0</v>
      </c>
      <c r="CP212" s="88" t="n">
        <f aca="false">CN212+CP211</f>
        <v>1617.16340883832</v>
      </c>
      <c r="CQ212" s="88" t="n">
        <f aca="false">CO212+CQ211</f>
        <v>221</v>
      </c>
      <c r="CR212" s="88" t="n">
        <f aca="false">MAX(CR211,CP212-CQ212)</f>
        <v>1396.16340883832</v>
      </c>
      <c r="CS212" s="88" t="n">
        <f aca="false">CR212-CR211</f>
        <v>5.75603678825769</v>
      </c>
      <c r="CT212" s="88" t="n">
        <f aca="false">IF(B212=2026,INDEX($C$18:$Q$18,1,B212-2025)*$AO$4*C212/MAX(0.0001,12-$AO$3),INDEX($C$18:$Q$18,1,B212-2025)/12)</f>
        <v>1.19744534626986</v>
      </c>
      <c r="CU212" s="88" t="n">
        <f aca="false">$AO$6*0</f>
        <v>0</v>
      </c>
      <c r="CV212" s="88" t="n">
        <f aca="false">CT212+CV211</f>
        <v>336.423283816004</v>
      </c>
      <c r="CW212" s="88" t="n">
        <f aca="false">CU212+CW211</f>
        <v>11</v>
      </c>
      <c r="CX212" s="88" t="n">
        <f aca="false">MAX(CX211,CV212-CW212)</f>
        <v>325.423283816004</v>
      </c>
      <c r="CY212" s="88" t="n">
        <f aca="false">CX212-CX211</f>
        <v>1.19744534626989</v>
      </c>
      <c r="CZ212" s="88" t="n">
        <f aca="false">IF(B212=2026,INDEX($C$19:$Q$19,1,B212-2025)*$AO$4*C212/MAX(0.0001,12-$AO$3),INDEX($C$19:$Q$19,1,B212-2025)/12)</f>
        <v>1.18558945175234</v>
      </c>
      <c r="DA212" s="88" t="n">
        <f aca="false">$AO$6*0</f>
        <v>0</v>
      </c>
      <c r="DB212" s="88" t="n">
        <f aca="false">CZ212+DB211</f>
        <v>333.092360213866</v>
      </c>
      <c r="DC212" s="88" t="n">
        <f aca="false">DA212+DC211</f>
        <v>226</v>
      </c>
      <c r="DD212" s="88" t="n">
        <f aca="false">MAX(DD211,DB212-DC212)</f>
        <v>107.092360213866</v>
      </c>
      <c r="DE212" s="88" t="n">
        <f aca="false">DD212-DD211</f>
        <v>1.18558945175232</v>
      </c>
      <c r="DF212" s="88" t="n">
        <f aca="false">IF(B212=2026,INDEX($C$20:$Q$20,1,B212-2025)*$AO$4*C212/MAX(0.0001,12-$AO$3),INDEX($C$20:$Q$20,1,B212-2025)/12)</f>
        <v>0.966255403178157</v>
      </c>
      <c r="DG212" s="88" t="n">
        <f aca="false">$AO$6*0</f>
        <v>0</v>
      </c>
      <c r="DH212" s="88" t="n">
        <f aca="false">DF212+DH211</f>
        <v>271.4702735743</v>
      </c>
      <c r="DI212" s="88" t="n">
        <f aca="false">DG212+DI211</f>
        <v>0</v>
      </c>
      <c r="DJ212" s="88" t="n">
        <f aca="false">MAX(DJ211,DH212-DI212)</f>
        <v>271.4702735743</v>
      </c>
      <c r="DK212" s="88" t="n">
        <f aca="false">DJ212-DJ211</f>
        <v>0.966255403178138</v>
      </c>
      <c r="DL212" s="88" t="n">
        <f aca="false">IF(B212=2026,INDEX($C$21:$Q$21,1,B212-2025)*$AO$4*C212/MAX(0.0001,12-$AO$3),INDEX($C$21:$Q$21,1,B212-2025)/12)</f>
        <v>0.675785987498834</v>
      </c>
      <c r="DM212" s="88" t="n">
        <f aca="false">$AO$6*0</f>
        <v>0</v>
      </c>
      <c r="DN212" s="88" t="n">
        <f aca="false">DL212+DN211</f>
        <v>189.862645321903</v>
      </c>
      <c r="DO212" s="88" t="n">
        <f aca="false">DM212+DO211</f>
        <v>100</v>
      </c>
      <c r="DP212" s="88" t="n">
        <f aca="false">MAX(DP211,DN212-DO212)</f>
        <v>89.8626453219029</v>
      </c>
      <c r="DQ212" s="88" t="n">
        <f aca="false">DP212-DP211</f>
        <v>0.675785987498841</v>
      </c>
      <c r="DR212" s="88" t="n">
        <f aca="false">IF(B212=2026,INDEX($C$22:$Q$22,1,B212-2025)*$AO$4*C212/MAX(0.0001,12-$AO$3),INDEX($C$22:$Q$22,1,B212-2025)/12)</f>
        <v>0.527587306029791</v>
      </c>
      <c r="DS212" s="88" t="n">
        <f aca="false">$AO$6*0</f>
        <v>0</v>
      </c>
      <c r="DT212" s="88" t="n">
        <f aca="false">DR212+DT211</f>
        <v>148.22610029517</v>
      </c>
      <c r="DU212" s="88" t="n">
        <f aca="false">DS212+DU211</f>
        <v>29</v>
      </c>
      <c r="DV212" s="88" t="n">
        <f aca="false">MAX(DV211,DT212-DU212)</f>
        <v>119.22610029517</v>
      </c>
      <c r="DW212" s="88" t="n">
        <f aca="false">DV212-DV211</f>
        <v>0.527587306029801</v>
      </c>
      <c r="DX212" s="88" t="n">
        <f aca="false">IF(B212=2026,INDEX($C$23:$Q$23,1,B212-2025)*$AO$4*C212/MAX(0.0001,12-$AO$3),INDEX($C$23:$Q$23,1,B212-2025)/12)</f>
        <v>0.847696458002923</v>
      </c>
      <c r="DY212" s="88" t="n">
        <f aca="false">$AO$6*0</f>
        <v>0</v>
      </c>
      <c r="DZ212" s="88" t="n">
        <f aca="false">DX212+DZ211</f>
        <v>238.161037552914</v>
      </c>
      <c r="EA212" s="88" t="n">
        <f aca="false">DY212+EA211</f>
        <v>121</v>
      </c>
      <c r="EB212" s="88" t="n">
        <f aca="false">MAX(EB211,DZ212-EA212)</f>
        <v>117.161037552914</v>
      </c>
      <c r="EC212" s="88" t="n">
        <f aca="false">EB212-EB211</f>
        <v>0.847696458002929</v>
      </c>
      <c r="ED212" s="88" t="n">
        <f aca="false">IF(B212=2026,INDEX($C$24:$Q$24,1,B212-2025)*$AO$4*C212/MAX(0.0001,12-$AO$3),INDEX($C$24:$Q$24,1,B212-2025)/12)</f>
        <v>0.52165935877103</v>
      </c>
      <c r="EE212" s="88" t="n">
        <f aca="false">$AO$6*0</f>
        <v>0</v>
      </c>
      <c r="EF212" s="88" t="n">
        <f aca="false">ED212+EF211</f>
        <v>146.560638494101</v>
      </c>
      <c r="EG212" s="88" t="n">
        <f aca="false">EE212+EG211</f>
        <v>0</v>
      </c>
      <c r="EH212" s="88" t="n">
        <f aca="false">MAX(EH211,EF212-EG212)</f>
        <v>146.560638494101</v>
      </c>
      <c r="EI212" s="88" t="n">
        <f aca="false">EH212-EH211</f>
        <v>0.521659358771018</v>
      </c>
      <c r="EJ212" s="88" t="n">
        <f aca="false">IF(B212=2026,INDEX($C$25:$Q$25,1,B212-2025)*$AO$4*C212/MAX(0.0001,12-$AO$3),INDEX($C$25:$Q$25,1,B212-2025)/12)</f>
        <v>0.66393009298131</v>
      </c>
      <c r="EK212" s="88" t="n">
        <f aca="false">$AO$6*0</f>
        <v>0</v>
      </c>
      <c r="EL212" s="88" t="n">
        <f aca="false">EJ212+EL211</f>
        <v>186.531721719765</v>
      </c>
      <c r="EM212" s="88" t="n">
        <f aca="false">EK212+EM211</f>
        <v>14</v>
      </c>
      <c r="EN212" s="88" t="n">
        <f aca="false">MAX(EN211,EL212-EM212)</f>
        <v>172.531721719765</v>
      </c>
      <c r="EO212" s="88" t="n">
        <f aca="false">EN212-EN211</f>
        <v>0.663930092981303</v>
      </c>
      <c r="EP212" s="88" t="n">
        <f aca="false">IF(B212=2026,INDEX($C$26:$Q$26,1,B212-2025)*$AO$4*C212/MAX(0.0001,12-$AO$3),INDEX($C$26:$Q$26,1,B212-2025)/12)</f>
        <v>0.954399508660634</v>
      </c>
      <c r="EQ212" s="88" t="n">
        <f aca="false">$AO$6*0</f>
        <v>0</v>
      </c>
      <c r="ER212" s="88" t="n">
        <f aca="false">EP212+ER211</f>
        <v>268.139349972161</v>
      </c>
      <c r="ES212" s="88" t="n">
        <f aca="false">EQ212+ES211</f>
        <v>4</v>
      </c>
      <c r="ET212" s="88" t="n">
        <f aca="false">MAX(ET211,ER212-ES212)</f>
        <v>264.139349972161</v>
      </c>
      <c r="EU212" s="88" t="n">
        <f aca="false">ET212-ET211</f>
        <v>0.954399508660629</v>
      </c>
      <c r="EV212" s="88" t="n">
        <f aca="false">IF(B212=2026,INDEX($C$27:$Q$27,1,B212-2025)*$AO$4*C212/MAX(0.0001,12-$AO$3),INDEX($C$27:$Q$27,1,B212-2025)/12)</f>
        <v>2.37117890350468</v>
      </c>
      <c r="EW212" s="88" t="n">
        <f aca="false">$AO$6*0</f>
        <v>0</v>
      </c>
      <c r="EX212" s="88" t="n">
        <f aca="false">EV212+EX211</f>
        <v>666.184720427731</v>
      </c>
      <c r="EY212" s="88" t="n">
        <f aca="false">EW212+EY211</f>
        <v>391</v>
      </c>
      <c r="EZ212" s="88" t="n">
        <f aca="false">MAX(EZ211,EX212-EY212)</f>
        <v>275.184720427731</v>
      </c>
      <c r="FA212" s="88" t="n">
        <f aca="false">EZ212-EZ211</f>
        <v>2.37117890350464</v>
      </c>
      <c r="FB212" s="88" t="n">
        <f aca="false">IF(B212=2026,INDEX($C$28:$Q$28,1,B212-2025)*$AO$4*C212/MAX(0.0001,12-$AO$3),INDEX($C$28:$Q$28,1,B212-2025)/12)</f>
        <v>12.413121559847</v>
      </c>
      <c r="FC212" s="88" t="n">
        <f aca="false">$AO$6*0</f>
        <v>0</v>
      </c>
      <c r="FD212" s="88" t="n">
        <f aca="false">FB212+FD211</f>
        <v>3487.47701143917</v>
      </c>
      <c r="FE212" s="88" t="n">
        <f aca="false">FC212+FE211</f>
        <v>169</v>
      </c>
      <c r="FF212" s="88" t="n">
        <f aca="false">MAX(FF211,FD212-FE212)</f>
        <v>3318.47701143917</v>
      </c>
      <c r="FG212" s="88" t="n">
        <f aca="false">FF212-FF211</f>
        <v>12.4131215598468</v>
      </c>
    </row>
    <row r="213" customFormat="false" ht="15" hidden="false" customHeight="false" outlineLevel="0" collapsed="false">
      <c r="A213" s="0" t="n">
        <v>173</v>
      </c>
      <c r="B213" s="88" t="n">
        <f aca="false">2026+INT(A213/12)</f>
        <v>2040</v>
      </c>
      <c r="C213" s="88" t="n">
        <f aca="false">MAX(0,MIN(1,A213+1-$AO$3))</f>
        <v>1</v>
      </c>
      <c r="D213" s="88" t="n">
        <f aca="false">IF((A213+0.5-(0))&lt;$AO$3,0,2026+INT((A213+0.5-(0))/12))</f>
        <v>2040</v>
      </c>
      <c r="E213" s="88" t="n">
        <f aca="false">IF((A213+0.5-($AO$9))&lt;$AO$3,0,2026+INT((A213+0.5-($AO$9))/12))</f>
        <v>2039</v>
      </c>
      <c r="F213" s="88" t="n">
        <f aca="false">IF((A213+0.5-($AO$9+$AO$8))&lt;$AO$3,0,2026+INT((A213+0.5-($AO$9+$AO$8))/12))</f>
        <v>2037</v>
      </c>
      <c r="G213" s="88" t="n">
        <f aca="false">IF((A213+0.5-($AO$9+$AO$8+$AO$7))&lt;$AO$3,0,2026+INT((A213+0.5-($AO$9+$AO$8+$AO$7))/12))</f>
        <v>2037</v>
      </c>
      <c r="H213" s="88" t="n">
        <f aca="false">IF(B213=2026,INDEX($C$3:$Q$3,1,B213-2025)*$AO$4*C213/MAX(0.0001,12-$AO$3),INDEX($C$3:$Q$3,1,B213-2025)/12)</f>
        <v>127.083333333333</v>
      </c>
      <c r="I213" s="88" t="n">
        <f aca="false">$AO$6*0</f>
        <v>0</v>
      </c>
      <c r="J213" s="88" t="n">
        <f aca="false">H213+J212</f>
        <v>35831.2534246576</v>
      </c>
      <c r="K213" s="88" t="n">
        <f aca="false">I213+K212</f>
        <v>8695.00000000001</v>
      </c>
      <c r="L213" s="88" t="n">
        <f aca="false">MAX(L212,J213-K213)</f>
        <v>27136.2534246576</v>
      </c>
      <c r="M213" s="88" t="n">
        <f aca="false">L213-L212</f>
        <v>127.083333333336</v>
      </c>
      <c r="N213" s="88" t="n">
        <f aca="false">IF(B213=2026,INDEX($C$4:$Q$4,1,B213-2025)*$AO$4*C213/MAX(0.0001,12-$AO$3),INDEX($C$4:$Q$4,1,B213-2025)/12)</f>
        <v>3.85276717528181</v>
      </c>
      <c r="O213" s="88" t="n">
        <f aca="false">$AO$6*0</f>
        <v>0</v>
      </c>
      <c r="P213" s="88" t="n">
        <f aca="false">N213+P212</f>
        <v>1086.29096690144</v>
      </c>
      <c r="Q213" s="88" t="n">
        <f aca="false">O213+Q212</f>
        <v>398</v>
      </c>
      <c r="R213" s="88" t="n">
        <f aca="false">MAX(R212,P213-Q213)</f>
        <v>688.29096690144</v>
      </c>
      <c r="S213" s="88" t="n">
        <f aca="false">R213-R212</f>
        <v>3.85276717528177</v>
      </c>
      <c r="T213" s="88" t="n">
        <f aca="false">IF(B213=2026,INDEX($C$5:$Q$5,1,B213-2025)*$AO$4*C213/MAX(0.0001,12-$AO$3),INDEX($C$5:$Q$5,1,B213-2025)/12)</f>
        <v>15.6590365381071</v>
      </c>
      <c r="U213" s="88" t="n">
        <f aca="false">$AO$6*0</f>
        <v>0</v>
      </c>
      <c r="V213" s="88" t="n">
        <f aca="false">T213+V212</f>
        <v>4415.07860917681</v>
      </c>
      <c r="W213" s="88" t="n">
        <f aca="false">U213+W212</f>
        <v>1115</v>
      </c>
      <c r="X213" s="88" t="n">
        <f aca="false">MAX(X212,V213-W213)</f>
        <v>3300.07860917681</v>
      </c>
      <c r="Y213" s="88" t="n">
        <f aca="false">X213-X212</f>
        <v>15.6590365381071</v>
      </c>
      <c r="Z213" s="88" t="n">
        <f aca="false">IF(B213=2026,INDEX($C$6:$Q$6,1,B213-2025)*$AO$4*C213/MAX(0.0001,12-$AO$3),INDEX($C$6:$Q$6,1,B213-2025)/12)</f>
        <v>18.578173921486</v>
      </c>
      <c r="AA213" s="88" t="n">
        <f aca="false">$AO$6*0</f>
        <v>0</v>
      </c>
      <c r="AB213" s="88" t="n">
        <f aca="false">Z213+AB212</f>
        <v>5238.13186582136</v>
      </c>
      <c r="AC213" s="88" t="n">
        <f aca="false">AA213+AC212</f>
        <v>2194</v>
      </c>
      <c r="AD213" s="88" t="n">
        <f aca="false">MAX(AD212,AB213-AC213)</f>
        <v>3044.13186582136</v>
      </c>
      <c r="AE213" s="88" t="n">
        <f aca="false">AD213-AD212</f>
        <v>18.5781739214863</v>
      </c>
      <c r="AF213" s="88" t="n">
        <f aca="false">IF(B213=2026,INDEX($C$7:$Q$7,1,B213-2025)*$AO$4*C213/MAX(0.0001,12-$AO$3),INDEX($C$7:$Q$7,1,B213-2025)/12)</f>
        <v>16.1382057035167</v>
      </c>
      <c r="AG213" s="88" t="n">
        <f aca="false">$AO$6*0</f>
        <v>0</v>
      </c>
      <c r="AH213" s="88" t="n">
        <f aca="false">AF213+AH212</f>
        <v>4550.18076103836</v>
      </c>
      <c r="AI213" s="88" t="n">
        <f aca="false">AG213+AI212</f>
        <v>826</v>
      </c>
      <c r="AJ213" s="88" t="n">
        <f aca="false">MAX(AJ212,AH213-AI213)</f>
        <v>3724.18076103836</v>
      </c>
      <c r="AK213" s="88" t="n">
        <f aca="false">AJ213-AJ212</f>
        <v>16.1382057035171</v>
      </c>
      <c r="AL213" s="88" t="n">
        <f aca="false">IF(B213=2026,INDEX($C$8:$Q$8,1,B213-2025)*$AO$4*C213/MAX(0.0001,12-$AO$3),INDEX($C$8:$Q$8,1,B213-2025)/12)</f>
        <v>4.08220360807459</v>
      </c>
      <c r="AM213" s="88" t="n">
        <f aca="false">$AO$6*0</f>
        <v>0</v>
      </c>
      <c r="AN213" s="88" t="n">
        <f aca="false">AL213+AN212</f>
        <v>1150.98076337289</v>
      </c>
      <c r="AO213" s="88" t="n">
        <f aca="false">AM213+AO212</f>
        <v>66</v>
      </c>
      <c r="AP213" s="88" t="n">
        <f aca="false">MAX(AP212,AN213-AO213)</f>
        <v>1084.98076337289</v>
      </c>
      <c r="AQ213" s="88" t="n">
        <f aca="false">AP213-AP212</f>
        <v>4.08220360807468</v>
      </c>
      <c r="AR213" s="88" t="n">
        <f aca="false">IF(B213=2026,INDEX($C$9:$Q$9,1,B213-2025)*$AO$4*C213/MAX(0.0001,12-$AO$3),INDEX($C$9:$Q$9,1,B213-2025)/12)</f>
        <v>17.406283218606</v>
      </c>
      <c r="AS213" s="88" t="n">
        <f aca="false">$AO$6*0</f>
        <v>0</v>
      </c>
      <c r="AT213" s="88" t="n">
        <f aca="false">AR213+AT212</f>
        <v>4907.71628999794</v>
      </c>
      <c r="AU213" s="88" t="n">
        <f aca="false">AS213+AU212</f>
        <v>1810</v>
      </c>
      <c r="AV213" s="88" t="n">
        <f aca="false">MAX(AV212,AT213-AU213)</f>
        <v>3097.71628999794</v>
      </c>
      <c r="AW213" s="88" t="n">
        <f aca="false">AV213-AV212</f>
        <v>17.4062832186064</v>
      </c>
      <c r="AX213" s="88" t="n">
        <f aca="false">IF(B213=2026,INDEX($C$10:$Q$10,1,B213-2025)*$AO$4*C213/MAX(0.0001,12-$AO$3),INDEX($C$10:$Q$10,1,B213-2025)/12)</f>
        <v>2.01904060857645</v>
      </c>
      <c r="AY213" s="88" t="n">
        <f aca="false">$AO$6*0</f>
        <v>0</v>
      </c>
      <c r="AZ213" s="88" t="n">
        <f aca="false">AX213+AZ212</f>
        <v>569.270208948806</v>
      </c>
      <c r="BA213" s="88" t="n">
        <f aca="false">AY213+BA212</f>
        <v>50</v>
      </c>
      <c r="BB213" s="88" t="n">
        <f aca="false">MAX(BB212,AZ213-BA213)</f>
        <v>519.270208948806</v>
      </c>
      <c r="BC213" s="88" t="n">
        <f aca="false">BB213-BB212</f>
        <v>2.01904060857646</v>
      </c>
      <c r="BD213" s="88" t="n">
        <f aca="false">IF(B213=2026,INDEX($C$11:$Q$11,1,B213-2025)*$AO$4*C213/MAX(0.0001,12-$AO$3),INDEX($C$11:$Q$11,1,B213-2025)/12)</f>
        <v>10.0334316955919</v>
      </c>
      <c r="BE213" s="88" t="n">
        <f aca="false">$AO$6*0</f>
        <v>0</v>
      </c>
      <c r="BF213" s="88" t="n">
        <f aca="false">BD213+BF212</f>
        <v>2828.93456107864</v>
      </c>
      <c r="BG213" s="88" t="n">
        <f aca="false">BE213+BG212</f>
        <v>240</v>
      </c>
      <c r="BH213" s="88" t="n">
        <f aca="false">MAX(BH212,BF213-BG213)</f>
        <v>2588.93456107864</v>
      </c>
      <c r="BI213" s="88" t="n">
        <f aca="false">BH213-BH212</f>
        <v>10.0334316955918</v>
      </c>
      <c r="BJ213" s="88" t="n">
        <f aca="false">IF(B213=2026,INDEX($C$12:$Q$12,1,B213-2025)*$AO$4*C213/MAX(0.0001,12-$AO$3),INDEX($C$12:$Q$12,1,B213-2025)/12)</f>
        <v>5.50117970011608</v>
      </c>
      <c r="BK213" s="88" t="n">
        <f aca="false">$AO$6*0</f>
        <v>0</v>
      </c>
      <c r="BL213" s="88" t="n">
        <f aca="false">BJ213+BL212</f>
        <v>1551.0622738579</v>
      </c>
      <c r="BM213" s="88" t="n">
        <f aca="false">BK213+BM212</f>
        <v>465</v>
      </c>
      <c r="BN213" s="88" t="n">
        <f aca="false">MAX(BN212,BL213-BM213)</f>
        <v>1086.0622738579</v>
      </c>
      <c r="BO213" s="88" t="n">
        <f aca="false">BN213-BN212</f>
        <v>5.50117970011615</v>
      </c>
      <c r="BP213" s="88" t="n">
        <f aca="false">IF(B213=2026,INDEX($C$13:$Q$13,1,B213-2025)*$AO$4*C213/MAX(0.0001,12-$AO$3),INDEX($C$13:$Q$13,1,B213-2025)/12)</f>
        <v>1.71910470504089</v>
      </c>
      <c r="BQ213" s="88" t="n">
        <f aca="false">$AO$6*0</f>
        <v>0</v>
      </c>
      <c r="BR213" s="88" t="n">
        <f aca="false">BP213+BR212</f>
        <v>484.703027015145</v>
      </c>
      <c r="BS213" s="88" t="n">
        <f aca="false">BQ213+BS212</f>
        <v>87</v>
      </c>
      <c r="BT213" s="88" t="n">
        <f aca="false">MAX(BT212,BR213-BS213)</f>
        <v>397.703027015145</v>
      </c>
      <c r="BU213" s="88" t="n">
        <f aca="false">BT213-BT212</f>
        <v>1.71910470504088</v>
      </c>
      <c r="BV213" s="88" t="n">
        <f aca="false">IF(B213=2026,INDEX($C$14:$Q$14,1,B213-2025)*$AO$4*C213/MAX(0.0001,12-$AO$3),INDEX($C$14:$Q$14,1,B213-2025)/12)</f>
        <v>1.01960692850701</v>
      </c>
      <c r="BW213" s="88" t="n">
        <f aca="false">$AO$6*0</f>
        <v>0</v>
      </c>
      <c r="BX213" s="88" t="n">
        <f aca="false">BV213+BX212</f>
        <v>287.479036712432</v>
      </c>
      <c r="BY213" s="88" t="n">
        <f aca="false">BW213+BY212</f>
        <v>0</v>
      </c>
      <c r="BZ213" s="88" t="n">
        <f aca="false">MAX(BZ212,BX213-BY213)</f>
        <v>287.479036712432</v>
      </c>
      <c r="CA213" s="88" t="n">
        <f aca="false">BZ213-BZ212</f>
        <v>1.01960692850702</v>
      </c>
      <c r="CB213" s="88" t="n">
        <f aca="false">IF(B213=2026,INDEX($C$15:$Q$15,1,B213-2025)*$AO$4*C213/MAX(0.0001,12-$AO$3),INDEX($C$15:$Q$15,1,B213-2025)/12)</f>
        <v>1.6716811269708</v>
      </c>
      <c r="CC213" s="88" t="n">
        <f aca="false">$AO$6*0</f>
        <v>0</v>
      </c>
      <c r="CD213" s="88" t="n">
        <f aca="false">CB213+CD212</f>
        <v>471.33190902852</v>
      </c>
      <c r="CE213" s="88" t="n">
        <f aca="false">CC213+CE212</f>
        <v>88.0000000000001</v>
      </c>
      <c r="CF213" s="88" t="n">
        <f aca="false">MAX(CF212,CD213-CE213)</f>
        <v>383.33190902852</v>
      </c>
      <c r="CG213" s="88" t="n">
        <f aca="false">CF213-CF212</f>
        <v>1.67168112697078</v>
      </c>
      <c r="CH213" s="88" t="n">
        <f aca="false">IF(B213=2026,INDEX($C$16:$Q$16,1,B213-2025)*$AO$4*C213/MAX(0.0001,12-$AO$3),INDEX($C$16:$Q$16,1,B213-2025)/12)</f>
        <v>1.32193223870386</v>
      </c>
      <c r="CI213" s="88" t="n">
        <f aca="false">$AO$6*0</f>
        <v>0</v>
      </c>
      <c r="CJ213" s="88" t="n">
        <f aca="false">CH213+CJ212</f>
        <v>372.719913877163</v>
      </c>
      <c r="CK213" s="88" t="n">
        <f aca="false">CI213+CK212</f>
        <v>70</v>
      </c>
      <c r="CL213" s="88" t="n">
        <f aca="false">MAX(CL212,CJ213-CK213)</f>
        <v>302.719913877163</v>
      </c>
      <c r="CM213" s="88" t="n">
        <f aca="false">CL213-CL212</f>
        <v>1.32193223870388</v>
      </c>
      <c r="CN213" s="88" t="n">
        <f aca="false">IF(B213=2026,INDEX($C$17:$Q$17,1,B213-2025)*$AO$4*C213/MAX(0.0001,12-$AO$3),INDEX($C$17:$Q$17,1,B213-2025)/12)</f>
        <v>5.75603678825761</v>
      </c>
      <c r="CO213" s="88" t="n">
        <f aca="false">$AO$6*0</f>
        <v>0</v>
      </c>
      <c r="CP213" s="88" t="n">
        <f aca="false">CN213+CP212</f>
        <v>1622.91944562658</v>
      </c>
      <c r="CQ213" s="88" t="n">
        <f aca="false">CO213+CQ212</f>
        <v>221</v>
      </c>
      <c r="CR213" s="88" t="n">
        <f aca="false">MAX(CR212,CP213-CQ213)</f>
        <v>1401.91944562658</v>
      </c>
      <c r="CS213" s="88" t="n">
        <f aca="false">CR213-CR212</f>
        <v>5.75603678825769</v>
      </c>
      <c r="CT213" s="88" t="n">
        <f aca="false">IF(B213=2026,INDEX($C$18:$Q$18,1,B213-2025)*$AO$4*C213/MAX(0.0001,12-$AO$3),INDEX($C$18:$Q$18,1,B213-2025)/12)</f>
        <v>1.19744534626986</v>
      </c>
      <c r="CU213" s="88" t="n">
        <f aca="false">$AO$6*0</f>
        <v>0</v>
      </c>
      <c r="CV213" s="88" t="n">
        <f aca="false">CT213+CV212</f>
        <v>337.620729162273</v>
      </c>
      <c r="CW213" s="88" t="n">
        <f aca="false">CU213+CW212</f>
        <v>11</v>
      </c>
      <c r="CX213" s="88" t="n">
        <f aca="false">MAX(CX212,CV213-CW213)</f>
        <v>326.620729162273</v>
      </c>
      <c r="CY213" s="88" t="n">
        <f aca="false">CX213-CX212</f>
        <v>1.19744534626989</v>
      </c>
      <c r="CZ213" s="88" t="n">
        <f aca="false">IF(B213=2026,INDEX($C$19:$Q$19,1,B213-2025)*$AO$4*C213/MAX(0.0001,12-$AO$3),INDEX($C$19:$Q$19,1,B213-2025)/12)</f>
        <v>1.18558945175234</v>
      </c>
      <c r="DA213" s="88" t="n">
        <f aca="false">$AO$6*0</f>
        <v>0</v>
      </c>
      <c r="DB213" s="88" t="n">
        <f aca="false">CZ213+DB212</f>
        <v>334.277949665618</v>
      </c>
      <c r="DC213" s="88" t="n">
        <f aca="false">DA213+DC212</f>
        <v>226</v>
      </c>
      <c r="DD213" s="88" t="n">
        <f aca="false">MAX(DD212,DB213-DC213)</f>
        <v>108.277949665618</v>
      </c>
      <c r="DE213" s="88" t="n">
        <f aca="false">DD213-DD212</f>
        <v>1.18558945175232</v>
      </c>
      <c r="DF213" s="88" t="n">
        <f aca="false">IF(B213=2026,INDEX($C$20:$Q$20,1,B213-2025)*$AO$4*C213/MAX(0.0001,12-$AO$3),INDEX($C$20:$Q$20,1,B213-2025)/12)</f>
        <v>0.966255403178157</v>
      </c>
      <c r="DG213" s="88" t="n">
        <f aca="false">$AO$6*0</f>
        <v>0</v>
      </c>
      <c r="DH213" s="88" t="n">
        <f aca="false">DF213+DH212</f>
        <v>272.436528977478</v>
      </c>
      <c r="DI213" s="88" t="n">
        <f aca="false">DG213+DI212</f>
        <v>0</v>
      </c>
      <c r="DJ213" s="88" t="n">
        <f aca="false">MAX(DJ212,DH213-DI213)</f>
        <v>272.436528977478</v>
      </c>
      <c r="DK213" s="88" t="n">
        <f aca="false">DJ213-DJ212</f>
        <v>0.966255403178138</v>
      </c>
      <c r="DL213" s="88" t="n">
        <f aca="false">IF(B213=2026,INDEX($C$21:$Q$21,1,B213-2025)*$AO$4*C213/MAX(0.0001,12-$AO$3),INDEX($C$21:$Q$21,1,B213-2025)/12)</f>
        <v>0.675785987498834</v>
      </c>
      <c r="DM213" s="88" t="n">
        <f aca="false">$AO$6*0</f>
        <v>0</v>
      </c>
      <c r="DN213" s="88" t="n">
        <f aca="false">DL213+DN212</f>
        <v>190.538431309402</v>
      </c>
      <c r="DO213" s="88" t="n">
        <f aca="false">DM213+DO212</f>
        <v>100</v>
      </c>
      <c r="DP213" s="88" t="n">
        <f aca="false">MAX(DP212,DN213-DO213)</f>
        <v>90.5384313094017</v>
      </c>
      <c r="DQ213" s="88" t="n">
        <f aca="false">DP213-DP212</f>
        <v>0.675785987498841</v>
      </c>
      <c r="DR213" s="88" t="n">
        <f aca="false">IF(B213=2026,INDEX($C$22:$Q$22,1,B213-2025)*$AO$4*C213/MAX(0.0001,12-$AO$3),INDEX($C$22:$Q$22,1,B213-2025)/12)</f>
        <v>0.527587306029791</v>
      </c>
      <c r="DS213" s="88" t="n">
        <f aca="false">$AO$6*0</f>
        <v>0</v>
      </c>
      <c r="DT213" s="88" t="n">
        <f aca="false">DR213+DT212</f>
        <v>148.7536876012</v>
      </c>
      <c r="DU213" s="88" t="n">
        <f aca="false">DS213+DU212</f>
        <v>29</v>
      </c>
      <c r="DV213" s="88" t="n">
        <f aca="false">MAX(DV212,DT213-DU213)</f>
        <v>119.7536876012</v>
      </c>
      <c r="DW213" s="88" t="n">
        <f aca="false">DV213-DV212</f>
        <v>0.527587306029801</v>
      </c>
      <c r="DX213" s="88" t="n">
        <f aca="false">IF(B213=2026,INDEX($C$23:$Q$23,1,B213-2025)*$AO$4*C213/MAX(0.0001,12-$AO$3),INDEX($C$23:$Q$23,1,B213-2025)/12)</f>
        <v>0.847696458002923</v>
      </c>
      <c r="DY213" s="88" t="n">
        <f aca="false">$AO$6*0</f>
        <v>0</v>
      </c>
      <c r="DZ213" s="88" t="n">
        <f aca="false">DX213+DZ212</f>
        <v>239.008734010917</v>
      </c>
      <c r="EA213" s="88" t="n">
        <f aca="false">DY213+EA212</f>
        <v>121</v>
      </c>
      <c r="EB213" s="88" t="n">
        <f aca="false">MAX(EB212,DZ213-EA213)</f>
        <v>118.008734010917</v>
      </c>
      <c r="EC213" s="88" t="n">
        <f aca="false">EB213-EB212</f>
        <v>0.847696458002929</v>
      </c>
      <c r="ED213" s="88" t="n">
        <f aca="false">IF(B213=2026,INDEX($C$24:$Q$24,1,B213-2025)*$AO$4*C213/MAX(0.0001,12-$AO$3),INDEX($C$24:$Q$24,1,B213-2025)/12)</f>
        <v>0.52165935877103</v>
      </c>
      <c r="EE213" s="88" t="n">
        <f aca="false">$AO$6*0</f>
        <v>0</v>
      </c>
      <c r="EF213" s="88" t="n">
        <f aca="false">ED213+EF212</f>
        <v>147.082297852872</v>
      </c>
      <c r="EG213" s="88" t="n">
        <f aca="false">EE213+EG212</f>
        <v>0</v>
      </c>
      <c r="EH213" s="88" t="n">
        <f aca="false">MAX(EH212,EF213-EG213)</f>
        <v>147.082297852872</v>
      </c>
      <c r="EI213" s="88" t="n">
        <f aca="false">EH213-EH212</f>
        <v>0.521659358771018</v>
      </c>
      <c r="EJ213" s="88" t="n">
        <f aca="false">IF(B213=2026,INDEX($C$25:$Q$25,1,B213-2025)*$AO$4*C213/MAX(0.0001,12-$AO$3),INDEX($C$25:$Q$25,1,B213-2025)/12)</f>
        <v>0.66393009298131</v>
      </c>
      <c r="EK213" s="88" t="n">
        <f aca="false">$AO$6*0</f>
        <v>0</v>
      </c>
      <c r="EL213" s="88" t="n">
        <f aca="false">EJ213+EL212</f>
        <v>187.195651812746</v>
      </c>
      <c r="EM213" s="88" t="n">
        <f aca="false">EK213+EM212</f>
        <v>14</v>
      </c>
      <c r="EN213" s="88" t="n">
        <f aca="false">MAX(EN212,EL213-EM213)</f>
        <v>173.195651812746</v>
      </c>
      <c r="EO213" s="88" t="n">
        <f aca="false">EN213-EN212</f>
        <v>0.663930092981303</v>
      </c>
      <c r="EP213" s="88" t="n">
        <f aca="false">IF(B213=2026,INDEX($C$26:$Q$26,1,B213-2025)*$AO$4*C213/MAX(0.0001,12-$AO$3),INDEX($C$26:$Q$26,1,B213-2025)/12)</f>
        <v>0.954399508660634</v>
      </c>
      <c r="EQ213" s="88" t="n">
        <f aca="false">$AO$6*0</f>
        <v>0</v>
      </c>
      <c r="ER213" s="88" t="n">
        <f aca="false">EP213+ER212</f>
        <v>269.093749480821</v>
      </c>
      <c r="ES213" s="88" t="n">
        <f aca="false">EQ213+ES212</f>
        <v>4</v>
      </c>
      <c r="ET213" s="88" t="n">
        <f aca="false">MAX(ET212,ER213-ES213)</f>
        <v>265.093749480821</v>
      </c>
      <c r="EU213" s="88" t="n">
        <f aca="false">ET213-ET212</f>
        <v>0.954399508660629</v>
      </c>
      <c r="EV213" s="88" t="n">
        <f aca="false">IF(B213=2026,INDEX($C$27:$Q$27,1,B213-2025)*$AO$4*C213/MAX(0.0001,12-$AO$3),INDEX($C$27:$Q$27,1,B213-2025)/12)</f>
        <v>2.37117890350468</v>
      </c>
      <c r="EW213" s="88" t="n">
        <f aca="false">$AO$6*0</f>
        <v>0</v>
      </c>
      <c r="EX213" s="88" t="n">
        <f aca="false">EV213+EX212</f>
        <v>668.555899331236</v>
      </c>
      <c r="EY213" s="88" t="n">
        <f aca="false">EW213+EY212</f>
        <v>391</v>
      </c>
      <c r="EZ213" s="88" t="n">
        <f aca="false">MAX(EZ212,EX213-EY213)</f>
        <v>277.555899331236</v>
      </c>
      <c r="FA213" s="88" t="n">
        <f aca="false">EZ213-EZ212</f>
        <v>2.37117890350464</v>
      </c>
      <c r="FB213" s="88" t="n">
        <f aca="false">IF(B213=2026,INDEX($C$28:$Q$28,1,B213-2025)*$AO$4*C213/MAX(0.0001,12-$AO$3),INDEX($C$28:$Q$28,1,B213-2025)/12)</f>
        <v>12.413121559847</v>
      </c>
      <c r="FC213" s="88" t="n">
        <f aca="false">$AO$6*0</f>
        <v>0</v>
      </c>
      <c r="FD213" s="88" t="n">
        <f aca="false">FB213+FD212</f>
        <v>3499.89013299902</v>
      </c>
      <c r="FE213" s="88" t="n">
        <f aca="false">FC213+FE212</f>
        <v>169</v>
      </c>
      <c r="FF213" s="88" t="n">
        <f aca="false">MAX(FF212,FD213-FE213)</f>
        <v>3330.89013299902</v>
      </c>
      <c r="FG213" s="88" t="n">
        <f aca="false">FF213-FF212</f>
        <v>12.4131215598468</v>
      </c>
    </row>
    <row r="214" customFormat="false" ht="15" hidden="false" customHeight="false" outlineLevel="0" collapsed="false">
      <c r="A214" s="0" t="n">
        <v>174</v>
      </c>
      <c r="B214" s="88" t="n">
        <f aca="false">2026+INT(A214/12)</f>
        <v>2040</v>
      </c>
      <c r="C214" s="88" t="n">
        <f aca="false">MAX(0,MIN(1,A214+1-$AO$3))</f>
        <v>1</v>
      </c>
      <c r="D214" s="88" t="n">
        <f aca="false">IF((A214+0.5-(0))&lt;$AO$3,0,2026+INT((A214+0.5-(0))/12))</f>
        <v>2040</v>
      </c>
      <c r="E214" s="88" t="n">
        <f aca="false">IF((A214+0.5-($AO$9))&lt;$AO$3,0,2026+INT((A214+0.5-($AO$9))/12))</f>
        <v>2039</v>
      </c>
      <c r="F214" s="88" t="n">
        <f aca="false">IF((A214+0.5-($AO$9+$AO$8))&lt;$AO$3,0,2026+INT((A214+0.5-($AO$9+$AO$8))/12))</f>
        <v>2037</v>
      </c>
      <c r="G214" s="88" t="n">
        <f aca="false">IF((A214+0.5-($AO$9+$AO$8+$AO$7))&lt;$AO$3,0,2026+INT((A214+0.5-($AO$9+$AO$8+$AO$7))/12))</f>
        <v>2037</v>
      </c>
      <c r="H214" s="88" t="n">
        <f aca="false">IF(B214=2026,INDEX($C$3:$Q$3,1,B214-2025)*$AO$4*C214/MAX(0.0001,12-$AO$3),INDEX($C$3:$Q$3,1,B214-2025)/12)</f>
        <v>127.083333333333</v>
      </c>
      <c r="I214" s="88" t="n">
        <f aca="false">$AO$6*0</f>
        <v>0</v>
      </c>
      <c r="J214" s="88" t="n">
        <f aca="false">H214+J213</f>
        <v>35958.3367579909</v>
      </c>
      <c r="K214" s="88" t="n">
        <f aca="false">I214+K213</f>
        <v>8695.00000000001</v>
      </c>
      <c r="L214" s="88" t="n">
        <f aca="false">MAX(L213,J214-K214)</f>
        <v>27263.3367579909</v>
      </c>
      <c r="M214" s="88" t="n">
        <f aca="false">L214-L213</f>
        <v>127.083333333336</v>
      </c>
      <c r="N214" s="88" t="n">
        <f aca="false">IF(B214=2026,INDEX($C$4:$Q$4,1,B214-2025)*$AO$4*C214/MAX(0.0001,12-$AO$3),INDEX($C$4:$Q$4,1,B214-2025)/12)</f>
        <v>3.85276717528181</v>
      </c>
      <c r="O214" s="88" t="n">
        <f aca="false">$AO$6*0</f>
        <v>0</v>
      </c>
      <c r="P214" s="88" t="n">
        <f aca="false">N214+P213</f>
        <v>1090.14373407672</v>
      </c>
      <c r="Q214" s="88" t="n">
        <f aca="false">O214+Q213</f>
        <v>398</v>
      </c>
      <c r="R214" s="88" t="n">
        <f aca="false">MAX(R213,P214-Q214)</f>
        <v>692.143734076721</v>
      </c>
      <c r="S214" s="88" t="n">
        <f aca="false">R214-R213</f>
        <v>3.85276717528177</v>
      </c>
      <c r="T214" s="88" t="n">
        <f aca="false">IF(B214=2026,INDEX($C$5:$Q$5,1,B214-2025)*$AO$4*C214/MAX(0.0001,12-$AO$3),INDEX($C$5:$Q$5,1,B214-2025)/12)</f>
        <v>15.6590365381071</v>
      </c>
      <c r="U214" s="88" t="n">
        <f aca="false">$AO$6*0</f>
        <v>0</v>
      </c>
      <c r="V214" s="88" t="n">
        <f aca="false">T214+V213</f>
        <v>4430.73764571492</v>
      </c>
      <c r="W214" s="88" t="n">
        <f aca="false">U214+W213</f>
        <v>1115</v>
      </c>
      <c r="X214" s="88" t="n">
        <f aca="false">MAX(X213,V214-W214)</f>
        <v>3315.73764571492</v>
      </c>
      <c r="Y214" s="88" t="n">
        <f aca="false">X214-X213</f>
        <v>15.6590365381071</v>
      </c>
      <c r="Z214" s="88" t="n">
        <f aca="false">IF(B214=2026,INDEX($C$6:$Q$6,1,B214-2025)*$AO$4*C214/MAX(0.0001,12-$AO$3),INDEX($C$6:$Q$6,1,B214-2025)/12)</f>
        <v>18.578173921486</v>
      </c>
      <c r="AA214" s="88" t="n">
        <f aca="false">$AO$6*0</f>
        <v>0</v>
      </c>
      <c r="AB214" s="88" t="n">
        <f aca="false">Z214+AB213</f>
        <v>5256.71003974285</v>
      </c>
      <c r="AC214" s="88" t="n">
        <f aca="false">AA214+AC213</f>
        <v>2194</v>
      </c>
      <c r="AD214" s="88" t="n">
        <f aca="false">MAX(AD213,AB214-AC214)</f>
        <v>3062.71003974284</v>
      </c>
      <c r="AE214" s="88" t="n">
        <f aca="false">AD214-AD213</f>
        <v>18.5781739214863</v>
      </c>
      <c r="AF214" s="88" t="n">
        <f aca="false">IF(B214=2026,INDEX($C$7:$Q$7,1,B214-2025)*$AO$4*C214/MAX(0.0001,12-$AO$3),INDEX($C$7:$Q$7,1,B214-2025)/12)</f>
        <v>16.1382057035167</v>
      </c>
      <c r="AG214" s="88" t="n">
        <f aca="false">$AO$6*0</f>
        <v>0</v>
      </c>
      <c r="AH214" s="88" t="n">
        <f aca="false">AF214+AH213</f>
        <v>4566.31896674187</v>
      </c>
      <c r="AI214" s="88" t="n">
        <f aca="false">AG214+AI213</f>
        <v>826</v>
      </c>
      <c r="AJ214" s="88" t="n">
        <f aca="false">MAX(AJ213,AH214-AI214)</f>
        <v>3740.31896674187</v>
      </c>
      <c r="AK214" s="88" t="n">
        <f aca="false">AJ214-AJ213</f>
        <v>16.1382057035171</v>
      </c>
      <c r="AL214" s="88" t="n">
        <f aca="false">IF(B214=2026,INDEX($C$8:$Q$8,1,B214-2025)*$AO$4*C214/MAX(0.0001,12-$AO$3),INDEX($C$8:$Q$8,1,B214-2025)/12)</f>
        <v>4.08220360807459</v>
      </c>
      <c r="AM214" s="88" t="n">
        <f aca="false">$AO$6*0</f>
        <v>0</v>
      </c>
      <c r="AN214" s="88" t="n">
        <f aca="false">AL214+AN213</f>
        <v>1155.06296698097</v>
      </c>
      <c r="AO214" s="88" t="n">
        <f aca="false">AM214+AO213</f>
        <v>66</v>
      </c>
      <c r="AP214" s="88" t="n">
        <f aca="false">MAX(AP213,AN214-AO214)</f>
        <v>1089.06296698097</v>
      </c>
      <c r="AQ214" s="88" t="n">
        <f aca="false">AP214-AP213</f>
        <v>4.08220360807468</v>
      </c>
      <c r="AR214" s="88" t="n">
        <f aca="false">IF(B214=2026,INDEX($C$9:$Q$9,1,B214-2025)*$AO$4*C214/MAX(0.0001,12-$AO$3),INDEX($C$9:$Q$9,1,B214-2025)/12)</f>
        <v>17.406283218606</v>
      </c>
      <c r="AS214" s="88" t="n">
        <f aca="false">$AO$6*0</f>
        <v>0</v>
      </c>
      <c r="AT214" s="88" t="n">
        <f aca="false">AR214+AT213</f>
        <v>4925.12257321654</v>
      </c>
      <c r="AU214" s="88" t="n">
        <f aca="false">AS214+AU213</f>
        <v>1810</v>
      </c>
      <c r="AV214" s="88" t="n">
        <f aca="false">MAX(AV213,AT214-AU214)</f>
        <v>3115.12257321654</v>
      </c>
      <c r="AW214" s="88" t="n">
        <f aca="false">AV214-AV213</f>
        <v>17.4062832186064</v>
      </c>
      <c r="AX214" s="88" t="n">
        <f aca="false">IF(B214=2026,INDEX($C$10:$Q$10,1,B214-2025)*$AO$4*C214/MAX(0.0001,12-$AO$3),INDEX($C$10:$Q$10,1,B214-2025)/12)</f>
        <v>2.01904060857645</v>
      </c>
      <c r="AY214" s="88" t="n">
        <f aca="false">$AO$6*0</f>
        <v>0</v>
      </c>
      <c r="AZ214" s="88" t="n">
        <f aca="false">AX214+AZ213</f>
        <v>571.289249557382</v>
      </c>
      <c r="BA214" s="88" t="n">
        <f aca="false">AY214+BA213</f>
        <v>50</v>
      </c>
      <c r="BB214" s="88" t="n">
        <f aca="false">MAX(BB213,AZ214-BA214)</f>
        <v>521.289249557382</v>
      </c>
      <c r="BC214" s="88" t="n">
        <f aca="false">BB214-BB213</f>
        <v>2.01904060857646</v>
      </c>
      <c r="BD214" s="88" t="n">
        <f aca="false">IF(B214=2026,INDEX($C$11:$Q$11,1,B214-2025)*$AO$4*C214/MAX(0.0001,12-$AO$3),INDEX($C$11:$Q$11,1,B214-2025)/12)</f>
        <v>10.0334316955919</v>
      </c>
      <c r="BE214" s="88" t="n">
        <f aca="false">$AO$6*0</f>
        <v>0</v>
      </c>
      <c r="BF214" s="88" t="n">
        <f aca="false">BD214+BF213</f>
        <v>2838.96799277423</v>
      </c>
      <c r="BG214" s="88" t="n">
        <f aca="false">BE214+BG213</f>
        <v>240</v>
      </c>
      <c r="BH214" s="88" t="n">
        <f aca="false">MAX(BH213,BF214-BG214)</f>
        <v>2598.96799277423</v>
      </c>
      <c r="BI214" s="88" t="n">
        <f aca="false">BH214-BH213</f>
        <v>10.0334316955918</v>
      </c>
      <c r="BJ214" s="88" t="n">
        <f aca="false">IF(B214=2026,INDEX($C$12:$Q$12,1,B214-2025)*$AO$4*C214/MAX(0.0001,12-$AO$3),INDEX($C$12:$Q$12,1,B214-2025)/12)</f>
        <v>5.50117970011608</v>
      </c>
      <c r="BK214" s="88" t="n">
        <f aca="false">$AO$6*0</f>
        <v>0</v>
      </c>
      <c r="BL214" s="88" t="n">
        <f aca="false">BJ214+BL213</f>
        <v>1556.56345355801</v>
      </c>
      <c r="BM214" s="88" t="n">
        <f aca="false">BK214+BM213</f>
        <v>465</v>
      </c>
      <c r="BN214" s="88" t="n">
        <f aca="false">MAX(BN213,BL214-BM214)</f>
        <v>1091.56345355801</v>
      </c>
      <c r="BO214" s="88" t="n">
        <f aca="false">BN214-BN213</f>
        <v>5.50117970011615</v>
      </c>
      <c r="BP214" s="88" t="n">
        <f aca="false">IF(B214=2026,INDEX($C$13:$Q$13,1,B214-2025)*$AO$4*C214/MAX(0.0001,12-$AO$3),INDEX($C$13:$Q$13,1,B214-2025)/12)</f>
        <v>1.71910470504089</v>
      </c>
      <c r="BQ214" s="88" t="n">
        <f aca="false">$AO$6*0</f>
        <v>0</v>
      </c>
      <c r="BR214" s="88" t="n">
        <f aca="false">BP214+BR213</f>
        <v>486.422131720185</v>
      </c>
      <c r="BS214" s="88" t="n">
        <f aca="false">BQ214+BS213</f>
        <v>87</v>
      </c>
      <c r="BT214" s="88" t="n">
        <f aca="false">MAX(BT213,BR214-BS214)</f>
        <v>399.422131720185</v>
      </c>
      <c r="BU214" s="88" t="n">
        <f aca="false">BT214-BT213</f>
        <v>1.71910470504088</v>
      </c>
      <c r="BV214" s="88" t="n">
        <f aca="false">IF(B214=2026,INDEX($C$14:$Q$14,1,B214-2025)*$AO$4*C214/MAX(0.0001,12-$AO$3),INDEX($C$14:$Q$14,1,B214-2025)/12)</f>
        <v>1.01960692850701</v>
      </c>
      <c r="BW214" s="88" t="n">
        <f aca="false">$AO$6*0</f>
        <v>0</v>
      </c>
      <c r="BX214" s="88" t="n">
        <f aca="false">BV214+BX213</f>
        <v>288.498643640939</v>
      </c>
      <c r="BY214" s="88" t="n">
        <f aca="false">BW214+BY213</f>
        <v>0</v>
      </c>
      <c r="BZ214" s="88" t="n">
        <f aca="false">MAX(BZ213,BX214-BY214)</f>
        <v>288.498643640939</v>
      </c>
      <c r="CA214" s="88" t="n">
        <f aca="false">BZ214-BZ213</f>
        <v>1.01960692850702</v>
      </c>
      <c r="CB214" s="88" t="n">
        <f aca="false">IF(B214=2026,INDEX($C$15:$Q$15,1,B214-2025)*$AO$4*C214/MAX(0.0001,12-$AO$3),INDEX($C$15:$Q$15,1,B214-2025)/12)</f>
        <v>1.6716811269708</v>
      </c>
      <c r="CC214" s="88" t="n">
        <f aca="false">$AO$6*0</f>
        <v>0</v>
      </c>
      <c r="CD214" s="88" t="n">
        <f aca="false">CB214+CD213</f>
        <v>473.003590155491</v>
      </c>
      <c r="CE214" s="88" t="n">
        <f aca="false">CC214+CE213</f>
        <v>88.0000000000001</v>
      </c>
      <c r="CF214" s="88" t="n">
        <f aca="false">MAX(CF213,CD214-CE214)</f>
        <v>385.003590155491</v>
      </c>
      <c r="CG214" s="88" t="n">
        <f aca="false">CF214-CF213</f>
        <v>1.67168112697078</v>
      </c>
      <c r="CH214" s="88" t="n">
        <f aca="false">IF(B214=2026,INDEX($C$16:$Q$16,1,B214-2025)*$AO$4*C214/MAX(0.0001,12-$AO$3),INDEX($C$16:$Q$16,1,B214-2025)/12)</f>
        <v>1.32193223870386</v>
      </c>
      <c r="CI214" s="88" t="n">
        <f aca="false">$AO$6*0</f>
        <v>0</v>
      </c>
      <c r="CJ214" s="88" t="n">
        <f aca="false">CH214+CJ213</f>
        <v>374.041846115867</v>
      </c>
      <c r="CK214" s="88" t="n">
        <f aca="false">CI214+CK213</f>
        <v>70</v>
      </c>
      <c r="CL214" s="88" t="n">
        <f aca="false">MAX(CL213,CJ214-CK214)</f>
        <v>304.041846115867</v>
      </c>
      <c r="CM214" s="88" t="n">
        <f aca="false">CL214-CL213</f>
        <v>1.32193223870388</v>
      </c>
      <c r="CN214" s="88" t="n">
        <f aca="false">IF(B214=2026,INDEX($C$17:$Q$17,1,B214-2025)*$AO$4*C214/MAX(0.0001,12-$AO$3),INDEX($C$17:$Q$17,1,B214-2025)/12)</f>
        <v>5.75603678825761</v>
      </c>
      <c r="CO214" s="88" t="n">
        <f aca="false">$AO$6*0</f>
        <v>0</v>
      </c>
      <c r="CP214" s="88" t="n">
        <f aca="false">CN214+CP213</f>
        <v>1628.67548241483</v>
      </c>
      <c r="CQ214" s="88" t="n">
        <f aca="false">CO214+CQ213</f>
        <v>221</v>
      </c>
      <c r="CR214" s="88" t="n">
        <f aca="false">MAX(CR213,CP214-CQ214)</f>
        <v>1407.67548241483</v>
      </c>
      <c r="CS214" s="88" t="n">
        <f aca="false">CR214-CR213</f>
        <v>5.75603678825769</v>
      </c>
      <c r="CT214" s="88" t="n">
        <f aca="false">IF(B214=2026,INDEX($C$18:$Q$18,1,B214-2025)*$AO$4*C214/MAX(0.0001,12-$AO$3),INDEX($C$18:$Q$18,1,B214-2025)/12)</f>
        <v>1.19744534626986</v>
      </c>
      <c r="CU214" s="88" t="n">
        <f aca="false">$AO$6*0</f>
        <v>0</v>
      </c>
      <c r="CV214" s="88" t="n">
        <f aca="false">CT214+CV213</f>
        <v>338.818174508543</v>
      </c>
      <c r="CW214" s="88" t="n">
        <f aca="false">CU214+CW213</f>
        <v>11</v>
      </c>
      <c r="CX214" s="88" t="n">
        <f aca="false">MAX(CX213,CV214-CW214)</f>
        <v>327.818174508543</v>
      </c>
      <c r="CY214" s="88" t="n">
        <f aca="false">CX214-CX213</f>
        <v>1.19744534626989</v>
      </c>
      <c r="CZ214" s="88" t="n">
        <f aca="false">IF(B214=2026,INDEX($C$19:$Q$19,1,B214-2025)*$AO$4*C214/MAX(0.0001,12-$AO$3),INDEX($C$19:$Q$19,1,B214-2025)/12)</f>
        <v>1.18558945175234</v>
      </c>
      <c r="DA214" s="88" t="n">
        <f aca="false">$AO$6*0</f>
        <v>0</v>
      </c>
      <c r="DB214" s="88" t="n">
        <f aca="false">CZ214+DB213</f>
        <v>335.46353911737</v>
      </c>
      <c r="DC214" s="88" t="n">
        <f aca="false">DA214+DC213</f>
        <v>226</v>
      </c>
      <c r="DD214" s="88" t="n">
        <f aca="false">MAX(DD213,DB214-DC214)</f>
        <v>109.46353911737</v>
      </c>
      <c r="DE214" s="88" t="n">
        <f aca="false">DD214-DD213</f>
        <v>1.18558945175232</v>
      </c>
      <c r="DF214" s="88" t="n">
        <f aca="false">IF(B214=2026,INDEX($C$20:$Q$20,1,B214-2025)*$AO$4*C214/MAX(0.0001,12-$AO$3),INDEX($C$20:$Q$20,1,B214-2025)/12)</f>
        <v>0.966255403178157</v>
      </c>
      <c r="DG214" s="88" t="n">
        <f aca="false">$AO$6*0</f>
        <v>0</v>
      </c>
      <c r="DH214" s="88" t="n">
        <f aca="false">DF214+DH213</f>
        <v>273.402784380657</v>
      </c>
      <c r="DI214" s="88" t="n">
        <f aca="false">DG214+DI213</f>
        <v>0</v>
      </c>
      <c r="DJ214" s="88" t="n">
        <f aca="false">MAX(DJ213,DH214-DI214)</f>
        <v>273.402784380657</v>
      </c>
      <c r="DK214" s="88" t="n">
        <f aca="false">DJ214-DJ213</f>
        <v>0.966255403178138</v>
      </c>
      <c r="DL214" s="88" t="n">
        <f aca="false">IF(B214=2026,INDEX($C$21:$Q$21,1,B214-2025)*$AO$4*C214/MAX(0.0001,12-$AO$3),INDEX($C$21:$Q$21,1,B214-2025)/12)</f>
        <v>0.675785987498834</v>
      </c>
      <c r="DM214" s="88" t="n">
        <f aca="false">$AO$6*0</f>
        <v>0</v>
      </c>
      <c r="DN214" s="88" t="n">
        <f aca="false">DL214+DN213</f>
        <v>191.214217296901</v>
      </c>
      <c r="DO214" s="88" t="n">
        <f aca="false">DM214+DO213</f>
        <v>100</v>
      </c>
      <c r="DP214" s="88" t="n">
        <f aca="false">MAX(DP213,DN214-DO214)</f>
        <v>91.2142172969006</v>
      </c>
      <c r="DQ214" s="88" t="n">
        <f aca="false">DP214-DP213</f>
        <v>0.675785987498841</v>
      </c>
      <c r="DR214" s="88" t="n">
        <f aca="false">IF(B214=2026,INDEX($C$22:$Q$22,1,B214-2025)*$AO$4*C214/MAX(0.0001,12-$AO$3),INDEX($C$22:$Q$22,1,B214-2025)/12)</f>
        <v>0.527587306029791</v>
      </c>
      <c r="DS214" s="88" t="n">
        <f aca="false">$AO$6*0</f>
        <v>0</v>
      </c>
      <c r="DT214" s="88" t="n">
        <f aca="false">DR214+DT213</f>
        <v>149.28127490723</v>
      </c>
      <c r="DU214" s="88" t="n">
        <f aca="false">DS214+DU213</f>
        <v>29</v>
      </c>
      <c r="DV214" s="88" t="n">
        <f aca="false">MAX(DV213,DT214-DU214)</f>
        <v>120.28127490723</v>
      </c>
      <c r="DW214" s="88" t="n">
        <f aca="false">DV214-DV213</f>
        <v>0.527587306029801</v>
      </c>
      <c r="DX214" s="88" t="n">
        <f aca="false">IF(B214=2026,INDEX($C$23:$Q$23,1,B214-2025)*$AO$4*C214/MAX(0.0001,12-$AO$3),INDEX($C$23:$Q$23,1,B214-2025)/12)</f>
        <v>0.847696458002923</v>
      </c>
      <c r="DY214" s="88" t="n">
        <f aca="false">$AO$6*0</f>
        <v>0</v>
      </c>
      <c r="DZ214" s="88" t="n">
        <f aca="false">DX214+DZ213</f>
        <v>239.85643046892</v>
      </c>
      <c r="EA214" s="88" t="n">
        <f aca="false">DY214+EA213</f>
        <v>121</v>
      </c>
      <c r="EB214" s="88" t="n">
        <f aca="false">MAX(EB213,DZ214-EA214)</f>
        <v>118.85643046892</v>
      </c>
      <c r="EC214" s="88" t="n">
        <f aca="false">EB214-EB213</f>
        <v>0.847696458002929</v>
      </c>
      <c r="ED214" s="88" t="n">
        <f aca="false">IF(B214=2026,INDEX($C$24:$Q$24,1,B214-2025)*$AO$4*C214/MAX(0.0001,12-$AO$3),INDEX($C$24:$Q$24,1,B214-2025)/12)</f>
        <v>0.52165935877103</v>
      </c>
      <c r="EE214" s="88" t="n">
        <f aca="false">$AO$6*0</f>
        <v>0</v>
      </c>
      <c r="EF214" s="88" t="n">
        <f aca="false">ED214+EF213</f>
        <v>147.603957211643</v>
      </c>
      <c r="EG214" s="88" t="n">
        <f aca="false">EE214+EG213</f>
        <v>0</v>
      </c>
      <c r="EH214" s="88" t="n">
        <f aca="false">MAX(EH213,EF214-EG214)</f>
        <v>147.603957211643</v>
      </c>
      <c r="EI214" s="88" t="n">
        <f aca="false">EH214-EH213</f>
        <v>0.521659358771018</v>
      </c>
      <c r="EJ214" s="88" t="n">
        <f aca="false">IF(B214=2026,INDEX($C$25:$Q$25,1,B214-2025)*$AO$4*C214/MAX(0.0001,12-$AO$3),INDEX($C$25:$Q$25,1,B214-2025)/12)</f>
        <v>0.66393009298131</v>
      </c>
      <c r="EK214" s="88" t="n">
        <f aca="false">$AO$6*0</f>
        <v>0</v>
      </c>
      <c r="EL214" s="88" t="n">
        <f aca="false">EJ214+EL213</f>
        <v>187.859581905727</v>
      </c>
      <c r="EM214" s="88" t="n">
        <f aca="false">EK214+EM213</f>
        <v>14</v>
      </c>
      <c r="EN214" s="88" t="n">
        <f aca="false">MAX(EN213,EL214-EM214)</f>
        <v>173.859581905727</v>
      </c>
      <c r="EO214" s="88" t="n">
        <f aca="false">EN214-EN213</f>
        <v>0.663930092981303</v>
      </c>
      <c r="EP214" s="88" t="n">
        <f aca="false">IF(B214=2026,INDEX($C$26:$Q$26,1,B214-2025)*$AO$4*C214/MAX(0.0001,12-$AO$3),INDEX($C$26:$Q$26,1,B214-2025)/12)</f>
        <v>0.954399508660634</v>
      </c>
      <c r="EQ214" s="88" t="n">
        <f aca="false">$AO$6*0</f>
        <v>0</v>
      </c>
      <c r="ER214" s="88" t="n">
        <f aca="false">EP214+ER213</f>
        <v>270.048148989482</v>
      </c>
      <c r="ES214" s="88" t="n">
        <f aca="false">EQ214+ES213</f>
        <v>4</v>
      </c>
      <c r="ET214" s="88" t="n">
        <f aca="false">MAX(ET213,ER214-ES214)</f>
        <v>266.048148989482</v>
      </c>
      <c r="EU214" s="88" t="n">
        <f aca="false">ET214-ET213</f>
        <v>0.954399508660629</v>
      </c>
      <c r="EV214" s="88" t="n">
        <f aca="false">IF(B214=2026,INDEX($C$27:$Q$27,1,B214-2025)*$AO$4*C214/MAX(0.0001,12-$AO$3),INDEX($C$27:$Q$27,1,B214-2025)/12)</f>
        <v>2.37117890350468</v>
      </c>
      <c r="EW214" s="88" t="n">
        <f aca="false">$AO$6*0</f>
        <v>0</v>
      </c>
      <c r="EX214" s="88" t="n">
        <f aca="false">EV214+EX213</f>
        <v>670.92707823474</v>
      </c>
      <c r="EY214" s="88" t="n">
        <f aca="false">EW214+EY213</f>
        <v>391</v>
      </c>
      <c r="EZ214" s="88" t="n">
        <f aca="false">MAX(EZ213,EX214-EY214)</f>
        <v>279.92707823474</v>
      </c>
      <c r="FA214" s="88" t="n">
        <f aca="false">EZ214-EZ213</f>
        <v>2.37117890350464</v>
      </c>
      <c r="FB214" s="88" t="n">
        <f aca="false">IF(B214=2026,INDEX($C$28:$Q$28,1,B214-2025)*$AO$4*C214/MAX(0.0001,12-$AO$3),INDEX($C$28:$Q$28,1,B214-2025)/12)</f>
        <v>12.413121559847</v>
      </c>
      <c r="FC214" s="88" t="n">
        <f aca="false">$AO$6*0</f>
        <v>0</v>
      </c>
      <c r="FD214" s="88" t="n">
        <f aca="false">FB214+FD213</f>
        <v>3512.30325455886</v>
      </c>
      <c r="FE214" s="88" t="n">
        <f aca="false">FC214+FE213</f>
        <v>169</v>
      </c>
      <c r="FF214" s="88" t="n">
        <f aca="false">MAX(FF213,FD214-FE214)</f>
        <v>3343.30325455886</v>
      </c>
      <c r="FG214" s="88" t="n">
        <f aca="false">FF214-FF213</f>
        <v>12.4131215598468</v>
      </c>
    </row>
    <row r="215" customFormat="false" ht="15" hidden="false" customHeight="false" outlineLevel="0" collapsed="false">
      <c r="A215" s="0" t="n">
        <v>175</v>
      </c>
      <c r="B215" s="88" t="n">
        <f aca="false">2026+INT(A215/12)</f>
        <v>2040</v>
      </c>
      <c r="C215" s="88" t="n">
        <f aca="false">MAX(0,MIN(1,A215+1-$AO$3))</f>
        <v>1</v>
      </c>
      <c r="D215" s="88" t="n">
        <f aca="false">IF((A215+0.5-(0))&lt;$AO$3,0,2026+INT((A215+0.5-(0))/12))</f>
        <v>2040</v>
      </c>
      <c r="E215" s="88" t="n">
        <f aca="false">IF((A215+0.5-($AO$9))&lt;$AO$3,0,2026+INT((A215+0.5-($AO$9))/12))</f>
        <v>2039</v>
      </c>
      <c r="F215" s="88" t="n">
        <f aca="false">IF((A215+0.5-($AO$9+$AO$8))&lt;$AO$3,0,2026+INT((A215+0.5-($AO$9+$AO$8))/12))</f>
        <v>2038</v>
      </c>
      <c r="G215" s="88" t="n">
        <f aca="false">IF((A215+0.5-($AO$9+$AO$8+$AO$7))&lt;$AO$3,0,2026+INT((A215+0.5-($AO$9+$AO$8+$AO$7))/12))</f>
        <v>2037</v>
      </c>
      <c r="H215" s="88" t="n">
        <f aca="false">IF(B215=2026,INDEX($C$3:$Q$3,1,B215-2025)*$AO$4*C215/MAX(0.0001,12-$AO$3),INDEX($C$3:$Q$3,1,B215-2025)/12)</f>
        <v>127.083333333333</v>
      </c>
      <c r="I215" s="88" t="n">
        <f aca="false">$AO$6*0</f>
        <v>0</v>
      </c>
      <c r="J215" s="88" t="n">
        <f aca="false">H215+J214</f>
        <v>36085.4200913243</v>
      </c>
      <c r="K215" s="88" t="n">
        <f aca="false">I215+K214</f>
        <v>8695.00000000001</v>
      </c>
      <c r="L215" s="88" t="n">
        <f aca="false">MAX(L214,J215-K215)</f>
        <v>27390.4200913242</v>
      </c>
      <c r="M215" s="88" t="n">
        <f aca="false">L215-L214</f>
        <v>127.083333333336</v>
      </c>
      <c r="N215" s="88" t="n">
        <f aca="false">IF(B215=2026,INDEX($C$4:$Q$4,1,B215-2025)*$AO$4*C215/MAX(0.0001,12-$AO$3),INDEX($C$4:$Q$4,1,B215-2025)/12)</f>
        <v>3.85276717528181</v>
      </c>
      <c r="O215" s="88" t="n">
        <f aca="false">$AO$6*0</f>
        <v>0</v>
      </c>
      <c r="P215" s="88" t="n">
        <f aca="false">N215+P214</f>
        <v>1093.996501252</v>
      </c>
      <c r="Q215" s="88" t="n">
        <f aca="false">O215+Q214</f>
        <v>398</v>
      </c>
      <c r="R215" s="88" t="n">
        <f aca="false">MAX(R214,P215-Q215)</f>
        <v>695.996501252003</v>
      </c>
      <c r="S215" s="88" t="n">
        <f aca="false">R215-R214</f>
        <v>3.85276717528177</v>
      </c>
      <c r="T215" s="88" t="n">
        <f aca="false">IF(B215=2026,INDEX($C$5:$Q$5,1,B215-2025)*$AO$4*C215/MAX(0.0001,12-$AO$3),INDEX($C$5:$Q$5,1,B215-2025)/12)</f>
        <v>15.6590365381071</v>
      </c>
      <c r="U215" s="88" t="n">
        <f aca="false">$AO$6*0</f>
        <v>0</v>
      </c>
      <c r="V215" s="88" t="n">
        <f aca="false">T215+V214</f>
        <v>4446.39668225302</v>
      </c>
      <c r="W215" s="88" t="n">
        <f aca="false">U215+W214</f>
        <v>1115</v>
      </c>
      <c r="X215" s="88" t="n">
        <f aca="false">MAX(X214,V215-W215)</f>
        <v>3331.39668225302</v>
      </c>
      <c r="Y215" s="88" t="n">
        <f aca="false">X215-X214</f>
        <v>15.6590365381071</v>
      </c>
      <c r="Z215" s="88" t="n">
        <f aca="false">IF(B215=2026,INDEX($C$6:$Q$6,1,B215-2025)*$AO$4*C215/MAX(0.0001,12-$AO$3),INDEX($C$6:$Q$6,1,B215-2025)/12)</f>
        <v>18.578173921486</v>
      </c>
      <c r="AA215" s="88" t="n">
        <f aca="false">$AO$6*0</f>
        <v>0</v>
      </c>
      <c r="AB215" s="88" t="n">
        <f aca="false">Z215+AB214</f>
        <v>5275.28821366433</v>
      </c>
      <c r="AC215" s="88" t="n">
        <f aca="false">AA215+AC214</f>
        <v>2194</v>
      </c>
      <c r="AD215" s="88" t="n">
        <f aca="false">MAX(AD214,AB215-AC215)</f>
        <v>3081.28821366433</v>
      </c>
      <c r="AE215" s="88" t="n">
        <f aca="false">AD215-AD214</f>
        <v>18.5781739214863</v>
      </c>
      <c r="AF215" s="88" t="n">
        <f aca="false">IF(B215=2026,INDEX($C$7:$Q$7,1,B215-2025)*$AO$4*C215/MAX(0.0001,12-$AO$3),INDEX($C$7:$Q$7,1,B215-2025)/12)</f>
        <v>16.1382057035167</v>
      </c>
      <c r="AG215" s="88" t="n">
        <f aca="false">$AO$6*0</f>
        <v>0</v>
      </c>
      <c r="AH215" s="88" t="n">
        <f aca="false">AF215+AH214</f>
        <v>4582.45717244539</v>
      </c>
      <c r="AI215" s="88" t="n">
        <f aca="false">AG215+AI214</f>
        <v>826</v>
      </c>
      <c r="AJ215" s="88" t="n">
        <f aca="false">MAX(AJ214,AH215-AI215)</f>
        <v>3756.45717244539</v>
      </c>
      <c r="AK215" s="88" t="n">
        <f aca="false">AJ215-AJ214</f>
        <v>16.1382057035171</v>
      </c>
      <c r="AL215" s="88" t="n">
        <f aca="false">IF(B215=2026,INDEX($C$8:$Q$8,1,B215-2025)*$AO$4*C215/MAX(0.0001,12-$AO$3),INDEX($C$8:$Q$8,1,B215-2025)/12)</f>
        <v>4.08220360807459</v>
      </c>
      <c r="AM215" s="88" t="n">
        <f aca="false">$AO$6*0</f>
        <v>0</v>
      </c>
      <c r="AN215" s="88" t="n">
        <f aca="false">AL215+AN214</f>
        <v>1159.14517058904</v>
      </c>
      <c r="AO215" s="88" t="n">
        <f aca="false">AM215+AO214</f>
        <v>66</v>
      </c>
      <c r="AP215" s="88" t="n">
        <f aca="false">MAX(AP214,AN215-AO215)</f>
        <v>1093.14517058904</v>
      </c>
      <c r="AQ215" s="88" t="n">
        <f aca="false">AP215-AP214</f>
        <v>4.08220360807468</v>
      </c>
      <c r="AR215" s="88" t="n">
        <f aca="false">IF(B215=2026,INDEX($C$9:$Q$9,1,B215-2025)*$AO$4*C215/MAX(0.0001,12-$AO$3),INDEX($C$9:$Q$9,1,B215-2025)/12)</f>
        <v>17.406283218606</v>
      </c>
      <c r="AS215" s="88" t="n">
        <f aca="false">$AO$6*0</f>
        <v>0</v>
      </c>
      <c r="AT215" s="88" t="n">
        <f aca="false">AR215+AT214</f>
        <v>4942.52885643515</v>
      </c>
      <c r="AU215" s="88" t="n">
        <f aca="false">AS215+AU214</f>
        <v>1810</v>
      </c>
      <c r="AV215" s="88" t="n">
        <f aca="false">MAX(AV214,AT215-AU215)</f>
        <v>3132.52885643515</v>
      </c>
      <c r="AW215" s="88" t="n">
        <f aca="false">AV215-AV214</f>
        <v>17.4062832186064</v>
      </c>
      <c r="AX215" s="88" t="n">
        <f aca="false">IF(B215=2026,INDEX($C$10:$Q$10,1,B215-2025)*$AO$4*C215/MAX(0.0001,12-$AO$3),INDEX($C$10:$Q$10,1,B215-2025)/12)</f>
        <v>2.01904060857645</v>
      </c>
      <c r="AY215" s="88" t="n">
        <f aca="false">$AO$6*0</f>
        <v>0</v>
      </c>
      <c r="AZ215" s="88" t="n">
        <f aca="false">AX215+AZ214</f>
        <v>573.308290165959</v>
      </c>
      <c r="BA215" s="88" t="n">
        <f aca="false">AY215+BA214</f>
        <v>50</v>
      </c>
      <c r="BB215" s="88" t="n">
        <f aca="false">MAX(BB214,AZ215-BA215)</f>
        <v>523.308290165959</v>
      </c>
      <c r="BC215" s="88" t="n">
        <f aca="false">BB215-BB214</f>
        <v>2.01904060857646</v>
      </c>
      <c r="BD215" s="88" t="n">
        <f aca="false">IF(B215=2026,INDEX($C$11:$Q$11,1,B215-2025)*$AO$4*C215/MAX(0.0001,12-$AO$3),INDEX($C$11:$Q$11,1,B215-2025)/12)</f>
        <v>10.0334316955919</v>
      </c>
      <c r="BE215" s="88" t="n">
        <f aca="false">$AO$6*0</f>
        <v>0</v>
      </c>
      <c r="BF215" s="88" t="n">
        <f aca="false">BD215+BF214</f>
        <v>2849.00142446982</v>
      </c>
      <c r="BG215" s="88" t="n">
        <f aca="false">BE215+BG214</f>
        <v>240</v>
      </c>
      <c r="BH215" s="88" t="n">
        <f aca="false">MAX(BH214,BF215-BG215)</f>
        <v>2609.00142446982</v>
      </c>
      <c r="BI215" s="88" t="n">
        <f aca="false">BH215-BH214</f>
        <v>10.0334316955918</v>
      </c>
      <c r="BJ215" s="88" t="n">
        <f aca="false">IF(B215=2026,INDEX($C$12:$Q$12,1,B215-2025)*$AO$4*C215/MAX(0.0001,12-$AO$3),INDEX($C$12:$Q$12,1,B215-2025)/12)</f>
        <v>5.50117970011608</v>
      </c>
      <c r="BK215" s="88" t="n">
        <f aca="false">$AO$6*0</f>
        <v>0</v>
      </c>
      <c r="BL215" s="88" t="n">
        <f aca="false">BJ215+BL214</f>
        <v>1562.06463325813</v>
      </c>
      <c r="BM215" s="88" t="n">
        <f aca="false">BK215+BM214</f>
        <v>465</v>
      </c>
      <c r="BN215" s="88" t="n">
        <f aca="false">MAX(BN214,BL215-BM215)</f>
        <v>1097.06463325813</v>
      </c>
      <c r="BO215" s="88" t="n">
        <f aca="false">BN215-BN214</f>
        <v>5.50117970011615</v>
      </c>
      <c r="BP215" s="88" t="n">
        <f aca="false">IF(B215=2026,INDEX($C$13:$Q$13,1,B215-2025)*$AO$4*C215/MAX(0.0001,12-$AO$3),INDEX($C$13:$Q$13,1,B215-2025)/12)</f>
        <v>1.71910470504089</v>
      </c>
      <c r="BQ215" s="88" t="n">
        <f aca="false">$AO$6*0</f>
        <v>0</v>
      </c>
      <c r="BR215" s="88" t="n">
        <f aca="false">BP215+BR214</f>
        <v>488.141236425226</v>
      </c>
      <c r="BS215" s="88" t="n">
        <f aca="false">BQ215+BS214</f>
        <v>87</v>
      </c>
      <c r="BT215" s="88" t="n">
        <f aca="false">MAX(BT214,BR215-BS215)</f>
        <v>401.141236425226</v>
      </c>
      <c r="BU215" s="88" t="n">
        <f aca="false">BT215-BT214</f>
        <v>1.71910470504088</v>
      </c>
      <c r="BV215" s="88" t="n">
        <f aca="false">IF(B215=2026,INDEX($C$14:$Q$14,1,B215-2025)*$AO$4*C215/MAX(0.0001,12-$AO$3),INDEX($C$14:$Q$14,1,B215-2025)/12)</f>
        <v>1.01960692850701</v>
      </c>
      <c r="BW215" s="88" t="n">
        <f aca="false">$AO$6*0</f>
        <v>0</v>
      </c>
      <c r="BX215" s="88" t="n">
        <f aca="false">BV215+BX214</f>
        <v>289.518250569446</v>
      </c>
      <c r="BY215" s="88" t="n">
        <f aca="false">BW215+BY214</f>
        <v>0</v>
      </c>
      <c r="BZ215" s="88" t="n">
        <f aca="false">MAX(BZ214,BX215-BY215)</f>
        <v>289.518250569446</v>
      </c>
      <c r="CA215" s="88" t="n">
        <f aca="false">BZ215-BZ214</f>
        <v>1.01960692850702</v>
      </c>
      <c r="CB215" s="88" t="n">
        <f aca="false">IF(B215=2026,INDEX($C$15:$Q$15,1,B215-2025)*$AO$4*C215/MAX(0.0001,12-$AO$3),INDEX($C$15:$Q$15,1,B215-2025)/12)</f>
        <v>1.6716811269708</v>
      </c>
      <c r="CC215" s="88" t="n">
        <f aca="false">$AO$6*0</f>
        <v>0</v>
      </c>
      <c r="CD215" s="88" t="n">
        <f aca="false">CB215+CD214</f>
        <v>474.675271282462</v>
      </c>
      <c r="CE215" s="88" t="n">
        <f aca="false">CC215+CE214</f>
        <v>88.0000000000001</v>
      </c>
      <c r="CF215" s="88" t="n">
        <f aca="false">MAX(CF214,CD215-CE215)</f>
        <v>386.675271282462</v>
      </c>
      <c r="CG215" s="88" t="n">
        <f aca="false">CF215-CF214</f>
        <v>1.67168112697078</v>
      </c>
      <c r="CH215" s="88" t="n">
        <f aca="false">IF(B215=2026,INDEX($C$16:$Q$16,1,B215-2025)*$AO$4*C215/MAX(0.0001,12-$AO$3),INDEX($C$16:$Q$16,1,B215-2025)/12)</f>
        <v>1.32193223870386</v>
      </c>
      <c r="CI215" s="88" t="n">
        <f aca="false">$AO$6*0</f>
        <v>0</v>
      </c>
      <c r="CJ215" s="88" t="n">
        <f aca="false">CH215+CJ214</f>
        <v>375.363778354571</v>
      </c>
      <c r="CK215" s="88" t="n">
        <f aca="false">CI215+CK214</f>
        <v>70</v>
      </c>
      <c r="CL215" s="88" t="n">
        <f aca="false">MAX(CL214,CJ215-CK215)</f>
        <v>305.363778354571</v>
      </c>
      <c r="CM215" s="88" t="n">
        <f aca="false">CL215-CL214</f>
        <v>1.32193223870388</v>
      </c>
      <c r="CN215" s="88" t="n">
        <f aca="false">IF(B215=2026,INDEX($C$17:$Q$17,1,B215-2025)*$AO$4*C215/MAX(0.0001,12-$AO$3),INDEX($C$17:$Q$17,1,B215-2025)/12)</f>
        <v>5.75603678825761</v>
      </c>
      <c r="CO215" s="88" t="n">
        <f aca="false">$AO$6*0</f>
        <v>0</v>
      </c>
      <c r="CP215" s="88" t="n">
        <f aca="false">CN215+CP214</f>
        <v>1634.43151920309</v>
      </c>
      <c r="CQ215" s="88" t="n">
        <f aca="false">CO215+CQ214</f>
        <v>221</v>
      </c>
      <c r="CR215" s="88" t="n">
        <f aca="false">MAX(CR214,CP215-CQ215)</f>
        <v>1413.43151920309</v>
      </c>
      <c r="CS215" s="88" t="n">
        <f aca="false">CR215-CR214</f>
        <v>5.75603678825769</v>
      </c>
      <c r="CT215" s="88" t="n">
        <f aca="false">IF(B215=2026,INDEX($C$18:$Q$18,1,B215-2025)*$AO$4*C215/MAX(0.0001,12-$AO$3),INDEX($C$18:$Q$18,1,B215-2025)/12)</f>
        <v>1.19744534626986</v>
      </c>
      <c r="CU215" s="88" t="n">
        <f aca="false">$AO$6*0</f>
        <v>0</v>
      </c>
      <c r="CV215" s="88" t="n">
        <f aca="false">CT215+CV214</f>
        <v>340.015619854813</v>
      </c>
      <c r="CW215" s="88" t="n">
        <f aca="false">CU215+CW214</f>
        <v>11</v>
      </c>
      <c r="CX215" s="88" t="n">
        <f aca="false">MAX(CX214,CV215-CW215)</f>
        <v>329.015619854813</v>
      </c>
      <c r="CY215" s="88" t="n">
        <f aca="false">CX215-CX214</f>
        <v>1.19744534626989</v>
      </c>
      <c r="CZ215" s="88" t="n">
        <f aca="false">IF(B215=2026,INDEX($C$19:$Q$19,1,B215-2025)*$AO$4*C215/MAX(0.0001,12-$AO$3),INDEX($C$19:$Q$19,1,B215-2025)/12)</f>
        <v>1.18558945175234</v>
      </c>
      <c r="DA215" s="88" t="n">
        <f aca="false">$AO$6*0</f>
        <v>0</v>
      </c>
      <c r="DB215" s="88" t="n">
        <f aca="false">CZ215+DB214</f>
        <v>336.649128569123</v>
      </c>
      <c r="DC215" s="88" t="n">
        <f aca="false">DA215+DC214</f>
        <v>226</v>
      </c>
      <c r="DD215" s="88" t="n">
        <f aca="false">MAX(DD214,DB215-DC215)</f>
        <v>110.649128569123</v>
      </c>
      <c r="DE215" s="88" t="n">
        <f aca="false">DD215-DD214</f>
        <v>1.18558945175232</v>
      </c>
      <c r="DF215" s="88" t="n">
        <f aca="false">IF(B215=2026,INDEX($C$20:$Q$20,1,B215-2025)*$AO$4*C215/MAX(0.0001,12-$AO$3),INDEX($C$20:$Q$20,1,B215-2025)/12)</f>
        <v>0.966255403178157</v>
      </c>
      <c r="DG215" s="88" t="n">
        <f aca="false">$AO$6*0</f>
        <v>0</v>
      </c>
      <c r="DH215" s="88" t="n">
        <f aca="false">DF215+DH214</f>
        <v>274.369039783835</v>
      </c>
      <c r="DI215" s="88" t="n">
        <f aca="false">DG215+DI214</f>
        <v>0</v>
      </c>
      <c r="DJ215" s="88" t="n">
        <f aca="false">MAX(DJ214,DH215-DI215)</f>
        <v>274.369039783835</v>
      </c>
      <c r="DK215" s="88" t="n">
        <f aca="false">DJ215-DJ214</f>
        <v>0.966255403178138</v>
      </c>
      <c r="DL215" s="88" t="n">
        <f aca="false">IF(B215=2026,INDEX($C$21:$Q$21,1,B215-2025)*$AO$4*C215/MAX(0.0001,12-$AO$3),INDEX($C$21:$Q$21,1,B215-2025)/12)</f>
        <v>0.675785987498834</v>
      </c>
      <c r="DM215" s="88" t="n">
        <f aca="false">$AO$6*0</f>
        <v>0</v>
      </c>
      <c r="DN215" s="88" t="n">
        <f aca="false">DL215+DN214</f>
        <v>191.890003284399</v>
      </c>
      <c r="DO215" s="88" t="n">
        <f aca="false">DM215+DO214</f>
        <v>100</v>
      </c>
      <c r="DP215" s="88" t="n">
        <f aca="false">MAX(DP214,DN215-DO215)</f>
        <v>91.8900032843994</v>
      </c>
      <c r="DQ215" s="88" t="n">
        <f aca="false">DP215-DP214</f>
        <v>0.675785987498841</v>
      </c>
      <c r="DR215" s="88" t="n">
        <f aca="false">IF(B215=2026,INDEX($C$22:$Q$22,1,B215-2025)*$AO$4*C215/MAX(0.0001,12-$AO$3),INDEX($C$22:$Q$22,1,B215-2025)/12)</f>
        <v>0.527587306029791</v>
      </c>
      <c r="DS215" s="88" t="n">
        <f aca="false">$AO$6*0</f>
        <v>0</v>
      </c>
      <c r="DT215" s="88" t="n">
        <f aca="false">DR215+DT214</f>
        <v>149.808862213259</v>
      </c>
      <c r="DU215" s="88" t="n">
        <f aca="false">DS215+DU214</f>
        <v>29</v>
      </c>
      <c r="DV215" s="88" t="n">
        <f aca="false">MAX(DV214,DT215-DU215)</f>
        <v>120.808862213259</v>
      </c>
      <c r="DW215" s="88" t="n">
        <f aca="false">DV215-DV214</f>
        <v>0.527587306029801</v>
      </c>
      <c r="DX215" s="88" t="n">
        <f aca="false">IF(B215=2026,INDEX($C$23:$Q$23,1,B215-2025)*$AO$4*C215/MAX(0.0001,12-$AO$3),INDEX($C$23:$Q$23,1,B215-2025)/12)</f>
        <v>0.847696458002923</v>
      </c>
      <c r="DY215" s="88" t="n">
        <f aca="false">$AO$6*0</f>
        <v>0</v>
      </c>
      <c r="DZ215" s="88" t="n">
        <f aca="false">DX215+DZ214</f>
        <v>240.704126926923</v>
      </c>
      <c r="EA215" s="88" t="n">
        <f aca="false">DY215+EA214</f>
        <v>121</v>
      </c>
      <c r="EB215" s="88" t="n">
        <f aca="false">MAX(EB214,DZ215-EA215)</f>
        <v>119.704126926923</v>
      </c>
      <c r="EC215" s="88" t="n">
        <f aca="false">EB215-EB214</f>
        <v>0.847696458002929</v>
      </c>
      <c r="ED215" s="88" t="n">
        <f aca="false">IF(B215=2026,INDEX($C$24:$Q$24,1,B215-2025)*$AO$4*C215/MAX(0.0001,12-$AO$3),INDEX($C$24:$Q$24,1,B215-2025)/12)</f>
        <v>0.52165935877103</v>
      </c>
      <c r="EE215" s="88" t="n">
        <f aca="false">$AO$6*0</f>
        <v>0</v>
      </c>
      <c r="EF215" s="88" t="n">
        <f aca="false">ED215+EF214</f>
        <v>148.125616570414</v>
      </c>
      <c r="EG215" s="88" t="n">
        <f aca="false">EE215+EG214</f>
        <v>0</v>
      </c>
      <c r="EH215" s="88" t="n">
        <f aca="false">MAX(EH214,EF215-EG215)</f>
        <v>148.125616570414</v>
      </c>
      <c r="EI215" s="88" t="n">
        <f aca="false">EH215-EH214</f>
        <v>0.521659358771018</v>
      </c>
      <c r="EJ215" s="88" t="n">
        <f aca="false">IF(B215=2026,INDEX($C$25:$Q$25,1,B215-2025)*$AO$4*C215/MAX(0.0001,12-$AO$3),INDEX($C$25:$Q$25,1,B215-2025)/12)</f>
        <v>0.66393009298131</v>
      </c>
      <c r="EK215" s="88" t="n">
        <f aca="false">$AO$6*0</f>
        <v>0</v>
      </c>
      <c r="EL215" s="88" t="n">
        <f aca="false">EJ215+EL214</f>
        <v>188.523511998708</v>
      </c>
      <c r="EM215" s="88" t="n">
        <f aca="false">EK215+EM214</f>
        <v>14</v>
      </c>
      <c r="EN215" s="88" t="n">
        <f aca="false">MAX(EN214,EL215-EM215)</f>
        <v>174.523511998708</v>
      </c>
      <c r="EO215" s="88" t="n">
        <f aca="false">EN215-EN214</f>
        <v>0.663930092981303</v>
      </c>
      <c r="EP215" s="88" t="n">
        <f aca="false">IF(B215=2026,INDEX($C$26:$Q$26,1,B215-2025)*$AO$4*C215/MAX(0.0001,12-$AO$3),INDEX($C$26:$Q$26,1,B215-2025)/12)</f>
        <v>0.954399508660634</v>
      </c>
      <c r="EQ215" s="88" t="n">
        <f aca="false">$AO$6*0</f>
        <v>0</v>
      </c>
      <c r="ER215" s="88" t="n">
        <f aca="false">EP215+ER214</f>
        <v>271.002548498143</v>
      </c>
      <c r="ES215" s="88" t="n">
        <f aca="false">EQ215+ES214</f>
        <v>4</v>
      </c>
      <c r="ET215" s="88" t="n">
        <f aca="false">MAX(ET214,ER215-ES215)</f>
        <v>267.002548498143</v>
      </c>
      <c r="EU215" s="88" t="n">
        <f aca="false">ET215-ET214</f>
        <v>0.954399508660629</v>
      </c>
      <c r="EV215" s="88" t="n">
        <f aca="false">IF(B215=2026,INDEX($C$27:$Q$27,1,B215-2025)*$AO$4*C215/MAX(0.0001,12-$AO$3),INDEX($C$27:$Q$27,1,B215-2025)/12)</f>
        <v>2.37117890350468</v>
      </c>
      <c r="EW215" s="88" t="n">
        <f aca="false">$AO$6*0</f>
        <v>0</v>
      </c>
      <c r="EX215" s="88" t="n">
        <f aca="false">EV215+EX214</f>
        <v>673.298257138245</v>
      </c>
      <c r="EY215" s="88" t="n">
        <f aca="false">EW215+EY214</f>
        <v>391</v>
      </c>
      <c r="EZ215" s="88" t="n">
        <f aca="false">MAX(EZ214,EX215-EY215)</f>
        <v>282.298257138245</v>
      </c>
      <c r="FA215" s="88" t="n">
        <f aca="false">EZ215-EZ214</f>
        <v>2.37117890350464</v>
      </c>
      <c r="FB215" s="88" t="n">
        <f aca="false">IF(B215=2026,INDEX($C$28:$Q$28,1,B215-2025)*$AO$4*C215/MAX(0.0001,12-$AO$3),INDEX($C$28:$Q$28,1,B215-2025)/12)</f>
        <v>12.413121559847</v>
      </c>
      <c r="FC215" s="88" t="n">
        <f aca="false">$AO$6*0</f>
        <v>0</v>
      </c>
      <c r="FD215" s="88" t="n">
        <f aca="false">FB215+FD214</f>
        <v>3524.71637611871</v>
      </c>
      <c r="FE215" s="88" t="n">
        <f aca="false">FC215+FE214</f>
        <v>169</v>
      </c>
      <c r="FF215" s="88" t="n">
        <f aca="false">MAX(FF214,FD215-FE215)</f>
        <v>3355.71637611871</v>
      </c>
      <c r="FG215" s="88" t="n">
        <f aca="false">FF215-FF214</f>
        <v>12.4131215598468</v>
      </c>
    </row>
    <row r="216" customFormat="false" ht="15" hidden="false" customHeight="false" outlineLevel="0" collapsed="false">
      <c r="A216" s="0" t="n">
        <v>176</v>
      </c>
      <c r="B216" s="88" t="n">
        <f aca="false">2026+INT(A216/12)</f>
        <v>2040</v>
      </c>
      <c r="C216" s="88" t="n">
        <f aca="false">MAX(0,MIN(1,A216+1-$AO$3))</f>
        <v>1</v>
      </c>
      <c r="D216" s="88" t="n">
        <f aca="false">IF((A216+0.5-(0))&lt;$AO$3,0,2026+INT((A216+0.5-(0))/12))</f>
        <v>2040</v>
      </c>
      <c r="E216" s="88" t="n">
        <f aca="false">IF((A216+0.5-($AO$9))&lt;$AO$3,0,2026+INT((A216+0.5-($AO$9))/12))</f>
        <v>2039</v>
      </c>
      <c r="F216" s="88" t="n">
        <f aca="false">IF((A216+0.5-($AO$9+$AO$8))&lt;$AO$3,0,2026+INT((A216+0.5-($AO$9+$AO$8))/12))</f>
        <v>2038</v>
      </c>
      <c r="G216" s="88" t="n">
        <f aca="false">IF((A216+0.5-($AO$9+$AO$8+$AO$7))&lt;$AO$3,0,2026+INT((A216+0.5-($AO$9+$AO$8+$AO$7))/12))</f>
        <v>2037</v>
      </c>
      <c r="H216" s="88" t="n">
        <f aca="false">IF(B216=2026,INDEX($C$3:$Q$3,1,B216-2025)*$AO$4*C216/MAX(0.0001,12-$AO$3),INDEX($C$3:$Q$3,1,B216-2025)/12)</f>
        <v>127.083333333333</v>
      </c>
      <c r="I216" s="88" t="n">
        <f aca="false">$AO$6*0</f>
        <v>0</v>
      </c>
      <c r="J216" s="88" t="n">
        <f aca="false">H216+J215</f>
        <v>36212.5034246576</v>
      </c>
      <c r="K216" s="88" t="n">
        <f aca="false">I216+K215</f>
        <v>8695.00000000001</v>
      </c>
      <c r="L216" s="88" t="n">
        <f aca="false">MAX(L215,J216-K216)</f>
        <v>27517.5034246576</v>
      </c>
      <c r="M216" s="88" t="n">
        <f aca="false">L216-L215</f>
        <v>127.083333333336</v>
      </c>
      <c r="N216" s="88" t="n">
        <f aca="false">IF(B216=2026,INDEX($C$4:$Q$4,1,B216-2025)*$AO$4*C216/MAX(0.0001,12-$AO$3),INDEX($C$4:$Q$4,1,B216-2025)/12)</f>
        <v>3.85276717528181</v>
      </c>
      <c r="O216" s="88" t="n">
        <f aca="false">$AO$6*0</f>
        <v>0</v>
      </c>
      <c r="P216" s="88" t="n">
        <f aca="false">N216+P215</f>
        <v>1097.84926842728</v>
      </c>
      <c r="Q216" s="88" t="n">
        <f aca="false">O216+Q215</f>
        <v>398</v>
      </c>
      <c r="R216" s="88" t="n">
        <f aca="false">MAX(R215,P216-Q216)</f>
        <v>699.849268427285</v>
      </c>
      <c r="S216" s="88" t="n">
        <f aca="false">R216-R215</f>
        <v>3.85276717528177</v>
      </c>
      <c r="T216" s="88" t="n">
        <f aca="false">IF(B216=2026,INDEX($C$5:$Q$5,1,B216-2025)*$AO$4*C216/MAX(0.0001,12-$AO$3),INDEX($C$5:$Q$5,1,B216-2025)/12)</f>
        <v>15.6590365381071</v>
      </c>
      <c r="U216" s="88" t="n">
        <f aca="false">$AO$6*0</f>
        <v>0</v>
      </c>
      <c r="V216" s="88" t="n">
        <f aca="false">T216+V215</f>
        <v>4462.05571879113</v>
      </c>
      <c r="W216" s="88" t="n">
        <f aca="false">U216+W215</f>
        <v>1115</v>
      </c>
      <c r="X216" s="88" t="n">
        <f aca="false">MAX(X215,V216-W216)</f>
        <v>3347.05571879113</v>
      </c>
      <c r="Y216" s="88" t="n">
        <f aca="false">X216-X215</f>
        <v>15.6590365381071</v>
      </c>
      <c r="Z216" s="88" t="n">
        <f aca="false">IF(B216=2026,INDEX($C$6:$Q$6,1,B216-2025)*$AO$4*C216/MAX(0.0001,12-$AO$3),INDEX($C$6:$Q$6,1,B216-2025)/12)</f>
        <v>18.578173921486</v>
      </c>
      <c r="AA216" s="88" t="n">
        <f aca="false">$AO$6*0</f>
        <v>0</v>
      </c>
      <c r="AB216" s="88" t="n">
        <f aca="false">Z216+AB215</f>
        <v>5293.86638758582</v>
      </c>
      <c r="AC216" s="88" t="n">
        <f aca="false">AA216+AC215</f>
        <v>2194</v>
      </c>
      <c r="AD216" s="88" t="n">
        <f aca="false">MAX(AD215,AB216-AC216)</f>
        <v>3099.86638758582</v>
      </c>
      <c r="AE216" s="88" t="n">
        <f aca="false">AD216-AD215</f>
        <v>18.5781739214863</v>
      </c>
      <c r="AF216" s="88" t="n">
        <f aca="false">IF(B216=2026,INDEX($C$7:$Q$7,1,B216-2025)*$AO$4*C216/MAX(0.0001,12-$AO$3),INDEX($C$7:$Q$7,1,B216-2025)/12)</f>
        <v>16.1382057035167</v>
      </c>
      <c r="AG216" s="88" t="n">
        <f aca="false">$AO$6*0</f>
        <v>0</v>
      </c>
      <c r="AH216" s="88" t="n">
        <f aca="false">AF216+AH215</f>
        <v>4598.59537814891</v>
      </c>
      <c r="AI216" s="88" t="n">
        <f aca="false">AG216+AI215</f>
        <v>826</v>
      </c>
      <c r="AJ216" s="88" t="n">
        <f aca="false">MAX(AJ215,AH216-AI216)</f>
        <v>3772.59537814891</v>
      </c>
      <c r="AK216" s="88" t="n">
        <f aca="false">AJ216-AJ215</f>
        <v>16.1382057035171</v>
      </c>
      <c r="AL216" s="88" t="n">
        <f aca="false">IF(B216=2026,INDEX($C$8:$Q$8,1,B216-2025)*$AO$4*C216/MAX(0.0001,12-$AO$3),INDEX($C$8:$Q$8,1,B216-2025)/12)</f>
        <v>4.08220360807459</v>
      </c>
      <c r="AM216" s="88" t="n">
        <f aca="false">$AO$6*0</f>
        <v>0</v>
      </c>
      <c r="AN216" s="88" t="n">
        <f aca="false">AL216+AN215</f>
        <v>1163.22737419712</v>
      </c>
      <c r="AO216" s="88" t="n">
        <f aca="false">AM216+AO215</f>
        <v>66</v>
      </c>
      <c r="AP216" s="88" t="n">
        <f aca="false">MAX(AP215,AN216-AO216)</f>
        <v>1097.22737419712</v>
      </c>
      <c r="AQ216" s="88" t="n">
        <f aca="false">AP216-AP215</f>
        <v>4.08220360807468</v>
      </c>
      <c r="AR216" s="88" t="n">
        <f aca="false">IF(B216=2026,INDEX($C$9:$Q$9,1,B216-2025)*$AO$4*C216/MAX(0.0001,12-$AO$3),INDEX($C$9:$Q$9,1,B216-2025)/12)</f>
        <v>17.406283218606</v>
      </c>
      <c r="AS216" s="88" t="n">
        <f aca="false">$AO$6*0</f>
        <v>0</v>
      </c>
      <c r="AT216" s="88" t="n">
        <f aca="false">AR216+AT215</f>
        <v>4959.93513965376</v>
      </c>
      <c r="AU216" s="88" t="n">
        <f aca="false">AS216+AU215</f>
        <v>1810</v>
      </c>
      <c r="AV216" s="88" t="n">
        <f aca="false">MAX(AV215,AT216-AU216)</f>
        <v>3149.93513965375</v>
      </c>
      <c r="AW216" s="88" t="n">
        <f aca="false">AV216-AV215</f>
        <v>17.4062832186064</v>
      </c>
      <c r="AX216" s="88" t="n">
        <f aca="false">IF(B216=2026,INDEX($C$10:$Q$10,1,B216-2025)*$AO$4*C216/MAX(0.0001,12-$AO$3),INDEX($C$10:$Q$10,1,B216-2025)/12)</f>
        <v>2.01904060857645</v>
      </c>
      <c r="AY216" s="88" t="n">
        <f aca="false">$AO$6*0</f>
        <v>0</v>
      </c>
      <c r="AZ216" s="88" t="n">
        <f aca="false">AX216+AZ215</f>
        <v>575.327330774535</v>
      </c>
      <c r="BA216" s="88" t="n">
        <f aca="false">AY216+BA215</f>
        <v>50</v>
      </c>
      <c r="BB216" s="88" t="n">
        <f aca="false">MAX(BB215,AZ216-BA216)</f>
        <v>525.327330774535</v>
      </c>
      <c r="BC216" s="88" t="n">
        <f aca="false">BB216-BB215</f>
        <v>2.01904060857646</v>
      </c>
      <c r="BD216" s="88" t="n">
        <f aca="false">IF(B216=2026,INDEX($C$11:$Q$11,1,B216-2025)*$AO$4*C216/MAX(0.0001,12-$AO$3),INDEX($C$11:$Q$11,1,B216-2025)/12)</f>
        <v>10.0334316955919</v>
      </c>
      <c r="BE216" s="88" t="n">
        <f aca="false">$AO$6*0</f>
        <v>0</v>
      </c>
      <c r="BF216" s="88" t="n">
        <f aca="false">BD216+BF215</f>
        <v>2859.03485616541</v>
      </c>
      <c r="BG216" s="88" t="n">
        <f aca="false">BE216+BG215</f>
        <v>240</v>
      </c>
      <c r="BH216" s="88" t="n">
        <f aca="false">MAX(BH215,BF216-BG216)</f>
        <v>2619.03485616541</v>
      </c>
      <c r="BI216" s="88" t="n">
        <f aca="false">BH216-BH215</f>
        <v>10.0334316955918</v>
      </c>
      <c r="BJ216" s="88" t="n">
        <f aca="false">IF(B216=2026,INDEX($C$12:$Q$12,1,B216-2025)*$AO$4*C216/MAX(0.0001,12-$AO$3),INDEX($C$12:$Q$12,1,B216-2025)/12)</f>
        <v>5.50117970011608</v>
      </c>
      <c r="BK216" s="88" t="n">
        <f aca="false">$AO$6*0</f>
        <v>0</v>
      </c>
      <c r="BL216" s="88" t="n">
        <f aca="false">BJ216+BL215</f>
        <v>1567.56581295825</v>
      </c>
      <c r="BM216" s="88" t="n">
        <f aca="false">BK216+BM215</f>
        <v>465</v>
      </c>
      <c r="BN216" s="88" t="n">
        <f aca="false">MAX(BN215,BL216-BM216)</f>
        <v>1102.56581295825</v>
      </c>
      <c r="BO216" s="88" t="n">
        <f aca="false">BN216-BN215</f>
        <v>5.50117970011615</v>
      </c>
      <c r="BP216" s="88" t="n">
        <f aca="false">IF(B216=2026,INDEX($C$13:$Q$13,1,B216-2025)*$AO$4*C216/MAX(0.0001,12-$AO$3),INDEX($C$13:$Q$13,1,B216-2025)/12)</f>
        <v>1.71910470504089</v>
      </c>
      <c r="BQ216" s="88" t="n">
        <f aca="false">$AO$6*0</f>
        <v>0</v>
      </c>
      <c r="BR216" s="88" t="n">
        <f aca="false">BP216+BR215</f>
        <v>489.860341130267</v>
      </c>
      <c r="BS216" s="88" t="n">
        <f aca="false">BQ216+BS215</f>
        <v>87</v>
      </c>
      <c r="BT216" s="88" t="n">
        <f aca="false">MAX(BT215,BR216-BS216)</f>
        <v>402.860341130267</v>
      </c>
      <c r="BU216" s="88" t="n">
        <f aca="false">BT216-BT215</f>
        <v>1.71910470504088</v>
      </c>
      <c r="BV216" s="88" t="n">
        <f aca="false">IF(B216=2026,INDEX($C$14:$Q$14,1,B216-2025)*$AO$4*C216/MAX(0.0001,12-$AO$3),INDEX($C$14:$Q$14,1,B216-2025)/12)</f>
        <v>1.01960692850701</v>
      </c>
      <c r="BW216" s="88" t="n">
        <f aca="false">$AO$6*0</f>
        <v>0</v>
      </c>
      <c r="BX216" s="88" t="n">
        <f aca="false">BV216+BX215</f>
        <v>290.537857497953</v>
      </c>
      <c r="BY216" s="88" t="n">
        <f aca="false">BW216+BY215</f>
        <v>0</v>
      </c>
      <c r="BZ216" s="88" t="n">
        <f aca="false">MAX(BZ215,BX216-BY216)</f>
        <v>290.537857497953</v>
      </c>
      <c r="CA216" s="88" t="n">
        <f aca="false">BZ216-BZ215</f>
        <v>1.01960692850702</v>
      </c>
      <c r="CB216" s="88" t="n">
        <f aca="false">IF(B216=2026,INDEX($C$15:$Q$15,1,B216-2025)*$AO$4*C216/MAX(0.0001,12-$AO$3),INDEX($C$15:$Q$15,1,B216-2025)/12)</f>
        <v>1.6716811269708</v>
      </c>
      <c r="CC216" s="88" t="n">
        <f aca="false">$AO$6*0</f>
        <v>0</v>
      </c>
      <c r="CD216" s="88" t="n">
        <f aca="false">CB216+CD215</f>
        <v>476.346952409433</v>
      </c>
      <c r="CE216" s="88" t="n">
        <f aca="false">CC216+CE215</f>
        <v>88.0000000000001</v>
      </c>
      <c r="CF216" s="88" t="n">
        <f aca="false">MAX(CF215,CD216-CE216)</f>
        <v>388.346952409433</v>
      </c>
      <c r="CG216" s="88" t="n">
        <f aca="false">CF216-CF215</f>
        <v>1.67168112697078</v>
      </c>
      <c r="CH216" s="88" t="n">
        <f aca="false">IF(B216=2026,INDEX($C$16:$Q$16,1,B216-2025)*$AO$4*C216/MAX(0.0001,12-$AO$3),INDEX($C$16:$Q$16,1,B216-2025)/12)</f>
        <v>1.32193223870386</v>
      </c>
      <c r="CI216" s="88" t="n">
        <f aca="false">$AO$6*0</f>
        <v>0</v>
      </c>
      <c r="CJ216" s="88" t="n">
        <f aca="false">CH216+CJ215</f>
        <v>376.685710593275</v>
      </c>
      <c r="CK216" s="88" t="n">
        <f aca="false">CI216+CK215</f>
        <v>70</v>
      </c>
      <c r="CL216" s="88" t="n">
        <f aca="false">MAX(CL215,CJ216-CK216)</f>
        <v>306.685710593275</v>
      </c>
      <c r="CM216" s="88" t="n">
        <f aca="false">CL216-CL215</f>
        <v>1.32193223870388</v>
      </c>
      <c r="CN216" s="88" t="n">
        <f aca="false">IF(B216=2026,INDEX($C$17:$Q$17,1,B216-2025)*$AO$4*C216/MAX(0.0001,12-$AO$3),INDEX($C$17:$Q$17,1,B216-2025)/12)</f>
        <v>5.75603678825761</v>
      </c>
      <c r="CO216" s="88" t="n">
        <f aca="false">$AO$6*0</f>
        <v>0</v>
      </c>
      <c r="CP216" s="88" t="n">
        <f aca="false">CN216+CP215</f>
        <v>1640.18755599135</v>
      </c>
      <c r="CQ216" s="88" t="n">
        <f aca="false">CO216+CQ215</f>
        <v>221</v>
      </c>
      <c r="CR216" s="88" t="n">
        <f aca="false">MAX(CR215,CP216-CQ216)</f>
        <v>1419.18755599135</v>
      </c>
      <c r="CS216" s="88" t="n">
        <f aca="false">CR216-CR215</f>
        <v>5.75603678825769</v>
      </c>
      <c r="CT216" s="88" t="n">
        <f aca="false">IF(B216=2026,INDEX($C$18:$Q$18,1,B216-2025)*$AO$4*C216/MAX(0.0001,12-$AO$3),INDEX($C$18:$Q$18,1,B216-2025)/12)</f>
        <v>1.19744534626986</v>
      </c>
      <c r="CU216" s="88" t="n">
        <f aca="false">$AO$6*0</f>
        <v>0</v>
      </c>
      <c r="CV216" s="88" t="n">
        <f aca="false">CT216+CV215</f>
        <v>341.213065201083</v>
      </c>
      <c r="CW216" s="88" t="n">
        <f aca="false">CU216+CW215</f>
        <v>11</v>
      </c>
      <c r="CX216" s="88" t="n">
        <f aca="false">MAX(CX215,CV216-CW216)</f>
        <v>330.213065201083</v>
      </c>
      <c r="CY216" s="88" t="n">
        <f aca="false">CX216-CX215</f>
        <v>1.19744534626989</v>
      </c>
      <c r="CZ216" s="88" t="n">
        <f aca="false">IF(B216=2026,INDEX($C$19:$Q$19,1,B216-2025)*$AO$4*C216/MAX(0.0001,12-$AO$3),INDEX($C$19:$Q$19,1,B216-2025)/12)</f>
        <v>1.18558945175234</v>
      </c>
      <c r="DA216" s="88" t="n">
        <f aca="false">$AO$6*0</f>
        <v>0</v>
      </c>
      <c r="DB216" s="88" t="n">
        <f aca="false">CZ216+DB215</f>
        <v>337.834718020875</v>
      </c>
      <c r="DC216" s="88" t="n">
        <f aca="false">DA216+DC215</f>
        <v>226</v>
      </c>
      <c r="DD216" s="88" t="n">
        <f aca="false">MAX(DD215,DB216-DC216)</f>
        <v>111.834718020875</v>
      </c>
      <c r="DE216" s="88" t="n">
        <f aca="false">DD216-DD215</f>
        <v>1.18558945175232</v>
      </c>
      <c r="DF216" s="88" t="n">
        <f aca="false">IF(B216=2026,INDEX($C$20:$Q$20,1,B216-2025)*$AO$4*C216/MAX(0.0001,12-$AO$3),INDEX($C$20:$Q$20,1,B216-2025)/12)</f>
        <v>0.966255403178157</v>
      </c>
      <c r="DG216" s="88" t="n">
        <f aca="false">$AO$6*0</f>
        <v>0</v>
      </c>
      <c r="DH216" s="88" t="n">
        <f aca="false">DF216+DH215</f>
        <v>275.335295187013</v>
      </c>
      <c r="DI216" s="88" t="n">
        <f aca="false">DG216+DI215</f>
        <v>0</v>
      </c>
      <c r="DJ216" s="88" t="n">
        <f aca="false">MAX(DJ215,DH216-DI216)</f>
        <v>275.335295187013</v>
      </c>
      <c r="DK216" s="88" t="n">
        <f aca="false">DJ216-DJ215</f>
        <v>0.966255403178138</v>
      </c>
      <c r="DL216" s="88" t="n">
        <f aca="false">IF(B216=2026,INDEX($C$21:$Q$21,1,B216-2025)*$AO$4*C216/MAX(0.0001,12-$AO$3),INDEX($C$21:$Q$21,1,B216-2025)/12)</f>
        <v>0.675785987498834</v>
      </c>
      <c r="DM216" s="88" t="n">
        <f aca="false">$AO$6*0</f>
        <v>0</v>
      </c>
      <c r="DN216" s="88" t="n">
        <f aca="false">DL216+DN215</f>
        <v>192.565789271898</v>
      </c>
      <c r="DO216" s="88" t="n">
        <f aca="false">DM216+DO215</f>
        <v>100</v>
      </c>
      <c r="DP216" s="88" t="n">
        <f aca="false">MAX(DP215,DN216-DO216)</f>
        <v>92.5657892718982</v>
      </c>
      <c r="DQ216" s="88" t="n">
        <f aca="false">DP216-DP215</f>
        <v>0.675785987498841</v>
      </c>
      <c r="DR216" s="88" t="n">
        <f aca="false">IF(B216=2026,INDEX($C$22:$Q$22,1,B216-2025)*$AO$4*C216/MAX(0.0001,12-$AO$3),INDEX($C$22:$Q$22,1,B216-2025)/12)</f>
        <v>0.527587306029791</v>
      </c>
      <c r="DS216" s="88" t="n">
        <f aca="false">$AO$6*0</f>
        <v>0</v>
      </c>
      <c r="DT216" s="88" t="n">
        <f aca="false">DR216+DT215</f>
        <v>150.336449519289</v>
      </c>
      <c r="DU216" s="88" t="n">
        <f aca="false">DS216+DU215</f>
        <v>29</v>
      </c>
      <c r="DV216" s="88" t="n">
        <f aca="false">MAX(DV215,DT216-DU216)</f>
        <v>121.336449519289</v>
      </c>
      <c r="DW216" s="88" t="n">
        <f aca="false">DV216-DV215</f>
        <v>0.527587306029801</v>
      </c>
      <c r="DX216" s="88" t="n">
        <f aca="false">IF(B216=2026,INDEX($C$23:$Q$23,1,B216-2025)*$AO$4*C216/MAX(0.0001,12-$AO$3),INDEX($C$23:$Q$23,1,B216-2025)/12)</f>
        <v>0.847696458002923</v>
      </c>
      <c r="DY216" s="88" t="n">
        <f aca="false">$AO$6*0</f>
        <v>0</v>
      </c>
      <c r="DZ216" s="88" t="n">
        <f aca="false">DX216+DZ215</f>
        <v>241.551823384926</v>
      </c>
      <c r="EA216" s="88" t="n">
        <f aca="false">DY216+EA215</f>
        <v>121</v>
      </c>
      <c r="EB216" s="88" t="n">
        <f aca="false">MAX(EB215,DZ216-EA216)</f>
        <v>120.551823384926</v>
      </c>
      <c r="EC216" s="88" t="n">
        <f aca="false">EB216-EB215</f>
        <v>0.847696458002929</v>
      </c>
      <c r="ED216" s="88" t="n">
        <f aca="false">IF(B216=2026,INDEX($C$24:$Q$24,1,B216-2025)*$AO$4*C216/MAX(0.0001,12-$AO$3),INDEX($C$24:$Q$24,1,B216-2025)/12)</f>
        <v>0.52165935877103</v>
      </c>
      <c r="EE216" s="88" t="n">
        <f aca="false">$AO$6*0</f>
        <v>0</v>
      </c>
      <c r="EF216" s="88" t="n">
        <f aca="false">ED216+EF215</f>
        <v>148.647275929185</v>
      </c>
      <c r="EG216" s="88" t="n">
        <f aca="false">EE216+EG215</f>
        <v>0</v>
      </c>
      <c r="EH216" s="88" t="n">
        <f aca="false">MAX(EH215,EF216-EG216)</f>
        <v>148.647275929185</v>
      </c>
      <c r="EI216" s="88" t="n">
        <f aca="false">EH216-EH215</f>
        <v>0.521659358771018</v>
      </c>
      <c r="EJ216" s="88" t="n">
        <f aca="false">IF(B216=2026,INDEX($C$25:$Q$25,1,B216-2025)*$AO$4*C216/MAX(0.0001,12-$AO$3),INDEX($C$25:$Q$25,1,B216-2025)/12)</f>
        <v>0.66393009298131</v>
      </c>
      <c r="EK216" s="88" t="n">
        <f aca="false">$AO$6*0</f>
        <v>0</v>
      </c>
      <c r="EL216" s="88" t="n">
        <f aca="false">EJ216+EL215</f>
        <v>189.18744209169</v>
      </c>
      <c r="EM216" s="88" t="n">
        <f aca="false">EK216+EM215</f>
        <v>14</v>
      </c>
      <c r="EN216" s="88" t="n">
        <f aca="false">MAX(EN215,EL216-EM216)</f>
        <v>175.18744209169</v>
      </c>
      <c r="EO216" s="88" t="n">
        <f aca="false">EN216-EN215</f>
        <v>0.663930092981303</v>
      </c>
      <c r="EP216" s="88" t="n">
        <f aca="false">IF(B216=2026,INDEX($C$26:$Q$26,1,B216-2025)*$AO$4*C216/MAX(0.0001,12-$AO$3),INDEX($C$26:$Q$26,1,B216-2025)/12)</f>
        <v>0.954399508660634</v>
      </c>
      <c r="EQ216" s="88" t="n">
        <f aca="false">$AO$6*0</f>
        <v>0</v>
      </c>
      <c r="ER216" s="88" t="n">
        <f aca="false">EP216+ER215</f>
        <v>271.956948006803</v>
      </c>
      <c r="ES216" s="88" t="n">
        <f aca="false">EQ216+ES215</f>
        <v>4</v>
      </c>
      <c r="ET216" s="88" t="n">
        <f aca="false">MAX(ET215,ER216-ES216)</f>
        <v>267.956948006803</v>
      </c>
      <c r="EU216" s="88" t="n">
        <f aca="false">ET216-ET215</f>
        <v>0.954399508660629</v>
      </c>
      <c r="EV216" s="88" t="n">
        <f aca="false">IF(B216=2026,INDEX($C$27:$Q$27,1,B216-2025)*$AO$4*C216/MAX(0.0001,12-$AO$3),INDEX($C$27:$Q$27,1,B216-2025)/12)</f>
        <v>2.37117890350468</v>
      </c>
      <c r="EW216" s="88" t="n">
        <f aca="false">$AO$6*0</f>
        <v>0</v>
      </c>
      <c r="EX216" s="88" t="n">
        <f aca="false">EV216+EX215</f>
        <v>675.66943604175</v>
      </c>
      <c r="EY216" s="88" t="n">
        <f aca="false">EW216+EY215</f>
        <v>391</v>
      </c>
      <c r="EZ216" s="88" t="n">
        <f aca="false">MAX(EZ215,EX216-EY216)</f>
        <v>284.669436041749</v>
      </c>
      <c r="FA216" s="88" t="n">
        <f aca="false">EZ216-EZ215</f>
        <v>2.37117890350464</v>
      </c>
      <c r="FB216" s="88" t="n">
        <f aca="false">IF(B216=2026,INDEX($C$28:$Q$28,1,B216-2025)*$AO$4*C216/MAX(0.0001,12-$AO$3),INDEX($C$28:$Q$28,1,B216-2025)/12)</f>
        <v>12.413121559847</v>
      </c>
      <c r="FC216" s="88" t="n">
        <f aca="false">$AO$6*0</f>
        <v>0</v>
      </c>
      <c r="FD216" s="88" t="n">
        <f aca="false">FB216+FD215</f>
        <v>3537.12949767856</v>
      </c>
      <c r="FE216" s="88" t="n">
        <f aca="false">FC216+FE215</f>
        <v>169</v>
      </c>
      <c r="FF216" s="88" t="n">
        <f aca="false">MAX(FF215,FD216-FE216)</f>
        <v>3368.12949767856</v>
      </c>
      <c r="FG216" s="88" t="n">
        <f aca="false">FF216-FF215</f>
        <v>12.4131215598468</v>
      </c>
    </row>
    <row r="217" customFormat="false" ht="15" hidden="false" customHeight="false" outlineLevel="0" collapsed="false">
      <c r="A217" s="0" t="n">
        <v>177</v>
      </c>
      <c r="B217" s="88" t="n">
        <f aca="false">2026+INT(A217/12)</f>
        <v>2040</v>
      </c>
      <c r="C217" s="88" t="n">
        <f aca="false">MAX(0,MIN(1,A217+1-$AO$3))</f>
        <v>1</v>
      </c>
      <c r="D217" s="88" t="n">
        <f aca="false">IF((A217+0.5-(0))&lt;$AO$3,0,2026+INT((A217+0.5-(0))/12))</f>
        <v>2040</v>
      </c>
      <c r="E217" s="88" t="n">
        <f aca="false">IF((A217+0.5-($AO$9))&lt;$AO$3,0,2026+INT((A217+0.5-($AO$9))/12))</f>
        <v>2039</v>
      </c>
      <c r="F217" s="88" t="n">
        <f aca="false">IF((A217+0.5-($AO$9+$AO$8))&lt;$AO$3,0,2026+INT((A217+0.5-($AO$9+$AO$8))/12))</f>
        <v>2038</v>
      </c>
      <c r="G217" s="88" t="n">
        <f aca="false">IF((A217+0.5-($AO$9+$AO$8+$AO$7))&lt;$AO$3,0,2026+INT((A217+0.5-($AO$9+$AO$8+$AO$7))/12))</f>
        <v>2037</v>
      </c>
      <c r="H217" s="88" t="n">
        <f aca="false">IF(B217=2026,INDEX($C$3:$Q$3,1,B217-2025)*$AO$4*C217/MAX(0.0001,12-$AO$3),INDEX($C$3:$Q$3,1,B217-2025)/12)</f>
        <v>127.083333333333</v>
      </c>
      <c r="I217" s="88" t="n">
        <f aca="false">$AO$6*0</f>
        <v>0</v>
      </c>
      <c r="J217" s="88" t="n">
        <f aca="false">H217+J216</f>
        <v>36339.5867579909</v>
      </c>
      <c r="K217" s="88" t="n">
        <f aca="false">I217+K216</f>
        <v>8695.00000000001</v>
      </c>
      <c r="L217" s="88" t="n">
        <f aca="false">MAX(L216,J217-K217)</f>
        <v>27644.5867579909</v>
      </c>
      <c r="M217" s="88" t="n">
        <f aca="false">L217-L216</f>
        <v>127.083333333336</v>
      </c>
      <c r="N217" s="88" t="n">
        <f aca="false">IF(B217=2026,INDEX($C$4:$Q$4,1,B217-2025)*$AO$4*C217/MAX(0.0001,12-$AO$3),INDEX($C$4:$Q$4,1,B217-2025)/12)</f>
        <v>3.85276717528181</v>
      </c>
      <c r="O217" s="88" t="n">
        <f aca="false">$AO$6*0</f>
        <v>0</v>
      </c>
      <c r="P217" s="88" t="n">
        <f aca="false">N217+P216</f>
        <v>1101.70203560257</v>
      </c>
      <c r="Q217" s="88" t="n">
        <f aca="false">O217+Q216</f>
        <v>398</v>
      </c>
      <c r="R217" s="88" t="n">
        <f aca="false">MAX(R216,P217-Q217)</f>
        <v>703.702035602567</v>
      </c>
      <c r="S217" s="88" t="n">
        <f aca="false">R217-R216</f>
        <v>3.85276717528177</v>
      </c>
      <c r="T217" s="88" t="n">
        <f aca="false">IF(B217=2026,INDEX($C$5:$Q$5,1,B217-2025)*$AO$4*C217/MAX(0.0001,12-$AO$3),INDEX($C$5:$Q$5,1,B217-2025)/12)</f>
        <v>15.6590365381071</v>
      </c>
      <c r="U217" s="88" t="n">
        <f aca="false">$AO$6*0</f>
        <v>0</v>
      </c>
      <c r="V217" s="88" t="n">
        <f aca="false">T217+V216</f>
        <v>4477.71475532924</v>
      </c>
      <c r="W217" s="88" t="n">
        <f aca="false">U217+W216</f>
        <v>1115</v>
      </c>
      <c r="X217" s="88" t="n">
        <f aca="false">MAX(X216,V217-W217)</f>
        <v>3362.71475532924</v>
      </c>
      <c r="Y217" s="88" t="n">
        <f aca="false">X217-X216</f>
        <v>15.6590365381071</v>
      </c>
      <c r="Z217" s="88" t="n">
        <f aca="false">IF(B217=2026,INDEX($C$6:$Q$6,1,B217-2025)*$AO$4*C217/MAX(0.0001,12-$AO$3),INDEX($C$6:$Q$6,1,B217-2025)/12)</f>
        <v>18.578173921486</v>
      </c>
      <c r="AA217" s="88" t="n">
        <f aca="false">$AO$6*0</f>
        <v>0</v>
      </c>
      <c r="AB217" s="88" t="n">
        <f aca="false">Z217+AB216</f>
        <v>5312.44456150731</v>
      </c>
      <c r="AC217" s="88" t="n">
        <f aca="false">AA217+AC216</f>
        <v>2194</v>
      </c>
      <c r="AD217" s="88" t="n">
        <f aca="false">MAX(AD216,AB217-AC217)</f>
        <v>3118.4445615073</v>
      </c>
      <c r="AE217" s="88" t="n">
        <f aca="false">AD217-AD216</f>
        <v>18.5781739214863</v>
      </c>
      <c r="AF217" s="88" t="n">
        <f aca="false">IF(B217=2026,INDEX($C$7:$Q$7,1,B217-2025)*$AO$4*C217/MAX(0.0001,12-$AO$3),INDEX($C$7:$Q$7,1,B217-2025)/12)</f>
        <v>16.1382057035167</v>
      </c>
      <c r="AG217" s="88" t="n">
        <f aca="false">$AO$6*0</f>
        <v>0</v>
      </c>
      <c r="AH217" s="88" t="n">
        <f aca="false">AF217+AH216</f>
        <v>4614.73358385242</v>
      </c>
      <c r="AI217" s="88" t="n">
        <f aca="false">AG217+AI216</f>
        <v>826</v>
      </c>
      <c r="AJ217" s="88" t="n">
        <f aca="false">MAX(AJ216,AH217-AI217)</f>
        <v>3788.73358385242</v>
      </c>
      <c r="AK217" s="88" t="n">
        <f aca="false">AJ217-AJ216</f>
        <v>16.1382057035171</v>
      </c>
      <c r="AL217" s="88" t="n">
        <f aca="false">IF(B217=2026,INDEX($C$8:$Q$8,1,B217-2025)*$AO$4*C217/MAX(0.0001,12-$AO$3),INDEX($C$8:$Q$8,1,B217-2025)/12)</f>
        <v>4.08220360807459</v>
      </c>
      <c r="AM217" s="88" t="n">
        <f aca="false">$AO$6*0</f>
        <v>0</v>
      </c>
      <c r="AN217" s="88" t="n">
        <f aca="false">AL217+AN216</f>
        <v>1167.30957780519</v>
      </c>
      <c r="AO217" s="88" t="n">
        <f aca="false">AM217+AO216</f>
        <v>66</v>
      </c>
      <c r="AP217" s="88" t="n">
        <f aca="false">MAX(AP216,AN217-AO217)</f>
        <v>1101.30957780519</v>
      </c>
      <c r="AQ217" s="88" t="n">
        <f aca="false">AP217-AP216</f>
        <v>4.08220360807468</v>
      </c>
      <c r="AR217" s="88" t="n">
        <f aca="false">IF(B217=2026,INDEX($C$9:$Q$9,1,B217-2025)*$AO$4*C217/MAX(0.0001,12-$AO$3),INDEX($C$9:$Q$9,1,B217-2025)/12)</f>
        <v>17.406283218606</v>
      </c>
      <c r="AS217" s="88" t="n">
        <f aca="false">$AO$6*0</f>
        <v>0</v>
      </c>
      <c r="AT217" s="88" t="n">
        <f aca="false">AR217+AT216</f>
        <v>4977.34142287236</v>
      </c>
      <c r="AU217" s="88" t="n">
        <f aca="false">AS217+AU216</f>
        <v>1810</v>
      </c>
      <c r="AV217" s="88" t="n">
        <f aca="false">MAX(AV216,AT217-AU217)</f>
        <v>3167.34142287236</v>
      </c>
      <c r="AW217" s="88" t="n">
        <f aca="false">AV217-AV216</f>
        <v>17.4062832186064</v>
      </c>
      <c r="AX217" s="88" t="n">
        <f aca="false">IF(B217=2026,INDEX($C$10:$Q$10,1,B217-2025)*$AO$4*C217/MAX(0.0001,12-$AO$3),INDEX($C$10:$Q$10,1,B217-2025)/12)</f>
        <v>2.01904060857645</v>
      </c>
      <c r="AY217" s="88" t="n">
        <f aca="false">$AO$6*0</f>
        <v>0</v>
      </c>
      <c r="AZ217" s="88" t="n">
        <f aca="false">AX217+AZ216</f>
        <v>577.346371383112</v>
      </c>
      <c r="BA217" s="88" t="n">
        <f aca="false">AY217+BA216</f>
        <v>50</v>
      </c>
      <c r="BB217" s="88" t="n">
        <f aca="false">MAX(BB216,AZ217-BA217)</f>
        <v>527.346371383112</v>
      </c>
      <c r="BC217" s="88" t="n">
        <f aca="false">BB217-BB216</f>
        <v>2.01904060857646</v>
      </c>
      <c r="BD217" s="88" t="n">
        <f aca="false">IF(B217=2026,INDEX($C$11:$Q$11,1,B217-2025)*$AO$4*C217/MAX(0.0001,12-$AO$3),INDEX($C$11:$Q$11,1,B217-2025)/12)</f>
        <v>10.0334316955919</v>
      </c>
      <c r="BE217" s="88" t="n">
        <f aca="false">$AO$6*0</f>
        <v>0</v>
      </c>
      <c r="BF217" s="88" t="n">
        <f aca="false">BD217+BF216</f>
        <v>2869.06828786101</v>
      </c>
      <c r="BG217" s="88" t="n">
        <f aca="false">BE217+BG216</f>
        <v>240</v>
      </c>
      <c r="BH217" s="88" t="n">
        <f aca="false">MAX(BH216,BF217-BG217)</f>
        <v>2629.06828786101</v>
      </c>
      <c r="BI217" s="88" t="n">
        <f aca="false">BH217-BH216</f>
        <v>10.0334316955918</v>
      </c>
      <c r="BJ217" s="88" t="n">
        <f aca="false">IF(B217=2026,INDEX($C$12:$Q$12,1,B217-2025)*$AO$4*C217/MAX(0.0001,12-$AO$3),INDEX($C$12:$Q$12,1,B217-2025)/12)</f>
        <v>5.50117970011608</v>
      </c>
      <c r="BK217" s="88" t="n">
        <f aca="false">$AO$6*0</f>
        <v>0</v>
      </c>
      <c r="BL217" s="88" t="n">
        <f aca="false">BJ217+BL216</f>
        <v>1573.06699265836</v>
      </c>
      <c r="BM217" s="88" t="n">
        <f aca="false">BK217+BM216</f>
        <v>465</v>
      </c>
      <c r="BN217" s="88" t="n">
        <f aca="false">MAX(BN216,BL217-BM217)</f>
        <v>1108.06699265836</v>
      </c>
      <c r="BO217" s="88" t="n">
        <f aca="false">BN217-BN216</f>
        <v>5.50117970011615</v>
      </c>
      <c r="BP217" s="88" t="n">
        <f aca="false">IF(B217=2026,INDEX($C$13:$Q$13,1,B217-2025)*$AO$4*C217/MAX(0.0001,12-$AO$3),INDEX($C$13:$Q$13,1,B217-2025)/12)</f>
        <v>1.71910470504089</v>
      </c>
      <c r="BQ217" s="88" t="n">
        <f aca="false">$AO$6*0</f>
        <v>0</v>
      </c>
      <c r="BR217" s="88" t="n">
        <f aca="false">BP217+BR216</f>
        <v>491.579445835308</v>
      </c>
      <c r="BS217" s="88" t="n">
        <f aca="false">BQ217+BS216</f>
        <v>87</v>
      </c>
      <c r="BT217" s="88" t="n">
        <f aca="false">MAX(BT216,BR217-BS217)</f>
        <v>404.579445835308</v>
      </c>
      <c r="BU217" s="88" t="n">
        <f aca="false">BT217-BT216</f>
        <v>1.71910470504088</v>
      </c>
      <c r="BV217" s="88" t="n">
        <f aca="false">IF(B217=2026,INDEX($C$14:$Q$14,1,B217-2025)*$AO$4*C217/MAX(0.0001,12-$AO$3),INDEX($C$14:$Q$14,1,B217-2025)/12)</f>
        <v>1.01960692850701</v>
      </c>
      <c r="BW217" s="88" t="n">
        <f aca="false">$AO$6*0</f>
        <v>0</v>
      </c>
      <c r="BX217" s="88" t="n">
        <f aca="false">BV217+BX216</f>
        <v>291.55746442646</v>
      </c>
      <c r="BY217" s="88" t="n">
        <f aca="false">BW217+BY216</f>
        <v>0</v>
      </c>
      <c r="BZ217" s="88" t="n">
        <f aca="false">MAX(BZ216,BX217-BY217)</f>
        <v>291.55746442646</v>
      </c>
      <c r="CA217" s="88" t="n">
        <f aca="false">BZ217-BZ216</f>
        <v>1.01960692850702</v>
      </c>
      <c r="CB217" s="88" t="n">
        <f aca="false">IF(B217=2026,INDEX($C$15:$Q$15,1,B217-2025)*$AO$4*C217/MAX(0.0001,12-$AO$3),INDEX($C$15:$Q$15,1,B217-2025)/12)</f>
        <v>1.6716811269708</v>
      </c>
      <c r="CC217" s="88" t="n">
        <f aca="false">$AO$6*0</f>
        <v>0</v>
      </c>
      <c r="CD217" s="88" t="n">
        <f aca="false">CB217+CD216</f>
        <v>478.018633536403</v>
      </c>
      <c r="CE217" s="88" t="n">
        <f aca="false">CC217+CE216</f>
        <v>88.0000000000001</v>
      </c>
      <c r="CF217" s="88" t="n">
        <f aca="false">MAX(CF216,CD217-CE217)</f>
        <v>390.018633536403</v>
      </c>
      <c r="CG217" s="88" t="n">
        <f aca="false">CF217-CF216</f>
        <v>1.67168112697078</v>
      </c>
      <c r="CH217" s="88" t="n">
        <f aca="false">IF(B217=2026,INDEX($C$16:$Q$16,1,B217-2025)*$AO$4*C217/MAX(0.0001,12-$AO$3),INDEX($C$16:$Q$16,1,B217-2025)/12)</f>
        <v>1.32193223870386</v>
      </c>
      <c r="CI217" s="88" t="n">
        <f aca="false">$AO$6*0</f>
        <v>0</v>
      </c>
      <c r="CJ217" s="88" t="n">
        <f aca="false">CH217+CJ216</f>
        <v>378.007642831979</v>
      </c>
      <c r="CK217" s="88" t="n">
        <f aca="false">CI217+CK216</f>
        <v>70</v>
      </c>
      <c r="CL217" s="88" t="n">
        <f aca="false">MAX(CL216,CJ217-CK217)</f>
        <v>308.007642831979</v>
      </c>
      <c r="CM217" s="88" t="n">
        <f aca="false">CL217-CL216</f>
        <v>1.32193223870388</v>
      </c>
      <c r="CN217" s="88" t="n">
        <f aca="false">IF(B217=2026,INDEX($C$17:$Q$17,1,B217-2025)*$AO$4*C217/MAX(0.0001,12-$AO$3),INDEX($C$17:$Q$17,1,B217-2025)/12)</f>
        <v>5.75603678825761</v>
      </c>
      <c r="CO217" s="88" t="n">
        <f aca="false">$AO$6*0</f>
        <v>0</v>
      </c>
      <c r="CP217" s="88" t="n">
        <f aca="false">CN217+CP216</f>
        <v>1645.94359277961</v>
      </c>
      <c r="CQ217" s="88" t="n">
        <f aca="false">CO217+CQ216</f>
        <v>221</v>
      </c>
      <c r="CR217" s="88" t="n">
        <f aca="false">MAX(CR216,CP217-CQ217)</f>
        <v>1424.94359277961</v>
      </c>
      <c r="CS217" s="88" t="n">
        <f aca="false">CR217-CR216</f>
        <v>5.75603678825769</v>
      </c>
      <c r="CT217" s="88" t="n">
        <f aca="false">IF(B217=2026,INDEX($C$18:$Q$18,1,B217-2025)*$AO$4*C217/MAX(0.0001,12-$AO$3),INDEX($C$18:$Q$18,1,B217-2025)/12)</f>
        <v>1.19744534626986</v>
      </c>
      <c r="CU217" s="88" t="n">
        <f aca="false">$AO$6*0</f>
        <v>0</v>
      </c>
      <c r="CV217" s="88" t="n">
        <f aca="false">CT217+CV216</f>
        <v>342.410510547353</v>
      </c>
      <c r="CW217" s="88" t="n">
        <f aca="false">CU217+CW216</f>
        <v>11</v>
      </c>
      <c r="CX217" s="88" t="n">
        <f aca="false">MAX(CX216,CV217-CW217)</f>
        <v>331.410510547353</v>
      </c>
      <c r="CY217" s="88" t="n">
        <f aca="false">CX217-CX216</f>
        <v>1.19744534626989</v>
      </c>
      <c r="CZ217" s="88" t="n">
        <f aca="false">IF(B217=2026,INDEX($C$19:$Q$19,1,B217-2025)*$AO$4*C217/MAX(0.0001,12-$AO$3),INDEX($C$19:$Q$19,1,B217-2025)/12)</f>
        <v>1.18558945175234</v>
      </c>
      <c r="DA217" s="88" t="n">
        <f aca="false">$AO$6*0</f>
        <v>0</v>
      </c>
      <c r="DB217" s="88" t="n">
        <f aca="false">CZ217+DB216</f>
        <v>339.020307472627</v>
      </c>
      <c r="DC217" s="88" t="n">
        <f aca="false">DA217+DC216</f>
        <v>226</v>
      </c>
      <c r="DD217" s="88" t="n">
        <f aca="false">MAX(DD216,DB217-DC217)</f>
        <v>113.020307472627</v>
      </c>
      <c r="DE217" s="88" t="n">
        <f aca="false">DD217-DD216</f>
        <v>1.18558945175232</v>
      </c>
      <c r="DF217" s="88" t="n">
        <f aca="false">IF(B217=2026,INDEX($C$20:$Q$20,1,B217-2025)*$AO$4*C217/MAX(0.0001,12-$AO$3),INDEX($C$20:$Q$20,1,B217-2025)/12)</f>
        <v>0.966255403178157</v>
      </c>
      <c r="DG217" s="88" t="n">
        <f aca="false">$AO$6*0</f>
        <v>0</v>
      </c>
      <c r="DH217" s="88" t="n">
        <f aca="false">DF217+DH216</f>
        <v>276.301550590191</v>
      </c>
      <c r="DI217" s="88" t="n">
        <f aca="false">DG217+DI216</f>
        <v>0</v>
      </c>
      <c r="DJ217" s="88" t="n">
        <f aca="false">MAX(DJ216,DH217-DI217)</f>
        <v>276.301550590191</v>
      </c>
      <c r="DK217" s="88" t="n">
        <f aca="false">DJ217-DJ216</f>
        <v>0.966255403178138</v>
      </c>
      <c r="DL217" s="88" t="n">
        <f aca="false">IF(B217=2026,INDEX($C$21:$Q$21,1,B217-2025)*$AO$4*C217/MAX(0.0001,12-$AO$3),INDEX($C$21:$Q$21,1,B217-2025)/12)</f>
        <v>0.675785987498834</v>
      </c>
      <c r="DM217" s="88" t="n">
        <f aca="false">$AO$6*0</f>
        <v>0</v>
      </c>
      <c r="DN217" s="88" t="n">
        <f aca="false">DL217+DN216</f>
        <v>193.241575259397</v>
      </c>
      <c r="DO217" s="88" t="n">
        <f aca="false">DM217+DO216</f>
        <v>100</v>
      </c>
      <c r="DP217" s="88" t="n">
        <f aca="false">MAX(DP216,DN217-DO217)</f>
        <v>93.2415752593971</v>
      </c>
      <c r="DQ217" s="88" t="n">
        <f aca="false">DP217-DP216</f>
        <v>0.675785987498841</v>
      </c>
      <c r="DR217" s="88" t="n">
        <f aca="false">IF(B217=2026,INDEX($C$22:$Q$22,1,B217-2025)*$AO$4*C217/MAX(0.0001,12-$AO$3),INDEX($C$22:$Q$22,1,B217-2025)/12)</f>
        <v>0.527587306029791</v>
      </c>
      <c r="DS217" s="88" t="n">
        <f aca="false">$AO$6*0</f>
        <v>0</v>
      </c>
      <c r="DT217" s="88" t="n">
        <f aca="false">DR217+DT216</f>
        <v>150.864036825319</v>
      </c>
      <c r="DU217" s="88" t="n">
        <f aca="false">DS217+DU216</f>
        <v>29</v>
      </c>
      <c r="DV217" s="88" t="n">
        <f aca="false">MAX(DV216,DT217-DU217)</f>
        <v>121.864036825319</v>
      </c>
      <c r="DW217" s="88" t="n">
        <f aca="false">DV217-DV216</f>
        <v>0.527587306029801</v>
      </c>
      <c r="DX217" s="88" t="n">
        <f aca="false">IF(B217=2026,INDEX($C$23:$Q$23,1,B217-2025)*$AO$4*C217/MAX(0.0001,12-$AO$3),INDEX($C$23:$Q$23,1,B217-2025)/12)</f>
        <v>0.847696458002923</v>
      </c>
      <c r="DY217" s="88" t="n">
        <f aca="false">$AO$6*0</f>
        <v>0</v>
      </c>
      <c r="DZ217" s="88" t="n">
        <f aca="false">DX217+DZ216</f>
        <v>242.399519842929</v>
      </c>
      <c r="EA217" s="88" t="n">
        <f aca="false">DY217+EA216</f>
        <v>121</v>
      </c>
      <c r="EB217" s="88" t="n">
        <f aca="false">MAX(EB216,DZ217-EA217)</f>
        <v>121.399519842929</v>
      </c>
      <c r="EC217" s="88" t="n">
        <f aca="false">EB217-EB216</f>
        <v>0.847696458002929</v>
      </c>
      <c r="ED217" s="88" t="n">
        <f aca="false">IF(B217=2026,INDEX($C$24:$Q$24,1,B217-2025)*$AO$4*C217/MAX(0.0001,12-$AO$3),INDEX($C$24:$Q$24,1,B217-2025)/12)</f>
        <v>0.52165935877103</v>
      </c>
      <c r="EE217" s="88" t="n">
        <f aca="false">$AO$6*0</f>
        <v>0</v>
      </c>
      <c r="EF217" s="88" t="n">
        <f aca="false">ED217+EF216</f>
        <v>149.168935287956</v>
      </c>
      <c r="EG217" s="88" t="n">
        <f aca="false">EE217+EG216</f>
        <v>0</v>
      </c>
      <c r="EH217" s="88" t="n">
        <f aca="false">MAX(EH216,EF217-EG217)</f>
        <v>149.168935287956</v>
      </c>
      <c r="EI217" s="88" t="n">
        <f aca="false">EH217-EH216</f>
        <v>0.521659358771018</v>
      </c>
      <c r="EJ217" s="88" t="n">
        <f aca="false">IF(B217=2026,INDEX($C$25:$Q$25,1,B217-2025)*$AO$4*C217/MAX(0.0001,12-$AO$3),INDEX($C$25:$Q$25,1,B217-2025)/12)</f>
        <v>0.66393009298131</v>
      </c>
      <c r="EK217" s="88" t="n">
        <f aca="false">$AO$6*0</f>
        <v>0</v>
      </c>
      <c r="EL217" s="88" t="n">
        <f aca="false">EJ217+EL216</f>
        <v>189.851372184671</v>
      </c>
      <c r="EM217" s="88" t="n">
        <f aca="false">EK217+EM216</f>
        <v>14</v>
      </c>
      <c r="EN217" s="88" t="n">
        <f aca="false">MAX(EN216,EL217-EM217)</f>
        <v>175.851372184671</v>
      </c>
      <c r="EO217" s="88" t="n">
        <f aca="false">EN217-EN216</f>
        <v>0.663930092981303</v>
      </c>
      <c r="EP217" s="88" t="n">
        <f aca="false">IF(B217=2026,INDEX($C$26:$Q$26,1,B217-2025)*$AO$4*C217/MAX(0.0001,12-$AO$3),INDEX($C$26:$Q$26,1,B217-2025)/12)</f>
        <v>0.954399508660634</v>
      </c>
      <c r="EQ217" s="88" t="n">
        <f aca="false">$AO$6*0</f>
        <v>0</v>
      </c>
      <c r="ER217" s="88" t="n">
        <f aca="false">EP217+ER216</f>
        <v>272.911347515464</v>
      </c>
      <c r="ES217" s="88" t="n">
        <f aca="false">EQ217+ES216</f>
        <v>4</v>
      </c>
      <c r="ET217" s="88" t="n">
        <f aca="false">MAX(ET216,ER217-ES217)</f>
        <v>268.911347515464</v>
      </c>
      <c r="EU217" s="88" t="n">
        <f aca="false">ET217-ET216</f>
        <v>0.954399508660629</v>
      </c>
      <c r="EV217" s="88" t="n">
        <f aca="false">IF(B217=2026,INDEX($C$27:$Q$27,1,B217-2025)*$AO$4*C217/MAX(0.0001,12-$AO$3),INDEX($C$27:$Q$27,1,B217-2025)/12)</f>
        <v>2.37117890350468</v>
      </c>
      <c r="EW217" s="88" t="n">
        <f aca="false">$AO$6*0</f>
        <v>0</v>
      </c>
      <c r="EX217" s="88" t="n">
        <f aca="false">EV217+EX216</f>
        <v>678.040614945254</v>
      </c>
      <c r="EY217" s="88" t="n">
        <f aca="false">EW217+EY216</f>
        <v>391</v>
      </c>
      <c r="EZ217" s="88" t="n">
        <f aca="false">MAX(EZ216,EX217-EY217)</f>
        <v>287.040614945254</v>
      </c>
      <c r="FA217" s="88" t="n">
        <f aca="false">EZ217-EZ216</f>
        <v>2.37117890350464</v>
      </c>
      <c r="FB217" s="88" t="n">
        <f aca="false">IF(B217=2026,INDEX($C$28:$Q$28,1,B217-2025)*$AO$4*C217/MAX(0.0001,12-$AO$3),INDEX($C$28:$Q$28,1,B217-2025)/12)</f>
        <v>12.413121559847</v>
      </c>
      <c r="FC217" s="88" t="n">
        <f aca="false">$AO$6*0</f>
        <v>0</v>
      </c>
      <c r="FD217" s="88" t="n">
        <f aca="false">FB217+FD216</f>
        <v>3549.5426192384</v>
      </c>
      <c r="FE217" s="88" t="n">
        <f aca="false">FC217+FE216</f>
        <v>169</v>
      </c>
      <c r="FF217" s="88" t="n">
        <f aca="false">MAX(FF216,FD217-FE217)</f>
        <v>3380.5426192384</v>
      </c>
      <c r="FG217" s="88" t="n">
        <f aca="false">FF217-FF216</f>
        <v>12.4131215598468</v>
      </c>
    </row>
    <row r="218" customFormat="false" ht="15" hidden="false" customHeight="false" outlineLevel="0" collapsed="false">
      <c r="A218" s="0" t="n">
        <v>178</v>
      </c>
      <c r="B218" s="88" t="n">
        <f aca="false">2026+INT(A218/12)</f>
        <v>2040</v>
      </c>
      <c r="C218" s="88" t="n">
        <f aca="false">MAX(0,MIN(1,A218+1-$AO$3))</f>
        <v>1</v>
      </c>
      <c r="D218" s="88" t="n">
        <f aca="false">IF((A218+0.5-(0))&lt;$AO$3,0,2026+INT((A218+0.5-(0))/12))</f>
        <v>2040</v>
      </c>
      <c r="E218" s="88" t="n">
        <f aca="false">IF((A218+0.5-($AO$9))&lt;$AO$3,0,2026+INT((A218+0.5-($AO$9))/12))</f>
        <v>2039</v>
      </c>
      <c r="F218" s="88" t="n">
        <f aca="false">IF((A218+0.5-($AO$9+$AO$8))&lt;$AO$3,0,2026+INT((A218+0.5-($AO$9+$AO$8))/12))</f>
        <v>2038</v>
      </c>
      <c r="G218" s="88" t="n">
        <f aca="false">IF((A218+0.5-($AO$9+$AO$8+$AO$7))&lt;$AO$3,0,2026+INT((A218+0.5-($AO$9+$AO$8+$AO$7))/12))</f>
        <v>2037</v>
      </c>
      <c r="H218" s="88" t="n">
        <f aca="false">IF(B218=2026,INDEX($C$3:$Q$3,1,B218-2025)*$AO$4*C218/MAX(0.0001,12-$AO$3),INDEX($C$3:$Q$3,1,B218-2025)/12)</f>
        <v>127.083333333333</v>
      </c>
      <c r="I218" s="88" t="n">
        <f aca="false">$AO$6*0</f>
        <v>0</v>
      </c>
      <c r="J218" s="88" t="n">
        <f aca="false">H218+J217</f>
        <v>36466.6700913243</v>
      </c>
      <c r="K218" s="88" t="n">
        <f aca="false">I218+K217</f>
        <v>8695.00000000001</v>
      </c>
      <c r="L218" s="88" t="n">
        <f aca="false">MAX(L217,J218-K218)</f>
        <v>27771.6700913243</v>
      </c>
      <c r="M218" s="88" t="n">
        <f aca="false">L218-L217</f>
        <v>127.083333333336</v>
      </c>
      <c r="N218" s="88" t="n">
        <f aca="false">IF(B218=2026,INDEX($C$4:$Q$4,1,B218-2025)*$AO$4*C218/MAX(0.0001,12-$AO$3),INDEX($C$4:$Q$4,1,B218-2025)/12)</f>
        <v>3.85276717528181</v>
      </c>
      <c r="O218" s="88" t="n">
        <f aca="false">$AO$6*0</f>
        <v>0</v>
      </c>
      <c r="P218" s="88" t="n">
        <f aca="false">N218+P217</f>
        <v>1105.55480277785</v>
      </c>
      <c r="Q218" s="88" t="n">
        <f aca="false">O218+Q217</f>
        <v>398</v>
      </c>
      <c r="R218" s="88" t="n">
        <f aca="false">MAX(R217,P218-Q218)</f>
        <v>707.554802777848</v>
      </c>
      <c r="S218" s="88" t="n">
        <f aca="false">R218-R217</f>
        <v>3.85276717528177</v>
      </c>
      <c r="T218" s="88" t="n">
        <f aca="false">IF(B218=2026,INDEX($C$5:$Q$5,1,B218-2025)*$AO$4*C218/MAX(0.0001,12-$AO$3),INDEX($C$5:$Q$5,1,B218-2025)/12)</f>
        <v>15.6590365381071</v>
      </c>
      <c r="U218" s="88" t="n">
        <f aca="false">$AO$6*0</f>
        <v>0</v>
      </c>
      <c r="V218" s="88" t="n">
        <f aca="false">T218+V217</f>
        <v>4493.37379186735</v>
      </c>
      <c r="W218" s="88" t="n">
        <f aca="false">U218+W217</f>
        <v>1115</v>
      </c>
      <c r="X218" s="88" t="n">
        <f aca="false">MAX(X217,V218-W218)</f>
        <v>3378.37379186734</v>
      </c>
      <c r="Y218" s="88" t="n">
        <f aca="false">X218-X217</f>
        <v>15.6590365381071</v>
      </c>
      <c r="Z218" s="88" t="n">
        <f aca="false">IF(B218=2026,INDEX($C$6:$Q$6,1,B218-2025)*$AO$4*C218/MAX(0.0001,12-$AO$3),INDEX($C$6:$Q$6,1,B218-2025)/12)</f>
        <v>18.578173921486</v>
      </c>
      <c r="AA218" s="88" t="n">
        <f aca="false">$AO$6*0</f>
        <v>0</v>
      </c>
      <c r="AB218" s="88" t="n">
        <f aca="false">Z218+AB217</f>
        <v>5331.02273542879</v>
      </c>
      <c r="AC218" s="88" t="n">
        <f aca="false">AA218+AC217</f>
        <v>2194</v>
      </c>
      <c r="AD218" s="88" t="n">
        <f aca="false">MAX(AD217,AB218-AC218)</f>
        <v>3137.02273542879</v>
      </c>
      <c r="AE218" s="88" t="n">
        <f aca="false">AD218-AD217</f>
        <v>18.5781739214863</v>
      </c>
      <c r="AF218" s="88" t="n">
        <f aca="false">IF(B218=2026,INDEX($C$7:$Q$7,1,B218-2025)*$AO$4*C218/MAX(0.0001,12-$AO$3),INDEX($C$7:$Q$7,1,B218-2025)/12)</f>
        <v>16.1382057035167</v>
      </c>
      <c r="AG218" s="88" t="n">
        <f aca="false">$AO$6*0</f>
        <v>0</v>
      </c>
      <c r="AH218" s="88" t="n">
        <f aca="false">AF218+AH217</f>
        <v>4630.87178955594</v>
      </c>
      <c r="AI218" s="88" t="n">
        <f aca="false">AG218+AI217</f>
        <v>826</v>
      </c>
      <c r="AJ218" s="88" t="n">
        <f aca="false">MAX(AJ217,AH218-AI218)</f>
        <v>3804.87178955594</v>
      </c>
      <c r="AK218" s="88" t="n">
        <f aca="false">AJ218-AJ217</f>
        <v>16.1382057035171</v>
      </c>
      <c r="AL218" s="88" t="n">
        <f aca="false">IF(B218=2026,INDEX($C$8:$Q$8,1,B218-2025)*$AO$4*C218/MAX(0.0001,12-$AO$3),INDEX($C$8:$Q$8,1,B218-2025)/12)</f>
        <v>4.08220360807459</v>
      </c>
      <c r="AM218" s="88" t="n">
        <f aca="false">$AO$6*0</f>
        <v>0</v>
      </c>
      <c r="AN218" s="88" t="n">
        <f aca="false">AL218+AN217</f>
        <v>1171.39178141327</v>
      </c>
      <c r="AO218" s="88" t="n">
        <f aca="false">AM218+AO217</f>
        <v>66</v>
      </c>
      <c r="AP218" s="88" t="n">
        <f aca="false">MAX(AP217,AN218-AO218)</f>
        <v>1105.39178141327</v>
      </c>
      <c r="AQ218" s="88" t="n">
        <f aca="false">AP218-AP217</f>
        <v>4.08220360807468</v>
      </c>
      <c r="AR218" s="88" t="n">
        <f aca="false">IF(B218=2026,INDEX($C$9:$Q$9,1,B218-2025)*$AO$4*C218/MAX(0.0001,12-$AO$3),INDEX($C$9:$Q$9,1,B218-2025)/12)</f>
        <v>17.406283218606</v>
      </c>
      <c r="AS218" s="88" t="n">
        <f aca="false">$AO$6*0</f>
        <v>0</v>
      </c>
      <c r="AT218" s="88" t="n">
        <f aca="false">AR218+AT217</f>
        <v>4994.74770609097</v>
      </c>
      <c r="AU218" s="88" t="n">
        <f aca="false">AS218+AU217</f>
        <v>1810</v>
      </c>
      <c r="AV218" s="88" t="n">
        <f aca="false">MAX(AV217,AT218-AU218)</f>
        <v>3184.74770609097</v>
      </c>
      <c r="AW218" s="88" t="n">
        <f aca="false">AV218-AV217</f>
        <v>17.4062832186064</v>
      </c>
      <c r="AX218" s="88" t="n">
        <f aca="false">IF(B218=2026,INDEX($C$10:$Q$10,1,B218-2025)*$AO$4*C218/MAX(0.0001,12-$AO$3),INDEX($C$10:$Q$10,1,B218-2025)/12)</f>
        <v>2.01904060857645</v>
      </c>
      <c r="AY218" s="88" t="n">
        <f aca="false">$AO$6*0</f>
        <v>0</v>
      </c>
      <c r="AZ218" s="88" t="n">
        <f aca="false">AX218+AZ217</f>
        <v>579.365411991688</v>
      </c>
      <c r="BA218" s="88" t="n">
        <f aca="false">AY218+BA217</f>
        <v>50</v>
      </c>
      <c r="BB218" s="88" t="n">
        <f aca="false">MAX(BB217,AZ218-BA218)</f>
        <v>529.365411991688</v>
      </c>
      <c r="BC218" s="88" t="n">
        <f aca="false">BB218-BB217</f>
        <v>2.01904060857646</v>
      </c>
      <c r="BD218" s="88" t="n">
        <f aca="false">IF(B218=2026,INDEX($C$11:$Q$11,1,B218-2025)*$AO$4*C218/MAX(0.0001,12-$AO$3),INDEX($C$11:$Q$11,1,B218-2025)/12)</f>
        <v>10.0334316955919</v>
      </c>
      <c r="BE218" s="88" t="n">
        <f aca="false">$AO$6*0</f>
        <v>0</v>
      </c>
      <c r="BF218" s="88" t="n">
        <f aca="false">BD218+BF217</f>
        <v>2879.1017195566</v>
      </c>
      <c r="BG218" s="88" t="n">
        <f aca="false">BE218+BG217</f>
        <v>240</v>
      </c>
      <c r="BH218" s="88" t="n">
        <f aca="false">MAX(BH217,BF218-BG218)</f>
        <v>2639.1017195566</v>
      </c>
      <c r="BI218" s="88" t="n">
        <f aca="false">BH218-BH217</f>
        <v>10.0334316955918</v>
      </c>
      <c r="BJ218" s="88" t="n">
        <f aca="false">IF(B218=2026,INDEX($C$12:$Q$12,1,B218-2025)*$AO$4*C218/MAX(0.0001,12-$AO$3),INDEX($C$12:$Q$12,1,B218-2025)/12)</f>
        <v>5.50117970011608</v>
      </c>
      <c r="BK218" s="88" t="n">
        <f aca="false">$AO$6*0</f>
        <v>0</v>
      </c>
      <c r="BL218" s="88" t="n">
        <f aca="false">BJ218+BL217</f>
        <v>1578.56817235848</v>
      </c>
      <c r="BM218" s="88" t="n">
        <f aca="false">BK218+BM217</f>
        <v>465</v>
      </c>
      <c r="BN218" s="88" t="n">
        <f aca="false">MAX(BN217,BL218-BM218)</f>
        <v>1113.56817235848</v>
      </c>
      <c r="BO218" s="88" t="n">
        <f aca="false">BN218-BN217</f>
        <v>5.50117970011615</v>
      </c>
      <c r="BP218" s="88" t="n">
        <f aca="false">IF(B218=2026,INDEX($C$13:$Q$13,1,B218-2025)*$AO$4*C218/MAX(0.0001,12-$AO$3),INDEX($C$13:$Q$13,1,B218-2025)/12)</f>
        <v>1.71910470504089</v>
      </c>
      <c r="BQ218" s="88" t="n">
        <f aca="false">$AO$6*0</f>
        <v>0</v>
      </c>
      <c r="BR218" s="88" t="n">
        <f aca="false">BP218+BR217</f>
        <v>493.298550540349</v>
      </c>
      <c r="BS218" s="88" t="n">
        <f aca="false">BQ218+BS217</f>
        <v>87</v>
      </c>
      <c r="BT218" s="88" t="n">
        <f aca="false">MAX(BT217,BR218-BS218)</f>
        <v>406.298550540349</v>
      </c>
      <c r="BU218" s="88" t="n">
        <f aca="false">BT218-BT217</f>
        <v>1.71910470504088</v>
      </c>
      <c r="BV218" s="88" t="n">
        <f aca="false">IF(B218=2026,INDEX($C$14:$Q$14,1,B218-2025)*$AO$4*C218/MAX(0.0001,12-$AO$3),INDEX($C$14:$Q$14,1,B218-2025)/12)</f>
        <v>1.01960692850701</v>
      </c>
      <c r="BW218" s="88" t="n">
        <f aca="false">$AO$6*0</f>
        <v>0</v>
      </c>
      <c r="BX218" s="88" t="n">
        <f aca="false">BV218+BX217</f>
        <v>292.577071354967</v>
      </c>
      <c r="BY218" s="88" t="n">
        <f aca="false">BW218+BY217</f>
        <v>0</v>
      </c>
      <c r="BZ218" s="88" t="n">
        <f aca="false">MAX(BZ217,BX218-BY218)</f>
        <v>292.577071354967</v>
      </c>
      <c r="CA218" s="88" t="n">
        <f aca="false">BZ218-BZ217</f>
        <v>1.01960692850702</v>
      </c>
      <c r="CB218" s="88" t="n">
        <f aca="false">IF(B218=2026,INDEX($C$15:$Q$15,1,B218-2025)*$AO$4*C218/MAX(0.0001,12-$AO$3),INDEX($C$15:$Q$15,1,B218-2025)/12)</f>
        <v>1.6716811269708</v>
      </c>
      <c r="CC218" s="88" t="n">
        <f aca="false">$AO$6*0</f>
        <v>0</v>
      </c>
      <c r="CD218" s="88" t="n">
        <f aca="false">CB218+CD217</f>
        <v>479.690314663374</v>
      </c>
      <c r="CE218" s="88" t="n">
        <f aca="false">CC218+CE217</f>
        <v>88.0000000000001</v>
      </c>
      <c r="CF218" s="88" t="n">
        <f aca="false">MAX(CF217,CD218-CE218)</f>
        <v>391.690314663374</v>
      </c>
      <c r="CG218" s="88" t="n">
        <f aca="false">CF218-CF217</f>
        <v>1.67168112697078</v>
      </c>
      <c r="CH218" s="88" t="n">
        <f aca="false">IF(B218=2026,INDEX($C$16:$Q$16,1,B218-2025)*$AO$4*C218/MAX(0.0001,12-$AO$3),INDEX($C$16:$Q$16,1,B218-2025)/12)</f>
        <v>1.32193223870386</v>
      </c>
      <c r="CI218" s="88" t="n">
        <f aca="false">$AO$6*0</f>
        <v>0</v>
      </c>
      <c r="CJ218" s="88" t="n">
        <f aca="false">CH218+CJ217</f>
        <v>379.329575070682</v>
      </c>
      <c r="CK218" s="88" t="n">
        <f aca="false">CI218+CK217</f>
        <v>70</v>
      </c>
      <c r="CL218" s="88" t="n">
        <f aca="false">MAX(CL217,CJ218-CK218)</f>
        <v>309.329575070683</v>
      </c>
      <c r="CM218" s="88" t="n">
        <f aca="false">CL218-CL217</f>
        <v>1.32193223870388</v>
      </c>
      <c r="CN218" s="88" t="n">
        <f aca="false">IF(B218=2026,INDEX($C$17:$Q$17,1,B218-2025)*$AO$4*C218/MAX(0.0001,12-$AO$3),INDEX($C$17:$Q$17,1,B218-2025)/12)</f>
        <v>5.75603678825761</v>
      </c>
      <c r="CO218" s="88" t="n">
        <f aca="false">$AO$6*0</f>
        <v>0</v>
      </c>
      <c r="CP218" s="88" t="n">
        <f aca="false">CN218+CP217</f>
        <v>1651.69962956786</v>
      </c>
      <c r="CQ218" s="88" t="n">
        <f aca="false">CO218+CQ217</f>
        <v>221</v>
      </c>
      <c r="CR218" s="88" t="n">
        <f aca="false">MAX(CR217,CP218-CQ218)</f>
        <v>1430.69962956786</v>
      </c>
      <c r="CS218" s="88" t="n">
        <f aca="false">CR218-CR217</f>
        <v>5.75603678825769</v>
      </c>
      <c r="CT218" s="88" t="n">
        <f aca="false">IF(B218=2026,INDEX($C$18:$Q$18,1,B218-2025)*$AO$4*C218/MAX(0.0001,12-$AO$3),INDEX($C$18:$Q$18,1,B218-2025)/12)</f>
        <v>1.19744534626986</v>
      </c>
      <c r="CU218" s="88" t="n">
        <f aca="false">$AO$6*0</f>
        <v>0</v>
      </c>
      <c r="CV218" s="88" t="n">
        <f aca="false">CT218+CV217</f>
        <v>343.607955893623</v>
      </c>
      <c r="CW218" s="88" t="n">
        <f aca="false">CU218+CW217</f>
        <v>11</v>
      </c>
      <c r="CX218" s="88" t="n">
        <f aca="false">MAX(CX217,CV218-CW218)</f>
        <v>332.607955893623</v>
      </c>
      <c r="CY218" s="88" t="n">
        <f aca="false">CX218-CX217</f>
        <v>1.19744534626989</v>
      </c>
      <c r="CZ218" s="88" t="n">
        <f aca="false">IF(B218=2026,INDEX($C$19:$Q$19,1,B218-2025)*$AO$4*C218/MAX(0.0001,12-$AO$3),INDEX($C$19:$Q$19,1,B218-2025)/12)</f>
        <v>1.18558945175234</v>
      </c>
      <c r="DA218" s="88" t="n">
        <f aca="false">$AO$6*0</f>
        <v>0</v>
      </c>
      <c r="DB218" s="88" t="n">
        <f aca="false">CZ218+DB217</f>
        <v>340.20589692438</v>
      </c>
      <c r="DC218" s="88" t="n">
        <f aca="false">DA218+DC217</f>
        <v>226</v>
      </c>
      <c r="DD218" s="88" t="n">
        <f aca="false">MAX(DD217,DB218-DC218)</f>
        <v>114.20589692438</v>
      </c>
      <c r="DE218" s="88" t="n">
        <f aca="false">DD218-DD217</f>
        <v>1.18558945175232</v>
      </c>
      <c r="DF218" s="88" t="n">
        <f aca="false">IF(B218=2026,INDEX($C$20:$Q$20,1,B218-2025)*$AO$4*C218/MAX(0.0001,12-$AO$3),INDEX($C$20:$Q$20,1,B218-2025)/12)</f>
        <v>0.966255403178157</v>
      </c>
      <c r="DG218" s="88" t="n">
        <f aca="false">$AO$6*0</f>
        <v>0</v>
      </c>
      <c r="DH218" s="88" t="n">
        <f aca="false">DF218+DH217</f>
        <v>277.267805993369</v>
      </c>
      <c r="DI218" s="88" t="n">
        <f aca="false">DG218+DI217</f>
        <v>0</v>
      </c>
      <c r="DJ218" s="88" t="n">
        <f aca="false">MAX(DJ217,DH218-DI218)</f>
        <v>277.267805993369</v>
      </c>
      <c r="DK218" s="88" t="n">
        <f aca="false">DJ218-DJ217</f>
        <v>0.966255403178138</v>
      </c>
      <c r="DL218" s="88" t="n">
        <f aca="false">IF(B218=2026,INDEX($C$21:$Q$21,1,B218-2025)*$AO$4*C218/MAX(0.0001,12-$AO$3),INDEX($C$21:$Q$21,1,B218-2025)/12)</f>
        <v>0.675785987498834</v>
      </c>
      <c r="DM218" s="88" t="n">
        <f aca="false">$AO$6*0</f>
        <v>0</v>
      </c>
      <c r="DN218" s="88" t="n">
        <f aca="false">DL218+DN217</f>
        <v>193.917361246896</v>
      </c>
      <c r="DO218" s="88" t="n">
        <f aca="false">DM218+DO217</f>
        <v>100</v>
      </c>
      <c r="DP218" s="88" t="n">
        <f aca="false">MAX(DP217,DN218-DO218)</f>
        <v>93.9173612468959</v>
      </c>
      <c r="DQ218" s="88" t="n">
        <f aca="false">DP218-DP217</f>
        <v>0.675785987498841</v>
      </c>
      <c r="DR218" s="88" t="n">
        <f aca="false">IF(B218=2026,INDEX($C$22:$Q$22,1,B218-2025)*$AO$4*C218/MAX(0.0001,12-$AO$3),INDEX($C$22:$Q$22,1,B218-2025)/12)</f>
        <v>0.527587306029791</v>
      </c>
      <c r="DS218" s="88" t="n">
        <f aca="false">$AO$6*0</f>
        <v>0</v>
      </c>
      <c r="DT218" s="88" t="n">
        <f aca="false">DR218+DT217</f>
        <v>151.391624131349</v>
      </c>
      <c r="DU218" s="88" t="n">
        <f aca="false">DS218+DU217</f>
        <v>29</v>
      </c>
      <c r="DV218" s="88" t="n">
        <f aca="false">MAX(DV217,DT218-DU218)</f>
        <v>122.391624131349</v>
      </c>
      <c r="DW218" s="88" t="n">
        <f aca="false">DV218-DV217</f>
        <v>0.527587306029801</v>
      </c>
      <c r="DX218" s="88" t="n">
        <f aca="false">IF(B218=2026,INDEX($C$23:$Q$23,1,B218-2025)*$AO$4*C218/MAX(0.0001,12-$AO$3),INDEX($C$23:$Q$23,1,B218-2025)/12)</f>
        <v>0.847696458002923</v>
      </c>
      <c r="DY218" s="88" t="n">
        <f aca="false">$AO$6*0</f>
        <v>0</v>
      </c>
      <c r="DZ218" s="88" t="n">
        <f aca="false">DX218+DZ217</f>
        <v>243.247216300932</v>
      </c>
      <c r="EA218" s="88" t="n">
        <f aca="false">DY218+EA217</f>
        <v>121</v>
      </c>
      <c r="EB218" s="88" t="n">
        <f aca="false">MAX(EB217,DZ218-EA218)</f>
        <v>122.247216300932</v>
      </c>
      <c r="EC218" s="88" t="n">
        <f aca="false">EB218-EB217</f>
        <v>0.847696458002929</v>
      </c>
      <c r="ED218" s="88" t="n">
        <f aca="false">IF(B218=2026,INDEX($C$24:$Q$24,1,B218-2025)*$AO$4*C218/MAX(0.0001,12-$AO$3),INDEX($C$24:$Q$24,1,B218-2025)/12)</f>
        <v>0.52165935877103</v>
      </c>
      <c r="EE218" s="88" t="n">
        <f aca="false">$AO$6*0</f>
        <v>0</v>
      </c>
      <c r="EF218" s="88" t="n">
        <f aca="false">ED218+EF217</f>
        <v>149.690594646727</v>
      </c>
      <c r="EG218" s="88" t="n">
        <f aca="false">EE218+EG217</f>
        <v>0</v>
      </c>
      <c r="EH218" s="88" t="n">
        <f aca="false">MAX(EH217,EF218-EG218)</f>
        <v>149.690594646727</v>
      </c>
      <c r="EI218" s="88" t="n">
        <f aca="false">EH218-EH217</f>
        <v>0.521659358771018</v>
      </c>
      <c r="EJ218" s="88" t="n">
        <f aca="false">IF(B218=2026,INDEX($C$25:$Q$25,1,B218-2025)*$AO$4*C218/MAX(0.0001,12-$AO$3),INDEX($C$25:$Q$25,1,B218-2025)/12)</f>
        <v>0.66393009298131</v>
      </c>
      <c r="EK218" s="88" t="n">
        <f aca="false">$AO$6*0</f>
        <v>0</v>
      </c>
      <c r="EL218" s="88" t="n">
        <f aca="false">EJ218+EL217</f>
        <v>190.515302277652</v>
      </c>
      <c r="EM218" s="88" t="n">
        <f aca="false">EK218+EM217</f>
        <v>14</v>
      </c>
      <c r="EN218" s="88" t="n">
        <f aca="false">MAX(EN217,EL218-EM218)</f>
        <v>176.515302277652</v>
      </c>
      <c r="EO218" s="88" t="n">
        <f aca="false">EN218-EN217</f>
        <v>0.663930092981303</v>
      </c>
      <c r="EP218" s="88" t="n">
        <f aca="false">IF(B218=2026,INDEX($C$26:$Q$26,1,B218-2025)*$AO$4*C218/MAX(0.0001,12-$AO$3),INDEX($C$26:$Q$26,1,B218-2025)/12)</f>
        <v>0.954399508660634</v>
      </c>
      <c r="EQ218" s="88" t="n">
        <f aca="false">$AO$6*0</f>
        <v>0</v>
      </c>
      <c r="ER218" s="88" t="n">
        <f aca="false">EP218+ER217</f>
        <v>273.865747024124</v>
      </c>
      <c r="ES218" s="88" t="n">
        <f aca="false">EQ218+ES217</f>
        <v>4</v>
      </c>
      <c r="ET218" s="88" t="n">
        <f aca="false">MAX(ET217,ER218-ES218)</f>
        <v>269.865747024124</v>
      </c>
      <c r="EU218" s="88" t="n">
        <f aca="false">ET218-ET217</f>
        <v>0.954399508660629</v>
      </c>
      <c r="EV218" s="88" t="n">
        <f aca="false">IF(B218=2026,INDEX($C$27:$Q$27,1,B218-2025)*$AO$4*C218/MAX(0.0001,12-$AO$3),INDEX($C$27:$Q$27,1,B218-2025)/12)</f>
        <v>2.37117890350468</v>
      </c>
      <c r="EW218" s="88" t="n">
        <f aca="false">$AO$6*0</f>
        <v>0</v>
      </c>
      <c r="EX218" s="88" t="n">
        <f aca="false">EV218+EX217</f>
        <v>680.411793848759</v>
      </c>
      <c r="EY218" s="88" t="n">
        <f aca="false">EW218+EY217</f>
        <v>391</v>
      </c>
      <c r="EZ218" s="88" t="n">
        <f aca="false">MAX(EZ217,EX218-EY218)</f>
        <v>289.411793848759</v>
      </c>
      <c r="FA218" s="88" t="n">
        <f aca="false">EZ218-EZ217</f>
        <v>2.37117890350464</v>
      </c>
      <c r="FB218" s="88" t="n">
        <f aca="false">IF(B218=2026,INDEX($C$28:$Q$28,1,B218-2025)*$AO$4*C218/MAX(0.0001,12-$AO$3),INDEX($C$28:$Q$28,1,B218-2025)/12)</f>
        <v>12.413121559847</v>
      </c>
      <c r="FC218" s="88" t="n">
        <f aca="false">$AO$6*0</f>
        <v>0</v>
      </c>
      <c r="FD218" s="88" t="n">
        <f aca="false">FB218+FD217</f>
        <v>3561.95574079825</v>
      </c>
      <c r="FE218" s="88" t="n">
        <f aca="false">FC218+FE217</f>
        <v>169</v>
      </c>
      <c r="FF218" s="88" t="n">
        <f aca="false">MAX(FF217,FD218-FE218)</f>
        <v>3392.95574079825</v>
      </c>
      <c r="FG218" s="88" t="n">
        <f aca="false">FF218-FF217</f>
        <v>12.4131215598468</v>
      </c>
    </row>
    <row r="219" customFormat="false" ht="15" hidden="false" customHeight="false" outlineLevel="0" collapsed="false">
      <c r="A219" s="0" t="n">
        <v>179</v>
      </c>
      <c r="B219" s="88" t="n">
        <f aca="false">2026+INT(A219/12)</f>
        <v>2040</v>
      </c>
      <c r="C219" s="88" t="n">
        <f aca="false">MAX(0,MIN(1,A219+1-$AO$3))</f>
        <v>1</v>
      </c>
      <c r="D219" s="88" t="n">
        <f aca="false">IF((A219+0.5-(0))&lt;$AO$3,0,2026+INT((A219+0.5-(0))/12))</f>
        <v>2040</v>
      </c>
      <c r="E219" s="88" t="n">
        <f aca="false">IF((A219+0.5-($AO$9))&lt;$AO$3,0,2026+INT((A219+0.5-($AO$9))/12))</f>
        <v>2039</v>
      </c>
      <c r="F219" s="88" t="n">
        <f aca="false">IF((A219+0.5-($AO$9+$AO$8))&lt;$AO$3,0,2026+INT((A219+0.5-($AO$9+$AO$8))/12))</f>
        <v>2038</v>
      </c>
      <c r="G219" s="88" t="n">
        <f aca="false">IF((A219+0.5-($AO$9+$AO$8+$AO$7))&lt;$AO$3,0,2026+INT((A219+0.5-($AO$9+$AO$8+$AO$7))/12))</f>
        <v>2038</v>
      </c>
      <c r="H219" s="88" t="n">
        <f aca="false">IF(B219=2026,INDEX($C$3:$Q$3,1,B219-2025)*$AO$4*C219/MAX(0.0001,12-$AO$3),INDEX($C$3:$Q$3,1,B219-2025)/12)</f>
        <v>127.083333333333</v>
      </c>
      <c r="I219" s="88" t="n">
        <f aca="false">$AO$6*0</f>
        <v>0</v>
      </c>
      <c r="J219" s="88" t="n">
        <f aca="false">H219+J218</f>
        <v>36593.7534246576</v>
      </c>
      <c r="K219" s="88" t="n">
        <f aca="false">I219+K218</f>
        <v>8695.00000000001</v>
      </c>
      <c r="L219" s="88" t="n">
        <f aca="false">MAX(L218,J219-K219)</f>
        <v>27898.7534246576</v>
      </c>
      <c r="M219" s="88" t="n">
        <f aca="false">L219-L218</f>
        <v>127.083333333336</v>
      </c>
      <c r="N219" s="88" t="n">
        <f aca="false">IF(B219=2026,INDEX($C$4:$Q$4,1,B219-2025)*$AO$4*C219/MAX(0.0001,12-$AO$3),INDEX($C$4:$Q$4,1,B219-2025)/12)</f>
        <v>3.85276717528181</v>
      </c>
      <c r="O219" s="88" t="n">
        <f aca="false">$AO$6*0</f>
        <v>0</v>
      </c>
      <c r="P219" s="88" t="n">
        <f aca="false">N219+P218</f>
        <v>1109.40756995313</v>
      </c>
      <c r="Q219" s="88" t="n">
        <f aca="false">O219+Q218</f>
        <v>398</v>
      </c>
      <c r="R219" s="88" t="n">
        <f aca="false">MAX(R218,P219-Q219)</f>
        <v>711.40756995313</v>
      </c>
      <c r="S219" s="88" t="n">
        <f aca="false">R219-R218</f>
        <v>3.85276717528177</v>
      </c>
      <c r="T219" s="88" t="n">
        <f aca="false">IF(B219=2026,INDEX($C$5:$Q$5,1,B219-2025)*$AO$4*C219/MAX(0.0001,12-$AO$3),INDEX($C$5:$Q$5,1,B219-2025)/12)</f>
        <v>15.6590365381071</v>
      </c>
      <c r="U219" s="88" t="n">
        <f aca="false">$AO$6*0</f>
        <v>0</v>
      </c>
      <c r="V219" s="88" t="n">
        <f aca="false">T219+V218</f>
        <v>4509.03282840545</v>
      </c>
      <c r="W219" s="88" t="n">
        <f aca="false">U219+W218</f>
        <v>1115</v>
      </c>
      <c r="X219" s="88" t="n">
        <f aca="false">MAX(X218,V219-W219)</f>
        <v>3394.03282840545</v>
      </c>
      <c r="Y219" s="88" t="n">
        <f aca="false">X219-X218</f>
        <v>15.6590365381071</v>
      </c>
      <c r="Z219" s="88" t="n">
        <f aca="false">IF(B219=2026,INDEX($C$6:$Q$6,1,B219-2025)*$AO$4*C219/MAX(0.0001,12-$AO$3),INDEX($C$6:$Q$6,1,B219-2025)/12)</f>
        <v>18.578173921486</v>
      </c>
      <c r="AA219" s="88" t="n">
        <f aca="false">$AO$6*0</f>
        <v>0</v>
      </c>
      <c r="AB219" s="88" t="n">
        <f aca="false">Z219+AB218</f>
        <v>5349.60090935028</v>
      </c>
      <c r="AC219" s="88" t="n">
        <f aca="false">AA219+AC218</f>
        <v>2194</v>
      </c>
      <c r="AD219" s="88" t="n">
        <f aca="false">MAX(AD218,AB219-AC219)</f>
        <v>3155.60090935027</v>
      </c>
      <c r="AE219" s="88" t="n">
        <f aca="false">AD219-AD218</f>
        <v>18.5781739214863</v>
      </c>
      <c r="AF219" s="88" t="n">
        <f aca="false">IF(B219=2026,INDEX($C$7:$Q$7,1,B219-2025)*$AO$4*C219/MAX(0.0001,12-$AO$3),INDEX($C$7:$Q$7,1,B219-2025)/12)</f>
        <v>16.1382057035167</v>
      </c>
      <c r="AG219" s="88" t="n">
        <f aca="false">$AO$6*0</f>
        <v>0</v>
      </c>
      <c r="AH219" s="88" t="n">
        <f aca="false">AF219+AH218</f>
        <v>4647.00999525946</v>
      </c>
      <c r="AI219" s="88" t="n">
        <f aca="false">AG219+AI218</f>
        <v>826</v>
      </c>
      <c r="AJ219" s="88" t="n">
        <f aca="false">MAX(AJ218,AH219-AI219)</f>
        <v>3821.00999525946</v>
      </c>
      <c r="AK219" s="88" t="n">
        <f aca="false">AJ219-AJ218</f>
        <v>16.1382057035171</v>
      </c>
      <c r="AL219" s="88" t="n">
        <f aca="false">IF(B219=2026,INDEX($C$8:$Q$8,1,B219-2025)*$AO$4*C219/MAX(0.0001,12-$AO$3),INDEX($C$8:$Q$8,1,B219-2025)/12)</f>
        <v>4.08220360807459</v>
      </c>
      <c r="AM219" s="88" t="n">
        <f aca="false">$AO$6*0</f>
        <v>0</v>
      </c>
      <c r="AN219" s="88" t="n">
        <f aca="false">AL219+AN218</f>
        <v>1175.47398502134</v>
      </c>
      <c r="AO219" s="88" t="n">
        <f aca="false">AM219+AO218</f>
        <v>66</v>
      </c>
      <c r="AP219" s="88" t="n">
        <f aca="false">MAX(AP218,AN219-AO219)</f>
        <v>1109.47398502134</v>
      </c>
      <c r="AQ219" s="88" t="n">
        <f aca="false">AP219-AP218</f>
        <v>4.08220360807468</v>
      </c>
      <c r="AR219" s="88" t="n">
        <f aca="false">IF(B219=2026,INDEX($C$9:$Q$9,1,B219-2025)*$AO$4*C219/MAX(0.0001,12-$AO$3),INDEX($C$9:$Q$9,1,B219-2025)/12)</f>
        <v>17.406283218606</v>
      </c>
      <c r="AS219" s="88" t="n">
        <f aca="false">$AO$6*0</f>
        <v>0</v>
      </c>
      <c r="AT219" s="88" t="n">
        <f aca="false">AR219+AT218</f>
        <v>5012.15398930957</v>
      </c>
      <c r="AU219" s="88" t="n">
        <f aca="false">AS219+AU218</f>
        <v>1810</v>
      </c>
      <c r="AV219" s="88" t="n">
        <f aca="false">MAX(AV218,AT219-AU219)</f>
        <v>3202.15398930957</v>
      </c>
      <c r="AW219" s="88" t="n">
        <f aca="false">AV219-AV218</f>
        <v>17.4062832186064</v>
      </c>
      <c r="AX219" s="88" t="n">
        <f aca="false">IF(B219=2026,INDEX($C$10:$Q$10,1,B219-2025)*$AO$4*C219/MAX(0.0001,12-$AO$3),INDEX($C$10:$Q$10,1,B219-2025)/12)</f>
        <v>2.01904060857645</v>
      </c>
      <c r="AY219" s="88" t="n">
        <f aca="false">$AO$6*0</f>
        <v>0</v>
      </c>
      <c r="AZ219" s="88" t="n">
        <f aca="false">AX219+AZ218</f>
        <v>581.384452600265</v>
      </c>
      <c r="BA219" s="88" t="n">
        <f aca="false">AY219+BA218</f>
        <v>50</v>
      </c>
      <c r="BB219" s="88" t="n">
        <f aca="false">MAX(BB218,AZ219-BA219)</f>
        <v>531.384452600265</v>
      </c>
      <c r="BC219" s="88" t="n">
        <f aca="false">BB219-BB218</f>
        <v>2.01904060857646</v>
      </c>
      <c r="BD219" s="88" t="n">
        <f aca="false">IF(B219=2026,INDEX($C$11:$Q$11,1,B219-2025)*$AO$4*C219/MAX(0.0001,12-$AO$3),INDEX($C$11:$Q$11,1,B219-2025)/12)</f>
        <v>10.0334316955919</v>
      </c>
      <c r="BE219" s="88" t="n">
        <f aca="false">$AO$6*0</f>
        <v>0</v>
      </c>
      <c r="BF219" s="88" t="n">
        <f aca="false">BD219+BF218</f>
        <v>2889.13515125219</v>
      </c>
      <c r="BG219" s="88" t="n">
        <f aca="false">BE219+BG218</f>
        <v>240</v>
      </c>
      <c r="BH219" s="88" t="n">
        <f aca="false">MAX(BH218,BF219-BG219)</f>
        <v>2649.13515125219</v>
      </c>
      <c r="BI219" s="88" t="n">
        <f aca="false">BH219-BH218</f>
        <v>10.0334316955918</v>
      </c>
      <c r="BJ219" s="88" t="n">
        <f aca="false">IF(B219=2026,INDEX($C$12:$Q$12,1,B219-2025)*$AO$4*C219/MAX(0.0001,12-$AO$3),INDEX($C$12:$Q$12,1,B219-2025)/12)</f>
        <v>5.50117970011608</v>
      </c>
      <c r="BK219" s="88" t="n">
        <f aca="false">$AO$6*0</f>
        <v>0</v>
      </c>
      <c r="BL219" s="88" t="n">
        <f aca="false">BJ219+BL218</f>
        <v>1584.06935205859</v>
      </c>
      <c r="BM219" s="88" t="n">
        <f aca="false">BK219+BM218</f>
        <v>465</v>
      </c>
      <c r="BN219" s="88" t="n">
        <f aca="false">MAX(BN218,BL219-BM219)</f>
        <v>1119.06935205859</v>
      </c>
      <c r="BO219" s="88" t="n">
        <f aca="false">BN219-BN218</f>
        <v>5.50117970011615</v>
      </c>
      <c r="BP219" s="88" t="n">
        <f aca="false">IF(B219=2026,INDEX($C$13:$Q$13,1,B219-2025)*$AO$4*C219/MAX(0.0001,12-$AO$3),INDEX($C$13:$Q$13,1,B219-2025)/12)</f>
        <v>1.71910470504089</v>
      </c>
      <c r="BQ219" s="88" t="n">
        <f aca="false">$AO$6*0</f>
        <v>0</v>
      </c>
      <c r="BR219" s="88" t="n">
        <f aca="false">BP219+BR218</f>
        <v>495.01765524539</v>
      </c>
      <c r="BS219" s="88" t="n">
        <f aca="false">BQ219+BS218</f>
        <v>87</v>
      </c>
      <c r="BT219" s="88" t="n">
        <f aca="false">MAX(BT218,BR219-BS219)</f>
        <v>408.01765524539</v>
      </c>
      <c r="BU219" s="88" t="n">
        <f aca="false">BT219-BT218</f>
        <v>1.71910470504088</v>
      </c>
      <c r="BV219" s="88" t="n">
        <f aca="false">IF(B219=2026,INDEX($C$14:$Q$14,1,B219-2025)*$AO$4*C219/MAX(0.0001,12-$AO$3),INDEX($C$14:$Q$14,1,B219-2025)/12)</f>
        <v>1.01960692850701</v>
      </c>
      <c r="BW219" s="88" t="n">
        <f aca="false">$AO$6*0</f>
        <v>0</v>
      </c>
      <c r="BX219" s="88" t="n">
        <f aca="false">BV219+BX218</f>
        <v>293.596678283474</v>
      </c>
      <c r="BY219" s="88" t="n">
        <f aca="false">BW219+BY218</f>
        <v>0</v>
      </c>
      <c r="BZ219" s="88" t="n">
        <f aca="false">MAX(BZ218,BX219-BY219)</f>
        <v>293.596678283474</v>
      </c>
      <c r="CA219" s="88" t="n">
        <f aca="false">BZ219-BZ218</f>
        <v>1.01960692850702</v>
      </c>
      <c r="CB219" s="88" t="n">
        <f aca="false">IF(B219=2026,INDEX($C$15:$Q$15,1,B219-2025)*$AO$4*C219/MAX(0.0001,12-$AO$3),INDEX($C$15:$Q$15,1,B219-2025)/12)</f>
        <v>1.6716811269708</v>
      </c>
      <c r="CC219" s="88" t="n">
        <f aca="false">$AO$6*0</f>
        <v>0</v>
      </c>
      <c r="CD219" s="88" t="n">
        <f aca="false">CB219+CD218</f>
        <v>481.361995790345</v>
      </c>
      <c r="CE219" s="88" t="n">
        <f aca="false">CC219+CE218</f>
        <v>88.0000000000001</v>
      </c>
      <c r="CF219" s="88" t="n">
        <f aca="false">MAX(CF218,CD219-CE219)</f>
        <v>393.361995790345</v>
      </c>
      <c r="CG219" s="88" t="n">
        <f aca="false">CF219-CF218</f>
        <v>1.67168112697078</v>
      </c>
      <c r="CH219" s="88" t="n">
        <f aca="false">IF(B219=2026,INDEX($C$16:$Q$16,1,B219-2025)*$AO$4*C219/MAX(0.0001,12-$AO$3),INDEX($C$16:$Q$16,1,B219-2025)/12)</f>
        <v>1.32193223870386</v>
      </c>
      <c r="CI219" s="88" t="n">
        <f aca="false">$AO$6*0</f>
        <v>0</v>
      </c>
      <c r="CJ219" s="88" t="n">
        <f aca="false">CH219+CJ218</f>
        <v>380.651507309386</v>
      </c>
      <c r="CK219" s="88" t="n">
        <f aca="false">CI219+CK218</f>
        <v>70</v>
      </c>
      <c r="CL219" s="88" t="n">
        <f aca="false">MAX(CL218,CJ219-CK219)</f>
        <v>310.651507309386</v>
      </c>
      <c r="CM219" s="88" t="n">
        <f aca="false">CL219-CL218</f>
        <v>1.32193223870388</v>
      </c>
      <c r="CN219" s="88" t="n">
        <f aca="false">IF(B219=2026,INDEX($C$17:$Q$17,1,B219-2025)*$AO$4*C219/MAX(0.0001,12-$AO$3),INDEX($C$17:$Q$17,1,B219-2025)/12)</f>
        <v>5.75603678825761</v>
      </c>
      <c r="CO219" s="88" t="n">
        <f aca="false">$AO$6*0</f>
        <v>0</v>
      </c>
      <c r="CP219" s="88" t="n">
        <f aca="false">CN219+CP218</f>
        <v>1657.45566635612</v>
      </c>
      <c r="CQ219" s="88" t="n">
        <f aca="false">CO219+CQ218</f>
        <v>221</v>
      </c>
      <c r="CR219" s="88" t="n">
        <f aca="false">MAX(CR218,CP219-CQ219)</f>
        <v>1436.45566635612</v>
      </c>
      <c r="CS219" s="88" t="n">
        <f aca="false">CR219-CR218</f>
        <v>5.75603678825769</v>
      </c>
      <c r="CT219" s="88" t="n">
        <f aca="false">IF(B219=2026,INDEX($C$18:$Q$18,1,B219-2025)*$AO$4*C219/MAX(0.0001,12-$AO$3),INDEX($C$18:$Q$18,1,B219-2025)/12)</f>
        <v>1.19744534626986</v>
      </c>
      <c r="CU219" s="88" t="n">
        <f aca="false">$AO$6*0</f>
        <v>0</v>
      </c>
      <c r="CV219" s="88" t="n">
        <f aca="false">CT219+CV218</f>
        <v>344.805401239893</v>
      </c>
      <c r="CW219" s="88" t="n">
        <f aca="false">CU219+CW218</f>
        <v>11</v>
      </c>
      <c r="CX219" s="88" t="n">
        <f aca="false">MAX(CX218,CV219-CW219)</f>
        <v>333.805401239893</v>
      </c>
      <c r="CY219" s="88" t="n">
        <f aca="false">CX219-CX218</f>
        <v>1.19744534626989</v>
      </c>
      <c r="CZ219" s="88" t="n">
        <f aca="false">IF(B219=2026,INDEX($C$19:$Q$19,1,B219-2025)*$AO$4*C219/MAX(0.0001,12-$AO$3),INDEX($C$19:$Q$19,1,B219-2025)/12)</f>
        <v>1.18558945175234</v>
      </c>
      <c r="DA219" s="88" t="n">
        <f aca="false">$AO$6*0</f>
        <v>0</v>
      </c>
      <c r="DB219" s="88" t="n">
        <f aca="false">CZ219+DB218</f>
        <v>341.391486376132</v>
      </c>
      <c r="DC219" s="88" t="n">
        <f aca="false">DA219+DC218</f>
        <v>226</v>
      </c>
      <c r="DD219" s="88" t="n">
        <f aca="false">MAX(DD218,DB219-DC219)</f>
        <v>115.391486376132</v>
      </c>
      <c r="DE219" s="88" t="n">
        <f aca="false">DD219-DD218</f>
        <v>1.18558945175232</v>
      </c>
      <c r="DF219" s="88" t="n">
        <f aca="false">IF(B219=2026,INDEX($C$20:$Q$20,1,B219-2025)*$AO$4*C219/MAX(0.0001,12-$AO$3),INDEX($C$20:$Q$20,1,B219-2025)/12)</f>
        <v>0.966255403178157</v>
      </c>
      <c r="DG219" s="88" t="n">
        <f aca="false">$AO$6*0</f>
        <v>0</v>
      </c>
      <c r="DH219" s="88" t="n">
        <f aca="false">DF219+DH218</f>
        <v>278.234061396547</v>
      </c>
      <c r="DI219" s="88" t="n">
        <f aca="false">DG219+DI218</f>
        <v>0</v>
      </c>
      <c r="DJ219" s="88" t="n">
        <f aca="false">MAX(DJ218,DH219-DI219)</f>
        <v>278.234061396547</v>
      </c>
      <c r="DK219" s="88" t="n">
        <f aca="false">DJ219-DJ218</f>
        <v>0.966255403178138</v>
      </c>
      <c r="DL219" s="88" t="n">
        <f aca="false">IF(B219=2026,INDEX($C$21:$Q$21,1,B219-2025)*$AO$4*C219/MAX(0.0001,12-$AO$3),INDEX($C$21:$Q$21,1,B219-2025)/12)</f>
        <v>0.675785987498834</v>
      </c>
      <c r="DM219" s="88" t="n">
        <f aca="false">$AO$6*0</f>
        <v>0</v>
      </c>
      <c r="DN219" s="88" t="n">
        <f aca="false">DL219+DN218</f>
        <v>194.593147234395</v>
      </c>
      <c r="DO219" s="88" t="n">
        <f aca="false">DM219+DO218</f>
        <v>100</v>
      </c>
      <c r="DP219" s="88" t="n">
        <f aca="false">MAX(DP218,DN219-DO219)</f>
        <v>94.5931472343948</v>
      </c>
      <c r="DQ219" s="88" t="n">
        <f aca="false">DP219-DP218</f>
        <v>0.675785987498841</v>
      </c>
      <c r="DR219" s="88" t="n">
        <f aca="false">IF(B219=2026,INDEX($C$22:$Q$22,1,B219-2025)*$AO$4*C219/MAX(0.0001,12-$AO$3),INDEX($C$22:$Q$22,1,B219-2025)/12)</f>
        <v>0.527587306029791</v>
      </c>
      <c r="DS219" s="88" t="n">
        <f aca="false">$AO$6*0</f>
        <v>0</v>
      </c>
      <c r="DT219" s="88" t="n">
        <f aca="false">DR219+DT218</f>
        <v>151.919211437379</v>
      </c>
      <c r="DU219" s="88" t="n">
        <f aca="false">DS219+DU218</f>
        <v>29</v>
      </c>
      <c r="DV219" s="88" t="n">
        <f aca="false">MAX(DV218,DT219-DU219)</f>
        <v>122.919211437379</v>
      </c>
      <c r="DW219" s="88" t="n">
        <f aca="false">DV219-DV218</f>
        <v>0.527587306029801</v>
      </c>
      <c r="DX219" s="88" t="n">
        <f aca="false">IF(B219=2026,INDEX($C$23:$Q$23,1,B219-2025)*$AO$4*C219/MAX(0.0001,12-$AO$3),INDEX($C$23:$Q$23,1,B219-2025)/12)</f>
        <v>0.847696458002923</v>
      </c>
      <c r="DY219" s="88" t="n">
        <f aca="false">$AO$6*0</f>
        <v>0</v>
      </c>
      <c r="DZ219" s="88" t="n">
        <f aca="false">DX219+DZ218</f>
        <v>244.094912758935</v>
      </c>
      <c r="EA219" s="88" t="n">
        <f aca="false">DY219+EA218</f>
        <v>121</v>
      </c>
      <c r="EB219" s="88" t="n">
        <f aca="false">MAX(EB218,DZ219-EA219)</f>
        <v>123.094912758935</v>
      </c>
      <c r="EC219" s="88" t="n">
        <f aca="false">EB219-EB218</f>
        <v>0.847696458002929</v>
      </c>
      <c r="ED219" s="88" t="n">
        <f aca="false">IF(B219=2026,INDEX($C$24:$Q$24,1,B219-2025)*$AO$4*C219/MAX(0.0001,12-$AO$3),INDEX($C$24:$Q$24,1,B219-2025)/12)</f>
        <v>0.52165935877103</v>
      </c>
      <c r="EE219" s="88" t="n">
        <f aca="false">$AO$6*0</f>
        <v>0</v>
      </c>
      <c r="EF219" s="88" t="n">
        <f aca="false">ED219+EF218</f>
        <v>150.212254005498</v>
      </c>
      <c r="EG219" s="88" t="n">
        <f aca="false">EE219+EG218</f>
        <v>0</v>
      </c>
      <c r="EH219" s="88" t="n">
        <f aca="false">MAX(EH218,EF219-EG219)</f>
        <v>150.212254005498</v>
      </c>
      <c r="EI219" s="88" t="n">
        <f aca="false">EH219-EH218</f>
        <v>0.521659358771018</v>
      </c>
      <c r="EJ219" s="88" t="n">
        <f aca="false">IF(B219=2026,INDEX($C$25:$Q$25,1,B219-2025)*$AO$4*C219/MAX(0.0001,12-$AO$3),INDEX($C$25:$Q$25,1,B219-2025)/12)</f>
        <v>0.66393009298131</v>
      </c>
      <c r="EK219" s="88" t="n">
        <f aca="false">$AO$6*0</f>
        <v>0</v>
      </c>
      <c r="EL219" s="88" t="n">
        <f aca="false">EJ219+EL218</f>
        <v>191.179232370634</v>
      </c>
      <c r="EM219" s="88" t="n">
        <f aca="false">EK219+EM218</f>
        <v>14</v>
      </c>
      <c r="EN219" s="88" t="n">
        <f aca="false">MAX(EN218,EL219-EM219)</f>
        <v>177.179232370634</v>
      </c>
      <c r="EO219" s="88" t="n">
        <f aca="false">EN219-EN218</f>
        <v>0.663930092981303</v>
      </c>
      <c r="EP219" s="88" t="n">
        <f aca="false">IF(B219=2026,INDEX($C$26:$Q$26,1,B219-2025)*$AO$4*C219/MAX(0.0001,12-$AO$3),INDEX($C$26:$Q$26,1,B219-2025)/12)</f>
        <v>0.954399508660634</v>
      </c>
      <c r="EQ219" s="88" t="n">
        <f aca="false">$AO$6*0</f>
        <v>0</v>
      </c>
      <c r="ER219" s="88" t="n">
        <f aca="false">EP219+ER218</f>
        <v>274.820146532785</v>
      </c>
      <c r="ES219" s="88" t="n">
        <f aca="false">EQ219+ES218</f>
        <v>4</v>
      </c>
      <c r="ET219" s="88" t="n">
        <f aca="false">MAX(ET218,ER219-ES219)</f>
        <v>270.820146532785</v>
      </c>
      <c r="EU219" s="88" t="n">
        <f aca="false">ET219-ET218</f>
        <v>0.954399508660629</v>
      </c>
      <c r="EV219" s="88" t="n">
        <f aca="false">IF(B219=2026,INDEX($C$27:$Q$27,1,B219-2025)*$AO$4*C219/MAX(0.0001,12-$AO$3),INDEX($C$27:$Q$27,1,B219-2025)/12)</f>
        <v>2.37117890350468</v>
      </c>
      <c r="EW219" s="88" t="n">
        <f aca="false">$AO$6*0</f>
        <v>0</v>
      </c>
      <c r="EX219" s="88" t="n">
        <f aca="false">EV219+EX218</f>
        <v>682.782972752264</v>
      </c>
      <c r="EY219" s="88" t="n">
        <f aca="false">EW219+EY218</f>
        <v>391</v>
      </c>
      <c r="EZ219" s="88" t="n">
        <f aca="false">MAX(EZ218,EX219-EY219)</f>
        <v>291.782972752263</v>
      </c>
      <c r="FA219" s="88" t="n">
        <f aca="false">EZ219-EZ218</f>
        <v>2.37117890350464</v>
      </c>
      <c r="FB219" s="88" t="n">
        <f aca="false">IF(B219=2026,INDEX($C$28:$Q$28,1,B219-2025)*$AO$4*C219/MAX(0.0001,12-$AO$3),INDEX($C$28:$Q$28,1,B219-2025)/12)</f>
        <v>12.413121559847</v>
      </c>
      <c r="FC219" s="88" t="n">
        <f aca="false">$AO$6*0</f>
        <v>0</v>
      </c>
      <c r="FD219" s="88" t="n">
        <f aca="false">FB219+FD218</f>
        <v>3574.3688623581</v>
      </c>
      <c r="FE219" s="88" t="n">
        <f aca="false">FC219+FE218</f>
        <v>169</v>
      </c>
      <c r="FF219" s="88" t="n">
        <f aca="false">MAX(FF218,FD219-FE219)</f>
        <v>3405.3688623581</v>
      </c>
      <c r="FG219" s="88" t="n">
        <f aca="false">FF219-FF218</f>
        <v>12.4131215598468</v>
      </c>
    </row>
    <row r="223" customFormat="false" ht="15" hidden="false" customHeight="false" outlineLevel="0" collapsed="false">
      <c r="A223" s="18" t="s">
        <v>375</v>
      </c>
      <c r="C223" s="18" t="s">
        <v>1105</v>
      </c>
      <c r="D223" s="18" t="n">
        <v>2026</v>
      </c>
      <c r="E223" s="18" t="n">
        <v>2027</v>
      </c>
      <c r="F223" s="18" t="n">
        <v>2028</v>
      </c>
      <c r="G223" s="18" t="n">
        <v>2029</v>
      </c>
      <c r="H223" s="18" t="n">
        <v>2030</v>
      </c>
      <c r="I223" s="18" t="n">
        <v>2031</v>
      </c>
      <c r="J223" s="18" t="n">
        <v>2032</v>
      </c>
      <c r="K223" s="18" t="n">
        <v>2033</v>
      </c>
      <c r="L223" s="18" t="n">
        <v>2034</v>
      </c>
      <c r="M223" s="18" t="n">
        <v>2035</v>
      </c>
      <c r="N223" s="18" t="n">
        <v>2036</v>
      </c>
      <c r="O223" s="18" t="n">
        <v>2037</v>
      </c>
      <c r="P223" s="18" t="n">
        <v>2038</v>
      </c>
      <c r="Q223" s="18" t="n">
        <v>2039</v>
      </c>
      <c r="R223" s="18" t="n">
        <v>2040</v>
      </c>
    </row>
    <row r="224" customFormat="false" ht="15" hidden="false" customHeight="false" outlineLevel="0" collapsed="false">
      <c r="A224" s="0" t="s">
        <v>210</v>
      </c>
      <c r="C224" s="88" t="n">
        <f aca="false">SUMIF($D$40:$D$219,0,H$40:H$219)</f>
        <v>0</v>
      </c>
      <c r="D224" s="88" t="n">
        <f aca="false">SUMIF($D$40:$D$219,2026,H$40:H$219)</f>
        <v>992.753424657534</v>
      </c>
      <c r="E224" s="88" t="n">
        <f aca="false">SUMIF($D$40:$D$219,2027,H$40:H$219)</f>
        <v>4263</v>
      </c>
      <c r="F224" s="88" t="n">
        <f aca="false">SUMIF($D$40:$D$219,2028,H$40:H$219)</f>
        <v>4263</v>
      </c>
      <c r="G224" s="88" t="n">
        <f aca="false">SUMIF($D$40:$D$219,2029,H$40:H$219)</f>
        <v>4263</v>
      </c>
      <c r="H224" s="88" t="n">
        <f aca="false">SUMIF($D$40:$D$219,2030,H$40:H$219)</f>
        <v>4263</v>
      </c>
      <c r="I224" s="88" t="n">
        <f aca="false">SUMIF($D$40:$D$219,2031,H$40:H$219)</f>
        <v>2168</v>
      </c>
      <c r="J224" s="88" t="n">
        <f aca="false">SUMIF($D$40:$D$219,2032,H$40:H$219)</f>
        <v>2168</v>
      </c>
      <c r="K224" s="88" t="n">
        <f aca="false">SUMIF($D$40:$D$219,2033,H$40:H$219)</f>
        <v>2168</v>
      </c>
      <c r="L224" s="88" t="n">
        <f aca="false">SUMIF($D$40:$D$219,2034,H$40:H$219)</f>
        <v>2168</v>
      </c>
      <c r="M224" s="88" t="n">
        <f aca="false">SUMIF($D$40:$D$219,2035,H$40:H$219)</f>
        <v>2095</v>
      </c>
      <c r="N224" s="88" t="n">
        <f aca="false">SUMIF($D$40:$D$219,2036,H$40:H$219)</f>
        <v>1587</v>
      </c>
      <c r="O224" s="88" t="n">
        <f aca="false">SUMIF($D$40:$D$219,2037,H$40:H$219)</f>
        <v>1574</v>
      </c>
      <c r="P224" s="88" t="n">
        <f aca="false">SUMIF($D$40:$D$219,2038,H$40:H$219)</f>
        <v>1555</v>
      </c>
      <c r="Q224" s="88" t="n">
        <f aca="false">SUMIF($D$40:$D$219,2039,H$40:H$219)</f>
        <v>1541</v>
      </c>
      <c r="R224" s="88" t="n">
        <f aca="false">SUMIF($D$40:$D$219,2040,H$40:H$219)</f>
        <v>1525</v>
      </c>
    </row>
    <row r="225" customFormat="false" ht="15" hidden="false" customHeight="false" outlineLevel="0" collapsed="false">
      <c r="A225" s="0" t="s">
        <v>157</v>
      </c>
      <c r="C225" s="88" t="n">
        <f aca="false">SUMIF($D$40:$D$219,0,N$40:N$219)</f>
        <v>0</v>
      </c>
      <c r="D225" s="88" t="n">
        <f aca="false">SUMIF($D$40:$D$219,2026,N$40:N$219)</f>
        <v>30.0971630767409</v>
      </c>
      <c r="E225" s="88" t="n">
        <f aca="false">SUMIF($D$40:$D$219,2027,N$40:N$219)</f>
        <v>129.24075909424</v>
      </c>
      <c r="F225" s="88" t="n">
        <f aca="false">SUMIF($D$40:$D$219,2028,N$40:N$219)</f>
        <v>129.24075909424</v>
      </c>
      <c r="G225" s="88" t="n">
        <f aca="false">SUMIF($D$40:$D$219,2029,N$40:N$219)</f>
        <v>129.24075909424</v>
      </c>
      <c r="H225" s="88" t="n">
        <f aca="false">SUMIF($D$40:$D$219,2030,N$40:N$219)</f>
        <v>129.24075909424</v>
      </c>
      <c r="I225" s="88" t="n">
        <f aca="false">SUMIF($D$40:$D$219,2031,N$40:N$219)</f>
        <v>65.7269448079552</v>
      </c>
      <c r="J225" s="88" t="n">
        <f aca="false">SUMIF($D$40:$D$219,2032,N$40:N$219)</f>
        <v>65.7269448079552</v>
      </c>
      <c r="K225" s="88" t="n">
        <f aca="false">SUMIF($D$40:$D$219,2033,N$40:N$219)</f>
        <v>65.7269448079552</v>
      </c>
      <c r="L225" s="88" t="n">
        <f aca="false">SUMIF($D$40:$D$219,2034,N$40:N$219)</f>
        <v>65.7269448079552</v>
      </c>
      <c r="M225" s="88" t="n">
        <f aca="false">SUMIF($D$40:$D$219,2035,N$40:N$219)</f>
        <v>63.5138142862851</v>
      </c>
      <c r="N225" s="88" t="n">
        <f aca="false">SUMIF($D$40:$D$219,2036,N$40:N$219)</f>
        <v>48.1128512039782</v>
      </c>
      <c r="O225" s="88" t="n">
        <f aca="false">SUMIF($D$40:$D$219,2037,N$40:N$219)</f>
        <v>47.7187320699822</v>
      </c>
      <c r="P225" s="88" t="n">
        <f aca="false">SUMIF($D$40:$D$219,2038,N$40:N$219)</f>
        <v>47.1427117972188</v>
      </c>
      <c r="Q225" s="88" t="n">
        <f aca="false">SUMIF($D$40:$D$219,2039,N$40:N$219)</f>
        <v>46.7182758067615</v>
      </c>
      <c r="R225" s="88" t="n">
        <f aca="false">SUMIF($D$40:$D$219,2040,N$40:N$219)</f>
        <v>46.2332061033817</v>
      </c>
    </row>
    <row r="226" customFormat="false" ht="15" hidden="false" customHeight="false" outlineLevel="0" collapsed="false">
      <c r="A226" s="0" t="s">
        <v>160</v>
      </c>
      <c r="C226" s="88" t="n">
        <f aca="false">SUMIF($D$40:$D$219,0,T$40:T$219)</f>
        <v>0</v>
      </c>
      <c r="D226" s="88" t="n">
        <f aca="false">SUMIF($D$40:$D$219,2026,T$40:T$219)</f>
        <v>122.32573495116</v>
      </c>
      <c r="E226" s="88" t="n">
        <f aca="false">SUMIF($D$40:$D$219,2027,T$40:T$219)</f>
        <v>525.281097143218</v>
      </c>
      <c r="F226" s="88" t="n">
        <f aca="false">SUMIF($D$40:$D$219,2028,T$40:T$219)</f>
        <v>525.281097143218</v>
      </c>
      <c r="G226" s="88" t="n">
        <f aca="false">SUMIF($D$40:$D$219,2029,T$40:T$219)</f>
        <v>525.281097143218</v>
      </c>
      <c r="H226" s="88" t="n">
        <f aca="false">SUMIF($D$40:$D$219,2030,T$40:T$219)</f>
        <v>525.281097143218</v>
      </c>
      <c r="I226" s="88" t="n">
        <f aca="false">SUMIF($D$40:$D$219,2031,T$40:T$219)</f>
        <v>267.138029229767</v>
      </c>
      <c r="J226" s="88" t="n">
        <f aca="false">SUMIF($D$40:$D$219,2032,T$40:T$219)</f>
        <v>267.138029229767</v>
      </c>
      <c r="K226" s="88" t="n">
        <f aca="false">SUMIF($D$40:$D$219,2033,T$40:T$219)</f>
        <v>267.138029229767</v>
      </c>
      <c r="L226" s="88" t="n">
        <f aca="false">SUMIF($D$40:$D$219,2034,T$40:T$219)</f>
        <v>267.138029229767</v>
      </c>
      <c r="M226" s="88" t="n">
        <f aca="false">SUMIF($D$40:$D$219,2035,T$40:T$219)</f>
        <v>258.143067913451</v>
      </c>
      <c r="N226" s="88" t="n">
        <f aca="false">SUMIF($D$40:$D$219,2036,T$40:T$219)</f>
        <v>195.547994643745</v>
      </c>
      <c r="O226" s="88" t="n">
        <f aca="false">SUMIF($D$40:$D$219,2037,T$40:T$219)</f>
        <v>193.946152217552</v>
      </c>
      <c r="P226" s="88" t="n">
        <f aca="false">SUMIF($D$40:$D$219,2038,T$40:T$219)</f>
        <v>191.604997902347</v>
      </c>
      <c r="Q226" s="88" t="n">
        <f aca="false">SUMIF($D$40:$D$219,2039,T$40:T$219)</f>
        <v>189.879936827985</v>
      </c>
      <c r="R226" s="88" t="n">
        <f aca="false">SUMIF($D$40:$D$219,2040,T$40:T$219)</f>
        <v>187.908438457285</v>
      </c>
    </row>
    <row r="227" customFormat="false" ht="15" hidden="false" customHeight="false" outlineLevel="0" collapsed="false">
      <c r="A227" s="0" t="s">
        <v>162</v>
      </c>
      <c r="C227" s="88" t="n">
        <f aca="false">SUMIF($D$40:$D$219,0,Z$40:Z$219)</f>
        <v>0</v>
      </c>
      <c r="D227" s="88" t="n">
        <f aca="false">SUMIF($D$40:$D$219,2026,Z$40:Z$219)</f>
        <v>145.129540598861</v>
      </c>
      <c r="E227" s="88" t="n">
        <f aca="false">SUMIF($D$40:$D$219,2027,Z$40:Z$219)</f>
        <v>623.203321395108</v>
      </c>
      <c r="F227" s="88" t="n">
        <f aca="false">SUMIF($D$40:$D$219,2028,Z$40:Z$219)</f>
        <v>623.203321395108</v>
      </c>
      <c r="G227" s="88" t="n">
        <f aca="false">SUMIF($D$40:$D$219,2029,Z$40:Z$219)</f>
        <v>623.203321395108</v>
      </c>
      <c r="H227" s="88" t="n">
        <f aca="false">SUMIF($D$40:$D$219,2030,Z$40:Z$219)</f>
        <v>623.203321395108</v>
      </c>
      <c r="I227" s="88" t="n">
        <f aca="false">SUMIF($D$40:$D$219,2031,Z$40:Z$219)</f>
        <v>316.937555895987</v>
      </c>
      <c r="J227" s="88" t="n">
        <f aca="false">SUMIF($D$40:$D$219,2032,Z$40:Z$219)</f>
        <v>316.937555895987</v>
      </c>
      <c r="K227" s="88" t="n">
        <f aca="false">SUMIF($D$40:$D$219,2033,Z$40:Z$219)</f>
        <v>316.937555895987</v>
      </c>
      <c r="L227" s="88" t="n">
        <f aca="false">SUMIF($D$40:$D$219,2034,Z$40:Z$219)</f>
        <v>316.937555895987</v>
      </c>
      <c r="M227" s="88" t="n">
        <f aca="false">SUMIF($D$40:$D$219,2035,Z$40:Z$219)</f>
        <v>306.26576549912</v>
      </c>
      <c r="N227" s="88" t="n">
        <f aca="false">SUMIF($D$40:$D$219,2036,Z$40:Z$219)</f>
        <v>232.001799449692</v>
      </c>
      <c r="O227" s="88" t="n">
        <f aca="false">SUMIF($D$40:$D$219,2037,Z$40:Z$219)</f>
        <v>230.101343625592</v>
      </c>
      <c r="P227" s="88" t="n">
        <f aca="false">SUMIF($D$40:$D$219,2038,Z$40:Z$219)</f>
        <v>227.323754344216</v>
      </c>
      <c r="Q227" s="88" t="n">
        <f aca="false">SUMIF($D$40:$D$219,2039,Z$40:Z$219)</f>
        <v>225.27710961057</v>
      </c>
      <c r="R227" s="88" t="n">
        <f aca="false">SUMIF($D$40:$D$219,2040,Z$40:Z$219)</f>
        <v>222.938087057832</v>
      </c>
    </row>
    <row r="228" customFormat="false" ht="15" hidden="false" customHeight="false" outlineLevel="0" collapsed="false">
      <c r="A228" s="0" t="s">
        <v>164</v>
      </c>
      <c r="C228" s="88" t="n">
        <f aca="false">SUMIF($D$40:$D$219,0,AF$40:AF$219)</f>
        <v>0</v>
      </c>
      <c r="D228" s="88" t="n">
        <f aca="false">SUMIF($D$40:$D$219,2026,AF$40:AF$219)</f>
        <v>126.068923121264</v>
      </c>
      <c r="E228" s="88" t="n">
        <f aca="false">SUMIF($D$40:$D$219,2027,AF$40:AF$219)</f>
        <v>541.35478752072</v>
      </c>
      <c r="F228" s="88" t="n">
        <f aca="false">SUMIF($D$40:$D$219,2028,AF$40:AF$219)</f>
        <v>541.35478752072</v>
      </c>
      <c r="G228" s="88" t="n">
        <f aca="false">SUMIF($D$40:$D$219,2029,AF$40:AF$219)</f>
        <v>541.35478752072</v>
      </c>
      <c r="H228" s="88" t="n">
        <f aca="false">SUMIF($D$40:$D$219,2030,AF$40:AF$219)</f>
        <v>541.35478752072</v>
      </c>
      <c r="I228" s="88" t="n">
        <f aca="false">SUMIF($D$40:$D$219,2031,AF$40:AF$219)</f>
        <v>275.312498087009</v>
      </c>
      <c r="J228" s="88" t="n">
        <f aca="false">SUMIF($D$40:$D$219,2032,AF$40:AF$219)</f>
        <v>275.312498087009</v>
      </c>
      <c r="K228" s="88" t="n">
        <f aca="false">SUMIF($D$40:$D$219,2033,AF$40:AF$219)</f>
        <v>275.312498087009</v>
      </c>
      <c r="L228" s="88" t="n">
        <f aca="false">SUMIF($D$40:$D$219,2034,AF$40:AF$219)</f>
        <v>275.312498087009</v>
      </c>
      <c r="M228" s="88" t="n">
        <f aca="false">SUMIF($D$40:$D$219,2035,AF$40:AF$219)</f>
        <v>266.042289433711</v>
      </c>
      <c r="N228" s="88" t="n">
        <f aca="false">SUMIF($D$40:$D$219,2036,AF$40:AF$219)</f>
        <v>201.531796339522</v>
      </c>
      <c r="O228" s="88" t="n">
        <f aca="false">SUMIF($D$40:$D$219,2037,AF$40:AF$219)</f>
        <v>199.880937264277</v>
      </c>
      <c r="P228" s="88" t="n">
        <f aca="false">SUMIF($D$40:$D$219,2038,AF$40:AF$219)</f>
        <v>197.468143231227</v>
      </c>
      <c r="Q228" s="88" t="n">
        <f aca="false">SUMIF($D$40:$D$219,2039,AF$40:AF$219)</f>
        <v>195.690294996348</v>
      </c>
      <c r="R228" s="88" t="n">
        <f aca="false">SUMIF($D$40:$D$219,2040,AF$40:AF$219)</f>
        <v>193.6584684422</v>
      </c>
    </row>
    <row r="229" customFormat="false" ht="15" hidden="false" customHeight="false" outlineLevel="0" collapsed="false">
      <c r="A229" s="0" t="s">
        <v>166</v>
      </c>
      <c r="C229" s="88" t="n">
        <f aca="false">SUMIF($D$40:$D$219,0,AL$40:AL$219)</f>
        <v>0</v>
      </c>
      <c r="D229" s="88" t="n">
        <f aca="false">SUMIF($D$40:$D$219,2026,AL$40:AL$219)</f>
        <v>31.8894815375637</v>
      </c>
      <c r="E229" s="88" t="n">
        <f aca="false">SUMIF($D$40:$D$219,2027,AL$40:AL$219)</f>
        <v>136.937185426009</v>
      </c>
      <c r="F229" s="88" t="n">
        <f aca="false">SUMIF($D$40:$D$219,2028,AL$40:AL$219)</f>
        <v>136.937185426009</v>
      </c>
      <c r="G229" s="88" t="n">
        <f aca="false">SUMIF($D$40:$D$219,2029,AL$40:AL$219)</f>
        <v>136.937185426009</v>
      </c>
      <c r="H229" s="88" t="n">
        <f aca="false">SUMIF($D$40:$D$219,2030,AL$40:AL$219)</f>
        <v>136.937185426009</v>
      </c>
      <c r="I229" s="88" t="n">
        <f aca="false">SUMIF($D$40:$D$219,2031,AL$40:AL$219)</f>
        <v>69.64105512634</v>
      </c>
      <c r="J229" s="88" t="n">
        <f aca="false">SUMIF($D$40:$D$219,2032,AL$40:AL$219)</f>
        <v>69.64105512634</v>
      </c>
      <c r="K229" s="88" t="n">
        <f aca="false">SUMIF($D$40:$D$219,2033,AL$40:AL$219)</f>
        <v>69.64105512634</v>
      </c>
      <c r="L229" s="88" t="n">
        <f aca="false">SUMIF($D$40:$D$219,2034,AL$40:AL$219)</f>
        <v>69.64105512634</v>
      </c>
      <c r="M229" s="88" t="n">
        <f aca="false">SUMIF($D$40:$D$219,2035,AL$40:AL$219)</f>
        <v>67.296130299669</v>
      </c>
      <c r="N229" s="88" t="n">
        <f aca="false">SUMIF($D$40:$D$219,2036,AL$40:AL$219)</f>
        <v>50.9780232866705</v>
      </c>
      <c r="O229" s="88" t="n">
        <f aca="false">SUMIF($D$40:$D$219,2037,AL$40:AL$219)</f>
        <v>50.5604339339756</v>
      </c>
      <c r="P229" s="88" t="n">
        <f aca="false">SUMIF($D$40:$D$219,2038,AL$40:AL$219)</f>
        <v>49.9501110338832</v>
      </c>
      <c r="Q229" s="88" t="n">
        <f aca="false">SUMIF($D$40:$D$219,2039,AL$40:AL$219)</f>
        <v>49.5003994232887</v>
      </c>
      <c r="R229" s="88" t="n">
        <f aca="false">SUMIF($D$40:$D$219,2040,AL$40:AL$219)</f>
        <v>48.9864432968951</v>
      </c>
    </row>
    <row r="230" customFormat="false" ht="15" hidden="false" customHeight="false" outlineLevel="0" collapsed="false">
      <c r="A230" s="0" t="s">
        <v>168</v>
      </c>
      <c r="C230" s="88" t="n">
        <f aca="false">SUMIF($D$40:$D$219,0,AR$40:AR$219)</f>
        <v>0</v>
      </c>
      <c r="D230" s="88" t="n">
        <f aca="false">SUMIF($D$40:$D$219,2026,AR$40:AR$219)</f>
        <v>135.974929383581</v>
      </c>
      <c r="E230" s="88" t="n">
        <f aca="false">SUMIF($D$40:$D$219,2027,AR$40:AR$219)</f>
        <v>583.892343823612</v>
      </c>
      <c r="F230" s="88" t="n">
        <f aca="false">SUMIF($D$40:$D$219,2028,AR$40:AR$219)</f>
        <v>583.892343823612</v>
      </c>
      <c r="G230" s="88" t="n">
        <f aca="false">SUMIF($D$40:$D$219,2029,AR$40:AR$219)</f>
        <v>583.892343823612</v>
      </c>
      <c r="H230" s="88" t="n">
        <f aca="false">SUMIF($D$40:$D$219,2030,AR$40:AR$219)</f>
        <v>583.892343823612</v>
      </c>
      <c r="I230" s="88" t="n">
        <f aca="false">SUMIF($D$40:$D$219,2031,AR$40:AR$219)</f>
        <v>296.945484731314</v>
      </c>
      <c r="J230" s="88" t="n">
        <f aca="false">SUMIF($D$40:$D$219,2032,AR$40:AR$219)</f>
        <v>296.945484731314</v>
      </c>
      <c r="K230" s="88" t="n">
        <f aca="false">SUMIF($D$40:$D$219,2033,AR$40:AR$219)</f>
        <v>296.945484731314</v>
      </c>
      <c r="L230" s="88" t="n">
        <f aca="false">SUMIF($D$40:$D$219,2034,AR$40:AR$219)</f>
        <v>296.945484731314</v>
      </c>
      <c r="M230" s="88" t="n">
        <f aca="false">SUMIF($D$40:$D$219,2035,AR$40:AR$219)</f>
        <v>286.946859092298</v>
      </c>
      <c r="N230" s="88" t="n">
        <f aca="false">SUMIF($D$40:$D$219,2036,AR$40:AR$219)</f>
        <v>217.36738204271</v>
      </c>
      <c r="O230" s="88" t="n">
        <f aca="false">SUMIF($D$40:$D$219,2037,AR$40:AR$219)</f>
        <v>215.586804874118</v>
      </c>
      <c r="P230" s="88" t="n">
        <f aca="false">SUMIF($D$40:$D$219,2038,AR$40:AR$219)</f>
        <v>212.984422858484</v>
      </c>
      <c r="Q230" s="88" t="n">
        <f aca="false">SUMIF($D$40:$D$219,2039,AR$40:AR$219)</f>
        <v>211.066878215385</v>
      </c>
      <c r="R230" s="88" t="n">
        <f aca="false">SUMIF($D$40:$D$219,2040,AR$40:AR$219)</f>
        <v>208.875398623272</v>
      </c>
    </row>
    <row r="231" customFormat="false" ht="15" hidden="false" customHeight="false" outlineLevel="0" collapsed="false">
      <c r="A231" s="0" t="s">
        <v>170</v>
      </c>
      <c r="C231" s="88" t="n">
        <f aca="false">SUMIF($D$40:$D$219,0,AX$40:AX$219)</f>
        <v>0</v>
      </c>
      <c r="D231" s="88" t="n">
        <f aca="false">SUMIF($D$40:$D$219,2026,AX$40:AX$219)</f>
        <v>15.7724024552412</v>
      </c>
      <c r="E231" s="88" t="n">
        <f aca="false">SUMIF($D$40:$D$219,2027,AX$40:AX$219)</f>
        <v>67.7285517195652</v>
      </c>
      <c r="F231" s="88" t="n">
        <f aca="false">SUMIF($D$40:$D$219,2028,AX$40:AX$219)</f>
        <v>67.7285517195652</v>
      </c>
      <c r="G231" s="88" t="n">
        <f aca="false">SUMIF($D$40:$D$219,2029,AX$40:AX$219)</f>
        <v>67.7285517195652</v>
      </c>
      <c r="H231" s="88" t="n">
        <f aca="false">SUMIF($D$40:$D$219,2030,AX$40:AX$219)</f>
        <v>67.7285517195652</v>
      </c>
      <c r="I231" s="88" t="n">
        <f aca="false">SUMIF($D$40:$D$219,2031,AX$40:AX$219)</f>
        <v>34.4441708017868</v>
      </c>
      <c r="J231" s="88" t="n">
        <f aca="false">SUMIF($D$40:$D$219,2032,AX$40:AX$219)</f>
        <v>34.4441708017868</v>
      </c>
      <c r="K231" s="88" t="n">
        <f aca="false">SUMIF($D$40:$D$219,2033,AX$40:AX$219)</f>
        <v>34.4441708017868</v>
      </c>
      <c r="L231" s="88" t="n">
        <f aca="false">SUMIF($D$40:$D$219,2034,AX$40:AX$219)</f>
        <v>34.4441708017868</v>
      </c>
      <c r="M231" s="88" t="n">
        <f aca="false">SUMIF($D$40:$D$219,2035,AX$40:AX$219)</f>
        <v>33.2843809177783</v>
      </c>
      <c r="N231" s="88" t="n">
        <f aca="false">SUMIF($D$40:$D$219,2036,AX$40:AX$219)</f>
        <v>25.2135143276918</v>
      </c>
      <c r="O231" s="88" t="n">
        <f aca="false">SUMIF($D$40:$D$219,2037,AX$40:AX$219)</f>
        <v>25.0069764031423</v>
      </c>
      <c r="P231" s="88" t="n">
        <f aca="false">SUMIF($D$40:$D$219,2038,AX$40:AX$219)</f>
        <v>24.7051132826469</v>
      </c>
      <c r="Q231" s="88" t="n">
        <f aca="false">SUMIF($D$40:$D$219,2039,AX$40:AX$219)</f>
        <v>24.4826878254398</v>
      </c>
      <c r="R231" s="88" t="n">
        <f aca="false">SUMIF($D$40:$D$219,2040,AX$40:AX$219)</f>
        <v>24.2284873029174</v>
      </c>
    </row>
    <row r="232" customFormat="false" ht="15" hidden="false" customHeight="false" outlineLevel="0" collapsed="false">
      <c r="A232" s="0" t="s">
        <v>172</v>
      </c>
      <c r="C232" s="88" t="n">
        <f aca="false">SUMIF($D$40:$D$219,0,BD$40:BD$219)</f>
        <v>0</v>
      </c>
      <c r="D232" s="88" t="n">
        <f aca="false">SUMIF($D$40:$D$219,2026,BD$40:BD$219)</f>
        <v>78.3794649982923</v>
      </c>
      <c r="E232" s="88" t="n">
        <f aca="false">SUMIF($D$40:$D$219,2027,BD$40:BD$219)</f>
        <v>336.570643816196</v>
      </c>
      <c r="F232" s="88" t="n">
        <f aca="false">SUMIF($D$40:$D$219,2028,BD$40:BD$219)</f>
        <v>336.570643816196</v>
      </c>
      <c r="G232" s="88" t="n">
        <f aca="false">SUMIF($D$40:$D$219,2029,BD$40:BD$219)</f>
        <v>336.570643816196</v>
      </c>
      <c r="H232" s="88" t="n">
        <f aca="false">SUMIF($D$40:$D$219,2030,BD$40:BD$219)</f>
        <v>336.570643816196</v>
      </c>
      <c r="I232" s="88" t="n">
        <f aca="false">SUMIF($D$40:$D$219,2031,BD$40:BD$219)</f>
        <v>171.167055077062</v>
      </c>
      <c r="J232" s="88" t="n">
        <f aca="false">SUMIF($D$40:$D$219,2032,BD$40:BD$219)</f>
        <v>171.167055077062</v>
      </c>
      <c r="K232" s="88" t="n">
        <f aca="false">SUMIF($D$40:$D$219,2033,BD$40:BD$219)</f>
        <v>171.167055077062</v>
      </c>
      <c r="L232" s="88" t="n">
        <f aca="false">SUMIF($D$40:$D$219,2034,BD$40:BD$219)</f>
        <v>171.167055077062</v>
      </c>
      <c r="M232" s="88" t="n">
        <f aca="false">SUMIF($D$40:$D$219,2035,BD$40:BD$219)</f>
        <v>165.403588739135</v>
      </c>
      <c r="N232" s="88" t="n">
        <f aca="false">SUMIF($D$40:$D$219,2036,BD$40:BD$219)</f>
        <v>125.296179154657</v>
      </c>
      <c r="O232" s="88" t="n">
        <f aca="false">SUMIF($D$40:$D$219,2037,BD$40:BD$219)</f>
        <v>124.269808436944</v>
      </c>
      <c r="P232" s="88" t="n">
        <f aca="false">SUMIF($D$40:$D$219,2038,BD$40:BD$219)</f>
        <v>122.76972815721</v>
      </c>
      <c r="Q232" s="88" t="n">
        <f aca="false">SUMIF($D$40:$D$219,2039,BD$40:BD$219)</f>
        <v>121.664405845827</v>
      </c>
      <c r="R232" s="88" t="n">
        <f aca="false">SUMIF($D$40:$D$219,2040,BD$40:BD$219)</f>
        <v>120.401180347103</v>
      </c>
    </row>
    <row r="233" customFormat="false" ht="15" hidden="false" customHeight="false" outlineLevel="0" collapsed="false">
      <c r="A233" s="0" t="s">
        <v>174</v>
      </c>
      <c r="C233" s="88" t="n">
        <f aca="false">SUMIF($D$40:$D$219,0,BJ$40:BJ$219)</f>
        <v>0</v>
      </c>
      <c r="D233" s="88" t="n">
        <f aca="false">SUMIF($D$40:$D$219,2026,BJ$40:BJ$219)</f>
        <v>42.974281864499</v>
      </c>
      <c r="E233" s="88" t="n">
        <f aca="false">SUMIF($D$40:$D$219,2027,BJ$40:BJ$219)</f>
        <v>184.536622124025</v>
      </c>
      <c r="F233" s="88" t="n">
        <f aca="false">SUMIF($D$40:$D$219,2028,BJ$40:BJ$219)</f>
        <v>184.536622124025</v>
      </c>
      <c r="G233" s="88" t="n">
        <f aca="false">SUMIF($D$40:$D$219,2029,BJ$40:BJ$219)</f>
        <v>184.536622124025</v>
      </c>
      <c r="H233" s="88" t="n">
        <f aca="false">SUMIF($D$40:$D$219,2030,BJ$40:BJ$219)</f>
        <v>184.536622124025</v>
      </c>
      <c r="I233" s="88" t="n">
        <f aca="false">SUMIF($D$40:$D$219,2031,BJ$40:BJ$219)</f>
        <v>93.8483220185048</v>
      </c>
      <c r="J233" s="88" t="n">
        <f aca="false">SUMIF($D$40:$D$219,2032,BJ$40:BJ$219)</f>
        <v>93.8483220185048</v>
      </c>
      <c r="K233" s="88" t="n">
        <f aca="false">SUMIF($D$40:$D$219,2033,BJ$40:BJ$219)</f>
        <v>93.8483220185048</v>
      </c>
      <c r="L233" s="88" t="n">
        <f aca="false">SUMIF($D$40:$D$219,2034,BJ$40:BJ$219)</f>
        <v>93.8483220185048</v>
      </c>
      <c r="M233" s="88" t="n">
        <f aca="false">SUMIF($D$40:$D$219,2035,BJ$40:BJ$219)</f>
        <v>90.6883001055201</v>
      </c>
      <c r="N233" s="88" t="n">
        <f aca="false">SUMIF($D$40:$D$219,2036,BJ$40:BJ$219)</f>
        <v>68.6980106288594</v>
      </c>
      <c r="O233" s="88" t="n">
        <f aca="false">SUMIF($D$40:$D$219,2037,BJ$40:BJ$219)</f>
        <v>68.1352670005197</v>
      </c>
      <c r="P233" s="88" t="n">
        <f aca="false">SUMIF($D$40:$D$219,2038,BJ$40:BJ$219)</f>
        <v>67.3127955437154</v>
      </c>
      <c r="Q233" s="88" t="n">
        <f aca="false">SUMIF($D$40:$D$219,2039,BJ$40:BJ$219)</f>
        <v>66.7067639439649</v>
      </c>
      <c r="R233" s="88" t="n">
        <f aca="false">SUMIF($D$40:$D$219,2040,BJ$40:BJ$219)</f>
        <v>66.0141564013929</v>
      </c>
    </row>
    <row r="234" customFormat="false" ht="15" hidden="false" customHeight="false" outlineLevel="0" collapsed="false">
      <c r="A234" s="0" t="s">
        <v>176</v>
      </c>
      <c r="C234" s="88" t="n">
        <f aca="false">SUMIF($D$40:$D$219,0,BP$40:BP$219)</f>
        <v>0</v>
      </c>
      <c r="D234" s="88" t="n">
        <f aca="false">SUMIF($D$40:$D$219,2026,BP$40:BP$219)</f>
        <v>13.4293540978956</v>
      </c>
      <c r="E234" s="88" t="n">
        <f aca="false">SUMIF($D$40:$D$219,2027,BP$40:BP$219)</f>
        <v>57.667226420375</v>
      </c>
      <c r="F234" s="88" t="n">
        <f aca="false">SUMIF($D$40:$D$219,2028,BP$40:BP$219)</f>
        <v>57.667226420375</v>
      </c>
      <c r="G234" s="88" t="n">
        <f aca="false">SUMIF($D$40:$D$219,2029,BP$40:BP$219)</f>
        <v>57.667226420375</v>
      </c>
      <c r="H234" s="88" t="n">
        <f aca="false">SUMIF($D$40:$D$219,2030,BP$40:BP$219)</f>
        <v>57.667226420375</v>
      </c>
      <c r="I234" s="88" t="n">
        <f aca="false">SUMIF($D$40:$D$219,2031,BP$40:BP$219)</f>
        <v>29.3273626271107</v>
      </c>
      <c r="J234" s="88" t="n">
        <f aca="false">SUMIF($D$40:$D$219,2032,BP$40:BP$219)</f>
        <v>29.3273626271107</v>
      </c>
      <c r="K234" s="88" t="n">
        <f aca="false">SUMIF($D$40:$D$219,2033,BP$40:BP$219)</f>
        <v>29.3273626271107</v>
      </c>
      <c r="L234" s="88" t="n">
        <f aca="false">SUMIF($D$40:$D$219,2034,BP$40:BP$219)</f>
        <v>29.3273626271107</v>
      </c>
      <c r="M234" s="88" t="n">
        <f aca="false">SUMIF($D$40:$D$219,2035,BP$40:BP$219)</f>
        <v>28.3398637932643</v>
      </c>
      <c r="N234" s="88" t="n">
        <f aca="false">SUMIF($D$40:$D$219,2036,BP$40:BP$219)</f>
        <v>21.4679541001959</v>
      </c>
      <c r="O234" s="88" t="n">
        <f aca="false">SUMIF($D$40:$D$219,2037,BP$40:BP$219)</f>
        <v>21.2920981434835</v>
      </c>
      <c r="P234" s="88" t="n">
        <f aca="false">SUMIF($D$40:$D$219,2038,BP$40:BP$219)</f>
        <v>21.0350778990577</v>
      </c>
      <c r="Q234" s="88" t="n">
        <f aca="false">SUMIF($D$40:$D$219,2039,BP$40:BP$219)</f>
        <v>20.8456945610598</v>
      </c>
      <c r="R234" s="88" t="n">
        <f aca="false">SUMIF($D$40:$D$219,2040,BP$40:BP$219)</f>
        <v>20.6292564604907</v>
      </c>
    </row>
    <row r="235" customFormat="false" ht="15" hidden="false" customHeight="false" outlineLevel="0" collapsed="false">
      <c r="A235" s="0" t="s">
        <v>179</v>
      </c>
      <c r="C235" s="88" t="n">
        <f aca="false">SUMIF($D$40:$D$219,0,BV$40:BV$219)</f>
        <v>0</v>
      </c>
      <c r="D235" s="88" t="n">
        <f aca="false">SUMIF($D$40:$D$219,2026,BV$40:BV$219)</f>
        <v>7.96499622357943</v>
      </c>
      <c r="E235" s="88" t="n">
        <f aca="false">SUMIF($D$40:$D$219,2027,BV$40:BV$219)</f>
        <v>34.2026308424293</v>
      </c>
      <c r="F235" s="88" t="n">
        <f aca="false">SUMIF($D$40:$D$219,2028,BV$40:BV$219)</f>
        <v>34.2026308424293</v>
      </c>
      <c r="G235" s="88" t="n">
        <f aca="false">SUMIF($D$40:$D$219,2029,BV$40:BV$219)</f>
        <v>34.2026308424293</v>
      </c>
      <c r="H235" s="88" t="n">
        <f aca="false">SUMIF($D$40:$D$219,2030,BV$40:BV$219)</f>
        <v>34.2026308424293</v>
      </c>
      <c r="I235" s="88" t="n">
        <f aca="false">SUMIF($D$40:$D$219,2031,BV$40:BV$219)</f>
        <v>17.394159902976</v>
      </c>
      <c r="J235" s="88" t="n">
        <f aca="false">SUMIF($D$40:$D$219,2032,BV$40:BV$219)</f>
        <v>17.394159902976</v>
      </c>
      <c r="K235" s="88" t="n">
        <f aca="false">SUMIF($D$40:$D$219,2033,BV$40:BV$219)</f>
        <v>17.394159902976</v>
      </c>
      <c r="L235" s="88" t="n">
        <f aca="false">SUMIF($D$40:$D$219,2034,BV$40:BV$219)</f>
        <v>17.394159902976</v>
      </c>
      <c r="M235" s="88" t="n">
        <f aca="false">SUMIF($D$40:$D$219,2035,BV$40:BV$219)</f>
        <v>16.8084709394533</v>
      </c>
      <c r="N235" s="88" t="n">
        <f aca="false">SUMIF($D$40:$D$219,2036,BV$40:BV$219)</f>
        <v>12.7327176042541</v>
      </c>
      <c r="O235" s="88" t="n">
        <f aca="false">SUMIF($D$40:$D$219,2037,BV$40:BV$219)</f>
        <v>12.6284168299282</v>
      </c>
      <c r="P235" s="88" t="n">
        <f aca="false">SUMIF($D$40:$D$219,2038,BV$40:BV$219)</f>
        <v>12.4759772366825</v>
      </c>
      <c r="Q235" s="88" t="n">
        <f aca="false">SUMIF($D$40:$D$219,2039,BV$40:BV$219)</f>
        <v>12.36365332587</v>
      </c>
      <c r="R235" s="88" t="n">
        <f aca="false">SUMIF($D$40:$D$219,2040,BV$40:BV$219)</f>
        <v>12.2352831420842</v>
      </c>
    </row>
    <row r="236" customFormat="false" ht="15" hidden="false" customHeight="false" outlineLevel="0" collapsed="false">
      <c r="A236" s="0" t="s">
        <v>181</v>
      </c>
      <c r="C236" s="88" t="n">
        <f aca="false">SUMIF($D$40:$D$219,0,CB$40:CB$219)</f>
        <v>0</v>
      </c>
      <c r="D236" s="88" t="n">
        <f aca="false">SUMIF($D$40:$D$219,2026,CB$40:CB$219)</f>
        <v>13.058889157264</v>
      </c>
      <c r="E236" s="88" t="n">
        <f aca="false">SUMIF($D$40:$D$219,2027,CB$40:CB$219)</f>
        <v>56.0764063811923</v>
      </c>
      <c r="F236" s="88" t="n">
        <f aca="false">SUMIF($D$40:$D$219,2028,CB$40:CB$219)</f>
        <v>56.0764063811923</v>
      </c>
      <c r="G236" s="88" t="n">
        <f aca="false">SUMIF($D$40:$D$219,2029,CB$40:CB$219)</f>
        <v>56.0764063811923</v>
      </c>
      <c r="H236" s="88" t="n">
        <f aca="false">SUMIF($D$40:$D$219,2030,CB$40:CB$219)</f>
        <v>56.0764063811923</v>
      </c>
      <c r="I236" s="88" t="n">
        <f aca="false">SUMIF($D$40:$D$219,2031,CB$40:CB$219)</f>
        <v>28.5183319339491</v>
      </c>
      <c r="J236" s="88" t="n">
        <f aca="false">SUMIF($D$40:$D$219,2032,CB$40:CB$219)</f>
        <v>28.5183319339491</v>
      </c>
      <c r="K236" s="88" t="n">
        <f aca="false">SUMIF($D$40:$D$219,2033,CB$40:CB$219)</f>
        <v>28.5183319339491</v>
      </c>
      <c r="L236" s="88" t="n">
        <f aca="false">SUMIF($D$40:$D$219,2034,CB$40:CB$219)</f>
        <v>28.5183319339491</v>
      </c>
      <c r="M236" s="88" t="n">
        <f aca="false">SUMIF($D$40:$D$219,2035,CB$40:CB$219)</f>
        <v>27.5580744472432</v>
      </c>
      <c r="N236" s="88" t="n">
        <f aca="false">SUMIF($D$40:$D$219,2036,CB$40:CB$219)</f>
        <v>20.8757346767422</v>
      </c>
      <c r="O236" s="88" t="n">
        <f aca="false">SUMIF($D$40:$D$219,2037,CB$40:CB$219)</f>
        <v>20.7047299188357</v>
      </c>
      <c r="P236" s="88" t="n">
        <f aca="false">SUMIF($D$40:$D$219,2038,CB$40:CB$219)</f>
        <v>20.4547998880493</v>
      </c>
      <c r="Q236" s="88" t="n">
        <f aca="false">SUMIF($D$40:$D$219,2039,CB$40:CB$219)</f>
        <v>20.2706409179961</v>
      </c>
      <c r="R236" s="88" t="n">
        <f aca="false">SUMIF($D$40:$D$219,2040,CB$40:CB$219)</f>
        <v>20.0601735236496</v>
      </c>
    </row>
    <row r="237" customFormat="false" ht="15" hidden="false" customHeight="false" outlineLevel="0" collapsed="false">
      <c r="A237" s="0" t="s">
        <v>183</v>
      </c>
      <c r="C237" s="88" t="n">
        <f aca="false">SUMIF($D$40:$D$219,0,CH$40:CH$219)</f>
        <v>0</v>
      </c>
      <c r="D237" s="88" t="n">
        <f aca="false">SUMIF($D$40:$D$219,2026,CH$40:CH$219)</f>
        <v>10.3267102201059</v>
      </c>
      <c r="E237" s="88" t="n">
        <f aca="false">SUMIF($D$40:$D$219,2027,CH$40:CH$219)</f>
        <v>44.3441085922194</v>
      </c>
      <c r="F237" s="88" t="n">
        <f aca="false">SUMIF($D$40:$D$219,2028,CH$40:CH$219)</f>
        <v>44.3441085922194</v>
      </c>
      <c r="G237" s="88" t="n">
        <f aca="false">SUMIF($D$40:$D$219,2029,CH$40:CH$219)</f>
        <v>44.3441085922194</v>
      </c>
      <c r="H237" s="88" t="n">
        <f aca="false">SUMIF($D$40:$D$219,2030,CH$40:CH$219)</f>
        <v>44.3441085922194</v>
      </c>
      <c r="I237" s="88" t="n">
        <f aca="false">SUMIF($D$40:$D$219,2031,CH$40:CH$219)</f>
        <v>22.5517305718817</v>
      </c>
      <c r="J237" s="88" t="n">
        <f aca="false">SUMIF($D$40:$D$219,2032,CH$40:CH$219)</f>
        <v>22.5517305718817</v>
      </c>
      <c r="K237" s="88" t="n">
        <f aca="false">SUMIF($D$40:$D$219,2033,CH$40:CH$219)</f>
        <v>22.5517305718817</v>
      </c>
      <c r="L237" s="88" t="n">
        <f aca="false">SUMIF($D$40:$D$219,2034,CH$40:CH$219)</f>
        <v>22.5517305718817</v>
      </c>
      <c r="M237" s="88" t="n">
        <f aca="false">SUMIF($D$40:$D$219,2035,CH$40:CH$219)</f>
        <v>21.7923780203377</v>
      </c>
      <c r="N237" s="88" t="n">
        <f aca="false">SUMIF($D$40:$D$219,2036,CH$40:CH$219)</f>
        <v>16.5081164287713</v>
      </c>
      <c r="O237" s="88" t="n">
        <f aca="false">SUMIF($D$40:$D$219,2037,CH$40:CH$219)</f>
        <v>16.372889262058</v>
      </c>
      <c r="P237" s="88" t="n">
        <f aca="false">SUMIF($D$40:$D$219,2038,CH$40:CH$219)</f>
        <v>16.1752495568616</v>
      </c>
      <c r="Q237" s="88" t="n">
        <f aca="false">SUMIF($D$40:$D$219,2039,CH$40:CH$219)</f>
        <v>16.0296203004012</v>
      </c>
      <c r="R237" s="88" t="n">
        <f aca="false">SUMIF($D$40:$D$219,2040,CH$40:CH$219)</f>
        <v>15.8631868644463</v>
      </c>
    </row>
    <row r="238" customFormat="false" ht="15" hidden="false" customHeight="false" outlineLevel="0" collapsed="false">
      <c r="A238" s="0" t="s">
        <v>185</v>
      </c>
      <c r="C238" s="88" t="n">
        <f aca="false">SUMIF($D$40:$D$219,0,CN$40:CN$219)</f>
        <v>0</v>
      </c>
      <c r="D238" s="88" t="n">
        <f aca="false">SUMIF($D$40:$D$219,2026,CN$40:CN$219)</f>
        <v>44.9651821691606</v>
      </c>
      <c r="E238" s="88" t="n">
        <f aca="false">SUMIF($D$40:$D$219,2027,CN$40:CN$219)</f>
        <v>193.085782255808</v>
      </c>
      <c r="F238" s="88" t="n">
        <f aca="false">SUMIF($D$40:$D$219,2028,CN$40:CN$219)</f>
        <v>193.085782255808</v>
      </c>
      <c r="G238" s="88" t="n">
        <f aca="false">SUMIF($D$40:$D$219,2029,CN$40:CN$219)</f>
        <v>193.085782255808</v>
      </c>
      <c r="H238" s="88" t="n">
        <f aca="false">SUMIF($D$40:$D$219,2030,CN$40:CN$219)</f>
        <v>193.085782255808</v>
      </c>
      <c r="I238" s="88" t="n">
        <f aca="false">SUMIF($D$40:$D$219,2031,CN$40:CN$219)</f>
        <v>98.1961003824984</v>
      </c>
      <c r="J238" s="88" t="n">
        <f aca="false">SUMIF($D$40:$D$219,2032,CN$40:CN$219)</f>
        <v>98.1961003824984</v>
      </c>
      <c r="K238" s="88" t="n">
        <f aca="false">SUMIF($D$40:$D$219,2033,CN$40:CN$219)</f>
        <v>98.1961003824984</v>
      </c>
      <c r="L238" s="88" t="n">
        <f aca="false">SUMIF($D$40:$D$219,2034,CN$40:CN$219)</f>
        <v>98.1961003824984</v>
      </c>
      <c r="M238" s="88" t="n">
        <f aca="false">SUMIF($D$40:$D$219,2035,CN$40:CN$219)</f>
        <v>94.8896818733091</v>
      </c>
      <c r="N238" s="88" t="n">
        <f aca="false">SUMIF($D$40:$D$219,2036,CN$40:CN$219)</f>
        <v>71.8806325216905</v>
      </c>
      <c r="O238" s="88" t="n">
        <f aca="false">SUMIF($D$40:$D$219,2037,CN$40:CN$219)</f>
        <v>71.2918182666294</v>
      </c>
      <c r="P238" s="88" t="n">
        <f aca="false">SUMIF($D$40:$D$219,2038,CN$40:CN$219)</f>
        <v>70.4312435861554</v>
      </c>
      <c r="Q238" s="88" t="n">
        <f aca="false">SUMIF($D$40:$D$219,2039,CN$40:CN$219)</f>
        <v>69.7971359268589</v>
      </c>
      <c r="R238" s="88" t="n">
        <f aca="false">SUMIF($D$40:$D$219,2040,CN$40:CN$219)</f>
        <v>69.0724414590913</v>
      </c>
    </row>
    <row r="239" customFormat="false" ht="15" hidden="false" customHeight="false" outlineLevel="0" collapsed="false">
      <c r="A239" s="0" t="s">
        <v>187</v>
      </c>
      <c r="C239" s="88" t="n">
        <f aca="false">SUMIF($D$40:$D$219,0,CT$40:CT$219)</f>
        <v>0</v>
      </c>
      <c r="D239" s="88" t="n">
        <f aca="false">SUMIF($D$40:$D$219,2026,CT$40:CT$219)</f>
        <v>9.35423975094794</v>
      </c>
      <c r="E239" s="88" t="n">
        <f aca="false">SUMIF($D$40:$D$219,2027,CT$40:CT$219)</f>
        <v>40.1682059893647</v>
      </c>
      <c r="F239" s="88" t="n">
        <f aca="false">SUMIF($D$40:$D$219,2028,CT$40:CT$219)</f>
        <v>40.1682059893647</v>
      </c>
      <c r="G239" s="88" t="n">
        <f aca="false">SUMIF($D$40:$D$219,2029,CT$40:CT$219)</f>
        <v>40.1682059893647</v>
      </c>
      <c r="H239" s="88" t="n">
        <f aca="false">SUMIF($D$40:$D$219,2030,CT$40:CT$219)</f>
        <v>40.1682059893647</v>
      </c>
      <c r="I239" s="88" t="n">
        <f aca="false">SUMIF($D$40:$D$219,2031,CT$40:CT$219)</f>
        <v>20.4280250023323</v>
      </c>
      <c r="J239" s="88" t="n">
        <f aca="false">SUMIF($D$40:$D$219,2032,CT$40:CT$219)</f>
        <v>20.4280250023323</v>
      </c>
      <c r="K239" s="88" t="n">
        <f aca="false">SUMIF($D$40:$D$219,2033,CT$40:CT$219)</f>
        <v>20.4280250023323</v>
      </c>
      <c r="L239" s="88" t="n">
        <f aca="false">SUMIF($D$40:$D$219,2034,CT$40:CT$219)</f>
        <v>20.4280250023323</v>
      </c>
      <c r="M239" s="88" t="n">
        <f aca="false">SUMIF($D$40:$D$219,2035,CT$40:CT$219)</f>
        <v>19.7401809870324</v>
      </c>
      <c r="N239" s="88" t="n">
        <f aca="false">SUMIF($D$40:$D$219,2036,CT$40:CT$219)</f>
        <v>14.9535404422054</v>
      </c>
      <c r="O239" s="88" t="n">
        <f aca="false">SUMIF($D$40:$D$219,2037,CT$40:CT$219)</f>
        <v>14.8310476723575</v>
      </c>
      <c r="P239" s="88" t="n">
        <f aca="false">SUMIF($D$40:$D$219,2038,CT$40:CT$219)</f>
        <v>14.6520197779644</v>
      </c>
      <c r="Q239" s="88" t="n">
        <f aca="false">SUMIF($D$40:$D$219,2039,CT$40:CT$219)</f>
        <v>14.5201044873589</v>
      </c>
      <c r="R239" s="88" t="n">
        <f aca="false">SUMIF($D$40:$D$219,2040,CT$40:CT$219)</f>
        <v>14.3693441552384</v>
      </c>
    </row>
    <row r="240" customFormat="false" ht="15" hidden="false" customHeight="false" outlineLevel="0" collapsed="false">
      <c r="A240" s="0" t="s">
        <v>189</v>
      </c>
      <c r="C240" s="88" t="n">
        <f aca="false">SUMIF($D$40:$D$219,0,CZ$40:CZ$219)</f>
        <v>0</v>
      </c>
      <c r="D240" s="88" t="n">
        <f aca="false">SUMIF($D$40:$D$219,2026,CZ$40:CZ$219)</f>
        <v>9.26162351579004</v>
      </c>
      <c r="E240" s="88" t="n">
        <f aca="false">SUMIF($D$40:$D$219,2027,CZ$40:CZ$219)</f>
        <v>39.770500979569</v>
      </c>
      <c r="F240" s="88" t="n">
        <f aca="false">SUMIF($D$40:$D$219,2028,CZ$40:CZ$219)</f>
        <v>39.770500979569</v>
      </c>
      <c r="G240" s="88" t="n">
        <f aca="false">SUMIF($D$40:$D$219,2029,CZ$40:CZ$219)</f>
        <v>39.770500979569</v>
      </c>
      <c r="H240" s="88" t="n">
        <f aca="false">SUMIF($D$40:$D$219,2030,CZ$40:CZ$219)</f>
        <v>39.770500979569</v>
      </c>
      <c r="I240" s="88" t="n">
        <f aca="false">SUMIF($D$40:$D$219,2031,CZ$40:CZ$219)</f>
        <v>20.2257673290419</v>
      </c>
      <c r="J240" s="88" t="n">
        <f aca="false">SUMIF($D$40:$D$219,2032,CZ$40:CZ$219)</f>
        <v>20.2257673290419</v>
      </c>
      <c r="K240" s="88" t="n">
        <f aca="false">SUMIF($D$40:$D$219,2033,CZ$40:CZ$219)</f>
        <v>20.2257673290419</v>
      </c>
      <c r="L240" s="88" t="n">
        <f aca="false">SUMIF($D$40:$D$219,2034,CZ$40:CZ$219)</f>
        <v>20.2257673290419</v>
      </c>
      <c r="M240" s="88" t="n">
        <f aca="false">SUMIF($D$40:$D$219,2035,CZ$40:CZ$219)</f>
        <v>19.5447336505271</v>
      </c>
      <c r="N240" s="88" t="n">
        <f aca="false">SUMIF($D$40:$D$219,2036,CZ$40:CZ$219)</f>
        <v>14.805485586342</v>
      </c>
      <c r="O240" s="88" t="n">
        <f aca="false">SUMIF($D$40:$D$219,2037,CZ$40:CZ$219)</f>
        <v>14.6842056161955</v>
      </c>
      <c r="P240" s="88" t="n">
        <f aca="false">SUMIF($D$40:$D$219,2038,CZ$40:CZ$219)</f>
        <v>14.5069502752122</v>
      </c>
      <c r="Q240" s="88" t="n">
        <f aca="false">SUMIF($D$40:$D$219,2039,CZ$40:CZ$219)</f>
        <v>14.376341076593</v>
      </c>
      <c r="R240" s="88" t="n">
        <f aca="false">SUMIF($D$40:$D$219,2040,CZ$40:CZ$219)</f>
        <v>14.2270734210281</v>
      </c>
    </row>
    <row r="241" customFormat="false" ht="15" hidden="false" customHeight="false" outlineLevel="0" collapsed="false">
      <c r="A241" s="0" t="s">
        <v>192</v>
      </c>
      <c r="C241" s="88" t="n">
        <f aca="false">SUMIF($D$40:$D$219,0,DF$40:DF$219)</f>
        <v>0</v>
      </c>
      <c r="D241" s="88" t="n">
        <f aca="false">SUMIF($D$40:$D$219,2026,DF$40:DF$219)</f>
        <v>7.54822316536888</v>
      </c>
      <c r="E241" s="88" t="n">
        <f aca="false">SUMIF($D$40:$D$219,2027,DF$40:DF$219)</f>
        <v>32.4129582983487</v>
      </c>
      <c r="F241" s="88" t="n">
        <f aca="false">SUMIF($D$40:$D$219,2028,DF$40:DF$219)</f>
        <v>32.4129582983487</v>
      </c>
      <c r="G241" s="88" t="n">
        <f aca="false">SUMIF($D$40:$D$219,2029,DF$40:DF$219)</f>
        <v>32.4129582983487</v>
      </c>
      <c r="H241" s="88" t="n">
        <f aca="false">SUMIF($D$40:$D$219,2030,DF$40:DF$219)</f>
        <v>32.4129582983487</v>
      </c>
      <c r="I241" s="88" t="n">
        <f aca="false">SUMIF($D$40:$D$219,2031,DF$40:DF$219)</f>
        <v>16.4840003731691</v>
      </c>
      <c r="J241" s="88" t="n">
        <f aca="false">SUMIF($D$40:$D$219,2032,DF$40:DF$219)</f>
        <v>16.4840003731691</v>
      </c>
      <c r="K241" s="88" t="n">
        <f aca="false">SUMIF($D$40:$D$219,2033,DF$40:DF$219)</f>
        <v>16.4840003731691</v>
      </c>
      <c r="L241" s="88" t="n">
        <f aca="false">SUMIF($D$40:$D$219,2034,DF$40:DF$219)</f>
        <v>16.4840003731691</v>
      </c>
      <c r="M241" s="88" t="n">
        <f aca="false">SUMIF($D$40:$D$219,2035,DF$40:DF$219)</f>
        <v>15.9289579251796</v>
      </c>
      <c r="N241" s="88" t="n">
        <f aca="false">SUMIF($D$40:$D$219,2036,DF$40:DF$219)</f>
        <v>12.0664707528687</v>
      </c>
      <c r="O241" s="88" t="n">
        <f aca="false">SUMIF($D$40:$D$219,2037,DF$40:DF$219)</f>
        <v>11.9676275771994</v>
      </c>
      <c r="P241" s="88" t="n">
        <f aca="false">SUMIF($D$40:$D$219,2038,DF$40:DF$219)</f>
        <v>11.823164474298</v>
      </c>
      <c r="Q241" s="88" t="n">
        <f aca="false">SUMIF($D$40:$D$219,2039,DF$40:DF$219)</f>
        <v>11.7167179774233</v>
      </c>
      <c r="R241" s="88" t="n">
        <f aca="false">SUMIF($D$40:$D$219,2040,DF$40:DF$219)</f>
        <v>11.5950648381379</v>
      </c>
    </row>
    <row r="242" customFormat="false" ht="15" hidden="false" customHeight="false" outlineLevel="0" collapsed="false">
      <c r="A242" s="0" t="s">
        <v>194</v>
      </c>
      <c r="C242" s="88" t="n">
        <f aca="false">SUMIF($D$40:$D$219,0,DL$40:DL$219)</f>
        <v>0</v>
      </c>
      <c r="D242" s="88" t="n">
        <f aca="false">SUMIF($D$40:$D$219,2026,DL$40:DL$219)</f>
        <v>5.27912540400032</v>
      </c>
      <c r="E242" s="88" t="n">
        <f aca="false">SUMIF($D$40:$D$219,2027,DL$40:DL$219)</f>
        <v>22.6691855583543</v>
      </c>
      <c r="F242" s="88" t="n">
        <f aca="false">SUMIF($D$40:$D$219,2028,DL$40:DL$219)</f>
        <v>22.6691855583543</v>
      </c>
      <c r="G242" s="88" t="n">
        <f aca="false">SUMIF($D$40:$D$219,2029,DL$40:DL$219)</f>
        <v>22.6691855583543</v>
      </c>
      <c r="H242" s="88" t="n">
        <f aca="false">SUMIF($D$40:$D$219,2030,DL$40:DL$219)</f>
        <v>22.6691855583543</v>
      </c>
      <c r="I242" s="88" t="n">
        <f aca="false">SUMIF($D$40:$D$219,2031,DL$40:DL$219)</f>
        <v>11.5286873775539</v>
      </c>
      <c r="J242" s="88" t="n">
        <f aca="false">SUMIF($D$40:$D$219,2032,DL$40:DL$219)</f>
        <v>11.5286873775539</v>
      </c>
      <c r="K242" s="88" t="n">
        <f aca="false">SUMIF($D$40:$D$219,2033,DL$40:DL$219)</f>
        <v>11.5286873775539</v>
      </c>
      <c r="L242" s="88" t="n">
        <f aca="false">SUMIF($D$40:$D$219,2034,DL$40:DL$219)</f>
        <v>11.5286873775539</v>
      </c>
      <c r="M242" s="88" t="n">
        <f aca="false">SUMIF($D$40:$D$219,2035,DL$40:DL$219)</f>
        <v>11.1404981808004</v>
      </c>
      <c r="N242" s="88" t="n">
        <f aca="false">SUMIF($D$40:$D$219,2036,DL$40:DL$219)</f>
        <v>8.43912678421495</v>
      </c>
      <c r="O242" s="88" t="n">
        <f aca="false">SUMIF($D$40:$D$219,2037,DL$40:DL$219)</f>
        <v>8.36999720123146</v>
      </c>
      <c r="P242" s="88" t="n">
        <f aca="false">SUMIF($D$40:$D$219,2038,DL$40:DL$219)</f>
        <v>8.26896165687098</v>
      </c>
      <c r="Q242" s="88" t="n">
        <f aca="false">SUMIF($D$40:$D$219,2039,DL$40:DL$219)</f>
        <v>8.19451441365799</v>
      </c>
      <c r="R242" s="88" t="n">
        <f aca="false">SUMIF($D$40:$D$219,2040,DL$40:DL$219)</f>
        <v>8.10943184998601</v>
      </c>
    </row>
    <row r="243" customFormat="false" ht="15" hidden="false" customHeight="false" outlineLevel="0" collapsed="false">
      <c r="A243" s="0" t="s">
        <v>196</v>
      </c>
      <c r="C243" s="88" t="n">
        <f aca="false">SUMIF($D$40:$D$219,0,DR$40:DR$219)</f>
        <v>0</v>
      </c>
      <c r="D243" s="88" t="n">
        <f aca="false">SUMIF($D$40:$D$219,2026,DR$40:DR$219)</f>
        <v>4.12142246452657</v>
      </c>
      <c r="E243" s="88" t="n">
        <f aca="false">SUMIF($D$40:$D$219,2027,DR$40:DR$219)</f>
        <v>17.6978729359082</v>
      </c>
      <c r="F243" s="88" t="n">
        <f aca="false">SUMIF($D$40:$D$219,2028,DR$40:DR$219)</f>
        <v>17.6978729359082</v>
      </c>
      <c r="G243" s="88" t="n">
        <f aca="false">SUMIF($D$40:$D$219,2029,DR$40:DR$219)</f>
        <v>17.6978729359082</v>
      </c>
      <c r="H243" s="88" t="n">
        <f aca="false">SUMIF($D$40:$D$219,2030,DR$40:DR$219)</f>
        <v>17.6978729359082</v>
      </c>
      <c r="I243" s="88" t="n">
        <f aca="false">SUMIF($D$40:$D$219,2031,DR$40:DR$219)</f>
        <v>9.00046646142364</v>
      </c>
      <c r="J243" s="88" t="n">
        <f aca="false">SUMIF($D$40:$D$219,2032,DR$40:DR$219)</f>
        <v>9.00046646142364</v>
      </c>
      <c r="K243" s="88" t="n">
        <f aca="false">SUMIF($D$40:$D$219,2033,DR$40:DR$219)</f>
        <v>9.00046646142364</v>
      </c>
      <c r="L243" s="88" t="n">
        <f aca="false">SUMIF($D$40:$D$219,2034,DR$40:DR$219)</f>
        <v>9.00046646142364</v>
      </c>
      <c r="M243" s="88" t="n">
        <f aca="false">SUMIF($D$40:$D$219,2035,DR$40:DR$219)</f>
        <v>8.69740647448456</v>
      </c>
      <c r="N243" s="88" t="n">
        <f aca="false">SUMIF($D$40:$D$219,2036,DR$40:DR$219)</f>
        <v>6.5884410859222</v>
      </c>
      <c r="O243" s="88" t="n">
        <f aca="false">SUMIF($D$40:$D$219,2037,DR$40:DR$219)</f>
        <v>6.53447149920702</v>
      </c>
      <c r="P243" s="88" t="n">
        <f aca="false">SUMIF($D$40:$D$219,2038,DR$40:DR$219)</f>
        <v>6.45559287246945</v>
      </c>
      <c r="Q243" s="88" t="n">
        <f aca="false">SUMIF($D$40:$D$219,2039,DR$40:DR$219)</f>
        <v>6.39747177908387</v>
      </c>
      <c r="R243" s="88" t="n">
        <f aca="false">SUMIF($D$40:$D$219,2040,DR$40:DR$219)</f>
        <v>6.3310476723575</v>
      </c>
    </row>
    <row r="244" customFormat="false" ht="15" hidden="false" customHeight="false" outlineLevel="0" collapsed="false">
      <c r="A244" s="0" t="s">
        <v>198</v>
      </c>
      <c r="C244" s="88" t="n">
        <f aca="false">SUMIF($D$40:$D$219,0,DX$40:DX$219)</f>
        <v>0</v>
      </c>
      <c r="D244" s="88" t="n">
        <f aca="false">SUMIF($D$40:$D$219,2026,DX$40:DX$219)</f>
        <v>6.62206081378988</v>
      </c>
      <c r="E244" s="88" t="n">
        <f aca="false">SUMIF($D$40:$D$219,2027,DX$40:DX$219)</f>
        <v>28.4359082003918</v>
      </c>
      <c r="F244" s="88" t="n">
        <f aca="false">SUMIF($D$40:$D$219,2028,DX$40:DX$219)</f>
        <v>28.4359082003918</v>
      </c>
      <c r="G244" s="88" t="n">
        <f aca="false">SUMIF($D$40:$D$219,2029,DX$40:DX$219)</f>
        <v>28.4359082003918</v>
      </c>
      <c r="H244" s="88" t="n">
        <f aca="false">SUMIF($D$40:$D$219,2030,DX$40:DX$219)</f>
        <v>28.4359082003918</v>
      </c>
      <c r="I244" s="88" t="n">
        <f aca="false">SUMIF($D$40:$D$219,2031,DX$40:DX$219)</f>
        <v>14.461423640265</v>
      </c>
      <c r="J244" s="88" t="n">
        <f aca="false">SUMIF($D$40:$D$219,2032,DX$40:DX$219)</f>
        <v>14.461423640265</v>
      </c>
      <c r="K244" s="88" t="n">
        <f aca="false">SUMIF($D$40:$D$219,2033,DX$40:DX$219)</f>
        <v>14.461423640265</v>
      </c>
      <c r="L244" s="88" t="n">
        <f aca="false">SUMIF($D$40:$D$219,2034,DX$40:DX$219)</f>
        <v>14.461423640265</v>
      </c>
      <c r="M244" s="88" t="n">
        <f aca="false">SUMIF($D$40:$D$219,2035,DX$40:DX$219)</f>
        <v>13.9744845601269</v>
      </c>
      <c r="N244" s="88" t="n">
        <f aca="false">SUMIF($D$40:$D$219,2036,DX$40:DX$219)</f>
        <v>10.5859221942345</v>
      </c>
      <c r="O244" s="88" t="n">
        <f aca="false">SUMIF($D$40:$D$219,2037,DX$40:DX$219)</f>
        <v>10.4992070155798</v>
      </c>
      <c r="P244" s="88" t="n">
        <f aca="false">SUMIF($D$40:$D$219,2038,DX$40:DX$219)</f>
        <v>10.3724694467768</v>
      </c>
      <c r="Q244" s="88" t="n">
        <f aca="false">SUMIF($D$40:$D$219,2039,DX$40:DX$219)</f>
        <v>10.279083869764</v>
      </c>
      <c r="R244" s="88" t="n">
        <f aca="false">SUMIF($D$40:$D$219,2040,DX$40:DX$219)</f>
        <v>10.1723574960351</v>
      </c>
    </row>
    <row r="245" customFormat="false" ht="15" hidden="false" customHeight="false" outlineLevel="0" collapsed="false">
      <c r="A245" s="0" t="s">
        <v>200</v>
      </c>
      <c r="C245" s="88" t="n">
        <f aca="false">SUMIF($D$40:$D$219,0,ED$40:ED$219)</f>
        <v>0</v>
      </c>
      <c r="D245" s="88" t="n">
        <f aca="false">SUMIF($D$40:$D$219,2026,ED$40:ED$219)</f>
        <v>4.07511434694762</v>
      </c>
      <c r="E245" s="88" t="n">
        <f aca="false">SUMIF($D$40:$D$219,2027,ED$40:ED$219)</f>
        <v>17.4990204310104</v>
      </c>
      <c r="F245" s="88" t="n">
        <f aca="false">SUMIF($D$40:$D$219,2028,ED$40:ED$219)</f>
        <v>17.4990204310104</v>
      </c>
      <c r="G245" s="88" t="n">
        <f aca="false">SUMIF($D$40:$D$219,2029,ED$40:ED$219)</f>
        <v>17.4990204310104</v>
      </c>
      <c r="H245" s="88" t="n">
        <f aca="false">SUMIF($D$40:$D$219,2030,ED$40:ED$219)</f>
        <v>17.4990204310104</v>
      </c>
      <c r="I245" s="88" t="n">
        <f aca="false">SUMIF($D$40:$D$219,2031,ED$40:ED$219)</f>
        <v>8.89933762477843</v>
      </c>
      <c r="J245" s="88" t="n">
        <f aca="false">SUMIF($D$40:$D$219,2032,ED$40:ED$219)</f>
        <v>8.89933762477843</v>
      </c>
      <c r="K245" s="88" t="n">
        <f aca="false">SUMIF($D$40:$D$219,2033,ED$40:ED$219)</f>
        <v>8.89933762477843</v>
      </c>
      <c r="L245" s="88" t="n">
        <f aca="false">SUMIF($D$40:$D$219,2034,ED$40:ED$219)</f>
        <v>8.89933762477843</v>
      </c>
      <c r="M245" s="88" t="n">
        <f aca="false">SUMIF($D$40:$D$219,2035,ED$40:ED$219)</f>
        <v>8.59968280623193</v>
      </c>
      <c r="N245" s="88" t="n">
        <f aca="false">SUMIF($D$40:$D$219,2036,ED$40:ED$219)</f>
        <v>6.51441365799048</v>
      </c>
      <c r="O245" s="88" t="n">
        <f aca="false">SUMIF($D$40:$D$219,2037,ED$40:ED$219)</f>
        <v>6.46105047112604</v>
      </c>
      <c r="P245" s="88" t="n">
        <f aca="false">SUMIF($D$40:$D$219,2038,ED$40:ED$219)</f>
        <v>6.38305812109339</v>
      </c>
      <c r="Q245" s="88" t="n">
        <f aca="false">SUMIF($D$40:$D$219,2039,ED$40:ED$219)</f>
        <v>6.32559007370091</v>
      </c>
      <c r="R245" s="88" t="n">
        <f aca="false">SUMIF($D$40:$D$219,2040,ED$40:ED$219)</f>
        <v>6.25991230525236</v>
      </c>
    </row>
    <row r="246" customFormat="false" ht="15" hidden="false" customHeight="false" outlineLevel="0" collapsed="false">
      <c r="A246" s="0" t="s">
        <v>202</v>
      </c>
      <c r="C246" s="88" t="n">
        <f aca="false">SUMIF($D$40:$D$219,0,EJ$40:EJ$219)</f>
        <v>0</v>
      </c>
      <c r="D246" s="88" t="n">
        <f aca="false">SUMIF($D$40:$D$219,2026,EJ$40:EJ$219)</f>
        <v>5.18650916884242</v>
      </c>
      <c r="E246" s="88" t="n">
        <f aca="false">SUMIF($D$40:$D$219,2027,EJ$40:EJ$219)</f>
        <v>22.2714805485586</v>
      </c>
      <c r="F246" s="88" t="n">
        <f aca="false">SUMIF($D$40:$D$219,2028,EJ$40:EJ$219)</f>
        <v>22.2714805485586</v>
      </c>
      <c r="G246" s="88" t="n">
        <f aca="false">SUMIF($D$40:$D$219,2029,EJ$40:EJ$219)</f>
        <v>22.2714805485586</v>
      </c>
      <c r="H246" s="88" t="n">
        <f aca="false">SUMIF($D$40:$D$219,2030,EJ$40:EJ$219)</f>
        <v>22.2714805485586</v>
      </c>
      <c r="I246" s="88" t="n">
        <f aca="false">SUMIF($D$40:$D$219,2031,EJ$40:EJ$219)</f>
        <v>11.3264297042635</v>
      </c>
      <c r="J246" s="88" t="n">
        <f aca="false">SUMIF($D$40:$D$219,2032,EJ$40:EJ$219)</f>
        <v>11.3264297042635</v>
      </c>
      <c r="K246" s="88" t="n">
        <f aca="false">SUMIF($D$40:$D$219,2033,EJ$40:EJ$219)</f>
        <v>11.3264297042635</v>
      </c>
      <c r="L246" s="88" t="n">
        <f aca="false">SUMIF($D$40:$D$219,2034,EJ$40:EJ$219)</f>
        <v>11.3264297042635</v>
      </c>
      <c r="M246" s="88" t="n">
        <f aca="false">SUMIF($D$40:$D$219,2035,EJ$40:EJ$219)</f>
        <v>10.9450508442952</v>
      </c>
      <c r="N246" s="88" t="n">
        <f aca="false">SUMIF($D$40:$D$219,2036,EJ$40:EJ$219)</f>
        <v>8.29107192835153</v>
      </c>
      <c r="O246" s="88" t="n">
        <f aca="false">SUMIF($D$40:$D$219,2037,EJ$40:EJ$219)</f>
        <v>8.2231551450695</v>
      </c>
      <c r="P246" s="88" t="n">
        <f aca="false">SUMIF($D$40:$D$219,2038,EJ$40:EJ$219)</f>
        <v>8.12389215411885</v>
      </c>
      <c r="Q246" s="88" t="n">
        <f aca="false">SUMIF($D$40:$D$219,2039,EJ$40:EJ$219)</f>
        <v>8.05075100289206</v>
      </c>
      <c r="R246" s="88" t="n">
        <f aca="false">SUMIF($D$40:$D$219,2040,EJ$40:EJ$219)</f>
        <v>7.96716111577573</v>
      </c>
    </row>
    <row r="247" customFormat="false" ht="15" hidden="false" customHeight="false" outlineLevel="0" collapsed="false">
      <c r="A247" s="0" t="s">
        <v>204</v>
      </c>
      <c r="C247" s="88" t="n">
        <f aca="false">SUMIF($D$40:$D$219,0,EP$40:EP$219)</f>
        <v>0</v>
      </c>
      <c r="D247" s="88" t="n">
        <f aca="false">SUMIF($D$40:$D$219,2026,EP$40:EP$219)</f>
        <v>7.45560693021098</v>
      </c>
      <c r="E247" s="88" t="n">
        <f aca="false">SUMIF($D$40:$D$219,2027,EP$40:EP$219)</f>
        <v>32.015253288553</v>
      </c>
      <c r="F247" s="88" t="n">
        <f aca="false">SUMIF($D$40:$D$219,2028,EP$40:EP$219)</f>
        <v>32.015253288553</v>
      </c>
      <c r="G247" s="88" t="n">
        <f aca="false">SUMIF($D$40:$D$219,2029,EP$40:EP$219)</f>
        <v>32.015253288553</v>
      </c>
      <c r="H247" s="88" t="n">
        <f aca="false">SUMIF($D$40:$D$219,2030,EP$40:EP$219)</f>
        <v>32.015253288553</v>
      </c>
      <c r="I247" s="88" t="n">
        <f aca="false">SUMIF($D$40:$D$219,2031,EP$40:EP$219)</f>
        <v>16.2817426998787</v>
      </c>
      <c r="J247" s="88" t="n">
        <f aca="false">SUMIF($D$40:$D$219,2032,EP$40:EP$219)</f>
        <v>16.2817426998787</v>
      </c>
      <c r="K247" s="88" t="n">
        <f aca="false">SUMIF($D$40:$D$219,2033,EP$40:EP$219)</f>
        <v>16.2817426998787</v>
      </c>
      <c r="L247" s="88" t="n">
        <f aca="false">SUMIF($D$40:$D$219,2034,EP$40:EP$219)</f>
        <v>16.2817426998787</v>
      </c>
      <c r="M247" s="88" t="n">
        <f aca="false">SUMIF($D$40:$D$219,2035,EP$40:EP$219)</f>
        <v>15.7335105886743</v>
      </c>
      <c r="N247" s="88" t="n">
        <f aca="false">SUMIF($D$40:$D$219,2036,EP$40:EP$219)</f>
        <v>11.9184158970053</v>
      </c>
      <c r="O247" s="88" t="n">
        <f aca="false">SUMIF($D$40:$D$219,2037,EP$40:EP$219)</f>
        <v>11.8207855210374</v>
      </c>
      <c r="P247" s="88" t="n">
        <f aca="false">SUMIF($D$40:$D$219,2038,EP$40:EP$219)</f>
        <v>11.6780949715459</v>
      </c>
      <c r="Q247" s="88" t="n">
        <f aca="false">SUMIF($D$40:$D$219,2039,EP$40:EP$219)</f>
        <v>11.5729545666573</v>
      </c>
      <c r="R247" s="88" t="n">
        <f aca="false">SUMIF($D$40:$D$219,2040,EP$40:EP$219)</f>
        <v>11.4527941039276</v>
      </c>
    </row>
    <row r="248" customFormat="false" ht="15" hidden="false" customHeight="false" outlineLevel="0" collapsed="false">
      <c r="A248" s="0" t="s">
        <v>206</v>
      </c>
      <c r="C248" s="88" t="n">
        <f aca="false">SUMIF($D$40:$D$219,0,EV$40:EV$219)</f>
        <v>0</v>
      </c>
      <c r="D248" s="88" t="n">
        <f aca="false">SUMIF($D$40:$D$219,2026,EV$40:EV$219)</f>
        <v>18.5232470315801</v>
      </c>
      <c r="E248" s="88" t="n">
        <f aca="false">SUMIF($D$40:$D$219,2027,EV$40:EV$219)</f>
        <v>79.541001959138</v>
      </c>
      <c r="F248" s="88" t="n">
        <f aca="false">SUMIF($D$40:$D$219,2028,EV$40:EV$219)</f>
        <v>79.541001959138</v>
      </c>
      <c r="G248" s="88" t="n">
        <f aca="false">SUMIF($D$40:$D$219,2029,EV$40:EV$219)</f>
        <v>79.541001959138</v>
      </c>
      <c r="H248" s="88" t="n">
        <f aca="false">SUMIF($D$40:$D$219,2030,EV$40:EV$219)</f>
        <v>79.541001959138</v>
      </c>
      <c r="I248" s="88" t="n">
        <f aca="false">SUMIF($D$40:$D$219,2031,EV$40:EV$219)</f>
        <v>40.4515346580838</v>
      </c>
      <c r="J248" s="88" t="n">
        <f aca="false">SUMIF($D$40:$D$219,2032,EV$40:EV$219)</f>
        <v>40.4515346580838</v>
      </c>
      <c r="K248" s="88" t="n">
        <f aca="false">SUMIF($D$40:$D$219,2033,EV$40:EV$219)</f>
        <v>40.4515346580838</v>
      </c>
      <c r="L248" s="88" t="n">
        <f aca="false">SUMIF($D$40:$D$219,2034,EV$40:EV$219)</f>
        <v>40.4515346580838</v>
      </c>
      <c r="M248" s="88" t="n">
        <f aca="false">SUMIF($D$40:$D$219,2035,EV$40:EV$219)</f>
        <v>39.0894673010542</v>
      </c>
      <c r="N248" s="88" t="n">
        <f aca="false">SUMIF($D$40:$D$219,2036,EV$40:EV$219)</f>
        <v>29.610971172684</v>
      </c>
      <c r="O248" s="88" t="n">
        <f aca="false">SUMIF($D$40:$D$219,2037,EV$40:EV$219)</f>
        <v>29.3684112323911</v>
      </c>
      <c r="P248" s="88" t="n">
        <f aca="false">SUMIF($D$40:$D$219,2038,EV$40:EV$219)</f>
        <v>29.0139005504245</v>
      </c>
      <c r="Q248" s="88" t="n">
        <f aca="false">SUMIF($D$40:$D$219,2039,EV$40:EV$219)</f>
        <v>28.7526821531859</v>
      </c>
      <c r="R248" s="88" t="n">
        <f aca="false">SUMIF($D$40:$D$219,2040,EV$40:EV$219)</f>
        <v>28.4541468420562</v>
      </c>
    </row>
    <row r="249" customFormat="false" ht="15" hidden="false" customHeight="false" outlineLevel="0" collapsed="false">
      <c r="A249" s="0" t="s">
        <v>208</v>
      </c>
      <c r="C249" s="88" t="n">
        <f aca="false">SUMIF($D$40:$D$219,0,FB$40:FB$219)</f>
        <v>0</v>
      </c>
      <c r="D249" s="88" t="n">
        <f aca="false">SUMIF($D$40:$D$219,2026,FB$40:FB$219)</f>
        <v>96.9691982103217</v>
      </c>
      <c r="E249" s="88" t="n">
        <f aca="false">SUMIF($D$40:$D$219,2027,FB$40:FB$219)</f>
        <v>416.397145256087</v>
      </c>
      <c r="F249" s="88" t="n">
        <f aca="false">SUMIF($D$40:$D$219,2028,FB$40:FB$219)</f>
        <v>416.397145256087</v>
      </c>
      <c r="G249" s="88" t="n">
        <f aca="false">SUMIF($D$40:$D$219,2029,FB$40:FB$219)</f>
        <v>416.397145256087</v>
      </c>
      <c r="H249" s="88" t="n">
        <f aca="false">SUMIF($D$40:$D$219,2030,FB$40:FB$219)</f>
        <v>416.397145256087</v>
      </c>
      <c r="I249" s="88" t="n">
        <f aca="false">SUMIF($D$40:$D$219,2031,FB$40:FB$219)</f>
        <v>211.763783935069</v>
      </c>
      <c r="J249" s="88" t="n">
        <f aca="false">SUMIF($D$40:$D$219,2032,FB$40:FB$219)</f>
        <v>211.763783935069</v>
      </c>
      <c r="K249" s="88" t="n">
        <f aca="false">SUMIF($D$40:$D$219,2033,FB$40:FB$219)</f>
        <v>211.763783935069</v>
      </c>
      <c r="L249" s="88" t="n">
        <f aca="false">SUMIF($D$40:$D$219,2034,FB$40:FB$219)</f>
        <v>211.763783935069</v>
      </c>
      <c r="M249" s="88" t="n">
        <f aca="false">SUMIF($D$40:$D$219,2035,FB$40:FB$219)</f>
        <v>204.633361321019</v>
      </c>
      <c r="N249" s="88" t="n">
        <f aca="false">SUMIF($D$40:$D$219,2036,FB$40:FB$219)</f>
        <v>155.013434089001</v>
      </c>
      <c r="O249" s="88" t="n">
        <f aca="false">SUMIF($D$40:$D$219,2037,FB$40:FB$219)</f>
        <v>153.743632801567</v>
      </c>
      <c r="P249" s="88" t="n">
        <f aca="false">SUMIF($D$40:$D$219,2038,FB$40:FB$219)</f>
        <v>151.887769381472</v>
      </c>
      <c r="Q249" s="88" t="n">
        <f aca="false">SUMIF($D$40:$D$219,2039,FB$40:FB$219)</f>
        <v>150.520291071928</v>
      </c>
      <c r="R249" s="88" t="n">
        <f aca="false">SUMIF($D$40:$D$219,2040,FB$40:FB$219)</f>
        <v>148.957458718164</v>
      </c>
    </row>
    <row r="252" customFormat="false" ht="15" hidden="false" customHeight="false" outlineLevel="0" collapsed="false">
      <c r="A252" s="18" t="s">
        <v>376</v>
      </c>
      <c r="C252" s="18" t="s">
        <v>1105</v>
      </c>
      <c r="D252" s="18" t="n">
        <v>2026</v>
      </c>
      <c r="E252" s="18" t="n">
        <v>2027</v>
      </c>
      <c r="F252" s="18" t="n">
        <v>2028</v>
      </c>
      <c r="G252" s="18" t="n">
        <v>2029</v>
      </c>
      <c r="H252" s="18" t="n">
        <v>2030</v>
      </c>
      <c r="I252" s="18" t="n">
        <v>2031</v>
      </c>
      <c r="J252" s="18" t="n">
        <v>2032</v>
      </c>
      <c r="K252" s="18" t="n">
        <v>2033</v>
      </c>
      <c r="L252" s="18" t="n">
        <v>2034</v>
      </c>
      <c r="M252" s="18" t="n">
        <v>2035</v>
      </c>
      <c r="N252" s="18" t="n">
        <v>2036</v>
      </c>
      <c r="O252" s="18" t="n">
        <v>2037</v>
      </c>
      <c r="P252" s="18" t="n">
        <v>2038</v>
      </c>
      <c r="Q252" s="18" t="n">
        <v>2039</v>
      </c>
      <c r="R252" s="18" t="n">
        <v>2040</v>
      </c>
    </row>
    <row r="253" customFormat="false" ht="15" hidden="false" customHeight="false" outlineLevel="0" collapsed="false">
      <c r="A253" s="0" t="s">
        <v>210</v>
      </c>
      <c r="C253" s="88" t="n">
        <f aca="false">SUMIF($D$40:$D$219,0,I$40:I$219)</f>
        <v>0</v>
      </c>
      <c r="D253" s="88" t="n">
        <f aca="false">SUMIF($D$40:$D$219,2026,I$40:I$219)</f>
        <v>506.2</v>
      </c>
      <c r="E253" s="88" t="n">
        <f aca="false">SUMIF($D$40:$D$219,2027,I$40:I$219)</f>
        <v>2084.7</v>
      </c>
      <c r="F253" s="88" t="n">
        <f aca="false">SUMIF($D$40:$D$219,2028,I$40:I$219)</f>
        <v>1725.2</v>
      </c>
      <c r="G253" s="88" t="n">
        <f aca="false">SUMIF($D$40:$D$219,2029,I$40:I$219)</f>
        <v>1954.7</v>
      </c>
      <c r="H253" s="88" t="n">
        <f aca="false">SUMIF($D$40:$D$219,2030,I$40:I$219)</f>
        <v>851</v>
      </c>
      <c r="I253" s="88" t="n">
        <f aca="false">SUMIF($D$40:$D$219,2031,I$40:I$219)</f>
        <v>1573.2</v>
      </c>
      <c r="J253" s="88" t="n">
        <f aca="false">SUMIF($D$40:$D$219,2032,I$40:I$219)</f>
        <v>0</v>
      </c>
      <c r="K253" s="88" t="n">
        <f aca="false">SUMIF($D$40:$D$219,2033,I$40:I$219)</f>
        <v>0</v>
      </c>
      <c r="L253" s="88" t="n">
        <f aca="false">SUMIF($D$40:$D$219,2034,I$40:I$219)</f>
        <v>0</v>
      </c>
      <c r="M253" s="88" t="n">
        <f aca="false">SUMIF($D$40:$D$219,2035,I$40:I$219)</f>
        <v>0</v>
      </c>
      <c r="N253" s="88" t="n">
        <f aca="false">SUMIF($D$40:$D$219,2036,I$40:I$219)</f>
        <v>0</v>
      </c>
      <c r="O253" s="88" t="n">
        <f aca="false">SUMIF($D$40:$D$219,2037,I$40:I$219)</f>
        <v>0</v>
      </c>
      <c r="P253" s="88" t="n">
        <f aca="false">SUMIF($D$40:$D$219,2038,I$40:I$219)</f>
        <v>0</v>
      </c>
      <c r="Q253" s="88" t="n">
        <f aca="false">SUMIF($D$40:$D$219,2039,I$40:I$219)</f>
        <v>0</v>
      </c>
      <c r="R253" s="88" t="n">
        <f aca="false">SUMIF($D$40:$D$219,2040,I$40:I$219)</f>
        <v>0</v>
      </c>
    </row>
    <row r="254" customFormat="false" ht="15" hidden="false" customHeight="false" outlineLevel="0" collapsed="false">
      <c r="A254" s="0" t="s">
        <v>157</v>
      </c>
      <c r="C254" s="88" t="n">
        <f aca="false">SUMIF($D$40:$D$219,0,O$40:O$219)</f>
        <v>0</v>
      </c>
      <c r="D254" s="88" t="n">
        <f aca="false">SUMIF($D$40:$D$219,2026,O$40:O$219)</f>
        <v>24.7</v>
      </c>
      <c r="E254" s="88" t="n">
        <f aca="false">SUMIF($D$40:$D$219,2027,O$40:O$219)</f>
        <v>107</v>
      </c>
      <c r="F254" s="88" t="n">
        <f aca="false">SUMIF($D$40:$D$219,2028,O$40:O$219)</f>
        <v>93</v>
      </c>
      <c r="G254" s="88" t="n">
        <f aca="false">SUMIF($D$40:$D$219,2029,O$40:O$219)</f>
        <v>88.5</v>
      </c>
      <c r="H254" s="88" t="n">
        <f aca="false">SUMIF($D$40:$D$219,2030,O$40:O$219)</f>
        <v>84.9</v>
      </c>
      <c r="I254" s="88" t="n">
        <f aca="false">SUMIF($D$40:$D$219,2031,O$40:O$219)</f>
        <v>-0.1</v>
      </c>
      <c r="J254" s="88" t="n">
        <f aca="false">SUMIF($D$40:$D$219,2032,O$40:O$219)</f>
        <v>0</v>
      </c>
      <c r="K254" s="88" t="n">
        <f aca="false">SUMIF($D$40:$D$219,2033,O$40:O$219)</f>
        <v>0</v>
      </c>
      <c r="L254" s="88" t="n">
        <f aca="false">SUMIF($D$40:$D$219,2034,O$40:O$219)</f>
        <v>0</v>
      </c>
      <c r="M254" s="88" t="n">
        <f aca="false">SUMIF($D$40:$D$219,2035,O$40:O$219)</f>
        <v>0</v>
      </c>
      <c r="N254" s="88" t="n">
        <f aca="false">SUMIF($D$40:$D$219,2036,O$40:O$219)</f>
        <v>0</v>
      </c>
      <c r="O254" s="88" t="n">
        <f aca="false">SUMIF($D$40:$D$219,2037,O$40:O$219)</f>
        <v>0</v>
      </c>
      <c r="P254" s="88" t="n">
        <f aca="false">SUMIF($D$40:$D$219,2038,O$40:O$219)</f>
        <v>0</v>
      </c>
      <c r="Q254" s="88" t="n">
        <f aca="false">SUMIF($D$40:$D$219,2039,O$40:O$219)</f>
        <v>0</v>
      </c>
      <c r="R254" s="88" t="n">
        <f aca="false">SUMIF($D$40:$D$219,2040,O$40:O$219)</f>
        <v>0</v>
      </c>
    </row>
    <row r="255" customFormat="false" ht="15" hidden="false" customHeight="false" outlineLevel="0" collapsed="false">
      <c r="A255" s="0" t="s">
        <v>160</v>
      </c>
      <c r="C255" s="88" t="n">
        <f aca="false">SUMIF($D$40:$D$219,0,U$40:U$219)</f>
        <v>0</v>
      </c>
      <c r="D255" s="88" t="n">
        <f aca="false">SUMIF($D$40:$D$219,2026,U$40:U$219)</f>
        <v>64.5</v>
      </c>
      <c r="E255" s="88" t="n">
        <f aca="false">SUMIF($D$40:$D$219,2027,U$40:U$219)</f>
        <v>306.2</v>
      </c>
      <c r="F255" s="88" t="n">
        <f aca="false">SUMIF($D$40:$D$219,2028,U$40:U$219)</f>
        <v>337.3</v>
      </c>
      <c r="G255" s="88" t="n">
        <f aca="false">SUMIF($D$40:$D$219,2029,U$40:U$219)</f>
        <v>304.1</v>
      </c>
      <c r="H255" s="88" t="n">
        <f aca="false">SUMIF($D$40:$D$219,2030,U$40:U$219)</f>
        <v>102.8</v>
      </c>
      <c r="I255" s="88" t="n">
        <f aca="false">SUMIF($D$40:$D$219,2031,U$40:U$219)</f>
        <v>0.1</v>
      </c>
      <c r="J255" s="88" t="n">
        <f aca="false">SUMIF($D$40:$D$219,2032,U$40:U$219)</f>
        <v>0</v>
      </c>
      <c r="K255" s="88" t="n">
        <f aca="false">SUMIF($D$40:$D$219,2033,U$40:U$219)</f>
        <v>0</v>
      </c>
      <c r="L255" s="88" t="n">
        <f aca="false">SUMIF($D$40:$D$219,2034,U$40:U$219)</f>
        <v>0</v>
      </c>
      <c r="M255" s="88" t="n">
        <f aca="false">SUMIF($D$40:$D$219,2035,U$40:U$219)</f>
        <v>0</v>
      </c>
      <c r="N255" s="88" t="n">
        <f aca="false">SUMIF($D$40:$D$219,2036,U$40:U$219)</f>
        <v>0</v>
      </c>
      <c r="O255" s="88" t="n">
        <f aca="false">SUMIF($D$40:$D$219,2037,U$40:U$219)</f>
        <v>0</v>
      </c>
      <c r="P255" s="88" t="n">
        <f aca="false">SUMIF($D$40:$D$219,2038,U$40:U$219)</f>
        <v>0</v>
      </c>
      <c r="Q255" s="88" t="n">
        <f aca="false">SUMIF($D$40:$D$219,2039,U$40:U$219)</f>
        <v>0</v>
      </c>
      <c r="R255" s="88" t="n">
        <f aca="false">SUMIF($D$40:$D$219,2040,U$40:U$219)</f>
        <v>0</v>
      </c>
    </row>
    <row r="256" customFormat="false" ht="15" hidden="false" customHeight="false" outlineLevel="0" collapsed="false">
      <c r="A256" s="0" t="s">
        <v>162</v>
      </c>
      <c r="C256" s="88" t="n">
        <f aca="false">SUMIF($D$40:$D$219,0,AA$40:AA$219)</f>
        <v>0</v>
      </c>
      <c r="D256" s="88" t="n">
        <f aca="false">SUMIF($D$40:$D$219,2026,AA$40:AA$219)</f>
        <v>139.5</v>
      </c>
      <c r="E256" s="88" t="n">
        <f aca="false">SUMIF($D$40:$D$219,2027,AA$40:AA$219)</f>
        <v>463.2</v>
      </c>
      <c r="F256" s="88" t="n">
        <f aca="false">SUMIF($D$40:$D$219,2028,AA$40:AA$219)</f>
        <v>23.4</v>
      </c>
      <c r="G256" s="88" t="n">
        <f aca="false">SUMIF($D$40:$D$219,2029,AA$40:AA$219)</f>
        <v>473.6</v>
      </c>
      <c r="H256" s="88" t="n">
        <f aca="false">SUMIF($D$40:$D$219,2030,AA$40:AA$219)</f>
        <v>202.6</v>
      </c>
      <c r="I256" s="88" t="n">
        <f aca="false">SUMIF($D$40:$D$219,2031,AA$40:AA$219)</f>
        <v>891.7</v>
      </c>
      <c r="J256" s="88" t="n">
        <f aca="false">SUMIF($D$40:$D$219,2032,AA$40:AA$219)</f>
        <v>0</v>
      </c>
      <c r="K256" s="88" t="n">
        <f aca="false">SUMIF($D$40:$D$219,2033,AA$40:AA$219)</f>
        <v>0</v>
      </c>
      <c r="L256" s="88" t="n">
        <f aca="false">SUMIF($D$40:$D$219,2034,AA$40:AA$219)</f>
        <v>0</v>
      </c>
      <c r="M256" s="88" t="n">
        <f aca="false">SUMIF($D$40:$D$219,2035,AA$40:AA$219)</f>
        <v>0</v>
      </c>
      <c r="N256" s="88" t="n">
        <f aca="false">SUMIF($D$40:$D$219,2036,AA$40:AA$219)</f>
        <v>0</v>
      </c>
      <c r="O256" s="88" t="n">
        <f aca="false">SUMIF($D$40:$D$219,2037,AA$40:AA$219)</f>
        <v>0</v>
      </c>
      <c r="P256" s="88" t="n">
        <f aca="false">SUMIF($D$40:$D$219,2038,AA$40:AA$219)</f>
        <v>0</v>
      </c>
      <c r="Q256" s="88" t="n">
        <f aca="false">SUMIF($D$40:$D$219,2039,AA$40:AA$219)</f>
        <v>0</v>
      </c>
      <c r="R256" s="88" t="n">
        <f aca="false">SUMIF($D$40:$D$219,2040,AA$40:AA$219)</f>
        <v>0</v>
      </c>
    </row>
    <row r="257" customFormat="false" ht="15" hidden="false" customHeight="false" outlineLevel="0" collapsed="false">
      <c r="A257" s="0" t="s">
        <v>164</v>
      </c>
      <c r="C257" s="88" t="n">
        <f aca="false">SUMIF($D$40:$D$219,0,AG$40:AG$219)</f>
        <v>0</v>
      </c>
      <c r="D257" s="88" t="n">
        <f aca="false">SUMIF($D$40:$D$219,2026,AG$40:AG$219)</f>
        <v>13.8</v>
      </c>
      <c r="E257" s="88" t="n">
        <f aca="false">SUMIF($D$40:$D$219,2027,AG$40:AG$219)</f>
        <v>85.5</v>
      </c>
      <c r="F257" s="88" t="n">
        <f aca="false">SUMIF($D$40:$D$219,2028,AG$40:AG$219)</f>
        <v>242.4</v>
      </c>
      <c r="G257" s="88" t="n">
        <f aca="false">SUMIF($D$40:$D$219,2029,AG$40:AG$219)</f>
        <v>258.9</v>
      </c>
      <c r="H257" s="88" t="n">
        <f aca="false">SUMIF($D$40:$D$219,2030,AG$40:AG$219)</f>
        <v>72.7</v>
      </c>
      <c r="I257" s="88" t="n">
        <f aca="false">SUMIF($D$40:$D$219,2031,AG$40:AG$219)</f>
        <v>152.7</v>
      </c>
      <c r="J257" s="88" t="n">
        <f aca="false">SUMIF($D$40:$D$219,2032,AG$40:AG$219)</f>
        <v>0</v>
      </c>
      <c r="K257" s="88" t="n">
        <f aca="false">SUMIF($D$40:$D$219,2033,AG$40:AG$219)</f>
        <v>0</v>
      </c>
      <c r="L257" s="88" t="n">
        <f aca="false">SUMIF($D$40:$D$219,2034,AG$40:AG$219)</f>
        <v>0</v>
      </c>
      <c r="M257" s="88" t="n">
        <f aca="false">SUMIF($D$40:$D$219,2035,AG$40:AG$219)</f>
        <v>0</v>
      </c>
      <c r="N257" s="88" t="n">
        <f aca="false">SUMIF($D$40:$D$219,2036,AG$40:AG$219)</f>
        <v>0</v>
      </c>
      <c r="O257" s="88" t="n">
        <f aca="false">SUMIF($D$40:$D$219,2037,AG$40:AG$219)</f>
        <v>0</v>
      </c>
      <c r="P257" s="88" t="n">
        <f aca="false">SUMIF($D$40:$D$219,2038,AG$40:AG$219)</f>
        <v>0</v>
      </c>
      <c r="Q257" s="88" t="n">
        <f aca="false">SUMIF($D$40:$D$219,2039,AG$40:AG$219)</f>
        <v>0</v>
      </c>
      <c r="R257" s="88" t="n">
        <f aca="false">SUMIF($D$40:$D$219,2040,AG$40:AG$219)</f>
        <v>0</v>
      </c>
    </row>
    <row r="258" customFormat="false" ht="15" hidden="false" customHeight="false" outlineLevel="0" collapsed="false">
      <c r="A258" s="0" t="s">
        <v>166</v>
      </c>
      <c r="C258" s="88" t="n">
        <f aca="false">SUMIF($D$40:$D$219,0,AM$40:AM$219)</f>
        <v>0</v>
      </c>
      <c r="D258" s="88" t="n">
        <f aca="false">SUMIF($D$40:$D$219,2026,AM$40:AM$219)</f>
        <v>6.1</v>
      </c>
      <c r="E258" s="88" t="n">
        <f aca="false">SUMIF($D$40:$D$219,2027,AM$40:AM$219)</f>
        <v>19.9</v>
      </c>
      <c r="F258" s="88" t="n">
        <f aca="false">SUMIF($D$40:$D$219,2028,AM$40:AM$219)</f>
        <v>23.5</v>
      </c>
      <c r="G258" s="88" t="n">
        <f aca="false">SUMIF($D$40:$D$219,2029,AM$40:AM$219)</f>
        <v>16.5</v>
      </c>
      <c r="H258" s="88" t="n">
        <f aca="false">SUMIF($D$40:$D$219,2030,AM$40:AM$219)</f>
        <v>0</v>
      </c>
      <c r="I258" s="88" t="n">
        <f aca="false">SUMIF($D$40:$D$219,2031,AM$40:AM$219)</f>
        <v>0</v>
      </c>
      <c r="J258" s="88" t="n">
        <f aca="false">SUMIF($D$40:$D$219,2032,AM$40:AM$219)</f>
        <v>0</v>
      </c>
      <c r="K258" s="88" t="n">
        <f aca="false">SUMIF($D$40:$D$219,2033,AM$40:AM$219)</f>
        <v>0</v>
      </c>
      <c r="L258" s="88" t="n">
        <f aca="false">SUMIF($D$40:$D$219,2034,AM$40:AM$219)</f>
        <v>0</v>
      </c>
      <c r="M258" s="88" t="n">
        <f aca="false">SUMIF($D$40:$D$219,2035,AM$40:AM$219)</f>
        <v>0</v>
      </c>
      <c r="N258" s="88" t="n">
        <f aca="false">SUMIF($D$40:$D$219,2036,AM$40:AM$219)</f>
        <v>0</v>
      </c>
      <c r="O258" s="88" t="n">
        <f aca="false">SUMIF($D$40:$D$219,2037,AM$40:AM$219)</f>
        <v>0</v>
      </c>
      <c r="P258" s="88" t="n">
        <f aca="false">SUMIF($D$40:$D$219,2038,AM$40:AM$219)</f>
        <v>0</v>
      </c>
      <c r="Q258" s="88" t="n">
        <f aca="false">SUMIF($D$40:$D$219,2039,AM$40:AM$219)</f>
        <v>0</v>
      </c>
      <c r="R258" s="88" t="n">
        <f aca="false">SUMIF($D$40:$D$219,2040,AM$40:AM$219)</f>
        <v>0</v>
      </c>
    </row>
    <row r="259" customFormat="false" ht="15" hidden="false" customHeight="false" outlineLevel="0" collapsed="false">
      <c r="A259" s="0" t="s">
        <v>168</v>
      </c>
      <c r="C259" s="88" t="n">
        <f aca="false">SUMIF($D$40:$D$219,0,AS$40:AS$219)</f>
        <v>0</v>
      </c>
      <c r="D259" s="88" t="n">
        <f aca="false">SUMIF($D$40:$D$219,2026,AS$40:AS$219)</f>
        <v>108.4</v>
      </c>
      <c r="E259" s="88" t="n">
        <f aca="false">SUMIF($D$40:$D$219,2027,AS$40:AS$219)</f>
        <v>439.7</v>
      </c>
      <c r="F259" s="88" t="n">
        <f aca="false">SUMIF($D$40:$D$219,2028,AS$40:AS$219)</f>
        <v>343.6</v>
      </c>
      <c r="G259" s="88" t="n">
        <f aca="false">SUMIF($D$40:$D$219,2029,AS$40:AS$219)</f>
        <v>391.1</v>
      </c>
      <c r="H259" s="88" t="n">
        <f aca="false">SUMIF($D$40:$D$219,2030,AS$40:AS$219)</f>
        <v>302.4</v>
      </c>
      <c r="I259" s="88" t="n">
        <f aca="false">SUMIF($D$40:$D$219,2031,AS$40:AS$219)</f>
        <v>224.8</v>
      </c>
      <c r="J259" s="88" t="n">
        <f aca="false">SUMIF($D$40:$D$219,2032,AS$40:AS$219)</f>
        <v>0</v>
      </c>
      <c r="K259" s="88" t="n">
        <f aca="false">SUMIF($D$40:$D$219,2033,AS$40:AS$219)</f>
        <v>0</v>
      </c>
      <c r="L259" s="88" t="n">
        <f aca="false">SUMIF($D$40:$D$219,2034,AS$40:AS$219)</f>
        <v>0</v>
      </c>
      <c r="M259" s="88" t="n">
        <f aca="false">SUMIF($D$40:$D$219,2035,AS$40:AS$219)</f>
        <v>0</v>
      </c>
      <c r="N259" s="88" t="n">
        <f aca="false">SUMIF($D$40:$D$219,2036,AS$40:AS$219)</f>
        <v>0</v>
      </c>
      <c r="O259" s="88" t="n">
        <f aca="false">SUMIF($D$40:$D$219,2037,AS$40:AS$219)</f>
        <v>0</v>
      </c>
      <c r="P259" s="88" t="n">
        <f aca="false">SUMIF($D$40:$D$219,2038,AS$40:AS$219)</f>
        <v>0</v>
      </c>
      <c r="Q259" s="88" t="n">
        <f aca="false">SUMIF($D$40:$D$219,2039,AS$40:AS$219)</f>
        <v>0</v>
      </c>
      <c r="R259" s="88" t="n">
        <f aca="false">SUMIF($D$40:$D$219,2040,AS$40:AS$219)</f>
        <v>0</v>
      </c>
    </row>
    <row r="260" customFormat="false" ht="15" hidden="false" customHeight="false" outlineLevel="0" collapsed="false">
      <c r="A260" s="0" t="s">
        <v>170</v>
      </c>
      <c r="C260" s="88" t="n">
        <f aca="false">SUMIF($D$40:$D$219,0,AY$40:AY$219)</f>
        <v>0</v>
      </c>
      <c r="D260" s="88" t="n">
        <f aca="false">SUMIF($D$40:$D$219,2026,AY$40:AY$219)</f>
        <v>0</v>
      </c>
      <c r="E260" s="88" t="n">
        <f aca="false">SUMIF($D$40:$D$219,2027,AY$40:AY$219)</f>
        <v>0</v>
      </c>
      <c r="F260" s="88" t="n">
        <f aca="false">SUMIF($D$40:$D$219,2028,AY$40:AY$219)</f>
        <v>30.1</v>
      </c>
      <c r="G260" s="88" t="n">
        <f aca="false">SUMIF($D$40:$D$219,2029,AY$40:AY$219)</f>
        <v>19.6</v>
      </c>
      <c r="H260" s="88" t="n">
        <f aca="false">SUMIF($D$40:$D$219,2030,AY$40:AY$219)</f>
        <v>0.3</v>
      </c>
      <c r="I260" s="88" t="n">
        <f aca="false">SUMIF($D$40:$D$219,2031,AY$40:AY$219)</f>
        <v>0</v>
      </c>
      <c r="J260" s="88" t="n">
        <f aca="false">SUMIF($D$40:$D$219,2032,AY$40:AY$219)</f>
        <v>0</v>
      </c>
      <c r="K260" s="88" t="n">
        <f aca="false">SUMIF($D$40:$D$219,2033,AY$40:AY$219)</f>
        <v>0</v>
      </c>
      <c r="L260" s="88" t="n">
        <f aca="false">SUMIF($D$40:$D$219,2034,AY$40:AY$219)</f>
        <v>0</v>
      </c>
      <c r="M260" s="88" t="n">
        <f aca="false">SUMIF($D$40:$D$219,2035,AY$40:AY$219)</f>
        <v>0</v>
      </c>
      <c r="N260" s="88" t="n">
        <f aca="false">SUMIF($D$40:$D$219,2036,AY$40:AY$219)</f>
        <v>0</v>
      </c>
      <c r="O260" s="88" t="n">
        <f aca="false">SUMIF($D$40:$D$219,2037,AY$40:AY$219)</f>
        <v>0</v>
      </c>
      <c r="P260" s="88" t="n">
        <f aca="false">SUMIF($D$40:$D$219,2038,AY$40:AY$219)</f>
        <v>0</v>
      </c>
      <c r="Q260" s="88" t="n">
        <f aca="false">SUMIF($D$40:$D$219,2039,AY$40:AY$219)</f>
        <v>0</v>
      </c>
      <c r="R260" s="88" t="n">
        <f aca="false">SUMIF($D$40:$D$219,2040,AY$40:AY$219)</f>
        <v>0</v>
      </c>
    </row>
    <row r="261" customFormat="false" ht="15" hidden="false" customHeight="false" outlineLevel="0" collapsed="false">
      <c r="A261" s="0" t="s">
        <v>172</v>
      </c>
      <c r="C261" s="88" t="n">
        <f aca="false">SUMIF($D$40:$D$219,0,BE$40:BE$219)</f>
        <v>0</v>
      </c>
      <c r="D261" s="88" t="n">
        <f aca="false">SUMIF($D$40:$D$219,2026,BE$40:BE$219)</f>
        <v>18</v>
      </c>
      <c r="E261" s="88" t="n">
        <f aca="false">SUMIF($D$40:$D$219,2027,BE$40:BE$219)</f>
        <v>91.4</v>
      </c>
      <c r="F261" s="88" t="n">
        <f aca="false">SUMIF($D$40:$D$219,2028,BE$40:BE$219)</f>
        <v>104.5</v>
      </c>
      <c r="G261" s="88" t="n">
        <f aca="false">SUMIF($D$40:$D$219,2029,BE$40:BE$219)</f>
        <v>26.1</v>
      </c>
      <c r="H261" s="88" t="n">
        <f aca="false">SUMIF($D$40:$D$219,2030,BE$40:BE$219)</f>
        <v>0</v>
      </c>
      <c r="I261" s="88" t="n">
        <f aca="false">SUMIF($D$40:$D$219,2031,BE$40:BE$219)</f>
        <v>0</v>
      </c>
      <c r="J261" s="88" t="n">
        <f aca="false">SUMIF($D$40:$D$219,2032,BE$40:BE$219)</f>
        <v>0</v>
      </c>
      <c r="K261" s="88" t="n">
        <f aca="false">SUMIF($D$40:$D$219,2033,BE$40:BE$219)</f>
        <v>0</v>
      </c>
      <c r="L261" s="88" t="n">
        <f aca="false">SUMIF($D$40:$D$219,2034,BE$40:BE$219)</f>
        <v>0</v>
      </c>
      <c r="M261" s="88" t="n">
        <f aca="false">SUMIF($D$40:$D$219,2035,BE$40:BE$219)</f>
        <v>0</v>
      </c>
      <c r="N261" s="88" t="n">
        <f aca="false">SUMIF($D$40:$D$219,2036,BE$40:BE$219)</f>
        <v>0</v>
      </c>
      <c r="O261" s="88" t="n">
        <f aca="false">SUMIF($D$40:$D$219,2037,BE$40:BE$219)</f>
        <v>0</v>
      </c>
      <c r="P261" s="88" t="n">
        <f aca="false">SUMIF($D$40:$D$219,2038,BE$40:BE$219)</f>
        <v>0</v>
      </c>
      <c r="Q261" s="88" t="n">
        <f aca="false">SUMIF($D$40:$D$219,2039,BE$40:BE$219)</f>
        <v>0</v>
      </c>
      <c r="R261" s="88" t="n">
        <f aca="false">SUMIF($D$40:$D$219,2040,BE$40:BE$219)</f>
        <v>0</v>
      </c>
    </row>
    <row r="262" customFormat="false" ht="15" hidden="false" customHeight="false" outlineLevel="0" collapsed="false">
      <c r="A262" s="0" t="s">
        <v>174</v>
      </c>
      <c r="C262" s="88" t="n">
        <f aca="false">SUMIF($D$40:$D$219,0,BK$40:BK$219)</f>
        <v>0</v>
      </c>
      <c r="D262" s="88" t="n">
        <f aca="false">SUMIF($D$40:$D$219,2026,BK$40:BK$219)</f>
        <v>3.7</v>
      </c>
      <c r="E262" s="88" t="n">
        <f aca="false">SUMIF($D$40:$D$219,2027,BK$40:BK$219)</f>
        <v>40.8</v>
      </c>
      <c r="F262" s="88" t="n">
        <f aca="false">SUMIF($D$40:$D$219,2028,BK$40:BK$219)</f>
        <v>15.3</v>
      </c>
      <c r="G262" s="88" t="n">
        <f aca="false">SUMIF($D$40:$D$219,2029,BK$40:BK$219)</f>
        <v>43.8</v>
      </c>
      <c r="H262" s="88" t="n">
        <f aca="false">SUMIF($D$40:$D$219,2030,BK$40:BK$219)</f>
        <v>57.4</v>
      </c>
      <c r="I262" s="88" t="n">
        <f aca="false">SUMIF($D$40:$D$219,2031,BK$40:BK$219)</f>
        <v>304</v>
      </c>
      <c r="J262" s="88" t="n">
        <f aca="false">SUMIF($D$40:$D$219,2032,BK$40:BK$219)</f>
        <v>0</v>
      </c>
      <c r="K262" s="88" t="n">
        <f aca="false">SUMIF($D$40:$D$219,2033,BK$40:BK$219)</f>
        <v>0</v>
      </c>
      <c r="L262" s="88" t="n">
        <f aca="false">SUMIF($D$40:$D$219,2034,BK$40:BK$219)</f>
        <v>0</v>
      </c>
      <c r="M262" s="88" t="n">
        <f aca="false">SUMIF($D$40:$D$219,2035,BK$40:BK$219)</f>
        <v>0</v>
      </c>
      <c r="N262" s="88" t="n">
        <f aca="false">SUMIF($D$40:$D$219,2036,BK$40:BK$219)</f>
        <v>0</v>
      </c>
      <c r="O262" s="88" t="n">
        <f aca="false">SUMIF($D$40:$D$219,2037,BK$40:BK$219)</f>
        <v>0</v>
      </c>
      <c r="P262" s="88" t="n">
        <f aca="false">SUMIF($D$40:$D$219,2038,BK$40:BK$219)</f>
        <v>0</v>
      </c>
      <c r="Q262" s="88" t="n">
        <f aca="false">SUMIF($D$40:$D$219,2039,BK$40:BK$219)</f>
        <v>0</v>
      </c>
      <c r="R262" s="88" t="n">
        <f aca="false">SUMIF($D$40:$D$219,2040,BK$40:BK$219)</f>
        <v>0</v>
      </c>
    </row>
    <row r="263" customFormat="false" ht="15" hidden="false" customHeight="false" outlineLevel="0" collapsed="false">
      <c r="A263" s="0" t="s">
        <v>176</v>
      </c>
      <c r="C263" s="88" t="n">
        <f aca="false">SUMIF($D$40:$D$219,0,BQ$40:BQ$219)</f>
        <v>0</v>
      </c>
      <c r="D263" s="88" t="n">
        <f aca="false">SUMIF($D$40:$D$219,2026,BQ$40:BQ$219)</f>
        <v>0</v>
      </c>
      <c r="E263" s="88" t="n">
        <f aca="false">SUMIF($D$40:$D$219,2027,BQ$40:BQ$219)</f>
        <v>0</v>
      </c>
      <c r="F263" s="88" t="n">
        <f aca="false">SUMIF($D$40:$D$219,2028,BQ$40:BQ$219)</f>
        <v>57.4</v>
      </c>
      <c r="G263" s="88" t="n">
        <f aca="false">SUMIF($D$40:$D$219,2029,BQ$40:BQ$219)</f>
        <v>28.9</v>
      </c>
      <c r="H263" s="88" t="n">
        <f aca="false">SUMIF($D$40:$D$219,2030,BQ$40:BQ$219)</f>
        <v>0.7</v>
      </c>
      <c r="I263" s="88" t="n">
        <f aca="false">SUMIF($D$40:$D$219,2031,BQ$40:BQ$219)</f>
        <v>0</v>
      </c>
      <c r="J263" s="88" t="n">
        <f aca="false">SUMIF($D$40:$D$219,2032,BQ$40:BQ$219)</f>
        <v>0</v>
      </c>
      <c r="K263" s="88" t="n">
        <f aca="false">SUMIF($D$40:$D$219,2033,BQ$40:BQ$219)</f>
        <v>0</v>
      </c>
      <c r="L263" s="88" t="n">
        <f aca="false">SUMIF($D$40:$D$219,2034,BQ$40:BQ$219)</f>
        <v>0</v>
      </c>
      <c r="M263" s="88" t="n">
        <f aca="false">SUMIF($D$40:$D$219,2035,BQ$40:BQ$219)</f>
        <v>0</v>
      </c>
      <c r="N263" s="88" t="n">
        <f aca="false">SUMIF($D$40:$D$219,2036,BQ$40:BQ$219)</f>
        <v>0</v>
      </c>
      <c r="O263" s="88" t="n">
        <f aca="false">SUMIF($D$40:$D$219,2037,BQ$40:BQ$219)</f>
        <v>0</v>
      </c>
      <c r="P263" s="88" t="n">
        <f aca="false">SUMIF($D$40:$D$219,2038,BQ$40:BQ$219)</f>
        <v>0</v>
      </c>
      <c r="Q263" s="88" t="n">
        <f aca="false">SUMIF($D$40:$D$219,2039,BQ$40:BQ$219)</f>
        <v>0</v>
      </c>
      <c r="R263" s="88" t="n">
        <f aca="false">SUMIF($D$40:$D$219,2040,BQ$40:BQ$219)</f>
        <v>0</v>
      </c>
    </row>
    <row r="264" customFormat="false" ht="15" hidden="false" customHeight="false" outlineLevel="0" collapsed="false">
      <c r="A264" s="0" t="s">
        <v>179</v>
      </c>
      <c r="C264" s="88" t="n">
        <f aca="false">SUMIF($D$40:$D$219,0,BW$40:BW$219)</f>
        <v>0</v>
      </c>
      <c r="D264" s="88" t="n">
        <f aca="false">SUMIF($D$40:$D$219,2026,BW$40:BW$219)</f>
        <v>0</v>
      </c>
      <c r="E264" s="88" t="n">
        <f aca="false">SUMIF($D$40:$D$219,2027,BW$40:BW$219)</f>
        <v>0</v>
      </c>
      <c r="F264" s="88" t="n">
        <f aca="false">SUMIF($D$40:$D$219,2028,BW$40:BW$219)</f>
        <v>0</v>
      </c>
      <c r="G264" s="88" t="n">
        <f aca="false">SUMIF($D$40:$D$219,2029,BW$40:BW$219)</f>
        <v>0</v>
      </c>
      <c r="H264" s="88" t="n">
        <f aca="false">SUMIF($D$40:$D$219,2030,BW$40:BW$219)</f>
        <v>0</v>
      </c>
      <c r="I264" s="88" t="n">
        <f aca="false">SUMIF($D$40:$D$219,2031,BW$40:BW$219)</f>
        <v>0</v>
      </c>
      <c r="J264" s="88" t="n">
        <f aca="false">SUMIF($D$40:$D$219,2032,BW$40:BW$219)</f>
        <v>0</v>
      </c>
      <c r="K264" s="88" t="n">
        <f aca="false">SUMIF($D$40:$D$219,2033,BW$40:BW$219)</f>
        <v>0</v>
      </c>
      <c r="L264" s="88" t="n">
        <f aca="false">SUMIF($D$40:$D$219,2034,BW$40:BW$219)</f>
        <v>0</v>
      </c>
      <c r="M264" s="88" t="n">
        <f aca="false">SUMIF($D$40:$D$219,2035,BW$40:BW$219)</f>
        <v>0</v>
      </c>
      <c r="N264" s="88" t="n">
        <f aca="false">SUMIF($D$40:$D$219,2036,BW$40:BW$219)</f>
        <v>0</v>
      </c>
      <c r="O264" s="88" t="n">
        <f aca="false">SUMIF($D$40:$D$219,2037,BW$40:BW$219)</f>
        <v>0</v>
      </c>
      <c r="P264" s="88" t="n">
        <f aca="false">SUMIF($D$40:$D$219,2038,BW$40:BW$219)</f>
        <v>0</v>
      </c>
      <c r="Q264" s="88" t="n">
        <f aca="false">SUMIF($D$40:$D$219,2039,BW$40:BW$219)</f>
        <v>0</v>
      </c>
      <c r="R264" s="88" t="n">
        <f aca="false">SUMIF($D$40:$D$219,2040,BW$40:BW$219)</f>
        <v>0</v>
      </c>
    </row>
    <row r="265" customFormat="false" ht="15" hidden="false" customHeight="false" outlineLevel="0" collapsed="false">
      <c r="A265" s="0" t="s">
        <v>181</v>
      </c>
      <c r="C265" s="88" t="n">
        <f aca="false">SUMIF($D$40:$D$219,0,CC$40:CC$219)</f>
        <v>0</v>
      </c>
      <c r="D265" s="88" t="n">
        <f aca="false">SUMIF($D$40:$D$219,2026,CC$40:CC$219)</f>
        <v>17.2</v>
      </c>
      <c r="E265" s="88" t="n">
        <f aca="false">SUMIF($D$40:$D$219,2027,CC$40:CC$219)</f>
        <v>56.8</v>
      </c>
      <c r="F265" s="88" t="n">
        <f aca="false">SUMIF($D$40:$D$219,2028,CC$40:CC$219)</f>
        <v>8.2</v>
      </c>
      <c r="G265" s="88" t="n">
        <f aca="false">SUMIF($D$40:$D$219,2029,CC$40:CC$219)</f>
        <v>5.8</v>
      </c>
      <c r="H265" s="88" t="n">
        <f aca="false">SUMIF($D$40:$D$219,2030,CC$40:CC$219)</f>
        <v>0</v>
      </c>
      <c r="I265" s="88" t="n">
        <f aca="false">SUMIF($D$40:$D$219,2031,CC$40:CC$219)</f>
        <v>0</v>
      </c>
      <c r="J265" s="88" t="n">
        <f aca="false">SUMIF($D$40:$D$219,2032,CC$40:CC$219)</f>
        <v>0</v>
      </c>
      <c r="K265" s="88" t="n">
        <f aca="false">SUMIF($D$40:$D$219,2033,CC$40:CC$219)</f>
        <v>0</v>
      </c>
      <c r="L265" s="88" t="n">
        <f aca="false">SUMIF($D$40:$D$219,2034,CC$40:CC$219)</f>
        <v>0</v>
      </c>
      <c r="M265" s="88" t="n">
        <f aca="false">SUMIF($D$40:$D$219,2035,CC$40:CC$219)</f>
        <v>0</v>
      </c>
      <c r="N265" s="88" t="n">
        <f aca="false">SUMIF($D$40:$D$219,2036,CC$40:CC$219)</f>
        <v>0</v>
      </c>
      <c r="O265" s="88" t="n">
        <f aca="false">SUMIF($D$40:$D$219,2037,CC$40:CC$219)</f>
        <v>0</v>
      </c>
      <c r="P265" s="88" t="n">
        <f aca="false">SUMIF($D$40:$D$219,2038,CC$40:CC$219)</f>
        <v>0</v>
      </c>
      <c r="Q265" s="88" t="n">
        <f aca="false">SUMIF($D$40:$D$219,2039,CC$40:CC$219)</f>
        <v>0</v>
      </c>
      <c r="R265" s="88" t="n">
        <f aca="false">SUMIF($D$40:$D$219,2040,CC$40:CC$219)</f>
        <v>0</v>
      </c>
    </row>
    <row r="266" customFormat="false" ht="15" hidden="false" customHeight="false" outlineLevel="0" collapsed="false">
      <c r="A266" s="0" t="s">
        <v>183</v>
      </c>
      <c r="C266" s="88" t="n">
        <f aca="false">SUMIF($D$40:$D$219,0,CI$40:CI$219)</f>
        <v>0</v>
      </c>
      <c r="D266" s="88" t="n">
        <f aca="false">SUMIF($D$40:$D$219,2026,CI$40:CI$219)</f>
        <v>1.2</v>
      </c>
      <c r="E266" s="88" t="n">
        <f aca="false">SUMIF($D$40:$D$219,2027,CI$40:CI$219)</f>
        <v>58.8</v>
      </c>
      <c r="F266" s="88" t="n">
        <f aca="false">SUMIF($D$40:$D$219,2028,CI$40:CI$219)</f>
        <v>10</v>
      </c>
      <c r="G266" s="88" t="n">
        <f aca="false">SUMIF($D$40:$D$219,2029,CI$40:CI$219)</f>
        <v>0</v>
      </c>
      <c r="H266" s="88" t="n">
        <f aca="false">SUMIF($D$40:$D$219,2030,CI$40:CI$219)</f>
        <v>0</v>
      </c>
      <c r="I266" s="88" t="n">
        <f aca="false">SUMIF($D$40:$D$219,2031,CI$40:CI$219)</f>
        <v>0</v>
      </c>
      <c r="J266" s="88" t="n">
        <f aca="false">SUMIF($D$40:$D$219,2032,CI$40:CI$219)</f>
        <v>0</v>
      </c>
      <c r="K266" s="88" t="n">
        <f aca="false">SUMIF($D$40:$D$219,2033,CI$40:CI$219)</f>
        <v>0</v>
      </c>
      <c r="L266" s="88" t="n">
        <f aca="false">SUMIF($D$40:$D$219,2034,CI$40:CI$219)</f>
        <v>0</v>
      </c>
      <c r="M266" s="88" t="n">
        <f aca="false">SUMIF($D$40:$D$219,2035,CI$40:CI$219)</f>
        <v>0</v>
      </c>
      <c r="N266" s="88" t="n">
        <f aca="false">SUMIF($D$40:$D$219,2036,CI$40:CI$219)</f>
        <v>0</v>
      </c>
      <c r="O266" s="88" t="n">
        <f aca="false">SUMIF($D$40:$D$219,2037,CI$40:CI$219)</f>
        <v>0</v>
      </c>
      <c r="P266" s="88" t="n">
        <f aca="false">SUMIF($D$40:$D$219,2038,CI$40:CI$219)</f>
        <v>0</v>
      </c>
      <c r="Q266" s="88" t="n">
        <f aca="false">SUMIF($D$40:$D$219,2039,CI$40:CI$219)</f>
        <v>0</v>
      </c>
      <c r="R266" s="88" t="n">
        <f aca="false">SUMIF($D$40:$D$219,2040,CI$40:CI$219)</f>
        <v>0</v>
      </c>
    </row>
    <row r="267" customFormat="false" ht="15" hidden="false" customHeight="false" outlineLevel="0" collapsed="false">
      <c r="A267" s="0" t="s">
        <v>185</v>
      </c>
      <c r="C267" s="88" t="n">
        <f aca="false">SUMIF($D$40:$D$219,0,CO$40:CO$219)</f>
        <v>0</v>
      </c>
      <c r="D267" s="88" t="n">
        <f aca="false">SUMIF($D$40:$D$219,2026,CO$40:CO$219)</f>
        <v>38.7</v>
      </c>
      <c r="E267" s="88" t="n">
        <f aca="false">SUMIF($D$40:$D$219,2027,CO$40:CO$219)</f>
        <v>127.3</v>
      </c>
      <c r="F267" s="88" t="n">
        <f aca="false">SUMIF($D$40:$D$219,2028,CO$40:CO$219)</f>
        <v>40.2</v>
      </c>
      <c r="G267" s="88" t="n">
        <f aca="false">SUMIF($D$40:$D$219,2029,CO$40:CO$219)</f>
        <v>14.8</v>
      </c>
      <c r="H267" s="88" t="n">
        <f aca="false">SUMIF($D$40:$D$219,2030,CO$40:CO$219)</f>
        <v>0</v>
      </c>
      <c r="I267" s="88" t="n">
        <f aca="false">SUMIF($D$40:$D$219,2031,CO$40:CO$219)</f>
        <v>0</v>
      </c>
      <c r="J267" s="88" t="n">
        <f aca="false">SUMIF($D$40:$D$219,2032,CO$40:CO$219)</f>
        <v>0</v>
      </c>
      <c r="K267" s="88" t="n">
        <f aca="false">SUMIF($D$40:$D$219,2033,CO$40:CO$219)</f>
        <v>0</v>
      </c>
      <c r="L267" s="88" t="n">
        <f aca="false">SUMIF($D$40:$D$219,2034,CO$40:CO$219)</f>
        <v>0</v>
      </c>
      <c r="M267" s="88" t="n">
        <f aca="false">SUMIF($D$40:$D$219,2035,CO$40:CO$219)</f>
        <v>0</v>
      </c>
      <c r="N267" s="88" t="n">
        <f aca="false">SUMIF($D$40:$D$219,2036,CO$40:CO$219)</f>
        <v>0</v>
      </c>
      <c r="O267" s="88" t="n">
        <f aca="false">SUMIF($D$40:$D$219,2037,CO$40:CO$219)</f>
        <v>0</v>
      </c>
      <c r="P267" s="88" t="n">
        <f aca="false">SUMIF($D$40:$D$219,2038,CO$40:CO$219)</f>
        <v>0</v>
      </c>
      <c r="Q267" s="88" t="n">
        <f aca="false">SUMIF($D$40:$D$219,2039,CO$40:CO$219)</f>
        <v>0</v>
      </c>
      <c r="R267" s="88" t="n">
        <f aca="false">SUMIF($D$40:$D$219,2040,CO$40:CO$219)</f>
        <v>0</v>
      </c>
    </row>
    <row r="268" customFormat="false" ht="15" hidden="false" customHeight="false" outlineLevel="0" collapsed="false">
      <c r="A268" s="0" t="s">
        <v>187</v>
      </c>
      <c r="C268" s="88" t="n">
        <f aca="false">SUMIF($D$40:$D$219,0,CU$40:CU$219)</f>
        <v>0</v>
      </c>
      <c r="D268" s="88" t="n">
        <f aca="false">SUMIF($D$40:$D$219,2026,CU$40:CU$219)</f>
        <v>2.6</v>
      </c>
      <c r="E268" s="88" t="n">
        <f aca="false">SUMIF($D$40:$D$219,2027,CU$40:CU$219)</f>
        <v>8.4</v>
      </c>
      <c r="F268" s="88" t="n">
        <f aca="false">SUMIF($D$40:$D$219,2028,CU$40:CU$219)</f>
        <v>0</v>
      </c>
      <c r="G268" s="88" t="n">
        <f aca="false">SUMIF($D$40:$D$219,2029,CU$40:CU$219)</f>
        <v>0</v>
      </c>
      <c r="H268" s="88" t="n">
        <f aca="false">SUMIF($D$40:$D$219,2030,CU$40:CU$219)</f>
        <v>0</v>
      </c>
      <c r="I268" s="88" t="n">
        <f aca="false">SUMIF($D$40:$D$219,2031,CU$40:CU$219)</f>
        <v>0</v>
      </c>
      <c r="J268" s="88" t="n">
        <f aca="false">SUMIF($D$40:$D$219,2032,CU$40:CU$219)</f>
        <v>0</v>
      </c>
      <c r="K268" s="88" t="n">
        <f aca="false">SUMIF($D$40:$D$219,2033,CU$40:CU$219)</f>
        <v>0</v>
      </c>
      <c r="L268" s="88" t="n">
        <f aca="false">SUMIF($D$40:$D$219,2034,CU$40:CU$219)</f>
        <v>0</v>
      </c>
      <c r="M268" s="88" t="n">
        <f aca="false">SUMIF($D$40:$D$219,2035,CU$40:CU$219)</f>
        <v>0</v>
      </c>
      <c r="N268" s="88" t="n">
        <f aca="false">SUMIF($D$40:$D$219,2036,CU$40:CU$219)</f>
        <v>0</v>
      </c>
      <c r="O268" s="88" t="n">
        <f aca="false">SUMIF($D$40:$D$219,2037,CU$40:CU$219)</f>
        <v>0</v>
      </c>
      <c r="P268" s="88" t="n">
        <f aca="false">SUMIF($D$40:$D$219,2038,CU$40:CU$219)</f>
        <v>0</v>
      </c>
      <c r="Q268" s="88" t="n">
        <f aca="false">SUMIF($D$40:$D$219,2039,CU$40:CU$219)</f>
        <v>0</v>
      </c>
      <c r="R268" s="88" t="n">
        <f aca="false">SUMIF($D$40:$D$219,2040,CU$40:CU$219)</f>
        <v>0</v>
      </c>
    </row>
    <row r="269" customFormat="false" ht="15" hidden="false" customHeight="false" outlineLevel="0" collapsed="false">
      <c r="A269" s="0" t="s">
        <v>189</v>
      </c>
      <c r="C269" s="88" t="n">
        <f aca="false">SUMIF($D$40:$D$219,0,DA$40:DA$219)</f>
        <v>0</v>
      </c>
      <c r="D269" s="88" t="n">
        <f aca="false">SUMIF($D$40:$D$219,2026,DA$40:DA$219)</f>
        <v>1.2</v>
      </c>
      <c r="E269" s="88" t="n">
        <f aca="false">SUMIF($D$40:$D$219,2027,DA$40:DA$219)</f>
        <v>10.7</v>
      </c>
      <c r="F269" s="88" t="n">
        <f aca="false">SUMIF($D$40:$D$219,2028,DA$40:DA$219)</f>
        <v>92.1</v>
      </c>
      <c r="G269" s="88" t="n">
        <f aca="false">SUMIF($D$40:$D$219,2029,DA$40:DA$219)</f>
        <v>99.8</v>
      </c>
      <c r="H269" s="88" t="n">
        <f aca="false">SUMIF($D$40:$D$219,2030,DA$40:DA$219)</f>
        <v>22.2</v>
      </c>
      <c r="I269" s="88" t="n">
        <f aca="false">SUMIF($D$40:$D$219,2031,DA$40:DA$219)</f>
        <v>0</v>
      </c>
      <c r="J269" s="88" t="n">
        <f aca="false">SUMIF($D$40:$D$219,2032,DA$40:DA$219)</f>
        <v>0</v>
      </c>
      <c r="K269" s="88" t="n">
        <f aca="false">SUMIF($D$40:$D$219,2033,DA$40:DA$219)</f>
        <v>0</v>
      </c>
      <c r="L269" s="88" t="n">
        <f aca="false">SUMIF($D$40:$D$219,2034,DA$40:DA$219)</f>
        <v>0</v>
      </c>
      <c r="M269" s="88" t="n">
        <f aca="false">SUMIF($D$40:$D$219,2035,DA$40:DA$219)</f>
        <v>0</v>
      </c>
      <c r="N269" s="88" t="n">
        <f aca="false">SUMIF($D$40:$D$219,2036,DA$40:DA$219)</f>
        <v>0</v>
      </c>
      <c r="O269" s="88" t="n">
        <f aca="false">SUMIF($D$40:$D$219,2037,DA$40:DA$219)</f>
        <v>0</v>
      </c>
      <c r="P269" s="88" t="n">
        <f aca="false">SUMIF($D$40:$D$219,2038,DA$40:DA$219)</f>
        <v>0</v>
      </c>
      <c r="Q269" s="88" t="n">
        <f aca="false">SUMIF($D$40:$D$219,2039,DA$40:DA$219)</f>
        <v>0</v>
      </c>
      <c r="R269" s="88" t="n">
        <f aca="false">SUMIF($D$40:$D$219,2040,DA$40:DA$219)</f>
        <v>0</v>
      </c>
    </row>
    <row r="270" customFormat="false" ht="15" hidden="false" customHeight="false" outlineLevel="0" collapsed="false">
      <c r="A270" s="0" t="s">
        <v>192</v>
      </c>
      <c r="C270" s="88" t="n">
        <f aca="false">SUMIF($D$40:$D$219,0,DG$40:DG$219)</f>
        <v>0</v>
      </c>
      <c r="D270" s="88" t="n">
        <f aca="false">SUMIF($D$40:$D$219,2026,DG$40:DG$219)</f>
        <v>0</v>
      </c>
      <c r="E270" s="88" t="n">
        <f aca="false">SUMIF($D$40:$D$219,2027,DG$40:DG$219)</f>
        <v>0</v>
      </c>
      <c r="F270" s="88" t="n">
        <f aca="false">SUMIF($D$40:$D$219,2028,DG$40:DG$219)</f>
        <v>0</v>
      </c>
      <c r="G270" s="88" t="n">
        <f aca="false">SUMIF($D$40:$D$219,2029,DG$40:DG$219)</f>
        <v>0</v>
      </c>
      <c r="H270" s="88" t="n">
        <f aca="false">SUMIF($D$40:$D$219,2030,DG$40:DG$219)</f>
        <v>0</v>
      </c>
      <c r="I270" s="88" t="n">
        <f aca="false">SUMIF($D$40:$D$219,2031,DG$40:DG$219)</f>
        <v>0</v>
      </c>
      <c r="J270" s="88" t="n">
        <f aca="false">SUMIF($D$40:$D$219,2032,DG$40:DG$219)</f>
        <v>0</v>
      </c>
      <c r="K270" s="88" t="n">
        <f aca="false">SUMIF($D$40:$D$219,2033,DG$40:DG$219)</f>
        <v>0</v>
      </c>
      <c r="L270" s="88" t="n">
        <f aca="false">SUMIF($D$40:$D$219,2034,DG$40:DG$219)</f>
        <v>0</v>
      </c>
      <c r="M270" s="88" t="n">
        <f aca="false">SUMIF($D$40:$D$219,2035,DG$40:DG$219)</f>
        <v>0</v>
      </c>
      <c r="N270" s="88" t="n">
        <f aca="false">SUMIF($D$40:$D$219,2036,DG$40:DG$219)</f>
        <v>0</v>
      </c>
      <c r="O270" s="88" t="n">
        <f aca="false">SUMIF($D$40:$D$219,2037,DG$40:DG$219)</f>
        <v>0</v>
      </c>
      <c r="P270" s="88" t="n">
        <f aca="false">SUMIF($D$40:$D$219,2038,DG$40:DG$219)</f>
        <v>0</v>
      </c>
      <c r="Q270" s="88" t="n">
        <f aca="false">SUMIF($D$40:$D$219,2039,DG$40:DG$219)</f>
        <v>0</v>
      </c>
      <c r="R270" s="88" t="n">
        <f aca="false">SUMIF($D$40:$D$219,2040,DG$40:DG$219)</f>
        <v>0</v>
      </c>
    </row>
    <row r="271" customFormat="false" ht="15" hidden="false" customHeight="false" outlineLevel="0" collapsed="false">
      <c r="A271" s="0" t="s">
        <v>194</v>
      </c>
      <c r="C271" s="88" t="n">
        <f aca="false">SUMIF($D$40:$D$219,0,DM$40:DM$219)</f>
        <v>0</v>
      </c>
      <c r="D271" s="88" t="n">
        <f aca="false">SUMIF($D$40:$D$219,2026,DM$40:DM$219)</f>
        <v>0</v>
      </c>
      <c r="E271" s="88" t="n">
        <f aca="false">SUMIF($D$40:$D$219,2027,DM$40:DM$219)</f>
        <v>10.2</v>
      </c>
      <c r="F271" s="88" t="n">
        <f aca="false">SUMIF($D$40:$D$219,2028,DM$40:DM$219)</f>
        <v>36.7</v>
      </c>
      <c r="G271" s="88" t="n">
        <f aca="false">SUMIF($D$40:$D$219,2029,DM$40:DM$219)</f>
        <v>53.1</v>
      </c>
      <c r="H271" s="88" t="n">
        <f aca="false">SUMIF($D$40:$D$219,2030,DM$40:DM$219)</f>
        <v>0</v>
      </c>
      <c r="I271" s="88" t="n">
        <f aca="false">SUMIF($D$40:$D$219,2031,DM$40:DM$219)</f>
        <v>0</v>
      </c>
      <c r="J271" s="88" t="n">
        <f aca="false">SUMIF($D$40:$D$219,2032,DM$40:DM$219)</f>
        <v>0</v>
      </c>
      <c r="K271" s="88" t="n">
        <f aca="false">SUMIF($D$40:$D$219,2033,DM$40:DM$219)</f>
        <v>0</v>
      </c>
      <c r="L271" s="88" t="n">
        <f aca="false">SUMIF($D$40:$D$219,2034,DM$40:DM$219)</f>
        <v>0</v>
      </c>
      <c r="M271" s="88" t="n">
        <f aca="false">SUMIF($D$40:$D$219,2035,DM$40:DM$219)</f>
        <v>0</v>
      </c>
      <c r="N271" s="88" t="n">
        <f aca="false">SUMIF($D$40:$D$219,2036,DM$40:DM$219)</f>
        <v>0</v>
      </c>
      <c r="O271" s="88" t="n">
        <f aca="false">SUMIF($D$40:$D$219,2037,DM$40:DM$219)</f>
        <v>0</v>
      </c>
      <c r="P271" s="88" t="n">
        <f aca="false">SUMIF($D$40:$D$219,2038,DM$40:DM$219)</f>
        <v>0</v>
      </c>
      <c r="Q271" s="88" t="n">
        <f aca="false">SUMIF($D$40:$D$219,2039,DM$40:DM$219)</f>
        <v>0</v>
      </c>
      <c r="R271" s="88" t="n">
        <f aca="false">SUMIF($D$40:$D$219,2040,DM$40:DM$219)</f>
        <v>0</v>
      </c>
    </row>
    <row r="272" customFormat="false" ht="15" hidden="false" customHeight="false" outlineLevel="0" collapsed="false">
      <c r="A272" s="0" t="s">
        <v>196</v>
      </c>
      <c r="C272" s="88" t="n">
        <f aca="false">SUMIF($D$40:$D$219,0,DS$40:DS$219)</f>
        <v>0</v>
      </c>
      <c r="D272" s="88" t="n">
        <f aca="false">SUMIF($D$40:$D$219,2026,DS$40:DS$219)</f>
        <v>3.1</v>
      </c>
      <c r="E272" s="88" t="n">
        <f aca="false">SUMIF($D$40:$D$219,2027,DS$40:DS$219)</f>
        <v>13.5</v>
      </c>
      <c r="F272" s="88" t="n">
        <f aca="false">SUMIF($D$40:$D$219,2028,DS$40:DS$219)</f>
        <v>9.8</v>
      </c>
      <c r="G272" s="88" t="n">
        <f aca="false">SUMIF($D$40:$D$219,2029,DS$40:DS$219)</f>
        <v>2.6</v>
      </c>
      <c r="H272" s="88" t="n">
        <f aca="false">SUMIF($D$40:$D$219,2030,DS$40:DS$219)</f>
        <v>0</v>
      </c>
      <c r="I272" s="88" t="n">
        <f aca="false">SUMIF($D$40:$D$219,2031,DS$40:DS$219)</f>
        <v>0</v>
      </c>
      <c r="J272" s="88" t="n">
        <f aca="false">SUMIF($D$40:$D$219,2032,DS$40:DS$219)</f>
        <v>0</v>
      </c>
      <c r="K272" s="88" t="n">
        <f aca="false">SUMIF($D$40:$D$219,2033,DS$40:DS$219)</f>
        <v>0</v>
      </c>
      <c r="L272" s="88" t="n">
        <f aca="false">SUMIF($D$40:$D$219,2034,DS$40:DS$219)</f>
        <v>0</v>
      </c>
      <c r="M272" s="88" t="n">
        <f aca="false">SUMIF($D$40:$D$219,2035,DS$40:DS$219)</f>
        <v>0</v>
      </c>
      <c r="N272" s="88" t="n">
        <f aca="false">SUMIF($D$40:$D$219,2036,DS$40:DS$219)</f>
        <v>0</v>
      </c>
      <c r="O272" s="88" t="n">
        <f aca="false">SUMIF($D$40:$D$219,2037,DS$40:DS$219)</f>
        <v>0</v>
      </c>
      <c r="P272" s="88" t="n">
        <f aca="false">SUMIF($D$40:$D$219,2038,DS$40:DS$219)</f>
        <v>0</v>
      </c>
      <c r="Q272" s="88" t="n">
        <f aca="false">SUMIF($D$40:$D$219,2039,DS$40:DS$219)</f>
        <v>0</v>
      </c>
      <c r="R272" s="88" t="n">
        <f aca="false">SUMIF($D$40:$D$219,2040,DS$40:DS$219)</f>
        <v>0</v>
      </c>
    </row>
    <row r="273" customFormat="false" ht="15" hidden="false" customHeight="false" outlineLevel="0" collapsed="false">
      <c r="A273" s="0" t="s">
        <v>198</v>
      </c>
      <c r="C273" s="88" t="n">
        <f aca="false">SUMIF($D$40:$D$219,0,DY$40:DY$219)</f>
        <v>0</v>
      </c>
      <c r="D273" s="88" t="n">
        <f aca="false">SUMIF($D$40:$D$219,2026,DY$40:DY$219)</f>
        <v>0</v>
      </c>
      <c r="E273" s="88" t="n">
        <f aca="false">SUMIF($D$40:$D$219,2027,DY$40:DY$219)</f>
        <v>0</v>
      </c>
      <c r="F273" s="88" t="n">
        <f aca="false">SUMIF($D$40:$D$219,2028,DY$40:DY$219)</f>
        <v>85.7</v>
      </c>
      <c r="G273" s="88" t="n">
        <f aca="false">SUMIF($D$40:$D$219,2029,DY$40:DY$219)</f>
        <v>35.3</v>
      </c>
      <c r="H273" s="88" t="n">
        <f aca="false">SUMIF($D$40:$D$219,2030,DY$40:DY$219)</f>
        <v>0</v>
      </c>
      <c r="I273" s="88" t="n">
        <f aca="false">SUMIF($D$40:$D$219,2031,DY$40:DY$219)</f>
        <v>0</v>
      </c>
      <c r="J273" s="88" t="n">
        <f aca="false">SUMIF($D$40:$D$219,2032,DY$40:DY$219)</f>
        <v>0</v>
      </c>
      <c r="K273" s="88" t="n">
        <f aca="false">SUMIF($D$40:$D$219,2033,DY$40:DY$219)</f>
        <v>0</v>
      </c>
      <c r="L273" s="88" t="n">
        <f aca="false">SUMIF($D$40:$D$219,2034,DY$40:DY$219)</f>
        <v>0</v>
      </c>
      <c r="M273" s="88" t="n">
        <f aca="false">SUMIF($D$40:$D$219,2035,DY$40:DY$219)</f>
        <v>0</v>
      </c>
      <c r="N273" s="88" t="n">
        <f aca="false">SUMIF($D$40:$D$219,2036,DY$40:DY$219)</f>
        <v>0</v>
      </c>
      <c r="O273" s="88" t="n">
        <f aca="false">SUMIF($D$40:$D$219,2037,DY$40:DY$219)</f>
        <v>0</v>
      </c>
      <c r="P273" s="88" t="n">
        <f aca="false">SUMIF($D$40:$D$219,2038,DY$40:DY$219)</f>
        <v>0</v>
      </c>
      <c r="Q273" s="88" t="n">
        <f aca="false">SUMIF($D$40:$D$219,2039,DY$40:DY$219)</f>
        <v>0</v>
      </c>
      <c r="R273" s="88" t="n">
        <f aca="false">SUMIF($D$40:$D$219,2040,DY$40:DY$219)</f>
        <v>0</v>
      </c>
    </row>
    <row r="274" customFormat="false" ht="15" hidden="false" customHeight="false" outlineLevel="0" collapsed="false">
      <c r="A274" s="0" t="s">
        <v>200</v>
      </c>
      <c r="C274" s="88" t="n">
        <f aca="false">SUMIF($D$40:$D$219,0,EE$40:EE$219)</f>
        <v>0</v>
      </c>
      <c r="D274" s="88" t="n">
        <f aca="false">SUMIF($D$40:$D$219,2026,EE$40:EE$219)</f>
        <v>0</v>
      </c>
      <c r="E274" s="88" t="n">
        <f aca="false">SUMIF($D$40:$D$219,2027,EE$40:EE$219)</f>
        <v>0</v>
      </c>
      <c r="F274" s="88" t="n">
        <f aca="false">SUMIF($D$40:$D$219,2028,EE$40:EE$219)</f>
        <v>0</v>
      </c>
      <c r="G274" s="88" t="n">
        <f aca="false">SUMIF($D$40:$D$219,2029,EE$40:EE$219)</f>
        <v>0</v>
      </c>
      <c r="H274" s="88" t="n">
        <f aca="false">SUMIF($D$40:$D$219,2030,EE$40:EE$219)</f>
        <v>0</v>
      </c>
      <c r="I274" s="88" t="n">
        <f aca="false">SUMIF($D$40:$D$219,2031,EE$40:EE$219)</f>
        <v>0</v>
      </c>
      <c r="J274" s="88" t="n">
        <f aca="false">SUMIF($D$40:$D$219,2032,EE$40:EE$219)</f>
        <v>0</v>
      </c>
      <c r="K274" s="88" t="n">
        <f aca="false">SUMIF($D$40:$D$219,2033,EE$40:EE$219)</f>
        <v>0</v>
      </c>
      <c r="L274" s="88" t="n">
        <f aca="false">SUMIF($D$40:$D$219,2034,EE$40:EE$219)</f>
        <v>0</v>
      </c>
      <c r="M274" s="88" t="n">
        <f aca="false">SUMIF($D$40:$D$219,2035,EE$40:EE$219)</f>
        <v>0</v>
      </c>
      <c r="N274" s="88" t="n">
        <f aca="false">SUMIF($D$40:$D$219,2036,EE$40:EE$219)</f>
        <v>0</v>
      </c>
      <c r="O274" s="88" t="n">
        <f aca="false">SUMIF($D$40:$D$219,2037,EE$40:EE$219)</f>
        <v>0</v>
      </c>
      <c r="P274" s="88" t="n">
        <f aca="false">SUMIF($D$40:$D$219,2038,EE$40:EE$219)</f>
        <v>0</v>
      </c>
      <c r="Q274" s="88" t="n">
        <f aca="false">SUMIF($D$40:$D$219,2039,EE$40:EE$219)</f>
        <v>0</v>
      </c>
      <c r="R274" s="88" t="n">
        <f aca="false">SUMIF($D$40:$D$219,2040,EE$40:EE$219)</f>
        <v>0</v>
      </c>
    </row>
    <row r="275" customFormat="false" ht="15" hidden="false" customHeight="false" outlineLevel="0" collapsed="false">
      <c r="A275" s="0" t="s">
        <v>202</v>
      </c>
      <c r="C275" s="88" t="n">
        <f aca="false">SUMIF($D$40:$D$219,0,EK$40:EK$219)</f>
        <v>0</v>
      </c>
      <c r="D275" s="88" t="n">
        <f aca="false">SUMIF($D$40:$D$219,2026,EK$40:EK$219)</f>
        <v>3.3</v>
      </c>
      <c r="E275" s="88" t="n">
        <f aca="false">SUMIF($D$40:$D$219,2027,EK$40:EK$219)</f>
        <v>10.7</v>
      </c>
      <c r="F275" s="88" t="n">
        <f aca="false">SUMIF($D$40:$D$219,2028,EK$40:EK$219)</f>
        <v>0</v>
      </c>
      <c r="G275" s="88" t="n">
        <f aca="false">SUMIF($D$40:$D$219,2029,EK$40:EK$219)</f>
        <v>0</v>
      </c>
      <c r="H275" s="88" t="n">
        <f aca="false">SUMIF($D$40:$D$219,2030,EK$40:EK$219)</f>
        <v>0</v>
      </c>
      <c r="I275" s="88" t="n">
        <f aca="false">SUMIF($D$40:$D$219,2031,EK$40:EK$219)</f>
        <v>0</v>
      </c>
      <c r="J275" s="88" t="n">
        <f aca="false">SUMIF($D$40:$D$219,2032,EK$40:EK$219)</f>
        <v>0</v>
      </c>
      <c r="K275" s="88" t="n">
        <f aca="false">SUMIF($D$40:$D$219,2033,EK$40:EK$219)</f>
        <v>0</v>
      </c>
      <c r="L275" s="88" t="n">
        <f aca="false">SUMIF($D$40:$D$219,2034,EK$40:EK$219)</f>
        <v>0</v>
      </c>
      <c r="M275" s="88" t="n">
        <f aca="false">SUMIF($D$40:$D$219,2035,EK$40:EK$219)</f>
        <v>0</v>
      </c>
      <c r="N275" s="88" t="n">
        <f aca="false">SUMIF($D$40:$D$219,2036,EK$40:EK$219)</f>
        <v>0</v>
      </c>
      <c r="O275" s="88" t="n">
        <f aca="false">SUMIF($D$40:$D$219,2037,EK$40:EK$219)</f>
        <v>0</v>
      </c>
      <c r="P275" s="88" t="n">
        <f aca="false">SUMIF($D$40:$D$219,2038,EK$40:EK$219)</f>
        <v>0</v>
      </c>
      <c r="Q275" s="88" t="n">
        <f aca="false">SUMIF($D$40:$D$219,2039,EK$40:EK$219)</f>
        <v>0</v>
      </c>
      <c r="R275" s="88" t="n">
        <f aca="false">SUMIF($D$40:$D$219,2040,EK$40:EK$219)</f>
        <v>0</v>
      </c>
    </row>
    <row r="276" customFormat="false" ht="15" hidden="false" customHeight="false" outlineLevel="0" collapsed="false">
      <c r="A276" s="0" t="s">
        <v>204</v>
      </c>
      <c r="C276" s="88" t="n">
        <f aca="false">SUMIF($D$40:$D$219,0,EQ$40:EQ$219)</f>
        <v>0</v>
      </c>
      <c r="D276" s="88" t="n">
        <f aca="false">SUMIF($D$40:$D$219,2026,EQ$40:EQ$219)</f>
        <v>0</v>
      </c>
      <c r="E276" s="88" t="n">
        <f aca="false">SUMIF($D$40:$D$219,2027,EQ$40:EQ$219)</f>
        <v>3.7</v>
      </c>
      <c r="F276" s="88" t="n">
        <f aca="false">SUMIF($D$40:$D$219,2028,EQ$40:EQ$219)</f>
        <v>0.3</v>
      </c>
      <c r="G276" s="88" t="n">
        <f aca="false">SUMIF($D$40:$D$219,2029,EQ$40:EQ$219)</f>
        <v>0</v>
      </c>
      <c r="H276" s="88" t="n">
        <f aca="false">SUMIF($D$40:$D$219,2030,EQ$40:EQ$219)</f>
        <v>0</v>
      </c>
      <c r="I276" s="88" t="n">
        <f aca="false">SUMIF($D$40:$D$219,2031,EQ$40:EQ$219)</f>
        <v>0</v>
      </c>
      <c r="J276" s="88" t="n">
        <f aca="false">SUMIF($D$40:$D$219,2032,EQ$40:EQ$219)</f>
        <v>0</v>
      </c>
      <c r="K276" s="88" t="n">
        <f aca="false">SUMIF($D$40:$D$219,2033,EQ$40:EQ$219)</f>
        <v>0</v>
      </c>
      <c r="L276" s="88" t="n">
        <f aca="false">SUMIF($D$40:$D$219,2034,EQ$40:EQ$219)</f>
        <v>0</v>
      </c>
      <c r="M276" s="88" t="n">
        <f aca="false">SUMIF($D$40:$D$219,2035,EQ$40:EQ$219)</f>
        <v>0</v>
      </c>
      <c r="N276" s="88" t="n">
        <f aca="false">SUMIF($D$40:$D$219,2036,EQ$40:EQ$219)</f>
        <v>0</v>
      </c>
      <c r="O276" s="88" t="n">
        <f aca="false">SUMIF($D$40:$D$219,2037,EQ$40:EQ$219)</f>
        <v>0</v>
      </c>
      <c r="P276" s="88" t="n">
        <f aca="false">SUMIF($D$40:$D$219,2038,EQ$40:EQ$219)</f>
        <v>0</v>
      </c>
      <c r="Q276" s="88" t="n">
        <f aca="false">SUMIF($D$40:$D$219,2039,EQ$40:EQ$219)</f>
        <v>0</v>
      </c>
      <c r="R276" s="88" t="n">
        <f aca="false">SUMIF($D$40:$D$219,2040,EQ$40:EQ$219)</f>
        <v>0</v>
      </c>
    </row>
    <row r="277" customFormat="false" ht="15" hidden="false" customHeight="false" outlineLevel="0" collapsed="false">
      <c r="A277" s="0" t="s">
        <v>206</v>
      </c>
      <c r="C277" s="88" t="n">
        <f aca="false">SUMIF($D$40:$D$219,0,EW$40:EW$219)</f>
        <v>0</v>
      </c>
      <c r="D277" s="88" t="n">
        <f aca="false">SUMIF($D$40:$D$219,2026,EW$40:EW$219)</f>
        <v>36.1</v>
      </c>
      <c r="E277" s="88" t="n">
        <f aca="false">SUMIF($D$40:$D$219,2027,EW$40:EW$219)</f>
        <v>149</v>
      </c>
      <c r="F277" s="88" t="n">
        <f aca="false">SUMIF($D$40:$D$219,2028,EW$40:EW$219)</f>
        <v>133.4</v>
      </c>
      <c r="G277" s="88" t="n">
        <f aca="false">SUMIF($D$40:$D$219,2029,EW$40:EW$219)</f>
        <v>67.5</v>
      </c>
      <c r="H277" s="88" t="n">
        <f aca="false">SUMIF($D$40:$D$219,2030,EW$40:EW$219)</f>
        <v>5</v>
      </c>
      <c r="I277" s="88" t="n">
        <f aca="false">SUMIF($D$40:$D$219,2031,EW$40:EW$219)</f>
        <v>0</v>
      </c>
      <c r="J277" s="88" t="n">
        <f aca="false">SUMIF($D$40:$D$219,2032,EW$40:EW$219)</f>
        <v>0</v>
      </c>
      <c r="K277" s="88" t="n">
        <f aca="false">SUMIF($D$40:$D$219,2033,EW$40:EW$219)</f>
        <v>0</v>
      </c>
      <c r="L277" s="88" t="n">
        <f aca="false">SUMIF($D$40:$D$219,2034,EW$40:EW$219)</f>
        <v>0</v>
      </c>
      <c r="M277" s="88" t="n">
        <f aca="false">SUMIF($D$40:$D$219,2035,EW$40:EW$219)</f>
        <v>0</v>
      </c>
      <c r="N277" s="88" t="n">
        <f aca="false">SUMIF($D$40:$D$219,2036,EW$40:EW$219)</f>
        <v>0</v>
      </c>
      <c r="O277" s="88" t="n">
        <f aca="false">SUMIF($D$40:$D$219,2037,EW$40:EW$219)</f>
        <v>0</v>
      </c>
      <c r="P277" s="88" t="n">
        <f aca="false">SUMIF($D$40:$D$219,2038,EW$40:EW$219)</f>
        <v>0</v>
      </c>
      <c r="Q277" s="88" t="n">
        <f aca="false">SUMIF($D$40:$D$219,2039,EW$40:EW$219)</f>
        <v>0</v>
      </c>
      <c r="R277" s="88" t="n">
        <f aca="false">SUMIF($D$40:$D$219,2040,EW$40:EW$219)</f>
        <v>0</v>
      </c>
    </row>
    <row r="278" customFormat="false" ht="15" hidden="false" customHeight="false" outlineLevel="0" collapsed="false">
      <c r="A278" s="0" t="s">
        <v>208</v>
      </c>
      <c r="C278" s="88" t="n">
        <f aca="false">SUMIF($D$40:$D$219,0,FC$40:FC$219)</f>
        <v>0</v>
      </c>
      <c r="D278" s="88" t="n">
        <f aca="false">SUMIF($D$40:$D$219,2026,FC$40:FC$219)</f>
        <v>24.1</v>
      </c>
      <c r="E278" s="88" t="n">
        <f aca="false">SUMIF($D$40:$D$219,2027,FC$40:FC$219)</f>
        <v>81.9</v>
      </c>
      <c r="F278" s="88" t="n">
        <f aca="false">SUMIF($D$40:$D$219,2028,FC$40:FC$219)</f>
        <v>38.3</v>
      </c>
      <c r="G278" s="88" t="n">
        <f aca="false">SUMIF($D$40:$D$219,2029,FC$40:FC$219)</f>
        <v>24.7</v>
      </c>
      <c r="H278" s="88" t="n">
        <f aca="false">SUMIF($D$40:$D$219,2030,FC$40:FC$219)</f>
        <v>0</v>
      </c>
      <c r="I278" s="88" t="n">
        <f aca="false">SUMIF($D$40:$D$219,2031,FC$40:FC$219)</f>
        <v>0</v>
      </c>
      <c r="J278" s="88" t="n">
        <f aca="false">SUMIF($D$40:$D$219,2032,FC$40:FC$219)</f>
        <v>0</v>
      </c>
      <c r="K278" s="88" t="n">
        <f aca="false">SUMIF($D$40:$D$219,2033,FC$40:FC$219)</f>
        <v>0</v>
      </c>
      <c r="L278" s="88" t="n">
        <f aca="false">SUMIF($D$40:$D$219,2034,FC$40:FC$219)</f>
        <v>0</v>
      </c>
      <c r="M278" s="88" t="n">
        <f aca="false">SUMIF($D$40:$D$219,2035,FC$40:FC$219)</f>
        <v>0</v>
      </c>
      <c r="N278" s="88" t="n">
        <f aca="false">SUMIF($D$40:$D$219,2036,FC$40:FC$219)</f>
        <v>0</v>
      </c>
      <c r="O278" s="88" t="n">
        <f aca="false">SUMIF($D$40:$D$219,2037,FC$40:FC$219)</f>
        <v>0</v>
      </c>
      <c r="P278" s="88" t="n">
        <f aca="false">SUMIF($D$40:$D$219,2038,FC$40:FC$219)</f>
        <v>0</v>
      </c>
      <c r="Q278" s="88" t="n">
        <f aca="false">SUMIF($D$40:$D$219,2039,FC$40:FC$219)</f>
        <v>0</v>
      </c>
      <c r="R278" s="88" t="n">
        <f aca="false">SUMIF($D$40:$D$219,2040,FC$40:FC$219)</f>
        <v>0</v>
      </c>
    </row>
    <row r="281" customFormat="false" ht="15" hidden="false" customHeight="false" outlineLevel="0" collapsed="false">
      <c r="A281" s="18" t="s">
        <v>377</v>
      </c>
      <c r="C281" s="18" t="s">
        <v>1105</v>
      </c>
      <c r="D281" s="18" t="n">
        <v>2026</v>
      </c>
      <c r="E281" s="18" t="n">
        <v>2027</v>
      </c>
      <c r="F281" s="18" t="n">
        <v>2028</v>
      </c>
      <c r="G281" s="18" t="n">
        <v>2029</v>
      </c>
      <c r="H281" s="18" t="n">
        <v>2030</v>
      </c>
      <c r="I281" s="18" t="n">
        <v>2031</v>
      </c>
      <c r="J281" s="18" t="n">
        <v>2032</v>
      </c>
      <c r="K281" s="18" t="n">
        <v>2033</v>
      </c>
      <c r="L281" s="18" t="n">
        <v>2034</v>
      </c>
      <c r="M281" s="18" t="n">
        <v>2035</v>
      </c>
      <c r="N281" s="18" t="n">
        <v>2036</v>
      </c>
      <c r="O281" s="18" t="n">
        <v>2037</v>
      </c>
      <c r="P281" s="18" t="n">
        <v>2038</v>
      </c>
      <c r="Q281" s="18" t="n">
        <v>2039</v>
      </c>
      <c r="R281" s="18" t="n">
        <v>2040</v>
      </c>
    </row>
    <row r="282" customFormat="false" ht="15" hidden="false" customHeight="false" outlineLevel="0" collapsed="false">
      <c r="A282" s="0" t="s">
        <v>210</v>
      </c>
      <c r="C282" s="88" t="n">
        <f aca="false">SUMIF($D$40:$D$219,0,M$40:M$219)</f>
        <v>0</v>
      </c>
      <c r="D282" s="88" t="n">
        <f aca="false">SUMIF($D$40:$D$219,2026,M$40:M$219)</f>
        <v>486.553424657534</v>
      </c>
      <c r="E282" s="88" t="n">
        <f aca="false">SUMIF($D$40:$D$219,2027,M$40:M$219)</f>
        <v>2178.3</v>
      </c>
      <c r="F282" s="88" t="n">
        <f aca="false">SUMIF($D$40:$D$219,2028,M$40:M$219)</f>
        <v>2537.8</v>
      </c>
      <c r="G282" s="88" t="n">
        <f aca="false">SUMIF($D$40:$D$219,2029,M$40:M$219)</f>
        <v>2308.3</v>
      </c>
      <c r="H282" s="88" t="n">
        <f aca="false">SUMIF($D$40:$D$219,2030,M$40:M$219)</f>
        <v>3412</v>
      </c>
      <c r="I282" s="88" t="n">
        <f aca="false">SUMIF($D$40:$D$219,2031,M$40:M$219)</f>
        <v>594.800000000012</v>
      </c>
      <c r="J282" s="88" t="n">
        <f aca="false">SUMIF($D$40:$D$219,2032,M$40:M$219)</f>
        <v>2168.00000000001</v>
      </c>
      <c r="K282" s="88" t="n">
        <f aca="false">SUMIF($D$40:$D$219,2033,M$40:M$219)</f>
        <v>2168.00000000001</v>
      </c>
      <c r="L282" s="88" t="n">
        <f aca="false">SUMIF($D$40:$D$219,2034,M$40:M$219)</f>
        <v>2168.00000000002</v>
      </c>
      <c r="M282" s="88" t="n">
        <f aca="false">SUMIF($D$40:$D$219,2035,M$40:M$219)</f>
        <v>2094.99999999999</v>
      </c>
      <c r="N282" s="88" t="n">
        <f aca="false">SUMIF($D$40:$D$219,2036,M$40:M$219)</f>
        <v>1587</v>
      </c>
      <c r="O282" s="88" t="n">
        <f aca="false">SUMIF($D$40:$D$219,2037,M$40:M$219)</f>
        <v>1574.00000000001</v>
      </c>
      <c r="P282" s="88" t="n">
        <f aca="false">SUMIF($D$40:$D$219,2038,M$40:M$219)</f>
        <v>1555</v>
      </c>
      <c r="Q282" s="88" t="n">
        <f aca="false">SUMIF($D$40:$D$219,2039,M$40:M$219)</f>
        <v>1540.99999999997</v>
      </c>
      <c r="R282" s="88" t="n">
        <f aca="false">SUMIF($D$40:$D$219,2040,M$40:M$219)</f>
        <v>1525.00000000003</v>
      </c>
    </row>
    <row r="283" customFormat="false" ht="15" hidden="false" customHeight="false" outlineLevel="0" collapsed="false">
      <c r="A283" s="0" t="s">
        <v>157</v>
      </c>
      <c r="C283" s="88" t="n">
        <f aca="false">SUMIF($D$40:$D$219,0,S$40:S$219)</f>
        <v>0</v>
      </c>
      <c r="D283" s="88" t="n">
        <f aca="false">SUMIF($D$40:$D$219,2026,S$40:S$219)</f>
        <v>5.39716307674087</v>
      </c>
      <c r="E283" s="88" t="n">
        <f aca="false">SUMIF($D$40:$D$219,2027,S$40:S$219)</f>
        <v>22.2407590942402</v>
      </c>
      <c r="F283" s="88" t="n">
        <f aca="false">SUMIF($D$40:$D$219,2028,S$40:S$219)</f>
        <v>36.2407590942403</v>
      </c>
      <c r="G283" s="88" t="n">
        <f aca="false">SUMIF($D$40:$D$219,2029,S$40:S$219)</f>
        <v>40.74075909424</v>
      </c>
      <c r="H283" s="88" t="n">
        <f aca="false">SUMIF($D$40:$D$219,2030,S$40:S$219)</f>
        <v>44.3407590942404</v>
      </c>
      <c r="I283" s="88" t="n">
        <f aca="false">SUMIF($D$40:$D$219,2031,S$40:S$219)</f>
        <v>65.826944807955</v>
      </c>
      <c r="J283" s="88" t="n">
        <f aca="false">SUMIF($D$40:$D$219,2032,S$40:S$219)</f>
        <v>65.7269448079551</v>
      </c>
      <c r="K283" s="88" t="n">
        <f aca="false">SUMIF($D$40:$D$219,2033,S$40:S$219)</f>
        <v>65.7269448079551</v>
      </c>
      <c r="L283" s="88" t="n">
        <f aca="false">SUMIF($D$40:$D$219,2034,S$40:S$219)</f>
        <v>65.7269448079551</v>
      </c>
      <c r="M283" s="88" t="n">
        <f aca="false">SUMIF($D$40:$D$219,2035,S$40:S$219)</f>
        <v>63.5138142862857</v>
      </c>
      <c r="N283" s="88" t="n">
        <f aca="false">SUMIF($D$40:$D$219,2036,S$40:S$219)</f>
        <v>48.1128512039786</v>
      </c>
      <c r="O283" s="88" t="n">
        <f aca="false">SUMIF($D$40:$D$219,2037,S$40:S$219)</f>
        <v>47.7187320699823</v>
      </c>
      <c r="P283" s="88" t="n">
        <f aca="false">SUMIF($D$40:$D$219,2038,S$40:S$219)</f>
        <v>47.1427117972185</v>
      </c>
      <c r="Q283" s="88" t="n">
        <f aca="false">SUMIF($D$40:$D$219,2039,S$40:S$219)</f>
        <v>46.718275806762</v>
      </c>
      <c r="R283" s="88" t="n">
        <f aca="false">SUMIF($D$40:$D$219,2040,S$40:S$219)</f>
        <v>46.2332061033812</v>
      </c>
    </row>
    <row r="284" customFormat="false" ht="15" hidden="false" customHeight="false" outlineLevel="0" collapsed="false">
      <c r="A284" s="0" t="s">
        <v>160</v>
      </c>
      <c r="C284" s="88" t="n">
        <f aca="false">SUMIF($D$40:$D$219,0,Y$40:Y$219)</f>
        <v>0</v>
      </c>
      <c r="D284" s="88" t="n">
        <f aca="false">SUMIF($D$40:$D$219,2026,Y$40:Y$219)</f>
        <v>57.8257349511603</v>
      </c>
      <c r="E284" s="88" t="n">
        <f aca="false">SUMIF($D$40:$D$219,2027,Y$40:Y$219)</f>
        <v>219.081097143218</v>
      </c>
      <c r="F284" s="88" t="n">
        <f aca="false">SUMIF($D$40:$D$219,2028,Y$40:Y$219)</f>
        <v>187.981097143218</v>
      </c>
      <c r="G284" s="88" t="n">
        <f aca="false">SUMIF($D$40:$D$219,2029,Y$40:Y$219)</f>
        <v>221.181097143218</v>
      </c>
      <c r="H284" s="88" t="n">
        <f aca="false">SUMIF($D$40:$D$219,2030,Y$40:Y$219)</f>
        <v>422.481097143218</v>
      </c>
      <c r="I284" s="88" t="n">
        <f aca="false">SUMIF($D$40:$D$219,2031,Y$40:Y$219)</f>
        <v>267.038029229764</v>
      </c>
      <c r="J284" s="88" t="n">
        <f aca="false">SUMIF($D$40:$D$219,2032,Y$40:Y$219)</f>
        <v>267.138029229765</v>
      </c>
      <c r="K284" s="88" t="n">
        <f aca="false">SUMIF($D$40:$D$219,2033,Y$40:Y$219)</f>
        <v>267.138029229765</v>
      </c>
      <c r="L284" s="88" t="n">
        <f aca="false">SUMIF($D$40:$D$219,2034,Y$40:Y$219)</f>
        <v>267.138029229766</v>
      </c>
      <c r="M284" s="88" t="n">
        <f aca="false">SUMIF($D$40:$D$219,2035,Y$40:Y$219)</f>
        <v>258.14306791345</v>
      </c>
      <c r="N284" s="88" t="n">
        <f aca="false">SUMIF($D$40:$D$219,2036,Y$40:Y$219)</f>
        <v>195.547994643743</v>
      </c>
      <c r="O284" s="88" t="n">
        <f aca="false">SUMIF($D$40:$D$219,2037,Y$40:Y$219)</f>
        <v>193.946152217553</v>
      </c>
      <c r="P284" s="88" t="n">
        <f aca="false">SUMIF($D$40:$D$219,2038,Y$40:Y$219)</f>
        <v>191.604997902348</v>
      </c>
      <c r="Q284" s="88" t="n">
        <f aca="false">SUMIF($D$40:$D$219,2039,Y$40:Y$219)</f>
        <v>189.87993682798</v>
      </c>
      <c r="R284" s="88" t="n">
        <f aca="false">SUMIF($D$40:$D$219,2040,Y$40:Y$219)</f>
        <v>187.908438457285</v>
      </c>
    </row>
    <row r="285" customFormat="false" ht="15" hidden="false" customHeight="false" outlineLevel="0" collapsed="false">
      <c r="A285" s="0" t="s">
        <v>162</v>
      </c>
      <c r="C285" s="88" t="n">
        <f aca="false">SUMIF($D$40:$D$219,0,AE$40:AE$219)</f>
        <v>0</v>
      </c>
      <c r="D285" s="88" t="n">
        <f aca="false">SUMIF($D$40:$D$219,2026,AE$40:AE$219)</f>
        <v>5.62954059886064</v>
      </c>
      <c r="E285" s="88" t="n">
        <f aca="false">SUMIF($D$40:$D$219,2027,AE$40:AE$219)</f>
        <v>160.003321395107</v>
      </c>
      <c r="F285" s="88" t="n">
        <f aca="false">SUMIF($D$40:$D$219,2028,AE$40:AE$219)</f>
        <v>599.803321395107</v>
      </c>
      <c r="G285" s="88" t="n">
        <f aca="false">SUMIF($D$40:$D$219,2029,AE$40:AE$219)</f>
        <v>149.603321395107</v>
      </c>
      <c r="H285" s="88" t="n">
        <f aca="false">SUMIF($D$40:$D$219,2030,AE$40:AE$219)</f>
        <v>420.603321395106</v>
      </c>
      <c r="I285" s="88" t="n">
        <f aca="false">SUMIF($D$40:$D$219,2031,AE$40:AE$219)</f>
        <v>0</v>
      </c>
      <c r="J285" s="88" t="n">
        <f aca="false">SUMIF($D$40:$D$219,2032,AE$40:AE$219)</f>
        <v>0</v>
      </c>
      <c r="K285" s="88" t="n">
        <f aca="false">SUMIF($D$40:$D$219,2033,AE$40:AE$219)</f>
        <v>59.1126676879669</v>
      </c>
      <c r="L285" s="88" t="n">
        <f aca="false">SUMIF($D$40:$D$219,2034,AE$40:AE$219)</f>
        <v>316.937555895989</v>
      </c>
      <c r="M285" s="88" t="n">
        <f aca="false">SUMIF($D$40:$D$219,2035,AE$40:AE$219)</f>
        <v>306.26576549912</v>
      </c>
      <c r="N285" s="88" t="n">
        <f aca="false">SUMIF($D$40:$D$219,2036,AE$40:AE$219)</f>
        <v>232.001799449692</v>
      </c>
      <c r="O285" s="88" t="n">
        <f aca="false">SUMIF($D$40:$D$219,2037,AE$40:AE$219)</f>
        <v>230.101343625596</v>
      </c>
      <c r="P285" s="88" t="n">
        <f aca="false">SUMIF($D$40:$D$219,2038,AE$40:AE$219)</f>
        <v>227.323754344212</v>
      </c>
      <c r="Q285" s="88" t="n">
        <f aca="false">SUMIF($D$40:$D$219,2039,AE$40:AE$219)</f>
        <v>225.277109610575</v>
      </c>
      <c r="R285" s="88" t="n">
        <f aca="false">SUMIF($D$40:$D$219,2040,AE$40:AE$219)</f>
        <v>222.938087057835</v>
      </c>
    </row>
    <row r="286" customFormat="false" ht="15" hidden="false" customHeight="false" outlineLevel="0" collapsed="false">
      <c r="A286" s="0" t="s">
        <v>164</v>
      </c>
      <c r="C286" s="88" t="n">
        <f aca="false">SUMIF($D$40:$D$219,0,AK$40:AK$219)</f>
        <v>0</v>
      </c>
      <c r="D286" s="88" t="n">
        <f aca="false">SUMIF($D$40:$D$219,2026,AK$40:AK$219)</f>
        <v>112.268923121264</v>
      </c>
      <c r="E286" s="88" t="n">
        <f aca="false">SUMIF($D$40:$D$219,2027,AK$40:AK$219)</f>
        <v>455.85478752072</v>
      </c>
      <c r="F286" s="88" t="n">
        <f aca="false">SUMIF($D$40:$D$219,2028,AK$40:AK$219)</f>
        <v>298.95478752072</v>
      </c>
      <c r="G286" s="88" t="n">
        <f aca="false">SUMIF($D$40:$D$219,2029,AK$40:AK$219)</f>
        <v>282.45478752072</v>
      </c>
      <c r="H286" s="88" t="n">
        <f aca="false">SUMIF($D$40:$D$219,2030,AK$40:AK$219)</f>
        <v>468.654787520722</v>
      </c>
      <c r="I286" s="88" t="n">
        <f aca="false">SUMIF($D$40:$D$219,2031,AK$40:AK$219)</f>
        <v>122.612498087007</v>
      </c>
      <c r="J286" s="88" t="n">
        <f aca="false">SUMIF($D$40:$D$219,2032,AK$40:AK$219)</f>
        <v>275.312498087007</v>
      </c>
      <c r="K286" s="88" t="n">
        <f aca="false">SUMIF($D$40:$D$219,2033,AK$40:AK$219)</f>
        <v>275.312498087007</v>
      </c>
      <c r="L286" s="88" t="n">
        <f aca="false">SUMIF($D$40:$D$219,2034,AK$40:AK$219)</f>
        <v>275.312498087007</v>
      </c>
      <c r="M286" s="88" t="n">
        <f aca="false">SUMIF($D$40:$D$219,2035,AK$40:AK$219)</f>
        <v>266.04228943371</v>
      </c>
      <c r="N286" s="88" t="n">
        <f aca="false">SUMIF($D$40:$D$219,2036,AK$40:AK$219)</f>
        <v>201.531796339523</v>
      </c>
      <c r="O286" s="88" t="n">
        <f aca="false">SUMIF($D$40:$D$219,2037,AK$40:AK$219)</f>
        <v>199.880937264277</v>
      </c>
      <c r="P286" s="88" t="n">
        <f aca="false">SUMIF($D$40:$D$219,2038,AK$40:AK$219)</f>
        <v>197.468143231228</v>
      </c>
      <c r="Q286" s="88" t="n">
        <f aca="false">SUMIF($D$40:$D$219,2039,AK$40:AK$219)</f>
        <v>195.690294996344</v>
      </c>
      <c r="R286" s="88" t="n">
        <f aca="false">SUMIF($D$40:$D$219,2040,AK$40:AK$219)</f>
        <v>193.658468442205</v>
      </c>
    </row>
    <row r="287" customFormat="false" ht="15" hidden="false" customHeight="false" outlineLevel="0" collapsed="false">
      <c r="A287" s="0" t="s">
        <v>166</v>
      </c>
      <c r="C287" s="88" t="n">
        <f aca="false">SUMIF($D$40:$D$219,0,AQ$40:AQ$219)</f>
        <v>0</v>
      </c>
      <c r="D287" s="88" t="n">
        <f aca="false">SUMIF($D$40:$D$219,2026,AQ$40:AQ$219)</f>
        <v>25.7894815375637</v>
      </c>
      <c r="E287" s="88" t="n">
        <f aca="false">SUMIF($D$40:$D$219,2027,AQ$40:AQ$219)</f>
        <v>117.037185426009</v>
      </c>
      <c r="F287" s="88" t="n">
        <f aca="false">SUMIF($D$40:$D$219,2028,AQ$40:AQ$219)</f>
        <v>113.437185426009</v>
      </c>
      <c r="G287" s="88" t="n">
        <f aca="false">SUMIF($D$40:$D$219,2029,AQ$40:AQ$219)</f>
        <v>120.437185426009</v>
      </c>
      <c r="H287" s="88" t="n">
        <f aca="false">SUMIF($D$40:$D$219,2030,AQ$40:AQ$219)</f>
        <v>136.937185426009</v>
      </c>
      <c r="I287" s="88" t="n">
        <f aca="false">SUMIF($D$40:$D$219,2031,AQ$40:AQ$219)</f>
        <v>69.6410551263402</v>
      </c>
      <c r="J287" s="88" t="n">
        <f aca="false">SUMIF($D$40:$D$219,2032,AQ$40:AQ$219)</f>
        <v>69.6410551263402</v>
      </c>
      <c r="K287" s="88" t="n">
        <f aca="false">SUMIF($D$40:$D$219,2033,AQ$40:AQ$219)</f>
        <v>69.6410551263402</v>
      </c>
      <c r="L287" s="88" t="n">
        <f aca="false">SUMIF($D$40:$D$219,2034,AQ$40:AQ$219)</f>
        <v>69.6410551263402</v>
      </c>
      <c r="M287" s="88" t="n">
        <f aca="false">SUMIF($D$40:$D$219,2035,AQ$40:AQ$219)</f>
        <v>67.2961302996691</v>
      </c>
      <c r="N287" s="88" t="n">
        <f aca="false">SUMIF($D$40:$D$219,2036,AQ$40:AQ$219)</f>
        <v>50.9780232866701</v>
      </c>
      <c r="O287" s="88" t="n">
        <f aca="false">SUMIF($D$40:$D$219,2037,AQ$40:AQ$219)</f>
        <v>50.560433933976</v>
      </c>
      <c r="P287" s="88" t="n">
        <f aca="false">SUMIF($D$40:$D$219,2038,AQ$40:AQ$219)</f>
        <v>49.9501110338833</v>
      </c>
      <c r="Q287" s="88" t="n">
        <f aca="false">SUMIF($D$40:$D$219,2039,AQ$40:AQ$219)</f>
        <v>49.5003994232875</v>
      </c>
      <c r="R287" s="88" t="n">
        <f aca="false">SUMIF($D$40:$D$219,2040,AQ$40:AQ$219)</f>
        <v>48.9864432968961</v>
      </c>
    </row>
    <row r="288" customFormat="false" ht="15" hidden="false" customHeight="false" outlineLevel="0" collapsed="false">
      <c r="A288" s="0" t="s">
        <v>168</v>
      </c>
      <c r="C288" s="88" t="n">
        <f aca="false">SUMIF($D$40:$D$219,0,AW$40:AW$219)</f>
        <v>0</v>
      </c>
      <c r="D288" s="88" t="n">
        <f aca="false">SUMIF($D$40:$D$219,2026,AW$40:AW$219)</f>
        <v>27.5749293835809</v>
      </c>
      <c r="E288" s="88" t="n">
        <f aca="false">SUMIF($D$40:$D$219,2027,AW$40:AW$219)</f>
        <v>144.192343823612</v>
      </c>
      <c r="F288" s="88" t="n">
        <f aca="false">SUMIF($D$40:$D$219,2028,AW$40:AW$219)</f>
        <v>240.292343823612</v>
      </c>
      <c r="G288" s="88" t="n">
        <f aca="false">SUMIF($D$40:$D$219,2029,AW$40:AW$219)</f>
        <v>192.792343823611</v>
      </c>
      <c r="H288" s="88" t="n">
        <f aca="false">SUMIF($D$40:$D$219,2030,AW$40:AW$219)</f>
        <v>281.492343823613</v>
      </c>
      <c r="I288" s="88" t="n">
        <f aca="false">SUMIF($D$40:$D$219,2031,AW$40:AW$219)</f>
        <v>72.1454847313153</v>
      </c>
      <c r="J288" s="88" t="n">
        <f aca="false">SUMIF($D$40:$D$219,2032,AW$40:AW$219)</f>
        <v>296.945484731315</v>
      </c>
      <c r="K288" s="88" t="n">
        <f aca="false">SUMIF($D$40:$D$219,2033,AW$40:AW$219)</f>
        <v>296.945484731315</v>
      </c>
      <c r="L288" s="88" t="n">
        <f aca="false">SUMIF($D$40:$D$219,2034,AW$40:AW$219)</f>
        <v>296.945484731315</v>
      </c>
      <c r="M288" s="88" t="n">
        <f aca="false">SUMIF($D$40:$D$219,2035,AW$40:AW$219)</f>
        <v>286.946859092299</v>
      </c>
      <c r="N288" s="88" t="n">
        <f aca="false">SUMIF($D$40:$D$219,2036,AW$40:AW$219)</f>
        <v>217.36738204271</v>
      </c>
      <c r="O288" s="88" t="n">
        <f aca="false">SUMIF($D$40:$D$219,2037,AW$40:AW$219)</f>
        <v>215.586804874121</v>
      </c>
      <c r="P288" s="88" t="n">
        <f aca="false">SUMIF($D$40:$D$219,2038,AW$40:AW$219)</f>
        <v>212.984422858488</v>
      </c>
      <c r="Q288" s="88" t="n">
        <f aca="false">SUMIF($D$40:$D$219,2039,AW$40:AW$219)</f>
        <v>211.066878215388</v>
      </c>
      <c r="R288" s="88" t="n">
        <f aca="false">SUMIF($D$40:$D$219,2040,AW$40:AW$219)</f>
        <v>208.875398623277</v>
      </c>
    </row>
    <row r="289" customFormat="false" ht="15" hidden="false" customHeight="false" outlineLevel="0" collapsed="false">
      <c r="A289" s="0" t="s">
        <v>170</v>
      </c>
      <c r="C289" s="88" t="n">
        <f aca="false">SUMIF($D$40:$D$219,0,BC$40:BC$219)</f>
        <v>0</v>
      </c>
      <c r="D289" s="88" t="n">
        <f aca="false">SUMIF($D$40:$D$219,2026,BC$40:BC$219)</f>
        <v>15.7724024552412</v>
      </c>
      <c r="E289" s="88" t="n">
        <f aca="false">SUMIF($D$40:$D$219,2027,BC$40:BC$219)</f>
        <v>67.7285517195652</v>
      </c>
      <c r="F289" s="88" t="n">
        <f aca="false">SUMIF($D$40:$D$219,2028,BC$40:BC$219)</f>
        <v>37.6285517195652</v>
      </c>
      <c r="G289" s="88" t="n">
        <f aca="false">SUMIF($D$40:$D$219,2029,BC$40:BC$219)</f>
        <v>48.1285517195651</v>
      </c>
      <c r="H289" s="88" t="n">
        <f aca="false">SUMIF($D$40:$D$219,2030,BC$40:BC$219)</f>
        <v>67.4285517195651</v>
      </c>
      <c r="I289" s="88" t="n">
        <f aca="false">SUMIF($D$40:$D$219,2031,BC$40:BC$219)</f>
        <v>34.4441708017866</v>
      </c>
      <c r="J289" s="88" t="n">
        <f aca="false">SUMIF($D$40:$D$219,2032,BC$40:BC$219)</f>
        <v>34.4441708017866</v>
      </c>
      <c r="K289" s="88" t="n">
        <f aca="false">SUMIF($D$40:$D$219,2033,BC$40:BC$219)</f>
        <v>34.4441708017866</v>
      </c>
      <c r="L289" s="88" t="n">
        <f aca="false">SUMIF($D$40:$D$219,2034,BC$40:BC$219)</f>
        <v>34.4441708017866</v>
      </c>
      <c r="M289" s="88" t="n">
        <f aca="false">SUMIF($D$40:$D$219,2035,BC$40:BC$219)</f>
        <v>33.2843809177784</v>
      </c>
      <c r="N289" s="88" t="n">
        <f aca="false">SUMIF($D$40:$D$219,2036,BC$40:BC$219)</f>
        <v>25.2135143276919</v>
      </c>
      <c r="O289" s="88" t="n">
        <f aca="false">SUMIF($D$40:$D$219,2037,BC$40:BC$219)</f>
        <v>25.0069764031423</v>
      </c>
      <c r="P289" s="88" t="n">
        <f aca="false">SUMIF($D$40:$D$219,2038,BC$40:BC$219)</f>
        <v>24.7051132826469</v>
      </c>
      <c r="Q289" s="88" t="n">
        <f aca="false">SUMIF($D$40:$D$219,2039,BC$40:BC$219)</f>
        <v>24.4826878254394</v>
      </c>
      <c r="R289" s="88" t="n">
        <f aca="false">SUMIF($D$40:$D$219,2040,BC$40:BC$219)</f>
        <v>24.2284873029175</v>
      </c>
    </row>
    <row r="290" customFormat="false" ht="15" hidden="false" customHeight="false" outlineLevel="0" collapsed="false">
      <c r="A290" s="0" t="s">
        <v>172</v>
      </c>
      <c r="C290" s="88" t="n">
        <f aca="false">SUMIF($D$40:$D$219,0,BI$40:BI$219)</f>
        <v>0</v>
      </c>
      <c r="D290" s="88" t="n">
        <f aca="false">SUMIF($D$40:$D$219,2026,BI$40:BI$219)</f>
        <v>60.3794649982923</v>
      </c>
      <c r="E290" s="88" t="n">
        <f aca="false">SUMIF($D$40:$D$219,2027,BI$40:BI$219)</f>
        <v>245.170643816196</v>
      </c>
      <c r="F290" s="88" t="n">
        <f aca="false">SUMIF($D$40:$D$219,2028,BI$40:BI$219)</f>
        <v>232.070643816197</v>
      </c>
      <c r="G290" s="88" t="n">
        <f aca="false">SUMIF($D$40:$D$219,2029,BI$40:BI$219)</f>
        <v>310.470643816197</v>
      </c>
      <c r="H290" s="88" t="n">
        <f aca="false">SUMIF($D$40:$D$219,2030,BI$40:BI$219)</f>
        <v>336.570643816197</v>
      </c>
      <c r="I290" s="88" t="n">
        <f aca="false">SUMIF($D$40:$D$219,2031,BI$40:BI$219)</f>
        <v>171.167055077061</v>
      </c>
      <c r="J290" s="88" t="n">
        <f aca="false">SUMIF($D$40:$D$219,2032,BI$40:BI$219)</f>
        <v>171.167055077061</v>
      </c>
      <c r="K290" s="88" t="n">
        <f aca="false">SUMIF($D$40:$D$219,2033,BI$40:BI$219)</f>
        <v>171.167055077061</v>
      </c>
      <c r="L290" s="88" t="n">
        <f aca="false">SUMIF($D$40:$D$219,2034,BI$40:BI$219)</f>
        <v>171.167055077062</v>
      </c>
      <c r="M290" s="88" t="n">
        <f aca="false">SUMIF($D$40:$D$219,2035,BI$40:BI$219)</f>
        <v>165.403588739133</v>
      </c>
      <c r="N290" s="88" t="n">
        <f aca="false">SUMIF($D$40:$D$219,2036,BI$40:BI$219)</f>
        <v>125.296179154655</v>
      </c>
      <c r="O290" s="88" t="n">
        <f aca="false">SUMIF($D$40:$D$219,2037,BI$40:BI$219)</f>
        <v>124.269808436942</v>
      </c>
      <c r="P290" s="88" t="n">
        <f aca="false">SUMIF($D$40:$D$219,2038,BI$40:BI$219)</f>
        <v>122.769728157207</v>
      </c>
      <c r="Q290" s="88" t="n">
        <f aca="false">SUMIF($D$40:$D$219,2039,BI$40:BI$219)</f>
        <v>121.664405845826</v>
      </c>
      <c r="R290" s="88" t="n">
        <f aca="false">SUMIF($D$40:$D$219,2040,BI$40:BI$219)</f>
        <v>120.401180347102</v>
      </c>
    </row>
    <row r="291" customFormat="false" ht="15" hidden="false" customHeight="false" outlineLevel="0" collapsed="false">
      <c r="A291" s="0" t="s">
        <v>174</v>
      </c>
      <c r="C291" s="88" t="n">
        <f aca="false">SUMIF($D$40:$D$219,0,BO$40:BO$219)</f>
        <v>0</v>
      </c>
      <c r="D291" s="88" t="n">
        <f aca="false">SUMIF($D$40:$D$219,2026,BO$40:BO$219)</f>
        <v>39.274281864499</v>
      </c>
      <c r="E291" s="88" t="n">
        <f aca="false">SUMIF($D$40:$D$219,2027,BO$40:BO$219)</f>
        <v>143.736622124025</v>
      </c>
      <c r="F291" s="88" t="n">
        <f aca="false">SUMIF($D$40:$D$219,2028,BO$40:BO$219)</f>
        <v>169.236622124025</v>
      </c>
      <c r="G291" s="88" t="n">
        <f aca="false">SUMIF($D$40:$D$219,2029,BO$40:BO$219)</f>
        <v>140.736622124025</v>
      </c>
      <c r="H291" s="88" t="n">
        <f aca="false">SUMIF($D$40:$D$219,2030,BO$40:BO$219)</f>
        <v>127.136622124026</v>
      </c>
      <c r="I291" s="88" t="n">
        <f aca="false">SUMIF($D$40:$D$219,2031,BO$40:BO$219)</f>
        <v>0</v>
      </c>
      <c r="J291" s="88" t="n">
        <f aca="false">SUMIF($D$40:$D$219,2032,BO$40:BO$219)</f>
        <v>0</v>
      </c>
      <c r="K291" s="88" t="n">
        <f aca="false">SUMIF($D$40:$D$219,2033,BO$40:BO$219)</f>
        <v>0</v>
      </c>
      <c r="L291" s="88" t="n">
        <f aca="false">SUMIF($D$40:$D$219,2034,BO$40:BO$219)</f>
        <v>71.3932880740214</v>
      </c>
      <c r="M291" s="88" t="n">
        <f aca="false">SUMIF($D$40:$D$219,2035,BO$40:BO$219)</f>
        <v>90.6883001055203</v>
      </c>
      <c r="N291" s="88" t="n">
        <f aca="false">SUMIF($D$40:$D$219,2036,BO$40:BO$219)</f>
        <v>68.6980106288602</v>
      </c>
      <c r="O291" s="88" t="n">
        <f aca="false">SUMIF($D$40:$D$219,2037,BO$40:BO$219)</f>
        <v>68.1352670005199</v>
      </c>
      <c r="P291" s="88" t="n">
        <f aca="false">SUMIF($D$40:$D$219,2038,BO$40:BO$219)</f>
        <v>67.3127955437149</v>
      </c>
      <c r="Q291" s="88" t="n">
        <f aca="false">SUMIF($D$40:$D$219,2039,BO$40:BO$219)</f>
        <v>66.7067639439637</v>
      </c>
      <c r="R291" s="88" t="n">
        <f aca="false">SUMIF($D$40:$D$219,2040,BO$40:BO$219)</f>
        <v>66.0141564013939</v>
      </c>
    </row>
    <row r="292" customFormat="false" ht="15" hidden="false" customHeight="false" outlineLevel="0" collapsed="false">
      <c r="A292" s="0" t="s">
        <v>176</v>
      </c>
      <c r="C292" s="88" t="n">
        <f aca="false">SUMIF($D$40:$D$219,0,BU$40:BU$219)</f>
        <v>0</v>
      </c>
      <c r="D292" s="88" t="n">
        <f aca="false">SUMIF($D$40:$D$219,2026,BU$40:BU$219)</f>
        <v>13.4293540978956</v>
      </c>
      <c r="E292" s="88" t="n">
        <f aca="false">SUMIF($D$40:$D$219,2027,BU$40:BU$219)</f>
        <v>57.6672264203751</v>
      </c>
      <c r="F292" s="88" t="n">
        <f aca="false">SUMIF($D$40:$D$219,2028,BU$40:BU$219)</f>
        <v>0.267226420375081</v>
      </c>
      <c r="G292" s="88" t="n">
        <f aca="false">SUMIF($D$40:$D$219,2029,BU$40:BU$219)</f>
        <v>28.7672264203751</v>
      </c>
      <c r="H292" s="88" t="n">
        <f aca="false">SUMIF($D$40:$D$219,2030,BU$40:BU$219)</f>
        <v>56.967226420375</v>
      </c>
      <c r="I292" s="88" t="n">
        <f aca="false">SUMIF($D$40:$D$219,2031,BU$40:BU$219)</f>
        <v>29.3273626271106</v>
      </c>
      <c r="J292" s="88" t="n">
        <f aca="false">SUMIF($D$40:$D$219,2032,BU$40:BU$219)</f>
        <v>29.3273626271105</v>
      </c>
      <c r="K292" s="88" t="n">
        <f aca="false">SUMIF($D$40:$D$219,2033,BU$40:BU$219)</f>
        <v>29.3273626271105</v>
      </c>
      <c r="L292" s="88" t="n">
        <f aca="false">SUMIF($D$40:$D$219,2034,BU$40:BU$219)</f>
        <v>29.3273626271105</v>
      </c>
      <c r="M292" s="88" t="n">
        <f aca="false">SUMIF($D$40:$D$219,2035,BU$40:BU$219)</f>
        <v>28.3398637932646</v>
      </c>
      <c r="N292" s="88" t="n">
        <f aca="false">SUMIF($D$40:$D$219,2036,BU$40:BU$219)</f>
        <v>21.467954100196</v>
      </c>
      <c r="O292" s="88" t="n">
        <f aca="false">SUMIF($D$40:$D$219,2037,BU$40:BU$219)</f>
        <v>21.2920981434834</v>
      </c>
      <c r="P292" s="88" t="n">
        <f aca="false">SUMIF($D$40:$D$219,2038,BU$40:BU$219)</f>
        <v>21.0350778990578</v>
      </c>
      <c r="Q292" s="88" t="n">
        <f aca="false">SUMIF($D$40:$D$219,2039,BU$40:BU$219)</f>
        <v>20.8456945610596</v>
      </c>
      <c r="R292" s="88" t="n">
        <f aca="false">SUMIF($D$40:$D$219,2040,BU$40:BU$219)</f>
        <v>20.6292564604905</v>
      </c>
    </row>
    <row r="293" customFormat="false" ht="15" hidden="false" customHeight="false" outlineLevel="0" collapsed="false">
      <c r="A293" s="0" t="s">
        <v>179</v>
      </c>
      <c r="C293" s="88" t="n">
        <f aca="false">SUMIF($D$40:$D$219,0,CA$40:CA$219)</f>
        <v>0</v>
      </c>
      <c r="D293" s="88" t="n">
        <f aca="false">SUMIF($D$40:$D$219,2026,CA$40:CA$219)</f>
        <v>7.96499622357943</v>
      </c>
      <c r="E293" s="88" t="n">
        <f aca="false">SUMIF($D$40:$D$219,2027,CA$40:CA$219)</f>
        <v>34.2026308424293</v>
      </c>
      <c r="F293" s="88" t="n">
        <f aca="false">SUMIF($D$40:$D$219,2028,CA$40:CA$219)</f>
        <v>34.2026308424293</v>
      </c>
      <c r="G293" s="88" t="n">
        <f aca="false">SUMIF($D$40:$D$219,2029,CA$40:CA$219)</f>
        <v>34.2026308424293</v>
      </c>
      <c r="H293" s="88" t="n">
        <f aca="false">SUMIF($D$40:$D$219,2030,CA$40:CA$219)</f>
        <v>34.2026308424294</v>
      </c>
      <c r="I293" s="88" t="n">
        <f aca="false">SUMIF($D$40:$D$219,2031,CA$40:CA$219)</f>
        <v>17.3941599029761</v>
      </c>
      <c r="J293" s="88" t="n">
        <f aca="false">SUMIF($D$40:$D$219,2032,CA$40:CA$219)</f>
        <v>17.3941599029761</v>
      </c>
      <c r="K293" s="88" t="n">
        <f aca="false">SUMIF($D$40:$D$219,2033,CA$40:CA$219)</f>
        <v>17.3941599029761</v>
      </c>
      <c r="L293" s="88" t="n">
        <f aca="false">SUMIF($D$40:$D$219,2034,CA$40:CA$219)</f>
        <v>17.3941599029761</v>
      </c>
      <c r="M293" s="88" t="n">
        <f aca="false">SUMIF($D$40:$D$219,2035,CA$40:CA$219)</f>
        <v>16.8084709394534</v>
      </c>
      <c r="N293" s="88" t="n">
        <f aca="false">SUMIF($D$40:$D$219,2036,CA$40:CA$219)</f>
        <v>12.7327176042542</v>
      </c>
      <c r="O293" s="88" t="n">
        <f aca="false">SUMIF($D$40:$D$219,2037,CA$40:CA$219)</f>
        <v>12.6284168299281</v>
      </c>
      <c r="P293" s="88" t="n">
        <f aca="false">SUMIF($D$40:$D$219,2038,CA$40:CA$219)</f>
        <v>12.4759772366829</v>
      </c>
      <c r="Q293" s="88" t="n">
        <f aca="false">SUMIF($D$40:$D$219,2039,CA$40:CA$219)</f>
        <v>12.36365332587</v>
      </c>
      <c r="R293" s="88" t="n">
        <f aca="false">SUMIF($D$40:$D$219,2040,CA$40:CA$219)</f>
        <v>12.2352831420842</v>
      </c>
    </row>
    <row r="294" customFormat="false" ht="15" hidden="false" customHeight="false" outlineLevel="0" collapsed="false">
      <c r="A294" s="0" t="s">
        <v>181</v>
      </c>
      <c r="C294" s="88" t="n">
        <f aca="false">SUMIF($D$40:$D$219,0,CG$40:CG$219)</f>
        <v>0</v>
      </c>
      <c r="D294" s="88" t="n">
        <f aca="false">SUMIF($D$40:$D$219,2026,CG$40:CG$219)</f>
        <v>0</v>
      </c>
      <c r="E294" s="88" t="n">
        <f aca="false">SUMIF($D$40:$D$219,2027,CG$40:CG$219)</f>
        <v>0</v>
      </c>
      <c r="F294" s="88" t="n">
        <f aca="false">SUMIF($D$40:$D$219,2028,CG$40:CG$219)</f>
        <v>43.0117019196484</v>
      </c>
      <c r="G294" s="88" t="n">
        <f aca="false">SUMIF($D$40:$D$219,2029,CG$40:CG$219)</f>
        <v>50.2764063811921</v>
      </c>
      <c r="H294" s="88" t="n">
        <f aca="false">SUMIF($D$40:$D$219,2030,CG$40:CG$219)</f>
        <v>56.0764063811921</v>
      </c>
      <c r="I294" s="88" t="n">
        <f aca="false">SUMIF($D$40:$D$219,2031,CG$40:CG$219)</f>
        <v>28.518331933949</v>
      </c>
      <c r="J294" s="88" t="n">
        <f aca="false">SUMIF($D$40:$D$219,2032,CG$40:CG$219)</f>
        <v>28.518331933949</v>
      </c>
      <c r="K294" s="88" t="n">
        <f aca="false">SUMIF($D$40:$D$219,2033,CG$40:CG$219)</f>
        <v>28.518331933949</v>
      </c>
      <c r="L294" s="88" t="n">
        <f aca="false">SUMIF($D$40:$D$219,2034,CG$40:CG$219)</f>
        <v>28.518331933949</v>
      </c>
      <c r="M294" s="88" t="n">
        <f aca="false">SUMIF($D$40:$D$219,2035,CG$40:CG$219)</f>
        <v>27.5580744472431</v>
      </c>
      <c r="N294" s="88" t="n">
        <f aca="false">SUMIF($D$40:$D$219,2036,CG$40:CG$219)</f>
        <v>20.8757346767425</v>
      </c>
      <c r="O294" s="88" t="n">
        <f aca="false">SUMIF($D$40:$D$219,2037,CG$40:CG$219)</f>
        <v>20.7047299188357</v>
      </c>
      <c r="P294" s="88" t="n">
        <f aca="false">SUMIF($D$40:$D$219,2038,CG$40:CG$219)</f>
        <v>20.4547998880496</v>
      </c>
      <c r="Q294" s="88" t="n">
        <f aca="false">SUMIF($D$40:$D$219,2039,CG$40:CG$219)</f>
        <v>20.2706409179962</v>
      </c>
      <c r="R294" s="88" t="n">
        <f aca="false">SUMIF($D$40:$D$219,2040,CG$40:CG$219)</f>
        <v>20.0601735236494</v>
      </c>
    </row>
    <row r="295" customFormat="false" ht="15" hidden="false" customHeight="false" outlineLevel="0" collapsed="false">
      <c r="A295" s="0" t="s">
        <v>183</v>
      </c>
      <c r="C295" s="88" t="n">
        <f aca="false">SUMIF($D$40:$D$219,0,CM$40:CM$219)</f>
        <v>0</v>
      </c>
      <c r="D295" s="88" t="n">
        <f aca="false">SUMIF($D$40:$D$219,2026,CM$40:CM$219)</f>
        <v>9.12671022010589</v>
      </c>
      <c r="E295" s="88" t="n">
        <f aca="false">SUMIF($D$40:$D$219,2027,CM$40:CM$219)</f>
        <v>0</v>
      </c>
      <c r="F295" s="88" t="n">
        <f aca="false">SUMIF($D$40:$D$219,2028,CM$40:CM$219)</f>
        <v>19.8882171844389</v>
      </c>
      <c r="G295" s="88" t="n">
        <f aca="false">SUMIF($D$40:$D$219,2029,CM$40:CM$219)</f>
        <v>44.3441085922194</v>
      </c>
      <c r="H295" s="88" t="n">
        <f aca="false">SUMIF($D$40:$D$219,2030,CM$40:CM$219)</f>
        <v>44.3441085922193</v>
      </c>
      <c r="I295" s="88" t="n">
        <f aca="false">SUMIF($D$40:$D$219,2031,CM$40:CM$219)</f>
        <v>22.5517305718818</v>
      </c>
      <c r="J295" s="88" t="n">
        <f aca="false">SUMIF($D$40:$D$219,2032,CM$40:CM$219)</f>
        <v>22.5517305718818</v>
      </c>
      <c r="K295" s="88" t="n">
        <f aca="false">SUMIF($D$40:$D$219,2033,CM$40:CM$219)</f>
        <v>22.5517305718818</v>
      </c>
      <c r="L295" s="88" t="n">
        <f aca="false">SUMIF($D$40:$D$219,2034,CM$40:CM$219)</f>
        <v>22.5517305718818</v>
      </c>
      <c r="M295" s="88" t="n">
        <f aca="false">SUMIF($D$40:$D$219,2035,CM$40:CM$219)</f>
        <v>21.7923780203375</v>
      </c>
      <c r="N295" s="88" t="n">
        <f aca="false">SUMIF($D$40:$D$219,2036,CM$40:CM$219)</f>
        <v>16.508116428771</v>
      </c>
      <c r="O295" s="88" t="n">
        <f aca="false">SUMIF($D$40:$D$219,2037,CM$40:CM$219)</f>
        <v>16.3728892620579</v>
      </c>
      <c r="P295" s="88" t="n">
        <f aca="false">SUMIF($D$40:$D$219,2038,CM$40:CM$219)</f>
        <v>16.1752495568614</v>
      </c>
      <c r="Q295" s="88" t="n">
        <f aca="false">SUMIF($D$40:$D$219,2039,CM$40:CM$219)</f>
        <v>16.0296203004013</v>
      </c>
      <c r="R295" s="88" t="n">
        <f aca="false">SUMIF($D$40:$D$219,2040,CM$40:CM$219)</f>
        <v>15.8631868644466</v>
      </c>
    </row>
    <row r="296" customFormat="false" ht="15" hidden="false" customHeight="false" outlineLevel="0" collapsed="false">
      <c r="A296" s="0" t="s">
        <v>185</v>
      </c>
      <c r="C296" s="88" t="n">
        <f aca="false">SUMIF($D$40:$D$219,0,CS$40:CS$219)</f>
        <v>0</v>
      </c>
      <c r="D296" s="88" t="n">
        <f aca="false">SUMIF($D$40:$D$219,2026,CS$40:CS$219)</f>
        <v>6.26518216916064</v>
      </c>
      <c r="E296" s="88" t="n">
        <f aca="false">SUMIF($D$40:$D$219,2027,CS$40:CS$219)</f>
        <v>65.7857822558075</v>
      </c>
      <c r="F296" s="88" t="n">
        <f aca="false">SUMIF($D$40:$D$219,2028,CS$40:CS$219)</f>
        <v>152.885782255808</v>
      </c>
      <c r="G296" s="88" t="n">
        <f aca="false">SUMIF($D$40:$D$219,2029,CS$40:CS$219)</f>
        <v>178.285782255808</v>
      </c>
      <c r="H296" s="88" t="n">
        <f aca="false">SUMIF($D$40:$D$219,2030,CS$40:CS$219)</f>
        <v>193.085782255808</v>
      </c>
      <c r="I296" s="88" t="n">
        <f aca="false">SUMIF($D$40:$D$219,2031,CS$40:CS$219)</f>
        <v>98.196100382499</v>
      </c>
      <c r="J296" s="88" t="n">
        <f aca="false">SUMIF($D$40:$D$219,2032,CS$40:CS$219)</f>
        <v>98.196100382499</v>
      </c>
      <c r="K296" s="88" t="n">
        <f aca="false">SUMIF($D$40:$D$219,2033,CS$40:CS$219)</f>
        <v>98.196100382499</v>
      </c>
      <c r="L296" s="88" t="n">
        <f aca="false">SUMIF($D$40:$D$219,2034,CS$40:CS$219)</f>
        <v>98.196100382499</v>
      </c>
      <c r="M296" s="88" t="n">
        <f aca="false">SUMIF($D$40:$D$219,2035,CS$40:CS$219)</f>
        <v>94.8896818733101</v>
      </c>
      <c r="N296" s="88" t="n">
        <f aca="false">SUMIF($D$40:$D$219,2036,CS$40:CS$219)</f>
        <v>71.8806325216901</v>
      </c>
      <c r="O296" s="88" t="n">
        <f aca="false">SUMIF($D$40:$D$219,2037,CS$40:CS$219)</f>
        <v>71.291818266629</v>
      </c>
      <c r="P296" s="88" t="n">
        <f aca="false">SUMIF($D$40:$D$219,2038,CS$40:CS$219)</f>
        <v>70.4312435861548</v>
      </c>
      <c r="Q296" s="88" t="n">
        <f aca="false">SUMIF($D$40:$D$219,2039,CS$40:CS$219)</f>
        <v>69.7971359268586</v>
      </c>
      <c r="R296" s="88" t="n">
        <f aca="false">SUMIF($D$40:$D$219,2040,CS$40:CS$219)</f>
        <v>69.0724414590923</v>
      </c>
    </row>
    <row r="297" customFormat="false" ht="15" hidden="false" customHeight="false" outlineLevel="0" collapsed="false">
      <c r="A297" s="0" t="s">
        <v>187</v>
      </c>
      <c r="C297" s="88" t="n">
        <f aca="false">SUMIF($D$40:$D$219,0,CY$40:CY$219)</f>
        <v>0</v>
      </c>
      <c r="D297" s="88" t="n">
        <f aca="false">SUMIF($D$40:$D$219,2026,CY$40:CY$219)</f>
        <v>6.75423975094794</v>
      </c>
      <c r="E297" s="88" t="n">
        <f aca="false">SUMIF($D$40:$D$219,2027,CY$40:CY$219)</f>
        <v>31.7682059893647</v>
      </c>
      <c r="F297" s="88" t="n">
        <f aca="false">SUMIF($D$40:$D$219,2028,CY$40:CY$219)</f>
        <v>40.1682059893647</v>
      </c>
      <c r="G297" s="88" t="n">
        <f aca="false">SUMIF($D$40:$D$219,2029,CY$40:CY$219)</f>
        <v>40.1682059893648</v>
      </c>
      <c r="H297" s="88" t="n">
        <f aca="false">SUMIF($D$40:$D$219,2030,CY$40:CY$219)</f>
        <v>40.1682059893648</v>
      </c>
      <c r="I297" s="88" t="n">
        <f aca="false">SUMIF($D$40:$D$219,2031,CY$40:CY$219)</f>
        <v>20.4280250023322</v>
      </c>
      <c r="J297" s="88" t="n">
        <f aca="false">SUMIF($D$40:$D$219,2032,CY$40:CY$219)</f>
        <v>20.4280250023322</v>
      </c>
      <c r="K297" s="88" t="n">
        <f aca="false">SUMIF($D$40:$D$219,2033,CY$40:CY$219)</f>
        <v>20.4280250023322</v>
      </c>
      <c r="L297" s="88" t="n">
        <f aca="false">SUMIF($D$40:$D$219,2034,CY$40:CY$219)</f>
        <v>20.4280250023322</v>
      </c>
      <c r="M297" s="88" t="n">
        <f aca="false">SUMIF($D$40:$D$219,2035,CY$40:CY$219)</f>
        <v>19.7401809870325</v>
      </c>
      <c r="N297" s="88" t="n">
        <f aca="false">SUMIF($D$40:$D$219,2036,CY$40:CY$219)</f>
        <v>14.9535404422054</v>
      </c>
      <c r="O297" s="88" t="n">
        <f aca="false">SUMIF($D$40:$D$219,2037,CY$40:CY$219)</f>
        <v>14.8310476723577</v>
      </c>
      <c r="P297" s="88" t="n">
        <f aca="false">SUMIF($D$40:$D$219,2038,CY$40:CY$219)</f>
        <v>14.6520197779641</v>
      </c>
      <c r="Q297" s="88" t="n">
        <f aca="false">SUMIF($D$40:$D$219,2039,CY$40:CY$219)</f>
        <v>14.5201044873586</v>
      </c>
      <c r="R297" s="88" t="n">
        <f aca="false">SUMIF($D$40:$D$219,2040,CY$40:CY$219)</f>
        <v>14.3693441552387</v>
      </c>
    </row>
    <row r="298" customFormat="false" ht="15" hidden="false" customHeight="false" outlineLevel="0" collapsed="false">
      <c r="A298" s="0" t="s">
        <v>189</v>
      </c>
      <c r="C298" s="88" t="n">
        <f aca="false">SUMIF($D$40:$D$219,0,DE$40:DE$219)</f>
        <v>0</v>
      </c>
      <c r="D298" s="88" t="n">
        <f aca="false">SUMIF($D$40:$D$219,2026,DE$40:DE$219)</f>
        <v>8.06162351579004</v>
      </c>
      <c r="E298" s="88" t="n">
        <f aca="false">SUMIF($D$40:$D$219,2027,DE$40:DE$219)</f>
        <v>29.070500979569</v>
      </c>
      <c r="F298" s="88" t="n">
        <f aca="false">SUMIF($D$40:$D$219,2028,DE$40:DE$219)</f>
        <v>0</v>
      </c>
      <c r="G298" s="88" t="n">
        <f aca="false">SUMIF($D$40:$D$219,2029,DE$40:DE$219)</f>
        <v>0</v>
      </c>
      <c r="H298" s="88" t="n">
        <f aca="false">SUMIF($D$40:$D$219,2030,DE$40:DE$219)</f>
        <v>0</v>
      </c>
      <c r="I298" s="88" t="n">
        <f aca="false">SUMIF($D$40:$D$219,2031,DE$40:DE$219)</f>
        <v>0</v>
      </c>
      <c r="J298" s="88" t="n">
        <f aca="false">SUMIF($D$40:$D$219,2032,DE$40:DE$219)</f>
        <v>0</v>
      </c>
      <c r="K298" s="88" t="n">
        <f aca="false">SUMIF($D$40:$D$219,2033,DE$40:DE$219)</f>
        <v>0</v>
      </c>
      <c r="L298" s="88" t="n">
        <f aca="false">SUMIF($D$40:$D$219,2034,DE$40:DE$219)</f>
        <v>0</v>
      </c>
      <c r="M298" s="88" t="n">
        <f aca="false">SUMIF($D$40:$D$219,2035,DE$40:DE$219)</f>
        <v>5.65930590540226</v>
      </c>
      <c r="N298" s="88" t="n">
        <f aca="false">SUMIF($D$40:$D$219,2036,DE$40:DE$219)</f>
        <v>14.805485586342</v>
      </c>
      <c r="O298" s="88" t="n">
        <f aca="false">SUMIF($D$40:$D$219,2037,DE$40:DE$219)</f>
        <v>14.6842056161956</v>
      </c>
      <c r="P298" s="88" t="n">
        <f aca="false">SUMIF($D$40:$D$219,2038,DE$40:DE$219)</f>
        <v>14.5069502752119</v>
      </c>
      <c r="Q298" s="88" t="n">
        <f aca="false">SUMIF($D$40:$D$219,2039,DE$40:DE$219)</f>
        <v>14.3763410765932</v>
      </c>
      <c r="R298" s="88" t="n">
        <f aca="false">SUMIF($D$40:$D$219,2040,DE$40:DE$219)</f>
        <v>14.2270734210279</v>
      </c>
    </row>
    <row r="299" customFormat="false" ht="15" hidden="false" customHeight="false" outlineLevel="0" collapsed="false">
      <c r="A299" s="0" t="s">
        <v>192</v>
      </c>
      <c r="C299" s="88" t="n">
        <f aca="false">SUMIF($D$40:$D$219,0,DK$40:DK$219)</f>
        <v>0</v>
      </c>
      <c r="D299" s="88" t="n">
        <f aca="false">SUMIF($D$40:$D$219,2026,DK$40:DK$219)</f>
        <v>7.54822316536888</v>
      </c>
      <c r="E299" s="88" t="n">
        <f aca="false">SUMIF($D$40:$D$219,2027,DK$40:DK$219)</f>
        <v>32.4129582983487</v>
      </c>
      <c r="F299" s="88" t="n">
        <f aca="false">SUMIF($D$40:$D$219,2028,DK$40:DK$219)</f>
        <v>32.4129582983487</v>
      </c>
      <c r="G299" s="88" t="n">
        <f aca="false">SUMIF($D$40:$D$219,2029,DK$40:DK$219)</f>
        <v>32.4129582983487</v>
      </c>
      <c r="H299" s="88" t="n">
        <f aca="false">SUMIF($D$40:$D$219,2030,DK$40:DK$219)</f>
        <v>32.4129582983487</v>
      </c>
      <c r="I299" s="88" t="n">
        <f aca="false">SUMIF($D$40:$D$219,2031,DK$40:DK$219)</f>
        <v>16.4840003731691</v>
      </c>
      <c r="J299" s="88" t="n">
        <f aca="false">SUMIF($D$40:$D$219,2032,DK$40:DK$219)</f>
        <v>16.4840003731691</v>
      </c>
      <c r="K299" s="88" t="n">
        <f aca="false">SUMIF($D$40:$D$219,2033,DK$40:DK$219)</f>
        <v>16.4840003731691</v>
      </c>
      <c r="L299" s="88" t="n">
        <f aca="false">SUMIF($D$40:$D$219,2034,DK$40:DK$219)</f>
        <v>16.4840003731691</v>
      </c>
      <c r="M299" s="88" t="n">
        <f aca="false">SUMIF($D$40:$D$219,2035,DK$40:DK$219)</f>
        <v>15.9289579251796</v>
      </c>
      <c r="N299" s="88" t="n">
        <f aca="false">SUMIF($D$40:$D$219,2036,DK$40:DK$219)</f>
        <v>12.0664707528689</v>
      </c>
      <c r="O299" s="88" t="n">
        <f aca="false">SUMIF($D$40:$D$219,2037,DK$40:DK$219)</f>
        <v>11.9676275771994</v>
      </c>
      <c r="P299" s="88" t="n">
        <f aca="false">SUMIF($D$40:$D$219,2038,DK$40:DK$219)</f>
        <v>11.8231644742979</v>
      </c>
      <c r="Q299" s="88" t="n">
        <f aca="false">SUMIF($D$40:$D$219,2039,DK$40:DK$219)</f>
        <v>11.7167179774235</v>
      </c>
      <c r="R299" s="88" t="n">
        <f aca="false">SUMIF($D$40:$D$219,2040,DK$40:DK$219)</f>
        <v>11.5950648381377</v>
      </c>
    </row>
    <row r="300" customFormat="false" ht="15" hidden="false" customHeight="false" outlineLevel="0" collapsed="false">
      <c r="A300" s="0" t="s">
        <v>194</v>
      </c>
      <c r="C300" s="88" t="n">
        <f aca="false">SUMIF($D$40:$D$219,0,DQ$40:DQ$219)</f>
        <v>0</v>
      </c>
      <c r="D300" s="88" t="n">
        <f aca="false">SUMIF($D$40:$D$219,2026,DQ$40:DQ$219)</f>
        <v>5.27912540400032</v>
      </c>
      <c r="E300" s="88" t="n">
        <f aca="false">SUMIF($D$40:$D$219,2027,DQ$40:DQ$219)</f>
        <v>12.4691855583543</v>
      </c>
      <c r="F300" s="88" t="n">
        <f aca="false">SUMIF($D$40:$D$219,2028,DQ$40:DQ$219)</f>
        <v>0</v>
      </c>
      <c r="G300" s="88" t="n">
        <f aca="false">SUMIF($D$40:$D$219,2029,DQ$40:DQ$219)</f>
        <v>0</v>
      </c>
      <c r="H300" s="88" t="n">
        <f aca="false">SUMIF($D$40:$D$219,2030,DQ$40:DQ$219)</f>
        <v>0</v>
      </c>
      <c r="I300" s="88" t="n">
        <f aca="false">SUMIF($D$40:$D$219,2031,DQ$40:DQ$219)</f>
        <v>0</v>
      </c>
      <c r="J300" s="88" t="n">
        <f aca="false">SUMIF($D$40:$D$219,2032,DQ$40:DQ$219)</f>
        <v>1.26493143017052</v>
      </c>
      <c r="K300" s="88" t="n">
        <f aca="false">SUMIF($D$40:$D$219,2033,DQ$40:DQ$219)</f>
        <v>11.5286873775538</v>
      </c>
      <c r="L300" s="88" t="n">
        <f aca="false">SUMIF($D$40:$D$219,2034,DQ$40:DQ$219)</f>
        <v>11.528687377554</v>
      </c>
      <c r="M300" s="88" t="n">
        <f aca="false">SUMIF($D$40:$D$219,2035,DQ$40:DQ$219)</f>
        <v>11.1404981808005</v>
      </c>
      <c r="N300" s="88" t="n">
        <f aca="false">SUMIF($D$40:$D$219,2036,DQ$40:DQ$219)</f>
        <v>8.43912678421509</v>
      </c>
      <c r="O300" s="88" t="n">
        <f aca="false">SUMIF($D$40:$D$219,2037,DQ$40:DQ$219)</f>
        <v>8.3699972012314</v>
      </c>
      <c r="P300" s="88" t="n">
        <f aca="false">SUMIF($D$40:$D$219,2038,DQ$40:DQ$219)</f>
        <v>8.26896165687083</v>
      </c>
      <c r="Q300" s="88" t="n">
        <f aca="false">SUMIF($D$40:$D$219,2039,DQ$40:DQ$219)</f>
        <v>8.19451441365789</v>
      </c>
      <c r="R300" s="88" t="n">
        <f aca="false">SUMIF($D$40:$D$219,2040,DQ$40:DQ$219)</f>
        <v>8.1094318499861</v>
      </c>
    </row>
    <row r="301" customFormat="false" ht="15" hidden="false" customHeight="false" outlineLevel="0" collapsed="false">
      <c r="A301" s="0" t="s">
        <v>196</v>
      </c>
      <c r="C301" s="88" t="n">
        <f aca="false">SUMIF($D$40:$D$219,0,DW$40:DW$219)</f>
        <v>0</v>
      </c>
      <c r="D301" s="88" t="n">
        <f aca="false">SUMIF($D$40:$D$219,2026,DW$40:DW$219)</f>
        <v>1.02142246452657</v>
      </c>
      <c r="E301" s="88" t="n">
        <f aca="false">SUMIF($D$40:$D$219,2027,DW$40:DW$219)</f>
        <v>4.19787293590819</v>
      </c>
      <c r="F301" s="88" t="n">
        <f aca="false">SUMIF($D$40:$D$219,2028,DW$40:DW$219)</f>
        <v>7.89787293590818</v>
      </c>
      <c r="G301" s="88" t="n">
        <f aca="false">SUMIF($D$40:$D$219,2029,DW$40:DW$219)</f>
        <v>15.0978729359082</v>
      </c>
      <c r="H301" s="88" t="n">
        <f aca="false">SUMIF($D$40:$D$219,2030,DW$40:DW$219)</f>
        <v>17.6978729359082</v>
      </c>
      <c r="I301" s="88" t="n">
        <f aca="false">SUMIF($D$40:$D$219,2031,DW$40:DW$219)</f>
        <v>9.00046646142368</v>
      </c>
      <c r="J301" s="88" t="n">
        <f aca="false">SUMIF($D$40:$D$219,2032,DW$40:DW$219)</f>
        <v>9.00046646142368</v>
      </c>
      <c r="K301" s="88" t="n">
        <f aca="false">SUMIF($D$40:$D$219,2033,DW$40:DW$219)</f>
        <v>9.00046646142369</v>
      </c>
      <c r="L301" s="88" t="n">
        <f aca="false">SUMIF($D$40:$D$219,2034,DW$40:DW$219)</f>
        <v>9.00046646142368</v>
      </c>
      <c r="M301" s="88" t="n">
        <f aca="false">SUMIF($D$40:$D$219,2035,DW$40:DW$219)</f>
        <v>8.69740647448458</v>
      </c>
      <c r="N301" s="88" t="n">
        <f aca="false">SUMIF($D$40:$D$219,2036,DW$40:DW$219)</f>
        <v>6.58844108592217</v>
      </c>
      <c r="O301" s="88" t="n">
        <f aca="false">SUMIF($D$40:$D$219,2037,DW$40:DW$219)</f>
        <v>6.53447149920703</v>
      </c>
      <c r="P301" s="88" t="n">
        <f aca="false">SUMIF($D$40:$D$219,2038,DW$40:DW$219)</f>
        <v>6.45559287246942</v>
      </c>
      <c r="Q301" s="88" t="n">
        <f aca="false">SUMIF($D$40:$D$219,2039,DW$40:DW$219)</f>
        <v>6.39747177908373</v>
      </c>
      <c r="R301" s="88" t="n">
        <f aca="false">SUMIF($D$40:$D$219,2040,DW$40:DW$219)</f>
        <v>6.33104767235761</v>
      </c>
    </row>
    <row r="302" customFormat="false" ht="15" hidden="false" customHeight="false" outlineLevel="0" collapsed="false">
      <c r="A302" s="0" t="s">
        <v>198</v>
      </c>
      <c r="C302" s="88" t="n">
        <f aca="false">SUMIF($D$40:$D$219,0,EC$40:EC$219)</f>
        <v>0</v>
      </c>
      <c r="D302" s="88" t="n">
        <f aca="false">SUMIF($D$40:$D$219,2026,EC$40:EC$219)</f>
        <v>6.62206081378988</v>
      </c>
      <c r="E302" s="88" t="n">
        <f aca="false">SUMIF($D$40:$D$219,2027,EC$40:EC$219)</f>
        <v>28.4359082003918</v>
      </c>
      <c r="F302" s="88" t="n">
        <f aca="false">SUMIF($D$40:$D$219,2028,EC$40:EC$219)</f>
        <v>0</v>
      </c>
      <c r="G302" s="88" t="n">
        <f aca="false">SUMIF($D$40:$D$219,2029,EC$40:EC$219)</f>
        <v>0</v>
      </c>
      <c r="H302" s="88" t="n">
        <f aca="false">SUMIF($D$40:$D$219,2030,EC$40:EC$219)</f>
        <v>0</v>
      </c>
      <c r="I302" s="88" t="n">
        <f aca="false">SUMIF($D$40:$D$219,2031,EC$40:EC$219)</f>
        <v>0</v>
      </c>
      <c r="J302" s="88" t="n">
        <f aca="false">SUMIF($D$40:$D$219,2032,EC$40:EC$219)</f>
        <v>0</v>
      </c>
      <c r="K302" s="88" t="n">
        <f aca="false">SUMIF($D$40:$D$219,2033,EC$40:EC$219)</f>
        <v>7.6919955219705</v>
      </c>
      <c r="L302" s="88" t="n">
        <f aca="false">SUMIF($D$40:$D$219,2034,EC$40:EC$219)</f>
        <v>14.461423640265</v>
      </c>
      <c r="M302" s="88" t="n">
        <f aca="false">SUMIF($D$40:$D$219,2035,EC$40:EC$219)</f>
        <v>13.9744845601269</v>
      </c>
      <c r="N302" s="88" t="n">
        <f aca="false">SUMIF($D$40:$D$219,2036,EC$40:EC$219)</f>
        <v>10.5859221942346</v>
      </c>
      <c r="O302" s="88" t="n">
        <f aca="false">SUMIF($D$40:$D$219,2037,EC$40:EC$219)</f>
        <v>10.4992070155799</v>
      </c>
      <c r="P302" s="88" t="n">
        <f aca="false">SUMIF($D$40:$D$219,2038,EC$40:EC$219)</f>
        <v>10.3724694467767</v>
      </c>
      <c r="Q302" s="88" t="n">
        <f aca="false">SUMIF($D$40:$D$219,2039,EC$40:EC$219)</f>
        <v>10.2790838697641</v>
      </c>
      <c r="R302" s="88" t="n">
        <f aca="false">SUMIF($D$40:$D$219,2040,EC$40:EC$219)</f>
        <v>10.1723574960351</v>
      </c>
    </row>
    <row r="303" customFormat="false" ht="15" hidden="false" customHeight="false" outlineLevel="0" collapsed="false">
      <c r="A303" s="0" t="s">
        <v>200</v>
      </c>
      <c r="C303" s="88" t="n">
        <f aca="false">SUMIF($D$40:$D$219,0,EI$40:EI$219)</f>
        <v>0</v>
      </c>
      <c r="D303" s="88" t="n">
        <f aca="false">SUMIF($D$40:$D$219,2026,EI$40:EI$219)</f>
        <v>4.07511434694762</v>
      </c>
      <c r="E303" s="88" t="n">
        <f aca="false">SUMIF($D$40:$D$219,2027,EI$40:EI$219)</f>
        <v>17.4990204310104</v>
      </c>
      <c r="F303" s="88" t="n">
        <f aca="false">SUMIF($D$40:$D$219,2028,EI$40:EI$219)</f>
        <v>17.4990204310104</v>
      </c>
      <c r="G303" s="88" t="n">
        <f aca="false">SUMIF($D$40:$D$219,2029,EI$40:EI$219)</f>
        <v>17.4990204310104</v>
      </c>
      <c r="H303" s="88" t="n">
        <f aca="false">SUMIF($D$40:$D$219,2030,EI$40:EI$219)</f>
        <v>17.4990204310103</v>
      </c>
      <c r="I303" s="88" t="n">
        <f aca="false">SUMIF($D$40:$D$219,2031,EI$40:EI$219)</f>
        <v>8.89933762477841</v>
      </c>
      <c r="J303" s="88" t="n">
        <f aca="false">SUMIF($D$40:$D$219,2032,EI$40:EI$219)</f>
        <v>8.89933762477841</v>
      </c>
      <c r="K303" s="88" t="n">
        <f aca="false">SUMIF($D$40:$D$219,2033,EI$40:EI$219)</f>
        <v>8.89933762477841</v>
      </c>
      <c r="L303" s="88" t="n">
        <f aca="false">SUMIF($D$40:$D$219,2034,EI$40:EI$219)</f>
        <v>8.89933762477841</v>
      </c>
      <c r="M303" s="88" t="n">
        <f aca="false">SUMIF($D$40:$D$219,2035,EI$40:EI$219)</f>
        <v>8.5996828062319</v>
      </c>
      <c r="N303" s="88" t="n">
        <f aca="false">SUMIF($D$40:$D$219,2036,EI$40:EI$219)</f>
        <v>6.51441365799047</v>
      </c>
      <c r="O303" s="88" t="n">
        <f aca="false">SUMIF($D$40:$D$219,2037,EI$40:EI$219)</f>
        <v>6.461050471126</v>
      </c>
      <c r="P303" s="88" t="n">
        <f aca="false">SUMIF($D$40:$D$219,2038,EI$40:EI$219)</f>
        <v>6.38305812109331</v>
      </c>
      <c r="Q303" s="88" t="n">
        <f aca="false">SUMIF($D$40:$D$219,2039,EI$40:EI$219)</f>
        <v>6.32559007370105</v>
      </c>
      <c r="R303" s="88" t="n">
        <f aca="false">SUMIF($D$40:$D$219,2040,EI$40:EI$219)</f>
        <v>6.25991230525221</v>
      </c>
    </row>
    <row r="304" customFormat="false" ht="15" hidden="false" customHeight="false" outlineLevel="0" collapsed="false">
      <c r="A304" s="0" t="s">
        <v>202</v>
      </c>
      <c r="C304" s="88" t="n">
        <f aca="false">SUMIF($D$40:$D$219,0,EO$40:EO$219)</f>
        <v>0</v>
      </c>
      <c r="D304" s="88" t="n">
        <f aca="false">SUMIF($D$40:$D$219,2026,EO$40:EO$219)</f>
        <v>1.88650916884242</v>
      </c>
      <c r="E304" s="88" t="n">
        <f aca="false">SUMIF($D$40:$D$219,2027,EO$40:EO$219)</f>
        <v>11.5714805485586</v>
      </c>
      <c r="F304" s="88" t="n">
        <f aca="false">SUMIF($D$40:$D$219,2028,EO$40:EO$219)</f>
        <v>22.2714805485586</v>
      </c>
      <c r="G304" s="88" t="n">
        <f aca="false">SUMIF($D$40:$D$219,2029,EO$40:EO$219)</f>
        <v>22.2714805485587</v>
      </c>
      <c r="H304" s="88" t="n">
        <f aca="false">SUMIF($D$40:$D$219,2030,EO$40:EO$219)</f>
        <v>22.2714805485587</v>
      </c>
      <c r="I304" s="88" t="n">
        <f aca="false">SUMIF($D$40:$D$219,2031,EO$40:EO$219)</f>
        <v>11.3264297042634</v>
      </c>
      <c r="J304" s="88" t="n">
        <f aca="false">SUMIF($D$40:$D$219,2032,EO$40:EO$219)</f>
        <v>11.3264297042634</v>
      </c>
      <c r="K304" s="88" t="n">
        <f aca="false">SUMIF($D$40:$D$219,2033,EO$40:EO$219)</f>
        <v>11.3264297042634</v>
      </c>
      <c r="L304" s="88" t="n">
        <f aca="false">SUMIF($D$40:$D$219,2034,EO$40:EO$219)</f>
        <v>11.3264297042634</v>
      </c>
      <c r="M304" s="88" t="n">
        <f aca="false">SUMIF($D$40:$D$219,2035,EO$40:EO$219)</f>
        <v>10.9450508442951</v>
      </c>
      <c r="N304" s="88" t="n">
        <f aca="false">SUMIF($D$40:$D$219,2036,EO$40:EO$219)</f>
        <v>8.29107192835136</v>
      </c>
      <c r="O304" s="88" t="n">
        <f aca="false">SUMIF($D$40:$D$219,2037,EO$40:EO$219)</f>
        <v>8.22315514506965</v>
      </c>
      <c r="P304" s="88" t="n">
        <f aca="false">SUMIF($D$40:$D$219,2038,EO$40:EO$219)</f>
        <v>8.12389215411895</v>
      </c>
      <c r="Q304" s="88" t="n">
        <f aca="false">SUMIF($D$40:$D$219,2039,EO$40:EO$219)</f>
        <v>8.05075100289218</v>
      </c>
      <c r="R304" s="88" t="n">
        <f aca="false">SUMIF($D$40:$D$219,2040,EO$40:EO$219)</f>
        <v>7.96716111577564</v>
      </c>
    </row>
    <row r="305" customFormat="false" ht="15" hidden="false" customHeight="false" outlineLevel="0" collapsed="false">
      <c r="A305" s="0" t="s">
        <v>204</v>
      </c>
      <c r="C305" s="88" t="n">
        <f aca="false">SUMIF($D$40:$D$219,0,EU$40:EU$219)</f>
        <v>0</v>
      </c>
      <c r="D305" s="88" t="n">
        <f aca="false">SUMIF($D$40:$D$219,2026,EU$40:EU$219)</f>
        <v>7.45560693021098</v>
      </c>
      <c r="E305" s="88" t="n">
        <f aca="false">SUMIF($D$40:$D$219,2027,EU$40:EU$219)</f>
        <v>28.315253288553</v>
      </c>
      <c r="F305" s="88" t="n">
        <f aca="false">SUMIF($D$40:$D$219,2028,EU$40:EU$219)</f>
        <v>31.715253288553</v>
      </c>
      <c r="G305" s="88" t="n">
        <f aca="false">SUMIF($D$40:$D$219,2029,EU$40:EU$219)</f>
        <v>32.015253288553</v>
      </c>
      <c r="H305" s="88" t="n">
        <f aca="false">SUMIF($D$40:$D$219,2030,EU$40:EU$219)</f>
        <v>32.015253288553</v>
      </c>
      <c r="I305" s="88" t="n">
        <f aca="false">SUMIF($D$40:$D$219,2031,EU$40:EU$219)</f>
        <v>16.2817426998786</v>
      </c>
      <c r="J305" s="88" t="n">
        <f aca="false">SUMIF($D$40:$D$219,2032,EU$40:EU$219)</f>
        <v>16.2817426998786</v>
      </c>
      <c r="K305" s="88" t="n">
        <f aca="false">SUMIF($D$40:$D$219,2033,EU$40:EU$219)</f>
        <v>16.2817426998786</v>
      </c>
      <c r="L305" s="88" t="n">
        <f aca="false">SUMIF($D$40:$D$219,2034,EU$40:EU$219)</f>
        <v>16.2817426998786</v>
      </c>
      <c r="M305" s="88" t="n">
        <f aca="false">SUMIF($D$40:$D$219,2035,EU$40:EU$219)</f>
        <v>15.7335105886742</v>
      </c>
      <c r="N305" s="88" t="n">
        <f aca="false">SUMIF($D$40:$D$219,2036,EU$40:EU$219)</f>
        <v>11.9184158970052</v>
      </c>
      <c r="O305" s="88" t="n">
        <f aca="false">SUMIF($D$40:$D$219,2037,EU$40:EU$219)</f>
        <v>11.8207855210374</v>
      </c>
      <c r="P305" s="88" t="n">
        <f aca="false">SUMIF($D$40:$D$219,2038,EU$40:EU$219)</f>
        <v>11.678094971546</v>
      </c>
      <c r="Q305" s="88" t="n">
        <f aca="false">SUMIF($D$40:$D$219,2039,EU$40:EU$219)</f>
        <v>11.5729545666575</v>
      </c>
      <c r="R305" s="88" t="n">
        <f aca="false">SUMIF($D$40:$D$219,2040,EU$40:EU$219)</f>
        <v>11.4527941039275</v>
      </c>
    </row>
    <row r="306" customFormat="false" ht="15" hidden="false" customHeight="false" outlineLevel="0" collapsed="false">
      <c r="A306" s="0" t="s">
        <v>206</v>
      </c>
      <c r="C306" s="88" t="n">
        <f aca="false">SUMIF($D$40:$D$219,0,FA$40:FA$219)</f>
        <v>0</v>
      </c>
      <c r="D306" s="88" t="n">
        <f aca="false">SUMIF($D$40:$D$219,2026,FA$40:FA$219)</f>
        <v>0</v>
      </c>
      <c r="E306" s="88" t="n">
        <f aca="false">SUMIF($D$40:$D$219,2027,FA$40:FA$219)</f>
        <v>0</v>
      </c>
      <c r="F306" s="88" t="n">
        <f aca="false">SUMIF($D$40:$D$219,2028,FA$40:FA$219)</f>
        <v>0</v>
      </c>
      <c r="G306" s="88" t="n">
        <f aca="false">SUMIF($D$40:$D$219,2029,FA$40:FA$219)</f>
        <v>0</v>
      </c>
      <c r="H306" s="88" t="n">
        <f aca="false">SUMIF($D$40:$D$219,2030,FA$40:FA$219)</f>
        <v>0</v>
      </c>
      <c r="I306" s="88" t="n">
        <f aca="false">SUMIF($D$40:$D$219,2031,FA$40:FA$219)</f>
        <v>0</v>
      </c>
      <c r="J306" s="88" t="n">
        <f aca="false">SUMIF($D$40:$D$219,2032,FA$40:FA$219)</f>
        <v>26.5903241842996</v>
      </c>
      <c r="K306" s="88" t="n">
        <f aca="false">SUMIF($D$40:$D$219,2033,FA$40:FA$219)</f>
        <v>40.451534658084</v>
      </c>
      <c r="L306" s="88" t="n">
        <f aca="false">SUMIF($D$40:$D$219,2034,FA$40:FA$219)</f>
        <v>40.451534658084</v>
      </c>
      <c r="M306" s="88" t="n">
        <f aca="false">SUMIF($D$40:$D$219,2035,FA$40:FA$219)</f>
        <v>39.0894673010544</v>
      </c>
      <c r="N306" s="88" t="n">
        <f aca="false">SUMIF($D$40:$D$219,2036,FA$40:FA$219)</f>
        <v>29.610971172684</v>
      </c>
      <c r="O306" s="88" t="n">
        <f aca="false">SUMIF($D$40:$D$219,2037,FA$40:FA$219)</f>
        <v>29.3684112323913</v>
      </c>
      <c r="P306" s="88" t="n">
        <f aca="false">SUMIF($D$40:$D$219,2038,FA$40:FA$219)</f>
        <v>29.0139005504238</v>
      </c>
      <c r="Q306" s="88" t="n">
        <f aca="false">SUMIF($D$40:$D$219,2039,FA$40:FA$219)</f>
        <v>28.7526821531865</v>
      </c>
      <c r="R306" s="88" t="n">
        <f aca="false">SUMIF($D$40:$D$219,2040,FA$40:FA$219)</f>
        <v>28.4541468420557</v>
      </c>
    </row>
    <row r="307" customFormat="false" ht="15" hidden="false" customHeight="false" outlineLevel="0" collapsed="false">
      <c r="A307" s="0" t="s">
        <v>208</v>
      </c>
      <c r="C307" s="88" t="n">
        <f aca="false">SUMIF($D$40:$D$219,0,FG$40:FG$219)</f>
        <v>0</v>
      </c>
      <c r="D307" s="88" t="n">
        <f aca="false">SUMIF($D$40:$D$219,2026,FG$40:FG$219)</f>
        <v>72.8691982103217</v>
      </c>
      <c r="E307" s="88" t="n">
        <f aca="false">SUMIF($D$40:$D$219,2027,FG$40:FG$219)</f>
        <v>334.497145256087</v>
      </c>
      <c r="F307" s="88" t="n">
        <f aca="false">SUMIF($D$40:$D$219,2028,FG$40:FG$219)</f>
        <v>378.097145256087</v>
      </c>
      <c r="G307" s="88" t="n">
        <f aca="false">SUMIF($D$40:$D$219,2029,FG$40:FG$219)</f>
        <v>391.697145256087</v>
      </c>
      <c r="H307" s="88" t="n">
        <f aca="false">SUMIF($D$40:$D$219,2030,FG$40:FG$219)</f>
        <v>416.397145256087</v>
      </c>
      <c r="I307" s="88" t="n">
        <f aca="false">SUMIF($D$40:$D$219,2031,FG$40:FG$219)</f>
        <v>211.763783935067</v>
      </c>
      <c r="J307" s="88" t="n">
        <f aca="false">SUMIF($D$40:$D$219,2032,FG$40:FG$219)</f>
        <v>211.763783935069</v>
      </c>
      <c r="K307" s="88" t="n">
        <f aca="false">SUMIF($D$40:$D$219,2033,FG$40:FG$219)</f>
        <v>211.76378393507</v>
      </c>
      <c r="L307" s="88" t="n">
        <f aca="false">SUMIF($D$40:$D$219,2034,FG$40:FG$219)</f>
        <v>211.76378393507</v>
      </c>
      <c r="M307" s="88" t="n">
        <f aca="false">SUMIF($D$40:$D$219,2035,FG$40:FG$219)</f>
        <v>204.633361321017</v>
      </c>
      <c r="N307" s="88" t="n">
        <f aca="false">SUMIF($D$40:$D$219,2036,FG$40:FG$219)</f>
        <v>155.013434089003</v>
      </c>
      <c r="O307" s="88" t="n">
        <f aca="false">SUMIF($D$40:$D$219,2037,FG$40:FG$219)</f>
        <v>153.743632801568</v>
      </c>
      <c r="P307" s="88" t="n">
        <f aca="false">SUMIF($D$40:$D$219,2038,FG$40:FG$219)</f>
        <v>151.88776938147</v>
      </c>
      <c r="Q307" s="88" t="n">
        <f aca="false">SUMIF($D$40:$D$219,2039,FG$40:FG$219)</f>
        <v>150.520291071931</v>
      </c>
      <c r="R307" s="88" t="n">
        <f aca="false">SUMIF($D$40:$D$219,2040,FG$40:FG$219)</f>
        <v>148.957458718161</v>
      </c>
    </row>
    <row r="310" customFormat="false" ht="15" hidden="false" customHeight="false" outlineLevel="0" collapsed="false">
      <c r="A310" s="18" t="s">
        <v>378</v>
      </c>
      <c r="C310" s="18" t="s">
        <v>1105</v>
      </c>
      <c r="D310" s="18" t="n">
        <v>2026</v>
      </c>
      <c r="E310" s="18" t="n">
        <v>2027</v>
      </c>
      <c r="F310" s="18" t="n">
        <v>2028</v>
      </c>
      <c r="G310" s="18" t="n">
        <v>2029</v>
      </c>
      <c r="H310" s="18" t="n">
        <v>2030</v>
      </c>
      <c r="I310" s="18" t="n">
        <v>2031</v>
      </c>
      <c r="J310" s="18" t="n">
        <v>2032</v>
      </c>
      <c r="K310" s="18" t="n">
        <v>2033</v>
      </c>
      <c r="L310" s="18" t="n">
        <v>2034</v>
      </c>
      <c r="M310" s="18" t="n">
        <v>2035</v>
      </c>
      <c r="N310" s="18" t="n">
        <v>2036</v>
      </c>
      <c r="O310" s="18" t="n">
        <v>2037</v>
      </c>
      <c r="P310" s="18" t="n">
        <v>2038</v>
      </c>
      <c r="Q310" s="18" t="n">
        <v>2039</v>
      </c>
      <c r="R310" s="18" t="n">
        <v>2040</v>
      </c>
    </row>
    <row r="311" customFormat="false" ht="15" hidden="false" customHeight="false" outlineLevel="0" collapsed="false">
      <c r="A311" s="0" t="s">
        <v>210</v>
      </c>
      <c r="C311" s="88" t="n">
        <f aca="false">SUMIF($E$40:$E$219,0,M$40:M$219)</f>
        <v>2664.85342465754</v>
      </c>
      <c r="D311" s="88" t="n">
        <f aca="false">SUMIF($E$40:$E$219,2026,M$40:M$219)</f>
        <v>634.449999999999</v>
      </c>
      <c r="E311" s="88" t="n">
        <f aca="false">SUMIF($E$40:$E$219,2027,M$40:M$219)</f>
        <v>2480.425</v>
      </c>
      <c r="F311" s="88" t="n">
        <f aca="false">SUMIF($E$40:$E$219,2028,M$40:M$219)</f>
        <v>2584.225</v>
      </c>
      <c r="G311" s="88" t="n">
        <f aca="false">SUMIF($E$40:$E$219,2029,M$40:M$219)</f>
        <v>2707.7</v>
      </c>
      <c r="H311" s="88" t="n">
        <f aca="false">SUMIF($E$40:$E$219,2030,M$40:M$219)</f>
        <v>988.100000000011</v>
      </c>
      <c r="I311" s="88" t="n">
        <f aca="false">SUMIF($E$40:$E$219,2031,M$40:M$219)</f>
        <v>2168.00000000001</v>
      </c>
      <c r="J311" s="88" t="n">
        <f aca="false">SUMIF($E$40:$E$219,2032,M$40:M$219)</f>
        <v>2168.00000000001</v>
      </c>
      <c r="K311" s="88" t="n">
        <f aca="false">SUMIF($E$40:$E$219,2033,M$40:M$219)</f>
        <v>2149.75000000001</v>
      </c>
      <c r="L311" s="88" t="n">
        <f aca="false">SUMIF($E$40:$E$219,2034,M$40:M$219)</f>
        <v>1967.99999999999</v>
      </c>
      <c r="M311" s="88" t="n">
        <f aca="false">SUMIF($E$40:$E$219,2035,M$40:M$219)</f>
        <v>1583.75</v>
      </c>
      <c r="N311" s="88" t="n">
        <f aca="false">SUMIF($E$40:$E$219,2036,M$40:M$219)</f>
        <v>1569.25000000001</v>
      </c>
      <c r="O311" s="88" t="n">
        <f aca="false">SUMIF($E$40:$E$219,2037,M$40:M$219)</f>
        <v>1551.5</v>
      </c>
      <c r="P311" s="88" t="n">
        <f aca="false">SUMIF($E$40:$E$219,2038,M$40:M$219)</f>
        <v>1536.99999999999</v>
      </c>
      <c r="Q311" s="88" t="n">
        <f aca="false">SUMIF($E$40:$E$219,2039,M$40:M$219)</f>
        <v>1143.75000000002</v>
      </c>
      <c r="R311" s="88" t="n">
        <f aca="false">SUMIF($E$40:$E$219,2040,M$40:M$219)</f>
        <v>0</v>
      </c>
    </row>
    <row r="312" customFormat="false" ht="15" hidden="false" customHeight="false" outlineLevel="0" collapsed="false">
      <c r="A312" s="0" t="s">
        <v>157</v>
      </c>
      <c r="C312" s="88" t="n">
        <f aca="false">SUMIF($E$40:$E$219,0,S$40:S$219)</f>
        <v>27.6379221709811</v>
      </c>
      <c r="D312" s="88" t="n">
        <f aca="false">SUMIF($E$40:$E$219,2026,S$40:S$219)</f>
        <v>9.0601897735601</v>
      </c>
      <c r="E312" s="88" t="n">
        <f aca="false">SUMIF($E$40:$E$219,2027,S$40:S$219)</f>
        <v>37.3657590942402</v>
      </c>
      <c r="F312" s="88" t="n">
        <f aca="false">SUMIF($E$40:$E$219,2028,S$40:S$219)</f>
        <v>41.6407590942401</v>
      </c>
      <c r="G312" s="88" t="n">
        <f aca="false">SUMIF($E$40:$E$219,2029,S$40:S$219)</f>
        <v>49.7123055226691</v>
      </c>
      <c r="H312" s="88" t="n">
        <f aca="false">SUMIF($E$40:$E$219,2030,S$40:S$219)</f>
        <v>65.801944807955</v>
      </c>
      <c r="I312" s="88" t="n">
        <f aca="false">SUMIF($E$40:$E$219,2031,S$40:S$219)</f>
        <v>65.7269448079551</v>
      </c>
      <c r="J312" s="88" t="n">
        <f aca="false">SUMIF($E$40:$E$219,2032,S$40:S$219)</f>
        <v>65.7269448079551</v>
      </c>
      <c r="K312" s="88" t="n">
        <f aca="false">SUMIF($E$40:$E$219,2033,S$40:S$219)</f>
        <v>65.1736621775377</v>
      </c>
      <c r="L312" s="88" t="n">
        <f aca="false">SUMIF($E$40:$E$219,2034,S$40:S$219)</f>
        <v>59.6635735157089</v>
      </c>
      <c r="M312" s="88" t="n">
        <f aca="false">SUMIF($E$40:$E$219,2035,S$40:S$219)</f>
        <v>48.0143214204795</v>
      </c>
      <c r="N312" s="88" t="n">
        <f aca="false">SUMIF($E$40:$E$219,2036,S$40:S$219)</f>
        <v>47.5747270017913</v>
      </c>
      <c r="O312" s="88" t="n">
        <f aca="false">SUMIF($E$40:$E$219,2037,S$40:S$219)</f>
        <v>47.0366027996043</v>
      </c>
      <c r="P312" s="88" t="n">
        <f aca="false">SUMIF($E$40:$E$219,2038,S$40:S$219)</f>
        <v>46.5970083809168</v>
      </c>
      <c r="Q312" s="88" t="n">
        <f aca="false">SUMIF($E$40:$E$219,2039,S$40:S$219)</f>
        <v>34.6749045775359</v>
      </c>
      <c r="R312" s="88" t="n">
        <f aca="false">SUMIF($E$40:$E$219,2040,S$40:S$219)</f>
        <v>0</v>
      </c>
    </row>
    <row r="313" customFormat="false" ht="15" hidden="false" customHeight="false" outlineLevel="0" collapsed="false">
      <c r="A313" s="0" t="s">
        <v>160</v>
      </c>
      <c r="C313" s="88" t="n">
        <f aca="false">SUMIF($E$40:$E$219,0,Y$40:Y$219)</f>
        <v>276.906832094378</v>
      </c>
      <c r="D313" s="88" t="n">
        <f aca="false">SUMIF($E$40:$E$219,2026,Y$40:Y$219)</f>
        <v>46.9952742858045</v>
      </c>
      <c r="E313" s="88" t="n">
        <f aca="false">SUMIF($E$40:$E$219,2027,Y$40:Y$219)</f>
        <v>196.281097143218</v>
      </c>
      <c r="F313" s="88" t="n">
        <f aca="false">SUMIF($E$40:$E$219,2028,Y$40:Y$219)</f>
        <v>271.506097143218</v>
      </c>
      <c r="G313" s="88" t="n">
        <f aca="false">SUMIF($E$40:$E$219,2029,Y$40:Y$219)</f>
        <v>383.620330164854</v>
      </c>
      <c r="H313" s="88" t="n">
        <f aca="false">SUMIF($E$40:$E$219,2030,Y$40:Y$219)</f>
        <v>267.063029229764</v>
      </c>
      <c r="I313" s="88" t="n">
        <f aca="false">SUMIF($E$40:$E$219,2031,Y$40:Y$219)</f>
        <v>267.138029229765</v>
      </c>
      <c r="J313" s="88" t="n">
        <f aca="false">SUMIF($E$40:$E$219,2032,Y$40:Y$219)</f>
        <v>267.138029229765</v>
      </c>
      <c r="K313" s="88" t="n">
        <f aca="false">SUMIF($E$40:$E$219,2033,Y$40:Y$219)</f>
        <v>264.889288900687</v>
      </c>
      <c r="L313" s="88" t="n">
        <f aca="false">SUMIF($E$40:$E$219,2034,Y$40:Y$219)</f>
        <v>242.494299596023</v>
      </c>
      <c r="M313" s="88" t="n">
        <f aca="false">SUMIF($E$40:$E$219,2035,Y$40:Y$219)</f>
        <v>195.147534037195</v>
      </c>
      <c r="N313" s="88" t="n">
        <f aca="false">SUMIF($E$40:$E$219,2036,Y$40:Y$219)</f>
        <v>193.360863638753</v>
      </c>
      <c r="O313" s="88" t="n">
        <f aca="false">SUMIF($E$40:$E$219,2037,Y$40:Y$219)</f>
        <v>191.173732633756</v>
      </c>
      <c r="P313" s="88" t="n">
        <f aca="false">SUMIF($E$40:$E$219,2038,Y$40:Y$219)</f>
        <v>189.387062235306</v>
      </c>
      <c r="Q313" s="88" t="n">
        <f aca="false">SUMIF($E$40:$E$219,2039,Y$40:Y$219)</f>
        <v>140.931328842964</v>
      </c>
      <c r="R313" s="88" t="n">
        <f aca="false">SUMIF($E$40:$E$219,2040,Y$40:Y$219)</f>
        <v>0</v>
      </c>
    </row>
    <row r="314" customFormat="false" ht="15" hidden="false" customHeight="false" outlineLevel="0" collapsed="false">
      <c r="A314" s="0" t="s">
        <v>162</v>
      </c>
      <c r="C314" s="88" t="n">
        <f aca="false">SUMIF($E$40:$E$219,0,AE$40:AE$219)</f>
        <v>165.632861993968</v>
      </c>
      <c r="D314" s="88" t="n">
        <f aca="false">SUMIF($E$40:$E$219,2026,AE$40:AE$219)</f>
        <v>149.950830348777</v>
      </c>
      <c r="E314" s="88" t="n">
        <f aca="false">SUMIF($E$40:$E$219,2027,AE$40:AE$219)</f>
        <v>487.253321395107</v>
      </c>
      <c r="F314" s="88" t="n">
        <f aca="false">SUMIF($E$40:$E$219,2028,AE$40:AE$219)</f>
        <v>217.353321395107</v>
      </c>
      <c r="G314" s="88" t="n">
        <f aca="false">SUMIF($E$40:$E$219,2029,AE$40:AE$219)</f>
        <v>315.452491046329</v>
      </c>
      <c r="H314" s="88" t="n">
        <f aca="false">SUMIF($E$40:$E$219,2030,AE$40:AE$219)</f>
        <v>0</v>
      </c>
      <c r="I314" s="88" t="n">
        <f aca="false">SUMIF($E$40:$E$219,2031,AE$40:AE$219)</f>
        <v>0</v>
      </c>
      <c r="J314" s="88" t="n">
        <f aca="false">SUMIF($E$40:$E$219,2032,AE$40:AE$219)</f>
        <v>138.347056661964</v>
      </c>
      <c r="K314" s="88" t="n">
        <f aca="false">SUMIF($E$40:$E$219,2033,AE$40:AE$219)</f>
        <v>314.269608296771</v>
      </c>
      <c r="L314" s="88" t="n">
        <f aca="false">SUMIF($E$40:$E$219,2034,AE$40:AE$219)</f>
        <v>287.699773986764</v>
      </c>
      <c r="M314" s="88" t="n">
        <f aca="false">SUMIF($E$40:$E$219,2035,AE$40:AE$219)</f>
        <v>231.526685493668</v>
      </c>
      <c r="N314" s="88" t="n">
        <f aca="false">SUMIF($E$40:$E$219,2036,AE$40:AE$219)</f>
        <v>229.40694630525</v>
      </c>
      <c r="O314" s="88" t="n">
        <f aca="false">SUMIF($E$40:$E$219,2037,AE$40:AE$219)</f>
        <v>226.812093160803</v>
      </c>
      <c r="P314" s="88" t="n">
        <f aca="false">SUMIF($E$40:$E$219,2038,AE$40:AE$219)</f>
        <v>224.69235397239</v>
      </c>
      <c r="Q314" s="88" t="n">
        <f aca="false">SUMIF($E$40:$E$219,2039,AE$40:AE$219)</f>
        <v>167.203565293376</v>
      </c>
      <c r="R314" s="88" t="n">
        <f aca="false">SUMIF($E$40:$E$219,2040,AE$40:AE$219)</f>
        <v>0</v>
      </c>
    </row>
    <row r="315" customFormat="false" ht="15" hidden="false" customHeight="false" outlineLevel="0" collapsed="false">
      <c r="A315" s="0" t="s">
        <v>164</v>
      </c>
      <c r="C315" s="88" t="n">
        <f aca="false">SUMIF($E$40:$E$219,0,AK$40:AK$219)</f>
        <v>568.123710641983</v>
      </c>
      <c r="D315" s="88" t="n">
        <f aca="false">SUMIF($E$40:$E$219,2026,AK$40:AK$219)</f>
        <v>74.7386968801799</v>
      </c>
      <c r="E315" s="88" t="n">
        <f aca="false">SUMIF($E$40:$E$219,2027,AK$40:AK$219)</f>
        <v>294.82978752072</v>
      </c>
      <c r="F315" s="88" t="n">
        <f aca="false">SUMIF($E$40:$E$219,2028,AK$40:AK$219)</f>
        <v>329.00478752072</v>
      </c>
      <c r="G315" s="88" t="n">
        <f aca="false">SUMIF($E$40:$E$219,2029,AK$40:AK$219)</f>
        <v>382.144215162293</v>
      </c>
      <c r="H315" s="88" t="n">
        <f aca="false">SUMIF($E$40:$E$219,2030,AK$40:AK$219)</f>
        <v>160.787498087007</v>
      </c>
      <c r="I315" s="88" t="n">
        <f aca="false">SUMIF($E$40:$E$219,2031,AK$40:AK$219)</f>
        <v>275.312498087007</v>
      </c>
      <c r="J315" s="88" t="n">
        <f aca="false">SUMIF($E$40:$E$219,2032,AK$40:AK$219)</f>
        <v>275.312498087007</v>
      </c>
      <c r="K315" s="88" t="n">
        <f aca="false">SUMIF($E$40:$E$219,2033,AK$40:AK$219)</f>
        <v>272.994945923683</v>
      </c>
      <c r="L315" s="88" t="n">
        <f aca="false">SUMIF($E$40:$E$219,2034,AK$40:AK$219)</f>
        <v>249.914666160163</v>
      </c>
      <c r="M315" s="88" t="n">
        <f aca="false">SUMIF($E$40:$E$219,2035,AK$40:AK$219)</f>
        <v>201.119081570711</v>
      </c>
      <c r="N315" s="88" t="n">
        <f aca="false">SUMIF($E$40:$E$219,2036,AK$40:AK$219)</f>
        <v>199.277738756015</v>
      </c>
      <c r="O315" s="88" t="n">
        <f aca="false">SUMIF($E$40:$E$219,2037,AK$40:AK$219)</f>
        <v>197.023681172507</v>
      </c>
      <c r="P315" s="88" t="n">
        <f aca="false">SUMIF($E$40:$E$219,2038,AK$40:AK$219)</f>
        <v>195.182338357809</v>
      </c>
      <c r="Q315" s="88" t="n">
        <f aca="false">SUMIF($E$40:$E$219,2039,AK$40:AK$219)</f>
        <v>145.243851331654</v>
      </c>
      <c r="R315" s="88" t="n">
        <f aca="false">SUMIF($E$40:$E$219,2040,AK$40:AK$219)</f>
        <v>0</v>
      </c>
    </row>
    <row r="316" customFormat="false" ht="15" hidden="false" customHeight="false" outlineLevel="0" collapsed="false">
      <c r="A316" s="0" t="s">
        <v>166</v>
      </c>
      <c r="C316" s="88" t="n">
        <f aca="false">SUMIF($E$40:$E$219,0,AQ$40:AQ$219)</f>
        <v>142.826666963573</v>
      </c>
      <c r="D316" s="88" t="n">
        <f aca="false">SUMIF($E$40:$E$219,2026,AQ$40:AQ$219)</f>
        <v>28.3592963565023</v>
      </c>
      <c r="E316" s="88" t="n">
        <f aca="false">SUMIF($E$40:$E$219,2027,AQ$40:AQ$219)</f>
        <v>115.187185426009</v>
      </c>
      <c r="F316" s="88" t="n">
        <f aca="false">SUMIF($E$40:$E$219,2028,AQ$40:AQ$219)</f>
        <v>124.562185426009</v>
      </c>
      <c r="G316" s="88" t="n">
        <f aca="false">SUMIF($E$40:$E$219,2029,AQ$40:AQ$219)</f>
        <v>120.113152851092</v>
      </c>
      <c r="H316" s="88" t="n">
        <f aca="false">SUMIF($E$40:$E$219,2030,AQ$40:AQ$219)</f>
        <v>69.6410551263402</v>
      </c>
      <c r="I316" s="88" t="n">
        <f aca="false">SUMIF($E$40:$E$219,2031,AQ$40:AQ$219)</f>
        <v>69.6410551263402</v>
      </c>
      <c r="J316" s="88" t="n">
        <f aca="false">SUMIF($E$40:$E$219,2032,AQ$40:AQ$219)</f>
        <v>69.6410551263402</v>
      </c>
      <c r="K316" s="88" t="n">
        <f aca="false">SUMIF($E$40:$E$219,2033,AQ$40:AQ$219)</f>
        <v>69.0548239196725</v>
      </c>
      <c r="L316" s="88" t="n">
        <f aca="false">SUMIF($E$40:$E$219,2034,AQ$40:AQ$219)</f>
        <v>63.2166035464194</v>
      </c>
      <c r="M316" s="88" t="n">
        <f aca="false">SUMIF($E$40:$E$219,2035,AQ$40:AQ$219)</f>
        <v>50.8736259484966</v>
      </c>
      <c r="N316" s="88" t="n">
        <f aca="false">SUMIF($E$40:$E$219,2036,AQ$40:AQ$219)</f>
        <v>50.4078532089528</v>
      </c>
      <c r="O316" s="88" t="n">
        <f aca="false">SUMIF($E$40:$E$219,2037,AQ$40:AQ$219)</f>
        <v>49.8376831312344</v>
      </c>
      <c r="P316" s="88" t="n">
        <f aca="false">SUMIF($E$40:$E$219,2038,AQ$40:AQ$219)</f>
        <v>49.3719103916897</v>
      </c>
      <c r="Q316" s="88" t="n">
        <f aca="false">SUMIF($E$40:$E$219,2039,AQ$40:AQ$219)</f>
        <v>36.7398324726721</v>
      </c>
      <c r="R316" s="88" t="n">
        <f aca="false">SUMIF($E$40:$E$219,2040,AQ$40:AQ$219)</f>
        <v>0</v>
      </c>
    </row>
    <row r="317" customFormat="false" ht="15" hidden="false" customHeight="false" outlineLevel="0" collapsed="false">
      <c r="A317" s="0" t="s">
        <v>168</v>
      </c>
      <c r="C317" s="88" t="n">
        <f aca="false">SUMIF($E$40:$E$219,0,AW$40:AW$219)</f>
        <v>171.767273207193</v>
      </c>
      <c r="D317" s="88" t="n">
        <f aca="false">SUMIF($E$40:$E$219,2026,AW$40:AW$219)</f>
        <v>60.0730859559029</v>
      </c>
      <c r="E317" s="88" t="n">
        <f aca="false">SUMIF($E$40:$E$219,2027,AW$40:AW$219)</f>
        <v>228.417343823612</v>
      </c>
      <c r="F317" s="88" t="n">
        <f aca="false">SUMIF($E$40:$E$219,2028,AW$40:AW$219)</f>
        <v>214.967343823611</v>
      </c>
      <c r="G317" s="88" t="n">
        <f aca="false">SUMIF($E$40:$E$219,2029,AW$40:AW$219)</f>
        <v>229.155629050539</v>
      </c>
      <c r="H317" s="88" t="n">
        <f aca="false">SUMIF($E$40:$E$219,2030,AW$40:AW$219)</f>
        <v>128.345484731315</v>
      </c>
      <c r="I317" s="88" t="n">
        <f aca="false">SUMIF($E$40:$E$219,2031,AW$40:AW$219)</f>
        <v>296.945484731315</v>
      </c>
      <c r="J317" s="88" t="n">
        <f aca="false">SUMIF($E$40:$E$219,2032,AW$40:AW$219)</f>
        <v>296.945484731315</v>
      </c>
      <c r="K317" s="88" t="n">
        <f aca="false">SUMIF($E$40:$E$219,2033,AW$40:AW$219)</f>
        <v>294.445828321561</v>
      </c>
      <c r="L317" s="88" t="n">
        <f aca="false">SUMIF($E$40:$E$219,2034,AW$40:AW$219)</f>
        <v>269.551989829902</v>
      </c>
      <c r="M317" s="88" t="n">
        <f aca="false">SUMIF($E$40:$E$219,2035,AW$40:AW$219)</f>
        <v>216.922237750563</v>
      </c>
      <c r="N317" s="88" t="n">
        <f aca="false">SUMIF($E$40:$E$219,2036,AW$40:AW$219)</f>
        <v>214.936209370213</v>
      </c>
      <c r="O317" s="88" t="n">
        <f aca="false">SUMIF($E$40:$E$219,2037,AW$40:AW$219)</f>
        <v>212.505036697713</v>
      </c>
      <c r="P317" s="88" t="n">
        <f aca="false">SUMIF($E$40:$E$219,2038,AW$40:AW$219)</f>
        <v>210.51900831736</v>
      </c>
      <c r="Q317" s="88" t="n">
        <f aca="false">SUMIF($E$40:$E$219,2039,AW$40:AW$219)</f>
        <v>156.656548967458</v>
      </c>
      <c r="R317" s="88" t="n">
        <f aca="false">SUMIF($E$40:$E$219,2040,AW$40:AW$219)</f>
        <v>0</v>
      </c>
    </row>
    <row r="318" customFormat="false" ht="15" hidden="false" customHeight="false" outlineLevel="0" collapsed="false">
      <c r="A318" s="0" t="s">
        <v>170</v>
      </c>
      <c r="C318" s="88" t="n">
        <f aca="false">SUMIF($E$40:$E$219,0,BC$40:BC$219)</f>
        <v>83.5009541748064</v>
      </c>
      <c r="D318" s="88" t="n">
        <f aca="false">SUMIF($E$40:$E$219,2026,BC$40:BC$219)</f>
        <v>9.40713792989131</v>
      </c>
      <c r="E318" s="88" t="n">
        <f aca="false">SUMIF($E$40:$E$219,2027,BC$40:BC$219)</f>
        <v>40.2535517195651</v>
      </c>
      <c r="F318" s="88" t="n">
        <f aca="false">SUMIF($E$40:$E$219,2028,BC$40:BC$219)</f>
        <v>52.9535517195651</v>
      </c>
      <c r="G318" s="88" t="n">
        <f aca="false">SUMIF($E$40:$E$219,2029,BC$40:BC$219)</f>
        <v>59.1824564901205</v>
      </c>
      <c r="H318" s="88" t="n">
        <f aca="false">SUMIF($E$40:$E$219,2030,BC$40:BC$219)</f>
        <v>34.4441708017866</v>
      </c>
      <c r="I318" s="88" t="n">
        <f aca="false">SUMIF($E$40:$E$219,2031,BC$40:BC$219)</f>
        <v>34.4441708017866</v>
      </c>
      <c r="J318" s="88" t="n">
        <f aca="false">SUMIF($E$40:$E$219,2032,BC$40:BC$219)</f>
        <v>34.4441708017866</v>
      </c>
      <c r="K318" s="88" t="n">
        <f aca="false">SUMIF($E$40:$E$219,2033,BC$40:BC$219)</f>
        <v>34.1542233307846</v>
      </c>
      <c r="L318" s="88" t="n">
        <f aca="false">SUMIF($E$40:$E$219,2034,BC$40:BC$219)</f>
        <v>31.2666642702568</v>
      </c>
      <c r="M318" s="88" t="n">
        <f aca="false">SUMIF($E$40:$E$219,2035,BC$40:BC$219)</f>
        <v>25.1618798465545</v>
      </c>
      <c r="N318" s="88" t="n">
        <f aca="false">SUMIF($E$40:$E$219,2036,BC$40:BC$219)</f>
        <v>24.9315106230185</v>
      </c>
      <c r="O318" s="88" t="n">
        <f aca="false">SUMIF($E$40:$E$219,2037,BC$40:BC$219)</f>
        <v>24.649506918345</v>
      </c>
      <c r="P318" s="88" t="n">
        <f aca="false">SUMIF($E$40:$E$219,2038,BC$40:BC$219)</f>
        <v>24.4191376948089</v>
      </c>
      <c r="Q318" s="88" t="n">
        <f aca="false">SUMIF($E$40:$E$219,2039,BC$40:BC$219)</f>
        <v>18.1713654771881</v>
      </c>
      <c r="R318" s="88" t="n">
        <f aca="false">SUMIF($E$40:$E$219,2040,BC$40:BC$219)</f>
        <v>0</v>
      </c>
    </row>
    <row r="319" customFormat="false" ht="15" hidden="false" customHeight="false" outlineLevel="0" collapsed="false">
      <c r="A319" s="0" t="s">
        <v>172</v>
      </c>
      <c r="C319" s="88" t="n">
        <f aca="false">SUMIF($E$40:$E$219,0,BI$40:BI$219)</f>
        <v>305.550108814489</v>
      </c>
      <c r="D319" s="88" t="n">
        <f aca="false">SUMIF($E$40:$E$219,2026,BI$40:BI$219)</f>
        <v>58.0176609540491</v>
      </c>
      <c r="E319" s="88" t="n">
        <f aca="false">SUMIF($E$40:$E$219,2027,BI$40:BI$219)</f>
        <v>251.670643816197</v>
      </c>
      <c r="F319" s="88" t="n">
        <f aca="false">SUMIF($E$40:$E$219,2028,BI$40:BI$219)</f>
        <v>316.995643816197</v>
      </c>
      <c r="G319" s="88" t="n">
        <f aca="false">SUMIF($E$40:$E$219,2029,BI$40:BI$219)</f>
        <v>295.219746631413</v>
      </c>
      <c r="H319" s="88" t="n">
        <f aca="false">SUMIF($E$40:$E$219,2030,BI$40:BI$219)</f>
        <v>171.167055077061</v>
      </c>
      <c r="I319" s="88" t="n">
        <f aca="false">SUMIF($E$40:$E$219,2031,BI$40:BI$219)</f>
        <v>171.167055077061</v>
      </c>
      <c r="J319" s="88" t="n">
        <f aca="false">SUMIF($E$40:$E$219,2032,BI$40:BI$219)</f>
        <v>171.167055077061</v>
      </c>
      <c r="K319" s="88" t="n">
        <f aca="false">SUMIF($E$40:$E$219,2033,BI$40:BI$219)</f>
        <v>169.726188492579</v>
      </c>
      <c r="L319" s="88" t="n">
        <f aca="false">SUMIF($E$40:$E$219,2034,BI$40:BI$219)</f>
        <v>155.376736343013</v>
      </c>
      <c r="M319" s="88" t="n">
        <f aca="false">SUMIF($E$40:$E$219,2035,BI$40:BI$219)</f>
        <v>125.039586475227</v>
      </c>
      <c r="N319" s="88" t="n">
        <f aca="false">SUMIF($E$40:$E$219,2036,BI$40:BI$219)</f>
        <v>123.894788367008</v>
      </c>
      <c r="O319" s="88" t="n">
        <f aca="false">SUMIF($E$40:$E$219,2037,BI$40:BI$219)</f>
        <v>122.493397579362</v>
      </c>
      <c r="P319" s="88" t="n">
        <f aca="false">SUMIF($E$40:$E$219,2038,BI$40:BI$219)</f>
        <v>121.348599471145</v>
      </c>
      <c r="Q319" s="88" t="n">
        <f aca="false">SUMIF($E$40:$E$219,2039,BI$40:BI$219)</f>
        <v>90.3008852603266</v>
      </c>
      <c r="R319" s="88" t="n">
        <f aca="false">SUMIF($E$40:$E$219,2040,BI$40:BI$219)</f>
        <v>0</v>
      </c>
    </row>
    <row r="320" customFormat="false" ht="15" hidden="false" customHeight="false" outlineLevel="0" collapsed="false">
      <c r="A320" s="0" t="s">
        <v>174</v>
      </c>
      <c r="C320" s="88" t="n">
        <f aca="false">SUMIF($E$40:$E$219,0,BO$40:BO$219)</f>
        <v>183.010903988524</v>
      </c>
      <c r="D320" s="88" t="n">
        <f aca="false">SUMIF($E$40:$E$219,2026,BO$40:BO$219)</f>
        <v>42.3091555310063</v>
      </c>
      <c r="E320" s="88" t="n">
        <f aca="false">SUMIF($E$40:$E$219,2027,BO$40:BO$219)</f>
        <v>162.111622124025</v>
      </c>
      <c r="F320" s="88" t="n">
        <f aca="false">SUMIF($E$40:$E$219,2028,BO$40:BO$219)</f>
        <v>137.336622124025</v>
      </c>
      <c r="G320" s="88" t="n">
        <f aca="false">SUMIF($E$40:$E$219,2029,BO$40:BO$219)</f>
        <v>95.3524665930192</v>
      </c>
      <c r="H320" s="88" t="n">
        <f aca="false">SUMIF($E$40:$E$219,2030,BO$40:BO$219)</f>
        <v>0</v>
      </c>
      <c r="I320" s="88" t="n">
        <f aca="false">SUMIF($E$40:$E$219,2031,BO$40:BO$219)</f>
        <v>0</v>
      </c>
      <c r="J320" s="88" t="n">
        <f aca="false">SUMIF($E$40:$E$219,2032,BO$40:BO$219)</f>
        <v>1.00704656014238</v>
      </c>
      <c r="K320" s="88" t="n">
        <f aca="false">SUMIF($E$40:$E$219,2033,BO$40:BO$219)</f>
        <v>93.0583165402591</v>
      </c>
      <c r="L320" s="88" t="n">
        <f aca="false">SUMIF($E$40:$E$219,2034,BO$40:BO$219)</f>
        <v>85.1907277363553</v>
      </c>
      <c r="M320" s="88" t="n">
        <f aca="false">SUMIF($E$40:$E$219,2035,BO$40:BO$219)</f>
        <v>68.5573247217751</v>
      </c>
      <c r="N320" s="88" t="n">
        <f aca="false">SUMIF($E$40:$E$219,2036,BO$40:BO$219)</f>
        <v>67.9296491363186</v>
      </c>
      <c r="O320" s="88" t="n">
        <f aca="false">SUMIF($E$40:$E$219,2037,BO$40:BO$219)</f>
        <v>67.1612876437771</v>
      </c>
      <c r="P320" s="88" t="n">
        <f aca="false">SUMIF($E$40:$E$219,2038,BO$40:BO$219)</f>
        <v>66.5336120583212</v>
      </c>
      <c r="Q320" s="88" t="n">
        <f aca="false">SUMIF($E$40:$E$219,2039,BO$40:BO$219)</f>
        <v>49.5106173010454</v>
      </c>
      <c r="R320" s="88" t="n">
        <f aca="false">SUMIF($E$40:$E$219,2040,BO$40:BO$219)</f>
        <v>0</v>
      </c>
    </row>
    <row r="321" customFormat="false" ht="15" hidden="false" customHeight="false" outlineLevel="0" collapsed="false">
      <c r="A321" s="0" t="s">
        <v>176</v>
      </c>
      <c r="C321" s="88" t="n">
        <f aca="false">SUMIF($E$40:$E$219,0,BU$40:BU$219)</f>
        <v>71.0965805182706</v>
      </c>
      <c r="D321" s="88" t="n">
        <f aca="false">SUMIF($E$40:$E$219,2026,BU$40:BU$219)</f>
        <v>0.0668066050937739</v>
      </c>
      <c r="E321" s="88" t="n">
        <f aca="false">SUMIF($E$40:$E$219,2027,BU$40:BU$219)</f>
        <v>7.39222642037507</v>
      </c>
      <c r="F321" s="88" t="n">
        <f aca="false">SUMIF($E$40:$E$219,2028,BU$40:BU$219)</f>
        <v>35.8172264203751</v>
      </c>
      <c r="G321" s="88" t="n">
        <f aca="false">SUMIF($E$40:$E$219,2029,BU$40:BU$219)</f>
        <v>50.057260472059</v>
      </c>
      <c r="H321" s="88" t="n">
        <f aca="false">SUMIF($E$40:$E$219,2030,BU$40:BU$219)</f>
        <v>29.3273626271105</v>
      </c>
      <c r="I321" s="88" t="n">
        <f aca="false">SUMIF($E$40:$E$219,2031,BU$40:BU$219)</f>
        <v>29.3273626271105</v>
      </c>
      <c r="J321" s="88" t="n">
        <f aca="false">SUMIF($E$40:$E$219,2032,BU$40:BU$219)</f>
        <v>29.3273626271105</v>
      </c>
      <c r="K321" s="88" t="n">
        <f aca="false">SUMIF($E$40:$E$219,2033,BU$40:BU$219)</f>
        <v>29.080487918649</v>
      </c>
      <c r="L321" s="88" t="n">
        <f aca="false">SUMIF($E$40:$E$219,2034,BU$40:BU$219)</f>
        <v>26.6218863699975</v>
      </c>
      <c r="M321" s="88" t="n">
        <f aca="false">SUMIF($E$40:$E$219,2035,BU$40:BU$219)</f>
        <v>21.4239901110179</v>
      </c>
      <c r="N321" s="88" t="n">
        <f aca="false">SUMIF($E$40:$E$219,2036,BU$40:BU$219)</f>
        <v>21.227843082377</v>
      </c>
      <c r="O321" s="88" t="n">
        <f aca="false">SUMIF($E$40:$E$219,2037,BU$40:BU$219)</f>
        <v>20.9877320645583</v>
      </c>
      <c r="P321" s="88" t="n">
        <f aca="false">SUMIF($E$40:$E$219,2038,BU$40:BU$219)</f>
        <v>20.7915850359174</v>
      </c>
      <c r="Q321" s="88" t="n">
        <f aca="false">SUMIF($E$40:$E$219,2039,BU$40:BU$219)</f>
        <v>15.4719423453679</v>
      </c>
      <c r="R321" s="88" t="n">
        <f aca="false">SUMIF($E$40:$E$219,2040,BU$40:BU$219)</f>
        <v>0</v>
      </c>
    </row>
    <row r="322" customFormat="false" ht="15" hidden="false" customHeight="false" outlineLevel="0" collapsed="false">
      <c r="A322" s="0" t="s">
        <v>179</v>
      </c>
      <c r="C322" s="88" t="n">
        <f aca="false">SUMIF($E$40:$E$219,0,CA$40:CA$219)</f>
        <v>42.1676270660088</v>
      </c>
      <c r="D322" s="88" t="n">
        <f aca="false">SUMIF($E$40:$E$219,2026,CA$40:CA$219)</f>
        <v>8.55065771060733</v>
      </c>
      <c r="E322" s="88" t="n">
        <f aca="false">SUMIF($E$40:$E$219,2027,CA$40:CA$219)</f>
        <v>34.2026308424293</v>
      </c>
      <c r="F322" s="88" t="n">
        <f aca="false">SUMIF($E$40:$E$219,2028,CA$40:CA$219)</f>
        <v>34.2026308424293</v>
      </c>
      <c r="G322" s="88" t="n">
        <f aca="false">SUMIF($E$40:$E$219,2029,CA$40:CA$219)</f>
        <v>30.0005131075661</v>
      </c>
      <c r="H322" s="88" t="n">
        <f aca="false">SUMIF($E$40:$E$219,2030,CA$40:CA$219)</f>
        <v>17.3941599029761</v>
      </c>
      <c r="I322" s="88" t="n">
        <f aca="false">SUMIF($E$40:$E$219,2031,CA$40:CA$219)</f>
        <v>17.3941599029761</v>
      </c>
      <c r="J322" s="88" t="n">
        <f aca="false">SUMIF($E$40:$E$219,2032,CA$40:CA$219)</f>
        <v>17.3941599029761</v>
      </c>
      <c r="K322" s="88" t="n">
        <f aca="false">SUMIF($E$40:$E$219,2033,CA$40:CA$219)</f>
        <v>17.2477376620954</v>
      </c>
      <c r="L322" s="88" t="n">
        <f aca="false">SUMIF($E$40:$E$219,2034,CA$40:CA$219)</f>
        <v>15.7895326056536</v>
      </c>
      <c r="M322" s="88" t="n">
        <f aca="false">SUMIF($E$40:$E$219,2035,CA$40:CA$219)</f>
        <v>12.7066424106727</v>
      </c>
      <c r="N322" s="88" t="n">
        <f aca="false">SUMIF($E$40:$E$219,2036,CA$40:CA$219)</f>
        <v>12.5903069316168</v>
      </c>
      <c r="O322" s="88" t="n">
        <f aca="false">SUMIF($E$40:$E$219,2037,CA$40:CA$219)</f>
        <v>12.4478962589797</v>
      </c>
      <c r="P322" s="88" t="n">
        <f aca="false">SUMIF($E$40:$E$219,2038,CA$40:CA$219)</f>
        <v>12.3315607799236</v>
      </c>
      <c r="Q322" s="88" t="n">
        <f aca="false">SUMIF($E$40:$E$219,2039,CA$40:CA$219)</f>
        <v>9.17646235656315</v>
      </c>
      <c r="R322" s="88" t="n">
        <f aca="false">SUMIF($E$40:$E$219,2040,CA$40:CA$219)</f>
        <v>0</v>
      </c>
    </row>
    <row r="323" customFormat="false" ht="15" hidden="false" customHeight="false" outlineLevel="0" collapsed="false">
      <c r="A323" s="0" t="s">
        <v>181</v>
      </c>
      <c r="C323" s="88" t="n">
        <f aca="false">SUMIF($E$40:$E$219,0,CG$40:CG$219)</f>
        <v>0</v>
      </c>
      <c r="D323" s="88" t="n">
        <f aca="false">SUMIF($E$40:$E$219,2026,CG$40:CG$219)</f>
        <v>7.10439713375428</v>
      </c>
      <c r="E323" s="88" t="n">
        <f aca="false">SUMIF($E$40:$E$219,2027,CG$40:CG$219)</f>
        <v>48.4764063811922</v>
      </c>
      <c r="F323" s="88" t="n">
        <f aca="false">SUMIF($E$40:$E$219,2028,CG$40:CG$219)</f>
        <v>51.7264063811921</v>
      </c>
      <c r="G323" s="88" t="n">
        <f aca="false">SUMIF($E$40:$E$219,2029,CG$40:CG$219)</f>
        <v>49.1868877693813</v>
      </c>
      <c r="H323" s="88" t="n">
        <f aca="false">SUMIF($E$40:$E$219,2030,CG$40:CG$219)</f>
        <v>28.518331933949</v>
      </c>
      <c r="I323" s="88" t="n">
        <f aca="false">SUMIF($E$40:$E$219,2031,CG$40:CG$219)</f>
        <v>28.518331933949</v>
      </c>
      <c r="J323" s="88" t="n">
        <f aca="false">SUMIF($E$40:$E$219,2032,CG$40:CG$219)</f>
        <v>28.518331933949</v>
      </c>
      <c r="K323" s="88" t="n">
        <f aca="false">SUMIF($E$40:$E$219,2033,CG$40:CG$219)</f>
        <v>28.2782675622725</v>
      </c>
      <c r="L323" s="88" t="n">
        <f aca="false">SUMIF($E$40:$E$219,2034,CG$40:CG$219)</f>
        <v>25.887489504618</v>
      </c>
      <c r="M323" s="88" t="n">
        <f aca="false">SUMIF($E$40:$E$219,2035,CG$40:CG$219)</f>
        <v>20.8329834872658</v>
      </c>
      <c r="N323" s="88" t="n">
        <f aca="false">SUMIF($E$40:$E$219,2036,CG$40:CG$219)</f>
        <v>20.6422474111392</v>
      </c>
      <c r="O323" s="88" t="n">
        <f aca="false">SUMIF($E$40:$E$219,2037,CG$40:CG$219)</f>
        <v>20.4087601455362</v>
      </c>
      <c r="P323" s="88" t="n">
        <f aca="false">SUMIF($E$40:$E$219,2038,CG$40:CG$219)</f>
        <v>20.2180240694095</v>
      </c>
      <c r="Q323" s="88" t="n">
        <f aca="false">SUMIF($E$40:$E$219,2039,CG$40:CG$219)</f>
        <v>15.045130142737</v>
      </c>
      <c r="R323" s="88" t="n">
        <f aca="false">SUMIF($E$40:$E$219,2040,CG$40:CG$219)</f>
        <v>0</v>
      </c>
    </row>
    <row r="324" customFormat="false" ht="15" hidden="false" customHeight="false" outlineLevel="0" collapsed="false">
      <c r="A324" s="0" t="s">
        <v>183</v>
      </c>
      <c r="C324" s="88" t="n">
        <f aca="false">SUMIF($E$40:$E$219,0,CM$40:CM$219)</f>
        <v>9.12671022010589</v>
      </c>
      <c r="D324" s="88" t="n">
        <f aca="false">SUMIF($E$40:$E$219,2026,CM$40:CM$219)</f>
        <v>0</v>
      </c>
      <c r="E324" s="88" t="n">
        <f aca="false">SUMIF($E$40:$E$219,2027,CM$40:CM$219)</f>
        <v>30.9742443324938</v>
      </c>
      <c r="F324" s="88" t="n">
        <f aca="false">SUMIF($E$40:$E$219,2028,CM$40:CM$219)</f>
        <v>44.3441085922194</v>
      </c>
      <c r="G324" s="88" t="n">
        <f aca="false">SUMIF($E$40:$E$219,2029,CM$40:CM$219)</f>
        <v>38.8960140871349</v>
      </c>
      <c r="H324" s="88" t="n">
        <f aca="false">SUMIF($E$40:$E$219,2030,CM$40:CM$219)</f>
        <v>22.5517305718818</v>
      </c>
      <c r="I324" s="88" t="n">
        <f aca="false">SUMIF($E$40:$E$219,2031,CM$40:CM$219)</f>
        <v>22.5517305718818</v>
      </c>
      <c r="J324" s="88" t="n">
        <f aca="false">SUMIF($E$40:$E$219,2032,CM$40:CM$219)</f>
        <v>22.5517305718818</v>
      </c>
      <c r="K324" s="88" t="n">
        <f aca="false">SUMIF($E$40:$E$219,2033,CM$40:CM$219)</f>
        <v>22.3618924339957</v>
      </c>
      <c r="L324" s="88" t="n">
        <f aca="false">SUMIF($E$40:$E$219,2034,CM$40:CM$219)</f>
        <v>20.4713126224459</v>
      </c>
      <c r="M324" s="88" t="n">
        <f aca="false">SUMIF($E$40:$E$219,2035,CM$40:CM$219)</f>
        <v>16.4743096370927</v>
      </c>
      <c r="N324" s="88" t="n">
        <f aca="false">SUMIF($E$40:$E$219,2036,CM$40:CM$219)</f>
        <v>16.3234793357588</v>
      </c>
      <c r="O324" s="88" t="n">
        <f aca="false">SUMIF($E$40:$E$219,2037,CM$40:CM$219)</f>
        <v>16.1388422427464</v>
      </c>
      <c r="P324" s="88" t="n">
        <f aca="false">SUMIF($E$40:$E$219,2038,CM$40:CM$219)</f>
        <v>15.9880119414127</v>
      </c>
      <c r="Q324" s="88" t="n">
        <f aca="false">SUMIF($E$40:$E$219,2039,CM$40:CM$219)</f>
        <v>11.8973901483349</v>
      </c>
      <c r="R324" s="88" t="n">
        <f aca="false">SUMIF($E$40:$E$219,2040,CM$40:CM$219)</f>
        <v>0</v>
      </c>
    </row>
    <row r="325" customFormat="false" ht="15" hidden="false" customHeight="false" outlineLevel="0" collapsed="false">
      <c r="A325" s="0" t="s">
        <v>185</v>
      </c>
      <c r="C325" s="88" t="n">
        <f aca="false">SUMIF($E$40:$E$219,0,CS$40:CS$219)</f>
        <v>72.0509644249681</v>
      </c>
      <c r="D325" s="88" t="n">
        <f aca="false">SUMIF($E$40:$E$219,2026,CS$40:CS$219)</f>
        <v>38.2214455639519</v>
      </c>
      <c r="E325" s="88" t="n">
        <f aca="false">SUMIF($E$40:$E$219,2027,CS$40:CS$219)</f>
        <v>159.235782255808</v>
      </c>
      <c r="F325" s="88" t="n">
        <f aca="false">SUMIF($E$40:$E$219,2028,CS$40:CS$219)</f>
        <v>181.985782255808</v>
      </c>
      <c r="G325" s="88" t="n">
        <f aca="false">SUMIF($E$40:$E$219,2029,CS$40:CS$219)</f>
        <v>169.363361787481</v>
      </c>
      <c r="H325" s="88" t="n">
        <f aca="false">SUMIF($E$40:$E$219,2030,CS$40:CS$219)</f>
        <v>98.196100382499</v>
      </c>
      <c r="I325" s="88" t="n">
        <f aca="false">SUMIF($E$40:$E$219,2031,CS$40:CS$219)</f>
        <v>98.196100382499</v>
      </c>
      <c r="J325" s="88" t="n">
        <f aca="false">SUMIF($E$40:$E$219,2032,CS$40:CS$219)</f>
        <v>98.196100382499</v>
      </c>
      <c r="K325" s="88" t="n">
        <f aca="false">SUMIF($E$40:$E$219,2033,CS$40:CS$219)</f>
        <v>97.3694957552018</v>
      </c>
      <c r="L325" s="88" t="n">
        <f aca="false">SUMIF($E$40:$E$219,2034,CS$40:CS$219)</f>
        <v>89.1374195354051</v>
      </c>
      <c r="M325" s="88" t="n">
        <f aca="false">SUMIF($E$40:$E$219,2035,CS$40:CS$219)</f>
        <v>71.7334289579248</v>
      </c>
      <c r="N325" s="88" t="n">
        <f aca="false">SUMIF($E$40:$E$219,2036,CS$40:CS$219)</f>
        <v>71.0766745965104</v>
      </c>
      <c r="O325" s="88" t="n">
        <f aca="false">SUMIF($E$40:$E$219,2037,CS$40:CS$219)</f>
        <v>70.2727166713307</v>
      </c>
      <c r="P325" s="88" t="n">
        <f aca="false">SUMIF($E$40:$E$219,2038,CS$40:CS$219)</f>
        <v>69.615962309917</v>
      </c>
      <c r="Q325" s="88" t="n">
        <f aca="false">SUMIF($E$40:$E$219,2039,CS$40:CS$219)</f>
        <v>51.8043310943192</v>
      </c>
      <c r="R325" s="88" t="n">
        <f aca="false">SUMIF($E$40:$E$219,2040,CS$40:CS$219)</f>
        <v>0</v>
      </c>
    </row>
    <row r="326" customFormat="false" ht="15" hidden="false" customHeight="false" outlineLevel="0" collapsed="false">
      <c r="A326" s="0" t="s">
        <v>187</v>
      </c>
      <c r="C326" s="88" t="n">
        <f aca="false">SUMIF($E$40:$E$219,0,CY$40:CY$219)</f>
        <v>38.5224457403126</v>
      </c>
      <c r="D326" s="88" t="n">
        <f aca="false">SUMIF($E$40:$E$219,2026,CY$40:CY$219)</f>
        <v>10.0420514973412</v>
      </c>
      <c r="E326" s="88" t="n">
        <f aca="false">SUMIF($E$40:$E$219,2027,CY$40:CY$219)</f>
        <v>40.1682059893647</v>
      </c>
      <c r="F326" s="88" t="n">
        <f aca="false">SUMIF($E$40:$E$219,2028,CY$40:CY$219)</f>
        <v>40.1682059893648</v>
      </c>
      <c r="G326" s="88" t="n">
        <f aca="false">SUMIF($E$40:$E$219,2029,CY$40:CY$219)</f>
        <v>35.2331607426066</v>
      </c>
      <c r="H326" s="88" t="n">
        <f aca="false">SUMIF($E$40:$E$219,2030,CY$40:CY$219)</f>
        <v>20.4280250023322</v>
      </c>
      <c r="I326" s="88" t="n">
        <f aca="false">SUMIF($E$40:$E$219,2031,CY$40:CY$219)</f>
        <v>20.4280250023322</v>
      </c>
      <c r="J326" s="88" t="n">
        <f aca="false">SUMIF($E$40:$E$219,2032,CY$40:CY$219)</f>
        <v>20.4280250023322</v>
      </c>
      <c r="K326" s="88" t="n">
        <f aca="false">SUMIF($E$40:$E$219,2033,CY$40:CY$219)</f>
        <v>20.2560639985073</v>
      </c>
      <c r="L326" s="88" t="n">
        <f aca="false">SUMIF($E$40:$E$219,2034,CY$40:CY$219)</f>
        <v>18.5435208508258</v>
      </c>
      <c r="M326" s="88" t="n">
        <f aca="false">SUMIF($E$40:$E$219,2035,CY$40:CY$219)</f>
        <v>14.9229172497435</v>
      </c>
      <c r="N326" s="88" t="n">
        <f aca="false">SUMIF($E$40:$E$219,2036,CY$40:CY$219)</f>
        <v>14.7862906987593</v>
      </c>
      <c r="O326" s="88" t="n">
        <f aca="false">SUMIF($E$40:$E$219,2037,CY$40:CY$219)</f>
        <v>14.6190409553128</v>
      </c>
      <c r="P326" s="88" t="n">
        <f aca="false">SUMIF($E$40:$E$219,2038,CY$40:CY$219)</f>
        <v>14.4824144043286</v>
      </c>
      <c r="Q326" s="88" t="n">
        <f aca="false">SUMIF($E$40:$E$219,2039,CY$40:CY$219)</f>
        <v>10.777008116429</v>
      </c>
      <c r="R326" s="88" t="n">
        <f aca="false">SUMIF($E$40:$E$219,2040,CY$40:CY$219)</f>
        <v>0</v>
      </c>
    </row>
    <row r="327" customFormat="false" ht="15" hidden="false" customHeight="false" outlineLevel="0" collapsed="false">
      <c r="A327" s="0" t="s">
        <v>189</v>
      </c>
      <c r="C327" s="88" t="n">
        <f aca="false">SUMIF($E$40:$E$219,0,DE$40:DE$219)</f>
        <v>37.132124495359</v>
      </c>
      <c r="D327" s="88" t="n">
        <f aca="false">SUMIF($E$40:$E$219,2026,DE$40:DE$219)</f>
        <v>0</v>
      </c>
      <c r="E327" s="88" t="n">
        <f aca="false">SUMIF($E$40:$E$219,2027,DE$40:DE$219)</f>
        <v>0</v>
      </c>
      <c r="F327" s="88" t="n">
        <f aca="false">SUMIF($E$40:$E$219,2028,DE$40:DE$219)</f>
        <v>0</v>
      </c>
      <c r="G327" s="88" t="n">
        <f aca="false">SUMIF($E$40:$E$219,2029,DE$40:DE$219)</f>
        <v>0</v>
      </c>
      <c r="H327" s="88" t="n">
        <f aca="false">SUMIF($E$40:$E$219,2030,DE$40:DE$219)</f>
        <v>0</v>
      </c>
      <c r="I327" s="88" t="n">
        <f aca="false">SUMIF($E$40:$E$219,2031,DE$40:DE$219)</f>
        <v>0</v>
      </c>
      <c r="J327" s="88" t="n">
        <f aca="false">SUMIF($E$40:$E$219,2032,DE$40:DE$219)</f>
        <v>0</v>
      </c>
      <c r="K327" s="88" t="n">
        <f aca="false">SUMIF($E$40:$E$219,2033,DE$40:DE$219)</f>
        <v>0</v>
      </c>
      <c r="L327" s="88" t="n">
        <f aca="false">SUMIF($E$40:$E$219,2034,DE$40:DE$219)</f>
        <v>9.36067730198776</v>
      </c>
      <c r="M327" s="88" t="n">
        <f aca="false">SUMIF($E$40:$E$219,2035,DE$40:DE$219)</f>
        <v>14.7751655938054</v>
      </c>
      <c r="N327" s="88" t="n">
        <f aca="false">SUMIF($E$40:$E$219,2036,DE$40:DE$219)</f>
        <v>14.6398917809497</v>
      </c>
      <c r="O327" s="88" t="n">
        <f aca="false">SUMIF($E$40:$E$219,2037,DE$40:DE$219)</f>
        <v>14.4742979755573</v>
      </c>
      <c r="P327" s="88" t="n">
        <f aca="false">SUMIF($E$40:$E$219,2038,DE$40:DE$219)</f>
        <v>14.3390241627019</v>
      </c>
      <c r="Q327" s="88" t="n">
        <f aca="false">SUMIF($E$40:$E$219,2039,DE$40:DE$219)</f>
        <v>10.6703050657709</v>
      </c>
      <c r="R327" s="88" t="n">
        <f aca="false">SUMIF($E$40:$E$219,2040,DE$40:DE$219)</f>
        <v>0</v>
      </c>
    </row>
    <row r="328" customFormat="false" ht="15" hidden="false" customHeight="false" outlineLevel="0" collapsed="false">
      <c r="A328" s="0" t="s">
        <v>192</v>
      </c>
      <c r="C328" s="88" t="n">
        <f aca="false">SUMIF($E$40:$E$219,0,DK$40:DK$219)</f>
        <v>39.9611814637176</v>
      </c>
      <c r="D328" s="88" t="n">
        <f aca="false">SUMIF($E$40:$E$219,2026,DK$40:DK$219)</f>
        <v>8.10323957458718</v>
      </c>
      <c r="E328" s="88" t="n">
        <f aca="false">SUMIF($E$40:$E$219,2027,DK$40:DK$219)</f>
        <v>32.4129582983487</v>
      </c>
      <c r="F328" s="88" t="n">
        <f aca="false">SUMIF($E$40:$E$219,2028,DK$40:DK$219)</f>
        <v>32.4129582983487</v>
      </c>
      <c r="G328" s="88" t="n">
        <f aca="false">SUMIF($E$40:$E$219,2029,DK$40:DK$219)</f>
        <v>28.4307188170538</v>
      </c>
      <c r="H328" s="88" t="n">
        <f aca="false">SUMIF($E$40:$E$219,2030,DK$40:DK$219)</f>
        <v>16.4840003731691</v>
      </c>
      <c r="I328" s="88" t="n">
        <f aca="false">SUMIF($E$40:$E$219,2031,DK$40:DK$219)</f>
        <v>16.4840003731691</v>
      </c>
      <c r="J328" s="88" t="n">
        <f aca="false">SUMIF($E$40:$E$219,2032,DK$40:DK$219)</f>
        <v>16.4840003731691</v>
      </c>
      <c r="K328" s="88" t="n">
        <f aca="false">SUMIF($E$40:$E$219,2033,DK$40:DK$219)</f>
        <v>16.3452397611717</v>
      </c>
      <c r="L328" s="88" t="n">
        <f aca="false">SUMIF($E$40:$E$219,2034,DK$40:DK$219)</f>
        <v>14.9633361321019</v>
      </c>
      <c r="M328" s="88" t="n">
        <f aca="false">SUMIF($E$40:$E$219,2035,DK$40:DK$219)</f>
        <v>12.0417599589515</v>
      </c>
      <c r="N328" s="88" t="n">
        <f aca="false">SUMIF($E$40:$E$219,2036,DK$40:DK$219)</f>
        <v>11.931511801474</v>
      </c>
      <c r="O328" s="88" t="n">
        <f aca="false">SUMIF($E$40:$E$219,2037,DK$40:DK$219)</f>
        <v>11.7965528500793</v>
      </c>
      <c r="P328" s="88" t="n">
        <f aca="false">SUMIF($E$40:$E$219,2038,DK$40:DK$219)</f>
        <v>11.6863046926021</v>
      </c>
      <c r="Q328" s="88" t="n">
        <f aca="false">SUMIF($E$40:$E$219,2039,DK$40:DK$219)</f>
        <v>8.69629862860325</v>
      </c>
      <c r="R328" s="88" t="n">
        <f aca="false">SUMIF($E$40:$E$219,2040,DK$40:DK$219)</f>
        <v>0</v>
      </c>
    </row>
    <row r="329" customFormat="false" ht="15" hidden="false" customHeight="false" outlineLevel="0" collapsed="false">
      <c r="A329" s="0" t="s">
        <v>194</v>
      </c>
      <c r="C329" s="88" t="n">
        <f aca="false">SUMIF($E$40:$E$219,0,DQ$40:DQ$219)</f>
        <v>17.7483109623547</v>
      </c>
      <c r="D329" s="88" t="n">
        <f aca="false">SUMIF($E$40:$E$219,2026,DQ$40:DQ$219)</f>
        <v>0</v>
      </c>
      <c r="E329" s="88" t="n">
        <f aca="false">SUMIF($E$40:$E$219,2027,DQ$40:DQ$219)</f>
        <v>0</v>
      </c>
      <c r="F329" s="88" t="n">
        <f aca="false">SUMIF($E$40:$E$219,2028,DQ$40:DQ$219)</f>
        <v>0</v>
      </c>
      <c r="G329" s="88" t="n">
        <f aca="false">SUMIF($E$40:$E$219,2029,DQ$40:DQ$219)</f>
        <v>0</v>
      </c>
      <c r="H329" s="88" t="n">
        <f aca="false">SUMIF($E$40:$E$219,2030,DQ$40:DQ$219)</f>
        <v>0</v>
      </c>
      <c r="I329" s="88" t="n">
        <f aca="false">SUMIF($E$40:$E$219,2031,DQ$40:DQ$219)</f>
        <v>4.14710327455897</v>
      </c>
      <c r="J329" s="88" t="n">
        <f aca="false">SUMIF($E$40:$E$219,2032,DQ$40:DQ$219)</f>
        <v>11.5286873775539</v>
      </c>
      <c r="K329" s="88" t="n">
        <f aca="false">SUMIF($E$40:$E$219,2033,DQ$40:DQ$219)</f>
        <v>11.4316400783656</v>
      </c>
      <c r="L329" s="88" t="n">
        <f aca="false">SUMIF($E$40:$E$219,2034,DQ$40:DQ$219)</f>
        <v>10.4651553316541</v>
      </c>
      <c r="M329" s="88" t="n">
        <f aca="false">SUMIF($E$40:$E$219,2035,DQ$40:DQ$219)</f>
        <v>8.42184438846917</v>
      </c>
      <c r="N329" s="88" t="n">
        <f aca="false">SUMIF($E$40:$E$219,2036,DQ$40:DQ$219)</f>
        <v>8.34473831514126</v>
      </c>
      <c r="O329" s="88" t="n">
        <f aca="false">SUMIF($E$40:$E$219,2037,DQ$40:DQ$219)</f>
        <v>8.25034984606759</v>
      </c>
      <c r="P329" s="88" t="n">
        <f aca="false">SUMIF($E$40:$E$219,2038,DQ$40:DQ$219)</f>
        <v>8.17324377273994</v>
      </c>
      <c r="Q329" s="88" t="n">
        <f aca="false">SUMIF($E$40:$E$219,2039,DQ$40:DQ$219)</f>
        <v>6.08207388748957</v>
      </c>
      <c r="R329" s="88" t="n">
        <f aca="false">SUMIF($E$40:$E$219,2040,DQ$40:DQ$219)</f>
        <v>0</v>
      </c>
    </row>
    <row r="330" customFormat="false" ht="15" hidden="false" customHeight="false" outlineLevel="0" collapsed="false">
      <c r="A330" s="0" t="s">
        <v>196</v>
      </c>
      <c r="C330" s="88" t="n">
        <f aca="false">SUMIF($E$40:$E$219,0,DW$40:DW$219)</f>
        <v>5.21929540043476</v>
      </c>
      <c r="D330" s="88" t="n">
        <f aca="false">SUMIF($E$40:$E$219,2026,DW$40:DW$219)</f>
        <v>1.97446823397705</v>
      </c>
      <c r="E330" s="88" t="n">
        <f aca="false">SUMIF($E$40:$E$219,2027,DW$40:DW$219)</f>
        <v>9.69787293590819</v>
      </c>
      <c r="F330" s="88" t="n">
        <f aca="false">SUMIF($E$40:$E$219,2028,DW$40:DW$219)</f>
        <v>15.7478729359082</v>
      </c>
      <c r="G330" s="88" t="n">
        <f aca="false">SUMIF($E$40:$E$219,2029,DW$40:DW$219)</f>
        <v>15.5235213172871</v>
      </c>
      <c r="H330" s="88" t="n">
        <f aca="false">SUMIF($E$40:$E$219,2030,DW$40:DW$219)</f>
        <v>9.00046646142368</v>
      </c>
      <c r="I330" s="88" t="n">
        <f aca="false">SUMIF($E$40:$E$219,2031,DW$40:DW$219)</f>
        <v>9.00046646142369</v>
      </c>
      <c r="J330" s="88" t="n">
        <f aca="false">SUMIF($E$40:$E$219,2032,DW$40:DW$219)</f>
        <v>9.00046646142368</v>
      </c>
      <c r="K330" s="88" t="n">
        <f aca="false">SUMIF($E$40:$E$219,2033,DW$40:DW$219)</f>
        <v>8.92470146468889</v>
      </c>
      <c r="L330" s="88" t="n">
        <f aca="false">SUMIF($E$40:$E$219,2034,DW$40:DW$219)</f>
        <v>8.17016512734398</v>
      </c>
      <c r="M330" s="88" t="n">
        <f aca="false">SUMIF($E$40:$E$219,2035,DW$40:DW$219)</f>
        <v>6.5749486892434</v>
      </c>
      <c r="N330" s="88" t="n">
        <f aca="false">SUMIF($E$40:$E$219,2036,DW$40:DW$219)</f>
        <v>6.51475184252263</v>
      </c>
      <c r="O330" s="88" t="n">
        <f aca="false">SUMIF($E$40:$E$219,2037,DW$40:DW$219)</f>
        <v>6.441062599123</v>
      </c>
      <c r="P330" s="88" t="n">
        <f aca="false">SUMIF($E$40:$E$219,2038,DW$40:DW$219)</f>
        <v>6.3808657524022</v>
      </c>
      <c r="Q330" s="88" t="n">
        <f aca="false">SUMIF($E$40:$E$219,2039,DW$40:DW$219)</f>
        <v>4.74828575426821</v>
      </c>
      <c r="R330" s="88" t="n">
        <f aca="false">SUMIF($E$40:$E$219,2040,DW$40:DW$219)</f>
        <v>0</v>
      </c>
    </row>
    <row r="331" customFormat="false" ht="15" hidden="false" customHeight="false" outlineLevel="0" collapsed="false">
      <c r="A331" s="0" t="s">
        <v>198</v>
      </c>
      <c r="C331" s="88" t="n">
        <f aca="false">SUMIF($E$40:$E$219,0,EC$40:EC$219)</f>
        <v>35.0579690141817</v>
      </c>
      <c r="D331" s="88" t="n">
        <f aca="false">SUMIF($E$40:$E$219,2026,EC$40:EC$219)</f>
        <v>0</v>
      </c>
      <c r="E331" s="88" t="n">
        <f aca="false">SUMIF($E$40:$E$219,2027,EC$40:EC$219)</f>
        <v>0</v>
      </c>
      <c r="F331" s="88" t="n">
        <f aca="false">SUMIF($E$40:$E$219,2028,EC$40:EC$219)</f>
        <v>0</v>
      </c>
      <c r="G331" s="88" t="n">
        <f aca="false">SUMIF($E$40:$E$219,2029,EC$40:EC$219)</f>
        <v>0</v>
      </c>
      <c r="H331" s="88" t="n">
        <f aca="false">SUMIF($E$40:$E$219,2030,EC$40:EC$219)</f>
        <v>0</v>
      </c>
      <c r="I331" s="88" t="n">
        <f aca="false">SUMIF($E$40:$E$219,2031,EC$40:EC$219)</f>
        <v>0</v>
      </c>
      <c r="J331" s="88" t="n">
        <f aca="false">SUMIF($E$40:$E$219,2032,EC$40:EC$219)</f>
        <v>11.3073514320368</v>
      </c>
      <c r="K331" s="88" t="n">
        <f aca="false">SUMIF($E$40:$E$219,2033,EC$40:EC$219)</f>
        <v>14.3396888702305</v>
      </c>
      <c r="L331" s="88" t="n">
        <f aca="false">SUMIF($E$40:$E$219,2034,EC$40:EC$219)</f>
        <v>13.1273439686539</v>
      </c>
      <c r="M331" s="88" t="n">
        <f aca="false">SUMIF($E$40:$E$219,2035,EC$40:EC$219)</f>
        <v>10.564243399571</v>
      </c>
      <c r="N331" s="88" t="n">
        <f aca="false">SUMIF($E$40:$E$219,2036,EC$40:EC$219)</f>
        <v>10.4675226233791</v>
      </c>
      <c r="O331" s="88" t="n">
        <f aca="false">SUMIF($E$40:$E$219,2037,EC$40:EC$219)</f>
        <v>10.3491230525235</v>
      </c>
      <c r="P331" s="88" t="n">
        <f aca="false">SUMIF($E$40:$E$219,2038,EC$40:EC$219)</f>
        <v>10.2524022763319</v>
      </c>
      <c r="Q331" s="88" t="n">
        <f aca="false">SUMIF($E$40:$E$219,2039,EC$40:EC$219)</f>
        <v>7.62926812202636</v>
      </c>
      <c r="R331" s="88" t="n">
        <f aca="false">SUMIF($E$40:$E$219,2040,EC$40:EC$219)</f>
        <v>0</v>
      </c>
    </row>
    <row r="332" customFormat="false" ht="15" hidden="false" customHeight="false" outlineLevel="0" collapsed="false">
      <c r="A332" s="0" t="s">
        <v>200</v>
      </c>
      <c r="C332" s="88" t="n">
        <f aca="false">SUMIF($E$40:$E$219,0,EI$40:EI$219)</f>
        <v>21.574134777958</v>
      </c>
      <c r="D332" s="88" t="n">
        <f aca="false">SUMIF($E$40:$E$219,2026,EI$40:EI$219)</f>
        <v>4.37475510775259</v>
      </c>
      <c r="E332" s="88" t="n">
        <f aca="false">SUMIF($E$40:$E$219,2027,EI$40:EI$219)</f>
        <v>17.4990204310104</v>
      </c>
      <c r="F332" s="88" t="n">
        <f aca="false">SUMIF($E$40:$E$219,2028,EI$40:EI$219)</f>
        <v>17.4990204310104</v>
      </c>
      <c r="G332" s="88" t="n">
        <f aca="false">SUMIF($E$40:$E$219,2029,EI$40:EI$219)</f>
        <v>15.3490997294523</v>
      </c>
      <c r="H332" s="88" t="n">
        <f aca="false">SUMIF($E$40:$E$219,2030,EI$40:EI$219)</f>
        <v>8.89933762477841</v>
      </c>
      <c r="I332" s="88" t="n">
        <f aca="false">SUMIF($E$40:$E$219,2031,EI$40:EI$219)</f>
        <v>8.89933762477841</v>
      </c>
      <c r="J332" s="88" t="n">
        <f aca="false">SUMIF($E$40:$E$219,2032,EI$40:EI$219)</f>
        <v>8.89933762477841</v>
      </c>
      <c r="K332" s="88" t="n">
        <f aca="false">SUMIF($E$40:$E$219,2033,EI$40:EI$219)</f>
        <v>8.82442392014178</v>
      </c>
      <c r="L332" s="88" t="n">
        <f aca="false">SUMIF($E$40:$E$219,2034,EI$40:EI$219)</f>
        <v>8.07836551917154</v>
      </c>
      <c r="M332" s="88" t="n">
        <f aca="false">SUMIF($E$40:$E$219,2035,EI$40:EI$219)</f>
        <v>6.50107286127435</v>
      </c>
      <c r="N332" s="88" t="n">
        <f aca="false">SUMIF($E$40:$E$219,2036,EI$40:EI$219)</f>
        <v>6.44155238361783</v>
      </c>
      <c r="O332" s="88" t="n">
        <f aca="false">SUMIF($E$40:$E$219,2037,EI$40:EI$219)</f>
        <v>6.36869110924525</v>
      </c>
      <c r="P332" s="88" t="n">
        <f aca="false">SUMIF($E$40:$E$219,2038,EI$40:EI$219)</f>
        <v>6.30917063158884</v>
      </c>
      <c r="Q332" s="88" t="n">
        <f aca="false">SUMIF($E$40:$E$219,2039,EI$40:EI$219)</f>
        <v>4.69493422893916</v>
      </c>
      <c r="R332" s="88" t="n">
        <f aca="false">SUMIF($E$40:$E$219,2040,EI$40:EI$219)</f>
        <v>0</v>
      </c>
    </row>
    <row r="333" customFormat="false" ht="15" hidden="false" customHeight="false" outlineLevel="0" collapsed="false">
      <c r="A333" s="0" t="s">
        <v>202</v>
      </c>
      <c r="C333" s="88" t="n">
        <f aca="false">SUMIF($E$40:$E$219,0,EO$40:EO$219)</f>
        <v>13.4579897174011</v>
      </c>
      <c r="D333" s="88" t="n">
        <f aca="false">SUMIF($E$40:$E$219,2026,EO$40:EO$219)</f>
        <v>5.56787013713966</v>
      </c>
      <c r="E333" s="88" t="n">
        <f aca="false">SUMIF($E$40:$E$219,2027,EO$40:EO$219)</f>
        <v>22.2714805485586</v>
      </c>
      <c r="F333" s="88" t="n">
        <f aca="false">SUMIF($E$40:$E$219,2028,EO$40:EO$219)</f>
        <v>22.2714805485587</v>
      </c>
      <c r="G333" s="88" t="n">
        <f aca="false">SUMIF($E$40:$E$219,2029,EO$40:EO$219)</f>
        <v>19.5352178374849</v>
      </c>
      <c r="H333" s="88" t="n">
        <f aca="false">SUMIF($E$40:$E$219,2030,EO$40:EO$219)</f>
        <v>11.3264297042634</v>
      </c>
      <c r="I333" s="88" t="n">
        <f aca="false">SUMIF($E$40:$E$219,2031,EO$40:EO$219)</f>
        <v>11.3264297042634</v>
      </c>
      <c r="J333" s="88" t="n">
        <f aca="false">SUMIF($E$40:$E$219,2032,EO$40:EO$219)</f>
        <v>11.3264297042634</v>
      </c>
      <c r="K333" s="88" t="n">
        <f aca="false">SUMIF($E$40:$E$219,2033,EO$40:EO$219)</f>
        <v>11.2310849892714</v>
      </c>
      <c r="L333" s="88" t="n">
        <f aca="false">SUMIF($E$40:$E$219,2034,EO$40:EO$219)</f>
        <v>10.2815561153092</v>
      </c>
      <c r="M333" s="88" t="n">
        <f aca="false">SUMIF($E$40:$E$219,2035,EO$40:EO$219)</f>
        <v>8.27409273253093</v>
      </c>
      <c r="N333" s="88" t="n">
        <f aca="false">SUMIF($E$40:$E$219,2036,EO$40:EO$219)</f>
        <v>8.19833939733198</v>
      </c>
      <c r="O333" s="88" t="n">
        <f aca="false">SUMIF($E$40:$E$219,2037,EO$40:EO$219)</f>
        <v>8.10560686631226</v>
      </c>
      <c r="P333" s="88" t="n">
        <f aca="false">SUMIF($E$40:$E$219,2038,EO$40:EO$219)</f>
        <v>8.02985353111305</v>
      </c>
      <c r="Q333" s="88" t="n">
        <f aca="false">SUMIF($E$40:$E$219,2039,EO$40:EO$219)</f>
        <v>5.97537083683173</v>
      </c>
      <c r="R333" s="88" t="n">
        <f aca="false">SUMIF($E$40:$E$219,2040,EO$40:EO$219)</f>
        <v>0</v>
      </c>
    </row>
    <row r="334" customFormat="false" ht="15" hidden="false" customHeight="false" outlineLevel="0" collapsed="false">
      <c r="A334" s="0" t="s">
        <v>204</v>
      </c>
      <c r="C334" s="88" t="n">
        <f aca="false">SUMIF($E$40:$E$219,0,EU$40:EU$219)</f>
        <v>35.770860218764</v>
      </c>
      <c r="D334" s="88" t="n">
        <f aca="false">SUMIF($E$40:$E$219,2026,EU$40:EU$219)</f>
        <v>7.92881332213827</v>
      </c>
      <c r="E334" s="88" t="n">
        <f aca="false">SUMIF($E$40:$E$219,2027,EU$40:EU$219)</f>
        <v>31.790253288553</v>
      </c>
      <c r="F334" s="88" t="n">
        <f aca="false">SUMIF($E$40:$E$219,2028,EU$40:EU$219)</f>
        <v>32.015253288553</v>
      </c>
      <c r="G334" s="88" t="n">
        <f aca="false">SUMIF($E$40:$E$219,2029,EU$40:EU$219)</f>
        <v>28.0818756413844</v>
      </c>
      <c r="H334" s="88" t="n">
        <f aca="false">SUMIF($E$40:$E$219,2030,EU$40:EU$219)</f>
        <v>16.2817426998786</v>
      </c>
      <c r="I334" s="88" t="n">
        <f aca="false">SUMIF($E$40:$E$219,2031,EU$40:EU$219)</f>
        <v>16.2817426998786</v>
      </c>
      <c r="J334" s="88" t="n">
        <f aca="false">SUMIF($E$40:$E$219,2032,EU$40:EU$219)</f>
        <v>16.2817426998786</v>
      </c>
      <c r="K334" s="88" t="n">
        <f aca="false">SUMIF($E$40:$E$219,2033,EU$40:EU$219)</f>
        <v>16.1446846720775</v>
      </c>
      <c r="L334" s="88" t="n">
        <f aca="false">SUMIF($E$40:$E$219,2034,EU$40:EU$219)</f>
        <v>14.779736915757</v>
      </c>
      <c r="M334" s="88" t="n">
        <f aca="false">SUMIF($E$40:$E$219,2035,EU$40:EU$219)</f>
        <v>11.8940083030132</v>
      </c>
      <c r="N334" s="88" t="n">
        <f aca="false">SUMIF($E$40:$E$219,2036,EU$40:EU$219)</f>
        <v>11.7851128836645</v>
      </c>
      <c r="O334" s="88" t="n">
        <f aca="false">SUMIF($E$40:$E$219,2037,EU$40:EU$219)</f>
        <v>11.6518098703239</v>
      </c>
      <c r="P334" s="88" t="n">
        <f aca="false">SUMIF($E$40:$E$219,2038,EU$40:EU$219)</f>
        <v>11.542914450975</v>
      </c>
      <c r="Q334" s="88" t="n">
        <f aca="false">SUMIF($E$40:$E$219,2039,EU$40:EU$219)</f>
        <v>8.58959557794566</v>
      </c>
      <c r="R334" s="88" t="n">
        <f aca="false">SUMIF($E$40:$E$219,2040,EU$40:EU$219)</f>
        <v>0</v>
      </c>
    </row>
    <row r="335" customFormat="false" ht="15" hidden="false" customHeight="false" outlineLevel="0" collapsed="false">
      <c r="A335" s="0" t="s">
        <v>206</v>
      </c>
      <c r="C335" s="88" t="n">
        <f aca="false">SUMIF($E$40:$E$219,0,FA$40:FA$219)</f>
        <v>0</v>
      </c>
      <c r="D335" s="88" t="n">
        <f aca="false">SUMIF($E$40:$E$219,2026,FA$40:FA$219)</f>
        <v>0</v>
      </c>
      <c r="E335" s="88" t="n">
        <f aca="false">SUMIF($E$40:$E$219,2027,FA$40:FA$219)</f>
        <v>0</v>
      </c>
      <c r="F335" s="88" t="n">
        <f aca="false">SUMIF($E$40:$E$219,2028,FA$40:FA$219)</f>
        <v>0</v>
      </c>
      <c r="G335" s="88" t="n">
        <f aca="false">SUMIF($E$40:$E$219,2029,FA$40:FA$219)</f>
        <v>0</v>
      </c>
      <c r="H335" s="88" t="n">
        <f aca="false">SUMIF($E$40:$E$219,2030,FA$40:FA$219)</f>
        <v>0</v>
      </c>
      <c r="I335" s="88" t="n">
        <f aca="false">SUMIF($E$40:$E$219,2031,FA$40:FA$219)</f>
        <v>36.7032078488206</v>
      </c>
      <c r="J335" s="88" t="n">
        <f aca="false">SUMIF($E$40:$E$219,2032,FA$40:FA$219)</f>
        <v>40.451534658084</v>
      </c>
      <c r="K335" s="88" t="n">
        <f aca="false">SUMIF($E$40:$E$219,2033,FA$40:FA$219)</f>
        <v>40.1110178188266</v>
      </c>
      <c r="L335" s="88" t="n">
        <f aca="false">SUMIF($E$40:$E$219,2034,FA$40:FA$219)</f>
        <v>36.7198432689618</v>
      </c>
      <c r="M335" s="88" t="n">
        <f aca="false">SUMIF($E$40:$E$219,2035,FA$40:FA$219)</f>
        <v>29.5503311876108</v>
      </c>
      <c r="N335" s="88" t="n">
        <f aca="false">SUMIF($E$40:$E$219,2036,FA$40:FA$219)</f>
        <v>29.2797835618994</v>
      </c>
      <c r="O335" s="88" t="n">
        <f aca="false">SUMIF($E$40:$E$219,2037,FA$40:FA$219)</f>
        <v>28.9485959511145</v>
      </c>
      <c r="P335" s="88" t="n">
        <f aca="false">SUMIF($E$40:$E$219,2038,FA$40:FA$219)</f>
        <v>28.6780483254038</v>
      </c>
      <c r="Q335" s="88" t="n">
        <f aca="false">SUMIF($E$40:$E$219,2039,FA$40:FA$219)</f>
        <v>21.3406101315418</v>
      </c>
      <c r="R335" s="88" t="n">
        <f aca="false">SUMIF($E$40:$E$219,2040,FA$40:FA$219)</f>
        <v>0</v>
      </c>
    </row>
    <row r="336" customFormat="false" ht="15" hidden="false" customHeight="false" outlineLevel="0" collapsed="false">
      <c r="A336" s="0" t="s">
        <v>208</v>
      </c>
      <c r="C336" s="88" t="n">
        <f aca="false">SUMIF($E$40:$E$219,0,FG$40:FG$219)</f>
        <v>407.366343466409</v>
      </c>
      <c r="D336" s="88" t="n">
        <f aca="false">SUMIF($E$40:$E$219,2026,FG$40:FG$219)</f>
        <v>94.5242863140218</v>
      </c>
      <c r="E336" s="88" t="n">
        <f aca="false">SUMIF($E$40:$E$219,2027,FG$40:FG$219)</f>
        <v>381.497145256087</v>
      </c>
      <c r="F336" s="88" t="n">
        <f aca="false">SUMIF($E$40:$E$219,2028,FG$40:FG$219)</f>
        <v>397.872145256087</v>
      </c>
      <c r="G336" s="88" t="n">
        <f aca="false">SUMIF($E$40:$E$219,2029,FG$40:FG$219)</f>
        <v>365.238804925832</v>
      </c>
      <c r="H336" s="88" t="n">
        <f aca="false">SUMIF($E$40:$E$219,2030,FG$40:FG$219)</f>
        <v>211.763783935067</v>
      </c>
      <c r="I336" s="88" t="n">
        <f aca="false">SUMIF($E$40:$E$219,2031,FG$40:FG$219)</f>
        <v>211.76378393507</v>
      </c>
      <c r="J336" s="88" t="n">
        <f aca="false">SUMIF($E$40:$E$219,2032,FG$40:FG$219)</f>
        <v>211.76378393507</v>
      </c>
      <c r="K336" s="88" t="n">
        <f aca="false">SUMIF($E$40:$E$219,2033,FG$40:FG$219)</f>
        <v>209.981178281557</v>
      </c>
      <c r="L336" s="88" t="n">
        <f aca="false">SUMIF($E$40:$E$219,2034,FG$40:FG$219)</f>
        <v>192.228379513013</v>
      </c>
      <c r="M336" s="88" t="n">
        <f aca="false">SUMIF($E$40:$E$219,2035,FG$40:FG$219)</f>
        <v>154.695983767145</v>
      </c>
      <c r="N336" s="88" t="n">
        <f aca="false">SUMIF($E$40:$E$219,2036,FG$40:FG$219)</f>
        <v>153.279666946544</v>
      </c>
      <c r="O336" s="88" t="n">
        <f aca="false">SUMIF($E$40:$E$219,2037,FG$40:FG$219)</f>
        <v>151.545899804085</v>
      </c>
      <c r="P336" s="88" t="n">
        <f aca="false">SUMIF($E$40:$E$219,2038,FG$40:FG$219)</f>
        <v>150.129582983489</v>
      </c>
      <c r="Q336" s="88" t="n">
        <f aca="false">SUMIF($E$40:$E$219,2039,FG$40:FG$219)</f>
        <v>111.718094038621</v>
      </c>
      <c r="R336" s="88" t="n">
        <f aca="false">SUMIF($E$40:$E$219,2040,FG$40:FG$219)</f>
        <v>0</v>
      </c>
    </row>
    <row r="339" customFormat="false" ht="15" hidden="false" customHeight="false" outlineLevel="0" collapsed="false">
      <c r="A339" s="18" t="s">
        <v>379</v>
      </c>
      <c r="C339" s="18" t="s">
        <v>1105</v>
      </c>
      <c r="D339" s="18" t="n">
        <v>2026</v>
      </c>
      <c r="E339" s="18" t="n">
        <v>2027</v>
      </c>
      <c r="F339" s="18" t="n">
        <v>2028</v>
      </c>
      <c r="G339" s="18" t="n">
        <v>2029</v>
      </c>
      <c r="H339" s="18" t="n">
        <v>2030</v>
      </c>
      <c r="I339" s="18" t="n">
        <v>2031</v>
      </c>
      <c r="J339" s="18" t="n">
        <v>2032</v>
      </c>
      <c r="K339" s="18" t="n">
        <v>2033</v>
      </c>
      <c r="L339" s="18" t="n">
        <v>2034</v>
      </c>
      <c r="M339" s="18" t="n">
        <v>2035</v>
      </c>
      <c r="N339" s="18" t="n">
        <v>2036</v>
      </c>
      <c r="O339" s="18" t="n">
        <v>2037</v>
      </c>
      <c r="P339" s="18" t="n">
        <v>2038</v>
      </c>
      <c r="Q339" s="18" t="n">
        <v>2039</v>
      </c>
      <c r="R339" s="18" t="n">
        <v>2040</v>
      </c>
    </row>
    <row r="340" customFormat="false" ht="15" hidden="false" customHeight="false" outlineLevel="0" collapsed="false">
      <c r="A340" s="0" t="s">
        <v>210</v>
      </c>
      <c r="C340" s="88" t="n">
        <f aca="false">SUMIF($F$40:$F$219,0,M$40:M$219)*$AO$10</f>
        <v>7283.03263169618</v>
      </c>
      <c r="D340" s="88" t="n">
        <f aca="false">SUMIF($F$40:$F$219,2026,M$40:M$219)*$AO$10</f>
        <v>703.750000000001</v>
      </c>
      <c r="E340" s="88" t="n">
        <f aca="false">SUMIF($F$40:$F$219,2027,M$40:M$219)*$AO$10</f>
        <v>3600.15243902439</v>
      </c>
      <c r="F340" s="88" t="n">
        <f aca="false">SUMIF($F$40:$F$219,2028,M$40:M$219)*$AO$10</f>
        <v>2156.86991869919</v>
      </c>
      <c r="G340" s="88" t="n">
        <f aca="false">SUMIF($F$40:$F$219,2029,M$40:M$219)*$AO$10</f>
        <v>1844.51219512197</v>
      </c>
      <c r="H340" s="88" t="n">
        <f aca="false">SUMIF($F$40:$F$219,2030,M$40:M$219)*$AO$10</f>
        <v>2643.90243902441</v>
      </c>
      <c r="I340" s="88" t="n">
        <f aca="false">SUMIF($F$40:$F$219,2031,M$40:M$219)*$AO$10</f>
        <v>2643.90243902441</v>
      </c>
      <c r="J340" s="88" t="n">
        <f aca="false">SUMIF($F$40:$F$219,2032,M$40:M$219)*$AO$10</f>
        <v>2591.97154471544</v>
      </c>
      <c r="K340" s="88" t="n">
        <f aca="false">SUMIF($F$40:$F$219,2033,M$40:M$219)*$AO$10</f>
        <v>2193.49593495935</v>
      </c>
      <c r="L340" s="88" t="n">
        <f aca="false">SUMIF($F$40:$F$219,2034,M$40:M$219)*$AO$10</f>
        <v>1926.11788617887</v>
      </c>
      <c r="M340" s="88" t="n">
        <f aca="false">SUMIF($F$40:$F$219,2035,M$40:M$219)*$AO$10</f>
        <v>1905.99593495935</v>
      </c>
      <c r="N340" s="88" t="n">
        <f aca="false">SUMIF($F$40:$F$219,2036,M$40:M$219)*$AO$10</f>
        <v>1886.38211382113</v>
      </c>
      <c r="O340" s="88" t="n">
        <f aca="false">SUMIF($F$40:$F$219,2037,M$40:M$219)*$AO$10</f>
        <v>1867.88617886179</v>
      </c>
      <c r="P340" s="88" t="n">
        <f aca="false">SUMIF($F$40:$F$219,2038,M$40:M$219)*$AO$10</f>
        <v>774.898373983755</v>
      </c>
      <c r="Q340" s="88" t="n">
        <f aca="false">SUMIF($F$40:$F$219,2039,M$40:M$219)*$AO$10</f>
        <v>0</v>
      </c>
      <c r="R340" s="88" t="n">
        <f aca="false">SUMIF($F$40:$F$219,2040,M$40:M$219)*$AO$10</f>
        <v>0</v>
      </c>
    </row>
    <row r="341" customFormat="false" ht="15" hidden="false" customHeight="false" outlineLevel="0" collapsed="false">
      <c r="A341" s="0" t="s">
        <v>157</v>
      </c>
      <c r="C341" s="88" t="n">
        <f aca="false">SUMIF($F$40:$F$219,0,S$40:S$219)*$AO$10</f>
        <v>94.462114995896</v>
      </c>
      <c r="D341" s="88" t="n">
        <f aca="false">SUMIF($F$40:$F$219,2026,S$40:S$219)*$AO$10</f>
        <v>12.4209631384878</v>
      </c>
      <c r="E341" s="88" t="n">
        <f aca="false">SUMIF($F$40:$F$219,2027,S$40:S$219)*$AO$10</f>
        <v>52.2448281637075</v>
      </c>
      <c r="F341" s="88" t="n">
        <f aca="false">SUMIF($F$40:$F$219,2028,S$40:S$219)*$AO$10</f>
        <v>69.3589846673667</v>
      </c>
      <c r="G341" s="88" t="n">
        <f aca="false">SUMIF($F$40:$F$219,2029,S$40:S$219)*$AO$10</f>
        <v>80.2056237495387</v>
      </c>
      <c r="H341" s="88" t="n">
        <f aca="false">SUMIF($F$40:$F$219,2030,S$40:S$219)*$AO$10</f>
        <v>80.1548107414086</v>
      </c>
      <c r="I341" s="88" t="n">
        <f aca="false">SUMIF($F$40:$F$219,2031,S$40:S$219)*$AO$10</f>
        <v>80.1548107414086</v>
      </c>
      <c r="J341" s="88" t="n">
        <f aca="false">SUMIF($F$40:$F$219,2032,S$40:S$219)*$AO$10</f>
        <v>78.5804292727414</v>
      </c>
      <c r="K341" s="88" t="n">
        <f aca="false">SUMIF($F$40:$F$219,2033,S$40:S$219)*$AO$10</f>
        <v>66.4999014084633</v>
      </c>
      <c r="L341" s="88" t="n">
        <f aca="false">SUMIF($F$40:$F$219,2034,S$40:S$219)*$AO$10</f>
        <v>58.3938394827001</v>
      </c>
      <c r="M341" s="88" t="n">
        <f aca="false">SUMIF($F$40:$F$219,2035,S$40:S$219)*$AO$10</f>
        <v>57.7838051758578</v>
      </c>
      <c r="N341" s="88" t="n">
        <f aca="false">SUMIF($F$40:$F$219,2036,S$40:S$219)*$AO$10</f>
        <v>57.1891757757547</v>
      </c>
      <c r="O341" s="88" t="n">
        <f aca="false">SUMIF($F$40:$F$219,2037,S$40:S$219)*$AO$10</f>
        <v>56.6284371704755</v>
      </c>
      <c r="P341" s="88" t="n">
        <f aca="false">SUMIF($F$40:$F$219,2038,S$40:S$219)*$AO$10</f>
        <v>23.4924827761084</v>
      </c>
      <c r="Q341" s="88" t="n">
        <f aca="false">SUMIF($F$40:$F$219,2039,S$40:S$219)*$AO$10</f>
        <v>0</v>
      </c>
      <c r="R341" s="88" t="n">
        <f aca="false">SUMIF($F$40:$F$219,2040,S$40:S$219)*$AO$10</f>
        <v>0</v>
      </c>
    </row>
    <row r="342" customFormat="false" ht="15" hidden="false" customHeight="false" outlineLevel="0" collapsed="false">
      <c r="A342" s="0" t="s">
        <v>160</v>
      </c>
      <c r="C342" s="88" t="n">
        <f aca="false">SUMIF($F$40:$F$219,0,Y$40:Y$219)*$AO$10</f>
        <v>656.847514169108</v>
      </c>
      <c r="D342" s="88" t="n">
        <f aca="false">SUMIF($F$40:$F$219,2026,Y$40:Y$219)*$AO$10</f>
        <v>67.4332613241518</v>
      </c>
      <c r="E342" s="88" t="n">
        <f aca="false">SUMIF($F$40:$F$219,2027,Y$40:Y$219)*$AO$10</f>
        <v>412.934264808803</v>
      </c>
      <c r="F342" s="88" t="n">
        <f aca="false">SUMIF($F$40:$F$219,2028,Y$40:Y$219)*$AO$10</f>
        <v>404.64143194354</v>
      </c>
      <c r="G342" s="88" t="n">
        <f aca="false">SUMIF($F$40:$F$219,2029,Y$40:Y$219)*$AO$10</f>
        <v>325.727271418412</v>
      </c>
      <c r="H342" s="88" t="n">
        <f aca="false">SUMIF($F$40:$F$219,2030,Y$40:Y$219)*$AO$10</f>
        <v>325.778084426543</v>
      </c>
      <c r="I342" s="88" t="n">
        <f aca="false">SUMIF($F$40:$F$219,2031,Y$40:Y$219)*$AO$10</f>
        <v>325.778084426543</v>
      </c>
      <c r="J342" s="88" t="n">
        <f aca="false">SUMIF($F$40:$F$219,2032,Y$40:Y$219)*$AO$10</f>
        <v>319.379229831603</v>
      </c>
      <c r="K342" s="88" t="n">
        <f aca="false">SUMIF($F$40:$F$219,2033,Y$40:Y$219)*$AO$10</f>
        <v>270.279603869252</v>
      </c>
      <c r="L342" s="88" t="n">
        <f aca="false">SUMIF($F$40:$F$219,2034,Y$40:Y$219)*$AO$10</f>
        <v>237.333642148535</v>
      </c>
      <c r="M342" s="88" t="n">
        <f aca="false">SUMIF($F$40:$F$219,2035,Y$40:Y$219)*$AO$10</f>
        <v>234.854242520753</v>
      </c>
      <c r="N342" s="88" t="n">
        <f aca="false">SUMIF($F$40:$F$219,2036,Y$40:Y$219)*$AO$10</f>
        <v>232.437453994675</v>
      </c>
      <c r="O342" s="88" t="n">
        <f aca="false">SUMIF($F$40:$F$219,2037,Y$40:Y$219)*$AO$10</f>
        <v>230.158409892367</v>
      </c>
      <c r="P342" s="88" t="n">
        <f aca="false">SUMIF($F$40:$F$219,2038,Y$40:Y$219)*$AO$10</f>
        <v>95.4819301104092</v>
      </c>
      <c r="Q342" s="88" t="n">
        <f aca="false">SUMIF($F$40:$F$219,2039,Y$40:Y$219)*$AO$10</f>
        <v>0</v>
      </c>
      <c r="R342" s="88" t="n">
        <f aca="false">SUMIF($F$40:$F$219,2040,Y$40:Y$219)*$AO$10</f>
        <v>0</v>
      </c>
    </row>
    <row r="343" customFormat="false" ht="15" hidden="false" customHeight="false" outlineLevel="0" collapsed="false">
      <c r="A343" s="0" t="s">
        <v>162</v>
      </c>
      <c r="C343" s="88" t="n">
        <f aca="false">SUMIF($F$40:$F$219,0,AE$40:AE$219)*$AO$10</f>
        <v>994.273118521272</v>
      </c>
      <c r="D343" s="88" t="n">
        <f aca="false">SUMIF($F$40:$F$219,2026,AE$40:AE$219)*$AO$10</f>
        <v>45.6107687180204</v>
      </c>
      <c r="E343" s="88" t="n">
        <f aca="false">SUMIF($F$40:$F$219,2027,AE$40:AE$219)*$AO$10</f>
        <v>375.227627717609</v>
      </c>
      <c r="F343" s="88" t="n">
        <f aca="false">SUMIF($F$40:$F$219,2028,AE$40:AE$219)*$AO$10</f>
        <v>213.721199895887</v>
      </c>
      <c r="G343" s="88" t="n">
        <f aca="false">SUMIF($F$40:$F$219,2029,AE$40:AE$219)*$AO$10</f>
        <v>0</v>
      </c>
      <c r="H343" s="88" t="n">
        <f aca="false">SUMIF($F$40:$F$219,2030,AE$40:AE$219)*$AO$10</f>
        <v>0</v>
      </c>
      <c r="I343" s="88" t="n">
        <f aca="false">SUMIF($F$40:$F$219,2031,AE$40:AE$219)*$AO$10</f>
        <v>297.552327594261</v>
      </c>
      <c r="J343" s="88" t="n">
        <f aca="false">SUMIF($F$40:$F$219,2032,AE$40:AE$219)*$AO$10</f>
        <v>378.917493696522</v>
      </c>
      <c r="K343" s="88" t="n">
        <f aca="false">SUMIF($F$40:$F$219,2033,AE$40:AE$219)*$AO$10</f>
        <v>320.664778825555</v>
      </c>
      <c r="L343" s="88" t="n">
        <f aca="false">SUMIF($F$40:$F$219,2034,AE$40:AE$219)*$AO$10</f>
        <v>281.577073437768</v>
      </c>
      <c r="M343" s="88" t="n">
        <f aca="false">SUMIF($F$40:$F$219,2035,AE$40:AE$219)*$AO$10</f>
        <v>278.635467331043</v>
      </c>
      <c r="N343" s="88" t="n">
        <f aca="false">SUMIF($F$40:$F$219,2036,AE$40:AE$219)*$AO$10</f>
        <v>275.768144206818</v>
      </c>
      <c r="O343" s="88" t="n">
        <f aca="false">SUMIF($F$40:$F$219,2037,AE$40:AE$219)*$AO$10</f>
        <v>273.064243644078</v>
      </c>
      <c r="P343" s="88" t="n">
        <f aca="false">SUMIF($F$40:$F$219,2038,AE$40:AE$219)*$AO$10</f>
        <v>113.281548301746</v>
      </c>
      <c r="Q343" s="88" t="n">
        <f aca="false">SUMIF($F$40:$F$219,2039,AE$40:AE$219)*$AO$10</f>
        <v>0</v>
      </c>
      <c r="R343" s="88" t="n">
        <f aca="false">SUMIF($F$40:$F$219,2040,AE$40:AE$219)*$AO$10</f>
        <v>0</v>
      </c>
    </row>
    <row r="344" customFormat="false" ht="15" hidden="false" customHeight="false" outlineLevel="0" collapsed="false">
      <c r="A344" s="0" t="s">
        <v>164</v>
      </c>
      <c r="C344" s="88" t="n">
        <f aca="false">SUMIF($F$40:$F$219,0,AK$40:AK$219)*$AO$10</f>
        <v>1172.23182195481</v>
      </c>
      <c r="D344" s="88" t="n">
        <f aca="false">SUMIF($F$40:$F$219,2026,AK$40:AK$219)*$AO$10</f>
        <v>86.1142644880244</v>
      </c>
      <c r="E344" s="88" t="n">
        <f aca="false">SUMIF($F$40:$F$219,2027,AK$40:AK$219)*$AO$10</f>
        <v>476.916407545593</v>
      </c>
      <c r="F344" s="88" t="n">
        <f aca="false">SUMIF($F$40:$F$219,2028,AK$40:AK$219)*$AO$10</f>
        <v>325.361933354945</v>
      </c>
      <c r="G344" s="88" t="n">
        <f aca="false">SUMIF($F$40:$F$219,2029,AK$40:AK$219)*$AO$10</f>
        <v>258.15548547196</v>
      </c>
      <c r="H344" s="88" t="n">
        <f aca="false">SUMIF($F$40:$F$219,2030,AK$40:AK$219)*$AO$10</f>
        <v>335.746948886594</v>
      </c>
      <c r="I344" s="88" t="n">
        <f aca="false">SUMIF($F$40:$F$219,2031,AK$40:AK$219)*$AO$10</f>
        <v>335.746948886594</v>
      </c>
      <c r="J344" s="88" t="n">
        <f aca="false">SUMIF($F$40:$F$219,2032,AK$40:AK$219)*$AO$10</f>
        <v>329.152288259248</v>
      </c>
      <c r="K344" s="88" t="n">
        <f aca="false">SUMIF($F$40:$F$219,2033,AK$40:AK$219)*$AO$10</f>
        <v>278.550205441586</v>
      </c>
      <c r="L344" s="88" t="n">
        <f aca="false">SUMIF($F$40:$F$219,2034,AK$40:AK$219)*$AO$10</f>
        <v>244.596091722312</v>
      </c>
      <c r="M344" s="88" t="n">
        <f aca="false">SUMIF($F$40:$F$219,2035,AK$40:AK$219)*$AO$10</f>
        <v>242.040822046746</v>
      </c>
      <c r="N344" s="88" t="n">
        <f aca="false">SUMIF($F$40:$F$219,2036,AK$40:AK$219)*$AO$10</f>
        <v>239.550079383186</v>
      </c>
      <c r="O344" s="88" t="n">
        <f aca="false">SUMIF($F$40:$F$219,2037,AK$40:AK$219)*$AO$10</f>
        <v>237.201296146052</v>
      </c>
      <c r="P344" s="88" t="n">
        <f aca="false">SUMIF($F$40:$F$219,2038,AK$40:AK$219)*$AO$10</f>
        <v>98.4036933141286</v>
      </c>
      <c r="Q344" s="88" t="n">
        <f aca="false">SUMIF($F$40:$F$219,2039,AK$40:AK$219)*$AO$10</f>
        <v>0</v>
      </c>
      <c r="R344" s="88" t="n">
        <f aca="false">SUMIF($F$40:$F$219,2040,AK$40:AK$219)*$AO$10</f>
        <v>0</v>
      </c>
    </row>
    <row r="345" customFormat="false" ht="15" hidden="false" customHeight="false" outlineLevel="0" collapsed="false">
      <c r="A345" s="0" t="s">
        <v>166</v>
      </c>
      <c r="C345" s="88" t="n">
        <f aca="false">SUMIF($F$40:$F$219,0,AQ$40:AQ$219)*$AO$10</f>
        <v>361.475098615754</v>
      </c>
      <c r="D345" s="88" t="n">
        <f aca="false">SUMIF($F$40:$F$219,2026,AQ$40:AQ$219)*$AO$10</f>
        <v>36.7186540932953</v>
      </c>
      <c r="E345" s="88" t="n">
        <f aca="false">SUMIF($F$40:$F$219,2027,AQ$40:AQ$219)*$AO$10</f>
        <v>158.61242125123</v>
      </c>
      <c r="F345" s="88" t="n">
        <f aca="false">SUMIF($F$40:$F$219,2028,AQ$40:AQ$219)*$AO$10</f>
        <v>119.123304168133</v>
      </c>
      <c r="G345" s="88" t="n">
        <f aca="false">SUMIF($F$40:$F$219,2029,AQ$40:AQ$219)*$AO$10</f>
        <v>84.928116007732</v>
      </c>
      <c r="H345" s="88" t="n">
        <f aca="false">SUMIF($F$40:$F$219,2030,AQ$40:AQ$219)*$AO$10</f>
        <v>84.928116007732</v>
      </c>
      <c r="I345" s="88" t="n">
        <f aca="false">SUMIF($F$40:$F$219,2031,AQ$40:AQ$219)*$AO$10</f>
        <v>84.928116007732</v>
      </c>
      <c r="J345" s="88" t="n">
        <f aca="false">SUMIF($F$40:$F$219,2032,AQ$40:AQ$219)*$AO$10</f>
        <v>83.259978427783</v>
      </c>
      <c r="K345" s="88" t="n">
        <f aca="false">SUMIF($F$40:$F$219,2033,AQ$40:AQ$219)*$AO$10</f>
        <v>70.4600421244956</v>
      </c>
      <c r="L345" s="88" t="n">
        <f aca="false">SUMIF($F$40:$F$219,2034,AQ$40:AQ$219)*$AO$10</f>
        <v>61.8712554848764</v>
      </c>
      <c r="M345" s="88" t="n">
        <f aca="false">SUMIF($F$40:$F$219,2035,AQ$40:AQ$219)*$AO$10</f>
        <v>61.22489297836</v>
      </c>
      <c r="N345" s="88" t="n">
        <f aca="false">SUMIF($F$40:$F$219,2036,AQ$40:AQ$219)*$AO$10</f>
        <v>60.5948527573607</v>
      </c>
      <c r="O345" s="88" t="n">
        <f aca="false">SUMIF($F$40:$F$219,2037,AQ$40:AQ$219)*$AO$10</f>
        <v>60.0007215645031</v>
      </c>
      <c r="P345" s="88" t="n">
        <f aca="false">SUMIF($F$40:$F$219,2038,AQ$40:AQ$219)*$AO$10</f>
        <v>24.8914854150895</v>
      </c>
      <c r="Q345" s="88" t="n">
        <f aca="false">SUMIF($F$40:$F$219,2039,AQ$40:AQ$219)*$AO$10</f>
        <v>0</v>
      </c>
      <c r="R345" s="88" t="n">
        <f aca="false">SUMIF($F$40:$F$219,2040,AQ$40:AQ$219)*$AO$10</f>
        <v>0</v>
      </c>
    </row>
    <row r="346" customFormat="false" ht="15" hidden="false" customHeight="false" outlineLevel="0" collapsed="false">
      <c r="A346" s="0" t="s">
        <v>168</v>
      </c>
      <c r="C346" s="88" t="n">
        <f aca="false">SUMIF($F$40:$F$219,0,AW$40:AW$219)*$AO$10</f>
        <v>580.88259955936</v>
      </c>
      <c r="D346" s="88" t="n">
        <f aca="false">SUMIF($F$40:$F$219,2026,AW$40:AW$219)*$AO$10</f>
        <v>58.7781536047595</v>
      </c>
      <c r="E346" s="88" t="n">
        <f aca="false">SUMIF($F$40:$F$219,2027,AW$40:AW$219)*$AO$10</f>
        <v>298.212207914974</v>
      </c>
      <c r="F346" s="88" t="n">
        <f aca="false">SUMIF($F$40:$F$219,2028,AW$40:AW$219)*$AO$10</f>
        <v>194.357734983463</v>
      </c>
      <c r="G346" s="88" t="n">
        <f aca="false">SUMIF($F$40:$F$219,2029,AW$40:AW$219)*$AO$10</f>
        <v>247.900997639816</v>
      </c>
      <c r="H346" s="88" t="n">
        <f aca="false">SUMIF($F$40:$F$219,2030,AW$40:AW$219)*$AO$10</f>
        <v>362.128639916238</v>
      </c>
      <c r="I346" s="88" t="n">
        <f aca="false">SUMIF($F$40:$F$219,2031,AW$40:AW$219)*$AO$10</f>
        <v>362.128639916238</v>
      </c>
      <c r="J346" s="88" t="n">
        <f aca="false">SUMIF($F$40:$F$219,2032,AW$40:AW$219)*$AO$10</f>
        <v>355.015796473848</v>
      </c>
      <c r="K346" s="88" t="n">
        <f aca="false">SUMIF($F$40:$F$219,2033,AW$40:AW$219)*$AO$10</f>
        <v>300.437598552893</v>
      </c>
      <c r="L346" s="88" t="n">
        <f aca="false">SUMIF($F$40:$F$219,2034,AW$40:AW$219)*$AO$10</f>
        <v>263.815502472804</v>
      </c>
      <c r="M346" s="88" t="n">
        <f aca="false">SUMIF($F$40:$F$219,2035,AW$40:AW$219)*$AO$10</f>
        <v>261.059449632116</v>
      </c>
      <c r="N346" s="88" t="n">
        <f aca="false">SUMIF($F$40:$F$219,2036,AW$40:AW$219)*$AO$10</f>
        <v>258.372994085382</v>
      </c>
      <c r="O346" s="88" t="n">
        <f aca="false">SUMIF($F$40:$F$219,2037,AW$40:AW$219)*$AO$10</f>
        <v>255.839652585353</v>
      </c>
      <c r="P346" s="88" t="n">
        <f aca="false">SUMIF($F$40:$F$219,2038,AW$40:AW$219)*$AO$10</f>
        <v>106.135873284185</v>
      </c>
      <c r="Q346" s="88" t="n">
        <f aca="false">SUMIF($F$40:$F$219,2039,AW$40:AW$219)*$AO$10</f>
        <v>0</v>
      </c>
      <c r="R346" s="88" t="n">
        <f aca="false">SUMIF($F$40:$F$219,2040,AW$40:AW$219)*$AO$10</f>
        <v>0</v>
      </c>
    </row>
    <row r="347" customFormat="false" ht="15" hidden="false" customHeight="false" outlineLevel="0" collapsed="false">
      <c r="A347" s="0" t="s">
        <v>170</v>
      </c>
      <c r="C347" s="88" t="n">
        <f aca="false">SUMIF($F$40:$F$219,0,BC$40:BC$219)*$AO$10</f>
        <v>167.283361545805</v>
      </c>
      <c r="D347" s="88" t="n">
        <f aca="false">SUMIF($F$40:$F$219,2026,BC$40:BC$219)*$AO$10</f>
        <v>14.6733389388918</v>
      </c>
      <c r="E347" s="88" t="n">
        <f aca="false">SUMIF($F$40:$F$219,2027,BC$40:BC$219)*$AO$10</f>
        <v>72.4230305523151</v>
      </c>
      <c r="F347" s="88" t="n">
        <f aca="false">SUMIF($F$40:$F$219,2028,BC$40:BC$219)*$AO$10</f>
        <v>58.76544250105</v>
      </c>
      <c r="G347" s="88" t="n">
        <f aca="false">SUMIF($F$40:$F$219,2029,BC$40:BC$219)*$AO$10</f>
        <v>42.0050863436422</v>
      </c>
      <c r="H347" s="88" t="n">
        <f aca="false">SUMIF($F$40:$F$219,2030,BC$40:BC$219)*$AO$10</f>
        <v>42.0050863436422</v>
      </c>
      <c r="I347" s="88" t="n">
        <f aca="false">SUMIF($F$40:$F$219,2031,BC$40:BC$219)*$AO$10</f>
        <v>42.0050863436422</v>
      </c>
      <c r="J347" s="88" t="n">
        <f aca="false">SUMIF($F$40:$F$219,2032,BC$40:BC$219)*$AO$10</f>
        <v>41.1800325643681</v>
      </c>
      <c r="K347" s="88" t="n">
        <f aca="false">SUMIF($F$40:$F$219,2033,BC$40:BC$219)*$AO$10</f>
        <v>34.849238301091</v>
      </c>
      <c r="L347" s="88" t="n">
        <f aca="false">SUMIF($F$40:$F$219,2034,BC$40:BC$219)*$AO$10</f>
        <v>30.601260819152</v>
      </c>
      <c r="M347" s="88" t="n">
        <f aca="false">SUMIF($F$40:$F$219,2035,BC$40:BC$219)*$AO$10</f>
        <v>30.2815726620163</v>
      </c>
      <c r="N347" s="88" t="n">
        <f aca="false">SUMIF($F$40:$F$219,2036,BC$40:BC$219)*$AO$10</f>
        <v>29.9699574381412</v>
      </c>
      <c r="O347" s="88" t="n">
        <f aca="false">SUMIF($F$40:$F$219,2037,BC$40:BC$219)*$AO$10</f>
        <v>29.676102667441</v>
      </c>
      <c r="P347" s="88" t="n">
        <f aca="false">SUMIF($F$40:$F$219,2038,BC$40:BC$219)*$AO$10</f>
        <v>12.3112232230272</v>
      </c>
      <c r="Q347" s="88" t="n">
        <f aca="false">SUMIF($F$40:$F$219,2039,BC$40:BC$219)*$AO$10</f>
        <v>0</v>
      </c>
      <c r="R347" s="88" t="n">
        <f aca="false">SUMIF($F$40:$F$219,2040,BC$40:BC$219)*$AO$10</f>
        <v>0</v>
      </c>
    </row>
    <row r="348" customFormat="false" ht="15" hidden="false" customHeight="false" outlineLevel="0" collapsed="false">
      <c r="A348" s="0" t="s">
        <v>172</v>
      </c>
      <c r="C348" s="88" t="n">
        <f aca="false">SUMIF($F$40:$F$219,0,BI$40:BI$219)*$AO$10</f>
        <v>781.842642970834</v>
      </c>
      <c r="D348" s="88" t="n">
        <f aca="false">SUMIF($F$40:$F$219,2026,BI$40:BI$219)*$AO$10</f>
        <v>94.6556840903038</v>
      </c>
      <c r="E348" s="88" t="n">
        <f aca="false">SUMIF($F$40:$F$219,2027,BI$40:BI$219)*$AO$10</f>
        <v>397.189809531947</v>
      </c>
      <c r="F348" s="88" t="n">
        <f aca="false">SUMIF($F$40:$F$219,2028,BI$40:BI$219)*$AO$10</f>
        <v>292.78685006305</v>
      </c>
      <c r="G348" s="88" t="n">
        <f aca="false">SUMIF($F$40:$F$219,2029,BI$40:BI$219)*$AO$10</f>
        <v>208.740311069587</v>
      </c>
      <c r="H348" s="88" t="n">
        <f aca="false">SUMIF($F$40:$F$219,2030,BI$40:BI$219)*$AO$10</f>
        <v>208.740311069587</v>
      </c>
      <c r="I348" s="88" t="n">
        <f aca="false">SUMIF($F$40:$F$219,2031,BI$40:BI$219)*$AO$10</f>
        <v>208.740311069587</v>
      </c>
      <c r="J348" s="88" t="n">
        <f aca="false">SUMIF($F$40:$F$219,2032,BI$40:BI$219)*$AO$10</f>
        <v>204.640284203175</v>
      </c>
      <c r="K348" s="88" t="n">
        <f aca="false">SUMIF($F$40:$F$219,2033,BI$40:BI$219)*$AO$10</f>
        <v>173.179999774212</v>
      </c>
      <c r="L348" s="88" t="n">
        <f aca="false">SUMIF($F$40:$F$219,2034,BI$40:BI$219)*$AO$10</f>
        <v>152.070076710556</v>
      </c>
      <c r="M348" s="88" t="n">
        <f aca="false">SUMIF($F$40:$F$219,2035,BI$40:BI$219)*$AO$10</f>
        <v>150.481416594021</v>
      </c>
      <c r="N348" s="88" t="n">
        <f aca="false">SUMIF($F$40:$F$219,2036,BI$40:BI$219)*$AO$10</f>
        <v>148.932874157197</v>
      </c>
      <c r="O348" s="88" t="n">
        <f aca="false">SUMIF($F$40:$F$219,2037,BI$40:BI$219)*$AO$10</f>
        <v>147.472590615736</v>
      </c>
      <c r="P348" s="88" t="n">
        <f aca="false">SUMIF($F$40:$F$219,2038,BI$40:BI$219)*$AO$10</f>
        <v>61.1794615584869</v>
      </c>
      <c r="Q348" s="88" t="n">
        <f aca="false">SUMIF($F$40:$F$219,2039,BI$40:BI$219)*$AO$10</f>
        <v>0</v>
      </c>
      <c r="R348" s="88" t="n">
        <f aca="false">SUMIF($F$40:$F$219,2040,BI$40:BI$219)*$AO$10</f>
        <v>0</v>
      </c>
    </row>
    <row r="349" customFormat="false" ht="15" hidden="false" customHeight="false" outlineLevel="0" collapsed="false">
      <c r="A349" s="0" t="s">
        <v>174</v>
      </c>
      <c r="C349" s="88" t="n">
        <f aca="false">SUMIF($F$40:$F$219,0,BO$40:BO$219)*$AO$10</f>
        <v>486.780162789297</v>
      </c>
      <c r="D349" s="88" t="n">
        <f aca="false">SUMIF($F$40:$F$219,2026,BO$40:BO$219)*$AO$10</f>
        <v>42.9075067451295</v>
      </c>
      <c r="E349" s="88" t="n">
        <f aca="false">SUMIF($F$40:$F$219,2027,BO$40:BO$219)*$AO$10</f>
        <v>161.955230232552</v>
      </c>
      <c r="F349" s="88" t="n">
        <f aca="false">SUMIF($F$40:$F$219,2028,BO$40:BO$219)*$AO$10</f>
        <v>64.6019421361919</v>
      </c>
      <c r="G349" s="88" t="n">
        <f aca="false">SUMIF($F$40:$F$219,2029,BO$40:BO$219)*$AO$10</f>
        <v>0</v>
      </c>
      <c r="H349" s="88" t="n">
        <f aca="false">SUMIF($F$40:$F$219,2030,BO$40:BO$219)*$AO$10</f>
        <v>0</v>
      </c>
      <c r="I349" s="88" t="n">
        <f aca="false">SUMIF($F$40:$F$219,2031,BO$40:BO$219)*$AO$10</f>
        <v>39.3778299589156</v>
      </c>
      <c r="J349" s="88" t="n">
        <f aca="false">SUMIF($F$40:$F$219,2032,BO$40:BO$219)*$AO$10</f>
        <v>112.201190125119</v>
      </c>
      <c r="K349" s="88" t="n">
        <f aca="false">SUMIF($F$40:$F$219,2033,BO$40:BO$219)*$AO$10</f>
        <v>94.9519893221161</v>
      </c>
      <c r="L349" s="88" t="n">
        <f aca="false">SUMIF($F$40:$F$219,2034,BO$40:BO$219)*$AO$10</f>
        <v>83.3777359906443</v>
      </c>
      <c r="M349" s="88" t="n">
        <f aca="false">SUMIF($F$40:$F$219,2035,BO$40:BO$219)*$AO$10</f>
        <v>82.5066975415247</v>
      </c>
      <c r="N349" s="88" t="n">
        <f aca="false">SUMIF($F$40:$F$219,2036,BO$40:BO$219)*$AO$10</f>
        <v>81.6576550128376</v>
      </c>
      <c r="O349" s="88" t="n">
        <f aca="false">SUMIF($F$40:$F$219,2037,BO$40:BO$219)*$AO$10</f>
        <v>80.857003509103</v>
      </c>
      <c r="P349" s="88" t="n">
        <f aca="false">SUMIF($F$40:$F$219,2038,BO$40:BO$219)*$AO$10</f>
        <v>33.5437786592448</v>
      </c>
      <c r="Q349" s="88" t="n">
        <f aca="false">SUMIF($F$40:$F$219,2039,BO$40:BO$219)*$AO$10</f>
        <v>0</v>
      </c>
      <c r="R349" s="88" t="n">
        <f aca="false">SUMIF($F$40:$F$219,2040,BO$40:BO$219)*$AO$10</f>
        <v>0</v>
      </c>
    </row>
    <row r="350" customFormat="false" ht="15" hidden="false" customHeight="false" outlineLevel="0" collapsed="false">
      <c r="A350" s="0" t="s">
        <v>176</v>
      </c>
      <c r="C350" s="88" t="n">
        <f aca="false">SUMIF($F$40:$F$219,0,BU$40:BU$219)*$AO$10</f>
        <v>98.7230273318342</v>
      </c>
      <c r="D350" s="88" t="n">
        <f aca="false">SUMIF($F$40:$F$219,2026,BU$40:BU$219)*$AO$10</f>
        <v>8.77049585987046</v>
      </c>
      <c r="E350" s="88" t="n">
        <f aca="false">SUMIF($F$40:$F$219,2027,BU$40:BU$219)*$AO$10</f>
        <v>55.1429590492379</v>
      </c>
      <c r="F350" s="88" t="n">
        <f aca="false">SUMIF($F$40:$F$219,2028,BU$40:BU$219)*$AO$10</f>
        <v>49.8097226109401</v>
      </c>
      <c r="G350" s="88" t="n">
        <f aca="false">SUMIF($F$40:$F$219,2029,BU$40:BU$219)*$AO$10</f>
        <v>35.765076374525</v>
      </c>
      <c r="H350" s="88" t="n">
        <f aca="false">SUMIF($F$40:$F$219,2030,BU$40:BU$219)*$AO$10</f>
        <v>35.765076374525</v>
      </c>
      <c r="I350" s="88" t="n">
        <f aca="false">SUMIF($F$40:$F$219,2031,BU$40:BU$219)*$AO$10</f>
        <v>35.765076374525</v>
      </c>
      <c r="J350" s="88" t="n">
        <f aca="false">SUMIF($F$40:$F$219,2032,BU$40:BU$219)*$AO$10</f>
        <v>35.0625873667078</v>
      </c>
      <c r="K350" s="88" t="n">
        <f aca="false">SUMIF($F$40:$F$219,2033,BU$40:BU$219)*$AO$10</f>
        <v>29.6722558605381</v>
      </c>
      <c r="L350" s="88" t="n">
        <f aca="false">SUMIF($F$40:$F$219,2034,BU$40:BU$219)*$AO$10</f>
        <v>26.0553310472931</v>
      </c>
      <c r="M350" s="88" t="n">
        <f aca="false">SUMIF($F$40:$F$219,2035,BU$40:BU$219)*$AO$10</f>
        <v>25.7831337409371</v>
      </c>
      <c r="N350" s="88" t="n">
        <f aca="false">SUMIF($F$40:$F$219,2036,BU$40:BU$219)*$AO$10</f>
        <v>25.5178101039336</v>
      </c>
      <c r="O350" s="88" t="n">
        <f aca="false">SUMIF($F$40:$F$219,2037,BU$40:BU$219)*$AO$10</f>
        <v>25.2676085395053</v>
      </c>
      <c r="P350" s="88" t="n">
        <f aca="false">SUMIF($F$40:$F$219,2038,BU$40:BU$219)*$AO$10</f>
        <v>10.4823457624444</v>
      </c>
      <c r="Q350" s="88" t="n">
        <f aca="false">SUMIF($F$40:$F$219,2039,BU$40:BU$219)*$AO$10</f>
        <v>0</v>
      </c>
      <c r="R350" s="88" t="n">
        <f aca="false">SUMIF($F$40:$F$219,2040,BU$40:BU$219)*$AO$10</f>
        <v>0</v>
      </c>
    </row>
    <row r="351" customFormat="false" ht="15" hidden="false" customHeight="false" outlineLevel="0" collapsed="false">
      <c r="A351" s="0" t="s">
        <v>179</v>
      </c>
      <c r="C351" s="88" t="n">
        <f aca="false">SUMIF($F$40:$F$219,0,CA$40:CA$219)*$AO$10</f>
        <v>107.037969336481</v>
      </c>
      <c r="D351" s="88" t="n">
        <f aca="false">SUMIF($F$40:$F$219,2026,CA$40:CA$219)*$AO$10</f>
        <v>10.4276313543992</v>
      </c>
      <c r="E351" s="88" t="n">
        <f aca="false">SUMIF($F$40:$F$219,2027,CA$40:CA$219)*$AO$10</f>
        <v>41.7105254175967</v>
      </c>
      <c r="F351" s="88" t="n">
        <f aca="false">SUMIF($F$40:$F$219,2028,CA$40:CA$219)*$AO$10</f>
        <v>29.7532798305874</v>
      </c>
      <c r="G351" s="88" t="n">
        <f aca="false">SUMIF($F$40:$F$219,2029,CA$40:CA$219)*$AO$10</f>
        <v>21.2123901255806</v>
      </c>
      <c r="H351" s="88" t="n">
        <f aca="false">SUMIF($F$40:$F$219,2030,CA$40:CA$219)*$AO$10</f>
        <v>21.2123901255806</v>
      </c>
      <c r="I351" s="88" t="n">
        <f aca="false">SUMIF($F$40:$F$219,2031,CA$40:CA$219)*$AO$10</f>
        <v>21.2123901255806</v>
      </c>
      <c r="J351" s="88" t="n">
        <f aca="false">SUMIF($F$40:$F$219,2032,CA$40:CA$219)*$AO$10</f>
        <v>20.7957414726681</v>
      </c>
      <c r="K351" s="88" t="n">
        <f aca="false">SUMIF($F$40:$F$219,2033,CA$40:CA$219)*$AO$10</f>
        <v>17.5987172690088</v>
      </c>
      <c r="L351" s="88" t="n">
        <f aca="false">SUMIF($F$40:$F$219,2034,CA$40:CA$219)*$AO$10</f>
        <v>15.4535066901187</v>
      </c>
      <c r="M351" s="88" t="n">
        <f aca="false">SUMIF($F$40:$F$219,2035,CA$40:CA$219)*$AO$10</f>
        <v>15.2920655291078</v>
      </c>
      <c r="N351" s="88" t="n">
        <f aca="false">SUMIF($F$40:$F$219,2036,CA$40:CA$219)*$AO$10</f>
        <v>15.1347011650919</v>
      </c>
      <c r="O351" s="88" t="n">
        <f aca="false">SUMIF($F$40:$F$219,2037,CA$40:CA$219)*$AO$10</f>
        <v>14.9863057544654</v>
      </c>
      <c r="P351" s="88" t="n">
        <f aca="false">SUMIF($F$40:$F$219,2038,CA$40:CA$219)*$AO$10</f>
        <v>6.21711541772571</v>
      </c>
      <c r="Q351" s="88" t="n">
        <f aca="false">SUMIF($F$40:$F$219,2039,CA$40:CA$219)*$AO$10</f>
        <v>0</v>
      </c>
      <c r="R351" s="88" t="n">
        <f aca="false">SUMIF($F$40:$F$219,2040,CA$40:CA$219)*$AO$10</f>
        <v>0</v>
      </c>
    </row>
    <row r="352" customFormat="false" ht="15" hidden="false" customHeight="false" outlineLevel="0" collapsed="false">
      <c r="A352" s="0" t="s">
        <v>181</v>
      </c>
      <c r="C352" s="88" t="n">
        <f aca="false">SUMIF($F$40:$F$219,0,CG$40:CG$219)*$AO$10</f>
        <v>72.8908585935519</v>
      </c>
      <c r="D352" s="88" t="n">
        <f aca="false">SUMIF($F$40:$F$219,2026,CG$40:CG$219)*$AO$10</f>
        <v>15.3281726771927</v>
      </c>
      <c r="E352" s="88" t="n">
        <f aca="false">SUMIF($F$40:$F$219,2027,CG$40:CG$219)*$AO$10</f>
        <v>65.4387069689335</v>
      </c>
      <c r="F352" s="88" t="n">
        <f aca="false">SUMIF($F$40:$F$219,2028,CG$40:CG$219)*$AO$10</f>
        <v>48.7815401873581</v>
      </c>
      <c r="G352" s="88" t="n">
        <f aca="false">SUMIF($F$40:$F$219,2029,CG$40:CG$219)*$AO$10</f>
        <v>34.7784535779865</v>
      </c>
      <c r="H352" s="88" t="n">
        <f aca="false">SUMIF($F$40:$F$219,2030,CG$40:CG$219)*$AO$10</f>
        <v>34.7784535779865</v>
      </c>
      <c r="I352" s="88" t="n">
        <f aca="false">SUMIF($F$40:$F$219,2031,CG$40:CG$219)*$AO$10</f>
        <v>34.7784535779865</v>
      </c>
      <c r="J352" s="88" t="n">
        <f aca="false">SUMIF($F$40:$F$219,2032,CG$40:CG$219)*$AO$10</f>
        <v>34.0953435772812</v>
      </c>
      <c r="K352" s="88" t="n">
        <f aca="false">SUMIF($F$40:$F$219,2033,CG$40:CG$219)*$AO$10</f>
        <v>28.8537108712818</v>
      </c>
      <c r="L352" s="88" t="n">
        <f aca="false">SUMIF($F$40:$F$219,2034,CG$40:CG$219)*$AO$10</f>
        <v>25.3365632942645</v>
      </c>
      <c r="M352" s="88" t="n">
        <f aca="false">SUMIF($F$40:$F$219,2035,CG$40:CG$219)*$AO$10</f>
        <v>25.0718748791185</v>
      </c>
      <c r="N352" s="88" t="n">
        <f aca="false">SUMIF($F$40:$F$219,2036,CG$40:CG$219)*$AO$10</f>
        <v>24.8138705148599</v>
      </c>
      <c r="O352" s="88" t="n">
        <f aca="false">SUMIF($F$40:$F$219,2037,CG$40:CG$219)*$AO$10</f>
        <v>24.5705710625535</v>
      </c>
      <c r="P352" s="88" t="n">
        <f aca="false">SUMIF($F$40:$F$219,2038,CG$40:CG$219)*$AO$10</f>
        <v>10.1931776034804</v>
      </c>
      <c r="Q352" s="88" t="n">
        <f aca="false">SUMIF($F$40:$F$219,2039,CG$40:CG$219)*$AO$10</f>
        <v>0</v>
      </c>
      <c r="R352" s="88" t="n">
        <f aca="false">SUMIF($F$40:$F$219,2040,CG$40:CG$219)*$AO$10</f>
        <v>0</v>
      </c>
    </row>
    <row r="353" customFormat="false" ht="15" hidden="false" customHeight="false" outlineLevel="0" collapsed="false">
      <c r="A353" s="0" t="s">
        <v>183</v>
      </c>
      <c r="C353" s="88" t="n">
        <f aca="false">SUMIF($F$40:$F$219,0,CM$40:CM$219)*$AO$10</f>
        <v>53.4101182137617</v>
      </c>
      <c r="D353" s="88" t="n">
        <f aca="false">SUMIF($F$40:$F$219,2026,CM$40:CM$219)*$AO$10</f>
        <v>13.5195453025059</v>
      </c>
      <c r="E353" s="88" t="n">
        <f aca="false">SUMIF($F$40:$F$219,2027,CM$40:CM$219)*$AO$10</f>
        <v>54.0781812100236</v>
      </c>
      <c r="F353" s="88" t="n">
        <f aca="false">SUMIF($F$40:$F$219,2028,CM$40:CM$219)*$AO$10</f>
        <v>38.5754732687265</v>
      </c>
      <c r="G353" s="88" t="n">
        <f aca="false">SUMIF($F$40:$F$219,2029,CM$40:CM$219)*$AO$10</f>
        <v>27.5021104535143</v>
      </c>
      <c r="H353" s="88" t="n">
        <f aca="false">SUMIF($F$40:$F$219,2030,CM$40:CM$219)*$AO$10</f>
        <v>27.5021104535143</v>
      </c>
      <c r="I353" s="88" t="n">
        <f aca="false">SUMIF($F$40:$F$219,2031,CM$40:CM$219)*$AO$10</f>
        <v>27.5021104535143</v>
      </c>
      <c r="J353" s="88" t="n">
        <f aca="false">SUMIF($F$40:$F$219,2032,CM$40:CM$219)*$AO$10</f>
        <v>26.9619206302613</v>
      </c>
      <c r="K353" s="88" t="n">
        <f aca="false">SUMIF($F$40:$F$219,2033,CM$40:CM$219)*$AO$10</f>
        <v>22.8169415755167</v>
      </c>
      <c r="L353" s="88" t="n">
        <f aca="false">SUMIF($F$40:$F$219,2034,CM$40:CM$219)*$AO$10</f>
        <v>20.0356511156769</v>
      </c>
      <c r="M353" s="88" t="n">
        <f aca="false">SUMIF($F$40:$F$219,2035,CM$40:CM$219)*$AO$10</f>
        <v>19.8263407732032</v>
      </c>
      <c r="N353" s="88" t="n">
        <f aca="false">SUMIF($F$40:$F$219,2036,CM$40:CM$219)*$AO$10</f>
        <v>19.6223160454387</v>
      </c>
      <c r="O353" s="88" t="n">
        <f aca="false">SUMIF($F$40:$F$219,2037,CM$40:CM$219)*$AO$10</f>
        <v>19.4299196700338</v>
      </c>
      <c r="P353" s="88" t="n">
        <f aca="false">SUMIF($F$40:$F$219,2038,CM$40:CM$219)*$AO$10</f>
        <v>8.06056243112122</v>
      </c>
      <c r="Q353" s="88" t="n">
        <f aca="false">SUMIF($F$40:$F$219,2039,CM$40:CM$219)*$AO$10</f>
        <v>0</v>
      </c>
      <c r="R353" s="88" t="n">
        <f aca="false">SUMIF($F$40:$F$219,2040,CM$40:CM$219)*$AO$10</f>
        <v>0</v>
      </c>
    </row>
    <row r="354" customFormat="false" ht="15" hidden="false" customHeight="false" outlineLevel="0" collapsed="false">
      <c r="A354" s="0" t="s">
        <v>185</v>
      </c>
      <c r="C354" s="88" t="n">
        <f aca="false">SUMIF($F$40:$F$219,0,CS$40:CS$219)*$AO$10</f>
        <v>346.787000934201</v>
      </c>
      <c r="D354" s="88" t="n">
        <f aca="false">SUMIF($F$40:$F$219,2026,CS$40:CS$219)*$AO$10</f>
        <v>54.3554214194537</v>
      </c>
      <c r="E354" s="88" t="n">
        <f aca="false">SUMIF($F$40:$F$219,2027,CS$40:CS$219)*$AO$10</f>
        <v>227.950140962367</v>
      </c>
      <c r="F354" s="88" t="n">
        <f aca="false">SUMIF($F$40:$F$219,2028,CS$40:CS$219)*$AO$10</f>
        <v>167.96764369477</v>
      </c>
      <c r="G354" s="88" t="n">
        <f aca="false">SUMIF($F$40:$F$219,2029,CS$40:CS$219)*$AO$10</f>
        <v>119.751341929877</v>
      </c>
      <c r="H354" s="88" t="n">
        <f aca="false">SUMIF($F$40:$F$219,2030,CS$40:CS$219)*$AO$10</f>
        <v>119.751341929877</v>
      </c>
      <c r="I354" s="88" t="n">
        <f aca="false">SUMIF($F$40:$F$219,2031,CS$40:CS$219)*$AO$10</f>
        <v>119.751341929877</v>
      </c>
      <c r="J354" s="88" t="n">
        <f aca="false">SUMIF($F$40:$F$219,2032,CS$40:CS$219)*$AO$10</f>
        <v>117.399214941633</v>
      </c>
      <c r="K354" s="88" t="n">
        <f aca="false">SUMIF($F$40:$F$219,2033,CS$40:CS$219)*$AO$10</f>
        <v>99.3508980709737</v>
      </c>
      <c r="L354" s="88" t="n">
        <f aca="false">SUMIF($F$40:$F$219,2034,CS$40:CS$219)*$AO$10</f>
        <v>87.2404360238672</v>
      </c>
      <c r="M354" s="88" t="n">
        <f aca="false">SUMIF($F$40:$F$219,2035,CS$40:CS$219)*$AO$10</f>
        <v>86.3290443532752</v>
      </c>
      <c r="N354" s="88" t="n">
        <f aca="false">SUMIF($F$40:$F$219,2036,CS$40:CS$219)*$AO$10</f>
        <v>85.4406676238602</v>
      </c>
      <c r="O354" s="88" t="n">
        <f aca="false">SUMIF($F$40:$F$219,2037,CS$40:CS$219)*$AO$10</f>
        <v>84.6029237650344</v>
      </c>
      <c r="P354" s="88" t="n">
        <f aca="false">SUMIF($F$40:$F$219,2038,CS$40:CS$219)*$AO$10</f>
        <v>35.0977852942542</v>
      </c>
      <c r="Q354" s="88" t="n">
        <f aca="false">SUMIF($F$40:$F$219,2039,CS$40:CS$219)*$AO$10</f>
        <v>0</v>
      </c>
      <c r="R354" s="88" t="n">
        <f aca="false">SUMIF($F$40:$F$219,2040,CS$40:CS$219)*$AO$10</f>
        <v>0</v>
      </c>
    </row>
    <row r="355" customFormat="false" ht="15" hidden="false" customHeight="false" outlineLevel="0" collapsed="false">
      <c r="A355" s="0" t="s">
        <v>187</v>
      </c>
      <c r="C355" s="88" t="n">
        <f aca="false">SUMIF($F$40:$F$219,0,CY$40:CY$219)*$AO$10</f>
        <v>112.292748446503</v>
      </c>
      <c r="D355" s="88" t="n">
        <f aca="false">SUMIF($F$40:$F$219,2026,CY$40:CY$219)*$AO$10</f>
        <v>12.2464042650502</v>
      </c>
      <c r="E355" s="88" t="n">
        <f aca="false">SUMIF($F$40:$F$219,2027,CY$40:CY$219)*$AO$10</f>
        <v>48.9856170602009</v>
      </c>
      <c r="F355" s="88" t="n">
        <f aca="false">SUMIF($F$40:$F$219,2028,CY$40:CY$219)*$AO$10</f>
        <v>34.9428053824339</v>
      </c>
      <c r="G355" s="88" t="n">
        <f aca="false">SUMIF($F$40:$F$219,2029,CY$40:CY$219)*$AO$10</f>
        <v>24.9122256126003</v>
      </c>
      <c r="H355" s="88" t="n">
        <f aca="false">SUMIF($F$40:$F$219,2030,CY$40:CY$219)*$AO$10</f>
        <v>24.9122256126003</v>
      </c>
      <c r="I355" s="88" t="n">
        <f aca="false">SUMIF($F$40:$F$219,2031,CY$40:CY$219)*$AO$10</f>
        <v>24.9122256126003</v>
      </c>
      <c r="J355" s="88" t="n">
        <f aca="false">SUMIF($F$40:$F$219,2032,CY$40:CY$219)*$AO$10</f>
        <v>24.4229056830171</v>
      </c>
      <c r="K355" s="88" t="n">
        <f aca="false">SUMIF($F$40:$F$219,2033,CY$40:CY$219)*$AO$10</f>
        <v>20.6682609787196</v>
      </c>
      <c r="L355" s="88" t="n">
        <f aca="false">SUMIF($F$40:$F$219,2034,CY$40:CY$219)*$AO$10</f>
        <v>18.1488857639767</v>
      </c>
      <c r="M355" s="88" t="n">
        <f aca="false">SUMIF($F$40:$F$219,2035,CY$40:CY$219)*$AO$10</f>
        <v>17.9592862609286</v>
      </c>
      <c r="N355" s="88" t="n">
        <f aca="false">SUMIF($F$40:$F$219,2036,CY$40:CY$219)*$AO$10</f>
        <v>17.774474624119</v>
      </c>
      <c r="O355" s="88" t="n">
        <f aca="false">SUMIF($F$40:$F$219,2037,CY$40:CY$219)*$AO$10</f>
        <v>17.6001962930349</v>
      </c>
      <c r="P355" s="88" t="n">
        <f aca="false">SUMIF($F$40:$F$219,2038,CY$40:CY$219)*$AO$10</f>
        <v>7.30149601384078</v>
      </c>
      <c r="Q355" s="88" t="n">
        <f aca="false">SUMIF($F$40:$F$219,2039,CY$40:CY$219)*$AO$10</f>
        <v>0</v>
      </c>
      <c r="R355" s="88" t="n">
        <f aca="false">SUMIF($F$40:$F$219,2040,CY$40:CY$219)*$AO$10</f>
        <v>0</v>
      </c>
    </row>
    <row r="356" customFormat="false" ht="15" hidden="false" customHeight="false" outlineLevel="0" collapsed="false">
      <c r="A356" s="0" t="s">
        <v>189</v>
      </c>
      <c r="C356" s="88" t="n">
        <f aca="false">SUMIF($F$40:$F$219,0,DE$40:DE$219)*$AO$10</f>
        <v>45.2830786528769</v>
      </c>
      <c r="D356" s="88" t="n">
        <f aca="false">SUMIF($F$40:$F$219,2026,DE$40:DE$219)*$AO$10</f>
        <v>0</v>
      </c>
      <c r="E356" s="88" t="n">
        <f aca="false">SUMIF($F$40:$F$219,2027,DE$40:DE$219)*$AO$10</f>
        <v>0</v>
      </c>
      <c r="F356" s="88" t="n">
        <f aca="false">SUMIF($F$40:$F$219,2028,DE$40:DE$219)*$AO$10</f>
        <v>0</v>
      </c>
      <c r="G356" s="88" t="n">
        <f aca="false">SUMIF($F$40:$F$219,2029,DE$40:DE$219)*$AO$10</f>
        <v>0</v>
      </c>
      <c r="H356" s="88" t="n">
        <f aca="false">SUMIF($F$40:$F$219,2030,DE$40:DE$219)*$AO$10</f>
        <v>0</v>
      </c>
      <c r="I356" s="88" t="n">
        <f aca="false">SUMIF($F$40:$F$219,2031,DE$40:DE$219)*$AO$10</f>
        <v>0</v>
      </c>
      <c r="J356" s="88" t="n">
        <f aca="false">SUMIF($F$40:$F$219,2032,DE$40:DE$219)*$AO$10</f>
        <v>0</v>
      </c>
      <c r="K356" s="88" t="n">
        <f aca="false">SUMIF($F$40:$F$219,2033,DE$40:DE$219)*$AO$10</f>
        <v>17.4339502001241</v>
      </c>
      <c r="L356" s="88" t="n">
        <f aca="false">SUMIF($F$40:$F$219,2034,DE$40:DE$219)*$AO$10</f>
        <v>17.9691938257195</v>
      </c>
      <c r="M356" s="88" t="n">
        <f aca="false">SUMIF($F$40:$F$219,2035,DE$40:DE$219)*$AO$10</f>
        <v>17.7814715454737</v>
      </c>
      <c r="N356" s="88" t="n">
        <f aca="false">SUMIF($F$40:$F$219,2036,DE$40:DE$219)*$AO$10</f>
        <v>17.5984897268508</v>
      </c>
      <c r="O356" s="88" t="n">
        <f aca="false">SUMIF($F$40:$F$219,2037,DE$40:DE$219)*$AO$10</f>
        <v>17.4259369237969</v>
      </c>
      <c r="P356" s="88" t="n">
        <f aca="false">SUMIF($F$40:$F$219,2038,DE$40:DE$219)*$AO$10</f>
        <v>7.22920397409952</v>
      </c>
      <c r="Q356" s="88" t="n">
        <f aca="false">SUMIF($F$40:$F$219,2039,DE$40:DE$219)*$AO$10</f>
        <v>0</v>
      </c>
      <c r="R356" s="88" t="n">
        <f aca="false">SUMIF($F$40:$F$219,2040,DE$40:DE$219)*$AO$10</f>
        <v>0</v>
      </c>
    </row>
    <row r="357" customFormat="false" ht="15" hidden="false" customHeight="false" outlineLevel="0" collapsed="false">
      <c r="A357" s="0" t="s">
        <v>192</v>
      </c>
      <c r="C357" s="88" t="n">
        <f aca="false">SUMIF($F$40:$F$219,0,DK$40:DK$219)*$AO$10</f>
        <v>101.437145359572</v>
      </c>
      <c r="D357" s="88" t="n">
        <f aca="false">SUMIF($F$40:$F$219,2026,DK$40:DK$219)*$AO$10</f>
        <v>9.88199948120388</v>
      </c>
      <c r="E357" s="88" t="n">
        <f aca="false">SUMIF($F$40:$F$219,2027,DK$40:DK$219)*$AO$10</f>
        <v>39.5279979248155</v>
      </c>
      <c r="F357" s="88" t="n">
        <f aca="false">SUMIF($F$40:$F$219,2028,DK$40:DK$219)*$AO$10</f>
        <v>28.1964221650333</v>
      </c>
      <c r="G357" s="88" t="n">
        <f aca="false">SUMIF($F$40:$F$219,2029,DK$40:DK$219)*$AO$10</f>
        <v>20.1024394794745</v>
      </c>
      <c r="H357" s="88" t="n">
        <f aca="false">SUMIF($F$40:$F$219,2030,DK$40:DK$219)*$AO$10</f>
        <v>20.1024394794745</v>
      </c>
      <c r="I357" s="88" t="n">
        <f aca="false">SUMIF($F$40:$F$219,2031,DK$40:DK$219)*$AO$10</f>
        <v>20.1024394794745</v>
      </c>
      <c r="J357" s="88" t="n">
        <f aca="false">SUMIF($F$40:$F$219,2032,DK$40:DK$219)*$AO$10</f>
        <v>19.7075922095633</v>
      </c>
      <c r="K357" s="88" t="n">
        <f aca="false">SUMIF($F$40:$F$219,2033,DK$40:DK$219)*$AO$10</f>
        <v>16.6778541560956</v>
      </c>
      <c r="L357" s="88" t="n">
        <f aca="false">SUMIF($F$40:$F$219,2034,DK$40:DK$219)*$AO$10</f>
        <v>14.6448929679614</v>
      </c>
      <c r="M357" s="88" t="n">
        <f aca="false">SUMIF($F$40:$F$219,2035,DK$40:DK$219)*$AO$10</f>
        <v>14.4918993095612</v>
      </c>
      <c r="N357" s="88" t="n">
        <f aca="false">SUMIF($F$40:$F$219,2036,DK$40:DK$219)*$AO$10</f>
        <v>14.3427691273835</v>
      </c>
      <c r="O357" s="88" t="n">
        <f aca="false">SUMIF($F$40:$F$219,2037,DK$40:DK$219)*$AO$10</f>
        <v>14.2021385928944</v>
      </c>
      <c r="P357" s="88" t="n">
        <f aca="false">SUMIF($F$40:$F$219,2038,DK$40:DK$219)*$AO$10</f>
        <v>5.89180123889109</v>
      </c>
      <c r="Q357" s="88" t="n">
        <f aca="false">SUMIF($F$40:$F$219,2039,DK$40:DK$219)*$AO$10</f>
        <v>0</v>
      </c>
      <c r="R357" s="88" t="n">
        <f aca="false">SUMIF($F$40:$F$219,2040,DK$40:DK$219)*$AO$10</f>
        <v>0</v>
      </c>
    </row>
    <row r="358" customFormat="false" ht="15" hidden="false" customHeight="false" outlineLevel="0" collapsed="false">
      <c r="A358" s="0" t="s">
        <v>194</v>
      </c>
      <c r="C358" s="88" t="n">
        <f aca="false">SUMIF($F$40:$F$219,0,DQ$40:DQ$219)*$AO$10</f>
        <v>21.6442816614081</v>
      </c>
      <c r="D358" s="88" t="n">
        <f aca="false">SUMIF($F$40:$F$219,2026,DQ$40:DQ$219)*$AO$10</f>
        <v>0</v>
      </c>
      <c r="E358" s="88" t="n">
        <f aca="false">SUMIF($F$40:$F$219,2027,DQ$40:DQ$219)*$AO$10</f>
        <v>0</v>
      </c>
      <c r="F358" s="88" t="n">
        <f aca="false">SUMIF($F$40:$F$219,2028,DQ$40:DQ$219)*$AO$10</f>
        <v>0</v>
      </c>
      <c r="G358" s="88" t="n">
        <f aca="false">SUMIF($F$40:$F$219,2029,DQ$40:DQ$219)*$AO$10</f>
        <v>0</v>
      </c>
      <c r="H358" s="88" t="n">
        <f aca="false">SUMIF($F$40:$F$219,2030,DQ$40:DQ$219)*$AO$10</f>
        <v>9.7439013013133</v>
      </c>
      <c r="I358" s="88" t="n">
        <f aca="false">SUMIF($F$40:$F$219,2031,DQ$40:DQ$219)*$AO$10</f>
        <v>14.0593748506755</v>
      </c>
      <c r="J358" s="88" t="n">
        <f aca="false">SUMIF($F$40:$F$219,2032,DQ$40:DQ$219)*$AO$10</f>
        <v>13.7832239993265</v>
      </c>
      <c r="K358" s="88" t="n">
        <f aca="false">SUMIF($F$40:$F$219,2033,DQ$40:DQ$219)*$AO$10</f>
        <v>11.6642660969012</v>
      </c>
      <c r="L358" s="88" t="n">
        <f aca="false">SUMIF($F$40:$F$219,2034,DQ$40:DQ$219)*$AO$10</f>
        <v>10.2424404806601</v>
      </c>
      <c r="M358" s="88" t="n">
        <f aca="false">SUMIF($F$40:$F$219,2035,DQ$40:DQ$219)*$AO$10</f>
        <v>10.13543878092</v>
      </c>
      <c r="N358" s="88" t="n">
        <f aca="false">SUMIF($F$40:$F$219,2036,DQ$40:DQ$219)*$AO$10</f>
        <v>10.0311391443048</v>
      </c>
      <c r="O358" s="88" t="n">
        <f aca="false">SUMIF($F$40:$F$219,2037,DQ$40:DQ$219)*$AO$10</f>
        <v>9.93278404656424</v>
      </c>
      <c r="P358" s="88" t="n">
        <f aca="false">SUMIF($F$40:$F$219,2038,DQ$40:DQ$219)*$AO$10</f>
        <v>4.12064626523684</v>
      </c>
      <c r="Q358" s="88" t="n">
        <f aca="false">SUMIF($F$40:$F$219,2039,DQ$40:DQ$219)*$AO$10</f>
        <v>0</v>
      </c>
      <c r="R358" s="88" t="n">
        <f aca="false">SUMIF($F$40:$F$219,2040,DQ$40:DQ$219)*$AO$10</f>
        <v>0</v>
      </c>
    </row>
    <row r="359" customFormat="false" ht="15" hidden="false" customHeight="false" outlineLevel="0" collapsed="false">
      <c r="A359" s="0" t="s">
        <v>196</v>
      </c>
      <c r="C359" s="88" t="n">
        <f aca="false">SUMIF($F$40:$F$219,0,DW$40:DW$219)*$AO$10</f>
        <v>22.1338934735516</v>
      </c>
      <c r="D359" s="88" t="n">
        <f aca="false">SUMIF($F$40:$F$219,2026,DW$40:DW$219)*$AO$10</f>
        <v>4.60301004143543</v>
      </c>
      <c r="E359" s="88" t="n">
        <f aca="false">SUMIF($F$40:$F$219,2027,DW$40:DW$219)*$AO$10</f>
        <v>20.2616336616767</v>
      </c>
      <c r="F359" s="88" t="n">
        <f aca="false">SUMIF($F$40:$F$219,2028,DW$40:DW$219)*$AO$10</f>
        <v>15.3955924704784</v>
      </c>
      <c r="G359" s="88" t="n">
        <f aca="false">SUMIF($F$40:$F$219,2029,DW$40:DW$219)*$AO$10</f>
        <v>10.9761786114923</v>
      </c>
      <c r="H359" s="88" t="n">
        <f aca="false">SUMIF($F$40:$F$219,2030,DW$40:DW$219)*$AO$10</f>
        <v>10.9761786114923</v>
      </c>
      <c r="I359" s="88" t="n">
        <f aca="false">SUMIF($F$40:$F$219,2031,DW$40:DW$219)*$AO$10</f>
        <v>10.9761786114923</v>
      </c>
      <c r="J359" s="88" t="n">
        <f aca="false">SUMIF($F$40:$F$219,2032,DW$40:DW$219)*$AO$10</f>
        <v>10.7605871573689</v>
      </c>
      <c r="K359" s="88" t="n">
        <f aca="false">SUMIF($F$40:$F$219,2033,DW$40:DW$219)*$AO$10</f>
        <v>9.10631300547542</v>
      </c>
      <c r="L359" s="88" t="n">
        <f aca="false">SUMIF($F$40:$F$219,2034,DW$40:DW$219)*$AO$10</f>
        <v>7.99629125244515</v>
      </c>
      <c r="M359" s="88" t="n">
        <f aca="false">SUMIF($F$40:$F$219,2035,DW$40:DW$219)*$AO$10</f>
        <v>7.91275483773589</v>
      </c>
      <c r="N359" s="88" t="n">
        <f aca="false">SUMIF($F$40:$F$219,2036,DW$40:DW$219)*$AO$10</f>
        <v>7.8313279284485</v>
      </c>
      <c r="O359" s="88" t="n">
        <f aca="false">SUMIF($F$40:$F$219,2037,DW$40:DW$219)*$AO$10</f>
        <v>7.75454193108963</v>
      </c>
      <c r="P359" s="88" t="n">
        <f aca="false">SUMIF($F$40:$F$219,2038,DW$40:DW$219)*$AO$10</f>
        <v>3.2169957684744</v>
      </c>
      <c r="Q359" s="88" t="n">
        <f aca="false">SUMIF($F$40:$F$219,2039,DW$40:DW$219)*$AO$10</f>
        <v>0</v>
      </c>
      <c r="R359" s="88" t="n">
        <f aca="false">SUMIF($F$40:$F$219,2040,DW$40:DW$219)*$AO$10</f>
        <v>0</v>
      </c>
    </row>
    <row r="360" customFormat="false" ht="15" hidden="false" customHeight="false" outlineLevel="0" collapsed="false">
      <c r="A360" s="0" t="s">
        <v>198</v>
      </c>
      <c r="C360" s="88" t="n">
        <f aca="false">SUMIF($F$40:$F$219,0,EC$40:EC$219)*$AO$10</f>
        <v>42.7536207490021</v>
      </c>
      <c r="D360" s="88" t="n">
        <f aca="false">SUMIF($F$40:$F$219,2026,EC$40:EC$219)*$AO$10</f>
        <v>0</v>
      </c>
      <c r="E360" s="88" t="n">
        <f aca="false">SUMIF($F$40:$F$219,2027,EC$40:EC$219)*$AO$10</f>
        <v>0</v>
      </c>
      <c r="F360" s="88" t="n">
        <f aca="false">SUMIF($F$40:$F$219,2028,EC$40:EC$219)*$AO$10</f>
        <v>0</v>
      </c>
      <c r="G360" s="88" t="n">
        <f aca="false">SUMIF($F$40:$F$219,2029,EC$40:EC$219)*$AO$10</f>
        <v>0</v>
      </c>
      <c r="H360" s="88" t="n">
        <f aca="false">SUMIF($F$40:$F$219,2030,EC$40:EC$219)*$AO$10</f>
        <v>2.03219797381309</v>
      </c>
      <c r="I360" s="88" t="n">
        <f aca="false">SUMIF($F$40:$F$219,2031,EC$40:EC$219)*$AO$10</f>
        <v>17.6358824881281</v>
      </c>
      <c r="J360" s="88" t="n">
        <f aca="false">SUMIF($F$40:$F$219,2032,EC$40:EC$219)*$AO$10</f>
        <v>17.2894827359973</v>
      </c>
      <c r="K360" s="88" t="n">
        <f aca="false">SUMIF($F$40:$F$219,2033,EC$40:EC$219)*$AO$10</f>
        <v>14.631491682955</v>
      </c>
      <c r="L360" s="88" t="n">
        <f aca="false">SUMIF($F$40:$F$219,2034,EC$40:EC$219)*$AO$10</f>
        <v>12.8479735853895</v>
      </c>
      <c r="M360" s="88" t="n">
        <f aca="false">SUMIF($F$40:$F$219,2035,EC$40:EC$219)*$AO$10</f>
        <v>12.7137521550139</v>
      </c>
      <c r="N360" s="88" t="n">
        <f aca="false">SUMIF($F$40:$F$219,2036,EC$40:EC$219)*$AO$10</f>
        <v>12.5829201546984</v>
      </c>
      <c r="O360" s="88" t="n">
        <f aca="false">SUMIF($F$40:$F$219,2037,EC$40:EC$219)*$AO$10</f>
        <v>12.4595449005149</v>
      </c>
      <c r="P360" s="88" t="n">
        <f aca="false">SUMIF($F$40:$F$219,2038,EC$40:EC$219)*$AO$10</f>
        <v>5.16888084148127</v>
      </c>
      <c r="Q360" s="88" t="n">
        <f aca="false">SUMIF($F$40:$F$219,2039,EC$40:EC$219)*$AO$10</f>
        <v>0</v>
      </c>
      <c r="R360" s="88" t="n">
        <f aca="false">SUMIF($F$40:$F$219,2040,EC$40:EC$219)*$AO$10</f>
        <v>0</v>
      </c>
    </row>
    <row r="361" customFormat="false" ht="15" hidden="false" customHeight="false" outlineLevel="0" collapsed="false">
      <c r="A361" s="0" t="s">
        <v>200</v>
      </c>
      <c r="C361" s="88" t="n">
        <f aca="false">SUMIF($F$40:$F$219,0,EI$40:EI$219)*$AO$10</f>
        <v>54.7636122186648</v>
      </c>
      <c r="D361" s="88" t="n">
        <f aca="false">SUMIF($F$40:$F$219,2026,EI$40:EI$219)*$AO$10</f>
        <v>5.33506720457634</v>
      </c>
      <c r="E361" s="88" t="n">
        <f aca="false">SUMIF($F$40:$F$219,2027,EI$40:EI$219)*$AO$10</f>
        <v>21.3402688183053</v>
      </c>
      <c r="F361" s="88" t="n">
        <f aca="false">SUMIF($F$40:$F$219,2028,EI$40:EI$219)*$AO$10</f>
        <v>15.2226082854167</v>
      </c>
      <c r="G361" s="88" t="n">
        <f aca="false">SUMIF($F$40:$F$219,2029,EI$40:EI$219)*$AO$10</f>
        <v>10.8528507619249</v>
      </c>
      <c r="H361" s="88" t="n">
        <f aca="false">SUMIF($F$40:$F$219,2030,EI$40:EI$219)*$AO$10</f>
        <v>10.8528507619249</v>
      </c>
      <c r="I361" s="88" t="n">
        <f aca="false">SUMIF($F$40:$F$219,2031,EI$40:EI$219)*$AO$10</f>
        <v>10.8528507619249</v>
      </c>
      <c r="J361" s="88" t="n">
        <f aca="false">SUMIF($F$40:$F$219,2032,EI$40:EI$219)*$AO$10</f>
        <v>10.6396816836906</v>
      </c>
      <c r="K361" s="88" t="n">
        <f aca="false">SUMIF($F$40:$F$219,2033,EI$40:EI$219)*$AO$10</f>
        <v>9.00399488181837</v>
      </c>
      <c r="L361" s="88" t="n">
        <f aca="false">SUMIF($F$40:$F$219,2034,EI$40:EI$219)*$AO$10</f>
        <v>7.90644528331651</v>
      </c>
      <c r="M361" s="88" t="n">
        <f aca="false">SUMIF($F$40:$F$219,2035,EI$40:EI$219)*$AO$10</f>
        <v>7.82384748000845</v>
      </c>
      <c r="N361" s="88" t="n">
        <f aca="false">SUMIF($F$40:$F$219,2036,EI$40:EI$219)*$AO$10</f>
        <v>7.74333547981442</v>
      </c>
      <c r="O361" s="88" t="n">
        <f aca="false">SUMIF($F$40:$F$219,2037,EI$40:EI$219)*$AO$10</f>
        <v>7.66741224647061</v>
      </c>
      <c r="P361" s="88" t="n">
        <f aca="false">SUMIF($F$40:$F$219,2038,EI$40:EI$219)*$AO$10</f>
        <v>3.18084974860377</v>
      </c>
      <c r="Q361" s="88" t="n">
        <f aca="false">SUMIF($F$40:$F$219,2039,EI$40:EI$219)*$AO$10</f>
        <v>0</v>
      </c>
      <c r="R361" s="88" t="n">
        <f aca="false">SUMIF($F$40:$F$219,2040,EI$40:EI$219)*$AO$10</f>
        <v>0</v>
      </c>
    </row>
    <row r="362" customFormat="false" ht="15" hidden="false" customHeight="false" outlineLevel="0" collapsed="false">
      <c r="A362" s="0" t="s">
        <v>202</v>
      </c>
      <c r="C362" s="88" t="n">
        <f aca="false">SUMIF($F$40:$F$219,0,EO$40:EO$219)*$AO$10</f>
        <v>52.6259720920478</v>
      </c>
      <c r="D362" s="88" t="n">
        <f aca="false">SUMIF($F$40:$F$219,2026,EO$40:EO$219)*$AO$10</f>
        <v>6.79008553309714</v>
      </c>
      <c r="E362" s="88" t="n">
        <f aca="false">SUMIF($F$40:$F$219,2027,EO$40:EO$219)*$AO$10</f>
        <v>27.1603421323887</v>
      </c>
      <c r="F362" s="88" t="n">
        <f aca="false">SUMIF($F$40:$F$219,2028,EO$40:EO$219)*$AO$10</f>
        <v>19.374228726894</v>
      </c>
      <c r="G362" s="88" t="n">
        <f aca="false">SUMIF($F$40:$F$219,2029,EO$40:EO$219)*$AO$10</f>
        <v>13.8127191515408</v>
      </c>
      <c r="H362" s="88" t="n">
        <f aca="false">SUMIF($F$40:$F$219,2030,EO$40:EO$219)*$AO$10</f>
        <v>13.8127191515408</v>
      </c>
      <c r="I362" s="88" t="n">
        <f aca="false">SUMIF($F$40:$F$219,2031,EO$40:EO$219)*$AO$10</f>
        <v>13.8127191515408</v>
      </c>
      <c r="J362" s="88" t="n">
        <f aca="false">SUMIF($F$40:$F$219,2032,EO$40:EO$219)*$AO$10</f>
        <v>13.5414130519698</v>
      </c>
      <c r="K362" s="88" t="n">
        <f aca="false">SUMIF($F$40:$F$219,2033,EO$40:EO$219)*$AO$10</f>
        <v>11.4596298495869</v>
      </c>
      <c r="L362" s="88" t="n">
        <f aca="false">SUMIF($F$40:$F$219,2034,EO$40:EO$219)*$AO$10</f>
        <v>10.0627485424029</v>
      </c>
      <c r="M362" s="88" t="n">
        <f aca="false">SUMIF($F$40:$F$219,2035,EO$40:EO$219)*$AO$10</f>
        <v>9.95762406546554</v>
      </c>
      <c r="N362" s="88" t="n">
        <f aca="false">SUMIF($F$40:$F$219,2036,EO$40:EO$219)*$AO$10</f>
        <v>9.85515424703659</v>
      </c>
      <c r="O362" s="88" t="n">
        <f aca="false">SUMIF($F$40:$F$219,2037,EO$40:EO$219)*$AO$10</f>
        <v>9.75852467732626</v>
      </c>
      <c r="P362" s="88" t="n">
        <f aca="false">SUMIF($F$40:$F$219,2038,EO$40:EO$219)*$AO$10</f>
        <v>4.04835422549575</v>
      </c>
      <c r="Q362" s="88" t="n">
        <f aca="false">SUMIF($F$40:$F$219,2039,EO$40:EO$219)*$AO$10</f>
        <v>0</v>
      </c>
      <c r="R362" s="88" t="n">
        <f aca="false">SUMIF($F$40:$F$219,2040,EO$40:EO$219)*$AO$10</f>
        <v>0</v>
      </c>
    </row>
    <row r="363" customFormat="false" ht="15" hidden="false" customHeight="false" outlineLevel="0" collapsed="false">
      <c r="A363" s="0" t="s">
        <v>204</v>
      </c>
      <c r="C363" s="88" t="n">
        <f aca="false">SUMIF($F$40:$F$219,0,EU$40:EU$219)*$AO$10</f>
        <v>95.3144690286602</v>
      </c>
      <c r="D363" s="88" t="n">
        <f aca="false">SUMIF($F$40:$F$219,2026,EU$40:EU$219)*$AO$10</f>
        <v>9.76074795382712</v>
      </c>
      <c r="E363" s="88" t="n">
        <f aca="false">SUMIF($F$40:$F$219,2027,EU$40:EU$219)*$AO$10</f>
        <v>39.0429918153085</v>
      </c>
      <c r="F363" s="88" t="n">
        <f aca="false">SUMIF($F$40:$F$219,2028,EU$40:EU$219)*$AO$10</f>
        <v>27.8504537949101</v>
      </c>
      <c r="G363" s="88" t="n">
        <f aca="false">SUMIF($F$40:$F$219,2029,EU$40:EU$219)*$AO$10</f>
        <v>19.8557837803397</v>
      </c>
      <c r="H363" s="88" t="n">
        <f aca="false">SUMIF($F$40:$F$219,2030,EU$40:EU$219)*$AO$10</f>
        <v>19.8557837803397</v>
      </c>
      <c r="I363" s="88" t="n">
        <f aca="false">SUMIF($F$40:$F$219,2031,EU$40:EU$219)*$AO$10</f>
        <v>19.8557837803397</v>
      </c>
      <c r="J363" s="88" t="n">
        <f aca="false">SUMIF($F$40:$F$219,2032,EU$40:EU$219)*$AO$10</f>
        <v>19.4657812622065</v>
      </c>
      <c r="K363" s="88" t="n">
        <f aca="false">SUMIF($F$40:$F$219,2033,EU$40:EU$219)*$AO$10</f>
        <v>16.4732179087812</v>
      </c>
      <c r="L363" s="88" t="n">
        <f aca="false">SUMIF($F$40:$F$219,2034,EU$40:EU$219)*$AO$10</f>
        <v>14.465201029704</v>
      </c>
      <c r="M363" s="88" t="n">
        <f aca="false">SUMIF($F$40:$F$219,2035,EU$40:EU$219)*$AO$10</f>
        <v>14.3140845941066</v>
      </c>
      <c r="N363" s="88" t="n">
        <f aca="false">SUMIF($F$40:$F$219,2036,EU$40:EU$219)*$AO$10</f>
        <v>14.1667842301151</v>
      </c>
      <c r="O363" s="88" t="n">
        <f aca="false">SUMIF($F$40:$F$219,2037,EU$40:EU$219)*$AO$10</f>
        <v>14.0278792236565</v>
      </c>
      <c r="P363" s="88" t="n">
        <f aca="false">SUMIF($F$40:$F$219,2038,EU$40:EU$219)*$AO$10</f>
        <v>5.81950919915018</v>
      </c>
      <c r="Q363" s="88" t="n">
        <f aca="false">SUMIF($F$40:$F$219,2039,EU$40:EU$219)*$AO$10</f>
        <v>0</v>
      </c>
      <c r="R363" s="88" t="n">
        <f aca="false">SUMIF($F$40:$F$219,2040,EU$40:EU$219)*$AO$10</f>
        <v>0</v>
      </c>
    </row>
    <row r="364" customFormat="false" ht="15" hidden="false" customHeight="false" outlineLevel="0" collapsed="false">
      <c r="A364" s="0" t="s">
        <v>206</v>
      </c>
      <c r="C364" s="88" t="n">
        <f aca="false">SUMIF($F$40:$F$219,0,FA$40:FA$219)*$AO$10</f>
        <v>0</v>
      </c>
      <c r="D364" s="88" t="n">
        <f aca="false">SUMIF($F$40:$F$219,2026,FA$40:FA$219)*$AO$10</f>
        <v>0</v>
      </c>
      <c r="E364" s="88" t="n">
        <f aca="false">SUMIF($F$40:$F$219,2027,FA$40:FA$219)*$AO$10</f>
        <v>0</v>
      </c>
      <c r="F364" s="88" t="n">
        <f aca="false">SUMIF($F$40:$F$219,2028,FA$40:FA$219)*$AO$10</f>
        <v>0</v>
      </c>
      <c r="G364" s="88" t="n">
        <f aca="false">SUMIF($F$40:$F$219,2029,FA$40:FA$219)*$AO$10</f>
        <v>11.8725830204446</v>
      </c>
      <c r="H364" s="88" t="n">
        <f aca="false">SUMIF($F$40:$F$219,2030,FA$40:FA$219)*$AO$10</f>
        <v>49.3311398269317</v>
      </c>
      <c r="I364" s="88" t="n">
        <f aca="false">SUMIF($F$40:$F$219,2031,FA$40:FA$219)*$AO$10</f>
        <v>49.3311398269317</v>
      </c>
      <c r="J364" s="88" t="n">
        <f aca="false">SUMIF($F$40:$F$219,2032,FA$40:FA$219)*$AO$10</f>
        <v>48.3621894713212</v>
      </c>
      <c r="K364" s="88" t="n">
        <f aca="false">SUMIF($F$40:$F$219,2033,FA$40:FA$219)*$AO$10</f>
        <v>40.927249462811</v>
      </c>
      <c r="L364" s="88" t="n">
        <f aca="false">SUMIF($F$40:$F$219,2034,FA$40:FA$219)*$AO$10</f>
        <v>35.9383876514389</v>
      </c>
      <c r="M364" s="88" t="n">
        <f aca="false">SUMIF($F$40:$F$219,2035,FA$40:FA$219)*$AO$10</f>
        <v>35.5629430909475</v>
      </c>
      <c r="N364" s="88" t="n">
        <f aca="false">SUMIF($F$40:$F$219,2036,FA$40:FA$219)*$AO$10</f>
        <v>35.1969794537017</v>
      </c>
      <c r="O364" s="88" t="n">
        <f aca="false">SUMIF($F$40:$F$219,2037,FA$40:FA$219)*$AO$10</f>
        <v>34.8518738475937</v>
      </c>
      <c r="P364" s="88" t="n">
        <f aca="false">SUMIF($F$40:$F$219,2038,FA$40:FA$219)*$AO$10</f>
        <v>14.458407948199</v>
      </c>
      <c r="Q364" s="88" t="n">
        <f aca="false">SUMIF($F$40:$F$219,2039,FA$40:FA$219)*$AO$10</f>
        <v>0</v>
      </c>
      <c r="R364" s="88" t="n">
        <f aca="false">SUMIF($F$40:$F$219,2040,FA$40:FA$219)*$AO$10</f>
        <v>0</v>
      </c>
    </row>
    <row r="365" customFormat="false" ht="15" hidden="false" customHeight="false" outlineLevel="0" collapsed="false">
      <c r="A365" s="0" t="s">
        <v>208</v>
      </c>
      <c r="C365" s="88" t="n">
        <f aca="false">SUMIF($F$40:$F$219,0,FG$40:FG$219)*$AO$10</f>
        <v>1117.10878513154</v>
      </c>
      <c r="D365" s="88" t="n">
        <f aca="false">SUMIF($F$40:$F$219,2026,FG$40:FG$219)*$AO$10</f>
        <v>119.419861358563</v>
      </c>
      <c r="E365" s="88" t="n">
        <f aca="false">SUMIF($F$40:$F$219,2027,FG$40:FG$219)*$AO$10</f>
        <v>495.250583645635</v>
      </c>
      <c r="F365" s="88" t="n">
        <f aca="false">SUMIF($F$40:$F$219,2028,FG$40:FG$219)*$AO$10</f>
        <v>362.228883518893</v>
      </c>
      <c r="G365" s="88" t="n">
        <f aca="false">SUMIF($F$40:$F$219,2029,FG$40:FG$219)*$AO$10</f>
        <v>258.248516993985</v>
      </c>
      <c r="H365" s="88" t="n">
        <f aca="false">SUMIF($F$40:$F$219,2030,FG$40:FG$219)*$AO$10</f>
        <v>258.248516993988</v>
      </c>
      <c r="I365" s="88" t="n">
        <f aca="false">SUMIF($F$40:$F$219,2031,FG$40:FG$219)*$AO$10</f>
        <v>258.248516993988</v>
      </c>
      <c r="J365" s="88" t="n">
        <f aca="false">SUMIF($F$40:$F$219,2032,FG$40:FG$219)*$AO$10</f>
        <v>253.176061882365</v>
      </c>
      <c r="K365" s="88" t="n">
        <f aca="false">SUMIF($F$40:$F$219,2033,FG$40:FG$219)*$AO$10</f>
        <v>214.254150937816</v>
      </c>
      <c r="L365" s="88" t="n">
        <f aca="false">SUMIF($F$40:$F$219,2034,FG$40:FG$219)*$AO$10</f>
        <v>188.137459355284</v>
      </c>
      <c r="M365" s="88" t="n">
        <f aca="false">SUMIF($F$40:$F$219,2035,FG$40:FG$219)*$AO$10</f>
        <v>186.172007081111</v>
      </c>
      <c r="N365" s="88" t="n">
        <f aca="false">SUMIF($F$40:$F$219,2036,FG$40:FG$219)*$AO$10</f>
        <v>184.256187440129</v>
      </c>
      <c r="O365" s="88" t="n">
        <f aca="false">SUMIF($F$40:$F$219,2037,FG$40:FG$219)*$AO$10</f>
        <v>182.449559592153</v>
      </c>
      <c r="P365" s="88" t="n">
        <f aca="false">SUMIF($F$40:$F$219,2038,FG$40:FG$219)*$AO$10</f>
        <v>75.6897656088219</v>
      </c>
      <c r="Q365" s="88" t="n">
        <f aca="false">SUMIF($F$40:$F$219,2039,FG$40:FG$219)*$AO$10</f>
        <v>0</v>
      </c>
      <c r="R365" s="88" t="n">
        <f aca="false">SUMIF($F$40:$F$219,2040,FG$40:FG$219)*$AO$10</f>
        <v>0</v>
      </c>
    </row>
    <row r="368" customFormat="false" ht="15" hidden="false" customHeight="false" outlineLevel="0" collapsed="false">
      <c r="A368" s="18" t="s">
        <v>380</v>
      </c>
      <c r="C368" s="18" t="s">
        <v>1105</v>
      </c>
      <c r="D368" s="18" t="n">
        <v>2026</v>
      </c>
      <c r="E368" s="18" t="n">
        <v>2027</v>
      </c>
      <c r="F368" s="18" t="n">
        <v>2028</v>
      </c>
      <c r="G368" s="18" t="n">
        <v>2029</v>
      </c>
      <c r="H368" s="18" t="n">
        <v>2030</v>
      </c>
      <c r="I368" s="18" t="n">
        <v>2031</v>
      </c>
      <c r="J368" s="18" t="n">
        <v>2032</v>
      </c>
      <c r="K368" s="18" t="n">
        <v>2033</v>
      </c>
      <c r="L368" s="18" t="n">
        <v>2034</v>
      </c>
      <c r="M368" s="18" t="n">
        <v>2035</v>
      </c>
      <c r="N368" s="18" t="n">
        <v>2036</v>
      </c>
      <c r="O368" s="18" t="n">
        <v>2037</v>
      </c>
      <c r="P368" s="18" t="n">
        <v>2038</v>
      </c>
      <c r="Q368" s="18" t="n">
        <v>2039</v>
      </c>
      <c r="R368" s="18" t="n">
        <v>2040</v>
      </c>
    </row>
    <row r="369" customFormat="false" ht="15" hidden="false" customHeight="false" outlineLevel="0" collapsed="false">
      <c r="A369" s="0" t="s">
        <v>210</v>
      </c>
      <c r="C369" s="88" t="n">
        <f aca="false">SUMIF($G$40:$G$219,0,M$40:M$219)*$AO$10*$AO$11</f>
        <v>8455.94929836285</v>
      </c>
      <c r="D369" s="88" t="n">
        <f aca="false">SUMIF($G$40:$G$219,2026,M$40:M$219)*$AO$10*$AO$11</f>
        <v>469.166666666667</v>
      </c>
      <c r="E369" s="88" t="n">
        <f aca="false">SUMIF($G$40:$G$219,2027,M$40:M$219)*$AO$10*$AO$11</f>
        <v>4048.81097560975</v>
      </c>
      <c r="F369" s="88" t="n">
        <f aca="false">SUMIF($G$40:$G$219,2028,M$40:M$219)*$AO$10*$AO$11</f>
        <v>1011.66666666668</v>
      </c>
      <c r="G369" s="88" t="n">
        <f aca="false">SUMIF($G$40:$G$219,2029,M$40:M$219)*$AO$10*$AO$11</f>
        <v>2484.02439024392</v>
      </c>
      <c r="H369" s="88" t="n">
        <f aca="false">SUMIF($G$40:$G$219,2030,M$40:M$219)*$AO$10*$AO$11</f>
        <v>2643.90243902441</v>
      </c>
      <c r="I369" s="88" t="n">
        <f aca="false">SUMIF($G$40:$G$219,2031,M$40:M$219)*$AO$10*$AO$11</f>
        <v>2643.90243902441</v>
      </c>
      <c r="J369" s="88" t="n">
        <f aca="false">SUMIF($G$40:$G$219,2032,M$40:M$219)*$AO$10*$AO$11</f>
        <v>2562.29674796747</v>
      </c>
      <c r="K369" s="88" t="n">
        <f aca="false">SUMIF($G$40:$G$219,2033,M$40:M$219)*$AO$10*$AO$11</f>
        <v>1986.9918699187</v>
      </c>
      <c r="L369" s="88" t="n">
        <f aca="false">SUMIF($G$40:$G$219,2034,M$40:M$219)*$AO$10*$AO$11</f>
        <v>1920.83333333335</v>
      </c>
      <c r="M369" s="88" t="n">
        <f aca="false">SUMIF($G$40:$G$219,2035,M$40:M$219)*$AO$10*$AO$11</f>
        <v>1898.27235772358</v>
      </c>
      <c r="N369" s="88" t="n">
        <f aca="false">SUMIF($G$40:$G$219,2036,M$40:M$219)*$AO$10*$AO$11</f>
        <v>1880.69105691054</v>
      </c>
      <c r="O369" s="88" t="n">
        <f aca="false">SUMIF($G$40:$G$219,2037,M$40:M$219)*$AO$10*$AO$11</f>
        <v>1861.38211382117</v>
      </c>
      <c r="P369" s="88" t="n">
        <f aca="false">SUMIF($G$40:$G$219,2038,M$40:M$219)*$AO$10*$AO$11</f>
        <v>154.979674796751</v>
      </c>
      <c r="Q369" s="88" t="n">
        <f aca="false">SUMIF($G$40:$G$219,2039,M$40:M$219)*$AO$10*$AO$11</f>
        <v>0</v>
      </c>
      <c r="R369" s="88" t="n">
        <f aca="false">SUMIF($G$40:$G$219,2040,M$40:M$219)*$AO$10*$AO$11</f>
        <v>0</v>
      </c>
    </row>
    <row r="370" customFormat="false" ht="15" hidden="false" customHeight="false" outlineLevel="0" collapsed="false">
      <c r="A370" s="0" t="s">
        <v>157</v>
      </c>
      <c r="C370" s="88" t="n">
        <f aca="false">SUMIF($G$40:$G$219,0,S$40:S$219)*$AO$10*$AO$11</f>
        <v>115.163720226709</v>
      </c>
      <c r="D370" s="88" t="n">
        <f aca="false">SUMIF($G$40:$G$219,2026,S$40:S$219)*$AO$10*$AO$11</f>
        <v>8.28064209232521</v>
      </c>
      <c r="E370" s="88" t="n">
        <f aca="false">SUMIF($G$40:$G$219,2027,S$40:S$219)*$AO$10*$AO$11</f>
        <v>53.708242797854</v>
      </c>
      <c r="F370" s="88" t="n">
        <f aca="false">SUMIF($G$40:$G$219,2028,S$40:S$219)*$AO$10*$AO$11</f>
        <v>78.0932065022099</v>
      </c>
      <c r="G370" s="88" t="n">
        <f aca="false">SUMIF($G$40:$G$219,2029,S$40:S$219)*$AO$10*$AO$11</f>
        <v>80.1649733430346</v>
      </c>
      <c r="H370" s="88" t="n">
        <f aca="false">SUMIF($G$40:$G$219,2030,S$40:S$219)*$AO$10*$AO$11</f>
        <v>80.1548107414086</v>
      </c>
      <c r="I370" s="88" t="n">
        <f aca="false">SUMIF($G$40:$G$219,2031,S$40:S$219)*$AO$10*$AO$11</f>
        <v>80.1548107414086</v>
      </c>
      <c r="J370" s="88" t="n">
        <f aca="false">SUMIF($G$40:$G$219,2032,S$40:S$219)*$AO$10*$AO$11</f>
        <v>77.6807827192172</v>
      </c>
      <c r="K370" s="88" t="n">
        <f aca="false">SUMIF($G$40:$G$219,2033,S$40:S$219)*$AO$10*$AO$11</f>
        <v>60.2393473099645</v>
      </c>
      <c r="L370" s="88" t="n">
        <f aca="false">SUMIF($G$40:$G$219,2034,S$40:S$219)*$AO$10*$AO$11</f>
        <v>58.2336284526203</v>
      </c>
      <c r="M370" s="88" t="n">
        <f aca="false">SUMIF($G$40:$G$219,2035,S$40:S$219)*$AO$10*$AO$11</f>
        <v>57.5496505934335</v>
      </c>
      <c r="N370" s="88" t="n">
        <f aca="false">SUMIF($G$40:$G$219,2036,S$40:S$219)*$AO$10*$AO$11</f>
        <v>57.0166408202846</v>
      </c>
      <c r="O370" s="88" t="n">
        <f aca="false">SUMIF($G$40:$G$219,2037,S$40:S$219)*$AO$10*$AO$11</f>
        <v>56.4312543642231</v>
      </c>
      <c r="P370" s="88" t="n">
        <f aca="false">SUMIF($G$40:$G$219,2038,S$40:S$219)*$AO$10*$AO$11</f>
        <v>4.69849655522167</v>
      </c>
      <c r="Q370" s="88" t="n">
        <f aca="false">SUMIF($G$40:$G$219,2039,S$40:S$219)*$AO$10*$AO$11</f>
        <v>0</v>
      </c>
      <c r="R370" s="88" t="n">
        <f aca="false">SUMIF($G$40:$G$219,2040,S$40:S$219)*$AO$10*$AO$11</f>
        <v>0</v>
      </c>
    </row>
    <row r="371" customFormat="false" ht="15" hidden="false" customHeight="false" outlineLevel="0" collapsed="false">
      <c r="A371" s="0" t="s">
        <v>160</v>
      </c>
      <c r="C371" s="88" t="n">
        <f aca="false">SUMIF($G$40:$G$219,0,Y$40:Y$219)*$AO$10*$AO$11</f>
        <v>769.236283042695</v>
      </c>
      <c r="D371" s="88" t="n">
        <f aca="false">SUMIF($G$40:$G$219,2026,Y$40:Y$219)*$AO$10*$AO$11</f>
        <v>44.9555075494345</v>
      </c>
      <c r="E371" s="88" t="n">
        <f aca="false">SUMIF($G$40:$G$219,2027,Y$40:Y$219)*$AO$10*$AO$11</f>
        <v>494.763533101485</v>
      </c>
      <c r="F371" s="88" t="n">
        <f aca="false">SUMIF($G$40:$G$219,2028,Y$40:Y$219)*$AO$10*$AO$11</f>
        <v>341.453192954331</v>
      </c>
      <c r="G371" s="88" t="n">
        <f aca="false">SUMIF($G$40:$G$219,2029,Y$40:Y$219)*$AO$10*$AO$11</f>
        <v>325.767921824917</v>
      </c>
      <c r="H371" s="88" t="n">
        <f aca="false">SUMIF($G$40:$G$219,2030,Y$40:Y$219)*$AO$10*$AO$11</f>
        <v>325.778084426543</v>
      </c>
      <c r="I371" s="88" t="n">
        <f aca="false">SUMIF($G$40:$G$219,2031,Y$40:Y$219)*$AO$10*$AO$11</f>
        <v>325.778084426543</v>
      </c>
      <c r="J371" s="88" t="n">
        <f aca="false">SUMIF($G$40:$G$219,2032,Y$40:Y$219)*$AO$10*$AO$11</f>
        <v>315.722741491638</v>
      </c>
      <c r="K371" s="88" t="n">
        <f aca="false">SUMIF($G$40:$G$219,2033,Y$40:Y$219)*$AO$10*$AO$11</f>
        <v>244.834452133599</v>
      </c>
      <c r="L371" s="88" t="n">
        <f aca="false">SUMIF($G$40:$G$219,2034,Y$40:Y$219)*$AO$10*$AO$11</f>
        <v>236.682486690735</v>
      </c>
      <c r="M371" s="88" t="n">
        <f aca="false">SUMIF($G$40:$G$219,2035,Y$40:Y$219)*$AO$10*$AO$11</f>
        <v>233.902553774735</v>
      </c>
      <c r="N371" s="88" t="n">
        <f aca="false">SUMIF($G$40:$G$219,2036,Y$40:Y$219)*$AO$10*$AO$11</f>
        <v>231.736209655501</v>
      </c>
      <c r="O371" s="88" t="n">
        <f aca="false">SUMIF($G$40:$G$219,2037,Y$40:Y$219)*$AO$10*$AO$11</f>
        <v>229.356987790459</v>
      </c>
      <c r="P371" s="88" t="n">
        <f aca="false">SUMIF($G$40:$G$219,2038,Y$40:Y$219)*$AO$10*$AO$11</f>
        <v>19.0963860220818</v>
      </c>
      <c r="Q371" s="88" t="n">
        <f aca="false">SUMIF($G$40:$G$219,2039,Y$40:Y$219)*$AO$10*$AO$11</f>
        <v>0</v>
      </c>
      <c r="R371" s="88" t="n">
        <f aca="false">SUMIF($G$40:$G$219,2040,Y$40:Y$219)*$AO$10*$AO$11</f>
        <v>0</v>
      </c>
    </row>
    <row r="372" customFormat="false" ht="15" hidden="false" customHeight="false" outlineLevel="0" collapsed="false">
      <c r="A372" s="0" t="s">
        <v>162</v>
      </c>
      <c r="C372" s="88" t="n">
        <f aca="false">SUMIF($G$40:$G$219,0,AE$40:AE$219)*$AO$10*$AO$11</f>
        <v>1070.29106638464</v>
      </c>
      <c r="D372" s="88" t="n">
        <f aca="false">SUMIF($G$40:$G$219,2026,AE$40:AE$219)*$AO$10*$AO$11</f>
        <v>30.4071791453471</v>
      </c>
      <c r="E372" s="88" t="n">
        <f aca="false">SUMIF($G$40:$G$219,2027,AE$40:AE$219)*$AO$10*$AO$11</f>
        <v>485.390229343625</v>
      </c>
      <c r="F372" s="88" t="n">
        <f aca="false">SUMIF($G$40:$G$219,2028,AE$40:AE$219)*$AO$10*$AO$11</f>
        <v>42.7442399791774</v>
      </c>
      <c r="G372" s="88" t="n">
        <f aca="false">SUMIF($G$40:$G$219,2029,AE$40:AE$219)*$AO$10*$AO$11</f>
        <v>0</v>
      </c>
      <c r="H372" s="88" t="n">
        <f aca="false">SUMIF($G$40:$G$219,2030,AE$40:AE$219)*$AO$10*$AO$11</f>
        <v>39.879517922725</v>
      </c>
      <c r="I372" s="88" t="n">
        <f aca="false">SUMIF($G$40:$G$219,2031,AE$40:AE$219)*$AO$10*$AO$11</f>
        <v>386.509214507304</v>
      </c>
      <c r="J372" s="88" t="n">
        <f aca="false">SUMIF($G$40:$G$219,2032,AE$40:AE$219)*$AO$10*$AO$11</f>
        <v>374.579367518934</v>
      </c>
      <c r="K372" s="88" t="n">
        <f aca="false">SUMIF($G$40:$G$219,2033,AE$40:AE$219)*$AO$10*$AO$11</f>
        <v>290.47617474042</v>
      </c>
      <c r="L372" s="88" t="n">
        <f aca="false">SUMIF($G$40:$G$219,2034,AE$40:AE$219)*$AO$10*$AO$11</f>
        <v>280.804530419843</v>
      </c>
      <c r="M372" s="88" t="n">
        <f aca="false">SUMIF($G$40:$G$219,2035,AE$40:AE$219)*$AO$10*$AO$11</f>
        <v>277.506365997147</v>
      </c>
      <c r="N372" s="88" t="n">
        <f aca="false">SUMIF($G$40:$G$219,2036,AE$40:AE$219)*$AO$10*$AO$11</f>
        <v>274.9361748029</v>
      </c>
      <c r="O372" s="88" t="n">
        <f aca="false">SUMIF($G$40:$G$219,2037,AE$40:AE$219)*$AO$10*$AO$11</f>
        <v>272.113421468167</v>
      </c>
      <c r="P372" s="88" t="n">
        <f aca="false">SUMIF($G$40:$G$219,2038,AE$40:AE$219)*$AO$10*$AO$11</f>
        <v>22.6563096603491</v>
      </c>
      <c r="Q372" s="88" t="n">
        <f aca="false">SUMIF($G$40:$G$219,2039,AE$40:AE$219)*$AO$10*$AO$11</f>
        <v>0</v>
      </c>
      <c r="R372" s="88" t="n">
        <f aca="false">SUMIF($G$40:$G$219,2040,AE$40:AE$219)*$AO$10*$AO$11</f>
        <v>0</v>
      </c>
    </row>
    <row r="373" customFormat="false" ht="15" hidden="false" customHeight="false" outlineLevel="0" collapsed="false">
      <c r="A373" s="0" t="s">
        <v>164</v>
      </c>
      <c r="C373" s="88" t="n">
        <f aca="false">SUMIF($G$40:$G$219,0,AK$40:AK$219)*$AO$10*$AO$11</f>
        <v>1315.75559610152</v>
      </c>
      <c r="D373" s="88" t="n">
        <f aca="false">SUMIF($G$40:$G$219,2026,AK$40:AK$219)*$AO$10*$AO$11</f>
        <v>57.4095096586827</v>
      </c>
      <c r="E373" s="88" t="n">
        <f aca="false">SUMIF($G$40:$G$219,2027,AK$40:AK$219)*$AO$10*$AO$11</f>
        <v>552.607464456164</v>
      </c>
      <c r="F373" s="88" t="n">
        <f aca="false">SUMIF($G$40:$G$219,2028,AK$40:AK$219)*$AO$10*$AO$11</f>
        <v>184.694336024166</v>
      </c>
      <c r="G373" s="88" t="n">
        <f aca="false">SUMIF($G$40:$G$219,2029,AK$40:AK$219)*$AO$10*$AO$11</f>
        <v>320.228656203667</v>
      </c>
      <c r="H373" s="88" t="n">
        <f aca="false">SUMIF($G$40:$G$219,2030,AK$40:AK$219)*$AO$10*$AO$11</f>
        <v>335.746948886594</v>
      </c>
      <c r="I373" s="88" t="n">
        <f aca="false">SUMIF($G$40:$G$219,2031,AK$40:AK$219)*$AO$10*$AO$11</f>
        <v>335.746948886594</v>
      </c>
      <c r="J373" s="88" t="n">
        <f aca="false">SUMIF($G$40:$G$219,2032,AK$40:AK$219)*$AO$10*$AO$11</f>
        <v>325.383910757908</v>
      </c>
      <c r="K373" s="88" t="n">
        <f aca="false">SUMIF($G$40:$G$219,2033,AK$40:AK$219)*$AO$10*$AO$11</f>
        <v>252.326427761022</v>
      </c>
      <c r="L373" s="88" t="n">
        <f aca="false">SUMIF($G$40:$G$219,2034,AK$40:AK$219)*$AO$10*$AO$11</f>
        <v>243.925010797416</v>
      </c>
      <c r="M373" s="88" t="n">
        <f aca="false">SUMIF($G$40:$G$219,2035,AK$40:AK$219)*$AO$10*$AO$11</f>
        <v>241.060011464205</v>
      </c>
      <c r="N373" s="88" t="n">
        <f aca="false">SUMIF($G$40:$G$219,2036,AK$40:AK$219)*$AO$10*$AO$11</f>
        <v>238.82737684868</v>
      </c>
      <c r="O373" s="88" t="n">
        <f aca="false">SUMIF($G$40:$G$219,2037,AK$40:AK$219)*$AO$10*$AO$11</f>
        <v>236.375350392337</v>
      </c>
      <c r="P373" s="88" t="n">
        <f aca="false">SUMIF($G$40:$G$219,2038,AK$40:AK$219)*$AO$10*$AO$11</f>
        <v>19.6807386628257</v>
      </c>
      <c r="Q373" s="88" t="n">
        <f aca="false">SUMIF($G$40:$G$219,2039,AK$40:AK$219)*$AO$10*$AO$11</f>
        <v>0</v>
      </c>
      <c r="R373" s="88" t="n">
        <f aca="false">SUMIF($G$40:$G$219,2040,AK$40:AK$219)*$AO$10*$AO$11</f>
        <v>0</v>
      </c>
    </row>
    <row r="374" customFormat="false" ht="15" hidden="false" customHeight="false" outlineLevel="0" collapsed="false">
      <c r="A374" s="0" t="s">
        <v>166</v>
      </c>
      <c r="C374" s="88" t="n">
        <f aca="false">SUMIF($G$40:$G$219,0,AQ$40:AQ$219)*$AO$10*$AO$11</f>
        <v>422.672855437912</v>
      </c>
      <c r="D374" s="88" t="n">
        <f aca="false">SUMIF($G$40:$G$219,2026,AQ$40:AQ$219)*$AO$10*$AO$11</f>
        <v>24.4791027288636</v>
      </c>
      <c r="E374" s="88" t="n">
        <f aca="false">SUMIF($G$40:$G$219,2027,AQ$40:AQ$219)*$AO$10*$AO$11</f>
        <v>165.319738324401</v>
      </c>
      <c r="F374" s="88" t="n">
        <f aca="false">SUMIF($G$40:$G$219,2028,AQ$40:AQ$219)*$AO$10*$AO$11</f>
        <v>91.7671536398122</v>
      </c>
      <c r="G374" s="88" t="n">
        <f aca="false">SUMIF($G$40:$G$219,2029,AQ$40:AQ$219)*$AO$10*$AO$11</f>
        <v>84.928116007732</v>
      </c>
      <c r="H374" s="88" t="n">
        <f aca="false">SUMIF($G$40:$G$219,2030,AQ$40:AQ$219)*$AO$10*$AO$11</f>
        <v>84.928116007732</v>
      </c>
      <c r="I374" s="88" t="n">
        <f aca="false">SUMIF($G$40:$G$219,2031,AQ$40:AQ$219)*$AO$10*$AO$11</f>
        <v>84.928116007732</v>
      </c>
      <c r="J374" s="88" t="n">
        <f aca="false">SUMIF($G$40:$G$219,2032,AQ$40:AQ$219)*$AO$10*$AO$11</f>
        <v>82.3067569535265</v>
      </c>
      <c r="K374" s="88" t="n">
        <f aca="false">SUMIF($G$40:$G$219,2033,AQ$40:AQ$219)*$AO$10*$AO$11</f>
        <v>63.8266652899431</v>
      </c>
      <c r="L374" s="88" t="n">
        <f aca="false">SUMIF($G$40:$G$219,2034,AQ$40:AQ$219)*$AO$10*$AO$11</f>
        <v>61.7015037154886</v>
      </c>
      <c r="M374" s="88" t="n">
        <f aca="false">SUMIF($G$40:$G$219,2035,AQ$40:AQ$219)*$AO$10*$AO$11</f>
        <v>60.9767942384849</v>
      </c>
      <c r="N374" s="88" t="n">
        <f aca="false">SUMIF($G$40:$G$219,2036,AQ$40:AQ$219)*$AO$10*$AO$11</f>
        <v>60.4120431595575</v>
      </c>
      <c r="O374" s="88" t="n">
        <f aca="false">SUMIF($G$40:$G$219,2037,AQ$40:AQ$219)*$AO$10*$AO$11</f>
        <v>59.7917963098725</v>
      </c>
      <c r="P374" s="88" t="n">
        <f aca="false">SUMIF($G$40:$G$219,2038,AQ$40:AQ$219)*$AO$10*$AO$11</f>
        <v>4.9782970830179</v>
      </c>
      <c r="Q374" s="88" t="n">
        <f aca="false">SUMIF($G$40:$G$219,2039,AQ$40:AQ$219)*$AO$10*$AO$11</f>
        <v>0</v>
      </c>
      <c r="R374" s="88" t="n">
        <f aca="false">SUMIF($G$40:$G$219,2040,AQ$40:AQ$219)*$AO$10*$AO$11</f>
        <v>0</v>
      </c>
    </row>
    <row r="375" customFormat="false" ht="15" hidden="false" customHeight="false" outlineLevel="0" collapsed="false">
      <c r="A375" s="0" t="s">
        <v>168</v>
      </c>
      <c r="C375" s="88" t="n">
        <f aca="false">SUMIF($G$40:$G$219,0,AW$40:AW$219)*$AO$10*$AO$11</f>
        <v>678.846188900626</v>
      </c>
      <c r="D375" s="88" t="n">
        <f aca="false">SUMIF($G$40:$G$219,2026,AW$40:AW$219)*$AO$10*$AO$11</f>
        <v>39.1854357365063</v>
      </c>
      <c r="E375" s="88" t="n">
        <f aca="false">SUMIF($G$40:$G$219,2027,AW$40:AW$219)*$AO$10*$AO$11</f>
        <v>334.269118484081</v>
      </c>
      <c r="F375" s="88" t="n">
        <f aca="false">SUMIF($G$40:$G$219,2028,AW$40:AW$219)*$AO$10*$AO$11</f>
        <v>109.257385758951</v>
      </c>
      <c r="G375" s="88" t="n">
        <f aca="false">SUMIF($G$40:$G$219,2029,AW$40:AW$219)*$AO$10*$AO$11</f>
        <v>339.283111460954</v>
      </c>
      <c r="H375" s="88" t="n">
        <f aca="false">SUMIF($G$40:$G$219,2030,AW$40:AW$219)*$AO$10*$AO$11</f>
        <v>362.128639916238</v>
      </c>
      <c r="I375" s="88" t="n">
        <f aca="false">SUMIF($G$40:$G$219,2031,AW$40:AW$219)*$AO$10*$AO$11</f>
        <v>362.128639916238</v>
      </c>
      <c r="J375" s="88" t="n">
        <f aca="false">SUMIF($G$40:$G$219,2032,AW$40:AW$219)*$AO$10*$AO$11</f>
        <v>350.951314506769</v>
      </c>
      <c r="K375" s="88" t="n">
        <f aca="false">SUMIF($G$40:$G$219,2033,AW$40:AW$219)*$AO$10*$AO$11</f>
        <v>272.153258288832</v>
      </c>
      <c r="L375" s="88" t="n">
        <f aca="false">SUMIF($G$40:$G$219,2034,AW$40:AW$219)*$AO$10*$AO$11</f>
        <v>263.091690615655</v>
      </c>
      <c r="M375" s="88" t="n">
        <f aca="false">SUMIF($G$40:$G$219,2035,AW$40:AW$219)*$AO$10*$AO$11</f>
        <v>260.001570763972</v>
      </c>
      <c r="N375" s="88" t="n">
        <f aca="false">SUMIF($G$40:$G$219,2036,AW$40:AW$219)*$AO$10*$AO$11</f>
        <v>257.593504393065</v>
      </c>
      <c r="O375" s="88" t="n">
        <f aca="false">SUMIF($G$40:$G$219,2037,AW$40:AW$219)*$AO$10*$AO$11</f>
        <v>254.948807222707</v>
      </c>
      <c r="P375" s="88" t="n">
        <f aca="false">SUMIF($G$40:$G$219,2038,AW$40:AW$219)*$AO$10*$AO$11</f>
        <v>21.2271746568371</v>
      </c>
      <c r="Q375" s="88" t="n">
        <f aca="false">SUMIF($G$40:$G$219,2039,AW$40:AW$219)*$AO$10*$AO$11</f>
        <v>0</v>
      </c>
      <c r="R375" s="88" t="n">
        <f aca="false">SUMIF($G$40:$G$219,2040,AW$40:AW$219)*$AO$10*$AO$11</f>
        <v>0</v>
      </c>
    </row>
    <row r="376" customFormat="false" ht="15" hidden="false" customHeight="false" outlineLevel="0" collapsed="false">
      <c r="A376" s="0" t="s">
        <v>170</v>
      </c>
      <c r="C376" s="88" t="n">
        <f aca="false">SUMIF($G$40:$G$219,0,BC$40:BC$219)*$AO$10*$AO$11</f>
        <v>191.738926443958</v>
      </c>
      <c r="D376" s="88" t="n">
        <f aca="false">SUMIF($G$40:$G$219,2026,BC$40:BC$219)*$AO$10*$AO$11</f>
        <v>9.78222595926121</v>
      </c>
      <c r="E376" s="88" t="n">
        <f aca="false">SUMIF($G$40:$G$219,2027,BC$40:BC$219)*$AO$10*$AO$11</f>
        <v>80.2685590075997</v>
      </c>
      <c r="F376" s="88" t="n">
        <f aca="false">SUMIF($G$40:$G$219,2028,BC$40:BC$219)*$AO$10*$AO$11</f>
        <v>45.3571575751238</v>
      </c>
      <c r="G376" s="88" t="n">
        <f aca="false">SUMIF($G$40:$G$219,2029,BC$40:BC$219)*$AO$10*$AO$11</f>
        <v>42.0050863436422</v>
      </c>
      <c r="H376" s="88" t="n">
        <f aca="false">SUMIF($G$40:$G$219,2030,BC$40:BC$219)*$AO$10*$AO$11</f>
        <v>42.0050863436422</v>
      </c>
      <c r="I376" s="88" t="n">
        <f aca="false">SUMIF($G$40:$G$219,2031,BC$40:BC$219)*$AO$10*$AO$11</f>
        <v>42.0050863436422</v>
      </c>
      <c r="J376" s="88" t="n">
        <f aca="false">SUMIF($G$40:$G$219,2032,BC$40:BC$219)*$AO$10*$AO$11</f>
        <v>40.7085732619258</v>
      </c>
      <c r="K376" s="88" t="n">
        <f aca="false">SUMIF($G$40:$G$219,2033,BC$40:BC$219)*$AO$10*$AO$11</f>
        <v>31.56839822382</v>
      </c>
      <c r="L376" s="88" t="n">
        <f aca="false">SUMIF($G$40:$G$219,2034,BC$40:BC$219)*$AO$10*$AO$11</f>
        <v>30.5173023132375</v>
      </c>
      <c r="M376" s="88" t="n">
        <f aca="false">SUMIF($G$40:$G$219,2035,BC$40:BC$219)*$AO$10*$AO$11</f>
        <v>30.158864076449</v>
      </c>
      <c r="N376" s="88" t="n">
        <f aca="false">SUMIF($G$40:$G$219,2036,BC$40:BC$219)*$AO$10*$AO$11</f>
        <v>29.8795405856179</v>
      </c>
      <c r="O376" s="88" t="n">
        <f aca="false">SUMIF($G$40:$G$219,2037,BC$40:BC$219)*$AO$10*$AO$11</f>
        <v>29.5727691217004</v>
      </c>
      <c r="P376" s="88" t="n">
        <f aca="false">SUMIF($G$40:$G$219,2038,BC$40:BC$219)*$AO$10*$AO$11</f>
        <v>2.46224464460544</v>
      </c>
      <c r="Q376" s="88" t="n">
        <f aca="false">SUMIF($G$40:$G$219,2039,BC$40:BC$219)*$AO$10*$AO$11</f>
        <v>0</v>
      </c>
      <c r="R376" s="88" t="n">
        <f aca="false">SUMIF($G$40:$G$219,2040,BC$40:BC$219)*$AO$10*$AO$11</f>
        <v>0</v>
      </c>
    </row>
    <row r="377" customFormat="false" ht="15" hidden="false" customHeight="false" outlineLevel="0" collapsed="false">
      <c r="A377" s="0" t="s">
        <v>172</v>
      </c>
      <c r="C377" s="88" t="n">
        <f aca="false">SUMIF($G$40:$G$219,0,BI$40:BI$219)*$AO$10*$AO$11</f>
        <v>939.602116454674</v>
      </c>
      <c r="D377" s="88" t="n">
        <f aca="false">SUMIF($G$40:$G$219,2026,BI$40:BI$219)*$AO$10*$AO$11</f>
        <v>63.1037893935358</v>
      </c>
      <c r="E377" s="88" t="n">
        <f aca="false">SUMIF($G$40:$G$219,2027,BI$40:BI$219)*$AO$10*$AO$11</f>
        <v>407.799565629509</v>
      </c>
      <c r="F377" s="88" t="n">
        <f aca="false">SUMIF($G$40:$G$219,2028,BI$40:BI$219)*$AO$10*$AO$11</f>
        <v>225.54961886828</v>
      </c>
      <c r="G377" s="88" t="n">
        <f aca="false">SUMIF($G$40:$G$219,2029,BI$40:BI$219)*$AO$10*$AO$11</f>
        <v>208.740311069587</v>
      </c>
      <c r="H377" s="88" t="n">
        <f aca="false">SUMIF($G$40:$G$219,2030,BI$40:BI$219)*$AO$10*$AO$11</f>
        <v>208.740311069587</v>
      </c>
      <c r="I377" s="88" t="n">
        <f aca="false">SUMIF($G$40:$G$219,2031,BI$40:BI$219)*$AO$10*$AO$11</f>
        <v>208.740311069587</v>
      </c>
      <c r="J377" s="88" t="n">
        <f aca="false">SUMIF($G$40:$G$219,2032,BI$40:BI$219)*$AO$10*$AO$11</f>
        <v>202.297411708082</v>
      </c>
      <c r="K377" s="88" t="n">
        <f aca="false">SUMIF($G$40:$G$219,2033,BI$40:BI$219)*$AO$10*$AO$11</f>
        <v>156.876174739871</v>
      </c>
      <c r="L377" s="88" t="n">
        <f aca="false">SUMIF($G$40:$G$219,2034,BI$40:BI$219)*$AO$10*$AO$11</f>
        <v>151.652852841567</v>
      </c>
      <c r="M377" s="88" t="n">
        <f aca="false">SUMIF($G$40:$G$219,2035,BI$40:BI$219)*$AO$10*$AO$11</f>
        <v>149.871627862421</v>
      </c>
      <c r="N377" s="88" t="n">
        <f aca="false">SUMIF($G$40:$G$219,2036,BI$40:BI$219)*$AO$10*$AO$11</f>
        <v>148.48355614444</v>
      </c>
      <c r="O377" s="88" t="n">
        <f aca="false">SUMIF($G$40:$G$219,2037,BI$40:BI$219)*$AO$10*$AO$11</f>
        <v>146.959084315442</v>
      </c>
      <c r="P377" s="88" t="n">
        <f aca="false">SUMIF($G$40:$G$219,2038,BI$40:BI$219)*$AO$10*$AO$11</f>
        <v>12.2358923116974</v>
      </c>
      <c r="Q377" s="88" t="n">
        <f aca="false">SUMIF($G$40:$G$219,2039,BI$40:BI$219)*$AO$10*$AO$11</f>
        <v>0</v>
      </c>
      <c r="R377" s="88" t="n">
        <f aca="false">SUMIF($G$40:$G$219,2040,BI$40:BI$219)*$AO$10*$AO$11</f>
        <v>0</v>
      </c>
    </row>
    <row r="378" customFormat="false" ht="15" hidden="false" customHeight="false" outlineLevel="0" collapsed="false">
      <c r="A378" s="0" t="s">
        <v>174</v>
      </c>
      <c r="C378" s="88" t="n">
        <f aca="false">SUMIF($G$40:$G$219,0,BO$40:BO$219)*$AO$10*$AO$11</f>
        <v>558.29267403118</v>
      </c>
      <c r="D378" s="88" t="n">
        <f aca="false">SUMIF($G$40:$G$219,2026,BO$40:BO$219)*$AO$10*$AO$11</f>
        <v>28.6050044967532</v>
      </c>
      <c r="E378" s="88" t="n">
        <f aca="false">SUMIF($G$40:$G$219,2027,BO$40:BO$219)*$AO$10*$AO$11</f>
        <v>156.426774947999</v>
      </c>
      <c r="F378" s="88" t="n">
        <f aca="false">SUMIF($G$40:$G$219,2028,BO$40:BO$219)*$AO$10*$AO$11</f>
        <v>12.9203884272384</v>
      </c>
      <c r="G378" s="88" t="n">
        <f aca="false">SUMIF($G$40:$G$219,2029,BO$40:BO$219)*$AO$10*$AO$11</f>
        <v>0</v>
      </c>
      <c r="H378" s="88" t="n">
        <f aca="false">SUMIF($G$40:$G$219,2030,BO$40:BO$219)*$AO$10*$AO$11</f>
        <v>0</v>
      </c>
      <c r="I378" s="88" t="n">
        <f aca="false">SUMIF($G$40:$G$219,2031,BO$40:BO$219)*$AO$10*$AO$11</f>
        <v>77.527554356682</v>
      </c>
      <c r="J378" s="88" t="n">
        <f aca="false">SUMIF($G$40:$G$219,2032,BO$40:BO$219)*$AO$10*$AO$11</f>
        <v>110.916628371873</v>
      </c>
      <c r="K378" s="88" t="n">
        <f aca="false">SUMIF($G$40:$G$219,2033,BO$40:BO$219)*$AO$10*$AO$11</f>
        <v>86.0128472584332</v>
      </c>
      <c r="L378" s="88" t="n">
        <f aca="false">SUMIF($G$40:$G$219,2034,BO$40:BO$219)*$AO$10*$AO$11</f>
        <v>83.1489784181483</v>
      </c>
      <c r="M378" s="88" t="n">
        <f aca="false">SUMIF($G$40:$G$219,2035,BO$40:BO$219)*$AO$10*$AO$11</f>
        <v>82.1723595509536</v>
      </c>
      <c r="N378" s="88" t="n">
        <f aca="false">SUMIF($G$40:$G$219,2036,BO$40:BO$219)*$AO$10*$AO$11</f>
        <v>81.4113007039957</v>
      </c>
      <c r="O378" s="88" t="n">
        <f aca="false">SUMIF($G$40:$G$219,2037,BO$40:BO$219)*$AO$10*$AO$11</f>
        <v>80.5754557275705</v>
      </c>
      <c r="P378" s="88" t="n">
        <f aca="false">SUMIF($G$40:$G$219,2038,BO$40:BO$219)*$AO$10*$AO$11</f>
        <v>6.70875573184897</v>
      </c>
      <c r="Q378" s="88" t="n">
        <f aca="false">SUMIF($G$40:$G$219,2039,BO$40:BO$219)*$AO$10*$AO$11</f>
        <v>0</v>
      </c>
      <c r="R378" s="88" t="n">
        <f aca="false">SUMIF($G$40:$G$219,2040,BO$40:BO$219)*$AO$10*$AO$11</f>
        <v>0</v>
      </c>
    </row>
    <row r="379" customFormat="false" ht="15" hidden="false" customHeight="false" outlineLevel="0" collapsed="false">
      <c r="A379" s="0" t="s">
        <v>176</v>
      </c>
      <c r="C379" s="88" t="n">
        <f aca="false">SUMIF($G$40:$G$219,0,BU$40:BU$219)*$AO$10*$AO$11</f>
        <v>113.340520431618</v>
      </c>
      <c r="D379" s="88" t="n">
        <f aca="false">SUMIF($G$40:$G$219,2026,BU$40:BU$219)*$AO$10*$AO$11</f>
        <v>5.84699723991364</v>
      </c>
      <c r="E379" s="88" t="n">
        <f aca="false">SUMIF($G$40:$G$219,2027,BU$40:BU$219)*$AO$10*$AO$11</f>
        <v>66.6063736833842</v>
      </c>
      <c r="F379" s="88" t="n">
        <f aca="false">SUMIF($G$40:$G$219,2028,BU$40:BU$219)*$AO$10*$AO$11</f>
        <v>38.5740056218081</v>
      </c>
      <c r="G379" s="88" t="n">
        <f aca="false">SUMIF($G$40:$G$219,2029,BU$40:BU$219)*$AO$10*$AO$11</f>
        <v>35.765076374525</v>
      </c>
      <c r="H379" s="88" t="n">
        <f aca="false">SUMIF($G$40:$G$219,2030,BU$40:BU$219)*$AO$10*$AO$11</f>
        <v>35.765076374525</v>
      </c>
      <c r="I379" s="88" t="n">
        <f aca="false">SUMIF($G$40:$G$219,2031,BU$40:BU$219)*$AO$10*$AO$11</f>
        <v>35.765076374525</v>
      </c>
      <c r="J379" s="88" t="n">
        <f aca="false">SUMIF($G$40:$G$219,2032,BU$40:BU$219)*$AO$10*$AO$11</f>
        <v>34.6611650765265</v>
      </c>
      <c r="K379" s="88" t="n">
        <f aca="false">SUMIF($G$40:$G$219,2033,BU$40:BU$219)*$AO$10*$AO$11</f>
        <v>26.8787966357135</v>
      </c>
      <c r="L379" s="88" t="n">
        <f aca="false">SUMIF($G$40:$G$219,2034,BU$40:BU$219)*$AO$10*$AO$11</f>
        <v>25.9838448860278</v>
      </c>
      <c r="M379" s="88" t="n">
        <f aca="false">SUMIF($G$40:$G$219,2035,BU$40:BU$219)*$AO$10*$AO$11</f>
        <v>25.6786539667804</v>
      </c>
      <c r="N379" s="88" t="n">
        <f aca="false">SUMIF($G$40:$G$219,2036,BU$40:BU$219)*$AO$10*$AO$11</f>
        <v>25.4408250071864</v>
      </c>
      <c r="O379" s="88" t="n">
        <f aca="false">SUMIF($G$40:$G$219,2037,BU$40:BU$219)*$AO$10*$AO$11</f>
        <v>25.1796255717942</v>
      </c>
      <c r="P379" s="88" t="n">
        <f aca="false">SUMIF($G$40:$G$219,2038,BU$40:BU$219)*$AO$10*$AO$11</f>
        <v>2.09646915248887</v>
      </c>
      <c r="Q379" s="88" t="n">
        <f aca="false">SUMIF($G$40:$G$219,2039,BU$40:BU$219)*$AO$10*$AO$11</f>
        <v>0</v>
      </c>
      <c r="R379" s="88" t="n">
        <f aca="false">SUMIF($G$40:$G$219,2040,BU$40:BU$219)*$AO$10*$AO$11</f>
        <v>0</v>
      </c>
    </row>
    <row r="380" customFormat="false" ht="15" hidden="false" customHeight="false" outlineLevel="0" collapsed="false">
      <c r="A380" s="0" t="s">
        <v>179</v>
      </c>
      <c r="C380" s="88" t="n">
        <f aca="false">SUMIF($G$40:$G$219,0,CA$40:CA$219)*$AO$10*$AO$11</f>
        <v>124.417354927146</v>
      </c>
      <c r="D380" s="88" t="n">
        <f aca="false">SUMIF($G$40:$G$219,2026,CA$40:CA$219)*$AO$10*$AO$11</f>
        <v>6.95175423626612</v>
      </c>
      <c r="E380" s="88" t="n">
        <f aca="false">SUMIF($G$40:$G$219,2027,CA$40:CA$219)*$AO$10*$AO$11</f>
        <v>41.7105254175968</v>
      </c>
      <c r="F380" s="88" t="n">
        <f aca="false">SUMIF($G$40:$G$219,2028,CA$40:CA$219)*$AO$10*$AO$11</f>
        <v>22.9205680665819</v>
      </c>
      <c r="G380" s="88" t="n">
        <f aca="false">SUMIF($G$40:$G$219,2029,CA$40:CA$219)*$AO$10*$AO$11</f>
        <v>21.2123901255806</v>
      </c>
      <c r="H380" s="88" t="n">
        <f aca="false">SUMIF($G$40:$G$219,2030,CA$40:CA$219)*$AO$10*$AO$11</f>
        <v>21.2123901255806</v>
      </c>
      <c r="I380" s="88" t="n">
        <f aca="false">SUMIF($G$40:$G$219,2031,CA$40:CA$219)*$AO$10*$AO$11</f>
        <v>21.2123901255806</v>
      </c>
      <c r="J380" s="88" t="n">
        <f aca="false">SUMIF($G$40:$G$219,2032,CA$40:CA$219)*$AO$10*$AO$11</f>
        <v>20.5576565281467</v>
      </c>
      <c r="K380" s="88" t="n">
        <f aca="false">SUMIF($G$40:$G$219,2033,CA$40:CA$219)*$AO$10*$AO$11</f>
        <v>15.9419069701473</v>
      </c>
      <c r="L380" s="88" t="n">
        <f aca="false">SUMIF($G$40:$G$219,2034,CA$40:CA$219)*$AO$10*$AO$11</f>
        <v>15.4111080013683</v>
      </c>
      <c r="M380" s="88" t="n">
        <f aca="false">SUMIF($G$40:$G$219,2035,CA$40:CA$219)*$AO$10*$AO$11</f>
        <v>15.2300982147805</v>
      </c>
      <c r="N380" s="88" t="n">
        <f aca="false">SUMIF($G$40:$G$219,2036,CA$40:CA$219)*$AO$10*$AO$11</f>
        <v>15.0890410387452</v>
      </c>
      <c r="O380" s="88" t="n">
        <f aca="false">SUMIF($G$40:$G$219,2037,CA$40:CA$219)*$AO$10*$AO$11</f>
        <v>14.9341227529264</v>
      </c>
      <c r="P380" s="88" t="n">
        <f aca="false">SUMIF($G$40:$G$219,2038,CA$40:CA$219)*$AO$10*$AO$11</f>
        <v>1.24342308354514</v>
      </c>
      <c r="Q380" s="88" t="n">
        <f aca="false">SUMIF($G$40:$G$219,2039,CA$40:CA$219)*$AO$10*$AO$11</f>
        <v>0</v>
      </c>
      <c r="R380" s="88" t="n">
        <f aca="false">SUMIF($G$40:$G$219,2040,CA$40:CA$219)*$AO$10*$AO$11</f>
        <v>0</v>
      </c>
    </row>
    <row r="381" customFormat="false" ht="15" hidden="false" customHeight="false" outlineLevel="0" collapsed="false">
      <c r="A381" s="0" t="s">
        <v>181</v>
      </c>
      <c r="C381" s="88" t="n">
        <f aca="false">SUMIF($G$40:$G$219,0,CG$40:CG$219)*$AO$10*$AO$11</f>
        <v>98.4378130555397</v>
      </c>
      <c r="D381" s="88" t="n">
        <f aca="false">SUMIF($G$40:$G$219,2026,CG$40:CG$219)*$AO$10*$AO$11</f>
        <v>10.2187817847951</v>
      </c>
      <c r="E381" s="88" t="n">
        <f aca="false">SUMIF($G$40:$G$219,2027,CG$40:CG$219)*$AO$10*$AO$11</f>
        <v>67.7964305461692</v>
      </c>
      <c r="F381" s="88" t="n">
        <f aca="false">SUMIF($G$40:$G$219,2028,CG$40:CG$219)*$AO$10*$AO$11</f>
        <v>37.5790708998608</v>
      </c>
      <c r="G381" s="88" t="n">
        <f aca="false">SUMIF($G$40:$G$219,2029,CG$40:CG$219)*$AO$10*$AO$11</f>
        <v>34.7784535779865</v>
      </c>
      <c r="H381" s="88" t="n">
        <f aca="false">SUMIF($G$40:$G$219,2030,CG$40:CG$219)*$AO$10*$AO$11</f>
        <v>34.7784535779865</v>
      </c>
      <c r="I381" s="88" t="n">
        <f aca="false">SUMIF($G$40:$G$219,2031,CG$40:CG$219)*$AO$10*$AO$11</f>
        <v>34.7784535779865</v>
      </c>
      <c r="J381" s="88" t="n">
        <f aca="false">SUMIF($G$40:$G$219,2032,CG$40:CG$219)*$AO$10*$AO$11</f>
        <v>33.7049950054496</v>
      </c>
      <c r="K381" s="88" t="n">
        <f aca="false">SUMIF($G$40:$G$219,2033,CG$40:CG$219)*$AO$10*$AO$11</f>
        <v>26.1373125905905</v>
      </c>
      <c r="L381" s="88" t="n">
        <f aca="false">SUMIF($G$40:$G$219,2034,CG$40:CG$219)*$AO$10*$AO$11</f>
        <v>25.2670491650341</v>
      </c>
      <c r="M381" s="88" t="n">
        <f aca="false">SUMIF($G$40:$G$219,2035,CG$40:CG$219)*$AO$10*$AO$11</f>
        <v>24.9702773056282</v>
      </c>
      <c r="N381" s="88" t="n">
        <f aca="false">SUMIF($G$40:$G$219,2036,CG$40:CG$219)*$AO$10*$AO$11</f>
        <v>24.7390091449194</v>
      </c>
      <c r="O381" s="88" t="n">
        <f aca="false">SUMIF($G$40:$G$219,2037,CG$40:CG$219)*$AO$10*$AO$11</f>
        <v>24.485015211193</v>
      </c>
      <c r="P381" s="88" t="n">
        <f aca="false">SUMIF($G$40:$G$219,2038,CG$40:CG$219)*$AO$10*$AO$11</f>
        <v>2.03863552069608</v>
      </c>
      <c r="Q381" s="88" t="n">
        <f aca="false">SUMIF($G$40:$G$219,2039,CG$40:CG$219)*$AO$10*$AO$11</f>
        <v>0</v>
      </c>
      <c r="R381" s="88" t="n">
        <f aca="false">SUMIF($G$40:$G$219,2040,CG$40:CG$219)*$AO$10*$AO$11</f>
        <v>0</v>
      </c>
    </row>
    <row r="382" customFormat="false" ht="15" hidden="false" customHeight="false" outlineLevel="0" collapsed="false">
      <c r="A382" s="0" t="s">
        <v>183</v>
      </c>
      <c r="C382" s="88" t="n">
        <f aca="false">SUMIF($G$40:$G$219,0,CM$40:CM$219)*$AO$10*$AO$11</f>
        <v>75.9426937179383</v>
      </c>
      <c r="D382" s="88" t="n">
        <f aca="false">SUMIF($G$40:$G$219,2026,CM$40:CM$219)*$AO$10*$AO$11</f>
        <v>9.01303020167059</v>
      </c>
      <c r="E382" s="88" t="n">
        <f aca="false">SUMIF($G$40:$G$219,2027,CM$40:CM$219)*$AO$10*$AO$11</f>
        <v>54.0781812100235</v>
      </c>
      <c r="F382" s="88" t="n">
        <f aca="false">SUMIF($G$40:$G$219,2028,CM$40:CM$219)*$AO$10*$AO$11</f>
        <v>29.7167830165568</v>
      </c>
      <c r="G382" s="88" t="n">
        <f aca="false">SUMIF($G$40:$G$219,2029,CM$40:CM$219)*$AO$10*$AO$11</f>
        <v>27.5021104535143</v>
      </c>
      <c r="H382" s="88" t="n">
        <f aca="false">SUMIF($G$40:$G$219,2030,CM$40:CM$219)*$AO$10*$AO$11</f>
        <v>27.5021104535143</v>
      </c>
      <c r="I382" s="88" t="n">
        <f aca="false">SUMIF($G$40:$G$219,2031,CM$40:CM$219)*$AO$10*$AO$11</f>
        <v>27.5021104535143</v>
      </c>
      <c r="J382" s="88" t="n">
        <f aca="false">SUMIF($G$40:$G$219,2032,CM$40:CM$219)*$AO$10*$AO$11</f>
        <v>26.6532407312596</v>
      </c>
      <c r="K382" s="88" t="n">
        <f aca="false">SUMIF($G$40:$G$219,2033,CM$40:CM$219)*$AO$10*$AO$11</f>
        <v>20.6688677578068</v>
      </c>
      <c r="L382" s="88" t="n">
        <f aca="false">SUMIF($G$40:$G$219,2034,CM$40:CM$219)*$AO$10*$AO$11</f>
        <v>19.9806807227041</v>
      </c>
      <c r="M382" s="88" t="n">
        <f aca="false">SUMIF($G$40:$G$219,2035,CM$40:CM$219)*$AO$10*$AO$11</f>
        <v>19.7459994296274</v>
      </c>
      <c r="N382" s="88" t="n">
        <f aca="false">SUMIF($G$40:$G$219,2036,CM$40:CM$219)*$AO$10*$AO$11</f>
        <v>19.5631171606988</v>
      </c>
      <c r="O382" s="88" t="n">
        <f aca="false">SUMIF($G$40:$G$219,2037,CM$40:CM$219)*$AO$10*$AO$11</f>
        <v>19.3622638017595</v>
      </c>
      <c r="P382" s="88" t="n">
        <f aca="false">SUMIF($G$40:$G$219,2038,CM$40:CM$219)*$AO$10*$AO$11</f>
        <v>1.61211248622424</v>
      </c>
      <c r="Q382" s="88" t="n">
        <f aca="false">SUMIF($G$40:$G$219,2039,CM$40:CM$219)*$AO$10*$AO$11</f>
        <v>0</v>
      </c>
      <c r="R382" s="88" t="n">
        <f aca="false">SUMIF($G$40:$G$219,2040,CM$40:CM$219)*$AO$10*$AO$11</f>
        <v>0</v>
      </c>
    </row>
    <row r="383" customFormat="false" ht="15" hidden="false" customHeight="false" outlineLevel="0" collapsed="false">
      <c r="A383" s="0" t="s">
        <v>185</v>
      </c>
      <c r="C383" s="88" t="n">
        <f aca="false">SUMIF($G$40:$G$219,0,CS$40:CS$219)*$AO$10*$AO$11</f>
        <v>437.379369966624</v>
      </c>
      <c r="D383" s="88" t="n">
        <f aca="false">SUMIF($G$40:$G$219,2026,CS$40:CS$219)*$AO$10*$AO$11</f>
        <v>36.2369476129691</v>
      </c>
      <c r="E383" s="88" t="n">
        <f aca="false">SUMIF($G$40:$G$219,2027,CS$40:CS$219)*$AO$10*$AO$11</f>
        <v>233.966401124969</v>
      </c>
      <c r="F383" s="88" t="n">
        <f aca="false">SUMIF($G$40:$G$219,2028,CS$40:CS$219)*$AO$10*$AO$11</f>
        <v>129.394602282855</v>
      </c>
      <c r="G383" s="88" t="n">
        <f aca="false">SUMIF($G$40:$G$219,2029,CS$40:CS$219)*$AO$10*$AO$11</f>
        <v>119.751341929877</v>
      </c>
      <c r="H383" s="88" t="n">
        <f aca="false">SUMIF($G$40:$G$219,2030,CS$40:CS$219)*$AO$10*$AO$11</f>
        <v>119.751341929877</v>
      </c>
      <c r="I383" s="88" t="n">
        <f aca="false">SUMIF($G$40:$G$219,2031,CS$40:CS$219)*$AO$10*$AO$11</f>
        <v>119.751341929877</v>
      </c>
      <c r="J383" s="88" t="n">
        <f aca="false">SUMIF($G$40:$G$219,2032,CS$40:CS$219)*$AO$10*$AO$11</f>
        <v>116.055142376922</v>
      </c>
      <c r="K383" s="88" t="n">
        <f aca="false">SUMIF($G$40:$G$219,2033,CS$40:CS$219)*$AO$10*$AO$11</f>
        <v>89.9976259768193</v>
      </c>
      <c r="L383" s="88" t="n">
        <f aca="false">SUMIF($G$40:$G$219,2034,CS$40:CS$219)*$AO$10*$AO$11</f>
        <v>87.001080635631</v>
      </c>
      <c r="M383" s="88" t="n">
        <f aca="false">SUMIF($G$40:$G$219,2035,CS$40:CS$219)*$AO$10*$AO$11</f>
        <v>85.9792172473914</v>
      </c>
      <c r="N383" s="88" t="n">
        <f aca="false">SUMIF($G$40:$G$219,2036,CS$40:CS$219)*$AO$10*$AO$11</f>
        <v>85.1829002826828</v>
      </c>
      <c r="O383" s="88" t="n">
        <f aca="false">SUMIF($G$40:$G$219,2037,CS$40:CS$219)*$AO$10*$AO$11</f>
        <v>84.308332517975</v>
      </c>
      <c r="P383" s="88" t="n">
        <f aca="false">SUMIF($G$40:$G$219,2038,CS$40:CS$219)*$AO$10*$AO$11</f>
        <v>7.01955705885084</v>
      </c>
      <c r="Q383" s="88" t="n">
        <f aca="false">SUMIF($G$40:$G$219,2039,CS$40:CS$219)*$AO$10*$AO$11</f>
        <v>0</v>
      </c>
      <c r="R383" s="88" t="n">
        <f aca="false">SUMIF($G$40:$G$219,2040,CS$40:CS$219)*$AO$10*$AO$11</f>
        <v>0</v>
      </c>
    </row>
    <row r="384" customFormat="false" ht="15" hidden="false" customHeight="false" outlineLevel="0" collapsed="false">
      <c r="A384" s="0" t="s">
        <v>187</v>
      </c>
      <c r="C384" s="88" t="n">
        <f aca="false">SUMIF($G$40:$G$219,0,CY$40:CY$219)*$AO$10*$AO$11</f>
        <v>132.703422221587</v>
      </c>
      <c r="D384" s="88" t="n">
        <f aca="false">SUMIF($G$40:$G$219,2026,CY$40:CY$219)*$AO$10*$AO$11</f>
        <v>8.16426951003349</v>
      </c>
      <c r="E384" s="88" t="n">
        <f aca="false">SUMIF($G$40:$G$219,2027,CY$40:CY$219)*$AO$10*$AO$11</f>
        <v>48.9856170602009</v>
      </c>
      <c r="F384" s="88" t="n">
        <f aca="false">SUMIF($G$40:$G$219,2028,CY$40:CY$219)*$AO$10*$AO$11</f>
        <v>26.918341566567</v>
      </c>
      <c r="G384" s="88" t="n">
        <f aca="false">SUMIF($G$40:$G$219,2029,CY$40:CY$219)*$AO$10*$AO$11</f>
        <v>24.9122256126003</v>
      </c>
      <c r="H384" s="88" t="n">
        <f aca="false">SUMIF($G$40:$G$219,2030,CY$40:CY$219)*$AO$10*$AO$11</f>
        <v>24.9122256126003</v>
      </c>
      <c r="I384" s="88" t="n">
        <f aca="false">SUMIF($G$40:$G$219,2031,CY$40:CY$219)*$AO$10*$AO$11</f>
        <v>24.9122256126003</v>
      </c>
      <c r="J384" s="88" t="n">
        <f aca="false">SUMIF($G$40:$G$219,2032,CY$40:CY$219)*$AO$10*$AO$11</f>
        <v>24.1432942946839</v>
      </c>
      <c r="K384" s="88" t="n">
        <f aca="false">SUMIF($G$40:$G$219,2033,CY$40:CY$219)*$AO$10*$AO$11</f>
        <v>18.7224721393589</v>
      </c>
      <c r="L384" s="88" t="n">
        <f aca="false">SUMIF($G$40:$G$219,2034,CY$40:CY$219)*$AO$10*$AO$11</f>
        <v>18.0990919550956</v>
      </c>
      <c r="M384" s="88" t="n">
        <f aca="false">SUMIF($G$40:$G$219,2035,CY$40:CY$219)*$AO$10*$AO$11</f>
        <v>17.886510694102</v>
      </c>
      <c r="N384" s="88" t="n">
        <f aca="false">SUMIF($G$40:$G$219,2036,CY$40:CY$219)*$AO$10*$AO$11</f>
        <v>17.7208505222468</v>
      </c>
      <c r="O384" s="88" t="n">
        <f aca="false">SUMIF($G$40:$G$219,2037,CY$40:CY$219)*$AO$10*$AO$11</f>
        <v>17.5389116051813</v>
      </c>
      <c r="P384" s="88" t="n">
        <f aca="false">SUMIF($G$40:$G$219,2038,CY$40:CY$219)*$AO$10*$AO$11</f>
        <v>1.46029920276816</v>
      </c>
      <c r="Q384" s="88" t="n">
        <f aca="false">SUMIF($G$40:$G$219,2039,CY$40:CY$219)*$AO$10*$AO$11</f>
        <v>0</v>
      </c>
      <c r="R384" s="88" t="n">
        <f aca="false">SUMIF($G$40:$G$219,2040,CY$40:CY$219)*$AO$10*$AO$11</f>
        <v>0</v>
      </c>
    </row>
    <row r="385" customFormat="false" ht="15" hidden="false" customHeight="false" outlineLevel="0" collapsed="false">
      <c r="A385" s="0" t="s">
        <v>189</v>
      </c>
      <c r="C385" s="88" t="n">
        <f aca="false">SUMIF($G$40:$G$219,0,DE$40:DE$219)*$AO$10*$AO$11</f>
        <v>45.2830786528769</v>
      </c>
      <c r="D385" s="88" t="n">
        <f aca="false">SUMIF($G$40:$G$219,2026,DE$40:DE$219)*$AO$10*$AO$11</f>
        <v>0</v>
      </c>
      <c r="E385" s="88" t="n">
        <f aca="false">SUMIF($G$40:$G$219,2027,DE$40:DE$219)*$AO$10*$AO$11</f>
        <v>0</v>
      </c>
      <c r="F385" s="88" t="n">
        <f aca="false">SUMIF($G$40:$G$219,2028,DE$40:DE$219)*$AO$10*$AO$11</f>
        <v>0</v>
      </c>
      <c r="G385" s="88" t="n">
        <f aca="false">SUMIF($G$40:$G$219,2029,DE$40:DE$219)*$AO$10*$AO$11</f>
        <v>0</v>
      </c>
      <c r="H385" s="88" t="n">
        <f aca="false">SUMIF($G$40:$G$219,2030,DE$40:DE$219)*$AO$10*$AO$11</f>
        <v>0</v>
      </c>
      <c r="I385" s="88" t="n">
        <f aca="false">SUMIF($G$40:$G$219,2031,DE$40:DE$219)*$AO$10*$AO$11</f>
        <v>0</v>
      </c>
      <c r="J385" s="88" t="n">
        <f aca="false">SUMIF($G$40:$G$219,2032,DE$40:DE$219)*$AO$10*$AO$11</f>
        <v>4.91533914779471</v>
      </c>
      <c r="K385" s="88" t="n">
        <f aca="false">SUMIF($G$40:$G$219,2033,DE$40:DE$219)*$AO$10*$AO$11</f>
        <v>18.5371011280782</v>
      </c>
      <c r="L385" s="88" t="n">
        <f aca="false">SUMIF($G$40:$G$219,2034,DE$40:DE$219)*$AO$10*$AO$11</f>
        <v>17.919893024847</v>
      </c>
      <c r="M385" s="88" t="n">
        <f aca="false">SUMIF($G$40:$G$219,2035,DE$40:DE$219)*$AO$10*$AO$11</f>
        <v>17.7094165288137</v>
      </c>
      <c r="N385" s="88" t="n">
        <f aca="false">SUMIF($G$40:$G$219,2036,DE$40:DE$219)*$AO$10*$AO$11</f>
        <v>17.5453965566806</v>
      </c>
      <c r="O385" s="88" t="n">
        <f aca="false">SUMIF($G$40:$G$219,2037,DE$40:DE$219)*$AO$10*$AO$11</f>
        <v>17.3652590150305</v>
      </c>
      <c r="P385" s="88" t="n">
        <f aca="false">SUMIF($G$40:$G$219,2038,DE$40:DE$219)*$AO$10*$AO$11</f>
        <v>1.4458407948199</v>
      </c>
      <c r="Q385" s="88" t="n">
        <f aca="false">SUMIF($G$40:$G$219,2039,DE$40:DE$219)*$AO$10*$AO$11</f>
        <v>0</v>
      </c>
      <c r="R385" s="88" t="n">
        <f aca="false">SUMIF($G$40:$G$219,2040,DE$40:DE$219)*$AO$10*$AO$11</f>
        <v>0</v>
      </c>
    </row>
    <row r="386" customFormat="false" ht="15" hidden="false" customHeight="false" outlineLevel="0" collapsed="false">
      <c r="A386" s="0" t="s">
        <v>192</v>
      </c>
      <c r="C386" s="88" t="n">
        <f aca="false">SUMIF($G$40:$G$219,0,DK$40:DK$219)*$AO$10*$AO$11</f>
        <v>117.907144494912</v>
      </c>
      <c r="D386" s="88" t="n">
        <f aca="false">SUMIF($G$40:$G$219,2026,DK$40:DK$219)*$AO$10*$AO$11</f>
        <v>6.58799965413592</v>
      </c>
      <c r="E386" s="88" t="n">
        <f aca="false">SUMIF($G$40:$G$219,2027,DK$40:DK$219)*$AO$10*$AO$11</f>
        <v>39.5279979248155</v>
      </c>
      <c r="F386" s="88" t="n">
        <f aca="false">SUMIF($G$40:$G$219,2028,DK$40:DK$219)*$AO$10*$AO$11</f>
        <v>21.7212360165863</v>
      </c>
      <c r="G386" s="88" t="n">
        <f aca="false">SUMIF($G$40:$G$219,2029,DK$40:DK$219)*$AO$10*$AO$11</f>
        <v>20.1024394794745</v>
      </c>
      <c r="H386" s="88" t="n">
        <f aca="false">SUMIF($G$40:$G$219,2030,DK$40:DK$219)*$AO$10*$AO$11</f>
        <v>20.1024394794745</v>
      </c>
      <c r="I386" s="88" t="n">
        <f aca="false">SUMIF($G$40:$G$219,2031,DK$40:DK$219)*$AO$10*$AO$11</f>
        <v>20.1024394794745</v>
      </c>
      <c r="J386" s="88" t="n">
        <f aca="false">SUMIF($G$40:$G$219,2032,DK$40:DK$219)*$AO$10*$AO$11</f>
        <v>19.4819651981854</v>
      </c>
      <c r="K386" s="88" t="n">
        <f aca="false">SUMIF($G$40:$G$219,2033,DK$40:DK$219)*$AO$10*$AO$11</f>
        <v>15.1077374193839</v>
      </c>
      <c r="L386" s="88" t="n">
        <f aca="false">SUMIF($G$40:$G$219,2034,DK$40:DK$219)*$AO$10*$AO$11</f>
        <v>14.6047128152503</v>
      </c>
      <c r="M386" s="88" t="n">
        <f aca="false">SUMIF($G$40:$G$219,2035,DK$40:DK$219)*$AO$10*$AO$11</f>
        <v>14.4331744709833</v>
      </c>
      <c r="N386" s="88" t="n">
        <f aca="false">SUMIF($G$40:$G$219,2036,DK$40:DK$219)*$AO$10*$AO$11</f>
        <v>14.2994981936947</v>
      </c>
      <c r="O386" s="88" t="n">
        <f aca="false">SUMIF($G$40:$G$219,2037,DK$40:DK$219)*$AO$10*$AO$11</f>
        <v>14.1526860972498</v>
      </c>
      <c r="P386" s="88" t="n">
        <f aca="false">SUMIF($G$40:$G$219,2038,DK$40:DK$219)*$AO$10*$AO$11</f>
        <v>1.17836024777822</v>
      </c>
      <c r="Q386" s="88" t="n">
        <f aca="false">SUMIF($G$40:$G$219,2039,DK$40:DK$219)*$AO$10*$AO$11</f>
        <v>0</v>
      </c>
      <c r="R386" s="88" t="n">
        <f aca="false">SUMIF($G$40:$G$219,2040,DK$40:DK$219)*$AO$10*$AO$11</f>
        <v>0</v>
      </c>
    </row>
    <row r="387" customFormat="false" ht="15" hidden="false" customHeight="false" outlineLevel="0" collapsed="false">
      <c r="A387" s="0" t="s">
        <v>194</v>
      </c>
      <c r="C387" s="88" t="n">
        <f aca="false">SUMIF($G$40:$G$219,0,DQ$40:DQ$219)*$AO$10*$AO$11</f>
        <v>21.6442816614081</v>
      </c>
      <c r="D387" s="88" t="n">
        <f aca="false">SUMIF($G$40:$G$219,2026,DQ$40:DQ$219)*$AO$10*$AO$11</f>
        <v>0</v>
      </c>
      <c r="E387" s="88" t="n">
        <f aca="false">SUMIF($G$40:$G$219,2027,DQ$40:DQ$219)*$AO$10*$AO$11</f>
        <v>0</v>
      </c>
      <c r="F387" s="88" t="n">
        <f aca="false">SUMIF($G$40:$G$219,2028,DQ$40:DQ$219)*$AO$10*$AO$11</f>
        <v>0</v>
      </c>
      <c r="G387" s="88" t="n">
        <f aca="false">SUMIF($G$40:$G$219,2029,DQ$40:DQ$219)*$AO$10*$AO$11</f>
        <v>0.370984734196386</v>
      </c>
      <c r="H387" s="88" t="n">
        <f aca="false">SUMIF($G$40:$G$219,2030,DQ$40:DQ$219)*$AO$10*$AO$11</f>
        <v>14.0593748506754</v>
      </c>
      <c r="I387" s="88" t="n">
        <f aca="false">SUMIF($G$40:$G$219,2031,DQ$40:DQ$219)*$AO$10*$AO$11</f>
        <v>14.0593748506756</v>
      </c>
      <c r="J387" s="88" t="n">
        <f aca="false">SUMIF($G$40:$G$219,2032,DQ$40:DQ$219)*$AO$10*$AO$11</f>
        <v>13.6254235128414</v>
      </c>
      <c r="K387" s="88" t="n">
        <f aca="false">SUMIF($G$40:$G$219,2033,DQ$40:DQ$219)*$AO$10*$AO$11</f>
        <v>10.5661476430047</v>
      </c>
      <c r="L387" s="88" t="n">
        <f aca="false">SUMIF($G$40:$G$219,2034,DQ$40:DQ$219)*$AO$10*$AO$11</f>
        <v>10.2143390241627</v>
      </c>
      <c r="M387" s="88" t="n">
        <f aca="false">SUMIF($G$40:$G$219,2035,DQ$40:DQ$219)*$AO$10*$AO$11</f>
        <v>10.0943674214238</v>
      </c>
      <c r="N387" s="88" t="n">
        <f aca="false">SUMIF($G$40:$G$219,2036,DQ$40:DQ$219)*$AO$10*$AO$11</f>
        <v>10.0008760373077</v>
      </c>
      <c r="O387" s="88" t="n">
        <f aca="false">SUMIF($G$40:$G$219,2037,DQ$40:DQ$219)*$AO$10*$AO$11</f>
        <v>9.89819763856757</v>
      </c>
      <c r="P387" s="88" t="n">
        <f aca="false">SUMIF($G$40:$G$219,2038,DQ$40:DQ$219)*$AO$10*$AO$11</f>
        <v>0.824129253047367</v>
      </c>
      <c r="Q387" s="88" t="n">
        <f aca="false">SUMIF($G$40:$G$219,2039,DQ$40:DQ$219)*$AO$10*$AO$11</f>
        <v>0</v>
      </c>
      <c r="R387" s="88" t="n">
        <f aca="false">SUMIF($G$40:$G$219,2040,DQ$40:DQ$219)*$AO$10*$AO$11</f>
        <v>0</v>
      </c>
    </row>
    <row r="388" customFormat="false" ht="15" hidden="false" customHeight="false" outlineLevel="0" collapsed="false">
      <c r="A388" s="0" t="s">
        <v>196</v>
      </c>
      <c r="C388" s="88" t="n">
        <f aca="false">SUMIF($G$40:$G$219,0,DW$40:DW$219)*$AO$10*$AO$11</f>
        <v>29.805576875944</v>
      </c>
      <c r="D388" s="88" t="n">
        <f aca="false">SUMIF($G$40:$G$219,2026,DW$40:DW$219)*$AO$10*$AO$11</f>
        <v>3.06867336095695</v>
      </c>
      <c r="E388" s="88" t="n">
        <f aca="false">SUMIF($G$40:$G$219,2027,DW$40:DW$219)*$AO$10*$AO$11</f>
        <v>21.3185442307824</v>
      </c>
      <c r="F388" s="88" t="n">
        <f aca="false">SUMIF($G$40:$G$219,2028,DW$40:DW$219)*$AO$10*$AO$11</f>
        <v>11.8600613832895</v>
      </c>
      <c r="G388" s="88" t="n">
        <f aca="false">SUMIF($G$40:$G$219,2029,DW$40:DW$219)*$AO$10*$AO$11</f>
        <v>10.9761786114923</v>
      </c>
      <c r="H388" s="88" t="n">
        <f aca="false">SUMIF($G$40:$G$219,2030,DW$40:DW$219)*$AO$10*$AO$11</f>
        <v>10.9761786114923</v>
      </c>
      <c r="I388" s="88" t="n">
        <f aca="false">SUMIF($G$40:$G$219,2031,DW$40:DW$219)*$AO$10*$AO$11</f>
        <v>10.9761786114923</v>
      </c>
      <c r="J388" s="88" t="n">
        <f aca="false">SUMIF($G$40:$G$219,2032,DW$40:DW$219)*$AO$10*$AO$11</f>
        <v>10.637392040727</v>
      </c>
      <c r="K388" s="88" t="n">
        <f aca="false">SUMIF($G$40:$G$219,2033,DW$40:DW$219)*$AO$10*$AO$11</f>
        <v>8.24901000199476</v>
      </c>
      <c r="L388" s="88" t="n">
        <f aca="false">SUMIF($G$40:$G$219,2034,DW$40:DW$219)*$AO$10*$AO$11</f>
        <v>7.97435239605688</v>
      </c>
      <c r="M388" s="88" t="n">
        <f aca="false">SUMIF($G$40:$G$219,2035,DW$40:DW$219)*$AO$10*$AO$11</f>
        <v>7.88069035532222</v>
      </c>
      <c r="N388" s="88" t="n">
        <f aca="false">SUMIF($G$40:$G$219,2036,DW$40:DW$219)*$AO$10*$AO$11</f>
        <v>7.80770146772261</v>
      </c>
      <c r="O388" s="88" t="n">
        <f aca="false">SUMIF($G$40:$G$219,2037,DW$40:DW$219)*$AO$10*$AO$11</f>
        <v>7.72754026168877</v>
      </c>
      <c r="P388" s="88" t="n">
        <f aca="false">SUMIF($G$40:$G$219,2038,DW$40:DW$219)*$AO$10*$AO$11</f>
        <v>0.643399153694879</v>
      </c>
      <c r="Q388" s="88" t="n">
        <f aca="false">SUMIF($G$40:$G$219,2039,DW$40:DW$219)*$AO$10*$AO$11</f>
        <v>0</v>
      </c>
      <c r="R388" s="88" t="n">
        <f aca="false">SUMIF($G$40:$G$219,2040,DW$40:DW$219)*$AO$10*$AO$11</f>
        <v>0</v>
      </c>
    </row>
    <row r="389" customFormat="false" ht="15" hidden="false" customHeight="false" outlineLevel="0" collapsed="false">
      <c r="A389" s="0" t="s">
        <v>198</v>
      </c>
      <c r="C389" s="88" t="n">
        <f aca="false">SUMIF($G$40:$G$219,0,EC$40:EC$219)*$AO$10*$AO$11</f>
        <v>42.7536207490021</v>
      </c>
      <c r="D389" s="88" t="n">
        <f aca="false">SUMIF($G$40:$G$219,2026,EC$40:EC$219)*$AO$10*$AO$11</f>
        <v>0</v>
      </c>
      <c r="E389" s="88" t="n">
        <f aca="false">SUMIF($G$40:$G$219,2027,EC$40:EC$219)*$AO$10*$AO$11</f>
        <v>0</v>
      </c>
      <c r="F389" s="88" t="n">
        <f aca="false">SUMIF($G$40:$G$219,2028,EC$40:EC$219)*$AO$10*$AO$11</f>
        <v>0</v>
      </c>
      <c r="G389" s="88" t="n">
        <f aca="false">SUMIF($G$40:$G$219,2029,EC$40:EC$219)*$AO$10*$AO$11</f>
        <v>0</v>
      </c>
      <c r="H389" s="88" t="n">
        <f aca="false">SUMIF($G$40:$G$219,2030,EC$40:EC$219)*$AO$10*$AO$11</f>
        <v>7.91082546985579</v>
      </c>
      <c r="I389" s="88" t="n">
        <f aca="false">SUMIF($G$40:$G$219,2031,EC$40:EC$219)*$AO$10*$AO$11</f>
        <v>17.6358824881281</v>
      </c>
      <c r="J389" s="88" t="n">
        <f aca="false">SUMIF($G$40:$G$219,2032,EC$40:EC$219)*$AO$10*$AO$11</f>
        <v>17.091540020494</v>
      </c>
      <c r="K389" s="88" t="n">
        <f aca="false">SUMIF($G$40:$G$219,2033,EC$40:EC$219)*$AO$10*$AO$11</f>
        <v>13.254027306576</v>
      </c>
      <c r="L389" s="88" t="n">
        <f aca="false">SUMIF($G$40:$G$219,2034,EC$40:EC$219)*$AO$10*$AO$11</f>
        <v>12.8127235127656</v>
      </c>
      <c r="M389" s="88" t="n">
        <f aca="false">SUMIF($G$40:$G$219,2035,EC$40:EC$219)*$AO$10*$AO$11</f>
        <v>12.662232818102</v>
      </c>
      <c r="N389" s="88" t="n">
        <f aca="false">SUMIF($G$40:$G$219,2036,EC$40:EC$219)*$AO$10*$AO$11</f>
        <v>12.5449585380266</v>
      </c>
      <c r="O389" s="88" t="n">
        <f aca="false">SUMIF($G$40:$G$219,2037,EC$40:EC$219)*$AO$10*$AO$11</f>
        <v>12.416160195747</v>
      </c>
      <c r="P389" s="88" t="n">
        <f aca="false">SUMIF($G$40:$G$219,2038,EC$40:EC$219)*$AO$10*$AO$11</f>
        <v>1.03377616829625</v>
      </c>
      <c r="Q389" s="88" t="n">
        <f aca="false">SUMIF($G$40:$G$219,2039,EC$40:EC$219)*$AO$10*$AO$11</f>
        <v>0</v>
      </c>
      <c r="R389" s="88" t="n">
        <f aca="false">SUMIF($G$40:$G$219,2040,EC$40:EC$219)*$AO$10*$AO$11</f>
        <v>0</v>
      </c>
    </row>
    <row r="390" customFormat="false" ht="15" hidden="false" customHeight="false" outlineLevel="0" collapsed="false">
      <c r="A390" s="0" t="s">
        <v>200</v>
      </c>
      <c r="C390" s="88" t="n">
        <f aca="false">SUMIF($G$40:$G$219,0,EI$40:EI$219)*$AO$10*$AO$11</f>
        <v>63.6553908929587</v>
      </c>
      <c r="D390" s="88" t="n">
        <f aca="false">SUMIF($G$40:$G$219,2026,EI$40:EI$219)*$AO$10*$AO$11</f>
        <v>3.55671146971756</v>
      </c>
      <c r="E390" s="88" t="n">
        <f aca="false">SUMIF($G$40:$G$219,2027,EI$40:EI$219)*$AO$10*$AO$11</f>
        <v>21.3402688183053</v>
      </c>
      <c r="F390" s="88" t="n">
        <f aca="false">SUMIF($G$40:$G$219,2028,EI$40:EI$219)*$AO$10*$AO$11</f>
        <v>11.7268022666233</v>
      </c>
      <c r="G390" s="88" t="n">
        <f aca="false">SUMIF($G$40:$G$219,2029,EI$40:EI$219)*$AO$10*$AO$11</f>
        <v>10.8528507619249</v>
      </c>
      <c r="H390" s="88" t="n">
        <f aca="false">SUMIF($G$40:$G$219,2030,EI$40:EI$219)*$AO$10*$AO$11</f>
        <v>10.8528507619249</v>
      </c>
      <c r="I390" s="88" t="n">
        <f aca="false">SUMIF($G$40:$G$219,2031,EI$40:EI$219)*$AO$10*$AO$11</f>
        <v>10.8528507619249</v>
      </c>
      <c r="J390" s="88" t="n">
        <f aca="false">SUMIF($G$40:$G$219,2032,EI$40:EI$219)*$AO$10*$AO$11</f>
        <v>10.5178707818424</v>
      </c>
      <c r="K390" s="88" t="n">
        <f aca="false">SUMIF($G$40:$G$219,2033,EI$40:EI$219)*$AO$10*$AO$11</f>
        <v>8.15632449635438</v>
      </c>
      <c r="L390" s="88" t="n">
        <f aca="false">SUMIF($G$40:$G$219,2034,EI$40:EI$219)*$AO$10*$AO$11</f>
        <v>7.88475293093257</v>
      </c>
      <c r="M390" s="88" t="n">
        <f aca="false">SUMIF($G$40:$G$219,2035,EI$40:EI$219)*$AO$10*$AO$11</f>
        <v>7.79214327267809</v>
      </c>
      <c r="N390" s="88" t="n">
        <f aca="false">SUMIF($G$40:$G$219,2036,EI$40:EI$219)*$AO$10*$AO$11</f>
        <v>7.71997448493952</v>
      </c>
      <c r="O390" s="88" t="n">
        <f aca="false">SUMIF($G$40:$G$219,2037,EI$40:EI$219)*$AO$10*$AO$11</f>
        <v>7.64071396661336</v>
      </c>
      <c r="P390" s="88" t="n">
        <f aca="false">SUMIF($G$40:$G$219,2038,EI$40:EI$219)*$AO$10*$AO$11</f>
        <v>0.636169949720754</v>
      </c>
      <c r="Q390" s="88" t="n">
        <f aca="false">SUMIF($G$40:$G$219,2039,EI$40:EI$219)*$AO$10*$AO$11</f>
        <v>0</v>
      </c>
      <c r="R390" s="88" t="n">
        <f aca="false">SUMIF($G$40:$G$219,2040,EI$40:EI$219)*$AO$10*$AO$11</f>
        <v>0</v>
      </c>
    </row>
    <row r="391" customFormat="false" ht="15" hidden="false" customHeight="false" outlineLevel="0" collapsed="false">
      <c r="A391" s="0" t="s">
        <v>202</v>
      </c>
      <c r="C391" s="88" t="n">
        <f aca="false">SUMIF($G$40:$G$219,0,EO$40:EO$219)*$AO$10*$AO$11</f>
        <v>63.9427813138764</v>
      </c>
      <c r="D391" s="88" t="n">
        <f aca="false">SUMIF($G$40:$G$219,2026,EO$40:EO$219)*$AO$10*$AO$11</f>
        <v>4.52672368873145</v>
      </c>
      <c r="E391" s="88" t="n">
        <f aca="false">SUMIF($G$40:$G$219,2027,EO$40:EO$219)*$AO$10*$AO$11</f>
        <v>27.1603421323887</v>
      </c>
      <c r="F391" s="88" t="n">
        <f aca="false">SUMIF($G$40:$G$219,2028,EO$40:EO$219)*$AO$10*$AO$11</f>
        <v>14.9250210666114</v>
      </c>
      <c r="G391" s="88" t="n">
        <f aca="false">SUMIF($G$40:$G$219,2029,EO$40:EO$219)*$AO$10*$AO$11</f>
        <v>13.8127191515408</v>
      </c>
      <c r="H391" s="88" t="n">
        <f aca="false">SUMIF($G$40:$G$219,2030,EO$40:EO$219)*$AO$10*$AO$11</f>
        <v>13.8127191515408</v>
      </c>
      <c r="I391" s="88" t="n">
        <f aca="false">SUMIF($G$40:$G$219,2031,EO$40:EO$219)*$AO$10*$AO$11</f>
        <v>13.8127191515408</v>
      </c>
      <c r="J391" s="88" t="n">
        <f aca="false">SUMIF($G$40:$G$219,2032,EO$40:EO$219)*$AO$10*$AO$11</f>
        <v>13.3863809950721</v>
      </c>
      <c r="K391" s="88" t="n">
        <f aca="false">SUMIF($G$40:$G$219,2033,EO$40:EO$219)*$AO$10*$AO$11</f>
        <v>10.3807766317236</v>
      </c>
      <c r="L391" s="88" t="n">
        <f aca="false">SUMIF($G$40:$G$219,2034,EO$40:EO$219)*$AO$10*$AO$11</f>
        <v>10.0351400939144</v>
      </c>
      <c r="M391" s="88" t="n">
        <f aca="false">SUMIF($G$40:$G$219,2035,EO$40:EO$219)*$AO$10*$AO$11</f>
        <v>9.91727325613598</v>
      </c>
      <c r="N391" s="88" t="n">
        <f aca="false">SUMIF($G$40:$G$219,2036,EO$40:EO$219)*$AO$10*$AO$11</f>
        <v>9.82542207174116</v>
      </c>
      <c r="O391" s="88" t="n">
        <f aca="false">SUMIF($G$40:$G$219,2037,EO$40:EO$219)*$AO$10*$AO$11</f>
        <v>9.7245450484171</v>
      </c>
      <c r="P391" s="88" t="n">
        <f aca="false">SUMIF($G$40:$G$219,2038,EO$40:EO$219)*$AO$10*$AO$11</f>
        <v>0.80967084509915</v>
      </c>
      <c r="Q391" s="88" t="n">
        <f aca="false">SUMIF($G$40:$G$219,2039,EO$40:EO$219)*$AO$10*$AO$11</f>
        <v>0</v>
      </c>
      <c r="R391" s="88" t="n">
        <f aca="false">SUMIF($G$40:$G$219,2040,EO$40:EO$219)*$AO$10*$AO$11</f>
        <v>0</v>
      </c>
    </row>
    <row r="392" customFormat="false" ht="15" hidden="false" customHeight="false" outlineLevel="0" collapsed="false">
      <c r="A392" s="0" t="s">
        <v>204</v>
      </c>
      <c r="C392" s="88" t="n">
        <f aca="false">SUMIF($G$40:$G$219,0,EU$40:EU$219)*$AO$10*$AO$11</f>
        <v>111.582382285039</v>
      </c>
      <c r="D392" s="88" t="n">
        <f aca="false">SUMIF($G$40:$G$219,2026,EU$40:EU$219)*$AO$10*$AO$11</f>
        <v>6.50716530255142</v>
      </c>
      <c r="E392" s="88" t="n">
        <f aca="false">SUMIF($G$40:$G$219,2027,EU$40:EU$219)*$AO$10*$AO$11</f>
        <v>39.0429918153085</v>
      </c>
      <c r="F392" s="88" t="n">
        <f aca="false">SUMIF($G$40:$G$219,2028,EU$40:EU$219)*$AO$10*$AO$11</f>
        <v>21.4547177832538</v>
      </c>
      <c r="G392" s="88" t="n">
        <f aca="false">SUMIF($G$40:$G$219,2029,EU$40:EU$219)*$AO$10*$AO$11</f>
        <v>19.8557837803397</v>
      </c>
      <c r="H392" s="88" t="n">
        <f aca="false">SUMIF($G$40:$G$219,2030,EU$40:EU$219)*$AO$10*$AO$11</f>
        <v>19.8557837803397</v>
      </c>
      <c r="I392" s="88" t="n">
        <f aca="false">SUMIF($G$40:$G$219,2031,EU$40:EU$219)*$AO$10*$AO$11</f>
        <v>19.8557837803397</v>
      </c>
      <c r="J392" s="88" t="n">
        <f aca="false">SUMIF($G$40:$G$219,2032,EU$40:EU$219)*$AO$10*$AO$11</f>
        <v>19.2429226804162</v>
      </c>
      <c r="K392" s="88" t="n">
        <f aca="false">SUMIF($G$40:$G$219,2033,EU$40:EU$219)*$AO$10*$AO$11</f>
        <v>14.9223664081027</v>
      </c>
      <c r="L392" s="88" t="n">
        <f aca="false">SUMIF($G$40:$G$219,2034,EU$40:EU$219)*$AO$10*$AO$11</f>
        <v>14.4255138850016</v>
      </c>
      <c r="M392" s="88" t="n">
        <f aca="false">SUMIF($G$40:$G$219,2035,EU$40:EU$219)*$AO$10*$AO$11</f>
        <v>14.2560803056954</v>
      </c>
      <c r="N392" s="88" t="n">
        <f aca="false">SUMIF($G$40:$G$219,2036,EU$40:EU$219)*$AO$10*$AO$11</f>
        <v>14.1240442281279</v>
      </c>
      <c r="O392" s="88" t="n">
        <f aca="false">SUMIF($G$40:$G$219,2037,EU$40:EU$219)*$AO$10*$AO$11</f>
        <v>13.9790335070996</v>
      </c>
      <c r="P392" s="88" t="n">
        <f aca="false">SUMIF($G$40:$G$219,2038,EU$40:EU$219)*$AO$10*$AO$11</f>
        <v>1.16390183983004</v>
      </c>
      <c r="Q392" s="88" t="n">
        <f aca="false">SUMIF($G$40:$G$219,2039,EU$40:EU$219)*$AO$10*$AO$11</f>
        <v>0</v>
      </c>
      <c r="R392" s="88" t="n">
        <f aca="false">SUMIF($G$40:$G$219,2040,EU$40:EU$219)*$AO$10*$AO$11</f>
        <v>0</v>
      </c>
    </row>
    <row r="393" customFormat="false" ht="15" hidden="false" customHeight="false" outlineLevel="0" collapsed="false">
      <c r="A393" s="0" t="s">
        <v>206</v>
      </c>
      <c r="C393" s="88" t="n">
        <f aca="false">SUMIF($G$40:$G$219,0,FA$40:FA$219)*$AO$10*$AO$11</f>
        <v>0</v>
      </c>
      <c r="D393" s="88" t="n">
        <f aca="false">SUMIF($G$40:$G$219,2026,FA$40:FA$219)*$AO$10*$AO$11</f>
        <v>0</v>
      </c>
      <c r="E393" s="88" t="n">
        <f aca="false">SUMIF($G$40:$G$219,2027,FA$40:FA$219)*$AO$10*$AO$11</f>
        <v>0</v>
      </c>
      <c r="F393" s="88" t="n">
        <f aca="false">SUMIF($G$40:$G$219,2028,FA$40:FA$219)*$AO$10*$AO$11</f>
        <v>0</v>
      </c>
      <c r="G393" s="88" t="n">
        <f aca="false">SUMIF($G$40:$G$219,2029,FA$40:FA$219)*$AO$10*$AO$11</f>
        <v>28.3162962960886</v>
      </c>
      <c r="H393" s="88" t="n">
        <f aca="false">SUMIF($G$40:$G$219,2030,FA$40:FA$219)*$AO$10*$AO$11</f>
        <v>49.3311398269317</v>
      </c>
      <c r="I393" s="88" t="n">
        <f aca="false">SUMIF($G$40:$G$219,2031,FA$40:FA$219)*$AO$10*$AO$11</f>
        <v>49.3311398269317</v>
      </c>
      <c r="J393" s="88" t="n">
        <f aca="false">SUMIF($G$40:$G$219,2032,FA$40:FA$219)*$AO$10*$AO$11</f>
        <v>47.8085035538295</v>
      </c>
      <c r="K393" s="88" t="n">
        <f aca="false">SUMIF($G$40:$G$219,2033,FA$40:FA$219)*$AO$10*$AO$11</f>
        <v>37.0742022561563</v>
      </c>
      <c r="L393" s="88" t="n">
        <f aca="false">SUMIF($G$40:$G$219,2034,FA$40:FA$219)*$AO$10*$AO$11</f>
        <v>35.8397860496939</v>
      </c>
      <c r="M393" s="88" t="n">
        <f aca="false">SUMIF($G$40:$G$219,2035,FA$40:FA$219)*$AO$10*$AO$11</f>
        <v>35.4188330576274</v>
      </c>
      <c r="N393" s="88" t="n">
        <f aca="false">SUMIF($G$40:$G$219,2036,FA$40:FA$219)*$AO$10*$AO$11</f>
        <v>35.0907931133613</v>
      </c>
      <c r="O393" s="88" t="n">
        <f aca="false">SUMIF($G$40:$G$219,2037,FA$40:FA$219)*$AO$10*$AO$11</f>
        <v>34.7305180300609</v>
      </c>
      <c r="P393" s="88" t="n">
        <f aca="false">SUMIF($G$40:$G$219,2038,FA$40:FA$219)*$AO$10*$AO$11</f>
        <v>2.89168158963981</v>
      </c>
      <c r="Q393" s="88" t="n">
        <f aca="false">SUMIF($G$40:$G$219,2039,FA$40:FA$219)*$AO$10*$AO$11</f>
        <v>0</v>
      </c>
      <c r="R393" s="88" t="n">
        <f aca="false">SUMIF($G$40:$G$219,2040,FA$40:FA$219)*$AO$10*$AO$11</f>
        <v>0</v>
      </c>
    </row>
    <row r="394" customFormat="false" ht="15" hidden="false" customHeight="false" outlineLevel="0" collapsed="false">
      <c r="A394" s="0" t="s">
        <v>208</v>
      </c>
      <c r="C394" s="88" t="n">
        <f aca="false">SUMIF($G$40:$G$219,0,FG$40:FG$219)*$AO$10*$AO$11</f>
        <v>1316.14188739581</v>
      </c>
      <c r="D394" s="88" t="n">
        <f aca="false">SUMIF($G$40:$G$219,2026,FG$40:FG$219)*$AO$10*$AO$11</f>
        <v>79.6132409057089</v>
      </c>
      <c r="E394" s="88" t="n">
        <f aca="false">SUMIF($G$40:$G$219,2027,FG$40:FG$219)*$AO$10*$AO$11</f>
        <v>505.291234052139</v>
      </c>
      <c r="F394" s="88" t="n">
        <f aca="false">SUMIF($G$40:$G$219,2028,FG$40:FG$219)*$AO$10*$AO$11</f>
        <v>279.044590298966</v>
      </c>
      <c r="G394" s="88" t="n">
        <f aca="false">SUMIF($G$40:$G$219,2029,FG$40:FG$219)*$AO$10*$AO$11</f>
        <v>258.248516993986</v>
      </c>
      <c r="H394" s="88" t="n">
        <f aca="false">SUMIF($G$40:$G$219,2030,FG$40:FG$219)*$AO$10*$AO$11</f>
        <v>258.248516993988</v>
      </c>
      <c r="I394" s="88" t="n">
        <f aca="false">SUMIF($G$40:$G$219,2031,FG$40:FG$219)*$AO$10*$AO$11</f>
        <v>258.248516993988</v>
      </c>
      <c r="J394" s="88" t="n">
        <f aca="false">SUMIF($G$40:$G$219,2032,FG$40:FG$219)*$AO$10*$AO$11</f>
        <v>250.277516104295</v>
      </c>
      <c r="K394" s="88" t="n">
        <f aca="false">SUMIF($G$40:$G$219,2033,FG$40:FG$219)*$AO$10*$AO$11</f>
        <v>194.083448810981</v>
      </c>
      <c r="L394" s="88" t="n">
        <f aca="false">SUMIF($G$40:$G$219,2034,FG$40:FG$219)*$AO$10*$AO$11</f>
        <v>187.621279970148</v>
      </c>
      <c r="M394" s="88" t="n">
        <f aca="false">SUMIF($G$40:$G$219,2035,FG$40:FG$219)*$AO$10*$AO$11</f>
        <v>185.417591056681</v>
      </c>
      <c r="N394" s="88" t="n">
        <f aca="false">SUMIF($G$40:$G$219,2036,FG$40:FG$219)*$AO$10*$AO$11</f>
        <v>183.700301948446</v>
      </c>
      <c r="O394" s="88" t="n">
        <f aca="false">SUMIF($G$40:$G$219,2037,FG$40:FG$219)*$AO$10*$AO$11</f>
        <v>181.814261887369</v>
      </c>
      <c r="P394" s="88" t="n">
        <f aca="false">SUMIF($G$40:$G$219,2038,FG$40:FG$219)*$AO$10*$AO$11</f>
        <v>15.1379531217644</v>
      </c>
      <c r="Q394" s="88" t="n">
        <f aca="false">SUMIF($G$40:$G$219,2039,FG$40:FG$219)*$AO$10*$AO$11</f>
        <v>0</v>
      </c>
      <c r="R394" s="88" t="n">
        <f aca="false">SUMIF($G$40:$G$219,2040,FG$40:FG$219)*$AO$10*$AO$11</f>
        <v>0</v>
      </c>
    </row>
    <row r="398" customFormat="false" ht="15" hidden="false" customHeight="false" outlineLevel="0" collapsed="false">
      <c r="A398" s="18" t="s">
        <v>339</v>
      </c>
      <c r="B398" s="18" t="s">
        <v>1106</v>
      </c>
      <c r="C398" s="18" t="s">
        <v>1107</v>
      </c>
      <c r="D398" s="18" t="s">
        <v>1108</v>
      </c>
      <c r="E398" s="18" t="s">
        <v>1109</v>
      </c>
      <c r="F398" s="18" t="s">
        <v>1110</v>
      </c>
    </row>
    <row r="399" customFormat="false" ht="15" hidden="false" customHeight="false" outlineLevel="0" collapsed="false">
      <c r="A399" s="0" t="s">
        <v>210</v>
      </c>
      <c r="B399" s="88" t="n">
        <f aca="false">L219</f>
        <v>27898.7534246576</v>
      </c>
      <c r="C399" s="88" t="n">
        <f aca="false">C340</f>
        <v>7283.03263169618</v>
      </c>
      <c r="D399" s="88" t="n">
        <f aca="false">SUM(D340:R340)</f>
        <v>26739.8373983741</v>
      </c>
      <c r="E399" s="88" t="n">
        <f aca="false">D399/$AO$14</f>
        <v>2303.99912366384</v>
      </c>
      <c r="F399" s="88" t="n">
        <f aca="false">SUM(D369:R369)</f>
        <v>25566.9207317074</v>
      </c>
    </row>
    <row r="400" customFormat="false" ht="15" hidden="false" customHeight="false" outlineLevel="0" collapsed="false">
      <c r="A400" s="0" t="s">
        <v>157</v>
      </c>
      <c r="B400" s="88" t="n">
        <f aca="false">R219</f>
        <v>711.40756995313</v>
      </c>
      <c r="C400" s="88" t="n">
        <f aca="false">C341</f>
        <v>94.462114995896</v>
      </c>
      <c r="D400" s="88" t="n">
        <f aca="false">SUM(D341:R341)</f>
        <v>773.108092264019</v>
      </c>
      <c r="E400" s="88" t="n">
        <f aca="false">D400/$AO$14</f>
        <v>66.6137321830547</v>
      </c>
      <c r="F400" s="88" t="n">
        <f aca="false">SUM(D370:R370)</f>
        <v>752.406487033206</v>
      </c>
    </row>
    <row r="401" customFormat="false" ht="15" hidden="false" customHeight="false" outlineLevel="0" collapsed="false">
      <c r="A401" s="0" t="s">
        <v>160</v>
      </c>
      <c r="B401" s="88" t="n">
        <f aca="false">X219</f>
        <v>3394.03282840545</v>
      </c>
      <c r="C401" s="88" t="n">
        <f aca="false">C342</f>
        <v>656.847514169108</v>
      </c>
      <c r="D401" s="88" t="n">
        <f aca="false">SUM(D342:R342)</f>
        <v>3482.21691071559</v>
      </c>
      <c r="E401" s="88" t="n">
        <f aca="false">D401/$AO$14</f>
        <v>300.040145763338</v>
      </c>
      <c r="F401" s="88" t="n">
        <f aca="false">SUM(D371:R371)</f>
        <v>3369.828141842</v>
      </c>
    </row>
    <row r="402" customFormat="false" ht="15" hidden="false" customHeight="false" outlineLevel="0" collapsed="false">
      <c r="A402" s="0" t="s">
        <v>162</v>
      </c>
      <c r="B402" s="88" t="n">
        <f aca="false">AD219</f>
        <v>3155.60090935027</v>
      </c>
      <c r="C402" s="88" t="n">
        <f aca="false">C343</f>
        <v>994.273118521272</v>
      </c>
      <c r="D402" s="88" t="n">
        <f aca="false">SUM(D343:R343)</f>
        <v>2854.02067336931</v>
      </c>
      <c r="E402" s="88" t="n">
        <f aca="false">D402/$AO$14</f>
        <v>245.912532391135</v>
      </c>
      <c r="F402" s="88" t="n">
        <f aca="false">SUM(D372:R372)</f>
        <v>2778.00272550594</v>
      </c>
    </row>
    <row r="403" customFormat="false" ht="15" hidden="false" customHeight="false" outlineLevel="0" collapsed="false">
      <c r="A403" s="0" t="s">
        <v>164</v>
      </c>
      <c r="B403" s="88" t="n">
        <f aca="false">AJ219</f>
        <v>3821.00999525946</v>
      </c>
      <c r="C403" s="88" t="n">
        <f aca="false">C344</f>
        <v>1172.23182195481</v>
      </c>
      <c r="D403" s="88" t="n">
        <f aca="false">SUM(D344:R344)</f>
        <v>3487.53646494697</v>
      </c>
      <c r="E403" s="88" t="n">
        <f aca="false">D403/$AO$14</f>
        <v>300.498497401936</v>
      </c>
      <c r="F403" s="88" t="n">
        <f aca="false">SUM(D373:R373)</f>
        <v>3344.01269080026</v>
      </c>
    </row>
    <row r="404" customFormat="false" ht="15" hidden="false" customHeight="false" outlineLevel="0" collapsed="false">
      <c r="A404" s="0" t="s">
        <v>166</v>
      </c>
      <c r="B404" s="88" t="n">
        <f aca="false">AP219</f>
        <v>1109.47398502134</v>
      </c>
      <c r="C404" s="88" t="n">
        <f aca="false">C345</f>
        <v>361.475098615754</v>
      </c>
      <c r="D404" s="88" t="n">
        <f aca="false">SUM(D345:R345)</f>
        <v>991.541956288323</v>
      </c>
      <c r="E404" s="88" t="n">
        <f aca="false">D404/$AO$14</f>
        <v>85.4347677709938</v>
      </c>
      <c r="F404" s="88" t="n">
        <f aca="false">SUM(D374:R374)</f>
        <v>930.344199466164</v>
      </c>
    </row>
    <row r="405" customFormat="false" ht="15" hidden="false" customHeight="false" outlineLevel="0" collapsed="false">
      <c r="A405" s="0" t="s">
        <v>168</v>
      </c>
      <c r="B405" s="88" t="n">
        <f aca="false">AV219</f>
        <v>3202.15398930957</v>
      </c>
      <c r="C405" s="88" t="n">
        <f aca="false">C346</f>
        <v>580.88259955936</v>
      </c>
      <c r="D405" s="88" t="n">
        <f aca="false">SUM(D346:R346)</f>
        <v>3324.18324106207</v>
      </c>
      <c r="E405" s="88" t="n">
        <f aca="false">D405/$AO$14</f>
        <v>286.423404907119</v>
      </c>
      <c r="F405" s="88" t="n">
        <f aca="false">SUM(D375:R375)</f>
        <v>3226.21965172081</v>
      </c>
    </row>
    <row r="406" customFormat="false" ht="15" hidden="false" customHeight="false" outlineLevel="0" collapsed="false">
      <c r="A406" s="0" t="s">
        <v>170</v>
      </c>
      <c r="B406" s="88" t="n">
        <f aca="false">BB219</f>
        <v>531.384452600265</v>
      </c>
      <c r="C406" s="88" t="n">
        <f aca="false">C347</f>
        <v>167.283361545805</v>
      </c>
      <c r="D406" s="88" t="n">
        <f aca="false">SUM(D347:R347)</f>
        <v>480.74645869842</v>
      </c>
      <c r="E406" s="88" t="n">
        <f aca="false">D406/$AO$14</f>
        <v>41.4228180614518</v>
      </c>
      <c r="F406" s="88" t="n">
        <f aca="false">SUM(D376:R376)</f>
        <v>456.290893800267</v>
      </c>
    </row>
    <row r="407" customFormat="false" ht="15" hidden="false" customHeight="false" outlineLevel="0" collapsed="false">
      <c r="A407" s="0" t="s">
        <v>172</v>
      </c>
      <c r="B407" s="88" t="n">
        <f aca="false">BH219</f>
        <v>2649.13515125219</v>
      </c>
      <c r="C407" s="88" t="n">
        <f aca="false">C348</f>
        <v>781.842642970834</v>
      </c>
      <c r="D407" s="88" t="n">
        <f aca="false">SUM(D348:R348)</f>
        <v>2448.80998050745</v>
      </c>
      <c r="E407" s="88" t="n">
        <f aca="false">D407/$AO$14</f>
        <v>210.998143520928</v>
      </c>
      <c r="F407" s="88" t="n">
        <f aca="false">SUM(D377:R377)</f>
        <v>2291.05050702361</v>
      </c>
    </row>
    <row r="408" customFormat="false" ht="15" hidden="false" customHeight="false" outlineLevel="0" collapsed="false">
      <c r="A408" s="0" t="s">
        <v>174</v>
      </c>
      <c r="B408" s="88" t="n">
        <f aca="false">BN219</f>
        <v>1119.06935205859</v>
      </c>
      <c r="C408" s="88" t="n">
        <f aca="false">C349</f>
        <v>486.780162789297</v>
      </c>
      <c r="D408" s="88" t="n">
        <f aca="false">SUM(D349:R349)</f>
        <v>877.938559233378</v>
      </c>
      <c r="E408" s="88" t="n">
        <f aca="false">D408/$AO$14</f>
        <v>75.6462966086469</v>
      </c>
      <c r="F408" s="88" t="n">
        <f aca="false">SUM(D378:R378)</f>
        <v>806.426047991495</v>
      </c>
    </row>
    <row r="409" customFormat="false" ht="15" hidden="false" customHeight="false" outlineLevel="0" collapsed="false">
      <c r="A409" s="0" t="s">
        <v>176</v>
      </c>
      <c r="B409" s="88" t="n">
        <f aca="false">BT219</f>
        <v>408.01765524539</v>
      </c>
      <c r="C409" s="88" t="n">
        <f aca="false">C350</f>
        <v>98.7230273318342</v>
      </c>
      <c r="D409" s="88" t="n">
        <f aca="false">SUM(D350:R350)</f>
        <v>398.859479064983</v>
      </c>
      <c r="E409" s="88" t="n">
        <f aca="false">D409/$AO$14</f>
        <v>34.3671457885011</v>
      </c>
      <c r="F409" s="88" t="n">
        <f aca="false">SUM(D379:R379)</f>
        <v>384.241985965198</v>
      </c>
    </row>
    <row r="410" customFormat="false" ht="15" hidden="false" customHeight="false" outlineLevel="0" collapsed="false">
      <c r="A410" s="0" t="s">
        <v>179</v>
      </c>
      <c r="B410" s="88" t="n">
        <f aca="false">BZ219</f>
        <v>293.596678283474</v>
      </c>
      <c r="C410" s="88" t="n">
        <f aca="false">C351</f>
        <v>107.037969336481</v>
      </c>
      <c r="D410" s="88" t="n">
        <f aca="false">SUM(D351:R351)</f>
        <v>251.006760277511</v>
      </c>
      <c r="E410" s="88" t="n">
        <f aca="false">D410/$AO$14</f>
        <v>21.6276317277924</v>
      </c>
      <c r="F410" s="88" t="n">
        <f aca="false">SUM(D380:R380)</f>
        <v>233.627374686846</v>
      </c>
    </row>
    <row r="411" customFormat="false" ht="15" hidden="false" customHeight="false" outlineLevel="0" collapsed="false">
      <c r="A411" s="0" t="s">
        <v>181</v>
      </c>
      <c r="B411" s="88" t="n">
        <f aca="false">CF219</f>
        <v>393.361995790345</v>
      </c>
      <c r="C411" s="88" t="n">
        <f aca="false">C352</f>
        <v>72.8908585935519</v>
      </c>
      <c r="D411" s="88" t="n">
        <f aca="false">SUM(D352:R352)</f>
        <v>406.818892370283</v>
      </c>
      <c r="E411" s="88" t="n">
        <f aca="false">D411/$AO$14</f>
        <v>35.0529570373536</v>
      </c>
      <c r="F411" s="88" t="n">
        <f aca="false">SUM(D381:R381)</f>
        <v>381.271937908296</v>
      </c>
    </row>
    <row r="412" customFormat="false" ht="15" hidden="false" customHeight="false" outlineLevel="0" collapsed="false">
      <c r="A412" s="0" t="s">
        <v>183</v>
      </c>
      <c r="B412" s="88" t="n">
        <f aca="false">CL219</f>
        <v>310.651507309386</v>
      </c>
      <c r="C412" s="88" t="n">
        <f aca="false">C353</f>
        <v>53.4101182137617</v>
      </c>
      <c r="D412" s="88" t="n">
        <f aca="false">SUM(D353:R353)</f>
        <v>325.433183383051</v>
      </c>
      <c r="E412" s="88" t="n">
        <f aca="false">D412/$AO$14</f>
        <v>28.0404760191726</v>
      </c>
      <c r="F412" s="88" t="n">
        <f aca="false">SUM(D382:R382)</f>
        <v>302.900607878874</v>
      </c>
    </row>
    <row r="413" customFormat="false" ht="15" hidden="false" customHeight="false" outlineLevel="0" collapsed="false">
      <c r="A413" s="0" t="s">
        <v>185</v>
      </c>
      <c r="B413" s="88" t="n">
        <f aca="false">CR219</f>
        <v>1436.45566635612</v>
      </c>
      <c r="C413" s="88" t="n">
        <f aca="false">C354</f>
        <v>346.787000934201</v>
      </c>
      <c r="D413" s="88" t="n">
        <f aca="false">SUM(D354:R354)</f>
        <v>1404.98820193912</v>
      </c>
      <c r="E413" s="88" t="n">
        <f aca="false">D413/$AO$14</f>
        <v>121.058761046266</v>
      </c>
      <c r="F413" s="88" t="n">
        <f aca="false">SUM(D383:R383)</f>
        <v>1314.3958329067</v>
      </c>
    </row>
    <row r="414" customFormat="false" ht="15" hidden="false" customHeight="false" outlineLevel="0" collapsed="false">
      <c r="A414" s="0" t="s">
        <v>187</v>
      </c>
      <c r="B414" s="88" t="n">
        <f aca="false">CX219</f>
        <v>333.805401239893</v>
      </c>
      <c r="C414" s="88" t="n">
        <f aca="false">C355</f>
        <v>112.292748446503</v>
      </c>
      <c r="D414" s="88" t="n">
        <f aca="false">SUM(D355:R355)</f>
        <v>294.787009163123</v>
      </c>
      <c r="E414" s="88" t="n">
        <f aca="false">D414/$AO$14</f>
        <v>25.3998930756631</v>
      </c>
      <c r="F414" s="88" t="n">
        <f aca="false">SUM(D384:R384)</f>
        <v>274.376335388039</v>
      </c>
    </row>
    <row r="415" customFormat="false" ht="15" hidden="false" customHeight="false" outlineLevel="0" collapsed="false">
      <c r="A415" s="0" t="s">
        <v>189</v>
      </c>
      <c r="B415" s="88" t="n">
        <f aca="false">DD219</f>
        <v>115.391486376132</v>
      </c>
      <c r="C415" s="88" t="n">
        <f aca="false">C356</f>
        <v>45.2830786528769</v>
      </c>
      <c r="D415" s="88" t="n">
        <f aca="false">SUM(D356:R356)</f>
        <v>95.4382461960645</v>
      </c>
      <c r="E415" s="88" t="n">
        <f aca="false">D415/$AO$14</f>
        <v>8.22329740917261</v>
      </c>
      <c r="F415" s="88" t="n">
        <f aca="false">SUM(D385:R385)</f>
        <v>95.4382461960645</v>
      </c>
    </row>
    <row r="416" customFormat="false" ht="15" hidden="false" customHeight="false" outlineLevel="0" collapsed="false">
      <c r="A416" s="0" t="s">
        <v>192</v>
      </c>
      <c r="B416" s="88" t="n">
        <f aca="false">DJ219</f>
        <v>278.234061396547</v>
      </c>
      <c r="C416" s="88" t="n">
        <f aca="false">C357</f>
        <v>101.437145359572</v>
      </c>
      <c r="D416" s="88" t="n">
        <f aca="false">SUM(D357:R357)</f>
        <v>237.872685611827</v>
      </c>
      <c r="E416" s="88" t="n">
        <f aca="false">D416/$AO$14</f>
        <v>20.4959533234311</v>
      </c>
      <c r="F416" s="88" t="n">
        <f aca="false">SUM(D386:R386)</f>
        <v>221.402686476487</v>
      </c>
    </row>
    <row r="417" customFormat="false" ht="15" hidden="false" customHeight="false" outlineLevel="0" collapsed="false">
      <c r="A417" s="0" t="s">
        <v>194</v>
      </c>
      <c r="B417" s="88" t="n">
        <f aca="false">DP219</f>
        <v>94.5931472343948</v>
      </c>
      <c r="C417" s="88" t="n">
        <f aca="false">C358</f>
        <v>21.6442816614081</v>
      </c>
      <c r="D417" s="88" t="n">
        <f aca="false">SUM(D358:R358)</f>
        <v>93.7132149659026</v>
      </c>
      <c r="E417" s="88" t="n">
        <f aca="false">D417/$AO$14</f>
        <v>8.07466260697192</v>
      </c>
      <c r="F417" s="88" t="n">
        <f aca="false">SUM(D387:R387)</f>
        <v>93.7132149659026</v>
      </c>
    </row>
    <row r="418" customFormat="false" ht="15" hidden="false" customHeight="false" outlineLevel="0" collapsed="false">
      <c r="A418" s="0" t="s">
        <v>196</v>
      </c>
      <c r="B418" s="88" t="n">
        <f aca="false">DV219</f>
        <v>122.919211437379</v>
      </c>
      <c r="C418" s="88" t="n">
        <f aca="false">C359</f>
        <v>22.1338934735516</v>
      </c>
      <c r="D418" s="88" t="n">
        <f aca="false">SUM(D359:R359)</f>
        <v>127.767583889105</v>
      </c>
      <c r="E418" s="88" t="n">
        <f aca="false">D418/$AO$14</f>
        <v>11.0089076806071</v>
      </c>
      <c r="F418" s="88" t="n">
        <f aca="false">SUM(D388:R388)</f>
        <v>120.095900486713</v>
      </c>
    </row>
    <row r="419" customFormat="false" ht="15" hidden="false" customHeight="false" outlineLevel="0" collapsed="false">
      <c r="A419" s="0" t="s">
        <v>198</v>
      </c>
      <c r="B419" s="88" t="n">
        <f aca="false">EB219</f>
        <v>123.094912758935</v>
      </c>
      <c r="C419" s="88" t="n">
        <f aca="false">C360</f>
        <v>42.7536207490021</v>
      </c>
      <c r="D419" s="88" t="n">
        <f aca="false">SUM(D360:R360)</f>
        <v>107.362126517991</v>
      </c>
      <c r="E419" s="88" t="n">
        <f aca="false">D419/$AO$14</f>
        <v>9.25070118142077</v>
      </c>
      <c r="F419" s="88" t="n">
        <f aca="false">SUM(D389:R389)</f>
        <v>107.362126517991</v>
      </c>
    </row>
    <row r="420" customFormat="false" ht="15" hidden="false" customHeight="false" outlineLevel="0" collapsed="false">
      <c r="A420" s="0" t="s">
        <v>200</v>
      </c>
      <c r="B420" s="88" t="n">
        <f aca="false">EH219</f>
        <v>150.212254005498</v>
      </c>
      <c r="C420" s="88" t="n">
        <f aca="false">C361</f>
        <v>54.7636122186648</v>
      </c>
      <c r="D420" s="88" t="n">
        <f aca="false">SUM(D361:R361)</f>
        <v>128.422063397796</v>
      </c>
      <c r="E420" s="88" t="n">
        <f aca="false">D420/$AO$14</f>
        <v>11.0652999537542</v>
      </c>
      <c r="F420" s="88" t="n">
        <f aca="false">SUM(D390:R390)</f>
        <v>119.530284723502</v>
      </c>
    </row>
    <row r="421" customFormat="false" ht="15" hidden="false" customHeight="false" outlineLevel="0" collapsed="false">
      <c r="A421" s="0" t="s">
        <v>202</v>
      </c>
      <c r="B421" s="88" t="n">
        <f aca="false">EN219</f>
        <v>177.179232370634</v>
      </c>
      <c r="C421" s="88" t="n">
        <f aca="false">C362</f>
        <v>52.6259720920478</v>
      </c>
      <c r="D421" s="88" t="n">
        <f aca="false">SUM(D362:R362)</f>
        <v>163.446262506286</v>
      </c>
      <c r="E421" s="88" t="n">
        <f aca="false">D421/$AO$14</f>
        <v>14.0831090320508</v>
      </c>
      <c r="F421" s="88" t="n">
        <f aca="false">SUM(D391:R391)</f>
        <v>152.129453284457</v>
      </c>
    </row>
    <row r="422" customFormat="false" ht="15" hidden="false" customHeight="false" outlineLevel="0" collapsed="false">
      <c r="A422" s="0" t="s">
        <v>204</v>
      </c>
      <c r="B422" s="88" t="n">
        <f aca="false">ET219</f>
        <v>270.820146532785</v>
      </c>
      <c r="C422" s="88" t="n">
        <f aca="false">C363</f>
        <v>95.3144690286602</v>
      </c>
      <c r="D422" s="88" t="n">
        <f aca="false">SUM(D363:R363)</f>
        <v>234.954002352785</v>
      </c>
      <c r="E422" s="88" t="n">
        <f aca="false">D422/$AO$14</f>
        <v>20.244469233573</v>
      </c>
      <c r="F422" s="88" t="n">
        <f aca="false">SUM(D392:R392)</f>
        <v>218.686089096406</v>
      </c>
    </row>
    <row r="423" customFormat="false" ht="15" hidden="false" customHeight="false" outlineLevel="0" collapsed="false">
      <c r="A423" s="0" t="s">
        <v>206</v>
      </c>
      <c r="B423" s="88" t="n">
        <f aca="false">EZ219</f>
        <v>291.782972752263</v>
      </c>
      <c r="C423" s="88" t="n">
        <f aca="false">C364</f>
        <v>0</v>
      </c>
      <c r="D423" s="88" t="n">
        <f aca="false">SUM(D364:R364)</f>
        <v>355.832893600321</v>
      </c>
      <c r="E423" s="88" t="n">
        <f aca="false">D423/$AO$14</f>
        <v>30.6598227510448</v>
      </c>
      <c r="F423" s="88" t="n">
        <f aca="false">SUM(D393:R393)</f>
        <v>355.832893600321</v>
      </c>
    </row>
    <row r="424" customFormat="false" ht="15" hidden="false" customHeight="false" outlineLevel="0" collapsed="false">
      <c r="A424" s="0" t="s">
        <v>208</v>
      </c>
      <c r="B424" s="88" t="n">
        <f aca="false">FF219</f>
        <v>3405.3688623581</v>
      </c>
      <c r="C424" s="88" t="n">
        <f aca="false">C365</f>
        <v>1117.10878513154</v>
      </c>
      <c r="D424" s="88" t="n">
        <f aca="false">SUM(D365:R365)</f>
        <v>3035.78007140273</v>
      </c>
      <c r="E424" s="88" t="n">
        <f aca="false">D424/$AO$14</f>
        <v>261.573566059655</v>
      </c>
      <c r="F424" s="88" t="n">
        <f aca="false">SUM(D394:R394)</f>
        <v>2836.74696913846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2026-10-28T12:07:21Z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