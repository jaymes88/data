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Parcels!$A$1:$AZ$447</definedName>
    <definedName function="false" hidden="true" localSheetId="4" name="_xlnm._FilterDatabase" vbProcedure="false">Permissions!$A$1:$AR$266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<sst xmlns="http://schemas.openxmlformats.org/spreadsheetml/2006/main" count="13575" uniqueCount="2362">
  <si>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</si>
  <si>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</si>
  <si>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</si>
  <si>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</si>
  <si>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</si>
  <si>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</si>
  <si>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of which complete</t>
  </si>
  <si>
    <t xml:space="preserve">Unconsented capacity</t>
  </si>
  <si>
    <t xml:space="preserve">Total supply</t>
  </si>
  <si>
    <t xml:space="preserve">Future supply</t>
  </si>
  <si>
    <t xml:space="preserve">Council audit</t>
  </si>
  <si>
    <t xml:space="preserve">Council audit – reinstated</t>
  </si>
  <si>
    <t xml:space="preserve">Planning consent – not in council audit</t>
  </si>
  <si>
    <t xml:space="preserve">Zoned land – no consent (estimate)</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</si>
  <si>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</si>
  <si>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</si>
  <si>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</si>
  <si>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</si>
  <si>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</si>
  <si>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</si>
  <si>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</si>
  <si>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</si>
  <si>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</si>
  <si>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</si>
  <si>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Built out</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</si>
  <si>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</si>
  <si>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</si>
  <si>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</si>
  <si>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</si>
  <si>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</si>
  <si>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</si>
  <si>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</si>
  <si>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</si>
  <si>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</si>
  <si>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</si>
  <si>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</si>
  <si>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</si>
  <si>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</si>
  <si>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</si>
  <si>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</si>
  <si>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</si>
  <si>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</si>
  <si>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</si>
  <si>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</si>
  <si>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</si>
  <si>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</si>
  <si>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</si>
  <si>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</si>
  <si>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</si>
  <si>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</si>
  <si>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</si>
  <si>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</si>
  <si>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</si>
  <si>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</si>
  <si>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</si>
  <si>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</si>
  <si>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</si>
  <si>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</si>
  <si>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</si>
  <si>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</si>
  <si>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</si>
  <si>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</si>
  <si>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</si>
  <si>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</si>
  <si>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</si>
  <si>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</si>
  <si>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</si>
  <si>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</si>
  <si>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</si>
  <si>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</si>
  <si>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</si>
  <si>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</si>
  <si>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</si>
  <si>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</si>
  <si>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</si>
  <si>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</si>
  <si>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</si>
  <si>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</si>
  <si>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</si>
  <si>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</si>
  <si>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</si>
  <si>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</si>
  <si>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</si>
  <si>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</si>
  <si>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</si>
  <si>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</si>
  <si>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</si>
  <si>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</si>
  <si>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</si>
  <si>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</si>
  <si>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</si>
  <si>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</si>
  <si>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</si>
  <si>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</si>
  <si>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</si>
  <si>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</si>
  <si>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</si>
  <si>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</si>
  <si>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Built out when every counted home is complete and no council capacity is left; filter Built out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</si>
  <si>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</si>
  <si>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</si>
  <si>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</si>
  <si>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</si>
  <si>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</si>
  <si>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</si>
  <si>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</si>
  <si>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</si>
  <si>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</si>
  <si>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</si>
  <si>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</si>
  <si>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</si>
  <si>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</si>
  <si>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</si>
  <si>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</si>
  <si>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</si>
  <si>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</si>
  <si>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</si>
  <si>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</si>
  <si>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</si>
  <si>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</si>
  <si>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</si>
  <si>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</si>
  <si>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</si>
  <si>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</si>
  <si>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</si>
  <si>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</si>
  <si>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</si>
  <si>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</si>
  <si>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</si>
  <si>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</si>
  <si>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</si>
  <si>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last_reviewed</t>
  </si>
  <si>
    <t xml:space="preserve">reviewed_by</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</si>
  <si>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</si>
  <si>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</si>
  <si>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</si>
  <si>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</si>
  <si>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</si>
  <si>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</si>
  <si>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</si>
  <si>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</si>
  <si>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</si>
  <si>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</si>
  <si>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</si>
  <si>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</si>
  <si>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</si>
  <si>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</si>
  <si>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</si>
  <si>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</si>
  <si>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</si>
  <si>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</si>
  <si>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</si>
  <si>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</si>
  <si>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</si>
  <si>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</si>
  <si>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</si>
  <si>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</si>
  <si>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</si>
  <si>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</si>
  <si>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</si>
  <si>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</si>
  <si>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Undeveloped/Permission Sought</t>
  </si>
  <si>
    <t xml:space="preserve">Unchanged</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</si>
  <si>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</si>
  <si>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</si>
  <si>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</si>
  <si>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</si>
  <si>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</si>
  <si>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</si>
  <si>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</si>
  <si>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</si>
  <si>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</si>
  <si>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</si>
  <si>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</si>
  <si>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</si>
  <si>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</si>
  <si>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</si>
  <si>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</si>
  <si>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</si>
  <si>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</si>
  <si>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</si>
  <si>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</si>
  <si>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</si>
  <si>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</si>
  <si>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</si>
  <si>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</si>
  <si>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</si>
  <si>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</si>
  <si>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</si>
  <si>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</si>
  <si>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</si>
  <si>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</si>
  <si>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</si>
  <si>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</si>
  <si>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</si>
  <si>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</si>
  <si>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</si>
  <si>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</si>
  <si>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</si>
  <si>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</si>
  <si>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</si>
  <si>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</si>
  <si>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</si>
  <si>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</si>
  <si>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</si>
  <si>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</si>
  <si>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</si>
  <si>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</si>
  <si>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</si>
  <si>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</si>
  <si>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</si>
  <si>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</si>
  <si>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</si>
  <si>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</si>
  <si>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</si>
  <si>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</si>
  <si>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</si>
  <si>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</si>
  <si>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</si>
  <si>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</si>
  <si>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</si>
  <si>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</si>
  <si>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</si>
  <si>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</si>
  <si>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</si>
  <si>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</si>
  <si>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</si>
  <si>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</si>
  <si>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</si>
  <si>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</si>
  <si>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CITY-102</t>
  </si>
  <si>
    <t xml:space="preserve">Estimate (council audit recorded no capacity): developable area x density</t>
  </si>
  <si>
    <t xml:space="preserve">City centre</t>
  </si>
  <si>
    <t xml:space="preserve">101 homes/ha = median of 6 permitted Limerick schemes of 10+ homes in city centre; developable share 0.91 where none recorded</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</si>
  <si>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</si>
  <si>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</si>
  <si>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</si>
  <si>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</si>
  <si>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</si>
  <si>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</si>
  <si>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</si>
  <si>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</si>
  <si>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</si>
  <si>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</si>
  <si>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</si>
  <si>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</si>
  <si>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</si>
  <si>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</si>
  <si>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</si>
  <si>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</si>
  <si>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</si>
  <si>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</si>
  <si>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</si>
  <si>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</si>
  <si>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</si>
  <si>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</si>
  <si>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</si>
  <si>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</si>
  <si>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</si>
  <si>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</si>
  <si>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</si>
  <si>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</si>
  <si>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</si>
  <si>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</si>
  <si>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</si>
  <si>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</si>
  <si>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</si>
  <si>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</si>
  <si>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</si>
  <si>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</si>
  <si>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</si>
  <si>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</si>
  <si>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</si>
  <si>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</si>
  <si>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</si>
  <si>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</si>
  <si>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</si>
  <si>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</si>
  <si>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</si>
  <si>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</si>
  <si>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</si>
  <si>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</si>
  <si>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</si>
  <si>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</si>
  <si>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</si>
  <si>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</si>
  <si>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</si>
  <si>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</si>
  <si>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</si>
  <si>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</si>
  <si>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</si>
  <si>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</si>
  <si>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CITY-40</t>
  </si>
  <si>
    <t xml:space="preserve">CITY-41</t>
  </si>
  <si>
    <t xml:space="preserve">CITY-109</t>
  </si>
  <si>
    <t xml:space="preserve">Garryowen</t>
  </si>
  <si>
    <t xml:space="preserve">CITY-169</t>
  </si>
  <si>
    <t xml:space="preserve">City suburbs</t>
  </si>
  <si>
    <t xml:space="preserve">34 homes/ha = median of 39 permitted Limerick schemes of 10+ homes in city suburbs; developable share 0.91 where none recorded</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</si>
  <si>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</si>
  <si>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</si>
  <si>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</si>
  <si>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</si>
  <si>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</si>
  <si>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</si>
  <si>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</si>
  <si>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</si>
  <si>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</si>
  <si>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</si>
  <si>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</si>
  <si>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</si>
  <si>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</si>
  <si>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</si>
  <si>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</si>
  <si>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</si>
  <si>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</si>
  <si>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</si>
  <si>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</si>
  <si>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</si>
  <si>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</si>
  <si>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</si>
  <si>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</si>
  <si>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</si>
  <si>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</si>
  <si>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</si>
  <si>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</si>
  <si>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</si>
  <si>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</si>
  <si>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</si>
  <si>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</si>
  <si>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</si>
  <si>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</si>
  <si>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</si>
  <si>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</si>
  <si>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</si>
  <si>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</si>
  <si>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</si>
  <si>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</si>
  <si>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CITY-2</t>
  </si>
  <si>
    <t xml:space="preserve">Reinstated: removed in council review with no reason recorded; adjoining land built under 17/470, this remainder undeveloped</t>
  </si>
  <si>
    <t xml:space="preserve">CITY-35</t>
  </si>
  <si>
    <t xml:space="preserve">Reinstated: removed because it already had approval (Part 8 19/8004, 27 older persons homes, not started), unlike the 28 permitted sites the council kept</t>
  </si>
  <si>
    <t xml:space="preserve">CITY-112</t>
  </si>
  <si>
    <t xml:space="preserve">Reinstated: removed in council review with no reason recorded; council-owned, undeveloped, no permission. Irregular narrow shape, so the density-based capacity may overstate what fits</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</si>
  <si>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</si>
  <si>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</si>
  <si>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</si>
  <si>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</si>
  <si>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</si>
  <si>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</si>
  <si>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</si>
  <si>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</si>
  <si>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</si>
  <si>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</si>
  <si>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</si>
  <si>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</si>
  <si>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</si>
  <si>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</si>
  <si>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</si>
  <si>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Units of the expired permission (lapsed; land accepted for housing)</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</si>
  <si>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</si>
  <si>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</si>
  <si>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</si>
  <si>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</si>
  <si>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</si>
  <si>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</si>
  <si>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</si>
  <si>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</si>
  <si>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</si>
  <si>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</si>
  <si>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</si>
  <si>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</si>
  <si>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Units of the application in planning (pending decision)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</si>
  <si>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</si>
  <si>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</si>
  <si>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</si>
  <si>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</si>
  <si>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</si>
  <si>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Estimate (no unit count recorded): developable area x density</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</si>
  <si>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</si>
  <si>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</si>
  <si>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</si>
  <si>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</si>
  <si>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</si>
  <si>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</si>
  <si>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</si>
  <si>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</si>
  <si>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</si>
  <si>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</si>
  <si>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</si>
  <si>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</si>
  <si>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</si>
  <si>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</si>
  <si>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</si>
  <si>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</si>
  <si>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</si>
  <si>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</si>
  <si>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</si>
  <si>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</si>
  <si>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</si>
  <si>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</si>
  <si>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</si>
  <si>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</si>
  <si>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</si>
  <si>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</si>
  <si>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</si>
  <si>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</si>
  <si>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</si>
  <si>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</si>
  <si>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</si>
  <si>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</si>
  <si>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</si>
  <si>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</si>
  <si>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</si>
  <si>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</si>
  <si>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</si>
  <si>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</si>
  <si>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</si>
  <si>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</si>
  <si>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</si>
  <si>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</si>
  <si>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</si>
  <si>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</si>
  <si>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</si>
  <si>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</si>
  <si>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</si>
  <si>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</si>
  <si>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</si>
  <si>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</si>
  <si>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</si>
  <si>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</si>
  <si>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</si>
  <si>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</si>
  <si>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</si>
  <si>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</si>
  <si>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</si>
  <si>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</si>
  <si>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</si>
  <si>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</si>
  <si>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</si>
  <si>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</si>
  <si>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</si>
  <si>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</si>
  <si>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</si>
  <si>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</si>
  <si>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</si>
  <si>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</si>
  <si>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</si>
  <si>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</si>
  <si>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</si>
  <si>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</si>
  <si>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</si>
  <si>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</si>
  <si>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</si>
  <si>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</si>
  <si>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</si>
  <si>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</si>
  <si>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</si>
  <si>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</si>
  <si>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</si>
  <si>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</si>
  <si>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</si>
  <si>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</si>
  <si>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</si>
  <si>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</si>
  <si>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</si>
  <si>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</si>
  <si>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</si>
  <si>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</si>
  <si>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</si>
  <si>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PC-2560546</t>
  </si>
  <si>
    <t xml:space="preserve">€7m - Residential/Commercial Development, Limerick</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</si>
  <si>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</si>
  <si>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</si>
  <si>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</si>
  <si>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</si>
  <si>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</si>
  <si>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</si>
  <si>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</si>
  <si>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</si>
  <si>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</si>
  <si>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</si>
  <si>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PC-Part826255726</t>
  </si>
  <si>
    <t xml:space="preserve">€3m - Part 8 Residential Development, Limerick</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</si>
  <si>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</si>
  <si>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</si>
  <si>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</si>
  <si>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</si>
  <si>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</si>
  <si>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</si>
  <si>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</si>
  <si>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</si>
  <si>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</si>
  <si>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</si>
  <si>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</si>
  <si>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</si>
  <si>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</si>
  <si>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</si>
  <si>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</si>
  <si>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</si>
  <si>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</si>
  <si>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</si>
  <si>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</si>
  <si>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</si>
  <si>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</si>
  <si>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</si>
  <si>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</si>
  <si>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</si>
  <si>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</si>
  <si>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</si>
  <si>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</si>
  <si>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</si>
  <si>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</si>
  <si>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</si>
  <si>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</si>
  <si>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</si>
  <si>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</si>
  <si>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</si>
  <si>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</si>
  <si>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</si>
  <si>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</si>
  <si>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</si>
  <si>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</si>
  <si>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</si>
  <si>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</si>
  <si>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</si>
  <si>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</si>
  <si>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</si>
  <si>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</si>
  <si>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</si>
  <si>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</si>
  <si>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</si>
  <si>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</si>
  <si>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</si>
  <si>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</si>
  <si>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</si>
  <si>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</si>
  <si>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</si>
  <si>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</si>
  <si>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</si>
  <si>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</si>
  <si>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</si>
  <si>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</si>
  <si>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</si>
  <si>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</si>
  <si>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</si>
  <si>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</si>
  <si>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</si>
  <si>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</si>
  <si>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</si>
  <si>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</si>
  <si>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</si>
  <si>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</si>
  <si>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</si>
  <si>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</si>
  <si>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</si>
  <si>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</si>
  <si>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PC-15577</t>
  </si>
  <si>
    <t xml:space="preserve">Outside city neighbourhoods</t>
  </si>
  <si>
    <t xml:space="preserve">CAPPAMORE-KILMALLOCK LEA-7</t>
  </si>
  <si>
    <t xml:space="preserve">€588k - 3 Houses</t>
  </si>
  <si>
    <t xml:space="preserve">PC-178013</t>
  </si>
  <si>
    <t xml:space="preserve">Part 8: (i) Provision of 16no. residential terraced units (15no. two storey an</t>
  </si>
  <si>
    <t xml:space="preserve">PC-181193</t>
  </si>
  <si>
    <t xml:space="preserve">€9m - Housing Development</t>
  </si>
  <si>
    <t xml:space="preserve">PC-188002</t>
  </si>
  <si>
    <t xml:space="preserve">€1.9m - Residential Development </t>
  </si>
  <si>
    <t xml:space="preserve">PC-188013</t>
  </si>
  <si>
    <t xml:space="preserve">NEWCASTLE WEST LEA-6</t>
  </si>
  <si>
    <t xml:space="preserve">€701k - 7 Houses </t>
  </si>
  <si>
    <t xml:space="preserve">PC-18994</t>
  </si>
  <si>
    <t xml:space="preserve">€553k - 6 Houses</t>
  </si>
  <si>
    <t xml:space="preserve">PC-191255</t>
  </si>
  <si>
    <t xml:space="preserve">€572k - Residential Development, Kilmallock</t>
  </si>
  <si>
    <t xml:space="preserve">PC-191298</t>
  </si>
  <si>
    <t xml:space="preserve">€5.6m - Housing Development</t>
  </si>
  <si>
    <t xml:space="preserve">PC-19149</t>
  </si>
  <si>
    <t xml:space="preserve">€567k - Change of Use to Care Residential Units </t>
  </si>
  <si>
    <t xml:space="preserve">PC-19233</t>
  </si>
  <si>
    <t xml:space="preserve">€931k - 5 Houses </t>
  </si>
  <si>
    <t xml:space="preserve">PC-19518</t>
  </si>
  <si>
    <t xml:space="preserve">€11m - Mixed Use Development, Castleconnell</t>
  </si>
  <si>
    <t xml:space="preserve">PC-19552</t>
  </si>
  <si>
    <t xml:space="preserve">ADARE-RATHKEALE LEA-6</t>
  </si>
  <si>
    <t xml:space="preserve">PC-19689</t>
  </si>
  <si>
    <t xml:space="preserve">€2.2m - 9 Houses </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</si>
  <si>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</si>
  <si>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</si>
  <si>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</si>
  <si>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</si>
  <si>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</si>
  <si>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</si>
  <si>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</si>
  <si>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</si>
  <si>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</si>
  <si>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PC-19872</t>
  </si>
  <si>
    <t xml:space="preserve">€1.3m - Care Residential Units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</si>
  <si>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</si>
  <si>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</si>
  <si>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</si>
  <si>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</si>
  <si>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</si>
  <si>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</si>
  <si>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</si>
  <si>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</si>
  <si>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</si>
  <si>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</si>
  <si>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</si>
  <si>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</si>
  <si>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</si>
  <si>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</si>
  <si>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</si>
  <si>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</si>
  <si>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</si>
  <si>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</si>
  <si>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</si>
  <si>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Edge of settlement (within 500 m)</t>
  </si>
  <si>
    <t xml:space="preserve">€9.7m - Housing Development, Newcastle West</t>
  </si>
  <si>
    <t xml:space="preserve">PC-21550</t>
  </si>
  <si>
    <t xml:space="preserve">€1.9m - 9 Houses </t>
  </si>
  <si>
    <t xml:space="preserve">PC-21594</t>
  </si>
  <si>
    <t xml:space="preserve">€11.3m - Residential Development </t>
  </si>
  <si>
    <t xml:space="preserve">PC-21630</t>
  </si>
  <si>
    <t xml:space="preserve">€10.8m - Residential Development, Croom</t>
  </si>
  <si>
    <t xml:space="preserve">PC-218012</t>
  </si>
  <si>
    <t xml:space="preserve">€2.4m - Residential Development</t>
  </si>
  <si>
    <t xml:space="preserve">PC-218013</t>
  </si>
  <si>
    <t xml:space="preserve">€3m - Housing Development</t>
  </si>
  <si>
    <t xml:space="preserve">PC-21873</t>
  </si>
  <si>
    <t xml:space="preserve">€1.7 - 9 Houses, Patrickswell</t>
  </si>
  <si>
    <t xml:space="preserve">PC-221318</t>
  </si>
  <si>
    <t xml:space="preserve">€10.9m - Residential Development, Patrickswell</t>
  </si>
  <si>
    <t xml:space="preserve">PC-221352</t>
  </si>
  <si>
    <t xml:space="preserve">€5.5m - Housing Development, Cappamore</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</si>
  <si>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</si>
  <si>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</si>
  <si>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</si>
  <si>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</si>
  <si>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</si>
  <si>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</si>
  <si>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</si>
  <si>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</si>
  <si>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PC-228017</t>
  </si>
  <si>
    <t xml:space="preserve">€4.4m - Residential Development, Patrickswell</t>
  </si>
  <si>
    <t xml:space="preserve">PC-228020</t>
  </si>
  <si>
    <t xml:space="preserve">€4.9m - Residential Development, Newcastle West</t>
  </si>
  <si>
    <t xml:space="preserve">PC-22840</t>
  </si>
  <si>
    <t xml:space="preserve">€21m - Residential Development, Newcastle West</t>
  </si>
  <si>
    <t xml:space="preserve">PC-22990</t>
  </si>
  <si>
    <t xml:space="preserve">€22m - Residential Development, Adare</t>
  </si>
  <si>
    <t xml:space="preserve">PC-2326</t>
  </si>
  <si>
    <t xml:space="preserve">€6.3m - Housing Development, Kilmallock</t>
  </si>
  <si>
    <t xml:space="preserve">PC-23529</t>
  </si>
  <si>
    <t xml:space="preserve">€4.4m - Housing Development</t>
  </si>
  <si>
    <t xml:space="preserve">PC-2360144</t>
  </si>
  <si>
    <t xml:space="preserve">€9m - Housing Development, Patrickswell</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</si>
  <si>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</si>
  <si>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</si>
  <si>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</si>
  <si>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</si>
  <si>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</si>
  <si>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</si>
  <si>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</si>
  <si>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</si>
  <si>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PC-2360706</t>
  </si>
  <si>
    <t xml:space="preserve">€8.9m - Housing Development, Newcastle West</t>
  </si>
  <si>
    <t xml:space="preserve">PC-2360794</t>
  </si>
  <si>
    <t xml:space="preserve">€15.3m - Residential Development, Bruff</t>
  </si>
  <si>
    <t xml:space="preserve">PC-2360798</t>
  </si>
  <si>
    <t xml:space="preserve">€1.2m - 6 Houses </t>
  </si>
  <si>
    <t xml:space="preserve">PC-2360826</t>
  </si>
  <si>
    <t xml:space="preserve">€2.2m - Residential Development, Newcastle West</t>
  </si>
  <si>
    <t xml:space="preserve">PC-2360866</t>
  </si>
  <si>
    <t xml:space="preserve">€16.8m - Residential Development, Castleconnell</t>
  </si>
  <si>
    <t xml:space="preserve">PC-24151</t>
  </si>
  <si>
    <t xml:space="preserve">Register: the construction of 10 dwelling units to include 2 no. detached 5 bedr</t>
  </si>
  <si>
    <t xml:space="preserve">PC-24352</t>
  </si>
  <si>
    <t xml:space="preserve">€7.3m - Residential Development</t>
  </si>
  <si>
    <t xml:space="preserve">PC-2460028</t>
  </si>
  <si>
    <t xml:space="preserve">€2.5m - Assisted Living Dwelling Units, Glin</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</si>
  <si>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</si>
  <si>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</si>
  <si>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</si>
  <si>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</si>
  <si>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</si>
  <si>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</si>
  <si>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</si>
  <si>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</si>
  <si>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PC-2460788</t>
  </si>
  <si>
    <t xml:space="preserve">€7.4m - Residential Development, Kilmallock</t>
  </si>
  <si>
    <t xml:space="preserve">PC-2461101</t>
  </si>
  <si>
    <t xml:space="preserve">€1.4m - 7 Houses</t>
  </si>
  <si>
    <t xml:space="preserve">PC-2461182</t>
  </si>
  <si>
    <t xml:space="preserve">€5.4m - Residential Development </t>
  </si>
  <si>
    <t xml:space="preserve">PC-2560156</t>
  </si>
  <si>
    <t xml:space="preserve">€15.9m - Residential Development, Patrickswell</t>
  </si>
  <si>
    <t xml:space="preserve">PC-2560211</t>
  </si>
  <si>
    <t xml:space="preserve">€800k - 4 Apartments </t>
  </si>
  <si>
    <t xml:space="preserve">PC-2560633</t>
  </si>
  <si>
    <t xml:space="preserve">€2.4m - 6 Houses</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</si>
  <si>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</si>
  <si>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</si>
  <si>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</si>
  <si>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</si>
  <si>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</si>
  <si>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</si>
  <si>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PC-2561228</t>
  </si>
  <si>
    <t xml:space="preserve">€18.4m - Residential Development, Patrickswell</t>
  </si>
  <si>
    <t xml:space="preserve">PC-258297</t>
  </si>
  <si>
    <t xml:space="preserve">€4.5m - Residential Development, Abbeyfeale</t>
  </si>
  <si>
    <t xml:space="preserve">PC-2660063</t>
  </si>
  <si>
    <t xml:space="preserve">€1.8m - 7 House/Apartment/Community Office, Feenagh</t>
  </si>
  <si>
    <t xml:space="preserve">PC-2660575</t>
  </si>
  <si>
    <t xml:space="preserve">€4.3m - Apartment Development, Newcastle West</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</si>
  <si>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</si>
  <si>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</si>
  <si>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</si>
  <si>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</si>
  <si>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</si>
  <si>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</si>
  <si>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</si>
  <si>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</si>
  <si>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</si>
  <si>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</si>
  <si>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</si>
  <si>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</si>
  <si>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</si>
  <si>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</si>
  <si>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</si>
  <si>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</si>
  <si>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</si>
  <si>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ZN-Limerick-041</t>
  </si>
  <si>
    <t xml:space="preserve">Limerick: New Residential</t>
  </si>
  <si>
    <t xml:space="preserve">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</si>
  <si>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</si>
  <si>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</si>
  <si>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</si>
  <si>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</si>
  <si>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ZN-Limerick-037</t>
  </si>
  <si>
    <t xml:space="preserve">ZN-Limerick-040</t>
  </si>
  <si>
    <t xml:space="preserve">ZN-Limerick-038</t>
  </si>
  <si>
    <t xml:space="preserve">ZN-Limerick-039</t>
  </si>
  <si>
    <t xml:space="preserve">ZN-Abbeyfeale-001</t>
  </si>
  <si>
    <t xml:space="preserve">Zoned in the Abbeyfeale Local Area PLan 2023-2029</t>
  </si>
  <si>
    <t xml:space="preserve">Abbeyfeale: New Residential</t>
  </si>
  <si>
    <t xml:space="preserve">Abbeyfeale Local Area PLan 2023-2029</t>
  </si>
  <si>
    <t xml:space="preserve">County towns and villages</t>
  </si>
  <si>
    <t xml:space="preserve">25 homes/ha = median of 102 permitted Limerick schemes of 10+ homes in county towns and villages (planning boundaries, gross over the red line); developable share 0.91 = council city audit developable area / mapped area</t>
  </si>
  <si>
    <t xml:space="preserve">ZN-Abbeyfeale-002</t>
  </si>
  <si>
    <t xml:space="preserve">ZN-Abbeyfeale-003</t>
  </si>
  <si>
    <t xml:space="preserve">Abbeyfeale: Residential Serviced Sites</t>
  </si>
  <si>
    <t xml:space="preserve">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</si>
  <si>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</si>
  <si>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</si>
  <si>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</si>
  <si>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ZN-Abbeyfeale-004</t>
  </si>
  <si>
    <t xml:space="preserve">ZN-Abbeyfeale-005</t>
  </si>
  <si>
    <t xml:space="preserve">ZN-Abbeyfeale-006</t>
  </si>
  <si>
    <t xml:space="preserve">ZN-Abbeyfeale-007</t>
  </si>
  <si>
    <t xml:space="preserve">ZN-Adare-001</t>
  </si>
  <si>
    <t xml:space="preserve">Zoned in the Adare Local Area Plan 2024-2030</t>
  </si>
  <si>
    <t xml:space="preserve">Adare: Residential Serviced Sites</t>
  </si>
  <si>
    <t xml:space="preserve">Adare Local Area Plan 2024-2030</t>
  </si>
  <si>
    <t xml:space="preserve">ZN-Adare-002</t>
  </si>
  <si>
    <t xml:space="preserve">Adare: New Residential</t>
  </si>
  <si>
    <t xml:space="preserve">ZN-Adare-003</t>
  </si>
  <si>
    <t xml:space="preserve">ZN-Adare-004</t>
  </si>
  <si>
    <t xml:space="preserve">ZN-Adare-005</t>
  </si>
  <si>
    <t xml:space="preserve">ZN-Adare-006</t>
  </si>
  <si>
    <t xml:space="preserve">ZN-Adare-007</t>
  </si>
  <si>
    <t xml:space="preserve">ZN-Caherconlish-001</t>
  </si>
  <si>
    <t xml:space="preserve">Caherconlish: New Residential</t>
  </si>
  <si>
    <t xml:space="preserve">Caherconlish Local Area Plan 2023-2029</t>
  </si>
  <si>
    <t xml:space="preserve">ZN-Caherconlish-002</t>
  </si>
  <si>
    <t xml:space="preserve">ZN-Caherconlish-003</t>
  </si>
  <si>
    <t xml:space="preserve">ZN-Caherconlish-004</t>
  </si>
  <si>
    <t xml:space="preserve">ZN-Caherconlish-005</t>
  </si>
  <si>
    <t xml:space="preserve">Caherconlish: Residential Serviced Sites</t>
  </si>
  <si>
    <t xml:space="preserve">ZN-Caherconlish-006</t>
  </si>
  <si>
    <t xml:space="preserve">ZN-Castleconnel-001</t>
  </si>
  <si>
    <t xml:space="preserve">Castleconnell: New Residential</t>
  </si>
  <si>
    <t xml:space="preserve">Castleconnell Local Area Plan 2023-2029</t>
  </si>
  <si>
    <t xml:space="preserve">ZN-Castleconnel-002</t>
  </si>
  <si>
    <t xml:space="preserve">Zoned in the Castleconnell Local Area Plan 2023-2029</t>
  </si>
  <si>
    <t xml:space="preserve">Castleconnell: Residential Serviced Sites</t>
  </si>
  <si>
    <t xml:space="preserve">ZN-Castleconnel-003</t>
  </si>
  <si>
    <t xml:space="preserve">ZN-Castleconnel-004</t>
  </si>
  <si>
    <t xml:space="preserve">ZN-Castleconnel-005</t>
  </si>
  <si>
    <t xml:space="preserve">ZN-Castleconnel-006</t>
  </si>
  <si>
    <t xml:space="preserve">ZN-Castleconnel-007</t>
  </si>
  <si>
    <t xml:space="preserve">ZN-Castleconnel-008</t>
  </si>
  <si>
    <t xml:space="preserve">ZN-Castleconnel-009</t>
  </si>
  <si>
    <t xml:space="preserve">ZN-Croom-001</t>
  </si>
  <si>
    <t xml:space="preserve">Croom: Residential Service Sites - Phase 1</t>
  </si>
  <si>
    <t xml:space="preserve">Residential Service Sites - Phase 1</t>
  </si>
  <si>
    <t xml:space="preserve">Croom Local Area Plan 2020-2026</t>
  </si>
  <si>
    <t xml:space="preserve">ZN-Croom-002</t>
  </si>
  <si>
    <t xml:space="preserve">Croom: Residential Development Area - Phase 1</t>
  </si>
  <si>
    <t xml:space="preserve">Residential Development Area - Phase 1</t>
  </si>
  <si>
    <t xml:space="preserve">ZN-Croom-003</t>
  </si>
  <si>
    <t xml:space="preserve">ZN-Croom-004</t>
  </si>
  <si>
    <t xml:space="preserve">ZN-Croom-005</t>
  </si>
  <si>
    <t xml:space="preserve">ZN-Croom-006</t>
  </si>
  <si>
    <t xml:space="preserve">ZN-Croom-007</t>
  </si>
  <si>
    <t xml:space="preserve">ZN-Kilmallock-001</t>
  </si>
  <si>
    <t xml:space="preserve">Zoned in the Kilmallock Local Area Plan 2019-2025</t>
  </si>
  <si>
    <t xml:space="preserve">Kilmallock: Residential Development Area - Phase 1</t>
  </si>
  <si>
    <t xml:space="preserve">Kilmallock Local Area Plan 2019-2025</t>
  </si>
  <si>
    <t xml:space="preserve">ZN-Kilmallock-002</t>
  </si>
  <si>
    <t xml:space="preserve">ZN-Kilmallock-003</t>
  </si>
  <si>
    <t xml:space="preserve">ZN-Kilmallock-004</t>
  </si>
  <si>
    <t xml:space="preserve">ZN-Kilmallock-005</t>
  </si>
  <si>
    <t xml:space="preserve">ZN-Kilmallock-006</t>
  </si>
  <si>
    <t xml:space="preserve">Kilmallock: Residential Service Sites - Phase 1</t>
  </si>
  <si>
    <t xml:space="preserve">ZN-Kilmallock-007</t>
  </si>
  <si>
    <t xml:space="preserve">ZN-Kilmallock-008</t>
  </si>
  <si>
    <t xml:space="preserve">ZN-Kilmallock-009</t>
  </si>
  <si>
    <t xml:space="preserve">ZN-Limerick-001</t>
  </si>
  <si>
    <t xml:space="preserve">ZN-Limerick-002</t>
  </si>
  <si>
    <t xml:space="preserve">Limerick: Residential Serviced Sites</t>
  </si>
  <si>
    <t xml:space="preserve">ZN-Limerick-003</t>
  </si>
  <si>
    <t xml:space="preserve">ZN-Limerick-004</t>
  </si>
  <si>
    <t xml:space="preserve">ZN-Limerick-005</t>
  </si>
  <si>
    <t xml:space="preserve">ZN-Limerick-006</t>
  </si>
  <si>
    <t xml:space="preserve">ZN-Limerick-007</t>
  </si>
  <si>
    <t xml:space="preserve">ZN-Limerick-008</t>
  </si>
  <si>
    <t xml:space="preserve">ZN-Limerick-009</t>
  </si>
  <si>
    <t xml:space="preserve">ZN-Limerick-010</t>
  </si>
  <si>
    <t xml:space="preserve">ZN-Limerick-011</t>
  </si>
  <si>
    <t xml:space="preserve">ZN-Limerick-012</t>
  </si>
  <si>
    <t xml:space="preserve">ZN-Limerick-013</t>
  </si>
  <si>
    <t xml:space="preserve">ZN-Limerick-014</t>
  </si>
  <si>
    <t xml:space="preserve">ZN-Limerick-015</t>
  </si>
  <si>
    <t xml:space="preserve">ZN-Limerick-016</t>
  </si>
  <si>
    <t xml:space="preserve">ZN-Limerick-017</t>
  </si>
  <si>
    <t xml:space="preserve">ZN-Limerick-018</t>
  </si>
  <si>
    <t xml:space="preserve">ZN-Limerick-019</t>
  </si>
  <si>
    <t xml:space="preserve">ZN-Limerick-020</t>
  </si>
  <si>
    <t xml:space="preserve">ZN-Limerick-021</t>
  </si>
  <si>
    <t xml:space="preserve">ZN-Limerick-022</t>
  </si>
  <si>
    <t xml:space="preserve">ZN-Limerick-023</t>
  </si>
  <si>
    <t xml:space="preserve">ZN-Limerick-024</t>
  </si>
  <si>
    <t xml:space="preserve">ZN-Limerick-025</t>
  </si>
  <si>
    <t xml:space="preserve">ZN-Limerick-026</t>
  </si>
  <si>
    <t xml:space="preserve">ZN-Limerick-027</t>
  </si>
  <si>
    <t xml:space="preserve">ZN-Limerick-028</t>
  </si>
  <si>
    <t xml:space="preserve">ZN-Limerick-029</t>
  </si>
  <si>
    <t xml:space="preserve">ZN-Limerick-030</t>
  </si>
  <si>
    <t xml:space="preserve">ZN-Limerick-031</t>
  </si>
  <si>
    <t xml:space="preserve">ZN-Limerick-032</t>
  </si>
  <si>
    <t xml:space="preserve">ZN-Limerick-033</t>
  </si>
  <si>
    <t xml:space="preserve">ZN-Limerick-034</t>
  </si>
  <si>
    <t xml:space="preserve">ZN-Limerick-035</t>
  </si>
  <si>
    <t xml:space="preserve">ZN-Limerick-036</t>
  </si>
  <si>
    <t xml:space="preserve">ZN-NewcastleWes-001</t>
  </si>
  <si>
    <t xml:space="preserve">Newcastle West: New Residential</t>
  </si>
  <si>
    <t xml:space="preserve">Newcastle West Local Area Plan 2023-2029</t>
  </si>
  <si>
    <t xml:space="preserve">ZN-NewcastleWes-002</t>
  </si>
  <si>
    <t xml:space="preserve">Zoned in the Newcastle West Local Area Plan 2023-2029</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</si>
  <si>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</si>
  <si>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</si>
  <si>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</si>
  <si>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</si>
  <si>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</si>
  <si>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</si>
  <si>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</si>
  <si>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</si>
  <si>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</si>
  <si>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</si>
  <si>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</si>
  <si>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ZN-NewcastleWes-013</t>
  </si>
  <si>
    <t xml:space="preserve">ZN-NewcastleWes-014</t>
  </si>
  <si>
    <t xml:space="preserve">ZN-NewcastleWes-015</t>
  </si>
  <si>
    <t xml:space="preserve">ZN-NewcastleWes-016</t>
  </si>
  <si>
    <t xml:space="preserve">ZN-NewcastleWes-017</t>
  </si>
  <si>
    <t xml:space="preserve">ZN-NewcastleWes-018</t>
  </si>
  <si>
    <t xml:space="preserve">ZN-NewcastleWes-019</t>
  </si>
  <si>
    <t xml:space="preserve">ZN-Patrickswell-001</t>
  </si>
  <si>
    <t xml:space="preserve">Patrickswell: New Residential - Phase 1</t>
  </si>
  <si>
    <t xml:space="preserve">New Residential - Phase 1</t>
  </si>
  <si>
    <t xml:space="preserve">Patrickswell Local Area Plan 2024-2030</t>
  </si>
  <si>
    <t xml:space="preserve">ZN-Patrickswell-002</t>
  </si>
  <si>
    <t xml:space="preserve">ZN-Patrickswell-003</t>
  </si>
  <si>
    <t xml:space="preserve">Zoned in the Patrickswell Local Area Plan 2024-2030</t>
  </si>
  <si>
    <t xml:space="preserve">Patrickswell: Residential Serviced Sites</t>
  </si>
  <si>
    <t xml:space="preserve">ZN-Patrickswell-004</t>
  </si>
  <si>
    <t xml:space="preserve">ZN-Patrickswell-005</t>
  </si>
  <si>
    <t xml:space="preserve">Patrickswell: New Residential - Phase 2</t>
  </si>
  <si>
    <t xml:space="preserve">New Residential - Phase 2</t>
  </si>
  <si>
    <t xml:space="preserve">Phase 2 – later phasing</t>
  </si>
  <si>
    <t xml:space="preserve">Phase 2 zoning: later phasing</t>
  </si>
  <si>
    <t xml:space="preserve">ZN-Patrickswell-006</t>
  </si>
  <si>
    <t xml:space="preserve">ZN-Patrickswell-007</t>
  </si>
  <si>
    <t xml:space="preserve">ZN-Patrickswell-008</t>
  </si>
  <si>
    <t xml:space="preserve">ZN-Patrickswell-009</t>
  </si>
  <si>
    <t xml:space="preserve">ZN-Rathkeale-001</t>
  </si>
  <si>
    <t xml:space="preserve">Rathkeale: New Residential</t>
  </si>
  <si>
    <t xml:space="preserve">Rathkeale Local Area Plan 2023-2029</t>
  </si>
  <si>
    <t xml:space="preserve">ZN-Rathkeale-002</t>
  </si>
  <si>
    <t xml:space="preserve">ZN-Rathkeale-003</t>
  </si>
  <si>
    <t xml:space="preserve">ZN-Rathkeale-004</t>
  </si>
  <si>
    <t xml:space="preserve">ZN-Rathkeale-005</t>
  </si>
  <si>
    <t xml:space="preserve">ZN-Rathkeale-006</t>
  </si>
  <si>
    <t xml:space="preserve">ZN-Rathkeale-007</t>
  </si>
  <si>
    <t xml:space="preserve">Zoned in the Rathkeale Local Area Plan 2023-2029</t>
  </si>
  <si>
    <t xml:space="preserve">Rathkeale: Residential Serviced Sites</t>
  </si>
  <si>
    <t xml:space="preserve">ZN-Rathkeale-008</t>
  </si>
  <si>
    <t xml:space="preserve">ZN-Rathkeale-009</t>
  </si>
  <si>
    <t xml:space="preserve">ZN-Rathkeale-010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</si>
  <si>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</si>
  <si>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</si>
  <si>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</si>
  <si>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</si>
  <si>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</si>
  <si>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</si>
  <si>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</si>
  <si>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</si>
  <si>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</si>
  <si>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</si>
  <si>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</si>
  <si>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</si>
  <si>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</si>
  <si>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</si>
  <si>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</si>
  <si>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</si>
  <si>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</si>
  <si>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</si>
  <si>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</si>
  <si>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</si>
  <si>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</si>
  <si>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</si>
  <si>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</si>
  <si>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</si>
  <si>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</si>
  <si>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</si>
  <si>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</si>
  <si>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</si>
  <si>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</si>
  <si>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</si>
  <si>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</si>
  <si>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</si>
  <si>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</si>
  <si>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</si>
  <si>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</si>
  <si>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</si>
  <si>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</si>
  <si>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</si>
  <si>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</si>
  <si>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</si>
  <si>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</si>
  <si>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</si>
  <si>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</si>
  <si>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</si>
  <si>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</si>
  <si>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</si>
  <si>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</si>
  <si>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</si>
  <si>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</si>
  <si>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</si>
  <si>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</si>
  <si>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</si>
  <si>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</si>
  <si>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</si>
  <si>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</si>
  <si>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</si>
  <si>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</si>
  <si>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</si>
  <si>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</si>
  <si>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</si>
  <si>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</si>
  <si>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</si>
  <si>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</si>
  <si>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</si>
  <si>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</si>
  <si>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</si>
  <si>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</si>
  <si>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</si>
  <si>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</si>
  <si>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</si>
  <si>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</si>
  <si>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</si>
  <si>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</si>
  <si>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</si>
  <si>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</si>
  <si>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</si>
  <si>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</si>
  <si>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</si>
  <si>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</si>
  <si>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</si>
  <si>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</si>
  <si>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</si>
  <si>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</si>
  <si>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</si>
  <si>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</si>
  <si>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</si>
  <si>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</si>
  <si>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</si>
  <si>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</si>
  <si>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</si>
  <si>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</si>
  <si>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</si>
  <si>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</si>
  <si>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</si>
  <si>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</si>
  <si>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</si>
  <si>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</si>
  <si>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</si>
  <si>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</si>
  <si>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</si>
  <si>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</si>
  <si>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</si>
  <si>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</si>
  <si>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</si>
  <si>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</si>
  <si>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</si>
  <si>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</si>
  <si>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</si>
  <si>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</si>
  <si>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</si>
  <si>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</si>
  <si>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</si>
  <si>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</si>
  <si>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</si>
  <si>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</si>
  <si>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</si>
  <si>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</si>
  <si>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</si>
  <si>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</si>
  <si>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</si>
  <si>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</si>
  <si>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</si>
  <si>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</si>
  <si>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</si>
  <si>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</si>
  <si>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</si>
  <si>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</si>
  <si>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</si>
  <si>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</si>
  <si>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</si>
  <si>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</si>
  <si>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</si>
  <si>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</si>
  <si>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</si>
  <si>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</si>
  <si>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</si>
  <si>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</si>
  <si>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</si>
  <si>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</si>
  <si>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</si>
  <si>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</si>
  <si>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</si>
  <si>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</si>
  <si>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</si>
  <si>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</si>
  <si>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</si>
  <si>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</si>
  <si>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</si>
  <si>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</si>
  <si>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</si>
  <si>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</si>
  <si>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</si>
  <si>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</si>
  <si>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</si>
  <si>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</si>
  <si>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</si>
  <si>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</si>
  <si>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</si>
  <si>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</si>
  <si>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</si>
  <si>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</si>
  <si>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</si>
  <si>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</si>
  <si>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</si>
  <si>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</si>
  <si>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</si>
  <si>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</si>
  <si>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</si>
  <si>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</si>
  <si>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</si>
  <si>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</si>
  <si>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</si>
  <si>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</si>
  <si>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</si>
  <si>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</si>
  <si>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</si>
  <si>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</si>
  <si>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</si>
  <si>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</si>
  <si>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</si>
  <si>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</si>
  <si>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</si>
  <si>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</si>
  <si>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</si>
  <si>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</si>
  <si>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</si>
  <si>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</si>
  <si>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</si>
  <si>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</si>
  <si>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</si>
  <si>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</si>
  <si>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</si>
  <si>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</si>
  <si>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</si>
  <si>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</si>
  <si>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</si>
  <si>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</si>
  <si>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</si>
  <si>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</si>
  <si>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</si>
  <si>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</si>
  <si>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</si>
  <si>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</si>
  <si>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</si>
  <si>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</si>
  <si>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</si>
  <si>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</si>
  <si>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</si>
  <si>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</si>
  <si>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</si>
  <si>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</si>
  <si>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</si>
  <si>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</si>
  <si>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</si>
  <si>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</si>
  <si>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</si>
  <si>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</si>
  <si>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</si>
  <si>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</si>
  <si>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</si>
  <si>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</si>
  <si>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</si>
  <si>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</si>
  <si>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</si>
  <si>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</si>
  <si>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</si>
  <si>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</si>
  <si>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</si>
  <si>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</si>
  <si>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</si>
  <si>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</si>
  <si>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</si>
  <si>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</si>
  <si>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</si>
  <si>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</si>
  <si>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</si>
  <si>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</si>
  <si>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</si>
  <si>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</si>
  <si>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</si>
  <si>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</si>
  <si>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</si>
  <si>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</si>
  <si>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</si>
  <si>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</si>
  <si>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</si>
  <si>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</si>
  <si>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</si>
  <si>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</si>
  <si>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</si>
  <si>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</si>
  <si>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</si>
  <si>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</si>
  <si>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</si>
  <si>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</si>
  <si>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</si>
  <si>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</si>
  <si>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</si>
  <si>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</si>
  <si>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</si>
  <si>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</si>
  <si>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</si>
  <si>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</si>
  <si>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</si>
  <si>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</si>
  <si>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</si>
  <si>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</si>
  <si>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</si>
  <si>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</si>
  <si>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</si>
  <si>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</si>
  <si>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</si>
  <si>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</si>
  <si>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</si>
  <si>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</si>
  <si>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</si>
  <si>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</si>
  <si>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</si>
  <si>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</si>
  <si>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</si>
  <si>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</si>
  <si>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</si>
  <si>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</si>
  <si>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</si>
  <si>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</si>
  <si>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</si>
  <si>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</si>
  <si>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</si>
  <si>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</si>
  <si>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</si>
  <si>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</si>
  <si>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</si>
  <si>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</si>
  <si>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</si>
  <si>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</si>
  <si>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</si>
  <si>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</si>
  <si>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</si>
  <si>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</si>
  <si>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</si>
  <si>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</si>
  <si>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</si>
  <si>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</si>
  <si>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</si>
  <si>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</si>
  <si>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</si>
  <si>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</si>
  <si>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</si>
  <si>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</si>
  <si>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</si>
  <si>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</si>
  <si>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</si>
  <si>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</si>
  <si>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</si>
  <si>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</si>
  <si>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</si>
  <si>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</si>
  <si>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</si>
  <si>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</si>
  <si>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</si>
  <si>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</si>
  <si>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</si>
  <si>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</si>
  <si>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</si>
  <si>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</si>
  <si>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</si>
  <si>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</si>
  <si>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</si>
  <si>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</si>
  <si>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</si>
  <si>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</si>
  <si>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</si>
  <si>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</si>
  <si>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</si>
  <si>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</si>
  <si>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</si>
  <si>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</si>
  <si>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</si>
  <si>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</si>
  <si>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</si>
  <si>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</si>
  <si>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</si>
  <si>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</si>
  <si>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</si>
  <si>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</si>
  <si>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</si>
  <si>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</si>
  <si>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</si>
  <si>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</si>
  <si>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</si>
  <si>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</si>
  <si>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</si>
  <si>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</si>
  <si>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</si>
  <si>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</si>
  <si>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Own consent parcel</t>
  </si>
  <si>
    <t xml:space="preserve">837963</t>
  </si>
  <si>
    <t xml:space="preserve">15577</t>
  </si>
  <si>
    <t xml:space="preserve">GeoDirectory 2026-06-09</t>
  </si>
  <si>
    <t xml:space="preserve">Complete – applied</t>
  </si>
  <si>
    <t xml:space="preserve">2015-09-09</t>
  </si>
  <si>
    <t xml:space="preserve">REG-178001</t>
  </si>
  <si>
    <t xml:space="preserve">178001</t>
  </si>
  <si>
    <t xml:space="preserve">Not available</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</si>
  <si>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</si>
  <si>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</si>
  <si>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</si>
  <si>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</si>
  <si>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</si>
  <si>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</si>
  <si>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</si>
  <si>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</si>
  <si>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</si>
  <si>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</si>
  <si>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</si>
  <si>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</si>
  <si>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</si>
  <si>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</si>
  <si>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</si>
  <si>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</si>
  <si>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</si>
  <si>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</si>
  <si>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</si>
  <si>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</si>
  <si>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</si>
  <si>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</si>
  <si>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</si>
  <si>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</si>
  <si>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</si>
  <si>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</si>
  <si>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</si>
  <si>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</si>
  <si>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1023413</t>
  </si>
  <si>
    <t xml:space="preserve">181193</t>
  </si>
  <si>
    <t xml:space="preserve">Planning file documents</t>
  </si>
  <si>
    <t xml:space="preserve">2019-05-28</t>
  </si>
  <si>
    <t xml:space="preserve">2027-05-26</t>
  </si>
  <si>
    <t xml:space="preserve">1045778</t>
  </si>
  <si>
    <t xml:space="preserve">19444</t>
  </si>
  <si>
    <t xml:space="preserve">€2.2m - Housing Development </t>
  </si>
  <si>
    <t xml:space="preserve">2019-11-05</t>
  </si>
  <si>
    <t xml:space="preserve">2024-11-04</t>
  </si>
  <si>
    <t xml:space="preserve">979081</t>
  </si>
  <si>
    <t xml:space="preserve">18200</t>
  </si>
  <si>
    <t xml:space="preserve">€5.9m - Residential Development, Patrickswell</t>
  </si>
  <si>
    <t xml:space="preserve">2018-12-11</t>
  </si>
  <si>
    <t xml:space="preserve">2026-12-08</t>
  </si>
  <si>
    <t xml:space="preserve">2022-12-09</t>
  </si>
  <si>
    <t xml:space="preserve">2022 Q4</t>
  </si>
  <si>
    <t xml:space="preserve">1024750</t>
  </si>
  <si>
    <t xml:space="preserve">181243</t>
  </si>
  <si>
    <t xml:space="preserve">2019-09-04</t>
  </si>
  <si>
    <t xml:space="preserve">2024-09-03</t>
  </si>
  <si>
    <t xml:space="preserve">2021-04-28</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</si>
  <si>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</si>
  <si>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</si>
  <si>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</si>
  <si>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</si>
  <si>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</si>
  <si>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</si>
  <si>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</si>
  <si>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</si>
  <si>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</si>
  <si>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</si>
  <si>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</si>
  <si>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</si>
  <si>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</si>
  <si>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</si>
  <si>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</si>
  <si>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</si>
  <si>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</si>
  <si>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</si>
  <si>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</si>
  <si>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</si>
  <si>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</si>
  <si>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</si>
  <si>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</si>
  <si>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</si>
  <si>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</si>
  <si>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</si>
  <si>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</si>
  <si>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</si>
  <si>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</si>
  <si>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</si>
  <si>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</si>
  <si>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</si>
  <si>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</si>
  <si>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</si>
  <si>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</si>
  <si>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</si>
  <si>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</si>
  <si>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</si>
  <si>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</si>
  <si>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</si>
  <si>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</si>
  <si>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</si>
  <si>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</si>
  <si>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</si>
  <si>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</si>
  <si>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</si>
  <si>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</si>
  <si>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</si>
  <si>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</si>
  <si>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</si>
  <si>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</si>
  <si>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</si>
  <si>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</si>
  <si>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</si>
  <si>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</si>
  <si>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</si>
  <si>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</si>
  <si>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</si>
  <si>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</si>
  <si>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</si>
  <si>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</si>
  <si>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</si>
  <si>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</si>
  <si>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</si>
  <si>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</si>
  <si>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</si>
  <si>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</si>
  <si>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</si>
  <si>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</si>
  <si>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</si>
  <si>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</si>
  <si>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</si>
  <si>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</si>
  <si>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</si>
  <si>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</si>
  <si>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</si>
  <si>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</si>
  <si>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</si>
  <si>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</si>
  <si>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</si>
  <si>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</si>
  <si>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</si>
  <si>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</si>
  <si>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</si>
  <si>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</si>
  <si>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</si>
  <si>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</si>
  <si>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</si>
  <si>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</si>
  <si>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</si>
  <si>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</si>
  <si>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</si>
  <si>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</si>
  <si>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</si>
  <si>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</si>
  <si>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</si>
  <si>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</si>
  <si>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1084266</t>
  </si>
  <si>
    <t xml:space="preserve">191298</t>
  </si>
  <si>
    <t xml:space="preserve">2020-11-26</t>
  </si>
  <si>
    <t xml:space="preserve">2028-11-25</t>
  </si>
  <si>
    <t xml:space="preserve">1034286</t>
  </si>
  <si>
    <t xml:space="preserve">19149</t>
  </si>
  <si>
    <t xml:space="preserve">2019-09-11</t>
  </si>
  <si>
    <t xml:space="preserve">2024-09-10</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</si>
  <si>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</si>
  <si>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</si>
  <si>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</si>
  <si>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</si>
  <si>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</si>
  <si>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</si>
  <si>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</si>
  <si>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</si>
  <si>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</si>
  <si>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</si>
  <si>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</si>
  <si>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</si>
  <si>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</si>
  <si>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</si>
  <si>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</si>
  <si>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</si>
  <si>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</si>
  <si>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</si>
  <si>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</si>
  <si>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</si>
  <si>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</si>
  <si>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</si>
  <si>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</si>
  <si>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</si>
  <si>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1057729</t>
  </si>
  <si>
    <t xml:space="preserve">19689</t>
  </si>
  <si>
    <t xml:space="preserve">2020-02-27</t>
  </si>
  <si>
    <t xml:space="preserve">2026-09-05</t>
  </si>
  <si>
    <t xml:space="preserve">2024-03-21</t>
  </si>
  <si>
    <t xml:space="preserve">2024 Q1</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</si>
  <si>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</si>
  <si>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</si>
  <si>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</si>
  <si>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</si>
  <si>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</si>
  <si>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</si>
  <si>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</si>
  <si>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</si>
  <si>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</si>
  <si>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</si>
  <si>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</si>
  <si>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</si>
  <si>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</si>
  <si>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</si>
  <si>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</si>
  <si>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</si>
  <si>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</si>
  <si>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</si>
  <si>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</si>
  <si>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</si>
  <si>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</si>
  <si>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</si>
  <si>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</si>
  <si>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</si>
  <si>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</si>
  <si>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</si>
  <si>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</si>
  <si>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</si>
  <si>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</si>
  <si>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</si>
  <si>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</si>
  <si>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</si>
  <si>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</si>
  <si>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</si>
  <si>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</si>
  <si>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</si>
  <si>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</si>
  <si>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</si>
  <si>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</si>
  <si>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</si>
  <si>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</si>
  <si>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</si>
  <si>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</si>
  <si>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</si>
  <si>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</si>
  <si>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</si>
  <si>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</si>
  <si>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</si>
  <si>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</si>
  <si>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</si>
  <si>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</si>
  <si>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1065293</t>
  </si>
  <si>
    <t xml:space="preserve">19872</t>
  </si>
  <si>
    <t xml:space="preserve">2020-02-25</t>
  </si>
  <si>
    <t xml:space="preserve">2025-02-24</t>
  </si>
  <si>
    <t xml:space="preserve">2024-05-08</t>
  </si>
  <si>
    <t xml:space="preserve">1069596</t>
  </si>
  <si>
    <t xml:space="preserve">19970</t>
  </si>
  <si>
    <t xml:space="preserve">2020-11-16</t>
  </si>
  <si>
    <t xml:space="preserve">2028-11-14</t>
  </si>
  <si>
    <t xml:space="preserve">2023-04-10</t>
  </si>
  <si>
    <t xml:space="preserve">2023 Q2</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</si>
  <si>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</si>
  <si>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</si>
  <si>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</si>
  <si>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</si>
  <si>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</si>
  <si>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</si>
  <si>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</si>
  <si>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</si>
  <si>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</si>
  <si>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</si>
  <si>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</si>
  <si>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</si>
  <si>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</si>
  <si>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</si>
  <si>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</si>
  <si>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</si>
  <si>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</si>
  <si>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</si>
  <si>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</si>
  <si>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</si>
  <si>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</si>
  <si>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</si>
  <si>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</si>
  <si>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</si>
  <si>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</si>
  <si>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</si>
  <si>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</si>
  <si>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</si>
  <si>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</si>
  <si>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</si>
  <si>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</si>
  <si>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</si>
  <si>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</si>
  <si>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</si>
  <si>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</si>
  <si>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</si>
  <si>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</si>
  <si>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</si>
  <si>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</si>
  <si>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</si>
  <si>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</si>
  <si>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</si>
  <si>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</si>
  <si>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</si>
  <si>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</si>
  <si>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</si>
  <si>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</si>
  <si>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</si>
  <si>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</si>
  <si>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</si>
  <si>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</si>
  <si>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</si>
  <si>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</si>
  <si>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</si>
  <si>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</si>
  <si>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</si>
  <si>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</si>
  <si>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</si>
  <si>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</si>
  <si>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</si>
  <si>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</si>
  <si>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</si>
  <si>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</si>
  <si>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</si>
  <si>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</si>
  <si>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</si>
  <si>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</si>
  <si>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</si>
  <si>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Register only (private, not in CIS)</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</si>
  <si>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</si>
  <si>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</si>
  <si>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</si>
  <si>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</si>
  <si>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</si>
  <si>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</si>
  <si>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</si>
  <si>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</si>
  <si>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</si>
  <si>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</si>
  <si>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</si>
  <si>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</si>
  <si>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</si>
  <si>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</si>
  <si>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</si>
  <si>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</si>
  <si>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</si>
  <si>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</si>
  <si>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</si>
  <si>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</si>
  <si>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</si>
  <si>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</si>
  <si>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</si>
  <si>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</si>
  <si>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</si>
  <si>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</si>
  <si>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</si>
  <si>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</si>
  <si>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</si>
  <si>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</si>
  <si>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</si>
  <si>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</si>
  <si>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</si>
  <si>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</si>
  <si>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</si>
  <si>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</si>
  <si>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</si>
  <si>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</si>
  <si>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</si>
  <si>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</si>
  <si>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</si>
  <si>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</si>
  <si>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</si>
  <si>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</si>
  <si>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</si>
  <si>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</si>
  <si>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</si>
  <si>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</si>
  <si>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</si>
  <si>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</si>
  <si>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</si>
  <si>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</si>
  <si>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</si>
  <si>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</si>
  <si>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</si>
  <si>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</si>
  <si>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</si>
  <si>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</si>
  <si>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</si>
  <si>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</si>
  <si>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2026 Q1</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</si>
  <si>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</si>
  <si>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</si>
  <si>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</si>
  <si>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</si>
  <si>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</si>
  <si>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</si>
  <si>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</si>
  <si>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</si>
  <si>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</si>
  <si>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</si>
  <si>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</si>
  <si>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</si>
  <si>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</si>
  <si>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</si>
  <si>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</si>
  <si>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</si>
  <si>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</si>
  <si>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</si>
  <si>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</si>
  <si>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</si>
  <si>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Replaces earlier</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</si>
  <si>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</si>
  <si>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</si>
  <si>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</si>
  <si>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</si>
  <si>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</si>
  <si>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</si>
  <si>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</si>
  <si>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</si>
  <si>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</si>
  <si>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</si>
  <si>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</si>
  <si>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</si>
  <si>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</si>
  <si>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</si>
  <si>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</si>
  <si>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</si>
  <si>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</si>
  <si>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</si>
  <si>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</si>
  <si>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</si>
  <si>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</si>
  <si>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</si>
  <si>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</si>
  <si>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</si>
  <si>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</si>
  <si>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</si>
  <si>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</si>
  <si>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</si>
  <si>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</si>
  <si>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</si>
  <si>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</si>
  <si>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</si>
  <si>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</si>
  <si>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</si>
  <si>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</si>
  <si>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1165485</t>
  </si>
  <si>
    <t xml:space="preserve">21594</t>
  </si>
  <si>
    <t xml:space="preserve">2022-09-06</t>
  </si>
  <si>
    <t xml:space="preserve">2027-09-05</t>
  </si>
  <si>
    <t xml:space="preserve">1446285</t>
  </si>
  <si>
    <t xml:space="preserve">2660232</t>
  </si>
  <si>
    <t xml:space="preserve">€7.8m - Residential Development, Abbeyfeale</t>
  </si>
  <si>
    <t xml:space="preserve">1166991</t>
  </si>
  <si>
    <t xml:space="preserve">21630</t>
  </si>
  <si>
    <t xml:space="preserve">2022-05-12</t>
  </si>
  <si>
    <t xml:space="preserve">2027-05-11</t>
  </si>
  <si>
    <t xml:space="preserve">1201358</t>
  </si>
  <si>
    <t xml:space="preserve">Part 8 - 1201358</t>
  </si>
  <si>
    <t xml:space="preserve">218005</t>
  </si>
  <si>
    <t xml:space="preserve">€2.4m - Residential Development, Broadford </t>
  </si>
  <si>
    <t xml:space="preserve">2022-02-22</t>
  </si>
  <si>
    <t xml:space="preserve">1203836</t>
  </si>
  <si>
    <t xml:space="preserve">218012</t>
  </si>
  <si>
    <t xml:space="preserve">2022-02-25</t>
  </si>
  <si>
    <t xml:space="preserve">2025-06-26</t>
  </si>
  <si>
    <t xml:space="preserve">2025 Q2</t>
  </si>
  <si>
    <t xml:space="preserve">1205019</t>
  </si>
  <si>
    <t xml:space="preserve">218013</t>
  </si>
  <si>
    <t xml:space="preserve">2022-03-09</t>
  </si>
  <si>
    <t xml:space="preserve">2024-03-19</t>
  </si>
  <si>
    <t xml:space="preserve">1174250</t>
  </si>
  <si>
    <t xml:space="preserve">21853</t>
  </si>
  <si>
    <t xml:space="preserve">2021-12-15</t>
  </si>
  <si>
    <t xml:space="preserve">2026-12-14</t>
  </si>
  <si>
    <t xml:space="preserve">1174682</t>
  </si>
  <si>
    <t xml:space="preserve">21873</t>
  </si>
  <si>
    <t xml:space="preserve">2022-07-14</t>
  </si>
  <si>
    <t xml:space="preserve">2027-07-13</t>
  </si>
  <si>
    <t xml:space="preserve">2024-03-18</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</si>
  <si>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</si>
  <si>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</si>
  <si>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</si>
  <si>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</si>
  <si>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</si>
  <si>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</si>
  <si>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</si>
  <si>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</si>
  <si>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</si>
  <si>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</si>
  <si>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</si>
  <si>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</si>
  <si>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</si>
  <si>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</si>
  <si>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</si>
  <si>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</si>
  <si>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1262614</t>
  </si>
  <si>
    <t xml:space="preserve">221318</t>
  </si>
  <si>
    <t xml:space="preserve">2023-10-24</t>
  </si>
  <si>
    <t xml:space="preserve">2028-10-23</t>
  </si>
  <si>
    <t xml:space="preserve">2025-02-05</t>
  </si>
  <si>
    <t xml:space="preserve">1263448</t>
  </si>
  <si>
    <t xml:space="preserve">221352</t>
  </si>
  <si>
    <t xml:space="preserve">2023-07-11</t>
  </si>
  <si>
    <t xml:space="preserve">2028-07-10</t>
  </si>
  <si>
    <t xml:space="preserve">2025-03-18</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</si>
  <si>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</si>
  <si>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</si>
  <si>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</si>
  <si>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</si>
  <si>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</si>
  <si>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</si>
  <si>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</si>
  <si>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</si>
  <si>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</si>
  <si>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</si>
  <si>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</si>
  <si>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</si>
  <si>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</si>
  <si>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</si>
  <si>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</si>
  <si>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</si>
  <si>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</si>
  <si>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</si>
  <si>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</si>
  <si>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</si>
  <si>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</si>
  <si>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</si>
  <si>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</si>
  <si>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</si>
  <si>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</si>
  <si>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</si>
  <si>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</si>
  <si>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</si>
  <si>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</si>
  <si>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</si>
  <si>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</si>
  <si>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</si>
  <si>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</si>
  <si>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2025 Q4</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</si>
  <si>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</si>
  <si>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</si>
  <si>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</si>
  <si>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</si>
  <si>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</si>
  <si>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</si>
  <si>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</si>
  <si>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</si>
  <si>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</si>
  <si>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1258895</t>
  </si>
  <si>
    <t xml:space="preserve">228020</t>
  </si>
  <si>
    <t xml:space="preserve">2023-02-10</t>
  </si>
  <si>
    <t xml:space="preserve">1265040</t>
  </si>
  <si>
    <t xml:space="preserve">228023</t>
  </si>
  <si>
    <t xml:space="preserve">2026-02-09</t>
  </si>
  <si>
    <t xml:space="preserve">1243349</t>
  </si>
  <si>
    <t xml:space="preserve">22840</t>
  </si>
  <si>
    <t xml:space="preserve">2023-06-26</t>
  </si>
  <si>
    <t xml:space="preserve">2028-06-25</t>
  </si>
  <si>
    <t xml:space="preserve">2024-01-31</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</si>
  <si>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</si>
  <si>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</si>
  <si>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</si>
  <si>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</si>
  <si>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</si>
  <si>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</si>
  <si>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</si>
  <si>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</si>
  <si>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</si>
  <si>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1266613</t>
  </si>
  <si>
    <t xml:space="preserve">2326</t>
  </si>
  <si>
    <t xml:space="preserve">2024-01-29</t>
  </si>
  <si>
    <t xml:space="preserve">2029-01-28</t>
  </si>
  <si>
    <t xml:space="preserve">2026-03-28</t>
  </si>
  <si>
    <t xml:space="preserve">1292276</t>
  </si>
  <si>
    <t xml:space="preserve">23283</t>
  </si>
  <si>
    <t xml:space="preserve">2023-08-16</t>
  </si>
  <si>
    <t xml:space="preserve">2028-08-15</t>
  </si>
  <si>
    <t xml:space="preserve">1317302</t>
  </si>
  <si>
    <t xml:space="preserve">23529</t>
  </si>
  <si>
    <t xml:space="preserve">2029-09-02</t>
  </si>
  <si>
    <t xml:space="preserve">2025-10-09</t>
  </si>
  <si>
    <t xml:space="preserve">1270045</t>
  </si>
  <si>
    <t xml:space="preserve">2360025</t>
  </si>
  <si>
    <t xml:space="preserve">2024-08-28</t>
  </si>
  <si>
    <t xml:space="preserve">2029-08-27</t>
  </si>
  <si>
    <t xml:space="preserve">2025-10-23</t>
  </si>
  <si>
    <t xml:space="preserve">1277663</t>
  </si>
  <si>
    <t xml:space="preserve">2360144</t>
  </si>
  <si>
    <t xml:space="preserve">2023-11-15</t>
  </si>
  <si>
    <t xml:space="preserve">1278374</t>
  </si>
  <si>
    <t xml:space="preserve">2360150</t>
  </si>
  <si>
    <t xml:space="preserve">2023-08-22</t>
  </si>
  <si>
    <t xml:space="preserve">2028-08-21</t>
  </si>
  <si>
    <t xml:space="preserve">2025-12-01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</si>
  <si>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</si>
  <si>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</si>
  <si>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</si>
  <si>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</si>
  <si>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</si>
  <si>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</si>
  <si>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</si>
  <si>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</si>
  <si>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</si>
  <si>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2024-07-09</t>
  </si>
  <si>
    <t xml:space="preserve">2029-07-08</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</si>
  <si>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</si>
  <si>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</si>
  <si>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</si>
  <si>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</si>
  <si>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</si>
  <si>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</si>
  <si>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</si>
  <si>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</si>
  <si>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</si>
  <si>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</si>
  <si>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</si>
  <si>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</si>
  <si>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</si>
  <si>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</si>
  <si>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</si>
  <si>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</si>
  <si>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</si>
  <si>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</si>
  <si>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</si>
  <si>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</si>
  <si>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1310783</t>
  </si>
  <si>
    <t xml:space="preserve">2360706</t>
  </si>
  <si>
    <t xml:space="preserve">1314456</t>
  </si>
  <si>
    <t xml:space="preserve">2360759</t>
  </si>
  <si>
    <t xml:space="preserve">2029-07-16</t>
  </si>
  <si>
    <t xml:space="preserve">1316492</t>
  </si>
  <si>
    <t xml:space="preserve">2360794</t>
  </si>
  <si>
    <t xml:space="preserve">2024-05-07</t>
  </si>
  <si>
    <t xml:space="preserve">2029-05-06</t>
  </si>
  <si>
    <t xml:space="preserve">1316698</t>
  </si>
  <si>
    <t xml:space="preserve">2360798</t>
  </si>
  <si>
    <t xml:space="preserve">2024-10-31</t>
  </si>
  <si>
    <t xml:space="preserve">2029-10-30</t>
  </si>
  <si>
    <t xml:space="preserve">2025-07-07</t>
  </si>
  <si>
    <t xml:space="preserve">1318536</t>
  </si>
  <si>
    <t xml:space="preserve">2360826</t>
  </si>
  <si>
    <t xml:space="preserve">2024-05-15</t>
  </si>
  <si>
    <t xml:space="preserve">2029-05-14</t>
  </si>
  <si>
    <t xml:space="preserve">1319159</t>
  </si>
  <si>
    <t xml:space="preserve">2360842</t>
  </si>
  <si>
    <t xml:space="preserve">2024-05-23</t>
  </si>
  <si>
    <t xml:space="preserve">2029-05-22</t>
  </si>
  <si>
    <t xml:space="preserve">2024-12-20</t>
  </si>
  <si>
    <t xml:space="preserve">1320420</t>
  </si>
  <si>
    <t xml:space="preserve">2360866</t>
  </si>
  <si>
    <t xml:space="preserve">2024-06-12</t>
  </si>
  <si>
    <t xml:space="preserve">2029-06-11</t>
  </si>
  <si>
    <t xml:space="preserve">REG-24151</t>
  </si>
  <si>
    <t xml:space="preserve">24151</t>
  </si>
  <si>
    <t xml:space="preserve">2025-01-15</t>
  </si>
  <si>
    <t xml:space="preserve">2030-01-14</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</si>
  <si>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</si>
  <si>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</si>
  <si>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</si>
  <si>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</si>
  <si>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</si>
  <si>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</si>
  <si>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</si>
  <si>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</si>
  <si>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</si>
  <si>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</si>
  <si>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</si>
  <si>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</si>
  <si>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</si>
  <si>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1327665</t>
  </si>
  <si>
    <t xml:space="preserve">2460028</t>
  </si>
  <si>
    <t xml:space="preserve">2024-09-02</t>
  </si>
  <si>
    <t xml:space="preserve">2029-09-01</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</si>
  <si>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</si>
  <si>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</si>
  <si>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</si>
  <si>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</si>
  <si>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</si>
  <si>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</si>
  <si>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</si>
  <si>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</si>
  <si>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</si>
  <si>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</si>
  <si>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</si>
  <si>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</si>
  <si>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</si>
  <si>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</si>
  <si>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</si>
  <si>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</si>
  <si>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</si>
  <si>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</si>
  <si>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</si>
  <si>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</si>
  <si>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</si>
  <si>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</si>
  <si>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</si>
  <si>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</si>
  <si>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</si>
  <si>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</si>
  <si>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</si>
  <si>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</si>
  <si>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</si>
  <si>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</si>
  <si>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</si>
  <si>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</si>
  <si>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1360674</t>
  </si>
  <si>
    <t xml:space="preserve">2460788</t>
  </si>
  <si>
    <t xml:space="preserve">2025-07-15</t>
  </si>
  <si>
    <t xml:space="preserve">2030-07-14</t>
  </si>
  <si>
    <t xml:space="preserve">2026-04-06</t>
  </si>
  <si>
    <t xml:space="preserve">1363929</t>
  </si>
  <si>
    <t xml:space="preserve">2460864</t>
  </si>
  <si>
    <t xml:space="preserve">2025-09-18</t>
  </si>
  <si>
    <t xml:space="preserve">2030-09-17</t>
  </si>
  <si>
    <t xml:space="preserve">1375398</t>
  </si>
  <si>
    <t xml:space="preserve">2461101</t>
  </si>
  <si>
    <t xml:space="preserve">2025-07-30</t>
  </si>
  <si>
    <t xml:space="preserve">2028-10-16</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</si>
  <si>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</si>
  <si>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</si>
  <si>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</si>
  <si>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</si>
  <si>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</si>
  <si>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</si>
  <si>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</si>
  <si>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</si>
  <si>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</si>
  <si>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</si>
  <si>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</si>
  <si>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</si>
  <si>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</si>
  <si>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</si>
  <si>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</si>
  <si>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</si>
  <si>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</si>
  <si>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</si>
  <si>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1391914</t>
  </si>
  <si>
    <t xml:space="preserve">2560156</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</si>
  <si>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</si>
  <si>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</si>
  <si>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</si>
  <si>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</si>
  <si>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</si>
  <si>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</si>
  <si>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</si>
  <si>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</si>
  <si>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</si>
  <si>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</si>
  <si>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</si>
  <si>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</si>
  <si>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</si>
  <si>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</si>
  <si>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</si>
  <si>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</si>
  <si>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</si>
  <si>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</si>
  <si>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</si>
  <si>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</si>
  <si>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</si>
  <si>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</si>
  <si>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</si>
  <si>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</si>
  <si>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</si>
  <si>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</si>
  <si>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</si>
  <si>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</si>
  <si>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</si>
  <si>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</si>
  <si>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</si>
  <si>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</si>
  <si>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</si>
  <si>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</si>
  <si>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</si>
  <si>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</si>
  <si>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</si>
  <si>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</si>
  <si>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</si>
  <si>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</si>
  <si>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1409727</t>
  </si>
  <si>
    <t xml:space="preserve">2560633</t>
  </si>
  <si>
    <t xml:space="preserve">2026-04-01</t>
  </si>
  <si>
    <t xml:space="preserve">2031-03-31</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</si>
  <si>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</si>
  <si>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</si>
  <si>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</si>
  <si>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</si>
  <si>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</si>
  <si>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</si>
  <si>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</si>
  <si>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</si>
  <si>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</si>
  <si>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</si>
  <si>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</si>
  <si>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</si>
  <si>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</si>
  <si>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</si>
  <si>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</si>
  <si>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</si>
  <si>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</si>
  <si>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1097151</t>
  </si>
  <si>
    <t xml:space="preserve">20281</t>
  </si>
  <si>
    <t xml:space="preserve">€12m - Residential Development, Patrickswell</t>
  </si>
  <si>
    <t xml:space="preserve">2021-01-15</t>
  </si>
  <si>
    <t xml:space="preserve">2023-06-09</t>
  </si>
  <si>
    <t xml:space="preserve">1417511</t>
  </si>
  <si>
    <t xml:space="preserve">2561228</t>
  </si>
  <si>
    <t xml:space="preserve">2026-05-06</t>
  </si>
  <si>
    <t xml:space="preserve">2031-05-05</t>
  </si>
  <si>
    <t xml:space="preserve">2026-07-14</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</si>
  <si>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</si>
  <si>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</si>
  <si>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</si>
  <si>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</si>
  <si>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</si>
  <si>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</si>
  <si>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</si>
  <si>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</si>
  <si>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</si>
  <si>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</si>
  <si>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</si>
  <si>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</si>
  <si>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</si>
  <si>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</si>
  <si>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</si>
  <si>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</si>
  <si>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</si>
  <si>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</si>
  <si>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</si>
  <si>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1360912</t>
  </si>
  <si>
    <t xml:space="preserve">2660575</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</si>
  <si>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</si>
  <si>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</si>
  <si>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</si>
  <si>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</si>
  <si>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</si>
  <si>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</si>
  <si>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</si>
  <si>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</si>
  <si>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</si>
  <si>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</si>
  <si>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</si>
  <si>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</si>
  <si>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</si>
  <si>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</si>
  <si>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</si>
  <si>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</si>
  <si>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</si>
  <si>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</si>
  <si>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</si>
  <si>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</si>
  <si>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</si>
  <si>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</si>
  <si>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</si>
  <si>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</si>
  <si>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</si>
  <si>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</si>
  <si>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</si>
  <si>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</si>
  <si>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</si>
  <si>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</si>
  <si>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</si>
  <si>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</si>
  <si>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</si>
  <si>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</si>
  <si>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</si>
  <si>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</si>
  <si>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</si>
  <si>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</si>
  <si>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</si>
  <si>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</si>
  <si>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</si>
  <si>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</si>
  <si>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</si>
  <si>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</si>
  <si>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</si>
  <si>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</si>
  <si>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</si>
  <si>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</si>
  <si>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</si>
  <si>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</si>
  <si>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</si>
  <si>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</si>
  <si>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</si>
  <si>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</si>
  <si>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</si>
  <si>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</si>
  <si>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</si>
  <si>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</si>
  <si>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</si>
  <si>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</si>
  <si>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</si>
  <si>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</si>
  <si>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</si>
  <si>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</si>
  <si>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</si>
  <si>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</si>
  <si>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</si>
  <si>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</si>
  <si>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</si>
  <si>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</si>
  <si>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</si>
  <si>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</si>
  <si>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</si>
  <si>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</si>
  <si>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</si>
  <si>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</si>
  <si>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1433772</t>
  </si>
  <si>
    <t xml:space="preserve">Part 8-  26255726</t>
  </si>
  <si>
    <t xml:space="preserve">No</t>
  </si>
  <si>
    <t xml:space="preserve">Council audit – county</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</si>
  <si>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</si>
  <si>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</si>
  <si>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</si>
  <si>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</si>
  <si>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</si>
  <si>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</si>
  <si>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</si>
  <si>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</si>
  <si>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</si>
  <si>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</si>
  <si>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</si>
  <si>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</si>
  <si>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</si>
  <si>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</si>
  <si>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</si>
  <si>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</si>
  <si>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</si>
  <si>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</si>
  <si>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</si>
  <si>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GD-004</t>
  </si>
  <si>
    <t xml:space="preserve">CAMOGE PARK, GATEWAY PARK</t>
  </si>
  <si>
    <t xml:space="preserve">2020-03-12</t>
  </si>
  <si>
    <t xml:space="preserve">2025-01-23</t>
  </si>
  <si>
    <t xml:space="preserve">19717 (56), 171194 (3), 1791 (2), 2079 (2), 21131 (2)</t>
  </si>
  <si>
    <t xml:space="preserve">GD-007</t>
  </si>
  <si>
    <t xml:space="preserve">NEWTOWN MANOR</t>
  </si>
  <si>
    <t xml:space="preserve">2021-09-08</t>
  </si>
  <si>
    <t xml:space="preserve">2360258 (78), 181104 (43), 18698 (38), 20256 (31), 21350 (28)</t>
  </si>
  <si>
    <t xml:space="preserve">GD-016</t>
  </si>
  <si>
    <t xml:space="preserve">, HASSETT'S VILLAS</t>
  </si>
  <si>
    <t xml:space="preserve">2019-02-13</t>
  </si>
  <si>
    <t xml:space="preserve">2024-03-12</t>
  </si>
  <si>
    <t xml:space="preserve">GD-017</t>
  </si>
  <si>
    <t xml:space="preserve">THE ORCHARD, MAIN STREET, SUMMERVILLE DRIVE</t>
  </si>
  <si>
    <t xml:space="preserve">2019-12-02</t>
  </si>
  <si>
    <t xml:space="preserve">17645 (16), 19553 (4)</t>
  </si>
  <si>
    <t xml:space="preserve">GD-018</t>
  </si>
  <si>
    <t xml:space="preserve">SAINT ITA STREET, SAINT COLUMCILLE STREET, SAINT BRENDAN STREET</t>
  </si>
  <si>
    <t xml:space="preserve">2019-08-22</t>
  </si>
  <si>
    <t xml:space="preserve">GD-019</t>
  </si>
  <si>
    <t xml:space="preserve">DELMEGE PARK</t>
  </si>
  <si>
    <t xml:space="preserve">2022-09-02</t>
  </si>
  <si>
    <t xml:space="preserve">2025-02-19</t>
  </si>
  <si>
    <t xml:space="preserve">GD-023</t>
  </si>
  <si>
    <t xml:space="preserve">OAK AVENUE</t>
  </si>
  <si>
    <t xml:space="preserve">2024-02-20</t>
  </si>
  <si>
    <t xml:space="preserve">198010 (31), 19684 (17)</t>
  </si>
  <si>
    <t xml:space="preserve">GD-024</t>
  </si>
  <si>
    <t xml:space="preserve">NORTH CIRCULAR ROAD</t>
  </si>
  <si>
    <t xml:space="preserve">2019-12-03</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</si>
  <si>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</si>
  <si>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</si>
  <si>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</si>
  <si>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</si>
  <si>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</si>
  <si>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</si>
  <si>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</si>
  <si>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</si>
  <si>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</si>
  <si>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</si>
  <si>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</si>
  <si>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</si>
  <si>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</si>
  <si>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GD-005</t>
  </si>
  <si>
    <t xml:space="preserve">KYLEMORE</t>
  </si>
  <si>
    <t xml:space="preserve">2019-03-12</t>
  </si>
  <si>
    <t xml:space="preserve">2021-09-03</t>
  </si>
  <si>
    <t xml:space="preserve">2360842 (122), 1818 (33)</t>
  </si>
  <si>
    <t xml:space="preserve">GD-006</t>
  </si>
  <si>
    <t xml:space="preserve">BLOOMFIELD</t>
  </si>
  <si>
    <t xml:space="preserve">2020-03-09</t>
  </si>
  <si>
    <t xml:space="preserve">191073 (5)</t>
  </si>
  <si>
    <t xml:space="preserve">GD-008</t>
  </si>
  <si>
    <t xml:space="preserve">NEWTOWN MEADOWS</t>
  </si>
  <si>
    <t xml:space="preserve">2023-03-07</t>
  </si>
  <si>
    <t xml:space="preserve">2023-05-15</t>
  </si>
  <si>
    <t xml:space="preserve">191236 (92), 19547 (90), 211152 (89), 211400 (26)</t>
  </si>
  <si>
    <t xml:space="preserve">GD-009</t>
  </si>
  <si>
    <t xml:space="preserve">CLUAIN AOIBH, COIS CARRAIG</t>
  </si>
  <si>
    <t xml:space="preserve">2020-03-10</t>
  </si>
  <si>
    <t xml:space="preserve">17977 (8)</t>
  </si>
  <si>
    <t xml:space="preserve">GD-010</t>
  </si>
  <si>
    <t xml:space="preserve">CHURCHFIELD</t>
  </si>
  <si>
    <t xml:space="preserve">2023-12-06</t>
  </si>
  <si>
    <t xml:space="preserve">GD-011</t>
  </si>
  <si>
    <t xml:space="preserve">MANOR BROOK</t>
  </si>
  <si>
    <t xml:space="preserve">2021-08-09</t>
  </si>
  <si>
    <t xml:space="preserve">19234 (40)</t>
  </si>
  <si>
    <t xml:space="preserve">GD-012</t>
  </si>
  <si>
    <t xml:space="preserve">THE AVENUE, THE MEADOWS</t>
  </si>
  <si>
    <t xml:space="preserve">2019-06-28</t>
  </si>
  <si>
    <t xml:space="preserve">2020-11-24</t>
  </si>
  <si>
    <t xml:space="preserve">17465 (56), 18619 (17), 18415 (11), 18618 (3)</t>
  </si>
  <si>
    <t xml:space="preserve">GD-013</t>
  </si>
  <si>
    <t xml:space="preserve">GLEN GROVE</t>
  </si>
  <si>
    <t xml:space="preserve">2021-09-09</t>
  </si>
  <si>
    <t xml:space="preserve">2022-03-03</t>
  </si>
  <si>
    <t xml:space="preserve">17926 (33)</t>
  </si>
  <si>
    <t xml:space="preserve">GD-014</t>
  </si>
  <si>
    <t xml:space="preserve">WOODFIELD MANOR</t>
  </si>
  <si>
    <t xml:space="preserve">2022-05-16</t>
  </si>
  <si>
    <t xml:space="preserve">21531 (63), 17375 (60), 201380 (30)</t>
  </si>
  <si>
    <t xml:space="preserve">GD-015</t>
  </si>
  <si>
    <t xml:space="preserve">COSGRAVE PARK</t>
  </si>
  <si>
    <t xml:space="preserve">2022-12-06</t>
  </si>
  <si>
    <t xml:space="preserve">2023-03-09</t>
  </si>
  <si>
    <t xml:space="preserve">GD-020</t>
  </si>
  <si>
    <t xml:space="preserve">TOORMORE</t>
  </si>
  <si>
    <t xml:space="preserve">2020-12-09</t>
  </si>
  <si>
    <t xml:space="preserve">17939 (20), 18809 (16)</t>
  </si>
  <si>
    <t xml:space="preserve">GD-021</t>
  </si>
  <si>
    <t xml:space="preserve">OLD DUBLIN ROAD</t>
  </si>
  <si>
    <t xml:space="preserve">2021-09-14</t>
  </si>
  <si>
    <t xml:space="preserve">GD-022</t>
  </si>
  <si>
    <t xml:space="preserve">TEMPLEVILLE</t>
  </si>
  <si>
    <t xml:space="preserve">171040 (2)</t>
  </si>
  <si>
    <t xml:space="preserve">GD-025</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</si>
  <si>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</si>
  <si>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</si>
  <si>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</si>
  <si>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</si>
  <si>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</si>
  <si>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</si>
  <si>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</si>
  <si>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</si>
  <si>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</si>
  <si>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</si>
  <si>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</si>
  <si>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</si>
  <si>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</si>
  <si>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</si>
  <si>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 Council audit – reinstated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</si>
  <si>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</si>
  <si>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</si>
  <si>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</si>
  <si>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</si>
  <si>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</si>
  <si>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</si>
  <si>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</si>
  <si>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</si>
  <si>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</si>
  <si>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</si>
  <si>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</si>
  <si>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</si>
  <si>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</si>
  <si>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</si>
  <si>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</si>
  <si>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</si>
  <si>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</si>
  <si>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</si>
  <si>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</si>
  <si>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</si>
  <si>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</si>
  <si>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</si>
  <si>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</si>
  <si>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</si>
  <si>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</si>
  <si>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</si>
  <si>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</si>
  <si>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</si>
  <si>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</si>
  <si>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</si>
  <si>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</si>
  <si>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</si>
  <si>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</si>
  <si>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</si>
  <si>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</si>
  <si>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</si>
  <si>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</si>
  <si>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</si>
  <si>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</si>
  <si>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</si>
  <si>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Built out (every counted home complete and no unconsented capacity left), Partly built, Consented – not built, No consent. Built out parcels stay in the register as delivery history; future supply is zero.</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</si>
  <si>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</si>
  <si>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</si>
  <si>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</si>
  <si>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Total supply minus homes already complete.</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</si>
  <si>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</si>
  <si>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</si>
  <si>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</si>
  <si>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</si>
  <si>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</si>
  <si>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</si>
  <si>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</si>
  <si>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</si>
  <si>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</si>
  <si>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</si>
  <si>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</si>
  <si>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Built out when all its counted homes are complete and no council capacity is left; filter it off the map.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</si>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</sst>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131</v>
      </c>
      <c r="C6" s="7" t="n">
        <f aca="false">SUMIFS(Parcels!$P$2:$P$3000,Parcels!$B$2:$B$3000,$A6)</f>
        <v>313.164</v>
      </c>
      <c r="D6" s="6" t="n">
        <f aca="false">SUMIFS(Parcels!$AK$2:$AK$3000,Parcels!$B$2:$B$3000,$A6)</f>
        <v>5225</v>
      </c>
      <c r="E6" s="6" t="n">
        <f aca="false">SUMIFS(Parcels!$AG$2:$AG$3000,Parcels!$B$2:$B$3000,$A6)</f>
        <v>76</v>
      </c>
      <c r="F6" s="6" t="n">
        <f aca="false">SUMIFS(Parcels!$AN$2:$AN$3000,Parcels!$B$2:$B$3000,$A6)</f>
        <v>10104</v>
      </c>
      <c r="G6" s="6" t="n">
        <f aca="false">SUMIFS(Parcels!$AO$2:$AO$3000,Parcels!$B$2:$B$3000,$A6)</f>
        <v>15329</v>
      </c>
      <c r="H6" s="6" t="n">
        <f aca="false">SUMIFS(Parcels!$AP$2:$AP$3000,Parcels!$B$2:$B$3000,$A6)</f>
        <v>15253</v>
      </c>
    </row>
    <row r="7" customFormat="false" ht="15" hidden="false" customHeight="false" outlineLevel="0" collapsed="false">
      <c r="A7" s="5" t="s">
        <v>11</v>
      </c>
      <c r="B7" s="6" t="n">
        <f aca="false">COUNTIFS(Parcels!$B$2:$B$3000,$A7)</f>
        <v>3</v>
      </c>
      <c r="C7" s="7" t="n">
        <f aca="false">SUMIFS(Parcels!$P$2:$P$3000,Parcels!$B$2:$B$3000,$A7)</f>
        <v>3.993</v>
      </c>
      <c r="D7" s="6" t="n">
        <f aca="false">SUMIFS(Parcels!$AK$2:$AK$3000,Parcels!$B$2:$B$3000,$A7)</f>
        <v>27</v>
      </c>
      <c r="E7" s="6" t="n">
        <f aca="false">SUMIFS(Parcels!$AG$2:$AG$3000,Parcels!$B$2:$B$3000,$A7)</f>
        <v>0</v>
      </c>
      <c r="F7" s="6" t="n">
        <f aca="false">SUMIFS(Parcels!$AN$2:$AN$3000,Parcels!$B$2:$B$3000,$A7)</f>
        <v>138</v>
      </c>
      <c r="G7" s="6" t="n">
        <f aca="false">SUMIFS(Parcels!$AO$2:$AO$3000,Parcels!$B$2:$B$3000,$A7)</f>
        <v>165</v>
      </c>
      <c r="H7" s="6" t="n">
        <f aca="false">SUMIFS(Parcels!$AP$2:$AP$3000,Parcels!$B$2:$B$3000,$A7)</f>
        <v>165</v>
      </c>
    </row>
    <row r="8" customFormat="false" ht="15" hidden="false" customHeight="false" outlineLevel="0" collapsed="false">
      <c r="A8" s="5" t="s">
        <v>12</v>
      </c>
      <c r="B8" s="6" t="n">
        <f aca="false">COUNTIFS(Parcels!$B$2:$B$3000,$A8)</f>
        <v>188</v>
      </c>
      <c r="C8" s="7" t="n">
        <f aca="false">SUMIFS(Parcels!$P$2:$P$3000,Parcels!$B$2:$B$3000,$A8)</f>
        <v>218.494</v>
      </c>
      <c r="D8" s="6" t="n">
        <f aca="false">SUMIFS(Parcels!$AK$2:$AK$3000,Parcels!$B$2:$B$3000,$A8)</f>
        <v>5248</v>
      </c>
      <c r="E8" s="6" t="n">
        <f aca="false">SUMIFS(Parcels!$AG$2:$AG$3000,Parcels!$B$2:$B$3000,$A8)</f>
        <v>1555</v>
      </c>
      <c r="F8" s="6" t="n">
        <f aca="false">SUMIFS(Parcels!$AN$2:$AN$3000,Parcels!$B$2:$B$3000,$A8)</f>
        <v>220</v>
      </c>
      <c r="G8" s="6" t="n">
        <f aca="false">SUMIFS(Parcels!$AO$2:$AO$3000,Parcels!$B$2:$B$3000,$A8)</f>
        <v>5468</v>
      </c>
      <c r="H8" s="6" t="n">
        <f aca="false">SUMIFS(Parcels!$AP$2:$AP$3000,Parcels!$B$2:$B$3000,$A8)</f>
        <v>3913</v>
      </c>
    </row>
    <row r="9" customFormat="false" ht="15" hidden="false" customHeight="false" outlineLevel="0" collapsed="false">
      <c r="A9" s="5" t="s">
        <v>13</v>
      </c>
      <c r="B9" s="6" t="n">
        <f aca="false">COUNTIFS(Parcels!$B$2:$B$3000,$A9)</f>
        <v>124</v>
      </c>
      <c r="C9" s="7" t="n">
        <f aca="false">SUMIFS(Parcels!$P$2:$P$3000,Parcels!$B$2:$B$3000,$A9)</f>
        <v>149.457</v>
      </c>
      <c r="D9" s="6" t="n">
        <f aca="false">SUMIFS(Parcels!$AK$2:$AK$3000,Parcels!$B$2:$B$3000,$A9)</f>
        <v>0</v>
      </c>
      <c r="E9" s="6" t="n">
        <f aca="false">SUMIFS(Parcels!$AG$2:$AG$3000,Parcels!$B$2:$B$3000,$A9)</f>
        <v>0</v>
      </c>
      <c r="F9" s="6" t="n">
        <f aca="false">SUMIFS(Parcels!$AN$2:$AN$3000,Parcels!$B$2:$B$3000,$A9)</f>
        <v>3507</v>
      </c>
      <c r="G9" s="6" t="n">
        <f aca="false">SUMIFS(Parcels!$AO$2:$AO$3000,Parcels!$B$2:$B$3000,$A9)</f>
        <v>3507</v>
      </c>
      <c r="H9" s="6" t="n">
        <f aca="false">SUMIFS(Parcels!$AP$2:$AP$3000,Parcels!$B$2:$B$3000,$A9)</f>
        <v>3507</v>
      </c>
    </row>
    <row r="10" customFormat="false" ht="15" hidden="false" customHeight="false" outlineLevel="0" collapsed="false">
      <c r="A10" s="8" t="s">
        <v>14</v>
      </c>
      <c r="B10" s="9" t="n">
        <f aca="false">SUM(B6:B9)</f>
        <v>446</v>
      </c>
      <c r="C10" s="10" t="n">
        <f aca="false">SUM(C6:C9)</f>
        <v>685.108</v>
      </c>
      <c r="D10" s="9" t="n">
        <f aca="false">SUM(D6:D9)</f>
        <v>10500</v>
      </c>
      <c r="E10" s="9" t="n">
        <f aca="false">SUM(E6:E9)</f>
        <v>1631</v>
      </c>
      <c r="F10" s="9" t="n">
        <f aca="false">SUM(F6:F9)</f>
        <v>13969</v>
      </c>
      <c r="G10" s="9" t="n">
        <f aca="false">SUM(G6:G9)</f>
        <v>24469</v>
      </c>
      <c r="H10" s="9" t="n">
        <f aca="false">SUM(H6:H9)</f>
        <v>22838</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242</v>
      </c>
      <c r="C14" s="7" t="n">
        <f aca="false">SUMIFS(Parcels!$P$2:$P$3000,Parcels!$C$2:$C$3000,$A14)</f>
        <v>420.92</v>
      </c>
      <c r="D14" s="6" t="n">
        <f aca="false">SUMIFS(Parcels!$AK$2:$AK$3000,Parcels!$C$2:$C$3000,$A14)</f>
        <v>8531</v>
      </c>
      <c r="E14" s="6" t="n">
        <f aca="false">SUMIFS(Parcels!$AG$2:$AG$3000,Parcels!$C$2:$C$3000,$A14)</f>
        <v>1336</v>
      </c>
      <c r="F14" s="6" t="n">
        <f aca="false">SUMIFS(Parcels!$AN$2:$AN$3000,Parcels!$C$2:$C$3000,$A14)</f>
        <v>10425</v>
      </c>
      <c r="G14" s="6" t="n">
        <f aca="false">SUMIFS(Parcels!$AO$2:$AO$3000,Parcels!$C$2:$C$3000,$A14)</f>
        <v>18956</v>
      </c>
      <c r="H14" s="6" t="n">
        <f aca="false">SUMIFS(Parcels!$AP$2:$AP$3000,Parcels!$C$2:$C$3000,$A14)</f>
        <v>17620</v>
      </c>
    </row>
    <row r="15" customFormat="false" ht="15" hidden="false" customHeight="false" outlineLevel="0" collapsed="false">
      <c r="A15" s="5" t="s">
        <v>17</v>
      </c>
      <c r="B15" s="6" t="n">
        <f aca="false">COUNTIFS(Parcels!$C$2:$C$3000,$A15)</f>
        <v>204</v>
      </c>
      <c r="C15" s="7" t="n">
        <f aca="false">SUMIFS(Parcels!$P$2:$P$3000,Parcels!$C$2:$C$3000,$A15)</f>
        <v>264.188</v>
      </c>
      <c r="D15" s="6" t="n">
        <f aca="false">SUMIFS(Parcels!$AK$2:$AK$3000,Parcels!$C$2:$C$3000,$A15)</f>
        <v>1969</v>
      </c>
      <c r="E15" s="6" t="n">
        <f aca="false">SUMIFS(Parcels!$AG$2:$AG$3000,Parcels!$C$2:$C$3000,$A15)</f>
        <v>295</v>
      </c>
      <c r="F15" s="6" t="n">
        <f aca="false">SUMIFS(Parcels!$AN$2:$AN$3000,Parcels!$C$2:$C$3000,$A15)</f>
        <v>3544</v>
      </c>
      <c r="G15" s="6" t="n">
        <f aca="false">SUMIFS(Parcels!$AO$2:$AO$3000,Parcels!$C$2:$C$3000,$A15)</f>
        <v>5513</v>
      </c>
      <c r="H15" s="6" t="n">
        <f aca="false">SUMIFS(Parcels!$AP$2:$AP$3000,Parcels!$C$2:$C$3000,$A15)</f>
        <v>5218</v>
      </c>
    </row>
    <row r="16" customFormat="false" ht="15" hidden="false" customHeight="false" outlineLevel="0" collapsed="false">
      <c r="A16" s="8" t="s">
        <v>14</v>
      </c>
      <c r="B16" s="9" t="n">
        <f aca="false">SUM(B14:B15)</f>
        <v>446</v>
      </c>
      <c r="C16" s="10" t="n">
        <f aca="false">SUM(C14:C15)</f>
        <v>685.108</v>
      </c>
      <c r="D16" s="9" t="n">
        <f aca="false">SUM(D14:D15)</f>
        <v>10500</v>
      </c>
      <c r="E16" s="9" t="n">
        <f aca="false">SUM(E14:E15)</f>
        <v>1631</v>
      </c>
      <c r="F16" s="9" t="n">
        <f aca="false">SUM(F14:F15)</f>
        <v>13969</v>
      </c>
      <c r="G16" s="9" t="n">
        <f aca="false">SUM(G14:G15)</f>
        <v>24469</v>
      </c>
      <c r="H16" s="9" t="n">
        <f aca="false">SUM(H14:H15)</f>
        <v>22838</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242</v>
      </c>
      <c r="C20" s="7" t="n">
        <f aca="false">SUMIFS(Parcels!$P$2:$P$3000,Parcels!$E$2:$E$3000,$A20)</f>
        <v>420.92</v>
      </c>
      <c r="D20" s="6" t="n">
        <f aca="false">SUMIFS(Parcels!$AK$2:$AK$3000,Parcels!$E$2:$E$3000,$A20)</f>
        <v>8531</v>
      </c>
      <c r="E20" s="6" t="n">
        <f aca="false">SUMIFS(Parcels!$AG$2:$AG$3000,Parcels!$E$2:$E$3000,$A20)</f>
        <v>1336</v>
      </c>
      <c r="F20" s="6" t="n">
        <f aca="false">SUMIFS(Parcels!$AN$2:$AN$3000,Parcels!$E$2:$E$3000,$A20)</f>
        <v>10425</v>
      </c>
      <c r="G20" s="6" t="n">
        <f aca="false">SUMIFS(Parcels!$AO$2:$AO$3000,Parcels!$E$2:$E$3000,$A20)</f>
        <v>18956</v>
      </c>
      <c r="H20" s="6" t="n">
        <f aca="false">SUMIFS(Parcels!$AP$2:$AP$3000,Parcels!$E$2:$E$3000,$A20)</f>
        <v>17620</v>
      </c>
    </row>
    <row r="21" customFormat="false" ht="15" hidden="false" customHeight="false" outlineLevel="0" collapsed="false">
      <c r="A21" s="5" t="s">
        <v>20</v>
      </c>
      <c r="B21" s="6" t="n">
        <f aca="false">COUNTIFS(Parcels!$E$2:$E$3000,$A21)</f>
        <v>80</v>
      </c>
      <c r="C21" s="7" t="n">
        <f aca="false">SUMIFS(Parcels!$P$2:$P$3000,Parcels!$E$2:$E$3000,$A21)</f>
        <v>125.614</v>
      </c>
      <c r="D21" s="6" t="n">
        <f aca="false">SUMIFS(Parcels!$AK$2:$AK$3000,Parcels!$E$2:$E$3000,$A21)</f>
        <v>618</v>
      </c>
      <c r="E21" s="6" t="n">
        <f aca="false">SUMIFS(Parcels!$AG$2:$AG$3000,Parcels!$E$2:$E$3000,$A21)</f>
        <v>88</v>
      </c>
      <c r="F21" s="6" t="n">
        <f aca="false">SUMIFS(Parcels!$AN$2:$AN$3000,Parcels!$E$2:$E$3000,$A21)</f>
        <v>2327</v>
      </c>
      <c r="G21" s="6" t="n">
        <f aca="false">SUMIFS(Parcels!$AO$2:$AO$3000,Parcels!$E$2:$E$3000,$A21)</f>
        <v>2945</v>
      </c>
      <c r="H21" s="6" t="n">
        <f aca="false">SUMIFS(Parcels!$AP$2:$AP$3000,Parcels!$E$2:$E$3000,$A21)</f>
        <v>2857</v>
      </c>
    </row>
    <row r="22" customFormat="false" ht="15" hidden="false" customHeight="false" outlineLevel="0" collapsed="false">
      <c r="A22" s="5" t="s">
        <v>21</v>
      </c>
      <c r="B22" s="6" t="n">
        <f aca="false">COUNTIFS(Parcels!$E$2:$E$3000,$A22)</f>
        <v>77</v>
      </c>
      <c r="C22" s="7" t="n">
        <f aca="false">SUMIFS(Parcels!$P$2:$P$3000,Parcels!$E$2:$E$3000,$A22)</f>
        <v>99.867</v>
      </c>
      <c r="D22" s="6" t="n">
        <f aca="false">SUMIFS(Parcels!$AK$2:$AK$3000,Parcels!$E$2:$E$3000,$A22)</f>
        <v>1120</v>
      </c>
      <c r="E22" s="6" t="n">
        <f aca="false">SUMIFS(Parcels!$AG$2:$AG$3000,Parcels!$E$2:$E$3000,$A22)</f>
        <v>163</v>
      </c>
      <c r="F22" s="6" t="n">
        <f aca="false">SUMIFS(Parcels!$AN$2:$AN$3000,Parcels!$E$2:$E$3000,$A22)</f>
        <v>766</v>
      </c>
      <c r="G22" s="6" t="n">
        <f aca="false">SUMIFS(Parcels!$AO$2:$AO$3000,Parcels!$E$2:$E$3000,$A22)</f>
        <v>1886</v>
      </c>
      <c r="H22" s="6" t="n">
        <f aca="false">SUMIFS(Parcels!$AP$2:$AP$3000,Parcels!$E$2:$E$3000,$A22)</f>
        <v>1723</v>
      </c>
    </row>
    <row r="23" customFormat="false" ht="15" hidden="false" customHeight="false" outlineLevel="0" collapsed="false">
      <c r="A23" s="5" t="s">
        <v>22</v>
      </c>
      <c r="B23" s="6" t="n">
        <f aca="false">COUNTIFS(Parcels!$E$2:$E$3000,$A23)</f>
        <v>47</v>
      </c>
      <c r="C23" s="7" t="n">
        <f aca="false">SUMIFS(Parcels!$P$2:$P$3000,Parcels!$E$2:$E$3000,$A23)</f>
        <v>38.707</v>
      </c>
      <c r="D23" s="6" t="n">
        <f aca="false">SUMIFS(Parcels!$AK$2:$AK$3000,Parcels!$E$2:$E$3000,$A23)</f>
        <v>231</v>
      </c>
      <c r="E23" s="6" t="n">
        <f aca="false">SUMIFS(Parcels!$AG$2:$AG$3000,Parcels!$E$2:$E$3000,$A23)</f>
        <v>44</v>
      </c>
      <c r="F23" s="6" t="n">
        <f aca="false">SUMIFS(Parcels!$AN$2:$AN$3000,Parcels!$E$2:$E$3000,$A23)</f>
        <v>451</v>
      </c>
      <c r="G23" s="6" t="n">
        <f aca="false">SUMIFS(Parcels!$AO$2:$AO$3000,Parcels!$E$2:$E$3000,$A23)</f>
        <v>682</v>
      </c>
      <c r="H23" s="6" t="n">
        <f aca="false">SUMIFS(Parcels!$AP$2:$AP$3000,Parcels!$E$2:$E$3000,$A23)</f>
        <v>638</v>
      </c>
    </row>
    <row r="24" customFormat="false" ht="15" hidden="false" customHeight="false" outlineLevel="0" collapsed="false">
      <c r="A24" s="8" t="s">
        <v>14</v>
      </c>
      <c r="B24" s="9" t="n">
        <f aca="false">SUM(B20:B23)</f>
        <v>446</v>
      </c>
      <c r="C24" s="10" t="n">
        <f aca="false">SUM(C20:C23)</f>
        <v>685.108</v>
      </c>
      <c r="D24" s="9" t="n">
        <f aca="false">SUM(D20:D23)</f>
        <v>10500</v>
      </c>
      <c r="E24" s="9" t="n">
        <f aca="false">SUM(E20:E23)</f>
        <v>1631</v>
      </c>
      <c r="F24" s="9" t="n">
        <f aca="false">SUM(F20:F23)</f>
        <v>13969</v>
      </c>
      <c r="G24" s="9" t="n">
        <f aca="false">SUM(G20:G23)</f>
        <v>24469</v>
      </c>
      <c r="H24" s="9" t="n">
        <f aca="false">SUM(H20:H23)</f>
        <v>22838</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COUNTIFS(Parcels!$AY$2:$AY$3000,$A28)</f>
        <v>50</v>
      </c>
      <c r="C28" s="7" t="n">
        <f aca="false">SUMIFS(Parcels!$P$2:$P$3000,Parcels!$AY$2:$AY$3000,$A28)</f>
        <v>58.962</v>
      </c>
      <c r="D28" s="6" t="n">
        <f aca="false">SUMIFS(Parcels!$AK$2:$AK$3000,Parcels!$AY$2:$AY$3000,$A28)</f>
        <v>1190</v>
      </c>
      <c r="E28" s="6" t="n">
        <f aca="false">SUMIFS(Parcels!$AG$2:$AG$3000,Parcels!$AY$2:$AY$3000,$A28)</f>
        <v>1190</v>
      </c>
      <c r="F28" s="6" t="n">
        <f aca="false">SUMIFS(Parcels!$AN$2:$AN$3000,Parcels!$AY$2:$AY$3000,$A28)</f>
        <v>0</v>
      </c>
      <c r="G28" s="6" t="n">
        <f aca="false">SUMIFS(Parcels!$AO$2:$AO$3000,Parcels!$AY$2:$AY$3000,$A28)</f>
        <v>1190</v>
      </c>
      <c r="H28" s="6" t="n">
        <f aca="false">SUMIFS(Parcels!$AP$2:$AP$3000,Parcels!$AY$2:$AY$3000,$A28)</f>
        <v>0</v>
      </c>
    </row>
    <row r="29" customFormat="false" ht="15" hidden="false" customHeight="false" outlineLevel="0" collapsed="false">
      <c r="A29" s="5" t="s">
        <v>25</v>
      </c>
      <c r="B29" s="6" t="n">
        <f aca="false">COUNTIFS(Parcels!$AY$2:$AY$3000,$A29)</f>
        <v>7</v>
      </c>
      <c r="C29" s="7" t="n">
        <f aca="false">SUMIFS(Parcels!$P$2:$P$3000,Parcels!$AY$2:$AY$3000,$A29)</f>
        <v>98.113</v>
      </c>
      <c r="D29" s="6" t="n">
        <f aca="false">SUMIFS(Parcels!$AK$2:$AK$3000,Parcels!$AY$2:$AY$3000,$A29)</f>
        <v>959</v>
      </c>
      <c r="E29" s="6" t="n">
        <f aca="false">SUMIFS(Parcels!$AG$2:$AG$3000,Parcels!$AY$2:$AY$3000,$A29)</f>
        <v>441</v>
      </c>
      <c r="F29" s="6" t="n">
        <f aca="false">SUMIFS(Parcels!$AN$2:$AN$3000,Parcels!$AY$2:$AY$3000,$A29)</f>
        <v>2600</v>
      </c>
      <c r="G29" s="6" t="n">
        <f aca="false">SUMIFS(Parcels!$AO$2:$AO$3000,Parcels!$AY$2:$AY$3000,$A29)</f>
        <v>3559</v>
      </c>
      <c r="H29" s="6" t="n">
        <f aca="false">SUMIFS(Parcels!$AP$2:$AP$3000,Parcels!$AY$2:$AY$3000,$A29)</f>
        <v>3118</v>
      </c>
    </row>
    <row r="30" customFormat="false" ht="15" hidden="false" customHeight="false" outlineLevel="0" collapsed="false">
      <c r="A30" s="5" t="s">
        <v>26</v>
      </c>
      <c r="B30" s="6" t="n">
        <f aca="false">COUNTIFS(Parcels!$AY$2:$AY$3000,$A30)</f>
        <v>145</v>
      </c>
      <c r="C30" s="7" t="n">
        <f aca="false">SUMIFS(Parcels!$P$2:$P$3000,Parcels!$AY$2:$AY$3000,$A30)</f>
        <v>239.082</v>
      </c>
      <c r="D30" s="6" t="n">
        <f aca="false">SUMIFS(Parcels!$AK$2:$AK$3000,Parcels!$AY$2:$AY$3000,$A30)</f>
        <v>8351</v>
      </c>
      <c r="E30" s="6" t="n">
        <f aca="false">SUMIFS(Parcels!$AG$2:$AG$3000,Parcels!$AY$2:$AY$3000,$A30)</f>
        <v>0</v>
      </c>
      <c r="F30" s="6" t="n">
        <f aca="false">SUMIFS(Parcels!$AN$2:$AN$3000,Parcels!$AY$2:$AY$3000,$A30)</f>
        <v>1658</v>
      </c>
      <c r="G30" s="6" t="n">
        <f aca="false">SUMIFS(Parcels!$AO$2:$AO$3000,Parcels!$AY$2:$AY$3000,$A30)</f>
        <v>10009</v>
      </c>
      <c r="H30" s="6" t="n">
        <f aca="false">SUMIFS(Parcels!$AP$2:$AP$3000,Parcels!$AY$2:$AY$3000,$A30)</f>
        <v>10009</v>
      </c>
    </row>
    <row r="31" customFormat="false" ht="15" hidden="false" customHeight="false" outlineLevel="0" collapsed="false">
      <c r="A31" s="5" t="s">
        <v>27</v>
      </c>
      <c r="B31" s="6" t="n">
        <f aca="false">COUNTIFS(Parcels!$AY$2:$AY$3000,$A31)</f>
        <v>244</v>
      </c>
      <c r="C31" s="7" t="n">
        <f aca="false">SUMIFS(Parcels!$P$2:$P$3000,Parcels!$AY$2:$AY$3000,$A31)</f>
        <v>288.951</v>
      </c>
      <c r="D31" s="6" t="n">
        <f aca="false">SUMIFS(Parcels!$AK$2:$AK$3000,Parcels!$AY$2:$AY$3000,$A31)</f>
        <v>0</v>
      </c>
      <c r="E31" s="6" t="n">
        <f aca="false">SUMIFS(Parcels!$AG$2:$AG$3000,Parcels!$AY$2:$AY$3000,$A31)</f>
        <v>0</v>
      </c>
      <c r="F31" s="6" t="n">
        <f aca="false">SUMIFS(Parcels!$AN$2:$AN$3000,Parcels!$AY$2:$AY$3000,$A31)</f>
        <v>9711</v>
      </c>
      <c r="G31" s="6" t="n">
        <f aca="false">SUMIFS(Parcels!$AO$2:$AO$3000,Parcels!$AY$2:$AY$3000,$A31)</f>
        <v>9711</v>
      </c>
      <c r="H31" s="6" t="n">
        <f aca="false">SUMIFS(Parcels!$AP$2:$AP$3000,Parcels!$AY$2:$AY$3000,$A31)</f>
        <v>9711</v>
      </c>
    </row>
    <row r="32" customFormat="false" ht="15" hidden="false" customHeight="false" outlineLevel="0" collapsed="false">
      <c r="A32" s="8" t="s">
        <v>14</v>
      </c>
      <c r="B32" s="9" t="n">
        <f aca="false">SUM(B28:B31)</f>
        <v>446</v>
      </c>
      <c r="C32" s="10" t="n">
        <f aca="false">SUM(C28:C31)</f>
        <v>685.108</v>
      </c>
      <c r="D32" s="9" t="n">
        <f aca="false">SUM(D28:D31)</f>
        <v>10500</v>
      </c>
      <c r="E32" s="9" t="n">
        <f aca="false">SUM(E28:E31)</f>
        <v>1631</v>
      </c>
      <c r="F32" s="9" t="n">
        <f aca="false">SUM(F28:F31)</f>
        <v>13969</v>
      </c>
      <c r="G32" s="9" t="n">
        <f aca="false">SUM(G28:G31)</f>
        <v>24469</v>
      </c>
      <c r="H32" s="9" t="n">
        <f aca="false">SUM(H28:H31)</f>
        <v>22838</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SUM(Parcels!$AQ$2:$AQ$3000)</f>
        <v>506.2</v>
      </c>
      <c r="C36" s="6" t="n">
        <f aca="false">SUM(Parcels!$AR$2:$AR$3000)</f>
        <v>2084.7</v>
      </c>
      <c r="D36" s="6" t="n">
        <f aca="false">SUM(Parcels!$AS$2:$AS$3000)</f>
        <v>1732.7</v>
      </c>
      <c r="E36" s="6" t="n">
        <f aca="false">SUM(Parcels!$AT$2:$AT$3000)</f>
        <v>1965.2</v>
      </c>
      <c r="F36" s="6" t="n">
        <f aca="false">SUM(Parcels!$AU$2:$AU$3000)</f>
        <v>851</v>
      </c>
      <c r="G36" s="6" t="n">
        <f aca="false">SUM(Parcels!$AV$2:$AV$3000)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COUNTIF(Permissions!$AR$2:$AR$3000,"?*")</f>
        <v>0</v>
      </c>
    </row>
    <row r="40" customFormat="false" ht="15" hidden="false" customHeight="false" outlineLevel="0" collapsed="false">
      <c r="A40" s="5" t="s">
        <v>38</v>
      </c>
      <c r="B40" s="13" t="n">
        <f aca="false">COUNTIF(Parcels!$AZ$2:$AZ$3000,"?*")-COUNTIF(Parcels!$AZ$2:$AZ$3000,"Consented above capacity")</f>
        <v>0</v>
      </c>
    </row>
    <row r="41" customFormat="false" ht="15" hidden="false" customHeight="false" outlineLevel="0" collapsed="false">
      <c r="A41" s="5" t="s">
        <v>39</v>
      </c>
      <c r="B41" s="13" t="n">
        <f aca="false">SUMIFS(Permissions!$G$2:$G$3000,Permissions!$P$2:$P$3000,"Yes")-SUM(Parcels!$AK$2:$AK$3000)-SUM(Parcels!$AL$2:$AL$3000)-SUM(Parcels!$AM$2:$AM$3000)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COUNTIF(Parcels!$AZ$2:$AZ$3000,"Consented above capacity")</f>
        <v>14</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SUMIFS(Parcels!$AK$2:$AK$3000,Parcels!$D$2:$D$3000,$B5)</f>
        <v>415</v>
      </c>
      <c r="F5" s="16" t="n">
        <f aca="false">SUMIFS(Parcels!$AG$2:$AG$3000,Parcels!$D$2:$D$3000,$B5)</f>
        <v>17</v>
      </c>
      <c r="G5" s="16" t="n">
        <f aca="false">SUMIFS(Parcels!$AH$2:$AH$3000,Parcels!$D$2:$D$3000,$B5)</f>
        <v>398</v>
      </c>
      <c r="H5" s="16" t="n">
        <f aca="false">SUMIFS(Parcels!$AI$2:$AI$3000,Parcels!$D$2:$D$3000,$B5)</f>
        <v>0</v>
      </c>
      <c r="I5" s="16" t="n">
        <f aca="false">SUMIFS(Parcels!$AN$2:$AN$3000,Parcels!$D$2:$D$3000,$B5)</f>
        <v>153</v>
      </c>
      <c r="J5" s="16" t="n">
        <f aca="false">SUMIFS(Parcels!$AO$2:$AO$3000,Parcels!$D$2:$D$3000,$B5)</f>
        <v>568</v>
      </c>
      <c r="K5" s="16" t="n">
        <f aca="false">SUMIFS(Parcels!$AP$2:$AP$3000,Parcels!$D$2:$D$3000,$B5)</f>
        <v>551</v>
      </c>
      <c r="L5" s="16" t="n">
        <f aca="false">SUMIFS(Parcels!$AQ$2:$AQ$3000,Parcels!$D$2:$D$3000,$B5)</f>
        <v>24.7</v>
      </c>
      <c r="M5" s="16" t="n">
        <f aca="false">SUMIFS(Parcels!$AR$2:$AR$3000,Parcels!$D$2:$D$3000,$B5)</f>
        <v>107</v>
      </c>
      <c r="N5" s="16" t="n">
        <f aca="false">SUMIFS(Parcels!$AS$2:$AS$3000,Parcels!$D$2:$D$3000,$B5)</f>
        <v>93</v>
      </c>
      <c r="O5" s="16" t="n">
        <f aca="false">SUMIFS(Parcels!$AT$2:$AT$3000,Parcels!$D$2:$D$3000,$B5)</f>
        <v>88.5</v>
      </c>
      <c r="P5" s="16" t="n">
        <f aca="false">SUMIFS(Parcels!$AU$2:$AU$3000,Parcels!$D$2:$D$3000,$B5)</f>
        <v>84.9</v>
      </c>
      <c r="Q5" s="16" t="n">
        <f aca="false">SUMIFS(Parcels!$AV$2:$AV$3000,Parcels!$D$2:$D$3000,$B5)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SUMIFS(Parcels!$AK$2:$AK$3000,Parcels!$D$2:$D$3000,$B6)</f>
        <v>1298</v>
      </c>
      <c r="F6" s="16" t="n">
        <f aca="false">SUMIFS(Parcels!$AG$2:$AG$3000,Parcels!$D$2:$D$3000,$B6)</f>
        <v>152</v>
      </c>
      <c r="G6" s="16" t="n">
        <f aca="false">SUMIFS(Parcels!$AH$2:$AH$3000,Parcels!$D$2:$D$3000,$B6)</f>
        <v>539</v>
      </c>
      <c r="H6" s="16" t="n">
        <f aca="false">SUMIFS(Parcels!$AI$2:$AI$3000,Parcels!$D$2:$D$3000,$B6)</f>
        <v>576</v>
      </c>
      <c r="I6" s="16" t="n">
        <f aca="false">SUMIFS(Parcels!$AN$2:$AN$3000,Parcels!$D$2:$D$3000,$B6)</f>
        <v>985</v>
      </c>
      <c r="J6" s="16" t="n">
        <f aca="false">SUMIFS(Parcels!$AO$2:$AO$3000,Parcels!$D$2:$D$3000,$B6)</f>
        <v>2283</v>
      </c>
      <c r="K6" s="16" t="n">
        <f aca="false">SUMIFS(Parcels!$AP$2:$AP$3000,Parcels!$D$2:$D$3000,$B6)</f>
        <v>2131</v>
      </c>
      <c r="L6" s="16" t="n">
        <f aca="false">SUMIFS(Parcels!$AQ$2:$AQ$3000,Parcels!$D$2:$D$3000,$B6)</f>
        <v>64.5</v>
      </c>
      <c r="M6" s="16" t="n">
        <f aca="false">SUMIFS(Parcels!$AR$2:$AR$3000,Parcels!$D$2:$D$3000,$B6)</f>
        <v>306.2</v>
      </c>
      <c r="N6" s="16" t="n">
        <f aca="false">SUMIFS(Parcels!$AS$2:$AS$3000,Parcels!$D$2:$D$3000,$B6)</f>
        <v>337.3</v>
      </c>
      <c r="O6" s="16" t="n">
        <f aca="false">SUMIFS(Parcels!$AT$2:$AT$3000,Parcels!$D$2:$D$3000,$B6)</f>
        <v>304.1</v>
      </c>
      <c r="P6" s="16" t="n">
        <f aca="false">SUMIFS(Parcels!$AU$2:$AU$3000,Parcels!$D$2:$D$3000,$B6)</f>
        <v>102.8</v>
      </c>
      <c r="Q6" s="16" t="n">
        <f aca="false">SUMIFS(Parcels!$AV$2:$AV$3000,Parcels!$D$2:$D$3000,$B6)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SUMIFS(Parcels!$AK$2:$AK$3000,Parcels!$D$2:$D$3000,$B7)</f>
        <v>2810</v>
      </c>
      <c r="F7" s="16" t="n">
        <f aca="false">SUMIFS(Parcels!$AG$2:$AG$3000,Parcels!$D$2:$D$3000,$B7)</f>
        <v>616</v>
      </c>
      <c r="G7" s="16" t="n">
        <f aca="false">SUMIFS(Parcels!$AH$2:$AH$3000,Parcels!$D$2:$D$3000,$B7)</f>
        <v>604</v>
      </c>
      <c r="H7" s="16" t="n">
        <f aca="false">SUMIFS(Parcels!$AI$2:$AI$3000,Parcels!$D$2:$D$3000,$B7)</f>
        <v>1590</v>
      </c>
      <c r="I7" s="16" t="n">
        <f aca="false">SUMIFS(Parcels!$AN$2:$AN$3000,Parcels!$D$2:$D$3000,$B7)</f>
        <v>1205</v>
      </c>
      <c r="J7" s="16" t="n">
        <f aca="false">SUMIFS(Parcels!$AO$2:$AO$3000,Parcels!$D$2:$D$3000,$B7)</f>
        <v>4015</v>
      </c>
      <c r="K7" s="16" t="n">
        <f aca="false">SUMIFS(Parcels!$AP$2:$AP$3000,Parcels!$D$2:$D$3000,$B7)</f>
        <v>3399</v>
      </c>
      <c r="L7" s="16" t="n">
        <f aca="false">SUMIFS(Parcels!$AQ$2:$AQ$3000,Parcels!$D$2:$D$3000,$B7)</f>
        <v>139.5</v>
      </c>
      <c r="M7" s="16" t="n">
        <f aca="false">SUMIFS(Parcels!$AR$2:$AR$3000,Parcels!$D$2:$D$3000,$B7)</f>
        <v>463.2</v>
      </c>
      <c r="N7" s="16" t="n">
        <f aca="false">SUMIFS(Parcels!$AS$2:$AS$3000,Parcels!$D$2:$D$3000,$B7)</f>
        <v>23.4</v>
      </c>
      <c r="O7" s="16" t="n">
        <f aca="false">SUMIFS(Parcels!$AT$2:$AT$3000,Parcels!$D$2:$D$3000,$B7)</f>
        <v>473.6</v>
      </c>
      <c r="P7" s="16" t="n">
        <f aca="false">SUMIFS(Parcels!$AU$2:$AU$3000,Parcels!$D$2:$D$3000,$B7)</f>
        <v>202.6</v>
      </c>
      <c r="Q7" s="16" t="n">
        <f aca="false">SUMIFS(Parcels!$AV$2:$AV$3000,Parcels!$D$2:$D$3000,$B7)</f>
        <v>891.7</v>
      </c>
    </row>
    <row r="8" customFormat="false" ht="15" hidden="false" customHeight="false" outlineLevel="0" collapsed="false">
      <c r="A8" s="15" t="s">
        <v>19</v>
      </c>
      <c r="B8" s="15" t="s">
        <v>53</v>
      </c>
      <c r="C8" s="16" t="n">
        <f aca="false">COUNTIFS(Parcels!$D$2:$D$3000,$B8)</f>
        <v>56</v>
      </c>
      <c r="D8" s="17" t="n">
        <f aca="false">SUMIFS(Parcels!$P$2:$P$3000,Parcels!$D$2:$D$3000,$B8)</f>
        <v>81.714</v>
      </c>
      <c r="E8" s="16" t="n">
        <f aca="false">SUMIFS(Parcels!$AK$2:$AK$3000,Parcels!$D$2:$D$3000,$B8)</f>
        <v>925</v>
      </c>
      <c r="F8" s="16" t="n">
        <f aca="false">SUMIFS(Parcels!$AG$2:$AG$3000,Parcels!$D$2:$D$3000,$B8)</f>
        <v>99</v>
      </c>
      <c r="G8" s="16" t="n">
        <f aca="false">SUMIFS(Parcels!$AH$2:$AH$3000,Parcels!$D$2:$D$3000,$B8)</f>
        <v>111</v>
      </c>
      <c r="H8" s="16" t="n">
        <f aca="false">SUMIFS(Parcels!$AI$2:$AI$3000,Parcels!$D$2:$D$3000,$B8)</f>
        <v>715</v>
      </c>
      <c r="I8" s="16" t="n">
        <f aca="false">SUMIFS(Parcels!$AN$2:$AN$3000,Parcels!$D$2:$D$3000,$B8)</f>
        <v>3425</v>
      </c>
      <c r="J8" s="16" t="n">
        <f aca="false">SUMIFS(Parcels!$AO$2:$AO$3000,Parcels!$D$2:$D$3000,$B8)</f>
        <v>4350</v>
      </c>
      <c r="K8" s="16" t="n">
        <f aca="false">SUMIFS(Parcels!$AP$2:$AP$3000,Parcels!$D$2:$D$3000,$B8)</f>
        <v>4251</v>
      </c>
      <c r="L8" s="16" t="n">
        <f aca="false">SUMIFS(Parcels!$AQ$2:$AQ$3000,Parcels!$D$2:$D$3000,$B8)</f>
        <v>13.8</v>
      </c>
      <c r="M8" s="16" t="n">
        <f aca="false">SUMIFS(Parcels!$AR$2:$AR$3000,Parcels!$D$2:$D$3000,$B8)</f>
        <v>85.5</v>
      </c>
      <c r="N8" s="16" t="n">
        <f aca="false">SUMIFS(Parcels!$AS$2:$AS$3000,Parcels!$D$2:$D$3000,$B8)</f>
        <v>242.4</v>
      </c>
      <c r="O8" s="16" t="n">
        <f aca="false">SUMIFS(Parcels!$AT$2:$AT$3000,Parcels!$D$2:$D$3000,$B8)</f>
        <v>258.9</v>
      </c>
      <c r="P8" s="16" t="n">
        <f aca="false">SUMIFS(Parcels!$AU$2:$AU$3000,Parcels!$D$2:$D$3000,$B8)</f>
        <v>72.7</v>
      </c>
      <c r="Q8" s="16" t="n">
        <f aca="false">SUMIFS(Parcels!$AV$2:$AV$3000,Parcels!$D$2:$D$3000,$B8)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SUMIFS(Parcels!$AK$2:$AK$3000,Parcels!$D$2:$D$3000,$B9)</f>
        <v>90</v>
      </c>
      <c r="F9" s="16" t="n">
        <f aca="false">SUMIFS(Parcels!$AG$2:$AG$3000,Parcels!$D$2:$D$3000,$B9)</f>
        <v>24</v>
      </c>
      <c r="G9" s="16" t="n">
        <f aca="false">SUMIFS(Parcels!$AH$2:$AH$3000,Parcels!$D$2:$D$3000,$B9)</f>
        <v>26</v>
      </c>
      <c r="H9" s="16" t="n">
        <f aca="false">SUMIFS(Parcels!$AI$2:$AI$3000,Parcels!$D$2:$D$3000,$B9)</f>
        <v>40</v>
      </c>
      <c r="I9" s="16" t="n">
        <f aca="false">SUMIFS(Parcels!$AN$2:$AN$3000,Parcels!$D$2:$D$3000,$B9)</f>
        <v>605</v>
      </c>
      <c r="J9" s="16" t="n">
        <f aca="false">SUMIFS(Parcels!$AO$2:$AO$3000,Parcels!$D$2:$D$3000,$B9)</f>
        <v>695</v>
      </c>
      <c r="K9" s="16" t="n">
        <f aca="false">SUMIFS(Parcels!$AP$2:$AP$3000,Parcels!$D$2:$D$3000,$B9)</f>
        <v>671</v>
      </c>
      <c r="L9" s="16" t="n">
        <f aca="false">SUMIFS(Parcels!$AQ$2:$AQ$3000,Parcels!$D$2:$D$3000,$B9)</f>
        <v>6.1</v>
      </c>
      <c r="M9" s="16" t="n">
        <f aca="false">SUMIFS(Parcels!$AR$2:$AR$3000,Parcels!$D$2:$D$3000,$B9)</f>
        <v>19.9</v>
      </c>
      <c r="N9" s="16" t="n">
        <f aca="false">SUMIFS(Parcels!$AS$2:$AS$3000,Parcels!$D$2:$D$3000,$B9)</f>
        <v>23.5</v>
      </c>
      <c r="O9" s="16" t="n">
        <f aca="false">SUMIFS(Parcels!$AT$2:$AT$3000,Parcels!$D$2:$D$3000,$B9)</f>
        <v>16.5</v>
      </c>
      <c r="P9" s="16" t="n">
        <f aca="false">SUMIFS(Parcels!$AU$2:$AU$3000,Parcels!$D$2:$D$3000,$B9)</f>
        <v>0</v>
      </c>
      <c r="Q9" s="16" t="n">
        <f aca="false">SUMIFS(Parcels!$AV$2:$AV$3000,Parcels!$D$2:$D$3000,$B9)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SUMIFS(Parcels!$AK$2:$AK$3000,Parcels!$D$2:$D$3000,$B10)</f>
        <v>1920</v>
      </c>
      <c r="F10" s="16" t="n">
        <f aca="false">SUMIFS(Parcels!$AG$2:$AG$3000,Parcels!$D$2:$D$3000,$B10)</f>
        <v>110</v>
      </c>
      <c r="G10" s="16" t="n">
        <f aca="false">SUMIFS(Parcels!$AH$2:$AH$3000,Parcels!$D$2:$D$3000,$B10)</f>
        <v>1121</v>
      </c>
      <c r="H10" s="16" t="n">
        <f aca="false">SUMIFS(Parcels!$AI$2:$AI$3000,Parcels!$D$2:$D$3000,$B10)</f>
        <v>689</v>
      </c>
      <c r="I10" s="16" t="n">
        <f aca="false">SUMIFS(Parcels!$AN$2:$AN$3000,Parcels!$D$2:$D$3000,$B10)</f>
        <v>2811</v>
      </c>
      <c r="J10" s="16" t="n">
        <f aca="false">SUMIFS(Parcels!$AO$2:$AO$3000,Parcels!$D$2:$D$3000,$B10)</f>
        <v>4731</v>
      </c>
      <c r="K10" s="16" t="n">
        <f aca="false">SUMIFS(Parcels!$AP$2:$AP$3000,Parcels!$D$2:$D$3000,$B10)</f>
        <v>4621</v>
      </c>
      <c r="L10" s="16" t="n">
        <f aca="false">SUMIFS(Parcels!$AQ$2:$AQ$3000,Parcels!$D$2:$D$3000,$B10)</f>
        <v>108.4</v>
      </c>
      <c r="M10" s="16" t="n">
        <f aca="false">SUMIFS(Parcels!$AR$2:$AR$3000,Parcels!$D$2:$D$3000,$B10)</f>
        <v>439.7</v>
      </c>
      <c r="N10" s="16" t="n">
        <f aca="false">SUMIFS(Parcels!$AS$2:$AS$3000,Parcels!$D$2:$D$3000,$B10)</f>
        <v>343.6</v>
      </c>
      <c r="O10" s="16" t="n">
        <f aca="false">SUMIFS(Parcels!$AT$2:$AT$3000,Parcels!$D$2:$D$3000,$B10)</f>
        <v>391.1</v>
      </c>
      <c r="P10" s="16" t="n">
        <f aca="false">SUMIFS(Parcels!$AU$2:$AU$3000,Parcels!$D$2:$D$3000,$B10)</f>
        <v>302.4</v>
      </c>
      <c r="Q10" s="16" t="n">
        <f aca="false">SUMIFS(Parcels!$AV$2:$AV$3000,Parcels!$D$2:$D$3000,$B10)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SUMIFS(Parcels!$AK$2:$AK$3000,Parcels!$D$2:$D$3000,$B11)</f>
        <v>50</v>
      </c>
      <c r="F11" s="16" t="n">
        <f aca="false">SUMIFS(Parcels!$AG$2:$AG$3000,Parcels!$D$2:$D$3000,$B11)</f>
        <v>0</v>
      </c>
      <c r="G11" s="16" t="n">
        <f aca="false">SUMIFS(Parcels!$AH$2:$AH$3000,Parcels!$D$2:$D$3000,$B11)</f>
        <v>0</v>
      </c>
      <c r="H11" s="16" t="n">
        <f aca="false">SUMIFS(Parcels!$AI$2:$AI$3000,Parcels!$D$2:$D$3000,$B11)</f>
        <v>50</v>
      </c>
      <c r="I11" s="16" t="n">
        <f aca="false">SUMIFS(Parcels!$AN$2:$AN$3000,Parcels!$D$2:$D$3000,$B11)</f>
        <v>25</v>
      </c>
      <c r="J11" s="16" t="n">
        <f aca="false">SUMIFS(Parcels!$AO$2:$AO$3000,Parcels!$D$2:$D$3000,$B11)</f>
        <v>75</v>
      </c>
      <c r="K11" s="16" t="n">
        <f aca="false">SUMIFS(Parcels!$AP$2:$AP$3000,Parcels!$D$2:$D$3000,$B11)</f>
        <v>75</v>
      </c>
      <c r="L11" s="16" t="n">
        <f aca="false">SUMIFS(Parcels!$AQ$2:$AQ$3000,Parcels!$D$2:$D$3000,$B11)</f>
        <v>0</v>
      </c>
      <c r="M11" s="16" t="n">
        <f aca="false">SUMIFS(Parcels!$AR$2:$AR$3000,Parcels!$D$2:$D$3000,$B11)</f>
        <v>0</v>
      </c>
      <c r="N11" s="16" t="n">
        <f aca="false">SUMIFS(Parcels!$AS$2:$AS$3000,Parcels!$D$2:$D$3000,$B11)</f>
        <v>30.1</v>
      </c>
      <c r="O11" s="16" t="n">
        <f aca="false">SUMIFS(Parcels!$AT$2:$AT$3000,Parcels!$D$2:$D$3000,$B11)</f>
        <v>19.6</v>
      </c>
      <c r="P11" s="16" t="n">
        <f aca="false">SUMIFS(Parcels!$AU$2:$AU$3000,Parcels!$D$2:$D$3000,$B11)</f>
        <v>0.3</v>
      </c>
      <c r="Q11" s="16" t="n">
        <f aca="false">SUMIFS(Parcels!$AV$2:$AV$3000,Parcels!$D$2:$D$3000,$B11)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SUMIFS(Parcels!$AK$2:$AK$3000,Parcels!$D$2:$D$3000,$B12)</f>
        <v>269</v>
      </c>
      <c r="F12" s="16" t="n">
        <f aca="false">SUMIFS(Parcels!$AG$2:$AG$3000,Parcels!$D$2:$D$3000,$B12)</f>
        <v>29</v>
      </c>
      <c r="G12" s="16" t="n">
        <f aca="false">SUMIFS(Parcels!$AH$2:$AH$3000,Parcels!$D$2:$D$3000,$B12)</f>
        <v>108</v>
      </c>
      <c r="H12" s="16" t="n">
        <f aca="false">SUMIFS(Parcels!$AI$2:$AI$3000,Parcels!$D$2:$D$3000,$B12)</f>
        <v>132</v>
      </c>
      <c r="I12" s="16" t="n">
        <f aca="false">SUMIFS(Parcels!$AN$2:$AN$3000,Parcels!$D$2:$D$3000,$B12)</f>
        <v>517</v>
      </c>
      <c r="J12" s="16" t="n">
        <f aca="false">SUMIFS(Parcels!$AO$2:$AO$3000,Parcels!$D$2:$D$3000,$B12)</f>
        <v>786</v>
      </c>
      <c r="K12" s="16" t="n">
        <f aca="false">SUMIFS(Parcels!$AP$2:$AP$3000,Parcels!$D$2:$D$3000,$B12)</f>
        <v>757</v>
      </c>
      <c r="L12" s="16" t="n">
        <f aca="false">SUMIFS(Parcels!$AQ$2:$AQ$3000,Parcels!$D$2:$D$3000,$B12)</f>
        <v>18</v>
      </c>
      <c r="M12" s="16" t="n">
        <f aca="false">SUMIFS(Parcels!$AR$2:$AR$3000,Parcels!$D$2:$D$3000,$B12)</f>
        <v>91.4</v>
      </c>
      <c r="N12" s="16" t="n">
        <f aca="false">SUMIFS(Parcels!$AS$2:$AS$3000,Parcels!$D$2:$D$3000,$B12)</f>
        <v>104.5</v>
      </c>
      <c r="O12" s="16" t="n">
        <f aca="false">SUMIFS(Parcels!$AT$2:$AT$3000,Parcels!$D$2:$D$3000,$B12)</f>
        <v>26.1</v>
      </c>
      <c r="P12" s="16" t="n">
        <f aca="false">SUMIFS(Parcels!$AU$2:$AU$3000,Parcels!$D$2:$D$3000,$B12)</f>
        <v>0</v>
      </c>
      <c r="Q12" s="16" t="n">
        <f aca="false">SUMIFS(Parcels!$AV$2:$AV$3000,Parcels!$D$2:$D$3000,$B12)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SUMIFS(Parcels!$AK$2:$AK$3000,Parcels!$D$2:$D$3000,$B13)</f>
        <v>754</v>
      </c>
      <c r="F13" s="16" t="n">
        <f aca="false">SUMIFS(Parcels!$AG$2:$AG$3000,Parcels!$D$2:$D$3000,$B13)</f>
        <v>289</v>
      </c>
      <c r="G13" s="16" t="n">
        <f aca="false">SUMIFS(Parcels!$AH$2:$AH$3000,Parcels!$D$2:$D$3000,$B13)</f>
        <v>47</v>
      </c>
      <c r="H13" s="16" t="n">
        <f aca="false">SUMIFS(Parcels!$AI$2:$AI$3000,Parcels!$D$2:$D$3000,$B13)</f>
        <v>418</v>
      </c>
      <c r="I13" s="16" t="n">
        <f aca="false">SUMIFS(Parcels!$AN$2:$AN$3000,Parcels!$D$2:$D$3000,$B13)</f>
        <v>699</v>
      </c>
      <c r="J13" s="16" t="n">
        <f aca="false">SUMIFS(Parcels!$AO$2:$AO$3000,Parcels!$D$2:$D$3000,$B13)</f>
        <v>1453</v>
      </c>
      <c r="K13" s="16" t="n">
        <f aca="false">SUMIFS(Parcels!$AP$2:$AP$3000,Parcels!$D$2:$D$3000,$B13)</f>
        <v>1164</v>
      </c>
      <c r="L13" s="16" t="n">
        <f aca="false">SUMIFS(Parcels!$AQ$2:$AQ$3000,Parcels!$D$2:$D$3000,$B13)</f>
        <v>3.7</v>
      </c>
      <c r="M13" s="16" t="n">
        <f aca="false">SUMIFS(Parcels!$AR$2:$AR$3000,Parcels!$D$2:$D$3000,$B13)</f>
        <v>40.8</v>
      </c>
      <c r="N13" s="16" t="n">
        <f aca="false">SUMIFS(Parcels!$AS$2:$AS$3000,Parcels!$D$2:$D$3000,$B13)</f>
        <v>15.3</v>
      </c>
      <c r="O13" s="16" t="n">
        <f aca="false">SUMIFS(Parcels!$AT$2:$AT$3000,Parcels!$D$2:$D$3000,$B13)</f>
        <v>43.8</v>
      </c>
      <c r="P13" s="16" t="n">
        <f aca="false">SUMIFS(Parcels!$AU$2:$AU$3000,Parcels!$D$2:$D$3000,$B13)</f>
        <v>57.4</v>
      </c>
      <c r="Q13" s="16" t="n">
        <f aca="false">SUMIFS(Parcels!$AV$2:$AV$3000,Parcels!$D$2:$D$3000,$B13)</f>
        <v>304</v>
      </c>
    </row>
    <row r="14" customFormat="false" ht="15" hidden="false" customHeight="false" outlineLevel="0" collapsed="false">
      <c r="A14" s="18" t="s">
        <v>59</v>
      </c>
      <c r="B14" s="19"/>
      <c r="C14" s="20" t="n">
        <f aca="false">SUM(C5:C13)</f>
        <v>242</v>
      </c>
      <c r="D14" s="20" t="n">
        <f aca="false">SUM(D5:D13)</f>
        <v>420.92</v>
      </c>
      <c r="E14" s="20" t="n">
        <f aca="false">SUM(E5:E13)</f>
        <v>8531</v>
      </c>
      <c r="F14" s="20" t="n">
        <f aca="false">SUM(F5:F13)</f>
        <v>1336</v>
      </c>
      <c r="G14" s="20" t="n">
        <f aca="false">SUM(G5:G13)</f>
        <v>2954</v>
      </c>
      <c r="H14" s="20" t="n">
        <f aca="false">SUM(H5:H13)</f>
        <v>4210</v>
      </c>
      <c r="I14" s="20" t="n">
        <f aca="false">SUM(I5:I13)</f>
        <v>10425</v>
      </c>
      <c r="J14" s="20" t="n">
        <f aca="false">SUM(J5:J13)</f>
        <v>18956</v>
      </c>
      <c r="K14" s="20" t="n">
        <f aca="false">SUM(K5:K13)</f>
        <v>17620</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10</v>
      </c>
      <c r="D16" s="17" t="n">
        <f aca="false">SUMIFS(Parcels!$P$2:$P$3000,Parcels!$D$2:$D$3000,$B16)</f>
        <v>11.181</v>
      </c>
      <c r="E16" s="16" t="n">
        <f aca="false">SUMIFS(Parcels!$AK$2:$AK$3000,Parcels!$D$2:$D$3000,$B16)</f>
        <v>87</v>
      </c>
      <c r="F16" s="16" t="n">
        <f aca="false">SUMIFS(Parcels!$AG$2:$AG$3000,Parcels!$D$2:$D$3000,$B16)</f>
        <v>0</v>
      </c>
      <c r="G16" s="16" t="n">
        <f aca="false">SUMIFS(Parcels!$AH$2:$AH$3000,Parcels!$D$2:$D$3000,$B16)</f>
        <v>0</v>
      </c>
      <c r="H16" s="16" t="n">
        <f aca="false">SUMIFS(Parcels!$AI$2:$AI$3000,Parcels!$D$2:$D$3000,$B16)</f>
        <v>87</v>
      </c>
      <c r="I16" s="16" t="n">
        <f aca="false">SUMIFS(Parcels!$AN$2:$AN$3000,Parcels!$D$2:$D$3000,$B16)</f>
        <v>176</v>
      </c>
      <c r="J16" s="16" t="n">
        <f aca="false">SUMIFS(Parcels!$AO$2:$AO$3000,Parcels!$D$2:$D$3000,$B16)</f>
        <v>263</v>
      </c>
      <c r="K16" s="16" t="n">
        <f aca="false">SUMIFS(Parcels!$AP$2:$AP$3000,Parcels!$D$2:$D$3000,$B16)</f>
        <v>263</v>
      </c>
      <c r="L16" s="16" t="n">
        <f aca="false">SUMIFS(Parcels!$AQ$2:$AQ$3000,Parcels!$D$2:$D$3000,$B16)</f>
        <v>0</v>
      </c>
      <c r="M16" s="16" t="n">
        <f aca="false">SUMIFS(Parcels!$AR$2:$AR$3000,Parcels!$D$2:$D$3000,$B16)</f>
        <v>0</v>
      </c>
      <c r="N16" s="16" t="n">
        <f aca="false">SUMIFS(Parcels!$AS$2:$AS$3000,Parcels!$D$2:$D$3000,$B16)</f>
        <v>57.4</v>
      </c>
      <c r="O16" s="16" t="n">
        <f aca="false">SUMIFS(Parcels!$AT$2:$AT$3000,Parcels!$D$2:$D$3000,$B16)</f>
        <v>28.9</v>
      </c>
      <c r="P16" s="16" t="n">
        <f aca="false">SUMIFS(Parcels!$AU$2:$AU$3000,Parcels!$D$2:$D$3000,$B16)</f>
        <v>0.7</v>
      </c>
      <c r="Q16" s="16" t="n">
        <f aca="false">SUMIFS(Parcels!$AV$2:$AV$3000,Parcels!$D$2:$D$3000,$B16)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8.214</v>
      </c>
      <c r="E17" s="16" t="n">
        <f aca="false">SUMIFS(Parcels!$AK$2:$AK$3000,Parcels!$D$2:$D$3000,$B17)</f>
        <v>9</v>
      </c>
      <c r="F17" s="16" t="n">
        <f aca="false">SUMIFS(Parcels!$AG$2:$AG$3000,Parcels!$D$2:$D$3000,$B17)</f>
        <v>9</v>
      </c>
      <c r="G17" s="16" t="n">
        <f aca="false">SUMIFS(Parcels!$AH$2:$AH$3000,Parcels!$D$2:$D$3000,$B17)</f>
        <v>0</v>
      </c>
      <c r="H17" s="16" t="n">
        <f aca="false">SUMIFS(Parcels!$AI$2:$AI$3000,Parcels!$D$2:$D$3000,$B17)</f>
        <v>0</v>
      </c>
      <c r="I17" s="16" t="n">
        <f aca="false">SUMIFS(Parcels!$AN$2:$AN$3000,Parcels!$D$2:$D$3000,$B17)</f>
        <v>190</v>
      </c>
      <c r="J17" s="16" t="n">
        <f aca="false">SUMIFS(Parcels!$AO$2:$AO$3000,Parcels!$D$2:$D$3000,$B17)</f>
        <v>199</v>
      </c>
      <c r="K17" s="16" t="n">
        <f aca="false">SUMIFS(Parcels!$AP$2:$AP$3000,Parcels!$D$2:$D$3000,$B17)</f>
        <v>190</v>
      </c>
      <c r="L17" s="16" t="n">
        <f aca="false">SUMIFS(Parcels!$AQ$2:$AQ$3000,Parcels!$D$2:$D$3000,$B17)</f>
        <v>0</v>
      </c>
      <c r="M17" s="16" t="n">
        <f aca="false">SUMIFS(Parcels!$AR$2:$AR$3000,Parcels!$D$2:$D$3000,$B17)</f>
        <v>0</v>
      </c>
      <c r="N17" s="16" t="n">
        <f aca="false">SUMIFS(Parcels!$AS$2:$AS$3000,Parcels!$D$2:$D$3000,$B17)</f>
        <v>0</v>
      </c>
      <c r="O17" s="16" t="n">
        <f aca="false">SUMIFS(Parcels!$AT$2:$AT$3000,Parcels!$D$2:$D$3000,$B17)</f>
        <v>0</v>
      </c>
      <c r="P17" s="16" t="n">
        <f aca="false">SUMIFS(Parcels!$AU$2:$AU$3000,Parcels!$D$2:$D$3000,$B17)</f>
        <v>0</v>
      </c>
      <c r="Q17" s="16" t="n">
        <f aca="false">SUMIFS(Parcels!$AV$2:$AV$3000,Parcels!$D$2:$D$3000,$B17)</f>
        <v>0</v>
      </c>
    </row>
    <row r="18" customFormat="false" ht="15" hidden="false" customHeight="false" outlineLevel="0" collapsed="false">
      <c r="A18" s="15" t="s">
        <v>20</v>
      </c>
      <c r="B18" s="15" t="s">
        <v>62</v>
      </c>
      <c r="C18" s="16" t="n">
        <f aca="false">COUNTIFS(Parcels!$D$2:$D$3000,$B18)</f>
        <v>13</v>
      </c>
      <c r="D18" s="17" t="n">
        <f aca="false">SUMIFS(Parcels!$P$2:$P$3000,Parcels!$D$2:$D$3000,$B18)</f>
        <v>20.846</v>
      </c>
      <c r="E18" s="16" t="n">
        <f aca="false">SUMIFS(Parcels!$AK$2:$AK$3000,Parcels!$D$2:$D$3000,$B18)</f>
        <v>156</v>
      </c>
      <c r="F18" s="16" t="n">
        <f aca="false">SUMIFS(Parcels!$AG$2:$AG$3000,Parcels!$D$2:$D$3000,$B18)</f>
        <v>68</v>
      </c>
      <c r="G18" s="16" t="n">
        <f aca="false">SUMIFS(Parcels!$AH$2:$AH$3000,Parcels!$D$2:$D$3000,$B18)</f>
        <v>74</v>
      </c>
      <c r="H18" s="16" t="n">
        <f aca="false">SUMIFS(Parcels!$AI$2:$AI$3000,Parcels!$D$2:$D$3000,$B18)</f>
        <v>14</v>
      </c>
      <c r="I18" s="16" t="n">
        <f aca="false">SUMIFS(Parcels!$AN$2:$AN$3000,Parcels!$D$2:$D$3000,$B18)</f>
        <v>208</v>
      </c>
      <c r="J18" s="16" t="n">
        <f aca="false">SUMIFS(Parcels!$AO$2:$AO$3000,Parcels!$D$2:$D$3000,$B18)</f>
        <v>364</v>
      </c>
      <c r="K18" s="16" t="n">
        <f aca="false">SUMIFS(Parcels!$AP$2:$AP$3000,Parcels!$D$2:$D$3000,$B18)</f>
        <v>296</v>
      </c>
      <c r="L18" s="16" t="n">
        <f aca="false">SUMIFS(Parcels!$AQ$2:$AQ$3000,Parcels!$D$2:$D$3000,$B18)</f>
        <v>17.2</v>
      </c>
      <c r="M18" s="16" t="n">
        <f aca="false">SUMIFS(Parcels!$AR$2:$AR$3000,Parcels!$D$2:$D$3000,$B18)</f>
        <v>56.8</v>
      </c>
      <c r="N18" s="16" t="n">
        <f aca="false">SUMIFS(Parcels!$AS$2:$AS$3000,Parcels!$D$2:$D$3000,$B18)</f>
        <v>8.2</v>
      </c>
      <c r="O18" s="16" t="n">
        <f aca="false">SUMIFS(Parcels!$AT$2:$AT$3000,Parcels!$D$2:$D$3000,$B18)</f>
        <v>5.8</v>
      </c>
      <c r="P18" s="16" t="n">
        <f aca="false">SUMIFS(Parcels!$AU$2:$AU$3000,Parcels!$D$2:$D$3000,$B18)</f>
        <v>0</v>
      </c>
      <c r="Q18" s="16" t="n">
        <f aca="false">SUMIFS(Parcels!$AV$2:$AV$3000,Parcels!$D$2:$D$3000,$B18)</f>
        <v>0</v>
      </c>
    </row>
    <row r="19" customFormat="false" ht="15" hidden="false" customHeight="false" outlineLevel="0" collapsed="false">
      <c r="A19" s="15" t="s">
        <v>20</v>
      </c>
      <c r="B19" s="15" t="s">
        <v>63</v>
      </c>
      <c r="C19" s="16" t="n">
        <f aca="false">COUNTIFS(Parcels!$D$2:$D$3000,$B19)</f>
        <v>12</v>
      </c>
      <c r="D19" s="17" t="n">
        <f aca="false">SUMIFS(Parcels!$P$2:$P$3000,Parcels!$D$2:$D$3000,$B19)</f>
        <v>18.914</v>
      </c>
      <c r="E19" s="16" t="n">
        <f aca="false">SUMIFS(Parcels!$AK$2:$AK$3000,Parcels!$D$2:$D$3000,$B19)</f>
        <v>75</v>
      </c>
      <c r="F19" s="16" t="n">
        <f aca="false">SUMIFS(Parcels!$AG$2:$AG$3000,Parcels!$D$2:$D$3000,$B19)</f>
        <v>5</v>
      </c>
      <c r="G19" s="16" t="n">
        <f aca="false">SUMIFS(Parcels!$AH$2:$AH$3000,Parcels!$D$2:$D$3000,$B19)</f>
        <v>70</v>
      </c>
      <c r="H19" s="16" t="n">
        <f aca="false">SUMIFS(Parcels!$AI$2:$AI$3000,Parcels!$D$2:$D$3000,$B19)</f>
        <v>0</v>
      </c>
      <c r="I19" s="16" t="n">
        <f aca="false">SUMIFS(Parcels!$AN$2:$AN$3000,Parcels!$D$2:$D$3000,$B19)</f>
        <v>355</v>
      </c>
      <c r="J19" s="16" t="n">
        <f aca="false">SUMIFS(Parcels!$AO$2:$AO$3000,Parcels!$D$2:$D$3000,$B19)</f>
        <v>430</v>
      </c>
      <c r="K19" s="16" t="n">
        <f aca="false">SUMIFS(Parcels!$AP$2:$AP$3000,Parcels!$D$2:$D$3000,$B19)</f>
        <v>425</v>
      </c>
      <c r="L19" s="16" t="n">
        <f aca="false">SUMIFS(Parcels!$AQ$2:$AQ$3000,Parcels!$D$2:$D$3000,$B19)</f>
        <v>1.2</v>
      </c>
      <c r="M19" s="16" t="n">
        <f aca="false">SUMIFS(Parcels!$AR$2:$AR$3000,Parcels!$D$2:$D$3000,$B19)</f>
        <v>58.8</v>
      </c>
      <c r="N19" s="16" t="n">
        <f aca="false">SUMIFS(Parcels!$AS$2:$AS$3000,Parcels!$D$2:$D$3000,$B19)</f>
        <v>10</v>
      </c>
      <c r="O19" s="16" t="n">
        <f aca="false">SUMIFS(Parcels!$AT$2:$AT$3000,Parcels!$D$2:$D$3000,$B19)</f>
        <v>0</v>
      </c>
      <c r="P19" s="16" t="n">
        <f aca="false">SUMIFS(Parcels!$AU$2:$AU$3000,Parcels!$D$2:$D$3000,$B19)</f>
        <v>0</v>
      </c>
      <c r="Q19" s="16" t="n">
        <f aca="false">SUMIFS(Parcels!$AV$2:$AV$3000,Parcels!$D$2:$D$3000,$B19)</f>
        <v>0</v>
      </c>
    </row>
    <row r="20" customFormat="false" ht="15" hidden="false" customHeight="false" outlineLevel="0" collapsed="false">
      <c r="A20" s="15" t="s">
        <v>20</v>
      </c>
      <c r="B20" s="15" t="s">
        <v>64</v>
      </c>
      <c r="C20" s="16" t="n">
        <f aca="false">COUNTIFS(Parcels!$D$2:$D$3000,$B20)</f>
        <v>27</v>
      </c>
      <c r="D20" s="17" t="n">
        <f aca="false">SUMIFS(Parcels!$P$2:$P$3000,Parcels!$D$2:$D$3000,$B20)</f>
        <v>58.216</v>
      </c>
      <c r="E20" s="16" t="n">
        <f aca="false">SUMIFS(Parcels!$AK$2:$AK$3000,Parcels!$D$2:$D$3000,$B20)</f>
        <v>280</v>
      </c>
      <c r="F20" s="16" t="n">
        <f aca="false">SUMIFS(Parcels!$AG$2:$AG$3000,Parcels!$D$2:$D$3000,$B20)</f>
        <v>6</v>
      </c>
      <c r="G20" s="16" t="n">
        <f aca="false">SUMIFS(Parcels!$AH$2:$AH$3000,Parcels!$D$2:$D$3000,$B20)</f>
        <v>166</v>
      </c>
      <c r="H20" s="16" t="n">
        <f aca="false">SUMIFS(Parcels!$AI$2:$AI$3000,Parcels!$D$2:$D$3000,$B20)</f>
        <v>55</v>
      </c>
      <c r="I20" s="16" t="n">
        <f aca="false">SUMIFS(Parcels!$AN$2:$AN$3000,Parcels!$D$2:$D$3000,$B20)</f>
        <v>1209</v>
      </c>
      <c r="J20" s="16" t="n">
        <f aca="false">SUMIFS(Parcels!$AO$2:$AO$3000,Parcels!$D$2:$D$3000,$B20)</f>
        <v>1489</v>
      </c>
      <c r="K20" s="16" t="n">
        <f aca="false">SUMIFS(Parcels!$AP$2:$AP$3000,Parcels!$D$2:$D$3000,$B20)</f>
        <v>1483</v>
      </c>
      <c r="L20" s="16" t="n">
        <f aca="false">SUMIFS(Parcels!$AQ$2:$AQ$3000,Parcels!$D$2:$D$3000,$B20)</f>
        <v>38.7</v>
      </c>
      <c r="M20" s="16" t="n">
        <f aca="false">SUMIFS(Parcels!$AR$2:$AR$3000,Parcels!$D$2:$D$3000,$B20)</f>
        <v>127.3</v>
      </c>
      <c r="N20" s="16" t="n">
        <f aca="false">SUMIFS(Parcels!$AS$2:$AS$3000,Parcels!$D$2:$D$3000,$B20)</f>
        <v>40.2</v>
      </c>
      <c r="O20" s="16" t="n">
        <f aca="false">SUMIFS(Parcels!$AT$2:$AT$3000,Parcels!$D$2:$D$3000,$B20)</f>
        <v>14.8</v>
      </c>
      <c r="P20" s="16" t="n">
        <f aca="false">SUMIFS(Parcels!$AU$2:$AU$3000,Parcels!$D$2:$D$3000,$B20)</f>
        <v>0</v>
      </c>
      <c r="Q20" s="16" t="n">
        <f aca="false">SUMIFS(Parcels!$AV$2:$AV$3000,Parcels!$D$2:$D$3000,$B20)</f>
        <v>0</v>
      </c>
    </row>
    <row r="21" customFormat="false" ht="15" hidden="false" customHeight="false" outlineLevel="0" collapsed="false">
      <c r="A21" s="15" t="s">
        <v>20</v>
      </c>
      <c r="B21" s="15" t="s">
        <v>65</v>
      </c>
      <c r="C21" s="16" t="n">
        <f aca="false">COUNTIFS(Parcels!$D$2:$D$3000,$B21)</f>
        <v>11</v>
      </c>
      <c r="D21" s="17" t="n">
        <f aca="false">SUMIFS(Parcels!$P$2:$P$3000,Parcels!$D$2:$D$3000,$B21)</f>
        <v>8.243</v>
      </c>
      <c r="E21" s="16" t="n">
        <f aca="false">SUMIFS(Parcels!$AK$2:$AK$3000,Parcels!$D$2:$D$3000,$B21)</f>
        <v>11</v>
      </c>
      <c r="F21" s="16" t="n">
        <f aca="false">SUMIFS(Parcels!$AG$2:$AG$3000,Parcels!$D$2:$D$3000,$B21)</f>
        <v>0</v>
      </c>
      <c r="G21" s="16" t="n">
        <f aca="false">SUMIFS(Parcels!$AH$2:$AH$3000,Parcels!$D$2:$D$3000,$B21)</f>
        <v>11</v>
      </c>
      <c r="H21" s="16" t="n">
        <f aca="false">SUMIFS(Parcels!$AI$2:$AI$3000,Parcels!$D$2:$D$3000,$B21)</f>
        <v>0</v>
      </c>
      <c r="I21" s="16" t="n">
        <f aca="false">SUMIFS(Parcels!$AN$2:$AN$3000,Parcels!$D$2:$D$3000,$B21)</f>
        <v>189</v>
      </c>
      <c r="J21" s="16" t="n">
        <f aca="false">SUMIFS(Parcels!$AO$2:$AO$3000,Parcels!$D$2:$D$3000,$B21)</f>
        <v>200</v>
      </c>
      <c r="K21" s="16" t="n">
        <f aca="false">SUMIFS(Parcels!$AP$2:$AP$3000,Parcels!$D$2:$D$3000,$B21)</f>
        <v>200</v>
      </c>
      <c r="L21" s="16" t="n">
        <f aca="false">SUMIFS(Parcels!$AQ$2:$AQ$3000,Parcels!$D$2:$D$3000,$B21)</f>
        <v>2.6</v>
      </c>
      <c r="M21" s="16" t="n">
        <f aca="false">SUMIFS(Parcels!$AR$2:$AR$3000,Parcels!$D$2:$D$3000,$B21)</f>
        <v>8.4</v>
      </c>
      <c r="N21" s="16" t="n">
        <f aca="false">SUMIFS(Parcels!$AS$2:$AS$3000,Parcels!$D$2:$D$3000,$B21)</f>
        <v>0</v>
      </c>
      <c r="O21" s="16" t="n">
        <f aca="false">SUMIFS(Parcels!$AT$2:$AT$3000,Parcels!$D$2:$D$3000,$B21)</f>
        <v>0</v>
      </c>
      <c r="P21" s="16" t="n">
        <f aca="false">SUMIFS(Parcels!$AU$2:$AU$3000,Parcels!$D$2:$D$3000,$B21)</f>
        <v>0</v>
      </c>
      <c r="Q21" s="16" t="n">
        <f aca="false">SUMIFS(Parcels!$AV$2:$AV$3000,Parcels!$D$2:$D$3000,$B21)</f>
        <v>0</v>
      </c>
    </row>
    <row r="22" customFormat="false" ht="15" hidden="false" customHeight="false" outlineLevel="0" collapsed="false">
      <c r="A22" s="18" t="s">
        <v>66</v>
      </c>
      <c r="B22" s="19"/>
      <c r="C22" s="20" t="n">
        <f aca="false">SUM(C16:C21)</f>
        <v>80</v>
      </c>
      <c r="D22" s="20" t="n">
        <f aca="false">SUM(D16:D21)</f>
        <v>125.614</v>
      </c>
      <c r="E22" s="20" t="n">
        <f aca="false">SUM(E16:E21)</f>
        <v>618</v>
      </c>
      <c r="F22" s="20" t="n">
        <f aca="false">SUM(F16:F21)</f>
        <v>88</v>
      </c>
      <c r="G22" s="20" t="n">
        <f aca="false">SUM(G16:G21)</f>
        <v>321</v>
      </c>
      <c r="H22" s="20" t="n">
        <f aca="false">SUM(H16:H21)</f>
        <v>156</v>
      </c>
      <c r="I22" s="20" t="n">
        <f aca="false">SUM(I16:I21)</f>
        <v>2327</v>
      </c>
      <c r="J22" s="20" t="n">
        <f aca="false">SUM(J16:J21)</f>
        <v>2945</v>
      </c>
      <c r="K22" s="20" t="n">
        <f aca="false">SUM(K16:K21)</f>
        <v>2857</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34.555</v>
      </c>
      <c r="E24" s="16" t="n">
        <f aca="false">SUMIFS(Parcels!$AK$2:$AK$3000,Parcels!$D$2:$D$3000,$B24)</f>
        <v>226</v>
      </c>
      <c r="F24" s="16" t="n">
        <f aca="false">SUMIFS(Parcels!$AG$2:$AG$3000,Parcels!$D$2:$D$3000,$B24)</f>
        <v>0</v>
      </c>
      <c r="G24" s="16" t="n">
        <f aca="false">SUMIFS(Parcels!$AH$2:$AH$3000,Parcels!$D$2:$D$3000,$B24)</f>
        <v>15</v>
      </c>
      <c r="H24" s="16" t="n">
        <f aca="false">SUMIFS(Parcels!$AI$2:$AI$3000,Parcels!$D$2:$D$3000,$B24)</f>
        <v>211</v>
      </c>
      <c r="I24" s="16" t="n">
        <f aca="false">SUMIFS(Parcels!$AN$2:$AN$3000,Parcels!$D$2:$D$3000,$B24)</f>
        <v>191</v>
      </c>
      <c r="J24" s="16" t="n">
        <f aca="false">SUMIFS(Parcels!$AO$2:$AO$3000,Parcels!$D$2:$D$3000,$B24)</f>
        <v>417</v>
      </c>
      <c r="K24" s="16" t="n">
        <f aca="false">SUMIFS(Parcels!$AP$2:$AP$3000,Parcels!$D$2:$D$3000,$B24)</f>
        <v>417</v>
      </c>
      <c r="L24" s="16" t="n">
        <f aca="false">SUMIFS(Parcels!$AQ$2:$AQ$3000,Parcels!$D$2:$D$3000,$B24)</f>
        <v>1.2</v>
      </c>
      <c r="M24" s="16" t="n">
        <f aca="false">SUMIFS(Parcels!$AR$2:$AR$3000,Parcels!$D$2:$D$3000,$B24)</f>
        <v>10.7</v>
      </c>
      <c r="N24" s="16" t="n">
        <f aca="false">SUMIFS(Parcels!$AS$2:$AS$3000,Parcels!$D$2:$D$3000,$B24)</f>
        <v>92.1</v>
      </c>
      <c r="O24" s="16" t="n">
        <f aca="false">SUMIFS(Parcels!$AT$2:$AT$3000,Parcels!$D$2:$D$3000,$B24)</f>
        <v>99.8</v>
      </c>
      <c r="P24" s="16" t="n">
        <f aca="false">SUMIFS(Parcels!$AU$2:$AU$3000,Parcels!$D$2:$D$3000,$B24)</f>
        <v>22.2</v>
      </c>
      <c r="Q24" s="16" t="n">
        <f aca="false">SUMIFS(Parcels!$AV$2:$AV$3000,Parcels!$D$2:$D$3000,$B24)</f>
        <v>0</v>
      </c>
    </row>
    <row r="25" customFormat="false" ht="15" hidden="false" customHeight="false" outlineLevel="0" collapsed="false">
      <c r="A25" s="15" t="s">
        <v>21</v>
      </c>
      <c r="B25" s="15" t="s">
        <v>68</v>
      </c>
      <c r="C25" s="16" t="n">
        <f aca="false">COUNTIFS(Parcels!$D$2:$D$3000,$B25)</f>
        <v>8</v>
      </c>
      <c r="D25" s="17" t="n">
        <f aca="false">SUMIFS(Parcels!$P$2:$P$3000,Parcels!$D$2:$D$3000,$B25)</f>
        <v>6.57</v>
      </c>
      <c r="E25" s="16" t="n">
        <f aca="false">SUMIFS(Parcels!$AK$2:$AK$3000,Parcels!$D$2:$D$3000,$B25)</f>
        <v>102</v>
      </c>
      <c r="F25" s="16" t="n">
        <f aca="false">SUMIFS(Parcels!$AG$2:$AG$3000,Parcels!$D$2:$D$3000,$B25)</f>
        <v>2</v>
      </c>
      <c r="G25" s="16" t="n">
        <f aca="false">SUMIFS(Parcels!$AH$2:$AH$3000,Parcels!$D$2:$D$3000,$B25)</f>
        <v>18</v>
      </c>
      <c r="H25" s="16" t="n">
        <f aca="false">SUMIFS(Parcels!$AI$2:$AI$3000,Parcels!$D$2:$D$3000,$B25)</f>
        <v>82</v>
      </c>
      <c r="I25" s="16" t="n">
        <f aca="false">SUMIFS(Parcels!$AN$2:$AN$3000,Parcels!$D$2:$D$3000,$B25)</f>
        <v>52</v>
      </c>
      <c r="J25" s="16" t="n">
        <f aca="false">SUMIFS(Parcels!$AO$2:$AO$3000,Parcels!$D$2:$D$3000,$B25)</f>
        <v>154</v>
      </c>
      <c r="K25" s="16" t="n">
        <f aca="false">SUMIFS(Parcels!$AP$2:$AP$3000,Parcels!$D$2:$D$3000,$B25)</f>
        <v>152</v>
      </c>
      <c r="L25" s="16" t="n">
        <f aca="false">SUMIFS(Parcels!$AQ$2:$AQ$3000,Parcels!$D$2:$D$3000,$B25)</f>
        <v>0</v>
      </c>
      <c r="M25" s="16" t="n">
        <f aca="false">SUMIFS(Parcels!$AR$2:$AR$3000,Parcels!$D$2:$D$3000,$B25)</f>
        <v>10.2</v>
      </c>
      <c r="N25" s="16" t="n">
        <f aca="false">SUMIFS(Parcels!$AS$2:$AS$3000,Parcels!$D$2:$D$3000,$B25)</f>
        <v>36.7</v>
      </c>
      <c r="O25" s="16" t="n">
        <f aca="false">SUMIFS(Parcels!$AT$2:$AT$3000,Parcels!$D$2:$D$3000,$B25)</f>
        <v>53.1</v>
      </c>
      <c r="P25" s="16" t="n">
        <f aca="false">SUMIFS(Parcels!$AU$2:$AU$3000,Parcels!$D$2:$D$3000,$B25)</f>
        <v>0</v>
      </c>
      <c r="Q25" s="16" t="n">
        <f aca="false">SUMIFS(Parcels!$AV$2:$AV$3000,Parcels!$D$2:$D$3000,$B25)</f>
        <v>0</v>
      </c>
    </row>
    <row r="26" customFormat="false" ht="15" hidden="false" customHeight="false" outlineLevel="0" collapsed="false">
      <c r="A26" s="15" t="s">
        <v>21</v>
      </c>
      <c r="B26" s="15" t="s">
        <v>69</v>
      </c>
      <c r="C26" s="16" t="n">
        <f aca="false">COUNTIFS(Parcels!$D$2:$D$3000,$B26)</f>
        <v>6</v>
      </c>
      <c r="D26" s="17" t="n">
        <f aca="false">SUMIFS(Parcels!$P$2:$P$3000,Parcels!$D$2:$D$3000,$B26)</f>
        <v>3.528</v>
      </c>
      <c r="E26" s="16" t="n">
        <f aca="false">SUMIFS(Parcels!$AK$2:$AK$3000,Parcels!$D$2:$D$3000,$B26)</f>
        <v>56</v>
      </c>
      <c r="F26" s="16" t="n">
        <f aca="false">SUMIFS(Parcels!$AG$2:$AG$3000,Parcels!$D$2:$D$3000,$B26)</f>
        <v>27</v>
      </c>
      <c r="G26" s="16" t="n">
        <f aca="false">SUMIFS(Parcels!$AH$2:$AH$3000,Parcels!$D$2:$D$3000,$B26)</f>
        <v>22</v>
      </c>
      <c r="H26" s="16" t="n">
        <f aca="false">SUMIFS(Parcels!$AI$2:$AI$3000,Parcels!$D$2:$D$3000,$B26)</f>
        <v>7</v>
      </c>
      <c r="I26" s="16" t="n">
        <f aca="false">SUMIFS(Parcels!$AN$2:$AN$3000,Parcels!$D$2:$D$3000,$B26)</f>
        <v>24</v>
      </c>
      <c r="J26" s="16" t="n">
        <f aca="false">SUMIFS(Parcels!$AO$2:$AO$3000,Parcels!$D$2:$D$3000,$B26)</f>
        <v>80</v>
      </c>
      <c r="K26" s="16" t="n">
        <f aca="false">SUMIFS(Parcels!$AP$2:$AP$3000,Parcels!$D$2:$D$3000,$B26)</f>
        <v>53</v>
      </c>
      <c r="L26" s="16" t="n">
        <f aca="false">SUMIFS(Parcels!$AQ$2:$AQ$3000,Parcels!$D$2:$D$3000,$B26)</f>
        <v>3.1</v>
      </c>
      <c r="M26" s="16" t="n">
        <f aca="false">SUMIFS(Parcels!$AR$2:$AR$3000,Parcels!$D$2:$D$3000,$B26)</f>
        <v>13.5</v>
      </c>
      <c r="N26" s="16" t="n">
        <f aca="false">SUMIFS(Parcels!$AS$2:$AS$3000,Parcels!$D$2:$D$3000,$B26)</f>
        <v>9.8</v>
      </c>
      <c r="O26" s="16" t="n">
        <f aca="false">SUMIFS(Parcels!$AT$2:$AT$3000,Parcels!$D$2:$D$3000,$B26)</f>
        <v>2.6</v>
      </c>
      <c r="P26" s="16" t="n">
        <f aca="false">SUMIFS(Parcels!$AU$2:$AU$3000,Parcels!$D$2:$D$3000,$B26)</f>
        <v>0</v>
      </c>
      <c r="Q26" s="16" t="n">
        <f aca="false">SUMIFS(Parcels!$AV$2:$AV$3000,Parcels!$D$2:$D$3000,$B26)</f>
        <v>0</v>
      </c>
    </row>
    <row r="27" customFormat="false" ht="15" hidden="false" customHeight="false" outlineLevel="0" collapsed="false">
      <c r="A27" s="15" t="s">
        <v>21</v>
      </c>
      <c r="B27" s="15" t="s">
        <v>70</v>
      </c>
      <c r="C27" s="16" t="n">
        <f aca="false">COUNTIFS(Parcels!$D$2:$D$3000,$B27)</f>
        <v>13</v>
      </c>
      <c r="D27" s="17" t="n">
        <f aca="false">SUMIFS(Parcels!$P$2:$P$3000,Parcels!$D$2:$D$3000,$B27)</f>
        <v>13.627</v>
      </c>
      <c r="E27" s="16" t="n">
        <f aca="false">SUMIFS(Parcels!$AK$2:$AK$3000,Parcels!$D$2:$D$3000,$B27)</f>
        <v>137</v>
      </c>
      <c r="F27" s="16" t="n">
        <f aca="false">SUMIFS(Parcels!$AG$2:$AG$3000,Parcels!$D$2:$D$3000,$B27)</f>
        <v>16</v>
      </c>
      <c r="G27" s="16" t="n">
        <f aca="false">SUMIFS(Parcels!$AH$2:$AH$3000,Parcels!$D$2:$D$3000,$B27)</f>
        <v>0</v>
      </c>
      <c r="H27" s="16" t="n">
        <f aca="false">SUMIFS(Parcels!$AI$2:$AI$3000,Parcels!$D$2:$D$3000,$B27)</f>
        <v>121</v>
      </c>
      <c r="I27" s="16" t="n">
        <f aca="false">SUMIFS(Parcels!$AN$2:$AN$3000,Parcels!$D$2:$D$3000,$B27)</f>
        <v>192</v>
      </c>
      <c r="J27" s="16" t="n">
        <f aca="false">SUMIFS(Parcels!$AO$2:$AO$3000,Parcels!$D$2:$D$3000,$B27)</f>
        <v>329</v>
      </c>
      <c r="K27" s="16" t="n">
        <f aca="false">SUMIFS(Parcels!$AP$2:$AP$3000,Parcels!$D$2:$D$3000,$B27)</f>
        <v>313</v>
      </c>
      <c r="L27" s="16" t="n">
        <f aca="false">SUMIFS(Parcels!$AQ$2:$AQ$3000,Parcels!$D$2:$D$3000,$B27)</f>
        <v>0</v>
      </c>
      <c r="M27" s="16" t="n">
        <f aca="false">SUMIFS(Parcels!$AR$2:$AR$3000,Parcels!$D$2:$D$3000,$B27)</f>
        <v>0</v>
      </c>
      <c r="N27" s="16" t="n">
        <f aca="false">SUMIFS(Parcels!$AS$2:$AS$3000,Parcels!$D$2:$D$3000,$B27)</f>
        <v>85.7</v>
      </c>
      <c r="O27" s="16" t="n">
        <f aca="false">SUMIFS(Parcels!$AT$2:$AT$3000,Parcels!$D$2:$D$3000,$B27)</f>
        <v>35.3</v>
      </c>
      <c r="P27" s="16" t="n">
        <f aca="false">SUMIFS(Parcels!$AU$2:$AU$3000,Parcels!$D$2:$D$3000,$B27)</f>
        <v>0</v>
      </c>
      <c r="Q27" s="16" t="n">
        <f aca="false">SUMIFS(Parcels!$AV$2:$AV$3000,Parcels!$D$2:$D$3000,$B27)</f>
        <v>0</v>
      </c>
    </row>
    <row r="28" customFormat="false" ht="15" hidden="false" customHeight="false" outlineLevel="0" collapsed="false">
      <c r="A28" s="15" t="s">
        <v>21</v>
      </c>
      <c r="B28" s="15" t="s">
        <v>71</v>
      </c>
      <c r="C28" s="16" t="n">
        <f aca="false">COUNTIFS(Parcels!$D$2:$D$3000,$B28)</f>
        <v>5</v>
      </c>
      <c r="D28" s="17" t="n">
        <f aca="false">SUMIFS(Parcels!$P$2:$P$3000,Parcels!$D$2:$D$3000,$B28)</f>
        <v>3.979</v>
      </c>
      <c r="E28" s="16" t="n">
        <f aca="false">SUMIFS(Parcels!$AK$2:$AK$3000,Parcels!$D$2:$D$3000,$B28)</f>
        <v>20</v>
      </c>
      <c r="F28" s="16" t="n">
        <f aca="false">SUMIFS(Parcels!$AG$2:$AG$3000,Parcels!$D$2:$D$3000,$B28)</f>
        <v>20</v>
      </c>
      <c r="G28" s="16" t="n">
        <f aca="false">SUMIFS(Parcels!$AH$2:$AH$3000,Parcels!$D$2:$D$3000,$B28)</f>
        <v>0</v>
      </c>
      <c r="H28" s="16" t="n">
        <f aca="false">SUMIFS(Parcels!$AI$2:$AI$3000,Parcels!$D$2:$D$3000,$B28)</f>
        <v>0</v>
      </c>
      <c r="I28" s="16" t="n">
        <f aca="false">SUMIFS(Parcels!$AN$2:$AN$3000,Parcels!$D$2:$D$3000,$B28)</f>
        <v>69</v>
      </c>
      <c r="J28" s="16" t="n">
        <f aca="false">SUMIFS(Parcels!$AO$2:$AO$3000,Parcels!$D$2:$D$3000,$B28)</f>
        <v>89</v>
      </c>
      <c r="K28" s="16" t="n">
        <f aca="false">SUMIFS(Parcels!$AP$2:$AP$3000,Parcels!$D$2:$D$3000,$B28)</f>
        <v>69</v>
      </c>
      <c r="L28" s="16" t="n">
        <f aca="false">SUMIFS(Parcels!$AQ$2:$AQ$3000,Parcels!$D$2:$D$3000,$B28)</f>
        <v>0</v>
      </c>
      <c r="M28" s="16" t="n">
        <f aca="false">SUMIFS(Parcels!$AR$2:$AR$3000,Parcels!$D$2:$D$3000,$B28)</f>
        <v>0</v>
      </c>
      <c r="N28" s="16" t="n">
        <f aca="false">SUMIFS(Parcels!$AS$2:$AS$3000,Parcels!$D$2:$D$3000,$B28)</f>
        <v>0</v>
      </c>
      <c r="O28" s="16" t="n">
        <f aca="false">SUMIFS(Parcels!$AT$2:$AT$3000,Parcels!$D$2:$D$3000,$B28)</f>
        <v>0</v>
      </c>
      <c r="P28" s="16" t="n">
        <f aca="false">SUMIFS(Parcels!$AU$2:$AU$3000,Parcels!$D$2:$D$3000,$B28)</f>
        <v>0</v>
      </c>
      <c r="Q28" s="16" t="n">
        <f aca="false">SUMIFS(Parcels!$AV$2:$AV$3000,Parcels!$D$2:$D$3000,$B28)</f>
        <v>0</v>
      </c>
    </row>
    <row r="29" customFormat="false" ht="15" hidden="false" customHeight="false" outlineLevel="0" collapsed="false">
      <c r="A29" s="15" t="s">
        <v>21</v>
      </c>
      <c r="B29" s="15" t="s">
        <v>72</v>
      </c>
      <c r="C29" s="16" t="n">
        <f aca="false">COUNTIFS(Parcels!$D$2:$D$3000,$B29)</f>
        <v>7</v>
      </c>
      <c r="D29" s="17" t="n">
        <f aca="false">SUMIFS(Parcels!$P$2:$P$3000,Parcels!$D$2:$D$3000,$B29)</f>
        <v>3.914</v>
      </c>
      <c r="E29" s="16" t="n">
        <f aca="false">SUMIFS(Parcels!$AK$2:$AK$3000,Parcels!$D$2:$D$3000,$B29)</f>
        <v>33</v>
      </c>
      <c r="F29" s="16" t="n">
        <f aca="false">SUMIFS(Parcels!$AG$2:$AG$3000,Parcels!$D$2:$D$3000,$B29)</f>
        <v>19</v>
      </c>
      <c r="G29" s="16" t="n">
        <f aca="false">SUMIFS(Parcels!$AH$2:$AH$3000,Parcels!$D$2:$D$3000,$B29)</f>
        <v>14</v>
      </c>
      <c r="H29" s="16" t="n">
        <f aca="false">SUMIFS(Parcels!$AI$2:$AI$3000,Parcels!$D$2:$D$3000,$B29)</f>
        <v>0</v>
      </c>
      <c r="I29" s="16" t="n">
        <f aca="false">SUMIFS(Parcels!$AN$2:$AN$3000,Parcels!$D$2:$D$3000,$B29)</f>
        <v>64</v>
      </c>
      <c r="J29" s="16" t="n">
        <f aca="false">SUMIFS(Parcels!$AO$2:$AO$3000,Parcels!$D$2:$D$3000,$B29)</f>
        <v>97</v>
      </c>
      <c r="K29" s="16" t="n">
        <f aca="false">SUMIFS(Parcels!$AP$2:$AP$3000,Parcels!$D$2:$D$3000,$B29)</f>
        <v>78</v>
      </c>
      <c r="L29" s="16" t="n">
        <f aca="false">SUMIFS(Parcels!$AQ$2:$AQ$3000,Parcels!$D$2:$D$3000,$B29)</f>
        <v>3.3</v>
      </c>
      <c r="M29" s="16" t="n">
        <f aca="false">SUMIFS(Parcels!$AR$2:$AR$3000,Parcels!$D$2:$D$3000,$B29)</f>
        <v>10.7</v>
      </c>
      <c r="N29" s="16" t="n">
        <f aca="false">SUMIFS(Parcels!$AS$2:$AS$3000,Parcels!$D$2:$D$3000,$B29)</f>
        <v>0</v>
      </c>
      <c r="O29" s="16" t="n">
        <f aca="false">SUMIFS(Parcels!$AT$2:$AT$3000,Parcels!$D$2:$D$3000,$B29)</f>
        <v>0</v>
      </c>
      <c r="P29" s="16" t="n">
        <f aca="false">SUMIFS(Parcels!$AU$2:$AU$3000,Parcels!$D$2:$D$3000,$B29)</f>
        <v>0</v>
      </c>
      <c r="Q29" s="16" t="n">
        <f aca="false">SUMIFS(Parcels!$AV$2:$AV$3000,Parcels!$D$2:$D$3000,$B29)</f>
        <v>0</v>
      </c>
    </row>
    <row r="30" customFormat="false" ht="15" hidden="false" customHeight="false" outlineLevel="0" collapsed="false">
      <c r="A30" s="15" t="s">
        <v>21</v>
      </c>
      <c r="B30" s="15" t="s">
        <v>73</v>
      </c>
      <c r="C30" s="16" t="n">
        <f aca="false">COUNTIFS(Parcels!$D$2:$D$3000,$B30)</f>
        <v>5</v>
      </c>
      <c r="D30" s="17" t="n">
        <f aca="false">SUMIFS(Parcels!$P$2:$P$3000,Parcels!$D$2:$D$3000,$B30)</f>
        <v>5.908</v>
      </c>
      <c r="E30" s="16" t="n">
        <f aca="false">SUMIFS(Parcels!$AK$2:$AK$3000,Parcels!$D$2:$D$3000,$B30)</f>
        <v>36</v>
      </c>
      <c r="F30" s="16" t="n">
        <f aca="false">SUMIFS(Parcels!$AG$2:$AG$3000,Parcels!$D$2:$D$3000,$B30)</f>
        <v>0</v>
      </c>
      <c r="G30" s="16" t="n">
        <f aca="false">SUMIFS(Parcels!$AH$2:$AH$3000,Parcels!$D$2:$D$3000,$B30)</f>
        <v>4</v>
      </c>
      <c r="H30" s="16" t="n">
        <f aca="false">SUMIFS(Parcels!$AI$2:$AI$3000,Parcels!$D$2:$D$3000,$B30)</f>
        <v>0</v>
      </c>
      <c r="I30" s="16" t="n">
        <f aca="false">SUMIFS(Parcels!$AN$2:$AN$3000,Parcels!$D$2:$D$3000,$B30)</f>
        <v>96</v>
      </c>
      <c r="J30" s="16" t="n">
        <f aca="false">SUMIFS(Parcels!$AO$2:$AO$3000,Parcels!$D$2:$D$3000,$B30)</f>
        <v>132</v>
      </c>
      <c r="K30" s="16" t="n">
        <f aca="false">SUMIFS(Parcels!$AP$2:$AP$3000,Parcels!$D$2:$D$3000,$B30)</f>
        <v>132</v>
      </c>
      <c r="L30" s="16" t="n">
        <f aca="false">SUMIFS(Parcels!$AQ$2:$AQ$3000,Parcels!$D$2:$D$3000,$B30)</f>
        <v>0</v>
      </c>
      <c r="M30" s="16" t="n">
        <f aca="false">SUMIFS(Parcels!$AR$2:$AR$3000,Parcels!$D$2:$D$3000,$B30)</f>
        <v>3.7</v>
      </c>
      <c r="N30" s="16" t="n">
        <f aca="false">SUMIFS(Parcels!$AS$2:$AS$3000,Parcels!$D$2:$D$3000,$B30)</f>
        <v>0.3</v>
      </c>
      <c r="O30" s="16" t="n">
        <f aca="false">SUMIFS(Parcels!$AT$2:$AT$3000,Parcels!$D$2:$D$3000,$B30)</f>
        <v>0</v>
      </c>
      <c r="P30" s="16" t="n">
        <f aca="false">SUMIFS(Parcels!$AU$2:$AU$3000,Parcels!$D$2:$D$3000,$B30)</f>
        <v>0</v>
      </c>
      <c r="Q30" s="16" t="n">
        <f aca="false">SUMIFS(Parcels!$AV$2:$AV$3000,Parcels!$D$2:$D$3000,$B30)</f>
        <v>0</v>
      </c>
    </row>
    <row r="31" customFormat="false" ht="15" hidden="false" customHeight="false" outlineLevel="0" collapsed="false">
      <c r="A31" s="15" t="s">
        <v>21</v>
      </c>
      <c r="B31" s="15" t="s">
        <v>74</v>
      </c>
      <c r="C31" s="16" t="n">
        <f aca="false">COUNTIFS(Parcels!$D$2:$D$3000,$B31)</f>
        <v>20</v>
      </c>
      <c r="D31" s="17" t="n">
        <f aca="false">SUMIFS(Parcels!$P$2:$P$3000,Parcels!$D$2:$D$3000,$B31)</f>
        <v>27.786</v>
      </c>
      <c r="E31" s="16" t="n">
        <f aca="false">SUMIFS(Parcels!$AK$2:$AK$3000,Parcels!$D$2:$D$3000,$B31)</f>
        <v>510</v>
      </c>
      <c r="F31" s="16" t="n">
        <f aca="false">SUMIFS(Parcels!$AG$2:$AG$3000,Parcels!$D$2:$D$3000,$B31)</f>
        <v>79</v>
      </c>
      <c r="G31" s="16" t="n">
        <f aca="false">SUMIFS(Parcels!$AH$2:$AH$3000,Parcels!$D$2:$D$3000,$B31)</f>
        <v>257</v>
      </c>
      <c r="H31" s="16" t="n">
        <f aca="false">SUMIFS(Parcels!$AI$2:$AI$3000,Parcels!$D$2:$D$3000,$B31)</f>
        <v>134</v>
      </c>
      <c r="I31" s="16" t="n">
        <f aca="false">SUMIFS(Parcels!$AN$2:$AN$3000,Parcels!$D$2:$D$3000,$B31)</f>
        <v>78</v>
      </c>
      <c r="J31" s="16" t="n">
        <f aca="false">SUMIFS(Parcels!$AO$2:$AO$3000,Parcels!$D$2:$D$3000,$B31)</f>
        <v>588</v>
      </c>
      <c r="K31" s="16" t="n">
        <f aca="false">SUMIFS(Parcels!$AP$2:$AP$3000,Parcels!$D$2:$D$3000,$B31)</f>
        <v>509</v>
      </c>
      <c r="L31" s="16" t="n">
        <f aca="false">SUMIFS(Parcels!$AQ$2:$AQ$3000,Parcels!$D$2:$D$3000,$B31)</f>
        <v>36.1</v>
      </c>
      <c r="M31" s="16" t="n">
        <f aca="false">SUMIFS(Parcels!$AR$2:$AR$3000,Parcels!$D$2:$D$3000,$B31)</f>
        <v>149</v>
      </c>
      <c r="N31" s="16" t="n">
        <f aca="false">SUMIFS(Parcels!$AS$2:$AS$3000,Parcels!$D$2:$D$3000,$B31)</f>
        <v>133.4</v>
      </c>
      <c r="O31" s="16" t="n">
        <f aca="false">SUMIFS(Parcels!$AT$2:$AT$3000,Parcels!$D$2:$D$3000,$B31)</f>
        <v>67.5</v>
      </c>
      <c r="P31" s="16" t="n">
        <f aca="false">SUMIFS(Parcels!$AU$2:$AU$3000,Parcels!$D$2:$D$3000,$B31)</f>
        <v>5</v>
      </c>
      <c r="Q31" s="16" t="n">
        <f aca="false">SUMIFS(Parcels!$AV$2:$AV$3000,Parcels!$D$2:$D$3000,$B31)</f>
        <v>0</v>
      </c>
    </row>
    <row r="32" customFormat="false" ht="15" hidden="false" customHeight="false" outlineLevel="0" collapsed="false">
      <c r="A32" s="18" t="s">
        <v>75</v>
      </c>
      <c r="B32" s="19"/>
      <c r="C32" s="20" t="n">
        <f aca="false">SUM(C24:C31)</f>
        <v>77</v>
      </c>
      <c r="D32" s="20" t="n">
        <f aca="false">SUM(D24:D31)</f>
        <v>99.867</v>
      </c>
      <c r="E32" s="20" t="n">
        <f aca="false">SUM(E24:E31)</f>
        <v>1120</v>
      </c>
      <c r="F32" s="20" t="n">
        <f aca="false">SUM(F24:F31)</f>
        <v>163</v>
      </c>
      <c r="G32" s="20" t="n">
        <f aca="false">SUM(G24:G31)</f>
        <v>330</v>
      </c>
      <c r="H32" s="20" t="n">
        <f aca="false">SUM(H24:H31)</f>
        <v>555</v>
      </c>
      <c r="I32" s="20" t="n">
        <f aca="false">SUM(I24:I31)</f>
        <v>766</v>
      </c>
      <c r="J32" s="20" t="n">
        <f aca="false">SUM(J24:J31)</f>
        <v>1886</v>
      </c>
      <c r="K32" s="20" t="n">
        <f aca="false">SUM(K24:K31)</f>
        <v>1723</v>
      </c>
      <c r="L32" s="20" t="n">
        <f aca="false">SUM(L24:L31)</f>
        <v>43.7</v>
      </c>
      <c r="M32" s="20" t="n">
        <f aca="false">SUM(M24:M31)</f>
        <v>197.8</v>
      </c>
      <c r="N32" s="20" t="n">
        <f aca="false">SUM(N24:N31)</f>
        <v>358</v>
      </c>
      <c r="O32" s="20" t="n">
        <f aca="false">SUM(O24:O31)</f>
        <v>258.3</v>
      </c>
      <c r="P32" s="20" t="n">
        <f aca="false">SUM(P24:P31)</f>
        <v>27.2</v>
      </c>
      <c r="Q32" s="20" t="n">
        <f aca="false">SUM(Q24:Q31)</f>
        <v>0</v>
      </c>
    </row>
    <row r="34" customFormat="false" ht="15" hidden="false" customHeight="false" outlineLevel="0" collapsed="false">
      <c r="A34" s="15" t="s">
        <v>22</v>
      </c>
      <c r="B34" s="15" t="s">
        <v>22</v>
      </c>
      <c r="C34" s="16" t="n">
        <f aca="false">COUNTIFS(Parcels!$D$2:$D$3000,$B34)</f>
        <v>47</v>
      </c>
      <c r="D34" s="17" t="n">
        <f aca="false">SUMIFS(Parcels!$P$2:$P$3000,Parcels!$D$2:$D$3000,$B34)</f>
        <v>38.707</v>
      </c>
      <c r="E34" s="16" t="n">
        <f aca="false">SUMIFS(Parcels!$AK$2:$AK$3000,Parcels!$D$2:$D$3000,$B34)</f>
        <v>231</v>
      </c>
      <c r="F34" s="16" t="n">
        <f aca="false">SUMIFS(Parcels!$AG$2:$AG$3000,Parcels!$D$2:$D$3000,$B34)</f>
        <v>44</v>
      </c>
      <c r="G34" s="16" t="n">
        <f aca="false">SUMIFS(Parcels!$AH$2:$AH$3000,Parcels!$D$2:$D$3000,$B34)</f>
        <v>106</v>
      </c>
      <c r="H34" s="16" t="n">
        <f aca="false">SUMIFS(Parcels!$AI$2:$AI$3000,Parcels!$D$2:$D$3000,$B34)</f>
        <v>81</v>
      </c>
      <c r="I34" s="16" t="n">
        <f aca="false">SUMIFS(Parcels!$AN$2:$AN$3000,Parcels!$D$2:$D$3000,$B34)</f>
        <v>451</v>
      </c>
      <c r="J34" s="16" t="n">
        <f aca="false">SUMIFS(Parcels!$AO$2:$AO$3000,Parcels!$D$2:$D$3000,$B34)</f>
        <v>682</v>
      </c>
      <c r="K34" s="16" t="n">
        <f aca="false">SUMIFS(Parcels!$AP$2:$AP$3000,Parcels!$D$2:$D$3000,$B34)</f>
        <v>638</v>
      </c>
      <c r="L34" s="16" t="n">
        <f aca="false">SUMIFS(Parcels!$AQ$2:$AQ$3000,Parcels!$D$2:$D$3000,$B34)</f>
        <v>24.1</v>
      </c>
      <c r="M34" s="16" t="n">
        <f aca="false">SUMIFS(Parcels!$AR$2:$AR$3000,Parcels!$D$2:$D$3000,$B34)</f>
        <v>81.9</v>
      </c>
      <c r="N34" s="16" t="n">
        <f aca="false">SUMIFS(Parcels!$AS$2:$AS$3000,Parcels!$D$2:$D$3000,$B34)</f>
        <v>45.8</v>
      </c>
      <c r="O34" s="16" t="n">
        <f aca="false">SUMIFS(Parcels!$AT$2:$AT$3000,Parcels!$D$2:$D$3000,$B34)</f>
        <v>35.2</v>
      </c>
      <c r="P34" s="16" t="n">
        <f aca="false">SUMIFS(Parcels!$AU$2:$AU$3000,Parcels!$D$2:$D$3000,$B34)</f>
        <v>0</v>
      </c>
      <c r="Q34" s="16" t="n">
        <f aca="false">SUMIFS(Parcels!$AV$2:$AV$3000,Parcels!$D$2:$D$3000,$B34)</f>
        <v>0</v>
      </c>
    </row>
    <row r="35" customFormat="false" ht="15" hidden="false" customHeight="false" outlineLevel="0" collapsed="false">
      <c r="A35" s="18" t="s">
        <v>76</v>
      </c>
      <c r="B35" s="19"/>
      <c r="C35" s="20" t="n">
        <f aca="false">SUM(C34:C34)</f>
        <v>47</v>
      </c>
      <c r="D35" s="20" t="n">
        <f aca="false">SUM(D34:D34)</f>
        <v>38.707</v>
      </c>
      <c r="E35" s="20" t="n">
        <f aca="false">SUM(E34:E34)</f>
        <v>231</v>
      </c>
      <c r="F35" s="20" t="n">
        <f aca="false">SUM(F34:F34)</f>
        <v>44</v>
      </c>
      <c r="G35" s="20" t="n">
        <f aca="false">SUM(G34:G34)</f>
        <v>106</v>
      </c>
      <c r="H35" s="20" t="n">
        <f aca="false">SUM(H34:H34)</f>
        <v>81</v>
      </c>
      <c r="I35" s="20" t="n">
        <f aca="false">SUM(I34:I34)</f>
        <v>451</v>
      </c>
      <c r="J35" s="20" t="n">
        <f aca="false">SUM(J34:J34)</f>
        <v>682</v>
      </c>
      <c r="K35" s="20" t="n">
        <f aca="false">SUM(K34:K34)</f>
        <v>638</v>
      </c>
      <c r="L35" s="20" t="n">
        <f aca="false">SUM(L34:L34)</f>
        <v>24.1</v>
      </c>
      <c r="M35" s="20" t="n">
        <f aca="false">SUM(M34:M34)</f>
        <v>81.9</v>
      </c>
      <c r="N35" s="20" t="n">
        <f aca="false">SUM(N34:N34)</f>
        <v>45.8</v>
      </c>
      <c r="O35" s="20" t="n">
        <f aca="false">SUM(O34:O34)</f>
        <v>35.2</v>
      </c>
      <c r="P35" s="20" t="n">
        <f aca="false">SUM(P34:P34)</f>
        <v>0</v>
      </c>
      <c r="Q35" s="20" t="n">
        <f aca="false">SUM(Q34:Q34)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77</v>
      </c>
      <c r="B1" s="22" t="s">
        <v>78</v>
      </c>
    </row>
    <row r="2" customFormat="false" ht="15" hidden="false" customHeight="false" outlineLevel="0" collapsed="false">
      <c r="A2" s="21" t="s">
        <v>79</v>
      </c>
      <c r="B2" s="22" t="s">
        <v>80</v>
      </c>
    </row>
    <row r="3" customFormat="false" ht="23.85" hidden="false" customHeight="false" outlineLevel="0" collapsed="false">
      <c r="A3" s="21" t="s">
        <v>81</v>
      </c>
      <c r="B3" s="22" t="s">
        <v>82</v>
      </c>
    </row>
    <row r="4" customFormat="false" ht="23.85" hidden="false" customHeight="false" outlineLevel="0" collapsed="false">
      <c r="A4" s="21" t="s">
        <v>83</v>
      </c>
      <c r="B4" s="22" t="s">
        <v>84</v>
      </c>
    </row>
    <row r="5" customFormat="false" ht="23.85" hidden="false" customHeight="false" outlineLevel="0" collapsed="false">
      <c r="A5" s="21" t="s">
        <v>85</v>
      </c>
      <c r="B5" s="22" t="s">
        <v>86</v>
      </c>
    </row>
    <row r="6" customFormat="false" ht="15" hidden="false" customHeight="false" outlineLevel="0" collapsed="false">
      <c r="A6" s="21" t="s">
        <v>87</v>
      </c>
      <c r="B6" s="22" t="s">
        <v>88</v>
      </c>
    </row>
    <row r="7" customFormat="false" ht="23.85" hidden="false" customHeight="false" outlineLevel="0" collapsed="false">
      <c r="A7" s="21" t="s">
        <v>89</v>
      </c>
      <c r="B7" s="22" t="s">
        <v>90</v>
      </c>
    </row>
    <row r="8" customFormat="false" ht="23.85" hidden="false" customHeight="false" outlineLevel="0" collapsed="false">
      <c r="A8" s="21" t="s">
        <v>91</v>
      </c>
      <c r="B8" s="22" t="s">
        <v>92</v>
      </c>
    </row>
    <row r="9" customFormat="false" ht="23.85" hidden="false" customHeight="false" outlineLevel="0" collapsed="false">
      <c r="A9" s="21" t="s">
        <v>93</v>
      </c>
      <c r="B9" s="22" t="s">
        <v>94</v>
      </c>
    </row>
    <row r="10" customFormat="false" ht="23.85" hidden="false" customHeight="false" outlineLevel="0" collapsed="false">
      <c r="A10" s="21" t="s">
        <v>95</v>
      </c>
      <c r="B10" s="22" t="s">
        <v>96</v>
      </c>
    </row>
    <row r="11" customFormat="false" ht="23.85" hidden="false" customHeight="false" outlineLevel="0" collapsed="false">
      <c r="A11" s="21" t="s">
        <v>97</v>
      </c>
      <c r="B11" s="22" t="s">
        <v>98</v>
      </c>
    </row>
    <row r="12" customFormat="false" ht="15" hidden="false" customHeight="false" outlineLevel="0" collapsed="false">
      <c r="A12" s="21" t="s">
        <v>99</v>
      </c>
      <c r="B12" s="22" t="s">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4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8" min="20" style="0" width="10"/>
    <col collapsed="false" customWidth="true" hidden="false" outlineLevel="0" max="29" min="29" style="0" width="18"/>
    <col collapsed="false" customWidth="true" hidden="false" outlineLevel="0" max="30" min="30" style="0" width="34"/>
    <col collapsed="false" customWidth="true" hidden="false" outlineLevel="0" max="50" min="31" style="0" width="10"/>
    <col collapsed="false" customWidth="true" hidden="false" outlineLevel="0" max="51" min="51" style="0" width="18"/>
    <col collapsed="false" customWidth="true" hidden="false" outlineLevel="0" max="52" min="52" style="0" width="22"/>
  </cols>
  <sheetData>
    <row r="1" customFormat="false" ht="42" hidden="false" customHeight="true" outlineLevel="0" collapsed="false">
      <c r="A1" s="14" t="s">
        <v>101</v>
      </c>
      <c r="B1" s="14" t="s">
        <v>102</v>
      </c>
      <c r="C1" s="14" t="s">
        <v>103</v>
      </c>
      <c r="D1" s="14" t="s">
        <v>104</v>
      </c>
      <c r="E1" s="14" t="s">
        <v>105</v>
      </c>
      <c r="F1" s="14" t="s">
        <v>106</v>
      </c>
      <c r="G1" s="14" t="s">
        <v>107</v>
      </c>
      <c r="H1" s="14" t="s">
        <v>108</v>
      </c>
      <c r="I1" s="14" t="s">
        <v>109</v>
      </c>
      <c r="J1" s="14" t="s">
        <v>110</v>
      </c>
      <c r="K1" s="14" t="s">
        <v>111</v>
      </c>
      <c r="L1" s="14" t="s">
        <v>112</v>
      </c>
      <c r="M1" s="14" t="s">
        <v>113</v>
      </c>
      <c r="N1" s="14" t="s">
        <v>114</v>
      </c>
      <c r="O1" s="14" t="s">
        <v>115</v>
      </c>
      <c r="P1" s="14" t="s">
        <v>116</v>
      </c>
      <c r="Q1" s="14" t="s">
        <v>117</v>
      </c>
      <c r="R1" s="14" t="s">
        <v>118</v>
      </c>
      <c r="S1" s="14" t="s">
        <v>119</v>
      </c>
      <c r="T1" s="14" t="s">
        <v>120</v>
      </c>
      <c r="U1" s="14" t="s">
        <v>121</v>
      </c>
      <c r="V1" s="14" t="s">
        <v>122</v>
      </c>
      <c r="W1" s="14" t="s">
        <v>123</v>
      </c>
      <c r="X1" s="14" t="s">
        <v>124</v>
      </c>
      <c r="Y1" s="14" t="s">
        <v>125</v>
      </c>
      <c r="Z1" s="14" t="s">
        <v>126</v>
      </c>
      <c r="AA1" s="14" t="s">
        <v>127</v>
      </c>
      <c r="AB1" s="14" t="s">
        <v>128</v>
      </c>
      <c r="AC1" s="14" t="s">
        <v>129</v>
      </c>
      <c r="AD1" s="14" t="s">
        <v>130</v>
      </c>
      <c r="AE1" s="14" t="s">
        <v>131</v>
      </c>
      <c r="AF1" s="14" t="s">
        <v>132</v>
      </c>
      <c r="AG1" s="23" t="s">
        <v>133</v>
      </c>
      <c r="AH1" s="23" t="s">
        <v>134</v>
      </c>
      <c r="AI1" s="23" t="s">
        <v>135</v>
      </c>
      <c r="AJ1" s="23" t="s">
        <v>136</v>
      </c>
      <c r="AK1" s="23" t="s">
        <v>137</v>
      </c>
      <c r="AL1" s="23" t="s">
        <v>138</v>
      </c>
      <c r="AM1" s="23" t="s">
        <v>139</v>
      </c>
      <c r="AN1" s="23" t="s">
        <v>140</v>
      </c>
      <c r="AO1" s="23" t="s">
        <v>141</v>
      </c>
      <c r="AP1" s="23" t="s">
        <v>142</v>
      </c>
      <c r="AQ1" s="23" t="s">
        <v>143</v>
      </c>
      <c r="AR1" s="23" t="s">
        <v>144</v>
      </c>
      <c r="AS1" s="23" t="s">
        <v>145</v>
      </c>
      <c r="AT1" s="23" t="s">
        <v>146</v>
      </c>
      <c r="AU1" s="23" t="s">
        <v>147</v>
      </c>
      <c r="AV1" s="23" t="s">
        <v>148</v>
      </c>
      <c r="AW1" s="23" t="s">
        <v>149</v>
      </c>
      <c r="AX1" s="23" t="s">
        <v>150</v>
      </c>
      <c r="AY1" s="23" t="s">
        <v>151</v>
      </c>
      <c r="AZ1" s="23" t="s">
        <v>152</v>
      </c>
    </row>
    <row r="2" customFormat="false" ht="15" hidden="false" customHeight="false" outlineLevel="0" collapsed="false">
      <c r="A2" s="15" t="s">
        <v>153</v>
      </c>
      <c r="B2" s="15" t="s">
        <v>10</v>
      </c>
      <c r="C2" s="15" t="s">
        <v>16</v>
      </c>
      <c r="D2" s="15" t="s">
        <v>50</v>
      </c>
      <c r="E2" s="15" t="s">
        <v>19</v>
      </c>
      <c r="F2" s="15" t="n">
        <v>1</v>
      </c>
      <c r="G2" s="15" t="s">
        <v>154</v>
      </c>
      <c r="H2" s="15" t="n">
        <v>129</v>
      </c>
      <c r="I2" s="15" t="s">
        <v>50</v>
      </c>
      <c r="J2" s="15" t="s">
        <v>155</v>
      </c>
      <c r="K2" s="15" t="s">
        <v>53</v>
      </c>
      <c r="L2" s="15" t="s">
        <v>156</v>
      </c>
      <c r="M2" s="15" t="s">
        <v>157</v>
      </c>
      <c r="N2" s="15" t="s">
        <v>158</v>
      </c>
      <c r="O2" s="15" t="s">
        <v>159</v>
      </c>
      <c r="P2" s="15" t="n">
        <v>2.208</v>
      </c>
      <c r="Q2" s="15" t="n">
        <v>2.208</v>
      </c>
      <c r="R2" s="15" t="n">
        <v>99</v>
      </c>
      <c r="S2" s="15" t="s">
        <v>160</v>
      </c>
      <c r="T2" s="15"/>
      <c r="U2" s="15"/>
      <c r="V2" s="15"/>
      <c r="W2" s="15"/>
      <c r="X2" s="15"/>
      <c r="Y2" s="15"/>
      <c r="Z2" s="15"/>
      <c r="AA2" s="15" t="n">
        <v>0</v>
      </c>
      <c r="AB2" s="15" t="n">
        <v>0</v>
      </c>
      <c r="AC2" s="15" t="s">
        <v>161</v>
      </c>
      <c r="AD2" s="15" t="s">
        <v>162</v>
      </c>
      <c r="AE2" s="15" t="s">
        <v>163</v>
      </c>
      <c r="AF2" s="15"/>
      <c r="AG2" s="24" t="n">
        <f aca="false">SUMIFS(Permissions!$G$2:$G$3000,Permissions!$B$2:$B$3000,$A2,Permissions!$I$2:$I$3000,"Complete",Permissions!$P$2:$P$3000,"Yes")</f>
        <v>0</v>
      </c>
      <c r="AH2" s="24" t="n">
        <f aca="false">SUMIFS(Permissions!$G$2:$G$3000,Permissions!$B$2:$B$3000,$A2,Permissions!$I$2:$I$3000,"Under construction",Permissions!$P$2:$P$3000,"Yes")</f>
        <v>0</v>
      </c>
      <c r="AI2" s="24" t="n">
        <f aca="false">SUMIFS(Permissions!$G$2:$G$3000,Permissions!$B$2:$B$3000,$A2,Permissions!$I$2:$I$3000,"Permitted – not started",Permissions!$P$2:$P$3000,"Yes")</f>
        <v>0</v>
      </c>
      <c r="AJ2" s="24" t="n">
        <f aca="false">SUMIFS(Permissions!$G$2:$G$3000,Permissions!$B$2:$B$3000,$A2,Permissions!$I$2:$I$3000,"Stalled",Permissions!$P$2:$P$3000,"Yes")</f>
        <v>0</v>
      </c>
      <c r="AK2" s="24" t="n">
        <f aca="false">AG2+AH2+AI2+AJ2</f>
        <v>0</v>
      </c>
      <c r="AL2" s="24" t="n">
        <f aca="false">SUMIFS(Permissions!$G$2:$G$3000,Permissions!$B$2:$B$3000,$A2,Permissions!$I$2:$I$3000,"Expired – not started",Permissions!$P$2:$P$3000,"Yes")</f>
        <v>0</v>
      </c>
      <c r="AM2" s="24" t="n">
        <f aca="false">SUMIFS(Permissions!$G$2:$G$3000,Permissions!$B$2:$B$3000,$A2,Permissions!$I$2:$I$3000,"In planning",Permissions!$P$2:$P$3000,"Yes")</f>
        <v>0</v>
      </c>
      <c r="AN2" s="24" t="n">
        <f aca="false">IF(R2="",0,MAX(R2-AK2,0))</f>
        <v>99</v>
      </c>
      <c r="AO2" s="25" t="n">
        <f aca="false">AK2+AN2</f>
        <v>99</v>
      </c>
      <c r="AP2" s="24" t="n">
        <f aca="false">AO2-AG2</f>
        <v>99</v>
      </c>
      <c r="AQ2" s="26" t="n">
        <f aca="false">SUMIFS(Permissions!$AH$2:$AH$3000,Permissions!$B$2:$B$3000,$A2,Permissions!$P$2:$P$3000,"Yes")</f>
        <v>0</v>
      </c>
      <c r="AR2" s="26" t="n">
        <f aca="false">SUMIFS(Permissions!$AI$2:$AI$3000,Permissions!$B$2:$B$3000,$A2,Permissions!$P$2:$P$3000,"Yes")</f>
        <v>0</v>
      </c>
      <c r="AS2" s="26" t="n">
        <f aca="false">SUMIFS(Permissions!$AJ$2:$AJ$3000,Permissions!$B$2:$B$3000,$A2,Permissions!$P$2:$P$3000,"Yes")</f>
        <v>0</v>
      </c>
      <c r="AT2" s="26" t="n">
        <f aca="false">SUMIFS(Permissions!$AK$2:$AK$3000,Permissions!$B$2:$B$3000,$A2,Permissions!$P$2:$P$3000,"Yes")</f>
        <v>0</v>
      </c>
      <c r="AU2" s="26" t="n">
        <f aca="false">SUMIFS(Permissions!$AL$2:$AL$3000,Permissions!$B$2:$B$3000,$A2,Permissions!$P$2:$P$3000,"Yes")</f>
        <v>0</v>
      </c>
      <c r="AV2" s="26" t="n">
        <f aca="false">SUMIFS(Permissions!$AM$2:$AM$3000,Permissions!$B$2:$B$3000,$A2,Permissions!$P$2:$P$3000,"Yes")</f>
        <v>0</v>
      </c>
      <c r="AW2" s="24" t="n">
        <f aca="false">COUNTIFS(Permissions!$B$2:$B$3000,$A2,Permissions!$P$2:$P$3000,"Yes")</f>
        <v>0</v>
      </c>
      <c r="AX2" s="24" t="n">
        <f aca="false">SUMIFS(Permissions!$L$2:$L$3000,Permissions!$B$2:$B$3000,$A2,Permissions!$P$2:$P$3000,"Yes")</f>
        <v>0</v>
      </c>
      <c r="AY2" s="27" t="str">
        <f aca="false">IF(AND(AK2&gt;0,AG2&gt;=AK2,AN2=0),"Built out",IF(AG2&gt;0,"Partly built",IF(AK2&gt;0,"Consented – not built","No consent")))</f>
        <v>No consent</v>
      </c>
      <c r="AZ2" s="28" t="str">
        <f aca="false">IF(AND(R2&lt;&gt;"",AK2&gt;1.1*R2),"Consented above capacity",IF(AND(LEFT(B2,8)="Planning",AW2=0),"Consent parcel with no permission",IF(COUNTIF($A$2:$A$3000,$A2)&gt;1,"Duplicate parcel_id","")))</f>
        <v/>
      </c>
    </row>
    <row r="3" customFormat="false" ht="15" hidden="false" customHeight="false" outlineLevel="0" collapsed="false">
      <c r="A3" s="15" t="s">
        <v>164</v>
      </c>
      <c r="B3" s="15" t="s">
        <v>10</v>
      </c>
      <c r="C3" s="15" t="s">
        <v>16</v>
      </c>
      <c r="D3" s="15" t="s">
        <v>50</v>
      </c>
      <c r="E3" s="15" t="s">
        <v>19</v>
      </c>
      <c r="F3" s="15" t="n">
        <v>1</v>
      </c>
      <c r="G3" s="15" t="s">
        <v>154</v>
      </c>
      <c r="H3" s="15" t="n">
        <v>130</v>
      </c>
      <c r="I3" s="15" t="s">
        <v>50</v>
      </c>
      <c r="J3" s="15" t="s">
        <v>155</v>
      </c>
      <c r="K3" s="15" t="s">
        <v>53</v>
      </c>
      <c r="L3" s="15" t="s">
        <v>156</v>
      </c>
      <c r="M3" s="15" t="s">
        <v>165</v>
      </c>
      <c r="N3" s="15" t="s">
        <v>166</v>
      </c>
      <c r="O3" s="15" t="s">
        <v>159</v>
      </c>
      <c r="P3" s="15" t="n">
        <v>0.144</v>
      </c>
      <c r="Q3" s="15" t="n">
        <v>0.144</v>
      </c>
      <c r="R3" s="15" t="n">
        <v>6</v>
      </c>
      <c r="S3" s="15" t="s">
        <v>160</v>
      </c>
      <c r="T3" s="15"/>
      <c r="U3" s="15"/>
      <c r="V3" s="15"/>
      <c r="W3" s="15"/>
      <c r="X3" s="15"/>
      <c r="Y3" s="15"/>
      <c r="Z3" s="15"/>
      <c r="AA3" s="15" t="n">
        <v>0</v>
      </c>
      <c r="AB3" s="15" t="n">
        <v>0</v>
      </c>
      <c r="AC3" s="15" t="s">
        <v>161</v>
      </c>
      <c r="AD3" s="15" t="s">
        <v>162</v>
      </c>
      <c r="AE3" s="15" t="s">
        <v>163</v>
      </c>
      <c r="AF3" s="15"/>
      <c r="AG3" s="24" t="n">
        <f aca="false">SUMIFS(Permissions!$G$2:$G$3000,Permissions!$B$2:$B$3000,$A3,Permissions!$I$2:$I$3000,"Complete",Permissions!$P$2:$P$3000,"Yes")</f>
        <v>0</v>
      </c>
      <c r="AH3" s="24" t="n">
        <f aca="false">SUMIFS(Permissions!$G$2:$G$3000,Permissions!$B$2:$B$3000,$A3,Permissions!$I$2:$I$3000,"Under construction",Permissions!$P$2:$P$3000,"Yes")</f>
        <v>0</v>
      </c>
      <c r="AI3" s="24" t="n">
        <f aca="false">SUMIFS(Permissions!$G$2:$G$3000,Permissions!$B$2:$B$3000,$A3,Permissions!$I$2:$I$3000,"Permitted – not started",Permissions!$P$2:$P$3000,"Yes")</f>
        <v>0</v>
      </c>
      <c r="AJ3" s="24" t="n">
        <f aca="false">SUMIFS(Permissions!$G$2:$G$3000,Permissions!$B$2:$B$3000,$A3,Permissions!$I$2:$I$3000,"Stalled",Permissions!$P$2:$P$3000,"Yes")</f>
        <v>0</v>
      </c>
      <c r="AK3" s="24" t="n">
        <f aca="false">AG3+AH3+AI3+AJ3</f>
        <v>0</v>
      </c>
      <c r="AL3" s="24" t="n">
        <f aca="false">SUMIFS(Permissions!$G$2:$G$3000,Permissions!$B$2:$B$3000,$A3,Permissions!$I$2:$I$3000,"Expired – not started",Permissions!$P$2:$P$3000,"Yes")</f>
        <v>0</v>
      </c>
      <c r="AM3" s="24" t="n">
        <f aca="false">SUMIFS(Permissions!$G$2:$G$3000,Permissions!$B$2:$B$3000,$A3,Permissions!$I$2:$I$3000,"In planning",Permissions!$P$2:$P$3000,"Yes")</f>
        <v>0</v>
      </c>
      <c r="AN3" s="24" t="n">
        <f aca="false">IF(R3="",0,MAX(R3-AK3,0))</f>
        <v>6</v>
      </c>
      <c r="AO3" s="25" t="n">
        <f aca="false">AK3+AN3</f>
        <v>6</v>
      </c>
      <c r="AP3" s="24" t="n">
        <f aca="false">AO3-AG3</f>
        <v>6</v>
      </c>
      <c r="AQ3" s="26" t="n">
        <f aca="false">SUMIFS(Permissions!$AH$2:$AH$3000,Permissions!$B$2:$B$3000,$A3,Permissions!$P$2:$P$3000,"Yes")</f>
        <v>0</v>
      </c>
      <c r="AR3" s="26" t="n">
        <f aca="false">SUMIFS(Permissions!$AI$2:$AI$3000,Permissions!$B$2:$B$3000,$A3,Permissions!$P$2:$P$3000,"Yes")</f>
        <v>0</v>
      </c>
      <c r="AS3" s="26" t="n">
        <f aca="false">SUMIFS(Permissions!$AJ$2:$AJ$3000,Permissions!$B$2:$B$3000,$A3,Permissions!$P$2:$P$3000,"Yes")</f>
        <v>0</v>
      </c>
      <c r="AT3" s="26" t="n">
        <f aca="false">SUMIFS(Permissions!$AK$2:$AK$3000,Permissions!$B$2:$B$3000,$A3,Permissions!$P$2:$P$3000,"Yes")</f>
        <v>0</v>
      </c>
      <c r="AU3" s="26" t="n">
        <f aca="false">SUMIFS(Permissions!$AL$2:$AL$3000,Permissions!$B$2:$B$3000,$A3,Permissions!$P$2:$P$3000,"Yes")</f>
        <v>0</v>
      </c>
      <c r="AV3" s="26" t="n">
        <f aca="false">SUMIFS(Permissions!$AM$2:$AM$3000,Permissions!$B$2:$B$3000,$A3,Permissions!$P$2:$P$3000,"Yes")</f>
        <v>0</v>
      </c>
      <c r="AW3" s="24" t="n">
        <f aca="false">COUNTIFS(Permissions!$B$2:$B$3000,$A3,Permissions!$P$2:$P$3000,"Yes")</f>
        <v>0</v>
      </c>
      <c r="AX3" s="24" t="n">
        <f aca="false">SUMIFS(Permissions!$L$2:$L$3000,Permissions!$B$2:$B$3000,$A3,Permissions!$P$2:$P$3000,"Yes")</f>
        <v>0</v>
      </c>
      <c r="AY3" s="27" t="str">
        <f aca="false">IF(AND(AK3&gt;0,AG3&gt;=AK3,AN3=0),"Built out",IF(AG3&gt;0,"Partly built",IF(AK3&gt;0,"Consented – not built","No consent")))</f>
        <v>No consent</v>
      </c>
      <c r="AZ3" s="28" t="str">
        <f aca="false">IF(AND(R3&lt;&gt;"",AK3&gt;1.1*R3),"Consented above capacity",IF(AND(LEFT(B3,8)="Planning",AW3=0),"Consent parcel with no permission",IF(COUNTIF($A$2:$A$3000,$A3)&gt;1,"Duplicate parcel_id","")))</f>
        <v/>
      </c>
    </row>
    <row r="4" customFormat="false" ht="15" hidden="false" customHeight="false" outlineLevel="0" collapsed="false">
      <c r="A4" s="15" t="s">
        <v>167</v>
      </c>
      <c r="B4" s="15" t="s">
        <v>10</v>
      </c>
      <c r="C4" s="15" t="s">
        <v>16</v>
      </c>
      <c r="D4" s="15" t="s">
        <v>50</v>
      </c>
      <c r="E4" s="15" t="s">
        <v>19</v>
      </c>
      <c r="F4" s="15" t="n">
        <v>1</v>
      </c>
      <c r="G4" s="15" t="s">
        <v>154</v>
      </c>
      <c r="H4" s="15" t="n">
        <v>131</v>
      </c>
      <c r="I4" s="15" t="s">
        <v>50</v>
      </c>
      <c r="J4" s="15" t="s">
        <v>155</v>
      </c>
      <c r="K4" s="15" t="s">
        <v>53</v>
      </c>
      <c r="L4" s="15" t="s">
        <v>156</v>
      </c>
      <c r="M4" s="15" t="s">
        <v>157</v>
      </c>
      <c r="N4" s="15" t="s">
        <v>166</v>
      </c>
      <c r="O4" s="15" t="s">
        <v>159</v>
      </c>
      <c r="P4" s="15" t="n">
        <v>0.252</v>
      </c>
      <c r="Q4" s="15" t="n">
        <v>0.252</v>
      </c>
      <c r="R4" s="15" t="n">
        <v>11</v>
      </c>
      <c r="S4" s="15" t="s">
        <v>160</v>
      </c>
      <c r="T4" s="15"/>
      <c r="U4" s="15"/>
      <c r="V4" s="15"/>
      <c r="W4" s="15"/>
      <c r="X4" s="15"/>
      <c r="Y4" s="15"/>
      <c r="Z4" s="15"/>
      <c r="AA4" s="15" t="n">
        <v>0</v>
      </c>
      <c r="AB4" s="15" t="n">
        <v>0</v>
      </c>
      <c r="AC4" s="15" t="s">
        <v>161</v>
      </c>
      <c r="AD4" s="15" t="s">
        <v>162</v>
      </c>
      <c r="AE4" s="15" t="s">
        <v>163</v>
      </c>
      <c r="AF4" s="15"/>
      <c r="AG4" s="24" t="n">
        <f aca="false">SUMIFS(Permissions!$G$2:$G$3000,Permissions!$B$2:$B$3000,$A4,Permissions!$I$2:$I$3000,"Complete",Permissions!$P$2:$P$3000,"Yes")</f>
        <v>0</v>
      </c>
      <c r="AH4" s="24" t="n">
        <f aca="false">SUMIFS(Permissions!$G$2:$G$3000,Permissions!$B$2:$B$3000,$A4,Permissions!$I$2:$I$3000,"Under construction",Permissions!$P$2:$P$3000,"Yes")</f>
        <v>0</v>
      </c>
      <c r="AI4" s="24" t="n">
        <f aca="false">SUMIFS(Permissions!$G$2:$G$3000,Permissions!$B$2:$B$3000,$A4,Permissions!$I$2:$I$3000,"Permitted – not started",Permissions!$P$2:$P$3000,"Yes")</f>
        <v>0</v>
      </c>
      <c r="AJ4" s="24" t="n">
        <f aca="false">SUMIFS(Permissions!$G$2:$G$3000,Permissions!$B$2:$B$3000,$A4,Permissions!$I$2:$I$3000,"Stalled",Permissions!$P$2:$P$3000,"Yes")</f>
        <v>0</v>
      </c>
      <c r="AK4" s="24" t="n">
        <f aca="false">AG4+AH4+AI4+AJ4</f>
        <v>0</v>
      </c>
      <c r="AL4" s="24" t="n">
        <f aca="false">SUMIFS(Permissions!$G$2:$G$3000,Permissions!$B$2:$B$3000,$A4,Permissions!$I$2:$I$3000,"Expired – not started",Permissions!$P$2:$P$3000,"Yes")</f>
        <v>0</v>
      </c>
      <c r="AM4" s="24" t="n">
        <f aca="false">SUMIFS(Permissions!$G$2:$G$3000,Permissions!$B$2:$B$3000,$A4,Permissions!$I$2:$I$3000,"In planning",Permissions!$P$2:$P$3000,"Yes")</f>
        <v>0</v>
      </c>
      <c r="AN4" s="24" t="n">
        <f aca="false">IF(R4="",0,MAX(R4-AK4,0))</f>
        <v>11</v>
      </c>
      <c r="AO4" s="25" t="n">
        <f aca="false">AK4+AN4</f>
        <v>11</v>
      </c>
      <c r="AP4" s="24" t="n">
        <f aca="false">AO4-AG4</f>
        <v>11</v>
      </c>
      <c r="AQ4" s="26" t="n">
        <f aca="false">SUMIFS(Permissions!$AH$2:$AH$3000,Permissions!$B$2:$B$3000,$A4,Permissions!$P$2:$P$3000,"Yes")</f>
        <v>0</v>
      </c>
      <c r="AR4" s="26" t="n">
        <f aca="false">SUMIFS(Permissions!$AI$2:$AI$3000,Permissions!$B$2:$B$3000,$A4,Permissions!$P$2:$P$3000,"Yes")</f>
        <v>0</v>
      </c>
      <c r="AS4" s="26" t="n">
        <f aca="false">SUMIFS(Permissions!$AJ$2:$AJ$3000,Permissions!$B$2:$B$3000,$A4,Permissions!$P$2:$P$3000,"Yes")</f>
        <v>0</v>
      </c>
      <c r="AT4" s="26" t="n">
        <f aca="false">SUMIFS(Permissions!$AK$2:$AK$3000,Permissions!$B$2:$B$3000,$A4,Permissions!$P$2:$P$3000,"Yes")</f>
        <v>0</v>
      </c>
      <c r="AU4" s="26" t="n">
        <f aca="false">SUMIFS(Permissions!$AL$2:$AL$3000,Permissions!$B$2:$B$3000,$A4,Permissions!$P$2:$P$3000,"Yes")</f>
        <v>0</v>
      </c>
      <c r="AV4" s="26" t="n">
        <f aca="false">SUMIFS(Permissions!$AM$2:$AM$3000,Permissions!$B$2:$B$3000,$A4,Permissions!$P$2:$P$3000,"Yes")</f>
        <v>0</v>
      </c>
      <c r="AW4" s="24" t="n">
        <f aca="false">COUNTIFS(Permissions!$B$2:$B$3000,$A4,Permissions!$P$2:$P$3000,"Yes")</f>
        <v>0</v>
      </c>
      <c r="AX4" s="24" t="n">
        <f aca="false">SUMIFS(Permissions!$L$2:$L$3000,Permissions!$B$2:$B$3000,$A4,Permissions!$P$2:$P$3000,"Yes")</f>
        <v>0</v>
      </c>
      <c r="AY4" s="27" t="str">
        <f aca="false">IF(AND(AK4&gt;0,AG4&gt;=AK4,AN4=0),"Built out",IF(AG4&gt;0,"Partly built",IF(AK4&gt;0,"Consented – not built","No consent")))</f>
        <v>No consent</v>
      </c>
      <c r="AZ4" s="28" t="str">
        <f aca="false">IF(AND(R4&lt;&gt;"",AK4&gt;1.1*R4),"Consented above capacity",IF(AND(LEFT(B4,8)="Planning",AW4=0),"Consent parcel with no permission",IF(COUNTIF($A$2:$A$3000,$A4)&gt;1,"Duplicate parcel_id","")))</f>
        <v/>
      </c>
    </row>
    <row r="5" customFormat="false" ht="15" hidden="false" customHeight="false" outlineLevel="0" collapsed="false">
      <c r="A5" s="15" t="s">
        <v>168</v>
      </c>
      <c r="B5" s="15" t="s">
        <v>10</v>
      </c>
      <c r="C5" s="15" t="s">
        <v>16</v>
      </c>
      <c r="D5" s="15" t="s">
        <v>50</v>
      </c>
      <c r="E5" s="15" t="s">
        <v>19</v>
      </c>
      <c r="F5" s="15" t="n">
        <v>1</v>
      </c>
      <c r="G5" s="15" t="s">
        <v>154</v>
      </c>
      <c r="H5" s="15" t="n">
        <v>132</v>
      </c>
      <c r="I5" s="15" t="s">
        <v>50</v>
      </c>
      <c r="J5" s="15" t="s">
        <v>155</v>
      </c>
      <c r="K5" s="15" t="s">
        <v>169</v>
      </c>
      <c r="L5" s="15" t="s">
        <v>170</v>
      </c>
      <c r="M5" s="15" t="s">
        <v>165</v>
      </c>
      <c r="N5" s="15" t="s">
        <v>158</v>
      </c>
      <c r="O5" s="15" t="s">
        <v>159</v>
      </c>
      <c r="P5" s="15" t="n">
        <v>0.706</v>
      </c>
      <c r="Q5" s="15" t="n">
        <v>0.706</v>
      </c>
      <c r="R5" s="15" t="n">
        <v>32</v>
      </c>
      <c r="S5" s="15" t="s">
        <v>160</v>
      </c>
      <c r="T5" s="15"/>
      <c r="U5" s="15"/>
      <c r="V5" s="15"/>
      <c r="W5" s="15"/>
      <c r="X5" s="15"/>
      <c r="Y5" s="15"/>
      <c r="Z5" s="15"/>
      <c r="AA5" s="15" t="n">
        <v>0</v>
      </c>
      <c r="AB5" s="15" t="n">
        <v>0</v>
      </c>
      <c r="AC5" s="15" t="s">
        <v>161</v>
      </c>
      <c r="AD5" s="15" t="s">
        <v>162</v>
      </c>
      <c r="AE5" s="15" t="s">
        <v>163</v>
      </c>
      <c r="AF5" s="15"/>
      <c r="AG5" s="24" t="n">
        <f aca="false">SUMIFS(Permissions!$G$2:$G$3000,Permissions!$B$2:$B$3000,$A5,Permissions!$I$2:$I$3000,"Complete",Permissions!$P$2:$P$3000,"Yes")</f>
        <v>0</v>
      </c>
      <c r="AH5" s="24" t="n">
        <f aca="false">SUMIFS(Permissions!$G$2:$G$3000,Permissions!$B$2:$B$3000,$A5,Permissions!$I$2:$I$3000,"Under construction",Permissions!$P$2:$P$3000,"Yes")</f>
        <v>0</v>
      </c>
      <c r="AI5" s="24" t="n">
        <f aca="false">SUMIFS(Permissions!$G$2:$G$3000,Permissions!$B$2:$B$3000,$A5,Permissions!$I$2:$I$3000,"Permitted – not started",Permissions!$P$2:$P$3000,"Yes")</f>
        <v>0</v>
      </c>
      <c r="AJ5" s="24" t="n">
        <f aca="false">SUMIFS(Permissions!$G$2:$G$3000,Permissions!$B$2:$B$3000,$A5,Permissions!$I$2:$I$3000,"Stalled",Permissions!$P$2:$P$3000,"Yes")</f>
        <v>0</v>
      </c>
      <c r="AK5" s="24" t="n">
        <f aca="false">AG5+AH5+AI5+AJ5</f>
        <v>0</v>
      </c>
      <c r="AL5" s="24" t="n">
        <f aca="false">SUMIFS(Permissions!$G$2:$G$3000,Permissions!$B$2:$B$3000,$A5,Permissions!$I$2:$I$3000,"Expired – not started",Permissions!$P$2:$P$3000,"Yes")</f>
        <v>0</v>
      </c>
      <c r="AM5" s="24" t="n">
        <f aca="false">SUMIFS(Permissions!$G$2:$G$3000,Permissions!$B$2:$B$3000,$A5,Permissions!$I$2:$I$3000,"In planning",Permissions!$P$2:$P$3000,"Yes")</f>
        <v>0</v>
      </c>
      <c r="AN5" s="24" t="n">
        <f aca="false">IF(R5="",0,MAX(R5-AK5,0))</f>
        <v>32</v>
      </c>
      <c r="AO5" s="25" t="n">
        <f aca="false">AK5+AN5</f>
        <v>32</v>
      </c>
      <c r="AP5" s="24" t="n">
        <f aca="false">AO5-AG5</f>
        <v>32</v>
      </c>
      <c r="AQ5" s="26" t="n">
        <f aca="false">SUMIFS(Permissions!$AH$2:$AH$3000,Permissions!$B$2:$B$3000,$A5,Permissions!$P$2:$P$3000,"Yes")</f>
        <v>0</v>
      </c>
      <c r="AR5" s="26" t="n">
        <f aca="false">SUMIFS(Permissions!$AI$2:$AI$3000,Permissions!$B$2:$B$3000,$A5,Permissions!$P$2:$P$3000,"Yes")</f>
        <v>0</v>
      </c>
      <c r="AS5" s="26" t="n">
        <f aca="false">SUMIFS(Permissions!$AJ$2:$AJ$3000,Permissions!$B$2:$B$3000,$A5,Permissions!$P$2:$P$3000,"Yes")</f>
        <v>0</v>
      </c>
      <c r="AT5" s="26" t="n">
        <f aca="false">SUMIFS(Permissions!$AK$2:$AK$3000,Permissions!$B$2:$B$3000,$A5,Permissions!$P$2:$P$3000,"Yes")</f>
        <v>0</v>
      </c>
      <c r="AU5" s="26" t="n">
        <f aca="false">SUMIFS(Permissions!$AL$2:$AL$3000,Permissions!$B$2:$B$3000,$A5,Permissions!$P$2:$P$3000,"Yes")</f>
        <v>0</v>
      </c>
      <c r="AV5" s="26" t="n">
        <f aca="false">SUMIFS(Permissions!$AM$2:$AM$3000,Permissions!$B$2:$B$3000,$A5,Permissions!$P$2:$P$3000,"Yes")</f>
        <v>0</v>
      </c>
      <c r="AW5" s="24" t="n">
        <f aca="false">COUNTIFS(Permissions!$B$2:$B$3000,$A5,Permissions!$P$2:$P$3000,"Yes")</f>
        <v>0</v>
      </c>
      <c r="AX5" s="24" t="n">
        <f aca="false">SUMIFS(Permissions!$L$2:$L$3000,Permissions!$B$2:$B$3000,$A5,Permissions!$P$2:$P$3000,"Yes")</f>
        <v>0</v>
      </c>
      <c r="AY5" s="27" t="str">
        <f aca="false">IF(AND(AK5&gt;0,AG5&gt;=AK5,AN5=0),"Built out",IF(AG5&gt;0,"Partly built",IF(AK5&gt;0,"Consented – not built","No consent")))</f>
        <v>No consent</v>
      </c>
      <c r="AZ5" s="28" t="str">
        <f aca="false">IF(AND(R5&lt;&gt;"",AK5&gt;1.1*R5),"Consented above capacity",IF(AND(LEFT(B5,8)="Planning",AW5=0),"Consent parcel with no permission",IF(COUNTIF($A$2:$A$3000,$A5)&gt;1,"Duplicate parcel_id","")))</f>
        <v/>
      </c>
    </row>
    <row r="6" customFormat="false" ht="15" hidden="false" customHeight="false" outlineLevel="0" collapsed="false">
      <c r="A6" s="15" t="s">
        <v>171</v>
      </c>
      <c r="B6" s="15" t="s">
        <v>10</v>
      </c>
      <c r="C6" s="15" t="s">
        <v>16</v>
      </c>
      <c r="D6" s="15" t="s">
        <v>50</v>
      </c>
      <c r="E6" s="15" t="s">
        <v>19</v>
      </c>
      <c r="F6" s="15" t="n">
        <v>1</v>
      </c>
      <c r="G6" s="15" t="s">
        <v>154</v>
      </c>
      <c r="H6" s="15" t="n">
        <v>133</v>
      </c>
      <c r="I6" s="15" t="s">
        <v>50</v>
      </c>
      <c r="J6" s="15" t="s">
        <v>155</v>
      </c>
      <c r="K6" s="15" t="s">
        <v>169</v>
      </c>
      <c r="L6" s="15" t="s">
        <v>170</v>
      </c>
      <c r="M6" s="15" t="s">
        <v>157</v>
      </c>
      <c r="N6" s="15" t="s">
        <v>166</v>
      </c>
      <c r="O6" s="15" t="s">
        <v>172</v>
      </c>
      <c r="P6" s="15" t="n">
        <v>1.22</v>
      </c>
      <c r="Q6" s="15" t="n">
        <v>9.479</v>
      </c>
      <c r="R6" s="15" t="n">
        <v>55</v>
      </c>
      <c r="S6" s="15" t="s">
        <v>160</v>
      </c>
      <c r="T6" s="15"/>
      <c r="U6" s="15"/>
      <c r="V6" s="15"/>
      <c r="W6" s="15"/>
      <c r="X6" s="15"/>
      <c r="Y6" s="15"/>
      <c r="Z6" s="15"/>
      <c r="AA6" s="15" t="n">
        <v>310</v>
      </c>
      <c r="AB6" s="15" t="n">
        <v>310</v>
      </c>
      <c r="AC6" s="15" t="s">
        <v>173</v>
      </c>
      <c r="AD6" s="15" t="s">
        <v>174</v>
      </c>
      <c r="AE6" s="15" t="s">
        <v>163</v>
      </c>
      <c r="AF6" s="15"/>
      <c r="AG6" s="24" t="n">
        <f aca="false">SUMIFS(Permissions!$G$2:$G$3000,Permissions!$B$2:$B$3000,$A6,Permissions!$I$2:$I$3000,"Complete",Permissions!$P$2:$P$3000,"Yes")</f>
        <v>0</v>
      </c>
      <c r="AH6" s="24" t="n">
        <f aca="false">SUMIFS(Permissions!$G$2:$G$3000,Permissions!$B$2:$B$3000,$A6,Permissions!$I$2:$I$3000,"Under construction",Permissions!$P$2:$P$3000,"Yes")</f>
        <v>371</v>
      </c>
      <c r="AI6" s="24" t="n">
        <f aca="false">SUMIFS(Permissions!$G$2:$G$3000,Permissions!$B$2:$B$3000,$A6,Permissions!$I$2:$I$3000,"Permitted – not started",Permissions!$P$2:$P$3000,"Yes")</f>
        <v>0</v>
      </c>
      <c r="AJ6" s="24" t="n">
        <f aca="false">SUMIFS(Permissions!$G$2:$G$3000,Permissions!$B$2:$B$3000,$A6,Permissions!$I$2:$I$3000,"Stalled",Permissions!$P$2:$P$3000,"Yes")</f>
        <v>0</v>
      </c>
      <c r="AK6" s="24" t="n">
        <f aca="false">AG6+AH6+AI6+AJ6</f>
        <v>371</v>
      </c>
      <c r="AL6" s="24" t="n">
        <f aca="false">SUMIFS(Permissions!$G$2:$G$3000,Permissions!$B$2:$B$3000,$A6,Permissions!$I$2:$I$3000,"Expired – not started",Permissions!$P$2:$P$3000,"Yes")</f>
        <v>0</v>
      </c>
      <c r="AM6" s="24" t="n">
        <f aca="false">SUMIFS(Permissions!$G$2:$G$3000,Permissions!$B$2:$B$3000,$A6,Permissions!$I$2:$I$3000,"In planning",Permissions!$P$2:$P$3000,"Yes")</f>
        <v>0</v>
      </c>
      <c r="AN6" s="24" t="n">
        <f aca="false">IF(R6="",0,MAX(R6-AK6,0))</f>
        <v>0</v>
      </c>
      <c r="AO6" s="25" t="n">
        <f aca="false">AK6+AN6</f>
        <v>371</v>
      </c>
      <c r="AP6" s="24" t="n">
        <f aca="false">AO6-AG6</f>
        <v>371</v>
      </c>
      <c r="AQ6" s="26" t="n">
        <f aca="false">SUMIFS(Permissions!$AH$2:$AH$3000,Permissions!$B$2:$B$3000,$A6,Permissions!$P$2:$P$3000,"Yes")</f>
        <v>20.6</v>
      </c>
      <c r="AR6" s="26" t="n">
        <f aca="false">SUMIFS(Permissions!$AI$2:$AI$3000,Permissions!$B$2:$B$3000,$A6,Permissions!$P$2:$P$3000,"Yes")</f>
        <v>88.5</v>
      </c>
      <c r="AS6" s="26" t="n">
        <f aca="false">SUMIFS(Permissions!$AJ$2:$AJ$3000,Permissions!$B$2:$B$3000,$A6,Permissions!$P$2:$P$3000,"Yes")</f>
        <v>88.5</v>
      </c>
      <c r="AT6" s="26" t="n">
        <f aca="false">SUMIFS(Permissions!$AK$2:$AK$3000,Permissions!$B$2:$B$3000,$A6,Permissions!$P$2:$P$3000,"Yes")</f>
        <v>88.5</v>
      </c>
      <c r="AU6" s="26" t="n">
        <f aca="false">SUMIFS(Permissions!$AL$2:$AL$3000,Permissions!$B$2:$B$3000,$A6,Permissions!$P$2:$P$3000,"Yes")</f>
        <v>84.9</v>
      </c>
      <c r="AV6" s="26" t="n">
        <f aca="false">SUMIFS(Permissions!$AM$2:$AM$3000,Permissions!$B$2:$B$3000,$A6,Permissions!$P$2:$P$3000,"Yes")</f>
        <v>0</v>
      </c>
      <c r="AW6" s="24" t="n">
        <f aca="false">COUNTIFS(Permissions!$B$2:$B$3000,$A6,Permissions!$P$2:$P$3000,"Yes")</f>
        <v>1</v>
      </c>
      <c r="AX6" s="24" t="n">
        <f aca="false">SUMIFS(Permissions!$L$2:$L$3000,Permissions!$B$2:$B$3000,$A6,Permissions!$P$2:$P$3000,"Yes")</f>
        <v>121</v>
      </c>
      <c r="AY6" s="27" t="str">
        <f aca="false">IF(AND(AK6&gt;0,AG6&gt;=AK6,AN6=0),"Built out",IF(AG6&gt;0,"Partly built",IF(AK6&gt;0,"Consented – not built","No consent")))</f>
        <v>Consented – not built</v>
      </c>
      <c r="AZ6" s="28" t="str">
        <f aca="false">IF(AND(R6&lt;&gt;"",AK6&gt;1.1*R6),"Consented above capacity",IF(AND(LEFT(B6,8)="Planning",AW6=0),"Consent parcel with no permission",IF(COUNTIF($A$2:$A$3000,$A6)&gt;1,"Duplicate parcel_id","")))</f>
        <v>Consented above capacity</v>
      </c>
    </row>
    <row r="7" customFormat="false" ht="15" hidden="false" customHeight="false" outlineLevel="0" collapsed="false">
      <c r="A7" s="15" t="s">
        <v>175</v>
      </c>
      <c r="B7" s="15" t="s">
        <v>10</v>
      </c>
      <c r="C7" s="15" t="s">
        <v>16</v>
      </c>
      <c r="D7" s="15" t="s">
        <v>51</v>
      </c>
      <c r="E7" s="15" t="s">
        <v>19</v>
      </c>
      <c r="F7" s="15" t="n">
        <v>1</v>
      </c>
      <c r="G7" s="15" t="s">
        <v>154</v>
      </c>
      <c r="H7" s="15" t="n">
        <v>1</v>
      </c>
      <c r="I7" s="15" t="s">
        <v>51</v>
      </c>
      <c r="J7" s="15" t="s">
        <v>176</v>
      </c>
      <c r="K7" s="15" t="s">
        <v>177</v>
      </c>
      <c r="L7" s="15" t="s">
        <v>170</v>
      </c>
      <c r="M7" s="15" t="s">
        <v>157</v>
      </c>
      <c r="N7" s="15" t="s">
        <v>178</v>
      </c>
      <c r="O7" s="15" t="s">
        <v>179</v>
      </c>
      <c r="P7" s="15" t="n">
        <v>2.408</v>
      </c>
      <c r="Q7" s="15" t="n">
        <v>2.4</v>
      </c>
      <c r="R7" s="15" t="n">
        <v>165</v>
      </c>
      <c r="S7" s="15" t="s">
        <v>160</v>
      </c>
      <c r="T7" s="15"/>
      <c r="U7" s="15"/>
      <c r="V7" s="15"/>
      <c r="W7" s="15"/>
      <c r="X7" s="15"/>
      <c r="Y7" s="15"/>
      <c r="Z7" s="15"/>
      <c r="AA7" s="15" t="n">
        <v>0</v>
      </c>
      <c r="AB7" s="15" t="n">
        <v>0</v>
      </c>
      <c r="AC7" s="15" t="s">
        <v>180</v>
      </c>
      <c r="AD7" s="15" t="s">
        <v>162</v>
      </c>
      <c r="AE7" s="15" t="s">
        <v>163</v>
      </c>
      <c r="AF7" s="15"/>
      <c r="AG7" s="24" t="n">
        <f aca="false">SUMIFS(Permissions!$G$2:$G$3000,Permissions!$B$2:$B$3000,$A7,Permissions!$I$2:$I$3000,"Complete",Permissions!$P$2:$P$3000,"Yes")</f>
        <v>0</v>
      </c>
      <c r="AH7" s="24" t="n">
        <f aca="false">SUMIFS(Permissions!$G$2:$G$3000,Permissions!$B$2:$B$3000,$A7,Permissions!$I$2:$I$3000,"Under construction",Permissions!$P$2:$P$3000,"Yes")</f>
        <v>0</v>
      </c>
      <c r="AI7" s="24" t="n">
        <f aca="false">SUMIFS(Permissions!$G$2:$G$3000,Permissions!$B$2:$B$3000,$A7,Permissions!$I$2:$I$3000,"Permitted – not started",Permissions!$P$2:$P$3000,"Yes")</f>
        <v>165</v>
      </c>
      <c r="AJ7" s="24" t="n">
        <f aca="false">SUMIFS(Permissions!$G$2:$G$3000,Permissions!$B$2:$B$3000,$A7,Permissions!$I$2:$I$3000,"Stalled",Permissions!$P$2:$P$3000,"Yes")</f>
        <v>0</v>
      </c>
      <c r="AK7" s="24" t="n">
        <f aca="false">AG7+AH7+AI7+AJ7</f>
        <v>165</v>
      </c>
      <c r="AL7" s="24" t="n">
        <f aca="false">SUMIFS(Permissions!$G$2:$G$3000,Permissions!$B$2:$B$3000,$A7,Permissions!$I$2:$I$3000,"Expired – not started",Permissions!$P$2:$P$3000,"Yes")</f>
        <v>0</v>
      </c>
      <c r="AM7" s="24" t="n">
        <f aca="false">SUMIFS(Permissions!$G$2:$G$3000,Permissions!$B$2:$B$3000,$A7,Permissions!$I$2:$I$3000,"In planning",Permissions!$P$2:$P$3000,"Yes")</f>
        <v>0</v>
      </c>
      <c r="AN7" s="24" t="n">
        <f aca="false">IF(R7="",0,MAX(R7-AK7,0))</f>
        <v>0</v>
      </c>
      <c r="AO7" s="25" t="n">
        <f aca="false">AK7+AN7</f>
        <v>165</v>
      </c>
      <c r="AP7" s="24" t="n">
        <f aca="false">AO7-AG7</f>
        <v>165</v>
      </c>
      <c r="AQ7" s="26" t="n">
        <f aca="false">SUMIFS(Permissions!$AH$2:$AH$3000,Permissions!$B$2:$B$3000,$A7,Permissions!$P$2:$P$3000,"Yes")</f>
        <v>0</v>
      </c>
      <c r="AR7" s="26" t="n">
        <f aca="false">SUMIFS(Permissions!$AI$2:$AI$3000,Permissions!$B$2:$B$3000,$A7,Permissions!$P$2:$P$3000,"Yes")</f>
        <v>0</v>
      </c>
      <c r="AS7" s="26" t="n">
        <f aca="false">SUMIFS(Permissions!$AJ$2:$AJ$3000,Permissions!$B$2:$B$3000,$A7,Permissions!$P$2:$P$3000,"Yes")</f>
        <v>34.9</v>
      </c>
      <c r="AT7" s="26" t="n">
        <f aca="false">SUMIFS(Permissions!$AK$2:$AK$3000,Permissions!$B$2:$B$3000,$A7,Permissions!$P$2:$P$3000,"Yes")</f>
        <v>72.3</v>
      </c>
      <c r="AU7" s="26" t="n">
        <f aca="false">SUMIFS(Permissions!$AL$2:$AL$3000,Permissions!$B$2:$B$3000,$A7,Permissions!$P$2:$P$3000,"Yes")</f>
        <v>57.8</v>
      </c>
      <c r="AV7" s="26" t="n">
        <f aca="false">SUMIFS(Permissions!$AM$2:$AM$3000,Permissions!$B$2:$B$3000,$A7,Permissions!$P$2:$P$3000,"Yes")</f>
        <v>0</v>
      </c>
      <c r="AW7" s="24" t="n">
        <f aca="false">COUNTIFS(Permissions!$B$2:$B$3000,$A7,Permissions!$P$2:$P$3000,"Yes")</f>
        <v>1</v>
      </c>
      <c r="AX7" s="24" t="n">
        <f aca="false">SUMIFS(Permissions!$L$2:$L$3000,Permissions!$B$2:$B$3000,$A7,Permissions!$P$2:$P$3000,"Yes")</f>
        <v>0</v>
      </c>
      <c r="AY7" s="27" t="str">
        <f aca="false">IF(AND(AK7&gt;0,AG7&gt;=AK7,AN7=0),"Built out",IF(AG7&gt;0,"Partly built",IF(AK7&gt;0,"Consented – not built","No consent")))</f>
        <v>Consented – not built</v>
      </c>
      <c r="AZ7" s="28" t="str">
        <f aca="false">IF(AND(R7&lt;&gt;"",AK7&gt;1.1*R7),"Consented above capacity",IF(AND(LEFT(B7,8)="Planning",AW7=0),"Consent parcel with no permission",IF(COUNTIF($A$2:$A$3000,$A7)&gt;1,"Duplicate parcel_id","")))</f>
        <v/>
      </c>
    </row>
    <row r="8" customFormat="false" ht="15" hidden="false" customHeight="false" outlineLevel="0" collapsed="false">
      <c r="A8" s="15" t="s">
        <v>181</v>
      </c>
      <c r="B8" s="15" t="s">
        <v>10</v>
      </c>
      <c r="C8" s="15" t="s">
        <v>16</v>
      </c>
      <c r="D8" s="15" t="s">
        <v>51</v>
      </c>
      <c r="E8" s="15" t="s">
        <v>19</v>
      </c>
      <c r="F8" s="15" t="n">
        <v>1</v>
      </c>
      <c r="G8" s="15" t="s">
        <v>154</v>
      </c>
      <c r="H8" s="15" t="n">
        <v>10</v>
      </c>
      <c r="I8" s="15" t="s">
        <v>51</v>
      </c>
      <c r="J8" s="15" t="s">
        <v>176</v>
      </c>
      <c r="K8" s="15" t="s">
        <v>177</v>
      </c>
      <c r="L8" s="15" t="s">
        <v>156</v>
      </c>
      <c r="M8" s="15" t="s">
        <v>165</v>
      </c>
      <c r="N8" s="15" t="s">
        <v>166</v>
      </c>
      <c r="O8" s="15" t="s">
        <v>159</v>
      </c>
      <c r="P8" s="15" t="n">
        <v>1.991</v>
      </c>
      <c r="Q8" s="15" t="n">
        <v>1.991</v>
      </c>
      <c r="R8" s="15" t="n">
        <v>90</v>
      </c>
      <c r="S8" s="15" t="s">
        <v>160</v>
      </c>
      <c r="T8" s="15"/>
      <c r="U8" s="15"/>
      <c r="V8" s="15"/>
      <c r="W8" s="15"/>
      <c r="X8" s="15"/>
      <c r="Y8" s="15"/>
      <c r="Z8" s="15"/>
      <c r="AA8" s="15" t="n">
        <v>0</v>
      </c>
      <c r="AB8" s="15" t="n">
        <v>0</v>
      </c>
      <c r="AC8" s="15" t="s">
        <v>161</v>
      </c>
      <c r="AD8" s="15" t="s">
        <v>162</v>
      </c>
      <c r="AE8" s="15" t="s">
        <v>163</v>
      </c>
      <c r="AF8" s="15"/>
      <c r="AG8" s="24" t="n">
        <f aca="false">SUMIFS(Permissions!$G$2:$G$3000,Permissions!$B$2:$B$3000,$A8,Permissions!$I$2:$I$3000,"Complete",Permissions!$P$2:$P$3000,"Yes")</f>
        <v>0</v>
      </c>
      <c r="AH8" s="24" t="n">
        <f aca="false">SUMIFS(Permissions!$G$2:$G$3000,Permissions!$B$2:$B$3000,$A8,Permissions!$I$2:$I$3000,"Under construction",Permissions!$P$2:$P$3000,"Yes")</f>
        <v>0</v>
      </c>
      <c r="AI8" s="24" t="n">
        <f aca="false">SUMIFS(Permissions!$G$2:$G$3000,Permissions!$B$2:$B$3000,$A8,Permissions!$I$2:$I$3000,"Permitted – not started",Permissions!$P$2:$P$3000,"Yes")</f>
        <v>0</v>
      </c>
      <c r="AJ8" s="24" t="n">
        <f aca="false">SUMIFS(Permissions!$G$2:$G$3000,Permissions!$B$2:$B$3000,$A8,Permissions!$I$2:$I$3000,"Stalled",Permissions!$P$2:$P$3000,"Yes")</f>
        <v>0</v>
      </c>
      <c r="AK8" s="24" t="n">
        <f aca="false">AG8+AH8+AI8+AJ8</f>
        <v>0</v>
      </c>
      <c r="AL8" s="24" t="n">
        <f aca="false">SUMIFS(Permissions!$G$2:$G$3000,Permissions!$B$2:$B$3000,$A8,Permissions!$I$2:$I$3000,"Expired – not started",Permissions!$P$2:$P$3000,"Yes")</f>
        <v>0</v>
      </c>
      <c r="AM8" s="24" t="n">
        <f aca="false">SUMIFS(Permissions!$G$2:$G$3000,Permissions!$B$2:$B$3000,$A8,Permissions!$I$2:$I$3000,"In planning",Permissions!$P$2:$P$3000,"Yes")</f>
        <v>0</v>
      </c>
      <c r="AN8" s="24" t="n">
        <f aca="false">IF(R8="",0,MAX(R8-AK8,0))</f>
        <v>90</v>
      </c>
      <c r="AO8" s="25" t="n">
        <f aca="false">AK8+AN8</f>
        <v>90</v>
      </c>
      <c r="AP8" s="24" t="n">
        <f aca="false">AO8-AG8</f>
        <v>90</v>
      </c>
      <c r="AQ8" s="26" t="n">
        <f aca="false">SUMIFS(Permissions!$AH$2:$AH$3000,Permissions!$B$2:$B$3000,$A8,Permissions!$P$2:$P$3000,"Yes")</f>
        <v>0</v>
      </c>
      <c r="AR8" s="26" t="n">
        <f aca="false">SUMIFS(Permissions!$AI$2:$AI$3000,Permissions!$B$2:$B$3000,$A8,Permissions!$P$2:$P$3000,"Yes")</f>
        <v>0</v>
      </c>
      <c r="AS8" s="26" t="n">
        <f aca="false">SUMIFS(Permissions!$AJ$2:$AJ$3000,Permissions!$B$2:$B$3000,$A8,Permissions!$P$2:$P$3000,"Yes")</f>
        <v>0</v>
      </c>
      <c r="AT8" s="26" t="n">
        <f aca="false">SUMIFS(Permissions!$AK$2:$AK$3000,Permissions!$B$2:$B$3000,$A8,Permissions!$P$2:$P$3000,"Yes")</f>
        <v>0</v>
      </c>
      <c r="AU8" s="26" t="n">
        <f aca="false">SUMIFS(Permissions!$AL$2:$AL$3000,Permissions!$B$2:$B$3000,$A8,Permissions!$P$2:$P$3000,"Yes")</f>
        <v>0</v>
      </c>
      <c r="AV8" s="26" t="n">
        <f aca="false">SUMIFS(Permissions!$AM$2:$AM$3000,Permissions!$B$2:$B$3000,$A8,Permissions!$P$2:$P$3000,"Yes")</f>
        <v>0</v>
      </c>
      <c r="AW8" s="24" t="n">
        <f aca="false">COUNTIFS(Permissions!$B$2:$B$3000,$A8,Permissions!$P$2:$P$3000,"Yes")</f>
        <v>0</v>
      </c>
      <c r="AX8" s="24" t="n">
        <f aca="false">SUMIFS(Permissions!$L$2:$L$3000,Permissions!$B$2:$B$3000,$A8,Permissions!$P$2:$P$3000,"Yes")</f>
        <v>0</v>
      </c>
      <c r="AY8" s="27" t="str">
        <f aca="false">IF(AND(AK8&gt;0,AG8&gt;=AK8,AN8=0),"Built out",IF(AG8&gt;0,"Partly built",IF(AK8&gt;0,"Consented – not built","No consent")))</f>
        <v>No consent</v>
      </c>
      <c r="AZ8" s="28" t="str">
        <f aca="false">IF(AND(R8&lt;&gt;"",AK8&gt;1.1*R8),"Consented above capacity",IF(AND(LEFT(B8,8)="Planning",AW8=0),"Consent parcel with no permission",IF(COUNTIF($A$2:$A$3000,$A8)&gt;1,"Duplicate parcel_id","")))</f>
        <v/>
      </c>
    </row>
    <row r="9" customFormat="false" ht="15" hidden="false" customHeight="false" outlineLevel="0" collapsed="false">
      <c r="A9" s="15" t="s">
        <v>182</v>
      </c>
      <c r="B9" s="15" t="s">
        <v>10</v>
      </c>
      <c r="C9" s="15" t="s">
        <v>16</v>
      </c>
      <c r="D9" s="15" t="s">
        <v>51</v>
      </c>
      <c r="E9" s="15" t="s">
        <v>19</v>
      </c>
      <c r="F9" s="15" t="n">
        <v>1</v>
      </c>
      <c r="G9" s="15" t="s">
        <v>154</v>
      </c>
      <c r="H9" s="15" t="n">
        <v>12</v>
      </c>
      <c r="I9" s="15" t="s">
        <v>51</v>
      </c>
      <c r="J9" s="15" t="s">
        <v>176</v>
      </c>
      <c r="K9" s="15" t="s">
        <v>177</v>
      </c>
      <c r="L9" s="15" t="s">
        <v>183</v>
      </c>
      <c r="M9" s="15" t="s">
        <v>184</v>
      </c>
      <c r="N9" s="15" t="s">
        <v>178</v>
      </c>
      <c r="O9" s="15" t="s">
        <v>185</v>
      </c>
      <c r="P9" s="15" t="n">
        <v>9.431</v>
      </c>
      <c r="Q9" s="15" t="n">
        <v>9.427</v>
      </c>
      <c r="R9" s="15" t="n">
        <v>73</v>
      </c>
      <c r="S9" s="15" t="s">
        <v>160</v>
      </c>
      <c r="T9" s="15"/>
      <c r="U9" s="15"/>
      <c r="V9" s="15"/>
      <c r="W9" s="15"/>
      <c r="X9" s="15"/>
      <c r="Y9" s="15"/>
      <c r="Z9" s="15"/>
      <c r="AA9" s="15" t="n">
        <v>0</v>
      </c>
      <c r="AB9" s="15" t="n">
        <v>0</v>
      </c>
      <c r="AC9" s="15" t="s">
        <v>180</v>
      </c>
      <c r="AD9" s="15" t="s">
        <v>186</v>
      </c>
      <c r="AE9" s="15" t="s">
        <v>163</v>
      </c>
      <c r="AF9" s="15"/>
      <c r="AG9" s="24" t="n">
        <f aca="false">SUMIFS(Permissions!$G$2:$G$3000,Permissions!$B$2:$B$3000,$A9,Permissions!$I$2:$I$3000,"Complete",Permissions!$P$2:$P$3000,"Yes")</f>
        <v>0</v>
      </c>
      <c r="AH9" s="24" t="n">
        <f aca="false">SUMIFS(Permissions!$G$2:$G$3000,Permissions!$B$2:$B$3000,$A9,Permissions!$I$2:$I$3000,"Under construction",Permissions!$P$2:$P$3000,"Yes")</f>
        <v>115</v>
      </c>
      <c r="AI9" s="24" t="n">
        <f aca="false">SUMIFS(Permissions!$G$2:$G$3000,Permissions!$B$2:$B$3000,$A9,Permissions!$I$2:$I$3000,"Permitted – not started",Permissions!$P$2:$P$3000,"Yes")</f>
        <v>0</v>
      </c>
      <c r="AJ9" s="24" t="n">
        <f aca="false">SUMIFS(Permissions!$G$2:$G$3000,Permissions!$B$2:$B$3000,$A9,Permissions!$I$2:$I$3000,"Stalled",Permissions!$P$2:$P$3000,"Yes")</f>
        <v>0</v>
      </c>
      <c r="AK9" s="24" t="n">
        <f aca="false">AG9+AH9+AI9+AJ9</f>
        <v>115</v>
      </c>
      <c r="AL9" s="24" t="n">
        <f aca="false">SUMIFS(Permissions!$G$2:$G$3000,Permissions!$B$2:$B$3000,$A9,Permissions!$I$2:$I$3000,"Expired – not started",Permissions!$P$2:$P$3000,"Yes")</f>
        <v>0</v>
      </c>
      <c r="AM9" s="24" t="n">
        <f aca="false">SUMIFS(Permissions!$G$2:$G$3000,Permissions!$B$2:$B$3000,$A9,Permissions!$I$2:$I$3000,"In planning",Permissions!$P$2:$P$3000,"Yes")</f>
        <v>0</v>
      </c>
      <c r="AN9" s="24" t="n">
        <f aca="false">IF(R9="",0,MAX(R9-AK9,0))</f>
        <v>0</v>
      </c>
      <c r="AO9" s="25" t="n">
        <f aca="false">AK9+AN9</f>
        <v>115</v>
      </c>
      <c r="AP9" s="24" t="n">
        <f aca="false">AO9-AG9</f>
        <v>115</v>
      </c>
      <c r="AQ9" s="26" t="n">
        <f aca="false">SUMIFS(Permissions!$AH$2:$AH$3000,Permissions!$B$2:$B$3000,$A9,Permissions!$P$2:$P$3000,"Yes")</f>
        <v>0</v>
      </c>
      <c r="AR9" s="26" t="n">
        <f aca="false">SUMIFS(Permissions!$AI$2:$AI$3000,Permissions!$B$2:$B$3000,$A9,Permissions!$P$2:$P$3000,"Yes")</f>
        <v>51.6</v>
      </c>
      <c r="AS9" s="26" t="n">
        <f aca="false">SUMIFS(Permissions!$AJ$2:$AJ$3000,Permissions!$B$2:$B$3000,$A9,Permissions!$P$2:$P$3000,"Yes")</f>
        <v>63.4</v>
      </c>
      <c r="AT9" s="26" t="n">
        <f aca="false">SUMIFS(Permissions!$AK$2:$AK$3000,Permissions!$B$2:$B$3000,$A9,Permissions!$P$2:$P$3000,"Yes")</f>
        <v>0</v>
      </c>
      <c r="AU9" s="26" t="n">
        <f aca="false">SUMIFS(Permissions!$AL$2:$AL$3000,Permissions!$B$2:$B$3000,$A9,Permissions!$P$2:$P$3000,"Yes")</f>
        <v>0</v>
      </c>
      <c r="AV9" s="26" t="n">
        <f aca="false">SUMIFS(Permissions!$AM$2:$AM$3000,Permissions!$B$2:$B$3000,$A9,Permissions!$P$2:$P$3000,"Yes")</f>
        <v>0</v>
      </c>
      <c r="AW9" s="24" t="n">
        <f aca="false">COUNTIFS(Permissions!$B$2:$B$3000,$A9,Permissions!$P$2:$P$3000,"Yes")</f>
        <v>1</v>
      </c>
      <c r="AX9" s="24" t="n">
        <f aca="false">SUMIFS(Permissions!$L$2:$L$3000,Permissions!$B$2:$B$3000,$A9,Permissions!$P$2:$P$3000,"Yes")</f>
        <v>0</v>
      </c>
      <c r="AY9" s="27" t="str">
        <f aca="false">IF(AND(AK9&gt;0,AG9&gt;=AK9,AN9=0),"Built out",IF(AG9&gt;0,"Partly built",IF(AK9&gt;0,"Consented – not built","No consent")))</f>
        <v>Consented – not built</v>
      </c>
      <c r="AZ9" s="28" t="str">
        <f aca="false">IF(AND(R9&lt;&gt;"",AK9&gt;1.1*R9),"Consented above capacity",IF(AND(LEFT(B9,8)="Planning",AW9=0),"Consent parcel with no permission",IF(COUNTIF($A$2:$A$3000,$A9)&gt;1,"Duplicate parcel_id","")))</f>
        <v>Consented above capacity</v>
      </c>
    </row>
    <row r="10" customFormat="false" ht="15" hidden="false" customHeight="false" outlineLevel="0" collapsed="false">
      <c r="A10" s="15" t="s">
        <v>187</v>
      </c>
      <c r="B10" s="15" t="s">
        <v>10</v>
      </c>
      <c r="C10" s="15" t="s">
        <v>16</v>
      </c>
      <c r="D10" s="15" t="s">
        <v>51</v>
      </c>
      <c r="E10" s="15" t="s">
        <v>19</v>
      </c>
      <c r="F10" s="15" t="n">
        <v>1</v>
      </c>
      <c r="G10" s="15" t="s">
        <v>154</v>
      </c>
      <c r="H10" s="15" t="n">
        <v>13</v>
      </c>
      <c r="I10" s="15" t="s">
        <v>51</v>
      </c>
      <c r="J10" s="15" t="s">
        <v>176</v>
      </c>
      <c r="K10" s="15" t="s">
        <v>177</v>
      </c>
      <c r="L10" s="15" t="s">
        <v>156</v>
      </c>
      <c r="M10" s="15" t="s">
        <v>165</v>
      </c>
      <c r="N10" s="15" t="s">
        <v>166</v>
      </c>
      <c r="O10" s="15" t="s">
        <v>159</v>
      </c>
      <c r="P10" s="15" t="n">
        <v>0.899</v>
      </c>
      <c r="Q10" s="15" t="n">
        <v>0.899</v>
      </c>
      <c r="R10" s="15" t="n">
        <v>40</v>
      </c>
      <c r="S10" s="15" t="s">
        <v>160</v>
      </c>
      <c r="T10" s="15"/>
      <c r="U10" s="15"/>
      <c r="V10" s="15"/>
      <c r="W10" s="15"/>
      <c r="X10" s="15"/>
      <c r="Y10" s="15"/>
      <c r="Z10" s="15"/>
      <c r="AA10" s="15" t="n">
        <v>0</v>
      </c>
      <c r="AB10" s="15" t="n">
        <v>0</v>
      </c>
      <c r="AC10" s="15" t="s">
        <v>161</v>
      </c>
      <c r="AD10" s="15" t="s">
        <v>162</v>
      </c>
      <c r="AE10" s="15" t="s">
        <v>163</v>
      </c>
      <c r="AF10" s="15"/>
      <c r="AG10" s="24" t="n">
        <f aca="false">SUMIFS(Permissions!$G$2:$G$3000,Permissions!$B$2:$B$3000,$A10,Permissions!$I$2:$I$3000,"Complete",Permissions!$P$2:$P$3000,"Yes")</f>
        <v>0</v>
      </c>
      <c r="AH10" s="24" t="n">
        <f aca="false">SUMIFS(Permissions!$G$2:$G$3000,Permissions!$B$2:$B$3000,$A10,Permissions!$I$2:$I$3000,"Under construction",Permissions!$P$2:$P$3000,"Yes")</f>
        <v>0</v>
      </c>
      <c r="AI10" s="24" t="n">
        <f aca="false">SUMIFS(Permissions!$G$2:$G$3000,Permissions!$B$2:$B$3000,$A10,Permissions!$I$2:$I$3000,"Permitted – not started",Permissions!$P$2:$P$3000,"Yes")</f>
        <v>0</v>
      </c>
      <c r="AJ10" s="24" t="n">
        <f aca="false">SUMIFS(Permissions!$G$2:$G$3000,Permissions!$B$2:$B$3000,$A10,Permissions!$I$2:$I$3000,"Stalled",Permissions!$P$2:$P$3000,"Yes")</f>
        <v>0</v>
      </c>
      <c r="AK10" s="24" t="n">
        <f aca="false">AG10+AH10+AI10+AJ10</f>
        <v>0</v>
      </c>
      <c r="AL10" s="24" t="n">
        <f aca="false">SUMIFS(Permissions!$G$2:$G$3000,Permissions!$B$2:$B$3000,$A10,Permissions!$I$2:$I$3000,"Expired – not started",Permissions!$P$2:$P$3000,"Yes")</f>
        <v>0</v>
      </c>
      <c r="AM10" s="24" t="n">
        <f aca="false">SUMIFS(Permissions!$G$2:$G$3000,Permissions!$B$2:$B$3000,$A10,Permissions!$I$2:$I$3000,"In planning",Permissions!$P$2:$P$3000,"Yes")</f>
        <v>0</v>
      </c>
      <c r="AN10" s="24" t="n">
        <f aca="false">IF(R10="",0,MAX(R10-AK10,0))</f>
        <v>40</v>
      </c>
      <c r="AO10" s="25" t="n">
        <f aca="false">AK10+AN10</f>
        <v>40</v>
      </c>
      <c r="AP10" s="24" t="n">
        <f aca="false">AO10-AG10</f>
        <v>40</v>
      </c>
      <c r="AQ10" s="26" t="n">
        <f aca="false">SUMIFS(Permissions!$AH$2:$AH$3000,Permissions!$B$2:$B$3000,$A10,Permissions!$P$2:$P$3000,"Yes")</f>
        <v>0</v>
      </c>
      <c r="AR10" s="26" t="n">
        <f aca="false">SUMIFS(Permissions!$AI$2:$AI$3000,Permissions!$B$2:$B$3000,$A10,Permissions!$P$2:$P$3000,"Yes")</f>
        <v>0</v>
      </c>
      <c r="AS10" s="26" t="n">
        <f aca="false">SUMIFS(Permissions!$AJ$2:$AJ$3000,Permissions!$B$2:$B$3000,$A10,Permissions!$P$2:$P$3000,"Yes")</f>
        <v>0</v>
      </c>
      <c r="AT10" s="26" t="n">
        <f aca="false">SUMIFS(Permissions!$AK$2:$AK$3000,Permissions!$B$2:$B$3000,$A10,Permissions!$P$2:$P$3000,"Yes")</f>
        <v>0</v>
      </c>
      <c r="AU10" s="26" t="n">
        <f aca="false">SUMIFS(Permissions!$AL$2:$AL$3000,Permissions!$B$2:$B$3000,$A10,Permissions!$P$2:$P$3000,"Yes")</f>
        <v>0</v>
      </c>
      <c r="AV10" s="26" t="n">
        <f aca="false">SUMIFS(Permissions!$AM$2:$AM$3000,Permissions!$B$2:$B$3000,$A10,Permissions!$P$2:$P$3000,"Yes")</f>
        <v>0</v>
      </c>
      <c r="AW10" s="24" t="n">
        <f aca="false">COUNTIFS(Permissions!$B$2:$B$3000,$A10,Permissions!$P$2:$P$3000,"Yes")</f>
        <v>0</v>
      </c>
      <c r="AX10" s="24" t="n">
        <f aca="false">SUMIFS(Permissions!$L$2:$L$3000,Permissions!$B$2:$B$3000,$A10,Permissions!$P$2:$P$3000,"Yes")</f>
        <v>0</v>
      </c>
      <c r="AY10" s="27" t="str">
        <f aca="false">IF(AND(AK10&gt;0,AG10&gt;=AK10,AN10=0),"Built out",IF(AG10&gt;0,"Partly built",IF(AK10&gt;0,"Consented – not built","No consent")))</f>
        <v>No consent</v>
      </c>
      <c r="AZ10" s="28" t="str">
        <f aca="false">IF(AND(R10&lt;&gt;"",AK10&gt;1.1*R10),"Consented above capacity",IF(AND(LEFT(B10,8)="Planning",AW10=0),"Consent parcel with no permission",IF(COUNTIF($A$2:$A$3000,$A10)&gt;1,"Duplicate parcel_id","")))</f>
        <v/>
      </c>
    </row>
    <row r="11" customFormat="false" ht="15" hidden="false" customHeight="false" outlineLevel="0" collapsed="false">
      <c r="A11" s="15" t="s">
        <v>188</v>
      </c>
      <c r="B11" s="15" t="s">
        <v>10</v>
      </c>
      <c r="C11" s="15" t="s">
        <v>16</v>
      </c>
      <c r="D11" s="15" t="s">
        <v>51</v>
      </c>
      <c r="E11" s="15" t="s">
        <v>19</v>
      </c>
      <c r="F11" s="15" t="n">
        <v>1</v>
      </c>
      <c r="G11" s="15" t="s">
        <v>154</v>
      </c>
      <c r="H11" s="15" t="n">
        <v>14</v>
      </c>
      <c r="I11" s="15" t="s">
        <v>51</v>
      </c>
      <c r="J11" s="15" t="s">
        <v>176</v>
      </c>
      <c r="K11" s="15" t="s">
        <v>177</v>
      </c>
      <c r="L11" s="15" t="s">
        <v>156</v>
      </c>
      <c r="M11" s="15" t="s">
        <v>165</v>
      </c>
      <c r="N11" s="15" t="s">
        <v>166</v>
      </c>
      <c r="O11" s="15" t="s">
        <v>159</v>
      </c>
      <c r="P11" s="15" t="n">
        <v>0.654</v>
      </c>
      <c r="Q11" s="15" t="n">
        <v>2.014</v>
      </c>
      <c r="R11" s="15" t="n">
        <v>30</v>
      </c>
      <c r="S11" s="15" t="s">
        <v>160</v>
      </c>
      <c r="T11" s="15"/>
      <c r="U11" s="15"/>
      <c r="V11" s="15"/>
      <c r="W11" s="15"/>
      <c r="X11" s="15"/>
      <c r="Y11" s="15"/>
      <c r="Z11" s="15"/>
      <c r="AA11" s="15" t="n">
        <v>18</v>
      </c>
      <c r="AB11" s="15" t="n">
        <v>18</v>
      </c>
      <c r="AC11" s="15" t="s">
        <v>173</v>
      </c>
      <c r="AD11" s="15" t="s">
        <v>174</v>
      </c>
      <c r="AE11" s="15" t="s">
        <v>163</v>
      </c>
      <c r="AF11" s="15"/>
      <c r="AG11" s="24" t="n">
        <f aca="false">SUMIFS(Permissions!$G$2:$G$3000,Permissions!$B$2:$B$3000,$A11,Permissions!$I$2:$I$3000,"Complete",Permissions!$P$2:$P$3000,"Yes")</f>
        <v>0</v>
      </c>
      <c r="AH11" s="24" t="n">
        <f aca="false">SUMIFS(Permissions!$G$2:$G$3000,Permissions!$B$2:$B$3000,$A11,Permissions!$I$2:$I$3000,"Under construction",Permissions!$P$2:$P$3000,"Yes")</f>
        <v>0</v>
      </c>
      <c r="AI11" s="24" t="n">
        <f aca="false">SUMIFS(Permissions!$G$2:$G$3000,Permissions!$B$2:$B$3000,$A11,Permissions!$I$2:$I$3000,"Permitted – not started",Permissions!$P$2:$P$3000,"Yes")</f>
        <v>0</v>
      </c>
      <c r="AJ11" s="24" t="n">
        <f aca="false">SUMIFS(Permissions!$G$2:$G$3000,Permissions!$B$2:$B$3000,$A11,Permissions!$I$2:$I$3000,"Stalled",Permissions!$P$2:$P$3000,"Yes")</f>
        <v>0</v>
      </c>
      <c r="AK11" s="24" t="n">
        <f aca="false">AG11+AH11+AI11+AJ11</f>
        <v>0</v>
      </c>
      <c r="AL11" s="24" t="n">
        <f aca="false">SUMIFS(Permissions!$G$2:$G$3000,Permissions!$B$2:$B$3000,$A11,Permissions!$I$2:$I$3000,"Expired – not started",Permissions!$P$2:$P$3000,"Yes")</f>
        <v>0</v>
      </c>
      <c r="AM11" s="24" t="n">
        <f aca="false">SUMIFS(Permissions!$G$2:$G$3000,Permissions!$B$2:$B$3000,$A11,Permissions!$I$2:$I$3000,"In planning",Permissions!$P$2:$P$3000,"Yes")</f>
        <v>0</v>
      </c>
      <c r="AN11" s="24" t="n">
        <f aca="false">IF(R11="",0,MAX(R11-AK11,0))</f>
        <v>30</v>
      </c>
      <c r="AO11" s="25" t="n">
        <f aca="false">AK11+AN11</f>
        <v>30</v>
      </c>
      <c r="AP11" s="24" t="n">
        <f aca="false">AO11-AG11</f>
        <v>30</v>
      </c>
      <c r="AQ11" s="26" t="n">
        <f aca="false">SUMIFS(Permissions!$AH$2:$AH$3000,Permissions!$B$2:$B$3000,$A11,Permissions!$P$2:$P$3000,"Yes")</f>
        <v>0</v>
      </c>
      <c r="AR11" s="26" t="n">
        <f aca="false">SUMIFS(Permissions!$AI$2:$AI$3000,Permissions!$B$2:$B$3000,$A11,Permissions!$P$2:$P$3000,"Yes")</f>
        <v>0</v>
      </c>
      <c r="AS11" s="26" t="n">
        <f aca="false">SUMIFS(Permissions!$AJ$2:$AJ$3000,Permissions!$B$2:$B$3000,$A11,Permissions!$P$2:$P$3000,"Yes")</f>
        <v>0</v>
      </c>
      <c r="AT11" s="26" t="n">
        <f aca="false">SUMIFS(Permissions!$AK$2:$AK$3000,Permissions!$B$2:$B$3000,$A11,Permissions!$P$2:$P$3000,"Yes")</f>
        <v>0</v>
      </c>
      <c r="AU11" s="26" t="n">
        <f aca="false">SUMIFS(Permissions!$AL$2:$AL$3000,Permissions!$B$2:$B$3000,$A11,Permissions!$P$2:$P$3000,"Yes")</f>
        <v>0</v>
      </c>
      <c r="AV11" s="26" t="n">
        <f aca="false">SUMIFS(Permissions!$AM$2:$AM$3000,Permissions!$B$2:$B$3000,$A11,Permissions!$P$2:$P$3000,"Yes")</f>
        <v>0</v>
      </c>
      <c r="AW11" s="24" t="n">
        <f aca="false">COUNTIFS(Permissions!$B$2:$B$3000,$A11,Permissions!$P$2:$P$3000,"Yes")</f>
        <v>0</v>
      </c>
      <c r="AX11" s="24" t="n">
        <f aca="false">SUMIFS(Permissions!$L$2:$L$3000,Permissions!$B$2:$B$3000,$A11,Permissions!$P$2:$P$3000,"Yes")</f>
        <v>0</v>
      </c>
      <c r="AY11" s="27" t="str">
        <f aca="false">IF(AND(AK11&gt;0,AG11&gt;=AK11,AN11=0),"Built out",IF(AG11&gt;0,"Partly built",IF(AK11&gt;0,"Consented – not built","No consent")))</f>
        <v>No consent</v>
      </c>
      <c r="AZ11" s="28" t="str">
        <f aca="false">IF(AND(R11&lt;&gt;"",AK11&gt;1.1*R11),"Consented above capacity",IF(AND(LEFT(B11,8)="Planning",AW11=0),"Consent parcel with no permission",IF(COUNTIF($A$2:$A$3000,$A11)&gt;1,"Duplicate parcel_id","")))</f>
        <v/>
      </c>
    </row>
    <row r="12" customFormat="false" ht="15" hidden="false" customHeight="false" outlineLevel="0" collapsed="false">
      <c r="A12" s="15" t="s">
        <v>189</v>
      </c>
      <c r="B12" s="15" t="s">
        <v>10</v>
      </c>
      <c r="C12" s="15" t="s">
        <v>16</v>
      </c>
      <c r="D12" s="15" t="s">
        <v>51</v>
      </c>
      <c r="E12" s="15" t="s">
        <v>19</v>
      </c>
      <c r="F12" s="15" t="n">
        <v>1</v>
      </c>
      <c r="G12" s="15" t="s">
        <v>154</v>
      </c>
      <c r="H12" s="15" t="n">
        <v>15</v>
      </c>
      <c r="I12" s="15" t="s">
        <v>51</v>
      </c>
      <c r="J12" s="15" t="s">
        <v>176</v>
      </c>
      <c r="K12" s="15" t="s">
        <v>177</v>
      </c>
      <c r="L12" s="15" t="s">
        <v>156</v>
      </c>
      <c r="M12" s="15" t="s">
        <v>157</v>
      </c>
      <c r="N12" s="15" t="s">
        <v>166</v>
      </c>
      <c r="O12" s="15" t="s">
        <v>159</v>
      </c>
      <c r="P12" s="15" t="n">
        <v>3.003</v>
      </c>
      <c r="Q12" s="15" t="n">
        <v>3.003</v>
      </c>
      <c r="R12" s="15" t="n">
        <v>135</v>
      </c>
      <c r="S12" s="15" t="s">
        <v>160</v>
      </c>
      <c r="T12" s="15"/>
      <c r="U12" s="15"/>
      <c r="V12" s="15"/>
      <c r="W12" s="15"/>
      <c r="X12" s="15"/>
      <c r="Y12" s="15"/>
      <c r="Z12" s="15"/>
      <c r="AA12" s="15" t="n">
        <v>4</v>
      </c>
      <c r="AB12" s="15" t="n">
        <v>4</v>
      </c>
      <c r="AC12" s="15" t="s">
        <v>161</v>
      </c>
      <c r="AD12" s="15" t="s">
        <v>162</v>
      </c>
      <c r="AE12" s="15" t="s">
        <v>163</v>
      </c>
      <c r="AF12" s="15"/>
      <c r="AG12" s="24" t="n">
        <f aca="false">SUMIFS(Permissions!$G$2:$G$3000,Permissions!$B$2:$B$3000,$A12,Permissions!$I$2:$I$3000,"Complete",Permissions!$P$2:$P$3000,"Yes")</f>
        <v>0</v>
      </c>
      <c r="AH12" s="24" t="n">
        <f aca="false">SUMIFS(Permissions!$G$2:$G$3000,Permissions!$B$2:$B$3000,$A12,Permissions!$I$2:$I$3000,"Under construction",Permissions!$P$2:$P$3000,"Yes")</f>
        <v>0</v>
      </c>
      <c r="AI12" s="24" t="n">
        <f aca="false">SUMIFS(Permissions!$G$2:$G$3000,Permissions!$B$2:$B$3000,$A12,Permissions!$I$2:$I$3000,"Permitted – not started",Permissions!$P$2:$P$3000,"Yes")</f>
        <v>0</v>
      </c>
      <c r="AJ12" s="24" t="n">
        <f aca="false">SUMIFS(Permissions!$G$2:$G$3000,Permissions!$B$2:$B$3000,$A12,Permissions!$I$2:$I$3000,"Stalled",Permissions!$P$2:$P$3000,"Yes")</f>
        <v>0</v>
      </c>
      <c r="AK12" s="24" t="n">
        <f aca="false">AG12+AH12+AI12+AJ12</f>
        <v>0</v>
      </c>
      <c r="AL12" s="24" t="n">
        <f aca="false">SUMIFS(Permissions!$G$2:$G$3000,Permissions!$B$2:$B$3000,$A12,Permissions!$I$2:$I$3000,"Expired – not started",Permissions!$P$2:$P$3000,"Yes")</f>
        <v>0</v>
      </c>
      <c r="AM12" s="24" t="n">
        <f aca="false">SUMIFS(Permissions!$G$2:$G$3000,Permissions!$B$2:$B$3000,$A12,Permissions!$I$2:$I$3000,"In planning",Permissions!$P$2:$P$3000,"Yes")</f>
        <v>0</v>
      </c>
      <c r="AN12" s="24" t="n">
        <f aca="false">IF(R12="",0,MAX(R12-AK12,0))</f>
        <v>135</v>
      </c>
      <c r="AO12" s="25" t="n">
        <f aca="false">AK12+AN12</f>
        <v>135</v>
      </c>
      <c r="AP12" s="24" t="n">
        <f aca="false">AO12-AG12</f>
        <v>135</v>
      </c>
      <c r="AQ12" s="26" t="n">
        <f aca="false">SUMIFS(Permissions!$AH$2:$AH$3000,Permissions!$B$2:$B$3000,$A12,Permissions!$P$2:$P$3000,"Yes")</f>
        <v>0</v>
      </c>
      <c r="AR12" s="26" t="n">
        <f aca="false">SUMIFS(Permissions!$AI$2:$AI$3000,Permissions!$B$2:$B$3000,$A12,Permissions!$P$2:$P$3000,"Yes")</f>
        <v>0</v>
      </c>
      <c r="AS12" s="26" t="n">
        <f aca="false">SUMIFS(Permissions!$AJ$2:$AJ$3000,Permissions!$B$2:$B$3000,$A12,Permissions!$P$2:$P$3000,"Yes")</f>
        <v>0</v>
      </c>
      <c r="AT12" s="26" t="n">
        <f aca="false">SUMIFS(Permissions!$AK$2:$AK$3000,Permissions!$B$2:$B$3000,$A12,Permissions!$P$2:$P$3000,"Yes")</f>
        <v>0</v>
      </c>
      <c r="AU12" s="26" t="n">
        <f aca="false">SUMIFS(Permissions!$AL$2:$AL$3000,Permissions!$B$2:$B$3000,$A12,Permissions!$P$2:$P$3000,"Yes")</f>
        <v>0</v>
      </c>
      <c r="AV12" s="26" t="n">
        <f aca="false">SUMIFS(Permissions!$AM$2:$AM$3000,Permissions!$B$2:$B$3000,$A12,Permissions!$P$2:$P$3000,"Yes")</f>
        <v>0</v>
      </c>
      <c r="AW12" s="24" t="n">
        <f aca="false">COUNTIFS(Permissions!$B$2:$B$3000,$A12,Permissions!$P$2:$P$3000,"Yes")</f>
        <v>0</v>
      </c>
      <c r="AX12" s="24" t="n">
        <f aca="false">SUMIFS(Permissions!$L$2:$L$3000,Permissions!$B$2:$B$3000,$A12,Permissions!$P$2:$P$3000,"Yes")</f>
        <v>0</v>
      </c>
      <c r="AY12" s="27" t="str">
        <f aca="false">IF(AND(AK12&gt;0,AG12&gt;=AK12,AN12=0),"Built out",IF(AG12&gt;0,"Partly built",IF(AK12&gt;0,"Consented – not built","No consent")))</f>
        <v>No consent</v>
      </c>
      <c r="AZ12" s="28" t="str">
        <f aca="false">IF(AND(R12&lt;&gt;"",AK12&gt;1.1*R12),"Consented above capacity",IF(AND(LEFT(B12,8)="Planning",AW12=0),"Consent parcel with no permission",IF(COUNTIF($A$2:$A$3000,$A12)&gt;1,"Duplicate parcel_id","")))</f>
        <v/>
      </c>
    </row>
    <row r="13" customFormat="false" ht="15" hidden="false" customHeight="false" outlineLevel="0" collapsed="false">
      <c r="A13" s="15" t="s">
        <v>190</v>
      </c>
      <c r="B13" s="15" t="s">
        <v>10</v>
      </c>
      <c r="C13" s="15" t="s">
        <v>16</v>
      </c>
      <c r="D13" s="15" t="s">
        <v>51</v>
      </c>
      <c r="E13" s="15" t="s">
        <v>19</v>
      </c>
      <c r="F13" s="15" t="n">
        <v>1</v>
      </c>
      <c r="G13" s="15" t="s">
        <v>154</v>
      </c>
      <c r="H13" s="15" t="n">
        <v>16</v>
      </c>
      <c r="I13" s="15" t="s">
        <v>51</v>
      </c>
      <c r="J13" s="15" t="s">
        <v>176</v>
      </c>
      <c r="K13" s="15" t="s">
        <v>177</v>
      </c>
      <c r="L13" s="15" t="s">
        <v>156</v>
      </c>
      <c r="M13" s="15" t="s">
        <v>165</v>
      </c>
      <c r="N13" s="15" t="s">
        <v>166</v>
      </c>
      <c r="O13" s="15" t="s">
        <v>159</v>
      </c>
      <c r="P13" s="15" t="n">
        <v>0.436</v>
      </c>
      <c r="Q13" s="15" t="n">
        <v>0.436</v>
      </c>
      <c r="R13" s="15" t="n">
        <v>20</v>
      </c>
      <c r="S13" s="15" t="s">
        <v>160</v>
      </c>
      <c r="T13" s="15"/>
      <c r="U13" s="15"/>
      <c r="V13" s="15"/>
      <c r="W13" s="15"/>
      <c r="X13" s="15"/>
      <c r="Y13" s="15"/>
      <c r="Z13" s="15"/>
      <c r="AA13" s="15" t="n">
        <v>0</v>
      </c>
      <c r="AB13" s="15" t="n">
        <v>0</v>
      </c>
      <c r="AC13" s="15" t="s">
        <v>161</v>
      </c>
      <c r="AD13" s="15" t="s">
        <v>162</v>
      </c>
      <c r="AE13" s="15" t="s">
        <v>163</v>
      </c>
      <c r="AF13" s="15"/>
      <c r="AG13" s="24" t="n">
        <f aca="false">SUMIFS(Permissions!$G$2:$G$3000,Permissions!$B$2:$B$3000,$A13,Permissions!$I$2:$I$3000,"Complete",Permissions!$P$2:$P$3000,"Yes")</f>
        <v>0</v>
      </c>
      <c r="AH13" s="24" t="n">
        <f aca="false">SUMIFS(Permissions!$G$2:$G$3000,Permissions!$B$2:$B$3000,$A13,Permissions!$I$2:$I$3000,"Under construction",Permissions!$P$2:$P$3000,"Yes")</f>
        <v>0</v>
      </c>
      <c r="AI13" s="24" t="n">
        <f aca="false">SUMIFS(Permissions!$G$2:$G$3000,Permissions!$B$2:$B$3000,$A13,Permissions!$I$2:$I$3000,"Permitted – not started",Permissions!$P$2:$P$3000,"Yes")</f>
        <v>0</v>
      </c>
      <c r="AJ13" s="24" t="n">
        <f aca="false">SUMIFS(Permissions!$G$2:$G$3000,Permissions!$B$2:$B$3000,$A13,Permissions!$I$2:$I$3000,"Stalled",Permissions!$P$2:$P$3000,"Yes")</f>
        <v>0</v>
      </c>
      <c r="AK13" s="24" t="n">
        <f aca="false">AG13+AH13+AI13+AJ13</f>
        <v>0</v>
      </c>
      <c r="AL13" s="24" t="n">
        <f aca="false">SUMIFS(Permissions!$G$2:$G$3000,Permissions!$B$2:$B$3000,$A13,Permissions!$I$2:$I$3000,"Expired – not started",Permissions!$P$2:$P$3000,"Yes")</f>
        <v>0</v>
      </c>
      <c r="AM13" s="24" t="n">
        <f aca="false">SUMIFS(Permissions!$G$2:$G$3000,Permissions!$B$2:$B$3000,$A13,Permissions!$I$2:$I$3000,"In planning",Permissions!$P$2:$P$3000,"Yes")</f>
        <v>0</v>
      </c>
      <c r="AN13" s="24" t="n">
        <f aca="false">IF(R13="",0,MAX(R13-AK13,0))</f>
        <v>20</v>
      </c>
      <c r="AO13" s="25" t="n">
        <f aca="false">AK13+AN13</f>
        <v>20</v>
      </c>
      <c r="AP13" s="24" t="n">
        <f aca="false">AO13-AG13</f>
        <v>20</v>
      </c>
      <c r="AQ13" s="26" t="n">
        <f aca="false">SUMIFS(Permissions!$AH$2:$AH$3000,Permissions!$B$2:$B$3000,$A13,Permissions!$P$2:$P$3000,"Yes")</f>
        <v>0</v>
      </c>
      <c r="AR13" s="26" t="n">
        <f aca="false">SUMIFS(Permissions!$AI$2:$AI$3000,Permissions!$B$2:$B$3000,$A13,Permissions!$P$2:$P$3000,"Yes")</f>
        <v>0</v>
      </c>
      <c r="AS13" s="26" t="n">
        <f aca="false">SUMIFS(Permissions!$AJ$2:$AJ$3000,Permissions!$B$2:$B$3000,$A13,Permissions!$P$2:$P$3000,"Yes")</f>
        <v>0</v>
      </c>
      <c r="AT13" s="26" t="n">
        <f aca="false">SUMIFS(Permissions!$AK$2:$AK$3000,Permissions!$B$2:$B$3000,$A13,Permissions!$P$2:$P$3000,"Yes")</f>
        <v>0</v>
      </c>
      <c r="AU13" s="26" t="n">
        <f aca="false">SUMIFS(Permissions!$AL$2:$AL$3000,Permissions!$B$2:$B$3000,$A13,Permissions!$P$2:$P$3000,"Yes")</f>
        <v>0</v>
      </c>
      <c r="AV13" s="26" t="n">
        <f aca="false">SUMIFS(Permissions!$AM$2:$AM$3000,Permissions!$B$2:$B$3000,$A13,Permissions!$P$2:$P$3000,"Yes")</f>
        <v>0</v>
      </c>
      <c r="AW13" s="24" t="n">
        <f aca="false">COUNTIFS(Permissions!$B$2:$B$3000,$A13,Permissions!$P$2:$P$3000,"Yes")</f>
        <v>0</v>
      </c>
      <c r="AX13" s="24" t="n">
        <f aca="false">SUMIFS(Permissions!$L$2:$L$3000,Permissions!$B$2:$B$3000,$A13,Permissions!$P$2:$P$3000,"Yes")</f>
        <v>0</v>
      </c>
      <c r="AY13" s="27" t="str">
        <f aca="false">IF(AND(AK13&gt;0,AG13&gt;=AK13,AN13=0),"Built out",IF(AG13&gt;0,"Partly built",IF(AK13&gt;0,"Consented – not built","No consent")))</f>
        <v>No consent</v>
      </c>
      <c r="AZ13" s="28" t="str">
        <f aca="false">IF(AND(R13&lt;&gt;"",AK13&gt;1.1*R13),"Consented above capacity",IF(AND(LEFT(B13,8)="Planning",AW13=0),"Consent parcel with no permission",IF(COUNTIF($A$2:$A$3000,$A13)&gt;1,"Duplicate parcel_id","")))</f>
        <v/>
      </c>
    </row>
    <row r="14" customFormat="false" ht="15" hidden="false" customHeight="false" outlineLevel="0" collapsed="false">
      <c r="A14" s="15" t="s">
        <v>191</v>
      </c>
      <c r="B14" s="15" t="s">
        <v>10</v>
      </c>
      <c r="C14" s="15" t="s">
        <v>16</v>
      </c>
      <c r="D14" s="15" t="s">
        <v>51</v>
      </c>
      <c r="E14" s="15" t="s">
        <v>19</v>
      </c>
      <c r="F14" s="15" t="n">
        <v>1</v>
      </c>
      <c r="G14" s="15" t="s">
        <v>154</v>
      </c>
      <c r="H14" s="15" t="n">
        <v>164</v>
      </c>
      <c r="I14" s="15" t="s">
        <v>51</v>
      </c>
      <c r="J14" s="15" t="s">
        <v>176</v>
      </c>
      <c r="K14" s="15"/>
      <c r="L14" s="15" t="s">
        <v>183</v>
      </c>
      <c r="M14" s="15"/>
      <c r="N14" s="15"/>
      <c r="O14" s="15"/>
      <c r="P14" s="15" t="n">
        <v>5.112</v>
      </c>
      <c r="Q14" s="15" t="n">
        <v>5.11</v>
      </c>
      <c r="R14" s="15" t="n">
        <v>179</v>
      </c>
      <c r="S14" s="15" t="s">
        <v>160</v>
      </c>
      <c r="T14" s="15"/>
      <c r="U14" s="15"/>
      <c r="V14" s="15"/>
      <c r="W14" s="15"/>
      <c r="X14" s="15"/>
      <c r="Y14" s="15"/>
      <c r="Z14" s="15"/>
      <c r="AA14" s="15" t="n">
        <v>0</v>
      </c>
      <c r="AB14" s="15" t="n">
        <v>0</v>
      </c>
      <c r="AC14" s="15"/>
      <c r="AD14" s="15" t="s">
        <v>192</v>
      </c>
      <c r="AE14" s="15" t="s">
        <v>163</v>
      </c>
      <c r="AF14" s="15"/>
      <c r="AG14" s="24" t="n">
        <f aca="false">SUMIFS(Permissions!$G$2:$G$3000,Permissions!$B$2:$B$3000,$A14,Permissions!$I$2:$I$3000,"Complete",Permissions!$P$2:$P$3000,"Yes")</f>
        <v>0</v>
      </c>
      <c r="AH14" s="24" t="n">
        <f aca="false">SUMIFS(Permissions!$G$2:$G$3000,Permissions!$B$2:$B$3000,$A14,Permissions!$I$2:$I$3000,"Under construction",Permissions!$P$2:$P$3000,"Yes")</f>
        <v>0</v>
      </c>
      <c r="AI14" s="24" t="n">
        <f aca="false">SUMIFS(Permissions!$G$2:$G$3000,Permissions!$B$2:$B$3000,$A14,Permissions!$I$2:$I$3000,"Permitted – not started",Permissions!$P$2:$P$3000,"Yes")</f>
        <v>0</v>
      </c>
      <c r="AJ14" s="24" t="n">
        <f aca="false">SUMIFS(Permissions!$G$2:$G$3000,Permissions!$B$2:$B$3000,$A14,Permissions!$I$2:$I$3000,"Stalled",Permissions!$P$2:$P$3000,"Yes")</f>
        <v>0</v>
      </c>
      <c r="AK14" s="24" t="n">
        <f aca="false">AG14+AH14+AI14+AJ14</f>
        <v>0</v>
      </c>
      <c r="AL14" s="24" t="n">
        <f aca="false">SUMIFS(Permissions!$G$2:$G$3000,Permissions!$B$2:$B$3000,$A14,Permissions!$I$2:$I$3000,"Expired – not started",Permissions!$P$2:$P$3000,"Yes")</f>
        <v>0</v>
      </c>
      <c r="AM14" s="24" t="n">
        <f aca="false">SUMIFS(Permissions!$G$2:$G$3000,Permissions!$B$2:$B$3000,$A14,Permissions!$I$2:$I$3000,"In planning",Permissions!$P$2:$P$3000,"Yes")</f>
        <v>0</v>
      </c>
      <c r="AN14" s="24" t="n">
        <f aca="false">IF(R14="",0,MAX(R14-AK14,0))</f>
        <v>179</v>
      </c>
      <c r="AO14" s="25" t="n">
        <f aca="false">AK14+AN14</f>
        <v>179</v>
      </c>
      <c r="AP14" s="24" t="n">
        <f aca="false">AO14-AG14</f>
        <v>179</v>
      </c>
      <c r="AQ14" s="26" t="n">
        <f aca="false">SUMIFS(Permissions!$AH$2:$AH$3000,Permissions!$B$2:$B$3000,$A14,Permissions!$P$2:$P$3000,"Yes")</f>
        <v>0</v>
      </c>
      <c r="AR14" s="26" t="n">
        <f aca="false">SUMIFS(Permissions!$AI$2:$AI$3000,Permissions!$B$2:$B$3000,$A14,Permissions!$P$2:$P$3000,"Yes")</f>
        <v>0</v>
      </c>
      <c r="AS14" s="26" t="n">
        <f aca="false">SUMIFS(Permissions!$AJ$2:$AJ$3000,Permissions!$B$2:$B$3000,$A14,Permissions!$P$2:$P$3000,"Yes")</f>
        <v>0</v>
      </c>
      <c r="AT14" s="26" t="n">
        <f aca="false">SUMIFS(Permissions!$AK$2:$AK$3000,Permissions!$B$2:$B$3000,$A14,Permissions!$P$2:$P$3000,"Yes")</f>
        <v>0</v>
      </c>
      <c r="AU14" s="26" t="n">
        <f aca="false">SUMIFS(Permissions!$AL$2:$AL$3000,Permissions!$B$2:$B$3000,$A14,Permissions!$P$2:$P$3000,"Yes")</f>
        <v>0</v>
      </c>
      <c r="AV14" s="26" t="n">
        <f aca="false">SUMIFS(Permissions!$AM$2:$AM$3000,Permissions!$B$2:$B$3000,$A14,Permissions!$P$2:$P$3000,"Yes")</f>
        <v>0</v>
      </c>
      <c r="AW14" s="24" t="n">
        <f aca="false">COUNTIFS(Permissions!$B$2:$B$3000,$A14,Permissions!$P$2:$P$3000,"Yes")</f>
        <v>0</v>
      </c>
      <c r="AX14" s="24" t="n">
        <f aca="false">SUMIFS(Permissions!$L$2:$L$3000,Permissions!$B$2:$B$3000,$A14,Permissions!$P$2:$P$3000,"Yes")</f>
        <v>0</v>
      </c>
      <c r="AY14" s="27" t="str">
        <f aca="false">IF(AND(AK14&gt;0,AG14&gt;=AK14,AN14=0),"Built out",IF(AG14&gt;0,"Partly built",IF(AK14&gt;0,"Consented – not built","No consent")))</f>
        <v>No consent</v>
      </c>
      <c r="AZ14" s="28" t="str">
        <f aca="false">IF(AND(R14&lt;&gt;"",AK14&gt;1.1*R14),"Consented above capacity",IF(AND(LEFT(B14,8)="Planning",AW14=0),"Consent parcel with no permission",IF(COUNTIF($A$2:$A$3000,$A14)&gt;1,"Duplicate parcel_id","")))</f>
        <v/>
      </c>
    </row>
    <row r="15" customFormat="false" ht="15" hidden="false" customHeight="false" outlineLevel="0" collapsed="false">
      <c r="A15" s="15" t="s">
        <v>193</v>
      </c>
      <c r="B15" s="15" t="s">
        <v>10</v>
      </c>
      <c r="C15" s="15" t="s">
        <v>16</v>
      </c>
      <c r="D15" s="15" t="s">
        <v>51</v>
      </c>
      <c r="E15" s="15" t="s">
        <v>19</v>
      </c>
      <c r="F15" s="15" t="n">
        <v>1</v>
      </c>
      <c r="G15" s="15" t="s">
        <v>154</v>
      </c>
      <c r="H15" s="15" t="n">
        <v>20</v>
      </c>
      <c r="I15" s="15" t="s">
        <v>51</v>
      </c>
      <c r="J15" s="15" t="s">
        <v>176</v>
      </c>
      <c r="K15" s="15" t="s">
        <v>177</v>
      </c>
      <c r="L15" s="15" t="s">
        <v>170</v>
      </c>
      <c r="M15" s="15" t="s">
        <v>184</v>
      </c>
      <c r="N15" s="15" t="s">
        <v>166</v>
      </c>
      <c r="O15" s="15" t="s">
        <v>159</v>
      </c>
      <c r="P15" s="15" t="n">
        <v>0.641</v>
      </c>
      <c r="Q15" s="15" t="n">
        <v>0.641</v>
      </c>
      <c r="R15" s="15" t="n">
        <v>29</v>
      </c>
      <c r="S15" s="15" t="s">
        <v>160</v>
      </c>
      <c r="T15" s="15"/>
      <c r="U15" s="15"/>
      <c r="V15" s="15"/>
      <c r="W15" s="15"/>
      <c r="X15" s="15"/>
      <c r="Y15" s="15"/>
      <c r="Z15" s="15"/>
      <c r="AA15" s="15" t="n">
        <v>0</v>
      </c>
      <c r="AB15" s="15" t="n">
        <v>0</v>
      </c>
      <c r="AC15" s="15" t="s">
        <v>161</v>
      </c>
      <c r="AD15" s="15" t="s">
        <v>162</v>
      </c>
      <c r="AE15" s="15" t="s">
        <v>163</v>
      </c>
      <c r="AF15" s="15"/>
      <c r="AG15" s="24" t="n">
        <f aca="false">SUMIFS(Permissions!$G$2:$G$3000,Permissions!$B$2:$B$3000,$A15,Permissions!$I$2:$I$3000,"Complete",Permissions!$P$2:$P$3000,"Yes")</f>
        <v>0</v>
      </c>
      <c r="AH15" s="24" t="n">
        <f aca="false">SUMIFS(Permissions!$G$2:$G$3000,Permissions!$B$2:$B$3000,$A15,Permissions!$I$2:$I$3000,"Under construction",Permissions!$P$2:$P$3000,"Yes")</f>
        <v>0</v>
      </c>
      <c r="AI15" s="24" t="n">
        <f aca="false">SUMIFS(Permissions!$G$2:$G$3000,Permissions!$B$2:$B$3000,$A15,Permissions!$I$2:$I$3000,"Permitted – not started",Permissions!$P$2:$P$3000,"Yes")</f>
        <v>0</v>
      </c>
      <c r="AJ15" s="24" t="n">
        <f aca="false">SUMIFS(Permissions!$G$2:$G$3000,Permissions!$B$2:$B$3000,$A15,Permissions!$I$2:$I$3000,"Stalled",Permissions!$P$2:$P$3000,"Yes")</f>
        <v>0</v>
      </c>
      <c r="AK15" s="24" t="n">
        <f aca="false">AG15+AH15+AI15+AJ15</f>
        <v>0</v>
      </c>
      <c r="AL15" s="24" t="n">
        <f aca="false">SUMIFS(Permissions!$G$2:$G$3000,Permissions!$B$2:$B$3000,$A15,Permissions!$I$2:$I$3000,"Expired – not started",Permissions!$P$2:$P$3000,"Yes")</f>
        <v>0</v>
      </c>
      <c r="AM15" s="24" t="n">
        <f aca="false">SUMIFS(Permissions!$G$2:$G$3000,Permissions!$B$2:$B$3000,$A15,Permissions!$I$2:$I$3000,"In planning",Permissions!$P$2:$P$3000,"Yes")</f>
        <v>0</v>
      </c>
      <c r="AN15" s="24" t="n">
        <f aca="false">IF(R15="",0,MAX(R15-AK15,0))</f>
        <v>29</v>
      </c>
      <c r="AO15" s="25" t="n">
        <f aca="false">AK15+AN15</f>
        <v>29</v>
      </c>
      <c r="AP15" s="24" t="n">
        <f aca="false">AO15-AG15</f>
        <v>29</v>
      </c>
      <c r="AQ15" s="26" t="n">
        <f aca="false">SUMIFS(Permissions!$AH$2:$AH$3000,Permissions!$B$2:$B$3000,$A15,Permissions!$P$2:$P$3000,"Yes")</f>
        <v>0</v>
      </c>
      <c r="AR15" s="26" t="n">
        <f aca="false">SUMIFS(Permissions!$AI$2:$AI$3000,Permissions!$B$2:$B$3000,$A15,Permissions!$P$2:$P$3000,"Yes")</f>
        <v>0</v>
      </c>
      <c r="AS15" s="26" t="n">
        <f aca="false">SUMIFS(Permissions!$AJ$2:$AJ$3000,Permissions!$B$2:$B$3000,$A15,Permissions!$P$2:$P$3000,"Yes")</f>
        <v>0</v>
      </c>
      <c r="AT15" s="26" t="n">
        <f aca="false">SUMIFS(Permissions!$AK$2:$AK$3000,Permissions!$B$2:$B$3000,$A15,Permissions!$P$2:$P$3000,"Yes")</f>
        <v>0</v>
      </c>
      <c r="AU15" s="26" t="n">
        <f aca="false">SUMIFS(Permissions!$AL$2:$AL$3000,Permissions!$B$2:$B$3000,$A15,Permissions!$P$2:$P$3000,"Yes")</f>
        <v>0</v>
      </c>
      <c r="AV15" s="26" t="n">
        <f aca="false">SUMIFS(Permissions!$AM$2:$AM$3000,Permissions!$B$2:$B$3000,$A15,Permissions!$P$2:$P$3000,"Yes")</f>
        <v>0</v>
      </c>
      <c r="AW15" s="24" t="n">
        <f aca="false">COUNTIFS(Permissions!$B$2:$B$3000,$A15,Permissions!$P$2:$P$3000,"Yes")</f>
        <v>0</v>
      </c>
      <c r="AX15" s="24" t="n">
        <f aca="false">SUMIFS(Permissions!$L$2:$L$3000,Permissions!$B$2:$B$3000,$A15,Permissions!$P$2:$P$3000,"Yes")</f>
        <v>0</v>
      </c>
      <c r="AY15" s="27" t="str">
        <f aca="false">IF(AND(AK15&gt;0,AG15&gt;=AK15,AN15=0),"Built out",IF(AG15&gt;0,"Partly built",IF(AK15&gt;0,"Consented – not built","No consent")))</f>
        <v>No consent</v>
      </c>
      <c r="AZ15" s="28" t="str">
        <f aca="false">IF(AND(R15&lt;&gt;"",AK15&gt;1.1*R15),"Consented above capacity",IF(AND(LEFT(B15,8)="Planning",AW15=0),"Consent parcel with no permission",IF(COUNTIF($A$2:$A$3000,$A15)&gt;1,"Duplicate parcel_id","")))</f>
        <v/>
      </c>
    </row>
    <row r="16" customFormat="false" ht="15" hidden="false" customHeight="false" outlineLevel="0" collapsed="false">
      <c r="A16" s="15" t="s">
        <v>194</v>
      </c>
      <c r="B16" s="15" t="s">
        <v>10</v>
      </c>
      <c r="C16" s="15" t="s">
        <v>16</v>
      </c>
      <c r="D16" s="15" t="s">
        <v>51</v>
      </c>
      <c r="E16" s="15" t="s">
        <v>19</v>
      </c>
      <c r="F16" s="15" t="n">
        <v>1</v>
      </c>
      <c r="G16" s="15" t="s">
        <v>154</v>
      </c>
      <c r="H16" s="15" t="n">
        <v>21</v>
      </c>
      <c r="I16" s="15" t="s">
        <v>51</v>
      </c>
      <c r="J16" s="15" t="s">
        <v>176</v>
      </c>
      <c r="K16" s="15" t="s">
        <v>177</v>
      </c>
      <c r="L16" s="15" t="s">
        <v>170</v>
      </c>
      <c r="M16" s="15" t="s">
        <v>157</v>
      </c>
      <c r="N16" s="15" t="s">
        <v>158</v>
      </c>
      <c r="O16" s="15" t="s">
        <v>159</v>
      </c>
      <c r="P16" s="15" t="n">
        <v>0.172</v>
      </c>
      <c r="Q16" s="15" t="n">
        <v>0.173</v>
      </c>
      <c r="R16" s="15" t="n">
        <v>31</v>
      </c>
      <c r="S16" s="15" t="s">
        <v>160</v>
      </c>
      <c r="T16" s="15"/>
      <c r="U16" s="15"/>
      <c r="V16" s="15"/>
      <c r="W16" s="15"/>
      <c r="X16" s="15"/>
      <c r="Y16" s="15"/>
      <c r="Z16" s="15"/>
      <c r="AA16" s="15" t="n">
        <v>0</v>
      </c>
      <c r="AB16" s="15" t="n">
        <v>0</v>
      </c>
      <c r="AC16" s="15" t="s">
        <v>180</v>
      </c>
      <c r="AD16" s="15" t="s">
        <v>162</v>
      </c>
      <c r="AE16" s="15" t="s">
        <v>163</v>
      </c>
      <c r="AF16" s="15"/>
      <c r="AG16" s="24" t="n">
        <f aca="false">SUMIFS(Permissions!$G$2:$G$3000,Permissions!$B$2:$B$3000,$A16,Permissions!$I$2:$I$3000,"Complete",Permissions!$P$2:$P$3000,"Yes")</f>
        <v>0</v>
      </c>
      <c r="AH16" s="24" t="n">
        <f aca="false">SUMIFS(Permissions!$G$2:$G$3000,Permissions!$B$2:$B$3000,$A16,Permissions!$I$2:$I$3000,"Under construction",Permissions!$P$2:$P$3000,"Yes")</f>
        <v>0</v>
      </c>
      <c r="AI16" s="24" t="n">
        <f aca="false">SUMIFS(Permissions!$G$2:$G$3000,Permissions!$B$2:$B$3000,$A16,Permissions!$I$2:$I$3000,"Permitted – not started",Permissions!$P$2:$P$3000,"Yes")</f>
        <v>0</v>
      </c>
      <c r="AJ16" s="24" t="n">
        <f aca="false">SUMIFS(Permissions!$G$2:$G$3000,Permissions!$B$2:$B$3000,$A16,Permissions!$I$2:$I$3000,"Stalled",Permissions!$P$2:$P$3000,"Yes")</f>
        <v>31</v>
      </c>
      <c r="AK16" s="24" t="n">
        <f aca="false">AG16+AH16+AI16+AJ16</f>
        <v>31</v>
      </c>
      <c r="AL16" s="24" t="n">
        <f aca="false">SUMIFS(Permissions!$G$2:$G$3000,Permissions!$B$2:$B$3000,$A16,Permissions!$I$2:$I$3000,"Expired – not started",Permissions!$P$2:$P$3000,"Yes")</f>
        <v>0</v>
      </c>
      <c r="AM16" s="24" t="n">
        <f aca="false">SUMIFS(Permissions!$G$2:$G$3000,Permissions!$B$2:$B$3000,$A16,Permissions!$I$2:$I$3000,"In planning",Permissions!$P$2:$P$3000,"Yes")</f>
        <v>0</v>
      </c>
      <c r="AN16" s="24" t="n">
        <f aca="false">IF(R16="",0,MAX(R16-AK16,0))</f>
        <v>0</v>
      </c>
      <c r="AO16" s="25" t="n">
        <f aca="false">AK16+AN16</f>
        <v>31</v>
      </c>
      <c r="AP16" s="24" t="n">
        <f aca="false">AO16-AG16</f>
        <v>31</v>
      </c>
      <c r="AQ16" s="26" t="n">
        <f aca="false">SUMIFS(Permissions!$AH$2:$AH$3000,Permissions!$B$2:$B$3000,$A16,Permissions!$P$2:$P$3000,"Yes")</f>
        <v>0</v>
      </c>
      <c r="AR16" s="26" t="n">
        <f aca="false">SUMIFS(Permissions!$AI$2:$AI$3000,Permissions!$B$2:$B$3000,$A16,Permissions!$P$2:$P$3000,"Yes")</f>
        <v>0</v>
      </c>
      <c r="AS16" s="26" t="n">
        <f aca="false">SUMIFS(Permissions!$AJ$2:$AJ$3000,Permissions!$B$2:$B$3000,$A16,Permissions!$P$2:$P$3000,"Yes")</f>
        <v>0</v>
      </c>
      <c r="AT16" s="26" t="n">
        <f aca="false">SUMIFS(Permissions!$AK$2:$AK$3000,Permissions!$B$2:$B$3000,$A16,Permissions!$P$2:$P$3000,"Yes")</f>
        <v>0</v>
      </c>
      <c r="AU16" s="26" t="n">
        <f aca="false">SUMIFS(Permissions!$AL$2:$AL$3000,Permissions!$B$2:$B$3000,$A16,Permissions!$P$2:$P$3000,"Yes")</f>
        <v>0</v>
      </c>
      <c r="AV16" s="26" t="n">
        <f aca="false">SUMIFS(Permissions!$AM$2:$AM$3000,Permissions!$B$2:$B$3000,$A16,Permissions!$P$2:$P$3000,"Yes")</f>
        <v>0</v>
      </c>
      <c r="AW16" s="24" t="n">
        <f aca="false">COUNTIFS(Permissions!$B$2:$B$3000,$A16,Permissions!$P$2:$P$3000,"Yes")</f>
        <v>1</v>
      </c>
      <c r="AX16" s="24" t="n">
        <f aca="false">SUMIFS(Permissions!$L$2:$L$3000,Permissions!$B$2:$B$3000,$A16,Permissions!$P$2:$P$3000,"Yes")</f>
        <v>0</v>
      </c>
      <c r="AY16" s="27" t="str">
        <f aca="false">IF(AND(AK16&gt;0,AG16&gt;=AK16,AN16=0),"Built out",IF(AG16&gt;0,"Partly built",IF(AK16&gt;0,"Consented – not built","No consent")))</f>
        <v>Consented – not built</v>
      </c>
      <c r="AZ16" s="28" t="str">
        <f aca="false">IF(AND(R16&lt;&gt;"",AK16&gt;1.1*R16),"Consented above capacity",IF(AND(LEFT(B16,8)="Planning",AW16=0),"Consent parcel with no permission",IF(COUNTIF($A$2:$A$3000,$A16)&gt;1,"Duplicate parcel_id","")))</f>
        <v/>
      </c>
    </row>
    <row r="17" customFormat="false" ht="15" hidden="false" customHeight="false" outlineLevel="0" collapsed="false">
      <c r="A17" s="15" t="s">
        <v>195</v>
      </c>
      <c r="B17" s="15" t="s">
        <v>10</v>
      </c>
      <c r="C17" s="15" t="s">
        <v>16</v>
      </c>
      <c r="D17" s="15" t="s">
        <v>51</v>
      </c>
      <c r="E17" s="15" t="s">
        <v>19</v>
      </c>
      <c r="F17" s="15" t="n">
        <v>1</v>
      </c>
      <c r="G17" s="15" t="s">
        <v>154</v>
      </c>
      <c r="H17" s="15" t="n">
        <v>24</v>
      </c>
      <c r="I17" s="15" t="s">
        <v>51</v>
      </c>
      <c r="J17" s="15" t="s">
        <v>176</v>
      </c>
      <c r="K17" s="15" t="s">
        <v>177</v>
      </c>
      <c r="L17" s="15" t="s">
        <v>183</v>
      </c>
      <c r="M17" s="15" t="s">
        <v>157</v>
      </c>
      <c r="N17" s="15" t="s">
        <v>166</v>
      </c>
      <c r="O17" s="15" t="s">
        <v>159</v>
      </c>
      <c r="P17" s="15" t="n">
        <v>0.249</v>
      </c>
      <c r="Q17" s="15" t="n">
        <v>0.249</v>
      </c>
      <c r="R17" s="15" t="n">
        <v>46</v>
      </c>
      <c r="S17" s="15" t="s">
        <v>160</v>
      </c>
      <c r="T17" s="15"/>
      <c r="U17" s="15"/>
      <c r="V17" s="15"/>
      <c r="W17" s="15"/>
      <c r="X17" s="15"/>
      <c r="Y17" s="15"/>
      <c r="Z17" s="15"/>
      <c r="AA17" s="15" t="n">
        <v>0</v>
      </c>
      <c r="AB17" s="15" t="n">
        <v>0</v>
      </c>
      <c r="AC17" s="15" t="s">
        <v>180</v>
      </c>
      <c r="AD17" s="15" t="s">
        <v>162</v>
      </c>
      <c r="AE17" s="15" t="s">
        <v>163</v>
      </c>
      <c r="AF17" s="15"/>
      <c r="AG17" s="24" t="n">
        <f aca="false">SUMIFS(Permissions!$G$2:$G$3000,Permissions!$B$2:$B$3000,$A17,Permissions!$I$2:$I$3000,"Complete",Permissions!$P$2:$P$3000,"Yes")</f>
        <v>0</v>
      </c>
      <c r="AH17" s="24" t="n">
        <f aca="false">SUMIFS(Permissions!$G$2:$G$3000,Permissions!$B$2:$B$3000,$A17,Permissions!$I$2:$I$3000,"Under construction",Permissions!$P$2:$P$3000,"Yes")</f>
        <v>0</v>
      </c>
      <c r="AI17" s="24" t="n">
        <f aca="false">SUMIFS(Permissions!$G$2:$G$3000,Permissions!$B$2:$B$3000,$A17,Permissions!$I$2:$I$3000,"Permitted – not started",Permissions!$P$2:$P$3000,"Yes")</f>
        <v>46</v>
      </c>
      <c r="AJ17" s="24" t="n">
        <f aca="false">SUMIFS(Permissions!$G$2:$G$3000,Permissions!$B$2:$B$3000,$A17,Permissions!$I$2:$I$3000,"Stalled",Permissions!$P$2:$P$3000,"Yes")</f>
        <v>0</v>
      </c>
      <c r="AK17" s="24" t="n">
        <f aca="false">AG17+AH17+AI17+AJ17</f>
        <v>46</v>
      </c>
      <c r="AL17" s="24" t="n">
        <f aca="false">SUMIFS(Permissions!$G$2:$G$3000,Permissions!$B$2:$B$3000,$A17,Permissions!$I$2:$I$3000,"Expired – not started",Permissions!$P$2:$P$3000,"Yes")</f>
        <v>0</v>
      </c>
      <c r="AM17" s="24" t="n">
        <f aca="false">SUMIFS(Permissions!$G$2:$G$3000,Permissions!$B$2:$B$3000,$A17,Permissions!$I$2:$I$3000,"In planning",Permissions!$P$2:$P$3000,"Yes")</f>
        <v>0</v>
      </c>
      <c r="AN17" s="24" t="n">
        <f aca="false">IF(R17="",0,MAX(R17-AK17,0))</f>
        <v>0</v>
      </c>
      <c r="AO17" s="25" t="n">
        <f aca="false">AK17+AN17</f>
        <v>46</v>
      </c>
      <c r="AP17" s="24" t="n">
        <f aca="false">AO17-AG17</f>
        <v>46</v>
      </c>
      <c r="AQ17" s="26" t="n">
        <f aca="false">SUMIFS(Permissions!$AH$2:$AH$3000,Permissions!$B$2:$B$3000,$A17,Permissions!$P$2:$P$3000,"Yes")</f>
        <v>0</v>
      </c>
      <c r="AR17" s="26" t="n">
        <f aca="false">SUMIFS(Permissions!$AI$2:$AI$3000,Permissions!$B$2:$B$3000,$A17,Permissions!$P$2:$P$3000,"Yes")</f>
        <v>0</v>
      </c>
      <c r="AS17" s="26" t="n">
        <f aca="false">SUMIFS(Permissions!$AJ$2:$AJ$3000,Permissions!$B$2:$B$3000,$A17,Permissions!$P$2:$P$3000,"Yes")</f>
        <v>19.4</v>
      </c>
      <c r="AT17" s="26" t="n">
        <f aca="false">SUMIFS(Permissions!$AK$2:$AK$3000,Permissions!$B$2:$B$3000,$A17,Permissions!$P$2:$P$3000,"Yes")</f>
        <v>26.6</v>
      </c>
      <c r="AU17" s="26" t="n">
        <f aca="false">SUMIFS(Permissions!$AL$2:$AL$3000,Permissions!$B$2:$B$3000,$A17,Permissions!$P$2:$P$3000,"Yes")</f>
        <v>0</v>
      </c>
      <c r="AV17" s="26" t="n">
        <f aca="false">SUMIFS(Permissions!$AM$2:$AM$3000,Permissions!$B$2:$B$3000,$A17,Permissions!$P$2:$P$3000,"Yes")</f>
        <v>0</v>
      </c>
      <c r="AW17" s="24" t="n">
        <f aca="false">COUNTIFS(Permissions!$B$2:$B$3000,$A17,Permissions!$P$2:$P$3000,"Yes")</f>
        <v>1</v>
      </c>
      <c r="AX17" s="24" t="n">
        <f aca="false">SUMIFS(Permissions!$L$2:$L$3000,Permissions!$B$2:$B$3000,$A17,Permissions!$P$2:$P$3000,"Yes")</f>
        <v>0</v>
      </c>
      <c r="AY17" s="27" t="str">
        <f aca="false">IF(AND(AK17&gt;0,AG17&gt;=AK17,AN17=0),"Built out",IF(AG17&gt;0,"Partly built",IF(AK17&gt;0,"Consented – not built","No consent")))</f>
        <v>Consented – not built</v>
      </c>
      <c r="AZ17" s="28" t="str">
        <f aca="false">IF(AND(R17&lt;&gt;"",AK17&gt;1.1*R17),"Consented above capacity",IF(AND(LEFT(B17,8)="Planning",AW17=0),"Consent parcel with no permission",IF(COUNTIF($A$2:$A$3000,$A17)&gt;1,"Duplicate parcel_id","")))</f>
        <v/>
      </c>
    </row>
    <row r="18" customFormat="false" ht="15" hidden="false" customHeight="false" outlineLevel="0" collapsed="false">
      <c r="A18" s="15" t="s">
        <v>196</v>
      </c>
      <c r="B18" s="15" t="s">
        <v>10</v>
      </c>
      <c r="C18" s="15" t="s">
        <v>16</v>
      </c>
      <c r="D18" s="15" t="s">
        <v>51</v>
      </c>
      <c r="E18" s="15" t="s">
        <v>19</v>
      </c>
      <c r="F18" s="15" t="n">
        <v>1</v>
      </c>
      <c r="G18" s="15" t="s">
        <v>154</v>
      </c>
      <c r="H18" s="15" t="n">
        <v>25</v>
      </c>
      <c r="I18" s="15" t="s">
        <v>51</v>
      </c>
      <c r="J18" s="15" t="s">
        <v>176</v>
      </c>
      <c r="K18" s="15" t="s">
        <v>177</v>
      </c>
      <c r="L18" s="15" t="s">
        <v>156</v>
      </c>
      <c r="M18" s="15" t="s">
        <v>165</v>
      </c>
      <c r="N18" s="15" t="s">
        <v>166</v>
      </c>
      <c r="O18" s="15" t="s">
        <v>159</v>
      </c>
      <c r="P18" s="15" t="n">
        <v>0.125</v>
      </c>
      <c r="Q18" s="15" t="n">
        <v>0.125</v>
      </c>
      <c r="R18" s="15" t="n">
        <v>6</v>
      </c>
      <c r="S18" s="15" t="s">
        <v>160</v>
      </c>
      <c r="T18" s="15"/>
      <c r="U18" s="15"/>
      <c r="V18" s="15"/>
      <c r="W18" s="15"/>
      <c r="X18" s="15"/>
      <c r="Y18" s="15"/>
      <c r="Z18" s="15"/>
      <c r="AA18" s="15" t="n">
        <v>0</v>
      </c>
      <c r="AB18" s="15" t="n">
        <v>0</v>
      </c>
      <c r="AC18" s="15" t="s">
        <v>161</v>
      </c>
      <c r="AD18" s="15" t="s">
        <v>162</v>
      </c>
      <c r="AE18" s="15" t="s">
        <v>163</v>
      </c>
      <c r="AF18" s="15"/>
      <c r="AG18" s="24" t="n">
        <f aca="false">SUMIFS(Permissions!$G$2:$G$3000,Permissions!$B$2:$B$3000,$A18,Permissions!$I$2:$I$3000,"Complete",Permissions!$P$2:$P$3000,"Yes")</f>
        <v>0</v>
      </c>
      <c r="AH18" s="24" t="n">
        <f aca="false">SUMIFS(Permissions!$G$2:$G$3000,Permissions!$B$2:$B$3000,$A18,Permissions!$I$2:$I$3000,"Under construction",Permissions!$P$2:$P$3000,"Yes")</f>
        <v>0</v>
      </c>
      <c r="AI18" s="24" t="n">
        <f aca="false">SUMIFS(Permissions!$G$2:$G$3000,Permissions!$B$2:$B$3000,$A18,Permissions!$I$2:$I$3000,"Permitted – not started",Permissions!$P$2:$P$3000,"Yes")</f>
        <v>0</v>
      </c>
      <c r="AJ18" s="24" t="n">
        <f aca="false">SUMIFS(Permissions!$G$2:$G$3000,Permissions!$B$2:$B$3000,$A18,Permissions!$I$2:$I$3000,"Stalled",Permissions!$P$2:$P$3000,"Yes")</f>
        <v>0</v>
      </c>
      <c r="AK18" s="24" t="n">
        <f aca="false">AG18+AH18+AI18+AJ18</f>
        <v>0</v>
      </c>
      <c r="AL18" s="24" t="n">
        <f aca="false">SUMIFS(Permissions!$G$2:$G$3000,Permissions!$B$2:$B$3000,$A18,Permissions!$I$2:$I$3000,"Expired – not started",Permissions!$P$2:$P$3000,"Yes")</f>
        <v>0</v>
      </c>
      <c r="AM18" s="24" t="n">
        <f aca="false">SUMIFS(Permissions!$G$2:$G$3000,Permissions!$B$2:$B$3000,$A18,Permissions!$I$2:$I$3000,"In planning",Permissions!$P$2:$P$3000,"Yes")</f>
        <v>6</v>
      </c>
      <c r="AN18" s="24" t="n">
        <f aca="false">IF(R18="",0,MAX(R18-AK18,0))</f>
        <v>6</v>
      </c>
      <c r="AO18" s="25" t="n">
        <f aca="false">AK18+AN18</f>
        <v>6</v>
      </c>
      <c r="AP18" s="24" t="n">
        <f aca="false">AO18-AG18</f>
        <v>6</v>
      </c>
      <c r="AQ18" s="26" t="n">
        <f aca="false">SUMIFS(Permissions!$AH$2:$AH$3000,Permissions!$B$2:$B$3000,$A18,Permissions!$P$2:$P$3000,"Yes")</f>
        <v>0</v>
      </c>
      <c r="AR18" s="26" t="n">
        <f aca="false">SUMIFS(Permissions!$AI$2:$AI$3000,Permissions!$B$2:$B$3000,$A18,Permissions!$P$2:$P$3000,"Yes")</f>
        <v>0</v>
      </c>
      <c r="AS18" s="26" t="n">
        <f aca="false">SUMIFS(Permissions!$AJ$2:$AJ$3000,Permissions!$B$2:$B$3000,$A18,Permissions!$P$2:$P$3000,"Yes")</f>
        <v>0</v>
      </c>
      <c r="AT18" s="26" t="n">
        <f aca="false">SUMIFS(Permissions!$AK$2:$AK$3000,Permissions!$B$2:$B$3000,$A18,Permissions!$P$2:$P$3000,"Yes")</f>
        <v>0</v>
      </c>
      <c r="AU18" s="26" t="n">
        <f aca="false">SUMIFS(Permissions!$AL$2:$AL$3000,Permissions!$B$2:$B$3000,$A18,Permissions!$P$2:$P$3000,"Yes")</f>
        <v>0</v>
      </c>
      <c r="AV18" s="26" t="n">
        <f aca="false">SUMIFS(Permissions!$AM$2:$AM$3000,Permissions!$B$2:$B$3000,$A18,Permissions!$P$2:$P$3000,"Yes")</f>
        <v>0</v>
      </c>
      <c r="AW18" s="24" t="n">
        <f aca="false">COUNTIFS(Permissions!$B$2:$B$3000,$A18,Permissions!$P$2:$P$3000,"Yes")</f>
        <v>1</v>
      </c>
      <c r="AX18" s="24" t="n">
        <f aca="false">SUMIFS(Permissions!$L$2:$L$3000,Permissions!$B$2:$B$3000,$A18,Permissions!$P$2:$P$3000,"Yes")</f>
        <v>0</v>
      </c>
      <c r="AY18" s="27" t="str">
        <f aca="false">IF(AND(AK18&gt;0,AG18&gt;=AK18,AN18=0),"Built out",IF(AG18&gt;0,"Partly built",IF(AK18&gt;0,"Consented – not built","No consent")))</f>
        <v>No consent</v>
      </c>
      <c r="AZ18" s="28" t="str">
        <f aca="false">IF(AND(R18&lt;&gt;"",AK18&gt;1.1*R18),"Consented above capacity",IF(AND(LEFT(B18,8)="Planning",AW18=0),"Consent parcel with no permission",IF(COUNTIF($A$2:$A$3000,$A18)&gt;1,"Duplicate parcel_id","")))</f>
        <v/>
      </c>
    </row>
    <row r="19" customFormat="false" ht="15" hidden="false" customHeight="false" outlineLevel="0" collapsed="false">
      <c r="A19" s="15" t="s">
        <v>197</v>
      </c>
      <c r="B19" s="15" t="s">
        <v>10</v>
      </c>
      <c r="C19" s="15" t="s">
        <v>16</v>
      </c>
      <c r="D19" s="15" t="s">
        <v>51</v>
      </c>
      <c r="E19" s="15" t="s">
        <v>19</v>
      </c>
      <c r="F19" s="15" t="n">
        <v>1</v>
      </c>
      <c r="G19" s="15" t="s">
        <v>154</v>
      </c>
      <c r="H19" s="15" t="n">
        <v>3</v>
      </c>
      <c r="I19" s="15" t="s">
        <v>51</v>
      </c>
      <c r="J19" s="15" t="s">
        <v>176</v>
      </c>
      <c r="K19" s="15" t="s">
        <v>177</v>
      </c>
      <c r="L19" s="15" t="s">
        <v>170</v>
      </c>
      <c r="M19" s="15" t="s">
        <v>157</v>
      </c>
      <c r="N19" s="15" t="s">
        <v>158</v>
      </c>
      <c r="O19" s="15" t="s">
        <v>159</v>
      </c>
      <c r="P19" s="15" t="n">
        <v>2.013</v>
      </c>
      <c r="Q19" s="15" t="n">
        <v>2.012</v>
      </c>
      <c r="R19" s="15" t="n">
        <v>343</v>
      </c>
      <c r="S19" s="15" t="s">
        <v>160</v>
      </c>
      <c r="T19" s="15"/>
      <c r="U19" s="15"/>
      <c r="V19" s="15"/>
      <c r="W19" s="15"/>
      <c r="X19" s="15"/>
      <c r="Y19" s="15"/>
      <c r="Z19" s="15"/>
      <c r="AA19" s="15" t="n">
        <v>157</v>
      </c>
      <c r="AB19" s="15" t="n">
        <v>95</v>
      </c>
      <c r="AC19" s="15" t="s">
        <v>180</v>
      </c>
      <c r="AD19" s="15" t="s">
        <v>162</v>
      </c>
      <c r="AE19" s="15" t="s">
        <v>163</v>
      </c>
      <c r="AF19" s="15"/>
      <c r="AG19" s="24" t="n">
        <f aca="false">SUMIFS(Permissions!$G$2:$G$3000,Permissions!$B$2:$B$3000,$A19,Permissions!$I$2:$I$3000,"Complete",Permissions!$P$2:$P$3000,"Yes")</f>
        <v>65</v>
      </c>
      <c r="AH19" s="24" t="n">
        <f aca="false">SUMIFS(Permissions!$G$2:$G$3000,Permissions!$B$2:$B$3000,$A19,Permissions!$I$2:$I$3000,"Under construction",Permissions!$P$2:$P$3000,"Yes")</f>
        <v>167</v>
      </c>
      <c r="AI19" s="24" t="n">
        <f aca="false">SUMIFS(Permissions!$G$2:$G$3000,Permissions!$B$2:$B$3000,$A19,Permissions!$I$2:$I$3000,"Permitted – not started",Permissions!$P$2:$P$3000,"Yes")</f>
        <v>0</v>
      </c>
      <c r="AJ19" s="24" t="n">
        <f aca="false">SUMIFS(Permissions!$G$2:$G$3000,Permissions!$B$2:$B$3000,$A19,Permissions!$I$2:$I$3000,"Stalled",Permissions!$P$2:$P$3000,"Yes")</f>
        <v>0</v>
      </c>
      <c r="AK19" s="24" t="n">
        <f aca="false">AG19+AH19+AI19+AJ19</f>
        <v>232</v>
      </c>
      <c r="AL19" s="24" t="n">
        <f aca="false">SUMIFS(Permissions!$G$2:$G$3000,Permissions!$B$2:$B$3000,$A19,Permissions!$I$2:$I$3000,"Expired – not started",Permissions!$P$2:$P$3000,"Yes")</f>
        <v>0</v>
      </c>
      <c r="AM19" s="24" t="n">
        <f aca="false">SUMIFS(Permissions!$G$2:$G$3000,Permissions!$B$2:$B$3000,$A19,Permissions!$I$2:$I$3000,"In planning",Permissions!$P$2:$P$3000,"Yes")</f>
        <v>0</v>
      </c>
      <c r="AN19" s="24" t="n">
        <f aca="false">IF(R19="",0,MAX(R19-AK19,0))</f>
        <v>111</v>
      </c>
      <c r="AO19" s="25" t="n">
        <f aca="false">AK19+AN19</f>
        <v>343</v>
      </c>
      <c r="AP19" s="24" t="n">
        <f aca="false">AO19-AG19</f>
        <v>278</v>
      </c>
      <c r="AQ19" s="26" t="n">
        <f aca="false">SUMIFS(Permissions!$AH$2:$AH$3000,Permissions!$B$2:$B$3000,$A19,Permissions!$P$2:$P$3000,"Yes")</f>
        <v>17.4</v>
      </c>
      <c r="AR19" s="26" t="n">
        <f aca="false">SUMIFS(Permissions!$AI$2:$AI$3000,Permissions!$B$2:$B$3000,$A19,Permissions!$P$2:$P$3000,"Yes")</f>
        <v>74.9</v>
      </c>
      <c r="AS19" s="26" t="n">
        <f aca="false">SUMIFS(Permissions!$AJ$2:$AJ$3000,Permissions!$B$2:$B$3000,$A19,Permissions!$P$2:$P$3000,"Yes")</f>
        <v>74.6</v>
      </c>
      <c r="AT19" s="26" t="n">
        <f aca="false">SUMIFS(Permissions!$AK$2:$AK$3000,Permissions!$B$2:$B$3000,$A19,Permissions!$P$2:$P$3000,"Yes")</f>
        <v>0</v>
      </c>
      <c r="AU19" s="26" t="n">
        <f aca="false">SUMIFS(Permissions!$AL$2:$AL$3000,Permissions!$B$2:$B$3000,$A19,Permissions!$P$2:$P$3000,"Yes")</f>
        <v>0</v>
      </c>
      <c r="AV19" s="26" t="n">
        <f aca="false">SUMIFS(Permissions!$AM$2:$AM$3000,Permissions!$B$2:$B$3000,$A19,Permissions!$P$2:$P$3000,"Yes")</f>
        <v>0.1</v>
      </c>
      <c r="AW19" s="24" t="n">
        <f aca="false">COUNTIFS(Permissions!$B$2:$B$3000,$A19,Permissions!$P$2:$P$3000,"Yes")</f>
        <v>2</v>
      </c>
      <c r="AX19" s="24" t="n">
        <f aca="false">SUMIFS(Permissions!$L$2:$L$3000,Permissions!$B$2:$B$3000,$A19,Permissions!$P$2:$P$3000,"Yes")</f>
        <v>0</v>
      </c>
      <c r="AY19" s="27" t="str">
        <f aca="false">IF(AND(AK19&gt;0,AG19&gt;=AK19,AN19=0),"Built out",IF(AG19&gt;0,"Partly built",IF(AK19&gt;0,"Consented – not built","No consent")))</f>
        <v>Partly built</v>
      </c>
      <c r="AZ19" s="28" t="str">
        <f aca="false">IF(AND(R19&lt;&gt;"",AK19&gt;1.1*R19),"Consented above capacity",IF(AND(LEFT(B19,8)="Planning",AW19=0),"Consent parcel with no permission",IF(COUNTIF($A$2:$A$3000,$A19)&gt;1,"Duplicate parcel_id","")))</f>
        <v/>
      </c>
    </row>
    <row r="20" customFormat="false" ht="15" hidden="false" customHeight="false" outlineLevel="0" collapsed="false">
      <c r="A20" s="15" t="s">
        <v>198</v>
      </c>
      <c r="B20" s="15" t="s">
        <v>10</v>
      </c>
      <c r="C20" s="15" t="s">
        <v>16</v>
      </c>
      <c r="D20" s="15" t="s">
        <v>51</v>
      </c>
      <c r="E20" s="15" t="s">
        <v>19</v>
      </c>
      <c r="F20" s="15" t="n">
        <v>1</v>
      </c>
      <c r="G20" s="15" t="s">
        <v>154</v>
      </c>
      <c r="H20" s="15" t="n">
        <v>5</v>
      </c>
      <c r="I20" s="15" t="s">
        <v>51</v>
      </c>
      <c r="J20" s="15" t="s">
        <v>176</v>
      </c>
      <c r="K20" s="15" t="s">
        <v>177</v>
      </c>
      <c r="L20" s="15" t="s">
        <v>183</v>
      </c>
      <c r="M20" s="15" t="s">
        <v>157</v>
      </c>
      <c r="N20" s="15" t="s">
        <v>178</v>
      </c>
      <c r="O20" s="15" t="s">
        <v>179</v>
      </c>
      <c r="P20" s="15" t="n">
        <v>2.729</v>
      </c>
      <c r="Q20" s="15" t="n">
        <v>2.729</v>
      </c>
      <c r="R20" s="15" t="n">
        <v>99</v>
      </c>
      <c r="S20" s="15" t="s">
        <v>160</v>
      </c>
      <c r="T20" s="15"/>
      <c r="U20" s="15"/>
      <c r="V20" s="15"/>
      <c r="W20" s="15"/>
      <c r="X20" s="15"/>
      <c r="Y20" s="15"/>
      <c r="Z20" s="15"/>
      <c r="AA20" s="15" t="n">
        <v>0</v>
      </c>
      <c r="AB20" s="15" t="n">
        <v>0</v>
      </c>
      <c r="AC20" s="15" t="s">
        <v>180</v>
      </c>
      <c r="AD20" s="15" t="s">
        <v>162</v>
      </c>
      <c r="AE20" s="15" t="s">
        <v>163</v>
      </c>
      <c r="AF20" s="15"/>
      <c r="AG20" s="24" t="n">
        <f aca="false">SUMIFS(Permissions!$G$2:$G$3000,Permissions!$B$2:$B$3000,$A20,Permissions!$I$2:$I$3000,"Complete",Permissions!$P$2:$P$3000,"Yes")</f>
        <v>0</v>
      </c>
      <c r="AH20" s="24" t="n">
        <f aca="false">SUMIFS(Permissions!$G$2:$G$3000,Permissions!$B$2:$B$3000,$A20,Permissions!$I$2:$I$3000,"Under construction",Permissions!$P$2:$P$3000,"Yes")</f>
        <v>99</v>
      </c>
      <c r="AI20" s="24" t="n">
        <f aca="false">SUMIFS(Permissions!$G$2:$G$3000,Permissions!$B$2:$B$3000,$A20,Permissions!$I$2:$I$3000,"Permitted – not started",Permissions!$P$2:$P$3000,"Yes")</f>
        <v>0</v>
      </c>
      <c r="AJ20" s="24" t="n">
        <f aca="false">SUMIFS(Permissions!$G$2:$G$3000,Permissions!$B$2:$B$3000,$A20,Permissions!$I$2:$I$3000,"Stalled",Permissions!$P$2:$P$3000,"Yes")</f>
        <v>0</v>
      </c>
      <c r="AK20" s="24" t="n">
        <f aca="false">AG20+AH20+AI20+AJ20</f>
        <v>99</v>
      </c>
      <c r="AL20" s="24" t="n">
        <f aca="false">SUMIFS(Permissions!$G$2:$G$3000,Permissions!$B$2:$B$3000,$A20,Permissions!$I$2:$I$3000,"Expired – not started",Permissions!$P$2:$P$3000,"Yes")</f>
        <v>0</v>
      </c>
      <c r="AM20" s="24" t="n">
        <f aca="false">SUMIFS(Permissions!$G$2:$G$3000,Permissions!$B$2:$B$3000,$A20,Permissions!$I$2:$I$3000,"In planning",Permissions!$P$2:$P$3000,"Yes")</f>
        <v>0</v>
      </c>
      <c r="AN20" s="24" t="n">
        <f aca="false">IF(R20="",0,MAX(R20-AK20,0))</f>
        <v>0</v>
      </c>
      <c r="AO20" s="25" t="n">
        <f aca="false">AK20+AN20</f>
        <v>99</v>
      </c>
      <c r="AP20" s="24" t="n">
        <f aca="false">AO20-AG20</f>
        <v>99</v>
      </c>
      <c r="AQ20" s="26" t="n">
        <f aca="false">SUMIFS(Permissions!$AH$2:$AH$3000,Permissions!$B$2:$B$3000,$A20,Permissions!$P$2:$P$3000,"Yes")</f>
        <v>13</v>
      </c>
      <c r="AR20" s="26" t="n">
        <f aca="false">SUMIFS(Permissions!$AI$2:$AI$3000,Permissions!$B$2:$B$3000,$A20,Permissions!$P$2:$P$3000,"Yes")</f>
        <v>55.8</v>
      </c>
      <c r="AS20" s="26" t="n">
        <f aca="false">SUMIFS(Permissions!$AJ$2:$AJ$3000,Permissions!$B$2:$B$3000,$A20,Permissions!$P$2:$P$3000,"Yes")</f>
        <v>30.2</v>
      </c>
      <c r="AT20" s="26" t="n">
        <f aca="false">SUMIFS(Permissions!$AK$2:$AK$3000,Permissions!$B$2:$B$3000,$A20,Permissions!$P$2:$P$3000,"Yes")</f>
        <v>0</v>
      </c>
      <c r="AU20" s="26" t="n">
        <f aca="false">SUMIFS(Permissions!$AL$2:$AL$3000,Permissions!$B$2:$B$3000,$A20,Permissions!$P$2:$P$3000,"Yes")</f>
        <v>0</v>
      </c>
      <c r="AV20" s="26" t="n">
        <f aca="false">SUMIFS(Permissions!$AM$2:$AM$3000,Permissions!$B$2:$B$3000,$A20,Permissions!$P$2:$P$3000,"Yes")</f>
        <v>0</v>
      </c>
      <c r="AW20" s="24" t="n">
        <f aca="false">COUNTIFS(Permissions!$B$2:$B$3000,$A20,Permissions!$P$2:$P$3000,"Yes")</f>
        <v>1</v>
      </c>
      <c r="AX20" s="24" t="n">
        <f aca="false">SUMIFS(Permissions!$L$2:$L$3000,Permissions!$B$2:$B$3000,$A20,Permissions!$P$2:$P$3000,"Yes")</f>
        <v>0</v>
      </c>
      <c r="AY20" s="27" t="str">
        <f aca="false">IF(AND(AK20&gt;0,AG20&gt;=AK20,AN20=0),"Built out",IF(AG20&gt;0,"Partly built",IF(AK20&gt;0,"Consented – not built","No consent")))</f>
        <v>Consented – not built</v>
      </c>
      <c r="AZ20" s="28" t="str">
        <f aca="false">IF(AND(R20&lt;&gt;"",AK20&gt;1.1*R20),"Consented above capacity",IF(AND(LEFT(B20,8)="Planning",AW20=0),"Consent parcel with no permission",IF(COUNTIF($A$2:$A$3000,$A20)&gt;1,"Duplicate parcel_id","")))</f>
        <v/>
      </c>
    </row>
    <row r="21" customFormat="false" ht="15" hidden="false" customHeight="false" outlineLevel="0" collapsed="false">
      <c r="A21" s="15" t="s">
        <v>199</v>
      </c>
      <c r="B21" s="15" t="s">
        <v>10</v>
      </c>
      <c r="C21" s="15" t="s">
        <v>16</v>
      </c>
      <c r="D21" s="15" t="s">
        <v>51</v>
      </c>
      <c r="E21" s="15" t="s">
        <v>19</v>
      </c>
      <c r="F21" s="15" t="n">
        <v>1</v>
      </c>
      <c r="G21" s="15" t="s">
        <v>154</v>
      </c>
      <c r="H21" s="15" t="n">
        <v>6</v>
      </c>
      <c r="I21" s="15" t="s">
        <v>51</v>
      </c>
      <c r="J21" s="15" t="s">
        <v>176</v>
      </c>
      <c r="K21" s="15" t="s">
        <v>177</v>
      </c>
      <c r="L21" s="15" t="s">
        <v>183</v>
      </c>
      <c r="M21" s="15" t="s">
        <v>200</v>
      </c>
      <c r="N21" s="15" t="s">
        <v>178</v>
      </c>
      <c r="O21" s="15" t="s">
        <v>179</v>
      </c>
      <c r="P21" s="15" t="n">
        <v>0.162</v>
      </c>
      <c r="Q21" s="15" t="n">
        <v>0.651</v>
      </c>
      <c r="R21" s="15" t="n">
        <v>12</v>
      </c>
      <c r="S21" s="15" t="s">
        <v>160</v>
      </c>
      <c r="T21" s="15"/>
      <c r="U21" s="15"/>
      <c r="V21" s="15"/>
      <c r="W21" s="15"/>
      <c r="X21" s="15"/>
      <c r="Y21" s="15"/>
      <c r="Z21" s="15"/>
      <c r="AA21" s="15" t="n">
        <v>0</v>
      </c>
      <c r="AB21" s="15" t="n">
        <v>0</v>
      </c>
      <c r="AC21" s="15" t="s">
        <v>180</v>
      </c>
      <c r="AD21" s="15" t="s">
        <v>162</v>
      </c>
      <c r="AE21" s="15" t="s">
        <v>163</v>
      </c>
      <c r="AF21" s="15"/>
      <c r="AG21" s="24" t="n">
        <f aca="false">SUMIFS(Permissions!$G$2:$G$3000,Permissions!$B$2:$B$3000,$A21,Permissions!$I$2:$I$3000,"Complete",Permissions!$P$2:$P$3000,"Yes")</f>
        <v>0</v>
      </c>
      <c r="AH21" s="24" t="n">
        <f aca="false">SUMIFS(Permissions!$G$2:$G$3000,Permissions!$B$2:$B$3000,$A21,Permissions!$I$2:$I$3000,"Under construction",Permissions!$P$2:$P$3000,"Yes")</f>
        <v>0</v>
      </c>
      <c r="AI21" s="24" t="n">
        <f aca="false">SUMIFS(Permissions!$G$2:$G$3000,Permissions!$B$2:$B$3000,$A21,Permissions!$I$2:$I$3000,"Permitted – not started",Permissions!$P$2:$P$3000,"Yes")</f>
        <v>12</v>
      </c>
      <c r="AJ21" s="24" t="n">
        <f aca="false">SUMIFS(Permissions!$G$2:$G$3000,Permissions!$B$2:$B$3000,$A21,Permissions!$I$2:$I$3000,"Stalled",Permissions!$P$2:$P$3000,"Yes")</f>
        <v>0</v>
      </c>
      <c r="AK21" s="24" t="n">
        <f aca="false">AG21+AH21+AI21+AJ21</f>
        <v>12</v>
      </c>
      <c r="AL21" s="24" t="n">
        <f aca="false">SUMIFS(Permissions!$G$2:$G$3000,Permissions!$B$2:$B$3000,$A21,Permissions!$I$2:$I$3000,"Expired – not started",Permissions!$P$2:$P$3000,"Yes")</f>
        <v>0</v>
      </c>
      <c r="AM21" s="24" t="n">
        <f aca="false">SUMIFS(Permissions!$G$2:$G$3000,Permissions!$B$2:$B$3000,$A21,Permissions!$I$2:$I$3000,"In planning",Permissions!$P$2:$P$3000,"Yes")</f>
        <v>0</v>
      </c>
      <c r="AN21" s="24" t="n">
        <f aca="false">IF(R21="",0,MAX(R21-AK21,0))</f>
        <v>0</v>
      </c>
      <c r="AO21" s="25" t="n">
        <f aca="false">AK21+AN21</f>
        <v>12</v>
      </c>
      <c r="AP21" s="24" t="n">
        <f aca="false">AO21-AG21</f>
        <v>12</v>
      </c>
      <c r="AQ21" s="26" t="n">
        <f aca="false">SUMIFS(Permissions!$AH$2:$AH$3000,Permissions!$B$2:$B$3000,$A21,Permissions!$P$2:$P$3000,"Yes")</f>
        <v>0</v>
      </c>
      <c r="AR21" s="26" t="n">
        <f aca="false">SUMIFS(Permissions!$AI$2:$AI$3000,Permissions!$B$2:$B$3000,$A21,Permissions!$P$2:$P$3000,"Yes")</f>
        <v>0</v>
      </c>
      <c r="AS21" s="26" t="n">
        <f aca="false">SUMIFS(Permissions!$AJ$2:$AJ$3000,Permissions!$B$2:$B$3000,$A21,Permissions!$P$2:$P$3000,"Yes")</f>
        <v>7</v>
      </c>
      <c r="AT21" s="26" t="n">
        <f aca="false">SUMIFS(Permissions!$AK$2:$AK$3000,Permissions!$B$2:$B$3000,$A21,Permissions!$P$2:$P$3000,"Yes")</f>
        <v>5</v>
      </c>
      <c r="AU21" s="26" t="n">
        <f aca="false">SUMIFS(Permissions!$AL$2:$AL$3000,Permissions!$B$2:$B$3000,$A21,Permissions!$P$2:$P$3000,"Yes")</f>
        <v>0</v>
      </c>
      <c r="AV21" s="26" t="n">
        <f aca="false">SUMIFS(Permissions!$AM$2:$AM$3000,Permissions!$B$2:$B$3000,$A21,Permissions!$P$2:$P$3000,"Yes")</f>
        <v>0</v>
      </c>
      <c r="AW21" s="24" t="n">
        <f aca="false">COUNTIFS(Permissions!$B$2:$B$3000,$A21,Permissions!$P$2:$P$3000,"Yes")</f>
        <v>1</v>
      </c>
      <c r="AX21" s="24" t="n">
        <f aca="false">SUMIFS(Permissions!$L$2:$L$3000,Permissions!$B$2:$B$3000,$A21,Permissions!$P$2:$P$3000,"Yes")</f>
        <v>0</v>
      </c>
      <c r="AY21" s="27" t="str">
        <f aca="false">IF(AND(AK21&gt;0,AG21&gt;=AK21,AN21=0),"Built out",IF(AG21&gt;0,"Partly built",IF(AK21&gt;0,"Consented – not built","No consent")))</f>
        <v>Consented – not built</v>
      </c>
      <c r="AZ21" s="28" t="str">
        <f aca="false">IF(AND(R21&lt;&gt;"",AK21&gt;1.1*R21),"Consented above capacity",IF(AND(LEFT(B21,8)="Planning",AW21=0),"Consent parcel with no permission",IF(COUNTIF($A$2:$A$3000,$A21)&gt;1,"Duplicate parcel_id","")))</f>
        <v/>
      </c>
    </row>
    <row r="22" customFormat="false" ht="15" hidden="false" customHeight="false" outlineLevel="0" collapsed="false">
      <c r="A22" s="15" t="s">
        <v>201</v>
      </c>
      <c r="B22" s="15" t="s">
        <v>10</v>
      </c>
      <c r="C22" s="15" t="s">
        <v>16</v>
      </c>
      <c r="D22" s="15" t="s">
        <v>51</v>
      </c>
      <c r="E22" s="15" t="s">
        <v>19</v>
      </c>
      <c r="F22" s="15" t="n">
        <v>1</v>
      </c>
      <c r="G22" s="15" t="s">
        <v>154</v>
      </c>
      <c r="H22" s="15" t="n">
        <v>7</v>
      </c>
      <c r="I22" s="15" t="s">
        <v>51</v>
      </c>
      <c r="J22" s="15" t="s">
        <v>176</v>
      </c>
      <c r="K22" s="15" t="s">
        <v>177</v>
      </c>
      <c r="L22" s="15" t="s">
        <v>183</v>
      </c>
      <c r="M22" s="15" t="s">
        <v>157</v>
      </c>
      <c r="N22" s="15" t="s">
        <v>178</v>
      </c>
      <c r="O22" s="15" t="s">
        <v>179</v>
      </c>
      <c r="P22" s="15" t="n">
        <v>11.8</v>
      </c>
      <c r="Q22" s="15" t="n">
        <v>11.8</v>
      </c>
      <c r="R22" s="15" t="n">
        <v>413</v>
      </c>
      <c r="S22" s="15" t="s">
        <v>160</v>
      </c>
      <c r="T22" s="15"/>
      <c r="U22" s="15"/>
      <c r="V22" s="15"/>
      <c r="W22" s="15"/>
      <c r="X22" s="15"/>
      <c r="Y22" s="15"/>
      <c r="Z22" s="15"/>
      <c r="AA22" s="15" t="n">
        <v>0</v>
      </c>
      <c r="AB22" s="15" t="n">
        <v>0</v>
      </c>
      <c r="AC22" s="15" t="s">
        <v>180</v>
      </c>
      <c r="AD22" s="15" t="s">
        <v>162</v>
      </c>
      <c r="AE22" s="15" t="s">
        <v>163</v>
      </c>
      <c r="AF22" s="15"/>
      <c r="AG22" s="24" t="n">
        <f aca="false">SUMIFS(Permissions!$G$2:$G$3000,Permissions!$B$2:$B$3000,$A22,Permissions!$I$2:$I$3000,"Complete",Permissions!$P$2:$P$3000,"Yes")</f>
        <v>0</v>
      </c>
      <c r="AH22" s="24" t="n">
        <f aca="false">SUMIFS(Permissions!$G$2:$G$3000,Permissions!$B$2:$B$3000,$A22,Permissions!$I$2:$I$3000,"Under construction",Permissions!$P$2:$P$3000,"Yes")</f>
        <v>0</v>
      </c>
      <c r="AI22" s="24" t="n">
        <f aca="false">SUMIFS(Permissions!$G$2:$G$3000,Permissions!$B$2:$B$3000,$A22,Permissions!$I$2:$I$3000,"Permitted – not started",Permissions!$P$2:$P$3000,"Yes")</f>
        <v>251</v>
      </c>
      <c r="AJ22" s="24" t="n">
        <f aca="false">SUMIFS(Permissions!$G$2:$G$3000,Permissions!$B$2:$B$3000,$A22,Permissions!$I$2:$I$3000,"Stalled",Permissions!$P$2:$P$3000,"Yes")</f>
        <v>0</v>
      </c>
      <c r="AK22" s="24" t="n">
        <f aca="false">AG22+AH22+AI22+AJ22</f>
        <v>251</v>
      </c>
      <c r="AL22" s="24" t="n">
        <f aca="false">SUMIFS(Permissions!$G$2:$G$3000,Permissions!$B$2:$B$3000,$A22,Permissions!$I$2:$I$3000,"Expired – not started",Permissions!$P$2:$P$3000,"Yes")</f>
        <v>0</v>
      </c>
      <c r="AM22" s="24" t="n">
        <f aca="false">SUMIFS(Permissions!$G$2:$G$3000,Permissions!$B$2:$B$3000,$A22,Permissions!$I$2:$I$3000,"In planning",Permissions!$P$2:$P$3000,"Yes")</f>
        <v>0</v>
      </c>
      <c r="AN22" s="24" t="n">
        <f aca="false">IF(R22="",0,MAX(R22-AK22,0))</f>
        <v>162</v>
      </c>
      <c r="AO22" s="25" t="n">
        <f aca="false">AK22+AN22</f>
        <v>413</v>
      </c>
      <c r="AP22" s="24" t="n">
        <f aca="false">AO22-AG22</f>
        <v>413</v>
      </c>
      <c r="AQ22" s="26" t="n">
        <f aca="false">SUMIFS(Permissions!$AH$2:$AH$3000,Permissions!$B$2:$B$3000,$A22,Permissions!$P$2:$P$3000,"Yes")</f>
        <v>0</v>
      </c>
      <c r="AR22" s="26" t="n">
        <f aca="false">SUMIFS(Permissions!$AI$2:$AI$3000,Permissions!$B$2:$B$3000,$A22,Permissions!$P$2:$P$3000,"Yes")</f>
        <v>0</v>
      </c>
      <c r="AS22" s="26" t="n">
        <f aca="false">SUMIFS(Permissions!$AJ$2:$AJ$3000,Permissions!$B$2:$B$3000,$A22,Permissions!$P$2:$P$3000,"Yes")</f>
        <v>71</v>
      </c>
      <c r="AT22" s="26" t="n">
        <f aca="false">SUMIFS(Permissions!$AK$2:$AK$3000,Permissions!$B$2:$B$3000,$A22,Permissions!$P$2:$P$3000,"Yes")</f>
        <v>137.4</v>
      </c>
      <c r="AU22" s="26" t="n">
        <f aca="false">SUMIFS(Permissions!$AL$2:$AL$3000,Permissions!$B$2:$B$3000,$A22,Permissions!$P$2:$P$3000,"Yes")</f>
        <v>42.6</v>
      </c>
      <c r="AV22" s="26" t="n">
        <f aca="false">SUMIFS(Permissions!$AM$2:$AM$3000,Permissions!$B$2:$B$3000,$A22,Permissions!$P$2:$P$3000,"Yes")</f>
        <v>0</v>
      </c>
      <c r="AW22" s="24" t="n">
        <f aca="false">COUNTIFS(Permissions!$B$2:$B$3000,$A22,Permissions!$P$2:$P$3000,"Yes")</f>
        <v>3</v>
      </c>
      <c r="AX22" s="24" t="n">
        <f aca="false">SUMIFS(Permissions!$L$2:$L$3000,Permissions!$B$2:$B$3000,$A22,Permissions!$P$2:$P$3000,"Yes")</f>
        <v>0</v>
      </c>
      <c r="AY22" s="27" t="str">
        <f aca="false">IF(AND(AK22&gt;0,AG22&gt;=AK22,AN22=0),"Built out",IF(AG22&gt;0,"Partly built",IF(AK22&gt;0,"Consented – not built","No consent")))</f>
        <v>Consented – not built</v>
      </c>
      <c r="AZ22" s="28" t="str">
        <f aca="false">IF(AND(R22&lt;&gt;"",AK22&gt;1.1*R22),"Consented above capacity",IF(AND(LEFT(B22,8)="Planning",AW22=0),"Consent parcel with no permission",IF(COUNTIF($A$2:$A$3000,$A22)&gt;1,"Duplicate parcel_id","")))</f>
        <v/>
      </c>
    </row>
    <row r="23" customFormat="false" ht="15" hidden="false" customHeight="false" outlineLevel="0" collapsed="false">
      <c r="A23" s="15" t="s">
        <v>202</v>
      </c>
      <c r="B23" s="15" t="s">
        <v>10</v>
      </c>
      <c r="C23" s="15" t="s">
        <v>16</v>
      </c>
      <c r="D23" s="15" t="s">
        <v>51</v>
      </c>
      <c r="E23" s="15" t="s">
        <v>19</v>
      </c>
      <c r="F23" s="15" t="n">
        <v>1</v>
      </c>
      <c r="G23" s="15" t="s">
        <v>154</v>
      </c>
      <c r="H23" s="15" t="n">
        <v>8</v>
      </c>
      <c r="I23" s="15" t="s">
        <v>51</v>
      </c>
      <c r="J23" s="15" t="s">
        <v>176</v>
      </c>
      <c r="K23" s="15" t="s">
        <v>177</v>
      </c>
      <c r="L23" s="15" t="s">
        <v>183</v>
      </c>
      <c r="M23" s="15" t="s">
        <v>157</v>
      </c>
      <c r="N23" s="15" t="s">
        <v>178</v>
      </c>
      <c r="O23" s="15" t="s">
        <v>179</v>
      </c>
      <c r="P23" s="15" t="n">
        <v>2.772</v>
      </c>
      <c r="Q23" s="15" t="n">
        <v>2.771</v>
      </c>
      <c r="R23" s="15" t="n">
        <v>97</v>
      </c>
      <c r="S23" s="15" t="s">
        <v>160</v>
      </c>
      <c r="T23" s="15"/>
      <c r="U23" s="15"/>
      <c r="V23" s="15"/>
      <c r="W23" s="15"/>
      <c r="X23" s="15"/>
      <c r="Y23" s="15"/>
      <c r="Z23" s="15"/>
      <c r="AA23" s="15" t="n">
        <v>0</v>
      </c>
      <c r="AB23" s="15" t="n">
        <v>0</v>
      </c>
      <c r="AC23" s="15" t="s">
        <v>180</v>
      </c>
      <c r="AD23" s="15" t="s">
        <v>162</v>
      </c>
      <c r="AE23" s="15" t="s">
        <v>163</v>
      </c>
      <c r="AF23" s="15"/>
      <c r="AG23" s="24" t="n">
        <f aca="false">SUMIFS(Permissions!$G$2:$G$3000,Permissions!$B$2:$B$3000,$A23,Permissions!$I$2:$I$3000,"Complete",Permissions!$P$2:$P$3000,"Yes")</f>
        <v>0</v>
      </c>
      <c r="AH23" s="24" t="n">
        <f aca="false">SUMIFS(Permissions!$G$2:$G$3000,Permissions!$B$2:$B$3000,$A23,Permissions!$I$2:$I$3000,"Under construction",Permissions!$P$2:$P$3000,"Yes")</f>
        <v>0</v>
      </c>
      <c r="AI23" s="24" t="n">
        <f aca="false">SUMIFS(Permissions!$G$2:$G$3000,Permissions!$B$2:$B$3000,$A23,Permissions!$I$2:$I$3000,"Permitted – not started",Permissions!$P$2:$P$3000,"Yes")</f>
        <v>86</v>
      </c>
      <c r="AJ23" s="24" t="n">
        <f aca="false">SUMIFS(Permissions!$G$2:$G$3000,Permissions!$B$2:$B$3000,$A23,Permissions!$I$2:$I$3000,"Stalled",Permissions!$P$2:$P$3000,"Yes")</f>
        <v>0</v>
      </c>
      <c r="AK23" s="24" t="n">
        <f aca="false">AG23+AH23+AI23+AJ23</f>
        <v>86</v>
      </c>
      <c r="AL23" s="24" t="n">
        <f aca="false">SUMIFS(Permissions!$G$2:$G$3000,Permissions!$B$2:$B$3000,$A23,Permissions!$I$2:$I$3000,"Expired – not started",Permissions!$P$2:$P$3000,"Yes")</f>
        <v>0</v>
      </c>
      <c r="AM23" s="24" t="n">
        <f aca="false">SUMIFS(Permissions!$G$2:$G$3000,Permissions!$B$2:$B$3000,$A23,Permissions!$I$2:$I$3000,"In planning",Permissions!$P$2:$P$3000,"Yes")</f>
        <v>0</v>
      </c>
      <c r="AN23" s="24" t="n">
        <f aca="false">IF(R23="",0,MAX(R23-AK23,0))</f>
        <v>11</v>
      </c>
      <c r="AO23" s="25" t="n">
        <f aca="false">AK23+AN23</f>
        <v>97</v>
      </c>
      <c r="AP23" s="24" t="n">
        <f aca="false">AO23-AG23</f>
        <v>97</v>
      </c>
      <c r="AQ23" s="26" t="n">
        <f aca="false">SUMIFS(Permissions!$AH$2:$AH$3000,Permissions!$B$2:$B$3000,$A23,Permissions!$P$2:$P$3000,"Yes")</f>
        <v>0</v>
      </c>
      <c r="AR23" s="26" t="n">
        <f aca="false">SUMIFS(Permissions!$AI$2:$AI$3000,Permissions!$B$2:$B$3000,$A23,Permissions!$P$2:$P$3000,"Yes")</f>
        <v>0</v>
      </c>
      <c r="AS23" s="26" t="n">
        <f aca="false">SUMIFS(Permissions!$AJ$2:$AJ$3000,Permissions!$B$2:$B$3000,$A23,Permissions!$P$2:$P$3000,"Yes")</f>
        <v>27.2</v>
      </c>
      <c r="AT23" s="26" t="n">
        <f aca="false">SUMIFS(Permissions!$AK$2:$AK$3000,Permissions!$B$2:$B$3000,$A23,Permissions!$P$2:$P$3000,"Yes")</f>
        <v>56.4</v>
      </c>
      <c r="AU23" s="26" t="n">
        <f aca="false">SUMIFS(Permissions!$AL$2:$AL$3000,Permissions!$B$2:$B$3000,$A23,Permissions!$P$2:$P$3000,"Yes")</f>
        <v>2.4</v>
      </c>
      <c r="AV23" s="26" t="n">
        <f aca="false">SUMIFS(Permissions!$AM$2:$AM$3000,Permissions!$B$2:$B$3000,$A23,Permissions!$P$2:$P$3000,"Yes")</f>
        <v>0</v>
      </c>
      <c r="AW23" s="24" t="n">
        <f aca="false">COUNTIFS(Permissions!$B$2:$B$3000,$A23,Permissions!$P$2:$P$3000,"Yes")</f>
        <v>1</v>
      </c>
      <c r="AX23" s="24" t="n">
        <f aca="false">SUMIFS(Permissions!$L$2:$L$3000,Permissions!$B$2:$B$3000,$A23,Permissions!$P$2:$P$3000,"Yes")</f>
        <v>0</v>
      </c>
      <c r="AY23" s="27" t="str">
        <f aca="false">IF(AND(AK23&gt;0,AG23&gt;=AK23,AN23=0),"Built out",IF(AG23&gt;0,"Partly built",IF(AK23&gt;0,"Consented – not built","No consent")))</f>
        <v>Consented – not built</v>
      </c>
      <c r="AZ23" s="28" t="str">
        <f aca="false">IF(AND(R23&lt;&gt;"",AK23&gt;1.1*R23),"Consented above capacity",IF(AND(LEFT(B23,8)="Planning",AW23=0),"Consent parcel with no permission",IF(COUNTIF($A$2:$A$3000,$A23)&gt;1,"Duplicate parcel_id","")))</f>
        <v/>
      </c>
    </row>
    <row r="24" customFormat="false" ht="15" hidden="false" customHeight="false" outlineLevel="0" collapsed="false">
      <c r="A24" s="15" t="s">
        <v>203</v>
      </c>
      <c r="B24" s="15" t="s">
        <v>10</v>
      </c>
      <c r="C24" s="15" t="s">
        <v>16</v>
      </c>
      <c r="D24" s="15" t="s">
        <v>51</v>
      </c>
      <c r="E24" s="15" t="s">
        <v>19</v>
      </c>
      <c r="F24" s="15" t="n">
        <v>1</v>
      </c>
      <c r="G24" s="15" t="s">
        <v>154</v>
      </c>
      <c r="H24" s="15" t="n">
        <v>9</v>
      </c>
      <c r="I24" s="15" t="s">
        <v>51</v>
      </c>
      <c r="J24" s="15" t="s">
        <v>176</v>
      </c>
      <c r="K24" s="15" t="s">
        <v>177</v>
      </c>
      <c r="L24" s="15" t="s">
        <v>156</v>
      </c>
      <c r="M24" s="15" t="s">
        <v>165</v>
      </c>
      <c r="N24" s="15" t="s">
        <v>166</v>
      </c>
      <c r="O24" s="15" t="s">
        <v>159</v>
      </c>
      <c r="P24" s="15" t="n">
        <v>1.07</v>
      </c>
      <c r="Q24" s="15" t="n">
        <v>1.071</v>
      </c>
      <c r="R24" s="15" t="n">
        <v>48</v>
      </c>
      <c r="S24" s="15" t="s">
        <v>160</v>
      </c>
      <c r="T24" s="15"/>
      <c r="U24" s="15"/>
      <c r="V24" s="15"/>
      <c r="W24" s="15"/>
      <c r="X24" s="15"/>
      <c r="Y24" s="15"/>
      <c r="Z24" s="15"/>
      <c r="AA24" s="15" t="n">
        <v>0</v>
      </c>
      <c r="AB24" s="15" t="n">
        <v>0</v>
      </c>
      <c r="AC24" s="15" t="s">
        <v>161</v>
      </c>
      <c r="AD24" s="15" t="s">
        <v>162</v>
      </c>
      <c r="AE24" s="15" t="s">
        <v>163</v>
      </c>
      <c r="AF24" s="15"/>
      <c r="AG24" s="24" t="n">
        <f aca="false">SUMIFS(Permissions!$G$2:$G$3000,Permissions!$B$2:$B$3000,$A24,Permissions!$I$2:$I$3000,"Complete",Permissions!$P$2:$P$3000,"Yes")</f>
        <v>0</v>
      </c>
      <c r="AH24" s="24" t="n">
        <f aca="false">SUMIFS(Permissions!$G$2:$G$3000,Permissions!$B$2:$B$3000,$A24,Permissions!$I$2:$I$3000,"Under construction",Permissions!$P$2:$P$3000,"Yes")</f>
        <v>0</v>
      </c>
      <c r="AI24" s="24" t="n">
        <f aca="false">SUMIFS(Permissions!$G$2:$G$3000,Permissions!$B$2:$B$3000,$A24,Permissions!$I$2:$I$3000,"Permitted – not started",Permissions!$P$2:$P$3000,"Yes")</f>
        <v>0</v>
      </c>
      <c r="AJ24" s="24" t="n">
        <f aca="false">SUMIFS(Permissions!$G$2:$G$3000,Permissions!$B$2:$B$3000,$A24,Permissions!$I$2:$I$3000,"Stalled",Permissions!$P$2:$P$3000,"Yes")</f>
        <v>0</v>
      </c>
      <c r="AK24" s="24" t="n">
        <f aca="false">AG24+AH24+AI24+AJ24</f>
        <v>0</v>
      </c>
      <c r="AL24" s="24" t="n">
        <f aca="false">SUMIFS(Permissions!$G$2:$G$3000,Permissions!$B$2:$B$3000,$A24,Permissions!$I$2:$I$3000,"Expired – not started",Permissions!$P$2:$P$3000,"Yes")</f>
        <v>0</v>
      </c>
      <c r="AM24" s="24" t="n">
        <f aca="false">SUMIFS(Permissions!$G$2:$G$3000,Permissions!$B$2:$B$3000,$A24,Permissions!$I$2:$I$3000,"In planning",Permissions!$P$2:$P$3000,"Yes")</f>
        <v>0</v>
      </c>
      <c r="AN24" s="24" t="n">
        <f aca="false">IF(R24="",0,MAX(R24-AK24,0))</f>
        <v>48</v>
      </c>
      <c r="AO24" s="25" t="n">
        <f aca="false">AK24+AN24</f>
        <v>48</v>
      </c>
      <c r="AP24" s="24" t="n">
        <f aca="false">AO24-AG24</f>
        <v>48</v>
      </c>
      <c r="AQ24" s="26" t="n">
        <f aca="false">SUMIFS(Permissions!$AH$2:$AH$3000,Permissions!$B$2:$B$3000,$A24,Permissions!$P$2:$P$3000,"Yes")</f>
        <v>0</v>
      </c>
      <c r="AR24" s="26" t="n">
        <f aca="false">SUMIFS(Permissions!$AI$2:$AI$3000,Permissions!$B$2:$B$3000,$A24,Permissions!$P$2:$P$3000,"Yes")</f>
        <v>0</v>
      </c>
      <c r="AS24" s="26" t="n">
        <f aca="false">SUMIFS(Permissions!$AJ$2:$AJ$3000,Permissions!$B$2:$B$3000,$A24,Permissions!$P$2:$P$3000,"Yes")</f>
        <v>0</v>
      </c>
      <c r="AT24" s="26" t="n">
        <f aca="false">SUMIFS(Permissions!$AK$2:$AK$3000,Permissions!$B$2:$B$3000,$A24,Permissions!$P$2:$P$3000,"Yes")</f>
        <v>0</v>
      </c>
      <c r="AU24" s="26" t="n">
        <f aca="false">SUMIFS(Permissions!$AL$2:$AL$3000,Permissions!$B$2:$B$3000,$A24,Permissions!$P$2:$P$3000,"Yes")</f>
        <v>0</v>
      </c>
      <c r="AV24" s="26" t="n">
        <f aca="false">SUMIFS(Permissions!$AM$2:$AM$3000,Permissions!$B$2:$B$3000,$A24,Permissions!$P$2:$P$3000,"Yes")</f>
        <v>0</v>
      </c>
      <c r="AW24" s="24" t="n">
        <f aca="false">COUNTIFS(Permissions!$B$2:$B$3000,$A24,Permissions!$P$2:$P$3000,"Yes")</f>
        <v>0</v>
      </c>
      <c r="AX24" s="24" t="n">
        <f aca="false">SUMIFS(Permissions!$L$2:$L$3000,Permissions!$B$2:$B$3000,$A24,Permissions!$P$2:$P$3000,"Yes")</f>
        <v>0</v>
      </c>
      <c r="AY24" s="27" t="str">
        <f aca="false">IF(AND(AK24&gt;0,AG24&gt;=AK24,AN24=0),"Built out",IF(AG24&gt;0,"Partly built",IF(AK24&gt;0,"Consented – not built","No consent")))</f>
        <v>No consent</v>
      </c>
      <c r="AZ24" s="28" t="str">
        <f aca="false">IF(AND(R24&lt;&gt;"",AK24&gt;1.1*R24),"Consented above capacity",IF(AND(LEFT(B24,8)="Planning",AW24=0),"Consent parcel with no permission",IF(COUNTIF($A$2:$A$3000,$A24)&gt;1,"Duplicate parcel_id","")))</f>
        <v/>
      </c>
    </row>
    <row r="25" customFormat="false" ht="15" hidden="false" customHeight="false" outlineLevel="0" collapsed="false">
      <c r="A25" s="15" t="s">
        <v>204</v>
      </c>
      <c r="B25" s="15" t="s">
        <v>10</v>
      </c>
      <c r="C25" s="15" t="s">
        <v>16</v>
      </c>
      <c r="D25" s="15" t="s">
        <v>52</v>
      </c>
      <c r="E25" s="15" t="s">
        <v>19</v>
      </c>
      <c r="F25" s="15" t="n">
        <v>1</v>
      </c>
      <c r="G25" s="15" t="s">
        <v>154</v>
      </c>
      <c r="H25" s="15" t="n">
        <v>159</v>
      </c>
      <c r="I25" s="15" t="s">
        <v>52</v>
      </c>
      <c r="J25" s="15" t="s">
        <v>205</v>
      </c>
      <c r="K25" s="15" t="s">
        <v>206</v>
      </c>
      <c r="L25" s="15" t="s">
        <v>170</v>
      </c>
      <c r="M25" s="15" t="s">
        <v>157</v>
      </c>
      <c r="N25" s="15" t="s">
        <v>178</v>
      </c>
      <c r="O25" s="15" t="s">
        <v>207</v>
      </c>
      <c r="P25" s="15" t="n">
        <v>2.734</v>
      </c>
      <c r="Q25" s="15" t="n">
        <v>2.733</v>
      </c>
      <c r="R25" s="15" t="n">
        <v>97</v>
      </c>
      <c r="S25" s="15" t="s">
        <v>160</v>
      </c>
      <c r="T25" s="15"/>
      <c r="U25" s="15"/>
      <c r="V25" s="15"/>
      <c r="W25" s="15"/>
      <c r="X25" s="15"/>
      <c r="Y25" s="15"/>
      <c r="Z25" s="15"/>
      <c r="AA25" s="15" t="n">
        <v>0</v>
      </c>
      <c r="AB25" s="15" t="n">
        <v>0</v>
      </c>
      <c r="AC25" s="15" t="s">
        <v>161</v>
      </c>
      <c r="AD25" s="15" t="s">
        <v>162</v>
      </c>
      <c r="AE25" s="15" t="s">
        <v>163</v>
      </c>
      <c r="AF25" s="15"/>
      <c r="AG25" s="24" t="n">
        <f aca="false">SUMIFS(Permissions!$G$2:$G$3000,Permissions!$B$2:$B$3000,$A25,Permissions!$I$2:$I$3000,"Complete",Permissions!$P$2:$P$3000,"Yes")</f>
        <v>0</v>
      </c>
      <c r="AH25" s="24" t="n">
        <f aca="false">SUMIFS(Permissions!$G$2:$G$3000,Permissions!$B$2:$B$3000,$A25,Permissions!$I$2:$I$3000,"Under construction",Permissions!$P$2:$P$3000,"Yes")</f>
        <v>0</v>
      </c>
      <c r="AI25" s="24" t="n">
        <f aca="false">SUMIFS(Permissions!$G$2:$G$3000,Permissions!$B$2:$B$3000,$A25,Permissions!$I$2:$I$3000,"Permitted – not started",Permissions!$P$2:$P$3000,"Yes")</f>
        <v>0</v>
      </c>
      <c r="AJ25" s="24" t="n">
        <f aca="false">SUMIFS(Permissions!$G$2:$G$3000,Permissions!$B$2:$B$3000,$A25,Permissions!$I$2:$I$3000,"Stalled",Permissions!$P$2:$P$3000,"Yes")</f>
        <v>0</v>
      </c>
      <c r="AK25" s="24" t="n">
        <f aca="false">AG25+AH25+AI25+AJ25</f>
        <v>0</v>
      </c>
      <c r="AL25" s="24" t="n">
        <f aca="false">SUMIFS(Permissions!$G$2:$G$3000,Permissions!$B$2:$B$3000,$A25,Permissions!$I$2:$I$3000,"Expired – not started",Permissions!$P$2:$P$3000,"Yes")</f>
        <v>0</v>
      </c>
      <c r="AM25" s="24" t="n">
        <f aca="false">SUMIFS(Permissions!$G$2:$G$3000,Permissions!$B$2:$B$3000,$A25,Permissions!$I$2:$I$3000,"In planning",Permissions!$P$2:$P$3000,"Yes")</f>
        <v>0</v>
      </c>
      <c r="AN25" s="24" t="n">
        <f aca="false">IF(R25="",0,MAX(R25-AK25,0))</f>
        <v>97</v>
      </c>
      <c r="AO25" s="25" t="n">
        <f aca="false">AK25+AN25</f>
        <v>97</v>
      </c>
      <c r="AP25" s="24" t="n">
        <f aca="false">AO25-AG25</f>
        <v>97</v>
      </c>
      <c r="AQ25" s="26" t="n">
        <f aca="false">SUMIFS(Permissions!$AH$2:$AH$3000,Permissions!$B$2:$B$3000,$A25,Permissions!$P$2:$P$3000,"Yes")</f>
        <v>0</v>
      </c>
      <c r="AR25" s="26" t="n">
        <f aca="false">SUMIFS(Permissions!$AI$2:$AI$3000,Permissions!$B$2:$B$3000,$A25,Permissions!$P$2:$P$3000,"Yes")</f>
        <v>0</v>
      </c>
      <c r="AS25" s="26" t="n">
        <f aca="false">SUMIFS(Permissions!$AJ$2:$AJ$3000,Permissions!$B$2:$B$3000,$A25,Permissions!$P$2:$P$3000,"Yes")</f>
        <v>0</v>
      </c>
      <c r="AT25" s="26" t="n">
        <f aca="false">SUMIFS(Permissions!$AK$2:$AK$3000,Permissions!$B$2:$B$3000,$A25,Permissions!$P$2:$P$3000,"Yes")</f>
        <v>0</v>
      </c>
      <c r="AU25" s="26" t="n">
        <f aca="false">SUMIFS(Permissions!$AL$2:$AL$3000,Permissions!$B$2:$B$3000,$A25,Permissions!$P$2:$P$3000,"Yes")</f>
        <v>0</v>
      </c>
      <c r="AV25" s="26" t="n">
        <f aca="false">SUMIFS(Permissions!$AM$2:$AM$3000,Permissions!$B$2:$B$3000,$A25,Permissions!$P$2:$P$3000,"Yes")</f>
        <v>0</v>
      </c>
      <c r="AW25" s="24" t="n">
        <f aca="false">COUNTIFS(Permissions!$B$2:$B$3000,$A25,Permissions!$P$2:$P$3000,"Yes")</f>
        <v>0</v>
      </c>
      <c r="AX25" s="24" t="n">
        <f aca="false">SUMIFS(Permissions!$L$2:$L$3000,Permissions!$B$2:$B$3000,$A25,Permissions!$P$2:$P$3000,"Yes")</f>
        <v>0</v>
      </c>
      <c r="AY25" s="27" t="str">
        <f aca="false">IF(AND(AK25&gt;0,AG25&gt;=AK25,AN25=0),"Built out",IF(AG25&gt;0,"Partly built",IF(AK25&gt;0,"Consented – not built","No consent")))</f>
        <v>No consent</v>
      </c>
      <c r="AZ25" s="28" t="str">
        <f aca="false">IF(AND(R25&lt;&gt;"",AK25&gt;1.1*R25),"Consented above capacity",IF(AND(LEFT(B25,8)="Planning",AW25=0),"Consent parcel with no permission",IF(COUNTIF($A$2:$A$3000,$A25)&gt;1,"Duplicate parcel_id","")))</f>
        <v/>
      </c>
    </row>
    <row r="26" customFormat="false" ht="15" hidden="false" customHeight="false" outlineLevel="0" collapsed="false">
      <c r="A26" s="15" t="s">
        <v>208</v>
      </c>
      <c r="B26" s="15" t="s">
        <v>10</v>
      </c>
      <c r="C26" s="15" t="s">
        <v>16</v>
      </c>
      <c r="D26" s="15" t="s">
        <v>52</v>
      </c>
      <c r="E26" s="15" t="s">
        <v>19</v>
      </c>
      <c r="F26" s="15" t="n">
        <v>1</v>
      </c>
      <c r="G26" s="15" t="s">
        <v>154</v>
      </c>
      <c r="H26" s="15" t="n">
        <v>53</v>
      </c>
      <c r="I26" s="15" t="s">
        <v>52</v>
      </c>
      <c r="J26" s="15" t="s">
        <v>205</v>
      </c>
      <c r="K26" s="15" t="s">
        <v>206</v>
      </c>
      <c r="L26" s="15" t="s">
        <v>170</v>
      </c>
      <c r="M26" s="15" t="s">
        <v>157</v>
      </c>
      <c r="N26" s="15" t="s">
        <v>166</v>
      </c>
      <c r="O26" s="15" t="s">
        <v>159</v>
      </c>
      <c r="P26" s="15" t="n">
        <v>2.401</v>
      </c>
      <c r="Q26" s="15" t="n">
        <v>2.401</v>
      </c>
      <c r="R26" s="15" t="n">
        <v>108</v>
      </c>
      <c r="S26" s="15" t="s">
        <v>160</v>
      </c>
      <c r="T26" s="15"/>
      <c r="U26" s="15"/>
      <c r="V26" s="15"/>
      <c r="W26" s="15"/>
      <c r="X26" s="15"/>
      <c r="Y26" s="15"/>
      <c r="Z26" s="15"/>
      <c r="AA26" s="15" t="n">
        <v>0</v>
      </c>
      <c r="AB26" s="15" t="n">
        <v>0</v>
      </c>
      <c r="AC26" s="15" t="s">
        <v>180</v>
      </c>
      <c r="AD26" s="15" t="s">
        <v>162</v>
      </c>
      <c r="AE26" s="15" t="s">
        <v>163</v>
      </c>
      <c r="AF26" s="15"/>
      <c r="AG26" s="24" t="n">
        <f aca="false">SUMIFS(Permissions!$G$2:$G$3000,Permissions!$B$2:$B$3000,$A26,Permissions!$I$2:$I$3000,"Complete",Permissions!$P$2:$P$3000,"Yes")</f>
        <v>0</v>
      </c>
      <c r="AH26" s="24" t="n">
        <f aca="false">SUMIFS(Permissions!$G$2:$G$3000,Permissions!$B$2:$B$3000,$A26,Permissions!$I$2:$I$3000,"Under construction",Permissions!$P$2:$P$3000,"Yes")</f>
        <v>0</v>
      </c>
      <c r="AI26" s="24" t="n">
        <f aca="false">SUMIFS(Permissions!$G$2:$G$3000,Permissions!$B$2:$B$3000,$A26,Permissions!$I$2:$I$3000,"Permitted – not started",Permissions!$P$2:$P$3000,"Yes")</f>
        <v>196</v>
      </c>
      <c r="AJ26" s="24" t="n">
        <f aca="false">SUMIFS(Permissions!$G$2:$G$3000,Permissions!$B$2:$B$3000,$A26,Permissions!$I$2:$I$3000,"Stalled",Permissions!$P$2:$P$3000,"Yes")</f>
        <v>0</v>
      </c>
      <c r="AK26" s="24" t="n">
        <f aca="false">AG26+AH26+AI26+AJ26</f>
        <v>196</v>
      </c>
      <c r="AL26" s="24" t="n">
        <f aca="false">SUMIFS(Permissions!$G$2:$G$3000,Permissions!$B$2:$B$3000,$A26,Permissions!$I$2:$I$3000,"Expired – not started",Permissions!$P$2:$P$3000,"Yes")</f>
        <v>0</v>
      </c>
      <c r="AM26" s="24" t="n">
        <f aca="false">SUMIFS(Permissions!$G$2:$G$3000,Permissions!$B$2:$B$3000,$A26,Permissions!$I$2:$I$3000,"In planning",Permissions!$P$2:$P$3000,"Yes")</f>
        <v>0</v>
      </c>
      <c r="AN26" s="24" t="n">
        <f aca="false">IF(R26="",0,MAX(R26-AK26,0))</f>
        <v>0</v>
      </c>
      <c r="AO26" s="25" t="n">
        <f aca="false">AK26+AN26</f>
        <v>196</v>
      </c>
      <c r="AP26" s="24" t="n">
        <f aca="false">AO26-AG26</f>
        <v>196</v>
      </c>
      <c r="AQ26" s="26" t="n">
        <f aca="false">SUMIFS(Permissions!$AH$2:$AH$3000,Permissions!$B$2:$B$3000,$A26,Permissions!$P$2:$P$3000,"Yes")</f>
        <v>0</v>
      </c>
      <c r="AR26" s="26" t="n">
        <f aca="false">SUMIFS(Permissions!$AI$2:$AI$3000,Permissions!$B$2:$B$3000,$A26,Permissions!$P$2:$P$3000,"Yes")</f>
        <v>0</v>
      </c>
      <c r="AS26" s="26" t="n">
        <f aca="false">SUMIFS(Permissions!$AJ$2:$AJ$3000,Permissions!$B$2:$B$3000,$A26,Permissions!$P$2:$P$3000,"Yes")</f>
        <v>0</v>
      </c>
      <c r="AT26" s="26" t="n">
        <f aca="false">SUMIFS(Permissions!$AK$2:$AK$3000,Permissions!$B$2:$B$3000,$A26,Permissions!$P$2:$P$3000,"Yes")</f>
        <v>196</v>
      </c>
      <c r="AU26" s="26" t="n">
        <f aca="false">SUMIFS(Permissions!$AL$2:$AL$3000,Permissions!$B$2:$B$3000,$A26,Permissions!$P$2:$P$3000,"Yes")</f>
        <v>0</v>
      </c>
      <c r="AV26" s="26" t="n">
        <f aca="false">SUMIFS(Permissions!$AM$2:$AM$3000,Permissions!$B$2:$B$3000,$A26,Permissions!$P$2:$P$3000,"Yes")</f>
        <v>0</v>
      </c>
      <c r="AW26" s="24" t="n">
        <f aca="false">COUNTIFS(Permissions!$B$2:$B$3000,$A26,Permissions!$P$2:$P$3000,"Yes")</f>
        <v>1</v>
      </c>
      <c r="AX26" s="24" t="n">
        <f aca="false">SUMIFS(Permissions!$L$2:$L$3000,Permissions!$B$2:$B$3000,$A26,Permissions!$P$2:$P$3000,"Yes")</f>
        <v>0</v>
      </c>
      <c r="AY26" s="27" t="str">
        <f aca="false">IF(AND(AK26&gt;0,AG26&gt;=AK26,AN26=0),"Built out",IF(AG26&gt;0,"Partly built",IF(AK26&gt;0,"Consented – not built","No consent")))</f>
        <v>Consented – not built</v>
      </c>
      <c r="AZ26" s="28" t="str">
        <f aca="false">IF(AND(R26&lt;&gt;"",AK26&gt;1.1*R26),"Consented above capacity",IF(AND(LEFT(B26,8)="Planning",AW26=0),"Consent parcel with no permission",IF(COUNTIF($A$2:$A$3000,$A26)&gt;1,"Duplicate parcel_id","")))</f>
        <v>Consented above capacity</v>
      </c>
    </row>
    <row r="27" customFormat="false" ht="15" hidden="false" customHeight="false" outlineLevel="0" collapsed="false">
      <c r="A27" s="15" t="s">
        <v>209</v>
      </c>
      <c r="B27" s="15" t="s">
        <v>10</v>
      </c>
      <c r="C27" s="15" t="s">
        <v>16</v>
      </c>
      <c r="D27" s="15" t="s">
        <v>52</v>
      </c>
      <c r="E27" s="15" t="s">
        <v>19</v>
      </c>
      <c r="F27" s="15" t="n">
        <v>1</v>
      </c>
      <c r="G27" s="15" t="s">
        <v>154</v>
      </c>
      <c r="H27" s="15" t="n">
        <v>54</v>
      </c>
      <c r="I27" s="15" t="s">
        <v>52</v>
      </c>
      <c r="J27" s="15" t="s">
        <v>205</v>
      </c>
      <c r="K27" s="15" t="s">
        <v>206</v>
      </c>
      <c r="L27" s="15" t="s">
        <v>170</v>
      </c>
      <c r="M27" s="15" t="s">
        <v>157</v>
      </c>
      <c r="N27" s="15" t="s">
        <v>166</v>
      </c>
      <c r="O27" s="15" t="s">
        <v>159</v>
      </c>
      <c r="P27" s="15" t="n">
        <v>1.435</v>
      </c>
      <c r="Q27" s="15" t="n">
        <v>1.435</v>
      </c>
      <c r="R27" s="15" t="n">
        <v>65</v>
      </c>
      <c r="S27" s="15" t="s">
        <v>160</v>
      </c>
      <c r="T27" s="15"/>
      <c r="U27" s="15"/>
      <c r="V27" s="15"/>
      <c r="W27" s="15"/>
      <c r="X27" s="15"/>
      <c r="Y27" s="15"/>
      <c r="Z27" s="15"/>
      <c r="AA27" s="15" t="n">
        <v>0</v>
      </c>
      <c r="AB27" s="15" t="n">
        <v>0</v>
      </c>
      <c r="AC27" s="15" t="s">
        <v>161</v>
      </c>
      <c r="AD27" s="15" t="s">
        <v>162</v>
      </c>
      <c r="AE27" s="15" t="s">
        <v>163</v>
      </c>
      <c r="AF27" s="15"/>
      <c r="AG27" s="24" t="n">
        <f aca="false">SUMIFS(Permissions!$G$2:$G$3000,Permissions!$B$2:$B$3000,$A27,Permissions!$I$2:$I$3000,"Complete",Permissions!$P$2:$P$3000,"Yes")</f>
        <v>0</v>
      </c>
      <c r="AH27" s="24" t="n">
        <f aca="false">SUMIFS(Permissions!$G$2:$G$3000,Permissions!$B$2:$B$3000,$A27,Permissions!$I$2:$I$3000,"Under construction",Permissions!$P$2:$P$3000,"Yes")</f>
        <v>0</v>
      </c>
      <c r="AI27" s="24" t="n">
        <f aca="false">SUMIFS(Permissions!$G$2:$G$3000,Permissions!$B$2:$B$3000,$A27,Permissions!$I$2:$I$3000,"Permitted – not started",Permissions!$P$2:$P$3000,"Yes")</f>
        <v>0</v>
      </c>
      <c r="AJ27" s="24" t="n">
        <f aca="false">SUMIFS(Permissions!$G$2:$G$3000,Permissions!$B$2:$B$3000,$A27,Permissions!$I$2:$I$3000,"Stalled",Permissions!$P$2:$P$3000,"Yes")</f>
        <v>0</v>
      </c>
      <c r="AK27" s="24" t="n">
        <f aca="false">AG27+AH27+AI27+AJ27</f>
        <v>0</v>
      </c>
      <c r="AL27" s="24" t="n">
        <f aca="false">SUMIFS(Permissions!$G$2:$G$3000,Permissions!$B$2:$B$3000,$A27,Permissions!$I$2:$I$3000,"Expired – not started",Permissions!$P$2:$P$3000,"Yes")</f>
        <v>0</v>
      </c>
      <c r="AM27" s="24" t="n">
        <f aca="false">SUMIFS(Permissions!$G$2:$G$3000,Permissions!$B$2:$B$3000,$A27,Permissions!$I$2:$I$3000,"In planning",Permissions!$P$2:$P$3000,"Yes")</f>
        <v>0</v>
      </c>
      <c r="AN27" s="24" t="n">
        <f aca="false">IF(R27="",0,MAX(R27-AK27,0))</f>
        <v>65</v>
      </c>
      <c r="AO27" s="25" t="n">
        <f aca="false">AK27+AN27</f>
        <v>65</v>
      </c>
      <c r="AP27" s="24" t="n">
        <f aca="false">AO27-AG27</f>
        <v>65</v>
      </c>
      <c r="AQ27" s="26" t="n">
        <f aca="false">SUMIFS(Permissions!$AH$2:$AH$3000,Permissions!$B$2:$B$3000,$A27,Permissions!$P$2:$P$3000,"Yes")</f>
        <v>0</v>
      </c>
      <c r="AR27" s="26" t="n">
        <f aca="false">SUMIFS(Permissions!$AI$2:$AI$3000,Permissions!$B$2:$B$3000,$A27,Permissions!$P$2:$P$3000,"Yes")</f>
        <v>0</v>
      </c>
      <c r="AS27" s="26" t="n">
        <f aca="false">SUMIFS(Permissions!$AJ$2:$AJ$3000,Permissions!$B$2:$B$3000,$A27,Permissions!$P$2:$P$3000,"Yes")</f>
        <v>0</v>
      </c>
      <c r="AT27" s="26" t="n">
        <f aca="false">SUMIFS(Permissions!$AK$2:$AK$3000,Permissions!$B$2:$B$3000,$A27,Permissions!$P$2:$P$3000,"Yes")</f>
        <v>0</v>
      </c>
      <c r="AU27" s="26" t="n">
        <f aca="false">SUMIFS(Permissions!$AL$2:$AL$3000,Permissions!$B$2:$B$3000,$A27,Permissions!$P$2:$P$3000,"Yes")</f>
        <v>0</v>
      </c>
      <c r="AV27" s="26" t="n">
        <f aca="false">SUMIFS(Permissions!$AM$2:$AM$3000,Permissions!$B$2:$B$3000,$A27,Permissions!$P$2:$P$3000,"Yes")</f>
        <v>0</v>
      </c>
      <c r="AW27" s="24" t="n">
        <f aca="false">COUNTIFS(Permissions!$B$2:$B$3000,$A27,Permissions!$P$2:$P$3000,"Yes")</f>
        <v>0</v>
      </c>
      <c r="AX27" s="24" t="n">
        <f aca="false">SUMIFS(Permissions!$L$2:$L$3000,Permissions!$B$2:$B$3000,$A27,Permissions!$P$2:$P$3000,"Yes")</f>
        <v>0</v>
      </c>
      <c r="AY27" s="27" t="str">
        <f aca="false">IF(AND(AK27&gt;0,AG27&gt;=AK27,AN27=0),"Built out",IF(AG27&gt;0,"Partly built",IF(AK27&gt;0,"Consented – not built","No consent")))</f>
        <v>No consent</v>
      </c>
      <c r="AZ27" s="28" t="str">
        <f aca="false">IF(AND(R27&lt;&gt;"",AK27&gt;1.1*R27),"Consented above capacity",IF(AND(LEFT(B27,8)="Planning",AW27=0),"Consent parcel with no permission",IF(COUNTIF($A$2:$A$3000,$A27)&gt;1,"Duplicate parcel_id","")))</f>
        <v/>
      </c>
    </row>
    <row r="28" customFormat="false" ht="15" hidden="false" customHeight="false" outlineLevel="0" collapsed="false">
      <c r="A28" s="15" t="s">
        <v>210</v>
      </c>
      <c r="B28" s="15" t="s">
        <v>10</v>
      </c>
      <c r="C28" s="15" t="s">
        <v>16</v>
      </c>
      <c r="D28" s="15" t="s">
        <v>52</v>
      </c>
      <c r="E28" s="15" t="s">
        <v>19</v>
      </c>
      <c r="F28" s="15" t="n">
        <v>1</v>
      </c>
      <c r="G28" s="15" t="s">
        <v>154</v>
      </c>
      <c r="H28" s="15" t="n">
        <v>56</v>
      </c>
      <c r="I28" s="15" t="s">
        <v>52</v>
      </c>
      <c r="J28" s="15" t="s">
        <v>205</v>
      </c>
      <c r="K28" s="15" t="s">
        <v>206</v>
      </c>
      <c r="L28" s="15" t="s">
        <v>170</v>
      </c>
      <c r="M28" s="15" t="s">
        <v>157</v>
      </c>
      <c r="N28" s="15" t="s">
        <v>166</v>
      </c>
      <c r="O28" s="15" t="s">
        <v>179</v>
      </c>
      <c r="P28" s="15" t="n">
        <v>3.528</v>
      </c>
      <c r="Q28" s="15" t="n">
        <v>4.642</v>
      </c>
      <c r="R28" s="15" t="n">
        <v>123</v>
      </c>
      <c r="S28" s="15" t="s">
        <v>160</v>
      </c>
      <c r="T28" s="15"/>
      <c r="U28" s="15"/>
      <c r="V28" s="15"/>
      <c r="W28" s="15"/>
      <c r="X28" s="15"/>
      <c r="Y28" s="15"/>
      <c r="Z28" s="15"/>
      <c r="AA28" s="15" t="n">
        <v>24</v>
      </c>
      <c r="AB28" s="15" t="n">
        <v>19</v>
      </c>
      <c r="AC28" s="15" t="s">
        <v>173</v>
      </c>
      <c r="AD28" s="15" t="s">
        <v>174</v>
      </c>
      <c r="AE28" s="15" t="s">
        <v>163</v>
      </c>
      <c r="AF28" s="15"/>
      <c r="AG28" s="24" t="n">
        <f aca="false">SUMIFS(Permissions!$G$2:$G$3000,Permissions!$B$2:$B$3000,$A28,Permissions!$I$2:$I$3000,"Complete",Permissions!$P$2:$P$3000,"Yes")</f>
        <v>0</v>
      </c>
      <c r="AH28" s="24" t="n">
        <f aca="false">SUMIFS(Permissions!$G$2:$G$3000,Permissions!$B$2:$B$3000,$A28,Permissions!$I$2:$I$3000,"Under construction",Permissions!$P$2:$P$3000,"Yes")</f>
        <v>32</v>
      </c>
      <c r="AI28" s="24" t="n">
        <f aca="false">SUMIFS(Permissions!$G$2:$G$3000,Permissions!$B$2:$B$3000,$A28,Permissions!$I$2:$I$3000,"Permitted – not started",Permissions!$P$2:$P$3000,"Yes")</f>
        <v>114</v>
      </c>
      <c r="AJ28" s="24" t="n">
        <f aca="false">SUMIFS(Permissions!$G$2:$G$3000,Permissions!$B$2:$B$3000,$A28,Permissions!$I$2:$I$3000,"Stalled",Permissions!$P$2:$P$3000,"Yes")</f>
        <v>0</v>
      </c>
      <c r="AK28" s="24" t="n">
        <f aca="false">AG28+AH28+AI28+AJ28</f>
        <v>146</v>
      </c>
      <c r="AL28" s="24" t="n">
        <f aca="false">SUMIFS(Permissions!$G$2:$G$3000,Permissions!$B$2:$B$3000,$A28,Permissions!$I$2:$I$3000,"Expired – not started",Permissions!$P$2:$P$3000,"Yes")</f>
        <v>0</v>
      </c>
      <c r="AM28" s="24" t="n">
        <f aca="false">SUMIFS(Permissions!$G$2:$G$3000,Permissions!$B$2:$B$3000,$A28,Permissions!$I$2:$I$3000,"In planning",Permissions!$P$2:$P$3000,"Yes")</f>
        <v>0</v>
      </c>
      <c r="AN28" s="24" t="n">
        <f aca="false">IF(R28="",0,MAX(R28-AK28,0))</f>
        <v>0</v>
      </c>
      <c r="AO28" s="25" t="n">
        <f aca="false">AK28+AN28</f>
        <v>146</v>
      </c>
      <c r="AP28" s="24" t="n">
        <f aca="false">AO28-AG28</f>
        <v>146</v>
      </c>
      <c r="AQ28" s="26" t="n">
        <f aca="false">SUMIFS(Permissions!$AH$2:$AH$3000,Permissions!$B$2:$B$3000,$A28,Permissions!$P$2:$P$3000,"Yes")</f>
        <v>7.5</v>
      </c>
      <c r="AR28" s="26" t="n">
        <f aca="false">SUMIFS(Permissions!$AI$2:$AI$3000,Permissions!$B$2:$B$3000,$A28,Permissions!$P$2:$P$3000,"Yes")</f>
        <v>24.5</v>
      </c>
      <c r="AS28" s="26" t="n">
        <f aca="false">SUMIFS(Permissions!$AJ$2:$AJ$3000,Permissions!$B$2:$B$3000,$A28,Permissions!$P$2:$P$3000,"Yes")</f>
        <v>0</v>
      </c>
      <c r="AT28" s="26" t="n">
        <f aca="false">SUMIFS(Permissions!$AK$2:$AK$3000,Permissions!$B$2:$B$3000,$A28,Permissions!$P$2:$P$3000,"Yes")</f>
        <v>89.3</v>
      </c>
      <c r="AU28" s="26" t="n">
        <f aca="false">SUMIFS(Permissions!$AL$2:$AL$3000,Permissions!$B$2:$B$3000,$A28,Permissions!$P$2:$P$3000,"Yes")</f>
        <v>24.7</v>
      </c>
      <c r="AV28" s="26" t="n">
        <f aca="false">SUMIFS(Permissions!$AM$2:$AM$3000,Permissions!$B$2:$B$3000,$A28,Permissions!$P$2:$P$3000,"Yes")</f>
        <v>0</v>
      </c>
      <c r="AW28" s="24" t="n">
        <f aca="false">COUNTIFS(Permissions!$B$2:$B$3000,$A28,Permissions!$P$2:$P$3000,"Yes")</f>
        <v>2</v>
      </c>
      <c r="AX28" s="24" t="n">
        <f aca="false">SUMIFS(Permissions!$L$2:$L$3000,Permissions!$B$2:$B$3000,$A28,Permissions!$P$2:$P$3000,"Yes")</f>
        <v>30</v>
      </c>
      <c r="AY28" s="27" t="str">
        <f aca="false">IF(AND(AK28&gt;0,AG28&gt;=AK28,AN28=0),"Built out",IF(AG28&gt;0,"Partly built",IF(AK28&gt;0,"Consented – not built","No consent")))</f>
        <v>Consented – not built</v>
      </c>
      <c r="AZ28" s="28" t="str">
        <f aca="false">IF(AND(R28&lt;&gt;"",AK28&gt;1.1*R28),"Consented above capacity",IF(AND(LEFT(B28,8)="Planning",AW28=0),"Consent parcel with no permission",IF(COUNTIF($A$2:$A$3000,$A28)&gt;1,"Duplicate parcel_id","")))</f>
        <v>Consented above capacity</v>
      </c>
    </row>
    <row r="29" customFormat="false" ht="15" hidden="false" customHeight="false" outlineLevel="0" collapsed="false">
      <c r="A29" s="15" t="s">
        <v>211</v>
      </c>
      <c r="B29" s="15" t="s">
        <v>10</v>
      </c>
      <c r="C29" s="15" t="s">
        <v>16</v>
      </c>
      <c r="D29" s="15" t="s">
        <v>52</v>
      </c>
      <c r="E29" s="15" t="s">
        <v>19</v>
      </c>
      <c r="F29" s="15" t="n">
        <v>1</v>
      </c>
      <c r="G29" s="15" t="s">
        <v>154</v>
      </c>
      <c r="H29" s="15" t="n">
        <v>57</v>
      </c>
      <c r="I29" s="15" t="s">
        <v>52</v>
      </c>
      <c r="J29" s="15" t="s">
        <v>205</v>
      </c>
      <c r="K29" s="15" t="s">
        <v>206</v>
      </c>
      <c r="L29" s="15" t="s">
        <v>170</v>
      </c>
      <c r="M29" s="15" t="s">
        <v>157</v>
      </c>
      <c r="N29" s="15" t="s">
        <v>166</v>
      </c>
      <c r="O29" s="15" t="s">
        <v>212</v>
      </c>
      <c r="P29" s="15" t="n">
        <v>12.36</v>
      </c>
      <c r="Q29" s="15" t="n">
        <v>12.356</v>
      </c>
      <c r="R29" s="15" t="n">
        <v>508</v>
      </c>
      <c r="S29" s="15" t="s">
        <v>160</v>
      </c>
      <c r="T29" s="15"/>
      <c r="U29" s="15"/>
      <c r="V29" s="15"/>
      <c r="W29" s="15"/>
      <c r="X29" s="15"/>
      <c r="Y29" s="15"/>
      <c r="Z29" s="15"/>
      <c r="AA29" s="15" t="n">
        <v>1</v>
      </c>
      <c r="AB29" s="15" t="n">
        <v>0</v>
      </c>
      <c r="AC29" s="15" t="s">
        <v>161</v>
      </c>
      <c r="AD29" s="15" t="s">
        <v>162</v>
      </c>
      <c r="AE29" s="15" t="s">
        <v>163</v>
      </c>
      <c r="AF29" s="15"/>
      <c r="AG29" s="24" t="n">
        <f aca="false">SUMIFS(Permissions!$G$2:$G$3000,Permissions!$B$2:$B$3000,$A29,Permissions!$I$2:$I$3000,"Complete",Permissions!$P$2:$P$3000,"Yes")</f>
        <v>0</v>
      </c>
      <c r="AH29" s="24" t="n">
        <f aca="false">SUMIFS(Permissions!$G$2:$G$3000,Permissions!$B$2:$B$3000,$A29,Permissions!$I$2:$I$3000,"Under construction",Permissions!$P$2:$P$3000,"Yes")</f>
        <v>0</v>
      </c>
      <c r="AI29" s="24" t="n">
        <f aca="false">SUMIFS(Permissions!$G$2:$G$3000,Permissions!$B$2:$B$3000,$A29,Permissions!$I$2:$I$3000,"Permitted – not started",Permissions!$P$2:$P$3000,"Yes")</f>
        <v>523</v>
      </c>
      <c r="AJ29" s="24" t="n">
        <f aca="false">SUMIFS(Permissions!$G$2:$G$3000,Permissions!$B$2:$B$3000,$A29,Permissions!$I$2:$I$3000,"Stalled",Permissions!$P$2:$P$3000,"Yes")</f>
        <v>0</v>
      </c>
      <c r="AK29" s="24" t="n">
        <f aca="false">AG29+AH29+AI29+AJ29</f>
        <v>523</v>
      </c>
      <c r="AL29" s="24" t="n">
        <f aca="false">SUMIFS(Permissions!$G$2:$G$3000,Permissions!$B$2:$B$3000,$A29,Permissions!$I$2:$I$3000,"Expired – not started",Permissions!$P$2:$P$3000,"Yes")</f>
        <v>0</v>
      </c>
      <c r="AM29" s="24" t="n">
        <f aca="false">SUMIFS(Permissions!$G$2:$G$3000,Permissions!$B$2:$B$3000,$A29,Permissions!$I$2:$I$3000,"In planning",Permissions!$P$2:$P$3000,"Yes")</f>
        <v>0</v>
      </c>
      <c r="AN29" s="24" t="n">
        <f aca="false">IF(R29="",0,MAX(R29-AK29,0))</f>
        <v>0</v>
      </c>
      <c r="AO29" s="25" t="n">
        <f aca="false">AK29+AN29</f>
        <v>523</v>
      </c>
      <c r="AP29" s="24" t="n">
        <f aca="false">AO29-AG29</f>
        <v>523</v>
      </c>
      <c r="AQ29" s="26" t="n">
        <f aca="false">SUMIFS(Permissions!$AH$2:$AH$3000,Permissions!$B$2:$B$3000,$A29,Permissions!$P$2:$P$3000,"Yes")</f>
        <v>0</v>
      </c>
      <c r="AR29" s="26" t="n">
        <f aca="false">SUMIFS(Permissions!$AI$2:$AI$3000,Permissions!$B$2:$B$3000,$A29,Permissions!$P$2:$P$3000,"Yes")</f>
        <v>0</v>
      </c>
      <c r="AS29" s="26" t="n">
        <f aca="false">SUMIFS(Permissions!$AJ$2:$AJ$3000,Permissions!$B$2:$B$3000,$A29,Permissions!$P$2:$P$3000,"Yes")</f>
        <v>0</v>
      </c>
      <c r="AT29" s="26" t="n">
        <f aca="false">SUMIFS(Permissions!$AK$2:$AK$3000,Permissions!$B$2:$B$3000,$A29,Permissions!$P$2:$P$3000,"Yes")</f>
        <v>53.2</v>
      </c>
      <c r="AU29" s="26" t="n">
        <f aca="false">SUMIFS(Permissions!$AL$2:$AL$3000,Permissions!$B$2:$B$3000,$A29,Permissions!$P$2:$P$3000,"Yes")</f>
        <v>55.6</v>
      </c>
      <c r="AV29" s="26" t="n">
        <f aca="false">SUMIFS(Permissions!$AM$2:$AM$3000,Permissions!$B$2:$B$3000,$A29,Permissions!$P$2:$P$3000,"Yes")</f>
        <v>414.2</v>
      </c>
      <c r="AW29" s="24" t="n">
        <f aca="false">COUNTIFS(Permissions!$B$2:$B$3000,$A29,Permissions!$P$2:$P$3000,"Yes")</f>
        <v>1</v>
      </c>
      <c r="AX29" s="24" t="n">
        <f aca="false">SUMIFS(Permissions!$L$2:$L$3000,Permissions!$B$2:$B$3000,$A29,Permissions!$P$2:$P$3000,"Yes")</f>
        <v>0</v>
      </c>
      <c r="AY29" s="27" t="str">
        <f aca="false">IF(AND(AK29&gt;0,AG29&gt;=AK29,AN29=0),"Built out",IF(AG29&gt;0,"Partly built",IF(AK29&gt;0,"Consented – not built","No consent")))</f>
        <v>Consented – not built</v>
      </c>
      <c r="AZ29" s="28" t="str">
        <f aca="false">IF(AND(R29&lt;&gt;"",AK29&gt;1.1*R29),"Consented above capacity",IF(AND(LEFT(B29,8)="Planning",AW29=0),"Consent parcel with no permission",IF(COUNTIF($A$2:$A$3000,$A29)&gt;1,"Duplicate parcel_id","")))</f>
        <v/>
      </c>
    </row>
    <row r="30" customFormat="false" ht="15" hidden="false" customHeight="false" outlineLevel="0" collapsed="false">
      <c r="A30" s="15" t="s">
        <v>213</v>
      </c>
      <c r="B30" s="15" t="s">
        <v>10</v>
      </c>
      <c r="C30" s="15" t="s">
        <v>16</v>
      </c>
      <c r="D30" s="15" t="s">
        <v>52</v>
      </c>
      <c r="E30" s="15" t="s">
        <v>19</v>
      </c>
      <c r="F30" s="15" t="n">
        <v>1</v>
      </c>
      <c r="G30" s="15" t="s">
        <v>154</v>
      </c>
      <c r="H30" s="15" t="n">
        <v>60</v>
      </c>
      <c r="I30" s="15" t="s">
        <v>52</v>
      </c>
      <c r="J30" s="15" t="s">
        <v>205</v>
      </c>
      <c r="K30" s="15" t="s">
        <v>206</v>
      </c>
      <c r="L30" s="15" t="s">
        <v>170</v>
      </c>
      <c r="M30" s="15" t="s">
        <v>157</v>
      </c>
      <c r="N30" s="15" t="s">
        <v>166</v>
      </c>
      <c r="O30" s="15" t="s">
        <v>159</v>
      </c>
      <c r="P30" s="15" t="n">
        <v>1.133</v>
      </c>
      <c r="Q30" s="15" t="n">
        <v>1.133</v>
      </c>
      <c r="R30" s="15" t="n">
        <v>51</v>
      </c>
      <c r="S30" s="15" t="s">
        <v>160</v>
      </c>
      <c r="T30" s="15"/>
      <c r="U30" s="15"/>
      <c r="V30" s="15"/>
      <c r="W30" s="15"/>
      <c r="X30" s="15"/>
      <c r="Y30" s="15"/>
      <c r="Z30" s="15"/>
      <c r="AA30" s="15" t="n">
        <v>0</v>
      </c>
      <c r="AB30" s="15" t="n">
        <v>0</v>
      </c>
      <c r="AC30" s="15" t="s">
        <v>161</v>
      </c>
      <c r="AD30" s="15" t="s">
        <v>162</v>
      </c>
      <c r="AE30" s="15" t="s">
        <v>163</v>
      </c>
      <c r="AF30" s="15"/>
      <c r="AG30" s="24" t="n">
        <f aca="false">SUMIFS(Permissions!$G$2:$G$3000,Permissions!$B$2:$B$3000,$A30,Permissions!$I$2:$I$3000,"Complete",Permissions!$P$2:$P$3000,"Yes")</f>
        <v>0</v>
      </c>
      <c r="AH30" s="24" t="n">
        <f aca="false">SUMIFS(Permissions!$G$2:$G$3000,Permissions!$B$2:$B$3000,$A30,Permissions!$I$2:$I$3000,"Under construction",Permissions!$P$2:$P$3000,"Yes")</f>
        <v>0</v>
      </c>
      <c r="AI30" s="24" t="n">
        <f aca="false">SUMIFS(Permissions!$G$2:$G$3000,Permissions!$B$2:$B$3000,$A30,Permissions!$I$2:$I$3000,"Permitted – not started",Permissions!$P$2:$P$3000,"Yes")</f>
        <v>0</v>
      </c>
      <c r="AJ30" s="24" t="n">
        <f aca="false">SUMIFS(Permissions!$G$2:$G$3000,Permissions!$B$2:$B$3000,$A30,Permissions!$I$2:$I$3000,"Stalled",Permissions!$P$2:$P$3000,"Yes")</f>
        <v>0</v>
      </c>
      <c r="AK30" s="24" t="n">
        <f aca="false">AG30+AH30+AI30+AJ30</f>
        <v>0</v>
      </c>
      <c r="AL30" s="24" t="n">
        <f aca="false">SUMIFS(Permissions!$G$2:$G$3000,Permissions!$B$2:$B$3000,$A30,Permissions!$I$2:$I$3000,"Expired – not started",Permissions!$P$2:$P$3000,"Yes")</f>
        <v>0</v>
      </c>
      <c r="AM30" s="24" t="n">
        <f aca="false">SUMIFS(Permissions!$G$2:$G$3000,Permissions!$B$2:$B$3000,$A30,Permissions!$I$2:$I$3000,"In planning",Permissions!$P$2:$P$3000,"Yes")</f>
        <v>0</v>
      </c>
      <c r="AN30" s="24" t="n">
        <f aca="false">IF(R30="",0,MAX(R30-AK30,0))</f>
        <v>51</v>
      </c>
      <c r="AO30" s="25" t="n">
        <f aca="false">AK30+AN30</f>
        <v>51</v>
      </c>
      <c r="AP30" s="24" t="n">
        <f aca="false">AO30-AG30</f>
        <v>51</v>
      </c>
      <c r="AQ30" s="26" t="n">
        <f aca="false">SUMIFS(Permissions!$AH$2:$AH$3000,Permissions!$B$2:$B$3000,$A30,Permissions!$P$2:$P$3000,"Yes")</f>
        <v>0</v>
      </c>
      <c r="AR30" s="26" t="n">
        <f aca="false">SUMIFS(Permissions!$AI$2:$AI$3000,Permissions!$B$2:$B$3000,$A30,Permissions!$P$2:$P$3000,"Yes")</f>
        <v>0</v>
      </c>
      <c r="AS30" s="26" t="n">
        <f aca="false">SUMIFS(Permissions!$AJ$2:$AJ$3000,Permissions!$B$2:$B$3000,$A30,Permissions!$P$2:$P$3000,"Yes")</f>
        <v>0</v>
      </c>
      <c r="AT30" s="26" t="n">
        <f aca="false">SUMIFS(Permissions!$AK$2:$AK$3000,Permissions!$B$2:$B$3000,$A30,Permissions!$P$2:$P$3000,"Yes")</f>
        <v>0</v>
      </c>
      <c r="AU30" s="26" t="n">
        <f aca="false">SUMIFS(Permissions!$AL$2:$AL$3000,Permissions!$B$2:$B$3000,$A30,Permissions!$P$2:$P$3000,"Yes")</f>
        <v>0</v>
      </c>
      <c r="AV30" s="26" t="n">
        <f aca="false">SUMIFS(Permissions!$AM$2:$AM$3000,Permissions!$B$2:$B$3000,$A30,Permissions!$P$2:$P$3000,"Yes")</f>
        <v>0</v>
      </c>
      <c r="AW30" s="24" t="n">
        <f aca="false">COUNTIFS(Permissions!$B$2:$B$3000,$A30,Permissions!$P$2:$P$3000,"Yes")</f>
        <v>0</v>
      </c>
      <c r="AX30" s="24" t="n">
        <f aca="false">SUMIFS(Permissions!$L$2:$L$3000,Permissions!$B$2:$B$3000,$A30,Permissions!$P$2:$P$3000,"Yes")</f>
        <v>0</v>
      </c>
      <c r="AY30" s="27" t="str">
        <f aca="false">IF(AND(AK30&gt;0,AG30&gt;=AK30,AN30=0),"Built out",IF(AG30&gt;0,"Partly built",IF(AK30&gt;0,"Consented – not built","No consent")))</f>
        <v>No consent</v>
      </c>
      <c r="AZ30" s="28" t="str">
        <f aca="false">IF(AND(R30&lt;&gt;"",AK30&gt;1.1*R30),"Consented above capacity",IF(AND(LEFT(B30,8)="Planning",AW30=0),"Consent parcel with no permission",IF(COUNTIF($A$2:$A$3000,$A30)&gt;1,"Duplicate parcel_id","")))</f>
        <v/>
      </c>
    </row>
    <row r="31" customFormat="false" ht="15" hidden="false" customHeight="false" outlineLevel="0" collapsed="false">
      <c r="A31" s="15" t="s">
        <v>214</v>
      </c>
      <c r="B31" s="15" t="s">
        <v>10</v>
      </c>
      <c r="C31" s="15" t="s">
        <v>16</v>
      </c>
      <c r="D31" s="15" t="s">
        <v>52</v>
      </c>
      <c r="E31" s="15" t="s">
        <v>19</v>
      </c>
      <c r="F31" s="15" t="n">
        <v>1</v>
      </c>
      <c r="G31" s="15" t="s">
        <v>154</v>
      </c>
      <c r="H31" s="15" t="n">
        <v>61</v>
      </c>
      <c r="I31" s="15" t="s">
        <v>52</v>
      </c>
      <c r="J31" s="15" t="s">
        <v>205</v>
      </c>
      <c r="K31" s="15" t="s">
        <v>206</v>
      </c>
      <c r="L31" s="15" t="s">
        <v>170</v>
      </c>
      <c r="M31" s="15" t="s">
        <v>157</v>
      </c>
      <c r="N31" s="15" t="s">
        <v>166</v>
      </c>
      <c r="O31" s="15" t="s">
        <v>159</v>
      </c>
      <c r="P31" s="15" t="n">
        <v>2.467</v>
      </c>
      <c r="Q31" s="15" t="n">
        <v>2.467</v>
      </c>
      <c r="R31" s="15" t="n">
        <v>137</v>
      </c>
      <c r="S31" s="15" t="s">
        <v>160</v>
      </c>
      <c r="T31" s="15"/>
      <c r="U31" s="15"/>
      <c r="V31" s="15"/>
      <c r="W31" s="15"/>
      <c r="X31" s="15"/>
      <c r="Y31" s="15"/>
      <c r="Z31" s="15"/>
      <c r="AA31" s="15" t="n">
        <v>0</v>
      </c>
      <c r="AB31" s="15" t="n">
        <v>0</v>
      </c>
      <c r="AC31" s="15" t="s">
        <v>180</v>
      </c>
      <c r="AD31" s="15" t="s">
        <v>162</v>
      </c>
      <c r="AE31" s="15" t="s">
        <v>163</v>
      </c>
      <c r="AF31" s="15"/>
      <c r="AG31" s="24" t="n">
        <f aca="false">SUMIFS(Permissions!$G$2:$G$3000,Permissions!$B$2:$B$3000,$A31,Permissions!$I$2:$I$3000,"Complete",Permissions!$P$2:$P$3000,"Yes")</f>
        <v>0</v>
      </c>
      <c r="AH31" s="24" t="n">
        <f aca="false">SUMIFS(Permissions!$G$2:$G$3000,Permissions!$B$2:$B$3000,$A31,Permissions!$I$2:$I$3000,"Under construction",Permissions!$P$2:$P$3000,"Yes")</f>
        <v>0</v>
      </c>
      <c r="AI31" s="24" t="n">
        <f aca="false">SUMIFS(Permissions!$G$2:$G$3000,Permissions!$B$2:$B$3000,$A31,Permissions!$I$2:$I$3000,"Permitted – not started",Permissions!$P$2:$P$3000,"Yes")</f>
        <v>0</v>
      </c>
      <c r="AJ31" s="24" t="n">
        <f aca="false">SUMIFS(Permissions!$G$2:$G$3000,Permissions!$B$2:$B$3000,$A31,Permissions!$I$2:$I$3000,"Stalled",Permissions!$P$2:$P$3000,"Yes")</f>
        <v>0</v>
      </c>
      <c r="AK31" s="24" t="n">
        <f aca="false">AG31+AH31+AI31+AJ31</f>
        <v>0</v>
      </c>
      <c r="AL31" s="24" t="n">
        <f aca="false">SUMIFS(Permissions!$G$2:$G$3000,Permissions!$B$2:$B$3000,$A31,Permissions!$I$2:$I$3000,"Expired – not started",Permissions!$P$2:$P$3000,"Yes")</f>
        <v>137</v>
      </c>
      <c r="AM31" s="24" t="n">
        <f aca="false">SUMIFS(Permissions!$G$2:$G$3000,Permissions!$B$2:$B$3000,$A31,Permissions!$I$2:$I$3000,"In planning",Permissions!$P$2:$P$3000,"Yes")</f>
        <v>0</v>
      </c>
      <c r="AN31" s="24" t="n">
        <f aca="false">IF(R31="",0,MAX(R31-AK31,0))</f>
        <v>137</v>
      </c>
      <c r="AO31" s="25" t="n">
        <f aca="false">AK31+AN31</f>
        <v>137</v>
      </c>
      <c r="AP31" s="24" t="n">
        <f aca="false">AO31-AG31</f>
        <v>137</v>
      </c>
      <c r="AQ31" s="26" t="n">
        <f aca="false">SUMIFS(Permissions!$AH$2:$AH$3000,Permissions!$B$2:$B$3000,$A31,Permissions!$P$2:$P$3000,"Yes")</f>
        <v>0</v>
      </c>
      <c r="AR31" s="26" t="n">
        <f aca="false">SUMIFS(Permissions!$AI$2:$AI$3000,Permissions!$B$2:$B$3000,$A31,Permissions!$P$2:$P$3000,"Yes")</f>
        <v>0</v>
      </c>
      <c r="AS31" s="26" t="n">
        <f aca="false">SUMIFS(Permissions!$AJ$2:$AJ$3000,Permissions!$B$2:$B$3000,$A31,Permissions!$P$2:$P$3000,"Yes")</f>
        <v>0</v>
      </c>
      <c r="AT31" s="26" t="n">
        <f aca="false">SUMIFS(Permissions!$AK$2:$AK$3000,Permissions!$B$2:$B$3000,$A31,Permissions!$P$2:$P$3000,"Yes")</f>
        <v>0</v>
      </c>
      <c r="AU31" s="26" t="n">
        <f aca="false">SUMIFS(Permissions!$AL$2:$AL$3000,Permissions!$B$2:$B$3000,$A31,Permissions!$P$2:$P$3000,"Yes")</f>
        <v>0</v>
      </c>
      <c r="AV31" s="26" t="n">
        <f aca="false">SUMIFS(Permissions!$AM$2:$AM$3000,Permissions!$B$2:$B$3000,$A31,Permissions!$P$2:$P$3000,"Yes")</f>
        <v>0</v>
      </c>
      <c r="AW31" s="24" t="n">
        <f aca="false">COUNTIFS(Permissions!$B$2:$B$3000,$A31,Permissions!$P$2:$P$3000,"Yes")</f>
        <v>1</v>
      </c>
      <c r="AX31" s="24" t="n">
        <f aca="false">SUMIFS(Permissions!$L$2:$L$3000,Permissions!$B$2:$B$3000,$A31,Permissions!$P$2:$P$3000,"Yes")</f>
        <v>0</v>
      </c>
      <c r="AY31" s="27" t="str">
        <f aca="false">IF(AND(AK31&gt;0,AG31&gt;=AK31,AN31=0),"Built out",IF(AG31&gt;0,"Partly built",IF(AK31&gt;0,"Consented – not built","No consent")))</f>
        <v>No consent</v>
      </c>
      <c r="AZ31" s="28" t="str">
        <f aca="false">IF(AND(R31&lt;&gt;"",AK31&gt;1.1*R31),"Consented above capacity",IF(AND(LEFT(B31,8)="Planning",AW31=0),"Consent parcel with no permission",IF(COUNTIF($A$2:$A$3000,$A31)&gt;1,"Duplicate parcel_id","")))</f>
        <v/>
      </c>
    </row>
    <row r="32" customFormat="false" ht="15" hidden="false" customHeight="false" outlineLevel="0" collapsed="false">
      <c r="A32" s="15" t="s">
        <v>215</v>
      </c>
      <c r="B32" s="15" t="s">
        <v>10</v>
      </c>
      <c r="C32" s="15" t="s">
        <v>16</v>
      </c>
      <c r="D32" s="15" t="s">
        <v>52</v>
      </c>
      <c r="E32" s="15" t="s">
        <v>19</v>
      </c>
      <c r="F32" s="15" t="n">
        <v>1</v>
      </c>
      <c r="G32" s="15" t="s">
        <v>154</v>
      </c>
      <c r="H32" s="15" t="n">
        <v>62</v>
      </c>
      <c r="I32" s="15" t="s">
        <v>52</v>
      </c>
      <c r="J32" s="15" t="s">
        <v>205</v>
      </c>
      <c r="K32" s="15" t="s">
        <v>206</v>
      </c>
      <c r="L32" s="15" t="s">
        <v>170</v>
      </c>
      <c r="M32" s="15" t="s">
        <v>165</v>
      </c>
      <c r="N32" s="15" t="s">
        <v>166</v>
      </c>
      <c r="O32" s="15" t="s">
        <v>159</v>
      </c>
      <c r="P32" s="15" t="n">
        <v>1.582</v>
      </c>
      <c r="Q32" s="15" t="n">
        <v>1.582</v>
      </c>
      <c r="R32" s="15" t="n">
        <v>71</v>
      </c>
      <c r="S32" s="15" t="s">
        <v>160</v>
      </c>
      <c r="T32" s="15"/>
      <c r="U32" s="15"/>
      <c r="V32" s="15"/>
      <c r="W32" s="15"/>
      <c r="X32" s="15"/>
      <c r="Y32" s="15"/>
      <c r="Z32" s="15"/>
      <c r="AA32" s="15" t="n">
        <v>0</v>
      </c>
      <c r="AB32" s="15" t="n">
        <v>0</v>
      </c>
      <c r="AC32" s="15" t="s">
        <v>161</v>
      </c>
      <c r="AD32" s="15" t="s">
        <v>162</v>
      </c>
      <c r="AE32" s="15" t="s">
        <v>163</v>
      </c>
      <c r="AF32" s="15"/>
      <c r="AG32" s="24" t="n">
        <f aca="false">SUMIFS(Permissions!$G$2:$G$3000,Permissions!$B$2:$B$3000,$A32,Permissions!$I$2:$I$3000,"Complete",Permissions!$P$2:$P$3000,"Yes")</f>
        <v>0</v>
      </c>
      <c r="AH32" s="24" t="n">
        <f aca="false">SUMIFS(Permissions!$G$2:$G$3000,Permissions!$B$2:$B$3000,$A32,Permissions!$I$2:$I$3000,"Under construction",Permissions!$P$2:$P$3000,"Yes")</f>
        <v>0</v>
      </c>
      <c r="AI32" s="24" t="n">
        <f aca="false">SUMIFS(Permissions!$G$2:$G$3000,Permissions!$B$2:$B$3000,$A32,Permissions!$I$2:$I$3000,"Permitted – not started",Permissions!$P$2:$P$3000,"Yes")</f>
        <v>76</v>
      </c>
      <c r="AJ32" s="24" t="n">
        <f aca="false">SUMIFS(Permissions!$G$2:$G$3000,Permissions!$B$2:$B$3000,$A32,Permissions!$I$2:$I$3000,"Stalled",Permissions!$P$2:$P$3000,"Yes")</f>
        <v>0</v>
      </c>
      <c r="AK32" s="24" t="n">
        <f aca="false">AG32+AH32+AI32+AJ32</f>
        <v>76</v>
      </c>
      <c r="AL32" s="24" t="n">
        <f aca="false">SUMIFS(Permissions!$G$2:$G$3000,Permissions!$B$2:$B$3000,$A32,Permissions!$I$2:$I$3000,"Expired – not started",Permissions!$P$2:$P$3000,"Yes")</f>
        <v>0</v>
      </c>
      <c r="AM32" s="24" t="n">
        <f aca="false">SUMIFS(Permissions!$G$2:$G$3000,Permissions!$B$2:$B$3000,$A32,Permissions!$I$2:$I$3000,"In planning",Permissions!$P$2:$P$3000,"Yes")</f>
        <v>0</v>
      </c>
      <c r="AN32" s="24" t="n">
        <f aca="false">IF(R32="",0,MAX(R32-AK32,0))</f>
        <v>0</v>
      </c>
      <c r="AO32" s="25" t="n">
        <f aca="false">AK32+AN32</f>
        <v>76</v>
      </c>
      <c r="AP32" s="24" t="n">
        <f aca="false">AO32-AG32</f>
        <v>76</v>
      </c>
      <c r="AQ32" s="26" t="n">
        <f aca="false">SUMIFS(Permissions!$AH$2:$AH$3000,Permissions!$B$2:$B$3000,$A32,Permissions!$P$2:$P$3000,"Yes")</f>
        <v>0</v>
      </c>
      <c r="AR32" s="26" t="n">
        <f aca="false">SUMIFS(Permissions!$AI$2:$AI$3000,Permissions!$B$2:$B$3000,$A32,Permissions!$P$2:$P$3000,"Yes")</f>
        <v>0</v>
      </c>
      <c r="AS32" s="26" t="n">
        <f aca="false">SUMIFS(Permissions!$AJ$2:$AJ$3000,Permissions!$B$2:$B$3000,$A32,Permissions!$P$2:$P$3000,"Yes")</f>
        <v>20.9</v>
      </c>
      <c r="AT32" s="26" t="n">
        <f aca="false">SUMIFS(Permissions!$AK$2:$AK$3000,Permissions!$B$2:$B$3000,$A32,Permissions!$P$2:$P$3000,"Yes")</f>
        <v>55.1</v>
      </c>
      <c r="AU32" s="26" t="n">
        <f aca="false">SUMIFS(Permissions!$AL$2:$AL$3000,Permissions!$B$2:$B$3000,$A32,Permissions!$P$2:$P$3000,"Yes")</f>
        <v>0</v>
      </c>
      <c r="AV32" s="26" t="n">
        <f aca="false">SUMIFS(Permissions!$AM$2:$AM$3000,Permissions!$B$2:$B$3000,$A32,Permissions!$P$2:$P$3000,"Yes")</f>
        <v>0</v>
      </c>
      <c r="AW32" s="24" t="n">
        <f aca="false">COUNTIFS(Permissions!$B$2:$B$3000,$A32,Permissions!$P$2:$P$3000,"Yes")</f>
        <v>1</v>
      </c>
      <c r="AX32" s="24" t="n">
        <f aca="false">SUMIFS(Permissions!$L$2:$L$3000,Permissions!$B$2:$B$3000,$A32,Permissions!$P$2:$P$3000,"Yes")</f>
        <v>0</v>
      </c>
      <c r="AY32" s="27" t="str">
        <f aca="false">IF(AND(AK32&gt;0,AG32&gt;=AK32,AN32=0),"Built out",IF(AG32&gt;0,"Partly built",IF(AK32&gt;0,"Consented – not built","No consent")))</f>
        <v>Consented – not built</v>
      </c>
      <c r="AZ32" s="28" t="str">
        <f aca="false">IF(AND(R32&lt;&gt;"",AK32&gt;1.1*R32),"Consented above capacity",IF(AND(LEFT(B32,8)="Planning",AW32=0),"Consent parcel with no permission",IF(COUNTIF($A$2:$A$3000,$A32)&gt;1,"Duplicate parcel_id","")))</f>
        <v/>
      </c>
    </row>
    <row r="33" customFormat="false" ht="15" hidden="false" customHeight="false" outlineLevel="0" collapsed="false">
      <c r="A33" s="15" t="s">
        <v>216</v>
      </c>
      <c r="B33" s="15" t="s">
        <v>10</v>
      </c>
      <c r="C33" s="15" t="s">
        <v>16</v>
      </c>
      <c r="D33" s="15" t="s">
        <v>52</v>
      </c>
      <c r="E33" s="15" t="s">
        <v>19</v>
      </c>
      <c r="F33" s="15" t="n">
        <v>1</v>
      </c>
      <c r="G33" s="15" t="s">
        <v>154</v>
      </c>
      <c r="H33" s="15" t="n">
        <v>63</v>
      </c>
      <c r="I33" s="15" t="s">
        <v>52</v>
      </c>
      <c r="J33" s="15" t="s">
        <v>205</v>
      </c>
      <c r="K33" s="15" t="s">
        <v>206</v>
      </c>
      <c r="L33" s="15" t="s">
        <v>156</v>
      </c>
      <c r="M33" s="15" t="s">
        <v>157</v>
      </c>
      <c r="N33" s="15" t="s">
        <v>158</v>
      </c>
      <c r="O33" s="15" t="s">
        <v>159</v>
      </c>
      <c r="P33" s="15" t="n">
        <v>0.467</v>
      </c>
      <c r="Q33" s="15" t="n">
        <v>0.468</v>
      </c>
      <c r="R33" s="15" t="n">
        <v>21</v>
      </c>
      <c r="S33" s="15" t="s">
        <v>160</v>
      </c>
      <c r="T33" s="15"/>
      <c r="U33" s="15"/>
      <c r="V33" s="15"/>
      <c r="W33" s="15"/>
      <c r="X33" s="15"/>
      <c r="Y33" s="15"/>
      <c r="Z33" s="15"/>
      <c r="AA33" s="15" t="n">
        <v>0</v>
      </c>
      <c r="AB33" s="15" t="n">
        <v>0</v>
      </c>
      <c r="AC33" s="15" t="s">
        <v>161</v>
      </c>
      <c r="AD33" s="15" t="s">
        <v>162</v>
      </c>
      <c r="AE33" s="15" t="s">
        <v>163</v>
      </c>
      <c r="AF33" s="15"/>
      <c r="AG33" s="24" t="n">
        <f aca="false">SUMIFS(Permissions!$G$2:$G$3000,Permissions!$B$2:$B$3000,$A33,Permissions!$I$2:$I$3000,"Complete",Permissions!$P$2:$P$3000,"Yes")</f>
        <v>0</v>
      </c>
      <c r="AH33" s="24" t="n">
        <f aca="false">SUMIFS(Permissions!$G$2:$G$3000,Permissions!$B$2:$B$3000,$A33,Permissions!$I$2:$I$3000,"Under construction",Permissions!$P$2:$P$3000,"Yes")</f>
        <v>0</v>
      </c>
      <c r="AI33" s="24" t="n">
        <f aca="false">SUMIFS(Permissions!$G$2:$G$3000,Permissions!$B$2:$B$3000,$A33,Permissions!$I$2:$I$3000,"Permitted – not started",Permissions!$P$2:$P$3000,"Yes")</f>
        <v>0</v>
      </c>
      <c r="AJ33" s="24" t="n">
        <f aca="false">SUMIFS(Permissions!$G$2:$G$3000,Permissions!$B$2:$B$3000,$A33,Permissions!$I$2:$I$3000,"Stalled",Permissions!$P$2:$P$3000,"Yes")</f>
        <v>0</v>
      </c>
      <c r="AK33" s="24" t="n">
        <f aca="false">AG33+AH33+AI33+AJ33</f>
        <v>0</v>
      </c>
      <c r="AL33" s="24" t="n">
        <f aca="false">SUMIFS(Permissions!$G$2:$G$3000,Permissions!$B$2:$B$3000,$A33,Permissions!$I$2:$I$3000,"Expired – not started",Permissions!$P$2:$P$3000,"Yes")</f>
        <v>0</v>
      </c>
      <c r="AM33" s="24" t="n">
        <f aca="false">SUMIFS(Permissions!$G$2:$G$3000,Permissions!$B$2:$B$3000,$A33,Permissions!$I$2:$I$3000,"In planning",Permissions!$P$2:$P$3000,"Yes")</f>
        <v>0</v>
      </c>
      <c r="AN33" s="24" t="n">
        <f aca="false">IF(R33="",0,MAX(R33-AK33,0))</f>
        <v>21</v>
      </c>
      <c r="AO33" s="25" t="n">
        <f aca="false">AK33+AN33</f>
        <v>21</v>
      </c>
      <c r="AP33" s="24" t="n">
        <f aca="false">AO33-AG33</f>
        <v>21</v>
      </c>
      <c r="AQ33" s="26" t="n">
        <f aca="false">SUMIFS(Permissions!$AH$2:$AH$3000,Permissions!$B$2:$B$3000,$A33,Permissions!$P$2:$P$3000,"Yes")</f>
        <v>0</v>
      </c>
      <c r="AR33" s="26" t="n">
        <f aca="false">SUMIFS(Permissions!$AI$2:$AI$3000,Permissions!$B$2:$B$3000,$A33,Permissions!$P$2:$P$3000,"Yes")</f>
        <v>0</v>
      </c>
      <c r="AS33" s="26" t="n">
        <f aca="false">SUMIFS(Permissions!$AJ$2:$AJ$3000,Permissions!$B$2:$B$3000,$A33,Permissions!$P$2:$P$3000,"Yes")</f>
        <v>0</v>
      </c>
      <c r="AT33" s="26" t="n">
        <f aca="false">SUMIFS(Permissions!$AK$2:$AK$3000,Permissions!$B$2:$B$3000,$A33,Permissions!$P$2:$P$3000,"Yes")</f>
        <v>0</v>
      </c>
      <c r="AU33" s="26" t="n">
        <f aca="false">SUMIFS(Permissions!$AL$2:$AL$3000,Permissions!$B$2:$B$3000,$A33,Permissions!$P$2:$P$3000,"Yes")</f>
        <v>0</v>
      </c>
      <c r="AV33" s="26" t="n">
        <f aca="false">SUMIFS(Permissions!$AM$2:$AM$3000,Permissions!$B$2:$B$3000,$A33,Permissions!$P$2:$P$3000,"Yes")</f>
        <v>0</v>
      </c>
      <c r="AW33" s="24" t="n">
        <f aca="false">COUNTIFS(Permissions!$B$2:$B$3000,$A33,Permissions!$P$2:$P$3000,"Yes")</f>
        <v>0</v>
      </c>
      <c r="AX33" s="24" t="n">
        <f aca="false">SUMIFS(Permissions!$L$2:$L$3000,Permissions!$B$2:$B$3000,$A33,Permissions!$P$2:$P$3000,"Yes")</f>
        <v>0</v>
      </c>
      <c r="AY33" s="27" t="str">
        <f aca="false">IF(AND(AK33&gt;0,AG33&gt;=AK33,AN33=0),"Built out",IF(AG33&gt;0,"Partly built",IF(AK33&gt;0,"Consented – not built","No consent")))</f>
        <v>No consent</v>
      </c>
      <c r="AZ33" s="28" t="str">
        <f aca="false">IF(AND(R33&lt;&gt;"",AK33&gt;1.1*R33),"Consented above capacity",IF(AND(LEFT(B33,8)="Planning",AW33=0),"Consent parcel with no permission",IF(COUNTIF($A$2:$A$3000,$A33)&gt;1,"Duplicate parcel_id","")))</f>
        <v/>
      </c>
    </row>
    <row r="34" customFormat="false" ht="15" hidden="false" customHeight="false" outlineLevel="0" collapsed="false">
      <c r="A34" s="15" t="s">
        <v>217</v>
      </c>
      <c r="B34" s="15" t="s">
        <v>10</v>
      </c>
      <c r="C34" s="15" t="s">
        <v>16</v>
      </c>
      <c r="D34" s="15" t="s">
        <v>52</v>
      </c>
      <c r="E34" s="15" t="s">
        <v>19</v>
      </c>
      <c r="F34" s="15" t="n">
        <v>1</v>
      </c>
      <c r="G34" s="15" t="s">
        <v>154</v>
      </c>
      <c r="H34" s="15" t="n">
        <v>65</v>
      </c>
      <c r="I34" s="15" t="s">
        <v>52</v>
      </c>
      <c r="J34" s="15" t="s">
        <v>205</v>
      </c>
      <c r="K34" s="15" t="s">
        <v>206</v>
      </c>
      <c r="L34" s="15" t="s">
        <v>170</v>
      </c>
      <c r="M34" s="15" t="s">
        <v>157</v>
      </c>
      <c r="N34" s="15" t="s">
        <v>166</v>
      </c>
      <c r="O34" s="15" t="s">
        <v>159</v>
      </c>
      <c r="P34" s="15" t="n">
        <v>1.181</v>
      </c>
      <c r="Q34" s="15" t="n">
        <v>1.181</v>
      </c>
      <c r="R34" s="15" t="n">
        <v>53</v>
      </c>
      <c r="S34" s="15" t="s">
        <v>160</v>
      </c>
      <c r="T34" s="15"/>
      <c r="U34" s="15"/>
      <c r="V34" s="15"/>
      <c r="W34" s="15"/>
      <c r="X34" s="15"/>
      <c r="Y34" s="15"/>
      <c r="Z34" s="15"/>
      <c r="AA34" s="15" t="n">
        <v>0</v>
      </c>
      <c r="AB34" s="15" t="n">
        <v>0</v>
      </c>
      <c r="AC34" s="15" t="s">
        <v>161</v>
      </c>
      <c r="AD34" s="15" t="s">
        <v>162</v>
      </c>
      <c r="AE34" s="15" t="s">
        <v>163</v>
      </c>
      <c r="AF34" s="15"/>
      <c r="AG34" s="24" t="n">
        <f aca="false">SUMIFS(Permissions!$G$2:$G$3000,Permissions!$B$2:$B$3000,$A34,Permissions!$I$2:$I$3000,"Complete",Permissions!$P$2:$P$3000,"Yes")</f>
        <v>0</v>
      </c>
      <c r="AH34" s="24" t="n">
        <f aca="false">SUMIFS(Permissions!$G$2:$G$3000,Permissions!$B$2:$B$3000,$A34,Permissions!$I$2:$I$3000,"Under construction",Permissions!$P$2:$P$3000,"Yes")</f>
        <v>0</v>
      </c>
      <c r="AI34" s="24" t="n">
        <f aca="false">SUMIFS(Permissions!$G$2:$G$3000,Permissions!$B$2:$B$3000,$A34,Permissions!$I$2:$I$3000,"Permitted – not started",Permissions!$P$2:$P$3000,"Yes")</f>
        <v>0</v>
      </c>
      <c r="AJ34" s="24" t="n">
        <f aca="false">SUMIFS(Permissions!$G$2:$G$3000,Permissions!$B$2:$B$3000,$A34,Permissions!$I$2:$I$3000,"Stalled",Permissions!$P$2:$P$3000,"Yes")</f>
        <v>0</v>
      </c>
      <c r="AK34" s="24" t="n">
        <f aca="false">AG34+AH34+AI34+AJ34</f>
        <v>0</v>
      </c>
      <c r="AL34" s="24" t="n">
        <f aca="false">SUMIFS(Permissions!$G$2:$G$3000,Permissions!$B$2:$B$3000,$A34,Permissions!$I$2:$I$3000,"Expired – not started",Permissions!$P$2:$P$3000,"Yes")</f>
        <v>0</v>
      </c>
      <c r="AM34" s="24" t="n">
        <f aca="false">SUMIFS(Permissions!$G$2:$G$3000,Permissions!$B$2:$B$3000,$A34,Permissions!$I$2:$I$3000,"In planning",Permissions!$P$2:$P$3000,"Yes")</f>
        <v>0</v>
      </c>
      <c r="AN34" s="24" t="n">
        <f aca="false">IF(R34="",0,MAX(R34-AK34,0))</f>
        <v>53</v>
      </c>
      <c r="AO34" s="25" t="n">
        <f aca="false">AK34+AN34</f>
        <v>53</v>
      </c>
      <c r="AP34" s="24" t="n">
        <f aca="false">AO34-AG34</f>
        <v>53</v>
      </c>
      <c r="AQ34" s="26" t="n">
        <f aca="false">SUMIFS(Permissions!$AH$2:$AH$3000,Permissions!$B$2:$B$3000,$A34,Permissions!$P$2:$P$3000,"Yes")</f>
        <v>0</v>
      </c>
      <c r="AR34" s="26" t="n">
        <f aca="false">SUMIFS(Permissions!$AI$2:$AI$3000,Permissions!$B$2:$B$3000,$A34,Permissions!$P$2:$P$3000,"Yes")</f>
        <v>0</v>
      </c>
      <c r="AS34" s="26" t="n">
        <f aca="false">SUMIFS(Permissions!$AJ$2:$AJ$3000,Permissions!$B$2:$B$3000,$A34,Permissions!$P$2:$P$3000,"Yes")</f>
        <v>0</v>
      </c>
      <c r="AT34" s="26" t="n">
        <f aca="false">SUMIFS(Permissions!$AK$2:$AK$3000,Permissions!$B$2:$B$3000,$A34,Permissions!$P$2:$P$3000,"Yes")</f>
        <v>0</v>
      </c>
      <c r="AU34" s="26" t="n">
        <f aca="false">SUMIFS(Permissions!$AL$2:$AL$3000,Permissions!$B$2:$B$3000,$A34,Permissions!$P$2:$P$3000,"Yes")</f>
        <v>0</v>
      </c>
      <c r="AV34" s="26" t="n">
        <f aca="false">SUMIFS(Permissions!$AM$2:$AM$3000,Permissions!$B$2:$B$3000,$A34,Permissions!$P$2:$P$3000,"Yes")</f>
        <v>0</v>
      </c>
      <c r="AW34" s="24" t="n">
        <f aca="false">COUNTIFS(Permissions!$B$2:$B$3000,$A34,Permissions!$P$2:$P$3000,"Yes")</f>
        <v>0</v>
      </c>
      <c r="AX34" s="24" t="n">
        <f aca="false">SUMIFS(Permissions!$L$2:$L$3000,Permissions!$B$2:$B$3000,$A34,Permissions!$P$2:$P$3000,"Yes")</f>
        <v>0</v>
      </c>
      <c r="AY34" s="27" t="str">
        <f aca="false">IF(AND(AK34&gt;0,AG34&gt;=AK34,AN34=0),"Built out",IF(AG34&gt;0,"Partly built",IF(AK34&gt;0,"Consented – not built","No consent")))</f>
        <v>No consent</v>
      </c>
      <c r="AZ34" s="28" t="str">
        <f aca="false">IF(AND(R34&lt;&gt;"",AK34&gt;1.1*R34),"Consented above capacity",IF(AND(LEFT(B34,8)="Planning",AW34=0),"Consent parcel with no permission",IF(COUNTIF($A$2:$A$3000,$A34)&gt;1,"Duplicate parcel_id","")))</f>
        <v/>
      </c>
    </row>
    <row r="35" customFormat="false" ht="15" hidden="false" customHeight="false" outlineLevel="0" collapsed="false">
      <c r="A35" s="15" t="s">
        <v>218</v>
      </c>
      <c r="B35" s="15" t="s">
        <v>10</v>
      </c>
      <c r="C35" s="15" t="s">
        <v>16</v>
      </c>
      <c r="D35" s="15" t="s">
        <v>52</v>
      </c>
      <c r="E35" s="15" t="s">
        <v>19</v>
      </c>
      <c r="F35" s="15" t="n">
        <v>1</v>
      </c>
      <c r="G35" s="15" t="s">
        <v>154</v>
      </c>
      <c r="H35" s="15" t="n">
        <v>66</v>
      </c>
      <c r="I35" s="15" t="s">
        <v>52</v>
      </c>
      <c r="J35" s="15" t="s">
        <v>205</v>
      </c>
      <c r="K35" s="15" t="s">
        <v>206</v>
      </c>
      <c r="L35" s="15" t="s">
        <v>170</v>
      </c>
      <c r="M35" s="15" t="s">
        <v>157</v>
      </c>
      <c r="N35" s="15" t="s">
        <v>166</v>
      </c>
      <c r="O35" s="15" t="s">
        <v>179</v>
      </c>
      <c r="P35" s="15" t="n">
        <v>0.191</v>
      </c>
      <c r="Q35" s="15" t="n">
        <v>0.192</v>
      </c>
      <c r="R35" s="15" t="n">
        <v>7</v>
      </c>
      <c r="S35" s="15" t="s">
        <v>160</v>
      </c>
      <c r="T35" s="15"/>
      <c r="U35" s="15"/>
      <c r="V35" s="15"/>
      <c r="W35" s="15"/>
      <c r="X35" s="15"/>
      <c r="Y35" s="15"/>
      <c r="Z35" s="15"/>
      <c r="AA35" s="15" t="n">
        <v>0</v>
      </c>
      <c r="AB35" s="15" t="n">
        <v>0</v>
      </c>
      <c r="AC35" s="15" t="s">
        <v>161</v>
      </c>
      <c r="AD35" s="15" t="s">
        <v>162</v>
      </c>
      <c r="AE35" s="15" t="s">
        <v>163</v>
      </c>
      <c r="AF35" s="15"/>
      <c r="AG35" s="24" t="n">
        <f aca="false">SUMIFS(Permissions!$G$2:$G$3000,Permissions!$B$2:$B$3000,$A35,Permissions!$I$2:$I$3000,"Complete",Permissions!$P$2:$P$3000,"Yes")</f>
        <v>0</v>
      </c>
      <c r="AH35" s="24" t="n">
        <f aca="false">SUMIFS(Permissions!$G$2:$G$3000,Permissions!$B$2:$B$3000,$A35,Permissions!$I$2:$I$3000,"Under construction",Permissions!$P$2:$P$3000,"Yes")</f>
        <v>0</v>
      </c>
      <c r="AI35" s="24" t="n">
        <f aca="false">SUMIFS(Permissions!$G$2:$G$3000,Permissions!$B$2:$B$3000,$A35,Permissions!$I$2:$I$3000,"Permitted – not started",Permissions!$P$2:$P$3000,"Yes")</f>
        <v>0</v>
      </c>
      <c r="AJ35" s="24" t="n">
        <f aca="false">SUMIFS(Permissions!$G$2:$G$3000,Permissions!$B$2:$B$3000,$A35,Permissions!$I$2:$I$3000,"Stalled",Permissions!$P$2:$P$3000,"Yes")</f>
        <v>0</v>
      </c>
      <c r="AK35" s="24" t="n">
        <f aca="false">AG35+AH35+AI35+AJ35</f>
        <v>0</v>
      </c>
      <c r="AL35" s="24" t="n">
        <f aca="false">SUMIFS(Permissions!$G$2:$G$3000,Permissions!$B$2:$B$3000,$A35,Permissions!$I$2:$I$3000,"Expired – not started",Permissions!$P$2:$P$3000,"Yes")</f>
        <v>0</v>
      </c>
      <c r="AM35" s="24" t="n">
        <f aca="false">SUMIFS(Permissions!$G$2:$G$3000,Permissions!$B$2:$B$3000,$A35,Permissions!$I$2:$I$3000,"In planning",Permissions!$P$2:$P$3000,"Yes")</f>
        <v>0</v>
      </c>
      <c r="AN35" s="24" t="n">
        <f aca="false">IF(R35="",0,MAX(R35-AK35,0))</f>
        <v>7</v>
      </c>
      <c r="AO35" s="25" t="n">
        <f aca="false">AK35+AN35</f>
        <v>7</v>
      </c>
      <c r="AP35" s="24" t="n">
        <f aca="false">AO35-AG35</f>
        <v>7</v>
      </c>
      <c r="AQ35" s="26" t="n">
        <f aca="false">SUMIFS(Permissions!$AH$2:$AH$3000,Permissions!$B$2:$B$3000,$A35,Permissions!$P$2:$P$3000,"Yes")</f>
        <v>0</v>
      </c>
      <c r="AR35" s="26" t="n">
        <f aca="false">SUMIFS(Permissions!$AI$2:$AI$3000,Permissions!$B$2:$B$3000,$A35,Permissions!$P$2:$P$3000,"Yes")</f>
        <v>0</v>
      </c>
      <c r="AS35" s="26" t="n">
        <f aca="false">SUMIFS(Permissions!$AJ$2:$AJ$3000,Permissions!$B$2:$B$3000,$A35,Permissions!$P$2:$P$3000,"Yes")</f>
        <v>0</v>
      </c>
      <c r="AT35" s="26" t="n">
        <f aca="false">SUMIFS(Permissions!$AK$2:$AK$3000,Permissions!$B$2:$B$3000,$A35,Permissions!$P$2:$P$3000,"Yes")</f>
        <v>0</v>
      </c>
      <c r="AU35" s="26" t="n">
        <f aca="false">SUMIFS(Permissions!$AL$2:$AL$3000,Permissions!$B$2:$B$3000,$A35,Permissions!$P$2:$P$3000,"Yes")</f>
        <v>0</v>
      </c>
      <c r="AV35" s="26" t="n">
        <f aca="false">SUMIFS(Permissions!$AM$2:$AM$3000,Permissions!$B$2:$B$3000,$A35,Permissions!$P$2:$P$3000,"Yes")</f>
        <v>0</v>
      </c>
      <c r="AW35" s="24" t="n">
        <f aca="false">COUNTIFS(Permissions!$B$2:$B$3000,$A35,Permissions!$P$2:$P$3000,"Yes")</f>
        <v>0</v>
      </c>
      <c r="AX35" s="24" t="n">
        <f aca="false">SUMIFS(Permissions!$L$2:$L$3000,Permissions!$B$2:$B$3000,$A35,Permissions!$P$2:$P$3000,"Yes")</f>
        <v>0</v>
      </c>
      <c r="AY35" s="27" t="str">
        <f aca="false">IF(AND(AK35&gt;0,AG35&gt;=AK35,AN35=0),"Built out",IF(AG35&gt;0,"Partly built",IF(AK35&gt;0,"Consented – not built","No consent")))</f>
        <v>No consent</v>
      </c>
      <c r="AZ35" s="28" t="str">
        <f aca="false">IF(AND(R35&lt;&gt;"",AK35&gt;1.1*R35),"Consented above capacity",IF(AND(LEFT(B35,8)="Planning",AW35=0),"Consent parcel with no permission",IF(COUNTIF($A$2:$A$3000,$A35)&gt;1,"Duplicate parcel_id","")))</f>
        <v/>
      </c>
    </row>
    <row r="36" customFormat="false" ht="15" hidden="false" customHeight="false" outlineLevel="0" collapsed="false">
      <c r="A36" s="15" t="s">
        <v>219</v>
      </c>
      <c r="B36" s="15" t="s">
        <v>10</v>
      </c>
      <c r="C36" s="15" t="s">
        <v>16</v>
      </c>
      <c r="D36" s="15" t="s">
        <v>52</v>
      </c>
      <c r="E36" s="15" t="s">
        <v>19</v>
      </c>
      <c r="F36" s="15" t="n">
        <v>1</v>
      </c>
      <c r="G36" s="15" t="s">
        <v>154</v>
      </c>
      <c r="H36" s="15" t="n">
        <v>67</v>
      </c>
      <c r="I36" s="15" t="s">
        <v>52</v>
      </c>
      <c r="J36" s="15" t="s">
        <v>205</v>
      </c>
      <c r="K36" s="15" t="s">
        <v>206</v>
      </c>
      <c r="L36" s="15" t="s">
        <v>170</v>
      </c>
      <c r="M36" s="15" t="s">
        <v>157</v>
      </c>
      <c r="N36" s="15" t="s">
        <v>166</v>
      </c>
      <c r="O36" s="15" t="s">
        <v>179</v>
      </c>
      <c r="P36" s="15" t="n">
        <v>2.056</v>
      </c>
      <c r="Q36" s="15" t="n">
        <v>2.056</v>
      </c>
      <c r="R36" s="15" t="n">
        <v>72</v>
      </c>
      <c r="S36" s="15" t="s">
        <v>160</v>
      </c>
      <c r="T36" s="15"/>
      <c r="U36" s="15"/>
      <c r="V36" s="15"/>
      <c r="W36" s="15"/>
      <c r="X36" s="15"/>
      <c r="Y36" s="15"/>
      <c r="Z36" s="15"/>
      <c r="AA36" s="15" t="n">
        <v>0</v>
      </c>
      <c r="AB36" s="15" t="n">
        <v>0</v>
      </c>
      <c r="AC36" s="15" t="s">
        <v>161</v>
      </c>
      <c r="AD36" s="15" t="s">
        <v>162</v>
      </c>
      <c r="AE36" s="15" t="s">
        <v>163</v>
      </c>
      <c r="AF36" s="15"/>
      <c r="AG36" s="24" t="n">
        <f aca="false">SUMIFS(Permissions!$G$2:$G$3000,Permissions!$B$2:$B$3000,$A36,Permissions!$I$2:$I$3000,"Complete",Permissions!$P$2:$P$3000,"Yes")</f>
        <v>0</v>
      </c>
      <c r="AH36" s="24" t="n">
        <f aca="false">SUMIFS(Permissions!$G$2:$G$3000,Permissions!$B$2:$B$3000,$A36,Permissions!$I$2:$I$3000,"Under construction",Permissions!$P$2:$P$3000,"Yes")</f>
        <v>0</v>
      </c>
      <c r="AI36" s="24" t="n">
        <f aca="false">SUMIFS(Permissions!$G$2:$G$3000,Permissions!$B$2:$B$3000,$A36,Permissions!$I$2:$I$3000,"Permitted – not started",Permissions!$P$2:$P$3000,"Yes")</f>
        <v>0</v>
      </c>
      <c r="AJ36" s="24" t="n">
        <f aca="false">SUMIFS(Permissions!$G$2:$G$3000,Permissions!$B$2:$B$3000,$A36,Permissions!$I$2:$I$3000,"Stalled",Permissions!$P$2:$P$3000,"Yes")</f>
        <v>0</v>
      </c>
      <c r="AK36" s="24" t="n">
        <f aca="false">AG36+AH36+AI36+AJ36</f>
        <v>0</v>
      </c>
      <c r="AL36" s="24" t="n">
        <f aca="false">SUMIFS(Permissions!$G$2:$G$3000,Permissions!$B$2:$B$3000,$A36,Permissions!$I$2:$I$3000,"Expired – not started",Permissions!$P$2:$P$3000,"Yes")</f>
        <v>0</v>
      </c>
      <c r="AM36" s="24" t="n">
        <f aca="false">SUMIFS(Permissions!$G$2:$G$3000,Permissions!$B$2:$B$3000,$A36,Permissions!$I$2:$I$3000,"In planning",Permissions!$P$2:$P$3000,"Yes")</f>
        <v>0</v>
      </c>
      <c r="AN36" s="24" t="n">
        <f aca="false">IF(R36="",0,MAX(R36-AK36,0))</f>
        <v>72</v>
      </c>
      <c r="AO36" s="25" t="n">
        <f aca="false">AK36+AN36</f>
        <v>72</v>
      </c>
      <c r="AP36" s="24" t="n">
        <f aca="false">AO36-AG36</f>
        <v>72</v>
      </c>
      <c r="AQ36" s="26" t="n">
        <f aca="false">SUMIFS(Permissions!$AH$2:$AH$3000,Permissions!$B$2:$B$3000,$A36,Permissions!$P$2:$P$3000,"Yes")</f>
        <v>0</v>
      </c>
      <c r="AR36" s="26" t="n">
        <f aca="false">SUMIFS(Permissions!$AI$2:$AI$3000,Permissions!$B$2:$B$3000,$A36,Permissions!$P$2:$P$3000,"Yes")</f>
        <v>0</v>
      </c>
      <c r="AS36" s="26" t="n">
        <f aca="false">SUMIFS(Permissions!$AJ$2:$AJ$3000,Permissions!$B$2:$B$3000,$A36,Permissions!$P$2:$P$3000,"Yes")</f>
        <v>0</v>
      </c>
      <c r="AT36" s="26" t="n">
        <f aca="false">SUMIFS(Permissions!$AK$2:$AK$3000,Permissions!$B$2:$B$3000,$A36,Permissions!$P$2:$P$3000,"Yes")</f>
        <v>0</v>
      </c>
      <c r="AU36" s="26" t="n">
        <f aca="false">SUMIFS(Permissions!$AL$2:$AL$3000,Permissions!$B$2:$B$3000,$A36,Permissions!$P$2:$P$3000,"Yes")</f>
        <v>0</v>
      </c>
      <c r="AV36" s="26" t="n">
        <f aca="false">SUMIFS(Permissions!$AM$2:$AM$3000,Permissions!$B$2:$B$3000,$A36,Permissions!$P$2:$P$3000,"Yes")</f>
        <v>0</v>
      </c>
      <c r="AW36" s="24" t="n">
        <f aca="false">COUNTIFS(Permissions!$B$2:$B$3000,$A36,Permissions!$P$2:$P$3000,"Yes")</f>
        <v>0</v>
      </c>
      <c r="AX36" s="24" t="n">
        <f aca="false">SUMIFS(Permissions!$L$2:$L$3000,Permissions!$B$2:$B$3000,$A36,Permissions!$P$2:$P$3000,"Yes")</f>
        <v>0</v>
      </c>
      <c r="AY36" s="27" t="str">
        <f aca="false">IF(AND(AK36&gt;0,AG36&gt;=AK36,AN36=0),"Built out",IF(AG36&gt;0,"Partly built",IF(AK36&gt;0,"Consented – not built","No consent")))</f>
        <v>No consent</v>
      </c>
      <c r="AZ36" s="28" t="str">
        <f aca="false">IF(AND(R36&lt;&gt;"",AK36&gt;1.1*R36),"Consented above capacity",IF(AND(LEFT(B36,8)="Planning",AW36=0),"Consent parcel with no permission",IF(COUNTIF($A$2:$A$3000,$A36)&gt;1,"Duplicate parcel_id","")))</f>
        <v/>
      </c>
    </row>
    <row r="37" customFormat="false" ht="15" hidden="false" customHeight="false" outlineLevel="0" collapsed="false">
      <c r="A37" s="15" t="s">
        <v>220</v>
      </c>
      <c r="B37" s="15" t="s">
        <v>10</v>
      </c>
      <c r="C37" s="15" t="s">
        <v>16</v>
      </c>
      <c r="D37" s="15" t="s">
        <v>52</v>
      </c>
      <c r="E37" s="15" t="s">
        <v>19</v>
      </c>
      <c r="F37" s="15" t="n">
        <v>1</v>
      </c>
      <c r="G37" s="15" t="s">
        <v>154</v>
      </c>
      <c r="H37" s="15" t="n">
        <v>69</v>
      </c>
      <c r="I37" s="15" t="s">
        <v>52</v>
      </c>
      <c r="J37" s="15" t="s">
        <v>205</v>
      </c>
      <c r="K37" s="15" t="s">
        <v>206</v>
      </c>
      <c r="L37" s="15" t="s">
        <v>170</v>
      </c>
      <c r="M37" s="15" t="s">
        <v>157</v>
      </c>
      <c r="N37" s="15" t="s">
        <v>178</v>
      </c>
      <c r="O37" s="15" t="s">
        <v>221</v>
      </c>
      <c r="P37" s="15" t="n">
        <v>8.746</v>
      </c>
      <c r="Q37" s="15" t="n">
        <v>8.743</v>
      </c>
      <c r="R37" s="15" t="n">
        <v>310</v>
      </c>
      <c r="S37" s="15" t="s">
        <v>160</v>
      </c>
      <c r="T37" s="15"/>
      <c r="U37" s="15"/>
      <c r="V37" s="15"/>
      <c r="W37" s="15"/>
      <c r="X37" s="15"/>
      <c r="Y37" s="15"/>
      <c r="Z37" s="15"/>
      <c r="AA37" s="15" t="n">
        <v>0</v>
      </c>
      <c r="AB37" s="15" t="n">
        <v>0</v>
      </c>
      <c r="AC37" s="15" t="s">
        <v>161</v>
      </c>
      <c r="AD37" s="15" t="s">
        <v>162</v>
      </c>
      <c r="AE37" s="15" t="s">
        <v>163</v>
      </c>
      <c r="AF37" s="15"/>
      <c r="AG37" s="24" t="n">
        <f aca="false">SUMIFS(Permissions!$G$2:$G$3000,Permissions!$B$2:$B$3000,$A37,Permissions!$I$2:$I$3000,"Complete",Permissions!$P$2:$P$3000,"Yes")</f>
        <v>0</v>
      </c>
      <c r="AH37" s="24" t="n">
        <f aca="false">SUMIFS(Permissions!$G$2:$G$3000,Permissions!$B$2:$B$3000,$A37,Permissions!$I$2:$I$3000,"Under construction",Permissions!$P$2:$P$3000,"Yes")</f>
        <v>0</v>
      </c>
      <c r="AI37" s="24" t="n">
        <f aca="false">SUMIFS(Permissions!$G$2:$G$3000,Permissions!$B$2:$B$3000,$A37,Permissions!$I$2:$I$3000,"Permitted – not started",Permissions!$P$2:$P$3000,"Yes")</f>
        <v>0</v>
      </c>
      <c r="AJ37" s="24" t="n">
        <f aca="false">SUMIFS(Permissions!$G$2:$G$3000,Permissions!$B$2:$B$3000,$A37,Permissions!$I$2:$I$3000,"Stalled",Permissions!$P$2:$P$3000,"Yes")</f>
        <v>0</v>
      </c>
      <c r="AK37" s="24" t="n">
        <f aca="false">AG37+AH37+AI37+AJ37</f>
        <v>0</v>
      </c>
      <c r="AL37" s="24" t="n">
        <f aca="false">SUMIFS(Permissions!$G$2:$G$3000,Permissions!$B$2:$B$3000,$A37,Permissions!$I$2:$I$3000,"Expired – not started",Permissions!$P$2:$P$3000,"Yes")</f>
        <v>0</v>
      </c>
      <c r="AM37" s="24" t="n">
        <f aca="false">SUMIFS(Permissions!$G$2:$G$3000,Permissions!$B$2:$B$3000,$A37,Permissions!$I$2:$I$3000,"In planning",Permissions!$P$2:$P$3000,"Yes")</f>
        <v>0</v>
      </c>
      <c r="AN37" s="24" t="n">
        <f aca="false">IF(R37="",0,MAX(R37-AK37,0))</f>
        <v>310</v>
      </c>
      <c r="AO37" s="25" t="n">
        <f aca="false">AK37+AN37</f>
        <v>310</v>
      </c>
      <c r="AP37" s="24" t="n">
        <f aca="false">AO37-AG37</f>
        <v>310</v>
      </c>
      <c r="AQ37" s="26" t="n">
        <f aca="false">SUMIFS(Permissions!$AH$2:$AH$3000,Permissions!$B$2:$B$3000,$A37,Permissions!$P$2:$P$3000,"Yes")</f>
        <v>0</v>
      </c>
      <c r="AR37" s="26" t="n">
        <f aca="false">SUMIFS(Permissions!$AI$2:$AI$3000,Permissions!$B$2:$B$3000,$A37,Permissions!$P$2:$P$3000,"Yes")</f>
        <v>0</v>
      </c>
      <c r="AS37" s="26" t="n">
        <f aca="false">SUMIFS(Permissions!$AJ$2:$AJ$3000,Permissions!$B$2:$B$3000,$A37,Permissions!$P$2:$P$3000,"Yes")</f>
        <v>0</v>
      </c>
      <c r="AT37" s="26" t="n">
        <f aca="false">SUMIFS(Permissions!$AK$2:$AK$3000,Permissions!$B$2:$B$3000,$A37,Permissions!$P$2:$P$3000,"Yes")</f>
        <v>0</v>
      </c>
      <c r="AU37" s="26" t="n">
        <f aca="false">SUMIFS(Permissions!$AL$2:$AL$3000,Permissions!$B$2:$B$3000,$A37,Permissions!$P$2:$P$3000,"Yes")</f>
        <v>0</v>
      </c>
      <c r="AV37" s="26" t="n">
        <f aca="false">SUMIFS(Permissions!$AM$2:$AM$3000,Permissions!$B$2:$B$3000,$A37,Permissions!$P$2:$P$3000,"Yes")</f>
        <v>0</v>
      </c>
      <c r="AW37" s="24" t="n">
        <f aca="false">COUNTIFS(Permissions!$B$2:$B$3000,$A37,Permissions!$P$2:$P$3000,"Yes")</f>
        <v>0</v>
      </c>
      <c r="AX37" s="24" t="n">
        <f aca="false">SUMIFS(Permissions!$L$2:$L$3000,Permissions!$B$2:$B$3000,$A37,Permissions!$P$2:$P$3000,"Yes")</f>
        <v>0</v>
      </c>
      <c r="AY37" s="27" t="str">
        <f aca="false">IF(AND(AK37&gt;0,AG37&gt;=AK37,AN37=0),"Built out",IF(AG37&gt;0,"Partly built",IF(AK37&gt;0,"Consented – not built","No consent")))</f>
        <v>No consent</v>
      </c>
      <c r="AZ37" s="28" t="str">
        <f aca="false">IF(AND(R37&lt;&gt;"",AK37&gt;1.1*R37),"Consented above capacity",IF(AND(LEFT(B37,8)="Planning",AW37=0),"Consent parcel with no permission",IF(COUNTIF($A$2:$A$3000,$A37)&gt;1,"Duplicate parcel_id","")))</f>
        <v/>
      </c>
    </row>
    <row r="38" customFormat="false" ht="15" hidden="false" customHeight="false" outlineLevel="0" collapsed="false">
      <c r="A38" s="15" t="s">
        <v>222</v>
      </c>
      <c r="B38" s="15" t="s">
        <v>10</v>
      </c>
      <c r="C38" s="15" t="s">
        <v>16</v>
      </c>
      <c r="D38" s="15" t="s">
        <v>52</v>
      </c>
      <c r="E38" s="15" t="s">
        <v>19</v>
      </c>
      <c r="F38" s="15" t="n">
        <v>1</v>
      </c>
      <c r="G38" s="15" t="s">
        <v>154</v>
      </c>
      <c r="H38" s="15" t="n">
        <v>70</v>
      </c>
      <c r="I38" s="15" t="s">
        <v>52</v>
      </c>
      <c r="J38" s="15" t="s">
        <v>205</v>
      </c>
      <c r="K38" s="15" t="s">
        <v>206</v>
      </c>
      <c r="L38" s="15" t="s">
        <v>170</v>
      </c>
      <c r="M38" s="15" t="s">
        <v>157</v>
      </c>
      <c r="N38" s="15" t="s">
        <v>178</v>
      </c>
      <c r="O38" s="15" t="s">
        <v>223</v>
      </c>
      <c r="P38" s="15" t="n">
        <v>8.56</v>
      </c>
      <c r="Q38" s="15" t="n">
        <v>8.556</v>
      </c>
      <c r="R38" s="15" t="n">
        <v>375</v>
      </c>
      <c r="S38" s="15" t="s">
        <v>160</v>
      </c>
      <c r="T38" s="15"/>
      <c r="U38" s="15"/>
      <c r="V38" s="15"/>
      <c r="W38" s="15"/>
      <c r="X38" s="15"/>
      <c r="Y38" s="15"/>
      <c r="Z38" s="15"/>
      <c r="AA38" s="15" t="n">
        <v>0</v>
      </c>
      <c r="AB38" s="15" t="n">
        <v>0</v>
      </c>
      <c r="AC38" s="15" t="s">
        <v>161</v>
      </c>
      <c r="AD38" s="15" t="s">
        <v>162</v>
      </c>
      <c r="AE38" s="15" t="s">
        <v>163</v>
      </c>
      <c r="AF38" s="15"/>
      <c r="AG38" s="24" t="n">
        <f aca="false">SUMIFS(Permissions!$G$2:$G$3000,Permissions!$B$2:$B$3000,$A38,Permissions!$I$2:$I$3000,"Complete",Permissions!$P$2:$P$3000,"Yes")</f>
        <v>0</v>
      </c>
      <c r="AH38" s="24" t="n">
        <f aca="false">SUMIFS(Permissions!$G$2:$G$3000,Permissions!$B$2:$B$3000,$A38,Permissions!$I$2:$I$3000,"Under construction",Permissions!$P$2:$P$3000,"Yes")</f>
        <v>0</v>
      </c>
      <c r="AI38" s="24" t="n">
        <f aca="false">SUMIFS(Permissions!$G$2:$G$3000,Permissions!$B$2:$B$3000,$A38,Permissions!$I$2:$I$3000,"Permitted – not started",Permissions!$P$2:$P$3000,"Yes")</f>
        <v>0</v>
      </c>
      <c r="AJ38" s="24" t="n">
        <f aca="false">SUMIFS(Permissions!$G$2:$G$3000,Permissions!$B$2:$B$3000,$A38,Permissions!$I$2:$I$3000,"Stalled",Permissions!$P$2:$P$3000,"Yes")</f>
        <v>0</v>
      </c>
      <c r="AK38" s="24" t="n">
        <f aca="false">AG38+AH38+AI38+AJ38</f>
        <v>0</v>
      </c>
      <c r="AL38" s="24" t="n">
        <f aca="false">SUMIFS(Permissions!$G$2:$G$3000,Permissions!$B$2:$B$3000,$A38,Permissions!$I$2:$I$3000,"Expired – not started",Permissions!$P$2:$P$3000,"Yes")</f>
        <v>0</v>
      </c>
      <c r="AM38" s="24" t="n">
        <f aca="false">SUMIFS(Permissions!$G$2:$G$3000,Permissions!$B$2:$B$3000,$A38,Permissions!$I$2:$I$3000,"In planning",Permissions!$P$2:$P$3000,"Yes")</f>
        <v>0</v>
      </c>
      <c r="AN38" s="24" t="n">
        <f aca="false">IF(R38="",0,MAX(R38-AK38,0))</f>
        <v>375</v>
      </c>
      <c r="AO38" s="25" t="n">
        <f aca="false">AK38+AN38</f>
        <v>375</v>
      </c>
      <c r="AP38" s="24" t="n">
        <f aca="false">AO38-AG38</f>
        <v>375</v>
      </c>
      <c r="AQ38" s="26" t="n">
        <f aca="false">SUMIFS(Permissions!$AH$2:$AH$3000,Permissions!$B$2:$B$3000,$A38,Permissions!$P$2:$P$3000,"Yes")</f>
        <v>0</v>
      </c>
      <c r="AR38" s="26" t="n">
        <f aca="false">SUMIFS(Permissions!$AI$2:$AI$3000,Permissions!$B$2:$B$3000,$A38,Permissions!$P$2:$P$3000,"Yes")</f>
        <v>0</v>
      </c>
      <c r="AS38" s="26" t="n">
        <f aca="false">SUMIFS(Permissions!$AJ$2:$AJ$3000,Permissions!$B$2:$B$3000,$A38,Permissions!$P$2:$P$3000,"Yes")</f>
        <v>0</v>
      </c>
      <c r="AT38" s="26" t="n">
        <f aca="false">SUMIFS(Permissions!$AK$2:$AK$3000,Permissions!$B$2:$B$3000,$A38,Permissions!$P$2:$P$3000,"Yes")</f>
        <v>0</v>
      </c>
      <c r="AU38" s="26" t="n">
        <f aca="false">SUMIFS(Permissions!$AL$2:$AL$3000,Permissions!$B$2:$B$3000,$A38,Permissions!$P$2:$P$3000,"Yes")</f>
        <v>0</v>
      </c>
      <c r="AV38" s="26" t="n">
        <f aca="false">SUMIFS(Permissions!$AM$2:$AM$3000,Permissions!$B$2:$B$3000,$A38,Permissions!$P$2:$P$3000,"Yes")</f>
        <v>0</v>
      </c>
      <c r="AW38" s="24" t="n">
        <f aca="false">COUNTIFS(Permissions!$B$2:$B$3000,$A38,Permissions!$P$2:$P$3000,"Yes")</f>
        <v>0</v>
      </c>
      <c r="AX38" s="24" t="n">
        <f aca="false">SUMIFS(Permissions!$L$2:$L$3000,Permissions!$B$2:$B$3000,$A38,Permissions!$P$2:$P$3000,"Yes")</f>
        <v>0</v>
      </c>
      <c r="AY38" s="27" t="str">
        <f aca="false">IF(AND(AK38&gt;0,AG38&gt;=AK38,AN38=0),"Built out",IF(AG38&gt;0,"Partly built",IF(AK38&gt;0,"Consented – not built","No consent")))</f>
        <v>No consent</v>
      </c>
      <c r="AZ38" s="28" t="str">
        <f aca="false">IF(AND(R38&lt;&gt;"",AK38&gt;1.1*R38),"Consented above capacity",IF(AND(LEFT(B38,8)="Planning",AW38=0),"Consent parcel with no permission",IF(COUNTIF($A$2:$A$3000,$A38)&gt;1,"Duplicate parcel_id","")))</f>
        <v/>
      </c>
    </row>
    <row r="39" customFormat="false" ht="15" hidden="false" customHeight="false" outlineLevel="0" collapsed="false">
      <c r="A39" s="15" t="s">
        <v>224</v>
      </c>
      <c r="B39" s="15" t="s">
        <v>10</v>
      </c>
      <c r="C39" s="15" t="s">
        <v>16</v>
      </c>
      <c r="D39" s="15" t="s">
        <v>52</v>
      </c>
      <c r="E39" s="15" t="s">
        <v>19</v>
      </c>
      <c r="F39" s="15" t="n">
        <v>1</v>
      </c>
      <c r="G39" s="15" t="s">
        <v>154</v>
      </c>
      <c r="H39" s="15" t="n">
        <v>71</v>
      </c>
      <c r="I39" s="15" t="s">
        <v>52</v>
      </c>
      <c r="J39" s="15" t="s">
        <v>205</v>
      </c>
      <c r="K39" s="15" t="s">
        <v>206</v>
      </c>
      <c r="L39" s="15" t="s">
        <v>170</v>
      </c>
      <c r="M39" s="15" t="s">
        <v>157</v>
      </c>
      <c r="N39" s="15" t="s">
        <v>166</v>
      </c>
      <c r="O39" s="15" t="s">
        <v>225</v>
      </c>
      <c r="P39" s="15" t="n">
        <v>3.167</v>
      </c>
      <c r="Q39" s="15" t="n">
        <v>3.167</v>
      </c>
      <c r="R39" s="15" t="n">
        <v>141</v>
      </c>
      <c r="S39" s="15" t="s">
        <v>160</v>
      </c>
      <c r="T39" s="15"/>
      <c r="U39" s="15"/>
      <c r="V39" s="15"/>
      <c r="W39" s="15"/>
      <c r="X39" s="15"/>
      <c r="Y39" s="15"/>
      <c r="Z39" s="15"/>
      <c r="AA39" s="15" t="n">
        <v>0</v>
      </c>
      <c r="AB39" s="15" t="n">
        <v>0</v>
      </c>
      <c r="AC39" s="15" t="s">
        <v>161</v>
      </c>
      <c r="AD39" s="15" t="s">
        <v>162</v>
      </c>
      <c r="AE39" s="15" t="s">
        <v>163</v>
      </c>
      <c r="AF39" s="15"/>
      <c r="AG39" s="24" t="n">
        <f aca="false">SUMIFS(Permissions!$G$2:$G$3000,Permissions!$B$2:$B$3000,$A39,Permissions!$I$2:$I$3000,"Complete",Permissions!$P$2:$P$3000,"Yes")</f>
        <v>0</v>
      </c>
      <c r="AH39" s="24" t="n">
        <f aca="false">SUMIFS(Permissions!$G$2:$G$3000,Permissions!$B$2:$B$3000,$A39,Permissions!$I$2:$I$3000,"Under construction",Permissions!$P$2:$P$3000,"Yes")</f>
        <v>0</v>
      </c>
      <c r="AI39" s="24" t="n">
        <f aca="false">SUMIFS(Permissions!$G$2:$G$3000,Permissions!$B$2:$B$3000,$A39,Permissions!$I$2:$I$3000,"Permitted – not started",Permissions!$P$2:$P$3000,"Yes")</f>
        <v>465</v>
      </c>
      <c r="AJ39" s="24" t="n">
        <f aca="false">SUMIFS(Permissions!$G$2:$G$3000,Permissions!$B$2:$B$3000,$A39,Permissions!$I$2:$I$3000,"Stalled",Permissions!$P$2:$P$3000,"Yes")</f>
        <v>0</v>
      </c>
      <c r="AK39" s="24" t="n">
        <f aca="false">AG39+AH39+AI39+AJ39</f>
        <v>465</v>
      </c>
      <c r="AL39" s="24" t="n">
        <f aca="false">SUMIFS(Permissions!$G$2:$G$3000,Permissions!$B$2:$B$3000,$A39,Permissions!$I$2:$I$3000,"Expired – not started",Permissions!$P$2:$P$3000,"Yes")</f>
        <v>0</v>
      </c>
      <c r="AM39" s="24" t="n">
        <f aca="false">SUMIFS(Permissions!$G$2:$G$3000,Permissions!$B$2:$B$3000,$A39,Permissions!$I$2:$I$3000,"In planning",Permissions!$P$2:$P$3000,"Yes")</f>
        <v>0</v>
      </c>
      <c r="AN39" s="24" t="n">
        <f aca="false">IF(R39="",0,MAX(R39-AK39,0))</f>
        <v>0</v>
      </c>
      <c r="AO39" s="25" t="n">
        <f aca="false">AK39+AN39</f>
        <v>465</v>
      </c>
      <c r="AP39" s="24" t="n">
        <f aca="false">AO39-AG39</f>
        <v>465</v>
      </c>
      <c r="AQ39" s="26" t="n">
        <f aca="false">SUMIFS(Permissions!$AH$2:$AH$3000,Permissions!$B$2:$B$3000,$A39,Permissions!$P$2:$P$3000,"Yes")</f>
        <v>0</v>
      </c>
      <c r="AR39" s="26" t="n">
        <f aca="false">SUMIFS(Permissions!$AI$2:$AI$3000,Permissions!$B$2:$B$3000,$A39,Permissions!$P$2:$P$3000,"Yes")</f>
        <v>0</v>
      </c>
      <c r="AS39" s="26" t="n">
        <f aca="false">SUMIFS(Permissions!$AJ$2:$AJ$3000,Permissions!$B$2:$B$3000,$A39,Permissions!$P$2:$P$3000,"Yes")</f>
        <v>0</v>
      </c>
      <c r="AT39" s="26" t="n">
        <f aca="false">SUMIFS(Permissions!$AK$2:$AK$3000,Permissions!$B$2:$B$3000,$A39,Permissions!$P$2:$P$3000,"Yes")</f>
        <v>40.8</v>
      </c>
      <c r="AU39" s="26" t="n">
        <f aca="false">SUMIFS(Permissions!$AL$2:$AL$3000,Permissions!$B$2:$B$3000,$A39,Permissions!$P$2:$P$3000,"Yes")</f>
        <v>56.4</v>
      </c>
      <c r="AV39" s="26" t="n">
        <f aca="false">SUMIFS(Permissions!$AM$2:$AM$3000,Permissions!$B$2:$B$3000,$A39,Permissions!$P$2:$P$3000,"Yes")</f>
        <v>367.8</v>
      </c>
      <c r="AW39" s="24" t="n">
        <f aca="false">COUNTIFS(Permissions!$B$2:$B$3000,$A39,Permissions!$P$2:$P$3000,"Yes")</f>
        <v>1</v>
      </c>
      <c r="AX39" s="24" t="n">
        <f aca="false">SUMIFS(Permissions!$L$2:$L$3000,Permissions!$B$2:$B$3000,$A39,Permissions!$P$2:$P$3000,"Yes")</f>
        <v>0</v>
      </c>
      <c r="AY39" s="27" t="str">
        <f aca="false">IF(AND(AK39&gt;0,AG39&gt;=AK39,AN39=0),"Built out",IF(AG39&gt;0,"Partly built",IF(AK39&gt;0,"Consented – not built","No consent")))</f>
        <v>Consented – not built</v>
      </c>
      <c r="AZ39" s="28" t="str">
        <f aca="false">IF(AND(R39&lt;&gt;"",AK39&gt;1.1*R39),"Consented above capacity",IF(AND(LEFT(B39,8)="Planning",AW39=0),"Consent parcel with no permission",IF(COUNTIF($A$2:$A$3000,$A39)&gt;1,"Duplicate parcel_id","")))</f>
        <v>Consented above capacity</v>
      </c>
    </row>
    <row r="40" customFormat="false" ht="15" hidden="false" customHeight="false" outlineLevel="0" collapsed="false">
      <c r="A40" s="15" t="s">
        <v>226</v>
      </c>
      <c r="B40" s="15" t="s">
        <v>10</v>
      </c>
      <c r="C40" s="15" t="s">
        <v>16</v>
      </c>
      <c r="D40" s="15" t="s">
        <v>52</v>
      </c>
      <c r="E40" s="15" t="s">
        <v>19</v>
      </c>
      <c r="F40" s="15" t="n">
        <v>1</v>
      </c>
      <c r="G40" s="15" t="s">
        <v>154</v>
      </c>
      <c r="H40" s="15" t="n">
        <v>72</v>
      </c>
      <c r="I40" s="15" t="s">
        <v>52</v>
      </c>
      <c r="J40" s="15" t="s">
        <v>205</v>
      </c>
      <c r="K40" s="15" t="s">
        <v>206</v>
      </c>
      <c r="L40" s="15" t="s">
        <v>170</v>
      </c>
      <c r="M40" s="15" t="s">
        <v>184</v>
      </c>
      <c r="N40" s="15" t="s">
        <v>178</v>
      </c>
      <c r="O40" s="15" t="s">
        <v>159</v>
      </c>
      <c r="P40" s="15" t="n">
        <v>4.8</v>
      </c>
      <c r="Q40" s="15" t="n">
        <v>16.047</v>
      </c>
      <c r="R40" s="15" t="n">
        <v>216</v>
      </c>
      <c r="S40" s="15" t="s">
        <v>160</v>
      </c>
      <c r="T40" s="15"/>
      <c r="U40" s="15"/>
      <c r="V40" s="15"/>
      <c r="W40" s="15"/>
      <c r="X40" s="15"/>
      <c r="Y40" s="15"/>
      <c r="Z40" s="15"/>
      <c r="AA40" s="15" t="n">
        <v>0</v>
      </c>
      <c r="AB40" s="15" t="n">
        <v>0</v>
      </c>
      <c r="AC40" s="15" t="s">
        <v>180</v>
      </c>
      <c r="AD40" s="15" t="s">
        <v>174</v>
      </c>
      <c r="AE40" s="15" t="s">
        <v>163</v>
      </c>
      <c r="AF40" s="15"/>
      <c r="AG40" s="24" t="n">
        <f aca="false">SUMIFS(Permissions!$G$2:$G$3000,Permissions!$B$2:$B$3000,$A40,Permissions!$I$2:$I$3000,"Complete",Permissions!$P$2:$P$3000,"Yes")</f>
        <v>0</v>
      </c>
      <c r="AH40" s="24" t="n">
        <f aca="false">SUMIFS(Permissions!$G$2:$G$3000,Permissions!$B$2:$B$3000,$A40,Permissions!$I$2:$I$3000,"Under construction",Permissions!$P$2:$P$3000,"Yes")</f>
        <v>48</v>
      </c>
      <c r="AI40" s="24" t="n">
        <f aca="false">SUMIFS(Permissions!$G$2:$G$3000,Permissions!$B$2:$B$3000,$A40,Permissions!$I$2:$I$3000,"Permitted – not started",Permissions!$P$2:$P$3000,"Yes")</f>
        <v>212</v>
      </c>
      <c r="AJ40" s="24" t="n">
        <f aca="false">SUMIFS(Permissions!$G$2:$G$3000,Permissions!$B$2:$B$3000,$A40,Permissions!$I$2:$I$3000,"Stalled",Permissions!$P$2:$P$3000,"Yes")</f>
        <v>0</v>
      </c>
      <c r="AK40" s="24" t="n">
        <f aca="false">AG40+AH40+AI40+AJ40</f>
        <v>260</v>
      </c>
      <c r="AL40" s="24" t="n">
        <f aca="false">SUMIFS(Permissions!$G$2:$G$3000,Permissions!$B$2:$B$3000,$A40,Permissions!$I$2:$I$3000,"Expired – not started",Permissions!$P$2:$P$3000,"Yes")</f>
        <v>0</v>
      </c>
      <c r="AM40" s="24" t="n">
        <f aca="false">SUMIFS(Permissions!$G$2:$G$3000,Permissions!$B$2:$B$3000,$A40,Permissions!$I$2:$I$3000,"In planning",Permissions!$P$2:$P$3000,"Yes")</f>
        <v>0</v>
      </c>
      <c r="AN40" s="24" t="n">
        <f aca="false">IF(R40="",0,MAX(R40-AK40,0))</f>
        <v>0</v>
      </c>
      <c r="AO40" s="25" t="n">
        <f aca="false">AK40+AN40</f>
        <v>260</v>
      </c>
      <c r="AP40" s="24" t="n">
        <f aca="false">AO40-AG40</f>
        <v>260</v>
      </c>
      <c r="AQ40" s="26" t="n">
        <f aca="false">SUMIFS(Permissions!$AH$2:$AH$3000,Permissions!$B$2:$B$3000,$A40,Permissions!$P$2:$P$3000,"Yes")</f>
        <v>11.2</v>
      </c>
      <c r="AR40" s="26" t="n">
        <f aca="false">SUMIFS(Permissions!$AI$2:$AI$3000,Permissions!$B$2:$B$3000,$A40,Permissions!$P$2:$P$3000,"Yes")</f>
        <v>36.8</v>
      </c>
      <c r="AS40" s="26" t="n">
        <f aca="false">SUMIFS(Permissions!$AJ$2:$AJ$3000,Permissions!$B$2:$B$3000,$A40,Permissions!$P$2:$P$3000,"Yes")</f>
        <v>0</v>
      </c>
      <c r="AT40" s="26" t="n">
        <f aca="false">SUMIFS(Permissions!$AK$2:$AK$3000,Permissions!$B$2:$B$3000,$A40,Permissions!$P$2:$P$3000,"Yes")</f>
        <v>36.4</v>
      </c>
      <c r="AU40" s="26" t="n">
        <f aca="false">SUMIFS(Permissions!$AL$2:$AL$3000,Permissions!$B$2:$B$3000,$A40,Permissions!$P$2:$P$3000,"Yes")</f>
        <v>65.9</v>
      </c>
      <c r="AV40" s="26" t="n">
        <f aca="false">SUMIFS(Permissions!$AM$2:$AM$3000,Permissions!$B$2:$B$3000,$A40,Permissions!$P$2:$P$3000,"Yes")</f>
        <v>109.7</v>
      </c>
      <c r="AW40" s="24" t="n">
        <f aca="false">COUNTIFS(Permissions!$B$2:$B$3000,$A40,Permissions!$P$2:$P$3000,"Yes")</f>
        <v>2</v>
      </c>
      <c r="AX40" s="24" t="n">
        <f aca="false">SUMIFS(Permissions!$L$2:$L$3000,Permissions!$B$2:$B$3000,$A40,Permissions!$P$2:$P$3000,"Yes")</f>
        <v>0</v>
      </c>
      <c r="AY40" s="27" t="str">
        <f aca="false">IF(AND(AK40&gt;0,AG40&gt;=AK40,AN40=0),"Built out",IF(AG40&gt;0,"Partly built",IF(AK40&gt;0,"Consented – not built","No consent")))</f>
        <v>Consented – not built</v>
      </c>
      <c r="AZ40" s="28" t="str">
        <f aca="false">IF(AND(R40&lt;&gt;"",AK40&gt;1.1*R40),"Consented above capacity",IF(AND(LEFT(B40,8)="Planning",AW40=0),"Consent parcel with no permission",IF(COUNTIF($A$2:$A$3000,$A40)&gt;1,"Duplicate parcel_id","")))</f>
        <v>Consented above capacity</v>
      </c>
    </row>
    <row r="41" customFormat="false" ht="15" hidden="false" customHeight="false" outlineLevel="0" collapsed="false">
      <c r="A41" s="15" t="s">
        <v>227</v>
      </c>
      <c r="B41" s="15" t="s">
        <v>10</v>
      </c>
      <c r="C41" s="15" t="s">
        <v>16</v>
      </c>
      <c r="D41" s="15" t="s">
        <v>53</v>
      </c>
      <c r="E41" s="15" t="s">
        <v>19</v>
      </c>
      <c r="F41" s="15" t="n">
        <v>1</v>
      </c>
      <c r="G41" s="15" t="s">
        <v>154</v>
      </c>
      <c r="H41" s="15" t="n">
        <v>101</v>
      </c>
      <c r="I41" s="15" t="s">
        <v>53</v>
      </c>
      <c r="J41" s="15" t="s">
        <v>155</v>
      </c>
      <c r="K41" s="15" t="s">
        <v>53</v>
      </c>
      <c r="L41" s="15" t="s">
        <v>170</v>
      </c>
      <c r="M41" s="15" t="s">
        <v>228</v>
      </c>
      <c r="N41" s="15" t="s">
        <v>158</v>
      </c>
      <c r="O41" s="15" t="s">
        <v>229</v>
      </c>
      <c r="P41" s="15" t="n">
        <v>0.157</v>
      </c>
      <c r="Q41" s="15" t="n">
        <v>0.158</v>
      </c>
      <c r="R41" s="15" t="n">
        <v>16</v>
      </c>
      <c r="S41" s="15" t="s">
        <v>160</v>
      </c>
      <c r="T41" s="15"/>
      <c r="U41" s="15"/>
      <c r="V41" s="15"/>
      <c r="W41" s="15"/>
      <c r="X41" s="15"/>
      <c r="Y41" s="15"/>
      <c r="Z41" s="15"/>
      <c r="AA41" s="15" t="n">
        <v>31</v>
      </c>
      <c r="AB41" s="15" t="n">
        <v>0</v>
      </c>
      <c r="AC41" s="15"/>
      <c r="AD41" s="15" t="s">
        <v>162</v>
      </c>
      <c r="AE41" s="15" t="s">
        <v>163</v>
      </c>
      <c r="AF41" s="15"/>
      <c r="AG41" s="24" t="n">
        <f aca="false">SUMIFS(Permissions!$G$2:$G$3000,Permissions!$B$2:$B$3000,$A41,Permissions!$I$2:$I$3000,"Complete",Permissions!$P$2:$P$3000,"Yes")</f>
        <v>0</v>
      </c>
      <c r="AH41" s="24" t="n">
        <f aca="false">SUMIFS(Permissions!$G$2:$G$3000,Permissions!$B$2:$B$3000,$A41,Permissions!$I$2:$I$3000,"Under construction",Permissions!$P$2:$P$3000,"Yes")</f>
        <v>0</v>
      </c>
      <c r="AI41" s="24" t="n">
        <f aca="false">SUMIFS(Permissions!$G$2:$G$3000,Permissions!$B$2:$B$3000,$A41,Permissions!$I$2:$I$3000,"Permitted – not started",Permissions!$P$2:$P$3000,"Yes")</f>
        <v>0</v>
      </c>
      <c r="AJ41" s="24" t="n">
        <f aca="false">SUMIFS(Permissions!$G$2:$G$3000,Permissions!$B$2:$B$3000,$A41,Permissions!$I$2:$I$3000,"Stalled",Permissions!$P$2:$P$3000,"Yes")</f>
        <v>0</v>
      </c>
      <c r="AK41" s="24" t="n">
        <f aca="false">AG41+AH41+AI41+AJ41</f>
        <v>0</v>
      </c>
      <c r="AL41" s="24" t="n">
        <f aca="false">SUMIFS(Permissions!$G$2:$G$3000,Permissions!$B$2:$B$3000,$A41,Permissions!$I$2:$I$3000,"Expired – not started",Permissions!$P$2:$P$3000,"Yes")</f>
        <v>8</v>
      </c>
      <c r="AM41" s="24" t="n">
        <f aca="false">SUMIFS(Permissions!$G$2:$G$3000,Permissions!$B$2:$B$3000,$A41,Permissions!$I$2:$I$3000,"In planning",Permissions!$P$2:$P$3000,"Yes")</f>
        <v>0</v>
      </c>
      <c r="AN41" s="24" t="n">
        <f aca="false">IF(R41="",0,MAX(R41-AK41,0))</f>
        <v>16</v>
      </c>
      <c r="AO41" s="25" t="n">
        <f aca="false">AK41+AN41</f>
        <v>16</v>
      </c>
      <c r="AP41" s="24" t="n">
        <f aca="false">AO41-AG41</f>
        <v>16</v>
      </c>
      <c r="AQ41" s="26" t="n">
        <f aca="false">SUMIFS(Permissions!$AH$2:$AH$3000,Permissions!$B$2:$B$3000,$A41,Permissions!$P$2:$P$3000,"Yes")</f>
        <v>0</v>
      </c>
      <c r="AR41" s="26" t="n">
        <f aca="false">SUMIFS(Permissions!$AI$2:$AI$3000,Permissions!$B$2:$B$3000,$A41,Permissions!$P$2:$P$3000,"Yes")</f>
        <v>0</v>
      </c>
      <c r="AS41" s="26" t="n">
        <f aca="false">SUMIFS(Permissions!$AJ$2:$AJ$3000,Permissions!$B$2:$B$3000,$A41,Permissions!$P$2:$P$3000,"Yes")</f>
        <v>0</v>
      </c>
      <c r="AT41" s="26" t="n">
        <f aca="false">SUMIFS(Permissions!$AK$2:$AK$3000,Permissions!$B$2:$B$3000,$A41,Permissions!$P$2:$P$3000,"Yes")</f>
        <v>0</v>
      </c>
      <c r="AU41" s="26" t="n">
        <f aca="false">SUMIFS(Permissions!$AL$2:$AL$3000,Permissions!$B$2:$B$3000,$A41,Permissions!$P$2:$P$3000,"Yes")</f>
        <v>0</v>
      </c>
      <c r="AV41" s="26" t="n">
        <f aca="false">SUMIFS(Permissions!$AM$2:$AM$3000,Permissions!$B$2:$B$3000,$A41,Permissions!$P$2:$P$3000,"Yes")</f>
        <v>0</v>
      </c>
      <c r="AW41" s="24" t="n">
        <f aca="false">COUNTIFS(Permissions!$B$2:$B$3000,$A41,Permissions!$P$2:$P$3000,"Yes")</f>
        <v>1</v>
      </c>
      <c r="AX41" s="24" t="n">
        <f aca="false">SUMIFS(Permissions!$L$2:$L$3000,Permissions!$B$2:$B$3000,$A41,Permissions!$P$2:$P$3000,"Yes")</f>
        <v>0</v>
      </c>
      <c r="AY41" s="27" t="str">
        <f aca="false">IF(AND(AK41&gt;0,AG41&gt;=AK41,AN41=0),"Built out",IF(AG41&gt;0,"Partly built",IF(AK41&gt;0,"Consented – not built","No consent")))</f>
        <v>No consent</v>
      </c>
      <c r="AZ41" s="28" t="str">
        <f aca="false">IF(AND(R41&lt;&gt;"",AK41&gt;1.1*R41),"Consented above capacity",IF(AND(LEFT(B41,8)="Planning",AW41=0),"Consent parcel with no permission",IF(COUNTIF($A$2:$A$3000,$A41)&gt;1,"Duplicate parcel_id","")))</f>
        <v/>
      </c>
    </row>
    <row r="42" customFormat="false" ht="15" hidden="false" customHeight="false" outlineLevel="0" collapsed="false">
      <c r="A42" s="15" t="s">
        <v>230</v>
      </c>
      <c r="B42" s="15" t="s">
        <v>10</v>
      </c>
      <c r="C42" s="15" t="s">
        <v>16</v>
      </c>
      <c r="D42" s="15" t="s">
        <v>53</v>
      </c>
      <c r="E42" s="15" t="s">
        <v>19</v>
      </c>
      <c r="F42" s="15" t="n">
        <v>1</v>
      </c>
      <c r="G42" s="15" t="s">
        <v>154</v>
      </c>
      <c r="H42" s="15" t="n">
        <v>102</v>
      </c>
      <c r="I42" s="15" t="s">
        <v>53</v>
      </c>
      <c r="J42" s="15" t="s">
        <v>176</v>
      </c>
      <c r="K42" s="15" t="s">
        <v>53</v>
      </c>
      <c r="L42" s="15" t="s">
        <v>170</v>
      </c>
      <c r="M42" s="15" t="s">
        <v>228</v>
      </c>
      <c r="N42" s="15" t="s">
        <v>166</v>
      </c>
      <c r="O42" s="15" t="s">
        <v>229</v>
      </c>
      <c r="P42" s="15" t="n">
        <v>0.118</v>
      </c>
      <c r="Q42" s="15" t="n">
        <v>0.13</v>
      </c>
      <c r="R42" s="15" t="n">
        <v>12</v>
      </c>
      <c r="S42" s="15" t="s">
        <v>231</v>
      </c>
      <c r="T42" s="15"/>
      <c r="U42" s="15"/>
      <c r="V42" s="15"/>
      <c r="W42" s="15" t="s">
        <v>232</v>
      </c>
      <c r="X42" s="15" t="n">
        <v>101</v>
      </c>
      <c r="Y42" s="15" t="s">
        <v>233</v>
      </c>
      <c r="Z42" s="15"/>
      <c r="AA42" s="15" t="n">
        <v>0</v>
      </c>
      <c r="AB42" s="15" t="n">
        <v>0</v>
      </c>
      <c r="AC42" s="15" t="s">
        <v>161</v>
      </c>
      <c r="AD42" s="15" t="s">
        <v>162</v>
      </c>
      <c r="AE42" s="15" t="s">
        <v>163</v>
      </c>
      <c r="AF42" s="15"/>
      <c r="AG42" s="24" t="n">
        <f aca="false">SUMIFS(Permissions!$G$2:$G$3000,Permissions!$B$2:$B$3000,$A42,Permissions!$I$2:$I$3000,"Complete",Permissions!$P$2:$P$3000,"Yes")</f>
        <v>0</v>
      </c>
      <c r="AH42" s="24" t="n">
        <f aca="false">SUMIFS(Permissions!$G$2:$G$3000,Permissions!$B$2:$B$3000,$A42,Permissions!$I$2:$I$3000,"Under construction",Permissions!$P$2:$P$3000,"Yes")</f>
        <v>0</v>
      </c>
      <c r="AI42" s="24" t="n">
        <f aca="false">SUMIFS(Permissions!$G$2:$G$3000,Permissions!$B$2:$B$3000,$A42,Permissions!$I$2:$I$3000,"Permitted – not started",Permissions!$P$2:$P$3000,"Yes")</f>
        <v>0</v>
      </c>
      <c r="AJ42" s="24" t="n">
        <f aca="false">SUMIFS(Permissions!$G$2:$G$3000,Permissions!$B$2:$B$3000,$A42,Permissions!$I$2:$I$3000,"Stalled",Permissions!$P$2:$P$3000,"Yes")</f>
        <v>0</v>
      </c>
      <c r="AK42" s="24" t="n">
        <f aca="false">AG42+AH42+AI42+AJ42</f>
        <v>0</v>
      </c>
      <c r="AL42" s="24" t="n">
        <f aca="false">SUMIFS(Permissions!$G$2:$G$3000,Permissions!$B$2:$B$3000,$A42,Permissions!$I$2:$I$3000,"Expired – not started",Permissions!$P$2:$P$3000,"Yes")</f>
        <v>0</v>
      </c>
      <c r="AM42" s="24" t="n">
        <f aca="false">SUMIFS(Permissions!$G$2:$G$3000,Permissions!$B$2:$B$3000,$A42,Permissions!$I$2:$I$3000,"In planning",Permissions!$P$2:$P$3000,"Yes")</f>
        <v>0</v>
      </c>
      <c r="AN42" s="24" t="n">
        <f aca="false">IF(R42="",0,MAX(R42-AK42,0))</f>
        <v>12</v>
      </c>
      <c r="AO42" s="25" t="n">
        <f aca="false">AK42+AN42</f>
        <v>12</v>
      </c>
      <c r="AP42" s="24" t="n">
        <f aca="false">AO42-AG42</f>
        <v>12</v>
      </c>
      <c r="AQ42" s="26" t="n">
        <f aca="false">SUMIFS(Permissions!$AH$2:$AH$3000,Permissions!$B$2:$B$3000,$A42,Permissions!$P$2:$P$3000,"Yes")</f>
        <v>0</v>
      </c>
      <c r="AR42" s="26" t="n">
        <f aca="false">SUMIFS(Permissions!$AI$2:$AI$3000,Permissions!$B$2:$B$3000,$A42,Permissions!$P$2:$P$3000,"Yes")</f>
        <v>0</v>
      </c>
      <c r="AS42" s="26" t="n">
        <f aca="false">SUMIFS(Permissions!$AJ$2:$AJ$3000,Permissions!$B$2:$B$3000,$A42,Permissions!$P$2:$P$3000,"Yes")</f>
        <v>0</v>
      </c>
      <c r="AT42" s="26" t="n">
        <f aca="false">SUMIFS(Permissions!$AK$2:$AK$3000,Permissions!$B$2:$B$3000,$A42,Permissions!$P$2:$P$3000,"Yes")</f>
        <v>0</v>
      </c>
      <c r="AU42" s="26" t="n">
        <f aca="false">SUMIFS(Permissions!$AL$2:$AL$3000,Permissions!$B$2:$B$3000,$A42,Permissions!$P$2:$P$3000,"Yes")</f>
        <v>0</v>
      </c>
      <c r="AV42" s="26" t="n">
        <f aca="false">SUMIFS(Permissions!$AM$2:$AM$3000,Permissions!$B$2:$B$3000,$A42,Permissions!$P$2:$P$3000,"Yes")</f>
        <v>0</v>
      </c>
      <c r="AW42" s="24" t="n">
        <f aca="false">COUNTIFS(Permissions!$B$2:$B$3000,$A42,Permissions!$P$2:$P$3000,"Yes")</f>
        <v>0</v>
      </c>
      <c r="AX42" s="24" t="n">
        <f aca="false">SUMIFS(Permissions!$L$2:$L$3000,Permissions!$B$2:$B$3000,$A42,Permissions!$P$2:$P$3000,"Yes")</f>
        <v>0</v>
      </c>
      <c r="AY42" s="27" t="str">
        <f aca="false">IF(AND(AK42&gt;0,AG42&gt;=AK42,AN42=0),"Built out",IF(AG42&gt;0,"Partly built",IF(AK42&gt;0,"Consented – not built","No consent")))</f>
        <v>No consent</v>
      </c>
      <c r="AZ42" s="28" t="str">
        <f aca="false">IF(AND(R42&lt;&gt;"",AK42&gt;1.1*R42),"Consented above capacity",IF(AND(LEFT(B42,8)="Planning",AW42=0),"Consent parcel with no permission",IF(COUNTIF($A$2:$A$3000,$A42)&gt;1,"Duplicate parcel_id","")))</f>
        <v/>
      </c>
    </row>
    <row r="43" customFormat="false" ht="15" hidden="false" customHeight="false" outlineLevel="0" collapsed="false">
      <c r="A43" s="15" t="s">
        <v>234</v>
      </c>
      <c r="B43" s="15" t="s">
        <v>10</v>
      </c>
      <c r="C43" s="15" t="s">
        <v>16</v>
      </c>
      <c r="D43" s="15" t="s">
        <v>53</v>
      </c>
      <c r="E43" s="15" t="s">
        <v>19</v>
      </c>
      <c r="F43" s="15" t="n">
        <v>1</v>
      </c>
      <c r="G43" s="15" t="s">
        <v>154</v>
      </c>
      <c r="H43" s="15" t="n">
        <v>104</v>
      </c>
      <c r="I43" s="15" t="s">
        <v>53</v>
      </c>
      <c r="J43" s="15" t="s">
        <v>176</v>
      </c>
      <c r="K43" s="15" t="s">
        <v>53</v>
      </c>
      <c r="L43" s="15" t="s">
        <v>170</v>
      </c>
      <c r="M43" s="15" t="s">
        <v>228</v>
      </c>
      <c r="N43" s="15" t="s">
        <v>166</v>
      </c>
      <c r="O43" s="15" t="s">
        <v>229</v>
      </c>
      <c r="P43" s="15" t="n">
        <v>0.068</v>
      </c>
      <c r="Q43" s="15" t="n">
        <v>0.075</v>
      </c>
      <c r="R43" s="15" t="n">
        <v>7</v>
      </c>
      <c r="S43" s="15" t="s">
        <v>231</v>
      </c>
      <c r="T43" s="15"/>
      <c r="U43" s="15"/>
      <c r="V43" s="15"/>
      <c r="W43" s="15" t="s">
        <v>232</v>
      </c>
      <c r="X43" s="15" t="n">
        <v>101</v>
      </c>
      <c r="Y43" s="15" t="s">
        <v>233</v>
      </c>
      <c r="Z43" s="15"/>
      <c r="AA43" s="15" t="n">
        <v>0</v>
      </c>
      <c r="AB43" s="15" t="n">
        <v>0</v>
      </c>
      <c r="AC43" s="15" t="s">
        <v>161</v>
      </c>
      <c r="AD43" s="15" t="s">
        <v>162</v>
      </c>
      <c r="AE43" s="15" t="s">
        <v>163</v>
      </c>
      <c r="AF43" s="15"/>
      <c r="AG43" s="24" t="n">
        <f aca="false">SUMIFS(Permissions!$G$2:$G$3000,Permissions!$B$2:$B$3000,$A43,Permissions!$I$2:$I$3000,"Complete",Permissions!$P$2:$P$3000,"Yes")</f>
        <v>0</v>
      </c>
      <c r="AH43" s="24" t="n">
        <f aca="false">SUMIFS(Permissions!$G$2:$G$3000,Permissions!$B$2:$B$3000,$A43,Permissions!$I$2:$I$3000,"Under construction",Permissions!$P$2:$P$3000,"Yes")</f>
        <v>0</v>
      </c>
      <c r="AI43" s="24" t="n">
        <f aca="false">SUMIFS(Permissions!$G$2:$G$3000,Permissions!$B$2:$B$3000,$A43,Permissions!$I$2:$I$3000,"Permitted – not started",Permissions!$P$2:$P$3000,"Yes")</f>
        <v>0</v>
      </c>
      <c r="AJ43" s="24" t="n">
        <f aca="false">SUMIFS(Permissions!$G$2:$G$3000,Permissions!$B$2:$B$3000,$A43,Permissions!$I$2:$I$3000,"Stalled",Permissions!$P$2:$P$3000,"Yes")</f>
        <v>0</v>
      </c>
      <c r="AK43" s="24" t="n">
        <f aca="false">AG43+AH43+AI43+AJ43</f>
        <v>0</v>
      </c>
      <c r="AL43" s="24" t="n">
        <f aca="false">SUMIFS(Permissions!$G$2:$G$3000,Permissions!$B$2:$B$3000,$A43,Permissions!$I$2:$I$3000,"Expired – not started",Permissions!$P$2:$P$3000,"Yes")</f>
        <v>0</v>
      </c>
      <c r="AM43" s="24" t="n">
        <f aca="false">SUMIFS(Permissions!$G$2:$G$3000,Permissions!$B$2:$B$3000,$A43,Permissions!$I$2:$I$3000,"In planning",Permissions!$P$2:$P$3000,"Yes")</f>
        <v>0</v>
      </c>
      <c r="AN43" s="24" t="n">
        <f aca="false">IF(R43="",0,MAX(R43-AK43,0))</f>
        <v>7</v>
      </c>
      <c r="AO43" s="25" t="n">
        <f aca="false">AK43+AN43</f>
        <v>7</v>
      </c>
      <c r="AP43" s="24" t="n">
        <f aca="false">AO43-AG43</f>
        <v>7</v>
      </c>
      <c r="AQ43" s="26" t="n">
        <f aca="false">SUMIFS(Permissions!$AH$2:$AH$3000,Permissions!$B$2:$B$3000,$A43,Permissions!$P$2:$P$3000,"Yes")</f>
        <v>0</v>
      </c>
      <c r="AR43" s="26" t="n">
        <f aca="false">SUMIFS(Permissions!$AI$2:$AI$3000,Permissions!$B$2:$B$3000,$A43,Permissions!$P$2:$P$3000,"Yes")</f>
        <v>0</v>
      </c>
      <c r="AS43" s="26" t="n">
        <f aca="false">SUMIFS(Permissions!$AJ$2:$AJ$3000,Permissions!$B$2:$B$3000,$A43,Permissions!$P$2:$P$3000,"Yes")</f>
        <v>0</v>
      </c>
      <c r="AT43" s="26" t="n">
        <f aca="false">SUMIFS(Permissions!$AK$2:$AK$3000,Permissions!$B$2:$B$3000,$A43,Permissions!$P$2:$P$3000,"Yes")</f>
        <v>0</v>
      </c>
      <c r="AU43" s="26" t="n">
        <f aca="false">SUMIFS(Permissions!$AL$2:$AL$3000,Permissions!$B$2:$B$3000,$A43,Permissions!$P$2:$P$3000,"Yes")</f>
        <v>0</v>
      </c>
      <c r="AV43" s="26" t="n">
        <f aca="false">SUMIFS(Permissions!$AM$2:$AM$3000,Permissions!$B$2:$B$3000,$A43,Permissions!$P$2:$P$3000,"Yes")</f>
        <v>0</v>
      </c>
      <c r="AW43" s="24" t="n">
        <f aca="false">COUNTIFS(Permissions!$B$2:$B$3000,$A43,Permissions!$P$2:$P$3000,"Yes")</f>
        <v>0</v>
      </c>
      <c r="AX43" s="24" t="n">
        <f aca="false">SUMIFS(Permissions!$L$2:$L$3000,Permissions!$B$2:$B$3000,$A43,Permissions!$P$2:$P$3000,"Yes")</f>
        <v>0</v>
      </c>
      <c r="AY43" s="27" t="str">
        <f aca="false">IF(AND(AK43&gt;0,AG43&gt;=AK43,AN43=0),"Built out",IF(AG43&gt;0,"Partly built",IF(AK43&gt;0,"Consented – not built","No consent")))</f>
        <v>No consent</v>
      </c>
      <c r="AZ43" s="28" t="str">
        <f aca="false">IF(AND(R43&lt;&gt;"",AK43&gt;1.1*R43),"Consented above capacity",IF(AND(LEFT(B43,8)="Planning",AW43=0),"Consent parcel with no permission",IF(COUNTIF($A$2:$A$3000,$A43)&gt;1,"Duplicate parcel_id","")))</f>
        <v/>
      </c>
    </row>
    <row r="44" customFormat="false" ht="15" hidden="false" customHeight="false" outlineLevel="0" collapsed="false">
      <c r="A44" s="15" t="s">
        <v>235</v>
      </c>
      <c r="B44" s="15" t="s">
        <v>10</v>
      </c>
      <c r="C44" s="15" t="s">
        <v>16</v>
      </c>
      <c r="D44" s="15" t="s">
        <v>53</v>
      </c>
      <c r="E44" s="15" t="s">
        <v>19</v>
      </c>
      <c r="F44" s="15" t="n">
        <v>1</v>
      </c>
      <c r="G44" s="15" t="s">
        <v>154</v>
      </c>
      <c r="H44" s="15" t="n">
        <v>105</v>
      </c>
      <c r="I44" s="15" t="s">
        <v>53</v>
      </c>
      <c r="J44" s="15" t="s">
        <v>205</v>
      </c>
      <c r="K44" s="15" t="s">
        <v>53</v>
      </c>
      <c r="L44" s="15" t="s">
        <v>170</v>
      </c>
      <c r="M44" s="15" t="s">
        <v>228</v>
      </c>
      <c r="N44" s="15" t="s">
        <v>166</v>
      </c>
      <c r="O44" s="15" t="s">
        <v>229</v>
      </c>
      <c r="P44" s="15" t="n">
        <v>0.192</v>
      </c>
      <c r="Q44" s="15" t="n">
        <v>0.211</v>
      </c>
      <c r="R44" s="15" t="n">
        <v>19</v>
      </c>
      <c r="S44" s="15" t="s">
        <v>231</v>
      </c>
      <c r="T44" s="15"/>
      <c r="U44" s="15"/>
      <c r="V44" s="15"/>
      <c r="W44" s="15" t="s">
        <v>232</v>
      </c>
      <c r="X44" s="15" t="n">
        <v>101</v>
      </c>
      <c r="Y44" s="15" t="s">
        <v>233</v>
      </c>
      <c r="Z44" s="15"/>
      <c r="AA44" s="15" t="n">
        <v>0</v>
      </c>
      <c r="AB44" s="15" t="n">
        <v>0</v>
      </c>
      <c r="AC44" s="15" t="s">
        <v>161</v>
      </c>
      <c r="AD44" s="15" t="s">
        <v>162</v>
      </c>
      <c r="AE44" s="15" t="s">
        <v>163</v>
      </c>
      <c r="AF44" s="15"/>
      <c r="AG44" s="24" t="n">
        <f aca="false">SUMIFS(Permissions!$G$2:$G$3000,Permissions!$B$2:$B$3000,$A44,Permissions!$I$2:$I$3000,"Complete",Permissions!$P$2:$P$3000,"Yes")</f>
        <v>0</v>
      </c>
      <c r="AH44" s="24" t="n">
        <f aca="false">SUMIFS(Permissions!$G$2:$G$3000,Permissions!$B$2:$B$3000,$A44,Permissions!$I$2:$I$3000,"Under construction",Permissions!$P$2:$P$3000,"Yes")</f>
        <v>0</v>
      </c>
      <c r="AI44" s="24" t="n">
        <f aca="false">SUMIFS(Permissions!$G$2:$G$3000,Permissions!$B$2:$B$3000,$A44,Permissions!$I$2:$I$3000,"Permitted – not started",Permissions!$P$2:$P$3000,"Yes")</f>
        <v>0</v>
      </c>
      <c r="AJ44" s="24" t="n">
        <f aca="false">SUMIFS(Permissions!$G$2:$G$3000,Permissions!$B$2:$B$3000,$A44,Permissions!$I$2:$I$3000,"Stalled",Permissions!$P$2:$P$3000,"Yes")</f>
        <v>0</v>
      </c>
      <c r="AK44" s="24" t="n">
        <f aca="false">AG44+AH44+AI44+AJ44</f>
        <v>0</v>
      </c>
      <c r="AL44" s="24" t="n">
        <f aca="false">SUMIFS(Permissions!$G$2:$G$3000,Permissions!$B$2:$B$3000,$A44,Permissions!$I$2:$I$3000,"Expired – not started",Permissions!$P$2:$P$3000,"Yes")</f>
        <v>0</v>
      </c>
      <c r="AM44" s="24" t="n">
        <f aca="false">SUMIFS(Permissions!$G$2:$G$3000,Permissions!$B$2:$B$3000,$A44,Permissions!$I$2:$I$3000,"In planning",Permissions!$P$2:$P$3000,"Yes")</f>
        <v>0</v>
      </c>
      <c r="AN44" s="24" t="n">
        <f aca="false">IF(R44="",0,MAX(R44-AK44,0))</f>
        <v>19</v>
      </c>
      <c r="AO44" s="25" t="n">
        <f aca="false">AK44+AN44</f>
        <v>19</v>
      </c>
      <c r="AP44" s="24" t="n">
        <f aca="false">AO44-AG44</f>
        <v>19</v>
      </c>
      <c r="AQ44" s="26" t="n">
        <f aca="false">SUMIFS(Permissions!$AH$2:$AH$3000,Permissions!$B$2:$B$3000,$A44,Permissions!$P$2:$P$3000,"Yes")</f>
        <v>0</v>
      </c>
      <c r="AR44" s="26" t="n">
        <f aca="false">SUMIFS(Permissions!$AI$2:$AI$3000,Permissions!$B$2:$B$3000,$A44,Permissions!$P$2:$P$3000,"Yes")</f>
        <v>0</v>
      </c>
      <c r="AS44" s="26" t="n">
        <f aca="false">SUMIFS(Permissions!$AJ$2:$AJ$3000,Permissions!$B$2:$B$3000,$A44,Permissions!$P$2:$P$3000,"Yes")</f>
        <v>0</v>
      </c>
      <c r="AT44" s="26" t="n">
        <f aca="false">SUMIFS(Permissions!$AK$2:$AK$3000,Permissions!$B$2:$B$3000,$A44,Permissions!$P$2:$P$3000,"Yes")</f>
        <v>0</v>
      </c>
      <c r="AU44" s="26" t="n">
        <f aca="false">SUMIFS(Permissions!$AL$2:$AL$3000,Permissions!$B$2:$B$3000,$A44,Permissions!$P$2:$P$3000,"Yes")</f>
        <v>0</v>
      </c>
      <c r="AV44" s="26" t="n">
        <f aca="false">SUMIFS(Permissions!$AM$2:$AM$3000,Permissions!$B$2:$B$3000,$A44,Permissions!$P$2:$P$3000,"Yes")</f>
        <v>0</v>
      </c>
      <c r="AW44" s="24" t="n">
        <f aca="false">COUNTIFS(Permissions!$B$2:$B$3000,$A44,Permissions!$P$2:$P$3000,"Yes")</f>
        <v>0</v>
      </c>
      <c r="AX44" s="24" t="n">
        <f aca="false">SUMIFS(Permissions!$L$2:$L$3000,Permissions!$B$2:$B$3000,$A44,Permissions!$P$2:$P$3000,"Yes")</f>
        <v>0</v>
      </c>
      <c r="AY44" s="27" t="str">
        <f aca="false">IF(AND(AK44&gt;0,AG44&gt;=AK44,AN44=0),"Built out",IF(AG44&gt;0,"Partly built",IF(AK44&gt;0,"Consented – not built","No consent")))</f>
        <v>No consent</v>
      </c>
      <c r="AZ44" s="28" t="str">
        <f aca="false">IF(AND(R44&lt;&gt;"",AK44&gt;1.1*R44),"Consented above capacity",IF(AND(LEFT(B44,8)="Planning",AW44=0),"Consent parcel with no permission",IF(COUNTIF($A$2:$A$3000,$A44)&gt;1,"Duplicate parcel_id","")))</f>
        <v/>
      </c>
    </row>
    <row r="45" customFormat="false" ht="15" hidden="false" customHeight="false" outlineLevel="0" collapsed="false">
      <c r="A45" s="15" t="s">
        <v>236</v>
      </c>
      <c r="B45" s="15" t="s">
        <v>10</v>
      </c>
      <c r="C45" s="15" t="s">
        <v>16</v>
      </c>
      <c r="D45" s="15" t="s">
        <v>53</v>
      </c>
      <c r="E45" s="15" t="s">
        <v>19</v>
      </c>
      <c r="F45" s="15" t="n">
        <v>1</v>
      </c>
      <c r="G45" s="15" t="s">
        <v>154</v>
      </c>
      <c r="H45" s="15" t="n">
        <v>106</v>
      </c>
      <c r="I45" s="15" t="s">
        <v>53</v>
      </c>
      <c r="J45" s="15" t="s">
        <v>155</v>
      </c>
      <c r="K45" s="15" t="s">
        <v>53</v>
      </c>
      <c r="L45" s="15" t="s">
        <v>156</v>
      </c>
      <c r="M45" s="15" t="s">
        <v>165</v>
      </c>
      <c r="N45" s="15" t="s">
        <v>158</v>
      </c>
      <c r="O45" s="15" t="s">
        <v>159</v>
      </c>
      <c r="P45" s="15" t="n">
        <v>0.14</v>
      </c>
      <c r="Q45" s="15" t="n">
        <v>0.141</v>
      </c>
      <c r="R45" s="15" t="n">
        <v>36</v>
      </c>
      <c r="S45" s="15" t="s">
        <v>160</v>
      </c>
      <c r="T45" s="15"/>
      <c r="U45" s="15"/>
      <c r="V45" s="15"/>
      <c r="W45" s="15"/>
      <c r="X45" s="15"/>
      <c r="Y45" s="15"/>
      <c r="Z45" s="15"/>
      <c r="AA45" s="15" t="n">
        <v>0</v>
      </c>
      <c r="AB45" s="15" t="n">
        <v>0</v>
      </c>
      <c r="AC45" s="15" t="s">
        <v>180</v>
      </c>
      <c r="AD45" s="15" t="s">
        <v>162</v>
      </c>
      <c r="AE45" s="15" t="s">
        <v>163</v>
      </c>
      <c r="AF45" s="15"/>
      <c r="AG45" s="24" t="n">
        <f aca="false">SUMIFS(Permissions!$G$2:$G$3000,Permissions!$B$2:$B$3000,$A45,Permissions!$I$2:$I$3000,"Complete",Permissions!$P$2:$P$3000,"Yes")</f>
        <v>0</v>
      </c>
      <c r="AH45" s="24" t="n">
        <f aca="false">SUMIFS(Permissions!$G$2:$G$3000,Permissions!$B$2:$B$3000,$A45,Permissions!$I$2:$I$3000,"Under construction",Permissions!$P$2:$P$3000,"Yes")</f>
        <v>36</v>
      </c>
      <c r="AI45" s="24" t="n">
        <f aca="false">SUMIFS(Permissions!$G$2:$G$3000,Permissions!$B$2:$B$3000,$A45,Permissions!$I$2:$I$3000,"Permitted – not started",Permissions!$P$2:$P$3000,"Yes")</f>
        <v>0</v>
      </c>
      <c r="AJ45" s="24" t="n">
        <f aca="false">SUMIFS(Permissions!$G$2:$G$3000,Permissions!$B$2:$B$3000,$A45,Permissions!$I$2:$I$3000,"Stalled",Permissions!$P$2:$P$3000,"Yes")</f>
        <v>0</v>
      </c>
      <c r="AK45" s="24" t="n">
        <f aca="false">AG45+AH45+AI45+AJ45</f>
        <v>36</v>
      </c>
      <c r="AL45" s="24" t="n">
        <f aca="false">SUMIFS(Permissions!$G$2:$G$3000,Permissions!$B$2:$B$3000,$A45,Permissions!$I$2:$I$3000,"Expired – not started",Permissions!$P$2:$P$3000,"Yes")</f>
        <v>0</v>
      </c>
      <c r="AM45" s="24" t="n">
        <f aca="false">SUMIFS(Permissions!$G$2:$G$3000,Permissions!$B$2:$B$3000,$A45,Permissions!$I$2:$I$3000,"In planning",Permissions!$P$2:$P$3000,"Yes")</f>
        <v>0</v>
      </c>
      <c r="AN45" s="24" t="n">
        <f aca="false">IF(R45="",0,MAX(R45-AK45,0))</f>
        <v>0</v>
      </c>
      <c r="AO45" s="25" t="n">
        <f aca="false">AK45+AN45</f>
        <v>36</v>
      </c>
      <c r="AP45" s="24" t="n">
        <f aca="false">AO45-AG45</f>
        <v>36</v>
      </c>
      <c r="AQ45" s="26" t="n">
        <f aca="false">SUMIFS(Permissions!$AH$2:$AH$3000,Permissions!$B$2:$B$3000,$A45,Permissions!$P$2:$P$3000,"Yes")</f>
        <v>8.4</v>
      </c>
      <c r="AR45" s="26" t="n">
        <f aca="false">SUMIFS(Permissions!$AI$2:$AI$3000,Permissions!$B$2:$B$3000,$A45,Permissions!$P$2:$P$3000,"Yes")</f>
        <v>27.6</v>
      </c>
      <c r="AS45" s="26" t="n">
        <f aca="false">SUMIFS(Permissions!$AJ$2:$AJ$3000,Permissions!$B$2:$B$3000,$A45,Permissions!$P$2:$P$3000,"Yes")</f>
        <v>0</v>
      </c>
      <c r="AT45" s="26" t="n">
        <f aca="false">SUMIFS(Permissions!$AK$2:$AK$3000,Permissions!$B$2:$B$3000,$A45,Permissions!$P$2:$P$3000,"Yes")</f>
        <v>0</v>
      </c>
      <c r="AU45" s="26" t="n">
        <f aca="false">SUMIFS(Permissions!$AL$2:$AL$3000,Permissions!$B$2:$B$3000,$A45,Permissions!$P$2:$P$3000,"Yes")</f>
        <v>0</v>
      </c>
      <c r="AV45" s="26" t="n">
        <f aca="false">SUMIFS(Permissions!$AM$2:$AM$3000,Permissions!$B$2:$B$3000,$A45,Permissions!$P$2:$P$3000,"Yes")</f>
        <v>0</v>
      </c>
      <c r="AW45" s="24" t="n">
        <f aca="false">COUNTIFS(Permissions!$B$2:$B$3000,$A45,Permissions!$P$2:$P$3000,"Yes")</f>
        <v>1</v>
      </c>
      <c r="AX45" s="24" t="n">
        <f aca="false">SUMIFS(Permissions!$L$2:$L$3000,Permissions!$B$2:$B$3000,$A45,Permissions!$P$2:$P$3000,"Yes")</f>
        <v>0</v>
      </c>
      <c r="AY45" s="27" t="str">
        <f aca="false">IF(AND(AK45&gt;0,AG45&gt;=AK45,AN45=0),"Built out",IF(AG45&gt;0,"Partly built",IF(AK45&gt;0,"Consented – not built","No consent")))</f>
        <v>Consented – not built</v>
      </c>
      <c r="AZ45" s="28" t="str">
        <f aca="false">IF(AND(R45&lt;&gt;"",AK45&gt;1.1*R45),"Consented above capacity",IF(AND(LEFT(B45,8)="Planning",AW45=0),"Consent parcel with no permission",IF(COUNTIF($A$2:$A$3000,$A45)&gt;1,"Duplicate parcel_id","")))</f>
        <v/>
      </c>
    </row>
    <row r="46" customFormat="false" ht="15" hidden="false" customHeight="false" outlineLevel="0" collapsed="false">
      <c r="A46" s="15" t="s">
        <v>237</v>
      </c>
      <c r="B46" s="15" t="s">
        <v>10</v>
      </c>
      <c r="C46" s="15" t="s">
        <v>16</v>
      </c>
      <c r="D46" s="15" t="s">
        <v>53</v>
      </c>
      <c r="E46" s="15" t="s">
        <v>19</v>
      </c>
      <c r="F46" s="15" t="n">
        <v>0.62</v>
      </c>
      <c r="G46" s="15" t="s">
        <v>154</v>
      </c>
      <c r="H46" s="15" t="n">
        <v>107</v>
      </c>
      <c r="I46" s="15" t="s">
        <v>53</v>
      </c>
      <c r="J46" s="15" t="s">
        <v>205</v>
      </c>
      <c r="K46" s="15" t="s">
        <v>53</v>
      </c>
      <c r="L46" s="15" t="s">
        <v>156</v>
      </c>
      <c r="M46" s="15" t="s">
        <v>228</v>
      </c>
      <c r="N46" s="15" t="s">
        <v>158</v>
      </c>
      <c r="O46" s="15" t="s">
        <v>229</v>
      </c>
      <c r="P46" s="15" t="n">
        <v>68.48</v>
      </c>
      <c r="Q46" s="15" t="n">
        <v>68.509</v>
      </c>
      <c r="R46" s="15" t="n">
        <v>2500</v>
      </c>
      <c r="S46" s="15" t="s">
        <v>160</v>
      </c>
      <c r="T46" s="15"/>
      <c r="U46" s="15"/>
      <c r="V46" s="15"/>
      <c r="W46" s="15"/>
      <c r="X46" s="15"/>
      <c r="Y46" s="15"/>
      <c r="Z46" s="15"/>
      <c r="AA46" s="15" t="n">
        <v>285</v>
      </c>
      <c r="AB46" s="15" t="n">
        <v>19</v>
      </c>
      <c r="AC46" s="15" t="s">
        <v>161</v>
      </c>
      <c r="AD46" s="15" t="s">
        <v>162</v>
      </c>
      <c r="AE46" s="15" t="s">
        <v>163</v>
      </c>
      <c r="AF46" s="15"/>
      <c r="AG46" s="24" t="n">
        <f aca="false">SUMIFS(Permissions!$G$2:$G$3000,Permissions!$B$2:$B$3000,$A46,Permissions!$I$2:$I$3000,"Complete",Permissions!$P$2:$P$3000,"Yes")</f>
        <v>11</v>
      </c>
      <c r="AH46" s="24" t="n">
        <f aca="false">SUMIFS(Permissions!$G$2:$G$3000,Permissions!$B$2:$B$3000,$A46,Permissions!$I$2:$I$3000,"Under construction",Permissions!$P$2:$P$3000,"Yes")</f>
        <v>0</v>
      </c>
      <c r="AI46" s="24" t="n">
        <f aca="false">SUMIFS(Permissions!$G$2:$G$3000,Permissions!$B$2:$B$3000,$A46,Permissions!$I$2:$I$3000,"Permitted – not started",Permissions!$P$2:$P$3000,"Yes")</f>
        <v>0</v>
      </c>
      <c r="AJ46" s="24" t="n">
        <f aca="false">SUMIFS(Permissions!$G$2:$G$3000,Permissions!$B$2:$B$3000,$A46,Permissions!$I$2:$I$3000,"Stalled",Permissions!$P$2:$P$3000,"Yes")</f>
        <v>0</v>
      </c>
      <c r="AK46" s="24" t="n">
        <f aca="false">AG46+AH46+AI46+AJ46</f>
        <v>11</v>
      </c>
      <c r="AL46" s="24" t="n">
        <f aca="false">SUMIFS(Permissions!$G$2:$G$3000,Permissions!$B$2:$B$3000,$A46,Permissions!$I$2:$I$3000,"Expired – not started",Permissions!$P$2:$P$3000,"Yes")</f>
        <v>0</v>
      </c>
      <c r="AM46" s="24" t="n">
        <f aca="false">SUMIFS(Permissions!$G$2:$G$3000,Permissions!$B$2:$B$3000,$A46,Permissions!$I$2:$I$3000,"In planning",Permissions!$P$2:$P$3000,"Yes")</f>
        <v>4</v>
      </c>
      <c r="AN46" s="24" t="n">
        <f aca="false">IF(R46="",0,MAX(R46-AK46,0))</f>
        <v>2489</v>
      </c>
      <c r="AO46" s="25" t="n">
        <f aca="false">AK46+AN46</f>
        <v>2500</v>
      </c>
      <c r="AP46" s="24" t="n">
        <f aca="false">AO46-AG46</f>
        <v>2489</v>
      </c>
      <c r="AQ46" s="26" t="n">
        <f aca="false">SUMIFS(Permissions!$AH$2:$AH$3000,Permissions!$B$2:$B$3000,$A46,Permissions!$P$2:$P$3000,"Yes")</f>
        <v>0</v>
      </c>
      <c r="AR46" s="26" t="n">
        <f aca="false">SUMIFS(Permissions!$AI$2:$AI$3000,Permissions!$B$2:$B$3000,$A46,Permissions!$P$2:$P$3000,"Yes")</f>
        <v>0</v>
      </c>
      <c r="AS46" s="26" t="n">
        <f aca="false">SUMIFS(Permissions!$AJ$2:$AJ$3000,Permissions!$B$2:$B$3000,$A46,Permissions!$P$2:$P$3000,"Yes")</f>
        <v>0</v>
      </c>
      <c r="AT46" s="26" t="n">
        <f aca="false">SUMIFS(Permissions!$AK$2:$AK$3000,Permissions!$B$2:$B$3000,$A46,Permissions!$P$2:$P$3000,"Yes")</f>
        <v>0</v>
      </c>
      <c r="AU46" s="26" t="n">
        <f aca="false">SUMIFS(Permissions!$AL$2:$AL$3000,Permissions!$B$2:$B$3000,$A46,Permissions!$P$2:$P$3000,"Yes")</f>
        <v>0</v>
      </c>
      <c r="AV46" s="26" t="n">
        <f aca="false">SUMIFS(Permissions!$AM$2:$AM$3000,Permissions!$B$2:$B$3000,$A46,Permissions!$P$2:$P$3000,"Yes")</f>
        <v>0</v>
      </c>
      <c r="AW46" s="24" t="n">
        <f aca="false">COUNTIFS(Permissions!$B$2:$B$3000,$A46,Permissions!$P$2:$P$3000,"Yes")</f>
        <v>2</v>
      </c>
      <c r="AX46" s="24" t="n">
        <f aca="false">SUMIFS(Permissions!$L$2:$L$3000,Permissions!$B$2:$B$3000,$A46,Permissions!$P$2:$P$3000,"Yes")</f>
        <v>11</v>
      </c>
      <c r="AY46" s="27" t="str">
        <f aca="false">IF(AND(AK46&gt;0,AG46&gt;=AK46,AN46=0),"Built out",IF(AG46&gt;0,"Partly built",IF(AK46&gt;0,"Consented – not built","No consent")))</f>
        <v>Partly built</v>
      </c>
      <c r="AZ46" s="28" t="str">
        <f aca="false">IF(AND(R46&lt;&gt;"",AK46&gt;1.1*R46),"Consented above capacity",IF(AND(LEFT(B46,8)="Planning",AW46=0),"Consent parcel with no permission",IF(COUNTIF($A$2:$A$3000,$A46)&gt;1,"Duplicate parcel_id","")))</f>
        <v/>
      </c>
    </row>
    <row r="47" customFormat="false" ht="15" hidden="false" customHeight="false" outlineLevel="0" collapsed="false">
      <c r="A47" s="15" t="s">
        <v>238</v>
      </c>
      <c r="B47" s="15" t="s">
        <v>10</v>
      </c>
      <c r="C47" s="15" t="s">
        <v>16</v>
      </c>
      <c r="D47" s="15" t="s">
        <v>53</v>
      </c>
      <c r="E47" s="15" t="s">
        <v>19</v>
      </c>
      <c r="F47" s="15" t="n">
        <v>1</v>
      </c>
      <c r="G47" s="15" t="s">
        <v>154</v>
      </c>
      <c r="H47" s="15" t="n">
        <v>108</v>
      </c>
      <c r="I47" s="15" t="s">
        <v>53</v>
      </c>
      <c r="J47" s="15" t="s">
        <v>176</v>
      </c>
      <c r="K47" s="15" t="s">
        <v>53</v>
      </c>
      <c r="L47" s="15" t="s">
        <v>170</v>
      </c>
      <c r="M47" s="15" t="s">
        <v>157</v>
      </c>
      <c r="N47" s="15" t="s">
        <v>166</v>
      </c>
      <c r="O47" s="15" t="s">
        <v>159</v>
      </c>
      <c r="P47" s="15" t="n">
        <v>0.297</v>
      </c>
      <c r="Q47" s="15" t="n">
        <v>0.297</v>
      </c>
      <c r="R47" s="15" t="n">
        <v>13</v>
      </c>
      <c r="S47" s="15" t="s">
        <v>160</v>
      </c>
      <c r="T47" s="15"/>
      <c r="U47" s="15"/>
      <c r="V47" s="15"/>
      <c r="W47" s="15"/>
      <c r="X47" s="15"/>
      <c r="Y47" s="15"/>
      <c r="Z47" s="15"/>
      <c r="AA47" s="15" t="n">
        <v>0</v>
      </c>
      <c r="AB47" s="15" t="n">
        <v>0</v>
      </c>
      <c r="AC47" s="15" t="s">
        <v>161</v>
      </c>
      <c r="AD47" s="15" t="s">
        <v>162</v>
      </c>
      <c r="AE47" s="15" t="s">
        <v>163</v>
      </c>
      <c r="AF47" s="15"/>
      <c r="AG47" s="24" t="n">
        <f aca="false">SUMIFS(Permissions!$G$2:$G$3000,Permissions!$B$2:$B$3000,$A47,Permissions!$I$2:$I$3000,"Complete",Permissions!$P$2:$P$3000,"Yes")</f>
        <v>0</v>
      </c>
      <c r="AH47" s="24" t="n">
        <f aca="false">SUMIFS(Permissions!$G$2:$G$3000,Permissions!$B$2:$B$3000,$A47,Permissions!$I$2:$I$3000,"Under construction",Permissions!$P$2:$P$3000,"Yes")</f>
        <v>0</v>
      </c>
      <c r="AI47" s="24" t="n">
        <f aca="false">SUMIFS(Permissions!$G$2:$G$3000,Permissions!$B$2:$B$3000,$A47,Permissions!$I$2:$I$3000,"Permitted – not started",Permissions!$P$2:$P$3000,"Yes")</f>
        <v>0</v>
      </c>
      <c r="AJ47" s="24" t="n">
        <f aca="false">SUMIFS(Permissions!$G$2:$G$3000,Permissions!$B$2:$B$3000,$A47,Permissions!$I$2:$I$3000,"Stalled",Permissions!$P$2:$P$3000,"Yes")</f>
        <v>0</v>
      </c>
      <c r="AK47" s="24" t="n">
        <f aca="false">AG47+AH47+AI47+AJ47</f>
        <v>0</v>
      </c>
      <c r="AL47" s="24" t="n">
        <f aca="false">SUMIFS(Permissions!$G$2:$G$3000,Permissions!$B$2:$B$3000,$A47,Permissions!$I$2:$I$3000,"Expired – not started",Permissions!$P$2:$P$3000,"Yes")</f>
        <v>0</v>
      </c>
      <c r="AM47" s="24" t="n">
        <f aca="false">SUMIFS(Permissions!$G$2:$G$3000,Permissions!$B$2:$B$3000,$A47,Permissions!$I$2:$I$3000,"In planning",Permissions!$P$2:$P$3000,"Yes")</f>
        <v>0</v>
      </c>
      <c r="AN47" s="24" t="n">
        <f aca="false">IF(R47="",0,MAX(R47-AK47,0))</f>
        <v>13</v>
      </c>
      <c r="AO47" s="25" t="n">
        <f aca="false">AK47+AN47</f>
        <v>13</v>
      </c>
      <c r="AP47" s="24" t="n">
        <f aca="false">AO47-AG47</f>
        <v>13</v>
      </c>
      <c r="AQ47" s="26" t="n">
        <f aca="false">SUMIFS(Permissions!$AH$2:$AH$3000,Permissions!$B$2:$B$3000,$A47,Permissions!$P$2:$P$3000,"Yes")</f>
        <v>0</v>
      </c>
      <c r="AR47" s="26" t="n">
        <f aca="false">SUMIFS(Permissions!$AI$2:$AI$3000,Permissions!$B$2:$B$3000,$A47,Permissions!$P$2:$P$3000,"Yes")</f>
        <v>0</v>
      </c>
      <c r="AS47" s="26" t="n">
        <f aca="false">SUMIFS(Permissions!$AJ$2:$AJ$3000,Permissions!$B$2:$B$3000,$A47,Permissions!$P$2:$P$3000,"Yes")</f>
        <v>0</v>
      </c>
      <c r="AT47" s="26" t="n">
        <f aca="false">SUMIFS(Permissions!$AK$2:$AK$3000,Permissions!$B$2:$B$3000,$A47,Permissions!$P$2:$P$3000,"Yes")</f>
        <v>0</v>
      </c>
      <c r="AU47" s="26" t="n">
        <f aca="false">SUMIFS(Permissions!$AL$2:$AL$3000,Permissions!$B$2:$B$3000,$A47,Permissions!$P$2:$P$3000,"Yes")</f>
        <v>0</v>
      </c>
      <c r="AV47" s="26" t="n">
        <f aca="false">SUMIFS(Permissions!$AM$2:$AM$3000,Permissions!$B$2:$B$3000,$A47,Permissions!$P$2:$P$3000,"Yes")</f>
        <v>0</v>
      </c>
      <c r="AW47" s="24" t="n">
        <f aca="false">COUNTIFS(Permissions!$B$2:$B$3000,$A47,Permissions!$P$2:$P$3000,"Yes")</f>
        <v>0</v>
      </c>
      <c r="AX47" s="24" t="n">
        <f aca="false">SUMIFS(Permissions!$L$2:$L$3000,Permissions!$B$2:$B$3000,$A47,Permissions!$P$2:$P$3000,"Yes")</f>
        <v>0</v>
      </c>
      <c r="AY47" s="27" t="str">
        <f aca="false">IF(AND(AK47&gt;0,AG47&gt;=AK47,AN47=0),"Built out",IF(AG47&gt;0,"Partly built",IF(AK47&gt;0,"Consented – not built","No consent")))</f>
        <v>No consent</v>
      </c>
      <c r="AZ47" s="28" t="str">
        <f aca="false">IF(AND(R47&lt;&gt;"",AK47&gt;1.1*R47),"Consented above capacity",IF(AND(LEFT(B47,8)="Planning",AW47=0),"Consent parcel with no permission",IF(COUNTIF($A$2:$A$3000,$A47)&gt;1,"Duplicate parcel_id","")))</f>
        <v/>
      </c>
    </row>
    <row r="48" customFormat="false" ht="15" hidden="false" customHeight="false" outlineLevel="0" collapsed="false">
      <c r="A48" s="15" t="s">
        <v>239</v>
      </c>
      <c r="B48" s="15" t="s">
        <v>10</v>
      </c>
      <c r="C48" s="15" t="s">
        <v>16</v>
      </c>
      <c r="D48" s="15" t="s">
        <v>53</v>
      </c>
      <c r="E48" s="15" t="s">
        <v>19</v>
      </c>
      <c r="F48" s="15" t="n">
        <v>1</v>
      </c>
      <c r="G48" s="15" t="s">
        <v>154</v>
      </c>
      <c r="H48" s="15" t="n">
        <v>162</v>
      </c>
      <c r="I48" s="15" t="s">
        <v>53</v>
      </c>
      <c r="J48" s="15" t="s">
        <v>155</v>
      </c>
      <c r="K48" s="15"/>
      <c r="L48" s="15" t="s">
        <v>183</v>
      </c>
      <c r="M48" s="15"/>
      <c r="N48" s="15"/>
      <c r="O48" s="15"/>
      <c r="P48" s="15" t="n">
        <v>1.391</v>
      </c>
      <c r="Q48" s="15" t="n">
        <v>1.39</v>
      </c>
      <c r="R48" s="15" t="n">
        <v>139</v>
      </c>
      <c r="S48" s="15" t="s">
        <v>160</v>
      </c>
      <c r="T48" s="15"/>
      <c r="U48" s="15"/>
      <c r="V48" s="15"/>
      <c r="W48" s="15"/>
      <c r="X48" s="15"/>
      <c r="Y48" s="15"/>
      <c r="Z48" s="15"/>
      <c r="AA48" s="15" t="n">
        <v>0</v>
      </c>
      <c r="AB48" s="15" t="n">
        <v>0</v>
      </c>
      <c r="AC48" s="15"/>
      <c r="AD48" s="15" t="s">
        <v>192</v>
      </c>
      <c r="AE48" s="15" t="s">
        <v>163</v>
      </c>
      <c r="AF48" s="15"/>
      <c r="AG48" s="24" t="n">
        <f aca="false">SUMIFS(Permissions!$G$2:$G$3000,Permissions!$B$2:$B$3000,$A48,Permissions!$I$2:$I$3000,"Complete",Permissions!$P$2:$P$3000,"Yes")</f>
        <v>0</v>
      </c>
      <c r="AH48" s="24" t="n">
        <f aca="false">SUMIFS(Permissions!$G$2:$G$3000,Permissions!$B$2:$B$3000,$A48,Permissions!$I$2:$I$3000,"Under construction",Permissions!$P$2:$P$3000,"Yes")</f>
        <v>0</v>
      </c>
      <c r="AI48" s="24" t="n">
        <f aca="false">SUMIFS(Permissions!$G$2:$G$3000,Permissions!$B$2:$B$3000,$A48,Permissions!$I$2:$I$3000,"Permitted – not started",Permissions!$P$2:$P$3000,"Yes")</f>
        <v>0</v>
      </c>
      <c r="AJ48" s="24" t="n">
        <f aca="false">SUMIFS(Permissions!$G$2:$G$3000,Permissions!$B$2:$B$3000,$A48,Permissions!$I$2:$I$3000,"Stalled",Permissions!$P$2:$P$3000,"Yes")</f>
        <v>0</v>
      </c>
      <c r="AK48" s="24" t="n">
        <f aca="false">AG48+AH48+AI48+AJ48</f>
        <v>0</v>
      </c>
      <c r="AL48" s="24" t="n">
        <f aca="false">SUMIFS(Permissions!$G$2:$G$3000,Permissions!$B$2:$B$3000,$A48,Permissions!$I$2:$I$3000,"Expired – not started",Permissions!$P$2:$P$3000,"Yes")</f>
        <v>0</v>
      </c>
      <c r="AM48" s="24" t="n">
        <f aca="false">SUMIFS(Permissions!$G$2:$G$3000,Permissions!$B$2:$B$3000,$A48,Permissions!$I$2:$I$3000,"In planning",Permissions!$P$2:$P$3000,"Yes")</f>
        <v>0</v>
      </c>
      <c r="AN48" s="24" t="n">
        <f aca="false">IF(R48="",0,MAX(R48-AK48,0))</f>
        <v>139</v>
      </c>
      <c r="AO48" s="25" t="n">
        <f aca="false">AK48+AN48</f>
        <v>139</v>
      </c>
      <c r="AP48" s="24" t="n">
        <f aca="false">AO48-AG48</f>
        <v>139</v>
      </c>
      <c r="AQ48" s="26" t="n">
        <f aca="false">SUMIFS(Permissions!$AH$2:$AH$3000,Permissions!$B$2:$B$3000,$A48,Permissions!$P$2:$P$3000,"Yes")</f>
        <v>0</v>
      </c>
      <c r="AR48" s="26" t="n">
        <f aca="false">SUMIFS(Permissions!$AI$2:$AI$3000,Permissions!$B$2:$B$3000,$A48,Permissions!$P$2:$P$3000,"Yes")</f>
        <v>0</v>
      </c>
      <c r="AS48" s="26" t="n">
        <f aca="false">SUMIFS(Permissions!$AJ$2:$AJ$3000,Permissions!$B$2:$B$3000,$A48,Permissions!$P$2:$P$3000,"Yes")</f>
        <v>0</v>
      </c>
      <c r="AT48" s="26" t="n">
        <f aca="false">SUMIFS(Permissions!$AK$2:$AK$3000,Permissions!$B$2:$B$3000,$A48,Permissions!$P$2:$P$3000,"Yes")</f>
        <v>0</v>
      </c>
      <c r="AU48" s="26" t="n">
        <f aca="false">SUMIFS(Permissions!$AL$2:$AL$3000,Permissions!$B$2:$B$3000,$A48,Permissions!$P$2:$P$3000,"Yes")</f>
        <v>0</v>
      </c>
      <c r="AV48" s="26" t="n">
        <f aca="false">SUMIFS(Permissions!$AM$2:$AM$3000,Permissions!$B$2:$B$3000,$A48,Permissions!$P$2:$P$3000,"Yes")</f>
        <v>0</v>
      </c>
      <c r="AW48" s="24" t="n">
        <f aca="false">COUNTIFS(Permissions!$B$2:$B$3000,$A48,Permissions!$P$2:$P$3000,"Yes")</f>
        <v>0</v>
      </c>
      <c r="AX48" s="24" t="n">
        <f aca="false">SUMIFS(Permissions!$L$2:$L$3000,Permissions!$B$2:$B$3000,$A48,Permissions!$P$2:$P$3000,"Yes")</f>
        <v>0</v>
      </c>
      <c r="AY48" s="27" t="str">
        <f aca="false">IF(AND(AK48&gt;0,AG48&gt;=AK48,AN48=0),"Built out",IF(AG48&gt;0,"Partly built",IF(AK48&gt;0,"Consented – not built","No consent")))</f>
        <v>No consent</v>
      </c>
      <c r="AZ48" s="28" t="str">
        <f aca="false">IF(AND(R48&lt;&gt;"",AK48&gt;1.1*R48),"Consented above capacity",IF(AND(LEFT(B48,8)="Planning",AW48=0),"Consent parcel with no permission",IF(COUNTIF($A$2:$A$3000,$A48)&gt;1,"Duplicate parcel_id","")))</f>
        <v/>
      </c>
    </row>
    <row r="49" customFormat="false" ht="15" hidden="false" customHeight="false" outlineLevel="0" collapsed="false">
      <c r="A49" s="15" t="s">
        <v>240</v>
      </c>
      <c r="B49" s="15" t="s">
        <v>10</v>
      </c>
      <c r="C49" s="15" t="s">
        <v>16</v>
      </c>
      <c r="D49" s="15" t="s">
        <v>53</v>
      </c>
      <c r="E49" s="15" t="s">
        <v>19</v>
      </c>
      <c r="F49" s="15" t="n">
        <v>1</v>
      </c>
      <c r="G49" s="15" t="s">
        <v>154</v>
      </c>
      <c r="H49" s="15" t="n">
        <v>163</v>
      </c>
      <c r="I49" s="15" t="s">
        <v>53</v>
      </c>
      <c r="J49" s="15" t="s">
        <v>155</v>
      </c>
      <c r="K49" s="15"/>
      <c r="L49" s="15" t="s">
        <v>183</v>
      </c>
      <c r="M49" s="15"/>
      <c r="N49" s="15"/>
      <c r="O49" s="15"/>
      <c r="P49" s="15" t="n">
        <v>0.567</v>
      </c>
      <c r="Q49" s="15" t="n">
        <v>0.567</v>
      </c>
      <c r="R49" s="15" t="n">
        <v>20</v>
      </c>
      <c r="S49" s="15" t="s">
        <v>160</v>
      </c>
      <c r="T49" s="15"/>
      <c r="U49" s="15"/>
      <c r="V49" s="15"/>
      <c r="W49" s="15"/>
      <c r="X49" s="15"/>
      <c r="Y49" s="15"/>
      <c r="Z49" s="15"/>
      <c r="AA49" s="15" t="n">
        <v>1</v>
      </c>
      <c r="AB49" s="15" t="n">
        <v>0</v>
      </c>
      <c r="AC49" s="15"/>
      <c r="AD49" s="15" t="s">
        <v>192</v>
      </c>
      <c r="AE49" s="15" t="s">
        <v>163</v>
      </c>
      <c r="AF49" s="15"/>
      <c r="AG49" s="24" t="n">
        <f aca="false">SUMIFS(Permissions!$G$2:$G$3000,Permissions!$B$2:$B$3000,$A49,Permissions!$I$2:$I$3000,"Complete",Permissions!$P$2:$P$3000,"Yes")</f>
        <v>0</v>
      </c>
      <c r="AH49" s="24" t="n">
        <f aca="false">SUMIFS(Permissions!$G$2:$G$3000,Permissions!$B$2:$B$3000,$A49,Permissions!$I$2:$I$3000,"Under construction",Permissions!$P$2:$P$3000,"Yes")</f>
        <v>0</v>
      </c>
      <c r="AI49" s="24" t="n">
        <f aca="false">SUMIFS(Permissions!$G$2:$G$3000,Permissions!$B$2:$B$3000,$A49,Permissions!$I$2:$I$3000,"Permitted – not started",Permissions!$P$2:$P$3000,"Yes")</f>
        <v>0</v>
      </c>
      <c r="AJ49" s="24" t="n">
        <f aca="false">SUMIFS(Permissions!$G$2:$G$3000,Permissions!$B$2:$B$3000,$A49,Permissions!$I$2:$I$3000,"Stalled",Permissions!$P$2:$P$3000,"Yes")</f>
        <v>0</v>
      </c>
      <c r="AK49" s="24" t="n">
        <f aca="false">AG49+AH49+AI49+AJ49</f>
        <v>0</v>
      </c>
      <c r="AL49" s="24" t="n">
        <f aca="false">SUMIFS(Permissions!$G$2:$G$3000,Permissions!$B$2:$B$3000,$A49,Permissions!$I$2:$I$3000,"Expired – not started",Permissions!$P$2:$P$3000,"Yes")</f>
        <v>0</v>
      </c>
      <c r="AM49" s="24" t="n">
        <f aca="false">SUMIFS(Permissions!$G$2:$G$3000,Permissions!$B$2:$B$3000,$A49,Permissions!$I$2:$I$3000,"In planning",Permissions!$P$2:$P$3000,"Yes")</f>
        <v>0</v>
      </c>
      <c r="AN49" s="24" t="n">
        <f aca="false">IF(R49="",0,MAX(R49-AK49,0))</f>
        <v>20</v>
      </c>
      <c r="AO49" s="25" t="n">
        <f aca="false">AK49+AN49</f>
        <v>20</v>
      </c>
      <c r="AP49" s="24" t="n">
        <f aca="false">AO49-AG49</f>
        <v>20</v>
      </c>
      <c r="AQ49" s="26" t="n">
        <f aca="false">SUMIFS(Permissions!$AH$2:$AH$3000,Permissions!$B$2:$B$3000,$A49,Permissions!$P$2:$P$3000,"Yes")</f>
        <v>0</v>
      </c>
      <c r="AR49" s="26" t="n">
        <f aca="false">SUMIFS(Permissions!$AI$2:$AI$3000,Permissions!$B$2:$B$3000,$A49,Permissions!$P$2:$P$3000,"Yes")</f>
        <v>0</v>
      </c>
      <c r="AS49" s="26" t="n">
        <f aca="false">SUMIFS(Permissions!$AJ$2:$AJ$3000,Permissions!$B$2:$B$3000,$A49,Permissions!$P$2:$P$3000,"Yes")</f>
        <v>0</v>
      </c>
      <c r="AT49" s="26" t="n">
        <f aca="false">SUMIFS(Permissions!$AK$2:$AK$3000,Permissions!$B$2:$B$3000,$A49,Permissions!$P$2:$P$3000,"Yes")</f>
        <v>0</v>
      </c>
      <c r="AU49" s="26" t="n">
        <f aca="false">SUMIFS(Permissions!$AL$2:$AL$3000,Permissions!$B$2:$B$3000,$A49,Permissions!$P$2:$P$3000,"Yes")</f>
        <v>0</v>
      </c>
      <c r="AV49" s="26" t="n">
        <f aca="false">SUMIFS(Permissions!$AM$2:$AM$3000,Permissions!$B$2:$B$3000,$A49,Permissions!$P$2:$P$3000,"Yes")</f>
        <v>0</v>
      </c>
      <c r="AW49" s="24" t="n">
        <f aca="false">COUNTIFS(Permissions!$B$2:$B$3000,$A49,Permissions!$P$2:$P$3000,"Yes")</f>
        <v>0</v>
      </c>
      <c r="AX49" s="24" t="n">
        <f aca="false">SUMIFS(Permissions!$L$2:$L$3000,Permissions!$B$2:$B$3000,$A49,Permissions!$P$2:$P$3000,"Yes")</f>
        <v>0</v>
      </c>
      <c r="AY49" s="27" t="str">
        <f aca="false">IF(AND(AK49&gt;0,AG49&gt;=AK49,AN49=0),"Built out",IF(AG49&gt;0,"Partly built",IF(AK49&gt;0,"Consented – not built","No consent")))</f>
        <v>No consent</v>
      </c>
      <c r="AZ49" s="28" t="str">
        <f aca="false">IF(AND(R49&lt;&gt;"",AK49&gt;1.1*R49),"Consented above capacity",IF(AND(LEFT(B49,8)="Planning",AW49=0),"Consent parcel with no permission",IF(COUNTIF($A$2:$A$3000,$A49)&gt;1,"Duplicate parcel_id","")))</f>
        <v/>
      </c>
    </row>
    <row r="50" customFormat="false" ht="15" hidden="false" customHeight="false" outlineLevel="0" collapsed="false">
      <c r="A50" s="15" t="s">
        <v>241</v>
      </c>
      <c r="B50" s="15" t="s">
        <v>10</v>
      </c>
      <c r="C50" s="15" t="s">
        <v>16</v>
      </c>
      <c r="D50" s="15" t="s">
        <v>53</v>
      </c>
      <c r="E50" s="15" t="s">
        <v>19</v>
      </c>
      <c r="F50" s="15" t="n">
        <v>1</v>
      </c>
      <c r="G50" s="15" t="s">
        <v>154</v>
      </c>
      <c r="H50" s="15" t="n">
        <v>22</v>
      </c>
      <c r="I50" s="15" t="s">
        <v>53</v>
      </c>
      <c r="J50" s="15" t="s">
        <v>176</v>
      </c>
      <c r="K50" s="15" t="s">
        <v>177</v>
      </c>
      <c r="L50" s="15" t="s">
        <v>156</v>
      </c>
      <c r="M50" s="15" t="s">
        <v>228</v>
      </c>
      <c r="N50" s="15" t="s">
        <v>158</v>
      </c>
      <c r="O50" s="15" t="s">
        <v>229</v>
      </c>
      <c r="P50" s="15" t="n">
        <v>3.919</v>
      </c>
      <c r="Q50" s="15" t="n">
        <v>3.918</v>
      </c>
      <c r="R50" s="15" t="n">
        <v>500</v>
      </c>
      <c r="S50" s="15" t="s">
        <v>160</v>
      </c>
      <c r="T50" s="15"/>
      <c r="U50" s="15"/>
      <c r="V50" s="15"/>
      <c r="W50" s="15"/>
      <c r="X50" s="15"/>
      <c r="Y50" s="15"/>
      <c r="Z50" s="15"/>
      <c r="AA50" s="15" t="n">
        <v>2</v>
      </c>
      <c r="AB50" s="15" t="n">
        <v>0</v>
      </c>
      <c r="AC50" s="15" t="s">
        <v>161</v>
      </c>
      <c r="AD50" s="15" t="s">
        <v>162</v>
      </c>
      <c r="AE50" s="15" t="s">
        <v>163</v>
      </c>
      <c r="AF50" s="15"/>
      <c r="AG50" s="24" t="n">
        <f aca="false">SUMIFS(Permissions!$G$2:$G$3000,Permissions!$B$2:$B$3000,$A50,Permissions!$I$2:$I$3000,"Complete",Permissions!$P$2:$P$3000,"Yes")</f>
        <v>0</v>
      </c>
      <c r="AH50" s="24" t="n">
        <f aca="false">SUMIFS(Permissions!$G$2:$G$3000,Permissions!$B$2:$B$3000,$A50,Permissions!$I$2:$I$3000,"Under construction",Permissions!$P$2:$P$3000,"Yes")</f>
        <v>0</v>
      </c>
      <c r="AI50" s="24" t="n">
        <f aca="false">SUMIFS(Permissions!$G$2:$G$3000,Permissions!$B$2:$B$3000,$A50,Permissions!$I$2:$I$3000,"Permitted – not started",Permissions!$P$2:$P$3000,"Yes")</f>
        <v>0</v>
      </c>
      <c r="AJ50" s="24" t="n">
        <f aca="false">SUMIFS(Permissions!$G$2:$G$3000,Permissions!$B$2:$B$3000,$A50,Permissions!$I$2:$I$3000,"Stalled",Permissions!$P$2:$P$3000,"Yes")</f>
        <v>0</v>
      </c>
      <c r="AK50" s="24" t="n">
        <f aca="false">AG50+AH50+AI50+AJ50</f>
        <v>0</v>
      </c>
      <c r="AL50" s="24" t="n">
        <f aca="false">SUMIFS(Permissions!$G$2:$G$3000,Permissions!$B$2:$B$3000,$A50,Permissions!$I$2:$I$3000,"Expired – not started",Permissions!$P$2:$P$3000,"Yes")</f>
        <v>0</v>
      </c>
      <c r="AM50" s="24" t="n">
        <f aca="false">SUMIFS(Permissions!$G$2:$G$3000,Permissions!$B$2:$B$3000,$A50,Permissions!$I$2:$I$3000,"In planning",Permissions!$P$2:$P$3000,"Yes")</f>
        <v>0</v>
      </c>
      <c r="AN50" s="24" t="n">
        <f aca="false">IF(R50="",0,MAX(R50-AK50,0))</f>
        <v>500</v>
      </c>
      <c r="AO50" s="25" t="n">
        <f aca="false">AK50+AN50</f>
        <v>500</v>
      </c>
      <c r="AP50" s="24" t="n">
        <f aca="false">AO50-AG50</f>
        <v>500</v>
      </c>
      <c r="AQ50" s="26" t="n">
        <f aca="false">SUMIFS(Permissions!$AH$2:$AH$3000,Permissions!$B$2:$B$3000,$A50,Permissions!$P$2:$P$3000,"Yes")</f>
        <v>0</v>
      </c>
      <c r="AR50" s="26" t="n">
        <f aca="false">SUMIFS(Permissions!$AI$2:$AI$3000,Permissions!$B$2:$B$3000,$A50,Permissions!$P$2:$P$3000,"Yes")</f>
        <v>0</v>
      </c>
      <c r="AS50" s="26" t="n">
        <f aca="false">SUMIFS(Permissions!$AJ$2:$AJ$3000,Permissions!$B$2:$B$3000,$A50,Permissions!$P$2:$P$3000,"Yes")</f>
        <v>0</v>
      </c>
      <c r="AT50" s="26" t="n">
        <f aca="false">SUMIFS(Permissions!$AK$2:$AK$3000,Permissions!$B$2:$B$3000,$A50,Permissions!$P$2:$P$3000,"Yes")</f>
        <v>0</v>
      </c>
      <c r="AU50" s="26" t="n">
        <f aca="false">SUMIFS(Permissions!$AL$2:$AL$3000,Permissions!$B$2:$B$3000,$A50,Permissions!$P$2:$P$3000,"Yes")</f>
        <v>0</v>
      </c>
      <c r="AV50" s="26" t="n">
        <f aca="false">SUMIFS(Permissions!$AM$2:$AM$3000,Permissions!$B$2:$B$3000,$A50,Permissions!$P$2:$P$3000,"Yes")</f>
        <v>0</v>
      </c>
      <c r="AW50" s="24" t="n">
        <f aca="false">COUNTIFS(Permissions!$B$2:$B$3000,$A50,Permissions!$P$2:$P$3000,"Yes")</f>
        <v>0</v>
      </c>
      <c r="AX50" s="24" t="n">
        <f aca="false">SUMIFS(Permissions!$L$2:$L$3000,Permissions!$B$2:$B$3000,$A50,Permissions!$P$2:$P$3000,"Yes")</f>
        <v>0</v>
      </c>
      <c r="AY50" s="27" t="str">
        <f aca="false">IF(AND(AK50&gt;0,AG50&gt;=AK50,AN50=0),"Built out",IF(AG50&gt;0,"Partly built",IF(AK50&gt;0,"Consented – not built","No consent")))</f>
        <v>No consent</v>
      </c>
      <c r="AZ50" s="28" t="str">
        <f aca="false">IF(AND(R50&lt;&gt;"",AK50&gt;1.1*R50),"Consented above capacity",IF(AND(LEFT(B50,8)="Planning",AW50=0),"Consent parcel with no permission",IF(COUNTIF($A$2:$A$3000,$A50)&gt;1,"Duplicate parcel_id","")))</f>
        <v/>
      </c>
    </row>
    <row r="51" customFormat="false" ht="15" hidden="false" customHeight="false" outlineLevel="0" collapsed="false">
      <c r="A51" s="15" t="s">
        <v>242</v>
      </c>
      <c r="B51" s="15" t="s">
        <v>10</v>
      </c>
      <c r="C51" s="15" t="s">
        <v>16</v>
      </c>
      <c r="D51" s="15" t="s">
        <v>53</v>
      </c>
      <c r="E51" s="15" t="s">
        <v>19</v>
      </c>
      <c r="F51" s="15" t="n">
        <v>1</v>
      </c>
      <c r="G51" s="15" t="s">
        <v>154</v>
      </c>
      <c r="H51" s="15" t="n">
        <v>23</v>
      </c>
      <c r="I51" s="15" t="s">
        <v>53</v>
      </c>
      <c r="J51" s="15" t="s">
        <v>176</v>
      </c>
      <c r="K51" s="15" t="s">
        <v>177</v>
      </c>
      <c r="L51" s="15" t="s">
        <v>156</v>
      </c>
      <c r="M51" s="15" t="s">
        <v>157</v>
      </c>
      <c r="N51" s="15" t="s">
        <v>166</v>
      </c>
      <c r="O51" s="15" t="s">
        <v>159</v>
      </c>
      <c r="P51" s="15" t="n">
        <v>0.148</v>
      </c>
      <c r="Q51" s="15" t="n">
        <v>0.148</v>
      </c>
      <c r="R51" s="15" t="n">
        <v>7</v>
      </c>
      <c r="S51" s="15" t="s">
        <v>160</v>
      </c>
      <c r="T51" s="15"/>
      <c r="U51" s="15"/>
      <c r="V51" s="15"/>
      <c r="W51" s="15"/>
      <c r="X51" s="15"/>
      <c r="Y51" s="15"/>
      <c r="Z51" s="15"/>
      <c r="AA51" s="15" t="n">
        <v>0</v>
      </c>
      <c r="AB51" s="15" t="n">
        <v>0</v>
      </c>
      <c r="AC51" s="15" t="s">
        <v>161</v>
      </c>
      <c r="AD51" s="15" t="s">
        <v>162</v>
      </c>
      <c r="AE51" s="15" t="s">
        <v>163</v>
      </c>
      <c r="AF51" s="15"/>
      <c r="AG51" s="24" t="n">
        <f aca="false">SUMIFS(Permissions!$G$2:$G$3000,Permissions!$B$2:$B$3000,$A51,Permissions!$I$2:$I$3000,"Complete",Permissions!$P$2:$P$3000,"Yes")</f>
        <v>0</v>
      </c>
      <c r="AH51" s="24" t="n">
        <f aca="false">SUMIFS(Permissions!$G$2:$G$3000,Permissions!$B$2:$B$3000,$A51,Permissions!$I$2:$I$3000,"Under construction",Permissions!$P$2:$P$3000,"Yes")</f>
        <v>0</v>
      </c>
      <c r="AI51" s="24" t="n">
        <f aca="false">SUMIFS(Permissions!$G$2:$G$3000,Permissions!$B$2:$B$3000,$A51,Permissions!$I$2:$I$3000,"Permitted – not started",Permissions!$P$2:$P$3000,"Yes")</f>
        <v>0</v>
      </c>
      <c r="AJ51" s="24" t="n">
        <f aca="false">SUMIFS(Permissions!$G$2:$G$3000,Permissions!$B$2:$B$3000,$A51,Permissions!$I$2:$I$3000,"Stalled",Permissions!$P$2:$P$3000,"Yes")</f>
        <v>0</v>
      </c>
      <c r="AK51" s="24" t="n">
        <f aca="false">AG51+AH51+AI51+AJ51</f>
        <v>0</v>
      </c>
      <c r="AL51" s="24" t="n">
        <f aca="false">SUMIFS(Permissions!$G$2:$G$3000,Permissions!$B$2:$B$3000,$A51,Permissions!$I$2:$I$3000,"Expired – not started",Permissions!$P$2:$P$3000,"Yes")</f>
        <v>0</v>
      </c>
      <c r="AM51" s="24" t="n">
        <f aca="false">SUMIFS(Permissions!$G$2:$G$3000,Permissions!$B$2:$B$3000,$A51,Permissions!$I$2:$I$3000,"In planning",Permissions!$P$2:$P$3000,"Yes")</f>
        <v>0</v>
      </c>
      <c r="AN51" s="24" t="n">
        <f aca="false">IF(R51="",0,MAX(R51-AK51,0))</f>
        <v>7</v>
      </c>
      <c r="AO51" s="25" t="n">
        <f aca="false">AK51+AN51</f>
        <v>7</v>
      </c>
      <c r="AP51" s="24" t="n">
        <f aca="false">AO51-AG51</f>
        <v>7</v>
      </c>
      <c r="AQ51" s="26" t="n">
        <f aca="false">SUMIFS(Permissions!$AH$2:$AH$3000,Permissions!$B$2:$B$3000,$A51,Permissions!$P$2:$P$3000,"Yes")</f>
        <v>0</v>
      </c>
      <c r="AR51" s="26" t="n">
        <f aca="false">SUMIFS(Permissions!$AI$2:$AI$3000,Permissions!$B$2:$B$3000,$A51,Permissions!$P$2:$P$3000,"Yes")</f>
        <v>0</v>
      </c>
      <c r="AS51" s="26" t="n">
        <f aca="false">SUMIFS(Permissions!$AJ$2:$AJ$3000,Permissions!$B$2:$B$3000,$A51,Permissions!$P$2:$P$3000,"Yes")</f>
        <v>0</v>
      </c>
      <c r="AT51" s="26" t="n">
        <f aca="false">SUMIFS(Permissions!$AK$2:$AK$3000,Permissions!$B$2:$B$3000,$A51,Permissions!$P$2:$P$3000,"Yes")</f>
        <v>0</v>
      </c>
      <c r="AU51" s="26" t="n">
        <f aca="false">SUMIFS(Permissions!$AL$2:$AL$3000,Permissions!$B$2:$B$3000,$A51,Permissions!$P$2:$P$3000,"Yes")</f>
        <v>0</v>
      </c>
      <c r="AV51" s="26" t="n">
        <f aca="false">SUMIFS(Permissions!$AM$2:$AM$3000,Permissions!$B$2:$B$3000,$A51,Permissions!$P$2:$P$3000,"Yes")</f>
        <v>0</v>
      </c>
      <c r="AW51" s="24" t="n">
        <f aca="false">COUNTIFS(Permissions!$B$2:$B$3000,$A51,Permissions!$P$2:$P$3000,"Yes")</f>
        <v>0</v>
      </c>
      <c r="AX51" s="24" t="n">
        <f aca="false">SUMIFS(Permissions!$L$2:$L$3000,Permissions!$B$2:$B$3000,$A51,Permissions!$P$2:$P$3000,"Yes")</f>
        <v>0</v>
      </c>
      <c r="AY51" s="27" t="str">
        <f aca="false">IF(AND(AK51&gt;0,AG51&gt;=AK51,AN51=0),"Built out",IF(AG51&gt;0,"Partly built",IF(AK51&gt;0,"Consented – not built","No consent")))</f>
        <v>No consent</v>
      </c>
      <c r="AZ51" s="28" t="str">
        <f aca="false">IF(AND(R51&lt;&gt;"",AK51&gt;1.1*R51),"Consented above capacity",IF(AND(LEFT(B51,8)="Planning",AW51=0),"Consent parcel with no permission",IF(COUNTIF($A$2:$A$3000,$A51)&gt;1,"Duplicate parcel_id","")))</f>
        <v/>
      </c>
    </row>
    <row r="52" customFormat="false" ht="15" hidden="false" customHeight="false" outlineLevel="0" collapsed="false">
      <c r="A52" s="15" t="s">
        <v>243</v>
      </c>
      <c r="B52" s="15" t="s">
        <v>10</v>
      </c>
      <c r="C52" s="15" t="s">
        <v>16</v>
      </c>
      <c r="D52" s="15" t="s">
        <v>53</v>
      </c>
      <c r="E52" s="15" t="s">
        <v>19</v>
      </c>
      <c r="F52" s="15" t="n">
        <v>1</v>
      </c>
      <c r="G52" s="15" t="s">
        <v>154</v>
      </c>
      <c r="H52" s="15" t="n">
        <v>86</v>
      </c>
      <c r="I52" s="15" t="s">
        <v>53</v>
      </c>
      <c r="J52" s="15" t="s">
        <v>155</v>
      </c>
      <c r="K52" s="15" t="s">
        <v>53</v>
      </c>
      <c r="L52" s="15" t="s">
        <v>170</v>
      </c>
      <c r="M52" s="15" t="s">
        <v>228</v>
      </c>
      <c r="N52" s="15" t="s">
        <v>158</v>
      </c>
      <c r="O52" s="15" t="s">
        <v>229</v>
      </c>
      <c r="P52" s="15" t="n">
        <v>0.676</v>
      </c>
      <c r="Q52" s="15" t="n">
        <v>0.676</v>
      </c>
      <c r="R52" s="15" t="n">
        <v>68</v>
      </c>
      <c r="S52" s="15" t="s">
        <v>160</v>
      </c>
      <c r="T52" s="15"/>
      <c r="U52" s="15"/>
      <c r="V52" s="15"/>
      <c r="W52" s="15"/>
      <c r="X52" s="15"/>
      <c r="Y52" s="15"/>
      <c r="Z52" s="15"/>
      <c r="AA52" s="15" t="n">
        <v>11</v>
      </c>
      <c r="AB52" s="15" t="n">
        <v>0</v>
      </c>
      <c r="AC52" s="15" t="s">
        <v>161</v>
      </c>
      <c r="AD52" s="15" t="s">
        <v>162</v>
      </c>
      <c r="AE52" s="15" t="s">
        <v>163</v>
      </c>
      <c r="AF52" s="15"/>
      <c r="AG52" s="24" t="n">
        <f aca="false">SUMIFS(Permissions!$G$2:$G$3000,Permissions!$B$2:$B$3000,$A52,Permissions!$I$2:$I$3000,"Complete",Permissions!$P$2:$P$3000,"Yes")</f>
        <v>0</v>
      </c>
      <c r="AH52" s="24" t="n">
        <f aca="false">SUMIFS(Permissions!$G$2:$G$3000,Permissions!$B$2:$B$3000,$A52,Permissions!$I$2:$I$3000,"Under construction",Permissions!$P$2:$P$3000,"Yes")</f>
        <v>0</v>
      </c>
      <c r="AI52" s="24" t="n">
        <f aca="false">SUMIFS(Permissions!$G$2:$G$3000,Permissions!$B$2:$B$3000,$A52,Permissions!$I$2:$I$3000,"Permitted – not started",Permissions!$P$2:$P$3000,"Yes")</f>
        <v>0</v>
      </c>
      <c r="AJ52" s="24" t="n">
        <f aca="false">SUMIFS(Permissions!$G$2:$G$3000,Permissions!$B$2:$B$3000,$A52,Permissions!$I$2:$I$3000,"Stalled",Permissions!$P$2:$P$3000,"Yes")</f>
        <v>0</v>
      </c>
      <c r="AK52" s="24" t="n">
        <f aca="false">AG52+AH52+AI52+AJ52</f>
        <v>0</v>
      </c>
      <c r="AL52" s="24" t="n">
        <f aca="false">SUMIFS(Permissions!$G$2:$G$3000,Permissions!$B$2:$B$3000,$A52,Permissions!$I$2:$I$3000,"Expired – not started",Permissions!$P$2:$P$3000,"Yes")</f>
        <v>0</v>
      </c>
      <c r="AM52" s="24" t="n">
        <f aca="false">SUMIFS(Permissions!$G$2:$G$3000,Permissions!$B$2:$B$3000,$A52,Permissions!$I$2:$I$3000,"In planning",Permissions!$P$2:$P$3000,"Yes")</f>
        <v>0</v>
      </c>
      <c r="AN52" s="24" t="n">
        <f aca="false">IF(R52="",0,MAX(R52-AK52,0))</f>
        <v>68</v>
      </c>
      <c r="AO52" s="25" t="n">
        <f aca="false">AK52+AN52</f>
        <v>68</v>
      </c>
      <c r="AP52" s="24" t="n">
        <f aca="false">AO52-AG52</f>
        <v>68</v>
      </c>
      <c r="AQ52" s="26" t="n">
        <f aca="false">SUMIFS(Permissions!$AH$2:$AH$3000,Permissions!$B$2:$B$3000,$A52,Permissions!$P$2:$P$3000,"Yes")</f>
        <v>0</v>
      </c>
      <c r="AR52" s="26" t="n">
        <f aca="false">SUMIFS(Permissions!$AI$2:$AI$3000,Permissions!$B$2:$B$3000,$A52,Permissions!$P$2:$P$3000,"Yes")</f>
        <v>0</v>
      </c>
      <c r="AS52" s="26" t="n">
        <f aca="false">SUMIFS(Permissions!$AJ$2:$AJ$3000,Permissions!$B$2:$B$3000,$A52,Permissions!$P$2:$P$3000,"Yes")</f>
        <v>0</v>
      </c>
      <c r="AT52" s="26" t="n">
        <f aca="false">SUMIFS(Permissions!$AK$2:$AK$3000,Permissions!$B$2:$B$3000,$A52,Permissions!$P$2:$P$3000,"Yes")</f>
        <v>0</v>
      </c>
      <c r="AU52" s="26" t="n">
        <f aca="false">SUMIFS(Permissions!$AL$2:$AL$3000,Permissions!$B$2:$B$3000,$A52,Permissions!$P$2:$P$3000,"Yes")</f>
        <v>0</v>
      </c>
      <c r="AV52" s="26" t="n">
        <f aca="false">SUMIFS(Permissions!$AM$2:$AM$3000,Permissions!$B$2:$B$3000,$A52,Permissions!$P$2:$P$3000,"Yes")</f>
        <v>0</v>
      </c>
      <c r="AW52" s="24" t="n">
        <f aca="false">COUNTIFS(Permissions!$B$2:$B$3000,$A52,Permissions!$P$2:$P$3000,"Yes")</f>
        <v>0</v>
      </c>
      <c r="AX52" s="24" t="n">
        <f aca="false">SUMIFS(Permissions!$L$2:$L$3000,Permissions!$B$2:$B$3000,$A52,Permissions!$P$2:$P$3000,"Yes")</f>
        <v>0</v>
      </c>
      <c r="AY52" s="27" t="str">
        <f aca="false">IF(AND(AK52&gt;0,AG52&gt;=AK52,AN52=0),"Built out",IF(AG52&gt;0,"Partly built",IF(AK52&gt;0,"Consented – not built","No consent")))</f>
        <v>No consent</v>
      </c>
      <c r="AZ52" s="28" t="str">
        <f aca="false">IF(AND(R52&lt;&gt;"",AK52&gt;1.1*R52),"Consented above capacity",IF(AND(LEFT(B52,8)="Planning",AW52=0),"Consent parcel with no permission",IF(COUNTIF($A$2:$A$3000,$A52)&gt;1,"Duplicate parcel_id","")))</f>
        <v/>
      </c>
    </row>
    <row r="53" customFormat="false" ht="15" hidden="false" customHeight="false" outlineLevel="0" collapsed="false">
      <c r="A53" s="15" t="s">
        <v>244</v>
      </c>
      <c r="B53" s="15" t="s">
        <v>10</v>
      </c>
      <c r="C53" s="15" t="s">
        <v>16</v>
      </c>
      <c r="D53" s="15" t="s">
        <v>53</v>
      </c>
      <c r="E53" s="15" t="s">
        <v>19</v>
      </c>
      <c r="F53" s="15" t="n">
        <v>1</v>
      </c>
      <c r="G53" s="15" t="s">
        <v>154</v>
      </c>
      <c r="H53" s="15" t="n">
        <v>87</v>
      </c>
      <c r="I53" s="15" t="s">
        <v>53</v>
      </c>
      <c r="J53" s="15" t="s">
        <v>155</v>
      </c>
      <c r="K53" s="15" t="s">
        <v>53</v>
      </c>
      <c r="L53" s="15" t="s">
        <v>170</v>
      </c>
      <c r="M53" s="15" t="s">
        <v>228</v>
      </c>
      <c r="N53" s="15" t="s">
        <v>158</v>
      </c>
      <c r="O53" s="15" t="s">
        <v>229</v>
      </c>
      <c r="P53" s="15" t="n">
        <v>0.136</v>
      </c>
      <c r="Q53" s="15" t="n">
        <v>0.137</v>
      </c>
      <c r="R53" s="15" t="n">
        <v>14</v>
      </c>
      <c r="S53" s="15" t="s">
        <v>160</v>
      </c>
      <c r="T53" s="15"/>
      <c r="U53" s="15"/>
      <c r="V53" s="15"/>
      <c r="W53" s="15"/>
      <c r="X53" s="15"/>
      <c r="Y53" s="15"/>
      <c r="Z53" s="15"/>
      <c r="AA53" s="15" t="n">
        <v>0</v>
      </c>
      <c r="AB53" s="15" t="n">
        <v>0</v>
      </c>
      <c r="AC53" s="15" t="s">
        <v>161</v>
      </c>
      <c r="AD53" s="15" t="s">
        <v>162</v>
      </c>
      <c r="AE53" s="15" t="s">
        <v>163</v>
      </c>
      <c r="AF53" s="15"/>
      <c r="AG53" s="24" t="n">
        <f aca="false">SUMIFS(Permissions!$G$2:$G$3000,Permissions!$B$2:$B$3000,$A53,Permissions!$I$2:$I$3000,"Complete",Permissions!$P$2:$P$3000,"Yes")</f>
        <v>0</v>
      </c>
      <c r="AH53" s="24" t="n">
        <f aca="false">SUMIFS(Permissions!$G$2:$G$3000,Permissions!$B$2:$B$3000,$A53,Permissions!$I$2:$I$3000,"Under construction",Permissions!$P$2:$P$3000,"Yes")</f>
        <v>0</v>
      </c>
      <c r="AI53" s="24" t="n">
        <f aca="false">SUMIFS(Permissions!$G$2:$G$3000,Permissions!$B$2:$B$3000,$A53,Permissions!$I$2:$I$3000,"Permitted – not started",Permissions!$P$2:$P$3000,"Yes")</f>
        <v>0</v>
      </c>
      <c r="AJ53" s="24" t="n">
        <f aca="false">SUMIFS(Permissions!$G$2:$G$3000,Permissions!$B$2:$B$3000,$A53,Permissions!$I$2:$I$3000,"Stalled",Permissions!$P$2:$P$3000,"Yes")</f>
        <v>0</v>
      </c>
      <c r="AK53" s="24" t="n">
        <f aca="false">AG53+AH53+AI53+AJ53</f>
        <v>0</v>
      </c>
      <c r="AL53" s="24" t="n">
        <f aca="false">SUMIFS(Permissions!$G$2:$G$3000,Permissions!$B$2:$B$3000,$A53,Permissions!$I$2:$I$3000,"Expired – not started",Permissions!$P$2:$P$3000,"Yes")</f>
        <v>0</v>
      </c>
      <c r="AM53" s="24" t="n">
        <f aca="false">SUMIFS(Permissions!$G$2:$G$3000,Permissions!$B$2:$B$3000,$A53,Permissions!$I$2:$I$3000,"In planning",Permissions!$P$2:$P$3000,"Yes")</f>
        <v>0</v>
      </c>
      <c r="AN53" s="24" t="n">
        <f aca="false">IF(R53="",0,MAX(R53-AK53,0))</f>
        <v>14</v>
      </c>
      <c r="AO53" s="25" t="n">
        <f aca="false">AK53+AN53</f>
        <v>14</v>
      </c>
      <c r="AP53" s="24" t="n">
        <f aca="false">AO53-AG53</f>
        <v>14</v>
      </c>
      <c r="AQ53" s="26" t="n">
        <f aca="false">SUMIFS(Permissions!$AH$2:$AH$3000,Permissions!$B$2:$B$3000,$A53,Permissions!$P$2:$P$3000,"Yes")</f>
        <v>0</v>
      </c>
      <c r="AR53" s="26" t="n">
        <f aca="false">SUMIFS(Permissions!$AI$2:$AI$3000,Permissions!$B$2:$B$3000,$A53,Permissions!$P$2:$P$3000,"Yes")</f>
        <v>0</v>
      </c>
      <c r="AS53" s="26" t="n">
        <f aca="false">SUMIFS(Permissions!$AJ$2:$AJ$3000,Permissions!$B$2:$B$3000,$A53,Permissions!$P$2:$P$3000,"Yes")</f>
        <v>0</v>
      </c>
      <c r="AT53" s="26" t="n">
        <f aca="false">SUMIFS(Permissions!$AK$2:$AK$3000,Permissions!$B$2:$B$3000,$A53,Permissions!$P$2:$P$3000,"Yes")</f>
        <v>0</v>
      </c>
      <c r="AU53" s="26" t="n">
        <f aca="false">SUMIFS(Permissions!$AL$2:$AL$3000,Permissions!$B$2:$B$3000,$A53,Permissions!$P$2:$P$3000,"Yes")</f>
        <v>0</v>
      </c>
      <c r="AV53" s="26" t="n">
        <f aca="false">SUMIFS(Permissions!$AM$2:$AM$3000,Permissions!$B$2:$B$3000,$A53,Permissions!$P$2:$P$3000,"Yes")</f>
        <v>0</v>
      </c>
      <c r="AW53" s="24" t="n">
        <f aca="false">COUNTIFS(Permissions!$B$2:$B$3000,$A53,Permissions!$P$2:$P$3000,"Yes")</f>
        <v>0</v>
      </c>
      <c r="AX53" s="24" t="n">
        <f aca="false">SUMIFS(Permissions!$L$2:$L$3000,Permissions!$B$2:$B$3000,$A53,Permissions!$P$2:$P$3000,"Yes")</f>
        <v>0</v>
      </c>
      <c r="AY53" s="27" t="str">
        <f aca="false">IF(AND(AK53&gt;0,AG53&gt;=AK53,AN53=0),"Built out",IF(AG53&gt;0,"Partly built",IF(AK53&gt;0,"Consented – not built","No consent")))</f>
        <v>No consent</v>
      </c>
      <c r="AZ53" s="28" t="str">
        <f aca="false">IF(AND(R53&lt;&gt;"",AK53&gt;1.1*R53),"Consented above capacity",IF(AND(LEFT(B53,8)="Planning",AW53=0),"Consent parcel with no permission",IF(COUNTIF($A$2:$A$3000,$A53)&gt;1,"Duplicate parcel_id","")))</f>
        <v/>
      </c>
    </row>
    <row r="54" customFormat="false" ht="15" hidden="false" customHeight="false" outlineLevel="0" collapsed="false">
      <c r="A54" s="15" t="s">
        <v>245</v>
      </c>
      <c r="B54" s="15" t="s">
        <v>10</v>
      </c>
      <c r="C54" s="15" t="s">
        <v>16</v>
      </c>
      <c r="D54" s="15" t="s">
        <v>53</v>
      </c>
      <c r="E54" s="15" t="s">
        <v>19</v>
      </c>
      <c r="F54" s="15" t="n">
        <v>1</v>
      </c>
      <c r="G54" s="15" t="s">
        <v>154</v>
      </c>
      <c r="H54" s="15" t="n">
        <v>88</v>
      </c>
      <c r="I54" s="15" t="s">
        <v>53</v>
      </c>
      <c r="J54" s="15" t="s">
        <v>155</v>
      </c>
      <c r="K54" s="15" t="s">
        <v>53</v>
      </c>
      <c r="L54" s="15" t="s">
        <v>183</v>
      </c>
      <c r="M54" s="15" t="s">
        <v>53</v>
      </c>
      <c r="N54" s="15" t="s">
        <v>158</v>
      </c>
      <c r="O54" s="15" t="s">
        <v>229</v>
      </c>
      <c r="P54" s="15" t="n">
        <v>0.348</v>
      </c>
      <c r="Q54" s="15" t="n">
        <v>0.349</v>
      </c>
      <c r="R54" s="15" t="n">
        <v>35</v>
      </c>
      <c r="S54" s="15" t="s">
        <v>160</v>
      </c>
      <c r="T54" s="15"/>
      <c r="U54" s="15"/>
      <c r="V54" s="15"/>
      <c r="W54" s="15"/>
      <c r="X54" s="15"/>
      <c r="Y54" s="15"/>
      <c r="Z54" s="15"/>
      <c r="AA54" s="15" t="n">
        <v>9</v>
      </c>
      <c r="AB54" s="15" t="n">
        <v>0</v>
      </c>
      <c r="AC54" s="15" t="s">
        <v>161</v>
      </c>
      <c r="AD54" s="15" t="s">
        <v>162</v>
      </c>
      <c r="AE54" s="15" t="s">
        <v>163</v>
      </c>
      <c r="AF54" s="15"/>
      <c r="AG54" s="24" t="n">
        <f aca="false">SUMIFS(Permissions!$G$2:$G$3000,Permissions!$B$2:$B$3000,$A54,Permissions!$I$2:$I$3000,"Complete",Permissions!$P$2:$P$3000,"Yes")</f>
        <v>0</v>
      </c>
      <c r="AH54" s="24" t="n">
        <f aca="false">SUMIFS(Permissions!$G$2:$G$3000,Permissions!$B$2:$B$3000,$A54,Permissions!$I$2:$I$3000,"Under construction",Permissions!$P$2:$P$3000,"Yes")</f>
        <v>0</v>
      </c>
      <c r="AI54" s="24" t="n">
        <f aca="false">SUMIFS(Permissions!$G$2:$G$3000,Permissions!$B$2:$B$3000,$A54,Permissions!$I$2:$I$3000,"Permitted – not started",Permissions!$P$2:$P$3000,"Yes")</f>
        <v>0</v>
      </c>
      <c r="AJ54" s="24" t="n">
        <f aca="false">SUMIFS(Permissions!$G$2:$G$3000,Permissions!$B$2:$B$3000,$A54,Permissions!$I$2:$I$3000,"Stalled",Permissions!$P$2:$P$3000,"Yes")</f>
        <v>0</v>
      </c>
      <c r="AK54" s="24" t="n">
        <f aca="false">AG54+AH54+AI54+AJ54</f>
        <v>0</v>
      </c>
      <c r="AL54" s="24" t="n">
        <f aca="false">SUMIFS(Permissions!$G$2:$G$3000,Permissions!$B$2:$B$3000,$A54,Permissions!$I$2:$I$3000,"Expired – not started",Permissions!$P$2:$P$3000,"Yes")</f>
        <v>0</v>
      </c>
      <c r="AM54" s="24" t="n">
        <f aca="false">SUMIFS(Permissions!$G$2:$G$3000,Permissions!$B$2:$B$3000,$A54,Permissions!$I$2:$I$3000,"In planning",Permissions!$P$2:$P$3000,"Yes")</f>
        <v>0</v>
      </c>
      <c r="AN54" s="24" t="n">
        <f aca="false">IF(R54="",0,MAX(R54-AK54,0))</f>
        <v>35</v>
      </c>
      <c r="AO54" s="25" t="n">
        <f aca="false">AK54+AN54</f>
        <v>35</v>
      </c>
      <c r="AP54" s="24" t="n">
        <f aca="false">AO54-AG54</f>
        <v>35</v>
      </c>
      <c r="AQ54" s="26" t="n">
        <f aca="false">SUMIFS(Permissions!$AH$2:$AH$3000,Permissions!$B$2:$B$3000,$A54,Permissions!$P$2:$P$3000,"Yes")</f>
        <v>0</v>
      </c>
      <c r="AR54" s="26" t="n">
        <f aca="false">SUMIFS(Permissions!$AI$2:$AI$3000,Permissions!$B$2:$B$3000,$A54,Permissions!$P$2:$P$3000,"Yes")</f>
        <v>0</v>
      </c>
      <c r="AS54" s="26" t="n">
        <f aca="false">SUMIFS(Permissions!$AJ$2:$AJ$3000,Permissions!$B$2:$B$3000,$A54,Permissions!$P$2:$P$3000,"Yes")</f>
        <v>0</v>
      </c>
      <c r="AT54" s="26" t="n">
        <f aca="false">SUMIFS(Permissions!$AK$2:$AK$3000,Permissions!$B$2:$B$3000,$A54,Permissions!$P$2:$P$3000,"Yes")</f>
        <v>0</v>
      </c>
      <c r="AU54" s="26" t="n">
        <f aca="false">SUMIFS(Permissions!$AL$2:$AL$3000,Permissions!$B$2:$B$3000,$A54,Permissions!$P$2:$P$3000,"Yes")</f>
        <v>0</v>
      </c>
      <c r="AV54" s="26" t="n">
        <f aca="false">SUMIFS(Permissions!$AM$2:$AM$3000,Permissions!$B$2:$B$3000,$A54,Permissions!$P$2:$P$3000,"Yes")</f>
        <v>0</v>
      </c>
      <c r="AW54" s="24" t="n">
        <f aca="false">COUNTIFS(Permissions!$B$2:$B$3000,$A54,Permissions!$P$2:$P$3000,"Yes")</f>
        <v>0</v>
      </c>
      <c r="AX54" s="24" t="n">
        <f aca="false">SUMIFS(Permissions!$L$2:$L$3000,Permissions!$B$2:$B$3000,$A54,Permissions!$P$2:$P$3000,"Yes")</f>
        <v>0</v>
      </c>
      <c r="AY54" s="27" t="str">
        <f aca="false">IF(AND(AK54&gt;0,AG54&gt;=AK54,AN54=0),"Built out",IF(AG54&gt;0,"Partly built",IF(AK54&gt;0,"Consented – not built","No consent")))</f>
        <v>No consent</v>
      </c>
      <c r="AZ54" s="28" t="str">
        <f aca="false">IF(AND(R54&lt;&gt;"",AK54&gt;1.1*R54),"Consented above capacity",IF(AND(LEFT(B54,8)="Planning",AW54=0),"Consent parcel with no permission",IF(COUNTIF($A$2:$A$3000,$A54)&gt;1,"Duplicate parcel_id","")))</f>
        <v/>
      </c>
    </row>
    <row r="55" customFormat="false" ht="15" hidden="false" customHeight="false" outlineLevel="0" collapsed="false">
      <c r="A55" s="15" t="s">
        <v>246</v>
      </c>
      <c r="B55" s="15" t="s">
        <v>10</v>
      </c>
      <c r="C55" s="15" t="s">
        <v>16</v>
      </c>
      <c r="D55" s="15" t="s">
        <v>53</v>
      </c>
      <c r="E55" s="15" t="s">
        <v>19</v>
      </c>
      <c r="F55" s="15" t="n">
        <v>1</v>
      </c>
      <c r="G55" s="15" t="s">
        <v>154</v>
      </c>
      <c r="H55" s="15" t="n">
        <v>89</v>
      </c>
      <c r="I55" s="15" t="s">
        <v>53</v>
      </c>
      <c r="J55" s="15" t="s">
        <v>155</v>
      </c>
      <c r="K55" s="15" t="s">
        <v>53</v>
      </c>
      <c r="L55" s="15" t="s">
        <v>170</v>
      </c>
      <c r="M55" s="15" t="s">
        <v>228</v>
      </c>
      <c r="N55" s="15" t="s">
        <v>166</v>
      </c>
      <c r="O55" s="15" t="s">
        <v>229</v>
      </c>
      <c r="P55" s="15" t="n">
        <v>0.082</v>
      </c>
      <c r="Q55" s="15" t="n">
        <v>0.09</v>
      </c>
      <c r="R55" s="15" t="n">
        <v>8</v>
      </c>
      <c r="S55" s="15" t="s">
        <v>231</v>
      </c>
      <c r="T55" s="15"/>
      <c r="U55" s="15"/>
      <c r="V55" s="15"/>
      <c r="W55" s="15" t="s">
        <v>232</v>
      </c>
      <c r="X55" s="15" t="n">
        <v>101</v>
      </c>
      <c r="Y55" s="15" t="s">
        <v>233</v>
      </c>
      <c r="Z55" s="15"/>
      <c r="AA55" s="15" t="n">
        <v>0</v>
      </c>
      <c r="AB55" s="15" t="n">
        <v>0</v>
      </c>
      <c r="AC55" s="15" t="s">
        <v>161</v>
      </c>
      <c r="AD55" s="15" t="s">
        <v>162</v>
      </c>
      <c r="AE55" s="15" t="s">
        <v>163</v>
      </c>
      <c r="AF55" s="15"/>
      <c r="AG55" s="24" t="n">
        <f aca="false">SUMIFS(Permissions!$G$2:$G$3000,Permissions!$B$2:$B$3000,$A55,Permissions!$I$2:$I$3000,"Complete",Permissions!$P$2:$P$3000,"Yes")</f>
        <v>0</v>
      </c>
      <c r="AH55" s="24" t="n">
        <f aca="false">SUMIFS(Permissions!$G$2:$G$3000,Permissions!$B$2:$B$3000,$A55,Permissions!$I$2:$I$3000,"Under construction",Permissions!$P$2:$P$3000,"Yes")</f>
        <v>0</v>
      </c>
      <c r="AI55" s="24" t="n">
        <f aca="false">SUMIFS(Permissions!$G$2:$G$3000,Permissions!$B$2:$B$3000,$A55,Permissions!$I$2:$I$3000,"Permitted – not started",Permissions!$P$2:$P$3000,"Yes")</f>
        <v>0</v>
      </c>
      <c r="AJ55" s="24" t="n">
        <f aca="false">SUMIFS(Permissions!$G$2:$G$3000,Permissions!$B$2:$B$3000,$A55,Permissions!$I$2:$I$3000,"Stalled",Permissions!$P$2:$P$3000,"Yes")</f>
        <v>0</v>
      </c>
      <c r="AK55" s="24" t="n">
        <f aca="false">AG55+AH55+AI55+AJ55</f>
        <v>0</v>
      </c>
      <c r="AL55" s="24" t="n">
        <f aca="false">SUMIFS(Permissions!$G$2:$G$3000,Permissions!$B$2:$B$3000,$A55,Permissions!$I$2:$I$3000,"Expired – not started",Permissions!$P$2:$P$3000,"Yes")</f>
        <v>0</v>
      </c>
      <c r="AM55" s="24" t="n">
        <f aca="false">SUMIFS(Permissions!$G$2:$G$3000,Permissions!$B$2:$B$3000,$A55,Permissions!$I$2:$I$3000,"In planning",Permissions!$P$2:$P$3000,"Yes")</f>
        <v>0</v>
      </c>
      <c r="AN55" s="24" t="n">
        <f aca="false">IF(R55="",0,MAX(R55-AK55,0))</f>
        <v>8</v>
      </c>
      <c r="AO55" s="25" t="n">
        <f aca="false">AK55+AN55</f>
        <v>8</v>
      </c>
      <c r="AP55" s="24" t="n">
        <f aca="false">AO55-AG55</f>
        <v>8</v>
      </c>
      <c r="AQ55" s="26" t="n">
        <f aca="false">SUMIFS(Permissions!$AH$2:$AH$3000,Permissions!$B$2:$B$3000,$A55,Permissions!$P$2:$P$3000,"Yes")</f>
        <v>0</v>
      </c>
      <c r="AR55" s="26" t="n">
        <f aca="false">SUMIFS(Permissions!$AI$2:$AI$3000,Permissions!$B$2:$B$3000,$A55,Permissions!$P$2:$P$3000,"Yes")</f>
        <v>0</v>
      </c>
      <c r="AS55" s="26" t="n">
        <f aca="false">SUMIFS(Permissions!$AJ$2:$AJ$3000,Permissions!$B$2:$B$3000,$A55,Permissions!$P$2:$P$3000,"Yes")</f>
        <v>0</v>
      </c>
      <c r="AT55" s="26" t="n">
        <f aca="false">SUMIFS(Permissions!$AK$2:$AK$3000,Permissions!$B$2:$B$3000,$A55,Permissions!$P$2:$P$3000,"Yes")</f>
        <v>0</v>
      </c>
      <c r="AU55" s="26" t="n">
        <f aca="false">SUMIFS(Permissions!$AL$2:$AL$3000,Permissions!$B$2:$B$3000,$A55,Permissions!$P$2:$P$3000,"Yes")</f>
        <v>0</v>
      </c>
      <c r="AV55" s="26" t="n">
        <f aca="false">SUMIFS(Permissions!$AM$2:$AM$3000,Permissions!$B$2:$B$3000,$A55,Permissions!$P$2:$P$3000,"Yes")</f>
        <v>0</v>
      </c>
      <c r="AW55" s="24" t="n">
        <f aca="false">COUNTIFS(Permissions!$B$2:$B$3000,$A55,Permissions!$P$2:$P$3000,"Yes")</f>
        <v>0</v>
      </c>
      <c r="AX55" s="24" t="n">
        <f aca="false">SUMIFS(Permissions!$L$2:$L$3000,Permissions!$B$2:$B$3000,$A55,Permissions!$P$2:$P$3000,"Yes")</f>
        <v>0</v>
      </c>
      <c r="AY55" s="27" t="str">
        <f aca="false">IF(AND(AK55&gt;0,AG55&gt;=AK55,AN55=0),"Built out",IF(AG55&gt;0,"Partly built",IF(AK55&gt;0,"Consented – not built","No consent")))</f>
        <v>No consent</v>
      </c>
      <c r="AZ55" s="28" t="str">
        <f aca="false">IF(AND(R55&lt;&gt;"",AK55&gt;1.1*R55),"Consented above capacity",IF(AND(LEFT(B55,8)="Planning",AW55=0),"Consent parcel with no permission",IF(COUNTIF($A$2:$A$3000,$A55)&gt;1,"Duplicate parcel_id","")))</f>
        <v/>
      </c>
    </row>
    <row r="56" customFormat="false" ht="15" hidden="false" customHeight="false" outlineLevel="0" collapsed="false">
      <c r="A56" s="15" t="s">
        <v>247</v>
      </c>
      <c r="B56" s="15" t="s">
        <v>10</v>
      </c>
      <c r="C56" s="15" t="s">
        <v>16</v>
      </c>
      <c r="D56" s="15" t="s">
        <v>53</v>
      </c>
      <c r="E56" s="15" t="s">
        <v>19</v>
      </c>
      <c r="F56" s="15" t="n">
        <v>1</v>
      </c>
      <c r="G56" s="15" t="s">
        <v>154</v>
      </c>
      <c r="H56" s="15" t="n">
        <v>91</v>
      </c>
      <c r="I56" s="15" t="s">
        <v>53</v>
      </c>
      <c r="J56" s="15" t="s">
        <v>155</v>
      </c>
      <c r="K56" s="15" t="s">
        <v>169</v>
      </c>
      <c r="L56" s="15" t="s">
        <v>156</v>
      </c>
      <c r="M56" s="15" t="s">
        <v>228</v>
      </c>
      <c r="N56" s="15" t="s">
        <v>158</v>
      </c>
      <c r="O56" s="15" t="s">
        <v>229</v>
      </c>
      <c r="P56" s="15" t="n">
        <v>1.38</v>
      </c>
      <c r="Q56" s="15" t="n">
        <v>1.38</v>
      </c>
      <c r="R56" s="15" t="n">
        <v>285</v>
      </c>
      <c r="S56" s="15" t="s">
        <v>160</v>
      </c>
      <c r="T56" s="15"/>
      <c r="U56" s="15"/>
      <c r="V56" s="15"/>
      <c r="W56" s="15"/>
      <c r="X56" s="15"/>
      <c r="Y56" s="15"/>
      <c r="Z56" s="15"/>
      <c r="AA56" s="15" t="n">
        <v>0</v>
      </c>
      <c r="AB56" s="15" t="n">
        <v>0</v>
      </c>
      <c r="AC56" s="15" t="s">
        <v>161</v>
      </c>
      <c r="AD56" s="15" t="s">
        <v>162</v>
      </c>
      <c r="AE56" s="15" t="s">
        <v>163</v>
      </c>
      <c r="AF56" s="15"/>
      <c r="AG56" s="24" t="n">
        <f aca="false">SUMIFS(Permissions!$G$2:$G$3000,Permissions!$B$2:$B$3000,$A56,Permissions!$I$2:$I$3000,"Complete",Permissions!$P$2:$P$3000,"Yes")</f>
        <v>0</v>
      </c>
      <c r="AH56" s="24" t="n">
        <f aca="false">SUMIFS(Permissions!$G$2:$G$3000,Permissions!$B$2:$B$3000,$A56,Permissions!$I$2:$I$3000,"Under construction",Permissions!$P$2:$P$3000,"Yes")</f>
        <v>0</v>
      </c>
      <c r="AI56" s="24" t="n">
        <f aca="false">SUMIFS(Permissions!$G$2:$G$3000,Permissions!$B$2:$B$3000,$A56,Permissions!$I$2:$I$3000,"Permitted – not started",Permissions!$P$2:$P$3000,"Yes")</f>
        <v>285</v>
      </c>
      <c r="AJ56" s="24" t="n">
        <f aca="false">SUMIFS(Permissions!$G$2:$G$3000,Permissions!$B$2:$B$3000,$A56,Permissions!$I$2:$I$3000,"Stalled",Permissions!$P$2:$P$3000,"Yes")</f>
        <v>0</v>
      </c>
      <c r="AK56" s="24" t="n">
        <f aca="false">AG56+AH56+AI56+AJ56</f>
        <v>285</v>
      </c>
      <c r="AL56" s="24" t="n">
        <f aca="false">SUMIFS(Permissions!$G$2:$G$3000,Permissions!$B$2:$B$3000,$A56,Permissions!$I$2:$I$3000,"Expired – not started",Permissions!$P$2:$P$3000,"Yes")</f>
        <v>0</v>
      </c>
      <c r="AM56" s="24" t="n">
        <f aca="false">SUMIFS(Permissions!$G$2:$G$3000,Permissions!$B$2:$B$3000,$A56,Permissions!$I$2:$I$3000,"In planning",Permissions!$P$2:$P$3000,"Yes")</f>
        <v>0</v>
      </c>
      <c r="AN56" s="24" t="n">
        <f aca="false">IF(R56="",0,MAX(R56-AK56,0))</f>
        <v>0</v>
      </c>
      <c r="AO56" s="25" t="n">
        <f aca="false">AK56+AN56</f>
        <v>285</v>
      </c>
      <c r="AP56" s="24" t="n">
        <f aca="false">AO56-AG56</f>
        <v>285</v>
      </c>
      <c r="AQ56" s="26" t="n">
        <f aca="false">SUMIFS(Permissions!$AH$2:$AH$3000,Permissions!$B$2:$B$3000,$A56,Permissions!$P$2:$P$3000,"Yes")</f>
        <v>0</v>
      </c>
      <c r="AR56" s="26" t="n">
        <f aca="false">SUMIFS(Permissions!$AI$2:$AI$3000,Permissions!$B$2:$B$3000,$A56,Permissions!$P$2:$P$3000,"Yes")</f>
        <v>0</v>
      </c>
      <c r="AS56" s="26" t="n">
        <f aca="false">SUMIFS(Permissions!$AJ$2:$AJ$3000,Permissions!$B$2:$B$3000,$A56,Permissions!$P$2:$P$3000,"Yes")</f>
        <v>10.1</v>
      </c>
      <c r="AT56" s="26" t="n">
        <f aca="false">SUMIFS(Permissions!$AK$2:$AK$3000,Permissions!$B$2:$B$3000,$A56,Permissions!$P$2:$P$3000,"Yes")</f>
        <v>61</v>
      </c>
      <c r="AU56" s="26" t="n">
        <f aca="false">SUMIFS(Permissions!$AL$2:$AL$3000,Permissions!$B$2:$B$3000,$A56,Permissions!$P$2:$P$3000,"Yes")</f>
        <v>61</v>
      </c>
      <c r="AV56" s="26" t="n">
        <f aca="false">SUMIFS(Permissions!$AM$2:$AM$3000,Permissions!$B$2:$B$3000,$A56,Permissions!$P$2:$P$3000,"Yes")</f>
        <v>152.9</v>
      </c>
      <c r="AW56" s="24" t="n">
        <f aca="false">COUNTIFS(Permissions!$B$2:$B$3000,$A56,Permissions!$P$2:$P$3000,"Yes")</f>
        <v>1</v>
      </c>
      <c r="AX56" s="24" t="n">
        <f aca="false">SUMIFS(Permissions!$L$2:$L$3000,Permissions!$B$2:$B$3000,$A56,Permissions!$P$2:$P$3000,"Yes")</f>
        <v>0</v>
      </c>
      <c r="AY56" s="27" t="str">
        <f aca="false">IF(AND(AK56&gt;0,AG56&gt;=AK56,AN56=0),"Built out",IF(AG56&gt;0,"Partly built",IF(AK56&gt;0,"Consented – not built","No consent")))</f>
        <v>Consented – not built</v>
      </c>
      <c r="AZ56" s="28" t="str">
        <f aca="false">IF(AND(R56&lt;&gt;"",AK56&gt;1.1*R56),"Consented above capacity",IF(AND(LEFT(B56,8)="Planning",AW56=0),"Consent parcel with no permission",IF(COUNTIF($A$2:$A$3000,$A56)&gt;1,"Duplicate parcel_id","")))</f>
        <v/>
      </c>
    </row>
    <row r="57" customFormat="false" ht="15" hidden="false" customHeight="false" outlineLevel="0" collapsed="false">
      <c r="A57" s="15" t="s">
        <v>248</v>
      </c>
      <c r="B57" s="15" t="s">
        <v>10</v>
      </c>
      <c r="C57" s="15" t="s">
        <v>16</v>
      </c>
      <c r="D57" s="15" t="s">
        <v>53</v>
      </c>
      <c r="E57" s="15" t="s">
        <v>19</v>
      </c>
      <c r="F57" s="15" t="n">
        <v>1</v>
      </c>
      <c r="G57" s="15" t="s">
        <v>154</v>
      </c>
      <c r="H57" s="15" t="n">
        <v>92</v>
      </c>
      <c r="I57" s="15" t="s">
        <v>53</v>
      </c>
      <c r="J57" s="15" t="s">
        <v>155</v>
      </c>
      <c r="K57" s="15" t="s">
        <v>53</v>
      </c>
      <c r="L57" s="15" t="s">
        <v>170</v>
      </c>
      <c r="M57" s="15" t="s">
        <v>228</v>
      </c>
      <c r="N57" s="15" t="s">
        <v>166</v>
      </c>
      <c r="O57" s="15" t="s">
        <v>229</v>
      </c>
      <c r="P57" s="15" t="n">
        <v>0.072</v>
      </c>
      <c r="Q57" s="15" t="n">
        <v>0.079</v>
      </c>
      <c r="R57" s="15" t="n">
        <v>7</v>
      </c>
      <c r="S57" s="15" t="s">
        <v>231</v>
      </c>
      <c r="T57" s="15"/>
      <c r="U57" s="15"/>
      <c r="V57" s="15"/>
      <c r="W57" s="15" t="s">
        <v>232</v>
      </c>
      <c r="X57" s="15" t="n">
        <v>101</v>
      </c>
      <c r="Y57" s="15" t="s">
        <v>233</v>
      </c>
      <c r="Z57" s="15"/>
      <c r="AA57" s="15" t="n">
        <v>0</v>
      </c>
      <c r="AB57" s="15" t="n">
        <v>0</v>
      </c>
      <c r="AC57" s="15" t="s">
        <v>161</v>
      </c>
      <c r="AD57" s="15" t="s">
        <v>162</v>
      </c>
      <c r="AE57" s="15" t="s">
        <v>163</v>
      </c>
      <c r="AF57" s="15"/>
      <c r="AG57" s="24" t="n">
        <f aca="false">SUMIFS(Permissions!$G$2:$G$3000,Permissions!$B$2:$B$3000,$A57,Permissions!$I$2:$I$3000,"Complete",Permissions!$P$2:$P$3000,"Yes")</f>
        <v>0</v>
      </c>
      <c r="AH57" s="24" t="n">
        <f aca="false">SUMIFS(Permissions!$G$2:$G$3000,Permissions!$B$2:$B$3000,$A57,Permissions!$I$2:$I$3000,"Under construction",Permissions!$P$2:$P$3000,"Yes")</f>
        <v>0</v>
      </c>
      <c r="AI57" s="24" t="n">
        <f aca="false">SUMIFS(Permissions!$G$2:$G$3000,Permissions!$B$2:$B$3000,$A57,Permissions!$I$2:$I$3000,"Permitted – not started",Permissions!$P$2:$P$3000,"Yes")</f>
        <v>0</v>
      </c>
      <c r="AJ57" s="24" t="n">
        <f aca="false">SUMIFS(Permissions!$G$2:$G$3000,Permissions!$B$2:$B$3000,$A57,Permissions!$I$2:$I$3000,"Stalled",Permissions!$P$2:$P$3000,"Yes")</f>
        <v>0</v>
      </c>
      <c r="AK57" s="24" t="n">
        <f aca="false">AG57+AH57+AI57+AJ57</f>
        <v>0</v>
      </c>
      <c r="AL57" s="24" t="n">
        <f aca="false">SUMIFS(Permissions!$G$2:$G$3000,Permissions!$B$2:$B$3000,$A57,Permissions!$I$2:$I$3000,"Expired – not started",Permissions!$P$2:$P$3000,"Yes")</f>
        <v>0</v>
      </c>
      <c r="AM57" s="24" t="n">
        <f aca="false">SUMIFS(Permissions!$G$2:$G$3000,Permissions!$B$2:$B$3000,$A57,Permissions!$I$2:$I$3000,"In planning",Permissions!$P$2:$P$3000,"Yes")</f>
        <v>0</v>
      </c>
      <c r="AN57" s="24" t="n">
        <f aca="false">IF(R57="",0,MAX(R57-AK57,0))</f>
        <v>7</v>
      </c>
      <c r="AO57" s="25" t="n">
        <f aca="false">AK57+AN57</f>
        <v>7</v>
      </c>
      <c r="AP57" s="24" t="n">
        <f aca="false">AO57-AG57</f>
        <v>7</v>
      </c>
      <c r="AQ57" s="26" t="n">
        <f aca="false">SUMIFS(Permissions!$AH$2:$AH$3000,Permissions!$B$2:$B$3000,$A57,Permissions!$P$2:$P$3000,"Yes")</f>
        <v>0</v>
      </c>
      <c r="AR57" s="26" t="n">
        <f aca="false">SUMIFS(Permissions!$AI$2:$AI$3000,Permissions!$B$2:$B$3000,$A57,Permissions!$P$2:$P$3000,"Yes")</f>
        <v>0</v>
      </c>
      <c r="AS57" s="26" t="n">
        <f aca="false">SUMIFS(Permissions!$AJ$2:$AJ$3000,Permissions!$B$2:$B$3000,$A57,Permissions!$P$2:$P$3000,"Yes")</f>
        <v>0</v>
      </c>
      <c r="AT57" s="26" t="n">
        <f aca="false">SUMIFS(Permissions!$AK$2:$AK$3000,Permissions!$B$2:$B$3000,$A57,Permissions!$P$2:$P$3000,"Yes")</f>
        <v>0</v>
      </c>
      <c r="AU57" s="26" t="n">
        <f aca="false">SUMIFS(Permissions!$AL$2:$AL$3000,Permissions!$B$2:$B$3000,$A57,Permissions!$P$2:$P$3000,"Yes")</f>
        <v>0</v>
      </c>
      <c r="AV57" s="26" t="n">
        <f aca="false">SUMIFS(Permissions!$AM$2:$AM$3000,Permissions!$B$2:$B$3000,$A57,Permissions!$P$2:$P$3000,"Yes")</f>
        <v>0</v>
      </c>
      <c r="AW57" s="24" t="n">
        <f aca="false">COUNTIFS(Permissions!$B$2:$B$3000,$A57,Permissions!$P$2:$P$3000,"Yes")</f>
        <v>0</v>
      </c>
      <c r="AX57" s="24" t="n">
        <f aca="false">SUMIFS(Permissions!$L$2:$L$3000,Permissions!$B$2:$B$3000,$A57,Permissions!$P$2:$P$3000,"Yes")</f>
        <v>0</v>
      </c>
      <c r="AY57" s="27" t="str">
        <f aca="false">IF(AND(AK57&gt;0,AG57&gt;=AK57,AN57=0),"Built out",IF(AG57&gt;0,"Partly built",IF(AK57&gt;0,"Consented – not built","No consent")))</f>
        <v>No consent</v>
      </c>
      <c r="AZ57" s="28" t="str">
        <f aca="false">IF(AND(R57&lt;&gt;"",AK57&gt;1.1*R57),"Consented above capacity",IF(AND(LEFT(B57,8)="Planning",AW57=0),"Consent parcel with no permission",IF(COUNTIF($A$2:$A$3000,$A57)&gt;1,"Duplicate parcel_id","")))</f>
        <v/>
      </c>
    </row>
    <row r="58" customFormat="false" ht="15" hidden="false" customHeight="false" outlineLevel="0" collapsed="false">
      <c r="A58" s="15" t="s">
        <v>249</v>
      </c>
      <c r="B58" s="15" t="s">
        <v>10</v>
      </c>
      <c r="C58" s="15" t="s">
        <v>16</v>
      </c>
      <c r="D58" s="15" t="s">
        <v>53</v>
      </c>
      <c r="E58" s="15" t="s">
        <v>19</v>
      </c>
      <c r="F58" s="15" t="n">
        <v>1</v>
      </c>
      <c r="G58" s="15" t="s">
        <v>154</v>
      </c>
      <c r="H58" s="15" t="n">
        <v>93</v>
      </c>
      <c r="I58" s="15" t="s">
        <v>53</v>
      </c>
      <c r="J58" s="15" t="s">
        <v>155</v>
      </c>
      <c r="K58" s="15" t="s">
        <v>53</v>
      </c>
      <c r="L58" s="15" t="s">
        <v>170</v>
      </c>
      <c r="M58" s="15" t="s">
        <v>228</v>
      </c>
      <c r="N58" s="15" t="s">
        <v>166</v>
      </c>
      <c r="O58" s="15" t="s">
        <v>229</v>
      </c>
      <c r="P58" s="15" t="n">
        <v>0.052</v>
      </c>
      <c r="Q58" s="15" t="n">
        <v>0.057</v>
      </c>
      <c r="R58" s="15" t="n">
        <v>5</v>
      </c>
      <c r="S58" s="15" t="s">
        <v>231</v>
      </c>
      <c r="T58" s="15"/>
      <c r="U58" s="15"/>
      <c r="V58" s="15"/>
      <c r="W58" s="15" t="s">
        <v>232</v>
      </c>
      <c r="X58" s="15" t="n">
        <v>101</v>
      </c>
      <c r="Y58" s="15" t="s">
        <v>233</v>
      </c>
      <c r="Z58" s="15"/>
      <c r="AA58" s="15" t="n">
        <v>0</v>
      </c>
      <c r="AB58" s="15" t="n">
        <v>0</v>
      </c>
      <c r="AC58" s="15" t="s">
        <v>161</v>
      </c>
      <c r="AD58" s="15" t="s">
        <v>162</v>
      </c>
      <c r="AE58" s="15" t="s">
        <v>163</v>
      </c>
      <c r="AF58" s="15"/>
      <c r="AG58" s="24" t="n">
        <f aca="false">SUMIFS(Permissions!$G$2:$G$3000,Permissions!$B$2:$B$3000,$A58,Permissions!$I$2:$I$3000,"Complete",Permissions!$P$2:$P$3000,"Yes")</f>
        <v>0</v>
      </c>
      <c r="AH58" s="24" t="n">
        <f aca="false">SUMIFS(Permissions!$G$2:$G$3000,Permissions!$B$2:$B$3000,$A58,Permissions!$I$2:$I$3000,"Under construction",Permissions!$P$2:$P$3000,"Yes")</f>
        <v>0</v>
      </c>
      <c r="AI58" s="24" t="n">
        <f aca="false">SUMIFS(Permissions!$G$2:$G$3000,Permissions!$B$2:$B$3000,$A58,Permissions!$I$2:$I$3000,"Permitted – not started",Permissions!$P$2:$P$3000,"Yes")</f>
        <v>0</v>
      </c>
      <c r="AJ58" s="24" t="n">
        <f aca="false">SUMIFS(Permissions!$G$2:$G$3000,Permissions!$B$2:$B$3000,$A58,Permissions!$I$2:$I$3000,"Stalled",Permissions!$P$2:$P$3000,"Yes")</f>
        <v>0</v>
      </c>
      <c r="AK58" s="24" t="n">
        <f aca="false">AG58+AH58+AI58+AJ58</f>
        <v>0</v>
      </c>
      <c r="AL58" s="24" t="n">
        <f aca="false">SUMIFS(Permissions!$G$2:$G$3000,Permissions!$B$2:$B$3000,$A58,Permissions!$I$2:$I$3000,"Expired – not started",Permissions!$P$2:$P$3000,"Yes")</f>
        <v>0</v>
      </c>
      <c r="AM58" s="24" t="n">
        <f aca="false">SUMIFS(Permissions!$G$2:$G$3000,Permissions!$B$2:$B$3000,$A58,Permissions!$I$2:$I$3000,"In planning",Permissions!$P$2:$P$3000,"Yes")</f>
        <v>0</v>
      </c>
      <c r="AN58" s="24" t="n">
        <f aca="false">IF(R58="",0,MAX(R58-AK58,0))</f>
        <v>5</v>
      </c>
      <c r="AO58" s="25" t="n">
        <f aca="false">AK58+AN58</f>
        <v>5</v>
      </c>
      <c r="AP58" s="24" t="n">
        <f aca="false">AO58-AG58</f>
        <v>5</v>
      </c>
      <c r="AQ58" s="26" t="n">
        <f aca="false">SUMIFS(Permissions!$AH$2:$AH$3000,Permissions!$B$2:$B$3000,$A58,Permissions!$P$2:$P$3000,"Yes")</f>
        <v>0</v>
      </c>
      <c r="AR58" s="26" t="n">
        <f aca="false">SUMIFS(Permissions!$AI$2:$AI$3000,Permissions!$B$2:$B$3000,$A58,Permissions!$P$2:$P$3000,"Yes")</f>
        <v>0</v>
      </c>
      <c r="AS58" s="26" t="n">
        <f aca="false">SUMIFS(Permissions!$AJ$2:$AJ$3000,Permissions!$B$2:$B$3000,$A58,Permissions!$P$2:$P$3000,"Yes")</f>
        <v>0</v>
      </c>
      <c r="AT58" s="26" t="n">
        <f aca="false">SUMIFS(Permissions!$AK$2:$AK$3000,Permissions!$B$2:$B$3000,$A58,Permissions!$P$2:$P$3000,"Yes")</f>
        <v>0</v>
      </c>
      <c r="AU58" s="26" t="n">
        <f aca="false">SUMIFS(Permissions!$AL$2:$AL$3000,Permissions!$B$2:$B$3000,$A58,Permissions!$P$2:$P$3000,"Yes")</f>
        <v>0</v>
      </c>
      <c r="AV58" s="26" t="n">
        <f aca="false">SUMIFS(Permissions!$AM$2:$AM$3000,Permissions!$B$2:$B$3000,$A58,Permissions!$P$2:$P$3000,"Yes")</f>
        <v>0</v>
      </c>
      <c r="AW58" s="24" t="n">
        <f aca="false">COUNTIFS(Permissions!$B$2:$B$3000,$A58,Permissions!$P$2:$P$3000,"Yes")</f>
        <v>0</v>
      </c>
      <c r="AX58" s="24" t="n">
        <f aca="false">SUMIFS(Permissions!$L$2:$L$3000,Permissions!$B$2:$B$3000,$A58,Permissions!$P$2:$P$3000,"Yes")</f>
        <v>0</v>
      </c>
      <c r="AY58" s="27" t="str">
        <f aca="false">IF(AND(AK58&gt;0,AG58&gt;=AK58,AN58=0),"Built out",IF(AG58&gt;0,"Partly built",IF(AK58&gt;0,"Consented – not built","No consent")))</f>
        <v>No consent</v>
      </c>
      <c r="AZ58" s="28" t="str">
        <f aca="false">IF(AND(R58&lt;&gt;"",AK58&gt;1.1*R58),"Consented above capacity",IF(AND(LEFT(B58,8)="Planning",AW58=0),"Consent parcel with no permission",IF(COUNTIF($A$2:$A$3000,$A58)&gt;1,"Duplicate parcel_id","")))</f>
        <v/>
      </c>
    </row>
    <row r="59" customFormat="false" ht="15" hidden="false" customHeight="false" outlineLevel="0" collapsed="false">
      <c r="A59" s="15" t="s">
        <v>250</v>
      </c>
      <c r="B59" s="15" t="s">
        <v>10</v>
      </c>
      <c r="C59" s="15" t="s">
        <v>16</v>
      </c>
      <c r="D59" s="15" t="s">
        <v>53</v>
      </c>
      <c r="E59" s="15" t="s">
        <v>19</v>
      </c>
      <c r="F59" s="15" t="n">
        <v>1</v>
      </c>
      <c r="G59" s="15" t="s">
        <v>154</v>
      </c>
      <c r="H59" s="15" t="n">
        <v>95</v>
      </c>
      <c r="I59" s="15" t="s">
        <v>53</v>
      </c>
      <c r="J59" s="15" t="s">
        <v>155</v>
      </c>
      <c r="K59" s="15" t="s">
        <v>53</v>
      </c>
      <c r="L59" s="15" t="s">
        <v>170</v>
      </c>
      <c r="M59" s="15" t="s">
        <v>228</v>
      </c>
      <c r="N59" s="15" t="s">
        <v>166</v>
      </c>
      <c r="O59" s="15" t="s">
        <v>229</v>
      </c>
      <c r="P59" s="15" t="n">
        <v>0.095</v>
      </c>
      <c r="Q59" s="15" t="n">
        <v>0.104</v>
      </c>
      <c r="R59" s="15" t="n">
        <v>10</v>
      </c>
      <c r="S59" s="15" t="s">
        <v>231</v>
      </c>
      <c r="T59" s="15"/>
      <c r="U59" s="15"/>
      <c r="V59" s="15"/>
      <c r="W59" s="15" t="s">
        <v>232</v>
      </c>
      <c r="X59" s="15" t="n">
        <v>101</v>
      </c>
      <c r="Y59" s="15" t="s">
        <v>233</v>
      </c>
      <c r="Z59" s="15"/>
      <c r="AA59" s="15" t="n">
        <v>0</v>
      </c>
      <c r="AB59" s="15" t="n">
        <v>0</v>
      </c>
      <c r="AC59" s="15" t="s">
        <v>161</v>
      </c>
      <c r="AD59" s="15" t="s">
        <v>162</v>
      </c>
      <c r="AE59" s="15" t="s">
        <v>163</v>
      </c>
      <c r="AF59" s="15"/>
      <c r="AG59" s="24" t="n">
        <f aca="false">SUMIFS(Permissions!$G$2:$G$3000,Permissions!$B$2:$B$3000,$A59,Permissions!$I$2:$I$3000,"Complete",Permissions!$P$2:$P$3000,"Yes")</f>
        <v>0</v>
      </c>
      <c r="AH59" s="24" t="n">
        <f aca="false">SUMIFS(Permissions!$G$2:$G$3000,Permissions!$B$2:$B$3000,$A59,Permissions!$I$2:$I$3000,"Under construction",Permissions!$P$2:$P$3000,"Yes")</f>
        <v>0</v>
      </c>
      <c r="AI59" s="24" t="n">
        <f aca="false">SUMIFS(Permissions!$G$2:$G$3000,Permissions!$B$2:$B$3000,$A59,Permissions!$I$2:$I$3000,"Permitted – not started",Permissions!$P$2:$P$3000,"Yes")</f>
        <v>0</v>
      </c>
      <c r="AJ59" s="24" t="n">
        <f aca="false">SUMIFS(Permissions!$G$2:$G$3000,Permissions!$B$2:$B$3000,$A59,Permissions!$I$2:$I$3000,"Stalled",Permissions!$P$2:$P$3000,"Yes")</f>
        <v>0</v>
      </c>
      <c r="AK59" s="24" t="n">
        <f aca="false">AG59+AH59+AI59+AJ59</f>
        <v>0</v>
      </c>
      <c r="AL59" s="24" t="n">
        <f aca="false">SUMIFS(Permissions!$G$2:$G$3000,Permissions!$B$2:$B$3000,$A59,Permissions!$I$2:$I$3000,"Expired – not started",Permissions!$P$2:$P$3000,"Yes")</f>
        <v>0</v>
      </c>
      <c r="AM59" s="24" t="n">
        <f aca="false">SUMIFS(Permissions!$G$2:$G$3000,Permissions!$B$2:$B$3000,$A59,Permissions!$I$2:$I$3000,"In planning",Permissions!$P$2:$P$3000,"Yes")</f>
        <v>0</v>
      </c>
      <c r="AN59" s="24" t="n">
        <f aca="false">IF(R59="",0,MAX(R59-AK59,0))</f>
        <v>10</v>
      </c>
      <c r="AO59" s="25" t="n">
        <f aca="false">AK59+AN59</f>
        <v>10</v>
      </c>
      <c r="AP59" s="24" t="n">
        <f aca="false">AO59-AG59</f>
        <v>10</v>
      </c>
      <c r="AQ59" s="26" t="n">
        <f aca="false">SUMIFS(Permissions!$AH$2:$AH$3000,Permissions!$B$2:$B$3000,$A59,Permissions!$P$2:$P$3000,"Yes")</f>
        <v>0</v>
      </c>
      <c r="AR59" s="26" t="n">
        <f aca="false">SUMIFS(Permissions!$AI$2:$AI$3000,Permissions!$B$2:$B$3000,$A59,Permissions!$P$2:$P$3000,"Yes")</f>
        <v>0</v>
      </c>
      <c r="AS59" s="26" t="n">
        <f aca="false">SUMIFS(Permissions!$AJ$2:$AJ$3000,Permissions!$B$2:$B$3000,$A59,Permissions!$P$2:$P$3000,"Yes")</f>
        <v>0</v>
      </c>
      <c r="AT59" s="26" t="n">
        <f aca="false">SUMIFS(Permissions!$AK$2:$AK$3000,Permissions!$B$2:$B$3000,$A59,Permissions!$P$2:$P$3000,"Yes")</f>
        <v>0</v>
      </c>
      <c r="AU59" s="26" t="n">
        <f aca="false">SUMIFS(Permissions!$AL$2:$AL$3000,Permissions!$B$2:$B$3000,$A59,Permissions!$P$2:$P$3000,"Yes")</f>
        <v>0</v>
      </c>
      <c r="AV59" s="26" t="n">
        <f aca="false">SUMIFS(Permissions!$AM$2:$AM$3000,Permissions!$B$2:$B$3000,$A59,Permissions!$P$2:$P$3000,"Yes")</f>
        <v>0</v>
      </c>
      <c r="AW59" s="24" t="n">
        <f aca="false">COUNTIFS(Permissions!$B$2:$B$3000,$A59,Permissions!$P$2:$P$3000,"Yes")</f>
        <v>0</v>
      </c>
      <c r="AX59" s="24" t="n">
        <f aca="false">SUMIFS(Permissions!$L$2:$L$3000,Permissions!$B$2:$B$3000,$A59,Permissions!$P$2:$P$3000,"Yes")</f>
        <v>0</v>
      </c>
      <c r="AY59" s="27" t="str">
        <f aca="false">IF(AND(AK59&gt;0,AG59&gt;=AK59,AN59=0),"Built out",IF(AG59&gt;0,"Partly built",IF(AK59&gt;0,"Consented – not built","No consent")))</f>
        <v>No consent</v>
      </c>
      <c r="AZ59" s="28" t="str">
        <f aca="false">IF(AND(R59&lt;&gt;"",AK59&gt;1.1*R59),"Consented above capacity",IF(AND(LEFT(B59,8)="Planning",AW59=0),"Consent parcel with no permission",IF(COUNTIF($A$2:$A$3000,$A59)&gt;1,"Duplicate parcel_id","")))</f>
        <v/>
      </c>
    </row>
    <row r="60" customFormat="false" ht="15" hidden="false" customHeight="false" outlineLevel="0" collapsed="false">
      <c r="A60" s="15" t="s">
        <v>251</v>
      </c>
      <c r="B60" s="15" t="s">
        <v>10</v>
      </c>
      <c r="C60" s="15" t="s">
        <v>16</v>
      </c>
      <c r="D60" s="15" t="s">
        <v>53</v>
      </c>
      <c r="E60" s="15" t="s">
        <v>19</v>
      </c>
      <c r="F60" s="15" t="n">
        <v>1</v>
      </c>
      <c r="G60" s="15" t="s">
        <v>154</v>
      </c>
      <c r="H60" s="15" t="n">
        <v>97</v>
      </c>
      <c r="I60" s="15" t="s">
        <v>53</v>
      </c>
      <c r="J60" s="15" t="s">
        <v>155</v>
      </c>
      <c r="K60" s="15" t="s">
        <v>53</v>
      </c>
      <c r="L60" s="15" t="s">
        <v>170</v>
      </c>
      <c r="M60" s="15" t="s">
        <v>228</v>
      </c>
      <c r="N60" s="15" t="s">
        <v>166</v>
      </c>
      <c r="O60" s="15" t="s">
        <v>229</v>
      </c>
      <c r="P60" s="15" t="n">
        <v>0.056</v>
      </c>
      <c r="Q60" s="15" t="n">
        <v>0.061</v>
      </c>
      <c r="R60" s="15" t="n">
        <v>6</v>
      </c>
      <c r="S60" s="15" t="s">
        <v>231</v>
      </c>
      <c r="T60" s="15"/>
      <c r="U60" s="15"/>
      <c r="V60" s="15"/>
      <c r="W60" s="15" t="s">
        <v>232</v>
      </c>
      <c r="X60" s="15" t="n">
        <v>101</v>
      </c>
      <c r="Y60" s="15" t="s">
        <v>233</v>
      </c>
      <c r="Z60" s="15"/>
      <c r="AA60" s="15" t="n">
        <v>0</v>
      </c>
      <c r="AB60" s="15" t="n">
        <v>0</v>
      </c>
      <c r="AC60" s="15" t="s">
        <v>161</v>
      </c>
      <c r="AD60" s="15" t="s">
        <v>162</v>
      </c>
      <c r="AE60" s="15" t="s">
        <v>163</v>
      </c>
      <c r="AF60" s="15"/>
      <c r="AG60" s="24" t="n">
        <f aca="false">SUMIFS(Permissions!$G$2:$G$3000,Permissions!$B$2:$B$3000,$A60,Permissions!$I$2:$I$3000,"Complete",Permissions!$P$2:$P$3000,"Yes")</f>
        <v>0</v>
      </c>
      <c r="AH60" s="24" t="n">
        <f aca="false">SUMIFS(Permissions!$G$2:$G$3000,Permissions!$B$2:$B$3000,$A60,Permissions!$I$2:$I$3000,"Under construction",Permissions!$P$2:$P$3000,"Yes")</f>
        <v>0</v>
      </c>
      <c r="AI60" s="24" t="n">
        <f aca="false">SUMIFS(Permissions!$G$2:$G$3000,Permissions!$B$2:$B$3000,$A60,Permissions!$I$2:$I$3000,"Permitted – not started",Permissions!$P$2:$P$3000,"Yes")</f>
        <v>0</v>
      </c>
      <c r="AJ60" s="24" t="n">
        <f aca="false">SUMIFS(Permissions!$G$2:$G$3000,Permissions!$B$2:$B$3000,$A60,Permissions!$I$2:$I$3000,"Stalled",Permissions!$P$2:$P$3000,"Yes")</f>
        <v>0</v>
      </c>
      <c r="AK60" s="24" t="n">
        <f aca="false">AG60+AH60+AI60+AJ60</f>
        <v>0</v>
      </c>
      <c r="AL60" s="24" t="n">
        <f aca="false">SUMIFS(Permissions!$G$2:$G$3000,Permissions!$B$2:$B$3000,$A60,Permissions!$I$2:$I$3000,"Expired – not started",Permissions!$P$2:$P$3000,"Yes")</f>
        <v>0</v>
      </c>
      <c r="AM60" s="24" t="n">
        <f aca="false">SUMIFS(Permissions!$G$2:$G$3000,Permissions!$B$2:$B$3000,$A60,Permissions!$I$2:$I$3000,"In planning",Permissions!$P$2:$P$3000,"Yes")</f>
        <v>0</v>
      </c>
      <c r="AN60" s="24" t="n">
        <f aca="false">IF(R60="",0,MAX(R60-AK60,0))</f>
        <v>6</v>
      </c>
      <c r="AO60" s="25" t="n">
        <f aca="false">AK60+AN60</f>
        <v>6</v>
      </c>
      <c r="AP60" s="24" t="n">
        <f aca="false">AO60-AG60</f>
        <v>6</v>
      </c>
      <c r="AQ60" s="26" t="n">
        <f aca="false">SUMIFS(Permissions!$AH$2:$AH$3000,Permissions!$B$2:$B$3000,$A60,Permissions!$P$2:$P$3000,"Yes")</f>
        <v>0</v>
      </c>
      <c r="AR60" s="26" t="n">
        <f aca="false">SUMIFS(Permissions!$AI$2:$AI$3000,Permissions!$B$2:$B$3000,$A60,Permissions!$P$2:$P$3000,"Yes")</f>
        <v>0</v>
      </c>
      <c r="AS60" s="26" t="n">
        <f aca="false">SUMIFS(Permissions!$AJ$2:$AJ$3000,Permissions!$B$2:$B$3000,$A60,Permissions!$P$2:$P$3000,"Yes")</f>
        <v>0</v>
      </c>
      <c r="AT60" s="26" t="n">
        <f aca="false">SUMIFS(Permissions!$AK$2:$AK$3000,Permissions!$B$2:$B$3000,$A60,Permissions!$P$2:$P$3000,"Yes")</f>
        <v>0</v>
      </c>
      <c r="AU60" s="26" t="n">
        <f aca="false">SUMIFS(Permissions!$AL$2:$AL$3000,Permissions!$B$2:$B$3000,$A60,Permissions!$P$2:$P$3000,"Yes")</f>
        <v>0</v>
      </c>
      <c r="AV60" s="26" t="n">
        <f aca="false">SUMIFS(Permissions!$AM$2:$AM$3000,Permissions!$B$2:$B$3000,$A60,Permissions!$P$2:$P$3000,"Yes")</f>
        <v>0</v>
      </c>
      <c r="AW60" s="24" t="n">
        <f aca="false">COUNTIFS(Permissions!$B$2:$B$3000,$A60,Permissions!$P$2:$P$3000,"Yes")</f>
        <v>0</v>
      </c>
      <c r="AX60" s="24" t="n">
        <f aca="false">SUMIFS(Permissions!$L$2:$L$3000,Permissions!$B$2:$B$3000,$A60,Permissions!$P$2:$P$3000,"Yes")</f>
        <v>0</v>
      </c>
      <c r="AY60" s="27" t="str">
        <f aca="false">IF(AND(AK60&gt;0,AG60&gt;=AK60,AN60=0),"Built out",IF(AG60&gt;0,"Partly built",IF(AK60&gt;0,"Consented – not built","No consent")))</f>
        <v>No consent</v>
      </c>
      <c r="AZ60" s="28" t="str">
        <f aca="false">IF(AND(R60&lt;&gt;"",AK60&gt;1.1*R60),"Consented above capacity",IF(AND(LEFT(B60,8)="Planning",AW60=0),"Consent parcel with no permission",IF(COUNTIF($A$2:$A$3000,$A60)&gt;1,"Duplicate parcel_id","")))</f>
        <v/>
      </c>
    </row>
    <row r="61" customFormat="false" ht="15" hidden="false" customHeight="false" outlineLevel="0" collapsed="false">
      <c r="A61" s="15" t="s">
        <v>252</v>
      </c>
      <c r="B61" s="15" t="s">
        <v>10</v>
      </c>
      <c r="C61" s="15" t="s">
        <v>16</v>
      </c>
      <c r="D61" s="15" t="s">
        <v>53</v>
      </c>
      <c r="E61" s="15" t="s">
        <v>19</v>
      </c>
      <c r="F61" s="15" t="n">
        <v>1</v>
      </c>
      <c r="G61" s="15" t="s">
        <v>154</v>
      </c>
      <c r="H61" s="15" t="n">
        <v>99</v>
      </c>
      <c r="I61" s="15" t="s">
        <v>53</v>
      </c>
      <c r="J61" s="15" t="s">
        <v>155</v>
      </c>
      <c r="K61" s="15" t="s">
        <v>53</v>
      </c>
      <c r="L61" s="15" t="s">
        <v>170</v>
      </c>
      <c r="M61" s="15" t="s">
        <v>228</v>
      </c>
      <c r="N61" s="15" t="s">
        <v>166</v>
      </c>
      <c r="O61" s="15" t="s">
        <v>229</v>
      </c>
      <c r="P61" s="15" t="n">
        <v>0.059</v>
      </c>
      <c r="Q61" s="15" t="n">
        <v>0.065</v>
      </c>
      <c r="R61" s="15" t="n">
        <v>6</v>
      </c>
      <c r="S61" s="15" t="s">
        <v>231</v>
      </c>
      <c r="T61" s="15"/>
      <c r="U61" s="15"/>
      <c r="V61" s="15"/>
      <c r="W61" s="15" t="s">
        <v>232</v>
      </c>
      <c r="X61" s="15" t="n">
        <v>101</v>
      </c>
      <c r="Y61" s="15" t="s">
        <v>233</v>
      </c>
      <c r="Z61" s="15"/>
      <c r="AA61" s="15" t="n">
        <v>0</v>
      </c>
      <c r="AB61" s="15" t="n">
        <v>0</v>
      </c>
      <c r="AC61" s="15" t="s">
        <v>161</v>
      </c>
      <c r="AD61" s="15" t="s">
        <v>162</v>
      </c>
      <c r="AE61" s="15" t="s">
        <v>163</v>
      </c>
      <c r="AF61" s="15"/>
      <c r="AG61" s="24" t="n">
        <f aca="false">SUMIFS(Permissions!$G$2:$G$3000,Permissions!$B$2:$B$3000,$A61,Permissions!$I$2:$I$3000,"Complete",Permissions!$P$2:$P$3000,"Yes")</f>
        <v>0</v>
      </c>
      <c r="AH61" s="24" t="n">
        <f aca="false">SUMIFS(Permissions!$G$2:$G$3000,Permissions!$B$2:$B$3000,$A61,Permissions!$I$2:$I$3000,"Under construction",Permissions!$P$2:$P$3000,"Yes")</f>
        <v>0</v>
      </c>
      <c r="AI61" s="24" t="n">
        <f aca="false">SUMIFS(Permissions!$G$2:$G$3000,Permissions!$B$2:$B$3000,$A61,Permissions!$I$2:$I$3000,"Permitted – not started",Permissions!$P$2:$P$3000,"Yes")</f>
        <v>0</v>
      </c>
      <c r="AJ61" s="24" t="n">
        <f aca="false">SUMIFS(Permissions!$G$2:$G$3000,Permissions!$B$2:$B$3000,$A61,Permissions!$I$2:$I$3000,"Stalled",Permissions!$P$2:$P$3000,"Yes")</f>
        <v>0</v>
      </c>
      <c r="AK61" s="24" t="n">
        <f aca="false">AG61+AH61+AI61+AJ61</f>
        <v>0</v>
      </c>
      <c r="AL61" s="24" t="n">
        <f aca="false">SUMIFS(Permissions!$G$2:$G$3000,Permissions!$B$2:$B$3000,$A61,Permissions!$I$2:$I$3000,"Expired – not started",Permissions!$P$2:$P$3000,"Yes")</f>
        <v>0</v>
      </c>
      <c r="AM61" s="24" t="n">
        <f aca="false">SUMIFS(Permissions!$G$2:$G$3000,Permissions!$B$2:$B$3000,$A61,Permissions!$I$2:$I$3000,"In planning",Permissions!$P$2:$P$3000,"Yes")</f>
        <v>0</v>
      </c>
      <c r="AN61" s="24" t="n">
        <f aca="false">IF(R61="",0,MAX(R61-AK61,0))</f>
        <v>6</v>
      </c>
      <c r="AO61" s="25" t="n">
        <f aca="false">AK61+AN61</f>
        <v>6</v>
      </c>
      <c r="AP61" s="24" t="n">
        <f aca="false">AO61-AG61</f>
        <v>6</v>
      </c>
      <c r="AQ61" s="26" t="n">
        <f aca="false">SUMIFS(Permissions!$AH$2:$AH$3000,Permissions!$B$2:$B$3000,$A61,Permissions!$P$2:$P$3000,"Yes")</f>
        <v>0</v>
      </c>
      <c r="AR61" s="26" t="n">
        <f aca="false">SUMIFS(Permissions!$AI$2:$AI$3000,Permissions!$B$2:$B$3000,$A61,Permissions!$P$2:$P$3000,"Yes")</f>
        <v>0</v>
      </c>
      <c r="AS61" s="26" t="n">
        <f aca="false">SUMIFS(Permissions!$AJ$2:$AJ$3000,Permissions!$B$2:$B$3000,$A61,Permissions!$P$2:$P$3000,"Yes")</f>
        <v>0</v>
      </c>
      <c r="AT61" s="26" t="n">
        <f aca="false">SUMIFS(Permissions!$AK$2:$AK$3000,Permissions!$B$2:$B$3000,$A61,Permissions!$P$2:$P$3000,"Yes")</f>
        <v>0</v>
      </c>
      <c r="AU61" s="26" t="n">
        <f aca="false">SUMIFS(Permissions!$AL$2:$AL$3000,Permissions!$B$2:$B$3000,$A61,Permissions!$P$2:$P$3000,"Yes")</f>
        <v>0</v>
      </c>
      <c r="AV61" s="26" t="n">
        <f aca="false">SUMIFS(Permissions!$AM$2:$AM$3000,Permissions!$B$2:$B$3000,$A61,Permissions!$P$2:$P$3000,"Yes")</f>
        <v>0</v>
      </c>
      <c r="AW61" s="24" t="n">
        <f aca="false">COUNTIFS(Permissions!$B$2:$B$3000,$A61,Permissions!$P$2:$P$3000,"Yes")</f>
        <v>0</v>
      </c>
      <c r="AX61" s="24" t="n">
        <f aca="false">SUMIFS(Permissions!$L$2:$L$3000,Permissions!$B$2:$B$3000,$A61,Permissions!$P$2:$P$3000,"Yes")</f>
        <v>0</v>
      </c>
      <c r="AY61" s="27" t="str">
        <f aca="false">IF(AND(AK61&gt;0,AG61&gt;=AK61,AN61=0),"Built out",IF(AG61&gt;0,"Partly built",IF(AK61&gt;0,"Consented – not built","No consent")))</f>
        <v>No consent</v>
      </c>
      <c r="AZ61" s="28" t="str">
        <f aca="false">IF(AND(R61&lt;&gt;"",AK61&gt;1.1*R61),"Consented above capacity",IF(AND(LEFT(B61,8)="Planning",AW61=0),"Consent parcel with no permission",IF(COUNTIF($A$2:$A$3000,$A61)&gt;1,"Duplicate parcel_id","")))</f>
        <v/>
      </c>
    </row>
    <row r="62" customFormat="false" ht="15" hidden="false" customHeight="false" outlineLevel="0" collapsed="false">
      <c r="A62" s="15" t="s">
        <v>253</v>
      </c>
      <c r="B62" s="15" t="s">
        <v>10</v>
      </c>
      <c r="C62" s="15" t="s">
        <v>16</v>
      </c>
      <c r="D62" s="15" t="s">
        <v>54</v>
      </c>
      <c r="E62" s="15" t="s">
        <v>19</v>
      </c>
      <c r="F62" s="15" t="n">
        <v>1</v>
      </c>
      <c r="G62" s="15" t="s">
        <v>154</v>
      </c>
      <c r="H62" s="15" t="n">
        <v>26</v>
      </c>
      <c r="I62" s="15" t="s">
        <v>54</v>
      </c>
      <c r="J62" s="15" t="s">
        <v>176</v>
      </c>
      <c r="K62" s="15" t="s">
        <v>254</v>
      </c>
      <c r="L62" s="15" t="s">
        <v>170</v>
      </c>
      <c r="M62" s="15" t="s">
        <v>157</v>
      </c>
      <c r="N62" s="15" t="s">
        <v>166</v>
      </c>
      <c r="O62" s="15" t="s">
        <v>179</v>
      </c>
      <c r="P62" s="15" t="n">
        <v>2.196</v>
      </c>
      <c r="Q62" s="15" t="n">
        <v>2.196</v>
      </c>
      <c r="R62" s="15" t="n">
        <v>77</v>
      </c>
      <c r="S62" s="15" t="s">
        <v>160</v>
      </c>
      <c r="T62" s="15"/>
      <c r="U62" s="15"/>
      <c r="V62" s="15"/>
      <c r="W62" s="15"/>
      <c r="X62" s="15"/>
      <c r="Y62" s="15"/>
      <c r="Z62" s="15"/>
      <c r="AA62" s="15" t="n">
        <v>0</v>
      </c>
      <c r="AB62" s="15" t="n">
        <v>0</v>
      </c>
      <c r="AC62" s="15" t="s">
        <v>161</v>
      </c>
      <c r="AD62" s="15" t="s">
        <v>162</v>
      </c>
      <c r="AE62" s="15" t="s">
        <v>163</v>
      </c>
      <c r="AF62" s="15"/>
      <c r="AG62" s="24" t="n">
        <f aca="false">SUMIFS(Permissions!$G$2:$G$3000,Permissions!$B$2:$B$3000,$A62,Permissions!$I$2:$I$3000,"Complete",Permissions!$P$2:$P$3000,"Yes")</f>
        <v>0</v>
      </c>
      <c r="AH62" s="24" t="n">
        <f aca="false">SUMIFS(Permissions!$G$2:$G$3000,Permissions!$B$2:$B$3000,$A62,Permissions!$I$2:$I$3000,"Under construction",Permissions!$P$2:$P$3000,"Yes")</f>
        <v>0</v>
      </c>
      <c r="AI62" s="24" t="n">
        <f aca="false">SUMIFS(Permissions!$G$2:$G$3000,Permissions!$B$2:$B$3000,$A62,Permissions!$I$2:$I$3000,"Permitted – not started",Permissions!$P$2:$P$3000,"Yes")</f>
        <v>0</v>
      </c>
      <c r="AJ62" s="24" t="n">
        <f aca="false">SUMIFS(Permissions!$G$2:$G$3000,Permissions!$B$2:$B$3000,$A62,Permissions!$I$2:$I$3000,"Stalled",Permissions!$P$2:$P$3000,"Yes")</f>
        <v>0</v>
      </c>
      <c r="AK62" s="24" t="n">
        <f aca="false">AG62+AH62+AI62+AJ62</f>
        <v>0</v>
      </c>
      <c r="AL62" s="24" t="n">
        <f aca="false">SUMIFS(Permissions!$G$2:$G$3000,Permissions!$B$2:$B$3000,$A62,Permissions!$I$2:$I$3000,"Expired – not started",Permissions!$P$2:$P$3000,"Yes")</f>
        <v>0</v>
      </c>
      <c r="AM62" s="24" t="n">
        <f aca="false">SUMIFS(Permissions!$G$2:$G$3000,Permissions!$B$2:$B$3000,$A62,Permissions!$I$2:$I$3000,"In planning",Permissions!$P$2:$P$3000,"Yes")</f>
        <v>0</v>
      </c>
      <c r="AN62" s="24" t="n">
        <f aca="false">IF(R62="",0,MAX(R62-AK62,0))</f>
        <v>77</v>
      </c>
      <c r="AO62" s="25" t="n">
        <f aca="false">AK62+AN62</f>
        <v>77</v>
      </c>
      <c r="AP62" s="24" t="n">
        <f aca="false">AO62-AG62</f>
        <v>77</v>
      </c>
      <c r="AQ62" s="26" t="n">
        <f aca="false">SUMIFS(Permissions!$AH$2:$AH$3000,Permissions!$B$2:$B$3000,$A62,Permissions!$P$2:$P$3000,"Yes")</f>
        <v>0</v>
      </c>
      <c r="AR62" s="26" t="n">
        <f aca="false">SUMIFS(Permissions!$AI$2:$AI$3000,Permissions!$B$2:$B$3000,$A62,Permissions!$P$2:$P$3000,"Yes")</f>
        <v>0</v>
      </c>
      <c r="AS62" s="26" t="n">
        <f aca="false">SUMIFS(Permissions!$AJ$2:$AJ$3000,Permissions!$B$2:$B$3000,$A62,Permissions!$P$2:$P$3000,"Yes")</f>
        <v>0</v>
      </c>
      <c r="AT62" s="26" t="n">
        <f aca="false">SUMIFS(Permissions!$AK$2:$AK$3000,Permissions!$B$2:$B$3000,$A62,Permissions!$P$2:$P$3000,"Yes")</f>
        <v>0</v>
      </c>
      <c r="AU62" s="26" t="n">
        <f aca="false">SUMIFS(Permissions!$AL$2:$AL$3000,Permissions!$B$2:$B$3000,$A62,Permissions!$P$2:$P$3000,"Yes")</f>
        <v>0</v>
      </c>
      <c r="AV62" s="26" t="n">
        <f aca="false">SUMIFS(Permissions!$AM$2:$AM$3000,Permissions!$B$2:$B$3000,$A62,Permissions!$P$2:$P$3000,"Yes")</f>
        <v>0</v>
      </c>
      <c r="AW62" s="24" t="n">
        <f aca="false">COUNTIFS(Permissions!$B$2:$B$3000,$A62,Permissions!$P$2:$P$3000,"Yes")</f>
        <v>0</v>
      </c>
      <c r="AX62" s="24" t="n">
        <f aca="false">SUMIFS(Permissions!$L$2:$L$3000,Permissions!$B$2:$B$3000,$A62,Permissions!$P$2:$P$3000,"Yes")</f>
        <v>0</v>
      </c>
      <c r="AY62" s="27" t="str">
        <f aca="false">IF(AND(AK62&gt;0,AG62&gt;=AK62,AN62=0),"Built out",IF(AG62&gt;0,"Partly built",IF(AK62&gt;0,"Consented – not built","No consent")))</f>
        <v>No consent</v>
      </c>
      <c r="AZ62" s="28" t="str">
        <f aca="false">IF(AND(R62&lt;&gt;"",AK62&gt;1.1*R62),"Consented above capacity",IF(AND(LEFT(B62,8)="Planning",AW62=0),"Consent parcel with no permission",IF(COUNTIF($A$2:$A$3000,$A62)&gt;1,"Duplicate parcel_id","")))</f>
        <v/>
      </c>
    </row>
    <row r="63" customFormat="false" ht="15" hidden="false" customHeight="false" outlineLevel="0" collapsed="false">
      <c r="A63" s="15" t="s">
        <v>255</v>
      </c>
      <c r="B63" s="15" t="s">
        <v>10</v>
      </c>
      <c r="C63" s="15" t="s">
        <v>16</v>
      </c>
      <c r="D63" s="15" t="s">
        <v>54</v>
      </c>
      <c r="E63" s="15" t="s">
        <v>19</v>
      </c>
      <c r="F63" s="15" t="n">
        <v>1</v>
      </c>
      <c r="G63" s="15" t="s">
        <v>154</v>
      </c>
      <c r="H63" s="15" t="n">
        <v>27</v>
      </c>
      <c r="I63" s="15" t="s">
        <v>54</v>
      </c>
      <c r="J63" s="15" t="s">
        <v>176</v>
      </c>
      <c r="K63" s="15" t="s">
        <v>254</v>
      </c>
      <c r="L63" s="15" t="s">
        <v>170</v>
      </c>
      <c r="M63" s="15" t="s">
        <v>157</v>
      </c>
      <c r="N63" s="15" t="s">
        <v>166</v>
      </c>
      <c r="O63" s="15" t="s">
        <v>256</v>
      </c>
      <c r="P63" s="15" t="n">
        <v>2.326</v>
      </c>
      <c r="Q63" s="15" t="n">
        <v>2.326</v>
      </c>
      <c r="R63" s="15" t="n">
        <v>86</v>
      </c>
      <c r="S63" s="15" t="s">
        <v>160</v>
      </c>
      <c r="T63" s="15"/>
      <c r="U63" s="15"/>
      <c r="V63" s="15"/>
      <c r="W63" s="15"/>
      <c r="X63" s="15"/>
      <c r="Y63" s="15"/>
      <c r="Z63" s="15"/>
      <c r="AA63" s="15" t="n">
        <v>0</v>
      </c>
      <c r="AB63" s="15" t="n">
        <v>0</v>
      </c>
      <c r="AC63" s="15" t="s">
        <v>161</v>
      </c>
      <c r="AD63" s="15" t="s">
        <v>162</v>
      </c>
      <c r="AE63" s="15" t="s">
        <v>163</v>
      </c>
      <c r="AF63" s="15"/>
      <c r="AG63" s="24" t="n">
        <f aca="false">SUMIFS(Permissions!$G$2:$G$3000,Permissions!$B$2:$B$3000,$A63,Permissions!$I$2:$I$3000,"Complete",Permissions!$P$2:$P$3000,"Yes")</f>
        <v>0</v>
      </c>
      <c r="AH63" s="24" t="n">
        <f aca="false">SUMIFS(Permissions!$G$2:$G$3000,Permissions!$B$2:$B$3000,$A63,Permissions!$I$2:$I$3000,"Under construction",Permissions!$P$2:$P$3000,"Yes")</f>
        <v>0</v>
      </c>
      <c r="AI63" s="24" t="n">
        <f aca="false">SUMIFS(Permissions!$G$2:$G$3000,Permissions!$B$2:$B$3000,$A63,Permissions!$I$2:$I$3000,"Permitted – not started",Permissions!$P$2:$P$3000,"Yes")</f>
        <v>0</v>
      </c>
      <c r="AJ63" s="24" t="n">
        <f aca="false">SUMIFS(Permissions!$G$2:$G$3000,Permissions!$B$2:$B$3000,$A63,Permissions!$I$2:$I$3000,"Stalled",Permissions!$P$2:$P$3000,"Yes")</f>
        <v>0</v>
      </c>
      <c r="AK63" s="24" t="n">
        <f aca="false">AG63+AH63+AI63+AJ63</f>
        <v>0</v>
      </c>
      <c r="AL63" s="24" t="n">
        <f aca="false">SUMIFS(Permissions!$G$2:$G$3000,Permissions!$B$2:$B$3000,$A63,Permissions!$I$2:$I$3000,"Expired – not started",Permissions!$P$2:$P$3000,"Yes")</f>
        <v>0</v>
      </c>
      <c r="AM63" s="24" t="n">
        <f aca="false">SUMIFS(Permissions!$G$2:$G$3000,Permissions!$B$2:$B$3000,$A63,Permissions!$I$2:$I$3000,"In planning",Permissions!$P$2:$P$3000,"Yes")</f>
        <v>0</v>
      </c>
      <c r="AN63" s="24" t="n">
        <f aca="false">IF(R63="",0,MAX(R63-AK63,0))</f>
        <v>86</v>
      </c>
      <c r="AO63" s="25" t="n">
        <f aca="false">AK63+AN63</f>
        <v>86</v>
      </c>
      <c r="AP63" s="24" t="n">
        <f aca="false">AO63-AG63</f>
        <v>86</v>
      </c>
      <c r="AQ63" s="26" t="n">
        <f aca="false">SUMIFS(Permissions!$AH$2:$AH$3000,Permissions!$B$2:$B$3000,$A63,Permissions!$P$2:$P$3000,"Yes")</f>
        <v>0</v>
      </c>
      <c r="AR63" s="26" t="n">
        <f aca="false">SUMIFS(Permissions!$AI$2:$AI$3000,Permissions!$B$2:$B$3000,$A63,Permissions!$P$2:$P$3000,"Yes")</f>
        <v>0</v>
      </c>
      <c r="AS63" s="26" t="n">
        <f aca="false">SUMIFS(Permissions!$AJ$2:$AJ$3000,Permissions!$B$2:$B$3000,$A63,Permissions!$P$2:$P$3000,"Yes")</f>
        <v>0</v>
      </c>
      <c r="AT63" s="26" t="n">
        <f aca="false">SUMIFS(Permissions!$AK$2:$AK$3000,Permissions!$B$2:$B$3000,$A63,Permissions!$P$2:$P$3000,"Yes")</f>
        <v>0</v>
      </c>
      <c r="AU63" s="26" t="n">
        <f aca="false">SUMIFS(Permissions!$AL$2:$AL$3000,Permissions!$B$2:$B$3000,$A63,Permissions!$P$2:$P$3000,"Yes")</f>
        <v>0</v>
      </c>
      <c r="AV63" s="26" t="n">
        <f aca="false">SUMIFS(Permissions!$AM$2:$AM$3000,Permissions!$B$2:$B$3000,$A63,Permissions!$P$2:$P$3000,"Yes")</f>
        <v>0</v>
      </c>
      <c r="AW63" s="24" t="n">
        <f aca="false">COUNTIFS(Permissions!$B$2:$B$3000,$A63,Permissions!$P$2:$P$3000,"Yes")</f>
        <v>0</v>
      </c>
      <c r="AX63" s="24" t="n">
        <f aca="false">SUMIFS(Permissions!$L$2:$L$3000,Permissions!$B$2:$B$3000,$A63,Permissions!$P$2:$P$3000,"Yes")</f>
        <v>0</v>
      </c>
      <c r="AY63" s="27" t="str">
        <f aca="false">IF(AND(AK63&gt;0,AG63&gt;=AK63,AN63=0),"Built out",IF(AG63&gt;0,"Partly built",IF(AK63&gt;0,"Consented – not built","No consent")))</f>
        <v>No consent</v>
      </c>
      <c r="AZ63" s="28" t="str">
        <f aca="false">IF(AND(R63&lt;&gt;"",AK63&gt;1.1*R63),"Consented above capacity",IF(AND(LEFT(B63,8)="Planning",AW63=0),"Consent parcel with no permission",IF(COUNTIF($A$2:$A$3000,$A63)&gt;1,"Duplicate parcel_id","")))</f>
        <v/>
      </c>
    </row>
    <row r="64" customFormat="false" ht="15" hidden="false" customHeight="false" outlineLevel="0" collapsed="false">
      <c r="A64" s="15" t="s">
        <v>257</v>
      </c>
      <c r="B64" s="15" t="s">
        <v>10</v>
      </c>
      <c r="C64" s="15" t="s">
        <v>16</v>
      </c>
      <c r="D64" s="15" t="s">
        <v>54</v>
      </c>
      <c r="E64" s="15" t="s">
        <v>19</v>
      </c>
      <c r="F64" s="15" t="n">
        <v>1</v>
      </c>
      <c r="G64" s="15" t="s">
        <v>154</v>
      </c>
      <c r="H64" s="15" t="n">
        <v>28</v>
      </c>
      <c r="I64" s="15" t="s">
        <v>54</v>
      </c>
      <c r="J64" s="15" t="s">
        <v>176</v>
      </c>
      <c r="K64" s="15" t="s">
        <v>254</v>
      </c>
      <c r="L64" s="15" t="s">
        <v>170</v>
      </c>
      <c r="M64" s="15" t="s">
        <v>157</v>
      </c>
      <c r="N64" s="15" t="s">
        <v>166</v>
      </c>
      <c r="O64" s="15" t="s">
        <v>258</v>
      </c>
      <c r="P64" s="15" t="n">
        <v>0.586</v>
      </c>
      <c r="Q64" s="15" t="n">
        <v>0.586</v>
      </c>
      <c r="R64" s="15" t="n">
        <v>25</v>
      </c>
      <c r="S64" s="15" t="s">
        <v>160</v>
      </c>
      <c r="T64" s="15"/>
      <c r="U64" s="15"/>
      <c r="V64" s="15"/>
      <c r="W64" s="15"/>
      <c r="X64" s="15"/>
      <c r="Y64" s="15"/>
      <c r="Z64" s="15"/>
      <c r="AA64" s="15" t="n">
        <v>0</v>
      </c>
      <c r="AB64" s="15" t="n">
        <v>0</v>
      </c>
      <c r="AC64" s="15" t="s">
        <v>161</v>
      </c>
      <c r="AD64" s="15" t="s">
        <v>162</v>
      </c>
      <c r="AE64" s="15" t="s">
        <v>163</v>
      </c>
      <c r="AF64" s="15"/>
      <c r="AG64" s="24" t="n">
        <f aca="false">SUMIFS(Permissions!$G$2:$G$3000,Permissions!$B$2:$B$3000,$A64,Permissions!$I$2:$I$3000,"Complete",Permissions!$P$2:$P$3000,"Yes")</f>
        <v>0</v>
      </c>
      <c r="AH64" s="24" t="n">
        <f aca="false">SUMIFS(Permissions!$G$2:$G$3000,Permissions!$B$2:$B$3000,$A64,Permissions!$I$2:$I$3000,"Under construction",Permissions!$P$2:$P$3000,"Yes")</f>
        <v>0</v>
      </c>
      <c r="AI64" s="24" t="n">
        <f aca="false">SUMIFS(Permissions!$G$2:$G$3000,Permissions!$B$2:$B$3000,$A64,Permissions!$I$2:$I$3000,"Permitted – not started",Permissions!$P$2:$P$3000,"Yes")</f>
        <v>0</v>
      </c>
      <c r="AJ64" s="24" t="n">
        <f aca="false">SUMIFS(Permissions!$G$2:$G$3000,Permissions!$B$2:$B$3000,$A64,Permissions!$I$2:$I$3000,"Stalled",Permissions!$P$2:$P$3000,"Yes")</f>
        <v>0</v>
      </c>
      <c r="AK64" s="24" t="n">
        <f aca="false">AG64+AH64+AI64+AJ64</f>
        <v>0</v>
      </c>
      <c r="AL64" s="24" t="n">
        <f aca="false">SUMIFS(Permissions!$G$2:$G$3000,Permissions!$B$2:$B$3000,$A64,Permissions!$I$2:$I$3000,"Expired – not started",Permissions!$P$2:$P$3000,"Yes")</f>
        <v>0</v>
      </c>
      <c r="AM64" s="24" t="n">
        <f aca="false">SUMIFS(Permissions!$G$2:$G$3000,Permissions!$B$2:$B$3000,$A64,Permissions!$I$2:$I$3000,"In planning",Permissions!$P$2:$P$3000,"Yes")</f>
        <v>0</v>
      </c>
      <c r="AN64" s="24" t="n">
        <f aca="false">IF(R64="",0,MAX(R64-AK64,0))</f>
        <v>25</v>
      </c>
      <c r="AO64" s="25" t="n">
        <f aca="false">AK64+AN64</f>
        <v>25</v>
      </c>
      <c r="AP64" s="24" t="n">
        <f aca="false">AO64-AG64</f>
        <v>25</v>
      </c>
      <c r="AQ64" s="26" t="n">
        <f aca="false">SUMIFS(Permissions!$AH$2:$AH$3000,Permissions!$B$2:$B$3000,$A64,Permissions!$P$2:$P$3000,"Yes")</f>
        <v>0</v>
      </c>
      <c r="AR64" s="26" t="n">
        <f aca="false">SUMIFS(Permissions!$AI$2:$AI$3000,Permissions!$B$2:$B$3000,$A64,Permissions!$P$2:$P$3000,"Yes")</f>
        <v>0</v>
      </c>
      <c r="AS64" s="26" t="n">
        <f aca="false">SUMIFS(Permissions!$AJ$2:$AJ$3000,Permissions!$B$2:$B$3000,$A64,Permissions!$P$2:$P$3000,"Yes")</f>
        <v>0</v>
      </c>
      <c r="AT64" s="26" t="n">
        <f aca="false">SUMIFS(Permissions!$AK$2:$AK$3000,Permissions!$B$2:$B$3000,$A64,Permissions!$P$2:$P$3000,"Yes")</f>
        <v>0</v>
      </c>
      <c r="AU64" s="26" t="n">
        <f aca="false">SUMIFS(Permissions!$AL$2:$AL$3000,Permissions!$B$2:$B$3000,$A64,Permissions!$P$2:$P$3000,"Yes")</f>
        <v>0</v>
      </c>
      <c r="AV64" s="26" t="n">
        <f aca="false">SUMIFS(Permissions!$AM$2:$AM$3000,Permissions!$B$2:$B$3000,$A64,Permissions!$P$2:$P$3000,"Yes")</f>
        <v>0</v>
      </c>
      <c r="AW64" s="24" t="n">
        <f aca="false">COUNTIFS(Permissions!$B$2:$B$3000,$A64,Permissions!$P$2:$P$3000,"Yes")</f>
        <v>0</v>
      </c>
      <c r="AX64" s="24" t="n">
        <f aca="false">SUMIFS(Permissions!$L$2:$L$3000,Permissions!$B$2:$B$3000,$A64,Permissions!$P$2:$P$3000,"Yes")</f>
        <v>0</v>
      </c>
      <c r="AY64" s="27" t="str">
        <f aca="false">IF(AND(AK64&gt;0,AG64&gt;=AK64,AN64=0),"Built out",IF(AG64&gt;0,"Partly built",IF(AK64&gt;0,"Consented – not built","No consent")))</f>
        <v>No consent</v>
      </c>
      <c r="AZ64" s="28" t="str">
        <f aca="false">IF(AND(R64&lt;&gt;"",AK64&gt;1.1*R64),"Consented above capacity",IF(AND(LEFT(B64,8)="Planning",AW64=0),"Consent parcel with no permission",IF(COUNTIF($A$2:$A$3000,$A64)&gt;1,"Duplicate parcel_id","")))</f>
        <v/>
      </c>
    </row>
    <row r="65" customFormat="false" ht="15" hidden="false" customHeight="false" outlineLevel="0" collapsed="false">
      <c r="A65" s="15" t="s">
        <v>259</v>
      </c>
      <c r="B65" s="15" t="s">
        <v>10</v>
      </c>
      <c r="C65" s="15" t="s">
        <v>16</v>
      </c>
      <c r="D65" s="15" t="s">
        <v>54</v>
      </c>
      <c r="E65" s="15" t="s">
        <v>19</v>
      </c>
      <c r="F65" s="15" t="n">
        <v>1</v>
      </c>
      <c r="G65" s="15" t="s">
        <v>154</v>
      </c>
      <c r="H65" s="15" t="n">
        <v>29</v>
      </c>
      <c r="I65" s="15" t="s">
        <v>54</v>
      </c>
      <c r="J65" s="15" t="s">
        <v>176</v>
      </c>
      <c r="K65" s="15" t="s">
        <v>254</v>
      </c>
      <c r="L65" s="15" t="s">
        <v>183</v>
      </c>
      <c r="M65" s="15" t="s">
        <v>157</v>
      </c>
      <c r="N65" s="15" t="s">
        <v>166</v>
      </c>
      <c r="O65" s="15" t="s">
        <v>159</v>
      </c>
      <c r="P65" s="15" t="n">
        <v>1.889</v>
      </c>
      <c r="Q65" s="15" t="n">
        <v>1.888</v>
      </c>
      <c r="R65" s="15" t="n">
        <v>85</v>
      </c>
      <c r="S65" s="15" t="s">
        <v>160</v>
      </c>
      <c r="T65" s="15"/>
      <c r="U65" s="15"/>
      <c r="V65" s="15"/>
      <c r="W65" s="15"/>
      <c r="X65" s="15"/>
      <c r="Y65" s="15"/>
      <c r="Z65" s="15"/>
      <c r="AA65" s="15" t="n">
        <v>0</v>
      </c>
      <c r="AB65" s="15" t="n">
        <v>0</v>
      </c>
      <c r="AC65" s="15" t="s">
        <v>161</v>
      </c>
      <c r="AD65" s="15" t="s">
        <v>162</v>
      </c>
      <c r="AE65" s="15" t="s">
        <v>163</v>
      </c>
      <c r="AF65" s="15"/>
      <c r="AG65" s="24" t="n">
        <f aca="false">SUMIFS(Permissions!$G$2:$G$3000,Permissions!$B$2:$B$3000,$A65,Permissions!$I$2:$I$3000,"Complete",Permissions!$P$2:$P$3000,"Yes")</f>
        <v>0</v>
      </c>
      <c r="AH65" s="24" t="n">
        <f aca="false">SUMIFS(Permissions!$G$2:$G$3000,Permissions!$B$2:$B$3000,$A65,Permissions!$I$2:$I$3000,"Under construction",Permissions!$P$2:$P$3000,"Yes")</f>
        <v>0</v>
      </c>
      <c r="AI65" s="24" t="n">
        <f aca="false">SUMIFS(Permissions!$G$2:$G$3000,Permissions!$B$2:$B$3000,$A65,Permissions!$I$2:$I$3000,"Permitted – not started",Permissions!$P$2:$P$3000,"Yes")</f>
        <v>0</v>
      </c>
      <c r="AJ65" s="24" t="n">
        <f aca="false">SUMIFS(Permissions!$G$2:$G$3000,Permissions!$B$2:$B$3000,$A65,Permissions!$I$2:$I$3000,"Stalled",Permissions!$P$2:$P$3000,"Yes")</f>
        <v>0</v>
      </c>
      <c r="AK65" s="24" t="n">
        <f aca="false">AG65+AH65+AI65+AJ65</f>
        <v>0</v>
      </c>
      <c r="AL65" s="24" t="n">
        <f aca="false">SUMIFS(Permissions!$G$2:$G$3000,Permissions!$B$2:$B$3000,$A65,Permissions!$I$2:$I$3000,"Expired – not started",Permissions!$P$2:$P$3000,"Yes")</f>
        <v>0</v>
      </c>
      <c r="AM65" s="24" t="n">
        <f aca="false">SUMIFS(Permissions!$G$2:$G$3000,Permissions!$B$2:$B$3000,$A65,Permissions!$I$2:$I$3000,"In planning",Permissions!$P$2:$P$3000,"Yes")</f>
        <v>0</v>
      </c>
      <c r="AN65" s="24" t="n">
        <f aca="false">IF(R65="",0,MAX(R65-AK65,0))</f>
        <v>85</v>
      </c>
      <c r="AO65" s="25" t="n">
        <f aca="false">AK65+AN65</f>
        <v>85</v>
      </c>
      <c r="AP65" s="24" t="n">
        <f aca="false">AO65-AG65</f>
        <v>85</v>
      </c>
      <c r="AQ65" s="26" t="n">
        <f aca="false">SUMIFS(Permissions!$AH$2:$AH$3000,Permissions!$B$2:$B$3000,$A65,Permissions!$P$2:$P$3000,"Yes")</f>
        <v>0</v>
      </c>
      <c r="AR65" s="26" t="n">
        <f aca="false">SUMIFS(Permissions!$AI$2:$AI$3000,Permissions!$B$2:$B$3000,$A65,Permissions!$P$2:$P$3000,"Yes")</f>
        <v>0</v>
      </c>
      <c r="AS65" s="26" t="n">
        <f aca="false">SUMIFS(Permissions!$AJ$2:$AJ$3000,Permissions!$B$2:$B$3000,$A65,Permissions!$P$2:$P$3000,"Yes")</f>
        <v>0</v>
      </c>
      <c r="AT65" s="26" t="n">
        <f aca="false">SUMIFS(Permissions!$AK$2:$AK$3000,Permissions!$B$2:$B$3000,$A65,Permissions!$P$2:$P$3000,"Yes")</f>
        <v>0</v>
      </c>
      <c r="AU65" s="26" t="n">
        <f aca="false">SUMIFS(Permissions!$AL$2:$AL$3000,Permissions!$B$2:$B$3000,$A65,Permissions!$P$2:$P$3000,"Yes")</f>
        <v>0</v>
      </c>
      <c r="AV65" s="26" t="n">
        <f aca="false">SUMIFS(Permissions!$AM$2:$AM$3000,Permissions!$B$2:$B$3000,$A65,Permissions!$P$2:$P$3000,"Yes")</f>
        <v>0</v>
      </c>
      <c r="AW65" s="24" t="n">
        <f aca="false">COUNTIFS(Permissions!$B$2:$B$3000,$A65,Permissions!$P$2:$P$3000,"Yes")</f>
        <v>0</v>
      </c>
      <c r="AX65" s="24" t="n">
        <f aca="false">SUMIFS(Permissions!$L$2:$L$3000,Permissions!$B$2:$B$3000,$A65,Permissions!$P$2:$P$3000,"Yes")</f>
        <v>0</v>
      </c>
      <c r="AY65" s="27" t="str">
        <f aca="false">IF(AND(AK65&gt;0,AG65&gt;=AK65,AN65=0),"Built out",IF(AG65&gt;0,"Partly built",IF(AK65&gt;0,"Consented – not built","No consent")))</f>
        <v>No consent</v>
      </c>
      <c r="AZ65" s="28" t="str">
        <f aca="false">IF(AND(R65&lt;&gt;"",AK65&gt;1.1*R65),"Consented above capacity",IF(AND(LEFT(B65,8)="Planning",AW65=0),"Consent parcel with no permission",IF(COUNTIF($A$2:$A$3000,$A65)&gt;1,"Duplicate parcel_id","")))</f>
        <v/>
      </c>
    </row>
    <row r="66" customFormat="false" ht="15" hidden="false" customHeight="false" outlineLevel="0" collapsed="false">
      <c r="A66" s="15" t="s">
        <v>260</v>
      </c>
      <c r="B66" s="15" t="s">
        <v>10</v>
      </c>
      <c r="C66" s="15" t="s">
        <v>16</v>
      </c>
      <c r="D66" s="15" t="s">
        <v>54</v>
      </c>
      <c r="E66" s="15" t="s">
        <v>19</v>
      </c>
      <c r="F66" s="15" t="n">
        <v>1</v>
      </c>
      <c r="G66" s="15" t="s">
        <v>154</v>
      </c>
      <c r="H66" s="15" t="n">
        <v>30</v>
      </c>
      <c r="I66" s="15" t="s">
        <v>54</v>
      </c>
      <c r="J66" s="15" t="s">
        <v>176</v>
      </c>
      <c r="K66" s="15" t="s">
        <v>254</v>
      </c>
      <c r="L66" s="15" t="s">
        <v>183</v>
      </c>
      <c r="M66" s="15" t="s">
        <v>157</v>
      </c>
      <c r="N66" s="15" t="s">
        <v>166</v>
      </c>
      <c r="O66" s="15" t="s">
        <v>159</v>
      </c>
      <c r="P66" s="15" t="n">
        <v>0.476</v>
      </c>
      <c r="Q66" s="15" t="n">
        <v>0.475</v>
      </c>
      <c r="R66" s="15" t="n">
        <v>21</v>
      </c>
      <c r="S66" s="15" t="s">
        <v>160</v>
      </c>
      <c r="T66" s="15"/>
      <c r="U66" s="15"/>
      <c r="V66" s="15"/>
      <c r="W66" s="15"/>
      <c r="X66" s="15"/>
      <c r="Y66" s="15"/>
      <c r="Z66" s="15"/>
      <c r="AA66" s="15" t="n">
        <v>0</v>
      </c>
      <c r="AB66" s="15" t="n">
        <v>0</v>
      </c>
      <c r="AC66" s="15" t="s">
        <v>161</v>
      </c>
      <c r="AD66" s="15" t="s">
        <v>162</v>
      </c>
      <c r="AE66" s="15" t="s">
        <v>163</v>
      </c>
      <c r="AF66" s="15"/>
      <c r="AG66" s="24" t="n">
        <f aca="false">SUMIFS(Permissions!$G$2:$G$3000,Permissions!$B$2:$B$3000,$A66,Permissions!$I$2:$I$3000,"Complete",Permissions!$P$2:$P$3000,"Yes")</f>
        <v>0</v>
      </c>
      <c r="AH66" s="24" t="n">
        <f aca="false">SUMIFS(Permissions!$G$2:$G$3000,Permissions!$B$2:$B$3000,$A66,Permissions!$I$2:$I$3000,"Under construction",Permissions!$P$2:$P$3000,"Yes")</f>
        <v>0</v>
      </c>
      <c r="AI66" s="24" t="n">
        <f aca="false">SUMIFS(Permissions!$G$2:$G$3000,Permissions!$B$2:$B$3000,$A66,Permissions!$I$2:$I$3000,"Permitted – not started",Permissions!$P$2:$P$3000,"Yes")</f>
        <v>25</v>
      </c>
      <c r="AJ66" s="24" t="n">
        <f aca="false">SUMIFS(Permissions!$G$2:$G$3000,Permissions!$B$2:$B$3000,$A66,Permissions!$I$2:$I$3000,"Stalled",Permissions!$P$2:$P$3000,"Yes")</f>
        <v>0</v>
      </c>
      <c r="AK66" s="24" t="n">
        <f aca="false">AG66+AH66+AI66+AJ66</f>
        <v>25</v>
      </c>
      <c r="AL66" s="24" t="n">
        <f aca="false">SUMIFS(Permissions!$G$2:$G$3000,Permissions!$B$2:$B$3000,$A66,Permissions!$I$2:$I$3000,"Expired – not started",Permissions!$P$2:$P$3000,"Yes")</f>
        <v>0</v>
      </c>
      <c r="AM66" s="24" t="n">
        <f aca="false">SUMIFS(Permissions!$G$2:$G$3000,Permissions!$B$2:$B$3000,$A66,Permissions!$I$2:$I$3000,"In planning",Permissions!$P$2:$P$3000,"Yes")</f>
        <v>0</v>
      </c>
      <c r="AN66" s="24" t="n">
        <f aca="false">IF(R66="",0,MAX(R66-AK66,0))</f>
        <v>0</v>
      </c>
      <c r="AO66" s="25" t="n">
        <f aca="false">AK66+AN66</f>
        <v>25</v>
      </c>
      <c r="AP66" s="24" t="n">
        <f aca="false">AO66-AG66</f>
        <v>25</v>
      </c>
      <c r="AQ66" s="26" t="n">
        <f aca="false">SUMIFS(Permissions!$AH$2:$AH$3000,Permissions!$B$2:$B$3000,$A66,Permissions!$P$2:$P$3000,"Yes")</f>
        <v>0</v>
      </c>
      <c r="AR66" s="26" t="n">
        <f aca="false">SUMIFS(Permissions!$AI$2:$AI$3000,Permissions!$B$2:$B$3000,$A66,Permissions!$P$2:$P$3000,"Yes")</f>
        <v>0</v>
      </c>
      <c r="AS66" s="26" t="n">
        <f aca="false">SUMIFS(Permissions!$AJ$2:$AJ$3000,Permissions!$B$2:$B$3000,$A66,Permissions!$P$2:$P$3000,"Yes")</f>
        <v>8.5</v>
      </c>
      <c r="AT66" s="26" t="n">
        <f aca="false">SUMIFS(Permissions!$AK$2:$AK$3000,Permissions!$B$2:$B$3000,$A66,Permissions!$P$2:$P$3000,"Yes")</f>
        <v>16.5</v>
      </c>
      <c r="AU66" s="26" t="n">
        <f aca="false">SUMIFS(Permissions!$AL$2:$AL$3000,Permissions!$B$2:$B$3000,$A66,Permissions!$P$2:$P$3000,"Yes")</f>
        <v>0</v>
      </c>
      <c r="AV66" s="26" t="n">
        <f aca="false">SUMIFS(Permissions!$AM$2:$AM$3000,Permissions!$B$2:$B$3000,$A66,Permissions!$P$2:$P$3000,"Yes")</f>
        <v>0</v>
      </c>
      <c r="AW66" s="24" t="n">
        <f aca="false">COUNTIFS(Permissions!$B$2:$B$3000,$A66,Permissions!$P$2:$P$3000,"Yes")</f>
        <v>1</v>
      </c>
      <c r="AX66" s="24" t="n">
        <f aca="false">SUMIFS(Permissions!$L$2:$L$3000,Permissions!$B$2:$B$3000,$A66,Permissions!$P$2:$P$3000,"Yes")</f>
        <v>0</v>
      </c>
      <c r="AY66" s="27" t="str">
        <f aca="false">IF(AND(AK66&gt;0,AG66&gt;=AK66,AN66=0),"Built out",IF(AG66&gt;0,"Partly built",IF(AK66&gt;0,"Consented – not built","No consent")))</f>
        <v>Consented – not built</v>
      </c>
      <c r="AZ66" s="28" t="str">
        <f aca="false">IF(AND(R66&lt;&gt;"",AK66&gt;1.1*R66),"Consented above capacity",IF(AND(LEFT(B66,8)="Planning",AW66=0),"Consent parcel with no permission",IF(COUNTIF($A$2:$A$3000,$A66)&gt;1,"Duplicate parcel_id","")))</f>
        <v>Consented above capacity</v>
      </c>
    </row>
    <row r="67" customFormat="false" ht="15" hidden="false" customHeight="false" outlineLevel="0" collapsed="false">
      <c r="A67" s="15" t="s">
        <v>261</v>
      </c>
      <c r="B67" s="15" t="s">
        <v>10</v>
      </c>
      <c r="C67" s="15" t="s">
        <v>16</v>
      </c>
      <c r="D67" s="15" t="s">
        <v>54</v>
      </c>
      <c r="E67" s="15" t="s">
        <v>19</v>
      </c>
      <c r="F67" s="15" t="n">
        <v>1</v>
      </c>
      <c r="G67" s="15" t="s">
        <v>154</v>
      </c>
      <c r="H67" s="15" t="n">
        <v>31</v>
      </c>
      <c r="I67" s="15" t="s">
        <v>54</v>
      </c>
      <c r="J67" s="15" t="s">
        <v>176</v>
      </c>
      <c r="K67" s="15" t="s">
        <v>254</v>
      </c>
      <c r="L67" s="15" t="s">
        <v>170</v>
      </c>
      <c r="M67" s="15" t="s">
        <v>157</v>
      </c>
      <c r="N67" s="15" t="s">
        <v>166</v>
      </c>
      <c r="O67" s="15" t="s">
        <v>262</v>
      </c>
      <c r="P67" s="15" t="n">
        <v>1.061</v>
      </c>
      <c r="Q67" s="15" t="n">
        <v>1.061</v>
      </c>
      <c r="R67" s="15" t="n">
        <v>37</v>
      </c>
      <c r="S67" s="15" t="s">
        <v>160</v>
      </c>
      <c r="T67" s="15"/>
      <c r="U67" s="15"/>
      <c r="V67" s="15"/>
      <c r="W67" s="15"/>
      <c r="X67" s="15"/>
      <c r="Y67" s="15"/>
      <c r="Z67" s="15"/>
      <c r="AA67" s="15" t="n">
        <v>0</v>
      </c>
      <c r="AB67" s="15" t="n">
        <v>0</v>
      </c>
      <c r="AC67" s="15" t="s">
        <v>180</v>
      </c>
      <c r="AD67" s="15" t="s">
        <v>162</v>
      </c>
      <c r="AE67" s="15" t="s">
        <v>163</v>
      </c>
      <c r="AF67" s="15"/>
      <c r="AG67" s="24" t="n">
        <f aca="false">SUMIFS(Permissions!$G$2:$G$3000,Permissions!$B$2:$B$3000,$A67,Permissions!$I$2:$I$3000,"Complete",Permissions!$P$2:$P$3000,"Yes")</f>
        <v>0</v>
      </c>
      <c r="AH67" s="24" t="n">
        <f aca="false">SUMIFS(Permissions!$G$2:$G$3000,Permissions!$B$2:$B$3000,$A67,Permissions!$I$2:$I$3000,"Under construction",Permissions!$P$2:$P$3000,"Yes")</f>
        <v>26</v>
      </c>
      <c r="AI67" s="24" t="n">
        <f aca="false">SUMIFS(Permissions!$G$2:$G$3000,Permissions!$B$2:$B$3000,$A67,Permissions!$I$2:$I$3000,"Permitted – not started",Permissions!$P$2:$P$3000,"Yes")</f>
        <v>0</v>
      </c>
      <c r="AJ67" s="24" t="n">
        <f aca="false">SUMIFS(Permissions!$G$2:$G$3000,Permissions!$B$2:$B$3000,$A67,Permissions!$I$2:$I$3000,"Stalled",Permissions!$P$2:$P$3000,"Yes")</f>
        <v>0</v>
      </c>
      <c r="AK67" s="24" t="n">
        <f aca="false">AG67+AH67+AI67+AJ67</f>
        <v>26</v>
      </c>
      <c r="AL67" s="24" t="n">
        <f aca="false">SUMIFS(Permissions!$G$2:$G$3000,Permissions!$B$2:$B$3000,$A67,Permissions!$I$2:$I$3000,"Expired – not started",Permissions!$P$2:$P$3000,"Yes")</f>
        <v>0</v>
      </c>
      <c r="AM67" s="24" t="n">
        <f aca="false">SUMIFS(Permissions!$G$2:$G$3000,Permissions!$B$2:$B$3000,$A67,Permissions!$I$2:$I$3000,"In planning",Permissions!$P$2:$P$3000,"Yes")</f>
        <v>0</v>
      </c>
      <c r="AN67" s="24" t="n">
        <f aca="false">IF(R67="",0,MAX(R67-AK67,0))</f>
        <v>11</v>
      </c>
      <c r="AO67" s="25" t="n">
        <f aca="false">AK67+AN67</f>
        <v>37</v>
      </c>
      <c r="AP67" s="24" t="n">
        <f aca="false">AO67-AG67</f>
        <v>37</v>
      </c>
      <c r="AQ67" s="26" t="n">
        <f aca="false">SUMIFS(Permissions!$AH$2:$AH$3000,Permissions!$B$2:$B$3000,$A67,Permissions!$P$2:$P$3000,"Yes")</f>
        <v>6.1</v>
      </c>
      <c r="AR67" s="26" t="n">
        <f aca="false">SUMIFS(Permissions!$AI$2:$AI$3000,Permissions!$B$2:$B$3000,$A67,Permissions!$P$2:$P$3000,"Yes")</f>
        <v>19.9</v>
      </c>
      <c r="AS67" s="26" t="n">
        <f aca="false">SUMIFS(Permissions!$AJ$2:$AJ$3000,Permissions!$B$2:$B$3000,$A67,Permissions!$P$2:$P$3000,"Yes")</f>
        <v>0</v>
      </c>
      <c r="AT67" s="26" t="n">
        <f aca="false">SUMIFS(Permissions!$AK$2:$AK$3000,Permissions!$B$2:$B$3000,$A67,Permissions!$P$2:$P$3000,"Yes")</f>
        <v>0</v>
      </c>
      <c r="AU67" s="26" t="n">
        <f aca="false">SUMIFS(Permissions!$AL$2:$AL$3000,Permissions!$B$2:$B$3000,$A67,Permissions!$P$2:$P$3000,"Yes")</f>
        <v>0</v>
      </c>
      <c r="AV67" s="26" t="n">
        <f aca="false">SUMIFS(Permissions!$AM$2:$AM$3000,Permissions!$B$2:$B$3000,$A67,Permissions!$P$2:$P$3000,"Yes")</f>
        <v>0</v>
      </c>
      <c r="AW67" s="24" t="n">
        <f aca="false">COUNTIFS(Permissions!$B$2:$B$3000,$A67,Permissions!$P$2:$P$3000,"Yes")</f>
        <v>1</v>
      </c>
      <c r="AX67" s="24" t="n">
        <f aca="false">SUMIFS(Permissions!$L$2:$L$3000,Permissions!$B$2:$B$3000,$A67,Permissions!$P$2:$P$3000,"Yes")</f>
        <v>0</v>
      </c>
      <c r="AY67" s="27" t="str">
        <f aca="false">IF(AND(AK67&gt;0,AG67&gt;=AK67,AN67=0),"Built out",IF(AG67&gt;0,"Partly built",IF(AK67&gt;0,"Consented – not built","No consent")))</f>
        <v>Consented – not built</v>
      </c>
      <c r="AZ67" s="28" t="str">
        <f aca="false">IF(AND(R67&lt;&gt;"",AK67&gt;1.1*R67),"Consented above capacity",IF(AND(LEFT(B67,8)="Planning",AW67=0),"Consent parcel with no permission",IF(COUNTIF($A$2:$A$3000,$A67)&gt;1,"Duplicate parcel_id","")))</f>
        <v/>
      </c>
    </row>
    <row r="68" customFormat="false" ht="15" hidden="false" customHeight="false" outlineLevel="0" collapsed="false">
      <c r="A68" s="15" t="s">
        <v>263</v>
      </c>
      <c r="B68" s="15" t="s">
        <v>10</v>
      </c>
      <c r="C68" s="15" t="s">
        <v>16</v>
      </c>
      <c r="D68" s="15" t="s">
        <v>54</v>
      </c>
      <c r="E68" s="15" t="s">
        <v>19</v>
      </c>
      <c r="F68" s="15" t="n">
        <v>1</v>
      </c>
      <c r="G68" s="15" t="s">
        <v>154</v>
      </c>
      <c r="H68" s="15" t="n">
        <v>32</v>
      </c>
      <c r="I68" s="15" t="s">
        <v>54</v>
      </c>
      <c r="J68" s="15" t="s">
        <v>176</v>
      </c>
      <c r="K68" s="15" t="s">
        <v>254</v>
      </c>
      <c r="L68" s="15" t="s">
        <v>170</v>
      </c>
      <c r="M68" s="15" t="s">
        <v>157</v>
      </c>
      <c r="N68" s="15" t="s">
        <v>166</v>
      </c>
      <c r="O68" s="15" t="s">
        <v>264</v>
      </c>
      <c r="P68" s="15" t="n">
        <v>4.273</v>
      </c>
      <c r="Q68" s="15" t="n">
        <v>4.272</v>
      </c>
      <c r="R68" s="15" t="n">
        <v>178</v>
      </c>
      <c r="S68" s="15" t="s">
        <v>160</v>
      </c>
      <c r="T68" s="15"/>
      <c r="U68" s="15"/>
      <c r="V68" s="15"/>
      <c r="W68" s="15"/>
      <c r="X68" s="15"/>
      <c r="Y68" s="15"/>
      <c r="Z68" s="15"/>
      <c r="AA68" s="15" t="n">
        <v>0</v>
      </c>
      <c r="AB68" s="15" t="n">
        <v>0</v>
      </c>
      <c r="AC68" s="15" t="s">
        <v>161</v>
      </c>
      <c r="AD68" s="15" t="s">
        <v>162</v>
      </c>
      <c r="AE68" s="15" t="s">
        <v>163</v>
      </c>
      <c r="AF68" s="15"/>
      <c r="AG68" s="24" t="n">
        <f aca="false">SUMIFS(Permissions!$G$2:$G$3000,Permissions!$B$2:$B$3000,$A68,Permissions!$I$2:$I$3000,"Complete",Permissions!$P$2:$P$3000,"Yes")</f>
        <v>0</v>
      </c>
      <c r="AH68" s="24" t="n">
        <f aca="false">SUMIFS(Permissions!$G$2:$G$3000,Permissions!$B$2:$B$3000,$A68,Permissions!$I$2:$I$3000,"Under construction",Permissions!$P$2:$P$3000,"Yes")</f>
        <v>0</v>
      </c>
      <c r="AI68" s="24" t="n">
        <f aca="false">SUMIFS(Permissions!$G$2:$G$3000,Permissions!$B$2:$B$3000,$A68,Permissions!$I$2:$I$3000,"Permitted – not started",Permissions!$P$2:$P$3000,"Yes")</f>
        <v>0</v>
      </c>
      <c r="AJ68" s="24" t="n">
        <f aca="false">SUMIFS(Permissions!$G$2:$G$3000,Permissions!$B$2:$B$3000,$A68,Permissions!$I$2:$I$3000,"Stalled",Permissions!$P$2:$P$3000,"Yes")</f>
        <v>0</v>
      </c>
      <c r="AK68" s="24" t="n">
        <f aca="false">AG68+AH68+AI68+AJ68</f>
        <v>0</v>
      </c>
      <c r="AL68" s="24" t="n">
        <f aca="false">SUMIFS(Permissions!$G$2:$G$3000,Permissions!$B$2:$B$3000,$A68,Permissions!$I$2:$I$3000,"Expired – not started",Permissions!$P$2:$P$3000,"Yes")</f>
        <v>0</v>
      </c>
      <c r="AM68" s="24" t="n">
        <f aca="false">SUMIFS(Permissions!$G$2:$G$3000,Permissions!$B$2:$B$3000,$A68,Permissions!$I$2:$I$3000,"In planning",Permissions!$P$2:$P$3000,"Yes")</f>
        <v>0</v>
      </c>
      <c r="AN68" s="24" t="n">
        <f aca="false">IF(R68="",0,MAX(R68-AK68,0))</f>
        <v>178</v>
      </c>
      <c r="AO68" s="25" t="n">
        <f aca="false">AK68+AN68</f>
        <v>178</v>
      </c>
      <c r="AP68" s="24" t="n">
        <f aca="false">AO68-AG68</f>
        <v>178</v>
      </c>
      <c r="AQ68" s="26" t="n">
        <f aca="false">SUMIFS(Permissions!$AH$2:$AH$3000,Permissions!$B$2:$B$3000,$A68,Permissions!$P$2:$P$3000,"Yes")</f>
        <v>0</v>
      </c>
      <c r="AR68" s="26" t="n">
        <f aca="false">SUMIFS(Permissions!$AI$2:$AI$3000,Permissions!$B$2:$B$3000,$A68,Permissions!$P$2:$P$3000,"Yes")</f>
        <v>0</v>
      </c>
      <c r="AS68" s="26" t="n">
        <f aca="false">SUMIFS(Permissions!$AJ$2:$AJ$3000,Permissions!$B$2:$B$3000,$A68,Permissions!$P$2:$P$3000,"Yes")</f>
        <v>0</v>
      </c>
      <c r="AT68" s="26" t="n">
        <f aca="false">SUMIFS(Permissions!$AK$2:$AK$3000,Permissions!$B$2:$B$3000,$A68,Permissions!$P$2:$P$3000,"Yes")</f>
        <v>0</v>
      </c>
      <c r="AU68" s="26" t="n">
        <f aca="false">SUMIFS(Permissions!$AL$2:$AL$3000,Permissions!$B$2:$B$3000,$A68,Permissions!$P$2:$P$3000,"Yes")</f>
        <v>0</v>
      </c>
      <c r="AV68" s="26" t="n">
        <f aca="false">SUMIFS(Permissions!$AM$2:$AM$3000,Permissions!$B$2:$B$3000,$A68,Permissions!$P$2:$P$3000,"Yes")</f>
        <v>0</v>
      </c>
      <c r="AW68" s="24" t="n">
        <f aca="false">COUNTIFS(Permissions!$B$2:$B$3000,$A68,Permissions!$P$2:$P$3000,"Yes")</f>
        <v>0</v>
      </c>
      <c r="AX68" s="24" t="n">
        <f aca="false">SUMIFS(Permissions!$L$2:$L$3000,Permissions!$B$2:$B$3000,$A68,Permissions!$P$2:$P$3000,"Yes")</f>
        <v>0</v>
      </c>
      <c r="AY68" s="27" t="str">
        <f aca="false">IF(AND(AK68&gt;0,AG68&gt;=AK68,AN68=0),"Built out",IF(AG68&gt;0,"Partly built",IF(AK68&gt;0,"Consented – not built","No consent")))</f>
        <v>No consent</v>
      </c>
      <c r="AZ68" s="28" t="str">
        <f aca="false">IF(AND(R68&lt;&gt;"",AK68&gt;1.1*R68),"Consented above capacity",IF(AND(LEFT(B68,8)="Planning",AW68=0),"Consent parcel with no permission",IF(COUNTIF($A$2:$A$3000,$A68)&gt;1,"Duplicate parcel_id","")))</f>
        <v/>
      </c>
    </row>
    <row r="69" customFormat="false" ht="15" hidden="false" customHeight="false" outlineLevel="0" collapsed="false">
      <c r="A69" s="15" t="s">
        <v>265</v>
      </c>
      <c r="B69" s="15" t="s">
        <v>10</v>
      </c>
      <c r="C69" s="15" t="s">
        <v>16</v>
      </c>
      <c r="D69" s="15" t="s">
        <v>54</v>
      </c>
      <c r="E69" s="15" t="s">
        <v>19</v>
      </c>
      <c r="F69" s="15" t="n">
        <v>1</v>
      </c>
      <c r="G69" s="15" t="s">
        <v>154</v>
      </c>
      <c r="H69" s="15" t="n">
        <v>33</v>
      </c>
      <c r="I69" s="15" t="s">
        <v>54</v>
      </c>
      <c r="J69" s="15" t="s">
        <v>176</v>
      </c>
      <c r="K69" s="15" t="s">
        <v>254</v>
      </c>
      <c r="L69" s="15" t="s">
        <v>170</v>
      </c>
      <c r="M69" s="15" t="s">
        <v>157</v>
      </c>
      <c r="N69" s="15" t="s">
        <v>166</v>
      </c>
      <c r="O69" s="15" t="s">
        <v>179</v>
      </c>
      <c r="P69" s="15" t="n">
        <v>2.57</v>
      </c>
      <c r="Q69" s="15" t="n">
        <v>2.569</v>
      </c>
      <c r="R69" s="15" t="n">
        <v>90</v>
      </c>
      <c r="S69" s="15" t="s">
        <v>160</v>
      </c>
      <c r="T69" s="15"/>
      <c r="U69" s="15"/>
      <c r="V69" s="15"/>
      <c r="W69" s="15"/>
      <c r="X69" s="15"/>
      <c r="Y69" s="15"/>
      <c r="Z69" s="15"/>
      <c r="AA69" s="15" t="n">
        <v>0</v>
      </c>
      <c r="AB69" s="15" t="n">
        <v>0</v>
      </c>
      <c r="AC69" s="15" t="s">
        <v>161</v>
      </c>
      <c r="AD69" s="15" t="s">
        <v>162</v>
      </c>
      <c r="AE69" s="15" t="s">
        <v>163</v>
      </c>
      <c r="AF69" s="15"/>
      <c r="AG69" s="24" t="n">
        <f aca="false">SUMIFS(Permissions!$G$2:$G$3000,Permissions!$B$2:$B$3000,$A69,Permissions!$I$2:$I$3000,"Complete",Permissions!$P$2:$P$3000,"Yes")</f>
        <v>0</v>
      </c>
      <c r="AH69" s="24" t="n">
        <f aca="false">SUMIFS(Permissions!$G$2:$G$3000,Permissions!$B$2:$B$3000,$A69,Permissions!$I$2:$I$3000,"Under construction",Permissions!$P$2:$P$3000,"Yes")</f>
        <v>0</v>
      </c>
      <c r="AI69" s="24" t="n">
        <f aca="false">SUMIFS(Permissions!$G$2:$G$3000,Permissions!$B$2:$B$3000,$A69,Permissions!$I$2:$I$3000,"Permitted – not started",Permissions!$P$2:$P$3000,"Yes")</f>
        <v>0</v>
      </c>
      <c r="AJ69" s="24" t="n">
        <f aca="false">SUMIFS(Permissions!$G$2:$G$3000,Permissions!$B$2:$B$3000,$A69,Permissions!$I$2:$I$3000,"Stalled",Permissions!$P$2:$P$3000,"Yes")</f>
        <v>0</v>
      </c>
      <c r="AK69" s="24" t="n">
        <f aca="false">AG69+AH69+AI69+AJ69</f>
        <v>0</v>
      </c>
      <c r="AL69" s="24" t="n">
        <f aca="false">SUMIFS(Permissions!$G$2:$G$3000,Permissions!$B$2:$B$3000,$A69,Permissions!$I$2:$I$3000,"Expired – not started",Permissions!$P$2:$P$3000,"Yes")</f>
        <v>0</v>
      </c>
      <c r="AM69" s="24" t="n">
        <f aca="false">SUMIFS(Permissions!$G$2:$G$3000,Permissions!$B$2:$B$3000,$A69,Permissions!$I$2:$I$3000,"In planning",Permissions!$P$2:$P$3000,"Yes")</f>
        <v>0</v>
      </c>
      <c r="AN69" s="24" t="n">
        <f aca="false">IF(R69="",0,MAX(R69-AK69,0))</f>
        <v>90</v>
      </c>
      <c r="AO69" s="25" t="n">
        <f aca="false">AK69+AN69</f>
        <v>90</v>
      </c>
      <c r="AP69" s="24" t="n">
        <f aca="false">AO69-AG69</f>
        <v>90</v>
      </c>
      <c r="AQ69" s="26" t="n">
        <f aca="false">SUMIFS(Permissions!$AH$2:$AH$3000,Permissions!$B$2:$B$3000,$A69,Permissions!$P$2:$P$3000,"Yes")</f>
        <v>0</v>
      </c>
      <c r="AR69" s="26" t="n">
        <f aca="false">SUMIFS(Permissions!$AI$2:$AI$3000,Permissions!$B$2:$B$3000,$A69,Permissions!$P$2:$P$3000,"Yes")</f>
        <v>0</v>
      </c>
      <c r="AS69" s="26" t="n">
        <f aca="false">SUMIFS(Permissions!$AJ$2:$AJ$3000,Permissions!$B$2:$B$3000,$A69,Permissions!$P$2:$P$3000,"Yes")</f>
        <v>0</v>
      </c>
      <c r="AT69" s="26" t="n">
        <f aca="false">SUMIFS(Permissions!$AK$2:$AK$3000,Permissions!$B$2:$B$3000,$A69,Permissions!$P$2:$P$3000,"Yes")</f>
        <v>0</v>
      </c>
      <c r="AU69" s="26" t="n">
        <f aca="false">SUMIFS(Permissions!$AL$2:$AL$3000,Permissions!$B$2:$B$3000,$A69,Permissions!$P$2:$P$3000,"Yes")</f>
        <v>0</v>
      </c>
      <c r="AV69" s="26" t="n">
        <f aca="false">SUMIFS(Permissions!$AM$2:$AM$3000,Permissions!$B$2:$B$3000,$A69,Permissions!$P$2:$P$3000,"Yes")</f>
        <v>0</v>
      </c>
      <c r="AW69" s="24" t="n">
        <f aca="false">COUNTIFS(Permissions!$B$2:$B$3000,$A69,Permissions!$P$2:$P$3000,"Yes")</f>
        <v>0</v>
      </c>
      <c r="AX69" s="24" t="n">
        <f aca="false">SUMIFS(Permissions!$L$2:$L$3000,Permissions!$B$2:$B$3000,$A69,Permissions!$P$2:$P$3000,"Yes")</f>
        <v>0</v>
      </c>
      <c r="AY69" s="27" t="str">
        <f aca="false">IF(AND(AK69&gt;0,AG69&gt;=AK69,AN69=0),"Built out",IF(AG69&gt;0,"Partly built",IF(AK69&gt;0,"Consented – not built","No consent")))</f>
        <v>No consent</v>
      </c>
      <c r="AZ69" s="28" t="str">
        <f aca="false">IF(AND(R69&lt;&gt;"",AK69&gt;1.1*R69),"Consented above capacity",IF(AND(LEFT(B69,8)="Planning",AW69=0),"Consent parcel with no permission",IF(COUNTIF($A$2:$A$3000,$A69)&gt;1,"Duplicate parcel_id","")))</f>
        <v/>
      </c>
    </row>
    <row r="70" customFormat="false" ht="15" hidden="false" customHeight="false" outlineLevel="0" collapsed="false">
      <c r="A70" s="15" t="s">
        <v>266</v>
      </c>
      <c r="B70" s="15" t="s">
        <v>10</v>
      </c>
      <c r="C70" s="15" t="s">
        <v>16</v>
      </c>
      <c r="D70" s="15" t="s">
        <v>54</v>
      </c>
      <c r="E70" s="15" t="s">
        <v>19</v>
      </c>
      <c r="F70" s="15" t="n">
        <v>1</v>
      </c>
      <c r="G70" s="15" t="s">
        <v>154</v>
      </c>
      <c r="H70" s="15" t="n">
        <v>34</v>
      </c>
      <c r="I70" s="15" t="s">
        <v>54</v>
      </c>
      <c r="J70" s="15" t="s">
        <v>176</v>
      </c>
      <c r="K70" s="15" t="s">
        <v>254</v>
      </c>
      <c r="L70" s="15" t="s">
        <v>170</v>
      </c>
      <c r="M70" s="15" t="s">
        <v>157</v>
      </c>
      <c r="N70" s="15" t="s">
        <v>166</v>
      </c>
      <c r="O70" s="15" t="s">
        <v>179</v>
      </c>
      <c r="P70" s="15" t="n">
        <v>1.33</v>
      </c>
      <c r="Q70" s="15" t="n">
        <v>1.33</v>
      </c>
      <c r="R70" s="15" t="n">
        <v>47</v>
      </c>
      <c r="S70" s="15" t="s">
        <v>160</v>
      </c>
      <c r="T70" s="15"/>
      <c r="U70" s="15"/>
      <c r="V70" s="15"/>
      <c r="W70" s="15"/>
      <c r="X70" s="15"/>
      <c r="Y70" s="15"/>
      <c r="Z70" s="15"/>
      <c r="AA70" s="15" t="n">
        <v>0</v>
      </c>
      <c r="AB70" s="15" t="n">
        <v>0</v>
      </c>
      <c r="AC70" s="15" t="s">
        <v>180</v>
      </c>
      <c r="AD70" s="15" t="s">
        <v>162</v>
      </c>
      <c r="AE70" s="15" t="s">
        <v>163</v>
      </c>
      <c r="AF70" s="15"/>
      <c r="AG70" s="24" t="n">
        <f aca="false">SUMIFS(Permissions!$G$2:$G$3000,Permissions!$B$2:$B$3000,$A70,Permissions!$I$2:$I$3000,"Complete",Permissions!$P$2:$P$3000,"Yes")</f>
        <v>0</v>
      </c>
      <c r="AH70" s="24" t="n">
        <f aca="false">SUMIFS(Permissions!$G$2:$G$3000,Permissions!$B$2:$B$3000,$A70,Permissions!$I$2:$I$3000,"Under construction",Permissions!$P$2:$P$3000,"Yes")</f>
        <v>0</v>
      </c>
      <c r="AI70" s="24" t="n">
        <f aca="false">SUMIFS(Permissions!$G$2:$G$3000,Permissions!$B$2:$B$3000,$A70,Permissions!$I$2:$I$3000,"Permitted – not started",Permissions!$P$2:$P$3000,"Yes")</f>
        <v>0</v>
      </c>
      <c r="AJ70" s="24" t="n">
        <f aca="false">SUMIFS(Permissions!$G$2:$G$3000,Permissions!$B$2:$B$3000,$A70,Permissions!$I$2:$I$3000,"Stalled",Permissions!$P$2:$P$3000,"Yes")</f>
        <v>0</v>
      </c>
      <c r="AK70" s="24" t="n">
        <f aca="false">AG70+AH70+AI70+AJ70</f>
        <v>0</v>
      </c>
      <c r="AL70" s="24" t="n">
        <f aca="false">SUMIFS(Permissions!$G$2:$G$3000,Permissions!$B$2:$B$3000,$A70,Permissions!$I$2:$I$3000,"Expired – not started",Permissions!$P$2:$P$3000,"Yes")</f>
        <v>0</v>
      </c>
      <c r="AM70" s="24" t="n">
        <f aca="false">SUMIFS(Permissions!$G$2:$G$3000,Permissions!$B$2:$B$3000,$A70,Permissions!$I$2:$I$3000,"In planning",Permissions!$P$2:$P$3000,"Yes")</f>
        <v>0</v>
      </c>
      <c r="AN70" s="24" t="n">
        <f aca="false">IF(R70="",0,MAX(R70-AK70,0))</f>
        <v>47</v>
      </c>
      <c r="AO70" s="25" t="n">
        <f aca="false">AK70+AN70</f>
        <v>47</v>
      </c>
      <c r="AP70" s="24" t="n">
        <f aca="false">AO70-AG70</f>
        <v>47</v>
      </c>
      <c r="AQ70" s="26" t="n">
        <f aca="false">SUMIFS(Permissions!$AH$2:$AH$3000,Permissions!$B$2:$B$3000,$A70,Permissions!$P$2:$P$3000,"Yes")</f>
        <v>0</v>
      </c>
      <c r="AR70" s="26" t="n">
        <f aca="false">SUMIFS(Permissions!$AI$2:$AI$3000,Permissions!$B$2:$B$3000,$A70,Permissions!$P$2:$P$3000,"Yes")</f>
        <v>0</v>
      </c>
      <c r="AS70" s="26" t="n">
        <f aca="false">SUMIFS(Permissions!$AJ$2:$AJ$3000,Permissions!$B$2:$B$3000,$A70,Permissions!$P$2:$P$3000,"Yes")</f>
        <v>0</v>
      </c>
      <c r="AT70" s="26" t="n">
        <f aca="false">SUMIFS(Permissions!$AK$2:$AK$3000,Permissions!$B$2:$B$3000,$A70,Permissions!$P$2:$P$3000,"Yes")</f>
        <v>0</v>
      </c>
      <c r="AU70" s="26" t="n">
        <f aca="false">SUMIFS(Permissions!$AL$2:$AL$3000,Permissions!$B$2:$B$3000,$A70,Permissions!$P$2:$P$3000,"Yes")</f>
        <v>0</v>
      </c>
      <c r="AV70" s="26" t="n">
        <f aca="false">SUMIFS(Permissions!$AM$2:$AM$3000,Permissions!$B$2:$B$3000,$A70,Permissions!$P$2:$P$3000,"Yes")</f>
        <v>0</v>
      </c>
      <c r="AW70" s="24" t="n">
        <f aca="false">COUNTIFS(Permissions!$B$2:$B$3000,$A70,Permissions!$P$2:$P$3000,"Yes")</f>
        <v>0</v>
      </c>
      <c r="AX70" s="24" t="n">
        <f aca="false">SUMIFS(Permissions!$L$2:$L$3000,Permissions!$B$2:$B$3000,$A70,Permissions!$P$2:$P$3000,"Yes")</f>
        <v>0</v>
      </c>
      <c r="AY70" s="27" t="str">
        <f aca="false">IF(AND(AK70&gt;0,AG70&gt;=AK70,AN70=0),"Built out",IF(AG70&gt;0,"Partly built",IF(AK70&gt;0,"Consented – not built","No consent")))</f>
        <v>No consent</v>
      </c>
      <c r="AZ70" s="28" t="str">
        <f aca="false">IF(AND(R70&lt;&gt;"",AK70&gt;1.1*R70),"Consented above capacity",IF(AND(LEFT(B70,8)="Planning",AW70=0),"Consent parcel with no permission",IF(COUNTIF($A$2:$A$3000,$A70)&gt;1,"Duplicate parcel_id","")))</f>
        <v/>
      </c>
    </row>
    <row r="71" customFormat="false" ht="15" hidden="false" customHeight="false" outlineLevel="0" collapsed="false">
      <c r="A71" s="15" t="s">
        <v>267</v>
      </c>
      <c r="B71" s="15" t="s">
        <v>10</v>
      </c>
      <c r="C71" s="15" t="s">
        <v>16</v>
      </c>
      <c r="D71" s="15" t="s">
        <v>55</v>
      </c>
      <c r="E71" s="15" t="s">
        <v>19</v>
      </c>
      <c r="F71" s="15" t="n">
        <v>1</v>
      </c>
      <c r="G71" s="15" t="s">
        <v>154</v>
      </c>
      <c r="H71" s="15" t="n">
        <v>134</v>
      </c>
      <c r="I71" s="15" t="s">
        <v>55</v>
      </c>
      <c r="J71" s="15" t="s">
        <v>155</v>
      </c>
      <c r="K71" s="15" t="s">
        <v>55</v>
      </c>
      <c r="L71" s="15" t="s">
        <v>170</v>
      </c>
      <c r="M71" s="15" t="s">
        <v>165</v>
      </c>
      <c r="N71" s="15" t="s">
        <v>166</v>
      </c>
      <c r="O71" s="15" t="s">
        <v>268</v>
      </c>
      <c r="P71" s="15" t="n">
        <v>0.606</v>
      </c>
      <c r="Q71" s="15" t="n">
        <v>0.607</v>
      </c>
      <c r="R71" s="15" t="n">
        <v>23</v>
      </c>
      <c r="S71" s="15" t="s">
        <v>160</v>
      </c>
      <c r="T71" s="15"/>
      <c r="U71" s="15"/>
      <c r="V71" s="15"/>
      <c r="W71" s="15"/>
      <c r="X71" s="15"/>
      <c r="Y71" s="15"/>
      <c r="Z71" s="15"/>
      <c r="AA71" s="15" t="n">
        <v>0</v>
      </c>
      <c r="AB71" s="15" t="n">
        <v>0</v>
      </c>
      <c r="AC71" s="15" t="s">
        <v>161</v>
      </c>
      <c r="AD71" s="15" t="s">
        <v>162</v>
      </c>
      <c r="AE71" s="15" t="s">
        <v>163</v>
      </c>
      <c r="AF71" s="15"/>
      <c r="AG71" s="24" t="n">
        <f aca="false">SUMIFS(Permissions!$G$2:$G$3000,Permissions!$B$2:$B$3000,$A71,Permissions!$I$2:$I$3000,"Complete",Permissions!$P$2:$P$3000,"Yes")</f>
        <v>0</v>
      </c>
      <c r="AH71" s="24" t="n">
        <f aca="false">SUMIFS(Permissions!$G$2:$G$3000,Permissions!$B$2:$B$3000,$A71,Permissions!$I$2:$I$3000,"Under construction",Permissions!$P$2:$P$3000,"Yes")</f>
        <v>0</v>
      </c>
      <c r="AI71" s="24" t="n">
        <f aca="false">SUMIFS(Permissions!$G$2:$G$3000,Permissions!$B$2:$B$3000,$A71,Permissions!$I$2:$I$3000,"Permitted – not started",Permissions!$P$2:$P$3000,"Yes")</f>
        <v>0</v>
      </c>
      <c r="AJ71" s="24" t="n">
        <f aca="false">SUMIFS(Permissions!$G$2:$G$3000,Permissions!$B$2:$B$3000,$A71,Permissions!$I$2:$I$3000,"Stalled",Permissions!$P$2:$P$3000,"Yes")</f>
        <v>0</v>
      </c>
      <c r="AK71" s="24" t="n">
        <f aca="false">AG71+AH71+AI71+AJ71</f>
        <v>0</v>
      </c>
      <c r="AL71" s="24" t="n">
        <f aca="false">SUMIFS(Permissions!$G$2:$G$3000,Permissions!$B$2:$B$3000,$A71,Permissions!$I$2:$I$3000,"Expired – not started",Permissions!$P$2:$P$3000,"Yes")</f>
        <v>0</v>
      </c>
      <c r="AM71" s="24" t="n">
        <f aca="false">SUMIFS(Permissions!$G$2:$G$3000,Permissions!$B$2:$B$3000,$A71,Permissions!$I$2:$I$3000,"In planning",Permissions!$P$2:$P$3000,"Yes")</f>
        <v>0</v>
      </c>
      <c r="AN71" s="24" t="n">
        <f aca="false">IF(R71="",0,MAX(R71-AK71,0))</f>
        <v>23</v>
      </c>
      <c r="AO71" s="25" t="n">
        <f aca="false">AK71+AN71</f>
        <v>23</v>
      </c>
      <c r="AP71" s="24" t="n">
        <f aca="false">AO71-AG71</f>
        <v>23</v>
      </c>
      <c r="AQ71" s="26" t="n">
        <f aca="false">SUMIFS(Permissions!$AH$2:$AH$3000,Permissions!$B$2:$B$3000,$A71,Permissions!$P$2:$P$3000,"Yes")</f>
        <v>0</v>
      </c>
      <c r="AR71" s="26" t="n">
        <f aca="false">SUMIFS(Permissions!$AI$2:$AI$3000,Permissions!$B$2:$B$3000,$A71,Permissions!$P$2:$P$3000,"Yes")</f>
        <v>0</v>
      </c>
      <c r="AS71" s="26" t="n">
        <f aca="false">SUMIFS(Permissions!$AJ$2:$AJ$3000,Permissions!$B$2:$B$3000,$A71,Permissions!$P$2:$P$3000,"Yes")</f>
        <v>0</v>
      </c>
      <c r="AT71" s="26" t="n">
        <f aca="false">SUMIFS(Permissions!$AK$2:$AK$3000,Permissions!$B$2:$B$3000,$A71,Permissions!$P$2:$P$3000,"Yes")</f>
        <v>0</v>
      </c>
      <c r="AU71" s="26" t="n">
        <f aca="false">SUMIFS(Permissions!$AL$2:$AL$3000,Permissions!$B$2:$B$3000,$A71,Permissions!$P$2:$P$3000,"Yes")</f>
        <v>0</v>
      </c>
      <c r="AV71" s="26" t="n">
        <f aca="false">SUMIFS(Permissions!$AM$2:$AM$3000,Permissions!$B$2:$B$3000,$A71,Permissions!$P$2:$P$3000,"Yes")</f>
        <v>0</v>
      </c>
      <c r="AW71" s="24" t="n">
        <f aca="false">COUNTIFS(Permissions!$B$2:$B$3000,$A71,Permissions!$P$2:$P$3000,"Yes")</f>
        <v>0</v>
      </c>
      <c r="AX71" s="24" t="n">
        <f aca="false">SUMIFS(Permissions!$L$2:$L$3000,Permissions!$B$2:$B$3000,$A71,Permissions!$P$2:$P$3000,"Yes")</f>
        <v>0</v>
      </c>
      <c r="AY71" s="27" t="str">
        <f aca="false">IF(AND(AK71&gt;0,AG71&gt;=AK71,AN71=0),"Built out",IF(AG71&gt;0,"Partly built",IF(AK71&gt;0,"Consented – not built","No consent")))</f>
        <v>No consent</v>
      </c>
      <c r="AZ71" s="28" t="str">
        <f aca="false">IF(AND(R71&lt;&gt;"",AK71&gt;1.1*R71),"Consented above capacity",IF(AND(LEFT(B71,8)="Planning",AW71=0),"Consent parcel with no permission",IF(COUNTIF($A$2:$A$3000,$A71)&gt;1,"Duplicate parcel_id","")))</f>
        <v/>
      </c>
    </row>
    <row r="72" customFormat="false" ht="15" hidden="false" customHeight="false" outlineLevel="0" collapsed="false">
      <c r="A72" s="15" t="s">
        <v>269</v>
      </c>
      <c r="B72" s="15" t="s">
        <v>10</v>
      </c>
      <c r="C72" s="15" t="s">
        <v>16</v>
      </c>
      <c r="D72" s="15" t="s">
        <v>55</v>
      </c>
      <c r="E72" s="15" t="s">
        <v>19</v>
      </c>
      <c r="F72" s="15" t="n">
        <v>1</v>
      </c>
      <c r="G72" s="15" t="s">
        <v>154</v>
      </c>
      <c r="H72" s="15" t="n">
        <v>135</v>
      </c>
      <c r="I72" s="15" t="s">
        <v>55</v>
      </c>
      <c r="J72" s="15" t="s">
        <v>155</v>
      </c>
      <c r="K72" s="15" t="s">
        <v>55</v>
      </c>
      <c r="L72" s="15" t="s">
        <v>170</v>
      </c>
      <c r="M72" s="15" t="s">
        <v>165</v>
      </c>
      <c r="N72" s="15" t="s">
        <v>166</v>
      </c>
      <c r="O72" s="15" t="s">
        <v>179</v>
      </c>
      <c r="P72" s="15" t="n">
        <v>0.182</v>
      </c>
      <c r="Q72" s="15" t="n">
        <v>0.183</v>
      </c>
      <c r="R72" s="15" t="n">
        <v>6</v>
      </c>
      <c r="S72" s="15" t="s">
        <v>160</v>
      </c>
      <c r="T72" s="15"/>
      <c r="U72" s="15"/>
      <c r="V72" s="15"/>
      <c r="W72" s="15"/>
      <c r="X72" s="15"/>
      <c r="Y72" s="15"/>
      <c r="Z72" s="15"/>
      <c r="AA72" s="15" t="n">
        <v>0</v>
      </c>
      <c r="AB72" s="15" t="n">
        <v>0</v>
      </c>
      <c r="AC72" s="15" t="s">
        <v>161</v>
      </c>
      <c r="AD72" s="15" t="s">
        <v>162</v>
      </c>
      <c r="AE72" s="15" t="s">
        <v>163</v>
      </c>
      <c r="AF72" s="15"/>
      <c r="AG72" s="24" t="n">
        <f aca="false">SUMIFS(Permissions!$G$2:$G$3000,Permissions!$B$2:$B$3000,$A72,Permissions!$I$2:$I$3000,"Complete",Permissions!$P$2:$P$3000,"Yes")</f>
        <v>0</v>
      </c>
      <c r="AH72" s="24" t="n">
        <f aca="false">SUMIFS(Permissions!$G$2:$G$3000,Permissions!$B$2:$B$3000,$A72,Permissions!$I$2:$I$3000,"Under construction",Permissions!$P$2:$P$3000,"Yes")</f>
        <v>0</v>
      </c>
      <c r="AI72" s="24" t="n">
        <f aca="false">SUMIFS(Permissions!$G$2:$G$3000,Permissions!$B$2:$B$3000,$A72,Permissions!$I$2:$I$3000,"Permitted – not started",Permissions!$P$2:$P$3000,"Yes")</f>
        <v>0</v>
      </c>
      <c r="AJ72" s="24" t="n">
        <f aca="false">SUMIFS(Permissions!$G$2:$G$3000,Permissions!$B$2:$B$3000,$A72,Permissions!$I$2:$I$3000,"Stalled",Permissions!$P$2:$P$3000,"Yes")</f>
        <v>0</v>
      </c>
      <c r="AK72" s="24" t="n">
        <f aca="false">AG72+AH72+AI72+AJ72</f>
        <v>0</v>
      </c>
      <c r="AL72" s="24" t="n">
        <f aca="false">SUMIFS(Permissions!$G$2:$G$3000,Permissions!$B$2:$B$3000,$A72,Permissions!$I$2:$I$3000,"Expired – not started",Permissions!$P$2:$P$3000,"Yes")</f>
        <v>0</v>
      </c>
      <c r="AM72" s="24" t="n">
        <f aca="false">SUMIFS(Permissions!$G$2:$G$3000,Permissions!$B$2:$B$3000,$A72,Permissions!$I$2:$I$3000,"In planning",Permissions!$P$2:$P$3000,"Yes")</f>
        <v>0</v>
      </c>
      <c r="AN72" s="24" t="n">
        <f aca="false">IF(R72="",0,MAX(R72-AK72,0))</f>
        <v>6</v>
      </c>
      <c r="AO72" s="25" t="n">
        <f aca="false">AK72+AN72</f>
        <v>6</v>
      </c>
      <c r="AP72" s="24" t="n">
        <f aca="false">AO72-AG72</f>
        <v>6</v>
      </c>
      <c r="AQ72" s="26" t="n">
        <f aca="false">SUMIFS(Permissions!$AH$2:$AH$3000,Permissions!$B$2:$B$3000,$A72,Permissions!$P$2:$P$3000,"Yes")</f>
        <v>0</v>
      </c>
      <c r="AR72" s="26" t="n">
        <f aca="false">SUMIFS(Permissions!$AI$2:$AI$3000,Permissions!$B$2:$B$3000,$A72,Permissions!$P$2:$P$3000,"Yes")</f>
        <v>0</v>
      </c>
      <c r="AS72" s="26" t="n">
        <f aca="false">SUMIFS(Permissions!$AJ$2:$AJ$3000,Permissions!$B$2:$B$3000,$A72,Permissions!$P$2:$P$3000,"Yes")</f>
        <v>0</v>
      </c>
      <c r="AT72" s="26" t="n">
        <f aca="false">SUMIFS(Permissions!$AK$2:$AK$3000,Permissions!$B$2:$B$3000,$A72,Permissions!$P$2:$P$3000,"Yes")</f>
        <v>0</v>
      </c>
      <c r="AU72" s="26" t="n">
        <f aca="false">SUMIFS(Permissions!$AL$2:$AL$3000,Permissions!$B$2:$B$3000,$A72,Permissions!$P$2:$P$3000,"Yes")</f>
        <v>0</v>
      </c>
      <c r="AV72" s="26" t="n">
        <f aca="false">SUMIFS(Permissions!$AM$2:$AM$3000,Permissions!$B$2:$B$3000,$A72,Permissions!$P$2:$P$3000,"Yes")</f>
        <v>0</v>
      </c>
      <c r="AW72" s="24" t="n">
        <f aca="false">COUNTIFS(Permissions!$B$2:$B$3000,$A72,Permissions!$P$2:$P$3000,"Yes")</f>
        <v>0</v>
      </c>
      <c r="AX72" s="24" t="n">
        <f aca="false">SUMIFS(Permissions!$L$2:$L$3000,Permissions!$B$2:$B$3000,$A72,Permissions!$P$2:$P$3000,"Yes")</f>
        <v>0</v>
      </c>
      <c r="AY72" s="27" t="str">
        <f aca="false">IF(AND(AK72&gt;0,AG72&gt;=AK72,AN72=0),"Built out",IF(AG72&gt;0,"Partly built",IF(AK72&gt;0,"Consented – not built","No consent")))</f>
        <v>No consent</v>
      </c>
      <c r="AZ72" s="28" t="str">
        <f aca="false">IF(AND(R72&lt;&gt;"",AK72&gt;1.1*R72),"Consented above capacity",IF(AND(LEFT(B72,8)="Planning",AW72=0),"Consent parcel with no permission",IF(COUNTIF($A$2:$A$3000,$A72)&gt;1,"Duplicate parcel_id","")))</f>
        <v/>
      </c>
    </row>
    <row r="73" customFormat="false" ht="15" hidden="false" customHeight="false" outlineLevel="0" collapsed="false">
      <c r="A73" s="15" t="s">
        <v>270</v>
      </c>
      <c r="B73" s="15" t="s">
        <v>10</v>
      </c>
      <c r="C73" s="15" t="s">
        <v>16</v>
      </c>
      <c r="D73" s="15" t="s">
        <v>55</v>
      </c>
      <c r="E73" s="15" t="s">
        <v>19</v>
      </c>
      <c r="F73" s="15" t="n">
        <v>1</v>
      </c>
      <c r="G73" s="15" t="s">
        <v>154</v>
      </c>
      <c r="H73" s="15" t="n">
        <v>136</v>
      </c>
      <c r="I73" s="15" t="s">
        <v>55</v>
      </c>
      <c r="J73" s="15" t="s">
        <v>155</v>
      </c>
      <c r="K73" s="15" t="s">
        <v>55</v>
      </c>
      <c r="L73" s="15" t="s">
        <v>170</v>
      </c>
      <c r="M73" s="15" t="s">
        <v>157</v>
      </c>
      <c r="N73" s="15" t="s">
        <v>178</v>
      </c>
      <c r="O73" s="15" t="s">
        <v>179</v>
      </c>
      <c r="P73" s="15" t="n">
        <v>8.559</v>
      </c>
      <c r="Q73" s="15" t="n">
        <v>8.556</v>
      </c>
      <c r="R73" s="15" t="n">
        <v>384</v>
      </c>
      <c r="S73" s="15" t="s">
        <v>160</v>
      </c>
      <c r="T73" s="15"/>
      <c r="U73" s="15"/>
      <c r="V73" s="15"/>
      <c r="W73" s="15"/>
      <c r="X73" s="15"/>
      <c r="Y73" s="15"/>
      <c r="Z73" s="15"/>
      <c r="AA73" s="15" t="n">
        <v>0</v>
      </c>
      <c r="AB73" s="15" t="n">
        <v>0</v>
      </c>
      <c r="AC73" s="15" t="s">
        <v>180</v>
      </c>
      <c r="AD73" s="15" t="s">
        <v>162</v>
      </c>
      <c r="AE73" s="15" t="s">
        <v>163</v>
      </c>
      <c r="AF73" s="15"/>
      <c r="AG73" s="24" t="n">
        <f aca="false">SUMIFS(Permissions!$G$2:$G$3000,Permissions!$B$2:$B$3000,$A73,Permissions!$I$2:$I$3000,"Complete",Permissions!$P$2:$P$3000,"Yes")</f>
        <v>0</v>
      </c>
      <c r="AH73" s="24" t="n">
        <f aca="false">SUMIFS(Permissions!$G$2:$G$3000,Permissions!$B$2:$B$3000,$A73,Permissions!$I$2:$I$3000,"Under construction",Permissions!$P$2:$P$3000,"Yes")</f>
        <v>384</v>
      </c>
      <c r="AI73" s="24" t="n">
        <f aca="false">SUMIFS(Permissions!$G$2:$G$3000,Permissions!$B$2:$B$3000,$A73,Permissions!$I$2:$I$3000,"Permitted – not started",Permissions!$P$2:$P$3000,"Yes")</f>
        <v>0</v>
      </c>
      <c r="AJ73" s="24" t="n">
        <f aca="false">SUMIFS(Permissions!$G$2:$G$3000,Permissions!$B$2:$B$3000,$A73,Permissions!$I$2:$I$3000,"Stalled",Permissions!$P$2:$P$3000,"Yes")</f>
        <v>0</v>
      </c>
      <c r="AK73" s="24" t="n">
        <f aca="false">AG73+AH73+AI73+AJ73</f>
        <v>384</v>
      </c>
      <c r="AL73" s="24" t="n">
        <f aca="false">SUMIFS(Permissions!$G$2:$G$3000,Permissions!$B$2:$B$3000,$A73,Permissions!$I$2:$I$3000,"Expired – not started",Permissions!$P$2:$P$3000,"Yes")</f>
        <v>0</v>
      </c>
      <c r="AM73" s="24" t="n">
        <f aca="false">SUMIFS(Permissions!$G$2:$G$3000,Permissions!$B$2:$B$3000,$A73,Permissions!$I$2:$I$3000,"In planning",Permissions!$P$2:$P$3000,"Yes")</f>
        <v>0</v>
      </c>
      <c r="AN73" s="24" t="n">
        <f aca="false">IF(R73="",0,MAX(R73-AK73,0))</f>
        <v>0</v>
      </c>
      <c r="AO73" s="25" t="n">
        <f aca="false">AK73+AN73</f>
        <v>384</v>
      </c>
      <c r="AP73" s="24" t="n">
        <f aca="false">AO73-AG73</f>
        <v>384</v>
      </c>
      <c r="AQ73" s="26" t="n">
        <f aca="false">SUMIFS(Permissions!$AH$2:$AH$3000,Permissions!$B$2:$B$3000,$A73,Permissions!$P$2:$P$3000,"Yes")</f>
        <v>17.2</v>
      </c>
      <c r="AR73" s="26" t="n">
        <f aca="false">SUMIFS(Permissions!$AI$2:$AI$3000,Permissions!$B$2:$B$3000,$A73,Permissions!$P$2:$P$3000,"Yes")</f>
        <v>74.1</v>
      </c>
      <c r="AS73" s="26" t="n">
        <f aca="false">SUMIFS(Permissions!$AJ$2:$AJ$3000,Permissions!$B$2:$B$3000,$A73,Permissions!$P$2:$P$3000,"Yes")</f>
        <v>74.1</v>
      </c>
      <c r="AT73" s="26" t="n">
        <f aca="false">SUMIFS(Permissions!$AK$2:$AK$3000,Permissions!$B$2:$B$3000,$A73,Permissions!$P$2:$P$3000,"Yes")</f>
        <v>74.1</v>
      </c>
      <c r="AU73" s="26" t="n">
        <f aca="false">SUMIFS(Permissions!$AL$2:$AL$3000,Permissions!$B$2:$B$3000,$A73,Permissions!$P$2:$P$3000,"Yes")</f>
        <v>74.1</v>
      </c>
      <c r="AV73" s="26" t="n">
        <f aca="false">SUMIFS(Permissions!$AM$2:$AM$3000,Permissions!$B$2:$B$3000,$A73,Permissions!$P$2:$P$3000,"Yes")</f>
        <v>70.4</v>
      </c>
      <c r="AW73" s="24" t="n">
        <f aca="false">COUNTIFS(Permissions!$B$2:$B$3000,$A73,Permissions!$P$2:$P$3000,"Yes")</f>
        <v>1</v>
      </c>
      <c r="AX73" s="24" t="n">
        <f aca="false">SUMIFS(Permissions!$L$2:$L$3000,Permissions!$B$2:$B$3000,$A73,Permissions!$P$2:$P$3000,"Yes")</f>
        <v>0</v>
      </c>
      <c r="AY73" s="27" t="str">
        <f aca="false">IF(AND(AK73&gt;0,AG73&gt;=AK73,AN73=0),"Built out",IF(AG73&gt;0,"Partly built",IF(AK73&gt;0,"Consented – not built","No consent")))</f>
        <v>Consented – not built</v>
      </c>
      <c r="AZ73" s="28" t="str">
        <f aca="false">IF(AND(R73&lt;&gt;"",AK73&gt;1.1*R73),"Consented above capacity",IF(AND(LEFT(B73,8)="Planning",AW73=0),"Consent parcel with no permission",IF(COUNTIF($A$2:$A$3000,$A73)&gt;1,"Duplicate parcel_id","")))</f>
        <v/>
      </c>
    </row>
    <row r="74" customFormat="false" ht="15" hidden="false" customHeight="false" outlineLevel="0" collapsed="false">
      <c r="A74" s="15" t="s">
        <v>271</v>
      </c>
      <c r="B74" s="15" t="s">
        <v>10</v>
      </c>
      <c r="C74" s="15" t="s">
        <v>16</v>
      </c>
      <c r="D74" s="15" t="s">
        <v>55</v>
      </c>
      <c r="E74" s="15" t="s">
        <v>19</v>
      </c>
      <c r="F74" s="15" t="n">
        <v>1</v>
      </c>
      <c r="G74" s="15" t="s">
        <v>154</v>
      </c>
      <c r="H74" s="15" t="n">
        <v>137</v>
      </c>
      <c r="I74" s="15" t="s">
        <v>55</v>
      </c>
      <c r="J74" s="15" t="s">
        <v>155</v>
      </c>
      <c r="K74" s="15" t="s">
        <v>55</v>
      </c>
      <c r="L74" s="15" t="s">
        <v>170</v>
      </c>
      <c r="M74" s="15" t="s">
        <v>157</v>
      </c>
      <c r="N74" s="15" t="s">
        <v>166</v>
      </c>
      <c r="O74" s="15" t="s">
        <v>179</v>
      </c>
      <c r="P74" s="15" t="n">
        <v>2.42</v>
      </c>
      <c r="Q74" s="15" t="n">
        <v>2.42</v>
      </c>
      <c r="R74" s="15" t="n">
        <v>85</v>
      </c>
      <c r="S74" s="15" t="s">
        <v>160</v>
      </c>
      <c r="T74" s="15"/>
      <c r="U74" s="15"/>
      <c r="V74" s="15"/>
      <c r="W74" s="15"/>
      <c r="X74" s="15"/>
      <c r="Y74" s="15"/>
      <c r="Z74" s="15"/>
      <c r="AA74" s="15" t="n">
        <v>0</v>
      </c>
      <c r="AB74" s="15" t="n">
        <v>0</v>
      </c>
      <c r="AC74" s="15" t="s">
        <v>161</v>
      </c>
      <c r="AD74" s="15" t="s">
        <v>162</v>
      </c>
      <c r="AE74" s="15" t="s">
        <v>163</v>
      </c>
      <c r="AF74" s="15"/>
      <c r="AG74" s="24" t="n">
        <f aca="false">SUMIFS(Permissions!$G$2:$G$3000,Permissions!$B$2:$B$3000,$A74,Permissions!$I$2:$I$3000,"Complete",Permissions!$P$2:$P$3000,"Yes")</f>
        <v>0</v>
      </c>
      <c r="AH74" s="24" t="n">
        <f aca="false">SUMIFS(Permissions!$G$2:$G$3000,Permissions!$B$2:$B$3000,$A74,Permissions!$I$2:$I$3000,"Under construction",Permissions!$P$2:$P$3000,"Yes")</f>
        <v>0</v>
      </c>
      <c r="AI74" s="24" t="n">
        <f aca="false">SUMIFS(Permissions!$G$2:$G$3000,Permissions!$B$2:$B$3000,$A74,Permissions!$I$2:$I$3000,"Permitted – not started",Permissions!$P$2:$P$3000,"Yes")</f>
        <v>0</v>
      </c>
      <c r="AJ74" s="24" t="n">
        <f aca="false">SUMIFS(Permissions!$G$2:$G$3000,Permissions!$B$2:$B$3000,$A74,Permissions!$I$2:$I$3000,"Stalled",Permissions!$P$2:$P$3000,"Yes")</f>
        <v>0</v>
      </c>
      <c r="AK74" s="24" t="n">
        <f aca="false">AG74+AH74+AI74+AJ74</f>
        <v>0</v>
      </c>
      <c r="AL74" s="24" t="n">
        <f aca="false">SUMIFS(Permissions!$G$2:$G$3000,Permissions!$B$2:$B$3000,$A74,Permissions!$I$2:$I$3000,"Expired – not started",Permissions!$P$2:$P$3000,"Yes")</f>
        <v>0</v>
      </c>
      <c r="AM74" s="24" t="n">
        <f aca="false">SUMIFS(Permissions!$G$2:$G$3000,Permissions!$B$2:$B$3000,$A74,Permissions!$I$2:$I$3000,"In planning",Permissions!$P$2:$P$3000,"Yes")</f>
        <v>0</v>
      </c>
      <c r="AN74" s="24" t="n">
        <f aca="false">IF(R74="",0,MAX(R74-AK74,0))</f>
        <v>85</v>
      </c>
      <c r="AO74" s="25" t="n">
        <f aca="false">AK74+AN74</f>
        <v>85</v>
      </c>
      <c r="AP74" s="24" t="n">
        <f aca="false">AO74-AG74</f>
        <v>85</v>
      </c>
      <c r="AQ74" s="26" t="n">
        <f aca="false">SUMIFS(Permissions!$AH$2:$AH$3000,Permissions!$B$2:$B$3000,$A74,Permissions!$P$2:$P$3000,"Yes")</f>
        <v>0</v>
      </c>
      <c r="AR74" s="26" t="n">
        <f aca="false">SUMIFS(Permissions!$AI$2:$AI$3000,Permissions!$B$2:$B$3000,$A74,Permissions!$P$2:$P$3000,"Yes")</f>
        <v>0</v>
      </c>
      <c r="AS74" s="26" t="n">
        <f aca="false">SUMIFS(Permissions!$AJ$2:$AJ$3000,Permissions!$B$2:$B$3000,$A74,Permissions!$P$2:$P$3000,"Yes")</f>
        <v>0</v>
      </c>
      <c r="AT74" s="26" t="n">
        <f aca="false">SUMIFS(Permissions!$AK$2:$AK$3000,Permissions!$B$2:$B$3000,$A74,Permissions!$P$2:$P$3000,"Yes")</f>
        <v>0</v>
      </c>
      <c r="AU74" s="26" t="n">
        <f aca="false">SUMIFS(Permissions!$AL$2:$AL$3000,Permissions!$B$2:$B$3000,$A74,Permissions!$P$2:$P$3000,"Yes")</f>
        <v>0</v>
      </c>
      <c r="AV74" s="26" t="n">
        <f aca="false">SUMIFS(Permissions!$AM$2:$AM$3000,Permissions!$B$2:$B$3000,$A74,Permissions!$P$2:$P$3000,"Yes")</f>
        <v>0</v>
      </c>
      <c r="AW74" s="24" t="n">
        <f aca="false">COUNTIFS(Permissions!$B$2:$B$3000,$A74,Permissions!$P$2:$P$3000,"Yes")</f>
        <v>0</v>
      </c>
      <c r="AX74" s="24" t="n">
        <f aca="false">SUMIFS(Permissions!$L$2:$L$3000,Permissions!$B$2:$B$3000,$A74,Permissions!$P$2:$P$3000,"Yes")</f>
        <v>0</v>
      </c>
      <c r="AY74" s="27" t="str">
        <f aca="false">IF(AND(AK74&gt;0,AG74&gt;=AK74,AN74=0),"Built out",IF(AG74&gt;0,"Partly built",IF(AK74&gt;0,"Consented – not built","No consent")))</f>
        <v>No consent</v>
      </c>
      <c r="AZ74" s="28" t="str">
        <f aca="false">IF(AND(R74&lt;&gt;"",AK74&gt;1.1*R74),"Consented above capacity",IF(AND(LEFT(B74,8)="Planning",AW74=0),"Consent parcel with no permission",IF(COUNTIF($A$2:$A$3000,$A74)&gt;1,"Duplicate parcel_id","")))</f>
        <v/>
      </c>
    </row>
    <row r="75" customFormat="false" ht="15" hidden="false" customHeight="false" outlineLevel="0" collapsed="false">
      <c r="A75" s="15" t="s">
        <v>272</v>
      </c>
      <c r="B75" s="15" t="s">
        <v>10</v>
      </c>
      <c r="C75" s="15" t="s">
        <v>16</v>
      </c>
      <c r="D75" s="15" t="s">
        <v>55</v>
      </c>
      <c r="E75" s="15" t="s">
        <v>19</v>
      </c>
      <c r="F75" s="15" t="n">
        <v>1</v>
      </c>
      <c r="G75" s="15" t="s">
        <v>154</v>
      </c>
      <c r="H75" s="15" t="n">
        <v>139</v>
      </c>
      <c r="I75" s="15" t="s">
        <v>55</v>
      </c>
      <c r="J75" s="15" t="s">
        <v>155</v>
      </c>
      <c r="K75" s="15" t="s">
        <v>55</v>
      </c>
      <c r="L75" s="15" t="s">
        <v>156</v>
      </c>
      <c r="M75" s="15" t="s">
        <v>157</v>
      </c>
      <c r="N75" s="15" t="s">
        <v>158</v>
      </c>
      <c r="O75" s="15" t="s">
        <v>179</v>
      </c>
      <c r="P75" s="15" t="n">
        <v>0.285</v>
      </c>
      <c r="Q75" s="15" t="n">
        <v>0.285</v>
      </c>
      <c r="R75" s="15" t="n">
        <v>10</v>
      </c>
      <c r="S75" s="15" t="s">
        <v>160</v>
      </c>
      <c r="T75" s="15"/>
      <c r="U75" s="15"/>
      <c r="V75" s="15"/>
      <c r="W75" s="15"/>
      <c r="X75" s="15"/>
      <c r="Y75" s="15"/>
      <c r="Z75" s="15"/>
      <c r="AA75" s="15" t="n">
        <v>0</v>
      </c>
      <c r="AB75" s="15" t="n">
        <v>0</v>
      </c>
      <c r="AC75" s="15" t="s">
        <v>161</v>
      </c>
      <c r="AD75" s="15" t="s">
        <v>162</v>
      </c>
      <c r="AE75" s="15" t="s">
        <v>163</v>
      </c>
      <c r="AF75" s="15"/>
      <c r="AG75" s="24" t="n">
        <f aca="false">SUMIFS(Permissions!$G$2:$G$3000,Permissions!$B$2:$B$3000,$A75,Permissions!$I$2:$I$3000,"Complete",Permissions!$P$2:$P$3000,"Yes")</f>
        <v>0</v>
      </c>
      <c r="AH75" s="24" t="n">
        <f aca="false">SUMIFS(Permissions!$G$2:$G$3000,Permissions!$B$2:$B$3000,$A75,Permissions!$I$2:$I$3000,"Under construction",Permissions!$P$2:$P$3000,"Yes")</f>
        <v>0</v>
      </c>
      <c r="AI75" s="24" t="n">
        <f aca="false">SUMIFS(Permissions!$G$2:$G$3000,Permissions!$B$2:$B$3000,$A75,Permissions!$I$2:$I$3000,"Permitted – not started",Permissions!$P$2:$P$3000,"Yes")</f>
        <v>0</v>
      </c>
      <c r="AJ75" s="24" t="n">
        <f aca="false">SUMIFS(Permissions!$G$2:$G$3000,Permissions!$B$2:$B$3000,$A75,Permissions!$I$2:$I$3000,"Stalled",Permissions!$P$2:$P$3000,"Yes")</f>
        <v>0</v>
      </c>
      <c r="AK75" s="24" t="n">
        <f aca="false">AG75+AH75+AI75+AJ75</f>
        <v>0</v>
      </c>
      <c r="AL75" s="24" t="n">
        <f aca="false">SUMIFS(Permissions!$G$2:$G$3000,Permissions!$B$2:$B$3000,$A75,Permissions!$I$2:$I$3000,"Expired – not started",Permissions!$P$2:$P$3000,"Yes")</f>
        <v>0</v>
      </c>
      <c r="AM75" s="24" t="n">
        <f aca="false">SUMIFS(Permissions!$G$2:$G$3000,Permissions!$B$2:$B$3000,$A75,Permissions!$I$2:$I$3000,"In planning",Permissions!$P$2:$P$3000,"Yes")</f>
        <v>0</v>
      </c>
      <c r="AN75" s="24" t="n">
        <f aca="false">IF(R75="",0,MAX(R75-AK75,0))</f>
        <v>10</v>
      </c>
      <c r="AO75" s="25" t="n">
        <f aca="false">AK75+AN75</f>
        <v>10</v>
      </c>
      <c r="AP75" s="24" t="n">
        <f aca="false">AO75-AG75</f>
        <v>10</v>
      </c>
      <c r="AQ75" s="26" t="n">
        <f aca="false">SUMIFS(Permissions!$AH$2:$AH$3000,Permissions!$B$2:$B$3000,$A75,Permissions!$P$2:$P$3000,"Yes")</f>
        <v>0</v>
      </c>
      <c r="AR75" s="26" t="n">
        <f aca="false">SUMIFS(Permissions!$AI$2:$AI$3000,Permissions!$B$2:$B$3000,$A75,Permissions!$P$2:$P$3000,"Yes")</f>
        <v>0</v>
      </c>
      <c r="AS75" s="26" t="n">
        <f aca="false">SUMIFS(Permissions!$AJ$2:$AJ$3000,Permissions!$B$2:$B$3000,$A75,Permissions!$P$2:$P$3000,"Yes")</f>
        <v>0</v>
      </c>
      <c r="AT75" s="26" t="n">
        <f aca="false">SUMIFS(Permissions!$AK$2:$AK$3000,Permissions!$B$2:$B$3000,$A75,Permissions!$P$2:$P$3000,"Yes")</f>
        <v>0</v>
      </c>
      <c r="AU75" s="26" t="n">
        <f aca="false">SUMIFS(Permissions!$AL$2:$AL$3000,Permissions!$B$2:$B$3000,$A75,Permissions!$P$2:$P$3000,"Yes")</f>
        <v>0</v>
      </c>
      <c r="AV75" s="26" t="n">
        <f aca="false">SUMIFS(Permissions!$AM$2:$AM$3000,Permissions!$B$2:$B$3000,$A75,Permissions!$P$2:$P$3000,"Yes")</f>
        <v>0</v>
      </c>
      <c r="AW75" s="24" t="n">
        <f aca="false">COUNTIFS(Permissions!$B$2:$B$3000,$A75,Permissions!$P$2:$P$3000,"Yes")</f>
        <v>0</v>
      </c>
      <c r="AX75" s="24" t="n">
        <f aca="false">SUMIFS(Permissions!$L$2:$L$3000,Permissions!$B$2:$B$3000,$A75,Permissions!$P$2:$P$3000,"Yes")</f>
        <v>0</v>
      </c>
      <c r="AY75" s="27" t="str">
        <f aca="false">IF(AND(AK75&gt;0,AG75&gt;=AK75,AN75=0),"Built out",IF(AG75&gt;0,"Partly built",IF(AK75&gt;0,"Consented – not built","No consent")))</f>
        <v>No consent</v>
      </c>
      <c r="AZ75" s="28" t="str">
        <f aca="false">IF(AND(R75&lt;&gt;"",AK75&gt;1.1*R75),"Consented above capacity",IF(AND(LEFT(B75,8)="Planning",AW75=0),"Consent parcel with no permission",IF(COUNTIF($A$2:$A$3000,$A75)&gt;1,"Duplicate parcel_id","")))</f>
        <v/>
      </c>
    </row>
    <row r="76" customFormat="false" ht="15" hidden="false" customHeight="false" outlineLevel="0" collapsed="false">
      <c r="A76" s="15" t="s">
        <v>273</v>
      </c>
      <c r="B76" s="15" t="s">
        <v>10</v>
      </c>
      <c r="C76" s="15" t="s">
        <v>16</v>
      </c>
      <c r="D76" s="15" t="s">
        <v>55</v>
      </c>
      <c r="E76" s="15" t="s">
        <v>19</v>
      </c>
      <c r="F76" s="15" t="n">
        <v>1</v>
      </c>
      <c r="G76" s="15" t="s">
        <v>154</v>
      </c>
      <c r="H76" s="15" t="n">
        <v>141</v>
      </c>
      <c r="I76" s="15" t="s">
        <v>55</v>
      </c>
      <c r="J76" s="15" t="s">
        <v>155</v>
      </c>
      <c r="K76" s="15" t="s">
        <v>55</v>
      </c>
      <c r="L76" s="15" t="s">
        <v>170</v>
      </c>
      <c r="M76" s="15" t="s">
        <v>157</v>
      </c>
      <c r="N76" s="15" t="s">
        <v>178</v>
      </c>
      <c r="O76" s="15" t="s">
        <v>179</v>
      </c>
      <c r="P76" s="15" t="n">
        <v>0.516</v>
      </c>
      <c r="Q76" s="15" t="n">
        <v>0.517</v>
      </c>
      <c r="R76" s="15" t="n">
        <v>18</v>
      </c>
      <c r="S76" s="15" t="s">
        <v>160</v>
      </c>
      <c r="T76" s="15"/>
      <c r="U76" s="15"/>
      <c r="V76" s="15"/>
      <c r="W76" s="15"/>
      <c r="X76" s="15"/>
      <c r="Y76" s="15"/>
      <c r="Z76" s="15"/>
      <c r="AA76" s="15" t="n">
        <v>0</v>
      </c>
      <c r="AB76" s="15" t="n">
        <v>0</v>
      </c>
      <c r="AC76" s="15" t="s">
        <v>161</v>
      </c>
      <c r="AD76" s="15" t="s">
        <v>162</v>
      </c>
      <c r="AE76" s="15" t="s">
        <v>163</v>
      </c>
      <c r="AF76" s="15"/>
      <c r="AG76" s="24" t="n">
        <f aca="false">SUMIFS(Permissions!$G$2:$G$3000,Permissions!$B$2:$B$3000,$A76,Permissions!$I$2:$I$3000,"Complete",Permissions!$P$2:$P$3000,"Yes")</f>
        <v>0</v>
      </c>
      <c r="AH76" s="24" t="n">
        <f aca="false">SUMIFS(Permissions!$G$2:$G$3000,Permissions!$B$2:$B$3000,$A76,Permissions!$I$2:$I$3000,"Under construction",Permissions!$P$2:$P$3000,"Yes")</f>
        <v>0</v>
      </c>
      <c r="AI76" s="24" t="n">
        <f aca="false">SUMIFS(Permissions!$G$2:$G$3000,Permissions!$B$2:$B$3000,$A76,Permissions!$I$2:$I$3000,"Permitted – not started",Permissions!$P$2:$P$3000,"Yes")</f>
        <v>0</v>
      </c>
      <c r="AJ76" s="24" t="n">
        <f aca="false">SUMIFS(Permissions!$G$2:$G$3000,Permissions!$B$2:$B$3000,$A76,Permissions!$I$2:$I$3000,"Stalled",Permissions!$P$2:$P$3000,"Yes")</f>
        <v>0</v>
      </c>
      <c r="AK76" s="24" t="n">
        <f aca="false">AG76+AH76+AI76+AJ76</f>
        <v>0</v>
      </c>
      <c r="AL76" s="24" t="n">
        <f aca="false">SUMIFS(Permissions!$G$2:$G$3000,Permissions!$B$2:$B$3000,$A76,Permissions!$I$2:$I$3000,"Expired – not started",Permissions!$P$2:$P$3000,"Yes")</f>
        <v>0</v>
      </c>
      <c r="AM76" s="24" t="n">
        <f aca="false">SUMIFS(Permissions!$G$2:$G$3000,Permissions!$B$2:$B$3000,$A76,Permissions!$I$2:$I$3000,"In planning",Permissions!$P$2:$P$3000,"Yes")</f>
        <v>0</v>
      </c>
      <c r="AN76" s="24" t="n">
        <f aca="false">IF(R76="",0,MAX(R76-AK76,0))</f>
        <v>18</v>
      </c>
      <c r="AO76" s="25" t="n">
        <f aca="false">AK76+AN76</f>
        <v>18</v>
      </c>
      <c r="AP76" s="24" t="n">
        <f aca="false">AO76-AG76</f>
        <v>18</v>
      </c>
      <c r="AQ76" s="26" t="n">
        <f aca="false">SUMIFS(Permissions!$AH$2:$AH$3000,Permissions!$B$2:$B$3000,$A76,Permissions!$P$2:$P$3000,"Yes")</f>
        <v>0</v>
      </c>
      <c r="AR76" s="26" t="n">
        <f aca="false">SUMIFS(Permissions!$AI$2:$AI$3000,Permissions!$B$2:$B$3000,$A76,Permissions!$P$2:$P$3000,"Yes")</f>
        <v>0</v>
      </c>
      <c r="AS76" s="26" t="n">
        <f aca="false">SUMIFS(Permissions!$AJ$2:$AJ$3000,Permissions!$B$2:$B$3000,$A76,Permissions!$P$2:$P$3000,"Yes")</f>
        <v>0</v>
      </c>
      <c r="AT76" s="26" t="n">
        <f aca="false">SUMIFS(Permissions!$AK$2:$AK$3000,Permissions!$B$2:$B$3000,$A76,Permissions!$P$2:$P$3000,"Yes")</f>
        <v>0</v>
      </c>
      <c r="AU76" s="26" t="n">
        <f aca="false">SUMIFS(Permissions!$AL$2:$AL$3000,Permissions!$B$2:$B$3000,$A76,Permissions!$P$2:$P$3000,"Yes")</f>
        <v>0</v>
      </c>
      <c r="AV76" s="26" t="n">
        <f aca="false">SUMIFS(Permissions!$AM$2:$AM$3000,Permissions!$B$2:$B$3000,$A76,Permissions!$P$2:$P$3000,"Yes")</f>
        <v>0</v>
      </c>
      <c r="AW76" s="24" t="n">
        <f aca="false">COUNTIFS(Permissions!$B$2:$B$3000,$A76,Permissions!$P$2:$P$3000,"Yes")</f>
        <v>0</v>
      </c>
      <c r="AX76" s="24" t="n">
        <f aca="false">SUMIFS(Permissions!$L$2:$L$3000,Permissions!$B$2:$B$3000,$A76,Permissions!$P$2:$P$3000,"Yes")</f>
        <v>0</v>
      </c>
      <c r="AY76" s="27" t="str">
        <f aca="false">IF(AND(AK76&gt;0,AG76&gt;=AK76,AN76=0),"Built out",IF(AG76&gt;0,"Partly built",IF(AK76&gt;0,"Consented – not built","No consent")))</f>
        <v>No consent</v>
      </c>
      <c r="AZ76" s="28" t="str">
        <f aca="false">IF(AND(R76&lt;&gt;"",AK76&gt;1.1*R76),"Consented above capacity",IF(AND(LEFT(B76,8)="Planning",AW76=0),"Consent parcel with no permission",IF(COUNTIF($A$2:$A$3000,$A76)&gt;1,"Duplicate parcel_id","")))</f>
        <v/>
      </c>
    </row>
    <row r="77" customFormat="false" ht="15" hidden="false" customHeight="false" outlineLevel="0" collapsed="false">
      <c r="A77" s="15" t="s">
        <v>274</v>
      </c>
      <c r="B77" s="15" t="s">
        <v>10</v>
      </c>
      <c r="C77" s="15" t="s">
        <v>16</v>
      </c>
      <c r="D77" s="15" t="s">
        <v>55</v>
      </c>
      <c r="E77" s="15" t="s">
        <v>19</v>
      </c>
      <c r="F77" s="15" t="n">
        <v>1</v>
      </c>
      <c r="G77" s="15" t="s">
        <v>154</v>
      </c>
      <c r="H77" s="15" t="n">
        <v>142</v>
      </c>
      <c r="I77" s="15" t="s">
        <v>55</v>
      </c>
      <c r="J77" s="15" t="s">
        <v>155</v>
      </c>
      <c r="K77" s="15" t="s">
        <v>55</v>
      </c>
      <c r="L77" s="15" t="s">
        <v>170</v>
      </c>
      <c r="M77" s="15" t="s">
        <v>157</v>
      </c>
      <c r="N77" s="15" t="s">
        <v>166</v>
      </c>
      <c r="O77" s="15" t="s">
        <v>179</v>
      </c>
      <c r="P77" s="15" t="n">
        <v>4.121</v>
      </c>
      <c r="Q77" s="15" t="n">
        <v>4.12</v>
      </c>
      <c r="R77" s="15" t="n">
        <v>144</v>
      </c>
      <c r="S77" s="15" t="s">
        <v>160</v>
      </c>
      <c r="T77" s="15"/>
      <c r="U77" s="15"/>
      <c r="V77" s="15"/>
      <c r="W77" s="15"/>
      <c r="X77" s="15"/>
      <c r="Y77" s="15"/>
      <c r="Z77" s="15"/>
      <c r="AA77" s="15" t="n">
        <v>0</v>
      </c>
      <c r="AB77" s="15" t="n">
        <v>0</v>
      </c>
      <c r="AC77" s="15" t="s">
        <v>161</v>
      </c>
      <c r="AD77" s="15" t="s">
        <v>162</v>
      </c>
      <c r="AE77" s="15" t="s">
        <v>163</v>
      </c>
      <c r="AF77" s="15"/>
      <c r="AG77" s="24" t="n">
        <f aca="false">SUMIFS(Permissions!$G$2:$G$3000,Permissions!$B$2:$B$3000,$A77,Permissions!$I$2:$I$3000,"Complete",Permissions!$P$2:$P$3000,"Yes")</f>
        <v>0</v>
      </c>
      <c r="AH77" s="24" t="n">
        <f aca="false">SUMIFS(Permissions!$G$2:$G$3000,Permissions!$B$2:$B$3000,$A77,Permissions!$I$2:$I$3000,"Under construction",Permissions!$P$2:$P$3000,"Yes")</f>
        <v>0</v>
      </c>
      <c r="AI77" s="24" t="n">
        <f aca="false">SUMIFS(Permissions!$G$2:$G$3000,Permissions!$B$2:$B$3000,$A77,Permissions!$I$2:$I$3000,"Permitted – not started",Permissions!$P$2:$P$3000,"Yes")</f>
        <v>0</v>
      </c>
      <c r="AJ77" s="24" t="n">
        <f aca="false">SUMIFS(Permissions!$G$2:$G$3000,Permissions!$B$2:$B$3000,$A77,Permissions!$I$2:$I$3000,"Stalled",Permissions!$P$2:$P$3000,"Yes")</f>
        <v>0</v>
      </c>
      <c r="AK77" s="24" t="n">
        <f aca="false">AG77+AH77+AI77+AJ77</f>
        <v>0</v>
      </c>
      <c r="AL77" s="24" t="n">
        <f aca="false">SUMIFS(Permissions!$G$2:$G$3000,Permissions!$B$2:$B$3000,$A77,Permissions!$I$2:$I$3000,"Expired – not started",Permissions!$P$2:$P$3000,"Yes")</f>
        <v>0</v>
      </c>
      <c r="AM77" s="24" t="n">
        <f aca="false">SUMIFS(Permissions!$G$2:$G$3000,Permissions!$B$2:$B$3000,$A77,Permissions!$I$2:$I$3000,"In planning",Permissions!$P$2:$P$3000,"Yes")</f>
        <v>0</v>
      </c>
      <c r="AN77" s="24" t="n">
        <f aca="false">IF(R77="",0,MAX(R77-AK77,0))</f>
        <v>144</v>
      </c>
      <c r="AO77" s="25" t="n">
        <f aca="false">AK77+AN77</f>
        <v>144</v>
      </c>
      <c r="AP77" s="24" t="n">
        <f aca="false">AO77-AG77</f>
        <v>144</v>
      </c>
      <c r="AQ77" s="26" t="n">
        <f aca="false">SUMIFS(Permissions!$AH$2:$AH$3000,Permissions!$B$2:$B$3000,$A77,Permissions!$P$2:$P$3000,"Yes")</f>
        <v>0</v>
      </c>
      <c r="AR77" s="26" t="n">
        <f aca="false">SUMIFS(Permissions!$AI$2:$AI$3000,Permissions!$B$2:$B$3000,$A77,Permissions!$P$2:$P$3000,"Yes")</f>
        <v>0</v>
      </c>
      <c r="AS77" s="26" t="n">
        <f aca="false">SUMIFS(Permissions!$AJ$2:$AJ$3000,Permissions!$B$2:$B$3000,$A77,Permissions!$P$2:$P$3000,"Yes")</f>
        <v>0</v>
      </c>
      <c r="AT77" s="26" t="n">
        <f aca="false">SUMIFS(Permissions!$AK$2:$AK$3000,Permissions!$B$2:$B$3000,$A77,Permissions!$P$2:$P$3000,"Yes")</f>
        <v>0</v>
      </c>
      <c r="AU77" s="26" t="n">
        <f aca="false">SUMIFS(Permissions!$AL$2:$AL$3000,Permissions!$B$2:$B$3000,$A77,Permissions!$P$2:$P$3000,"Yes")</f>
        <v>0</v>
      </c>
      <c r="AV77" s="26" t="n">
        <f aca="false">SUMIFS(Permissions!$AM$2:$AM$3000,Permissions!$B$2:$B$3000,$A77,Permissions!$P$2:$P$3000,"Yes")</f>
        <v>0</v>
      </c>
      <c r="AW77" s="24" t="n">
        <f aca="false">COUNTIFS(Permissions!$B$2:$B$3000,$A77,Permissions!$P$2:$P$3000,"Yes")</f>
        <v>0</v>
      </c>
      <c r="AX77" s="24" t="n">
        <f aca="false">SUMIFS(Permissions!$L$2:$L$3000,Permissions!$B$2:$B$3000,$A77,Permissions!$P$2:$P$3000,"Yes")</f>
        <v>0</v>
      </c>
      <c r="AY77" s="27" t="str">
        <f aca="false">IF(AND(AK77&gt;0,AG77&gt;=AK77,AN77=0),"Built out",IF(AG77&gt;0,"Partly built",IF(AK77&gt;0,"Consented – not built","No consent")))</f>
        <v>No consent</v>
      </c>
      <c r="AZ77" s="28" t="str">
        <f aca="false">IF(AND(R77&lt;&gt;"",AK77&gt;1.1*R77),"Consented above capacity",IF(AND(LEFT(B77,8)="Planning",AW77=0),"Consent parcel with no permission",IF(COUNTIF($A$2:$A$3000,$A77)&gt;1,"Duplicate parcel_id","")))</f>
        <v/>
      </c>
    </row>
    <row r="78" customFormat="false" ht="15" hidden="false" customHeight="false" outlineLevel="0" collapsed="false">
      <c r="A78" s="15" t="s">
        <v>275</v>
      </c>
      <c r="B78" s="15" t="s">
        <v>10</v>
      </c>
      <c r="C78" s="15" t="s">
        <v>16</v>
      </c>
      <c r="D78" s="15" t="s">
        <v>55</v>
      </c>
      <c r="E78" s="15" t="s">
        <v>19</v>
      </c>
      <c r="F78" s="15" t="n">
        <v>1</v>
      </c>
      <c r="G78" s="15" t="s">
        <v>154</v>
      </c>
      <c r="H78" s="15" t="n">
        <v>143</v>
      </c>
      <c r="I78" s="15" t="s">
        <v>55</v>
      </c>
      <c r="J78" s="15" t="s">
        <v>155</v>
      </c>
      <c r="K78" s="15" t="s">
        <v>55</v>
      </c>
      <c r="L78" s="15" t="s">
        <v>170</v>
      </c>
      <c r="M78" s="15" t="s">
        <v>157</v>
      </c>
      <c r="N78" s="15" t="s">
        <v>166</v>
      </c>
      <c r="O78" s="15" t="s">
        <v>179</v>
      </c>
      <c r="P78" s="15" t="n">
        <v>4.38</v>
      </c>
      <c r="Q78" s="15" t="n">
        <v>4.441</v>
      </c>
      <c r="R78" s="15" t="n">
        <v>153</v>
      </c>
      <c r="S78" s="15" t="s">
        <v>160</v>
      </c>
      <c r="T78" s="15"/>
      <c r="U78" s="15"/>
      <c r="V78" s="15"/>
      <c r="W78" s="15"/>
      <c r="X78" s="15"/>
      <c r="Y78" s="15"/>
      <c r="Z78" s="15"/>
      <c r="AA78" s="15" t="n">
        <v>0</v>
      </c>
      <c r="AB78" s="15" t="n">
        <v>0</v>
      </c>
      <c r="AC78" s="15" t="s">
        <v>180</v>
      </c>
      <c r="AD78" s="15" t="s">
        <v>162</v>
      </c>
      <c r="AE78" s="15" t="s">
        <v>163</v>
      </c>
      <c r="AF78" s="15"/>
      <c r="AG78" s="24" t="n">
        <f aca="false">SUMIFS(Permissions!$G$2:$G$3000,Permissions!$B$2:$B$3000,$A78,Permissions!$I$2:$I$3000,"Complete",Permissions!$P$2:$P$3000,"Yes")</f>
        <v>0</v>
      </c>
      <c r="AH78" s="24" t="n">
        <f aca="false">SUMIFS(Permissions!$G$2:$G$3000,Permissions!$B$2:$B$3000,$A78,Permissions!$I$2:$I$3000,"Under construction",Permissions!$P$2:$P$3000,"Yes")</f>
        <v>0</v>
      </c>
      <c r="AI78" s="24" t="n">
        <f aca="false">SUMIFS(Permissions!$G$2:$G$3000,Permissions!$B$2:$B$3000,$A78,Permissions!$I$2:$I$3000,"Permitted – not started",Permissions!$P$2:$P$3000,"Yes")</f>
        <v>139</v>
      </c>
      <c r="AJ78" s="24" t="n">
        <f aca="false">SUMIFS(Permissions!$G$2:$G$3000,Permissions!$B$2:$B$3000,$A78,Permissions!$I$2:$I$3000,"Stalled",Permissions!$P$2:$P$3000,"Yes")</f>
        <v>0</v>
      </c>
      <c r="AK78" s="24" t="n">
        <f aca="false">AG78+AH78+AI78+AJ78</f>
        <v>139</v>
      </c>
      <c r="AL78" s="24" t="n">
        <f aca="false">SUMIFS(Permissions!$G$2:$G$3000,Permissions!$B$2:$B$3000,$A78,Permissions!$I$2:$I$3000,"Expired – not started",Permissions!$P$2:$P$3000,"Yes")</f>
        <v>0</v>
      </c>
      <c r="AM78" s="24" t="n">
        <f aca="false">SUMIFS(Permissions!$G$2:$G$3000,Permissions!$B$2:$B$3000,$A78,Permissions!$I$2:$I$3000,"In planning",Permissions!$P$2:$P$3000,"Yes")</f>
        <v>0</v>
      </c>
      <c r="AN78" s="24" t="n">
        <f aca="false">IF(R78="",0,MAX(R78-AK78,0))</f>
        <v>14</v>
      </c>
      <c r="AO78" s="25" t="n">
        <f aca="false">AK78+AN78</f>
        <v>153</v>
      </c>
      <c r="AP78" s="24" t="n">
        <f aca="false">AO78-AG78</f>
        <v>153</v>
      </c>
      <c r="AQ78" s="26" t="n">
        <f aca="false">SUMIFS(Permissions!$AH$2:$AH$3000,Permissions!$B$2:$B$3000,$A78,Permissions!$P$2:$P$3000,"Yes")</f>
        <v>0</v>
      </c>
      <c r="AR78" s="26" t="n">
        <f aca="false">SUMIFS(Permissions!$AI$2:$AI$3000,Permissions!$B$2:$B$3000,$A78,Permissions!$P$2:$P$3000,"Yes")</f>
        <v>0</v>
      </c>
      <c r="AS78" s="26" t="n">
        <f aca="false">SUMIFS(Permissions!$AJ$2:$AJ$3000,Permissions!$B$2:$B$3000,$A78,Permissions!$P$2:$P$3000,"Yes")</f>
        <v>43.2</v>
      </c>
      <c r="AT78" s="26" t="n">
        <f aca="false">SUMIFS(Permissions!$AK$2:$AK$3000,Permissions!$B$2:$B$3000,$A78,Permissions!$P$2:$P$3000,"Yes")</f>
        <v>78.7</v>
      </c>
      <c r="AU78" s="26" t="n">
        <f aca="false">SUMIFS(Permissions!$AL$2:$AL$3000,Permissions!$B$2:$B$3000,$A78,Permissions!$P$2:$P$3000,"Yes")</f>
        <v>17</v>
      </c>
      <c r="AV78" s="26" t="n">
        <f aca="false">SUMIFS(Permissions!$AM$2:$AM$3000,Permissions!$B$2:$B$3000,$A78,Permissions!$P$2:$P$3000,"Yes")</f>
        <v>0.1</v>
      </c>
      <c r="AW78" s="24" t="n">
        <f aca="false">COUNTIFS(Permissions!$B$2:$B$3000,$A78,Permissions!$P$2:$P$3000,"Yes")</f>
        <v>1</v>
      </c>
      <c r="AX78" s="24" t="n">
        <f aca="false">SUMIFS(Permissions!$L$2:$L$3000,Permissions!$B$2:$B$3000,$A78,Permissions!$P$2:$P$3000,"Yes")</f>
        <v>0</v>
      </c>
      <c r="AY78" s="27" t="str">
        <f aca="false">IF(AND(AK78&gt;0,AG78&gt;=AK78,AN78=0),"Built out",IF(AG78&gt;0,"Partly built",IF(AK78&gt;0,"Consented – not built","No consent")))</f>
        <v>Consented – not built</v>
      </c>
      <c r="AZ78" s="28" t="str">
        <f aca="false">IF(AND(R78&lt;&gt;"",AK78&gt;1.1*R78),"Consented above capacity",IF(AND(LEFT(B78,8)="Planning",AW78=0),"Consent parcel with no permission",IF(COUNTIF($A$2:$A$3000,$A78)&gt;1,"Duplicate parcel_id","")))</f>
        <v/>
      </c>
    </row>
    <row r="79" customFormat="false" ht="15" hidden="false" customHeight="false" outlineLevel="0" collapsed="false">
      <c r="A79" s="15" t="s">
        <v>276</v>
      </c>
      <c r="B79" s="15" t="s">
        <v>10</v>
      </c>
      <c r="C79" s="15" t="s">
        <v>16</v>
      </c>
      <c r="D79" s="15" t="s">
        <v>55</v>
      </c>
      <c r="E79" s="15" t="s">
        <v>19</v>
      </c>
      <c r="F79" s="15" t="n">
        <v>1</v>
      </c>
      <c r="G79" s="15" t="s">
        <v>154</v>
      </c>
      <c r="H79" s="15" t="n">
        <v>144</v>
      </c>
      <c r="I79" s="15" t="s">
        <v>55</v>
      </c>
      <c r="J79" s="15" t="s">
        <v>155</v>
      </c>
      <c r="K79" s="15" t="s">
        <v>55</v>
      </c>
      <c r="L79" s="15" t="s">
        <v>156</v>
      </c>
      <c r="M79" s="15" t="s">
        <v>157</v>
      </c>
      <c r="N79" s="15" t="s">
        <v>178</v>
      </c>
      <c r="O79" s="15" t="s">
        <v>179</v>
      </c>
      <c r="P79" s="15" t="n">
        <v>31.95</v>
      </c>
      <c r="Q79" s="15" t="n">
        <v>32.358</v>
      </c>
      <c r="R79" s="15" t="n">
        <v>1747</v>
      </c>
      <c r="S79" s="15" t="s">
        <v>160</v>
      </c>
      <c r="T79" s="15"/>
      <c r="U79" s="15"/>
      <c r="V79" s="15"/>
      <c r="W79" s="15"/>
      <c r="X79" s="15"/>
      <c r="Y79" s="15"/>
      <c r="Z79" s="15"/>
      <c r="AA79" s="15" t="n">
        <v>0</v>
      </c>
      <c r="AB79" s="15" t="n">
        <v>0</v>
      </c>
      <c r="AC79" s="15" t="s">
        <v>161</v>
      </c>
      <c r="AD79" s="15" t="s">
        <v>162</v>
      </c>
      <c r="AE79" s="15" t="s">
        <v>163</v>
      </c>
      <c r="AF79" s="15"/>
      <c r="AG79" s="24" t="n">
        <f aca="false">SUMIFS(Permissions!$G$2:$G$3000,Permissions!$B$2:$B$3000,$A79,Permissions!$I$2:$I$3000,"Complete",Permissions!$P$2:$P$3000,"Yes")</f>
        <v>0</v>
      </c>
      <c r="AH79" s="24" t="n">
        <f aca="false">SUMIFS(Permissions!$G$2:$G$3000,Permissions!$B$2:$B$3000,$A79,Permissions!$I$2:$I$3000,"Under construction",Permissions!$P$2:$P$3000,"Yes")</f>
        <v>0</v>
      </c>
      <c r="AI79" s="24" t="n">
        <f aca="false">SUMIFS(Permissions!$G$2:$G$3000,Permissions!$B$2:$B$3000,$A79,Permissions!$I$2:$I$3000,"Permitted – not started",Permissions!$P$2:$P$3000,"Yes")</f>
        <v>351</v>
      </c>
      <c r="AJ79" s="24" t="n">
        <f aca="false">SUMIFS(Permissions!$G$2:$G$3000,Permissions!$B$2:$B$3000,$A79,Permissions!$I$2:$I$3000,"Stalled",Permissions!$P$2:$P$3000,"Yes")</f>
        <v>0</v>
      </c>
      <c r="AK79" s="24" t="n">
        <f aca="false">AG79+AH79+AI79+AJ79</f>
        <v>351</v>
      </c>
      <c r="AL79" s="24" t="n">
        <f aca="false">SUMIFS(Permissions!$G$2:$G$3000,Permissions!$B$2:$B$3000,$A79,Permissions!$I$2:$I$3000,"Expired – not started",Permissions!$P$2:$P$3000,"Yes")</f>
        <v>0</v>
      </c>
      <c r="AM79" s="24" t="n">
        <f aca="false">SUMIFS(Permissions!$G$2:$G$3000,Permissions!$B$2:$B$3000,$A79,Permissions!$I$2:$I$3000,"In planning",Permissions!$P$2:$P$3000,"Yes")</f>
        <v>0</v>
      </c>
      <c r="AN79" s="24" t="n">
        <f aca="false">IF(R79="",0,MAX(R79-AK79,0))</f>
        <v>1396</v>
      </c>
      <c r="AO79" s="25" t="n">
        <f aca="false">AK79+AN79</f>
        <v>1747</v>
      </c>
      <c r="AP79" s="24" t="n">
        <f aca="false">AO79-AG79</f>
        <v>1747</v>
      </c>
      <c r="AQ79" s="26" t="n">
        <f aca="false">SUMIFS(Permissions!$AH$2:$AH$3000,Permissions!$B$2:$B$3000,$A79,Permissions!$P$2:$P$3000,"Yes")</f>
        <v>0</v>
      </c>
      <c r="AR79" s="26" t="n">
        <f aca="false">SUMIFS(Permissions!$AI$2:$AI$3000,Permissions!$B$2:$B$3000,$A79,Permissions!$P$2:$P$3000,"Yes")</f>
        <v>0</v>
      </c>
      <c r="AS79" s="26" t="n">
        <f aca="false">SUMIFS(Permissions!$AJ$2:$AJ$3000,Permissions!$B$2:$B$3000,$A79,Permissions!$P$2:$P$3000,"Yes")</f>
        <v>0</v>
      </c>
      <c r="AT79" s="26" t="n">
        <f aca="false">SUMIFS(Permissions!$AK$2:$AK$3000,Permissions!$B$2:$B$3000,$A79,Permissions!$P$2:$P$3000,"Yes")</f>
        <v>90.1</v>
      </c>
      <c r="AU79" s="26" t="n">
        <f aca="false">SUMIFS(Permissions!$AL$2:$AL$3000,Permissions!$B$2:$B$3000,$A79,Permissions!$P$2:$P$3000,"Yes")</f>
        <v>140.9</v>
      </c>
      <c r="AV79" s="26" t="n">
        <f aca="false">SUMIFS(Permissions!$AM$2:$AM$3000,Permissions!$B$2:$B$3000,$A79,Permissions!$P$2:$P$3000,"Yes")</f>
        <v>120</v>
      </c>
      <c r="AW79" s="24" t="n">
        <f aca="false">COUNTIFS(Permissions!$B$2:$B$3000,$A79,Permissions!$P$2:$P$3000,"Yes")</f>
        <v>2</v>
      </c>
      <c r="AX79" s="24" t="n">
        <f aca="false">SUMIFS(Permissions!$L$2:$L$3000,Permissions!$B$2:$B$3000,$A79,Permissions!$P$2:$P$3000,"Yes")</f>
        <v>0</v>
      </c>
      <c r="AY79" s="27" t="str">
        <f aca="false">IF(AND(AK79&gt;0,AG79&gt;=AK79,AN79=0),"Built out",IF(AG79&gt;0,"Partly built",IF(AK79&gt;0,"Consented – not built","No consent")))</f>
        <v>Consented – not built</v>
      </c>
      <c r="AZ79" s="28" t="str">
        <f aca="false">IF(AND(R79&lt;&gt;"",AK79&gt;1.1*R79),"Consented above capacity",IF(AND(LEFT(B79,8)="Planning",AW79=0),"Consent parcel with no permission",IF(COUNTIF($A$2:$A$3000,$A79)&gt;1,"Duplicate parcel_id","")))</f>
        <v/>
      </c>
    </row>
    <row r="80" customFormat="false" ht="15" hidden="false" customHeight="false" outlineLevel="0" collapsed="false">
      <c r="A80" s="15" t="s">
        <v>277</v>
      </c>
      <c r="B80" s="15" t="s">
        <v>10</v>
      </c>
      <c r="C80" s="15" t="s">
        <v>16</v>
      </c>
      <c r="D80" s="15" t="s">
        <v>55</v>
      </c>
      <c r="E80" s="15" t="s">
        <v>19</v>
      </c>
      <c r="F80" s="15" t="n">
        <v>1</v>
      </c>
      <c r="G80" s="15" t="s">
        <v>154</v>
      </c>
      <c r="H80" s="15" t="n">
        <v>145</v>
      </c>
      <c r="I80" s="15" t="s">
        <v>55</v>
      </c>
      <c r="J80" s="15" t="s">
        <v>155</v>
      </c>
      <c r="K80" s="15" t="s">
        <v>55</v>
      </c>
      <c r="L80" s="15" t="s">
        <v>156</v>
      </c>
      <c r="M80" s="15" t="s">
        <v>157</v>
      </c>
      <c r="N80" s="15" t="s">
        <v>178</v>
      </c>
      <c r="O80" s="15" t="s">
        <v>179</v>
      </c>
      <c r="P80" s="15" t="n">
        <v>1.326</v>
      </c>
      <c r="Q80" s="15" t="n">
        <v>1.326</v>
      </c>
      <c r="R80" s="15" t="n">
        <v>46</v>
      </c>
      <c r="S80" s="15" t="s">
        <v>160</v>
      </c>
      <c r="T80" s="15"/>
      <c r="U80" s="15"/>
      <c r="V80" s="15"/>
      <c r="W80" s="15"/>
      <c r="X80" s="15"/>
      <c r="Y80" s="15"/>
      <c r="Z80" s="15"/>
      <c r="AA80" s="15" t="n">
        <v>0</v>
      </c>
      <c r="AB80" s="15" t="n">
        <v>0</v>
      </c>
      <c r="AC80" s="15" t="s">
        <v>161</v>
      </c>
      <c r="AD80" s="15" t="s">
        <v>162</v>
      </c>
      <c r="AE80" s="15" t="s">
        <v>163</v>
      </c>
      <c r="AF80" s="15"/>
      <c r="AG80" s="24" t="n">
        <f aca="false">SUMIFS(Permissions!$G$2:$G$3000,Permissions!$B$2:$B$3000,$A80,Permissions!$I$2:$I$3000,"Complete",Permissions!$P$2:$P$3000,"Yes")</f>
        <v>0</v>
      </c>
      <c r="AH80" s="24" t="n">
        <f aca="false">SUMIFS(Permissions!$G$2:$G$3000,Permissions!$B$2:$B$3000,$A80,Permissions!$I$2:$I$3000,"Under construction",Permissions!$P$2:$P$3000,"Yes")</f>
        <v>0</v>
      </c>
      <c r="AI80" s="24" t="n">
        <f aca="false">SUMIFS(Permissions!$G$2:$G$3000,Permissions!$B$2:$B$3000,$A80,Permissions!$I$2:$I$3000,"Permitted – not started",Permissions!$P$2:$P$3000,"Yes")</f>
        <v>0</v>
      </c>
      <c r="AJ80" s="24" t="n">
        <f aca="false">SUMIFS(Permissions!$G$2:$G$3000,Permissions!$B$2:$B$3000,$A80,Permissions!$I$2:$I$3000,"Stalled",Permissions!$P$2:$P$3000,"Yes")</f>
        <v>0</v>
      </c>
      <c r="AK80" s="24" t="n">
        <f aca="false">AG80+AH80+AI80+AJ80</f>
        <v>0</v>
      </c>
      <c r="AL80" s="24" t="n">
        <f aca="false">SUMIFS(Permissions!$G$2:$G$3000,Permissions!$B$2:$B$3000,$A80,Permissions!$I$2:$I$3000,"Expired – not started",Permissions!$P$2:$P$3000,"Yes")</f>
        <v>0</v>
      </c>
      <c r="AM80" s="24" t="n">
        <f aca="false">SUMIFS(Permissions!$G$2:$G$3000,Permissions!$B$2:$B$3000,$A80,Permissions!$I$2:$I$3000,"In planning",Permissions!$P$2:$P$3000,"Yes")</f>
        <v>0</v>
      </c>
      <c r="AN80" s="24" t="n">
        <f aca="false">IF(R80="",0,MAX(R80-AK80,0))</f>
        <v>46</v>
      </c>
      <c r="AO80" s="25" t="n">
        <f aca="false">AK80+AN80</f>
        <v>46</v>
      </c>
      <c r="AP80" s="24" t="n">
        <f aca="false">AO80-AG80</f>
        <v>46</v>
      </c>
      <c r="AQ80" s="26" t="n">
        <f aca="false">SUMIFS(Permissions!$AH$2:$AH$3000,Permissions!$B$2:$B$3000,$A80,Permissions!$P$2:$P$3000,"Yes")</f>
        <v>0</v>
      </c>
      <c r="AR80" s="26" t="n">
        <f aca="false">SUMIFS(Permissions!$AI$2:$AI$3000,Permissions!$B$2:$B$3000,$A80,Permissions!$P$2:$P$3000,"Yes")</f>
        <v>0</v>
      </c>
      <c r="AS80" s="26" t="n">
        <f aca="false">SUMIFS(Permissions!$AJ$2:$AJ$3000,Permissions!$B$2:$B$3000,$A80,Permissions!$P$2:$P$3000,"Yes")</f>
        <v>0</v>
      </c>
      <c r="AT80" s="26" t="n">
        <f aca="false">SUMIFS(Permissions!$AK$2:$AK$3000,Permissions!$B$2:$B$3000,$A80,Permissions!$P$2:$P$3000,"Yes")</f>
        <v>0</v>
      </c>
      <c r="AU80" s="26" t="n">
        <f aca="false">SUMIFS(Permissions!$AL$2:$AL$3000,Permissions!$B$2:$B$3000,$A80,Permissions!$P$2:$P$3000,"Yes")</f>
        <v>0</v>
      </c>
      <c r="AV80" s="26" t="n">
        <f aca="false">SUMIFS(Permissions!$AM$2:$AM$3000,Permissions!$B$2:$B$3000,$A80,Permissions!$P$2:$P$3000,"Yes")</f>
        <v>0</v>
      </c>
      <c r="AW80" s="24" t="n">
        <f aca="false">COUNTIFS(Permissions!$B$2:$B$3000,$A80,Permissions!$P$2:$P$3000,"Yes")</f>
        <v>0</v>
      </c>
      <c r="AX80" s="24" t="n">
        <f aca="false">SUMIFS(Permissions!$L$2:$L$3000,Permissions!$B$2:$B$3000,$A80,Permissions!$P$2:$P$3000,"Yes")</f>
        <v>0</v>
      </c>
      <c r="AY80" s="27" t="str">
        <f aca="false">IF(AND(AK80&gt;0,AG80&gt;=AK80,AN80=0),"Built out",IF(AG80&gt;0,"Partly built",IF(AK80&gt;0,"Consented – not built","No consent")))</f>
        <v>No consent</v>
      </c>
      <c r="AZ80" s="28" t="str">
        <f aca="false">IF(AND(R80&lt;&gt;"",AK80&gt;1.1*R80),"Consented above capacity",IF(AND(LEFT(B80,8)="Planning",AW80=0),"Consent parcel with no permission",IF(COUNTIF($A$2:$A$3000,$A80)&gt;1,"Duplicate parcel_id","")))</f>
        <v/>
      </c>
    </row>
    <row r="81" customFormat="false" ht="15" hidden="false" customHeight="false" outlineLevel="0" collapsed="false">
      <c r="A81" s="15" t="s">
        <v>278</v>
      </c>
      <c r="B81" s="15" t="s">
        <v>10</v>
      </c>
      <c r="C81" s="15" t="s">
        <v>16</v>
      </c>
      <c r="D81" s="15" t="s">
        <v>55</v>
      </c>
      <c r="E81" s="15" t="s">
        <v>19</v>
      </c>
      <c r="F81" s="15" t="n">
        <v>1</v>
      </c>
      <c r="G81" s="15" t="s">
        <v>154</v>
      </c>
      <c r="H81" s="15" t="n">
        <v>146</v>
      </c>
      <c r="I81" s="15" t="s">
        <v>55</v>
      </c>
      <c r="J81" s="15" t="s">
        <v>155</v>
      </c>
      <c r="K81" s="15" t="s">
        <v>55</v>
      </c>
      <c r="L81" s="15" t="s">
        <v>156</v>
      </c>
      <c r="M81" s="15" t="s">
        <v>157</v>
      </c>
      <c r="N81" s="15" t="s">
        <v>178</v>
      </c>
      <c r="O81" s="15" t="s">
        <v>179</v>
      </c>
      <c r="P81" s="15" t="n">
        <v>0.632</v>
      </c>
      <c r="Q81" s="15" t="n">
        <v>0.632</v>
      </c>
      <c r="R81" s="15" t="n">
        <v>22</v>
      </c>
      <c r="S81" s="15" t="s">
        <v>160</v>
      </c>
      <c r="T81" s="15"/>
      <c r="U81" s="15"/>
      <c r="V81" s="15"/>
      <c r="W81" s="15"/>
      <c r="X81" s="15"/>
      <c r="Y81" s="15"/>
      <c r="Z81" s="15"/>
      <c r="AA81" s="15" t="n">
        <v>0</v>
      </c>
      <c r="AB81" s="15" t="n">
        <v>0</v>
      </c>
      <c r="AC81" s="15" t="s">
        <v>161</v>
      </c>
      <c r="AD81" s="15" t="s">
        <v>162</v>
      </c>
      <c r="AE81" s="15" t="s">
        <v>163</v>
      </c>
      <c r="AF81" s="15"/>
      <c r="AG81" s="24" t="n">
        <f aca="false">SUMIFS(Permissions!$G$2:$G$3000,Permissions!$B$2:$B$3000,$A81,Permissions!$I$2:$I$3000,"Complete",Permissions!$P$2:$P$3000,"Yes")</f>
        <v>0</v>
      </c>
      <c r="AH81" s="24" t="n">
        <f aca="false">SUMIFS(Permissions!$G$2:$G$3000,Permissions!$B$2:$B$3000,$A81,Permissions!$I$2:$I$3000,"Under construction",Permissions!$P$2:$P$3000,"Yes")</f>
        <v>0</v>
      </c>
      <c r="AI81" s="24" t="n">
        <f aca="false">SUMIFS(Permissions!$G$2:$G$3000,Permissions!$B$2:$B$3000,$A81,Permissions!$I$2:$I$3000,"Permitted – not started",Permissions!$P$2:$P$3000,"Yes")</f>
        <v>0</v>
      </c>
      <c r="AJ81" s="24" t="n">
        <f aca="false">SUMIFS(Permissions!$G$2:$G$3000,Permissions!$B$2:$B$3000,$A81,Permissions!$I$2:$I$3000,"Stalled",Permissions!$P$2:$P$3000,"Yes")</f>
        <v>0</v>
      </c>
      <c r="AK81" s="24" t="n">
        <f aca="false">AG81+AH81+AI81+AJ81</f>
        <v>0</v>
      </c>
      <c r="AL81" s="24" t="n">
        <f aca="false">SUMIFS(Permissions!$G$2:$G$3000,Permissions!$B$2:$B$3000,$A81,Permissions!$I$2:$I$3000,"Expired – not started",Permissions!$P$2:$P$3000,"Yes")</f>
        <v>0</v>
      </c>
      <c r="AM81" s="24" t="n">
        <f aca="false">SUMIFS(Permissions!$G$2:$G$3000,Permissions!$B$2:$B$3000,$A81,Permissions!$I$2:$I$3000,"In planning",Permissions!$P$2:$P$3000,"Yes")</f>
        <v>0</v>
      </c>
      <c r="AN81" s="24" t="n">
        <f aca="false">IF(R81="",0,MAX(R81-AK81,0))</f>
        <v>22</v>
      </c>
      <c r="AO81" s="25" t="n">
        <f aca="false">AK81+AN81</f>
        <v>22</v>
      </c>
      <c r="AP81" s="24" t="n">
        <f aca="false">AO81-AG81</f>
        <v>22</v>
      </c>
      <c r="AQ81" s="26" t="n">
        <f aca="false">SUMIFS(Permissions!$AH$2:$AH$3000,Permissions!$B$2:$B$3000,$A81,Permissions!$P$2:$P$3000,"Yes")</f>
        <v>0</v>
      </c>
      <c r="AR81" s="26" t="n">
        <f aca="false">SUMIFS(Permissions!$AI$2:$AI$3000,Permissions!$B$2:$B$3000,$A81,Permissions!$P$2:$P$3000,"Yes")</f>
        <v>0</v>
      </c>
      <c r="AS81" s="26" t="n">
        <f aca="false">SUMIFS(Permissions!$AJ$2:$AJ$3000,Permissions!$B$2:$B$3000,$A81,Permissions!$P$2:$P$3000,"Yes")</f>
        <v>0</v>
      </c>
      <c r="AT81" s="26" t="n">
        <f aca="false">SUMIFS(Permissions!$AK$2:$AK$3000,Permissions!$B$2:$B$3000,$A81,Permissions!$P$2:$P$3000,"Yes")</f>
        <v>0</v>
      </c>
      <c r="AU81" s="26" t="n">
        <f aca="false">SUMIFS(Permissions!$AL$2:$AL$3000,Permissions!$B$2:$B$3000,$A81,Permissions!$P$2:$P$3000,"Yes")</f>
        <v>0</v>
      </c>
      <c r="AV81" s="26" t="n">
        <f aca="false">SUMIFS(Permissions!$AM$2:$AM$3000,Permissions!$B$2:$B$3000,$A81,Permissions!$P$2:$P$3000,"Yes")</f>
        <v>0</v>
      </c>
      <c r="AW81" s="24" t="n">
        <f aca="false">COUNTIFS(Permissions!$B$2:$B$3000,$A81,Permissions!$P$2:$P$3000,"Yes")</f>
        <v>0</v>
      </c>
      <c r="AX81" s="24" t="n">
        <f aca="false">SUMIFS(Permissions!$L$2:$L$3000,Permissions!$B$2:$B$3000,$A81,Permissions!$P$2:$P$3000,"Yes")</f>
        <v>0</v>
      </c>
      <c r="AY81" s="27" t="str">
        <f aca="false">IF(AND(AK81&gt;0,AG81&gt;=AK81,AN81=0),"Built out",IF(AG81&gt;0,"Partly built",IF(AK81&gt;0,"Consented – not built","No consent")))</f>
        <v>No consent</v>
      </c>
      <c r="AZ81" s="28" t="str">
        <f aca="false">IF(AND(R81&lt;&gt;"",AK81&gt;1.1*R81),"Consented above capacity",IF(AND(LEFT(B81,8)="Planning",AW81=0),"Consent parcel with no permission",IF(COUNTIF($A$2:$A$3000,$A81)&gt;1,"Duplicate parcel_id","")))</f>
        <v/>
      </c>
    </row>
    <row r="82" customFormat="false" ht="15" hidden="false" customHeight="false" outlineLevel="0" collapsed="false">
      <c r="A82" s="15" t="s">
        <v>279</v>
      </c>
      <c r="B82" s="15" t="s">
        <v>10</v>
      </c>
      <c r="C82" s="15" t="s">
        <v>16</v>
      </c>
      <c r="D82" s="15" t="s">
        <v>55</v>
      </c>
      <c r="E82" s="15" t="s">
        <v>19</v>
      </c>
      <c r="F82" s="15" t="n">
        <v>1</v>
      </c>
      <c r="G82" s="15" t="s">
        <v>154</v>
      </c>
      <c r="H82" s="15" t="n">
        <v>147</v>
      </c>
      <c r="I82" s="15" t="s">
        <v>55</v>
      </c>
      <c r="J82" s="15" t="s">
        <v>155</v>
      </c>
      <c r="K82" s="15" t="s">
        <v>55</v>
      </c>
      <c r="L82" s="15" t="s">
        <v>183</v>
      </c>
      <c r="M82" s="15" t="s">
        <v>200</v>
      </c>
      <c r="N82" s="15" t="s">
        <v>166</v>
      </c>
      <c r="O82" s="15" t="s">
        <v>179</v>
      </c>
      <c r="P82" s="15" t="n">
        <v>0.26</v>
      </c>
      <c r="Q82" s="15" t="n">
        <v>1.038</v>
      </c>
      <c r="R82" s="15" t="n">
        <v>9</v>
      </c>
      <c r="S82" s="15" t="s">
        <v>160</v>
      </c>
      <c r="T82" s="15"/>
      <c r="U82" s="15"/>
      <c r="V82" s="15"/>
      <c r="W82" s="15"/>
      <c r="X82" s="15"/>
      <c r="Y82" s="15"/>
      <c r="Z82" s="15"/>
      <c r="AA82" s="15" t="n">
        <v>0</v>
      </c>
      <c r="AB82" s="15" t="n">
        <v>0</v>
      </c>
      <c r="AC82" s="15" t="s">
        <v>180</v>
      </c>
      <c r="AD82" s="15" t="s">
        <v>162</v>
      </c>
      <c r="AE82" s="15" t="s">
        <v>163</v>
      </c>
      <c r="AF82" s="15"/>
      <c r="AG82" s="24" t="n">
        <f aca="false">SUMIFS(Permissions!$G$2:$G$3000,Permissions!$B$2:$B$3000,$A82,Permissions!$I$2:$I$3000,"Complete",Permissions!$P$2:$P$3000,"Yes")</f>
        <v>0</v>
      </c>
      <c r="AH82" s="24" t="n">
        <f aca="false">SUMIFS(Permissions!$G$2:$G$3000,Permissions!$B$2:$B$3000,$A82,Permissions!$I$2:$I$3000,"Under construction",Permissions!$P$2:$P$3000,"Yes")</f>
        <v>0</v>
      </c>
      <c r="AI82" s="24" t="n">
        <f aca="false">SUMIFS(Permissions!$G$2:$G$3000,Permissions!$B$2:$B$3000,$A82,Permissions!$I$2:$I$3000,"Permitted – not started",Permissions!$P$2:$P$3000,"Yes")</f>
        <v>0</v>
      </c>
      <c r="AJ82" s="24" t="n">
        <f aca="false">SUMIFS(Permissions!$G$2:$G$3000,Permissions!$B$2:$B$3000,$A82,Permissions!$I$2:$I$3000,"Stalled",Permissions!$P$2:$P$3000,"Yes")</f>
        <v>0</v>
      </c>
      <c r="AK82" s="24" t="n">
        <f aca="false">AG82+AH82+AI82+AJ82</f>
        <v>0</v>
      </c>
      <c r="AL82" s="24" t="n">
        <f aca="false">SUMIFS(Permissions!$G$2:$G$3000,Permissions!$B$2:$B$3000,$A82,Permissions!$I$2:$I$3000,"Expired – not started",Permissions!$P$2:$P$3000,"Yes")</f>
        <v>0</v>
      </c>
      <c r="AM82" s="24" t="n">
        <f aca="false">SUMIFS(Permissions!$G$2:$G$3000,Permissions!$B$2:$B$3000,$A82,Permissions!$I$2:$I$3000,"In planning",Permissions!$P$2:$P$3000,"Yes")</f>
        <v>0</v>
      </c>
      <c r="AN82" s="24" t="n">
        <f aca="false">IF(R82="",0,MAX(R82-AK82,0))</f>
        <v>9</v>
      </c>
      <c r="AO82" s="25" t="n">
        <f aca="false">AK82+AN82</f>
        <v>9</v>
      </c>
      <c r="AP82" s="24" t="n">
        <f aca="false">AO82-AG82</f>
        <v>9</v>
      </c>
      <c r="AQ82" s="26" t="n">
        <f aca="false">SUMIFS(Permissions!$AH$2:$AH$3000,Permissions!$B$2:$B$3000,$A82,Permissions!$P$2:$P$3000,"Yes")</f>
        <v>0</v>
      </c>
      <c r="AR82" s="26" t="n">
        <f aca="false">SUMIFS(Permissions!$AI$2:$AI$3000,Permissions!$B$2:$B$3000,$A82,Permissions!$P$2:$P$3000,"Yes")</f>
        <v>0</v>
      </c>
      <c r="AS82" s="26" t="n">
        <f aca="false">SUMIFS(Permissions!$AJ$2:$AJ$3000,Permissions!$B$2:$B$3000,$A82,Permissions!$P$2:$P$3000,"Yes")</f>
        <v>0</v>
      </c>
      <c r="AT82" s="26" t="n">
        <f aca="false">SUMIFS(Permissions!$AK$2:$AK$3000,Permissions!$B$2:$B$3000,$A82,Permissions!$P$2:$P$3000,"Yes")</f>
        <v>0</v>
      </c>
      <c r="AU82" s="26" t="n">
        <f aca="false">SUMIFS(Permissions!$AL$2:$AL$3000,Permissions!$B$2:$B$3000,$A82,Permissions!$P$2:$P$3000,"Yes")</f>
        <v>0</v>
      </c>
      <c r="AV82" s="26" t="n">
        <f aca="false">SUMIFS(Permissions!$AM$2:$AM$3000,Permissions!$B$2:$B$3000,$A82,Permissions!$P$2:$P$3000,"Yes")</f>
        <v>0</v>
      </c>
      <c r="AW82" s="24" t="n">
        <f aca="false">COUNTIFS(Permissions!$B$2:$B$3000,$A82,Permissions!$P$2:$P$3000,"Yes")</f>
        <v>0</v>
      </c>
      <c r="AX82" s="24" t="n">
        <f aca="false">SUMIFS(Permissions!$L$2:$L$3000,Permissions!$B$2:$B$3000,$A82,Permissions!$P$2:$P$3000,"Yes")</f>
        <v>0</v>
      </c>
      <c r="AY82" s="27" t="str">
        <f aca="false">IF(AND(AK82&gt;0,AG82&gt;=AK82,AN82=0),"Built out",IF(AG82&gt;0,"Partly built",IF(AK82&gt;0,"Consented – not built","No consent")))</f>
        <v>No consent</v>
      </c>
      <c r="AZ82" s="28" t="str">
        <f aca="false">IF(AND(R82&lt;&gt;"",AK82&gt;1.1*R82),"Consented above capacity",IF(AND(LEFT(B82,8)="Planning",AW82=0),"Consent parcel with no permission",IF(COUNTIF($A$2:$A$3000,$A82)&gt;1,"Duplicate parcel_id","")))</f>
        <v/>
      </c>
    </row>
    <row r="83" customFormat="false" ht="15" hidden="false" customHeight="false" outlineLevel="0" collapsed="false">
      <c r="A83" s="15" t="s">
        <v>280</v>
      </c>
      <c r="B83" s="15" t="s">
        <v>10</v>
      </c>
      <c r="C83" s="15" t="s">
        <v>16</v>
      </c>
      <c r="D83" s="15" t="s">
        <v>55</v>
      </c>
      <c r="E83" s="15" t="s">
        <v>19</v>
      </c>
      <c r="F83" s="15" t="n">
        <v>1</v>
      </c>
      <c r="G83" s="15" t="s">
        <v>154</v>
      </c>
      <c r="H83" s="15" t="n">
        <v>148</v>
      </c>
      <c r="I83" s="15" t="s">
        <v>55</v>
      </c>
      <c r="J83" s="15" t="s">
        <v>155</v>
      </c>
      <c r="K83" s="15" t="s">
        <v>55</v>
      </c>
      <c r="L83" s="15" t="s">
        <v>156</v>
      </c>
      <c r="M83" s="15" t="s">
        <v>157</v>
      </c>
      <c r="N83" s="15" t="s">
        <v>178</v>
      </c>
      <c r="O83" s="15" t="s">
        <v>179</v>
      </c>
      <c r="P83" s="15" t="n">
        <v>5.065</v>
      </c>
      <c r="Q83" s="15" t="n">
        <v>5.063</v>
      </c>
      <c r="R83" s="15" t="n">
        <v>253</v>
      </c>
      <c r="S83" s="15" t="s">
        <v>160</v>
      </c>
      <c r="T83" s="15"/>
      <c r="U83" s="15"/>
      <c r="V83" s="15"/>
      <c r="W83" s="15"/>
      <c r="X83" s="15"/>
      <c r="Y83" s="15"/>
      <c r="Z83" s="15"/>
      <c r="AA83" s="15" t="n">
        <v>0</v>
      </c>
      <c r="AB83" s="15" t="n">
        <v>0</v>
      </c>
      <c r="AC83" s="15" t="s">
        <v>180</v>
      </c>
      <c r="AD83" s="15" t="s">
        <v>162</v>
      </c>
      <c r="AE83" s="15" t="s">
        <v>163</v>
      </c>
      <c r="AF83" s="15"/>
      <c r="AG83" s="24" t="n">
        <f aca="false">SUMIFS(Permissions!$G$2:$G$3000,Permissions!$B$2:$B$3000,$A83,Permissions!$I$2:$I$3000,"Complete",Permissions!$P$2:$P$3000,"Yes")</f>
        <v>0</v>
      </c>
      <c r="AH83" s="24" t="n">
        <f aca="false">SUMIFS(Permissions!$G$2:$G$3000,Permissions!$B$2:$B$3000,$A83,Permissions!$I$2:$I$3000,"Under construction",Permissions!$P$2:$P$3000,"Yes")</f>
        <v>0</v>
      </c>
      <c r="AI83" s="24" t="n">
        <f aca="false">SUMIFS(Permissions!$G$2:$G$3000,Permissions!$B$2:$B$3000,$A83,Permissions!$I$2:$I$3000,"Permitted – not started",Permissions!$P$2:$P$3000,"Yes")</f>
        <v>0</v>
      </c>
      <c r="AJ83" s="24" t="n">
        <f aca="false">SUMIFS(Permissions!$G$2:$G$3000,Permissions!$B$2:$B$3000,$A83,Permissions!$I$2:$I$3000,"Stalled",Permissions!$P$2:$P$3000,"Yes")</f>
        <v>0</v>
      </c>
      <c r="AK83" s="24" t="n">
        <f aca="false">AG83+AH83+AI83+AJ83</f>
        <v>0</v>
      </c>
      <c r="AL83" s="24" t="n">
        <f aca="false">SUMIFS(Permissions!$G$2:$G$3000,Permissions!$B$2:$B$3000,$A83,Permissions!$I$2:$I$3000,"Expired – not started",Permissions!$P$2:$P$3000,"Yes")</f>
        <v>0</v>
      </c>
      <c r="AM83" s="24" t="n">
        <f aca="false">SUMIFS(Permissions!$G$2:$G$3000,Permissions!$B$2:$B$3000,$A83,Permissions!$I$2:$I$3000,"In planning",Permissions!$P$2:$P$3000,"Yes")</f>
        <v>0</v>
      </c>
      <c r="AN83" s="24" t="n">
        <f aca="false">IF(R83="",0,MAX(R83-AK83,0))</f>
        <v>253</v>
      </c>
      <c r="AO83" s="25" t="n">
        <f aca="false">AK83+AN83</f>
        <v>253</v>
      </c>
      <c r="AP83" s="24" t="n">
        <f aca="false">AO83-AG83</f>
        <v>253</v>
      </c>
      <c r="AQ83" s="26" t="n">
        <f aca="false">SUMIFS(Permissions!$AH$2:$AH$3000,Permissions!$B$2:$B$3000,$A83,Permissions!$P$2:$P$3000,"Yes")</f>
        <v>0</v>
      </c>
      <c r="AR83" s="26" t="n">
        <f aca="false">SUMIFS(Permissions!$AI$2:$AI$3000,Permissions!$B$2:$B$3000,$A83,Permissions!$P$2:$P$3000,"Yes")</f>
        <v>0</v>
      </c>
      <c r="AS83" s="26" t="n">
        <f aca="false">SUMIFS(Permissions!$AJ$2:$AJ$3000,Permissions!$B$2:$B$3000,$A83,Permissions!$P$2:$P$3000,"Yes")</f>
        <v>0</v>
      </c>
      <c r="AT83" s="26" t="n">
        <f aca="false">SUMIFS(Permissions!$AK$2:$AK$3000,Permissions!$B$2:$B$3000,$A83,Permissions!$P$2:$P$3000,"Yes")</f>
        <v>0</v>
      </c>
      <c r="AU83" s="26" t="n">
        <f aca="false">SUMIFS(Permissions!$AL$2:$AL$3000,Permissions!$B$2:$B$3000,$A83,Permissions!$P$2:$P$3000,"Yes")</f>
        <v>0</v>
      </c>
      <c r="AV83" s="26" t="n">
        <f aca="false">SUMIFS(Permissions!$AM$2:$AM$3000,Permissions!$B$2:$B$3000,$A83,Permissions!$P$2:$P$3000,"Yes")</f>
        <v>0</v>
      </c>
      <c r="AW83" s="24" t="n">
        <f aca="false">COUNTIFS(Permissions!$B$2:$B$3000,$A83,Permissions!$P$2:$P$3000,"Yes")</f>
        <v>0</v>
      </c>
      <c r="AX83" s="24" t="n">
        <f aca="false">SUMIFS(Permissions!$L$2:$L$3000,Permissions!$B$2:$B$3000,$A83,Permissions!$P$2:$P$3000,"Yes")</f>
        <v>0</v>
      </c>
      <c r="AY83" s="27" t="str">
        <f aca="false">IF(AND(AK83&gt;0,AG83&gt;=AK83,AN83=0),"Built out",IF(AG83&gt;0,"Partly built",IF(AK83&gt;0,"Consented – not built","No consent")))</f>
        <v>No consent</v>
      </c>
      <c r="AZ83" s="28" t="str">
        <f aca="false">IF(AND(R83&lt;&gt;"",AK83&gt;1.1*R83),"Consented above capacity",IF(AND(LEFT(B83,8)="Planning",AW83=0),"Consent parcel with no permission",IF(COUNTIF($A$2:$A$3000,$A83)&gt;1,"Duplicate parcel_id","")))</f>
        <v/>
      </c>
    </row>
    <row r="84" customFormat="false" ht="15" hidden="false" customHeight="false" outlineLevel="0" collapsed="false">
      <c r="A84" s="15" t="s">
        <v>281</v>
      </c>
      <c r="B84" s="15" t="s">
        <v>10</v>
      </c>
      <c r="C84" s="15" t="s">
        <v>16</v>
      </c>
      <c r="D84" s="15" t="s">
        <v>55</v>
      </c>
      <c r="E84" s="15" t="s">
        <v>19</v>
      </c>
      <c r="F84" s="15" t="n">
        <v>1</v>
      </c>
      <c r="G84" s="15" t="s">
        <v>154</v>
      </c>
      <c r="H84" s="15" t="n">
        <v>149</v>
      </c>
      <c r="I84" s="15" t="s">
        <v>55</v>
      </c>
      <c r="J84" s="15" t="s">
        <v>155</v>
      </c>
      <c r="K84" s="15" t="s">
        <v>55</v>
      </c>
      <c r="L84" s="15" t="s">
        <v>170</v>
      </c>
      <c r="M84" s="15" t="s">
        <v>165</v>
      </c>
      <c r="N84" s="15" t="s">
        <v>166</v>
      </c>
      <c r="O84" s="15" t="s">
        <v>179</v>
      </c>
      <c r="P84" s="15" t="n">
        <v>0.939</v>
      </c>
      <c r="Q84" s="15" t="n">
        <v>0.939</v>
      </c>
      <c r="R84" s="15" t="n">
        <v>33</v>
      </c>
      <c r="S84" s="15" t="s">
        <v>160</v>
      </c>
      <c r="T84" s="15"/>
      <c r="U84" s="15"/>
      <c r="V84" s="15"/>
      <c r="W84" s="15"/>
      <c r="X84" s="15"/>
      <c r="Y84" s="15"/>
      <c r="Z84" s="15"/>
      <c r="AA84" s="15" t="n">
        <v>0</v>
      </c>
      <c r="AB84" s="15" t="n">
        <v>0</v>
      </c>
      <c r="AC84" s="15" t="s">
        <v>180</v>
      </c>
      <c r="AD84" s="15" t="s">
        <v>162</v>
      </c>
      <c r="AE84" s="15" t="s">
        <v>163</v>
      </c>
      <c r="AF84" s="15"/>
      <c r="AG84" s="24" t="n">
        <f aca="false">SUMIFS(Permissions!$G$2:$G$3000,Permissions!$B$2:$B$3000,$A84,Permissions!$I$2:$I$3000,"Complete",Permissions!$P$2:$P$3000,"Yes")</f>
        <v>0</v>
      </c>
      <c r="AH84" s="24" t="n">
        <f aca="false">SUMIFS(Permissions!$G$2:$G$3000,Permissions!$B$2:$B$3000,$A84,Permissions!$I$2:$I$3000,"Under construction",Permissions!$P$2:$P$3000,"Yes")</f>
        <v>250</v>
      </c>
      <c r="AI84" s="24" t="n">
        <f aca="false">SUMIFS(Permissions!$G$2:$G$3000,Permissions!$B$2:$B$3000,$A84,Permissions!$I$2:$I$3000,"Permitted – not started",Permissions!$P$2:$P$3000,"Yes")</f>
        <v>0</v>
      </c>
      <c r="AJ84" s="24" t="n">
        <f aca="false">SUMIFS(Permissions!$G$2:$G$3000,Permissions!$B$2:$B$3000,$A84,Permissions!$I$2:$I$3000,"Stalled",Permissions!$P$2:$P$3000,"Yes")</f>
        <v>0</v>
      </c>
      <c r="AK84" s="24" t="n">
        <f aca="false">AG84+AH84+AI84+AJ84</f>
        <v>250</v>
      </c>
      <c r="AL84" s="24" t="n">
        <f aca="false">SUMIFS(Permissions!$G$2:$G$3000,Permissions!$B$2:$B$3000,$A84,Permissions!$I$2:$I$3000,"Expired – not started",Permissions!$P$2:$P$3000,"Yes")</f>
        <v>0</v>
      </c>
      <c r="AM84" s="24" t="n">
        <f aca="false">SUMIFS(Permissions!$G$2:$G$3000,Permissions!$B$2:$B$3000,$A84,Permissions!$I$2:$I$3000,"In planning",Permissions!$P$2:$P$3000,"Yes")</f>
        <v>0</v>
      </c>
      <c r="AN84" s="24" t="n">
        <f aca="false">IF(R84="",0,MAX(R84-AK84,0))</f>
        <v>0</v>
      </c>
      <c r="AO84" s="25" t="n">
        <f aca="false">AK84+AN84</f>
        <v>250</v>
      </c>
      <c r="AP84" s="24" t="n">
        <f aca="false">AO84-AG84</f>
        <v>250</v>
      </c>
      <c r="AQ84" s="26" t="n">
        <f aca="false">SUMIFS(Permissions!$AH$2:$AH$3000,Permissions!$B$2:$B$3000,$A84,Permissions!$P$2:$P$3000,"Yes")</f>
        <v>0</v>
      </c>
      <c r="AR84" s="26" t="n">
        <f aca="false">SUMIFS(Permissions!$AI$2:$AI$3000,Permissions!$B$2:$B$3000,$A84,Permissions!$P$2:$P$3000,"Yes")</f>
        <v>26.9</v>
      </c>
      <c r="AS84" s="26" t="n">
        <f aca="false">SUMIFS(Permissions!$AJ$2:$AJ$3000,Permissions!$B$2:$B$3000,$A84,Permissions!$P$2:$P$3000,"Yes")</f>
        <v>62.9</v>
      </c>
      <c r="AT84" s="26" t="n">
        <f aca="false">SUMIFS(Permissions!$AK$2:$AK$3000,Permissions!$B$2:$B$3000,$A84,Permissions!$P$2:$P$3000,"Yes")</f>
        <v>62.9</v>
      </c>
      <c r="AU84" s="26" t="n">
        <f aca="false">SUMIFS(Permissions!$AL$2:$AL$3000,Permissions!$B$2:$B$3000,$A84,Permissions!$P$2:$P$3000,"Yes")</f>
        <v>62.9</v>
      </c>
      <c r="AV84" s="26" t="n">
        <f aca="false">SUMIFS(Permissions!$AM$2:$AM$3000,Permissions!$B$2:$B$3000,$A84,Permissions!$P$2:$P$3000,"Yes")</f>
        <v>34.4</v>
      </c>
      <c r="AW84" s="24" t="n">
        <f aca="false">COUNTIFS(Permissions!$B$2:$B$3000,$A84,Permissions!$P$2:$P$3000,"Yes")</f>
        <v>1</v>
      </c>
      <c r="AX84" s="24" t="n">
        <f aca="false">SUMIFS(Permissions!$L$2:$L$3000,Permissions!$B$2:$B$3000,$A84,Permissions!$P$2:$P$3000,"Yes")</f>
        <v>0</v>
      </c>
      <c r="AY84" s="27" t="str">
        <f aca="false">IF(AND(AK84&gt;0,AG84&gt;=AK84,AN84=0),"Built out",IF(AG84&gt;0,"Partly built",IF(AK84&gt;0,"Consented – not built","No consent")))</f>
        <v>Consented – not built</v>
      </c>
      <c r="AZ84" s="28" t="str">
        <f aca="false">IF(AND(R84&lt;&gt;"",AK84&gt;1.1*R84),"Consented above capacity",IF(AND(LEFT(B84,8)="Planning",AW84=0),"Consent parcel with no permission",IF(COUNTIF($A$2:$A$3000,$A84)&gt;1,"Duplicate parcel_id","")))</f>
        <v>Consented above capacity</v>
      </c>
    </row>
    <row r="85" customFormat="false" ht="15" hidden="false" customHeight="false" outlineLevel="0" collapsed="false">
      <c r="A85" s="15" t="s">
        <v>282</v>
      </c>
      <c r="B85" s="15" t="s">
        <v>10</v>
      </c>
      <c r="C85" s="15" t="s">
        <v>16</v>
      </c>
      <c r="D85" s="15" t="s">
        <v>55</v>
      </c>
      <c r="E85" s="15" t="s">
        <v>19</v>
      </c>
      <c r="F85" s="15" t="n">
        <v>1</v>
      </c>
      <c r="G85" s="15" t="s">
        <v>154</v>
      </c>
      <c r="H85" s="15" t="n">
        <v>151</v>
      </c>
      <c r="I85" s="15" t="s">
        <v>55</v>
      </c>
      <c r="J85" s="15" t="s">
        <v>155</v>
      </c>
      <c r="K85" s="15" t="s">
        <v>55</v>
      </c>
      <c r="L85" s="15" t="s">
        <v>170</v>
      </c>
      <c r="M85" s="15" t="s">
        <v>157</v>
      </c>
      <c r="N85" s="15" t="s">
        <v>178</v>
      </c>
      <c r="O85" s="15" t="s">
        <v>283</v>
      </c>
      <c r="P85" s="15" t="n">
        <v>10.98</v>
      </c>
      <c r="Q85" s="15" t="n">
        <v>11.051</v>
      </c>
      <c r="R85" s="15" t="n">
        <v>462</v>
      </c>
      <c r="S85" s="15" t="s">
        <v>160</v>
      </c>
      <c r="T85" s="15"/>
      <c r="U85" s="15"/>
      <c r="V85" s="15"/>
      <c r="W85" s="15"/>
      <c r="X85" s="15"/>
      <c r="Y85" s="15"/>
      <c r="Z85" s="15"/>
      <c r="AA85" s="15" t="n">
        <v>1</v>
      </c>
      <c r="AB85" s="15" t="n">
        <v>0</v>
      </c>
      <c r="AC85" s="15" t="s">
        <v>173</v>
      </c>
      <c r="AD85" s="15" t="s">
        <v>174</v>
      </c>
      <c r="AE85" s="15" t="s">
        <v>163</v>
      </c>
      <c r="AF85" s="15"/>
      <c r="AG85" s="24" t="n">
        <f aca="false">SUMIFS(Permissions!$G$2:$G$3000,Permissions!$B$2:$B$3000,$A85,Permissions!$I$2:$I$3000,"Complete",Permissions!$P$2:$P$3000,"Yes")</f>
        <v>0</v>
      </c>
      <c r="AH85" s="24" t="n">
        <f aca="false">SUMIFS(Permissions!$G$2:$G$3000,Permissions!$B$2:$B$3000,$A85,Permissions!$I$2:$I$3000,"Under construction",Permissions!$P$2:$P$3000,"Yes")</f>
        <v>0</v>
      </c>
      <c r="AI85" s="24" t="n">
        <f aca="false">SUMIFS(Permissions!$G$2:$G$3000,Permissions!$B$2:$B$3000,$A85,Permissions!$I$2:$I$3000,"Permitted – not started",Permissions!$P$2:$P$3000,"Yes")</f>
        <v>0</v>
      </c>
      <c r="AJ85" s="24" t="n">
        <f aca="false">SUMIFS(Permissions!$G$2:$G$3000,Permissions!$B$2:$B$3000,$A85,Permissions!$I$2:$I$3000,"Stalled",Permissions!$P$2:$P$3000,"Yes")</f>
        <v>0</v>
      </c>
      <c r="AK85" s="24" t="n">
        <f aca="false">AG85+AH85+AI85+AJ85</f>
        <v>0</v>
      </c>
      <c r="AL85" s="24" t="n">
        <f aca="false">SUMIFS(Permissions!$G$2:$G$3000,Permissions!$B$2:$B$3000,$A85,Permissions!$I$2:$I$3000,"Expired – not started",Permissions!$P$2:$P$3000,"Yes")</f>
        <v>0</v>
      </c>
      <c r="AM85" s="24" t="n">
        <f aca="false">SUMIFS(Permissions!$G$2:$G$3000,Permissions!$B$2:$B$3000,$A85,Permissions!$I$2:$I$3000,"In planning",Permissions!$P$2:$P$3000,"Yes")</f>
        <v>0</v>
      </c>
      <c r="AN85" s="24" t="n">
        <f aca="false">IF(R85="",0,MAX(R85-AK85,0))</f>
        <v>462</v>
      </c>
      <c r="AO85" s="25" t="n">
        <f aca="false">AK85+AN85</f>
        <v>462</v>
      </c>
      <c r="AP85" s="24" t="n">
        <f aca="false">AO85-AG85</f>
        <v>462</v>
      </c>
      <c r="AQ85" s="26" t="n">
        <f aca="false">SUMIFS(Permissions!$AH$2:$AH$3000,Permissions!$B$2:$B$3000,$A85,Permissions!$P$2:$P$3000,"Yes")</f>
        <v>0</v>
      </c>
      <c r="AR85" s="26" t="n">
        <f aca="false">SUMIFS(Permissions!$AI$2:$AI$3000,Permissions!$B$2:$B$3000,$A85,Permissions!$P$2:$P$3000,"Yes")</f>
        <v>0</v>
      </c>
      <c r="AS85" s="26" t="n">
        <f aca="false">SUMIFS(Permissions!$AJ$2:$AJ$3000,Permissions!$B$2:$B$3000,$A85,Permissions!$P$2:$P$3000,"Yes")</f>
        <v>0</v>
      </c>
      <c r="AT85" s="26" t="n">
        <f aca="false">SUMIFS(Permissions!$AK$2:$AK$3000,Permissions!$B$2:$B$3000,$A85,Permissions!$P$2:$P$3000,"Yes")</f>
        <v>0</v>
      </c>
      <c r="AU85" s="26" t="n">
        <f aca="false">SUMIFS(Permissions!$AL$2:$AL$3000,Permissions!$B$2:$B$3000,$A85,Permissions!$P$2:$P$3000,"Yes")</f>
        <v>0</v>
      </c>
      <c r="AV85" s="26" t="n">
        <f aca="false">SUMIFS(Permissions!$AM$2:$AM$3000,Permissions!$B$2:$B$3000,$A85,Permissions!$P$2:$P$3000,"Yes")</f>
        <v>0</v>
      </c>
      <c r="AW85" s="24" t="n">
        <f aca="false">COUNTIFS(Permissions!$B$2:$B$3000,$A85,Permissions!$P$2:$P$3000,"Yes")</f>
        <v>0</v>
      </c>
      <c r="AX85" s="24" t="n">
        <f aca="false">SUMIFS(Permissions!$L$2:$L$3000,Permissions!$B$2:$B$3000,$A85,Permissions!$P$2:$P$3000,"Yes")</f>
        <v>0</v>
      </c>
      <c r="AY85" s="27" t="str">
        <f aca="false">IF(AND(AK85&gt;0,AG85&gt;=AK85,AN85=0),"Built out",IF(AG85&gt;0,"Partly built",IF(AK85&gt;0,"Consented – not built","No consent")))</f>
        <v>No consent</v>
      </c>
      <c r="AZ85" s="28" t="str">
        <f aca="false">IF(AND(R85&lt;&gt;"",AK85&gt;1.1*R85),"Consented above capacity",IF(AND(LEFT(B85,8)="Planning",AW85=0),"Consent parcel with no permission",IF(COUNTIF($A$2:$A$3000,$A85)&gt;1,"Duplicate parcel_id","")))</f>
        <v/>
      </c>
    </row>
    <row r="86" customFormat="false" ht="15" hidden="false" customHeight="false" outlineLevel="0" collapsed="false">
      <c r="A86" s="15" t="s">
        <v>284</v>
      </c>
      <c r="B86" s="15" t="s">
        <v>10</v>
      </c>
      <c r="C86" s="15" t="s">
        <v>16</v>
      </c>
      <c r="D86" s="15" t="s">
        <v>55</v>
      </c>
      <c r="E86" s="15" t="s">
        <v>19</v>
      </c>
      <c r="F86" s="15" t="n">
        <v>1</v>
      </c>
      <c r="G86" s="15" t="s">
        <v>154</v>
      </c>
      <c r="H86" s="15" t="n">
        <v>152</v>
      </c>
      <c r="I86" s="15" t="s">
        <v>55</v>
      </c>
      <c r="J86" s="15" t="s">
        <v>155</v>
      </c>
      <c r="K86" s="15" t="s">
        <v>55</v>
      </c>
      <c r="L86" s="15" t="s">
        <v>170</v>
      </c>
      <c r="M86" s="15" t="s">
        <v>157</v>
      </c>
      <c r="N86" s="15" t="s">
        <v>178</v>
      </c>
      <c r="O86" s="15" t="s">
        <v>285</v>
      </c>
      <c r="P86" s="15" t="n">
        <v>4.12</v>
      </c>
      <c r="Q86" s="15" t="n">
        <v>4.119</v>
      </c>
      <c r="R86" s="15" t="n">
        <v>152</v>
      </c>
      <c r="S86" s="15" t="s">
        <v>160</v>
      </c>
      <c r="T86" s="15"/>
      <c r="U86" s="15"/>
      <c r="V86" s="15"/>
      <c r="W86" s="15"/>
      <c r="X86" s="15"/>
      <c r="Y86" s="15"/>
      <c r="Z86" s="15"/>
      <c r="AA86" s="15" t="n">
        <v>0</v>
      </c>
      <c r="AB86" s="15" t="n">
        <v>0</v>
      </c>
      <c r="AC86" s="15" t="s">
        <v>161</v>
      </c>
      <c r="AD86" s="15" t="s">
        <v>174</v>
      </c>
      <c r="AE86" s="15" t="s">
        <v>163</v>
      </c>
      <c r="AF86" s="15"/>
      <c r="AG86" s="24" t="n">
        <f aca="false">SUMIFS(Permissions!$G$2:$G$3000,Permissions!$B$2:$B$3000,$A86,Permissions!$I$2:$I$3000,"Complete",Permissions!$P$2:$P$3000,"Yes")</f>
        <v>0</v>
      </c>
      <c r="AH86" s="24" t="n">
        <f aca="false">SUMIFS(Permissions!$G$2:$G$3000,Permissions!$B$2:$B$3000,$A86,Permissions!$I$2:$I$3000,"Under construction",Permissions!$P$2:$P$3000,"Yes")</f>
        <v>0</v>
      </c>
      <c r="AI86" s="24" t="n">
        <f aca="false">SUMIFS(Permissions!$G$2:$G$3000,Permissions!$B$2:$B$3000,$A86,Permissions!$I$2:$I$3000,"Permitted – not started",Permissions!$P$2:$P$3000,"Yes")</f>
        <v>0</v>
      </c>
      <c r="AJ86" s="24" t="n">
        <f aca="false">SUMIFS(Permissions!$G$2:$G$3000,Permissions!$B$2:$B$3000,$A86,Permissions!$I$2:$I$3000,"Stalled",Permissions!$P$2:$P$3000,"Yes")</f>
        <v>0</v>
      </c>
      <c r="AK86" s="24" t="n">
        <f aca="false">AG86+AH86+AI86+AJ86</f>
        <v>0</v>
      </c>
      <c r="AL86" s="24" t="n">
        <f aca="false">SUMIFS(Permissions!$G$2:$G$3000,Permissions!$B$2:$B$3000,$A86,Permissions!$I$2:$I$3000,"Expired – not started",Permissions!$P$2:$P$3000,"Yes")</f>
        <v>0</v>
      </c>
      <c r="AM86" s="24" t="n">
        <f aca="false">SUMIFS(Permissions!$G$2:$G$3000,Permissions!$B$2:$B$3000,$A86,Permissions!$I$2:$I$3000,"In planning",Permissions!$P$2:$P$3000,"Yes")</f>
        <v>0</v>
      </c>
      <c r="AN86" s="24" t="n">
        <f aca="false">IF(R86="",0,MAX(R86-AK86,0))</f>
        <v>152</v>
      </c>
      <c r="AO86" s="25" t="n">
        <f aca="false">AK86+AN86</f>
        <v>152</v>
      </c>
      <c r="AP86" s="24" t="n">
        <f aca="false">AO86-AG86</f>
        <v>152</v>
      </c>
      <c r="AQ86" s="26" t="n">
        <f aca="false">SUMIFS(Permissions!$AH$2:$AH$3000,Permissions!$B$2:$B$3000,$A86,Permissions!$P$2:$P$3000,"Yes")</f>
        <v>0</v>
      </c>
      <c r="AR86" s="26" t="n">
        <f aca="false">SUMIFS(Permissions!$AI$2:$AI$3000,Permissions!$B$2:$B$3000,$A86,Permissions!$P$2:$P$3000,"Yes")</f>
        <v>0</v>
      </c>
      <c r="AS86" s="26" t="n">
        <f aca="false">SUMIFS(Permissions!$AJ$2:$AJ$3000,Permissions!$B$2:$B$3000,$A86,Permissions!$P$2:$P$3000,"Yes")</f>
        <v>0</v>
      </c>
      <c r="AT86" s="26" t="n">
        <f aca="false">SUMIFS(Permissions!$AK$2:$AK$3000,Permissions!$B$2:$B$3000,$A86,Permissions!$P$2:$P$3000,"Yes")</f>
        <v>0</v>
      </c>
      <c r="AU86" s="26" t="n">
        <f aca="false">SUMIFS(Permissions!$AL$2:$AL$3000,Permissions!$B$2:$B$3000,$A86,Permissions!$P$2:$P$3000,"Yes")</f>
        <v>0</v>
      </c>
      <c r="AV86" s="26" t="n">
        <f aca="false">SUMIFS(Permissions!$AM$2:$AM$3000,Permissions!$B$2:$B$3000,$A86,Permissions!$P$2:$P$3000,"Yes")</f>
        <v>0</v>
      </c>
      <c r="AW86" s="24" t="n">
        <f aca="false">COUNTIFS(Permissions!$B$2:$B$3000,$A86,Permissions!$P$2:$P$3000,"Yes")</f>
        <v>0</v>
      </c>
      <c r="AX86" s="24" t="n">
        <f aca="false">SUMIFS(Permissions!$L$2:$L$3000,Permissions!$B$2:$B$3000,$A86,Permissions!$P$2:$P$3000,"Yes")</f>
        <v>0</v>
      </c>
      <c r="AY86" s="27" t="str">
        <f aca="false">IF(AND(AK86&gt;0,AG86&gt;=AK86,AN86=0),"Built out",IF(AG86&gt;0,"Partly built",IF(AK86&gt;0,"Consented – not built","No consent")))</f>
        <v>No consent</v>
      </c>
      <c r="AZ86" s="28" t="str">
        <f aca="false">IF(AND(R86&lt;&gt;"",AK86&gt;1.1*R86),"Consented above capacity",IF(AND(LEFT(B86,8)="Planning",AW86=0),"Consent parcel with no permission",IF(COUNTIF($A$2:$A$3000,$A86)&gt;1,"Duplicate parcel_id","")))</f>
        <v/>
      </c>
    </row>
    <row r="87" customFormat="false" ht="15" hidden="false" customHeight="false" outlineLevel="0" collapsed="false">
      <c r="A87" s="15" t="s">
        <v>286</v>
      </c>
      <c r="B87" s="15" t="s">
        <v>10</v>
      </c>
      <c r="C87" s="15" t="s">
        <v>16</v>
      </c>
      <c r="D87" s="15" t="s">
        <v>55</v>
      </c>
      <c r="E87" s="15" t="s">
        <v>19</v>
      </c>
      <c r="F87" s="15" t="n">
        <v>1</v>
      </c>
      <c r="G87" s="15" t="s">
        <v>154</v>
      </c>
      <c r="H87" s="15" t="n">
        <v>153</v>
      </c>
      <c r="I87" s="15" t="s">
        <v>55</v>
      </c>
      <c r="J87" s="15" t="s">
        <v>155</v>
      </c>
      <c r="K87" s="15" t="s">
        <v>55</v>
      </c>
      <c r="L87" s="15" t="s">
        <v>170</v>
      </c>
      <c r="M87" s="15" t="s">
        <v>157</v>
      </c>
      <c r="N87" s="15" t="s">
        <v>178</v>
      </c>
      <c r="O87" s="15" t="s">
        <v>179</v>
      </c>
      <c r="P87" s="15" t="n">
        <v>1.081</v>
      </c>
      <c r="Q87" s="15" t="n">
        <v>1.161</v>
      </c>
      <c r="R87" s="15" t="n">
        <v>37</v>
      </c>
      <c r="S87" s="15" t="s">
        <v>160</v>
      </c>
      <c r="T87" s="15"/>
      <c r="U87" s="15"/>
      <c r="V87" s="15"/>
      <c r="W87" s="15"/>
      <c r="X87" s="15"/>
      <c r="Y87" s="15"/>
      <c r="Z87" s="15"/>
      <c r="AA87" s="15" t="n">
        <v>0</v>
      </c>
      <c r="AB87" s="15" t="n">
        <v>0</v>
      </c>
      <c r="AC87" s="15" t="s">
        <v>173</v>
      </c>
      <c r="AD87" s="15" t="s">
        <v>174</v>
      </c>
      <c r="AE87" s="15" t="s">
        <v>163</v>
      </c>
      <c r="AF87" s="15"/>
      <c r="AG87" s="24" t="n">
        <f aca="false">SUMIFS(Permissions!$G$2:$G$3000,Permissions!$B$2:$B$3000,$A87,Permissions!$I$2:$I$3000,"Complete",Permissions!$P$2:$P$3000,"Yes")</f>
        <v>0</v>
      </c>
      <c r="AH87" s="24" t="n">
        <f aca="false">SUMIFS(Permissions!$G$2:$G$3000,Permissions!$B$2:$B$3000,$A87,Permissions!$I$2:$I$3000,"Under construction",Permissions!$P$2:$P$3000,"Yes")</f>
        <v>0</v>
      </c>
      <c r="AI87" s="24" t="n">
        <f aca="false">SUMIFS(Permissions!$G$2:$G$3000,Permissions!$B$2:$B$3000,$A87,Permissions!$I$2:$I$3000,"Permitted – not started",Permissions!$P$2:$P$3000,"Yes")</f>
        <v>0</v>
      </c>
      <c r="AJ87" s="24" t="n">
        <f aca="false">SUMIFS(Permissions!$G$2:$G$3000,Permissions!$B$2:$B$3000,$A87,Permissions!$I$2:$I$3000,"Stalled",Permissions!$P$2:$P$3000,"Yes")</f>
        <v>0</v>
      </c>
      <c r="AK87" s="24" t="n">
        <f aca="false">AG87+AH87+AI87+AJ87</f>
        <v>0</v>
      </c>
      <c r="AL87" s="24" t="n">
        <f aca="false">SUMIFS(Permissions!$G$2:$G$3000,Permissions!$B$2:$B$3000,$A87,Permissions!$I$2:$I$3000,"Expired – not started",Permissions!$P$2:$P$3000,"Yes")</f>
        <v>0</v>
      </c>
      <c r="AM87" s="24" t="n">
        <f aca="false">SUMIFS(Permissions!$G$2:$G$3000,Permissions!$B$2:$B$3000,$A87,Permissions!$I$2:$I$3000,"In planning",Permissions!$P$2:$P$3000,"Yes")</f>
        <v>0</v>
      </c>
      <c r="AN87" s="24" t="n">
        <f aca="false">IF(R87="",0,MAX(R87-AK87,0))</f>
        <v>37</v>
      </c>
      <c r="AO87" s="25" t="n">
        <f aca="false">AK87+AN87</f>
        <v>37</v>
      </c>
      <c r="AP87" s="24" t="n">
        <f aca="false">AO87-AG87</f>
        <v>37</v>
      </c>
      <c r="AQ87" s="26" t="n">
        <f aca="false">SUMIFS(Permissions!$AH$2:$AH$3000,Permissions!$B$2:$B$3000,$A87,Permissions!$P$2:$P$3000,"Yes")</f>
        <v>0</v>
      </c>
      <c r="AR87" s="26" t="n">
        <f aca="false">SUMIFS(Permissions!$AI$2:$AI$3000,Permissions!$B$2:$B$3000,$A87,Permissions!$P$2:$P$3000,"Yes")</f>
        <v>0</v>
      </c>
      <c r="AS87" s="26" t="n">
        <f aca="false">SUMIFS(Permissions!$AJ$2:$AJ$3000,Permissions!$B$2:$B$3000,$A87,Permissions!$P$2:$P$3000,"Yes")</f>
        <v>0</v>
      </c>
      <c r="AT87" s="26" t="n">
        <f aca="false">SUMIFS(Permissions!$AK$2:$AK$3000,Permissions!$B$2:$B$3000,$A87,Permissions!$P$2:$P$3000,"Yes")</f>
        <v>0</v>
      </c>
      <c r="AU87" s="26" t="n">
        <f aca="false">SUMIFS(Permissions!$AL$2:$AL$3000,Permissions!$B$2:$B$3000,$A87,Permissions!$P$2:$P$3000,"Yes")</f>
        <v>0</v>
      </c>
      <c r="AV87" s="26" t="n">
        <f aca="false">SUMIFS(Permissions!$AM$2:$AM$3000,Permissions!$B$2:$B$3000,$A87,Permissions!$P$2:$P$3000,"Yes")</f>
        <v>0</v>
      </c>
      <c r="AW87" s="24" t="n">
        <f aca="false">COUNTIFS(Permissions!$B$2:$B$3000,$A87,Permissions!$P$2:$P$3000,"Yes")</f>
        <v>0</v>
      </c>
      <c r="AX87" s="24" t="n">
        <f aca="false">SUMIFS(Permissions!$L$2:$L$3000,Permissions!$B$2:$B$3000,$A87,Permissions!$P$2:$P$3000,"Yes")</f>
        <v>0</v>
      </c>
      <c r="AY87" s="27" t="str">
        <f aca="false">IF(AND(AK87&gt;0,AG87&gt;=AK87,AN87=0),"Built out",IF(AG87&gt;0,"Partly built",IF(AK87&gt;0,"Consented – not built","No consent")))</f>
        <v>No consent</v>
      </c>
      <c r="AZ87" s="28" t="str">
        <f aca="false">IF(AND(R87&lt;&gt;"",AK87&gt;1.1*R87),"Consented above capacity",IF(AND(LEFT(B87,8)="Planning",AW87=0),"Consent parcel with no permission",IF(COUNTIF($A$2:$A$3000,$A87)&gt;1,"Duplicate parcel_id","")))</f>
        <v/>
      </c>
    </row>
    <row r="88" customFormat="false" ht="15" hidden="false" customHeight="false" outlineLevel="0" collapsed="false">
      <c r="A88" s="15" t="s">
        <v>287</v>
      </c>
      <c r="B88" s="15" t="s">
        <v>10</v>
      </c>
      <c r="C88" s="15" t="s">
        <v>16</v>
      </c>
      <c r="D88" s="15" t="s">
        <v>55</v>
      </c>
      <c r="E88" s="15" t="s">
        <v>19</v>
      </c>
      <c r="F88" s="15" t="n">
        <v>1</v>
      </c>
      <c r="G88" s="15" t="s">
        <v>154</v>
      </c>
      <c r="H88" s="15" t="n">
        <v>154</v>
      </c>
      <c r="I88" s="15" t="s">
        <v>55</v>
      </c>
      <c r="J88" s="15" t="s">
        <v>155</v>
      </c>
      <c r="K88" s="15" t="s">
        <v>55</v>
      </c>
      <c r="L88" s="15" t="s">
        <v>170</v>
      </c>
      <c r="M88" s="15" t="s">
        <v>165</v>
      </c>
      <c r="N88" s="15" t="s">
        <v>166</v>
      </c>
      <c r="O88" s="15" t="s">
        <v>159</v>
      </c>
      <c r="P88" s="15" t="n">
        <v>0.743</v>
      </c>
      <c r="Q88" s="15" t="n">
        <v>0.743</v>
      </c>
      <c r="R88" s="15" t="n">
        <v>33</v>
      </c>
      <c r="S88" s="15" t="s">
        <v>160</v>
      </c>
      <c r="T88" s="15"/>
      <c r="U88" s="15"/>
      <c r="V88" s="15"/>
      <c r="W88" s="15"/>
      <c r="X88" s="15"/>
      <c r="Y88" s="15"/>
      <c r="Z88" s="15"/>
      <c r="AA88" s="15" t="n">
        <v>1</v>
      </c>
      <c r="AB88" s="15" t="n">
        <v>0</v>
      </c>
      <c r="AC88" s="15" t="s">
        <v>161</v>
      </c>
      <c r="AD88" s="15" t="s">
        <v>162</v>
      </c>
      <c r="AE88" s="15" t="s">
        <v>163</v>
      </c>
      <c r="AF88" s="15"/>
      <c r="AG88" s="24" t="n">
        <f aca="false">SUMIFS(Permissions!$G$2:$G$3000,Permissions!$B$2:$B$3000,$A88,Permissions!$I$2:$I$3000,"Complete",Permissions!$P$2:$P$3000,"Yes")</f>
        <v>0</v>
      </c>
      <c r="AH88" s="24" t="n">
        <f aca="false">SUMIFS(Permissions!$G$2:$G$3000,Permissions!$B$2:$B$3000,$A88,Permissions!$I$2:$I$3000,"Under construction",Permissions!$P$2:$P$3000,"Yes")</f>
        <v>0</v>
      </c>
      <c r="AI88" s="24" t="n">
        <f aca="false">SUMIFS(Permissions!$G$2:$G$3000,Permissions!$B$2:$B$3000,$A88,Permissions!$I$2:$I$3000,"Permitted – not started",Permissions!$P$2:$P$3000,"Yes")</f>
        <v>0</v>
      </c>
      <c r="AJ88" s="24" t="n">
        <f aca="false">SUMIFS(Permissions!$G$2:$G$3000,Permissions!$B$2:$B$3000,$A88,Permissions!$I$2:$I$3000,"Stalled",Permissions!$P$2:$P$3000,"Yes")</f>
        <v>0</v>
      </c>
      <c r="AK88" s="24" t="n">
        <f aca="false">AG88+AH88+AI88+AJ88</f>
        <v>0</v>
      </c>
      <c r="AL88" s="24" t="n">
        <f aca="false">SUMIFS(Permissions!$G$2:$G$3000,Permissions!$B$2:$B$3000,$A88,Permissions!$I$2:$I$3000,"Expired – not started",Permissions!$P$2:$P$3000,"Yes")</f>
        <v>0</v>
      </c>
      <c r="AM88" s="24" t="n">
        <f aca="false">SUMIFS(Permissions!$G$2:$G$3000,Permissions!$B$2:$B$3000,$A88,Permissions!$I$2:$I$3000,"In planning",Permissions!$P$2:$P$3000,"Yes")</f>
        <v>0</v>
      </c>
      <c r="AN88" s="24" t="n">
        <f aca="false">IF(R88="",0,MAX(R88-AK88,0))</f>
        <v>33</v>
      </c>
      <c r="AO88" s="25" t="n">
        <f aca="false">AK88+AN88</f>
        <v>33</v>
      </c>
      <c r="AP88" s="24" t="n">
        <f aca="false">AO88-AG88</f>
        <v>33</v>
      </c>
      <c r="AQ88" s="26" t="n">
        <f aca="false">SUMIFS(Permissions!$AH$2:$AH$3000,Permissions!$B$2:$B$3000,$A88,Permissions!$P$2:$P$3000,"Yes")</f>
        <v>0</v>
      </c>
      <c r="AR88" s="26" t="n">
        <f aca="false">SUMIFS(Permissions!$AI$2:$AI$3000,Permissions!$B$2:$B$3000,$A88,Permissions!$P$2:$P$3000,"Yes")</f>
        <v>0</v>
      </c>
      <c r="AS88" s="26" t="n">
        <f aca="false">SUMIFS(Permissions!$AJ$2:$AJ$3000,Permissions!$B$2:$B$3000,$A88,Permissions!$P$2:$P$3000,"Yes")</f>
        <v>0</v>
      </c>
      <c r="AT88" s="26" t="n">
        <f aca="false">SUMIFS(Permissions!$AK$2:$AK$3000,Permissions!$B$2:$B$3000,$A88,Permissions!$P$2:$P$3000,"Yes")</f>
        <v>0</v>
      </c>
      <c r="AU88" s="26" t="n">
        <f aca="false">SUMIFS(Permissions!$AL$2:$AL$3000,Permissions!$B$2:$B$3000,$A88,Permissions!$P$2:$P$3000,"Yes")</f>
        <v>0</v>
      </c>
      <c r="AV88" s="26" t="n">
        <f aca="false">SUMIFS(Permissions!$AM$2:$AM$3000,Permissions!$B$2:$B$3000,$A88,Permissions!$P$2:$P$3000,"Yes")</f>
        <v>0</v>
      </c>
      <c r="AW88" s="24" t="n">
        <f aca="false">COUNTIFS(Permissions!$B$2:$B$3000,$A88,Permissions!$P$2:$P$3000,"Yes")</f>
        <v>0</v>
      </c>
      <c r="AX88" s="24" t="n">
        <f aca="false">SUMIFS(Permissions!$L$2:$L$3000,Permissions!$B$2:$B$3000,$A88,Permissions!$P$2:$P$3000,"Yes")</f>
        <v>0</v>
      </c>
      <c r="AY88" s="27" t="str">
        <f aca="false">IF(AND(AK88&gt;0,AG88&gt;=AK88,AN88=0),"Built out",IF(AG88&gt;0,"Partly built",IF(AK88&gt;0,"Consented – not built","No consent")))</f>
        <v>No consent</v>
      </c>
      <c r="AZ88" s="28" t="str">
        <f aca="false">IF(AND(R88&lt;&gt;"",AK88&gt;1.1*R88),"Consented above capacity",IF(AND(LEFT(B88,8)="Planning",AW88=0),"Consent parcel with no permission",IF(COUNTIF($A$2:$A$3000,$A88)&gt;1,"Duplicate parcel_id","")))</f>
        <v/>
      </c>
    </row>
    <row r="89" customFormat="false" ht="15" hidden="false" customHeight="false" outlineLevel="0" collapsed="false">
      <c r="A89" s="15" t="s">
        <v>288</v>
      </c>
      <c r="B89" s="15" t="s">
        <v>10</v>
      </c>
      <c r="C89" s="15" t="s">
        <v>16</v>
      </c>
      <c r="D89" s="15" t="s">
        <v>55</v>
      </c>
      <c r="E89" s="15" t="s">
        <v>19</v>
      </c>
      <c r="F89" s="15" t="n">
        <v>1</v>
      </c>
      <c r="G89" s="15" t="s">
        <v>154</v>
      </c>
      <c r="H89" s="15" t="n">
        <v>155</v>
      </c>
      <c r="I89" s="15" t="s">
        <v>55</v>
      </c>
      <c r="J89" s="15" t="s">
        <v>155</v>
      </c>
      <c r="K89" s="15" t="s">
        <v>55</v>
      </c>
      <c r="L89" s="15" t="s">
        <v>156</v>
      </c>
      <c r="M89" s="15" t="s">
        <v>157</v>
      </c>
      <c r="N89" s="15" t="s">
        <v>166</v>
      </c>
      <c r="O89" s="15" t="s">
        <v>159</v>
      </c>
      <c r="P89" s="15" t="n">
        <v>0.34</v>
      </c>
      <c r="Q89" s="15" t="n">
        <v>0.341</v>
      </c>
      <c r="R89" s="15" t="n">
        <v>15</v>
      </c>
      <c r="S89" s="15" t="s">
        <v>160</v>
      </c>
      <c r="T89" s="15"/>
      <c r="U89" s="15"/>
      <c r="V89" s="15"/>
      <c r="W89" s="15"/>
      <c r="X89" s="15"/>
      <c r="Y89" s="15"/>
      <c r="Z89" s="15"/>
      <c r="AA89" s="15" t="n">
        <v>0</v>
      </c>
      <c r="AB89" s="15" t="n">
        <v>0</v>
      </c>
      <c r="AC89" s="15" t="s">
        <v>161</v>
      </c>
      <c r="AD89" s="15" t="s">
        <v>162</v>
      </c>
      <c r="AE89" s="15" t="s">
        <v>163</v>
      </c>
      <c r="AF89" s="15"/>
      <c r="AG89" s="24" t="n">
        <f aca="false">SUMIFS(Permissions!$G$2:$G$3000,Permissions!$B$2:$B$3000,$A89,Permissions!$I$2:$I$3000,"Complete",Permissions!$P$2:$P$3000,"Yes")</f>
        <v>0</v>
      </c>
      <c r="AH89" s="24" t="n">
        <f aca="false">SUMIFS(Permissions!$G$2:$G$3000,Permissions!$B$2:$B$3000,$A89,Permissions!$I$2:$I$3000,"Under construction",Permissions!$P$2:$P$3000,"Yes")</f>
        <v>0</v>
      </c>
      <c r="AI89" s="24" t="n">
        <f aca="false">SUMIFS(Permissions!$G$2:$G$3000,Permissions!$B$2:$B$3000,$A89,Permissions!$I$2:$I$3000,"Permitted – not started",Permissions!$P$2:$P$3000,"Yes")</f>
        <v>0</v>
      </c>
      <c r="AJ89" s="24" t="n">
        <f aca="false">SUMIFS(Permissions!$G$2:$G$3000,Permissions!$B$2:$B$3000,$A89,Permissions!$I$2:$I$3000,"Stalled",Permissions!$P$2:$P$3000,"Yes")</f>
        <v>0</v>
      </c>
      <c r="AK89" s="24" t="n">
        <f aca="false">AG89+AH89+AI89+AJ89</f>
        <v>0</v>
      </c>
      <c r="AL89" s="24" t="n">
        <f aca="false">SUMIFS(Permissions!$G$2:$G$3000,Permissions!$B$2:$B$3000,$A89,Permissions!$I$2:$I$3000,"Expired – not started",Permissions!$P$2:$P$3000,"Yes")</f>
        <v>0</v>
      </c>
      <c r="AM89" s="24" t="n">
        <f aca="false">SUMIFS(Permissions!$G$2:$G$3000,Permissions!$B$2:$B$3000,$A89,Permissions!$I$2:$I$3000,"In planning",Permissions!$P$2:$P$3000,"Yes")</f>
        <v>0</v>
      </c>
      <c r="AN89" s="24" t="n">
        <f aca="false">IF(R89="",0,MAX(R89-AK89,0))</f>
        <v>15</v>
      </c>
      <c r="AO89" s="25" t="n">
        <f aca="false">AK89+AN89</f>
        <v>15</v>
      </c>
      <c r="AP89" s="24" t="n">
        <f aca="false">AO89-AG89</f>
        <v>15</v>
      </c>
      <c r="AQ89" s="26" t="n">
        <f aca="false">SUMIFS(Permissions!$AH$2:$AH$3000,Permissions!$B$2:$B$3000,$A89,Permissions!$P$2:$P$3000,"Yes")</f>
        <v>0</v>
      </c>
      <c r="AR89" s="26" t="n">
        <f aca="false">SUMIFS(Permissions!$AI$2:$AI$3000,Permissions!$B$2:$B$3000,$A89,Permissions!$P$2:$P$3000,"Yes")</f>
        <v>0</v>
      </c>
      <c r="AS89" s="26" t="n">
        <f aca="false">SUMIFS(Permissions!$AJ$2:$AJ$3000,Permissions!$B$2:$B$3000,$A89,Permissions!$P$2:$P$3000,"Yes")</f>
        <v>0</v>
      </c>
      <c r="AT89" s="26" t="n">
        <f aca="false">SUMIFS(Permissions!$AK$2:$AK$3000,Permissions!$B$2:$B$3000,$A89,Permissions!$P$2:$P$3000,"Yes")</f>
        <v>0</v>
      </c>
      <c r="AU89" s="26" t="n">
        <f aca="false">SUMIFS(Permissions!$AL$2:$AL$3000,Permissions!$B$2:$B$3000,$A89,Permissions!$P$2:$P$3000,"Yes")</f>
        <v>0</v>
      </c>
      <c r="AV89" s="26" t="n">
        <f aca="false">SUMIFS(Permissions!$AM$2:$AM$3000,Permissions!$B$2:$B$3000,$A89,Permissions!$P$2:$P$3000,"Yes")</f>
        <v>0</v>
      </c>
      <c r="AW89" s="24" t="n">
        <f aca="false">COUNTIFS(Permissions!$B$2:$B$3000,$A89,Permissions!$P$2:$P$3000,"Yes")</f>
        <v>0</v>
      </c>
      <c r="AX89" s="24" t="n">
        <f aca="false">SUMIFS(Permissions!$L$2:$L$3000,Permissions!$B$2:$B$3000,$A89,Permissions!$P$2:$P$3000,"Yes")</f>
        <v>0</v>
      </c>
      <c r="AY89" s="27" t="str">
        <f aca="false">IF(AND(AK89&gt;0,AG89&gt;=AK89,AN89=0),"Built out",IF(AG89&gt;0,"Partly built",IF(AK89&gt;0,"Consented – not built","No consent")))</f>
        <v>No consent</v>
      </c>
      <c r="AZ89" s="28" t="str">
        <f aca="false">IF(AND(R89&lt;&gt;"",AK89&gt;1.1*R89),"Consented above capacity",IF(AND(LEFT(B89,8)="Planning",AW89=0),"Consent parcel with no permission",IF(COUNTIF($A$2:$A$3000,$A89)&gt;1,"Duplicate parcel_id","")))</f>
        <v/>
      </c>
    </row>
    <row r="90" customFormat="false" ht="15" hidden="false" customHeight="false" outlineLevel="0" collapsed="false">
      <c r="A90" s="15" t="s">
        <v>289</v>
      </c>
      <c r="B90" s="15" t="s">
        <v>10</v>
      </c>
      <c r="C90" s="15" t="s">
        <v>16</v>
      </c>
      <c r="D90" s="15" t="s">
        <v>55</v>
      </c>
      <c r="E90" s="15" t="s">
        <v>19</v>
      </c>
      <c r="F90" s="15" t="n">
        <v>1</v>
      </c>
      <c r="G90" s="15" t="s">
        <v>154</v>
      </c>
      <c r="H90" s="15" t="n">
        <v>156</v>
      </c>
      <c r="I90" s="15" t="s">
        <v>55</v>
      </c>
      <c r="J90" s="15" t="s">
        <v>155</v>
      </c>
      <c r="K90" s="15" t="s">
        <v>55</v>
      </c>
      <c r="L90" s="15" t="s">
        <v>170</v>
      </c>
      <c r="M90" s="15" t="s">
        <v>165</v>
      </c>
      <c r="N90" s="15" t="s">
        <v>166</v>
      </c>
      <c r="O90" s="15" t="s">
        <v>159</v>
      </c>
      <c r="P90" s="15" t="n">
        <v>0.584</v>
      </c>
      <c r="Q90" s="15" t="n">
        <v>0.584</v>
      </c>
      <c r="R90" s="15" t="n">
        <v>26</v>
      </c>
      <c r="S90" s="15" t="s">
        <v>160</v>
      </c>
      <c r="T90" s="15"/>
      <c r="U90" s="15"/>
      <c r="V90" s="15"/>
      <c r="W90" s="15"/>
      <c r="X90" s="15"/>
      <c r="Y90" s="15"/>
      <c r="Z90" s="15"/>
      <c r="AA90" s="15" t="n">
        <v>0</v>
      </c>
      <c r="AB90" s="15" t="n">
        <v>0</v>
      </c>
      <c r="AC90" s="15" t="s">
        <v>161</v>
      </c>
      <c r="AD90" s="15" t="s">
        <v>162</v>
      </c>
      <c r="AE90" s="15" t="s">
        <v>163</v>
      </c>
      <c r="AF90" s="15"/>
      <c r="AG90" s="24" t="n">
        <f aca="false">SUMIFS(Permissions!$G$2:$G$3000,Permissions!$B$2:$B$3000,$A90,Permissions!$I$2:$I$3000,"Complete",Permissions!$P$2:$P$3000,"Yes")</f>
        <v>0</v>
      </c>
      <c r="AH90" s="24" t="n">
        <f aca="false">SUMIFS(Permissions!$G$2:$G$3000,Permissions!$B$2:$B$3000,$A90,Permissions!$I$2:$I$3000,"Under construction",Permissions!$P$2:$P$3000,"Yes")</f>
        <v>0</v>
      </c>
      <c r="AI90" s="24" t="n">
        <f aca="false">SUMIFS(Permissions!$G$2:$G$3000,Permissions!$B$2:$B$3000,$A90,Permissions!$I$2:$I$3000,"Permitted – not started",Permissions!$P$2:$P$3000,"Yes")</f>
        <v>0</v>
      </c>
      <c r="AJ90" s="24" t="n">
        <f aca="false">SUMIFS(Permissions!$G$2:$G$3000,Permissions!$B$2:$B$3000,$A90,Permissions!$I$2:$I$3000,"Stalled",Permissions!$P$2:$P$3000,"Yes")</f>
        <v>0</v>
      </c>
      <c r="AK90" s="24" t="n">
        <f aca="false">AG90+AH90+AI90+AJ90</f>
        <v>0</v>
      </c>
      <c r="AL90" s="24" t="n">
        <f aca="false">SUMIFS(Permissions!$G$2:$G$3000,Permissions!$B$2:$B$3000,$A90,Permissions!$I$2:$I$3000,"Expired – not started",Permissions!$P$2:$P$3000,"Yes")</f>
        <v>0</v>
      </c>
      <c r="AM90" s="24" t="n">
        <f aca="false">SUMIFS(Permissions!$G$2:$G$3000,Permissions!$B$2:$B$3000,$A90,Permissions!$I$2:$I$3000,"In planning",Permissions!$P$2:$P$3000,"Yes")</f>
        <v>0</v>
      </c>
      <c r="AN90" s="24" t="n">
        <f aca="false">IF(R90="",0,MAX(R90-AK90,0))</f>
        <v>26</v>
      </c>
      <c r="AO90" s="25" t="n">
        <f aca="false">AK90+AN90</f>
        <v>26</v>
      </c>
      <c r="AP90" s="24" t="n">
        <f aca="false">AO90-AG90</f>
        <v>26</v>
      </c>
      <c r="AQ90" s="26" t="n">
        <f aca="false">SUMIFS(Permissions!$AH$2:$AH$3000,Permissions!$B$2:$B$3000,$A90,Permissions!$P$2:$P$3000,"Yes")</f>
        <v>0</v>
      </c>
      <c r="AR90" s="26" t="n">
        <f aca="false">SUMIFS(Permissions!$AI$2:$AI$3000,Permissions!$B$2:$B$3000,$A90,Permissions!$P$2:$P$3000,"Yes")</f>
        <v>0</v>
      </c>
      <c r="AS90" s="26" t="n">
        <f aca="false">SUMIFS(Permissions!$AJ$2:$AJ$3000,Permissions!$B$2:$B$3000,$A90,Permissions!$P$2:$P$3000,"Yes")</f>
        <v>0</v>
      </c>
      <c r="AT90" s="26" t="n">
        <f aca="false">SUMIFS(Permissions!$AK$2:$AK$3000,Permissions!$B$2:$B$3000,$A90,Permissions!$P$2:$P$3000,"Yes")</f>
        <v>0</v>
      </c>
      <c r="AU90" s="26" t="n">
        <f aca="false">SUMIFS(Permissions!$AL$2:$AL$3000,Permissions!$B$2:$B$3000,$A90,Permissions!$P$2:$P$3000,"Yes")</f>
        <v>0</v>
      </c>
      <c r="AV90" s="26" t="n">
        <f aca="false">SUMIFS(Permissions!$AM$2:$AM$3000,Permissions!$B$2:$B$3000,$A90,Permissions!$P$2:$P$3000,"Yes")</f>
        <v>0</v>
      </c>
      <c r="AW90" s="24" t="n">
        <f aca="false">COUNTIFS(Permissions!$B$2:$B$3000,$A90,Permissions!$P$2:$P$3000,"Yes")</f>
        <v>0</v>
      </c>
      <c r="AX90" s="24" t="n">
        <f aca="false">SUMIFS(Permissions!$L$2:$L$3000,Permissions!$B$2:$B$3000,$A90,Permissions!$P$2:$P$3000,"Yes")</f>
        <v>0</v>
      </c>
      <c r="AY90" s="27" t="str">
        <f aca="false">IF(AND(AK90&gt;0,AG90&gt;=AK90,AN90=0),"Built out",IF(AG90&gt;0,"Partly built",IF(AK90&gt;0,"Consented – not built","No consent")))</f>
        <v>No consent</v>
      </c>
      <c r="AZ90" s="28" t="str">
        <f aca="false">IF(AND(R90&lt;&gt;"",AK90&gt;1.1*R90),"Consented above capacity",IF(AND(LEFT(B90,8)="Planning",AW90=0),"Consent parcel with no permission",IF(COUNTIF($A$2:$A$3000,$A90)&gt;1,"Duplicate parcel_id","")))</f>
        <v/>
      </c>
    </row>
    <row r="91" customFormat="false" ht="15" hidden="false" customHeight="false" outlineLevel="0" collapsed="false">
      <c r="A91" s="15" t="s">
        <v>290</v>
      </c>
      <c r="B91" s="15" t="s">
        <v>10</v>
      </c>
      <c r="C91" s="15" t="s">
        <v>16</v>
      </c>
      <c r="D91" s="15" t="s">
        <v>55</v>
      </c>
      <c r="E91" s="15" t="s">
        <v>19</v>
      </c>
      <c r="F91" s="15" t="n">
        <v>1</v>
      </c>
      <c r="G91" s="15" t="s">
        <v>154</v>
      </c>
      <c r="H91" s="15" t="n">
        <v>160</v>
      </c>
      <c r="I91" s="15" t="s">
        <v>55</v>
      </c>
      <c r="J91" s="15" t="s">
        <v>155</v>
      </c>
      <c r="K91" s="15" t="s">
        <v>55</v>
      </c>
      <c r="L91" s="15" t="s">
        <v>170</v>
      </c>
      <c r="M91" s="15" t="s">
        <v>157</v>
      </c>
      <c r="N91" s="15" t="s">
        <v>178</v>
      </c>
      <c r="O91" s="15" t="s">
        <v>179</v>
      </c>
      <c r="P91" s="15" t="n">
        <v>1.168</v>
      </c>
      <c r="Q91" s="15" t="n">
        <v>1.278</v>
      </c>
      <c r="R91" s="15" t="n">
        <v>41</v>
      </c>
      <c r="S91" s="15" t="s">
        <v>160</v>
      </c>
      <c r="T91" s="15"/>
      <c r="U91" s="15"/>
      <c r="V91" s="15"/>
      <c r="W91" s="15"/>
      <c r="X91" s="15"/>
      <c r="Y91" s="15"/>
      <c r="Z91" s="15"/>
      <c r="AA91" s="15" t="n">
        <v>0</v>
      </c>
      <c r="AB91" s="15" t="n">
        <v>0</v>
      </c>
      <c r="AC91" s="15" t="s">
        <v>161</v>
      </c>
      <c r="AD91" s="15" t="s">
        <v>162</v>
      </c>
      <c r="AE91" s="15" t="s">
        <v>163</v>
      </c>
      <c r="AF91" s="15"/>
      <c r="AG91" s="24" t="n">
        <f aca="false">SUMIFS(Permissions!$G$2:$G$3000,Permissions!$B$2:$B$3000,$A91,Permissions!$I$2:$I$3000,"Complete",Permissions!$P$2:$P$3000,"Yes")</f>
        <v>0</v>
      </c>
      <c r="AH91" s="24" t="n">
        <f aca="false">SUMIFS(Permissions!$G$2:$G$3000,Permissions!$B$2:$B$3000,$A91,Permissions!$I$2:$I$3000,"Under construction",Permissions!$P$2:$P$3000,"Yes")</f>
        <v>0</v>
      </c>
      <c r="AI91" s="24" t="n">
        <f aca="false">SUMIFS(Permissions!$G$2:$G$3000,Permissions!$B$2:$B$3000,$A91,Permissions!$I$2:$I$3000,"Permitted – not started",Permissions!$P$2:$P$3000,"Yes")</f>
        <v>0</v>
      </c>
      <c r="AJ91" s="24" t="n">
        <f aca="false">SUMIFS(Permissions!$G$2:$G$3000,Permissions!$B$2:$B$3000,$A91,Permissions!$I$2:$I$3000,"Stalled",Permissions!$P$2:$P$3000,"Yes")</f>
        <v>0</v>
      </c>
      <c r="AK91" s="24" t="n">
        <f aca="false">AG91+AH91+AI91+AJ91</f>
        <v>0</v>
      </c>
      <c r="AL91" s="24" t="n">
        <f aca="false">SUMIFS(Permissions!$G$2:$G$3000,Permissions!$B$2:$B$3000,$A91,Permissions!$I$2:$I$3000,"Expired – not started",Permissions!$P$2:$P$3000,"Yes")</f>
        <v>0</v>
      </c>
      <c r="AM91" s="24" t="n">
        <f aca="false">SUMIFS(Permissions!$G$2:$G$3000,Permissions!$B$2:$B$3000,$A91,Permissions!$I$2:$I$3000,"In planning",Permissions!$P$2:$P$3000,"Yes")</f>
        <v>0</v>
      </c>
      <c r="AN91" s="24" t="n">
        <f aca="false">IF(R91="",0,MAX(R91-AK91,0))</f>
        <v>41</v>
      </c>
      <c r="AO91" s="25" t="n">
        <f aca="false">AK91+AN91</f>
        <v>41</v>
      </c>
      <c r="AP91" s="24" t="n">
        <f aca="false">AO91-AG91</f>
        <v>41</v>
      </c>
      <c r="AQ91" s="26" t="n">
        <f aca="false">SUMIFS(Permissions!$AH$2:$AH$3000,Permissions!$B$2:$B$3000,$A91,Permissions!$P$2:$P$3000,"Yes")</f>
        <v>0</v>
      </c>
      <c r="AR91" s="26" t="n">
        <f aca="false">SUMIFS(Permissions!$AI$2:$AI$3000,Permissions!$B$2:$B$3000,$A91,Permissions!$P$2:$P$3000,"Yes")</f>
        <v>0</v>
      </c>
      <c r="AS91" s="26" t="n">
        <f aca="false">SUMIFS(Permissions!$AJ$2:$AJ$3000,Permissions!$B$2:$B$3000,$A91,Permissions!$P$2:$P$3000,"Yes")</f>
        <v>0</v>
      </c>
      <c r="AT91" s="26" t="n">
        <f aca="false">SUMIFS(Permissions!$AK$2:$AK$3000,Permissions!$B$2:$B$3000,$A91,Permissions!$P$2:$P$3000,"Yes")</f>
        <v>0</v>
      </c>
      <c r="AU91" s="26" t="n">
        <f aca="false">SUMIFS(Permissions!$AL$2:$AL$3000,Permissions!$B$2:$B$3000,$A91,Permissions!$P$2:$P$3000,"Yes")</f>
        <v>0</v>
      </c>
      <c r="AV91" s="26" t="n">
        <f aca="false">SUMIFS(Permissions!$AM$2:$AM$3000,Permissions!$B$2:$B$3000,$A91,Permissions!$P$2:$P$3000,"Yes")</f>
        <v>0</v>
      </c>
      <c r="AW91" s="24" t="n">
        <f aca="false">COUNTIFS(Permissions!$B$2:$B$3000,$A91,Permissions!$P$2:$P$3000,"Yes")</f>
        <v>0</v>
      </c>
      <c r="AX91" s="24" t="n">
        <f aca="false">SUMIFS(Permissions!$L$2:$L$3000,Permissions!$B$2:$B$3000,$A91,Permissions!$P$2:$P$3000,"Yes")</f>
        <v>0</v>
      </c>
      <c r="AY91" s="27" t="str">
        <f aca="false">IF(AND(AK91&gt;0,AG91&gt;=AK91,AN91=0),"Built out",IF(AG91&gt;0,"Partly built",IF(AK91&gt;0,"Consented – not built","No consent")))</f>
        <v>No consent</v>
      </c>
      <c r="AZ91" s="28" t="str">
        <f aca="false">IF(AND(R91&lt;&gt;"",AK91&gt;1.1*R91),"Consented above capacity",IF(AND(LEFT(B91,8)="Planning",AW91=0),"Consent parcel with no permission",IF(COUNTIF($A$2:$A$3000,$A91)&gt;1,"Duplicate parcel_id","")))</f>
        <v/>
      </c>
    </row>
    <row r="92" customFormat="false" ht="15" hidden="false" customHeight="false" outlineLevel="0" collapsed="false">
      <c r="A92" s="15" t="s">
        <v>291</v>
      </c>
      <c r="B92" s="15" t="s">
        <v>10</v>
      </c>
      <c r="C92" s="15" t="s">
        <v>16</v>
      </c>
      <c r="D92" s="15" t="s">
        <v>56</v>
      </c>
      <c r="E92" s="15" t="s">
        <v>19</v>
      </c>
      <c r="F92" s="15" t="n">
        <v>1</v>
      </c>
      <c r="G92" s="15" t="s">
        <v>154</v>
      </c>
      <c r="H92" s="15" t="n">
        <v>168</v>
      </c>
      <c r="I92" s="15" t="s">
        <v>56</v>
      </c>
      <c r="J92" s="15" t="s">
        <v>176</v>
      </c>
      <c r="K92" s="15"/>
      <c r="L92" s="15" t="s">
        <v>183</v>
      </c>
      <c r="M92" s="15"/>
      <c r="N92" s="15"/>
      <c r="O92" s="15"/>
      <c r="P92" s="15" t="n">
        <v>0.042</v>
      </c>
      <c r="Q92" s="15" t="n">
        <v>0.042</v>
      </c>
      <c r="R92" s="15" t="n">
        <v>1</v>
      </c>
      <c r="S92" s="15" t="s">
        <v>160</v>
      </c>
      <c r="T92" s="15"/>
      <c r="U92" s="15"/>
      <c r="V92" s="15"/>
      <c r="W92" s="15"/>
      <c r="X92" s="15"/>
      <c r="Y92" s="15"/>
      <c r="Z92" s="15"/>
      <c r="AA92" s="15" t="n">
        <v>0</v>
      </c>
      <c r="AB92" s="15" t="n">
        <v>0</v>
      </c>
      <c r="AC92" s="15"/>
      <c r="AD92" s="15" t="s">
        <v>192</v>
      </c>
      <c r="AE92" s="15" t="s">
        <v>163</v>
      </c>
      <c r="AF92" s="15"/>
      <c r="AG92" s="24" t="n">
        <f aca="false">SUMIFS(Permissions!$G$2:$G$3000,Permissions!$B$2:$B$3000,$A92,Permissions!$I$2:$I$3000,"Complete",Permissions!$P$2:$P$3000,"Yes")</f>
        <v>0</v>
      </c>
      <c r="AH92" s="24" t="n">
        <f aca="false">SUMIFS(Permissions!$G$2:$G$3000,Permissions!$B$2:$B$3000,$A92,Permissions!$I$2:$I$3000,"Under construction",Permissions!$P$2:$P$3000,"Yes")</f>
        <v>0</v>
      </c>
      <c r="AI92" s="24" t="n">
        <f aca="false">SUMIFS(Permissions!$G$2:$G$3000,Permissions!$B$2:$B$3000,$A92,Permissions!$I$2:$I$3000,"Permitted – not started",Permissions!$P$2:$P$3000,"Yes")</f>
        <v>0</v>
      </c>
      <c r="AJ92" s="24" t="n">
        <f aca="false">SUMIFS(Permissions!$G$2:$G$3000,Permissions!$B$2:$B$3000,$A92,Permissions!$I$2:$I$3000,"Stalled",Permissions!$P$2:$P$3000,"Yes")</f>
        <v>0</v>
      </c>
      <c r="AK92" s="24" t="n">
        <f aca="false">AG92+AH92+AI92+AJ92</f>
        <v>0</v>
      </c>
      <c r="AL92" s="24" t="n">
        <f aca="false">SUMIFS(Permissions!$G$2:$G$3000,Permissions!$B$2:$B$3000,$A92,Permissions!$I$2:$I$3000,"Expired – not started",Permissions!$P$2:$P$3000,"Yes")</f>
        <v>0</v>
      </c>
      <c r="AM92" s="24" t="n">
        <f aca="false">SUMIFS(Permissions!$G$2:$G$3000,Permissions!$B$2:$B$3000,$A92,Permissions!$I$2:$I$3000,"In planning",Permissions!$P$2:$P$3000,"Yes")</f>
        <v>0</v>
      </c>
      <c r="AN92" s="24" t="n">
        <f aca="false">IF(R92="",0,MAX(R92-AK92,0))</f>
        <v>1</v>
      </c>
      <c r="AO92" s="25" t="n">
        <f aca="false">AK92+AN92</f>
        <v>1</v>
      </c>
      <c r="AP92" s="24" t="n">
        <f aca="false">AO92-AG92</f>
        <v>1</v>
      </c>
      <c r="AQ92" s="26" t="n">
        <f aca="false">SUMIFS(Permissions!$AH$2:$AH$3000,Permissions!$B$2:$B$3000,$A92,Permissions!$P$2:$P$3000,"Yes")</f>
        <v>0</v>
      </c>
      <c r="AR92" s="26" t="n">
        <f aca="false">SUMIFS(Permissions!$AI$2:$AI$3000,Permissions!$B$2:$B$3000,$A92,Permissions!$P$2:$P$3000,"Yes")</f>
        <v>0</v>
      </c>
      <c r="AS92" s="26" t="n">
        <f aca="false">SUMIFS(Permissions!$AJ$2:$AJ$3000,Permissions!$B$2:$B$3000,$A92,Permissions!$P$2:$P$3000,"Yes")</f>
        <v>0</v>
      </c>
      <c r="AT92" s="26" t="n">
        <f aca="false">SUMIFS(Permissions!$AK$2:$AK$3000,Permissions!$B$2:$B$3000,$A92,Permissions!$P$2:$P$3000,"Yes")</f>
        <v>0</v>
      </c>
      <c r="AU92" s="26" t="n">
        <f aca="false">SUMIFS(Permissions!$AL$2:$AL$3000,Permissions!$B$2:$B$3000,$A92,Permissions!$P$2:$P$3000,"Yes")</f>
        <v>0</v>
      </c>
      <c r="AV92" s="26" t="n">
        <f aca="false">SUMIFS(Permissions!$AM$2:$AM$3000,Permissions!$B$2:$B$3000,$A92,Permissions!$P$2:$P$3000,"Yes")</f>
        <v>0</v>
      </c>
      <c r="AW92" s="24" t="n">
        <f aca="false">COUNTIFS(Permissions!$B$2:$B$3000,$A92,Permissions!$P$2:$P$3000,"Yes")</f>
        <v>0</v>
      </c>
      <c r="AX92" s="24" t="n">
        <f aca="false">SUMIFS(Permissions!$L$2:$L$3000,Permissions!$B$2:$B$3000,$A92,Permissions!$P$2:$P$3000,"Yes")</f>
        <v>0</v>
      </c>
      <c r="AY92" s="27" t="str">
        <f aca="false">IF(AND(AK92&gt;0,AG92&gt;=AK92,AN92=0),"Built out",IF(AG92&gt;0,"Partly built",IF(AK92&gt;0,"Consented – not built","No consent")))</f>
        <v>No consent</v>
      </c>
      <c r="AZ92" s="28" t="str">
        <f aca="false">IF(AND(R92&lt;&gt;"",AK92&gt;1.1*R92),"Consented above capacity",IF(AND(LEFT(B92,8)="Planning",AW92=0),"Consent parcel with no permission",IF(COUNTIF($A$2:$A$3000,$A92)&gt;1,"Duplicate parcel_id","")))</f>
        <v/>
      </c>
    </row>
    <row r="93" customFormat="false" ht="15" hidden="false" customHeight="false" outlineLevel="0" collapsed="false">
      <c r="A93" s="15" t="s">
        <v>292</v>
      </c>
      <c r="B93" s="15" t="s">
        <v>10</v>
      </c>
      <c r="C93" s="15" t="s">
        <v>16</v>
      </c>
      <c r="D93" s="15" t="s">
        <v>56</v>
      </c>
      <c r="E93" s="15" t="s">
        <v>19</v>
      </c>
      <c r="F93" s="15" t="n">
        <v>1</v>
      </c>
      <c r="G93" s="15" t="s">
        <v>154</v>
      </c>
      <c r="H93" s="15" t="n">
        <v>40</v>
      </c>
      <c r="I93" s="15" t="s">
        <v>56</v>
      </c>
      <c r="J93" s="15" t="s">
        <v>176</v>
      </c>
      <c r="K93" s="15" t="s">
        <v>254</v>
      </c>
      <c r="L93" s="15" t="s">
        <v>156</v>
      </c>
      <c r="M93" s="15" t="s">
        <v>228</v>
      </c>
      <c r="N93" s="15" t="s">
        <v>158</v>
      </c>
      <c r="O93" s="15" t="s">
        <v>229</v>
      </c>
      <c r="P93" s="15" t="n">
        <v>0.132</v>
      </c>
      <c r="Q93" s="15" t="n">
        <v>0.132</v>
      </c>
      <c r="R93" s="15" t="n">
        <v>13</v>
      </c>
      <c r="S93" s="15" t="s">
        <v>160</v>
      </c>
      <c r="T93" s="15"/>
      <c r="U93" s="15"/>
      <c r="V93" s="15"/>
      <c r="W93" s="15"/>
      <c r="X93" s="15"/>
      <c r="Y93" s="15"/>
      <c r="Z93" s="15"/>
      <c r="AA93" s="15" t="n">
        <v>3</v>
      </c>
      <c r="AB93" s="15" t="n">
        <v>0</v>
      </c>
      <c r="AC93" s="15" t="s">
        <v>161</v>
      </c>
      <c r="AD93" s="15" t="s">
        <v>162</v>
      </c>
      <c r="AE93" s="15" t="s">
        <v>163</v>
      </c>
      <c r="AF93" s="15"/>
      <c r="AG93" s="24" t="n">
        <f aca="false">SUMIFS(Permissions!$G$2:$G$3000,Permissions!$B$2:$B$3000,$A93,Permissions!$I$2:$I$3000,"Complete",Permissions!$P$2:$P$3000,"Yes")</f>
        <v>0</v>
      </c>
      <c r="AH93" s="24" t="n">
        <f aca="false">SUMIFS(Permissions!$G$2:$G$3000,Permissions!$B$2:$B$3000,$A93,Permissions!$I$2:$I$3000,"Under construction",Permissions!$P$2:$P$3000,"Yes")</f>
        <v>0</v>
      </c>
      <c r="AI93" s="24" t="n">
        <f aca="false">SUMIFS(Permissions!$G$2:$G$3000,Permissions!$B$2:$B$3000,$A93,Permissions!$I$2:$I$3000,"Permitted – not started",Permissions!$P$2:$P$3000,"Yes")</f>
        <v>0</v>
      </c>
      <c r="AJ93" s="24" t="n">
        <f aca="false">SUMIFS(Permissions!$G$2:$G$3000,Permissions!$B$2:$B$3000,$A93,Permissions!$I$2:$I$3000,"Stalled",Permissions!$P$2:$P$3000,"Yes")</f>
        <v>0</v>
      </c>
      <c r="AK93" s="24" t="n">
        <f aca="false">AG93+AH93+AI93+AJ93</f>
        <v>0</v>
      </c>
      <c r="AL93" s="24" t="n">
        <f aca="false">SUMIFS(Permissions!$G$2:$G$3000,Permissions!$B$2:$B$3000,$A93,Permissions!$I$2:$I$3000,"Expired – not started",Permissions!$P$2:$P$3000,"Yes")</f>
        <v>0</v>
      </c>
      <c r="AM93" s="24" t="n">
        <f aca="false">SUMIFS(Permissions!$G$2:$G$3000,Permissions!$B$2:$B$3000,$A93,Permissions!$I$2:$I$3000,"In planning",Permissions!$P$2:$P$3000,"Yes")</f>
        <v>0</v>
      </c>
      <c r="AN93" s="24" t="n">
        <f aca="false">IF(R93="",0,MAX(R93-AK93,0))</f>
        <v>13</v>
      </c>
      <c r="AO93" s="25" t="n">
        <f aca="false">AK93+AN93</f>
        <v>13</v>
      </c>
      <c r="AP93" s="24" t="n">
        <f aca="false">AO93-AG93</f>
        <v>13</v>
      </c>
      <c r="AQ93" s="26" t="n">
        <f aca="false">SUMIFS(Permissions!$AH$2:$AH$3000,Permissions!$B$2:$B$3000,$A93,Permissions!$P$2:$P$3000,"Yes")</f>
        <v>0</v>
      </c>
      <c r="AR93" s="26" t="n">
        <f aca="false">SUMIFS(Permissions!$AI$2:$AI$3000,Permissions!$B$2:$B$3000,$A93,Permissions!$P$2:$P$3000,"Yes")</f>
        <v>0</v>
      </c>
      <c r="AS93" s="26" t="n">
        <f aca="false">SUMIFS(Permissions!$AJ$2:$AJ$3000,Permissions!$B$2:$B$3000,$A93,Permissions!$P$2:$P$3000,"Yes")</f>
        <v>0</v>
      </c>
      <c r="AT93" s="26" t="n">
        <f aca="false">SUMIFS(Permissions!$AK$2:$AK$3000,Permissions!$B$2:$B$3000,$A93,Permissions!$P$2:$P$3000,"Yes")</f>
        <v>0</v>
      </c>
      <c r="AU93" s="26" t="n">
        <f aca="false">SUMIFS(Permissions!$AL$2:$AL$3000,Permissions!$B$2:$B$3000,$A93,Permissions!$P$2:$P$3000,"Yes")</f>
        <v>0</v>
      </c>
      <c r="AV93" s="26" t="n">
        <f aca="false">SUMIFS(Permissions!$AM$2:$AM$3000,Permissions!$B$2:$B$3000,$A93,Permissions!$P$2:$P$3000,"Yes")</f>
        <v>0</v>
      </c>
      <c r="AW93" s="24" t="n">
        <f aca="false">COUNTIFS(Permissions!$B$2:$B$3000,$A93,Permissions!$P$2:$P$3000,"Yes")</f>
        <v>0</v>
      </c>
      <c r="AX93" s="24" t="n">
        <f aca="false">SUMIFS(Permissions!$L$2:$L$3000,Permissions!$B$2:$B$3000,$A93,Permissions!$P$2:$P$3000,"Yes")</f>
        <v>0</v>
      </c>
      <c r="AY93" s="27" t="str">
        <f aca="false">IF(AND(AK93&gt;0,AG93&gt;=AK93,AN93=0),"Built out",IF(AG93&gt;0,"Partly built",IF(AK93&gt;0,"Consented – not built","No consent")))</f>
        <v>No consent</v>
      </c>
      <c r="AZ93" s="28" t="str">
        <f aca="false">IF(AND(R93&lt;&gt;"",AK93&gt;1.1*R93),"Consented above capacity",IF(AND(LEFT(B93,8)="Planning",AW93=0),"Consent parcel with no permission",IF(COUNTIF($A$2:$A$3000,$A93)&gt;1,"Duplicate parcel_id","")))</f>
        <v/>
      </c>
    </row>
    <row r="94" customFormat="false" ht="15" hidden="false" customHeight="false" outlineLevel="0" collapsed="false">
      <c r="A94" s="15" t="s">
        <v>293</v>
      </c>
      <c r="B94" s="15" t="s">
        <v>10</v>
      </c>
      <c r="C94" s="15" t="s">
        <v>16</v>
      </c>
      <c r="D94" s="15" t="s">
        <v>56</v>
      </c>
      <c r="E94" s="15" t="s">
        <v>19</v>
      </c>
      <c r="F94" s="15" t="n">
        <v>1</v>
      </c>
      <c r="G94" s="15" t="s">
        <v>154</v>
      </c>
      <c r="H94" s="15" t="n">
        <v>41</v>
      </c>
      <c r="I94" s="15" t="s">
        <v>56</v>
      </c>
      <c r="J94" s="15" t="s">
        <v>176</v>
      </c>
      <c r="K94" s="15" t="s">
        <v>254</v>
      </c>
      <c r="L94" s="15" t="s">
        <v>156</v>
      </c>
      <c r="M94" s="15" t="s">
        <v>228</v>
      </c>
      <c r="N94" s="15" t="s">
        <v>158</v>
      </c>
      <c r="O94" s="15" t="s">
        <v>229</v>
      </c>
      <c r="P94" s="15" t="n">
        <v>0.106</v>
      </c>
      <c r="Q94" s="15" t="n">
        <v>0.107</v>
      </c>
      <c r="R94" s="15" t="n">
        <v>11</v>
      </c>
      <c r="S94" s="15" t="s">
        <v>160</v>
      </c>
      <c r="T94" s="15"/>
      <c r="U94" s="15"/>
      <c r="V94" s="15"/>
      <c r="W94" s="15"/>
      <c r="X94" s="15"/>
      <c r="Y94" s="15"/>
      <c r="Z94" s="15"/>
      <c r="AA94" s="15" t="n">
        <v>0</v>
      </c>
      <c r="AB94" s="15" t="n">
        <v>0</v>
      </c>
      <c r="AC94" s="15" t="s">
        <v>161</v>
      </c>
      <c r="AD94" s="15" t="s">
        <v>162</v>
      </c>
      <c r="AE94" s="15" t="s">
        <v>163</v>
      </c>
      <c r="AF94" s="15"/>
      <c r="AG94" s="24" t="n">
        <f aca="false">SUMIFS(Permissions!$G$2:$G$3000,Permissions!$B$2:$B$3000,$A94,Permissions!$I$2:$I$3000,"Complete",Permissions!$P$2:$P$3000,"Yes")</f>
        <v>0</v>
      </c>
      <c r="AH94" s="24" t="n">
        <f aca="false">SUMIFS(Permissions!$G$2:$G$3000,Permissions!$B$2:$B$3000,$A94,Permissions!$I$2:$I$3000,"Under construction",Permissions!$P$2:$P$3000,"Yes")</f>
        <v>0</v>
      </c>
      <c r="AI94" s="24" t="n">
        <f aca="false">SUMIFS(Permissions!$G$2:$G$3000,Permissions!$B$2:$B$3000,$A94,Permissions!$I$2:$I$3000,"Permitted – not started",Permissions!$P$2:$P$3000,"Yes")</f>
        <v>0</v>
      </c>
      <c r="AJ94" s="24" t="n">
        <f aca="false">SUMIFS(Permissions!$G$2:$G$3000,Permissions!$B$2:$B$3000,$A94,Permissions!$I$2:$I$3000,"Stalled",Permissions!$P$2:$P$3000,"Yes")</f>
        <v>0</v>
      </c>
      <c r="AK94" s="24" t="n">
        <f aca="false">AG94+AH94+AI94+AJ94</f>
        <v>0</v>
      </c>
      <c r="AL94" s="24" t="n">
        <f aca="false">SUMIFS(Permissions!$G$2:$G$3000,Permissions!$B$2:$B$3000,$A94,Permissions!$I$2:$I$3000,"Expired – not started",Permissions!$P$2:$P$3000,"Yes")</f>
        <v>0</v>
      </c>
      <c r="AM94" s="24" t="n">
        <f aca="false">SUMIFS(Permissions!$G$2:$G$3000,Permissions!$B$2:$B$3000,$A94,Permissions!$I$2:$I$3000,"In planning",Permissions!$P$2:$P$3000,"Yes")</f>
        <v>30</v>
      </c>
      <c r="AN94" s="24" t="n">
        <f aca="false">IF(R94="",0,MAX(R94-AK94,0))</f>
        <v>11</v>
      </c>
      <c r="AO94" s="25" t="n">
        <f aca="false">AK94+AN94</f>
        <v>11</v>
      </c>
      <c r="AP94" s="24" t="n">
        <f aca="false">AO94-AG94</f>
        <v>11</v>
      </c>
      <c r="AQ94" s="26" t="n">
        <f aca="false">SUMIFS(Permissions!$AH$2:$AH$3000,Permissions!$B$2:$B$3000,$A94,Permissions!$P$2:$P$3000,"Yes")</f>
        <v>0</v>
      </c>
      <c r="AR94" s="26" t="n">
        <f aca="false">SUMIFS(Permissions!$AI$2:$AI$3000,Permissions!$B$2:$B$3000,$A94,Permissions!$P$2:$P$3000,"Yes")</f>
        <v>0</v>
      </c>
      <c r="AS94" s="26" t="n">
        <f aca="false">SUMIFS(Permissions!$AJ$2:$AJ$3000,Permissions!$B$2:$B$3000,$A94,Permissions!$P$2:$P$3000,"Yes")</f>
        <v>0</v>
      </c>
      <c r="AT94" s="26" t="n">
        <f aca="false">SUMIFS(Permissions!$AK$2:$AK$3000,Permissions!$B$2:$B$3000,$A94,Permissions!$P$2:$P$3000,"Yes")</f>
        <v>0</v>
      </c>
      <c r="AU94" s="26" t="n">
        <f aca="false">SUMIFS(Permissions!$AL$2:$AL$3000,Permissions!$B$2:$B$3000,$A94,Permissions!$P$2:$P$3000,"Yes")</f>
        <v>0</v>
      </c>
      <c r="AV94" s="26" t="n">
        <f aca="false">SUMIFS(Permissions!$AM$2:$AM$3000,Permissions!$B$2:$B$3000,$A94,Permissions!$P$2:$P$3000,"Yes")</f>
        <v>0</v>
      </c>
      <c r="AW94" s="24" t="n">
        <f aca="false">COUNTIFS(Permissions!$B$2:$B$3000,$A94,Permissions!$P$2:$P$3000,"Yes")</f>
        <v>1</v>
      </c>
      <c r="AX94" s="24" t="n">
        <f aca="false">SUMIFS(Permissions!$L$2:$L$3000,Permissions!$B$2:$B$3000,$A94,Permissions!$P$2:$P$3000,"Yes")</f>
        <v>0</v>
      </c>
      <c r="AY94" s="27" t="str">
        <f aca="false">IF(AND(AK94&gt;0,AG94&gt;=AK94,AN94=0),"Built out",IF(AG94&gt;0,"Partly built",IF(AK94&gt;0,"Consented – not built","No consent")))</f>
        <v>No consent</v>
      </c>
      <c r="AZ94" s="28" t="str">
        <f aca="false">IF(AND(R94&lt;&gt;"",AK94&gt;1.1*R94),"Consented above capacity",IF(AND(LEFT(B94,8)="Planning",AW94=0),"Consent parcel with no permission",IF(COUNTIF($A$2:$A$3000,$A94)&gt;1,"Duplicate parcel_id","")))</f>
        <v/>
      </c>
    </row>
    <row r="95" customFormat="false" ht="15" hidden="false" customHeight="false" outlineLevel="0" collapsed="false">
      <c r="A95" s="15" t="s">
        <v>294</v>
      </c>
      <c r="B95" s="15" t="s">
        <v>10</v>
      </c>
      <c r="C95" s="15" t="s">
        <v>16</v>
      </c>
      <c r="D95" s="15" t="s">
        <v>57</v>
      </c>
      <c r="E95" s="15" t="s">
        <v>19</v>
      </c>
      <c r="F95" s="15" t="n">
        <v>1</v>
      </c>
      <c r="G95" s="15" t="s">
        <v>154</v>
      </c>
      <c r="H95" s="15" t="n">
        <v>109</v>
      </c>
      <c r="I95" s="15" t="s">
        <v>57</v>
      </c>
      <c r="J95" s="15" t="s">
        <v>176</v>
      </c>
      <c r="K95" s="15" t="s">
        <v>295</v>
      </c>
      <c r="L95" s="15" t="s">
        <v>156</v>
      </c>
      <c r="M95" s="15" t="s">
        <v>157</v>
      </c>
      <c r="N95" s="15" t="s">
        <v>166</v>
      </c>
      <c r="O95" s="15" t="s">
        <v>159</v>
      </c>
      <c r="P95" s="15" t="n">
        <v>0.26</v>
      </c>
      <c r="Q95" s="15" t="n">
        <v>0.261</v>
      </c>
      <c r="R95" s="15" t="n">
        <v>12</v>
      </c>
      <c r="S95" s="15" t="s">
        <v>160</v>
      </c>
      <c r="T95" s="15"/>
      <c r="U95" s="15"/>
      <c r="V95" s="15"/>
      <c r="W95" s="15"/>
      <c r="X95" s="15"/>
      <c r="Y95" s="15"/>
      <c r="Z95" s="15"/>
      <c r="AA95" s="15" t="n">
        <v>0</v>
      </c>
      <c r="AB95" s="15" t="n">
        <v>0</v>
      </c>
      <c r="AC95" s="15" t="s">
        <v>161</v>
      </c>
      <c r="AD95" s="15" t="s">
        <v>162</v>
      </c>
      <c r="AE95" s="15" t="s">
        <v>163</v>
      </c>
      <c r="AF95" s="15"/>
      <c r="AG95" s="24" t="n">
        <f aca="false">SUMIFS(Permissions!$G$2:$G$3000,Permissions!$B$2:$B$3000,$A95,Permissions!$I$2:$I$3000,"Complete",Permissions!$P$2:$P$3000,"Yes")</f>
        <v>0</v>
      </c>
      <c r="AH95" s="24" t="n">
        <f aca="false">SUMIFS(Permissions!$G$2:$G$3000,Permissions!$B$2:$B$3000,$A95,Permissions!$I$2:$I$3000,"Under construction",Permissions!$P$2:$P$3000,"Yes")</f>
        <v>0</v>
      </c>
      <c r="AI95" s="24" t="n">
        <f aca="false">SUMIFS(Permissions!$G$2:$G$3000,Permissions!$B$2:$B$3000,$A95,Permissions!$I$2:$I$3000,"Permitted – not started",Permissions!$P$2:$P$3000,"Yes")</f>
        <v>0</v>
      </c>
      <c r="AJ95" s="24" t="n">
        <f aca="false">SUMIFS(Permissions!$G$2:$G$3000,Permissions!$B$2:$B$3000,$A95,Permissions!$I$2:$I$3000,"Stalled",Permissions!$P$2:$P$3000,"Yes")</f>
        <v>0</v>
      </c>
      <c r="AK95" s="24" t="n">
        <f aca="false">AG95+AH95+AI95+AJ95</f>
        <v>0</v>
      </c>
      <c r="AL95" s="24" t="n">
        <f aca="false">SUMIFS(Permissions!$G$2:$G$3000,Permissions!$B$2:$B$3000,$A95,Permissions!$I$2:$I$3000,"Expired – not started",Permissions!$P$2:$P$3000,"Yes")</f>
        <v>0</v>
      </c>
      <c r="AM95" s="24" t="n">
        <f aca="false">SUMIFS(Permissions!$G$2:$G$3000,Permissions!$B$2:$B$3000,$A95,Permissions!$I$2:$I$3000,"In planning",Permissions!$P$2:$P$3000,"Yes")</f>
        <v>0</v>
      </c>
      <c r="AN95" s="24" t="n">
        <f aca="false">IF(R95="",0,MAX(R95-AK95,0))</f>
        <v>12</v>
      </c>
      <c r="AO95" s="25" t="n">
        <f aca="false">AK95+AN95</f>
        <v>12</v>
      </c>
      <c r="AP95" s="24" t="n">
        <f aca="false">AO95-AG95</f>
        <v>12</v>
      </c>
      <c r="AQ95" s="26" t="n">
        <f aca="false">SUMIFS(Permissions!$AH$2:$AH$3000,Permissions!$B$2:$B$3000,$A95,Permissions!$P$2:$P$3000,"Yes")</f>
        <v>0</v>
      </c>
      <c r="AR95" s="26" t="n">
        <f aca="false">SUMIFS(Permissions!$AI$2:$AI$3000,Permissions!$B$2:$B$3000,$A95,Permissions!$P$2:$P$3000,"Yes")</f>
        <v>0</v>
      </c>
      <c r="AS95" s="26" t="n">
        <f aca="false">SUMIFS(Permissions!$AJ$2:$AJ$3000,Permissions!$B$2:$B$3000,$A95,Permissions!$P$2:$P$3000,"Yes")</f>
        <v>0</v>
      </c>
      <c r="AT95" s="26" t="n">
        <f aca="false">SUMIFS(Permissions!$AK$2:$AK$3000,Permissions!$B$2:$B$3000,$A95,Permissions!$P$2:$P$3000,"Yes")</f>
        <v>0</v>
      </c>
      <c r="AU95" s="26" t="n">
        <f aca="false">SUMIFS(Permissions!$AL$2:$AL$3000,Permissions!$B$2:$B$3000,$A95,Permissions!$P$2:$P$3000,"Yes")</f>
        <v>0</v>
      </c>
      <c r="AV95" s="26" t="n">
        <f aca="false">SUMIFS(Permissions!$AM$2:$AM$3000,Permissions!$B$2:$B$3000,$A95,Permissions!$P$2:$P$3000,"Yes")</f>
        <v>0</v>
      </c>
      <c r="AW95" s="24" t="n">
        <f aca="false">COUNTIFS(Permissions!$B$2:$B$3000,$A95,Permissions!$P$2:$P$3000,"Yes")</f>
        <v>0</v>
      </c>
      <c r="AX95" s="24" t="n">
        <f aca="false">SUMIFS(Permissions!$L$2:$L$3000,Permissions!$B$2:$B$3000,$A95,Permissions!$P$2:$P$3000,"Yes")</f>
        <v>0</v>
      </c>
      <c r="AY95" s="27" t="str">
        <f aca="false">IF(AND(AK95&gt;0,AG95&gt;=AK95,AN95=0),"Built out",IF(AG95&gt;0,"Partly built",IF(AK95&gt;0,"Consented – not built","No consent")))</f>
        <v>No consent</v>
      </c>
      <c r="AZ95" s="28" t="str">
        <f aca="false">IF(AND(R95&lt;&gt;"",AK95&gt;1.1*R95),"Consented above capacity",IF(AND(LEFT(B95,8)="Planning",AW95=0),"Consent parcel with no permission",IF(COUNTIF($A$2:$A$3000,$A95)&gt;1,"Duplicate parcel_id","")))</f>
        <v/>
      </c>
    </row>
    <row r="96" customFormat="false" ht="15" hidden="false" customHeight="false" outlineLevel="0" collapsed="false">
      <c r="A96" s="15" t="s">
        <v>296</v>
      </c>
      <c r="B96" s="15" t="s">
        <v>10</v>
      </c>
      <c r="C96" s="15" t="s">
        <v>16</v>
      </c>
      <c r="D96" s="15" t="s">
        <v>57</v>
      </c>
      <c r="E96" s="15" t="s">
        <v>19</v>
      </c>
      <c r="F96" s="15" t="n">
        <v>1</v>
      </c>
      <c r="G96" s="15" t="s">
        <v>154</v>
      </c>
      <c r="H96" s="15" t="n">
        <v>169</v>
      </c>
      <c r="I96" s="15" t="s">
        <v>57</v>
      </c>
      <c r="J96" s="15" t="s">
        <v>176</v>
      </c>
      <c r="K96" s="15"/>
      <c r="L96" s="15" t="s">
        <v>183</v>
      </c>
      <c r="M96" s="15"/>
      <c r="N96" s="15"/>
      <c r="O96" s="15"/>
      <c r="P96" s="15" t="n">
        <v>0.424</v>
      </c>
      <c r="Q96" s="15" t="n">
        <v>0.423</v>
      </c>
      <c r="R96" s="15" t="n">
        <v>14</v>
      </c>
      <c r="S96" s="15" t="s">
        <v>231</v>
      </c>
      <c r="T96" s="15"/>
      <c r="U96" s="15"/>
      <c r="V96" s="15"/>
      <c r="W96" s="15" t="s">
        <v>297</v>
      </c>
      <c r="X96" s="15" t="n">
        <v>34</v>
      </c>
      <c r="Y96" s="15" t="s">
        <v>298</v>
      </c>
      <c r="Z96" s="15"/>
      <c r="AA96" s="15" t="n">
        <v>0</v>
      </c>
      <c r="AB96" s="15" t="n">
        <v>0</v>
      </c>
      <c r="AC96" s="15"/>
      <c r="AD96" s="15"/>
      <c r="AE96" s="15" t="s">
        <v>163</v>
      </c>
      <c r="AF96" s="15"/>
      <c r="AG96" s="24" t="n">
        <f aca="false">SUMIFS(Permissions!$G$2:$G$3000,Permissions!$B$2:$B$3000,$A96,Permissions!$I$2:$I$3000,"Complete",Permissions!$P$2:$P$3000,"Yes")</f>
        <v>0</v>
      </c>
      <c r="AH96" s="24" t="n">
        <f aca="false">SUMIFS(Permissions!$G$2:$G$3000,Permissions!$B$2:$B$3000,$A96,Permissions!$I$2:$I$3000,"Under construction",Permissions!$P$2:$P$3000,"Yes")</f>
        <v>0</v>
      </c>
      <c r="AI96" s="24" t="n">
        <f aca="false">SUMIFS(Permissions!$G$2:$G$3000,Permissions!$B$2:$B$3000,$A96,Permissions!$I$2:$I$3000,"Permitted – not started",Permissions!$P$2:$P$3000,"Yes")</f>
        <v>0</v>
      </c>
      <c r="AJ96" s="24" t="n">
        <f aca="false">SUMIFS(Permissions!$G$2:$G$3000,Permissions!$B$2:$B$3000,$A96,Permissions!$I$2:$I$3000,"Stalled",Permissions!$P$2:$P$3000,"Yes")</f>
        <v>0</v>
      </c>
      <c r="AK96" s="24" t="n">
        <f aca="false">AG96+AH96+AI96+AJ96</f>
        <v>0</v>
      </c>
      <c r="AL96" s="24" t="n">
        <f aca="false">SUMIFS(Permissions!$G$2:$G$3000,Permissions!$B$2:$B$3000,$A96,Permissions!$I$2:$I$3000,"Expired – not started",Permissions!$P$2:$P$3000,"Yes")</f>
        <v>0</v>
      </c>
      <c r="AM96" s="24" t="n">
        <f aca="false">SUMIFS(Permissions!$G$2:$G$3000,Permissions!$B$2:$B$3000,$A96,Permissions!$I$2:$I$3000,"In planning",Permissions!$P$2:$P$3000,"Yes")</f>
        <v>0</v>
      </c>
      <c r="AN96" s="24" t="n">
        <f aca="false">IF(R96="",0,MAX(R96-AK96,0))</f>
        <v>14</v>
      </c>
      <c r="AO96" s="25" t="n">
        <f aca="false">AK96+AN96</f>
        <v>14</v>
      </c>
      <c r="AP96" s="24" t="n">
        <f aca="false">AO96-AG96</f>
        <v>14</v>
      </c>
      <c r="AQ96" s="26" t="n">
        <f aca="false">SUMIFS(Permissions!$AH$2:$AH$3000,Permissions!$B$2:$B$3000,$A96,Permissions!$P$2:$P$3000,"Yes")</f>
        <v>0</v>
      </c>
      <c r="AR96" s="26" t="n">
        <f aca="false">SUMIFS(Permissions!$AI$2:$AI$3000,Permissions!$B$2:$B$3000,$A96,Permissions!$P$2:$P$3000,"Yes")</f>
        <v>0</v>
      </c>
      <c r="AS96" s="26" t="n">
        <f aca="false">SUMIFS(Permissions!$AJ$2:$AJ$3000,Permissions!$B$2:$B$3000,$A96,Permissions!$P$2:$P$3000,"Yes")</f>
        <v>0</v>
      </c>
      <c r="AT96" s="26" t="n">
        <f aca="false">SUMIFS(Permissions!$AK$2:$AK$3000,Permissions!$B$2:$B$3000,$A96,Permissions!$P$2:$P$3000,"Yes")</f>
        <v>0</v>
      </c>
      <c r="AU96" s="26" t="n">
        <f aca="false">SUMIFS(Permissions!$AL$2:$AL$3000,Permissions!$B$2:$B$3000,$A96,Permissions!$P$2:$P$3000,"Yes")</f>
        <v>0</v>
      </c>
      <c r="AV96" s="26" t="n">
        <f aca="false">SUMIFS(Permissions!$AM$2:$AM$3000,Permissions!$B$2:$B$3000,$A96,Permissions!$P$2:$P$3000,"Yes")</f>
        <v>0</v>
      </c>
      <c r="AW96" s="24" t="n">
        <f aca="false">COUNTIFS(Permissions!$B$2:$B$3000,$A96,Permissions!$P$2:$P$3000,"Yes")</f>
        <v>0</v>
      </c>
      <c r="AX96" s="24" t="n">
        <f aca="false">SUMIFS(Permissions!$L$2:$L$3000,Permissions!$B$2:$B$3000,$A96,Permissions!$P$2:$P$3000,"Yes")</f>
        <v>0</v>
      </c>
      <c r="AY96" s="27" t="str">
        <f aca="false">IF(AND(AK96&gt;0,AG96&gt;=AK96,AN96=0),"Built out",IF(AG96&gt;0,"Partly built",IF(AK96&gt;0,"Consented – not built","No consent")))</f>
        <v>No consent</v>
      </c>
      <c r="AZ96" s="28" t="str">
        <f aca="false">IF(AND(R96&lt;&gt;"",AK96&gt;1.1*R96),"Consented above capacity",IF(AND(LEFT(B96,8)="Planning",AW96=0),"Consent parcel with no permission",IF(COUNTIF($A$2:$A$3000,$A96)&gt;1,"Duplicate parcel_id","")))</f>
        <v/>
      </c>
    </row>
    <row r="97" customFormat="false" ht="15" hidden="false" customHeight="false" outlineLevel="0" collapsed="false">
      <c r="A97" s="15" t="s">
        <v>299</v>
      </c>
      <c r="B97" s="15" t="s">
        <v>10</v>
      </c>
      <c r="C97" s="15" t="s">
        <v>16</v>
      </c>
      <c r="D97" s="15" t="s">
        <v>57</v>
      </c>
      <c r="E97" s="15" t="s">
        <v>19</v>
      </c>
      <c r="F97" s="15" t="n">
        <v>1</v>
      </c>
      <c r="G97" s="15" t="s">
        <v>154</v>
      </c>
      <c r="H97" s="15" t="n">
        <v>43</v>
      </c>
      <c r="I97" s="15" t="s">
        <v>57</v>
      </c>
      <c r="J97" s="15" t="s">
        <v>176</v>
      </c>
      <c r="K97" s="15" t="s">
        <v>295</v>
      </c>
      <c r="L97" s="15" t="s">
        <v>170</v>
      </c>
      <c r="M97" s="15" t="s">
        <v>157</v>
      </c>
      <c r="N97" s="15" t="s">
        <v>158</v>
      </c>
      <c r="O97" s="15" t="s">
        <v>159</v>
      </c>
      <c r="P97" s="15" t="n">
        <v>4.191</v>
      </c>
      <c r="Q97" s="15" t="n">
        <v>4.19</v>
      </c>
      <c r="R97" s="15" t="n">
        <v>188</v>
      </c>
      <c r="S97" s="15" t="s">
        <v>160</v>
      </c>
      <c r="T97" s="15"/>
      <c r="U97" s="15"/>
      <c r="V97" s="15"/>
      <c r="W97" s="15"/>
      <c r="X97" s="15"/>
      <c r="Y97" s="15"/>
      <c r="Z97" s="15"/>
      <c r="AA97" s="15" t="n">
        <v>0</v>
      </c>
      <c r="AB97" s="15" t="n">
        <v>0</v>
      </c>
      <c r="AC97" s="15" t="s">
        <v>161</v>
      </c>
      <c r="AD97" s="15" t="s">
        <v>162</v>
      </c>
      <c r="AE97" s="15" t="s">
        <v>163</v>
      </c>
      <c r="AF97" s="15"/>
      <c r="AG97" s="24" t="n">
        <f aca="false">SUMIFS(Permissions!$G$2:$G$3000,Permissions!$B$2:$B$3000,$A97,Permissions!$I$2:$I$3000,"Complete",Permissions!$P$2:$P$3000,"Yes")</f>
        <v>0</v>
      </c>
      <c r="AH97" s="24" t="n">
        <f aca="false">SUMIFS(Permissions!$G$2:$G$3000,Permissions!$B$2:$B$3000,$A97,Permissions!$I$2:$I$3000,"Under construction",Permissions!$P$2:$P$3000,"Yes")</f>
        <v>0</v>
      </c>
      <c r="AI97" s="24" t="n">
        <f aca="false">SUMIFS(Permissions!$G$2:$G$3000,Permissions!$B$2:$B$3000,$A97,Permissions!$I$2:$I$3000,"Permitted – not started",Permissions!$P$2:$P$3000,"Yes")</f>
        <v>0</v>
      </c>
      <c r="AJ97" s="24" t="n">
        <f aca="false">SUMIFS(Permissions!$G$2:$G$3000,Permissions!$B$2:$B$3000,$A97,Permissions!$I$2:$I$3000,"Stalled",Permissions!$P$2:$P$3000,"Yes")</f>
        <v>0</v>
      </c>
      <c r="AK97" s="24" t="n">
        <f aca="false">AG97+AH97+AI97+AJ97</f>
        <v>0</v>
      </c>
      <c r="AL97" s="24" t="n">
        <f aca="false">SUMIFS(Permissions!$G$2:$G$3000,Permissions!$B$2:$B$3000,$A97,Permissions!$I$2:$I$3000,"Expired – not started",Permissions!$P$2:$P$3000,"Yes")</f>
        <v>0</v>
      </c>
      <c r="AM97" s="24" t="n">
        <f aca="false">SUMIFS(Permissions!$G$2:$G$3000,Permissions!$B$2:$B$3000,$A97,Permissions!$I$2:$I$3000,"In planning",Permissions!$P$2:$P$3000,"Yes")</f>
        <v>0</v>
      </c>
      <c r="AN97" s="24" t="n">
        <f aca="false">IF(R97="",0,MAX(R97-AK97,0))</f>
        <v>188</v>
      </c>
      <c r="AO97" s="25" t="n">
        <f aca="false">AK97+AN97</f>
        <v>188</v>
      </c>
      <c r="AP97" s="24" t="n">
        <f aca="false">AO97-AG97</f>
        <v>188</v>
      </c>
      <c r="AQ97" s="26" t="n">
        <f aca="false">SUMIFS(Permissions!$AH$2:$AH$3000,Permissions!$B$2:$B$3000,$A97,Permissions!$P$2:$P$3000,"Yes")</f>
        <v>0</v>
      </c>
      <c r="AR97" s="26" t="n">
        <f aca="false">SUMIFS(Permissions!$AI$2:$AI$3000,Permissions!$B$2:$B$3000,$A97,Permissions!$P$2:$P$3000,"Yes")</f>
        <v>0</v>
      </c>
      <c r="AS97" s="26" t="n">
        <f aca="false">SUMIFS(Permissions!$AJ$2:$AJ$3000,Permissions!$B$2:$B$3000,$A97,Permissions!$P$2:$P$3000,"Yes")</f>
        <v>0</v>
      </c>
      <c r="AT97" s="26" t="n">
        <f aca="false">SUMIFS(Permissions!$AK$2:$AK$3000,Permissions!$B$2:$B$3000,$A97,Permissions!$P$2:$P$3000,"Yes")</f>
        <v>0</v>
      </c>
      <c r="AU97" s="26" t="n">
        <f aca="false">SUMIFS(Permissions!$AL$2:$AL$3000,Permissions!$B$2:$B$3000,$A97,Permissions!$P$2:$P$3000,"Yes")</f>
        <v>0</v>
      </c>
      <c r="AV97" s="26" t="n">
        <f aca="false">SUMIFS(Permissions!$AM$2:$AM$3000,Permissions!$B$2:$B$3000,$A97,Permissions!$P$2:$P$3000,"Yes")</f>
        <v>0</v>
      </c>
      <c r="AW97" s="24" t="n">
        <f aca="false">COUNTIFS(Permissions!$B$2:$B$3000,$A97,Permissions!$P$2:$P$3000,"Yes")</f>
        <v>0</v>
      </c>
      <c r="AX97" s="24" t="n">
        <f aca="false">SUMIFS(Permissions!$L$2:$L$3000,Permissions!$B$2:$B$3000,$A97,Permissions!$P$2:$P$3000,"Yes")</f>
        <v>0</v>
      </c>
      <c r="AY97" s="27" t="str">
        <f aca="false">IF(AND(AK97&gt;0,AG97&gt;=AK97,AN97=0),"Built out",IF(AG97&gt;0,"Partly built",IF(AK97&gt;0,"Consented – not built","No consent")))</f>
        <v>No consent</v>
      </c>
      <c r="AZ97" s="28" t="str">
        <f aca="false">IF(AND(R97&lt;&gt;"",AK97&gt;1.1*R97),"Consented above capacity",IF(AND(LEFT(B97,8)="Planning",AW97=0),"Consent parcel with no permission",IF(COUNTIF($A$2:$A$3000,$A97)&gt;1,"Duplicate parcel_id","")))</f>
        <v/>
      </c>
    </row>
    <row r="98" customFormat="false" ht="15" hidden="false" customHeight="false" outlineLevel="0" collapsed="false">
      <c r="A98" s="15" t="s">
        <v>300</v>
      </c>
      <c r="B98" s="15" t="s">
        <v>10</v>
      </c>
      <c r="C98" s="15" t="s">
        <v>16</v>
      </c>
      <c r="D98" s="15" t="s">
        <v>57</v>
      </c>
      <c r="E98" s="15" t="s">
        <v>19</v>
      </c>
      <c r="F98" s="15" t="n">
        <v>1</v>
      </c>
      <c r="G98" s="15" t="s">
        <v>154</v>
      </c>
      <c r="H98" s="15" t="n">
        <v>45</v>
      </c>
      <c r="I98" s="15" t="s">
        <v>57</v>
      </c>
      <c r="J98" s="15" t="s">
        <v>176</v>
      </c>
      <c r="K98" s="15" t="s">
        <v>295</v>
      </c>
      <c r="L98" s="15" t="s">
        <v>170</v>
      </c>
      <c r="M98" s="15" t="s">
        <v>157</v>
      </c>
      <c r="N98" s="15" t="s">
        <v>166</v>
      </c>
      <c r="O98" s="15" t="s">
        <v>159</v>
      </c>
      <c r="P98" s="15" t="n">
        <v>0.452</v>
      </c>
      <c r="Q98" s="15" t="n">
        <v>0.452</v>
      </c>
      <c r="R98" s="15" t="n">
        <v>20</v>
      </c>
      <c r="S98" s="15" t="s">
        <v>160</v>
      </c>
      <c r="T98" s="15"/>
      <c r="U98" s="15"/>
      <c r="V98" s="15"/>
      <c r="W98" s="15"/>
      <c r="X98" s="15"/>
      <c r="Y98" s="15"/>
      <c r="Z98" s="15"/>
      <c r="AA98" s="15" t="n">
        <v>0</v>
      </c>
      <c r="AB98" s="15" t="n">
        <v>0</v>
      </c>
      <c r="AC98" s="15" t="s">
        <v>161</v>
      </c>
      <c r="AD98" s="15" t="s">
        <v>162</v>
      </c>
      <c r="AE98" s="15" t="s">
        <v>163</v>
      </c>
      <c r="AF98" s="15"/>
      <c r="AG98" s="24" t="n">
        <f aca="false">SUMIFS(Permissions!$G$2:$G$3000,Permissions!$B$2:$B$3000,$A98,Permissions!$I$2:$I$3000,"Complete",Permissions!$P$2:$P$3000,"Yes")</f>
        <v>0</v>
      </c>
      <c r="AH98" s="24" t="n">
        <f aca="false">SUMIFS(Permissions!$G$2:$G$3000,Permissions!$B$2:$B$3000,$A98,Permissions!$I$2:$I$3000,"Under construction",Permissions!$P$2:$P$3000,"Yes")</f>
        <v>0</v>
      </c>
      <c r="AI98" s="24" t="n">
        <f aca="false">SUMIFS(Permissions!$G$2:$G$3000,Permissions!$B$2:$B$3000,$A98,Permissions!$I$2:$I$3000,"Permitted – not started",Permissions!$P$2:$P$3000,"Yes")</f>
        <v>0</v>
      </c>
      <c r="AJ98" s="24" t="n">
        <f aca="false">SUMIFS(Permissions!$G$2:$G$3000,Permissions!$B$2:$B$3000,$A98,Permissions!$I$2:$I$3000,"Stalled",Permissions!$P$2:$P$3000,"Yes")</f>
        <v>0</v>
      </c>
      <c r="AK98" s="24" t="n">
        <f aca="false">AG98+AH98+AI98+AJ98</f>
        <v>0</v>
      </c>
      <c r="AL98" s="24" t="n">
        <f aca="false">SUMIFS(Permissions!$G$2:$G$3000,Permissions!$B$2:$B$3000,$A98,Permissions!$I$2:$I$3000,"Expired – not started",Permissions!$P$2:$P$3000,"Yes")</f>
        <v>0</v>
      </c>
      <c r="AM98" s="24" t="n">
        <f aca="false">SUMIFS(Permissions!$G$2:$G$3000,Permissions!$B$2:$B$3000,$A98,Permissions!$I$2:$I$3000,"In planning",Permissions!$P$2:$P$3000,"Yes")</f>
        <v>0</v>
      </c>
      <c r="AN98" s="24" t="n">
        <f aca="false">IF(R98="",0,MAX(R98-AK98,0))</f>
        <v>20</v>
      </c>
      <c r="AO98" s="25" t="n">
        <f aca="false">AK98+AN98</f>
        <v>20</v>
      </c>
      <c r="AP98" s="24" t="n">
        <f aca="false">AO98-AG98</f>
        <v>20</v>
      </c>
      <c r="AQ98" s="26" t="n">
        <f aca="false">SUMIFS(Permissions!$AH$2:$AH$3000,Permissions!$B$2:$B$3000,$A98,Permissions!$P$2:$P$3000,"Yes")</f>
        <v>0</v>
      </c>
      <c r="AR98" s="26" t="n">
        <f aca="false">SUMIFS(Permissions!$AI$2:$AI$3000,Permissions!$B$2:$B$3000,$A98,Permissions!$P$2:$P$3000,"Yes")</f>
        <v>0</v>
      </c>
      <c r="AS98" s="26" t="n">
        <f aca="false">SUMIFS(Permissions!$AJ$2:$AJ$3000,Permissions!$B$2:$B$3000,$A98,Permissions!$P$2:$P$3000,"Yes")</f>
        <v>0</v>
      </c>
      <c r="AT98" s="26" t="n">
        <f aca="false">SUMIFS(Permissions!$AK$2:$AK$3000,Permissions!$B$2:$B$3000,$A98,Permissions!$P$2:$P$3000,"Yes")</f>
        <v>0</v>
      </c>
      <c r="AU98" s="26" t="n">
        <f aca="false">SUMIFS(Permissions!$AL$2:$AL$3000,Permissions!$B$2:$B$3000,$A98,Permissions!$P$2:$P$3000,"Yes")</f>
        <v>0</v>
      </c>
      <c r="AV98" s="26" t="n">
        <f aca="false">SUMIFS(Permissions!$AM$2:$AM$3000,Permissions!$B$2:$B$3000,$A98,Permissions!$P$2:$P$3000,"Yes")</f>
        <v>0</v>
      </c>
      <c r="AW98" s="24" t="n">
        <f aca="false">COUNTIFS(Permissions!$B$2:$B$3000,$A98,Permissions!$P$2:$P$3000,"Yes")</f>
        <v>0</v>
      </c>
      <c r="AX98" s="24" t="n">
        <f aca="false">SUMIFS(Permissions!$L$2:$L$3000,Permissions!$B$2:$B$3000,$A98,Permissions!$P$2:$P$3000,"Yes")</f>
        <v>0</v>
      </c>
      <c r="AY98" s="27" t="str">
        <f aca="false">IF(AND(AK98&gt;0,AG98&gt;=AK98,AN98=0),"Built out",IF(AG98&gt;0,"Partly built",IF(AK98&gt;0,"Consented – not built","No consent")))</f>
        <v>No consent</v>
      </c>
      <c r="AZ98" s="28" t="str">
        <f aca="false">IF(AND(R98&lt;&gt;"",AK98&gt;1.1*R98),"Consented above capacity",IF(AND(LEFT(B98,8)="Planning",AW98=0),"Consent parcel with no permission",IF(COUNTIF($A$2:$A$3000,$A98)&gt;1,"Duplicate parcel_id","")))</f>
        <v/>
      </c>
    </row>
    <row r="99" customFormat="false" ht="15" hidden="false" customHeight="false" outlineLevel="0" collapsed="false">
      <c r="A99" s="15" t="s">
        <v>301</v>
      </c>
      <c r="B99" s="15" t="s">
        <v>10</v>
      </c>
      <c r="C99" s="15" t="s">
        <v>16</v>
      </c>
      <c r="D99" s="15" t="s">
        <v>57</v>
      </c>
      <c r="E99" s="15" t="s">
        <v>19</v>
      </c>
      <c r="F99" s="15" t="n">
        <v>1</v>
      </c>
      <c r="G99" s="15" t="s">
        <v>154</v>
      </c>
      <c r="H99" s="15" t="n">
        <v>46</v>
      </c>
      <c r="I99" s="15" t="s">
        <v>57</v>
      </c>
      <c r="J99" s="15" t="s">
        <v>176</v>
      </c>
      <c r="K99" s="15" t="s">
        <v>295</v>
      </c>
      <c r="L99" s="15" t="s">
        <v>170</v>
      </c>
      <c r="M99" s="15" t="s">
        <v>157</v>
      </c>
      <c r="N99" s="15" t="s">
        <v>166</v>
      </c>
      <c r="O99" s="15" t="s">
        <v>159</v>
      </c>
      <c r="P99" s="15" t="n">
        <v>0.912</v>
      </c>
      <c r="Q99" s="15" t="n">
        <v>0.912</v>
      </c>
      <c r="R99" s="15" t="n">
        <v>41</v>
      </c>
      <c r="S99" s="15" t="s">
        <v>160</v>
      </c>
      <c r="T99" s="15"/>
      <c r="U99" s="15"/>
      <c r="V99" s="15"/>
      <c r="W99" s="15"/>
      <c r="X99" s="15"/>
      <c r="Y99" s="15"/>
      <c r="Z99" s="15"/>
      <c r="AA99" s="15" t="n">
        <v>0</v>
      </c>
      <c r="AB99" s="15" t="n">
        <v>0</v>
      </c>
      <c r="AC99" s="15" t="s">
        <v>161</v>
      </c>
      <c r="AD99" s="15" t="s">
        <v>162</v>
      </c>
      <c r="AE99" s="15" t="s">
        <v>163</v>
      </c>
      <c r="AF99" s="15"/>
      <c r="AG99" s="24" t="n">
        <f aca="false">SUMIFS(Permissions!$G$2:$G$3000,Permissions!$B$2:$B$3000,$A99,Permissions!$I$2:$I$3000,"Complete",Permissions!$P$2:$P$3000,"Yes")</f>
        <v>0</v>
      </c>
      <c r="AH99" s="24" t="n">
        <f aca="false">SUMIFS(Permissions!$G$2:$G$3000,Permissions!$B$2:$B$3000,$A99,Permissions!$I$2:$I$3000,"Under construction",Permissions!$P$2:$P$3000,"Yes")</f>
        <v>0</v>
      </c>
      <c r="AI99" s="24" t="n">
        <f aca="false">SUMIFS(Permissions!$G$2:$G$3000,Permissions!$B$2:$B$3000,$A99,Permissions!$I$2:$I$3000,"Permitted – not started",Permissions!$P$2:$P$3000,"Yes")</f>
        <v>0</v>
      </c>
      <c r="AJ99" s="24" t="n">
        <f aca="false">SUMIFS(Permissions!$G$2:$G$3000,Permissions!$B$2:$B$3000,$A99,Permissions!$I$2:$I$3000,"Stalled",Permissions!$P$2:$P$3000,"Yes")</f>
        <v>0</v>
      </c>
      <c r="AK99" s="24" t="n">
        <f aca="false">AG99+AH99+AI99+AJ99</f>
        <v>0</v>
      </c>
      <c r="AL99" s="24" t="n">
        <f aca="false">SUMIFS(Permissions!$G$2:$G$3000,Permissions!$B$2:$B$3000,$A99,Permissions!$I$2:$I$3000,"Expired – not started",Permissions!$P$2:$P$3000,"Yes")</f>
        <v>0</v>
      </c>
      <c r="AM99" s="24" t="n">
        <f aca="false">SUMIFS(Permissions!$G$2:$G$3000,Permissions!$B$2:$B$3000,$A99,Permissions!$I$2:$I$3000,"In planning",Permissions!$P$2:$P$3000,"Yes")</f>
        <v>0</v>
      </c>
      <c r="AN99" s="24" t="n">
        <f aca="false">IF(R99="",0,MAX(R99-AK99,0))</f>
        <v>41</v>
      </c>
      <c r="AO99" s="25" t="n">
        <f aca="false">AK99+AN99</f>
        <v>41</v>
      </c>
      <c r="AP99" s="24" t="n">
        <f aca="false">AO99-AG99</f>
        <v>41</v>
      </c>
      <c r="AQ99" s="26" t="n">
        <f aca="false">SUMIFS(Permissions!$AH$2:$AH$3000,Permissions!$B$2:$B$3000,$A99,Permissions!$P$2:$P$3000,"Yes")</f>
        <v>0</v>
      </c>
      <c r="AR99" s="26" t="n">
        <f aca="false">SUMIFS(Permissions!$AI$2:$AI$3000,Permissions!$B$2:$B$3000,$A99,Permissions!$P$2:$P$3000,"Yes")</f>
        <v>0</v>
      </c>
      <c r="AS99" s="26" t="n">
        <f aca="false">SUMIFS(Permissions!$AJ$2:$AJ$3000,Permissions!$B$2:$B$3000,$A99,Permissions!$P$2:$P$3000,"Yes")</f>
        <v>0</v>
      </c>
      <c r="AT99" s="26" t="n">
        <f aca="false">SUMIFS(Permissions!$AK$2:$AK$3000,Permissions!$B$2:$B$3000,$A99,Permissions!$P$2:$P$3000,"Yes")</f>
        <v>0</v>
      </c>
      <c r="AU99" s="26" t="n">
        <f aca="false">SUMIFS(Permissions!$AL$2:$AL$3000,Permissions!$B$2:$B$3000,$A99,Permissions!$P$2:$P$3000,"Yes")</f>
        <v>0</v>
      </c>
      <c r="AV99" s="26" t="n">
        <f aca="false">SUMIFS(Permissions!$AM$2:$AM$3000,Permissions!$B$2:$B$3000,$A99,Permissions!$P$2:$P$3000,"Yes")</f>
        <v>0</v>
      </c>
      <c r="AW99" s="24" t="n">
        <f aca="false">COUNTIFS(Permissions!$B$2:$B$3000,$A99,Permissions!$P$2:$P$3000,"Yes")</f>
        <v>0</v>
      </c>
      <c r="AX99" s="24" t="n">
        <f aca="false">SUMIFS(Permissions!$L$2:$L$3000,Permissions!$B$2:$B$3000,$A99,Permissions!$P$2:$P$3000,"Yes")</f>
        <v>0</v>
      </c>
      <c r="AY99" s="27" t="str">
        <f aca="false">IF(AND(AK99&gt;0,AG99&gt;=AK99,AN99=0),"Built out",IF(AG99&gt;0,"Partly built",IF(AK99&gt;0,"Consented – not built","No consent")))</f>
        <v>No consent</v>
      </c>
      <c r="AZ99" s="28" t="str">
        <f aca="false">IF(AND(R99&lt;&gt;"",AK99&gt;1.1*R99),"Consented above capacity",IF(AND(LEFT(B99,8)="Planning",AW99=0),"Consent parcel with no permission",IF(COUNTIF($A$2:$A$3000,$A99)&gt;1,"Duplicate parcel_id","")))</f>
        <v/>
      </c>
    </row>
    <row r="100" customFormat="false" ht="15" hidden="false" customHeight="false" outlineLevel="0" collapsed="false">
      <c r="A100" s="15" t="s">
        <v>302</v>
      </c>
      <c r="B100" s="15" t="s">
        <v>10</v>
      </c>
      <c r="C100" s="15" t="s">
        <v>16</v>
      </c>
      <c r="D100" s="15" t="s">
        <v>57</v>
      </c>
      <c r="E100" s="15" t="s">
        <v>19</v>
      </c>
      <c r="F100" s="15" t="n">
        <v>1</v>
      </c>
      <c r="G100" s="15" t="s">
        <v>154</v>
      </c>
      <c r="H100" s="15" t="n">
        <v>47</v>
      </c>
      <c r="I100" s="15" t="s">
        <v>57</v>
      </c>
      <c r="J100" s="15" t="s">
        <v>176</v>
      </c>
      <c r="K100" s="15" t="s">
        <v>295</v>
      </c>
      <c r="L100" s="15" t="s">
        <v>170</v>
      </c>
      <c r="M100" s="15" t="s">
        <v>157</v>
      </c>
      <c r="N100" s="15" t="s">
        <v>166</v>
      </c>
      <c r="O100" s="15" t="s">
        <v>159</v>
      </c>
      <c r="P100" s="15" t="n">
        <v>0.373</v>
      </c>
      <c r="Q100" s="15" t="n">
        <v>0.374</v>
      </c>
      <c r="R100" s="15" t="n">
        <v>17</v>
      </c>
      <c r="S100" s="15" t="s">
        <v>160</v>
      </c>
      <c r="T100" s="15"/>
      <c r="U100" s="15"/>
      <c r="V100" s="15"/>
      <c r="W100" s="15"/>
      <c r="X100" s="15"/>
      <c r="Y100" s="15"/>
      <c r="Z100" s="15"/>
      <c r="AA100" s="15" t="n">
        <v>0</v>
      </c>
      <c r="AB100" s="15" t="n">
        <v>0</v>
      </c>
      <c r="AC100" s="15" t="s">
        <v>161</v>
      </c>
      <c r="AD100" s="15" t="s">
        <v>162</v>
      </c>
      <c r="AE100" s="15" t="s">
        <v>163</v>
      </c>
      <c r="AF100" s="15"/>
      <c r="AG100" s="24" t="n">
        <f aca="false">SUMIFS(Permissions!$G$2:$G$3000,Permissions!$B$2:$B$3000,$A100,Permissions!$I$2:$I$3000,"Complete",Permissions!$P$2:$P$3000,"Yes")</f>
        <v>0</v>
      </c>
      <c r="AH100" s="24" t="n">
        <f aca="false">SUMIFS(Permissions!$G$2:$G$3000,Permissions!$B$2:$B$3000,$A100,Permissions!$I$2:$I$3000,"Under construction",Permissions!$P$2:$P$3000,"Yes")</f>
        <v>0</v>
      </c>
      <c r="AI100" s="24" t="n">
        <f aca="false">SUMIFS(Permissions!$G$2:$G$3000,Permissions!$B$2:$B$3000,$A100,Permissions!$I$2:$I$3000,"Permitted – not started",Permissions!$P$2:$P$3000,"Yes")</f>
        <v>0</v>
      </c>
      <c r="AJ100" s="24" t="n">
        <f aca="false">SUMIFS(Permissions!$G$2:$G$3000,Permissions!$B$2:$B$3000,$A100,Permissions!$I$2:$I$3000,"Stalled",Permissions!$P$2:$P$3000,"Yes")</f>
        <v>0</v>
      </c>
      <c r="AK100" s="24" t="n">
        <f aca="false">AG100+AH100+AI100+AJ100</f>
        <v>0</v>
      </c>
      <c r="AL100" s="24" t="n">
        <f aca="false">SUMIFS(Permissions!$G$2:$G$3000,Permissions!$B$2:$B$3000,$A100,Permissions!$I$2:$I$3000,"Expired – not started",Permissions!$P$2:$P$3000,"Yes")</f>
        <v>0</v>
      </c>
      <c r="AM100" s="24" t="n">
        <f aca="false">SUMIFS(Permissions!$G$2:$G$3000,Permissions!$B$2:$B$3000,$A100,Permissions!$I$2:$I$3000,"In planning",Permissions!$P$2:$P$3000,"Yes")</f>
        <v>0</v>
      </c>
      <c r="AN100" s="24" t="n">
        <f aca="false">IF(R100="",0,MAX(R100-AK100,0))</f>
        <v>17</v>
      </c>
      <c r="AO100" s="25" t="n">
        <f aca="false">AK100+AN100</f>
        <v>17</v>
      </c>
      <c r="AP100" s="24" t="n">
        <f aca="false">AO100-AG100</f>
        <v>17</v>
      </c>
      <c r="AQ100" s="26" t="n">
        <f aca="false">SUMIFS(Permissions!$AH$2:$AH$3000,Permissions!$B$2:$B$3000,$A100,Permissions!$P$2:$P$3000,"Yes")</f>
        <v>0</v>
      </c>
      <c r="AR100" s="26" t="n">
        <f aca="false">SUMIFS(Permissions!$AI$2:$AI$3000,Permissions!$B$2:$B$3000,$A100,Permissions!$P$2:$P$3000,"Yes")</f>
        <v>0</v>
      </c>
      <c r="AS100" s="26" t="n">
        <f aca="false">SUMIFS(Permissions!$AJ$2:$AJ$3000,Permissions!$B$2:$B$3000,$A100,Permissions!$P$2:$P$3000,"Yes")</f>
        <v>0</v>
      </c>
      <c r="AT100" s="26" t="n">
        <f aca="false">SUMIFS(Permissions!$AK$2:$AK$3000,Permissions!$B$2:$B$3000,$A100,Permissions!$P$2:$P$3000,"Yes")</f>
        <v>0</v>
      </c>
      <c r="AU100" s="26" t="n">
        <f aca="false">SUMIFS(Permissions!$AL$2:$AL$3000,Permissions!$B$2:$B$3000,$A100,Permissions!$P$2:$P$3000,"Yes")</f>
        <v>0</v>
      </c>
      <c r="AV100" s="26" t="n">
        <f aca="false">SUMIFS(Permissions!$AM$2:$AM$3000,Permissions!$B$2:$B$3000,$A100,Permissions!$P$2:$P$3000,"Yes")</f>
        <v>0</v>
      </c>
      <c r="AW100" s="24" t="n">
        <f aca="false">COUNTIFS(Permissions!$B$2:$B$3000,$A100,Permissions!$P$2:$P$3000,"Yes")</f>
        <v>0</v>
      </c>
      <c r="AX100" s="24" t="n">
        <f aca="false">SUMIFS(Permissions!$L$2:$L$3000,Permissions!$B$2:$B$3000,$A100,Permissions!$P$2:$P$3000,"Yes")</f>
        <v>0</v>
      </c>
      <c r="AY100" s="27" t="str">
        <f aca="false">IF(AND(AK100&gt;0,AG100&gt;=AK100,AN100=0),"Built out",IF(AG100&gt;0,"Partly built",IF(AK100&gt;0,"Consented – not built","No consent")))</f>
        <v>No consent</v>
      </c>
      <c r="AZ100" s="28" t="str">
        <f aca="false">IF(AND(R100&lt;&gt;"",AK100&gt;1.1*R100),"Consented above capacity",IF(AND(LEFT(B100,8)="Planning",AW100=0),"Consent parcel with no permission",IF(COUNTIF($A$2:$A$3000,$A100)&gt;1,"Duplicate parcel_id","")))</f>
        <v/>
      </c>
    </row>
    <row r="101" customFormat="false" ht="15" hidden="false" customHeight="false" outlineLevel="0" collapsed="false">
      <c r="A101" s="15" t="s">
        <v>303</v>
      </c>
      <c r="B101" s="15" t="s">
        <v>10</v>
      </c>
      <c r="C101" s="15" t="s">
        <v>16</v>
      </c>
      <c r="D101" s="15" t="s">
        <v>57</v>
      </c>
      <c r="E101" s="15" t="s">
        <v>19</v>
      </c>
      <c r="F101" s="15" t="n">
        <v>1</v>
      </c>
      <c r="G101" s="15" t="s">
        <v>154</v>
      </c>
      <c r="H101" s="15" t="n">
        <v>49</v>
      </c>
      <c r="I101" s="15" t="s">
        <v>57</v>
      </c>
      <c r="J101" s="15" t="s">
        <v>176</v>
      </c>
      <c r="K101" s="15" t="s">
        <v>295</v>
      </c>
      <c r="L101" s="15" t="s">
        <v>170</v>
      </c>
      <c r="M101" s="15" t="s">
        <v>157</v>
      </c>
      <c r="N101" s="15" t="s">
        <v>166</v>
      </c>
      <c r="O101" s="15" t="s">
        <v>159</v>
      </c>
      <c r="P101" s="15" t="n">
        <v>0.243</v>
      </c>
      <c r="Q101" s="15" t="n">
        <v>0.922</v>
      </c>
      <c r="R101" s="15" t="n">
        <v>11</v>
      </c>
      <c r="S101" s="15" t="s">
        <v>160</v>
      </c>
      <c r="T101" s="15"/>
      <c r="U101" s="15"/>
      <c r="V101" s="15"/>
      <c r="W101" s="15"/>
      <c r="X101" s="15"/>
      <c r="Y101" s="15"/>
      <c r="Z101" s="15"/>
      <c r="AA101" s="15" t="n">
        <v>20</v>
      </c>
      <c r="AB101" s="15" t="n">
        <v>20</v>
      </c>
      <c r="AC101" s="15" t="s">
        <v>173</v>
      </c>
      <c r="AD101" s="15" t="s">
        <v>174</v>
      </c>
      <c r="AE101" s="15" t="s">
        <v>163</v>
      </c>
      <c r="AF101" s="15"/>
      <c r="AG101" s="24" t="n">
        <f aca="false">SUMIFS(Permissions!$G$2:$G$3000,Permissions!$B$2:$B$3000,$A101,Permissions!$I$2:$I$3000,"Complete",Permissions!$P$2:$P$3000,"Yes")</f>
        <v>0</v>
      </c>
      <c r="AH101" s="24" t="n">
        <f aca="false">SUMIFS(Permissions!$G$2:$G$3000,Permissions!$B$2:$B$3000,$A101,Permissions!$I$2:$I$3000,"Under construction",Permissions!$P$2:$P$3000,"Yes")</f>
        <v>0</v>
      </c>
      <c r="AI101" s="24" t="n">
        <f aca="false">SUMIFS(Permissions!$G$2:$G$3000,Permissions!$B$2:$B$3000,$A101,Permissions!$I$2:$I$3000,"Permitted – not started",Permissions!$P$2:$P$3000,"Yes")</f>
        <v>25</v>
      </c>
      <c r="AJ101" s="24" t="n">
        <f aca="false">SUMIFS(Permissions!$G$2:$G$3000,Permissions!$B$2:$B$3000,$A101,Permissions!$I$2:$I$3000,"Stalled",Permissions!$P$2:$P$3000,"Yes")</f>
        <v>0</v>
      </c>
      <c r="AK101" s="24" t="n">
        <f aca="false">AG101+AH101+AI101+AJ101</f>
        <v>25</v>
      </c>
      <c r="AL101" s="24" t="n">
        <f aca="false">SUMIFS(Permissions!$G$2:$G$3000,Permissions!$B$2:$B$3000,$A101,Permissions!$I$2:$I$3000,"Expired – not started",Permissions!$P$2:$P$3000,"Yes")</f>
        <v>0</v>
      </c>
      <c r="AM101" s="24" t="n">
        <f aca="false">SUMIFS(Permissions!$G$2:$G$3000,Permissions!$B$2:$B$3000,$A101,Permissions!$I$2:$I$3000,"In planning",Permissions!$P$2:$P$3000,"Yes")</f>
        <v>0</v>
      </c>
      <c r="AN101" s="24" t="n">
        <f aca="false">IF(R101="",0,MAX(R101-AK101,0))</f>
        <v>0</v>
      </c>
      <c r="AO101" s="25" t="n">
        <f aca="false">AK101+AN101</f>
        <v>25</v>
      </c>
      <c r="AP101" s="24" t="n">
        <f aca="false">AO101-AG101</f>
        <v>25</v>
      </c>
      <c r="AQ101" s="26" t="n">
        <f aca="false">SUMIFS(Permissions!$AH$2:$AH$3000,Permissions!$B$2:$B$3000,$A101,Permissions!$P$2:$P$3000,"Yes")</f>
        <v>0</v>
      </c>
      <c r="AR101" s="26" t="n">
        <f aca="false">SUMIFS(Permissions!$AI$2:$AI$3000,Permissions!$B$2:$B$3000,$A101,Permissions!$P$2:$P$3000,"Yes")</f>
        <v>0</v>
      </c>
      <c r="AS101" s="26" t="n">
        <f aca="false">SUMIFS(Permissions!$AJ$2:$AJ$3000,Permissions!$B$2:$B$3000,$A101,Permissions!$P$2:$P$3000,"Yes")</f>
        <v>20.8</v>
      </c>
      <c r="AT101" s="26" t="n">
        <f aca="false">SUMIFS(Permissions!$AK$2:$AK$3000,Permissions!$B$2:$B$3000,$A101,Permissions!$P$2:$P$3000,"Yes")</f>
        <v>4.2</v>
      </c>
      <c r="AU101" s="26" t="n">
        <f aca="false">SUMIFS(Permissions!$AL$2:$AL$3000,Permissions!$B$2:$B$3000,$A101,Permissions!$P$2:$P$3000,"Yes")</f>
        <v>0</v>
      </c>
      <c r="AV101" s="26" t="n">
        <f aca="false">SUMIFS(Permissions!$AM$2:$AM$3000,Permissions!$B$2:$B$3000,$A101,Permissions!$P$2:$P$3000,"Yes")</f>
        <v>0</v>
      </c>
      <c r="AW101" s="24" t="n">
        <f aca="false">COUNTIFS(Permissions!$B$2:$B$3000,$A101,Permissions!$P$2:$P$3000,"Yes")</f>
        <v>1</v>
      </c>
      <c r="AX101" s="24" t="n">
        <f aca="false">SUMIFS(Permissions!$L$2:$L$3000,Permissions!$B$2:$B$3000,$A101,Permissions!$P$2:$P$3000,"Yes")</f>
        <v>0</v>
      </c>
      <c r="AY101" s="27" t="str">
        <f aca="false">IF(AND(AK101&gt;0,AG101&gt;=AK101,AN101=0),"Built out",IF(AG101&gt;0,"Partly built",IF(AK101&gt;0,"Consented – not built","No consent")))</f>
        <v>Consented – not built</v>
      </c>
      <c r="AZ101" s="28" t="str">
        <f aca="false">IF(AND(R101&lt;&gt;"",AK101&gt;1.1*R101),"Consented above capacity",IF(AND(LEFT(B101,8)="Planning",AW101=0),"Consent parcel with no permission",IF(COUNTIF($A$2:$A$3000,$A101)&gt;1,"Duplicate parcel_id","")))</f>
        <v>Consented above capacity</v>
      </c>
    </row>
    <row r="102" customFormat="false" ht="15" hidden="false" customHeight="false" outlineLevel="0" collapsed="false">
      <c r="A102" s="15" t="s">
        <v>304</v>
      </c>
      <c r="B102" s="15" t="s">
        <v>10</v>
      </c>
      <c r="C102" s="15" t="s">
        <v>16</v>
      </c>
      <c r="D102" s="15" t="s">
        <v>57</v>
      </c>
      <c r="E102" s="15" t="s">
        <v>19</v>
      </c>
      <c r="F102" s="15" t="n">
        <v>1</v>
      </c>
      <c r="G102" s="15" t="s">
        <v>154</v>
      </c>
      <c r="H102" s="15" t="n">
        <v>50</v>
      </c>
      <c r="I102" s="15" t="s">
        <v>57</v>
      </c>
      <c r="J102" s="15" t="s">
        <v>176</v>
      </c>
      <c r="K102" s="15" t="s">
        <v>295</v>
      </c>
      <c r="L102" s="15" t="s">
        <v>170</v>
      </c>
      <c r="M102" s="15" t="s">
        <v>157</v>
      </c>
      <c r="N102" s="15" t="s">
        <v>178</v>
      </c>
      <c r="O102" s="15" t="s">
        <v>159</v>
      </c>
      <c r="P102" s="15" t="n">
        <v>0.704</v>
      </c>
      <c r="Q102" s="15" t="n">
        <v>0.704</v>
      </c>
      <c r="R102" s="15" t="n">
        <v>31</v>
      </c>
      <c r="S102" s="15" t="s">
        <v>160</v>
      </c>
      <c r="T102" s="15"/>
      <c r="U102" s="15"/>
      <c r="V102" s="15"/>
      <c r="W102" s="15"/>
      <c r="X102" s="15"/>
      <c r="Y102" s="15"/>
      <c r="Z102" s="15"/>
      <c r="AA102" s="15" t="n">
        <v>0</v>
      </c>
      <c r="AB102" s="15" t="n">
        <v>0</v>
      </c>
      <c r="AC102" s="15" t="s">
        <v>180</v>
      </c>
      <c r="AD102" s="15" t="s">
        <v>162</v>
      </c>
      <c r="AE102" s="15" t="s">
        <v>163</v>
      </c>
      <c r="AF102" s="15"/>
      <c r="AG102" s="24" t="n">
        <f aca="false">SUMIFS(Permissions!$G$2:$G$3000,Permissions!$B$2:$B$3000,$A102,Permissions!$I$2:$I$3000,"Complete",Permissions!$P$2:$P$3000,"Yes")</f>
        <v>0</v>
      </c>
      <c r="AH102" s="24" t="n">
        <f aca="false">SUMIFS(Permissions!$G$2:$G$3000,Permissions!$B$2:$B$3000,$A102,Permissions!$I$2:$I$3000,"Under construction",Permissions!$P$2:$P$3000,"Yes")</f>
        <v>0</v>
      </c>
      <c r="AI102" s="24" t="n">
        <f aca="false">SUMIFS(Permissions!$G$2:$G$3000,Permissions!$B$2:$B$3000,$A102,Permissions!$I$2:$I$3000,"Permitted – not started",Permissions!$P$2:$P$3000,"Yes")</f>
        <v>0</v>
      </c>
      <c r="AJ102" s="24" t="n">
        <f aca="false">SUMIFS(Permissions!$G$2:$G$3000,Permissions!$B$2:$B$3000,$A102,Permissions!$I$2:$I$3000,"Stalled",Permissions!$P$2:$P$3000,"Yes")</f>
        <v>0</v>
      </c>
      <c r="AK102" s="24" t="n">
        <f aca="false">AG102+AH102+AI102+AJ102</f>
        <v>0</v>
      </c>
      <c r="AL102" s="24" t="n">
        <f aca="false">SUMIFS(Permissions!$G$2:$G$3000,Permissions!$B$2:$B$3000,$A102,Permissions!$I$2:$I$3000,"Expired – not started",Permissions!$P$2:$P$3000,"Yes")</f>
        <v>4</v>
      </c>
      <c r="AM102" s="24" t="n">
        <f aca="false">SUMIFS(Permissions!$G$2:$G$3000,Permissions!$B$2:$B$3000,$A102,Permissions!$I$2:$I$3000,"In planning",Permissions!$P$2:$P$3000,"Yes")</f>
        <v>0</v>
      </c>
      <c r="AN102" s="24" t="n">
        <f aca="false">IF(R102="",0,MAX(R102-AK102,0))</f>
        <v>31</v>
      </c>
      <c r="AO102" s="25" t="n">
        <f aca="false">AK102+AN102</f>
        <v>31</v>
      </c>
      <c r="AP102" s="24" t="n">
        <f aca="false">AO102-AG102</f>
        <v>31</v>
      </c>
      <c r="AQ102" s="26" t="n">
        <f aca="false">SUMIFS(Permissions!$AH$2:$AH$3000,Permissions!$B$2:$B$3000,$A102,Permissions!$P$2:$P$3000,"Yes")</f>
        <v>0</v>
      </c>
      <c r="AR102" s="26" t="n">
        <f aca="false">SUMIFS(Permissions!$AI$2:$AI$3000,Permissions!$B$2:$B$3000,$A102,Permissions!$P$2:$P$3000,"Yes")</f>
        <v>0</v>
      </c>
      <c r="AS102" s="26" t="n">
        <f aca="false">SUMIFS(Permissions!$AJ$2:$AJ$3000,Permissions!$B$2:$B$3000,$A102,Permissions!$P$2:$P$3000,"Yes")</f>
        <v>0</v>
      </c>
      <c r="AT102" s="26" t="n">
        <f aca="false">SUMIFS(Permissions!$AK$2:$AK$3000,Permissions!$B$2:$B$3000,$A102,Permissions!$P$2:$P$3000,"Yes")</f>
        <v>0</v>
      </c>
      <c r="AU102" s="26" t="n">
        <f aca="false">SUMIFS(Permissions!$AL$2:$AL$3000,Permissions!$B$2:$B$3000,$A102,Permissions!$P$2:$P$3000,"Yes")</f>
        <v>0</v>
      </c>
      <c r="AV102" s="26" t="n">
        <f aca="false">SUMIFS(Permissions!$AM$2:$AM$3000,Permissions!$B$2:$B$3000,$A102,Permissions!$P$2:$P$3000,"Yes")</f>
        <v>0</v>
      </c>
      <c r="AW102" s="24" t="n">
        <f aca="false">COUNTIFS(Permissions!$B$2:$B$3000,$A102,Permissions!$P$2:$P$3000,"Yes")</f>
        <v>1</v>
      </c>
      <c r="AX102" s="24" t="n">
        <f aca="false">SUMIFS(Permissions!$L$2:$L$3000,Permissions!$B$2:$B$3000,$A102,Permissions!$P$2:$P$3000,"Yes")</f>
        <v>0</v>
      </c>
      <c r="AY102" s="27" t="str">
        <f aca="false">IF(AND(AK102&gt;0,AG102&gt;=AK102,AN102=0),"Built out",IF(AG102&gt;0,"Partly built",IF(AK102&gt;0,"Consented – not built","No consent")))</f>
        <v>No consent</v>
      </c>
      <c r="AZ102" s="28" t="str">
        <f aca="false">IF(AND(R102&lt;&gt;"",AK102&gt;1.1*R102),"Consented above capacity",IF(AND(LEFT(B102,8)="Planning",AW102=0),"Consent parcel with no permission",IF(COUNTIF($A$2:$A$3000,$A102)&gt;1,"Duplicate parcel_id","")))</f>
        <v/>
      </c>
    </row>
    <row r="103" customFormat="false" ht="15" hidden="false" customHeight="false" outlineLevel="0" collapsed="false">
      <c r="A103" s="15" t="s">
        <v>305</v>
      </c>
      <c r="B103" s="15" t="s">
        <v>10</v>
      </c>
      <c r="C103" s="15" t="s">
        <v>16</v>
      </c>
      <c r="D103" s="15" t="s">
        <v>57</v>
      </c>
      <c r="E103" s="15" t="s">
        <v>19</v>
      </c>
      <c r="F103" s="15" t="n">
        <v>1</v>
      </c>
      <c r="G103" s="15" t="s">
        <v>154</v>
      </c>
      <c r="H103" s="15" t="n">
        <v>51</v>
      </c>
      <c r="I103" s="15" t="s">
        <v>57</v>
      </c>
      <c r="J103" s="15" t="s">
        <v>176</v>
      </c>
      <c r="K103" s="15" t="s">
        <v>295</v>
      </c>
      <c r="L103" s="15" t="s">
        <v>170</v>
      </c>
      <c r="M103" s="15" t="s">
        <v>165</v>
      </c>
      <c r="N103" s="15" t="s">
        <v>166</v>
      </c>
      <c r="O103" s="15" t="s">
        <v>159</v>
      </c>
      <c r="P103" s="15" t="n">
        <v>0.272</v>
      </c>
      <c r="Q103" s="15" t="n">
        <v>0.273</v>
      </c>
      <c r="R103" s="15" t="n">
        <v>12</v>
      </c>
      <c r="S103" s="15" t="s">
        <v>160</v>
      </c>
      <c r="T103" s="15"/>
      <c r="U103" s="15"/>
      <c r="V103" s="15"/>
      <c r="W103" s="15"/>
      <c r="X103" s="15"/>
      <c r="Y103" s="15"/>
      <c r="Z103" s="15"/>
      <c r="AA103" s="15" t="n">
        <v>0</v>
      </c>
      <c r="AB103" s="15" t="n">
        <v>0</v>
      </c>
      <c r="AC103" s="15" t="s">
        <v>161</v>
      </c>
      <c r="AD103" s="15" t="s">
        <v>162</v>
      </c>
      <c r="AE103" s="15" t="s">
        <v>163</v>
      </c>
      <c r="AF103" s="15"/>
      <c r="AG103" s="24" t="n">
        <f aca="false">SUMIFS(Permissions!$G$2:$G$3000,Permissions!$B$2:$B$3000,$A103,Permissions!$I$2:$I$3000,"Complete",Permissions!$P$2:$P$3000,"Yes")</f>
        <v>0</v>
      </c>
      <c r="AH103" s="24" t="n">
        <f aca="false">SUMIFS(Permissions!$G$2:$G$3000,Permissions!$B$2:$B$3000,$A103,Permissions!$I$2:$I$3000,"Under construction",Permissions!$P$2:$P$3000,"Yes")</f>
        <v>0</v>
      </c>
      <c r="AI103" s="24" t="n">
        <f aca="false">SUMIFS(Permissions!$G$2:$G$3000,Permissions!$B$2:$B$3000,$A103,Permissions!$I$2:$I$3000,"Permitted – not started",Permissions!$P$2:$P$3000,"Yes")</f>
        <v>0</v>
      </c>
      <c r="AJ103" s="24" t="n">
        <f aca="false">SUMIFS(Permissions!$G$2:$G$3000,Permissions!$B$2:$B$3000,$A103,Permissions!$I$2:$I$3000,"Stalled",Permissions!$P$2:$P$3000,"Yes")</f>
        <v>0</v>
      </c>
      <c r="AK103" s="24" t="n">
        <f aca="false">AG103+AH103+AI103+AJ103</f>
        <v>0</v>
      </c>
      <c r="AL103" s="24" t="n">
        <f aca="false">SUMIFS(Permissions!$G$2:$G$3000,Permissions!$B$2:$B$3000,$A103,Permissions!$I$2:$I$3000,"Expired – not started",Permissions!$P$2:$P$3000,"Yes")</f>
        <v>0</v>
      </c>
      <c r="AM103" s="24" t="n">
        <f aca="false">SUMIFS(Permissions!$G$2:$G$3000,Permissions!$B$2:$B$3000,$A103,Permissions!$I$2:$I$3000,"In planning",Permissions!$P$2:$P$3000,"Yes")</f>
        <v>0</v>
      </c>
      <c r="AN103" s="24" t="n">
        <f aca="false">IF(R103="",0,MAX(R103-AK103,0))</f>
        <v>12</v>
      </c>
      <c r="AO103" s="25" t="n">
        <f aca="false">AK103+AN103</f>
        <v>12</v>
      </c>
      <c r="AP103" s="24" t="n">
        <f aca="false">AO103-AG103</f>
        <v>12</v>
      </c>
      <c r="AQ103" s="26" t="n">
        <f aca="false">SUMIFS(Permissions!$AH$2:$AH$3000,Permissions!$B$2:$B$3000,$A103,Permissions!$P$2:$P$3000,"Yes")</f>
        <v>0</v>
      </c>
      <c r="AR103" s="26" t="n">
        <f aca="false">SUMIFS(Permissions!$AI$2:$AI$3000,Permissions!$B$2:$B$3000,$A103,Permissions!$P$2:$P$3000,"Yes")</f>
        <v>0</v>
      </c>
      <c r="AS103" s="26" t="n">
        <f aca="false">SUMIFS(Permissions!$AJ$2:$AJ$3000,Permissions!$B$2:$B$3000,$A103,Permissions!$P$2:$P$3000,"Yes")</f>
        <v>0</v>
      </c>
      <c r="AT103" s="26" t="n">
        <f aca="false">SUMIFS(Permissions!$AK$2:$AK$3000,Permissions!$B$2:$B$3000,$A103,Permissions!$P$2:$P$3000,"Yes")</f>
        <v>0</v>
      </c>
      <c r="AU103" s="26" t="n">
        <f aca="false">SUMIFS(Permissions!$AL$2:$AL$3000,Permissions!$B$2:$B$3000,$A103,Permissions!$P$2:$P$3000,"Yes")</f>
        <v>0</v>
      </c>
      <c r="AV103" s="26" t="n">
        <f aca="false">SUMIFS(Permissions!$AM$2:$AM$3000,Permissions!$B$2:$B$3000,$A103,Permissions!$P$2:$P$3000,"Yes")</f>
        <v>0</v>
      </c>
      <c r="AW103" s="24" t="n">
        <f aca="false">COUNTIFS(Permissions!$B$2:$B$3000,$A103,Permissions!$P$2:$P$3000,"Yes")</f>
        <v>0</v>
      </c>
      <c r="AX103" s="24" t="n">
        <f aca="false">SUMIFS(Permissions!$L$2:$L$3000,Permissions!$B$2:$B$3000,$A103,Permissions!$P$2:$P$3000,"Yes")</f>
        <v>0</v>
      </c>
      <c r="AY103" s="27" t="str">
        <f aca="false">IF(AND(AK103&gt;0,AG103&gt;=AK103,AN103=0),"Built out",IF(AG103&gt;0,"Partly built",IF(AK103&gt;0,"Consented – not built","No consent")))</f>
        <v>No consent</v>
      </c>
      <c r="AZ103" s="28" t="str">
        <f aca="false">IF(AND(R103&lt;&gt;"",AK103&gt;1.1*R103),"Consented above capacity",IF(AND(LEFT(B103,8)="Planning",AW103=0),"Consent parcel with no permission",IF(COUNTIF($A$2:$A$3000,$A103)&gt;1,"Duplicate parcel_id","")))</f>
        <v/>
      </c>
    </row>
    <row r="104" customFormat="false" ht="15" hidden="false" customHeight="false" outlineLevel="0" collapsed="false">
      <c r="A104" s="15" t="s">
        <v>306</v>
      </c>
      <c r="B104" s="15" t="s">
        <v>10</v>
      </c>
      <c r="C104" s="15" t="s">
        <v>16</v>
      </c>
      <c r="D104" s="15" t="s">
        <v>57</v>
      </c>
      <c r="E104" s="15" t="s">
        <v>19</v>
      </c>
      <c r="F104" s="15" t="n">
        <v>1</v>
      </c>
      <c r="G104" s="15" t="s">
        <v>154</v>
      </c>
      <c r="H104" s="15" t="n">
        <v>52</v>
      </c>
      <c r="I104" s="15" t="s">
        <v>57</v>
      </c>
      <c r="J104" s="15" t="s">
        <v>176</v>
      </c>
      <c r="K104" s="15" t="s">
        <v>295</v>
      </c>
      <c r="L104" s="15" t="s">
        <v>183</v>
      </c>
      <c r="M104" s="15" t="s">
        <v>157</v>
      </c>
      <c r="N104" s="15" t="s">
        <v>166</v>
      </c>
      <c r="O104" s="15" t="s">
        <v>159</v>
      </c>
      <c r="P104" s="15" t="n">
        <v>0.548</v>
      </c>
      <c r="Q104" s="15" t="n">
        <v>0.548</v>
      </c>
      <c r="R104" s="15" t="n">
        <v>26</v>
      </c>
      <c r="S104" s="15" t="s">
        <v>160</v>
      </c>
      <c r="T104" s="15"/>
      <c r="U104" s="15"/>
      <c r="V104" s="15"/>
      <c r="W104" s="15"/>
      <c r="X104" s="15"/>
      <c r="Y104" s="15"/>
      <c r="Z104" s="15"/>
      <c r="AA104" s="15" t="n">
        <v>0</v>
      </c>
      <c r="AB104" s="15" t="n">
        <v>0</v>
      </c>
      <c r="AC104" s="15" t="s">
        <v>180</v>
      </c>
      <c r="AD104" s="15" t="s">
        <v>162</v>
      </c>
      <c r="AE104" s="15" t="s">
        <v>163</v>
      </c>
      <c r="AF104" s="15"/>
      <c r="AG104" s="24" t="n">
        <f aca="false">SUMIFS(Permissions!$G$2:$G$3000,Permissions!$B$2:$B$3000,$A104,Permissions!$I$2:$I$3000,"Complete",Permissions!$P$2:$P$3000,"Yes")</f>
        <v>0</v>
      </c>
      <c r="AH104" s="24" t="n">
        <f aca="false">SUMIFS(Permissions!$G$2:$G$3000,Permissions!$B$2:$B$3000,$A104,Permissions!$I$2:$I$3000,"Under construction",Permissions!$P$2:$P$3000,"Yes")</f>
        <v>26</v>
      </c>
      <c r="AI104" s="24" t="n">
        <f aca="false">SUMIFS(Permissions!$G$2:$G$3000,Permissions!$B$2:$B$3000,$A104,Permissions!$I$2:$I$3000,"Permitted – not started",Permissions!$P$2:$P$3000,"Yes")</f>
        <v>0</v>
      </c>
      <c r="AJ104" s="24" t="n">
        <f aca="false">SUMIFS(Permissions!$G$2:$G$3000,Permissions!$B$2:$B$3000,$A104,Permissions!$I$2:$I$3000,"Stalled",Permissions!$P$2:$P$3000,"Yes")</f>
        <v>0</v>
      </c>
      <c r="AK104" s="24" t="n">
        <f aca="false">AG104+AH104+AI104+AJ104</f>
        <v>26</v>
      </c>
      <c r="AL104" s="24" t="n">
        <f aca="false">SUMIFS(Permissions!$G$2:$G$3000,Permissions!$B$2:$B$3000,$A104,Permissions!$I$2:$I$3000,"Expired – not started",Permissions!$P$2:$P$3000,"Yes")</f>
        <v>0</v>
      </c>
      <c r="AM104" s="24" t="n">
        <f aca="false">SUMIFS(Permissions!$G$2:$G$3000,Permissions!$B$2:$B$3000,$A104,Permissions!$I$2:$I$3000,"In planning",Permissions!$P$2:$P$3000,"Yes")</f>
        <v>0</v>
      </c>
      <c r="AN104" s="24" t="n">
        <f aca="false">IF(R104="",0,MAX(R104-AK104,0))</f>
        <v>0</v>
      </c>
      <c r="AO104" s="25" t="n">
        <f aca="false">AK104+AN104</f>
        <v>26</v>
      </c>
      <c r="AP104" s="24" t="n">
        <f aca="false">AO104-AG104</f>
        <v>26</v>
      </c>
      <c r="AQ104" s="26" t="n">
        <f aca="false">SUMIFS(Permissions!$AH$2:$AH$3000,Permissions!$B$2:$B$3000,$A104,Permissions!$P$2:$P$3000,"Yes")</f>
        <v>0</v>
      </c>
      <c r="AR104" s="26" t="n">
        <f aca="false">SUMIFS(Permissions!$AI$2:$AI$3000,Permissions!$B$2:$B$3000,$A104,Permissions!$P$2:$P$3000,"Yes")</f>
        <v>26</v>
      </c>
      <c r="AS104" s="26" t="n">
        <f aca="false">SUMIFS(Permissions!$AJ$2:$AJ$3000,Permissions!$B$2:$B$3000,$A104,Permissions!$P$2:$P$3000,"Yes")</f>
        <v>0</v>
      </c>
      <c r="AT104" s="26" t="n">
        <f aca="false">SUMIFS(Permissions!$AK$2:$AK$3000,Permissions!$B$2:$B$3000,$A104,Permissions!$P$2:$P$3000,"Yes")</f>
        <v>0</v>
      </c>
      <c r="AU104" s="26" t="n">
        <f aca="false">SUMIFS(Permissions!$AL$2:$AL$3000,Permissions!$B$2:$B$3000,$A104,Permissions!$P$2:$P$3000,"Yes")</f>
        <v>0</v>
      </c>
      <c r="AV104" s="26" t="n">
        <f aca="false">SUMIFS(Permissions!$AM$2:$AM$3000,Permissions!$B$2:$B$3000,$A104,Permissions!$P$2:$P$3000,"Yes")</f>
        <v>0</v>
      </c>
      <c r="AW104" s="24" t="n">
        <f aca="false">COUNTIFS(Permissions!$B$2:$B$3000,$A104,Permissions!$P$2:$P$3000,"Yes")</f>
        <v>1</v>
      </c>
      <c r="AX104" s="24" t="n">
        <f aca="false">SUMIFS(Permissions!$L$2:$L$3000,Permissions!$B$2:$B$3000,$A104,Permissions!$P$2:$P$3000,"Yes")</f>
        <v>0</v>
      </c>
      <c r="AY104" s="27" t="str">
        <f aca="false">IF(AND(AK104&gt;0,AG104&gt;=AK104,AN104=0),"Built out",IF(AG104&gt;0,"Partly built",IF(AK104&gt;0,"Consented – not built","No consent")))</f>
        <v>Consented – not built</v>
      </c>
      <c r="AZ104" s="28" t="str">
        <f aca="false">IF(AND(R104&lt;&gt;"",AK104&gt;1.1*R104),"Consented above capacity",IF(AND(LEFT(B104,8)="Planning",AW104=0),"Consent parcel with no permission",IF(COUNTIF($A$2:$A$3000,$A104)&gt;1,"Duplicate parcel_id","")))</f>
        <v/>
      </c>
    </row>
    <row r="105" customFormat="false" ht="15" hidden="false" customHeight="false" outlineLevel="0" collapsed="false">
      <c r="A105" s="15" t="s">
        <v>307</v>
      </c>
      <c r="B105" s="15" t="s">
        <v>10</v>
      </c>
      <c r="C105" s="15" t="s">
        <v>16</v>
      </c>
      <c r="D105" s="15" t="s">
        <v>57</v>
      </c>
      <c r="E105" s="15" t="s">
        <v>19</v>
      </c>
      <c r="F105" s="15" t="n">
        <v>1</v>
      </c>
      <c r="G105" s="15" t="s">
        <v>154</v>
      </c>
      <c r="H105" s="15" t="n">
        <v>75</v>
      </c>
      <c r="I105" s="15" t="s">
        <v>57</v>
      </c>
      <c r="J105" s="15" t="s">
        <v>205</v>
      </c>
      <c r="K105" s="15" t="s">
        <v>295</v>
      </c>
      <c r="L105" s="15" t="s">
        <v>170</v>
      </c>
      <c r="M105" s="15" t="s">
        <v>157</v>
      </c>
      <c r="N105" s="15" t="s">
        <v>166</v>
      </c>
      <c r="O105" s="15" t="s">
        <v>308</v>
      </c>
      <c r="P105" s="15" t="n">
        <v>0.227</v>
      </c>
      <c r="Q105" s="15" t="n">
        <v>0.228</v>
      </c>
      <c r="R105" s="15" t="n">
        <v>7</v>
      </c>
      <c r="S105" s="15" t="s">
        <v>160</v>
      </c>
      <c r="T105" s="15"/>
      <c r="U105" s="15"/>
      <c r="V105" s="15"/>
      <c r="W105" s="15"/>
      <c r="X105" s="15"/>
      <c r="Y105" s="15"/>
      <c r="Z105" s="15"/>
      <c r="AA105" s="15" t="n">
        <v>0</v>
      </c>
      <c r="AB105" s="15" t="n">
        <v>0</v>
      </c>
      <c r="AC105" s="15" t="s">
        <v>180</v>
      </c>
      <c r="AD105" s="15" t="s">
        <v>162</v>
      </c>
      <c r="AE105" s="15" t="s">
        <v>163</v>
      </c>
      <c r="AF105" s="15"/>
      <c r="AG105" s="24" t="n">
        <f aca="false">SUMIFS(Permissions!$G$2:$G$3000,Permissions!$B$2:$B$3000,$A105,Permissions!$I$2:$I$3000,"Complete",Permissions!$P$2:$P$3000,"Yes")</f>
        <v>0</v>
      </c>
      <c r="AH105" s="24" t="n">
        <f aca="false">SUMIFS(Permissions!$G$2:$G$3000,Permissions!$B$2:$B$3000,$A105,Permissions!$I$2:$I$3000,"Under construction",Permissions!$P$2:$P$3000,"Yes")</f>
        <v>0</v>
      </c>
      <c r="AI105" s="24" t="n">
        <f aca="false">SUMIFS(Permissions!$G$2:$G$3000,Permissions!$B$2:$B$3000,$A105,Permissions!$I$2:$I$3000,"Permitted – not started",Permissions!$P$2:$P$3000,"Yes")</f>
        <v>0</v>
      </c>
      <c r="AJ105" s="24" t="n">
        <f aca="false">SUMIFS(Permissions!$G$2:$G$3000,Permissions!$B$2:$B$3000,$A105,Permissions!$I$2:$I$3000,"Stalled",Permissions!$P$2:$P$3000,"Yes")</f>
        <v>0</v>
      </c>
      <c r="AK105" s="24" t="n">
        <f aca="false">AG105+AH105+AI105+AJ105</f>
        <v>0</v>
      </c>
      <c r="AL105" s="24" t="n">
        <f aca="false">SUMIFS(Permissions!$G$2:$G$3000,Permissions!$B$2:$B$3000,$A105,Permissions!$I$2:$I$3000,"Expired – not started",Permissions!$P$2:$P$3000,"Yes")</f>
        <v>0</v>
      </c>
      <c r="AM105" s="24" t="n">
        <f aca="false">SUMIFS(Permissions!$G$2:$G$3000,Permissions!$B$2:$B$3000,$A105,Permissions!$I$2:$I$3000,"In planning",Permissions!$P$2:$P$3000,"Yes")</f>
        <v>0</v>
      </c>
      <c r="AN105" s="24" t="n">
        <f aca="false">IF(R105="",0,MAX(R105-AK105,0))</f>
        <v>7</v>
      </c>
      <c r="AO105" s="25" t="n">
        <f aca="false">AK105+AN105</f>
        <v>7</v>
      </c>
      <c r="AP105" s="24" t="n">
        <f aca="false">AO105-AG105</f>
        <v>7</v>
      </c>
      <c r="AQ105" s="26" t="n">
        <f aca="false">SUMIFS(Permissions!$AH$2:$AH$3000,Permissions!$B$2:$B$3000,$A105,Permissions!$P$2:$P$3000,"Yes")</f>
        <v>0</v>
      </c>
      <c r="AR105" s="26" t="n">
        <f aca="false">SUMIFS(Permissions!$AI$2:$AI$3000,Permissions!$B$2:$B$3000,$A105,Permissions!$P$2:$P$3000,"Yes")</f>
        <v>0</v>
      </c>
      <c r="AS105" s="26" t="n">
        <f aca="false">SUMIFS(Permissions!$AJ$2:$AJ$3000,Permissions!$B$2:$B$3000,$A105,Permissions!$P$2:$P$3000,"Yes")</f>
        <v>0</v>
      </c>
      <c r="AT105" s="26" t="n">
        <f aca="false">SUMIFS(Permissions!$AK$2:$AK$3000,Permissions!$B$2:$B$3000,$A105,Permissions!$P$2:$P$3000,"Yes")</f>
        <v>0</v>
      </c>
      <c r="AU105" s="26" t="n">
        <f aca="false">SUMIFS(Permissions!$AL$2:$AL$3000,Permissions!$B$2:$B$3000,$A105,Permissions!$P$2:$P$3000,"Yes")</f>
        <v>0</v>
      </c>
      <c r="AV105" s="26" t="n">
        <f aca="false">SUMIFS(Permissions!$AM$2:$AM$3000,Permissions!$B$2:$B$3000,$A105,Permissions!$P$2:$P$3000,"Yes")</f>
        <v>0</v>
      </c>
      <c r="AW105" s="24" t="n">
        <f aca="false">COUNTIFS(Permissions!$B$2:$B$3000,$A105,Permissions!$P$2:$P$3000,"Yes")</f>
        <v>0</v>
      </c>
      <c r="AX105" s="24" t="n">
        <f aca="false">SUMIFS(Permissions!$L$2:$L$3000,Permissions!$B$2:$B$3000,$A105,Permissions!$P$2:$P$3000,"Yes")</f>
        <v>0</v>
      </c>
      <c r="AY105" s="27" t="str">
        <f aca="false">IF(AND(AK105&gt;0,AG105&gt;=AK105,AN105=0),"Built out",IF(AG105&gt;0,"Partly built",IF(AK105&gt;0,"Consented – not built","No consent")))</f>
        <v>No consent</v>
      </c>
      <c r="AZ105" s="28" t="str">
        <f aca="false">IF(AND(R105&lt;&gt;"",AK105&gt;1.1*R105),"Consented above capacity",IF(AND(LEFT(B105,8)="Planning",AW105=0),"Consent parcel with no permission",IF(COUNTIF($A$2:$A$3000,$A105)&gt;1,"Duplicate parcel_id","")))</f>
        <v/>
      </c>
    </row>
    <row r="106" customFormat="false" ht="15" hidden="false" customHeight="false" outlineLevel="0" collapsed="false">
      <c r="A106" s="15" t="s">
        <v>309</v>
      </c>
      <c r="B106" s="15" t="s">
        <v>10</v>
      </c>
      <c r="C106" s="15" t="s">
        <v>16</v>
      </c>
      <c r="D106" s="15" t="s">
        <v>57</v>
      </c>
      <c r="E106" s="15" t="s">
        <v>19</v>
      </c>
      <c r="F106" s="15" t="n">
        <v>1</v>
      </c>
      <c r="G106" s="15" t="s">
        <v>154</v>
      </c>
      <c r="H106" s="15" t="n">
        <v>77</v>
      </c>
      <c r="I106" s="15" t="s">
        <v>57</v>
      </c>
      <c r="J106" s="15" t="s">
        <v>205</v>
      </c>
      <c r="K106" s="15" t="s">
        <v>295</v>
      </c>
      <c r="L106" s="15" t="s">
        <v>170</v>
      </c>
      <c r="M106" s="15" t="s">
        <v>157</v>
      </c>
      <c r="N106" s="15" t="s">
        <v>166</v>
      </c>
      <c r="O106" s="15" t="s">
        <v>159</v>
      </c>
      <c r="P106" s="15" t="n">
        <v>0.727</v>
      </c>
      <c r="Q106" s="15" t="n">
        <v>0.728</v>
      </c>
      <c r="R106" s="15" t="n">
        <v>33</v>
      </c>
      <c r="S106" s="15" t="s">
        <v>160</v>
      </c>
      <c r="T106" s="15"/>
      <c r="U106" s="15"/>
      <c r="V106" s="15"/>
      <c r="W106" s="15"/>
      <c r="X106" s="15"/>
      <c r="Y106" s="15"/>
      <c r="Z106" s="15"/>
      <c r="AA106" s="15" t="n">
        <v>0</v>
      </c>
      <c r="AB106" s="15" t="n">
        <v>0</v>
      </c>
      <c r="AC106" s="15" t="s">
        <v>161</v>
      </c>
      <c r="AD106" s="15" t="s">
        <v>162</v>
      </c>
      <c r="AE106" s="15" t="s">
        <v>163</v>
      </c>
      <c r="AF106" s="15"/>
      <c r="AG106" s="24" t="n">
        <f aca="false">SUMIFS(Permissions!$G$2:$G$3000,Permissions!$B$2:$B$3000,$A106,Permissions!$I$2:$I$3000,"Complete",Permissions!$P$2:$P$3000,"Yes")</f>
        <v>0</v>
      </c>
      <c r="AH106" s="24" t="n">
        <f aca="false">SUMIFS(Permissions!$G$2:$G$3000,Permissions!$B$2:$B$3000,$A106,Permissions!$I$2:$I$3000,"Under construction",Permissions!$P$2:$P$3000,"Yes")</f>
        <v>0</v>
      </c>
      <c r="AI106" s="24" t="n">
        <f aca="false">SUMIFS(Permissions!$G$2:$G$3000,Permissions!$B$2:$B$3000,$A106,Permissions!$I$2:$I$3000,"Permitted – not started",Permissions!$P$2:$P$3000,"Yes")</f>
        <v>0</v>
      </c>
      <c r="AJ106" s="24" t="n">
        <f aca="false">SUMIFS(Permissions!$G$2:$G$3000,Permissions!$B$2:$B$3000,$A106,Permissions!$I$2:$I$3000,"Stalled",Permissions!$P$2:$P$3000,"Yes")</f>
        <v>0</v>
      </c>
      <c r="AK106" s="24" t="n">
        <f aca="false">AG106+AH106+AI106+AJ106</f>
        <v>0</v>
      </c>
      <c r="AL106" s="24" t="n">
        <f aca="false">SUMIFS(Permissions!$G$2:$G$3000,Permissions!$B$2:$B$3000,$A106,Permissions!$I$2:$I$3000,"Expired – not started",Permissions!$P$2:$P$3000,"Yes")</f>
        <v>0</v>
      </c>
      <c r="AM106" s="24" t="n">
        <f aca="false">SUMIFS(Permissions!$G$2:$G$3000,Permissions!$B$2:$B$3000,$A106,Permissions!$I$2:$I$3000,"In planning",Permissions!$P$2:$P$3000,"Yes")</f>
        <v>0</v>
      </c>
      <c r="AN106" s="24" t="n">
        <f aca="false">IF(R106="",0,MAX(R106-AK106,0))</f>
        <v>33</v>
      </c>
      <c r="AO106" s="25" t="n">
        <f aca="false">AK106+AN106</f>
        <v>33</v>
      </c>
      <c r="AP106" s="24" t="n">
        <f aca="false">AO106-AG106</f>
        <v>33</v>
      </c>
      <c r="AQ106" s="26" t="n">
        <f aca="false">SUMIFS(Permissions!$AH$2:$AH$3000,Permissions!$B$2:$B$3000,$A106,Permissions!$P$2:$P$3000,"Yes")</f>
        <v>0</v>
      </c>
      <c r="AR106" s="26" t="n">
        <f aca="false">SUMIFS(Permissions!$AI$2:$AI$3000,Permissions!$B$2:$B$3000,$A106,Permissions!$P$2:$P$3000,"Yes")</f>
        <v>0</v>
      </c>
      <c r="AS106" s="26" t="n">
        <f aca="false">SUMIFS(Permissions!$AJ$2:$AJ$3000,Permissions!$B$2:$B$3000,$A106,Permissions!$P$2:$P$3000,"Yes")</f>
        <v>0</v>
      </c>
      <c r="AT106" s="26" t="n">
        <f aca="false">SUMIFS(Permissions!$AK$2:$AK$3000,Permissions!$B$2:$B$3000,$A106,Permissions!$P$2:$P$3000,"Yes")</f>
        <v>0</v>
      </c>
      <c r="AU106" s="26" t="n">
        <f aca="false">SUMIFS(Permissions!$AL$2:$AL$3000,Permissions!$B$2:$B$3000,$A106,Permissions!$P$2:$P$3000,"Yes")</f>
        <v>0</v>
      </c>
      <c r="AV106" s="26" t="n">
        <f aca="false">SUMIFS(Permissions!$AM$2:$AM$3000,Permissions!$B$2:$B$3000,$A106,Permissions!$P$2:$P$3000,"Yes")</f>
        <v>0</v>
      </c>
      <c r="AW106" s="24" t="n">
        <f aca="false">COUNTIFS(Permissions!$B$2:$B$3000,$A106,Permissions!$P$2:$P$3000,"Yes")</f>
        <v>0</v>
      </c>
      <c r="AX106" s="24" t="n">
        <f aca="false">SUMIFS(Permissions!$L$2:$L$3000,Permissions!$B$2:$B$3000,$A106,Permissions!$P$2:$P$3000,"Yes")</f>
        <v>0</v>
      </c>
      <c r="AY106" s="27" t="str">
        <f aca="false">IF(AND(AK106&gt;0,AG106&gt;=AK106,AN106=0),"Built out",IF(AG106&gt;0,"Partly built",IF(AK106&gt;0,"Consented – not built","No consent")))</f>
        <v>No consent</v>
      </c>
      <c r="AZ106" s="28" t="str">
        <f aca="false">IF(AND(R106&lt;&gt;"",AK106&gt;1.1*R106),"Consented above capacity",IF(AND(LEFT(B106,8)="Planning",AW106=0),"Consent parcel with no permission",IF(COUNTIF($A$2:$A$3000,$A106)&gt;1,"Duplicate parcel_id","")))</f>
        <v/>
      </c>
    </row>
    <row r="107" customFormat="false" ht="15" hidden="false" customHeight="false" outlineLevel="0" collapsed="false">
      <c r="A107" s="15" t="s">
        <v>310</v>
      </c>
      <c r="B107" s="15" t="s">
        <v>10</v>
      </c>
      <c r="C107" s="15" t="s">
        <v>16</v>
      </c>
      <c r="D107" s="15" t="s">
        <v>57</v>
      </c>
      <c r="E107" s="15" t="s">
        <v>19</v>
      </c>
      <c r="F107" s="15" t="n">
        <v>1</v>
      </c>
      <c r="G107" s="15" t="s">
        <v>154</v>
      </c>
      <c r="H107" s="15" t="n">
        <v>78</v>
      </c>
      <c r="I107" s="15" t="s">
        <v>57</v>
      </c>
      <c r="J107" s="15" t="s">
        <v>205</v>
      </c>
      <c r="K107" s="15" t="s">
        <v>295</v>
      </c>
      <c r="L107" s="15" t="s">
        <v>170</v>
      </c>
      <c r="M107" s="15" t="s">
        <v>157</v>
      </c>
      <c r="N107" s="15" t="s">
        <v>166</v>
      </c>
      <c r="O107" s="15" t="s">
        <v>159</v>
      </c>
      <c r="P107" s="15" t="n">
        <v>0.919</v>
      </c>
      <c r="Q107" s="15" t="n">
        <v>0.919</v>
      </c>
      <c r="R107" s="15" t="n">
        <v>41</v>
      </c>
      <c r="S107" s="15" t="s">
        <v>160</v>
      </c>
      <c r="T107" s="15"/>
      <c r="U107" s="15"/>
      <c r="V107" s="15"/>
      <c r="W107" s="15"/>
      <c r="X107" s="15"/>
      <c r="Y107" s="15"/>
      <c r="Z107" s="15"/>
      <c r="AA107" s="15" t="n">
        <v>1</v>
      </c>
      <c r="AB107" s="15" t="n">
        <v>0</v>
      </c>
      <c r="AC107" s="15" t="s">
        <v>161</v>
      </c>
      <c r="AD107" s="15" t="s">
        <v>162</v>
      </c>
      <c r="AE107" s="15" t="s">
        <v>163</v>
      </c>
      <c r="AF107" s="15"/>
      <c r="AG107" s="24" t="n">
        <f aca="false">SUMIFS(Permissions!$G$2:$G$3000,Permissions!$B$2:$B$3000,$A107,Permissions!$I$2:$I$3000,"Complete",Permissions!$P$2:$P$3000,"Yes")</f>
        <v>0</v>
      </c>
      <c r="AH107" s="24" t="n">
        <f aca="false">SUMIFS(Permissions!$G$2:$G$3000,Permissions!$B$2:$B$3000,$A107,Permissions!$I$2:$I$3000,"Under construction",Permissions!$P$2:$P$3000,"Yes")</f>
        <v>0</v>
      </c>
      <c r="AI107" s="24" t="n">
        <f aca="false">SUMIFS(Permissions!$G$2:$G$3000,Permissions!$B$2:$B$3000,$A107,Permissions!$I$2:$I$3000,"Permitted – not started",Permissions!$P$2:$P$3000,"Yes")</f>
        <v>0</v>
      </c>
      <c r="AJ107" s="24" t="n">
        <f aca="false">SUMIFS(Permissions!$G$2:$G$3000,Permissions!$B$2:$B$3000,$A107,Permissions!$I$2:$I$3000,"Stalled",Permissions!$P$2:$P$3000,"Yes")</f>
        <v>0</v>
      </c>
      <c r="AK107" s="24" t="n">
        <f aca="false">AG107+AH107+AI107+AJ107</f>
        <v>0</v>
      </c>
      <c r="AL107" s="24" t="n">
        <f aca="false">SUMIFS(Permissions!$G$2:$G$3000,Permissions!$B$2:$B$3000,$A107,Permissions!$I$2:$I$3000,"Expired – not started",Permissions!$P$2:$P$3000,"Yes")</f>
        <v>0</v>
      </c>
      <c r="AM107" s="24" t="n">
        <f aca="false">SUMIFS(Permissions!$G$2:$G$3000,Permissions!$B$2:$B$3000,$A107,Permissions!$I$2:$I$3000,"In planning",Permissions!$P$2:$P$3000,"Yes")</f>
        <v>0</v>
      </c>
      <c r="AN107" s="24" t="n">
        <f aca="false">IF(R107="",0,MAX(R107-AK107,0))</f>
        <v>41</v>
      </c>
      <c r="AO107" s="25" t="n">
        <f aca="false">AK107+AN107</f>
        <v>41</v>
      </c>
      <c r="AP107" s="24" t="n">
        <f aca="false">AO107-AG107</f>
        <v>41</v>
      </c>
      <c r="AQ107" s="26" t="n">
        <f aca="false">SUMIFS(Permissions!$AH$2:$AH$3000,Permissions!$B$2:$B$3000,$A107,Permissions!$P$2:$P$3000,"Yes")</f>
        <v>0</v>
      </c>
      <c r="AR107" s="26" t="n">
        <f aca="false">SUMIFS(Permissions!$AI$2:$AI$3000,Permissions!$B$2:$B$3000,$A107,Permissions!$P$2:$P$3000,"Yes")</f>
        <v>0</v>
      </c>
      <c r="AS107" s="26" t="n">
        <f aca="false">SUMIFS(Permissions!$AJ$2:$AJ$3000,Permissions!$B$2:$B$3000,$A107,Permissions!$P$2:$P$3000,"Yes")</f>
        <v>0</v>
      </c>
      <c r="AT107" s="26" t="n">
        <f aca="false">SUMIFS(Permissions!$AK$2:$AK$3000,Permissions!$B$2:$B$3000,$A107,Permissions!$P$2:$P$3000,"Yes")</f>
        <v>0</v>
      </c>
      <c r="AU107" s="26" t="n">
        <f aca="false">SUMIFS(Permissions!$AL$2:$AL$3000,Permissions!$B$2:$B$3000,$A107,Permissions!$P$2:$P$3000,"Yes")</f>
        <v>0</v>
      </c>
      <c r="AV107" s="26" t="n">
        <f aca="false">SUMIFS(Permissions!$AM$2:$AM$3000,Permissions!$B$2:$B$3000,$A107,Permissions!$P$2:$P$3000,"Yes")</f>
        <v>0</v>
      </c>
      <c r="AW107" s="24" t="n">
        <f aca="false">COUNTIFS(Permissions!$B$2:$B$3000,$A107,Permissions!$P$2:$P$3000,"Yes")</f>
        <v>0</v>
      </c>
      <c r="AX107" s="24" t="n">
        <f aca="false">SUMIFS(Permissions!$L$2:$L$3000,Permissions!$B$2:$B$3000,$A107,Permissions!$P$2:$P$3000,"Yes")</f>
        <v>0</v>
      </c>
      <c r="AY107" s="27" t="str">
        <f aca="false">IF(AND(AK107&gt;0,AG107&gt;=AK107,AN107=0),"Built out",IF(AG107&gt;0,"Partly built",IF(AK107&gt;0,"Consented – not built","No consent")))</f>
        <v>No consent</v>
      </c>
      <c r="AZ107" s="28" t="str">
        <f aca="false">IF(AND(R107&lt;&gt;"",AK107&gt;1.1*R107),"Consented above capacity",IF(AND(LEFT(B107,8)="Planning",AW107=0),"Consent parcel with no permission",IF(COUNTIF($A$2:$A$3000,$A107)&gt;1,"Duplicate parcel_id","")))</f>
        <v/>
      </c>
    </row>
    <row r="108" customFormat="false" ht="15" hidden="false" customHeight="false" outlineLevel="0" collapsed="false">
      <c r="A108" s="15" t="s">
        <v>311</v>
      </c>
      <c r="B108" s="15" t="s">
        <v>10</v>
      </c>
      <c r="C108" s="15" t="s">
        <v>16</v>
      </c>
      <c r="D108" s="15" t="s">
        <v>57</v>
      </c>
      <c r="E108" s="15" t="s">
        <v>19</v>
      </c>
      <c r="F108" s="15" t="n">
        <v>1</v>
      </c>
      <c r="G108" s="15" t="s">
        <v>154</v>
      </c>
      <c r="H108" s="15" t="n">
        <v>79</v>
      </c>
      <c r="I108" s="15" t="s">
        <v>57</v>
      </c>
      <c r="J108" s="15" t="s">
        <v>205</v>
      </c>
      <c r="K108" s="15" t="s">
        <v>295</v>
      </c>
      <c r="L108" s="15" t="s">
        <v>170</v>
      </c>
      <c r="M108" s="15" t="s">
        <v>157</v>
      </c>
      <c r="N108" s="15" t="s">
        <v>166</v>
      </c>
      <c r="O108" s="15" t="s">
        <v>159</v>
      </c>
      <c r="P108" s="15" t="n">
        <v>2.384</v>
      </c>
      <c r="Q108" s="15" t="n">
        <v>2.383</v>
      </c>
      <c r="R108" s="15" t="n">
        <v>107</v>
      </c>
      <c r="S108" s="15" t="s">
        <v>160</v>
      </c>
      <c r="T108" s="15"/>
      <c r="U108" s="15"/>
      <c r="V108" s="15"/>
      <c r="W108" s="15"/>
      <c r="X108" s="15"/>
      <c r="Y108" s="15"/>
      <c r="Z108" s="15"/>
      <c r="AA108" s="15" t="n">
        <v>0</v>
      </c>
      <c r="AB108" s="15" t="n">
        <v>0</v>
      </c>
      <c r="AC108" s="15" t="s">
        <v>161</v>
      </c>
      <c r="AD108" s="15" t="s">
        <v>162</v>
      </c>
      <c r="AE108" s="15" t="s">
        <v>163</v>
      </c>
      <c r="AF108" s="15"/>
      <c r="AG108" s="24" t="n">
        <f aca="false">SUMIFS(Permissions!$G$2:$G$3000,Permissions!$B$2:$B$3000,$A108,Permissions!$I$2:$I$3000,"Complete",Permissions!$P$2:$P$3000,"Yes")</f>
        <v>0</v>
      </c>
      <c r="AH108" s="24" t="n">
        <f aca="false">SUMIFS(Permissions!$G$2:$G$3000,Permissions!$B$2:$B$3000,$A108,Permissions!$I$2:$I$3000,"Under construction",Permissions!$P$2:$P$3000,"Yes")</f>
        <v>0</v>
      </c>
      <c r="AI108" s="24" t="n">
        <f aca="false">SUMIFS(Permissions!$G$2:$G$3000,Permissions!$B$2:$B$3000,$A108,Permissions!$I$2:$I$3000,"Permitted – not started",Permissions!$P$2:$P$3000,"Yes")</f>
        <v>55</v>
      </c>
      <c r="AJ108" s="24" t="n">
        <f aca="false">SUMIFS(Permissions!$G$2:$G$3000,Permissions!$B$2:$B$3000,$A108,Permissions!$I$2:$I$3000,"Stalled",Permissions!$P$2:$P$3000,"Yes")</f>
        <v>0</v>
      </c>
      <c r="AK108" s="24" t="n">
        <f aca="false">AG108+AH108+AI108+AJ108</f>
        <v>55</v>
      </c>
      <c r="AL108" s="24" t="n">
        <f aca="false">SUMIFS(Permissions!$G$2:$G$3000,Permissions!$B$2:$B$3000,$A108,Permissions!$I$2:$I$3000,"Expired – not started",Permissions!$P$2:$P$3000,"Yes")</f>
        <v>0</v>
      </c>
      <c r="AM108" s="24" t="n">
        <f aca="false">SUMIFS(Permissions!$G$2:$G$3000,Permissions!$B$2:$B$3000,$A108,Permissions!$I$2:$I$3000,"In planning",Permissions!$P$2:$P$3000,"Yes")</f>
        <v>0</v>
      </c>
      <c r="AN108" s="24" t="n">
        <f aca="false">IF(R108="",0,MAX(R108-AK108,0))</f>
        <v>52</v>
      </c>
      <c r="AO108" s="25" t="n">
        <f aca="false">AK108+AN108</f>
        <v>107</v>
      </c>
      <c r="AP108" s="24" t="n">
        <f aca="false">AO108-AG108</f>
        <v>107</v>
      </c>
      <c r="AQ108" s="26" t="n">
        <f aca="false">SUMIFS(Permissions!$AH$2:$AH$3000,Permissions!$B$2:$B$3000,$A108,Permissions!$P$2:$P$3000,"Yes")</f>
        <v>0</v>
      </c>
      <c r="AR108" s="26" t="n">
        <f aca="false">SUMIFS(Permissions!$AI$2:$AI$3000,Permissions!$B$2:$B$3000,$A108,Permissions!$P$2:$P$3000,"Yes")</f>
        <v>0</v>
      </c>
      <c r="AS108" s="26" t="n">
        <f aca="false">SUMIFS(Permissions!$AJ$2:$AJ$3000,Permissions!$B$2:$B$3000,$A108,Permissions!$P$2:$P$3000,"Yes")</f>
        <v>42.9</v>
      </c>
      <c r="AT108" s="26" t="n">
        <f aca="false">SUMIFS(Permissions!$AK$2:$AK$3000,Permissions!$B$2:$B$3000,$A108,Permissions!$P$2:$P$3000,"Yes")</f>
        <v>12.1</v>
      </c>
      <c r="AU108" s="26" t="n">
        <f aca="false">SUMIFS(Permissions!$AL$2:$AL$3000,Permissions!$B$2:$B$3000,$A108,Permissions!$P$2:$P$3000,"Yes")</f>
        <v>0</v>
      </c>
      <c r="AV108" s="26" t="n">
        <f aca="false">SUMIFS(Permissions!$AM$2:$AM$3000,Permissions!$B$2:$B$3000,$A108,Permissions!$P$2:$P$3000,"Yes")</f>
        <v>0</v>
      </c>
      <c r="AW108" s="24" t="n">
        <f aca="false">COUNTIFS(Permissions!$B$2:$B$3000,$A108,Permissions!$P$2:$P$3000,"Yes")</f>
        <v>1</v>
      </c>
      <c r="AX108" s="24" t="n">
        <f aca="false">SUMIFS(Permissions!$L$2:$L$3000,Permissions!$B$2:$B$3000,$A108,Permissions!$P$2:$P$3000,"Yes")</f>
        <v>0</v>
      </c>
      <c r="AY108" s="27" t="str">
        <f aca="false">IF(AND(AK108&gt;0,AG108&gt;=AK108,AN108=0),"Built out",IF(AG108&gt;0,"Partly built",IF(AK108&gt;0,"Consented – not built","No consent")))</f>
        <v>Consented – not built</v>
      </c>
      <c r="AZ108" s="28" t="str">
        <f aca="false">IF(AND(R108&lt;&gt;"",AK108&gt;1.1*R108),"Consented above capacity",IF(AND(LEFT(B108,8)="Planning",AW108=0),"Consent parcel with no permission",IF(COUNTIF($A$2:$A$3000,$A108)&gt;1,"Duplicate parcel_id","")))</f>
        <v/>
      </c>
    </row>
    <row r="109" customFormat="false" ht="15" hidden="false" customHeight="false" outlineLevel="0" collapsed="false">
      <c r="A109" s="15" t="s">
        <v>312</v>
      </c>
      <c r="B109" s="15" t="s">
        <v>10</v>
      </c>
      <c r="C109" s="15" t="s">
        <v>16</v>
      </c>
      <c r="D109" s="15" t="s">
        <v>57</v>
      </c>
      <c r="E109" s="15" t="s">
        <v>19</v>
      </c>
      <c r="F109" s="15" t="n">
        <v>1</v>
      </c>
      <c r="G109" s="15" t="s">
        <v>154</v>
      </c>
      <c r="H109" s="15" t="n">
        <v>80</v>
      </c>
      <c r="I109" s="15" t="s">
        <v>57</v>
      </c>
      <c r="J109" s="15" t="s">
        <v>176</v>
      </c>
      <c r="K109" s="15" t="s">
        <v>295</v>
      </c>
      <c r="L109" s="15" t="s">
        <v>170</v>
      </c>
      <c r="M109" s="15" t="s">
        <v>165</v>
      </c>
      <c r="N109" s="15" t="s">
        <v>158</v>
      </c>
      <c r="O109" s="15" t="s">
        <v>159</v>
      </c>
      <c r="P109" s="15" t="n">
        <v>0.077</v>
      </c>
      <c r="Q109" s="15" t="n">
        <v>0.077</v>
      </c>
      <c r="R109" s="15" t="n">
        <v>3</v>
      </c>
      <c r="S109" s="15" t="s">
        <v>160</v>
      </c>
      <c r="T109" s="15"/>
      <c r="U109" s="15"/>
      <c r="V109" s="15"/>
      <c r="W109" s="15"/>
      <c r="X109" s="15"/>
      <c r="Y109" s="15"/>
      <c r="Z109" s="15"/>
      <c r="AA109" s="15" t="n">
        <v>2</v>
      </c>
      <c r="AB109" s="15" t="n">
        <v>0</v>
      </c>
      <c r="AC109" s="15" t="s">
        <v>161</v>
      </c>
      <c r="AD109" s="15" t="s">
        <v>162</v>
      </c>
      <c r="AE109" s="15" t="s">
        <v>163</v>
      </c>
      <c r="AF109" s="15"/>
      <c r="AG109" s="24" t="n">
        <f aca="false">SUMIFS(Permissions!$G$2:$G$3000,Permissions!$B$2:$B$3000,$A109,Permissions!$I$2:$I$3000,"Complete",Permissions!$P$2:$P$3000,"Yes")</f>
        <v>0</v>
      </c>
      <c r="AH109" s="24" t="n">
        <f aca="false">SUMIFS(Permissions!$G$2:$G$3000,Permissions!$B$2:$B$3000,$A109,Permissions!$I$2:$I$3000,"Under construction",Permissions!$P$2:$P$3000,"Yes")</f>
        <v>0</v>
      </c>
      <c r="AI109" s="24" t="n">
        <f aca="false">SUMIFS(Permissions!$G$2:$G$3000,Permissions!$B$2:$B$3000,$A109,Permissions!$I$2:$I$3000,"Permitted – not started",Permissions!$P$2:$P$3000,"Yes")</f>
        <v>0</v>
      </c>
      <c r="AJ109" s="24" t="n">
        <f aca="false">SUMIFS(Permissions!$G$2:$G$3000,Permissions!$B$2:$B$3000,$A109,Permissions!$I$2:$I$3000,"Stalled",Permissions!$P$2:$P$3000,"Yes")</f>
        <v>0</v>
      </c>
      <c r="AK109" s="24" t="n">
        <f aca="false">AG109+AH109+AI109+AJ109</f>
        <v>0</v>
      </c>
      <c r="AL109" s="24" t="n">
        <f aca="false">SUMIFS(Permissions!$G$2:$G$3000,Permissions!$B$2:$B$3000,$A109,Permissions!$I$2:$I$3000,"Expired – not started",Permissions!$P$2:$P$3000,"Yes")</f>
        <v>0</v>
      </c>
      <c r="AM109" s="24" t="n">
        <f aca="false">SUMIFS(Permissions!$G$2:$G$3000,Permissions!$B$2:$B$3000,$A109,Permissions!$I$2:$I$3000,"In planning",Permissions!$P$2:$P$3000,"Yes")</f>
        <v>0</v>
      </c>
      <c r="AN109" s="24" t="n">
        <f aca="false">IF(R109="",0,MAX(R109-AK109,0))</f>
        <v>3</v>
      </c>
      <c r="AO109" s="25" t="n">
        <f aca="false">AK109+AN109</f>
        <v>3</v>
      </c>
      <c r="AP109" s="24" t="n">
        <f aca="false">AO109-AG109</f>
        <v>3</v>
      </c>
      <c r="AQ109" s="26" t="n">
        <f aca="false">SUMIFS(Permissions!$AH$2:$AH$3000,Permissions!$B$2:$B$3000,$A109,Permissions!$P$2:$P$3000,"Yes")</f>
        <v>0</v>
      </c>
      <c r="AR109" s="26" t="n">
        <f aca="false">SUMIFS(Permissions!$AI$2:$AI$3000,Permissions!$B$2:$B$3000,$A109,Permissions!$P$2:$P$3000,"Yes")</f>
        <v>0</v>
      </c>
      <c r="AS109" s="26" t="n">
        <f aca="false">SUMIFS(Permissions!$AJ$2:$AJ$3000,Permissions!$B$2:$B$3000,$A109,Permissions!$P$2:$P$3000,"Yes")</f>
        <v>0</v>
      </c>
      <c r="AT109" s="26" t="n">
        <f aca="false">SUMIFS(Permissions!$AK$2:$AK$3000,Permissions!$B$2:$B$3000,$A109,Permissions!$P$2:$P$3000,"Yes")</f>
        <v>0</v>
      </c>
      <c r="AU109" s="26" t="n">
        <f aca="false">SUMIFS(Permissions!$AL$2:$AL$3000,Permissions!$B$2:$B$3000,$A109,Permissions!$P$2:$P$3000,"Yes")</f>
        <v>0</v>
      </c>
      <c r="AV109" s="26" t="n">
        <f aca="false">SUMIFS(Permissions!$AM$2:$AM$3000,Permissions!$B$2:$B$3000,$A109,Permissions!$P$2:$P$3000,"Yes")</f>
        <v>0</v>
      </c>
      <c r="AW109" s="24" t="n">
        <f aca="false">COUNTIFS(Permissions!$B$2:$B$3000,$A109,Permissions!$P$2:$P$3000,"Yes")</f>
        <v>0</v>
      </c>
      <c r="AX109" s="24" t="n">
        <f aca="false">SUMIFS(Permissions!$L$2:$L$3000,Permissions!$B$2:$B$3000,$A109,Permissions!$P$2:$P$3000,"Yes")</f>
        <v>0</v>
      </c>
      <c r="AY109" s="27" t="str">
        <f aca="false">IF(AND(AK109&gt;0,AG109&gt;=AK109,AN109=0),"Built out",IF(AG109&gt;0,"Partly built",IF(AK109&gt;0,"Consented – not built","No consent")))</f>
        <v>No consent</v>
      </c>
      <c r="AZ109" s="28" t="str">
        <f aca="false">IF(AND(R109&lt;&gt;"",AK109&gt;1.1*R109),"Consented above capacity",IF(AND(LEFT(B109,8)="Planning",AW109=0),"Consent parcel with no permission",IF(COUNTIF($A$2:$A$3000,$A109)&gt;1,"Duplicate parcel_id","")))</f>
        <v/>
      </c>
    </row>
    <row r="110" customFormat="false" ht="15" hidden="false" customHeight="false" outlineLevel="0" collapsed="false">
      <c r="A110" s="15" t="s">
        <v>313</v>
      </c>
      <c r="B110" s="15" t="s">
        <v>10</v>
      </c>
      <c r="C110" s="15" t="s">
        <v>16</v>
      </c>
      <c r="D110" s="15" t="s">
        <v>57</v>
      </c>
      <c r="E110" s="15" t="s">
        <v>19</v>
      </c>
      <c r="F110" s="15" t="n">
        <v>1</v>
      </c>
      <c r="G110" s="15" t="s">
        <v>154</v>
      </c>
      <c r="H110" s="15" t="n">
        <v>81</v>
      </c>
      <c r="I110" s="15" t="s">
        <v>57</v>
      </c>
      <c r="J110" s="15" t="s">
        <v>176</v>
      </c>
      <c r="K110" s="15" t="s">
        <v>295</v>
      </c>
      <c r="L110" s="15" t="s">
        <v>170</v>
      </c>
      <c r="M110" s="15" t="s">
        <v>157</v>
      </c>
      <c r="N110" s="15" t="s">
        <v>158</v>
      </c>
      <c r="O110" s="15" t="s">
        <v>159</v>
      </c>
      <c r="P110" s="15" t="n">
        <v>0.156</v>
      </c>
      <c r="Q110" s="15" t="n">
        <v>0.156</v>
      </c>
      <c r="R110" s="15" t="n">
        <v>32</v>
      </c>
      <c r="S110" s="15" t="s">
        <v>160</v>
      </c>
      <c r="T110" s="15"/>
      <c r="U110" s="15"/>
      <c r="V110" s="15"/>
      <c r="W110" s="15"/>
      <c r="X110" s="15"/>
      <c r="Y110" s="15"/>
      <c r="Z110" s="15"/>
      <c r="AA110" s="15" t="n">
        <v>0</v>
      </c>
      <c r="AB110" s="15" t="n">
        <v>0</v>
      </c>
      <c r="AC110" s="15" t="s">
        <v>180</v>
      </c>
      <c r="AD110" s="15" t="s">
        <v>162</v>
      </c>
      <c r="AE110" s="15" t="s">
        <v>163</v>
      </c>
      <c r="AF110" s="15"/>
      <c r="AG110" s="24" t="n">
        <f aca="false">SUMIFS(Permissions!$G$2:$G$3000,Permissions!$B$2:$B$3000,$A110,Permissions!$I$2:$I$3000,"Complete",Permissions!$P$2:$P$3000,"Yes")</f>
        <v>0</v>
      </c>
      <c r="AH110" s="24" t="n">
        <f aca="false">SUMIFS(Permissions!$G$2:$G$3000,Permissions!$B$2:$B$3000,$A110,Permissions!$I$2:$I$3000,"Under construction",Permissions!$P$2:$P$3000,"Yes")</f>
        <v>20</v>
      </c>
      <c r="AI110" s="24" t="n">
        <f aca="false">SUMIFS(Permissions!$G$2:$G$3000,Permissions!$B$2:$B$3000,$A110,Permissions!$I$2:$I$3000,"Permitted – not started",Permissions!$P$2:$P$3000,"Yes")</f>
        <v>0</v>
      </c>
      <c r="AJ110" s="24" t="n">
        <f aca="false">SUMIFS(Permissions!$G$2:$G$3000,Permissions!$B$2:$B$3000,$A110,Permissions!$I$2:$I$3000,"Stalled",Permissions!$P$2:$P$3000,"Yes")</f>
        <v>0</v>
      </c>
      <c r="AK110" s="24" t="n">
        <f aca="false">AG110+AH110+AI110+AJ110</f>
        <v>20</v>
      </c>
      <c r="AL110" s="24" t="n">
        <f aca="false">SUMIFS(Permissions!$G$2:$G$3000,Permissions!$B$2:$B$3000,$A110,Permissions!$I$2:$I$3000,"Expired – not started",Permissions!$P$2:$P$3000,"Yes")</f>
        <v>0</v>
      </c>
      <c r="AM110" s="24" t="n">
        <f aca="false">SUMIFS(Permissions!$G$2:$G$3000,Permissions!$B$2:$B$3000,$A110,Permissions!$I$2:$I$3000,"In planning",Permissions!$P$2:$P$3000,"Yes")</f>
        <v>0</v>
      </c>
      <c r="AN110" s="24" t="n">
        <f aca="false">IF(R110="",0,MAX(R110-AK110,0))</f>
        <v>12</v>
      </c>
      <c r="AO110" s="25" t="n">
        <f aca="false">AK110+AN110</f>
        <v>32</v>
      </c>
      <c r="AP110" s="24" t="n">
        <f aca="false">AO110-AG110</f>
        <v>32</v>
      </c>
      <c r="AQ110" s="26" t="n">
        <f aca="false">SUMIFS(Permissions!$AH$2:$AH$3000,Permissions!$B$2:$B$3000,$A110,Permissions!$P$2:$P$3000,"Yes")</f>
        <v>4.7</v>
      </c>
      <c r="AR110" s="26" t="n">
        <f aca="false">SUMIFS(Permissions!$AI$2:$AI$3000,Permissions!$B$2:$B$3000,$A110,Permissions!$P$2:$P$3000,"Yes")</f>
        <v>15.3</v>
      </c>
      <c r="AS110" s="26" t="n">
        <f aca="false">SUMIFS(Permissions!$AJ$2:$AJ$3000,Permissions!$B$2:$B$3000,$A110,Permissions!$P$2:$P$3000,"Yes")</f>
        <v>0</v>
      </c>
      <c r="AT110" s="26" t="n">
        <f aca="false">SUMIFS(Permissions!$AK$2:$AK$3000,Permissions!$B$2:$B$3000,$A110,Permissions!$P$2:$P$3000,"Yes")</f>
        <v>0</v>
      </c>
      <c r="AU110" s="26" t="n">
        <f aca="false">SUMIFS(Permissions!$AL$2:$AL$3000,Permissions!$B$2:$B$3000,$A110,Permissions!$P$2:$P$3000,"Yes")</f>
        <v>0</v>
      </c>
      <c r="AV110" s="26" t="n">
        <f aca="false">SUMIFS(Permissions!$AM$2:$AM$3000,Permissions!$B$2:$B$3000,$A110,Permissions!$P$2:$P$3000,"Yes")</f>
        <v>0</v>
      </c>
      <c r="AW110" s="24" t="n">
        <f aca="false">COUNTIFS(Permissions!$B$2:$B$3000,$A110,Permissions!$P$2:$P$3000,"Yes")</f>
        <v>1</v>
      </c>
      <c r="AX110" s="24" t="n">
        <f aca="false">SUMIFS(Permissions!$L$2:$L$3000,Permissions!$B$2:$B$3000,$A110,Permissions!$P$2:$P$3000,"Yes")</f>
        <v>0</v>
      </c>
      <c r="AY110" s="27" t="str">
        <f aca="false">IF(AND(AK110&gt;0,AG110&gt;=AK110,AN110=0),"Built out",IF(AG110&gt;0,"Partly built",IF(AK110&gt;0,"Consented – not built","No consent")))</f>
        <v>Consented – not built</v>
      </c>
      <c r="AZ110" s="28" t="str">
        <f aca="false">IF(AND(R110&lt;&gt;"",AK110&gt;1.1*R110),"Consented above capacity",IF(AND(LEFT(B110,8)="Planning",AW110=0),"Consent parcel with no permission",IF(COUNTIF($A$2:$A$3000,$A110)&gt;1,"Duplicate parcel_id","")))</f>
        <v/>
      </c>
    </row>
    <row r="111" customFormat="false" ht="15" hidden="false" customHeight="false" outlineLevel="0" collapsed="false">
      <c r="A111" s="15" t="s">
        <v>314</v>
      </c>
      <c r="B111" s="15" t="s">
        <v>10</v>
      </c>
      <c r="C111" s="15" t="s">
        <v>16</v>
      </c>
      <c r="D111" s="15" t="s">
        <v>57</v>
      </c>
      <c r="E111" s="15" t="s">
        <v>19</v>
      </c>
      <c r="F111" s="15" t="n">
        <v>1</v>
      </c>
      <c r="G111" s="15" t="s">
        <v>154</v>
      </c>
      <c r="H111" s="15" t="n">
        <v>82</v>
      </c>
      <c r="I111" s="15" t="s">
        <v>57</v>
      </c>
      <c r="J111" s="15" t="s">
        <v>176</v>
      </c>
      <c r="K111" s="15" t="s">
        <v>295</v>
      </c>
      <c r="L111" s="15" t="s">
        <v>170</v>
      </c>
      <c r="M111" s="15" t="s">
        <v>228</v>
      </c>
      <c r="N111" s="15" t="s">
        <v>158</v>
      </c>
      <c r="O111" s="15" t="s">
        <v>229</v>
      </c>
      <c r="P111" s="15" t="n">
        <v>0.151</v>
      </c>
      <c r="Q111" s="15" t="n">
        <v>0.166</v>
      </c>
      <c r="R111" s="15" t="n">
        <v>5</v>
      </c>
      <c r="S111" s="15" t="s">
        <v>231</v>
      </c>
      <c r="T111" s="15"/>
      <c r="U111" s="15"/>
      <c r="V111" s="15"/>
      <c r="W111" s="15" t="s">
        <v>297</v>
      </c>
      <c r="X111" s="15" t="n">
        <v>34</v>
      </c>
      <c r="Y111" s="15" t="s">
        <v>298</v>
      </c>
      <c r="Z111" s="15"/>
      <c r="AA111" s="15" t="n">
        <v>0</v>
      </c>
      <c r="AB111" s="15" t="n">
        <v>0</v>
      </c>
      <c r="AC111" s="15" t="s">
        <v>161</v>
      </c>
      <c r="AD111" s="15" t="s">
        <v>162</v>
      </c>
      <c r="AE111" s="15" t="s">
        <v>163</v>
      </c>
      <c r="AF111" s="15"/>
      <c r="AG111" s="24" t="n">
        <f aca="false">SUMIFS(Permissions!$G$2:$G$3000,Permissions!$B$2:$B$3000,$A111,Permissions!$I$2:$I$3000,"Complete",Permissions!$P$2:$P$3000,"Yes")</f>
        <v>0</v>
      </c>
      <c r="AH111" s="24" t="n">
        <f aca="false">SUMIFS(Permissions!$G$2:$G$3000,Permissions!$B$2:$B$3000,$A111,Permissions!$I$2:$I$3000,"Under construction",Permissions!$P$2:$P$3000,"Yes")</f>
        <v>0</v>
      </c>
      <c r="AI111" s="24" t="n">
        <f aca="false">SUMIFS(Permissions!$G$2:$G$3000,Permissions!$B$2:$B$3000,$A111,Permissions!$I$2:$I$3000,"Permitted – not started",Permissions!$P$2:$P$3000,"Yes")</f>
        <v>0</v>
      </c>
      <c r="AJ111" s="24" t="n">
        <f aca="false">SUMIFS(Permissions!$G$2:$G$3000,Permissions!$B$2:$B$3000,$A111,Permissions!$I$2:$I$3000,"Stalled",Permissions!$P$2:$P$3000,"Yes")</f>
        <v>0</v>
      </c>
      <c r="AK111" s="24" t="n">
        <f aca="false">AG111+AH111+AI111+AJ111</f>
        <v>0</v>
      </c>
      <c r="AL111" s="24" t="n">
        <f aca="false">SUMIFS(Permissions!$G$2:$G$3000,Permissions!$B$2:$B$3000,$A111,Permissions!$I$2:$I$3000,"Expired – not started",Permissions!$P$2:$P$3000,"Yes")</f>
        <v>0</v>
      </c>
      <c r="AM111" s="24" t="n">
        <f aca="false">SUMIFS(Permissions!$G$2:$G$3000,Permissions!$B$2:$B$3000,$A111,Permissions!$I$2:$I$3000,"In planning",Permissions!$P$2:$P$3000,"Yes")</f>
        <v>0</v>
      </c>
      <c r="AN111" s="24" t="n">
        <f aca="false">IF(R111="",0,MAX(R111-AK111,0))</f>
        <v>5</v>
      </c>
      <c r="AO111" s="25" t="n">
        <f aca="false">AK111+AN111</f>
        <v>5</v>
      </c>
      <c r="AP111" s="24" t="n">
        <f aca="false">AO111-AG111</f>
        <v>5</v>
      </c>
      <c r="AQ111" s="26" t="n">
        <f aca="false">SUMIFS(Permissions!$AH$2:$AH$3000,Permissions!$B$2:$B$3000,$A111,Permissions!$P$2:$P$3000,"Yes")</f>
        <v>0</v>
      </c>
      <c r="AR111" s="26" t="n">
        <f aca="false">SUMIFS(Permissions!$AI$2:$AI$3000,Permissions!$B$2:$B$3000,$A111,Permissions!$P$2:$P$3000,"Yes")</f>
        <v>0</v>
      </c>
      <c r="AS111" s="26" t="n">
        <f aca="false">SUMIFS(Permissions!$AJ$2:$AJ$3000,Permissions!$B$2:$B$3000,$A111,Permissions!$P$2:$P$3000,"Yes")</f>
        <v>0</v>
      </c>
      <c r="AT111" s="26" t="n">
        <f aca="false">SUMIFS(Permissions!$AK$2:$AK$3000,Permissions!$B$2:$B$3000,$A111,Permissions!$P$2:$P$3000,"Yes")</f>
        <v>0</v>
      </c>
      <c r="AU111" s="26" t="n">
        <f aca="false">SUMIFS(Permissions!$AL$2:$AL$3000,Permissions!$B$2:$B$3000,$A111,Permissions!$P$2:$P$3000,"Yes")</f>
        <v>0</v>
      </c>
      <c r="AV111" s="26" t="n">
        <f aca="false">SUMIFS(Permissions!$AM$2:$AM$3000,Permissions!$B$2:$B$3000,$A111,Permissions!$P$2:$P$3000,"Yes")</f>
        <v>0</v>
      </c>
      <c r="AW111" s="24" t="n">
        <f aca="false">COUNTIFS(Permissions!$B$2:$B$3000,$A111,Permissions!$P$2:$P$3000,"Yes")</f>
        <v>0</v>
      </c>
      <c r="AX111" s="24" t="n">
        <f aca="false">SUMIFS(Permissions!$L$2:$L$3000,Permissions!$B$2:$B$3000,$A111,Permissions!$P$2:$P$3000,"Yes")</f>
        <v>0</v>
      </c>
      <c r="AY111" s="27" t="str">
        <f aca="false">IF(AND(AK111&gt;0,AG111&gt;=AK111,AN111=0),"Built out",IF(AG111&gt;0,"Partly built",IF(AK111&gt;0,"Consented – not built","No consent")))</f>
        <v>No consent</v>
      </c>
      <c r="AZ111" s="28" t="str">
        <f aca="false">IF(AND(R111&lt;&gt;"",AK111&gt;1.1*R111),"Consented above capacity",IF(AND(LEFT(B111,8)="Planning",AW111=0),"Consent parcel with no permission",IF(COUNTIF($A$2:$A$3000,$A111)&gt;1,"Duplicate parcel_id","")))</f>
        <v/>
      </c>
    </row>
    <row r="112" customFormat="false" ht="15" hidden="false" customHeight="false" outlineLevel="0" collapsed="false">
      <c r="A112" s="15" t="s">
        <v>315</v>
      </c>
      <c r="B112" s="15" t="s">
        <v>10</v>
      </c>
      <c r="C112" s="15" t="s">
        <v>16</v>
      </c>
      <c r="D112" s="15" t="s">
        <v>57</v>
      </c>
      <c r="E112" s="15" t="s">
        <v>19</v>
      </c>
      <c r="F112" s="15" t="n">
        <v>1</v>
      </c>
      <c r="G112" s="15" t="s">
        <v>154</v>
      </c>
      <c r="H112" s="15" t="n">
        <v>83</v>
      </c>
      <c r="I112" s="15" t="s">
        <v>57</v>
      </c>
      <c r="J112" s="15" t="s">
        <v>176</v>
      </c>
      <c r="K112" s="15" t="s">
        <v>295</v>
      </c>
      <c r="L112" s="15" t="s">
        <v>170</v>
      </c>
      <c r="M112" s="15" t="s">
        <v>228</v>
      </c>
      <c r="N112" s="15" t="s">
        <v>158</v>
      </c>
      <c r="O112" s="15" t="s">
        <v>229</v>
      </c>
      <c r="P112" s="15" t="n">
        <v>0.124</v>
      </c>
      <c r="Q112" s="15" t="n">
        <v>0.125</v>
      </c>
      <c r="R112" s="15" t="n">
        <v>14</v>
      </c>
      <c r="S112" s="15" t="s">
        <v>160</v>
      </c>
      <c r="T112" s="15"/>
      <c r="U112" s="15"/>
      <c r="V112" s="15"/>
      <c r="W112" s="15"/>
      <c r="X112" s="15"/>
      <c r="Y112" s="15"/>
      <c r="Z112" s="15"/>
      <c r="AA112" s="15" t="n">
        <v>4</v>
      </c>
      <c r="AB112" s="15" t="n">
        <v>0</v>
      </c>
      <c r="AC112" s="15" t="s">
        <v>180</v>
      </c>
      <c r="AD112" s="15" t="s">
        <v>162</v>
      </c>
      <c r="AE112" s="15" t="s">
        <v>163</v>
      </c>
      <c r="AF112" s="15"/>
      <c r="AG112" s="24" t="n">
        <f aca="false">SUMIFS(Permissions!$G$2:$G$3000,Permissions!$B$2:$B$3000,$A112,Permissions!$I$2:$I$3000,"Complete",Permissions!$P$2:$P$3000,"Yes")</f>
        <v>0</v>
      </c>
      <c r="AH112" s="24" t="n">
        <f aca="false">SUMIFS(Permissions!$G$2:$G$3000,Permissions!$B$2:$B$3000,$A112,Permissions!$I$2:$I$3000,"Under construction",Permissions!$P$2:$P$3000,"Yes")</f>
        <v>0</v>
      </c>
      <c r="AI112" s="24" t="n">
        <f aca="false">SUMIFS(Permissions!$G$2:$G$3000,Permissions!$B$2:$B$3000,$A112,Permissions!$I$2:$I$3000,"Permitted – not started",Permissions!$P$2:$P$3000,"Yes")</f>
        <v>44</v>
      </c>
      <c r="AJ112" s="24" t="n">
        <f aca="false">SUMIFS(Permissions!$G$2:$G$3000,Permissions!$B$2:$B$3000,$A112,Permissions!$I$2:$I$3000,"Stalled",Permissions!$P$2:$P$3000,"Yes")</f>
        <v>0</v>
      </c>
      <c r="AK112" s="24" t="n">
        <f aca="false">AG112+AH112+AI112+AJ112</f>
        <v>44</v>
      </c>
      <c r="AL112" s="24" t="n">
        <f aca="false">SUMIFS(Permissions!$G$2:$G$3000,Permissions!$B$2:$B$3000,$A112,Permissions!$I$2:$I$3000,"Expired – not started",Permissions!$P$2:$P$3000,"Yes")</f>
        <v>0</v>
      </c>
      <c r="AM112" s="24" t="n">
        <f aca="false">SUMIFS(Permissions!$G$2:$G$3000,Permissions!$B$2:$B$3000,$A112,Permissions!$I$2:$I$3000,"In planning",Permissions!$P$2:$P$3000,"Yes")</f>
        <v>0</v>
      </c>
      <c r="AN112" s="24" t="n">
        <f aca="false">IF(R112="",0,MAX(R112-AK112,0))</f>
        <v>0</v>
      </c>
      <c r="AO112" s="25" t="n">
        <f aca="false">AK112+AN112</f>
        <v>44</v>
      </c>
      <c r="AP112" s="24" t="n">
        <f aca="false">AO112-AG112</f>
        <v>44</v>
      </c>
      <c r="AQ112" s="26" t="n">
        <f aca="false">SUMIFS(Permissions!$AH$2:$AH$3000,Permissions!$B$2:$B$3000,$A112,Permissions!$P$2:$P$3000,"Yes")</f>
        <v>0</v>
      </c>
      <c r="AR112" s="26" t="n">
        <f aca="false">SUMIFS(Permissions!$AI$2:$AI$3000,Permissions!$B$2:$B$3000,$A112,Permissions!$P$2:$P$3000,"Yes")</f>
        <v>1.4</v>
      </c>
      <c r="AS112" s="26" t="n">
        <f aca="false">SUMIFS(Permissions!$AJ$2:$AJ$3000,Permissions!$B$2:$B$3000,$A112,Permissions!$P$2:$P$3000,"Yes")</f>
        <v>36.8</v>
      </c>
      <c r="AT112" s="26" t="n">
        <f aca="false">SUMIFS(Permissions!$AK$2:$AK$3000,Permissions!$B$2:$B$3000,$A112,Permissions!$P$2:$P$3000,"Yes")</f>
        <v>5.8</v>
      </c>
      <c r="AU112" s="26" t="n">
        <f aca="false">SUMIFS(Permissions!$AL$2:$AL$3000,Permissions!$B$2:$B$3000,$A112,Permissions!$P$2:$P$3000,"Yes")</f>
        <v>0</v>
      </c>
      <c r="AV112" s="26" t="n">
        <f aca="false">SUMIFS(Permissions!$AM$2:$AM$3000,Permissions!$B$2:$B$3000,$A112,Permissions!$P$2:$P$3000,"Yes")</f>
        <v>0</v>
      </c>
      <c r="AW112" s="24" t="n">
        <f aca="false">COUNTIFS(Permissions!$B$2:$B$3000,$A112,Permissions!$P$2:$P$3000,"Yes")</f>
        <v>2</v>
      </c>
      <c r="AX112" s="24" t="n">
        <f aca="false">SUMIFS(Permissions!$L$2:$L$3000,Permissions!$B$2:$B$3000,$A112,Permissions!$P$2:$P$3000,"Yes")</f>
        <v>0</v>
      </c>
      <c r="AY112" s="27" t="str">
        <f aca="false">IF(AND(AK112&gt;0,AG112&gt;=AK112,AN112=0),"Built out",IF(AG112&gt;0,"Partly built",IF(AK112&gt;0,"Consented – not built","No consent")))</f>
        <v>Consented – not built</v>
      </c>
      <c r="AZ112" s="28" t="str">
        <f aca="false">IF(AND(R112&lt;&gt;"",AK112&gt;1.1*R112),"Consented above capacity",IF(AND(LEFT(B112,8)="Planning",AW112=0),"Consent parcel with no permission",IF(COUNTIF($A$2:$A$3000,$A112)&gt;1,"Duplicate parcel_id","")))</f>
        <v>Consented above capacity</v>
      </c>
    </row>
    <row r="113" customFormat="false" ht="15" hidden="false" customHeight="false" outlineLevel="0" collapsed="false">
      <c r="A113" s="15" t="s">
        <v>316</v>
      </c>
      <c r="B113" s="15" t="s">
        <v>10</v>
      </c>
      <c r="C113" s="15" t="s">
        <v>16</v>
      </c>
      <c r="D113" s="15" t="s">
        <v>57</v>
      </c>
      <c r="E113" s="15" t="s">
        <v>19</v>
      </c>
      <c r="F113" s="15" t="n">
        <v>1</v>
      </c>
      <c r="G113" s="15" t="s">
        <v>154</v>
      </c>
      <c r="H113" s="15" t="n">
        <v>84</v>
      </c>
      <c r="I113" s="15" t="s">
        <v>57</v>
      </c>
      <c r="J113" s="15" t="s">
        <v>176</v>
      </c>
      <c r="K113" s="15" t="s">
        <v>295</v>
      </c>
      <c r="L113" s="15" t="s">
        <v>170</v>
      </c>
      <c r="M113" s="15" t="s">
        <v>228</v>
      </c>
      <c r="N113" s="15" t="s">
        <v>158</v>
      </c>
      <c r="O113" s="15" t="s">
        <v>229</v>
      </c>
      <c r="P113" s="15" t="n">
        <v>0.043</v>
      </c>
      <c r="Q113" s="15" t="n">
        <v>0.043</v>
      </c>
      <c r="R113" s="15" t="n">
        <v>20</v>
      </c>
      <c r="S113" s="15" t="s">
        <v>160</v>
      </c>
      <c r="T113" s="15"/>
      <c r="U113" s="15"/>
      <c r="V113" s="15"/>
      <c r="W113" s="15"/>
      <c r="X113" s="15"/>
      <c r="Y113" s="15"/>
      <c r="Z113" s="15"/>
      <c r="AA113" s="15" t="n">
        <v>0</v>
      </c>
      <c r="AB113" s="15" t="n">
        <v>0</v>
      </c>
      <c r="AC113" s="15" t="s">
        <v>180</v>
      </c>
      <c r="AD113" s="15" t="s">
        <v>162</v>
      </c>
      <c r="AE113" s="15" t="s">
        <v>163</v>
      </c>
      <c r="AF113" s="15"/>
      <c r="AG113" s="24" t="n">
        <f aca="false">SUMIFS(Permissions!$G$2:$G$3000,Permissions!$B$2:$B$3000,$A113,Permissions!$I$2:$I$3000,"Complete",Permissions!$P$2:$P$3000,"Yes")</f>
        <v>0</v>
      </c>
      <c r="AH113" s="24" t="n">
        <f aca="false">SUMIFS(Permissions!$G$2:$G$3000,Permissions!$B$2:$B$3000,$A113,Permissions!$I$2:$I$3000,"Under construction",Permissions!$P$2:$P$3000,"Yes")</f>
        <v>30</v>
      </c>
      <c r="AI113" s="24" t="n">
        <f aca="false">SUMIFS(Permissions!$G$2:$G$3000,Permissions!$B$2:$B$3000,$A113,Permissions!$I$2:$I$3000,"Permitted – not started",Permissions!$P$2:$P$3000,"Yes")</f>
        <v>0</v>
      </c>
      <c r="AJ113" s="24" t="n">
        <f aca="false">SUMIFS(Permissions!$G$2:$G$3000,Permissions!$B$2:$B$3000,$A113,Permissions!$I$2:$I$3000,"Stalled",Permissions!$P$2:$P$3000,"Yes")</f>
        <v>0</v>
      </c>
      <c r="AK113" s="24" t="n">
        <f aca="false">AG113+AH113+AI113+AJ113</f>
        <v>30</v>
      </c>
      <c r="AL113" s="24" t="n">
        <f aca="false">SUMIFS(Permissions!$G$2:$G$3000,Permissions!$B$2:$B$3000,$A113,Permissions!$I$2:$I$3000,"Expired – not started",Permissions!$P$2:$P$3000,"Yes")</f>
        <v>0</v>
      </c>
      <c r="AM113" s="24" t="n">
        <f aca="false">SUMIFS(Permissions!$G$2:$G$3000,Permissions!$B$2:$B$3000,$A113,Permissions!$I$2:$I$3000,"In planning",Permissions!$P$2:$P$3000,"Yes")</f>
        <v>0</v>
      </c>
      <c r="AN113" s="24" t="n">
        <f aca="false">IF(R113="",0,MAX(R113-AK113,0))</f>
        <v>0</v>
      </c>
      <c r="AO113" s="25" t="n">
        <f aca="false">AK113+AN113</f>
        <v>30</v>
      </c>
      <c r="AP113" s="24" t="n">
        <f aca="false">AO113-AG113</f>
        <v>30</v>
      </c>
      <c r="AQ113" s="26" t="n">
        <f aca="false">SUMIFS(Permissions!$AH$2:$AH$3000,Permissions!$B$2:$B$3000,$A113,Permissions!$P$2:$P$3000,"Yes")</f>
        <v>7</v>
      </c>
      <c r="AR113" s="26" t="n">
        <f aca="false">SUMIFS(Permissions!$AI$2:$AI$3000,Permissions!$B$2:$B$3000,$A113,Permissions!$P$2:$P$3000,"Yes")</f>
        <v>23</v>
      </c>
      <c r="AS113" s="26" t="n">
        <f aca="false">SUMIFS(Permissions!$AJ$2:$AJ$3000,Permissions!$B$2:$B$3000,$A113,Permissions!$P$2:$P$3000,"Yes")</f>
        <v>0</v>
      </c>
      <c r="AT113" s="26" t="n">
        <f aca="false">SUMIFS(Permissions!$AK$2:$AK$3000,Permissions!$B$2:$B$3000,$A113,Permissions!$P$2:$P$3000,"Yes")</f>
        <v>0</v>
      </c>
      <c r="AU113" s="26" t="n">
        <f aca="false">SUMIFS(Permissions!$AL$2:$AL$3000,Permissions!$B$2:$B$3000,$A113,Permissions!$P$2:$P$3000,"Yes")</f>
        <v>0</v>
      </c>
      <c r="AV113" s="26" t="n">
        <f aca="false">SUMIFS(Permissions!$AM$2:$AM$3000,Permissions!$B$2:$B$3000,$A113,Permissions!$P$2:$P$3000,"Yes")</f>
        <v>0</v>
      </c>
      <c r="AW113" s="24" t="n">
        <f aca="false">COUNTIFS(Permissions!$B$2:$B$3000,$A113,Permissions!$P$2:$P$3000,"Yes")</f>
        <v>1</v>
      </c>
      <c r="AX113" s="24" t="n">
        <f aca="false">SUMIFS(Permissions!$L$2:$L$3000,Permissions!$B$2:$B$3000,$A113,Permissions!$P$2:$P$3000,"Yes")</f>
        <v>0</v>
      </c>
      <c r="AY113" s="27" t="str">
        <f aca="false">IF(AND(AK113&gt;0,AG113&gt;=AK113,AN113=0),"Built out",IF(AG113&gt;0,"Partly built",IF(AK113&gt;0,"Consented – not built","No consent")))</f>
        <v>Consented – not built</v>
      </c>
      <c r="AZ113" s="28" t="str">
        <f aca="false">IF(AND(R113&lt;&gt;"",AK113&gt;1.1*R113),"Consented above capacity",IF(AND(LEFT(B113,8)="Planning",AW113=0),"Consent parcel with no permission",IF(COUNTIF($A$2:$A$3000,$A113)&gt;1,"Duplicate parcel_id","")))</f>
        <v>Consented above capacity</v>
      </c>
    </row>
    <row r="114" customFormat="false" ht="15" hidden="false" customHeight="false" outlineLevel="0" collapsed="false">
      <c r="A114" s="15" t="s">
        <v>317</v>
      </c>
      <c r="B114" s="15" t="s">
        <v>10</v>
      </c>
      <c r="C114" s="15" t="s">
        <v>16</v>
      </c>
      <c r="D114" s="15" t="s">
        <v>58</v>
      </c>
      <c r="E114" s="15" t="s">
        <v>19</v>
      </c>
      <c r="F114" s="15" t="n">
        <v>1</v>
      </c>
      <c r="G114" s="15" t="s">
        <v>154</v>
      </c>
      <c r="H114" s="15" t="n">
        <v>110</v>
      </c>
      <c r="I114" s="15" t="s">
        <v>58</v>
      </c>
      <c r="J114" s="15" t="s">
        <v>205</v>
      </c>
      <c r="K114" s="15" t="s">
        <v>53</v>
      </c>
      <c r="L114" s="15" t="s">
        <v>156</v>
      </c>
      <c r="M114" s="15" t="s">
        <v>157</v>
      </c>
      <c r="N114" s="15" t="s">
        <v>166</v>
      </c>
      <c r="O114" s="15" t="s">
        <v>159</v>
      </c>
      <c r="P114" s="15" t="n">
        <v>0.126</v>
      </c>
      <c r="Q114" s="15" t="n">
        <v>0.127</v>
      </c>
      <c r="R114" s="15" t="n">
        <v>6</v>
      </c>
      <c r="S114" s="15" t="s">
        <v>160</v>
      </c>
      <c r="T114" s="15"/>
      <c r="U114" s="15"/>
      <c r="V114" s="15"/>
      <c r="W114" s="15"/>
      <c r="X114" s="15"/>
      <c r="Y114" s="15"/>
      <c r="Z114" s="15"/>
      <c r="AA114" s="15" t="n">
        <v>0</v>
      </c>
      <c r="AB114" s="15" t="n">
        <v>0</v>
      </c>
      <c r="AC114" s="15" t="s">
        <v>161</v>
      </c>
      <c r="AD114" s="15" t="s">
        <v>162</v>
      </c>
      <c r="AE114" s="15" t="s">
        <v>163</v>
      </c>
      <c r="AF114" s="15"/>
      <c r="AG114" s="24" t="n">
        <f aca="false">SUMIFS(Permissions!$G$2:$G$3000,Permissions!$B$2:$B$3000,$A114,Permissions!$I$2:$I$3000,"Complete",Permissions!$P$2:$P$3000,"Yes")</f>
        <v>0</v>
      </c>
      <c r="AH114" s="24" t="n">
        <f aca="false">SUMIFS(Permissions!$G$2:$G$3000,Permissions!$B$2:$B$3000,$A114,Permissions!$I$2:$I$3000,"Under construction",Permissions!$P$2:$P$3000,"Yes")</f>
        <v>0</v>
      </c>
      <c r="AI114" s="24" t="n">
        <f aca="false">SUMIFS(Permissions!$G$2:$G$3000,Permissions!$B$2:$B$3000,$A114,Permissions!$I$2:$I$3000,"Permitted – not started",Permissions!$P$2:$P$3000,"Yes")</f>
        <v>0</v>
      </c>
      <c r="AJ114" s="24" t="n">
        <f aca="false">SUMIFS(Permissions!$G$2:$G$3000,Permissions!$B$2:$B$3000,$A114,Permissions!$I$2:$I$3000,"Stalled",Permissions!$P$2:$P$3000,"Yes")</f>
        <v>0</v>
      </c>
      <c r="AK114" s="24" t="n">
        <f aca="false">AG114+AH114+AI114+AJ114</f>
        <v>0</v>
      </c>
      <c r="AL114" s="24" t="n">
        <f aca="false">SUMIFS(Permissions!$G$2:$G$3000,Permissions!$B$2:$B$3000,$A114,Permissions!$I$2:$I$3000,"Expired – not started",Permissions!$P$2:$P$3000,"Yes")</f>
        <v>0</v>
      </c>
      <c r="AM114" s="24" t="n">
        <f aca="false">SUMIFS(Permissions!$G$2:$G$3000,Permissions!$B$2:$B$3000,$A114,Permissions!$I$2:$I$3000,"In planning",Permissions!$P$2:$P$3000,"Yes")</f>
        <v>0</v>
      </c>
      <c r="AN114" s="24" t="n">
        <f aca="false">IF(R114="",0,MAX(R114-AK114,0))</f>
        <v>6</v>
      </c>
      <c r="AO114" s="25" t="n">
        <f aca="false">AK114+AN114</f>
        <v>6</v>
      </c>
      <c r="AP114" s="24" t="n">
        <f aca="false">AO114-AG114</f>
        <v>6</v>
      </c>
      <c r="AQ114" s="26" t="n">
        <f aca="false">SUMIFS(Permissions!$AH$2:$AH$3000,Permissions!$B$2:$B$3000,$A114,Permissions!$P$2:$P$3000,"Yes")</f>
        <v>0</v>
      </c>
      <c r="AR114" s="26" t="n">
        <f aca="false">SUMIFS(Permissions!$AI$2:$AI$3000,Permissions!$B$2:$B$3000,$A114,Permissions!$P$2:$P$3000,"Yes")</f>
        <v>0</v>
      </c>
      <c r="AS114" s="26" t="n">
        <f aca="false">SUMIFS(Permissions!$AJ$2:$AJ$3000,Permissions!$B$2:$B$3000,$A114,Permissions!$P$2:$P$3000,"Yes")</f>
        <v>0</v>
      </c>
      <c r="AT114" s="26" t="n">
        <f aca="false">SUMIFS(Permissions!$AK$2:$AK$3000,Permissions!$B$2:$B$3000,$A114,Permissions!$P$2:$P$3000,"Yes")</f>
        <v>0</v>
      </c>
      <c r="AU114" s="26" t="n">
        <f aca="false">SUMIFS(Permissions!$AL$2:$AL$3000,Permissions!$B$2:$B$3000,$A114,Permissions!$P$2:$P$3000,"Yes")</f>
        <v>0</v>
      </c>
      <c r="AV114" s="26" t="n">
        <f aca="false">SUMIFS(Permissions!$AM$2:$AM$3000,Permissions!$B$2:$B$3000,$A114,Permissions!$P$2:$P$3000,"Yes")</f>
        <v>0</v>
      </c>
      <c r="AW114" s="24" t="n">
        <f aca="false">COUNTIFS(Permissions!$B$2:$B$3000,$A114,Permissions!$P$2:$P$3000,"Yes")</f>
        <v>0</v>
      </c>
      <c r="AX114" s="24" t="n">
        <f aca="false">SUMIFS(Permissions!$L$2:$L$3000,Permissions!$B$2:$B$3000,$A114,Permissions!$P$2:$P$3000,"Yes")</f>
        <v>0</v>
      </c>
      <c r="AY114" s="27" t="str">
        <f aca="false">IF(AND(AK114&gt;0,AG114&gt;=AK114,AN114=0),"Built out",IF(AG114&gt;0,"Partly built",IF(AK114&gt;0,"Consented – not built","No consent")))</f>
        <v>No consent</v>
      </c>
      <c r="AZ114" s="28" t="str">
        <f aca="false">IF(AND(R114&lt;&gt;"",AK114&gt;1.1*R114),"Consented above capacity",IF(AND(LEFT(B114,8)="Planning",AW114=0),"Consent parcel with no permission",IF(COUNTIF($A$2:$A$3000,$A114)&gt;1,"Duplicate parcel_id","")))</f>
        <v/>
      </c>
    </row>
    <row r="115" customFormat="false" ht="15" hidden="false" customHeight="false" outlineLevel="0" collapsed="false">
      <c r="A115" s="15" t="s">
        <v>318</v>
      </c>
      <c r="B115" s="15" t="s">
        <v>10</v>
      </c>
      <c r="C115" s="15" t="s">
        <v>16</v>
      </c>
      <c r="D115" s="15" t="s">
        <v>58</v>
      </c>
      <c r="E115" s="15" t="s">
        <v>19</v>
      </c>
      <c r="F115" s="15" t="n">
        <v>1</v>
      </c>
      <c r="G115" s="15" t="s">
        <v>154</v>
      </c>
      <c r="H115" s="15" t="n">
        <v>111</v>
      </c>
      <c r="I115" s="15" t="s">
        <v>58</v>
      </c>
      <c r="J115" s="15" t="s">
        <v>205</v>
      </c>
      <c r="K115" s="15" t="s">
        <v>53</v>
      </c>
      <c r="L115" s="15" t="s">
        <v>156</v>
      </c>
      <c r="M115" s="15" t="s">
        <v>157</v>
      </c>
      <c r="N115" s="15" t="s">
        <v>166</v>
      </c>
      <c r="O115" s="15" t="s">
        <v>159</v>
      </c>
      <c r="P115" s="15" t="n">
        <v>0.703</v>
      </c>
      <c r="Q115" s="15" t="n">
        <v>0.703</v>
      </c>
      <c r="R115" s="15" t="n">
        <v>32</v>
      </c>
      <c r="S115" s="15" t="s">
        <v>160</v>
      </c>
      <c r="T115" s="15"/>
      <c r="U115" s="15"/>
      <c r="V115" s="15"/>
      <c r="W115" s="15"/>
      <c r="X115" s="15"/>
      <c r="Y115" s="15"/>
      <c r="Z115" s="15"/>
      <c r="AA115" s="15" t="n">
        <v>0</v>
      </c>
      <c r="AB115" s="15" t="n">
        <v>0</v>
      </c>
      <c r="AC115" s="15" t="s">
        <v>161</v>
      </c>
      <c r="AD115" s="15" t="s">
        <v>162</v>
      </c>
      <c r="AE115" s="15" t="s">
        <v>163</v>
      </c>
      <c r="AF115" s="15"/>
      <c r="AG115" s="24" t="n">
        <f aca="false">SUMIFS(Permissions!$G$2:$G$3000,Permissions!$B$2:$B$3000,$A115,Permissions!$I$2:$I$3000,"Complete",Permissions!$P$2:$P$3000,"Yes")</f>
        <v>0</v>
      </c>
      <c r="AH115" s="24" t="n">
        <f aca="false">SUMIFS(Permissions!$G$2:$G$3000,Permissions!$B$2:$B$3000,$A115,Permissions!$I$2:$I$3000,"Under construction",Permissions!$P$2:$P$3000,"Yes")</f>
        <v>0</v>
      </c>
      <c r="AI115" s="24" t="n">
        <f aca="false">SUMIFS(Permissions!$G$2:$G$3000,Permissions!$B$2:$B$3000,$A115,Permissions!$I$2:$I$3000,"Permitted – not started",Permissions!$P$2:$P$3000,"Yes")</f>
        <v>0</v>
      </c>
      <c r="AJ115" s="24" t="n">
        <f aca="false">SUMIFS(Permissions!$G$2:$G$3000,Permissions!$B$2:$B$3000,$A115,Permissions!$I$2:$I$3000,"Stalled",Permissions!$P$2:$P$3000,"Yes")</f>
        <v>0</v>
      </c>
      <c r="AK115" s="24" t="n">
        <f aca="false">AG115+AH115+AI115+AJ115</f>
        <v>0</v>
      </c>
      <c r="AL115" s="24" t="n">
        <f aca="false">SUMIFS(Permissions!$G$2:$G$3000,Permissions!$B$2:$B$3000,$A115,Permissions!$I$2:$I$3000,"Expired – not started",Permissions!$P$2:$P$3000,"Yes")</f>
        <v>0</v>
      </c>
      <c r="AM115" s="24" t="n">
        <f aca="false">SUMIFS(Permissions!$G$2:$G$3000,Permissions!$B$2:$B$3000,$A115,Permissions!$I$2:$I$3000,"In planning",Permissions!$P$2:$P$3000,"Yes")</f>
        <v>0</v>
      </c>
      <c r="AN115" s="24" t="n">
        <f aca="false">IF(R115="",0,MAX(R115-AK115,0))</f>
        <v>32</v>
      </c>
      <c r="AO115" s="25" t="n">
        <f aca="false">AK115+AN115</f>
        <v>32</v>
      </c>
      <c r="AP115" s="24" t="n">
        <f aca="false">AO115-AG115</f>
        <v>32</v>
      </c>
      <c r="AQ115" s="26" t="n">
        <f aca="false">SUMIFS(Permissions!$AH$2:$AH$3000,Permissions!$B$2:$B$3000,$A115,Permissions!$P$2:$P$3000,"Yes")</f>
        <v>0</v>
      </c>
      <c r="AR115" s="26" t="n">
        <f aca="false">SUMIFS(Permissions!$AI$2:$AI$3000,Permissions!$B$2:$B$3000,$A115,Permissions!$P$2:$P$3000,"Yes")</f>
        <v>0</v>
      </c>
      <c r="AS115" s="26" t="n">
        <f aca="false">SUMIFS(Permissions!$AJ$2:$AJ$3000,Permissions!$B$2:$B$3000,$A115,Permissions!$P$2:$P$3000,"Yes")</f>
        <v>0</v>
      </c>
      <c r="AT115" s="26" t="n">
        <f aca="false">SUMIFS(Permissions!$AK$2:$AK$3000,Permissions!$B$2:$B$3000,$A115,Permissions!$P$2:$P$3000,"Yes")</f>
        <v>0</v>
      </c>
      <c r="AU115" s="26" t="n">
        <f aca="false">SUMIFS(Permissions!$AL$2:$AL$3000,Permissions!$B$2:$B$3000,$A115,Permissions!$P$2:$P$3000,"Yes")</f>
        <v>0</v>
      </c>
      <c r="AV115" s="26" t="n">
        <f aca="false">SUMIFS(Permissions!$AM$2:$AM$3000,Permissions!$B$2:$B$3000,$A115,Permissions!$P$2:$P$3000,"Yes")</f>
        <v>0</v>
      </c>
      <c r="AW115" s="24" t="n">
        <f aca="false">COUNTIFS(Permissions!$B$2:$B$3000,$A115,Permissions!$P$2:$P$3000,"Yes")</f>
        <v>0</v>
      </c>
      <c r="AX115" s="24" t="n">
        <f aca="false">SUMIFS(Permissions!$L$2:$L$3000,Permissions!$B$2:$B$3000,$A115,Permissions!$P$2:$P$3000,"Yes")</f>
        <v>0</v>
      </c>
      <c r="AY115" s="27" t="str">
        <f aca="false">IF(AND(AK115&gt;0,AG115&gt;=AK115,AN115=0),"Built out",IF(AG115&gt;0,"Partly built",IF(AK115&gt;0,"Consented – not built","No consent")))</f>
        <v>No consent</v>
      </c>
      <c r="AZ115" s="28" t="str">
        <f aca="false">IF(AND(R115&lt;&gt;"",AK115&gt;1.1*R115),"Consented above capacity",IF(AND(LEFT(B115,8)="Planning",AW115=0),"Consent parcel with no permission",IF(COUNTIF($A$2:$A$3000,$A115)&gt;1,"Duplicate parcel_id","")))</f>
        <v/>
      </c>
    </row>
    <row r="116" customFormat="false" ht="15" hidden="false" customHeight="false" outlineLevel="0" collapsed="false">
      <c r="A116" s="15" t="s">
        <v>319</v>
      </c>
      <c r="B116" s="15" t="s">
        <v>10</v>
      </c>
      <c r="C116" s="15" t="s">
        <v>16</v>
      </c>
      <c r="D116" s="15" t="s">
        <v>58</v>
      </c>
      <c r="E116" s="15" t="s">
        <v>19</v>
      </c>
      <c r="F116" s="15" t="n">
        <v>1</v>
      </c>
      <c r="G116" s="15" t="s">
        <v>154</v>
      </c>
      <c r="H116" s="15" t="n">
        <v>113</v>
      </c>
      <c r="I116" s="15" t="s">
        <v>58</v>
      </c>
      <c r="J116" s="15" t="s">
        <v>205</v>
      </c>
      <c r="K116" s="15"/>
      <c r="L116" s="15" t="s">
        <v>170</v>
      </c>
      <c r="M116" s="15" t="s">
        <v>165</v>
      </c>
      <c r="N116" s="15" t="s">
        <v>166</v>
      </c>
      <c r="O116" s="15" t="s">
        <v>159</v>
      </c>
      <c r="P116" s="15" t="n">
        <v>0.207</v>
      </c>
      <c r="Q116" s="15" t="n">
        <v>0.207</v>
      </c>
      <c r="R116" s="15" t="n">
        <v>9</v>
      </c>
      <c r="S116" s="15" t="s">
        <v>160</v>
      </c>
      <c r="T116" s="15"/>
      <c r="U116" s="15"/>
      <c r="V116" s="15"/>
      <c r="W116" s="15"/>
      <c r="X116" s="15"/>
      <c r="Y116" s="15"/>
      <c r="Z116" s="15"/>
      <c r="AA116" s="15" t="n">
        <v>0</v>
      </c>
      <c r="AB116" s="15" t="n">
        <v>0</v>
      </c>
      <c r="AC116" s="15" t="s">
        <v>161</v>
      </c>
      <c r="AD116" s="15" t="s">
        <v>162</v>
      </c>
      <c r="AE116" s="15" t="s">
        <v>163</v>
      </c>
      <c r="AF116" s="15"/>
      <c r="AG116" s="24" t="n">
        <f aca="false">SUMIFS(Permissions!$G$2:$G$3000,Permissions!$B$2:$B$3000,$A116,Permissions!$I$2:$I$3000,"Complete",Permissions!$P$2:$P$3000,"Yes")</f>
        <v>0</v>
      </c>
      <c r="AH116" s="24" t="n">
        <f aca="false">SUMIFS(Permissions!$G$2:$G$3000,Permissions!$B$2:$B$3000,$A116,Permissions!$I$2:$I$3000,"Under construction",Permissions!$P$2:$P$3000,"Yes")</f>
        <v>0</v>
      </c>
      <c r="AI116" s="24" t="n">
        <f aca="false">SUMIFS(Permissions!$G$2:$G$3000,Permissions!$B$2:$B$3000,$A116,Permissions!$I$2:$I$3000,"Permitted – not started",Permissions!$P$2:$P$3000,"Yes")</f>
        <v>10</v>
      </c>
      <c r="AJ116" s="24" t="n">
        <f aca="false">SUMIFS(Permissions!$G$2:$G$3000,Permissions!$B$2:$B$3000,$A116,Permissions!$I$2:$I$3000,"Stalled",Permissions!$P$2:$P$3000,"Yes")</f>
        <v>0</v>
      </c>
      <c r="AK116" s="24" t="n">
        <f aca="false">AG116+AH116+AI116+AJ116</f>
        <v>10</v>
      </c>
      <c r="AL116" s="24" t="n">
        <f aca="false">SUMIFS(Permissions!$G$2:$G$3000,Permissions!$B$2:$B$3000,$A116,Permissions!$I$2:$I$3000,"Expired – not started",Permissions!$P$2:$P$3000,"Yes")</f>
        <v>0</v>
      </c>
      <c r="AM116" s="24" t="n">
        <f aca="false">SUMIFS(Permissions!$G$2:$G$3000,Permissions!$B$2:$B$3000,$A116,Permissions!$I$2:$I$3000,"In planning",Permissions!$P$2:$P$3000,"Yes")</f>
        <v>0</v>
      </c>
      <c r="AN116" s="24" t="n">
        <f aca="false">IF(R116="",0,MAX(R116-AK116,0))</f>
        <v>0</v>
      </c>
      <c r="AO116" s="25" t="n">
        <f aca="false">AK116+AN116</f>
        <v>10</v>
      </c>
      <c r="AP116" s="24" t="n">
        <f aca="false">AO116-AG116</f>
        <v>10</v>
      </c>
      <c r="AQ116" s="26" t="n">
        <f aca="false">SUMIFS(Permissions!$AH$2:$AH$3000,Permissions!$B$2:$B$3000,$A116,Permissions!$P$2:$P$3000,"Yes")</f>
        <v>0</v>
      </c>
      <c r="AR116" s="26" t="n">
        <f aca="false">SUMIFS(Permissions!$AI$2:$AI$3000,Permissions!$B$2:$B$3000,$A116,Permissions!$P$2:$P$3000,"Yes")</f>
        <v>0</v>
      </c>
      <c r="AS116" s="26" t="n">
        <f aca="false">SUMIFS(Permissions!$AJ$2:$AJ$3000,Permissions!$B$2:$B$3000,$A116,Permissions!$P$2:$P$3000,"Yes")</f>
        <v>8.4</v>
      </c>
      <c r="AT116" s="26" t="n">
        <f aca="false">SUMIFS(Permissions!$AK$2:$AK$3000,Permissions!$B$2:$B$3000,$A116,Permissions!$P$2:$P$3000,"Yes")</f>
        <v>1.6</v>
      </c>
      <c r="AU116" s="26" t="n">
        <f aca="false">SUMIFS(Permissions!$AL$2:$AL$3000,Permissions!$B$2:$B$3000,$A116,Permissions!$P$2:$P$3000,"Yes")</f>
        <v>0</v>
      </c>
      <c r="AV116" s="26" t="n">
        <f aca="false">SUMIFS(Permissions!$AM$2:$AM$3000,Permissions!$B$2:$B$3000,$A116,Permissions!$P$2:$P$3000,"Yes")</f>
        <v>0</v>
      </c>
      <c r="AW116" s="24" t="n">
        <f aca="false">COUNTIFS(Permissions!$B$2:$B$3000,$A116,Permissions!$P$2:$P$3000,"Yes")</f>
        <v>1</v>
      </c>
      <c r="AX116" s="24" t="n">
        <f aca="false">SUMIFS(Permissions!$L$2:$L$3000,Permissions!$B$2:$B$3000,$A116,Permissions!$P$2:$P$3000,"Yes")</f>
        <v>0</v>
      </c>
      <c r="AY116" s="27" t="str">
        <f aca="false">IF(AND(AK116&gt;0,AG116&gt;=AK116,AN116=0),"Built out",IF(AG116&gt;0,"Partly built",IF(AK116&gt;0,"Consented – not built","No consent")))</f>
        <v>Consented – not built</v>
      </c>
      <c r="AZ116" s="28" t="str">
        <f aca="false">IF(AND(R116&lt;&gt;"",AK116&gt;1.1*R116),"Consented above capacity",IF(AND(LEFT(B116,8)="Planning",AW116=0),"Consent parcel with no permission",IF(COUNTIF($A$2:$A$3000,$A116)&gt;1,"Duplicate parcel_id","")))</f>
        <v>Consented above capacity</v>
      </c>
    </row>
    <row r="117" customFormat="false" ht="15" hidden="false" customHeight="false" outlineLevel="0" collapsed="false">
      <c r="A117" s="15" t="s">
        <v>320</v>
      </c>
      <c r="B117" s="15" t="s">
        <v>10</v>
      </c>
      <c r="C117" s="15" t="s">
        <v>16</v>
      </c>
      <c r="D117" s="15" t="s">
        <v>58</v>
      </c>
      <c r="E117" s="15" t="s">
        <v>19</v>
      </c>
      <c r="F117" s="15" t="n">
        <v>1</v>
      </c>
      <c r="G117" s="15" t="s">
        <v>154</v>
      </c>
      <c r="H117" s="15" t="n">
        <v>114</v>
      </c>
      <c r="I117" s="15" t="s">
        <v>58</v>
      </c>
      <c r="J117" s="15" t="s">
        <v>205</v>
      </c>
      <c r="K117" s="15" t="s">
        <v>295</v>
      </c>
      <c r="L117" s="15" t="s">
        <v>183</v>
      </c>
      <c r="M117" s="15" t="s">
        <v>200</v>
      </c>
      <c r="N117" s="15" t="s">
        <v>166</v>
      </c>
      <c r="O117" s="15" t="s">
        <v>179</v>
      </c>
      <c r="P117" s="15" t="n">
        <v>0.165</v>
      </c>
      <c r="Q117" s="15" t="n">
        <v>0.661</v>
      </c>
      <c r="R117" s="15" t="n">
        <v>6</v>
      </c>
      <c r="S117" s="15" t="s">
        <v>160</v>
      </c>
      <c r="T117" s="15"/>
      <c r="U117" s="15"/>
      <c r="V117" s="15"/>
      <c r="W117" s="15"/>
      <c r="X117" s="15"/>
      <c r="Y117" s="15"/>
      <c r="Z117" s="15"/>
      <c r="AA117" s="15" t="n">
        <v>0</v>
      </c>
      <c r="AB117" s="15" t="n">
        <v>0</v>
      </c>
      <c r="AC117" s="15" t="s">
        <v>180</v>
      </c>
      <c r="AD117" s="15" t="s">
        <v>162</v>
      </c>
      <c r="AE117" s="15" t="s">
        <v>163</v>
      </c>
      <c r="AF117" s="15"/>
      <c r="AG117" s="24" t="n">
        <f aca="false">SUMIFS(Permissions!$G$2:$G$3000,Permissions!$B$2:$B$3000,$A117,Permissions!$I$2:$I$3000,"Complete",Permissions!$P$2:$P$3000,"Yes")</f>
        <v>0</v>
      </c>
      <c r="AH117" s="24" t="n">
        <f aca="false">SUMIFS(Permissions!$G$2:$G$3000,Permissions!$B$2:$B$3000,$A117,Permissions!$I$2:$I$3000,"Under construction",Permissions!$P$2:$P$3000,"Yes")</f>
        <v>0</v>
      </c>
      <c r="AI117" s="24" t="n">
        <f aca="false">SUMIFS(Permissions!$G$2:$G$3000,Permissions!$B$2:$B$3000,$A117,Permissions!$I$2:$I$3000,"Permitted – not started",Permissions!$P$2:$P$3000,"Yes")</f>
        <v>0</v>
      </c>
      <c r="AJ117" s="24" t="n">
        <f aca="false">SUMIFS(Permissions!$G$2:$G$3000,Permissions!$B$2:$B$3000,$A117,Permissions!$I$2:$I$3000,"Stalled",Permissions!$P$2:$P$3000,"Yes")</f>
        <v>0</v>
      </c>
      <c r="AK117" s="24" t="n">
        <f aca="false">AG117+AH117+AI117+AJ117</f>
        <v>0</v>
      </c>
      <c r="AL117" s="24" t="n">
        <f aca="false">SUMIFS(Permissions!$G$2:$G$3000,Permissions!$B$2:$B$3000,$A117,Permissions!$I$2:$I$3000,"Expired – not started",Permissions!$P$2:$P$3000,"Yes")</f>
        <v>0</v>
      </c>
      <c r="AM117" s="24" t="n">
        <f aca="false">SUMIFS(Permissions!$G$2:$G$3000,Permissions!$B$2:$B$3000,$A117,Permissions!$I$2:$I$3000,"In planning",Permissions!$P$2:$P$3000,"Yes")</f>
        <v>0</v>
      </c>
      <c r="AN117" s="24" t="n">
        <f aca="false">IF(R117="",0,MAX(R117-AK117,0))</f>
        <v>6</v>
      </c>
      <c r="AO117" s="25" t="n">
        <f aca="false">AK117+AN117</f>
        <v>6</v>
      </c>
      <c r="AP117" s="24" t="n">
        <f aca="false">AO117-AG117</f>
        <v>6</v>
      </c>
      <c r="AQ117" s="26" t="n">
        <f aca="false">SUMIFS(Permissions!$AH$2:$AH$3000,Permissions!$B$2:$B$3000,$A117,Permissions!$P$2:$P$3000,"Yes")</f>
        <v>0</v>
      </c>
      <c r="AR117" s="26" t="n">
        <f aca="false">SUMIFS(Permissions!$AI$2:$AI$3000,Permissions!$B$2:$B$3000,$A117,Permissions!$P$2:$P$3000,"Yes")</f>
        <v>0</v>
      </c>
      <c r="AS117" s="26" t="n">
        <f aca="false">SUMIFS(Permissions!$AJ$2:$AJ$3000,Permissions!$B$2:$B$3000,$A117,Permissions!$P$2:$P$3000,"Yes")</f>
        <v>0</v>
      </c>
      <c r="AT117" s="26" t="n">
        <f aca="false">SUMIFS(Permissions!$AK$2:$AK$3000,Permissions!$B$2:$B$3000,$A117,Permissions!$P$2:$P$3000,"Yes")</f>
        <v>0</v>
      </c>
      <c r="AU117" s="26" t="n">
        <f aca="false">SUMIFS(Permissions!$AL$2:$AL$3000,Permissions!$B$2:$B$3000,$A117,Permissions!$P$2:$P$3000,"Yes")</f>
        <v>0</v>
      </c>
      <c r="AV117" s="26" t="n">
        <f aca="false">SUMIFS(Permissions!$AM$2:$AM$3000,Permissions!$B$2:$B$3000,$A117,Permissions!$P$2:$P$3000,"Yes")</f>
        <v>0</v>
      </c>
      <c r="AW117" s="24" t="n">
        <f aca="false">COUNTIFS(Permissions!$B$2:$B$3000,$A117,Permissions!$P$2:$P$3000,"Yes")</f>
        <v>0</v>
      </c>
      <c r="AX117" s="24" t="n">
        <f aca="false">SUMIFS(Permissions!$L$2:$L$3000,Permissions!$B$2:$B$3000,$A117,Permissions!$P$2:$P$3000,"Yes")</f>
        <v>0</v>
      </c>
      <c r="AY117" s="27" t="str">
        <f aca="false">IF(AND(AK117&gt;0,AG117&gt;=AK117,AN117=0),"Built out",IF(AG117&gt;0,"Partly built",IF(AK117&gt;0,"Consented – not built","No consent")))</f>
        <v>No consent</v>
      </c>
      <c r="AZ117" s="28" t="str">
        <f aca="false">IF(AND(R117&lt;&gt;"",AK117&gt;1.1*R117),"Consented above capacity",IF(AND(LEFT(B117,8)="Planning",AW117=0),"Consent parcel with no permission",IF(COUNTIF($A$2:$A$3000,$A117)&gt;1,"Duplicate parcel_id","")))</f>
        <v/>
      </c>
    </row>
    <row r="118" customFormat="false" ht="15" hidden="false" customHeight="false" outlineLevel="0" collapsed="false">
      <c r="A118" s="15" t="s">
        <v>321</v>
      </c>
      <c r="B118" s="15" t="s">
        <v>10</v>
      </c>
      <c r="C118" s="15" t="s">
        <v>16</v>
      </c>
      <c r="D118" s="15" t="s">
        <v>58</v>
      </c>
      <c r="E118" s="15" t="s">
        <v>19</v>
      </c>
      <c r="F118" s="15" t="n">
        <v>1</v>
      </c>
      <c r="G118" s="15" t="s">
        <v>154</v>
      </c>
      <c r="H118" s="15" t="n">
        <v>115</v>
      </c>
      <c r="I118" s="15" t="s">
        <v>58</v>
      </c>
      <c r="J118" s="15" t="s">
        <v>205</v>
      </c>
      <c r="K118" s="15" t="s">
        <v>322</v>
      </c>
      <c r="L118" s="15" t="s">
        <v>156</v>
      </c>
      <c r="M118" s="15" t="s">
        <v>165</v>
      </c>
      <c r="N118" s="15" t="s">
        <v>166</v>
      </c>
      <c r="O118" s="15" t="s">
        <v>159</v>
      </c>
      <c r="P118" s="15" t="n">
        <v>0.952</v>
      </c>
      <c r="Q118" s="15" t="n">
        <v>0.952</v>
      </c>
      <c r="R118" s="15" t="n">
        <v>43</v>
      </c>
      <c r="S118" s="15" t="s">
        <v>160</v>
      </c>
      <c r="T118" s="15"/>
      <c r="U118" s="15"/>
      <c r="V118" s="15"/>
      <c r="W118" s="15"/>
      <c r="X118" s="15"/>
      <c r="Y118" s="15"/>
      <c r="Z118" s="15"/>
      <c r="AA118" s="15" t="n">
        <v>1</v>
      </c>
      <c r="AB118" s="15" t="n">
        <v>1</v>
      </c>
      <c r="AC118" s="15" t="s">
        <v>161</v>
      </c>
      <c r="AD118" s="15" t="s">
        <v>162</v>
      </c>
      <c r="AE118" s="15" t="s">
        <v>163</v>
      </c>
      <c r="AF118" s="15"/>
      <c r="AG118" s="24" t="n">
        <f aca="false">SUMIFS(Permissions!$G$2:$G$3000,Permissions!$B$2:$B$3000,$A118,Permissions!$I$2:$I$3000,"Complete",Permissions!$P$2:$P$3000,"Yes")</f>
        <v>0</v>
      </c>
      <c r="AH118" s="24" t="n">
        <f aca="false">SUMIFS(Permissions!$G$2:$G$3000,Permissions!$B$2:$B$3000,$A118,Permissions!$I$2:$I$3000,"Under construction",Permissions!$P$2:$P$3000,"Yes")</f>
        <v>0</v>
      </c>
      <c r="AI118" s="24" t="n">
        <f aca="false">SUMIFS(Permissions!$G$2:$G$3000,Permissions!$B$2:$B$3000,$A118,Permissions!$I$2:$I$3000,"Permitted – not started",Permissions!$P$2:$P$3000,"Yes")</f>
        <v>0</v>
      </c>
      <c r="AJ118" s="24" t="n">
        <f aca="false">SUMIFS(Permissions!$G$2:$G$3000,Permissions!$B$2:$B$3000,$A118,Permissions!$I$2:$I$3000,"Stalled",Permissions!$P$2:$P$3000,"Yes")</f>
        <v>0</v>
      </c>
      <c r="AK118" s="24" t="n">
        <f aca="false">AG118+AH118+AI118+AJ118</f>
        <v>0</v>
      </c>
      <c r="AL118" s="24" t="n">
        <f aca="false">SUMIFS(Permissions!$G$2:$G$3000,Permissions!$B$2:$B$3000,$A118,Permissions!$I$2:$I$3000,"Expired – not started",Permissions!$P$2:$P$3000,"Yes")</f>
        <v>0</v>
      </c>
      <c r="AM118" s="24" t="n">
        <f aca="false">SUMIFS(Permissions!$G$2:$G$3000,Permissions!$B$2:$B$3000,$A118,Permissions!$I$2:$I$3000,"In planning",Permissions!$P$2:$P$3000,"Yes")</f>
        <v>0</v>
      </c>
      <c r="AN118" s="24" t="n">
        <f aca="false">IF(R118="",0,MAX(R118-AK118,0))</f>
        <v>43</v>
      </c>
      <c r="AO118" s="25" t="n">
        <f aca="false">AK118+AN118</f>
        <v>43</v>
      </c>
      <c r="AP118" s="24" t="n">
        <f aca="false">AO118-AG118</f>
        <v>43</v>
      </c>
      <c r="AQ118" s="26" t="n">
        <f aca="false">SUMIFS(Permissions!$AH$2:$AH$3000,Permissions!$B$2:$B$3000,$A118,Permissions!$P$2:$P$3000,"Yes")</f>
        <v>0</v>
      </c>
      <c r="AR118" s="26" t="n">
        <f aca="false">SUMIFS(Permissions!$AI$2:$AI$3000,Permissions!$B$2:$B$3000,$A118,Permissions!$P$2:$P$3000,"Yes")</f>
        <v>0</v>
      </c>
      <c r="AS118" s="26" t="n">
        <f aca="false">SUMIFS(Permissions!$AJ$2:$AJ$3000,Permissions!$B$2:$B$3000,$A118,Permissions!$P$2:$P$3000,"Yes")</f>
        <v>0</v>
      </c>
      <c r="AT118" s="26" t="n">
        <f aca="false">SUMIFS(Permissions!$AK$2:$AK$3000,Permissions!$B$2:$B$3000,$A118,Permissions!$P$2:$P$3000,"Yes")</f>
        <v>0</v>
      </c>
      <c r="AU118" s="26" t="n">
        <f aca="false">SUMIFS(Permissions!$AL$2:$AL$3000,Permissions!$B$2:$B$3000,$A118,Permissions!$P$2:$P$3000,"Yes")</f>
        <v>0</v>
      </c>
      <c r="AV118" s="26" t="n">
        <f aca="false">SUMIFS(Permissions!$AM$2:$AM$3000,Permissions!$B$2:$B$3000,$A118,Permissions!$P$2:$P$3000,"Yes")</f>
        <v>0</v>
      </c>
      <c r="AW118" s="24" t="n">
        <f aca="false">COUNTIFS(Permissions!$B$2:$B$3000,$A118,Permissions!$P$2:$P$3000,"Yes")</f>
        <v>0</v>
      </c>
      <c r="AX118" s="24" t="n">
        <f aca="false">SUMIFS(Permissions!$L$2:$L$3000,Permissions!$B$2:$B$3000,$A118,Permissions!$P$2:$P$3000,"Yes")</f>
        <v>0</v>
      </c>
      <c r="AY118" s="27" t="str">
        <f aca="false">IF(AND(AK118&gt;0,AG118&gt;=AK118,AN118=0),"Built out",IF(AG118&gt;0,"Partly built",IF(AK118&gt;0,"Consented – not built","No consent")))</f>
        <v>No consent</v>
      </c>
      <c r="AZ118" s="28" t="str">
        <f aca="false">IF(AND(R118&lt;&gt;"",AK118&gt;1.1*R118),"Consented above capacity",IF(AND(LEFT(B118,8)="Planning",AW118=0),"Consent parcel with no permission",IF(COUNTIF($A$2:$A$3000,$A118)&gt;1,"Duplicate parcel_id","")))</f>
        <v/>
      </c>
    </row>
    <row r="119" customFormat="false" ht="15" hidden="false" customHeight="false" outlineLevel="0" collapsed="false">
      <c r="A119" s="15" t="s">
        <v>323</v>
      </c>
      <c r="B119" s="15" t="s">
        <v>10</v>
      </c>
      <c r="C119" s="15" t="s">
        <v>16</v>
      </c>
      <c r="D119" s="15" t="s">
        <v>58</v>
      </c>
      <c r="E119" s="15" t="s">
        <v>19</v>
      </c>
      <c r="F119" s="15" t="n">
        <v>1</v>
      </c>
      <c r="G119" s="15" t="s">
        <v>154</v>
      </c>
      <c r="H119" s="15" t="n">
        <v>116</v>
      </c>
      <c r="I119" s="15" t="s">
        <v>58</v>
      </c>
      <c r="J119" s="15" t="s">
        <v>205</v>
      </c>
      <c r="K119" s="15" t="s">
        <v>322</v>
      </c>
      <c r="L119" s="15" t="s">
        <v>156</v>
      </c>
      <c r="M119" s="15" t="s">
        <v>165</v>
      </c>
      <c r="N119" s="15" t="s">
        <v>166</v>
      </c>
      <c r="O119" s="15" t="s">
        <v>159</v>
      </c>
      <c r="P119" s="15" t="n">
        <v>0.133</v>
      </c>
      <c r="Q119" s="15" t="n">
        <v>0.133</v>
      </c>
      <c r="R119" s="15" t="n">
        <v>6</v>
      </c>
      <c r="S119" s="15" t="s">
        <v>160</v>
      </c>
      <c r="T119" s="15"/>
      <c r="U119" s="15"/>
      <c r="V119" s="15"/>
      <c r="W119" s="15"/>
      <c r="X119" s="15"/>
      <c r="Y119" s="15"/>
      <c r="Z119" s="15"/>
      <c r="AA119" s="15" t="n">
        <v>0</v>
      </c>
      <c r="AB119" s="15" t="n">
        <v>0</v>
      </c>
      <c r="AC119" s="15" t="s">
        <v>161</v>
      </c>
      <c r="AD119" s="15" t="s">
        <v>162</v>
      </c>
      <c r="AE119" s="15" t="s">
        <v>163</v>
      </c>
      <c r="AF119" s="15"/>
      <c r="AG119" s="24" t="n">
        <f aca="false">SUMIFS(Permissions!$G$2:$G$3000,Permissions!$B$2:$B$3000,$A119,Permissions!$I$2:$I$3000,"Complete",Permissions!$P$2:$P$3000,"Yes")</f>
        <v>0</v>
      </c>
      <c r="AH119" s="24" t="n">
        <f aca="false">SUMIFS(Permissions!$G$2:$G$3000,Permissions!$B$2:$B$3000,$A119,Permissions!$I$2:$I$3000,"Under construction",Permissions!$P$2:$P$3000,"Yes")</f>
        <v>0</v>
      </c>
      <c r="AI119" s="24" t="n">
        <f aca="false">SUMIFS(Permissions!$G$2:$G$3000,Permissions!$B$2:$B$3000,$A119,Permissions!$I$2:$I$3000,"Permitted – not started",Permissions!$P$2:$P$3000,"Yes")</f>
        <v>0</v>
      </c>
      <c r="AJ119" s="24" t="n">
        <f aca="false">SUMIFS(Permissions!$G$2:$G$3000,Permissions!$B$2:$B$3000,$A119,Permissions!$I$2:$I$3000,"Stalled",Permissions!$P$2:$P$3000,"Yes")</f>
        <v>0</v>
      </c>
      <c r="AK119" s="24" t="n">
        <f aca="false">AG119+AH119+AI119+AJ119</f>
        <v>0</v>
      </c>
      <c r="AL119" s="24" t="n">
        <f aca="false">SUMIFS(Permissions!$G$2:$G$3000,Permissions!$B$2:$B$3000,$A119,Permissions!$I$2:$I$3000,"Expired – not started",Permissions!$P$2:$P$3000,"Yes")</f>
        <v>0</v>
      </c>
      <c r="AM119" s="24" t="n">
        <f aca="false">SUMIFS(Permissions!$G$2:$G$3000,Permissions!$B$2:$B$3000,$A119,Permissions!$I$2:$I$3000,"In planning",Permissions!$P$2:$P$3000,"Yes")</f>
        <v>0</v>
      </c>
      <c r="AN119" s="24" t="n">
        <f aca="false">IF(R119="",0,MAX(R119-AK119,0))</f>
        <v>6</v>
      </c>
      <c r="AO119" s="25" t="n">
        <f aca="false">AK119+AN119</f>
        <v>6</v>
      </c>
      <c r="AP119" s="24" t="n">
        <f aca="false">AO119-AG119</f>
        <v>6</v>
      </c>
      <c r="AQ119" s="26" t="n">
        <f aca="false">SUMIFS(Permissions!$AH$2:$AH$3000,Permissions!$B$2:$B$3000,$A119,Permissions!$P$2:$P$3000,"Yes")</f>
        <v>0</v>
      </c>
      <c r="AR119" s="26" t="n">
        <f aca="false">SUMIFS(Permissions!$AI$2:$AI$3000,Permissions!$B$2:$B$3000,$A119,Permissions!$P$2:$P$3000,"Yes")</f>
        <v>0</v>
      </c>
      <c r="AS119" s="26" t="n">
        <f aca="false">SUMIFS(Permissions!$AJ$2:$AJ$3000,Permissions!$B$2:$B$3000,$A119,Permissions!$P$2:$P$3000,"Yes")</f>
        <v>0</v>
      </c>
      <c r="AT119" s="26" t="n">
        <f aca="false">SUMIFS(Permissions!$AK$2:$AK$3000,Permissions!$B$2:$B$3000,$A119,Permissions!$P$2:$P$3000,"Yes")</f>
        <v>0</v>
      </c>
      <c r="AU119" s="26" t="n">
        <f aca="false">SUMIFS(Permissions!$AL$2:$AL$3000,Permissions!$B$2:$B$3000,$A119,Permissions!$P$2:$P$3000,"Yes")</f>
        <v>0</v>
      </c>
      <c r="AV119" s="26" t="n">
        <f aca="false">SUMIFS(Permissions!$AM$2:$AM$3000,Permissions!$B$2:$B$3000,$A119,Permissions!$P$2:$P$3000,"Yes")</f>
        <v>0</v>
      </c>
      <c r="AW119" s="24" t="n">
        <f aca="false">COUNTIFS(Permissions!$B$2:$B$3000,$A119,Permissions!$P$2:$P$3000,"Yes")</f>
        <v>0</v>
      </c>
      <c r="AX119" s="24" t="n">
        <f aca="false">SUMIFS(Permissions!$L$2:$L$3000,Permissions!$B$2:$B$3000,$A119,Permissions!$P$2:$P$3000,"Yes")</f>
        <v>0</v>
      </c>
      <c r="AY119" s="27" t="str">
        <f aca="false">IF(AND(AK119&gt;0,AG119&gt;=AK119,AN119=0),"Built out",IF(AG119&gt;0,"Partly built",IF(AK119&gt;0,"Consented – not built","No consent")))</f>
        <v>No consent</v>
      </c>
      <c r="AZ119" s="28" t="str">
        <f aca="false">IF(AND(R119&lt;&gt;"",AK119&gt;1.1*R119),"Consented above capacity",IF(AND(LEFT(B119,8)="Planning",AW119=0),"Consent parcel with no permission",IF(COUNTIF($A$2:$A$3000,$A119)&gt;1,"Duplicate parcel_id","")))</f>
        <v/>
      </c>
    </row>
    <row r="120" customFormat="false" ht="15" hidden="false" customHeight="false" outlineLevel="0" collapsed="false">
      <c r="A120" s="15" t="s">
        <v>324</v>
      </c>
      <c r="B120" s="15" t="s">
        <v>10</v>
      </c>
      <c r="C120" s="15" t="s">
        <v>16</v>
      </c>
      <c r="D120" s="15" t="s">
        <v>58</v>
      </c>
      <c r="E120" s="15" t="s">
        <v>19</v>
      </c>
      <c r="F120" s="15" t="n">
        <v>1</v>
      </c>
      <c r="G120" s="15" t="s">
        <v>154</v>
      </c>
      <c r="H120" s="15" t="n">
        <v>117</v>
      </c>
      <c r="I120" s="15" t="s">
        <v>58</v>
      </c>
      <c r="J120" s="15" t="s">
        <v>205</v>
      </c>
      <c r="K120" s="15" t="s">
        <v>322</v>
      </c>
      <c r="L120" s="15" t="s">
        <v>156</v>
      </c>
      <c r="M120" s="15" t="s">
        <v>165</v>
      </c>
      <c r="N120" s="15" t="s">
        <v>166</v>
      </c>
      <c r="O120" s="15" t="s">
        <v>159</v>
      </c>
      <c r="P120" s="15" t="n">
        <v>0.181</v>
      </c>
      <c r="Q120" s="15" t="n">
        <v>0.182</v>
      </c>
      <c r="R120" s="15" t="n">
        <v>8</v>
      </c>
      <c r="S120" s="15" t="s">
        <v>160</v>
      </c>
      <c r="T120" s="15"/>
      <c r="U120" s="15"/>
      <c r="V120" s="15"/>
      <c r="W120" s="15"/>
      <c r="X120" s="15"/>
      <c r="Y120" s="15"/>
      <c r="Z120" s="15"/>
      <c r="AA120" s="15" t="n">
        <v>0</v>
      </c>
      <c r="AB120" s="15" t="n">
        <v>0</v>
      </c>
      <c r="AC120" s="15" t="s">
        <v>161</v>
      </c>
      <c r="AD120" s="15" t="s">
        <v>162</v>
      </c>
      <c r="AE120" s="15" t="s">
        <v>163</v>
      </c>
      <c r="AF120" s="15"/>
      <c r="AG120" s="24" t="n">
        <f aca="false">SUMIFS(Permissions!$G$2:$G$3000,Permissions!$B$2:$B$3000,$A120,Permissions!$I$2:$I$3000,"Complete",Permissions!$P$2:$P$3000,"Yes")</f>
        <v>0</v>
      </c>
      <c r="AH120" s="24" t="n">
        <f aca="false">SUMIFS(Permissions!$G$2:$G$3000,Permissions!$B$2:$B$3000,$A120,Permissions!$I$2:$I$3000,"Under construction",Permissions!$P$2:$P$3000,"Yes")</f>
        <v>0</v>
      </c>
      <c r="AI120" s="24" t="n">
        <f aca="false">SUMIFS(Permissions!$G$2:$G$3000,Permissions!$B$2:$B$3000,$A120,Permissions!$I$2:$I$3000,"Permitted – not started",Permissions!$P$2:$P$3000,"Yes")</f>
        <v>0</v>
      </c>
      <c r="AJ120" s="24" t="n">
        <f aca="false">SUMIFS(Permissions!$G$2:$G$3000,Permissions!$B$2:$B$3000,$A120,Permissions!$I$2:$I$3000,"Stalled",Permissions!$P$2:$P$3000,"Yes")</f>
        <v>0</v>
      </c>
      <c r="AK120" s="24" t="n">
        <f aca="false">AG120+AH120+AI120+AJ120</f>
        <v>0</v>
      </c>
      <c r="AL120" s="24" t="n">
        <f aca="false">SUMIFS(Permissions!$G$2:$G$3000,Permissions!$B$2:$B$3000,$A120,Permissions!$I$2:$I$3000,"Expired – not started",Permissions!$P$2:$P$3000,"Yes")</f>
        <v>0</v>
      </c>
      <c r="AM120" s="24" t="n">
        <f aca="false">SUMIFS(Permissions!$G$2:$G$3000,Permissions!$B$2:$B$3000,$A120,Permissions!$I$2:$I$3000,"In planning",Permissions!$P$2:$P$3000,"Yes")</f>
        <v>0</v>
      </c>
      <c r="AN120" s="24" t="n">
        <f aca="false">IF(R120="",0,MAX(R120-AK120,0))</f>
        <v>8</v>
      </c>
      <c r="AO120" s="25" t="n">
        <f aca="false">AK120+AN120</f>
        <v>8</v>
      </c>
      <c r="AP120" s="24" t="n">
        <f aca="false">AO120-AG120</f>
        <v>8</v>
      </c>
      <c r="AQ120" s="26" t="n">
        <f aca="false">SUMIFS(Permissions!$AH$2:$AH$3000,Permissions!$B$2:$B$3000,$A120,Permissions!$P$2:$P$3000,"Yes")</f>
        <v>0</v>
      </c>
      <c r="AR120" s="26" t="n">
        <f aca="false">SUMIFS(Permissions!$AI$2:$AI$3000,Permissions!$B$2:$B$3000,$A120,Permissions!$P$2:$P$3000,"Yes")</f>
        <v>0</v>
      </c>
      <c r="AS120" s="26" t="n">
        <f aca="false">SUMIFS(Permissions!$AJ$2:$AJ$3000,Permissions!$B$2:$B$3000,$A120,Permissions!$P$2:$P$3000,"Yes")</f>
        <v>0</v>
      </c>
      <c r="AT120" s="26" t="n">
        <f aca="false">SUMIFS(Permissions!$AK$2:$AK$3000,Permissions!$B$2:$B$3000,$A120,Permissions!$P$2:$P$3000,"Yes")</f>
        <v>0</v>
      </c>
      <c r="AU120" s="26" t="n">
        <f aca="false">SUMIFS(Permissions!$AL$2:$AL$3000,Permissions!$B$2:$B$3000,$A120,Permissions!$P$2:$P$3000,"Yes")</f>
        <v>0</v>
      </c>
      <c r="AV120" s="26" t="n">
        <f aca="false">SUMIFS(Permissions!$AM$2:$AM$3000,Permissions!$B$2:$B$3000,$A120,Permissions!$P$2:$P$3000,"Yes")</f>
        <v>0</v>
      </c>
      <c r="AW120" s="24" t="n">
        <f aca="false">COUNTIFS(Permissions!$B$2:$B$3000,$A120,Permissions!$P$2:$P$3000,"Yes")</f>
        <v>0</v>
      </c>
      <c r="AX120" s="24" t="n">
        <f aca="false">SUMIFS(Permissions!$L$2:$L$3000,Permissions!$B$2:$B$3000,$A120,Permissions!$P$2:$P$3000,"Yes")</f>
        <v>0</v>
      </c>
      <c r="AY120" s="27" t="str">
        <f aca="false">IF(AND(AK120&gt;0,AG120&gt;=AK120,AN120=0),"Built out",IF(AG120&gt;0,"Partly built",IF(AK120&gt;0,"Consented – not built","No consent")))</f>
        <v>No consent</v>
      </c>
      <c r="AZ120" s="28" t="str">
        <f aca="false">IF(AND(R120&lt;&gt;"",AK120&gt;1.1*R120),"Consented above capacity",IF(AND(LEFT(B120,8)="Planning",AW120=0),"Consent parcel with no permission",IF(COUNTIF($A$2:$A$3000,$A120)&gt;1,"Duplicate parcel_id","")))</f>
        <v/>
      </c>
    </row>
    <row r="121" customFormat="false" ht="15" hidden="false" customHeight="false" outlineLevel="0" collapsed="false">
      <c r="A121" s="15" t="s">
        <v>325</v>
      </c>
      <c r="B121" s="15" t="s">
        <v>10</v>
      </c>
      <c r="C121" s="15" t="s">
        <v>16</v>
      </c>
      <c r="D121" s="15" t="s">
        <v>58</v>
      </c>
      <c r="E121" s="15" t="s">
        <v>19</v>
      </c>
      <c r="F121" s="15" t="n">
        <v>1</v>
      </c>
      <c r="G121" s="15" t="s">
        <v>154</v>
      </c>
      <c r="H121" s="15" t="n">
        <v>118</v>
      </c>
      <c r="I121" s="15" t="s">
        <v>58</v>
      </c>
      <c r="J121" s="15" t="s">
        <v>205</v>
      </c>
      <c r="K121" s="15" t="s">
        <v>322</v>
      </c>
      <c r="L121" s="15" t="s">
        <v>156</v>
      </c>
      <c r="M121" s="15" t="s">
        <v>165</v>
      </c>
      <c r="N121" s="15" t="s">
        <v>166</v>
      </c>
      <c r="O121" s="15" t="s">
        <v>159</v>
      </c>
      <c r="P121" s="15" t="n">
        <v>0.506</v>
      </c>
      <c r="Q121" s="15" t="n">
        <v>0.506</v>
      </c>
      <c r="R121" s="15" t="n">
        <v>23</v>
      </c>
      <c r="S121" s="15" t="s">
        <v>160</v>
      </c>
      <c r="T121" s="15"/>
      <c r="U121" s="15"/>
      <c r="V121" s="15"/>
      <c r="W121" s="15"/>
      <c r="X121" s="15"/>
      <c r="Y121" s="15"/>
      <c r="Z121" s="15"/>
      <c r="AA121" s="15" t="n">
        <v>0</v>
      </c>
      <c r="AB121" s="15" t="n">
        <v>0</v>
      </c>
      <c r="AC121" s="15" t="s">
        <v>161</v>
      </c>
      <c r="AD121" s="15" t="s">
        <v>162</v>
      </c>
      <c r="AE121" s="15" t="s">
        <v>163</v>
      </c>
      <c r="AF121" s="15"/>
      <c r="AG121" s="24" t="n">
        <f aca="false">SUMIFS(Permissions!$G$2:$G$3000,Permissions!$B$2:$B$3000,$A121,Permissions!$I$2:$I$3000,"Complete",Permissions!$P$2:$P$3000,"Yes")</f>
        <v>0</v>
      </c>
      <c r="AH121" s="24" t="n">
        <f aca="false">SUMIFS(Permissions!$G$2:$G$3000,Permissions!$B$2:$B$3000,$A121,Permissions!$I$2:$I$3000,"Under construction",Permissions!$P$2:$P$3000,"Yes")</f>
        <v>0</v>
      </c>
      <c r="AI121" s="24" t="n">
        <f aca="false">SUMIFS(Permissions!$G$2:$G$3000,Permissions!$B$2:$B$3000,$A121,Permissions!$I$2:$I$3000,"Permitted – not started",Permissions!$P$2:$P$3000,"Yes")</f>
        <v>0</v>
      </c>
      <c r="AJ121" s="24" t="n">
        <f aca="false">SUMIFS(Permissions!$G$2:$G$3000,Permissions!$B$2:$B$3000,$A121,Permissions!$I$2:$I$3000,"Stalled",Permissions!$P$2:$P$3000,"Yes")</f>
        <v>0</v>
      </c>
      <c r="AK121" s="24" t="n">
        <f aca="false">AG121+AH121+AI121+AJ121</f>
        <v>0</v>
      </c>
      <c r="AL121" s="24" t="n">
        <f aca="false">SUMIFS(Permissions!$G$2:$G$3000,Permissions!$B$2:$B$3000,$A121,Permissions!$I$2:$I$3000,"Expired – not started",Permissions!$P$2:$P$3000,"Yes")</f>
        <v>0</v>
      </c>
      <c r="AM121" s="24" t="n">
        <f aca="false">SUMIFS(Permissions!$G$2:$G$3000,Permissions!$B$2:$B$3000,$A121,Permissions!$I$2:$I$3000,"In planning",Permissions!$P$2:$P$3000,"Yes")</f>
        <v>0</v>
      </c>
      <c r="AN121" s="24" t="n">
        <f aca="false">IF(R121="",0,MAX(R121-AK121,0))</f>
        <v>23</v>
      </c>
      <c r="AO121" s="25" t="n">
        <f aca="false">AK121+AN121</f>
        <v>23</v>
      </c>
      <c r="AP121" s="24" t="n">
        <f aca="false">AO121-AG121</f>
        <v>23</v>
      </c>
      <c r="AQ121" s="26" t="n">
        <f aca="false">SUMIFS(Permissions!$AH$2:$AH$3000,Permissions!$B$2:$B$3000,$A121,Permissions!$P$2:$P$3000,"Yes")</f>
        <v>0</v>
      </c>
      <c r="AR121" s="26" t="n">
        <f aca="false">SUMIFS(Permissions!$AI$2:$AI$3000,Permissions!$B$2:$B$3000,$A121,Permissions!$P$2:$P$3000,"Yes")</f>
        <v>0</v>
      </c>
      <c r="AS121" s="26" t="n">
        <f aca="false">SUMIFS(Permissions!$AJ$2:$AJ$3000,Permissions!$B$2:$B$3000,$A121,Permissions!$P$2:$P$3000,"Yes")</f>
        <v>0</v>
      </c>
      <c r="AT121" s="26" t="n">
        <f aca="false">SUMIFS(Permissions!$AK$2:$AK$3000,Permissions!$B$2:$B$3000,$A121,Permissions!$P$2:$P$3000,"Yes")</f>
        <v>0</v>
      </c>
      <c r="AU121" s="26" t="n">
        <f aca="false">SUMIFS(Permissions!$AL$2:$AL$3000,Permissions!$B$2:$B$3000,$A121,Permissions!$P$2:$P$3000,"Yes")</f>
        <v>0</v>
      </c>
      <c r="AV121" s="26" t="n">
        <f aca="false">SUMIFS(Permissions!$AM$2:$AM$3000,Permissions!$B$2:$B$3000,$A121,Permissions!$P$2:$P$3000,"Yes")</f>
        <v>0</v>
      </c>
      <c r="AW121" s="24" t="n">
        <f aca="false">COUNTIFS(Permissions!$B$2:$B$3000,$A121,Permissions!$P$2:$P$3000,"Yes")</f>
        <v>0</v>
      </c>
      <c r="AX121" s="24" t="n">
        <f aca="false">SUMIFS(Permissions!$L$2:$L$3000,Permissions!$B$2:$B$3000,$A121,Permissions!$P$2:$P$3000,"Yes")</f>
        <v>0</v>
      </c>
      <c r="AY121" s="27" t="str">
        <f aca="false">IF(AND(AK121&gt;0,AG121&gt;=AK121,AN121=0),"Built out",IF(AG121&gt;0,"Partly built",IF(AK121&gt;0,"Consented – not built","No consent")))</f>
        <v>No consent</v>
      </c>
      <c r="AZ121" s="28" t="str">
        <f aca="false">IF(AND(R121&lt;&gt;"",AK121&gt;1.1*R121),"Consented above capacity",IF(AND(LEFT(B121,8)="Planning",AW121=0),"Consent parcel with no permission",IF(COUNTIF($A$2:$A$3000,$A121)&gt;1,"Duplicate parcel_id","")))</f>
        <v/>
      </c>
    </row>
    <row r="122" customFormat="false" ht="15" hidden="false" customHeight="false" outlineLevel="0" collapsed="false">
      <c r="A122" s="15" t="s">
        <v>326</v>
      </c>
      <c r="B122" s="15" t="s">
        <v>10</v>
      </c>
      <c r="C122" s="15" t="s">
        <v>16</v>
      </c>
      <c r="D122" s="15" t="s">
        <v>58</v>
      </c>
      <c r="E122" s="15" t="s">
        <v>19</v>
      </c>
      <c r="F122" s="15" t="n">
        <v>1</v>
      </c>
      <c r="G122" s="15" t="s">
        <v>154</v>
      </c>
      <c r="H122" s="15" t="n">
        <v>119</v>
      </c>
      <c r="I122" s="15" t="s">
        <v>58</v>
      </c>
      <c r="J122" s="15" t="s">
        <v>205</v>
      </c>
      <c r="K122" s="15" t="s">
        <v>322</v>
      </c>
      <c r="L122" s="15" t="s">
        <v>156</v>
      </c>
      <c r="M122" s="15" t="s">
        <v>165</v>
      </c>
      <c r="N122" s="15" t="s">
        <v>166</v>
      </c>
      <c r="O122" s="15" t="s">
        <v>159</v>
      </c>
      <c r="P122" s="15" t="n">
        <v>1.074</v>
      </c>
      <c r="Q122" s="15" t="n">
        <v>1.075</v>
      </c>
      <c r="R122" s="15" t="n">
        <v>48</v>
      </c>
      <c r="S122" s="15" t="s">
        <v>160</v>
      </c>
      <c r="T122" s="15"/>
      <c r="U122" s="15"/>
      <c r="V122" s="15"/>
      <c r="W122" s="15"/>
      <c r="X122" s="15"/>
      <c r="Y122" s="15"/>
      <c r="Z122" s="15"/>
      <c r="AA122" s="15" t="n">
        <v>0</v>
      </c>
      <c r="AB122" s="15" t="n">
        <v>0</v>
      </c>
      <c r="AC122" s="15" t="s">
        <v>161</v>
      </c>
      <c r="AD122" s="15" t="s">
        <v>162</v>
      </c>
      <c r="AE122" s="15" t="s">
        <v>163</v>
      </c>
      <c r="AF122" s="15"/>
      <c r="AG122" s="24" t="n">
        <f aca="false">SUMIFS(Permissions!$G$2:$G$3000,Permissions!$B$2:$B$3000,$A122,Permissions!$I$2:$I$3000,"Complete",Permissions!$P$2:$P$3000,"Yes")</f>
        <v>0</v>
      </c>
      <c r="AH122" s="24" t="n">
        <f aca="false">SUMIFS(Permissions!$G$2:$G$3000,Permissions!$B$2:$B$3000,$A122,Permissions!$I$2:$I$3000,"Under construction",Permissions!$P$2:$P$3000,"Yes")</f>
        <v>0</v>
      </c>
      <c r="AI122" s="24" t="n">
        <f aca="false">SUMIFS(Permissions!$G$2:$G$3000,Permissions!$B$2:$B$3000,$A122,Permissions!$I$2:$I$3000,"Permitted – not started",Permissions!$P$2:$P$3000,"Yes")</f>
        <v>0</v>
      </c>
      <c r="AJ122" s="24" t="n">
        <f aca="false">SUMIFS(Permissions!$G$2:$G$3000,Permissions!$B$2:$B$3000,$A122,Permissions!$I$2:$I$3000,"Stalled",Permissions!$P$2:$P$3000,"Yes")</f>
        <v>0</v>
      </c>
      <c r="AK122" s="24" t="n">
        <f aca="false">AG122+AH122+AI122+AJ122</f>
        <v>0</v>
      </c>
      <c r="AL122" s="24" t="n">
        <f aca="false">SUMIFS(Permissions!$G$2:$G$3000,Permissions!$B$2:$B$3000,$A122,Permissions!$I$2:$I$3000,"Expired – not started",Permissions!$P$2:$P$3000,"Yes")</f>
        <v>0</v>
      </c>
      <c r="AM122" s="24" t="n">
        <f aca="false">SUMIFS(Permissions!$G$2:$G$3000,Permissions!$B$2:$B$3000,$A122,Permissions!$I$2:$I$3000,"In planning",Permissions!$P$2:$P$3000,"Yes")</f>
        <v>0</v>
      </c>
      <c r="AN122" s="24" t="n">
        <f aca="false">IF(R122="",0,MAX(R122-AK122,0))</f>
        <v>48</v>
      </c>
      <c r="AO122" s="25" t="n">
        <f aca="false">AK122+AN122</f>
        <v>48</v>
      </c>
      <c r="AP122" s="24" t="n">
        <f aca="false">AO122-AG122</f>
        <v>48</v>
      </c>
      <c r="AQ122" s="26" t="n">
        <f aca="false">SUMIFS(Permissions!$AH$2:$AH$3000,Permissions!$B$2:$B$3000,$A122,Permissions!$P$2:$P$3000,"Yes")</f>
        <v>0</v>
      </c>
      <c r="AR122" s="26" t="n">
        <f aca="false">SUMIFS(Permissions!$AI$2:$AI$3000,Permissions!$B$2:$B$3000,$A122,Permissions!$P$2:$P$3000,"Yes")</f>
        <v>0</v>
      </c>
      <c r="AS122" s="26" t="n">
        <f aca="false">SUMIFS(Permissions!$AJ$2:$AJ$3000,Permissions!$B$2:$B$3000,$A122,Permissions!$P$2:$P$3000,"Yes")</f>
        <v>0</v>
      </c>
      <c r="AT122" s="26" t="n">
        <f aca="false">SUMIFS(Permissions!$AK$2:$AK$3000,Permissions!$B$2:$B$3000,$A122,Permissions!$P$2:$P$3000,"Yes")</f>
        <v>0</v>
      </c>
      <c r="AU122" s="26" t="n">
        <f aca="false">SUMIFS(Permissions!$AL$2:$AL$3000,Permissions!$B$2:$B$3000,$A122,Permissions!$P$2:$P$3000,"Yes")</f>
        <v>0</v>
      </c>
      <c r="AV122" s="26" t="n">
        <f aca="false">SUMIFS(Permissions!$AM$2:$AM$3000,Permissions!$B$2:$B$3000,$A122,Permissions!$P$2:$P$3000,"Yes")</f>
        <v>0</v>
      </c>
      <c r="AW122" s="24" t="n">
        <f aca="false">COUNTIFS(Permissions!$B$2:$B$3000,$A122,Permissions!$P$2:$P$3000,"Yes")</f>
        <v>0</v>
      </c>
      <c r="AX122" s="24" t="n">
        <f aca="false">SUMIFS(Permissions!$L$2:$L$3000,Permissions!$B$2:$B$3000,$A122,Permissions!$P$2:$P$3000,"Yes")</f>
        <v>0</v>
      </c>
      <c r="AY122" s="27" t="str">
        <f aca="false">IF(AND(AK122&gt;0,AG122&gt;=AK122,AN122=0),"Built out",IF(AG122&gt;0,"Partly built",IF(AK122&gt;0,"Consented – not built","No consent")))</f>
        <v>No consent</v>
      </c>
      <c r="AZ122" s="28" t="str">
        <f aca="false">IF(AND(R122&lt;&gt;"",AK122&gt;1.1*R122),"Consented above capacity",IF(AND(LEFT(B122,8)="Planning",AW122=0),"Consent parcel with no permission",IF(COUNTIF($A$2:$A$3000,$A122)&gt;1,"Duplicate parcel_id","")))</f>
        <v/>
      </c>
    </row>
    <row r="123" customFormat="false" ht="15" hidden="false" customHeight="false" outlineLevel="0" collapsed="false">
      <c r="A123" s="15" t="s">
        <v>327</v>
      </c>
      <c r="B123" s="15" t="s">
        <v>10</v>
      </c>
      <c r="C123" s="15" t="s">
        <v>16</v>
      </c>
      <c r="D123" s="15" t="s">
        <v>58</v>
      </c>
      <c r="E123" s="15" t="s">
        <v>19</v>
      </c>
      <c r="F123" s="15" t="n">
        <v>1</v>
      </c>
      <c r="G123" s="15" t="s">
        <v>154</v>
      </c>
      <c r="H123" s="15" t="n">
        <v>120</v>
      </c>
      <c r="I123" s="15" t="s">
        <v>58</v>
      </c>
      <c r="J123" s="15" t="s">
        <v>205</v>
      </c>
      <c r="K123" s="15" t="s">
        <v>322</v>
      </c>
      <c r="L123" s="15" t="s">
        <v>156</v>
      </c>
      <c r="M123" s="15" t="s">
        <v>165</v>
      </c>
      <c r="N123" s="15" t="s">
        <v>166</v>
      </c>
      <c r="O123" s="15" t="s">
        <v>159</v>
      </c>
      <c r="P123" s="15" t="n">
        <v>0.755</v>
      </c>
      <c r="Q123" s="15" t="n">
        <v>0.756</v>
      </c>
      <c r="R123" s="15" t="n">
        <v>34</v>
      </c>
      <c r="S123" s="15" t="s">
        <v>160</v>
      </c>
      <c r="T123" s="15"/>
      <c r="U123" s="15"/>
      <c r="V123" s="15"/>
      <c r="W123" s="15"/>
      <c r="X123" s="15"/>
      <c r="Y123" s="15"/>
      <c r="Z123" s="15"/>
      <c r="AA123" s="15" t="n">
        <v>0</v>
      </c>
      <c r="AB123" s="15" t="n">
        <v>0</v>
      </c>
      <c r="AC123" s="15" t="s">
        <v>161</v>
      </c>
      <c r="AD123" s="15" t="s">
        <v>162</v>
      </c>
      <c r="AE123" s="15" t="s">
        <v>163</v>
      </c>
      <c r="AF123" s="15"/>
      <c r="AG123" s="24" t="n">
        <f aca="false">SUMIFS(Permissions!$G$2:$G$3000,Permissions!$B$2:$B$3000,$A123,Permissions!$I$2:$I$3000,"Complete",Permissions!$P$2:$P$3000,"Yes")</f>
        <v>0</v>
      </c>
      <c r="AH123" s="24" t="n">
        <f aca="false">SUMIFS(Permissions!$G$2:$G$3000,Permissions!$B$2:$B$3000,$A123,Permissions!$I$2:$I$3000,"Under construction",Permissions!$P$2:$P$3000,"Yes")</f>
        <v>0</v>
      </c>
      <c r="AI123" s="24" t="n">
        <f aca="false">SUMIFS(Permissions!$G$2:$G$3000,Permissions!$B$2:$B$3000,$A123,Permissions!$I$2:$I$3000,"Permitted – not started",Permissions!$P$2:$P$3000,"Yes")</f>
        <v>0</v>
      </c>
      <c r="AJ123" s="24" t="n">
        <f aca="false">SUMIFS(Permissions!$G$2:$G$3000,Permissions!$B$2:$B$3000,$A123,Permissions!$I$2:$I$3000,"Stalled",Permissions!$P$2:$P$3000,"Yes")</f>
        <v>0</v>
      </c>
      <c r="AK123" s="24" t="n">
        <f aca="false">AG123+AH123+AI123+AJ123</f>
        <v>0</v>
      </c>
      <c r="AL123" s="24" t="n">
        <f aca="false">SUMIFS(Permissions!$G$2:$G$3000,Permissions!$B$2:$B$3000,$A123,Permissions!$I$2:$I$3000,"Expired – not started",Permissions!$P$2:$P$3000,"Yes")</f>
        <v>0</v>
      </c>
      <c r="AM123" s="24" t="n">
        <f aca="false">SUMIFS(Permissions!$G$2:$G$3000,Permissions!$B$2:$B$3000,$A123,Permissions!$I$2:$I$3000,"In planning",Permissions!$P$2:$P$3000,"Yes")</f>
        <v>0</v>
      </c>
      <c r="AN123" s="24" t="n">
        <f aca="false">IF(R123="",0,MAX(R123-AK123,0))</f>
        <v>34</v>
      </c>
      <c r="AO123" s="25" t="n">
        <f aca="false">AK123+AN123</f>
        <v>34</v>
      </c>
      <c r="AP123" s="24" t="n">
        <f aca="false">AO123-AG123</f>
        <v>34</v>
      </c>
      <c r="AQ123" s="26" t="n">
        <f aca="false">SUMIFS(Permissions!$AH$2:$AH$3000,Permissions!$B$2:$B$3000,$A123,Permissions!$P$2:$P$3000,"Yes")</f>
        <v>0</v>
      </c>
      <c r="AR123" s="26" t="n">
        <f aca="false">SUMIFS(Permissions!$AI$2:$AI$3000,Permissions!$B$2:$B$3000,$A123,Permissions!$P$2:$P$3000,"Yes")</f>
        <v>0</v>
      </c>
      <c r="AS123" s="26" t="n">
        <f aca="false">SUMIFS(Permissions!$AJ$2:$AJ$3000,Permissions!$B$2:$B$3000,$A123,Permissions!$P$2:$P$3000,"Yes")</f>
        <v>0</v>
      </c>
      <c r="AT123" s="26" t="n">
        <f aca="false">SUMIFS(Permissions!$AK$2:$AK$3000,Permissions!$B$2:$B$3000,$A123,Permissions!$P$2:$P$3000,"Yes")</f>
        <v>0</v>
      </c>
      <c r="AU123" s="26" t="n">
        <f aca="false">SUMIFS(Permissions!$AL$2:$AL$3000,Permissions!$B$2:$B$3000,$A123,Permissions!$P$2:$P$3000,"Yes")</f>
        <v>0</v>
      </c>
      <c r="AV123" s="26" t="n">
        <f aca="false">SUMIFS(Permissions!$AM$2:$AM$3000,Permissions!$B$2:$B$3000,$A123,Permissions!$P$2:$P$3000,"Yes")</f>
        <v>0</v>
      </c>
      <c r="AW123" s="24" t="n">
        <f aca="false">COUNTIFS(Permissions!$B$2:$B$3000,$A123,Permissions!$P$2:$P$3000,"Yes")</f>
        <v>0</v>
      </c>
      <c r="AX123" s="24" t="n">
        <f aca="false">SUMIFS(Permissions!$L$2:$L$3000,Permissions!$B$2:$B$3000,$A123,Permissions!$P$2:$P$3000,"Yes")</f>
        <v>0</v>
      </c>
      <c r="AY123" s="27" t="str">
        <f aca="false">IF(AND(AK123&gt;0,AG123&gt;=AK123,AN123=0),"Built out",IF(AG123&gt;0,"Partly built",IF(AK123&gt;0,"Consented – not built","No consent")))</f>
        <v>No consent</v>
      </c>
      <c r="AZ123" s="28" t="str">
        <f aca="false">IF(AND(R123&lt;&gt;"",AK123&gt;1.1*R123),"Consented above capacity",IF(AND(LEFT(B123,8)="Planning",AW123=0),"Consent parcel with no permission",IF(COUNTIF($A$2:$A$3000,$A123)&gt;1,"Duplicate parcel_id","")))</f>
        <v/>
      </c>
    </row>
    <row r="124" customFormat="false" ht="15" hidden="false" customHeight="false" outlineLevel="0" collapsed="false">
      <c r="A124" s="15" t="s">
        <v>328</v>
      </c>
      <c r="B124" s="15" t="s">
        <v>10</v>
      </c>
      <c r="C124" s="15" t="s">
        <v>16</v>
      </c>
      <c r="D124" s="15" t="s">
        <v>58</v>
      </c>
      <c r="E124" s="15" t="s">
        <v>19</v>
      </c>
      <c r="F124" s="15" t="n">
        <v>1</v>
      </c>
      <c r="G124" s="15" t="s">
        <v>154</v>
      </c>
      <c r="H124" s="15" t="n">
        <v>121</v>
      </c>
      <c r="I124" s="15" t="s">
        <v>58</v>
      </c>
      <c r="J124" s="15" t="s">
        <v>205</v>
      </c>
      <c r="K124" s="15" t="s">
        <v>322</v>
      </c>
      <c r="L124" s="15" t="s">
        <v>156</v>
      </c>
      <c r="M124" s="15" t="s">
        <v>165</v>
      </c>
      <c r="N124" s="15" t="s">
        <v>166</v>
      </c>
      <c r="O124" s="15" t="s">
        <v>159</v>
      </c>
      <c r="P124" s="15" t="n">
        <v>0.563</v>
      </c>
      <c r="Q124" s="15" t="n">
        <v>0.563</v>
      </c>
      <c r="R124" s="15" t="n">
        <v>25</v>
      </c>
      <c r="S124" s="15" t="s">
        <v>160</v>
      </c>
      <c r="T124" s="15"/>
      <c r="U124" s="15"/>
      <c r="V124" s="15"/>
      <c r="W124" s="15"/>
      <c r="X124" s="15"/>
      <c r="Y124" s="15"/>
      <c r="Z124" s="15"/>
      <c r="AA124" s="15" t="n">
        <v>0</v>
      </c>
      <c r="AB124" s="15" t="n">
        <v>0</v>
      </c>
      <c r="AC124" s="15" t="s">
        <v>161</v>
      </c>
      <c r="AD124" s="15" t="s">
        <v>162</v>
      </c>
      <c r="AE124" s="15" t="s">
        <v>163</v>
      </c>
      <c r="AF124" s="15"/>
      <c r="AG124" s="24" t="n">
        <f aca="false">SUMIFS(Permissions!$G$2:$G$3000,Permissions!$B$2:$B$3000,$A124,Permissions!$I$2:$I$3000,"Complete",Permissions!$P$2:$P$3000,"Yes")</f>
        <v>0</v>
      </c>
      <c r="AH124" s="24" t="n">
        <f aca="false">SUMIFS(Permissions!$G$2:$G$3000,Permissions!$B$2:$B$3000,$A124,Permissions!$I$2:$I$3000,"Under construction",Permissions!$P$2:$P$3000,"Yes")</f>
        <v>0</v>
      </c>
      <c r="AI124" s="24" t="n">
        <f aca="false">SUMIFS(Permissions!$G$2:$G$3000,Permissions!$B$2:$B$3000,$A124,Permissions!$I$2:$I$3000,"Permitted – not started",Permissions!$P$2:$P$3000,"Yes")</f>
        <v>0</v>
      </c>
      <c r="AJ124" s="24" t="n">
        <f aca="false">SUMIFS(Permissions!$G$2:$G$3000,Permissions!$B$2:$B$3000,$A124,Permissions!$I$2:$I$3000,"Stalled",Permissions!$P$2:$P$3000,"Yes")</f>
        <v>0</v>
      </c>
      <c r="AK124" s="24" t="n">
        <f aca="false">AG124+AH124+AI124+AJ124</f>
        <v>0</v>
      </c>
      <c r="AL124" s="24" t="n">
        <f aca="false">SUMIFS(Permissions!$G$2:$G$3000,Permissions!$B$2:$B$3000,$A124,Permissions!$I$2:$I$3000,"Expired – not started",Permissions!$P$2:$P$3000,"Yes")</f>
        <v>0</v>
      </c>
      <c r="AM124" s="24" t="n">
        <f aca="false">SUMIFS(Permissions!$G$2:$G$3000,Permissions!$B$2:$B$3000,$A124,Permissions!$I$2:$I$3000,"In planning",Permissions!$P$2:$P$3000,"Yes")</f>
        <v>0</v>
      </c>
      <c r="AN124" s="24" t="n">
        <f aca="false">IF(R124="",0,MAX(R124-AK124,0))</f>
        <v>25</v>
      </c>
      <c r="AO124" s="25" t="n">
        <f aca="false">AK124+AN124</f>
        <v>25</v>
      </c>
      <c r="AP124" s="24" t="n">
        <f aca="false">AO124-AG124</f>
        <v>25</v>
      </c>
      <c r="AQ124" s="26" t="n">
        <f aca="false">SUMIFS(Permissions!$AH$2:$AH$3000,Permissions!$B$2:$B$3000,$A124,Permissions!$P$2:$P$3000,"Yes")</f>
        <v>0</v>
      </c>
      <c r="AR124" s="26" t="n">
        <f aca="false">SUMIFS(Permissions!$AI$2:$AI$3000,Permissions!$B$2:$B$3000,$A124,Permissions!$P$2:$P$3000,"Yes")</f>
        <v>0</v>
      </c>
      <c r="AS124" s="26" t="n">
        <f aca="false">SUMIFS(Permissions!$AJ$2:$AJ$3000,Permissions!$B$2:$B$3000,$A124,Permissions!$P$2:$P$3000,"Yes")</f>
        <v>0</v>
      </c>
      <c r="AT124" s="26" t="n">
        <f aca="false">SUMIFS(Permissions!$AK$2:$AK$3000,Permissions!$B$2:$B$3000,$A124,Permissions!$P$2:$P$3000,"Yes")</f>
        <v>0</v>
      </c>
      <c r="AU124" s="26" t="n">
        <f aca="false">SUMIFS(Permissions!$AL$2:$AL$3000,Permissions!$B$2:$B$3000,$A124,Permissions!$P$2:$P$3000,"Yes")</f>
        <v>0</v>
      </c>
      <c r="AV124" s="26" t="n">
        <f aca="false">SUMIFS(Permissions!$AM$2:$AM$3000,Permissions!$B$2:$B$3000,$A124,Permissions!$P$2:$P$3000,"Yes")</f>
        <v>0</v>
      </c>
      <c r="AW124" s="24" t="n">
        <f aca="false">COUNTIFS(Permissions!$B$2:$B$3000,$A124,Permissions!$P$2:$P$3000,"Yes")</f>
        <v>0</v>
      </c>
      <c r="AX124" s="24" t="n">
        <f aca="false">SUMIFS(Permissions!$L$2:$L$3000,Permissions!$B$2:$B$3000,$A124,Permissions!$P$2:$P$3000,"Yes")</f>
        <v>0</v>
      </c>
      <c r="AY124" s="27" t="str">
        <f aca="false">IF(AND(AK124&gt;0,AG124&gt;=AK124,AN124=0),"Built out",IF(AG124&gt;0,"Partly built",IF(AK124&gt;0,"Consented – not built","No consent")))</f>
        <v>No consent</v>
      </c>
      <c r="AZ124" s="28" t="str">
        <f aca="false">IF(AND(R124&lt;&gt;"",AK124&gt;1.1*R124),"Consented above capacity",IF(AND(LEFT(B124,8)="Planning",AW124=0),"Consent parcel with no permission",IF(COUNTIF($A$2:$A$3000,$A124)&gt;1,"Duplicate parcel_id","")))</f>
        <v/>
      </c>
    </row>
    <row r="125" customFormat="false" ht="15" hidden="false" customHeight="false" outlineLevel="0" collapsed="false">
      <c r="A125" s="15" t="s">
        <v>329</v>
      </c>
      <c r="B125" s="15" t="s">
        <v>10</v>
      </c>
      <c r="C125" s="15" t="s">
        <v>16</v>
      </c>
      <c r="D125" s="15" t="s">
        <v>58</v>
      </c>
      <c r="E125" s="15" t="s">
        <v>19</v>
      </c>
      <c r="F125" s="15" t="n">
        <v>1</v>
      </c>
      <c r="G125" s="15" t="s">
        <v>154</v>
      </c>
      <c r="H125" s="15" t="n">
        <v>123</v>
      </c>
      <c r="I125" s="15" t="s">
        <v>58</v>
      </c>
      <c r="J125" s="15" t="s">
        <v>205</v>
      </c>
      <c r="K125" s="15" t="s">
        <v>322</v>
      </c>
      <c r="L125" s="15" t="s">
        <v>170</v>
      </c>
      <c r="M125" s="15" t="s">
        <v>157</v>
      </c>
      <c r="N125" s="15" t="s">
        <v>158</v>
      </c>
      <c r="O125" s="15" t="s">
        <v>330</v>
      </c>
      <c r="P125" s="15" t="n">
        <v>0.467</v>
      </c>
      <c r="Q125" s="15" t="n">
        <v>0.468</v>
      </c>
      <c r="R125" s="15" t="n">
        <v>21</v>
      </c>
      <c r="S125" s="15" t="s">
        <v>160</v>
      </c>
      <c r="T125" s="15"/>
      <c r="U125" s="15"/>
      <c r="V125" s="15"/>
      <c r="W125" s="15"/>
      <c r="X125" s="15"/>
      <c r="Y125" s="15"/>
      <c r="Z125" s="15"/>
      <c r="AA125" s="15" t="n">
        <v>0</v>
      </c>
      <c r="AB125" s="15" t="n">
        <v>0</v>
      </c>
      <c r="AC125" s="15" t="s">
        <v>161</v>
      </c>
      <c r="AD125" s="15" t="s">
        <v>162</v>
      </c>
      <c r="AE125" s="15" t="s">
        <v>163</v>
      </c>
      <c r="AF125" s="15"/>
      <c r="AG125" s="24" t="n">
        <f aca="false">SUMIFS(Permissions!$G$2:$G$3000,Permissions!$B$2:$B$3000,$A125,Permissions!$I$2:$I$3000,"Complete",Permissions!$P$2:$P$3000,"Yes")</f>
        <v>0</v>
      </c>
      <c r="AH125" s="24" t="n">
        <f aca="false">SUMIFS(Permissions!$G$2:$G$3000,Permissions!$B$2:$B$3000,$A125,Permissions!$I$2:$I$3000,"Under construction",Permissions!$P$2:$P$3000,"Yes")</f>
        <v>0</v>
      </c>
      <c r="AI125" s="24" t="n">
        <f aca="false">SUMIFS(Permissions!$G$2:$G$3000,Permissions!$B$2:$B$3000,$A125,Permissions!$I$2:$I$3000,"Permitted – not started",Permissions!$P$2:$P$3000,"Yes")</f>
        <v>0</v>
      </c>
      <c r="AJ125" s="24" t="n">
        <f aca="false">SUMIFS(Permissions!$G$2:$G$3000,Permissions!$B$2:$B$3000,$A125,Permissions!$I$2:$I$3000,"Stalled",Permissions!$P$2:$P$3000,"Yes")</f>
        <v>0</v>
      </c>
      <c r="AK125" s="24" t="n">
        <f aca="false">AG125+AH125+AI125+AJ125</f>
        <v>0</v>
      </c>
      <c r="AL125" s="24" t="n">
        <f aca="false">SUMIFS(Permissions!$G$2:$G$3000,Permissions!$B$2:$B$3000,$A125,Permissions!$I$2:$I$3000,"Expired – not started",Permissions!$P$2:$P$3000,"Yes")</f>
        <v>0</v>
      </c>
      <c r="AM125" s="24" t="n">
        <f aca="false">SUMIFS(Permissions!$G$2:$G$3000,Permissions!$B$2:$B$3000,$A125,Permissions!$I$2:$I$3000,"In planning",Permissions!$P$2:$P$3000,"Yes")</f>
        <v>0</v>
      </c>
      <c r="AN125" s="24" t="n">
        <f aca="false">IF(R125="",0,MAX(R125-AK125,0))</f>
        <v>21</v>
      </c>
      <c r="AO125" s="25" t="n">
        <f aca="false">AK125+AN125</f>
        <v>21</v>
      </c>
      <c r="AP125" s="24" t="n">
        <f aca="false">AO125-AG125</f>
        <v>21</v>
      </c>
      <c r="AQ125" s="26" t="n">
        <f aca="false">SUMIFS(Permissions!$AH$2:$AH$3000,Permissions!$B$2:$B$3000,$A125,Permissions!$P$2:$P$3000,"Yes")</f>
        <v>0</v>
      </c>
      <c r="AR125" s="26" t="n">
        <f aca="false">SUMIFS(Permissions!$AI$2:$AI$3000,Permissions!$B$2:$B$3000,$A125,Permissions!$P$2:$P$3000,"Yes")</f>
        <v>0</v>
      </c>
      <c r="AS125" s="26" t="n">
        <f aca="false">SUMIFS(Permissions!$AJ$2:$AJ$3000,Permissions!$B$2:$B$3000,$A125,Permissions!$P$2:$P$3000,"Yes")</f>
        <v>0</v>
      </c>
      <c r="AT125" s="26" t="n">
        <f aca="false">SUMIFS(Permissions!$AK$2:$AK$3000,Permissions!$B$2:$B$3000,$A125,Permissions!$P$2:$P$3000,"Yes")</f>
        <v>0</v>
      </c>
      <c r="AU125" s="26" t="n">
        <f aca="false">SUMIFS(Permissions!$AL$2:$AL$3000,Permissions!$B$2:$B$3000,$A125,Permissions!$P$2:$P$3000,"Yes")</f>
        <v>0</v>
      </c>
      <c r="AV125" s="26" t="n">
        <f aca="false">SUMIFS(Permissions!$AM$2:$AM$3000,Permissions!$B$2:$B$3000,$A125,Permissions!$P$2:$P$3000,"Yes")</f>
        <v>0</v>
      </c>
      <c r="AW125" s="24" t="n">
        <f aca="false">COUNTIFS(Permissions!$B$2:$B$3000,$A125,Permissions!$P$2:$P$3000,"Yes")</f>
        <v>0</v>
      </c>
      <c r="AX125" s="24" t="n">
        <f aca="false">SUMIFS(Permissions!$L$2:$L$3000,Permissions!$B$2:$B$3000,$A125,Permissions!$P$2:$P$3000,"Yes")</f>
        <v>0</v>
      </c>
      <c r="AY125" s="27" t="str">
        <f aca="false">IF(AND(AK125&gt;0,AG125&gt;=AK125,AN125=0),"Built out",IF(AG125&gt;0,"Partly built",IF(AK125&gt;0,"Consented – not built","No consent")))</f>
        <v>No consent</v>
      </c>
      <c r="AZ125" s="28" t="str">
        <f aca="false">IF(AND(R125&lt;&gt;"",AK125&gt;1.1*R125),"Consented above capacity",IF(AND(LEFT(B125,8)="Planning",AW125=0),"Consent parcel with no permission",IF(COUNTIF($A$2:$A$3000,$A125)&gt;1,"Duplicate parcel_id","")))</f>
        <v/>
      </c>
    </row>
    <row r="126" customFormat="false" ht="15" hidden="false" customHeight="false" outlineLevel="0" collapsed="false">
      <c r="A126" s="15" t="s">
        <v>331</v>
      </c>
      <c r="B126" s="15" t="s">
        <v>10</v>
      </c>
      <c r="C126" s="15" t="s">
        <v>16</v>
      </c>
      <c r="D126" s="15" t="s">
        <v>58</v>
      </c>
      <c r="E126" s="15" t="s">
        <v>19</v>
      </c>
      <c r="F126" s="15" t="n">
        <v>1</v>
      </c>
      <c r="G126" s="15" t="s">
        <v>154</v>
      </c>
      <c r="H126" s="15" t="n">
        <v>124</v>
      </c>
      <c r="I126" s="15" t="s">
        <v>58</v>
      </c>
      <c r="J126" s="15" t="s">
        <v>205</v>
      </c>
      <c r="K126" s="15" t="s">
        <v>322</v>
      </c>
      <c r="L126" s="15" t="s">
        <v>156</v>
      </c>
      <c r="M126" s="15" t="s">
        <v>165</v>
      </c>
      <c r="N126" s="15" t="s">
        <v>166</v>
      </c>
      <c r="O126" s="15" t="s">
        <v>159</v>
      </c>
      <c r="P126" s="15" t="n">
        <v>0.139</v>
      </c>
      <c r="Q126" s="15" t="n">
        <v>0.139</v>
      </c>
      <c r="R126" s="15" t="n">
        <v>27</v>
      </c>
      <c r="S126" s="15" t="s">
        <v>160</v>
      </c>
      <c r="T126" s="15"/>
      <c r="U126" s="15"/>
      <c r="V126" s="15"/>
      <c r="W126" s="15"/>
      <c r="X126" s="15"/>
      <c r="Y126" s="15"/>
      <c r="Z126" s="15"/>
      <c r="AA126" s="15" t="n">
        <v>0</v>
      </c>
      <c r="AB126" s="15" t="n">
        <v>0</v>
      </c>
      <c r="AC126" s="15" t="s">
        <v>180</v>
      </c>
      <c r="AD126" s="15" t="s">
        <v>162</v>
      </c>
      <c r="AE126" s="15" t="s">
        <v>163</v>
      </c>
      <c r="AF126" s="15"/>
      <c r="AG126" s="24" t="n">
        <f aca="false">SUMIFS(Permissions!$G$2:$G$3000,Permissions!$B$2:$B$3000,$A126,Permissions!$I$2:$I$3000,"Complete",Permissions!$P$2:$P$3000,"Yes")</f>
        <v>0</v>
      </c>
      <c r="AH126" s="24" t="n">
        <f aca="false">SUMIFS(Permissions!$G$2:$G$3000,Permissions!$B$2:$B$3000,$A126,Permissions!$I$2:$I$3000,"Under construction",Permissions!$P$2:$P$3000,"Yes")</f>
        <v>0</v>
      </c>
      <c r="AI126" s="24" t="n">
        <f aca="false">SUMIFS(Permissions!$G$2:$G$3000,Permissions!$B$2:$B$3000,$A126,Permissions!$I$2:$I$3000,"Permitted – not started",Permissions!$P$2:$P$3000,"Yes")</f>
        <v>0</v>
      </c>
      <c r="AJ126" s="24" t="n">
        <f aca="false">SUMIFS(Permissions!$G$2:$G$3000,Permissions!$B$2:$B$3000,$A126,Permissions!$I$2:$I$3000,"Stalled",Permissions!$P$2:$P$3000,"Yes")</f>
        <v>0</v>
      </c>
      <c r="AK126" s="24" t="n">
        <f aca="false">AG126+AH126+AI126+AJ126</f>
        <v>0</v>
      </c>
      <c r="AL126" s="24" t="n">
        <f aca="false">SUMIFS(Permissions!$G$2:$G$3000,Permissions!$B$2:$B$3000,$A126,Permissions!$I$2:$I$3000,"Expired – not started",Permissions!$P$2:$P$3000,"Yes")</f>
        <v>0</v>
      </c>
      <c r="AM126" s="24" t="n">
        <f aca="false">SUMIFS(Permissions!$G$2:$G$3000,Permissions!$B$2:$B$3000,$A126,Permissions!$I$2:$I$3000,"In planning",Permissions!$P$2:$P$3000,"Yes")</f>
        <v>0</v>
      </c>
      <c r="AN126" s="24" t="n">
        <f aca="false">IF(R126="",0,MAX(R126-AK126,0))</f>
        <v>27</v>
      </c>
      <c r="AO126" s="25" t="n">
        <f aca="false">AK126+AN126</f>
        <v>27</v>
      </c>
      <c r="AP126" s="24" t="n">
        <f aca="false">AO126-AG126</f>
        <v>27</v>
      </c>
      <c r="AQ126" s="26" t="n">
        <f aca="false">SUMIFS(Permissions!$AH$2:$AH$3000,Permissions!$B$2:$B$3000,$A126,Permissions!$P$2:$P$3000,"Yes")</f>
        <v>0</v>
      </c>
      <c r="AR126" s="26" t="n">
        <f aca="false">SUMIFS(Permissions!$AI$2:$AI$3000,Permissions!$B$2:$B$3000,$A126,Permissions!$P$2:$P$3000,"Yes")</f>
        <v>0</v>
      </c>
      <c r="AS126" s="26" t="n">
        <f aca="false">SUMIFS(Permissions!$AJ$2:$AJ$3000,Permissions!$B$2:$B$3000,$A126,Permissions!$P$2:$P$3000,"Yes")</f>
        <v>0</v>
      </c>
      <c r="AT126" s="26" t="n">
        <f aca="false">SUMIFS(Permissions!$AK$2:$AK$3000,Permissions!$B$2:$B$3000,$A126,Permissions!$P$2:$P$3000,"Yes")</f>
        <v>0</v>
      </c>
      <c r="AU126" s="26" t="n">
        <f aca="false">SUMIFS(Permissions!$AL$2:$AL$3000,Permissions!$B$2:$B$3000,$A126,Permissions!$P$2:$P$3000,"Yes")</f>
        <v>0</v>
      </c>
      <c r="AV126" s="26" t="n">
        <f aca="false">SUMIFS(Permissions!$AM$2:$AM$3000,Permissions!$B$2:$B$3000,$A126,Permissions!$P$2:$P$3000,"Yes")</f>
        <v>0</v>
      </c>
      <c r="AW126" s="24" t="n">
        <f aca="false">COUNTIFS(Permissions!$B$2:$B$3000,$A126,Permissions!$P$2:$P$3000,"Yes")</f>
        <v>0</v>
      </c>
      <c r="AX126" s="24" t="n">
        <f aca="false">SUMIFS(Permissions!$L$2:$L$3000,Permissions!$B$2:$B$3000,$A126,Permissions!$P$2:$P$3000,"Yes")</f>
        <v>0</v>
      </c>
      <c r="AY126" s="27" t="str">
        <f aca="false">IF(AND(AK126&gt;0,AG126&gt;=AK126,AN126=0),"Built out",IF(AG126&gt;0,"Partly built",IF(AK126&gt;0,"Consented – not built","No consent")))</f>
        <v>No consent</v>
      </c>
      <c r="AZ126" s="28" t="str">
        <f aca="false">IF(AND(R126&lt;&gt;"",AK126&gt;1.1*R126),"Consented above capacity",IF(AND(LEFT(B126,8)="Planning",AW126=0),"Consent parcel with no permission",IF(COUNTIF($A$2:$A$3000,$A126)&gt;1,"Duplicate parcel_id","")))</f>
        <v/>
      </c>
    </row>
    <row r="127" customFormat="false" ht="15" hidden="false" customHeight="false" outlineLevel="0" collapsed="false">
      <c r="A127" s="15" t="s">
        <v>332</v>
      </c>
      <c r="B127" s="15" t="s">
        <v>10</v>
      </c>
      <c r="C127" s="15" t="s">
        <v>16</v>
      </c>
      <c r="D127" s="15" t="s">
        <v>58</v>
      </c>
      <c r="E127" s="15" t="s">
        <v>19</v>
      </c>
      <c r="F127" s="15" t="n">
        <v>1</v>
      </c>
      <c r="G127" s="15" t="s">
        <v>154</v>
      </c>
      <c r="H127" s="15" t="n">
        <v>125</v>
      </c>
      <c r="I127" s="15" t="s">
        <v>58</v>
      </c>
      <c r="J127" s="15" t="s">
        <v>205</v>
      </c>
      <c r="K127" s="15" t="s">
        <v>322</v>
      </c>
      <c r="L127" s="15" t="s">
        <v>156</v>
      </c>
      <c r="M127" s="15" t="s">
        <v>165</v>
      </c>
      <c r="N127" s="15" t="s">
        <v>166</v>
      </c>
      <c r="O127" s="15" t="s">
        <v>159</v>
      </c>
      <c r="P127" s="15" t="n">
        <v>1.413</v>
      </c>
      <c r="Q127" s="15" t="n">
        <v>1.413</v>
      </c>
      <c r="R127" s="15" t="n">
        <v>64</v>
      </c>
      <c r="S127" s="15" t="s">
        <v>160</v>
      </c>
      <c r="T127" s="15"/>
      <c r="U127" s="15"/>
      <c r="V127" s="15"/>
      <c r="W127" s="15"/>
      <c r="X127" s="15"/>
      <c r="Y127" s="15"/>
      <c r="Z127" s="15"/>
      <c r="AA127" s="15" t="n">
        <v>0</v>
      </c>
      <c r="AB127" s="15" t="n">
        <v>0</v>
      </c>
      <c r="AC127" s="15" t="s">
        <v>161</v>
      </c>
      <c r="AD127" s="15" t="s">
        <v>162</v>
      </c>
      <c r="AE127" s="15" t="s">
        <v>163</v>
      </c>
      <c r="AF127" s="15"/>
      <c r="AG127" s="24" t="n">
        <f aca="false">SUMIFS(Permissions!$G$2:$G$3000,Permissions!$B$2:$B$3000,$A127,Permissions!$I$2:$I$3000,"Complete",Permissions!$P$2:$P$3000,"Yes")</f>
        <v>0</v>
      </c>
      <c r="AH127" s="24" t="n">
        <f aca="false">SUMIFS(Permissions!$G$2:$G$3000,Permissions!$B$2:$B$3000,$A127,Permissions!$I$2:$I$3000,"Under construction",Permissions!$P$2:$P$3000,"Yes")</f>
        <v>0</v>
      </c>
      <c r="AI127" s="24" t="n">
        <f aca="false">SUMIFS(Permissions!$G$2:$G$3000,Permissions!$B$2:$B$3000,$A127,Permissions!$I$2:$I$3000,"Permitted – not started",Permissions!$P$2:$P$3000,"Yes")</f>
        <v>0</v>
      </c>
      <c r="AJ127" s="24" t="n">
        <f aca="false">SUMIFS(Permissions!$G$2:$G$3000,Permissions!$B$2:$B$3000,$A127,Permissions!$I$2:$I$3000,"Stalled",Permissions!$P$2:$P$3000,"Yes")</f>
        <v>0</v>
      </c>
      <c r="AK127" s="24" t="n">
        <f aca="false">AG127+AH127+AI127+AJ127</f>
        <v>0</v>
      </c>
      <c r="AL127" s="24" t="n">
        <f aca="false">SUMIFS(Permissions!$G$2:$G$3000,Permissions!$B$2:$B$3000,$A127,Permissions!$I$2:$I$3000,"Expired – not started",Permissions!$P$2:$P$3000,"Yes")</f>
        <v>0</v>
      </c>
      <c r="AM127" s="24" t="n">
        <f aca="false">SUMIFS(Permissions!$G$2:$G$3000,Permissions!$B$2:$B$3000,$A127,Permissions!$I$2:$I$3000,"In planning",Permissions!$P$2:$P$3000,"Yes")</f>
        <v>0</v>
      </c>
      <c r="AN127" s="24" t="n">
        <f aca="false">IF(R127="",0,MAX(R127-AK127,0))</f>
        <v>64</v>
      </c>
      <c r="AO127" s="25" t="n">
        <f aca="false">AK127+AN127</f>
        <v>64</v>
      </c>
      <c r="AP127" s="24" t="n">
        <f aca="false">AO127-AG127</f>
        <v>64</v>
      </c>
      <c r="AQ127" s="26" t="n">
        <f aca="false">SUMIFS(Permissions!$AH$2:$AH$3000,Permissions!$B$2:$B$3000,$A127,Permissions!$P$2:$P$3000,"Yes")</f>
        <v>0</v>
      </c>
      <c r="AR127" s="26" t="n">
        <f aca="false">SUMIFS(Permissions!$AI$2:$AI$3000,Permissions!$B$2:$B$3000,$A127,Permissions!$P$2:$P$3000,"Yes")</f>
        <v>0</v>
      </c>
      <c r="AS127" s="26" t="n">
        <f aca="false">SUMIFS(Permissions!$AJ$2:$AJ$3000,Permissions!$B$2:$B$3000,$A127,Permissions!$P$2:$P$3000,"Yes")</f>
        <v>0</v>
      </c>
      <c r="AT127" s="26" t="n">
        <f aca="false">SUMIFS(Permissions!$AK$2:$AK$3000,Permissions!$B$2:$B$3000,$A127,Permissions!$P$2:$P$3000,"Yes")</f>
        <v>0</v>
      </c>
      <c r="AU127" s="26" t="n">
        <f aca="false">SUMIFS(Permissions!$AL$2:$AL$3000,Permissions!$B$2:$B$3000,$A127,Permissions!$P$2:$P$3000,"Yes")</f>
        <v>0</v>
      </c>
      <c r="AV127" s="26" t="n">
        <f aca="false">SUMIFS(Permissions!$AM$2:$AM$3000,Permissions!$B$2:$B$3000,$A127,Permissions!$P$2:$P$3000,"Yes")</f>
        <v>0</v>
      </c>
      <c r="AW127" s="24" t="n">
        <f aca="false">COUNTIFS(Permissions!$B$2:$B$3000,$A127,Permissions!$P$2:$P$3000,"Yes")</f>
        <v>0</v>
      </c>
      <c r="AX127" s="24" t="n">
        <f aca="false">SUMIFS(Permissions!$L$2:$L$3000,Permissions!$B$2:$B$3000,$A127,Permissions!$P$2:$P$3000,"Yes")</f>
        <v>0</v>
      </c>
      <c r="AY127" s="27" t="str">
        <f aca="false">IF(AND(AK127&gt;0,AG127&gt;=AK127,AN127=0),"Built out",IF(AG127&gt;0,"Partly built",IF(AK127&gt;0,"Consented – not built","No consent")))</f>
        <v>No consent</v>
      </c>
      <c r="AZ127" s="28" t="str">
        <f aca="false">IF(AND(R127&lt;&gt;"",AK127&gt;1.1*R127),"Consented above capacity",IF(AND(LEFT(B127,8)="Planning",AW127=0),"Consent parcel with no permission",IF(COUNTIF($A$2:$A$3000,$A127)&gt;1,"Duplicate parcel_id","")))</f>
        <v/>
      </c>
    </row>
    <row r="128" customFormat="false" ht="15" hidden="false" customHeight="false" outlineLevel="0" collapsed="false">
      <c r="A128" s="15" t="s">
        <v>333</v>
      </c>
      <c r="B128" s="15" t="s">
        <v>10</v>
      </c>
      <c r="C128" s="15" t="s">
        <v>16</v>
      </c>
      <c r="D128" s="15" t="s">
        <v>58</v>
      </c>
      <c r="E128" s="15" t="s">
        <v>19</v>
      </c>
      <c r="F128" s="15" t="n">
        <v>1</v>
      </c>
      <c r="G128" s="15" t="s">
        <v>154</v>
      </c>
      <c r="H128" s="15" t="n">
        <v>127</v>
      </c>
      <c r="I128" s="15" t="s">
        <v>58</v>
      </c>
      <c r="J128" s="15" t="s">
        <v>205</v>
      </c>
      <c r="K128" s="15" t="s">
        <v>322</v>
      </c>
      <c r="L128" s="15" t="s">
        <v>156</v>
      </c>
      <c r="M128" s="15" t="s">
        <v>165</v>
      </c>
      <c r="N128" s="15" t="s">
        <v>166</v>
      </c>
      <c r="O128" s="15" t="s">
        <v>159</v>
      </c>
      <c r="P128" s="15" t="n">
        <v>0.508</v>
      </c>
      <c r="Q128" s="15" t="n">
        <v>0.508</v>
      </c>
      <c r="R128" s="15" t="n">
        <v>23</v>
      </c>
      <c r="S128" s="15" t="s">
        <v>160</v>
      </c>
      <c r="T128" s="15"/>
      <c r="U128" s="15"/>
      <c r="V128" s="15"/>
      <c r="W128" s="15"/>
      <c r="X128" s="15"/>
      <c r="Y128" s="15"/>
      <c r="Z128" s="15"/>
      <c r="AA128" s="15" t="n">
        <v>0</v>
      </c>
      <c r="AB128" s="15" t="n">
        <v>0</v>
      </c>
      <c r="AC128" s="15" t="s">
        <v>161</v>
      </c>
      <c r="AD128" s="15" t="s">
        <v>162</v>
      </c>
      <c r="AE128" s="15" t="s">
        <v>163</v>
      </c>
      <c r="AF128" s="15"/>
      <c r="AG128" s="24" t="n">
        <f aca="false">SUMIFS(Permissions!$G$2:$G$3000,Permissions!$B$2:$B$3000,$A128,Permissions!$I$2:$I$3000,"Complete",Permissions!$P$2:$P$3000,"Yes")</f>
        <v>0</v>
      </c>
      <c r="AH128" s="24" t="n">
        <f aca="false">SUMIFS(Permissions!$G$2:$G$3000,Permissions!$B$2:$B$3000,$A128,Permissions!$I$2:$I$3000,"Under construction",Permissions!$P$2:$P$3000,"Yes")</f>
        <v>0</v>
      </c>
      <c r="AI128" s="24" t="n">
        <f aca="false">SUMIFS(Permissions!$G$2:$G$3000,Permissions!$B$2:$B$3000,$A128,Permissions!$I$2:$I$3000,"Permitted – not started",Permissions!$P$2:$P$3000,"Yes")</f>
        <v>0</v>
      </c>
      <c r="AJ128" s="24" t="n">
        <f aca="false">SUMIFS(Permissions!$G$2:$G$3000,Permissions!$B$2:$B$3000,$A128,Permissions!$I$2:$I$3000,"Stalled",Permissions!$P$2:$P$3000,"Yes")</f>
        <v>0</v>
      </c>
      <c r="AK128" s="24" t="n">
        <f aca="false">AG128+AH128+AI128+AJ128</f>
        <v>0</v>
      </c>
      <c r="AL128" s="24" t="n">
        <f aca="false">SUMIFS(Permissions!$G$2:$G$3000,Permissions!$B$2:$B$3000,$A128,Permissions!$I$2:$I$3000,"Expired – not started",Permissions!$P$2:$P$3000,"Yes")</f>
        <v>0</v>
      </c>
      <c r="AM128" s="24" t="n">
        <f aca="false">SUMIFS(Permissions!$G$2:$G$3000,Permissions!$B$2:$B$3000,$A128,Permissions!$I$2:$I$3000,"In planning",Permissions!$P$2:$P$3000,"Yes")</f>
        <v>0</v>
      </c>
      <c r="AN128" s="24" t="n">
        <f aca="false">IF(R128="",0,MAX(R128-AK128,0))</f>
        <v>23</v>
      </c>
      <c r="AO128" s="25" t="n">
        <f aca="false">AK128+AN128</f>
        <v>23</v>
      </c>
      <c r="AP128" s="24" t="n">
        <f aca="false">AO128-AG128</f>
        <v>23</v>
      </c>
      <c r="AQ128" s="26" t="n">
        <f aca="false">SUMIFS(Permissions!$AH$2:$AH$3000,Permissions!$B$2:$B$3000,$A128,Permissions!$P$2:$P$3000,"Yes")</f>
        <v>0</v>
      </c>
      <c r="AR128" s="26" t="n">
        <f aca="false">SUMIFS(Permissions!$AI$2:$AI$3000,Permissions!$B$2:$B$3000,$A128,Permissions!$P$2:$P$3000,"Yes")</f>
        <v>0</v>
      </c>
      <c r="AS128" s="26" t="n">
        <f aca="false">SUMIFS(Permissions!$AJ$2:$AJ$3000,Permissions!$B$2:$B$3000,$A128,Permissions!$P$2:$P$3000,"Yes")</f>
        <v>0</v>
      </c>
      <c r="AT128" s="26" t="n">
        <f aca="false">SUMIFS(Permissions!$AK$2:$AK$3000,Permissions!$B$2:$B$3000,$A128,Permissions!$P$2:$P$3000,"Yes")</f>
        <v>0</v>
      </c>
      <c r="AU128" s="26" t="n">
        <f aca="false">SUMIFS(Permissions!$AL$2:$AL$3000,Permissions!$B$2:$B$3000,$A128,Permissions!$P$2:$P$3000,"Yes")</f>
        <v>0</v>
      </c>
      <c r="AV128" s="26" t="n">
        <f aca="false">SUMIFS(Permissions!$AM$2:$AM$3000,Permissions!$B$2:$B$3000,$A128,Permissions!$P$2:$P$3000,"Yes")</f>
        <v>0</v>
      </c>
      <c r="AW128" s="24" t="n">
        <f aca="false">COUNTIFS(Permissions!$B$2:$B$3000,$A128,Permissions!$P$2:$P$3000,"Yes")</f>
        <v>0</v>
      </c>
      <c r="AX128" s="24" t="n">
        <f aca="false">SUMIFS(Permissions!$L$2:$L$3000,Permissions!$B$2:$B$3000,$A128,Permissions!$P$2:$P$3000,"Yes")</f>
        <v>0</v>
      </c>
      <c r="AY128" s="27" t="str">
        <f aca="false">IF(AND(AK128&gt;0,AG128&gt;=AK128,AN128=0),"Built out",IF(AG128&gt;0,"Partly built",IF(AK128&gt;0,"Consented – not built","No consent")))</f>
        <v>No consent</v>
      </c>
      <c r="AZ128" s="28" t="str">
        <f aca="false">IF(AND(R128&lt;&gt;"",AK128&gt;1.1*R128),"Consented above capacity",IF(AND(LEFT(B128,8)="Planning",AW128=0),"Consent parcel with no permission",IF(COUNTIF($A$2:$A$3000,$A128)&gt;1,"Duplicate parcel_id","")))</f>
        <v/>
      </c>
    </row>
    <row r="129" customFormat="false" ht="15" hidden="false" customHeight="false" outlineLevel="0" collapsed="false">
      <c r="A129" s="15" t="s">
        <v>334</v>
      </c>
      <c r="B129" s="15" t="s">
        <v>10</v>
      </c>
      <c r="C129" s="15" t="s">
        <v>16</v>
      </c>
      <c r="D129" s="15" t="s">
        <v>58</v>
      </c>
      <c r="E129" s="15" t="s">
        <v>19</v>
      </c>
      <c r="F129" s="15" t="n">
        <v>1</v>
      </c>
      <c r="G129" s="15" t="s">
        <v>154</v>
      </c>
      <c r="H129" s="15" t="n">
        <v>128</v>
      </c>
      <c r="I129" s="15" t="s">
        <v>58</v>
      </c>
      <c r="J129" s="15" t="s">
        <v>205</v>
      </c>
      <c r="K129" s="15" t="s">
        <v>322</v>
      </c>
      <c r="L129" s="15" t="s">
        <v>183</v>
      </c>
      <c r="M129" s="15" t="s">
        <v>157</v>
      </c>
      <c r="N129" s="15" t="s">
        <v>166</v>
      </c>
      <c r="O129" s="15" t="s">
        <v>159</v>
      </c>
      <c r="P129" s="15" t="n">
        <v>4.753</v>
      </c>
      <c r="Q129" s="15" t="n">
        <v>4.751</v>
      </c>
      <c r="R129" s="15" t="n">
        <v>214</v>
      </c>
      <c r="S129" s="15" t="s">
        <v>160</v>
      </c>
      <c r="T129" s="15"/>
      <c r="U129" s="15"/>
      <c r="V129" s="15"/>
      <c r="W129" s="15"/>
      <c r="X129" s="15"/>
      <c r="Y129" s="15"/>
      <c r="Z129" s="15"/>
      <c r="AA129" s="15" t="n">
        <v>4</v>
      </c>
      <c r="AB129" s="15" t="n">
        <v>0</v>
      </c>
      <c r="AC129" s="15" t="s">
        <v>161</v>
      </c>
      <c r="AD129" s="15" t="s">
        <v>162</v>
      </c>
      <c r="AE129" s="15" t="s">
        <v>163</v>
      </c>
      <c r="AF129" s="15"/>
      <c r="AG129" s="24" t="n">
        <f aca="false">SUMIFS(Permissions!$G$2:$G$3000,Permissions!$B$2:$B$3000,$A129,Permissions!$I$2:$I$3000,"Complete",Permissions!$P$2:$P$3000,"Yes")</f>
        <v>0</v>
      </c>
      <c r="AH129" s="24" t="n">
        <f aca="false">SUMIFS(Permissions!$G$2:$G$3000,Permissions!$B$2:$B$3000,$A129,Permissions!$I$2:$I$3000,"Under construction",Permissions!$P$2:$P$3000,"Yes")</f>
        <v>0</v>
      </c>
      <c r="AI129" s="24" t="n">
        <f aca="false">SUMIFS(Permissions!$G$2:$G$3000,Permissions!$B$2:$B$3000,$A129,Permissions!$I$2:$I$3000,"Permitted – not started",Permissions!$P$2:$P$3000,"Yes")</f>
        <v>0</v>
      </c>
      <c r="AJ129" s="24" t="n">
        <f aca="false">SUMIFS(Permissions!$G$2:$G$3000,Permissions!$B$2:$B$3000,$A129,Permissions!$I$2:$I$3000,"Stalled",Permissions!$P$2:$P$3000,"Yes")</f>
        <v>0</v>
      </c>
      <c r="AK129" s="24" t="n">
        <f aca="false">AG129+AH129+AI129+AJ129</f>
        <v>0</v>
      </c>
      <c r="AL129" s="24" t="n">
        <f aca="false">SUMIFS(Permissions!$G$2:$G$3000,Permissions!$B$2:$B$3000,$A129,Permissions!$I$2:$I$3000,"Expired – not started",Permissions!$P$2:$P$3000,"Yes")</f>
        <v>0</v>
      </c>
      <c r="AM129" s="24" t="n">
        <f aca="false">SUMIFS(Permissions!$G$2:$G$3000,Permissions!$B$2:$B$3000,$A129,Permissions!$I$2:$I$3000,"In planning",Permissions!$P$2:$P$3000,"Yes")</f>
        <v>57</v>
      </c>
      <c r="AN129" s="24" t="n">
        <f aca="false">IF(R129="",0,MAX(R129-AK129,0))</f>
        <v>214</v>
      </c>
      <c r="AO129" s="25" t="n">
        <f aca="false">AK129+AN129</f>
        <v>214</v>
      </c>
      <c r="AP129" s="24" t="n">
        <f aca="false">AO129-AG129</f>
        <v>214</v>
      </c>
      <c r="AQ129" s="26" t="n">
        <f aca="false">SUMIFS(Permissions!$AH$2:$AH$3000,Permissions!$B$2:$B$3000,$A129,Permissions!$P$2:$P$3000,"Yes")</f>
        <v>0</v>
      </c>
      <c r="AR129" s="26" t="n">
        <f aca="false">SUMIFS(Permissions!$AI$2:$AI$3000,Permissions!$B$2:$B$3000,$A129,Permissions!$P$2:$P$3000,"Yes")</f>
        <v>0</v>
      </c>
      <c r="AS129" s="26" t="n">
        <f aca="false">SUMIFS(Permissions!$AJ$2:$AJ$3000,Permissions!$B$2:$B$3000,$A129,Permissions!$P$2:$P$3000,"Yes")</f>
        <v>0</v>
      </c>
      <c r="AT129" s="26" t="n">
        <f aca="false">SUMIFS(Permissions!$AK$2:$AK$3000,Permissions!$B$2:$B$3000,$A129,Permissions!$P$2:$P$3000,"Yes")</f>
        <v>0</v>
      </c>
      <c r="AU129" s="26" t="n">
        <f aca="false">SUMIFS(Permissions!$AL$2:$AL$3000,Permissions!$B$2:$B$3000,$A129,Permissions!$P$2:$P$3000,"Yes")</f>
        <v>0</v>
      </c>
      <c r="AV129" s="26" t="n">
        <f aca="false">SUMIFS(Permissions!$AM$2:$AM$3000,Permissions!$B$2:$B$3000,$A129,Permissions!$P$2:$P$3000,"Yes")</f>
        <v>0</v>
      </c>
      <c r="AW129" s="24" t="n">
        <f aca="false">COUNTIFS(Permissions!$B$2:$B$3000,$A129,Permissions!$P$2:$P$3000,"Yes")</f>
        <v>1</v>
      </c>
      <c r="AX129" s="24" t="n">
        <f aca="false">SUMIFS(Permissions!$L$2:$L$3000,Permissions!$B$2:$B$3000,$A129,Permissions!$P$2:$P$3000,"Yes")</f>
        <v>0</v>
      </c>
      <c r="AY129" s="27" t="str">
        <f aca="false">IF(AND(AK129&gt;0,AG129&gt;=AK129,AN129=0),"Built out",IF(AG129&gt;0,"Partly built",IF(AK129&gt;0,"Consented – not built","No consent")))</f>
        <v>No consent</v>
      </c>
      <c r="AZ129" s="28" t="str">
        <f aca="false">IF(AND(R129&lt;&gt;"",AK129&gt;1.1*R129),"Consented above capacity",IF(AND(LEFT(B129,8)="Planning",AW129=0),"Consent parcel with no permission",IF(COUNTIF($A$2:$A$3000,$A129)&gt;1,"Duplicate parcel_id","")))</f>
        <v/>
      </c>
    </row>
    <row r="130" customFormat="false" ht="15" hidden="false" customHeight="false" outlineLevel="0" collapsed="false">
      <c r="A130" s="15" t="s">
        <v>335</v>
      </c>
      <c r="B130" s="15" t="s">
        <v>10</v>
      </c>
      <c r="C130" s="15" t="s">
        <v>16</v>
      </c>
      <c r="D130" s="15" t="s">
        <v>58</v>
      </c>
      <c r="E130" s="15" t="s">
        <v>19</v>
      </c>
      <c r="F130" s="15" t="n">
        <v>0.67</v>
      </c>
      <c r="G130" s="15" t="s">
        <v>154</v>
      </c>
      <c r="H130" s="15" t="n">
        <v>158</v>
      </c>
      <c r="I130" s="15" t="s">
        <v>58</v>
      </c>
      <c r="J130" s="15" t="s">
        <v>176</v>
      </c>
      <c r="K130" s="15" t="s">
        <v>295</v>
      </c>
      <c r="L130" s="15" t="s">
        <v>170</v>
      </c>
      <c r="M130" s="15" t="s">
        <v>157</v>
      </c>
      <c r="N130" s="15" t="s">
        <v>166</v>
      </c>
      <c r="O130" s="15" t="s">
        <v>159</v>
      </c>
      <c r="P130" s="15" t="n">
        <v>0.938</v>
      </c>
      <c r="Q130" s="15" t="n">
        <v>0.938</v>
      </c>
      <c r="R130" s="15" t="n">
        <v>42</v>
      </c>
      <c r="S130" s="15" t="s">
        <v>160</v>
      </c>
      <c r="T130" s="15"/>
      <c r="U130" s="15"/>
      <c r="V130" s="15"/>
      <c r="W130" s="15"/>
      <c r="X130" s="15"/>
      <c r="Y130" s="15"/>
      <c r="Z130" s="15"/>
      <c r="AA130" s="15" t="n">
        <v>0</v>
      </c>
      <c r="AB130" s="15" t="n">
        <v>0</v>
      </c>
      <c r="AC130" s="15" t="s">
        <v>161</v>
      </c>
      <c r="AD130" s="15" t="s">
        <v>162</v>
      </c>
      <c r="AE130" s="15" t="s">
        <v>163</v>
      </c>
      <c r="AF130" s="15"/>
      <c r="AG130" s="24" t="n">
        <f aca="false">SUMIFS(Permissions!$G$2:$G$3000,Permissions!$B$2:$B$3000,$A130,Permissions!$I$2:$I$3000,"Complete",Permissions!$P$2:$P$3000,"Yes")</f>
        <v>0</v>
      </c>
      <c r="AH130" s="24" t="n">
        <f aca="false">SUMIFS(Permissions!$G$2:$G$3000,Permissions!$B$2:$B$3000,$A130,Permissions!$I$2:$I$3000,"Under construction",Permissions!$P$2:$P$3000,"Yes")</f>
        <v>0</v>
      </c>
      <c r="AI130" s="24" t="n">
        <f aca="false">SUMIFS(Permissions!$G$2:$G$3000,Permissions!$B$2:$B$3000,$A130,Permissions!$I$2:$I$3000,"Permitted – not started",Permissions!$P$2:$P$3000,"Yes")</f>
        <v>0</v>
      </c>
      <c r="AJ130" s="24" t="n">
        <f aca="false">SUMIFS(Permissions!$G$2:$G$3000,Permissions!$B$2:$B$3000,$A130,Permissions!$I$2:$I$3000,"Stalled",Permissions!$P$2:$P$3000,"Yes")</f>
        <v>0</v>
      </c>
      <c r="AK130" s="24" t="n">
        <f aca="false">AG130+AH130+AI130+AJ130</f>
        <v>0</v>
      </c>
      <c r="AL130" s="24" t="n">
        <f aca="false">SUMIFS(Permissions!$G$2:$G$3000,Permissions!$B$2:$B$3000,$A130,Permissions!$I$2:$I$3000,"Expired – not started",Permissions!$P$2:$P$3000,"Yes")</f>
        <v>0</v>
      </c>
      <c r="AM130" s="24" t="n">
        <f aca="false">SUMIFS(Permissions!$G$2:$G$3000,Permissions!$B$2:$B$3000,$A130,Permissions!$I$2:$I$3000,"In planning",Permissions!$P$2:$P$3000,"Yes")</f>
        <v>0</v>
      </c>
      <c r="AN130" s="24" t="n">
        <f aca="false">IF(R130="",0,MAX(R130-AK130,0))</f>
        <v>42</v>
      </c>
      <c r="AO130" s="25" t="n">
        <f aca="false">AK130+AN130</f>
        <v>42</v>
      </c>
      <c r="AP130" s="24" t="n">
        <f aca="false">AO130-AG130</f>
        <v>42</v>
      </c>
      <c r="AQ130" s="26" t="n">
        <f aca="false">SUMIFS(Permissions!$AH$2:$AH$3000,Permissions!$B$2:$B$3000,$A130,Permissions!$P$2:$P$3000,"Yes")</f>
        <v>0</v>
      </c>
      <c r="AR130" s="26" t="n">
        <f aca="false">SUMIFS(Permissions!$AI$2:$AI$3000,Permissions!$B$2:$B$3000,$A130,Permissions!$P$2:$P$3000,"Yes")</f>
        <v>0</v>
      </c>
      <c r="AS130" s="26" t="n">
        <f aca="false">SUMIFS(Permissions!$AJ$2:$AJ$3000,Permissions!$B$2:$B$3000,$A130,Permissions!$P$2:$P$3000,"Yes")</f>
        <v>0</v>
      </c>
      <c r="AT130" s="26" t="n">
        <f aca="false">SUMIFS(Permissions!$AK$2:$AK$3000,Permissions!$B$2:$B$3000,$A130,Permissions!$P$2:$P$3000,"Yes")</f>
        <v>0</v>
      </c>
      <c r="AU130" s="26" t="n">
        <f aca="false">SUMIFS(Permissions!$AL$2:$AL$3000,Permissions!$B$2:$B$3000,$A130,Permissions!$P$2:$P$3000,"Yes")</f>
        <v>0</v>
      </c>
      <c r="AV130" s="26" t="n">
        <f aca="false">SUMIFS(Permissions!$AM$2:$AM$3000,Permissions!$B$2:$B$3000,$A130,Permissions!$P$2:$P$3000,"Yes")</f>
        <v>0</v>
      </c>
      <c r="AW130" s="24" t="n">
        <f aca="false">COUNTIFS(Permissions!$B$2:$B$3000,$A130,Permissions!$P$2:$P$3000,"Yes")</f>
        <v>0</v>
      </c>
      <c r="AX130" s="24" t="n">
        <f aca="false">SUMIFS(Permissions!$L$2:$L$3000,Permissions!$B$2:$B$3000,$A130,Permissions!$P$2:$P$3000,"Yes")</f>
        <v>0</v>
      </c>
      <c r="AY130" s="27" t="str">
        <f aca="false">IF(AND(AK130&gt;0,AG130&gt;=AK130,AN130=0),"Built out",IF(AG130&gt;0,"Partly built",IF(AK130&gt;0,"Consented – not built","No consent")))</f>
        <v>No consent</v>
      </c>
      <c r="AZ130" s="28" t="str">
        <f aca="false">IF(AND(R130&lt;&gt;"",AK130&gt;1.1*R130),"Consented above capacity",IF(AND(LEFT(B130,8)="Planning",AW130=0),"Consent parcel with no permission",IF(COUNTIF($A$2:$A$3000,$A130)&gt;1,"Duplicate parcel_id","")))</f>
        <v/>
      </c>
    </row>
    <row r="131" customFormat="false" ht="15" hidden="false" customHeight="false" outlineLevel="0" collapsed="false">
      <c r="A131" s="15" t="s">
        <v>336</v>
      </c>
      <c r="B131" s="15" t="s">
        <v>10</v>
      </c>
      <c r="C131" s="15" t="s">
        <v>16</v>
      </c>
      <c r="D131" s="15" t="s">
        <v>58</v>
      </c>
      <c r="E131" s="15" t="s">
        <v>19</v>
      </c>
      <c r="F131" s="15" t="n">
        <v>0.51</v>
      </c>
      <c r="G131" s="15" t="s">
        <v>154</v>
      </c>
      <c r="H131" s="15" t="n">
        <v>74</v>
      </c>
      <c r="I131" s="15" t="s">
        <v>58</v>
      </c>
      <c r="J131" s="15" t="s">
        <v>205</v>
      </c>
      <c r="K131" s="15" t="s">
        <v>295</v>
      </c>
      <c r="L131" s="15" t="s">
        <v>170</v>
      </c>
      <c r="M131" s="15" t="s">
        <v>157</v>
      </c>
      <c r="N131" s="15" t="s">
        <v>166</v>
      </c>
      <c r="O131" s="15" t="s">
        <v>179</v>
      </c>
      <c r="P131" s="15" t="n">
        <v>0.543</v>
      </c>
      <c r="Q131" s="15" t="n">
        <v>0.544</v>
      </c>
      <c r="R131" s="15" t="n">
        <v>19</v>
      </c>
      <c r="S131" s="15" t="s">
        <v>160</v>
      </c>
      <c r="T131" s="15"/>
      <c r="U131" s="15"/>
      <c r="V131" s="15"/>
      <c r="W131" s="15"/>
      <c r="X131" s="15"/>
      <c r="Y131" s="15"/>
      <c r="Z131" s="15"/>
      <c r="AA131" s="15" t="n">
        <v>0</v>
      </c>
      <c r="AB131" s="15" t="n">
        <v>0</v>
      </c>
      <c r="AC131" s="15" t="s">
        <v>161</v>
      </c>
      <c r="AD131" s="15" t="s">
        <v>162</v>
      </c>
      <c r="AE131" s="15" t="s">
        <v>163</v>
      </c>
      <c r="AF131" s="15"/>
      <c r="AG131" s="24" t="n">
        <f aca="false">SUMIFS(Permissions!$G$2:$G$3000,Permissions!$B$2:$B$3000,$A131,Permissions!$I$2:$I$3000,"Complete",Permissions!$P$2:$P$3000,"Yes")</f>
        <v>0</v>
      </c>
      <c r="AH131" s="24" t="n">
        <f aca="false">SUMIFS(Permissions!$G$2:$G$3000,Permissions!$B$2:$B$3000,$A131,Permissions!$I$2:$I$3000,"Under construction",Permissions!$P$2:$P$3000,"Yes")</f>
        <v>31</v>
      </c>
      <c r="AI131" s="24" t="n">
        <f aca="false">SUMIFS(Permissions!$G$2:$G$3000,Permissions!$B$2:$B$3000,$A131,Permissions!$I$2:$I$3000,"Permitted – not started",Permissions!$P$2:$P$3000,"Yes")</f>
        <v>0</v>
      </c>
      <c r="AJ131" s="24" t="n">
        <f aca="false">SUMIFS(Permissions!$G$2:$G$3000,Permissions!$B$2:$B$3000,$A131,Permissions!$I$2:$I$3000,"Stalled",Permissions!$P$2:$P$3000,"Yes")</f>
        <v>0</v>
      </c>
      <c r="AK131" s="24" t="n">
        <f aca="false">AG131+AH131+AI131+AJ131</f>
        <v>31</v>
      </c>
      <c r="AL131" s="24" t="n">
        <f aca="false">SUMIFS(Permissions!$G$2:$G$3000,Permissions!$B$2:$B$3000,$A131,Permissions!$I$2:$I$3000,"Expired – not started",Permissions!$P$2:$P$3000,"Yes")</f>
        <v>0</v>
      </c>
      <c r="AM131" s="24" t="n">
        <f aca="false">SUMIFS(Permissions!$G$2:$G$3000,Permissions!$B$2:$B$3000,$A131,Permissions!$I$2:$I$3000,"In planning",Permissions!$P$2:$P$3000,"Yes")</f>
        <v>0</v>
      </c>
      <c r="AN131" s="24" t="n">
        <f aca="false">IF(R131="",0,MAX(R131-AK131,0))</f>
        <v>0</v>
      </c>
      <c r="AO131" s="25" t="n">
        <f aca="false">AK131+AN131</f>
        <v>31</v>
      </c>
      <c r="AP131" s="24" t="n">
        <f aca="false">AO131-AG131</f>
        <v>31</v>
      </c>
      <c r="AQ131" s="26" t="n">
        <f aca="false">SUMIFS(Permissions!$AH$2:$AH$3000,Permissions!$B$2:$B$3000,$A131,Permissions!$P$2:$P$3000,"Yes")</f>
        <v>0</v>
      </c>
      <c r="AR131" s="26" t="n">
        <f aca="false">SUMIFS(Permissions!$AI$2:$AI$3000,Permissions!$B$2:$B$3000,$A131,Permissions!$P$2:$P$3000,"Yes")</f>
        <v>28.5</v>
      </c>
      <c r="AS131" s="26" t="n">
        <f aca="false">SUMIFS(Permissions!$AJ$2:$AJ$3000,Permissions!$B$2:$B$3000,$A131,Permissions!$P$2:$P$3000,"Yes")</f>
        <v>2.5</v>
      </c>
      <c r="AT131" s="26" t="n">
        <f aca="false">SUMIFS(Permissions!$AK$2:$AK$3000,Permissions!$B$2:$B$3000,$A131,Permissions!$P$2:$P$3000,"Yes")</f>
        <v>0</v>
      </c>
      <c r="AU131" s="26" t="n">
        <f aca="false">SUMIFS(Permissions!$AL$2:$AL$3000,Permissions!$B$2:$B$3000,$A131,Permissions!$P$2:$P$3000,"Yes")</f>
        <v>0</v>
      </c>
      <c r="AV131" s="26" t="n">
        <f aca="false">SUMIFS(Permissions!$AM$2:$AM$3000,Permissions!$B$2:$B$3000,$A131,Permissions!$P$2:$P$3000,"Yes")</f>
        <v>0</v>
      </c>
      <c r="AW131" s="24" t="n">
        <f aca="false">COUNTIFS(Permissions!$B$2:$B$3000,$A131,Permissions!$P$2:$P$3000,"Yes")</f>
        <v>1</v>
      </c>
      <c r="AX131" s="24" t="n">
        <f aca="false">SUMIFS(Permissions!$L$2:$L$3000,Permissions!$B$2:$B$3000,$A131,Permissions!$P$2:$P$3000,"Yes")</f>
        <v>0</v>
      </c>
      <c r="AY131" s="27" t="str">
        <f aca="false">IF(AND(AK131&gt;0,AG131&gt;=AK131,AN131=0),"Built out",IF(AG131&gt;0,"Partly built",IF(AK131&gt;0,"Consented – not built","No consent")))</f>
        <v>Consented – not built</v>
      </c>
      <c r="AZ131" s="28" t="str">
        <f aca="false">IF(AND(R131&lt;&gt;"",AK131&gt;1.1*R131),"Consented above capacity",IF(AND(LEFT(B131,8)="Planning",AW131=0),"Consent parcel with no permission",IF(COUNTIF($A$2:$A$3000,$A131)&gt;1,"Duplicate parcel_id","")))</f>
        <v>Consented above capacity</v>
      </c>
    </row>
    <row r="132" customFormat="false" ht="15" hidden="false" customHeight="false" outlineLevel="0" collapsed="false">
      <c r="A132" s="15" t="s">
        <v>337</v>
      </c>
      <c r="B132" s="15" t="s">
        <v>10</v>
      </c>
      <c r="C132" s="15" t="s">
        <v>16</v>
      </c>
      <c r="D132" s="15" t="s">
        <v>58</v>
      </c>
      <c r="E132" s="15" t="s">
        <v>19</v>
      </c>
      <c r="F132" s="15" t="n">
        <v>0.81</v>
      </c>
      <c r="G132" s="15" t="s">
        <v>154</v>
      </c>
      <c r="H132" s="15" t="n">
        <v>76</v>
      </c>
      <c r="I132" s="15" t="s">
        <v>58</v>
      </c>
      <c r="J132" s="15" t="s">
        <v>205</v>
      </c>
      <c r="K132" s="15" t="s">
        <v>295</v>
      </c>
      <c r="L132" s="15" t="s">
        <v>170</v>
      </c>
      <c r="M132" s="15" t="s">
        <v>184</v>
      </c>
      <c r="N132" s="15" t="s">
        <v>158</v>
      </c>
      <c r="O132" s="15" t="s">
        <v>159</v>
      </c>
      <c r="P132" s="15" t="n">
        <v>3.169</v>
      </c>
      <c r="Q132" s="15" t="n">
        <v>6.601</v>
      </c>
      <c r="R132" s="15" t="n">
        <v>245</v>
      </c>
      <c r="S132" s="15" t="s">
        <v>160</v>
      </c>
      <c r="T132" s="15"/>
      <c r="U132" s="15"/>
      <c r="V132" s="15"/>
      <c r="W132" s="15"/>
      <c r="X132" s="15"/>
      <c r="Y132" s="15"/>
      <c r="Z132" s="15"/>
      <c r="AA132" s="15" t="n">
        <v>0</v>
      </c>
      <c r="AB132" s="15" t="n">
        <v>0</v>
      </c>
      <c r="AC132" s="15" t="s">
        <v>161</v>
      </c>
      <c r="AD132" s="15" t="s">
        <v>162</v>
      </c>
      <c r="AE132" s="15" t="s">
        <v>163</v>
      </c>
      <c r="AF132" s="15"/>
      <c r="AG132" s="24" t="n">
        <f aca="false">SUMIFS(Permissions!$G$2:$G$3000,Permissions!$B$2:$B$3000,$A132,Permissions!$I$2:$I$3000,"Complete",Permissions!$P$2:$P$3000,"Yes")</f>
        <v>0</v>
      </c>
      <c r="AH132" s="24" t="n">
        <f aca="false">SUMIFS(Permissions!$G$2:$G$3000,Permissions!$B$2:$B$3000,$A132,Permissions!$I$2:$I$3000,"Under construction",Permissions!$P$2:$P$3000,"Yes")</f>
        <v>0</v>
      </c>
      <c r="AI132" s="24" t="n">
        <f aca="false">SUMIFS(Permissions!$G$2:$G$3000,Permissions!$B$2:$B$3000,$A132,Permissions!$I$2:$I$3000,"Permitted – not started",Permissions!$P$2:$P$3000,"Yes")</f>
        <v>403</v>
      </c>
      <c r="AJ132" s="24" t="n">
        <f aca="false">SUMIFS(Permissions!$G$2:$G$3000,Permissions!$B$2:$B$3000,$A132,Permissions!$I$2:$I$3000,"Stalled",Permissions!$P$2:$P$3000,"Yes")</f>
        <v>0</v>
      </c>
      <c r="AK132" s="24" t="n">
        <f aca="false">AG132+AH132+AI132+AJ132</f>
        <v>403</v>
      </c>
      <c r="AL132" s="24" t="n">
        <f aca="false">SUMIFS(Permissions!$G$2:$G$3000,Permissions!$B$2:$B$3000,$A132,Permissions!$I$2:$I$3000,"Expired – not started",Permissions!$P$2:$P$3000,"Yes")</f>
        <v>0</v>
      </c>
      <c r="AM132" s="24" t="n">
        <f aca="false">SUMIFS(Permissions!$G$2:$G$3000,Permissions!$B$2:$B$3000,$A132,Permissions!$I$2:$I$3000,"In planning",Permissions!$P$2:$P$3000,"Yes")</f>
        <v>0</v>
      </c>
      <c r="AN132" s="24" t="n">
        <f aca="false">IF(R132="",0,MAX(R132-AK132,0))</f>
        <v>0</v>
      </c>
      <c r="AO132" s="25" t="n">
        <f aca="false">AK132+AN132</f>
        <v>403</v>
      </c>
      <c r="AP132" s="24" t="n">
        <f aca="false">AO132-AG132</f>
        <v>403</v>
      </c>
      <c r="AQ132" s="26" t="n">
        <f aca="false">SUMIFS(Permissions!$AH$2:$AH$3000,Permissions!$B$2:$B$3000,$A132,Permissions!$P$2:$P$3000,"Yes")</f>
        <v>0</v>
      </c>
      <c r="AR132" s="26" t="n">
        <f aca="false">SUMIFS(Permissions!$AI$2:$AI$3000,Permissions!$B$2:$B$3000,$A132,Permissions!$P$2:$P$3000,"Yes")</f>
        <v>0</v>
      </c>
      <c r="AS132" s="26" t="n">
        <f aca="false">SUMIFS(Permissions!$AJ$2:$AJ$3000,Permissions!$B$2:$B$3000,$A132,Permissions!$P$2:$P$3000,"Yes")</f>
        <v>0</v>
      </c>
      <c r="AT132" s="26" t="n">
        <f aca="false">SUMIFS(Permissions!$AK$2:$AK$3000,Permissions!$B$2:$B$3000,$A132,Permissions!$P$2:$P$3000,"Yes")</f>
        <v>41.6</v>
      </c>
      <c r="AU132" s="26" t="n">
        <f aca="false">SUMIFS(Permissions!$AL$2:$AL$3000,Permissions!$B$2:$B$3000,$A132,Permissions!$P$2:$P$3000,"Yes")</f>
        <v>57.4</v>
      </c>
      <c r="AV132" s="26" t="n">
        <f aca="false">SUMIFS(Permissions!$AM$2:$AM$3000,Permissions!$B$2:$B$3000,$A132,Permissions!$P$2:$P$3000,"Yes")</f>
        <v>304</v>
      </c>
      <c r="AW132" s="24" t="n">
        <f aca="false">COUNTIFS(Permissions!$B$2:$B$3000,$A132,Permissions!$P$2:$P$3000,"Yes")</f>
        <v>1</v>
      </c>
      <c r="AX132" s="24" t="n">
        <f aca="false">SUMIFS(Permissions!$L$2:$L$3000,Permissions!$B$2:$B$3000,$A132,Permissions!$P$2:$P$3000,"Yes")</f>
        <v>0</v>
      </c>
      <c r="AY132" s="27" t="str">
        <f aca="false">IF(AND(AK132&gt;0,AG132&gt;=AK132,AN132=0),"Built out",IF(AG132&gt;0,"Partly built",IF(AK132&gt;0,"Consented – not built","No consent")))</f>
        <v>Consented – not built</v>
      </c>
      <c r="AZ132" s="28" t="str">
        <f aca="false">IF(AND(R132&lt;&gt;"",AK132&gt;1.1*R132),"Consented above capacity",IF(AND(LEFT(B132,8)="Planning",AW132=0),"Consent parcel with no permission",IF(COUNTIF($A$2:$A$3000,$A132)&gt;1,"Duplicate parcel_id","")))</f>
        <v>Consented above capacity</v>
      </c>
    </row>
    <row r="133" customFormat="false" ht="15" hidden="false" customHeight="false" outlineLevel="0" collapsed="false">
      <c r="A133" s="15" t="s">
        <v>338</v>
      </c>
      <c r="B133" s="15" t="s">
        <v>11</v>
      </c>
      <c r="C133" s="15" t="s">
        <v>16</v>
      </c>
      <c r="D133" s="15" t="s">
        <v>51</v>
      </c>
      <c r="E133" s="15" t="s">
        <v>19</v>
      </c>
      <c r="F133" s="15" t="n">
        <v>1</v>
      </c>
      <c r="G133" s="15" t="s">
        <v>154</v>
      </c>
      <c r="H133" s="15" t="n">
        <v>2</v>
      </c>
      <c r="I133" s="15" t="s">
        <v>51</v>
      </c>
      <c r="J133" s="15" t="s">
        <v>176</v>
      </c>
      <c r="K133" s="15" t="s">
        <v>177</v>
      </c>
      <c r="L133" s="15" t="s">
        <v>170</v>
      </c>
      <c r="M133" s="15" t="s">
        <v>157</v>
      </c>
      <c r="N133" s="15" t="s">
        <v>178</v>
      </c>
      <c r="O133" s="15" t="s">
        <v>179</v>
      </c>
      <c r="P133" s="15" t="n">
        <v>2.193</v>
      </c>
      <c r="Q133" s="15" t="n">
        <v>2.394</v>
      </c>
      <c r="R133" s="15" t="n">
        <v>77</v>
      </c>
      <c r="S133" s="15" t="s">
        <v>160</v>
      </c>
      <c r="T133" s="15"/>
      <c r="U133" s="15"/>
      <c r="V133" s="15"/>
      <c r="W133" s="15"/>
      <c r="X133" s="15"/>
      <c r="Y133" s="15"/>
      <c r="Z133" s="15"/>
      <c r="AA133" s="15" t="n">
        <v>5</v>
      </c>
      <c r="AB133" s="15" t="n">
        <v>5</v>
      </c>
      <c r="AC133" s="15" t="s">
        <v>161</v>
      </c>
      <c r="AD133" s="15" t="s">
        <v>339</v>
      </c>
      <c r="AE133" s="15" t="s">
        <v>163</v>
      </c>
      <c r="AF133" s="15"/>
      <c r="AG133" s="24" t="n">
        <f aca="false">SUMIFS(Permissions!$G$2:$G$3000,Permissions!$B$2:$B$3000,$A133,Permissions!$I$2:$I$3000,"Complete",Permissions!$P$2:$P$3000,"Yes")</f>
        <v>0</v>
      </c>
      <c r="AH133" s="24" t="n">
        <f aca="false">SUMIFS(Permissions!$G$2:$G$3000,Permissions!$B$2:$B$3000,$A133,Permissions!$I$2:$I$3000,"Under construction",Permissions!$P$2:$P$3000,"Yes")</f>
        <v>0</v>
      </c>
      <c r="AI133" s="24" t="n">
        <f aca="false">SUMIFS(Permissions!$G$2:$G$3000,Permissions!$B$2:$B$3000,$A133,Permissions!$I$2:$I$3000,"Permitted – not started",Permissions!$P$2:$P$3000,"Yes")</f>
        <v>0</v>
      </c>
      <c r="AJ133" s="24" t="n">
        <f aca="false">SUMIFS(Permissions!$G$2:$G$3000,Permissions!$B$2:$B$3000,$A133,Permissions!$I$2:$I$3000,"Stalled",Permissions!$P$2:$P$3000,"Yes")</f>
        <v>0</v>
      </c>
      <c r="AK133" s="24" t="n">
        <f aca="false">AG133+AH133+AI133+AJ133</f>
        <v>0</v>
      </c>
      <c r="AL133" s="24" t="n">
        <f aca="false">SUMIFS(Permissions!$G$2:$G$3000,Permissions!$B$2:$B$3000,$A133,Permissions!$I$2:$I$3000,"Expired – not started",Permissions!$P$2:$P$3000,"Yes")</f>
        <v>0</v>
      </c>
      <c r="AM133" s="24" t="n">
        <f aca="false">SUMIFS(Permissions!$G$2:$G$3000,Permissions!$B$2:$B$3000,$A133,Permissions!$I$2:$I$3000,"In planning",Permissions!$P$2:$P$3000,"Yes")</f>
        <v>0</v>
      </c>
      <c r="AN133" s="24" t="n">
        <f aca="false">IF(R133="",0,MAX(R133-AK133,0))</f>
        <v>77</v>
      </c>
      <c r="AO133" s="25" t="n">
        <f aca="false">AK133+AN133</f>
        <v>77</v>
      </c>
      <c r="AP133" s="24" t="n">
        <f aca="false">AO133-AG133</f>
        <v>77</v>
      </c>
      <c r="AQ133" s="26" t="n">
        <f aca="false">SUMIFS(Permissions!$AH$2:$AH$3000,Permissions!$B$2:$B$3000,$A133,Permissions!$P$2:$P$3000,"Yes")</f>
        <v>0</v>
      </c>
      <c r="AR133" s="26" t="n">
        <f aca="false">SUMIFS(Permissions!$AI$2:$AI$3000,Permissions!$B$2:$B$3000,$A133,Permissions!$P$2:$P$3000,"Yes")</f>
        <v>0</v>
      </c>
      <c r="AS133" s="26" t="n">
        <f aca="false">SUMIFS(Permissions!$AJ$2:$AJ$3000,Permissions!$B$2:$B$3000,$A133,Permissions!$P$2:$P$3000,"Yes")</f>
        <v>0</v>
      </c>
      <c r="AT133" s="26" t="n">
        <f aca="false">SUMIFS(Permissions!$AK$2:$AK$3000,Permissions!$B$2:$B$3000,$A133,Permissions!$P$2:$P$3000,"Yes")</f>
        <v>0</v>
      </c>
      <c r="AU133" s="26" t="n">
        <f aca="false">SUMIFS(Permissions!$AL$2:$AL$3000,Permissions!$B$2:$B$3000,$A133,Permissions!$P$2:$P$3000,"Yes")</f>
        <v>0</v>
      </c>
      <c r="AV133" s="26" t="n">
        <f aca="false">SUMIFS(Permissions!$AM$2:$AM$3000,Permissions!$B$2:$B$3000,$A133,Permissions!$P$2:$P$3000,"Yes")</f>
        <v>0</v>
      </c>
      <c r="AW133" s="24" t="n">
        <f aca="false">COUNTIFS(Permissions!$B$2:$B$3000,$A133,Permissions!$P$2:$P$3000,"Yes")</f>
        <v>0</v>
      </c>
      <c r="AX133" s="24" t="n">
        <f aca="false">SUMIFS(Permissions!$L$2:$L$3000,Permissions!$B$2:$B$3000,$A133,Permissions!$P$2:$P$3000,"Yes")</f>
        <v>0</v>
      </c>
      <c r="AY133" s="27" t="str">
        <f aca="false">IF(AND(AK133&gt;0,AG133&gt;=AK133,AN133=0),"Built out",IF(AG133&gt;0,"Partly built",IF(AK133&gt;0,"Consented – not built","No consent")))</f>
        <v>No consent</v>
      </c>
      <c r="AZ133" s="28" t="str">
        <f aca="false">IF(AND(R133&lt;&gt;"",AK133&gt;1.1*R133),"Consented above capacity",IF(AND(LEFT(B133,8)="Planning",AW133=0),"Consent parcel with no permission",IF(COUNTIF($A$2:$A$3000,$A133)&gt;1,"Duplicate parcel_id","")))</f>
        <v/>
      </c>
    </row>
    <row r="134" customFormat="false" ht="15" hidden="false" customHeight="false" outlineLevel="0" collapsed="false">
      <c r="A134" s="15" t="s">
        <v>340</v>
      </c>
      <c r="B134" s="15" t="s">
        <v>11</v>
      </c>
      <c r="C134" s="15" t="s">
        <v>16</v>
      </c>
      <c r="D134" s="15" t="s">
        <v>56</v>
      </c>
      <c r="E134" s="15" t="s">
        <v>19</v>
      </c>
      <c r="F134" s="15" t="n">
        <v>1</v>
      </c>
      <c r="G134" s="15" t="s">
        <v>154</v>
      </c>
      <c r="H134" s="15" t="n">
        <v>35</v>
      </c>
      <c r="I134" s="15" t="s">
        <v>56</v>
      </c>
      <c r="J134" s="15" t="s">
        <v>176</v>
      </c>
      <c r="K134" s="15" t="s">
        <v>254</v>
      </c>
      <c r="L134" s="15" t="s">
        <v>156</v>
      </c>
      <c r="M134" s="15" t="s">
        <v>157</v>
      </c>
      <c r="N134" s="15" t="s">
        <v>166</v>
      </c>
      <c r="O134" s="15" t="s">
        <v>159</v>
      </c>
      <c r="P134" s="15" t="n">
        <v>0.454</v>
      </c>
      <c r="Q134" s="15" t="n">
        <v>0.455</v>
      </c>
      <c r="R134" s="15" t="n">
        <v>27</v>
      </c>
      <c r="S134" s="15" t="s">
        <v>160</v>
      </c>
      <c r="T134" s="15"/>
      <c r="U134" s="15"/>
      <c r="V134" s="15"/>
      <c r="W134" s="15"/>
      <c r="X134" s="15"/>
      <c r="Y134" s="15"/>
      <c r="Z134" s="15"/>
      <c r="AA134" s="15" t="n">
        <v>0</v>
      </c>
      <c r="AB134" s="15" t="n">
        <v>0</v>
      </c>
      <c r="AC134" s="15" t="s">
        <v>180</v>
      </c>
      <c r="AD134" s="15" t="s">
        <v>341</v>
      </c>
      <c r="AE134" s="15" t="s">
        <v>163</v>
      </c>
      <c r="AF134" s="15"/>
      <c r="AG134" s="24" t="n">
        <f aca="false">SUMIFS(Permissions!$G$2:$G$3000,Permissions!$B$2:$B$3000,$A134,Permissions!$I$2:$I$3000,"Complete",Permissions!$P$2:$P$3000,"Yes")</f>
        <v>0</v>
      </c>
      <c r="AH134" s="24" t="n">
        <f aca="false">SUMIFS(Permissions!$G$2:$G$3000,Permissions!$B$2:$B$3000,$A134,Permissions!$I$2:$I$3000,"Under construction",Permissions!$P$2:$P$3000,"Yes")</f>
        <v>0</v>
      </c>
      <c r="AI134" s="24" t="n">
        <f aca="false">SUMIFS(Permissions!$G$2:$G$3000,Permissions!$B$2:$B$3000,$A134,Permissions!$I$2:$I$3000,"Permitted – not started",Permissions!$P$2:$P$3000,"Yes")</f>
        <v>27</v>
      </c>
      <c r="AJ134" s="24" t="n">
        <f aca="false">SUMIFS(Permissions!$G$2:$G$3000,Permissions!$B$2:$B$3000,$A134,Permissions!$I$2:$I$3000,"Stalled",Permissions!$P$2:$P$3000,"Yes")</f>
        <v>0</v>
      </c>
      <c r="AK134" s="24" t="n">
        <f aca="false">AG134+AH134+AI134+AJ134</f>
        <v>27</v>
      </c>
      <c r="AL134" s="24" t="n">
        <f aca="false">SUMIFS(Permissions!$G$2:$G$3000,Permissions!$B$2:$B$3000,$A134,Permissions!$I$2:$I$3000,"Expired – not started",Permissions!$P$2:$P$3000,"Yes")</f>
        <v>0</v>
      </c>
      <c r="AM134" s="24" t="n">
        <f aca="false">SUMIFS(Permissions!$G$2:$G$3000,Permissions!$B$2:$B$3000,$A134,Permissions!$I$2:$I$3000,"In planning",Permissions!$P$2:$P$3000,"Yes")</f>
        <v>0</v>
      </c>
      <c r="AN134" s="24" t="n">
        <f aca="false">IF(R134="",0,MAX(R134-AK134,0))</f>
        <v>0</v>
      </c>
      <c r="AO134" s="25" t="n">
        <f aca="false">AK134+AN134</f>
        <v>27</v>
      </c>
      <c r="AP134" s="24" t="n">
        <f aca="false">AO134-AG134</f>
        <v>27</v>
      </c>
      <c r="AQ134" s="26" t="n">
        <f aca="false">SUMIFS(Permissions!$AH$2:$AH$3000,Permissions!$B$2:$B$3000,$A134,Permissions!$P$2:$P$3000,"Yes")</f>
        <v>0</v>
      </c>
      <c r="AR134" s="26" t="n">
        <f aca="false">SUMIFS(Permissions!$AI$2:$AI$3000,Permissions!$B$2:$B$3000,$A134,Permissions!$P$2:$P$3000,"Yes")</f>
        <v>0</v>
      </c>
      <c r="AS134" s="26" t="n">
        <f aca="false">SUMIFS(Permissions!$AJ$2:$AJ$3000,Permissions!$B$2:$B$3000,$A134,Permissions!$P$2:$P$3000,"Yes")</f>
        <v>20.5</v>
      </c>
      <c r="AT134" s="26" t="n">
        <f aca="false">SUMIFS(Permissions!$AK$2:$AK$3000,Permissions!$B$2:$B$3000,$A134,Permissions!$P$2:$P$3000,"Yes")</f>
        <v>6.5</v>
      </c>
      <c r="AU134" s="26" t="n">
        <f aca="false">SUMIFS(Permissions!$AL$2:$AL$3000,Permissions!$B$2:$B$3000,$A134,Permissions!$P$2:$P$3000,"Yes")</f>
        <v>0</v>
      </c>
      <c r="AV134" s="26" t="n">
        <f aca="false">SUMIFS(Permissions!$AM$2:$AM$3000,Permissions!$B$2:$B$3000,$A134,Permissions!$P$2:$P$3000,"Yes")</f>
        <v>0</v>
      </c>
      <c r="AW134" s="24" t="n">
        <f aca="false">COUNTIFS(Permissions!$B$2:$B$3000,$A134,Permissions!$P$2:$P$3000,"Yes")</f>
        <v>1</v>
      </c>
      <c r="AX134" s="24" t="n">
        <f aca="false">SUMIFS(Permissions!$L$2:$L$3000,Permissions!$B$2:$B$3000,$A134,Permissions!$P$2:$P$3000,"Yes")</f>
        <v>0</v>
      </c>
      <c r="AY134" s="27" t="str">
        <f aca="false">IF(AND(AK134&gt;0,AG134&gt;=AK134,AN134=0),"Built out",IF(AG134&gt;0,"Partly built",IF(AK134&gt;0,"Consented – not built","No consent")))</f>
        <v>Consented – not built</v>
      </c>
      <c r="AZ134" s="28" t="str">
        <f aca="false">IF(AND(R134&lt;&gt;"",AK134&gt;1.1*R134),"Consented above capacity",IF(AND(LEFT(B134,8)="Planning",AW134=0),"Consent parcel with no permission",IF(COUNTIF($A$2:$A$3000,$A134)&gt;1,"Duplicate parcel_id","")))</f>
        <v/>
      </c>
    </row>
    <row r="135" customFormat="false" ht="15" hidden="false" customHeight="false" outlineLevel="0" collapsed="false">
      <c r="A135" s="15" t="s">
        <v>342</v>
      </c>
      <c r="B135" s="15" t="s">
        <v>11</v>
      </c>
      <c r="C135" s="15" t="s">
        <v>16</v>
      </c>
      <c r="D135" s="15" t="s">
        <v>58</v>
      </c>
      <c r="E135" s="15" t="s">
        <v>19</v>
      </c>
      <c r="F135" s="15" t="n">
        <v>0.99</v>
      </c>
      <c r="G135" s="15" t="s">
        <v>154</v>
      </c>
      <c r="H135" s="15" t="n">
        <v>112</v>
      </c>
      <c r="I135" s="15" t="s">
        <v>58</v>
      </c>
      <c r="J135" s="15" t="s">
        <v>205</v>
      </c>
      <c r="K135" s="15" t="s">
        <v>53</v>
      </c>
      <c r="L135" s="15" t="s">
        <v>156</v>
      </c>
      <c r="M135" s="15" t="s">
        <v>157</v>
      </c>
      <c r="N135" s="15" t="s">
        <v>166</v>
      </c>
      <c r="O135" s="15" t="s">
        <v>159</v>
      </c>
      <c r="P135" s="15" t="n">
        <v>1.346</v>
      </c>
      <c r="Q135" s="15" t="n">
        <v>1.346</v>
      </c>
      <c r="R135" s="15" t="n">
        <v>61</v>
      </c>
      <c r="S135" s="15" t="s">
        <v>160</v>
      </c>
      <c r="T135" s="15"/>
      <c r="U135" s="15"/>
      <c r="V135" s="15"/>
      <c r="W135" s="15"/>
      <c r="X135" s="15"/>
      <c r="Y135" s="15"/>
      <c r="Z135" s="15"/>
      <c r="AA135" s="15" t="n">
        <v>0</v>
      </c>
      <c r="AB135" s="15" t="n">
        <v>0</v>
      </c>
      <c r="AC135" s="15" t="s">
        <v>161</v>
      </c>
      <c r="AD135" s="15" t="s">
        <v>343</v>
      </c>
      <c r="AE135" s="15" t="s">
        <v>163</v>
      </c>
      <c r="AF135" s="15"/>
      <c r="AG135" s="24" t="n">
        <f aca="false">SUMIFS(Permissions!$G$2:$G$3000,Permissions!$B$2:$B$3000,$A135,Permissions!$I$2:$I$3000,"Complete",Permissions!$P$2:$P$3000,"Yes")</f>
        <v>0</v>
      </c>
      <c r="AH135" s="24" t="n">
        <f aca="false">SUMIFS(Permissions!$G$2:$G$3000,Permissions!$B$2:$B$3000,$A135,Permissions!$I$2:$I$3000,"Under construction",Permissions!$P$2:$P$3000,"Yes")</f>
        <v>0</v>
      </c>
      <c r="AI135" s="24" t="n">
        <f aca="false">SUMIFS(Permissions!$G$2:$G$3000,Permissions!$B$2:$B$3000,$A135,Permissions!$I$2:$I$3000,"Permitted – not started",Permissions!$P$2:$P$3000,"Yes")</f>
        <v>0</v>
      </c>
      <c r="AJ135" s="24" t="n">
        <f aca="false">SUMIFS(Permissions!$G$2:$G$3000,Permissions!$B$2:$B$3000,$A135,Permissions!$I$2:$I$3000,"Stalled",Permissions!$P$2:$P$3000,"Yes")</f>
        <v>0</v>
      </c>
      <c r="AK135" s="24" t="n">
        <f aca="false">AG135+AH135+AI135+AJ135</f>
        <v>0</v>
      </c>
      <c r="AL135" s="24" t="n">
        <f aca="false">SUMIFS(Permissions!$G$2:$G$3000,Permissions!$B$2:$B$3000,$A135,Permissions!$I$2:$I$3000,"Expired – not started",Permissions!$P$2:$P$3000,"Yes")</f>
        <v>0</v>
      </c>
      <c r="AM135" s="24" t="n">
        <f aca="false">SUMIFS(Permissions!$G$2:$G$3000,Permissions!$B$2:$B$3000,$A135,Permissions!$I$2:$I$3000,"In planning",Permissions!$P$2:$P$3000,"Yes")</f>
        <v>0</v>
      </c>
      <c r="AN135" s="24" t="n">
        <f aca="false">IF(R135="",0,MAX(R135-AK135,0))</f>
        <v>61</v>
      </c>
      <c r="AO135" s="25" t="n">
        <f aca="false">AK135+AN135</f>
        <v>61</v>
      </c>
      <c r="AP135" s="24" t="n">
        <f aca="false">AO135-AG135</f>
        <v>61</v>
      </c>
      <c r="AQ135" s="26" t="n">
        <f aca="false">SUMIFS(Permissions!$AH$2:$AH$3000,Permissions!$B$2:$B$3000,$A135,Permissions!$P$2:$P$3000,"Yes")</f>
        <v>0</v>
      </c>
      <c r="AR135" s="26" t="n">
        <f aca="false">SUMIFS(Permissions!$AI$2:$AI$3000,Permissions!$B$2:$B$3000,$A135,Permissions!$P$2:$P$3000,"Yes")</f>
        <v>0</v>
      </c>
      <c r="AS135" s="26" t="n">
        <f aca="false">SUMIFS(Permissions!$AJ$2:$AJ$3000,Permissions!$B$2:$B$3000,$A135,Permissions!$P$2:$P$3000,"Yes")</f>
        <v>0</v>
      </c>
      <c r="AT135" s="26" t="n">
        <f aca="false">SUMIFS(Permissions!$AK$2:$AK$3000,Permissions!$B$2:$B$3000,$A135,Permissions!$P$2:$P$3000,"Yes")</f>
        <v>0</v>
      </c>
      <c r="AU135" s="26" t="n">
        <f aca="false">SUMIFS(Permissions!$AL$2:$AL$3000,Permissions!$B$2:$B$3000,$A135,Permissions!$P$2:$P$3000,"Yes")</f>
        <v>0</v>
      </c>
      <c r="AV135" s="26" t="n">
        <f aca="false">SUMIFS(Permissions!$AM$2:$AM$3000,Permissions!$B$2:$B$3000,$A135,Permissions!$P$2:$P$3000,"Yes")</f>
        <v>0</v>
      </c>
      <c r="AW135" s="24" t="n">
        <f aca="false">COUNTIFS(Permissions!$B$2:$B$3000,$A135,Permissions!$P$2:$P$3000,"Yes")</f>
        <v>0</v>
      </c>
      <c r="AX135" s="24" t="n">
        <f aca="false">SUMIFS(Permissions!$L$2:$L$3000,Permissions!$B$2:$B$3000,$A135,Permissions!$P$2:$P$3000,"Yes")</f>
        <v>0</v>
      </c>
      <c r="AY135" s="27" t="str">
        <f aca="false">IF(AND(AK135&gt;0,AG135&gt;=AK135,AN135=0),"Built out",IF(AG135&gt;0,"Partly built",IF(AK135&gt;0,"Consented – not built","No consent")))</f>
        <v>No consent</v>
      </c>
      <c r="AZ135" s="28" t="str">
        <f aca="false">IF(AND(R135&lt;&gt;"",AK135&gt;1.1*R135),"Consented above capacity",IF(AND(LEFT(B135,8)="Planning",AW135=0),"Consent parcel with no permission",IF(COUNTIF($A$2:$A$3000,$A135)&gt;1,"Duplicate parcel_id","")))</f>
        <v/>
      </c>
    </row>
    <row r="136" customFormat="false" ht="15" hidden="false" customHeight="false" outlineLevel="0" collapsed="false">
      <c r="A136" s="15" t="s">
        <v>344</v>
      </c>
      <c r="B136" s="15" t="s">
        <v>12</v>
      </c>
      <c r="C136" s="15" t="s">
        <v>16</v>
      </c>
      <c r="D136" s="15" t="s">
        <v>50</v>
      </c>
      <c r="E136" s="15" t="s">
        <v>19</v>
      </c>
      <c r="F136" s="15" t="n">
        <v>1</v>
      </c>
      <c r="G136" s="15" t="s">
        <v>154</v>
      </c>
      <c r="H136" s="15"/>
      <c r="I136" s="15" t="s">
        <v>50</v>
      </c>
      <c r="J136" s="15" t="s">
        <v>155</v>
      </c>
      <c r="K136" s="15" t="s">
        <v>345</v>
      </c>
      <c r="L136" s="15"/>
      <c r="M136" s="15"/>
      <c r="N136" s="15"/>
      <c r="O136" s="15"/>
      <c r="P136" s="15" t="n">
        <v>0.617</v>
      </c>
      <c r="Q136" s="15" t="n">
        <v>0.617</v>
      </c>
      <c r="R136" s="15"/>
      <c r="S136" s="15" t="s">
        <v>346</v>
      </c>
      <c r="T136" s="15"/>
      <c r="U136" s="15"/>
      <c r="V136" s="15"/>
      <c r="W136" s="15"/>
      <c r="X136" s="15"/>
      <c r="Y136" s="15"/>
      <c r="Z136" s="15"/>
      <c r="AA136" s="15" t="n">
        <v>17</v>
      </c>
      <c r="AB136" s="15" t="n">
        <v>17</v>
      </c>
      <c r="AC136" s="15"/>
      <c r="AD136" s="15"/>
      <c r="AE136" s="15" t="s">
        <v>163</v>
      </c>
      <c r="AF136" s="15"/>
      <c r="AG136" s="24" t="n">
        <f aca="false">SUMIFS(Permissions!$G$2:$G$3000,Permissions!$B$2:$B$3000,$A136,Permissions!$I$2:$I$3000,"Complete",Permissions!$P$2:$P$3000,"Yes")</f>
        <v>17</v>
      </c>
      <c r="AH136" s="24" t="n">
        <f aca="false">SUMIFS(Permissions!$G$2:$G$3000,Permissions!$B$2:$B$3000,$A136,Permissions!$I$2:$I$3000,"Under construction",Permissions!$P$2:$P$3000,"Yes")</f>
        <v>0</v>
      </c>
      <c r="AI136" s="24" t="n">
        <f aca="false">SUMIFS(Permissions!$G$2:$G$3000,Permissions!$B$2:$B$3000,$A136,Permissions!$I$2:$I$3000,"Permitted – not started",Permissions!$P$2:$P$3000,"Yes")</f>
        <v>0</v>
      </c>
      <c r="AJ136" s="24" t="n">
        <f aca="false">SUMIFS(Permissions!$G$2:$G$3000,Permissions!$B$2:$B$3000,$A136,Permissions!$I$2:$I$3000,"Stalled",Permissions!$P$2:$P$3000,"Yes")</f>
        <v>0</v>
      </c>
      <c r="AK136" s="24" t="n">
        <f aca="false">AG136+AH136+AI136+AJ136</f>
        <v>17</v>
      </c>
      <c r="AL136" s="24" t="n">
        <f aca="false">SUMIFS(Permissions!$G$2:$G$3000,Permissions!$B$2:$B$3000,$A136,Permissions!$I$2:$I$3000,"Expired – not started",Permissions!$P$2:$P$3000,"Yes")</f>
        <v>0</v>
      </c>
      <c r="AM136" s="24" t="n">
        <f aca="false">SUMIFS(Permissions!$G$2:$G$3000,Permissions!$B$2:$B$3000,$A136,Permissions!$I$2:$I$3000,"In planning",Permissions!$P$2:$P$3000,"Yes")</f>
        <v>0</v>
      </c>
      <c r="AN136" s="24" t="n">
        <f aca="false">IF(R136="",0,MAX(R136-AK136,0))</f>
        <v>0</v>
      </c>
      <c r="AO136" s="25" t="n">
        <f aca="false">AK136+AN136</f>
        <v>17</v>
      </c>
      <c r="AP136" s="24" t="n">
        <f aca="false">AO136-AG136</f>
        <v>0</v>
      </c>
      <c r="AQ136" s="26" t="n">
        <f aca="false">SUMIFS(Permissions!$AH$2:$AH$3000,Permissions!$B$2:$B$3000,$A136,Permissions!$P$2:$P$3000,"Yes")</f>
        <v>0</v>
      </c>
      <c r="AR136" s="26" t="n">
        <f aca="false">SUMIFS(Permissions!$AI$2:$AI$3000,Permissions!$B$2:$B$3000,$A136,Permissions!$P$2:$P$3000,"Yes")</f>
        <v>0</v>
      </c>
      <c r="AS136" s="26" t="n">
        <f aca="false">SUMIFS(Permissions!$AJ$2:$AJ$3000,Permissions!$B$2:$B$3000,$A136,Permissions!$P$2:$P$3000,"Yes")</f>
        <v>0</v>
      </c>
      <c r="AT136" s="26" t="n">
        <f aca="false">SUMIFS(Permissions!$AK$2:$AK$3000,Permissions!$B$2:$B$3000,$A136,Permissions!$P$2:$P$3000,"Yes")</f>
        <v>0</v>
      </c>
      <c r="AU136" s="26" t="n">
        <f aca="false">SUMIFS(Permissions!$AL$2:$AL$3000,Permissions!$B$2:$B$3000,$A136,Permissions!$P$2:$P$3000,"Yes")</f>
        <v>0</v>
      </c>
      <c r="AV136" s="26" t="n">
        <f aca="false">SUMIFS(Permissions!$AM$2:$AM$3000,Permissions!$B$2:$B$3000,$A136,Permissions!$P$2:$P$3000,"Yes")</f>
        <v>0</v>
      </c>
      <c r="AW136" s="24" t="n">
        <f aca="false">COUNTIFS(Permissions!$B$2:$B$3000,$A136,Permissions!$P$2:$P$3000,"Yes")</f>
        <v>1</v>
      </c>
      <c r="AX136" s="24" t="n">
        <f aca="false">SUMIFS(Permissions!$L$2:$L$3000,Permissions!$B$2:$B$3000,$A136,Permissions!$P$2:$P$3000,"Yes")</f>
        <v>17</v>
      </c>
      <c r="AY136" s="27" t="str">
        <f aca="false">IF(AND(AK136&gt;0,AG136&gt;=AK136,AN136=0),"Built out",IF(AG136&gt;0,"Partly built",IF(AK136&gt;0,"Consented – not built","No consent")))</f>
        <v>Built out</v>
      </c>
      <c r="AZ136" s="28" t="str">
        <f aca="false">IF(AND(R136&lt;&gt;"",AK136&gt;1.1*R136),"Consented above capacity",IF(AND(LEFT(B136,8)="Planning",AW136=0),"Consent parcel with no permission",IF(COUNTIF($A$2:$A$3000,$A136)&gt;1,"Duplicate parcel_id","")))</f>
        <v/>
      </c>
    </row>
    <row r="137" customFormat="false" ht="15" hidden="false" customHeight="false" outlineLevel="0" collapsed="false">
      <c r="A137" s="15" t="s">
        <v>347</v>
      </c>
      <c r="B137" s="15" t="s">
        <v>12</v>
      </c>
      <c r="C137" s="15" t="s">
        <v>16</v>
      </c>
      <c r="D137" s="15" t="s">
        <v>50</v>
      </c>
      <c r="E137" s="15" t="s">
        <v>19</v>
      </c>
      <c r="F137" s="15" t="n">
        <v>1</v>
      </c>
      <c r="G137" s="15" t="s">
        <v>154</v>
      </c>
      <c r="H137" s="15"/>
      <c r="I137" s="15" t="s">
        <v>50</v>
      </c>
      <c r="J137" s="15" t="s">
        <v>155</v>
      </c>
      <c r="K137" s="15" t="s">
        <v>348</v>
      </c>
      <c r="L137" s="15"/>
      <c r="M137" s="15"/>
      <c r="N137" s="15"/>
      <c r="O137" s="15"/>
      <c r="P137" s="15" t="n">
        <v>0.044</v>
      </c>
      <c r="Q137" s="15" t="n">
        <v>0.044</v>
      </c>
      <c r="R137" s="15"/>
      <c r="S137" s="15" t="s">
        <v>346</v>
      </c>
      <c r="T137" s="15"/>
      <c r="U137" s="15"/>
      <c r="V137" s="15"/>
      <c r="W137" s="15"/>
      <c r="X137" s="15"/>
      <c r="Y137" s="15"/>
      <c r="Z137" s="15"/>
      <c r="AA137" s="15" t="n">
        <v>8</v>
      </c>
      <c r="AB137" s="15" t="n">
        <v>0</v>
      </c>
      <c r="AC137" s="15"/>
      <c r="AD137" s="15"/>
      <c r="AE137" s="15" t="s">
        <v>163</v>
      </c>
      <c r="AF137" s="15"/>
      <c r="AG137" s="24" t="n">
        <f aca="false">SUMIFS(Permissions!$G$2:$G$3000,Permissions!$B$2:$B$3000,$A137,Permissions!$I$2:$I$3000,"Complete",Permissions!$P$2:$P$3000,"Yes")</f>
        <v>0</v>
      </c>
      <c r="AH137" s="24" t="n">
        <f aca="false">SUMIFS(Permissions!$G$2:$G$3000,Permissions!$B$2:$B$3000,$A137,Permissions!$I$2:$I$3000,"Under construction",Permissions!$P$2:$P$3000,"Yes")</f>
        <v>6</v>
      </c>
      <c r="AI137" s="24" t="n">
        <f aca="false">SUMIFS(Permissions!$G$2:$G$3000,Permissions!$B$2:$B$3000,$A137,Permissions!$I$2:$I$3000,"Permitted – not started",Permissions!$P$2:$P$3000,"Yes")</f>
        <v>0</v>
      </c>
      <c r="AJ137" s="24" t="n">
        <f aca="false">SUMIFS(Permissions!$G$2:$G$3000,Permissions!$B$2:$B$3000,$A137,Permissions!$I$2:$I$3000,"Stalled",Permissions!$P$2:$P$3000,"Yes")</f>
        <v>0</v>
      </c>
      <c r="AK137" s="24" t="n">
        <f aca="false">AG137+AH137+AI137+AJ137</f>
        <v>6</v>
      </c>
      <c r="AL137" s="24" t="n">
        <f aca="false">SUMIFS(Permissions!$G$2:$G$3000,Permissions!$B$2:$B$3000,$A137,Permissions!$I$2:$I$3000,"Expired – not started",Permissions!$P$2:$P$3000,"Yes")</f>
        <v>0</v>
      </c>
      <c r="AM137" s="24" t="n">
        <f aca="false">SUMIFS(Permissions!$G$2:$G$3000,Permissions!$B$2:$B$3000,$A137,Permissions!$I$2:$I$3000,"In planning",Permissions!$P$2:$P$3000,"Yes")</f>
        <v>0</v>
      </c>
      <c r="AN137" s="24" t="n">
        <f aca="false">IF(R137="",0,MAX(R137-AK137,0))</f>
        <v>0</v>
      </c>
      <c r="AO137" s="25" t="n">
        <f aca="false">AK137+AN137</f>
        <v>6</v>
      </c>
      <c r="AP137" s="24" t="n">
        <f aca="false">AO137-AG137</f>
        <v>6</v>
      </c>
      <c r="AQ137" s="26" t="n">
        <f aca="false">SUMIFS(Permissions!$AH$2:$AH$3000,Permissions!$B$2:$B$3000,$A137,Permissions!$P$2:$P$3000,"Yes")</f>
        <v>1.4</v>
      </c>
      <c r="AR137" s="26" t="n">
        <f aca="false">SUMIFS(Permissions!$AI$2:$AI$3000,Permissions!$B$2:$B$3000,$A137,Permissions!$P$2:$P$3000,"Yes")</f>
        <v>4.6</v>
      </c>
      <c r="AS137" s="26" t="n">
        <f aca="false">SUMIFS(Permissions!$AJ$2:$AJ$3000,Permissions!$B$2:$B$3000,$A137,Permissions!$P$2:$P$3000,"Yes")</f>
        <v>0</v>
      </c>
      <c r="AT137" s="26" t="n">
        <f aca="false">SUMIFS(Permissions!$AK$2:$AK$3000,Permissions!$B$2:$B$3000,$A137,Permissions!$P$2:$P$3000,"Yes")</f>
        <v>0</v>
      </c>
      <c r="AU137" s="26" t="n">
        <f aca="false">SUMIFS(Permissions!$AL$2:$AL$3000,Permissions!$B$2:$B$3000,$A137,Permissions!$P$2:$P$3000,"Yes")</f>
        <v>0</v>
      </c>
      <c r="AV137" s="26" t="n">
        <f aca="false">SUMIFS(Permissions!$AM$2:$AM$3000,Permissions!$B$2:$B$3000,$A137,Permissions!$P$2:$P$3000,"Yes")</f>
        <v>0</v>
      </c>
      <c r="AW137" s="24" t="n">
        <f aca="false">COUNTIFS(Permissions!$B$2:$B$3000,$A137,Permissions!$P$2:$P$3000,"Yes")</f>
        <v>1</v>
      </c>
      <c r="AX137" s="24" t="n">
        <f aca="false">SUMIFS(Permissions!$L$2:$L$3000,Permissions!$B$2:$B$3000,$A137,Permissions!$P$2:$P$3000,"Yes")</f>
        <v>0</v>
      </c>
      <c r="AY137" s="27" t="str">
        <f aca="false">IF(AND(AK137&gt;0,AG137&gt;=AK137,AN137=0),"Built out",IF(AG137&gt;0,"Partly built",IF(AK137&gt;0,"Consented – not built","No consent")))</f>
        <v>Consented – not built</v>
      </c>
      <c r="AZ137" s="28" t="str">
        <f aca="false">IF(AND(R137&lt;&gt;"",AK137&gt;1.1*R137),"Consented above capacity",IF(AND(LEFT(B137,8)="Planning",AW137=0),"Consent parcel with no permission",IF(COUNTIF($A$2:$A$3000,$A137)&gt;1,"Duplicate parcel_id","")))</f>
        <v/>
      </c>
    </row>
    <row r="138" customFormat="false" ht="15" hidden="false" customHeight="false" outlineLevel="0" collapsed="false">
      <c r="A138" s="15" t="s">
        <v>349</v>
      </c>
      <c r="B138" s="15" t="s">
        <v>12</v>
      </c>
      <c r="C138" s="15" t="s">
        <v>16</v>
      </c>
      <c r="D138" s="15" t="s">
        <v>50</v>
      </c>
      <c r="E138" s="15" t="s">
        <v>19</v>
      </c>
      <c r="F138" s="15" t="n">
        <v>1</v>
      </c>
      <c r="G138" s="15" t="s">
        <v>154</v>
      </c>
      <c r="H138" s="15"/>
      <c r="I138" s="15" t="s">
        <v>50</v>
      </c>
      <c r="J138" s="15" t="s">
        <v>155</v>
      </c>
      <c r="K138" s="15" t="s">
        <v>350</v>
      </c>
      <c r="L138" s="15"/>
      <c r="M138" s="15"/>
      <c r="N138" s="15"/>
      <c r="O138" s="15"/>
      <c r="P138" s="15" t="n">
        <v>0.225</v>
      </c>
      <c r="Q138" s="15" t="n">
        <v>0.225</v>
      </c>
      <c r="R138" s="15"/>
      <c r="S138" s="15" t="s">
        <v>346</v>
      </c>
      <c r="T138" s="15"/>
      <c r="U138" s="15"/>
      <c r="V138" s="15"/>
      <c r="W138" s="15"/>
      <c r="X138" s="15"/>
      <c r="Y138" s="15"/>
      <c r="Z138" s="15"/>
      <c r="AA138" s="15" t="n">
        <v>0</v>
      </c>
      <c r="AB138" s="15" t="n">
        <v>0</v>
      </c>
      <c r="AC138" s="15"/>
      <c r="AD138" s="15"/>
      <c r="AE138" s="15" t="s">
        <v>163</v>
      </c>
      <c r="AF138" s="15"/>
      <c r="AG138" s="24" t="n">
        <f aca="false">SUMIFS(Permissions!$G$2:$G$3000,Permissions!$B$2:$B$3000,$A138,Permissions!$I$2:$I$3000,"Complete",Permissions!$P$2:$P$3000,"Yes")</f>
        <v>0</v>
      </c>
      <c r="AH138" s="24" t="n">
        <f aca="false">SUMIFS(Permissions!$G$2:$G$3000,Permissions!$B$2:$B$3000,$A138,Permissions!$I$2:$I$3000,"Under construction",Permissions!$P$2:$P$3000,"Yes")</f>
        <v>21</v>
      </c>
      <c r="AI138" s="24" t="n">
        <f aca="false">SUMIFS(Permissions!$G$2:$G$3000,Permissions!$B$2:$B$3000,$A138,Permissions!$I$2:$I$3000,"Permitted – not started",Permissions!$P$2:$P$3000,"Yes")</f>
        <v>0</v>
      </c>
      <c r="AJ138" s="24" t="n">
        <f aca="false">SUMIFS(Permissions!$G$2:$G$3000,Permissions!$B$2:$B$3000,$A138,Permissions!$I$2:$I$3000,"Stalled",Permissions!$P$2:$P$3000,"Yes")</f>
        <v>0</v>
      </c>
      <c r="AK138" s="24" t="n">
        <f aca="false">AG138+AH138+AI138+AJ138</f>
        <v>21</v>
      </c>
      <c r="AL138" s="24" t="n">
        <f aca="false">SUMIFS(Permissions!$G$2:$G$3000,Permissions!$B$2:$B$3000,$A138,Permissions!$I$2:$I$3000,"Expired – not started",Permissions!$P$2:$P$3000,"Yes")</f>
        <v>0</v>
      </c>
      <c r="AM138" s="24" t="n">
        <f aca="false">SUMIFS(Permissions!$G$2:$G$3000,Permissions!$B$2:$B$3000,$A138,Permissions!$I$2:$I$3000,"In planning",Permissions!$P$2:$P$3000,"Yes")</f>
        <v>0</v>
      </c>
      <c r="AN138" s="24" t="n">
        <f aca="false">IF(R138="",0,MAX(R138-AK138,0))</f>
        <v>0</v>
      </c>
      <c r="AO138" s="25" t="n">
        <f aca="false">AK138+AN138</f>
        <v>21</v>
      </c>
      <c r="AP138" s="24" t="n">
        <f aca="false">AO138-AG138</f>
        <v>21</v>
      </c>
      <c r="AQ138" s="26" t="n">
        <f aca="false">SUMIFS(Permissions!$AH$2:$AH$3000,Permissions!$B$2:$B$3000,$A138,Permissions!$P$2:$P$3000,"Yes")</f>
        <v>2.7</v>
      </c>
      <c r="AR138" s="26" t="n">
        <f aca="false">SUMIFS(Permissions!$AI$2:$AI$3000,Permissions!$B$2:$B$3000,$A138,Permissions!$P$2:$P$3000,"Yes")</f>
        <v>13.9</v>
      </c>
      <c r="AS138" s="26" t="n">
        <f aca="false">SUMIFS(Permissions!$AJ$2:$AJ$3000,Permissions!$B$2:$B$3000,$A138,Permissions!$P$2:$P$3000,"Yes")</f>
        <v>4.5</v>
      </c>
      <c r="AT138" s="26" t="n">
        <f aca="false">SUMIFS(Permissions!$AK$2:$AK$3000,Permissions!$B$2:$B$3000,$A138,Permissions!$P$2:$P$3000,"Yes")</f>
        <v>0</v>
      </c>
      <c r="AU138" s="26" t="n">
        <f aca="false">SUMIFS(Permissions!$AL$2:$AL$3000,Permissions!$B$2:$B$3000,$A138,Permissions!$P$2:$P$3000,"Yes")</f>
        <v>0</v>
      </c>
      <c r="AV138" s="26" t="n">
        <f aca="false">SUMIFS(Permissions!$AM$2:$AM$3000,Permissions!$B$2:$B$3000,$A138,Permissions!$P$2:$P$3000,"Yes")</f>
        <v>-0.1</v>
      </c>
      <c r="AW138" s="24" t="n">
        <f aca="false">COUNTIFS(Permissions!$B$2:$B$3000,$A138,Permissions!$P$2:$P$3000,"Yes")</f>
        <v>1</v>
      </c>
      <c r="AX138" s="24" t="n">
        <f aca="false">SUMIFS(Permissions!$L$2:$L$3000,Permissions!$B$2:$B$3000,$A138,Permissions!$P$2:$P$3000,"Yes")</f>
        <v>0</v>
      </c>
      <c r="AY138" s="27" t="str">
        <f aca="false">IF(AND(AK138&gt;0,AG138&gt;=AK138,AN138=0),"Built out",IF(AG138&gt;0,"Partly built",IF(AK138&gt;0,"Consented – not built","No consent")))</f>
        <v>Consented – not built</v>
      </c>
      <c r="AZ138" s="28" t="str">
        <f aca="false">IF(AND(R138&lt;&gt;"",AK138&gt;1.1*R138),"Consented above capacity",IF(AND(LEFT(B138,8)="Planning",AW138=0),"Consent parcel with no permission",IF(COUNTIF($A$2:$A$3000,$A138)&gt;1,"Duplicate parcel_id","")))</f>
        <v/>
      </c>
    </row>
    <row r="139" customFormat="false" ht="15" hidden="false" customHeight="false" outlineLevel="0" collapsed="false">
      <c r="A139" s="15" t="s">
        <v>351</v>
      </c>
      <c r="B139" s="15" t="s">
        <v>12</v>
      </c>
      <c r="C139" s="15" t="s">
        <v>16</v>
      </c>
      <c r="D139" s="15" t="s">
        <v>51</v>
      </c>
      <c r="E139" s="15" t="s">
        <v>19</v>
      </c>
      <c r="F139" s="15" t="n">
        <v>0.82</v>
      </c>
      <c r="G139" s="15" t="s">
        <v>154</v>
      </c>
      <c r="H139" s="15"/>
      <c r="I139" s="15" t="s">
        <v>51</v>
      </c>
      <c r="J139" s="15" t="s">
        <v>176</v>
      </c>
      <c r="K139" s="15" t="s">
        <v>352</v>
      </c>
      <c r="L139" s="15"/>
      <c r="M139" s="15"/>
      <c r="N139" s="15"/>
      <c r="O139" s="15"/>
      <c r="P139" s="15" t="n">
        <v>0.086</v>
      </c>
      <c r="Q139" s="15" t="n">
        <v>0.086</v>
      </c>
      <c r="R139" s="15"/>
      <c r="S139" s="15" t="s">
        <v>346</v>
      </c>
      <c r="T139" s="15"/>
      <c r="U139" s="15"/>
      <c r="V139" s="15"/>
      <c r="W139" s="15"/>
      <c r="X139" s="15"/>
      <c r="Y139" s="15"/>
      <c r="Z139" s="15"/>
      <c r="AA139" s="15" t="n">
        <v>0</v>
      </c>
      <c r="AB139" s="15" t="n">
        <v>0</v>
      </c>
      <c r="AC139" s="15"/>
      <c r="AD139" s="15"/>
      <c r="AE139" s="15" t="s">
        <v>163</v>
      </c>
      <c r="AF139" s="15"/>
      <c r="AG139" s="24" t="n">
        <f aca="false">SUMIFS(Permissions!$G$2:$G$3000,Permissions!$B$2:$B$3000,$A139,Permissions!$I$2:$I$3000,"Complete",Permissions!$P$2:$P$3000,"Yes")</f>
        <v>0</v>
      </c>
      <c r="AH139" s="24" t="n">
        <f aca="false">SUMIFS(Permissions!$G$2:$G$3000,Permissions!$B$2:$B$3000,$A139,Permissions!$I$2:$I$3000,"Under construction",Permissions!$P$2:$P$3000,"Yes")</f>
        <v>0</v>
      </c>
      <c r="AI139" s="24" t="n">
        <f aca="false">SUMIFS(Permissions!$G$2:$G$3000,Permissions!$B$2:$B$3000,$A139,Permissions!$I$2:$I$3000,"Permitted – not started",Permissions!$P$2:$P$3000,"Yes")</f>
        <v>5</v>
      </c>
      <c r="AJ139" s="24" t="n">
        <f aca="false">SUMIFS(Permissions!$G$2:$G$3000,Permissions!$B$2:$B$3000,$A139,Permissions!$I$2:$I$3000,"Stalled",Permissions!$P$2:$P$3000,"Yes")</f>
        <v>0</v>
      </c>
      <c r="AK139" s="24" t="n">
        <f aca="false">AG139+AH139+AI139+AJ139</f>
        <v>5</v>
      </c>
      <c r="AL139" s="24" t="n">
        <f aca="false">SUMIFS(Permissions!$G$2:$G$3000,Permissions!$B$2:$B$3000,$A139,Permissions!$I$2:$I$3000,"Expired – not started",Permissions!$P$2:$P$3000,"Yes")</f>
        <v>0</v>
      </c>
      <c r="AM139" s="24" t="n">
        <f aca="false">SUMIFS(Permissions!$G$2:$G$3000,Permissions!$B$2:$B$3000,$A139,Permissions!$I$2:$I$3000,"In planning",Permissions!$P$2:$P$3000,"Yes")</f>
        <v>0</v>
      </c>
      <c r="AN139" s="24" t="n">
        <f aca="false">IF(R139="",0,MAX(R139-AK139,0))</f>
        <v>0</v>
      </c>
      <c r="AO139" s="25" t="n">
        <f aca="false">AK139+AN139</f>
        <v>5</v>
      </c>
      <c r="AP139" s="24" t="n">
        <f aca="false">AO139-AG139</f>
        <v>5</v>
      </c>
      <c r="AQ139" s="26" t="n">
        <f aca="false">SUMIFS(Permissions!$AH$2:$AH$3000,Permissions!$B$2:$B$3000,$A139,Permissions!$P$2:$P$3000,"Yes")</f>
        <v>0</v>
      </c>
      <c r="AR139" s="26" t="n">
        <f aca="false">SUMIFS(Permissions!$AI$2:$AI$3000,Permissions!$B$2:$B$3000,$A139,Permissions!$P$2:$P$3000,"Yes")</f>
        <v>0</v>
      </c>
      <c r="AS139" s="26" t="n">
        <f aca="false">SUMIFS(Permissions!$AJ$2:$AJ$3000,Permissions!$B$2:$B$3000,$A139,Permissions!$P$2:$P$3000,"Yes")</f>
        <v>3.2</v>
      </c>
      <c r="AT139" s="26" t="n">
        <f aca="false">SUMIFS(Permissions!$AK$2:$AK$3000,Permissions!$B$2:$B$3000,$A139,Permissions!$P$2:$P$3000,"Yes")</f>
        <v>1.8</v>
      </c>
      <c r="AU139" s="26" t="n">
        <f aca="false">SUMIFS(Permissions!$AL$2:$AL$3000,Permissions!$B$2:$B$3000,$A139,Permissions!$P$2:$P$3000,"Yes")</f>
        <v>0</v>
      </c>
      <c r="AV139" s="26" t="n">
        <f aca="false">SUMIFS(Permissions!$AM$2:$AM$3000,Permissions!$B$2:$B$3000,$A139,Permissions!$P$2:$P$3000,"Yes")</f>
        <v>0</v>
      </c>
      <c r="AW139" s="24" t="n">
        <f aca="false">COUNTIFS(Permissions!$B$2:$B$3000,$A139,Permissions!$P$2:$P$3000,"Yes")</f>
        <v>1</v>
      </c>
      <c r="AX139" s="24" t="n">
        <f aca="false">SUMIFS(Permissions!$L$2:$L$3000,Permissions!$B$2:$B$3000,$A139,Permissions!$P$2:$P$3000,"Yes")</f>
        <v>0</v>
      </c>
      <c r="AY139" s="27" t="str">
        <f aca="false">IF(AND(AK139&gt;0,AG139&gt;=AK139,AN139=0),"Built out",IF(AG139&gt;0,"Partly built",IF(AK139&gt;0,"Consented – not built","No consent")))</f>
        <v>Consented – not built</v>
      </c>
      <c r="AZ139" s="28" t="str">
        <f aca="false">IF(AND(R139&lt;&gt;"",AK139&gt;1.1*R139),"Consented above capacity",IF(AND(LEFT(B139,8)="Planning",AW139=0),"Consent parcel with no permission",IF(COUNTIF($A$2:$A$3000,$A139)&gt;1,"Duplicate parcel_id","")))</f>
        <v/>
      </c>
    </row>
    <row r="140" customFormat="false" ht="15" hidden="false" customHeight="false" outlineLevel="0" collapsed="false">
      <c r="A140" s="15" t="s">
        <v>353</v>
      </c>
      <c r="B140" s="15" t="s">
        <v>12</v>
      </c>
      <c r="C140" s="15" t="s">
        <v>16</v>
      </c>
      <c r="D140" s="15" t="s">
        <v>51</v>
      </c>
      <c r="E140" s="15" t="s">
        <v>19</v>
      </c>
      <c r="F140" s="15" t="n">
        <v>1</v>
      </c>
      <c r="G140" s="15" t="s">
        <v>154</v>
      </c>
      <c r="H140" s="15"/>
      <c r="I140" s="15" t="s">
        <v>51</v>
      </c>
      <c r="J140" s="15" t="s">
        <v>176</v>
      </c>
      <c r="K140" s="15" t="s">
        <v>354</v>
      </c>
      <c r="L140" s="15"/>
      <c r="M140" s="15"/>
      <c r="N140" s="15"/>
      <c r="O140" s="15"/>
      <c r="P140" s="15" t="n">
        <v>10.708</v>
      </c>
      <c r="Q140" s="15" t="n">
        <v>10.708</v>
      </c>
      <c r="R140" s="15"/>
      <c r="S140" s="15" t="s">
        <v>346</v>
      </c>
      <c r="T140" s="15"/>
      <c r="U140" s="15"/>
      <c r="V140" s="15"/>
      <c r="W140" s="15"/>
      <c r="X140" s="15"/>
      <c r="Y140" s="15"/>
      <c r="Z140" s="15"/>
      <c r="AA140" s="15" t="n">
        <v>43</v>
      </c>
      <c r="AB140" s="15" t="n">
        <v>43</v>
      </c>
      <c r="AC140" s="15"/>
      <c r="AD140" s="15"/>
      <c r="AE140" s="15" t="s">
        <v>163</v>
      </c>
      <c r="AF140" s="15"/>
      <c r="AG140" s="24" t="n">
        <f aca="false">SUMIFS(Permissions!$G$2:$G$3000,Permissions!$B$2:$B$3000,$A140,Permissions!$I$2:$I$3000,"Complete",Permissions!$P$2:$P$3000,"Yes")</f>
        <v>43</v>
      </c>
      <c r="AH140" s="24" t="n">
        <f aca="false">SUMIFS(Permissions!$G$2:$G$3000,Permissions!$B$2:$B$3000,$A140,Permissions!$I$2:$I$3000,"Under construction",Permissions!$P$2:$P$3000,"Yes")</f>
        <v>0</v>
      </c>
      <c r="AI140" s="24" t="n">
        <f aca="false">SUMIFS(Permissions!$G$2:$G$3000,Permissions!$B$2:$B$3000,$A140,Permissions!$I$2:$I$3000,"Permitted – not started",Permissions!$P$2:$P$3000,"Yes")</f>
        <v>0</v>
      </c>
      <c r="AJ140" s="24" t="n">
        <f aca="false">SUMIFS(Permissions!$G$2:$G$3000,Permissions!$B$2:$B$3000,$A140,Permissions!$I$2:$I$3000,"Stalled",Permissions!$P$2:$P$3000,"Yes")</f>
        <v>0</v>
      </c>
      <c r="AK140" s="24" t="n">
        <f aca="false">AG140+AH140+AI140+AJ140</f>
        <v>43</v>
      </c>
      <c r="AL140" s="24" t="n">
        <f aca="false">SUMIFS(Permissions!$G$2:$G$3000,Permissions!$B$2:$B$3000,$A140,Permissions!$I$2:$I$3000,"Expired – not started",Permissions!$P$2:$P$3000,"Yes")</f>
        <v>0</v>
      </c>
      <c r="AM140" s="24" t="n">
        <f aca="false">SUMIFS(Permissions!$G$2:$G$3000,Permissions!$B$2:$B$3000,$A140,Permissions!$I$2:$I$3000,"In planning",Permissions!$P$2:$P$3000,"Yes")</f>
        <v>0</v>
      </c>
      <c r="AN140" s="24" t="n">
        <f aca="false">IF(R140="",0,MAX(R140-AK140,0))</f>
        <v>0</v>
      </c>
      <c r="AO140" s="25" t="n">
        <f aca="false">AK140+AN140</f>
        <v>43</v>
      </c>
      <c r="AP140" s="24" t="n">
        <f aca="false">AO140-AG140</f>
        <v>0</v>
      </c>
      <c r="AQ140" s="26" t="n">
        <f aca="false">SUMIFS(Permissions!$AH$2:$AH$3000,Permissions!$B$2:$B$3000,$A140,Permissions!$P$2:$P$3000,"Yes")</f>
        <v>0</v>
      </c>
      <c r="AR140" s="26" t="n">
        <f aca="false">SUMIFS(Permissions!$AI$2:$AI$3000,Permissions!$B$2:$B$3000,$A140,Permissions!$P$2:$P$3000,"Yes")</f>
        <v>0</v>
      </c>
      <c r="AS140" s="26" t="n">
        <f aca="false">SUMIFS(Permissions!$AJ$2:$AJ$3000,Permissions!$B$2:$B$3000,$A140,Permissions!$P$2:$P$3000,"Yes")</f>
        <v>0</v>
      </c>
      <c r="AT140" s="26" t="n">
        <f aca="false">SUMIFS(Permissions!$AK$2:$AK$3000,Permissions!$B$2:$B$3000,$A140,Permissions!$P$2:$P$3000,"Yes")</f>
        <v>0</v>
      </c>
      <c r="AU140" s="26" t="n">
        <f aca="false">SUMIFS(Permissions!$AL$2:$AL$3000,Permissions!$B$2:$B$3000,$A140,Permissions!$P$2:$P$3000,"Yes")</f>
        <v>0</v>
      </c>
      <c r="AV140" s="26" t="n">
        <f aca="false">SUMIFS(Permissions!$AM$2:$AM$3000,Permissions!$B$2:$B$3000,$A140,Permissions!$P$2:$P$3000,"Yes")</f>
        <v>0</v>
      </c>
      <c r="AW140" s="24" t="n">
        <f aca="false">COUNTIFS(Permissions!$B$2:$B$3000,$A140,Permissions!$P$2:$P$3000,"Yes")</f>
        <v>1</v>
      </c>
      <c r="AX140" s="24" t="n">
        <f aca="false">SUMIFS(Permissions!$L$2:$L$3000,Permissions!$B$2:$B$3000,$A140,Permissions!$P$2:$P$3000,"Yes")</f>
        <v>43</v>
      </c>
      <c r="AY140" s="27" t="str">
        <f aca="false">IF(AND(AK140&gt;0,AG140&gt;=AK140,AN140=0),"Built out",IF(AG140&gt;0,"Partly built",IF(AK140&gt;0,"Consented – not built","No consent")))</f>
        <v>Built out</v>
      </c>
      <c r="AZ140" s="28" t="str">
        <f aca="false">IF(AND(R140&lt;&gt;"",AK140&gt;1.1*R140),"Consented above capacity",IF(AND(LEFT(B140,8)="Planning",AW140=0),"Consent parcel with no permission",IF(COUNTIF($A$2:$A$3000,$A140)&gt;1,"Duplicate parcel_id","")))</f>
        <v/>
      </c>
    </row>
    <row r="141" customFormat="false" ht="15" hidden="false" customHeight="false" outlineLevel="0" collapsed="false">
      <c r="A141" s="15" t="s">
        <v>355</v>
      </c>
      <c r="B141" s="15" t="s">
        <v>12</v>
      </c>
      <c r="C141" s="15" t="s">
        <v>16</v>
      </c>
      <c r="D141" s="15" t="s">
        <v>51</v>
      </c>
      <c r="E141" s="15" t="s">
        <v>19</v>
      </c>
      <c r="F141" s="15" t="n">
        <v>1</v>
      </c>
      <c r="G141" s="15" t="s">
        <v>154</v>
      </c>
      <c r="H141" s="15"/>
      <c r="I141" s="15" t="s">
        <v>51</v>
      </c>
      <c r="J141" s="15" t="s">
        <v>176</v>
      </c>
      <c r="K141" s="15" t="s">
        <v>356</v>
      </c>
      <c r="L141" s="15"/>
      <c r="M141" s="15"/>
      <c r="N141" s="15"/>
      <c r="O141" s="15"/>
      <c r="P141" s="15" t="n">
        <v>0.099</v>
      </c>
      <c r="Q141" s="15" t="n">
        <v>0.099</v>
      </c>
      <c r="R141" s="15"/>
      <c r="S141" s="15" t="s">
        <v>346</v>
      </c>
      <c r="T141" s="15"/>
      <c r="U141" s="15"/>
      <c r="V141" s="15"/>
      <c r="W141" s="15"/>
      <c r="X141" s="15"/>
      <c r="Y141" s="15"/>
      <c r="Z141" s="15"/>
      <c r="AA141" s="15" t="n">
        <v>5</v>
      </c>
      <c r="AB141" s="15" t="n">
        <v>5</v>
      </c>
      <c r="AC141" s="15"/>
      <c r="AD141" s="15"/>
      <c r="AE141" s="15" t="s">
        <v>163</v>
      </c>
      <c r="AF141" s="15"/>
      <c r="AG141" s="24" t="n">
        <f aca="false">SUMIFS(Permissions!$G$2:$G$3000,Permissions!$B$2:$B$3000,$A141,Permissions!$I$2:$I$3000,"Complete",Permissions!$P$2:$P$3000,"Yes")</f>
        <v>5</v>
      </c>
      <c r="AH141" s="24" t="n">
        <f aca="false">SUMIFS(Permissions!$G$2:$G$3000,Permissions!$B$2:$B$3000,$A141,Permissions!$I$2:$I$3000,"Under construction",Permissions!$P$2:$P$3000,"Yes")</f>
        <v>0</v>
      </c>
      <c r="AI141" s="24" t="n">
        <f aca="false">SUMIFS(Permissions!$G$2:$G$3000,Permissions!$B$2:$B$3000,$A141,Permissions!$I$2:$I$3000,"Permitted – not started",Permissions!$P$2:$P$3000,"Yes")</f>
        <v>0</v>
      </c>
      <c r="AJ141" s="24" t="n">
        <f aca="false">SUMIFS(Permissions!$G$2:$G$3000,Permissions!$B$2:$B$3000,$A141,Permissions!$I$2:$I$3000,"Stalled",Permissions!$P$2:$P$3000,"Yes")</f>
        <v>0</v>
      </c>
      <c r="AK141" s="24" t="n">
        <f aca="false">AG141+AH141+AI141+AJ141</f>
        <v>5</v>
      </c>
      <c r="AL141" s="24" t="n">
        <f aca="false">SUMIFS(Permissions!$G$2:$G$3000,Permissions!$B$2:$B$3000,$A141,Permissions!$I$2:$I$3000,"Expired – not started",Permissions!$P$2:$P$3000,"Yes")</f>
        <v>0</v>
      </c>
      <c r="AM141" s="24" t="n">
        <f aca="false">SUMIFS(Permissions!$G$2:$G$3000,Permissions!$B$2:$B$3000,$A141,Permissions!$I$2:$I$3000,"In planning",Permissions!$P$2:$P$3000,"Yes")</f>
        <v>0</v>
      </c>
      <c r="AN141" s="24" t="n">
        <f aca="false">IF(R141="",0,MAX(R141-AK141,0))</f>
        <v>0</v>
      </c>
      <c r="AO141" s="25" t="n">
        <f aca="false">AK141+AN141</f>
        <v>5</v>
      </c>
      <c r="AP141" s="24" t="n">
        <f aca="false">AO141-AG141</f>
        <v>0</v>
      </c>
      <c r="AQ141" s="26" t="n">
        <f aca="false">SUMIFS(Permissions!$AH$2:$AH$3000,Permissions!$B$2:$B$3000,$A141,Permissions!$P$2:$P$3000,"Yes")</f>
        <v>0</v>
      </c>
      <c r="AR141" s="26" t="n">
        <f aca="false">SUMIFS(Permissions!$AI$2:$AI$3000,Permissions!$B$2:$B$3000,$A141,Permissions!$P$2:$P$3000,"Yes")</f>
        <v>0</v>
      </c>
      <c r="AS141" s="26" t="n">
        <f aca="false">SUMIFS(Permissions!$AJ$2:$AJ$3000,Permissions!$B$2:$B$3000,$A141,Permissions!$P$2:$P$3000,"Yes")</f>
        <v>0</v>
      </c>
      <c r="AT141" s="26" t="n">
        <f aca="false">SUMIFS(Permissions!$AK$2:$AK$3000,Permissions!$B$2:$B$3000,$A141,Permissions!$P$2:$P$3000,"Yes")</f>
        <v>0</v>
      </c>
      <c r="AU141" s="26" t="n">
        <f aca="false">SUMIFS(Permissions!$AL$2:$AL$3000,Permissions!$B$2:$B$3000,$A141,Permissions!$P$2:$P$3000,"Yes")</f>
        <v>0</v>
      </c>
      <c r="AV141" s="26" t="n">
        <f aca="false">SUMIFS(Permissions!$AM$2:$AM$3000,Permissions!$B$2:$B$3000,$A141,Permissions!$P$2:$P$3000,"Yes")</f>
        <v>0</v>
      </c>
      <c r="AW141" s="24" t="n">
        <f aca="false">COUNTIFS(Permissions!$B$2:$B$3000,$A141,Permissions!$P$2:$P$3000,"Yes")</f>
        <v>1</v>
      </c>
      <c r="AX141" s="24" t="n">
        <f aca="false">SUMIFS(Permissions!$L$2:$L$3000,Permissions!$B$2:$B$3000,$A141,Permissions!$P$2:$P$3000,"Yes")</f>
        <v>5</v>
      </c>
      <c r="AY141" s="27" t="str">
        <f aca="false">IF(AND(AK141&gt;0,AG141&gt;=AK141,AN141=0),"Built out",IF(AG141&gt;0,"Partly built",IF(AK141&gt;0,"Consented – not built","No consent")))</f>
        <v>Built out</v>
      </c>
      <c r="AZ141" s="28" t="str">
        <f aca="false">IF(AND(R141&lt;&gt;"",AK141&gt;1.1*R141),"Consented above capacity",IF(AND(LEFT(B141,8)="Planning",AW141=0),"Consent parcel with no permission",IF(COUNTIF($A$2:$A$3000,$A141)&gt;1,"Duplicate parcel_id","")))</f>
        <v/>
      </c>
    </row>
    <row r="142" customFormat="false" ht="15" hidden="false" customHeight="false" outlineLevel="0" collapsed="false">
      <c r="A142" s="15" t="s">
        <v>357</v>
      </c>
      <c r="B142" s="15" t="s">
        <v>12</v>
      </c>
      <c r="C142" s="15" t="s">
        <v>16</v>
      </c>
      <c r="D142" s="15" t="s">
        <v>51</v>
      </c>
      <c r="E142" s="15" t="s">
        <v>19</v>
      </c>
      <c r="F142" s="15" t="n">
        <v>1</v>
      </c>
      <c r="G142" s="15" t="s">
        <v>154</v>
      </c>
      <c r="H142" s="15"/>
      <c r="I142" s="15" t="s">
        <v>51</v>
      </c>
      <c r="J142" s="15" t="s">
        <v>176</v>
      </c>
      <c r="K142" s="15" t="s">
        <v>358</v>
      </c>
      <c r="L142" s="15"/>
      <c r="M142" s="15"/>
      <c r="N142" s="15"/>
      <c r="O142" s="15"/>
      <c r="P142" s="15" t="n">
        <v>0.199</v>
      </c>
      <c r="Q142" s="15" t="n">
        <v>0.199</v>
      </c>
      <c r="R142" s="15" t="n">
        <v>12</v>
      </c>
      <c r="S142" s="15" t="s">
        <v>359</v>
      </c>
      <c r="T142" s="15"/>
      <c r="U142" s="15"/>
      <c r="V142" s="15"/>
      <c r="W142" s="15"/>
      <c r="X142" s="15"/>
      <c r="Y142" s="15"/>
      <c r="Z142" s="15"/>
      <c r="AA142" s="15" t="n">
        <v>0</v>
      </c>
      <c r="AB142" s="15" t="n">
        <v>0</v>
      </c>
      <c r="AC142" s="15"/>
      <c r="AD142" s="15"/>
      <c r="AE142" s="15" t="s">
        <v>163</v>
      </c>
      <c r="AF142" s="15"/>
      <c r="AG142" s="24" t="n">
        <f aca="false">SUMIFS(Permissions!$G$2:$G$3000,Permissions!$B$2:$B$3000,$A142,Permissions!$I$2:$I$3000,"Complete",Permissions!$P$2:$P$3000,"Yes")</f>
        <v>0</v>
      </c>
      <c r="AH142" s="24" t="n">
        <f aca="false">SUMIFS(Permissions!$G$2:$G$3000,Permissions!$B$2:$B$3000,$A142,Permissions!$I$2:$I$3000,"Under construction",Permissions!$P$2:$P$3000,"Yes")</f>
        <v>0</v>
      </c>
      <c r="AI142" s="24" t="n">
        <f aca="false">SUMIFS(Permissions!$G$2:$G$3000,Permissions!$B$2:$B$3000,$A142,Permissions!$I$2:$I$3000,"Permitted – not started",Permissions!$P$2:$P$3000,"Yes")</f>
        <v>0</v>
      </c>
      <c r="AJ142" s="24" t="n">
        <f aca="false">SUMIFS(Permissions!$G$2:$G$3000,Permissions!$B$2:$B$3000,$A142,Permissions!$I$2:$I$3000,"Stalled",Permissions!$P$2:$P$3000,"Yes")</f>
        <v>0</v>
      </c>
      <c r="AK142" s="24" t="n">
        <f aca="false">AG142+AH142+AI142+AJ142</f>
        <v>0</v>
      </c>
      <c r="AL142" s="24" t="n">
        <f aca="false">SUMIFS(Permissions!$G$2:$G$3000,Permissions!$B$2:$B$3000,$A142,Permissions!$I$2:$I$3000,"Expired – not started",Permissions!$P$2:$P$3000,"Yes")</f>
        <v>12</v>
      </c>
      <c r="AM142" s="24" t="n">
        <f aca="false">SUMIFS(Permissions!$G$2:$G$3000,Permissions!$B$2:$B$3000,$A142,Permissions!$I$2:$I$3000,"In planning",Permissions!$P$2:$P$3000,"Yes")</f>
        <v>0</v>
      </c>
      <c r="AN142" s="24" t="n">
        <f aca="false">IF(R142="",0,MAX(R142-AK142,0))</f>
        <v>12</v>
      </c>
      <c r="AO142" s="25" t="n">
        <f aca="false">AK142+AN142</f>
        <v>12</v>
      </c>
      <c r="AP142" s="24" t="n">
        <f aca="false">AO142-AG142</f>
        <v>12</v>
      </c>
      <c r="AQ142" s="26" t="n">
        <f aca="false">SUMIFS(Permissions!$AH$2:$AH$3000,Permissions!$B$2:$B$3000,$A142,Permissions!$P$2:$P$3000,"Yes")</f>
        <v>0</v>
      </c>
      <c r="AR142" s="26" t="n">
        <f aca="false">SUMIFS(Permissions!$AI$2:$AI$3000,Permissions!$B$2:$B$3000,$A142,Permissions!$P$2:$P$3000,"Yes")</f>
        <v>0</v>
      </c>
      <c r="AS142" s="26" t="n">
        <f aca="false">SUMIFS(Permissions!$AJ$2:$AJ$3000,Permissions!$B$2:$B$3000,$A142,Permissions!$P$2:$P$3000,"Yes")</f>
        <v>0</v>
      </c>
      <c r="AT142" s="26" t="n">
        <f aca="false">SUMIFS(Permissions!$AK$2:$AK$3000,Permissions!$B$2:$B$3000,$A142,Permissions!$P$2:$P$3000,"Yes")</f>
        <v>0</v>
      </c>
      <c r="AU142" s="26" t="n">
        <f aca="false">SUMIFS(Permissions!$AL$2:$AL$3000,Permissions!$B$2:$B$3000,$A142,Permissions!$P$2:$P$3000,"Yes")</f>
        <v>0</v>
      </c>
      <c r="AV142" s="26" t="n">
        <f aca="false">SUMIFS(Permissions!$AM$2:$AM$3000,Permissions!$B$2:$B$3000,$A142,Permissions!$P$2:$P$3000,"Yes")</f>
        <v>0</v>
      </c>
      <c r="AW142" s="24" t="n">
        <f aca="false">COUNTIFS(Permissions!$B$2:$B$3000,$A142,Permissions!$P$2:$P$3000,"Yes")</f>
        <v>1</v>
      </c>
      <c r="AX142" s="24" t="n">
        <f aca="false">SUMIFS(Permissions!$L$2:$L$3000,Permissions!$B$2:$B$3000,$A142,Permissions!$P$2:$P$3000,"Yes")</f>
        <v>0</v>
      </c>
      <c r="AY142" s="27" t="str">
        <f aca="false">IF(AND(AK142&gt;0,AG142&gt;=AK142,AN142=0),"Built out",IF(AG142&gt;0,"Partly built",IF(AK142&gt;0,"Consented – not built","No consent")))</f>
        <v>No consent</v>
      </c>
      <c r="AZ142" s="28" t="str">
        <f aca="false">IF(AND(R142&lt;&gt;"",AK142&gt;1.1*R142),"Consented above capacity",IF(AND(LEFT(B142,8)="Planning",AW142=0),"Consent parcel with no permission",IF(COUNTIF($A$2:$A$3000,$A142)&gt;1,"Duplicate parcel_id","")))</f>
        <v/>
      </c>
    </row>
    <row r="143" customFormat="false" ht="15" hidden="false" customHeight="false" outlineLevel="0" collapsed="false">
      <c r="A143" s="15" t="s">
        <v>360</v>
      </c>
      <c r="B143" s="15" t="s">
        <v>12</v>
      </c>
      <c r="C143" s="15" t="s">
        <v>16</v>
      </c>
      <c r="D143" s="15" t="s">
        <v>51</v>
      </c>
      <c r="E143" s="15" t="s">
        <v>19</v>
      </c>
      <c r="F143" s="15" t="n">
        <v>1</v>
      </c>
      <c r="G143" s="15" t="s">
        <v>154</v>
      </c>
      <c r="H143" s="15"/>
      <c r="I143" s="15" t="s">
        <v>51</v>
      </c>
      <c r="J143" s="15" t="s">
        <v>176</v>
      </c>
      <c r="K143" s="15" t="s">
        <v>361</v>
      </c>
      <c r="L143" s="15"/>
      <c r="M143" s="15"/>
      <c r="N143" s="15"/>
      <c r="O143" s="15"/>
      <c r="P143" s="15" t="n">
        <v>1.237</v>
      </c>
      <c r="Q143" s="15" t="n">
        <v>1.237</v>
      </c>
      <c r="R143" s="15"/>
      <c r="S143" s="15" t="s">
        <v>346</v>
      </c>
      <c r="T143" s="15"/>
      <c r="U143" s="15"/>
      <c r="V143" s="15"/>
      <c r="W143" s="15"/>
      <c r="X143" s="15"/>
      <c r="Y143" s="15"/>
      <c r="Z143" s="15"/>
      <c r="AA143" s="15" t="n">
        <v>27</v>
      </c>
      <c r="AB143" s="15" t="n">
        <v>27</v>
      </c>
      <c r="AC143" s="15"/>
      <c r="AD143" s="15"/>
      <c r="AE143" s="15" t="s">
        <v>163</v>
      </c>
      <c r="AF143" s="15"/>
      <c r="AG143" s="24" t="n">
        <f aca="false">SUMIFS(Permissions!$G$2:$G$3000,Permissions!$B$2:$B$3000,$A143,Permissions!$I$2:$I$3000,"Complete",Permissions!$P$2:$P$3000,"Yes")</f>
        <v>27</v>
      </c>
      <c r="AH143" s="24" t="n">
        <f aca="false">SUMIFS(Permissions!$G$2:$G$3000,Permissions!$B$2:$B$3000,$A143,Permissions!$I$2:$I$3000,"Under construction",Permissions!$P$2:$P$3000,"Yes")</f>
        <v>0</v>
      </c>
      <c r="AI143" s="24" t="n">
        <f aca="false">SUMIFS(Permissions!$G$2:$G$3000,Permissions!$B$2:$B$3000,$A143,Permissions!$I$2:$I$3000,"Permitted – not started",Permissions!$P$2:$P$3000,"Yes")</f>
        <v>0</v>
      </c>
      <c r="AJ143" s="24" t="n">
        <f aca="false">SUMIFS(Permissions!$G$2:$G$3000,Permissions!$B$2:$B$3000,$A143,Permissions!$I$2:$I$3000,"Stalled",Permissions!$P$2:$P$3000,"Yes")</f>
        <v>0</v>
      </c>
      <c r="AK143" s="24" t="n">
        <f aca="false">AG143+AH143+AI143+AJ143</f>
        <v>27</v>
      </c>
      <c r="AL143" s="24" t="n">
        <f aca="false">SUMIFS(Permissions!$G$2:$G$3000,Permissions!$B$2:$B$3000,$A143,Permissions!$I$2:$I$3000,"Expired – not started",Permissions!$P$2:$P$3000,"Yes")</f>
        <v>0</v>
      </c>
      <c r="AM143" s="24" t="n">
        <f aca="false">SUMIFS(Permissions!$G$2:$G$3000,Permissions!$B$2:$B$3000,$A143,Permissions!$I$2:$I$3000,"In planning",Permissions!$P$2:$P$3000,"Yes")</f>
        <v>0</v>
      </c>
      <c r="AN143" s="24" t="n">
        <f aca="false">IF(R143="",0,MAX(R143-AK143,0))</f>
        <v>0</v>
      </c>
      <c r="AO143" s="25" t="n">
        <f aca="false">AK143+AN143</f>
        <v>27</v>
      </c>
      <c r="AP143" s="24" t="n">
        <f aca="false">AO143-AG143</f>
        <v>0</v>
      </c>
      <c r="AQ143" s="26" t="n">
        <f aca="false">SUMIFS(Permissions!$AH$2:$AH$3000,Permissions!$B$2:$B$3000,$A143,Permissions!$P$2:$P$3000,"Yes")</f>
        <v>0</v>
      </c>
      <c r="AR143" s="26" t="n">
        <f aca="false">SUMIFS(Permissions!$AI$2:$AI$3000,Permissions!$B$2:$B$3000,$A143,Permissions!$P$2:$P$3000,"Yes")</f>
        <v>0</v>
      </c>
      <c r="AS143" s="26" t="n">
        <f aca="false">SUMIFS(Permissions!$AJ$2:$AJ$3000,Permissions!$B$2:$B$3000,$A143,Permissions!$P$2:$P$3000,"Yes")</f>
        <v>0</v>
      </c>
      <c r="AT143" s="26" t="n">
        <f aca="false">SUMIFS(Permissions!$AK$2:$AK$3000,Permissions!$B$2:$B$3000,$A143,Permissions!$P$2:$P$3000,"Yes")</f>
        <v>0</v>
      </c>
      <c r="AU143" s="26" t="n">
        <f aca="false">SUMIFS(Permissions!$AL$2:$AL$3000,Permissions!$B$2:$B$3000,$A143,Permissions!$P$2:$P$3000,"Yes")</f>
        <v>0</v>
      </c>
      <c r="AV143" s="26" t="n">
        <f aca="false">SUMIFS(Permissions!$AM$2:$AM$3000,Permissions!$B$2:$B$3000,$A143,Permissions!$P$2:$P$3000,"Yes")</f>
        <v>0</v>
      </c>
      <c r="AW143" s="24" t="n">
        <f aca="false">COUNTIFS(Permissions!$B$2:$B$3000,$A143,Permissions!$P$2:$P$3000,"Yes")</f>
        <v>1</v>
      </c>
      <c r="AX143" s="24" t="n">
        <f aca="false">SUMIFS(Permissions!$L$2:$L$3000,Permissions!$B$2:$B$3000,$A143,Permissions!$P$2:$P$3000,"Yes")</f>
        <v>27</v>
      </c>
      <c r="AY143" s="27" t="str">
        <f aca="false">IF(AND(AK143&gt;0,AG143&gt;=AK143,AN143=0),"Built out",IF(AG143&gt;0,"Partly built",IF(AK143&gt;0,"Consented – not built","No consent")))</f>
        <v>Built out</v>
      </c>
      <c r="AZ143" s="28" t="str">
        <f aca="false">IF(AND(R143&lt;&gt;"",AK143&gt;1.1*R143),"Consented above capacity",IF(AND(LEFT(B143,8)="Planning",AW143=0),"Consent parcel with no permission",IF(COUNTIF($A$2:$A$3000,$A143)&gt;1,"Duplicate parcel_id","")))</f>
        <v/>
      </c>
    </row>
    <row r="144" customFormat="false" ht="15" hidden="false" customHeight="false" outlineLevel="0" collapsed="false">
      <c r="A144" s="15" t="s">
        <v>362</v>
      </c>
      <c r="B144" s="15" t="s">
        <v>12</v>
      </c>
      <c r="C144" s="15" t="s">
        <v>16</v>
      </c>
      <c r="D144" s="15" t="s">
        <v>51</v>
      </c>
      <c r="E144" s="15" t="s">
        <v>19</v>
      </c>
      <c r="F144" s="15" t="n">
        <v>1</v>
      </c>
      <c r="G144" s="15" t="s">
        <v>154</v>
      </c>
      <c r="H144" s="15"/>
      <c r="I144" s="15" t="s">
        <v>51</v>
      </c>
      <c r="J144" s="15" t="s">
        <v>176</v>
      </c>
      <c r="K144" s="15" t="s">
        <v>363</v>
      </c>
      <c r="L144" s="15"/>
      <c r="M144" s="15"/>
      <c r="N144" s="15"/>
      <c r="O144" s="15"/>
      <c r="P144" s="15" t="n">
        <v>2.484</v>
      </c>
      <c r="Q144" s="15" t="n">
        <v>2.484</v>
      </c>
      <c r="R144" s="15"/>
      <c r="S144" s="15" t="s">
        <v>346</v>
      </c>
      <c r="T144" s="15"/>
      <c r="U144" s="15"/>
      <c r="V144" s="15"/>
      <c r="W144" s="15"/>
      <c r="X144" s="15"/>
      <c r="Y144" s="15"/>
      <c r="Z144" s="15"/>
      <c r="AA144" s="15" t="n">
        <v>92</v>
      </c>
      <c r="AB144" s="15" t="n">
        <v>92</v>
      </c>
      <c r="AC144" s="15"/>
      <c r="AD144" s="15"/>
      <c r="AE144" s="15" t="s">
        <v>163</v>
      </c>
      <c r="AF144" s="15"/>
      <c r="AG144" s="24" t="n">
        <f aca="false">SUMIFS(Permissions!$G$2:$G$3000,Permissions!$B$2:$B$3000,$A144,Permissions!$I$2:$I$3000,"Complete",Permissions!$P$2:$P$3000,"Yes")</f>
        <v>0</v>
      </c>
      <c r="AH144" s="24" t="n">
        <f aca="false">SUMIFS(Permissions!$G$2:$G$3000,Permissions!$B$2:$B$3000,$A144,Permissions!$I$2:$I$3000,"Under construction",Permissions!$P$2:$P$3000,"Yes")</f>
        <v>92</v>
      </c>
      <c r="AI144" s="24" t="n">
        <f aca="false">SUMIFS(Permissions!$G$2:$G$3000,Permissions!$B$2:$B$3000,$A144,Permissions!$I$2:$I$3000,"Permitted – not started",Permissions!$P$2:$P$3000,"Yes")</f>
        <v>0</v>
      </c>
      <c r="AJ144" s="24" t="n">
        <f aca="false">SUMIFS(Permissions!$G$2:$G$3000,Permissions!$B$2:$B$3000,$A144,Permissions!$I$2:$I$3000,"Stalled",Permissions!$P$2:$P$3000,"Yes")</f>
        <v>0</v>
      </c>
      <c r="AK144" s="24" t="n">
        <f aca="false">AG144+AH144+AI144+AJ144</f>
        <v>92</v>
      </c>
      <c r="AL144" s="24" t="n">
        <f aca="false">SUMIFS(Permissions!$G$2:$G$3000,Permissions!$B$2:$B$3000,$A144,Permissions!$I$2:$I$3000,"Expired – not started",Permissions!$P$2:$P$3000,"Yes")</f>
        <v>0</v>
      </c>
      <c r="AM144" s="24" t="n">
        <f aca="false">SUMIFS(Permissions!$G$2:$G$3000,Permissions!$B$2:$B$3000,$A144,Permissions!$I$2:$I$3000,"In planning",Permissions!$P$2:$P$3000,"Yes")</f>
        <v>0</v>
      </c>
      <c r="AN144" s="24" t="n">
        <f aca="false">IF(R144="",0,MAX(R144-AK144,0))</f>
        <v>0</v>
      </c>
      <c r="AO144" s="25" t="n">
        <f aca="false">AK144+AN144</f>
        <v>92</v>
      </c>
      <c r="AP144" s="24" t="n">
        <f aca="false">AO144-AG144</f>
        <v>92</v>
      </c>
      <c r="AQ144" s="26" t="n">
        <f aca="false">SUMIFS(Permissions!$AH$2:$AH$3000,Permissions!$B$2:$B$3000,$A144,Permissions!$P$2:$P$3000,"Yes")</f>
        <v>21.4</v>
      </c>
      <c r="AR144" s="26" t="n">
        <f aca="false">SUMIFS(Permissions!$AI$2:$AI$3000,Permissions!$B$2:$B$3000,$A144,Permissions!$P$2:$P$3000,"Yes")</f>
        <v>70.6</v>
      </c>
      <c r="AS144" s="26" t="n">
        <f aca="false">SUMIFS(Permissions!$AJ$2:$AJ$3000,Permissions!$B$2:$B$3000,$A144,Permissions!$P$2:$P$3000,"Yes")</f>
        <v>0</v>
      </c>
      <c r="AT144" s="26" t="n">
        <f aca="false">SUMIFS(Permissions!$AK$2:$AK$3000,Permissions!$B$2:$B$3000,$A144,Permissions!$P$2:$P$3000,"Yes")</f>
        <v>0</v>
      </c>
      <c r="AU144" s="26" t="n">
        <f aca="false">SUMIFS(Permissions!$AL$2:$AL$3000,Permissions!$B$2:$B$3000,$A144,Permissions!$P$2:$P$3000,"Yes")</f>
        <v>0</v>
      </c>
      <c r="AV144" s="26" t="n">
        <f aca="false">SUMIFS(Permissions!$AM$2:$AM$3000,Permissions!$B$2:$B$3000,$A144,Permissions!$P$2:$P$3000,"Yes")</f>
        <v>0</v>
      </c>
      <c r="AW144" s="24" t="n">
        <f aca="false">COUNTIFS(Permissions!$B$2:$B$3000,$A144,Permissions!$P$2:$P$3000,"Yes")</f>
        <v>1</v>
      </c>
      <c r="AX144" s="24" t="n">
        <f aca="false">SUMIFS(Permissions!$L$2:$L$3000,Permissions!$B$2:$B$3000,$A144,Permissions!$P$2:$P$3000,"Yes")</f>
        <v>48</v>
      </c>
      <c r="AY144" s="27" t="str">
        <f aca="false">IF(AND(AK144&gt;0,AG144&gt;=AK144,AN144=0),"Built out",IF(AG144&gt;0,"Partly built",IF(AK144&gt;0,"Consented – not built","No consent")))</f>
        <v>Consented – not built</v>
      </c>
      <c r="AZ144" s="28" t="str">
        <f aca="false">IF(AND(R144&lt;&gt;"",AK144&gt;1.1*R144),"Consented above capacity",IF(AND(LEFT(B144,8)="Planning",AW144=0),"Consent parcel with no permission",IF(COUNTIF($A$2:$A$3000,$A144)&gt;1,"Duplicate parcel_id","")))</f>
        <v/>
      </c>
    </row>
    <row r="145" customFormat="false" ht="15" hidden="false" customHeight="false" outlineLevel="0" collapsed="false">
      <c r="A145" s="15" t="s">
        <v>364</v>
      </c>
      <c r="B145" s="15" t="s">
        <v>12</v>
      </c>
      <c r="C145" s="15" t="s">
        <v>16</v>
      </c>
      <c r="D145" s="15" t="s">
        <v>51</v>
      </c>
      <c r="E145" s="15" t="s">
        <v>19</v>
      </c>
      <c r="F145" s="15" t="n">
        <v>1</v>
      </c>
      <c r="G145" s="15" t="s">
        <v>154</v>
      </c>
      <c r="H145" s="15"/>
      <c r="I145" s="15" t="s">
        <v>51</v>
      </c>
      <c r="J145" s="15" t="s">
        <v>176</v>
      </c>
      <c r="K145" s="15" t="s">
        <v>365</v>
      </c>
      <c r="L145" s="15"/>
      <c r="M145" s="15"/>
      <c r="N145" s="15"/>
      <c r="O145" s="15"/>
      <c r="P145" s="15" t="n">
        <v>0.213</v>
      </c>
      <c r="Q145" s="15" t="n">
        <v>0.213</v>
      </c>
      <c r="R145" s="15"/>
      <c r="S145" s="15" t="s">
        <v>346</v>
      </c>
      <c r="T145" s="15"/>
      <c r="U145" s="15"/>
      <c r="V145" s="15"/>
      <c r="W145" s="15"/>
      <c r="X145" s="15"/>
      <c r="Y145" s="15"/>
      <c r="Z145" s="15"/>
      <c r="AA145" s="15" t="n">
        <v>0</v>
      </c>
      <c r="AB145" s="15" t="n">
        <v>0</v>
      </c>
      <c r="AC145" s="15"/>
      <c r="AD145" s="15"/>
      <c r="AE145" s="15" t="s">
        <v>163</v>
      </c>
      <c r="AF145" s="15"/>
      <c r="AG145" s="24" t="n">
        <f aca="false">SUMIFS(Permissions!$G$2:$G$3000,Permissions!$B$2:$B$3000,$A145,Permissions!$I$2:$I$3000,"Complete",Permissions!$P$2:$P$3000,"Yes")</f>
        <v>0</v>
      </c>
      <c r="AH145" s="24" t="n">
        <f aca="false">SUMIFS(Permissions!$G$2:$G$3000,Permissions!$B$2:$B$3000,$A145,Permissions!$I$2:$I$3000,"Under construction",Permissions!$P$2:$P$3000,"Yes")</f>
        <v>0</v>
      </c>
      <c r="AI145" s="24" t="n">
        <f aca="false">SUMIFS(Permissions!$G$2:$G$3000,Permissions!$B$2:$B$3000,$A145,Permissions!$I$2:$I$3000,"Permitted – not started",Permissions!$P$2:$P$3000,"Yes")</f>
        <v>11</v>
      </c>
      <c r="AJ145" s="24" t="n">
        <f aca="false">SUMIFS(Permissions!$G$2:$G$3000,Permissions!$B$2:$B$3000,$A145,Permissions!$I$2:$I$3000,"Stalled",Permissions!$P$2:$P$3000,"Yes")</f>
        <v>0</v>
      </c>
      <c r="AK145" s="24" t="n">
        <f aca="false">AG145+AH145+AI145+AJ145</f>
        <v>11</v>
      </c>
      <c r="AL145" s="24" t="n">
        <f aca="false">SUMIFS(Permissions!$G$2:$G$3000,Permissions!$B$2:$B$3000,$A145,Permissions!$I$2:$I$3000,"Expired – not started",Permissions!$P$2:$P$3000,"Yes")</f>
        <v>0</v>
      </c>
      <c r="AM145" s="24" t="n">
        <f aca="false">SUMIFS(Permissions!$G$2:$G$3000,Permissions!$B$2:$B$3000,$A145,Permissions!$I$2:$I$3000,"In planning",Permissions!$P$2:$P$3000,"Yes")</f>
        <v>0</v>
      </c>
      <c r="AN145" s="24" t="n">
        <f aca="false">IF(R145="",0,MAX(R145-AK145,0))</f>
        <v>0</v>
      </c>
      <c r="AO145" s="25" t="n">
        <f aca="false">AK145+AN145</f>
        <v>11</v>
      </c>
      <c r="AP145" s="24" t="n">
        <f aca="false">AO145-AG145</f>
        <v>11</v>
      </c>
      <c r="AQ145" s="26" t="n">
        <f aca="false">SUMIFS(Permissions!$AH$2:$AH$3000,Permissions!$B$2:$B$3000,$A145,Permissions!$P$2:$P$3000,"Yes")</f>
        <v>0</v>
      </c>
      <c r="AR145" s="26" t="n">
        <f aca="false">SUMIFS(Permissions!$AI$2:$AI$3000,Permissions!$B$2:$B$3000,$A145,Permissions!$P$2:$P$3000,"Yes")</f>
        <v>0</v>
      </c>
      <c r="AS145" s="26" t="n">
        <f aca="false">SUMIFS(Permissions!$AJ$2:$AJ$3000,Permissions!$B$2:$B$3000,$A145,Permissions!$P$2:$P$3000,"Yes")</f>
        <v>6.4</v>
      </c>
      <c r="AT145" s="26" t="n">
        <f aca="false">SUMIFS(Permissions!$AK$2:$AK$3000,Permissions!$B$2:$B$3000,$A145,Permissions!$P$2:$P$3000,"Yes")</f>
        <v>4.6</v>
      </c>
      <c r="AU145" s="26" t="n">
        <f aca="false">SUMIFS(Permissions!$AL$2:$AL$3000,Permissions!$B$2:$B$3000,$A145,Permissions!$P$2:$P$3000,"Yes")</f>
        <v>0</v>
      </c>
      <c r="AV145" s="26" t="n">
        <f aca="false">SUMIFS(Permissions!$AM$2:$AM$3000,Permissions!$B$2:$B$3000,$A145,Permissions!$P$2:$P$3000,"Yes")</f>
        <v>0</v>
      </c>
      <c r="AW145" s="24" t="n">
        <f aca="false">COUNTIFS(Permissions!$B$2:$B$3000,$A145,Permissions!$P$2:$P$3000,"Yes")</f>
        <v>1</v>
      </c>
      <c r="AX145" s="24" t="n">
        <f aca="false">SUMIFS(Permissions!$L$2:$L$3000,Permissions!$B$2:$B$3000,$A145,Permissions!$P$2:$P$3000,"Yes")</f>
        <v>0</v>
      </c>
      <c r="AY145" s="27" t="str">
        <f aca="false">IF(AND(AK145&gt;0,AG145&gt;=AK145,AN145=0),"Built out",IF(AG145&gt;0,"Partly built",IF(AK145&gt;0,"Consented – not built","No consent")))</f>
        <v>Consented – not built</v>
      </c>
      <c r="AZ145" s="28" t="str">
        <f aca="false">IF(AND(R145&lt;&gt;"",AK145&gt;1.1*R145),"Consented above capacity",IF(AND(LEFT(B145,8)="Planning",AW145=0),"Consent parcel with no permission",IF(COUNTIF($A$2:$A$3000,$A145)&gt;1,"Duplicate parcel_id","")))</f>
        <v/>
      </c>
    </row>
    <row r="146" customFormat="false" ht="15" hidden="false" customHeight="false" outlineLevel="0" collapsed="false">
      <c r="A146" s="15" t="s">
        <v>366</v>
      </c>
      <c r="B146" s="15" t="s">
        <v>12</v>
      </c>
      <c r="C146" s="15" t="s">
        <v>16</v>
      </c>
      <c r="D146" s="15" t="s">
        <v>51</v>
      </c>
      <c r="E146" s="15" t="s">
        <v>19</v>
      </c>
      <c r="F146" s="15" t="n">
        <v>1</v>
      </c>
      <c r="G146" s="15" t="s">
        <v>154</v>
      </c>
      <c r="H146" s="15"/>
      <c r="I146" s="15" t="s">
        <v>51</v>
      </c>
      <c r="J146" s="15" t="s">
        <v>176</v>
      </c>
      <c r="K146" s="15" t="s">
        <v>367</v>
      </c>
      <c r="L146" s="15"/>
      <c r="M146" s="15"/>
      <c r="N146" s="15"/>
      <c r="O146" s="15"/>
      <c r="P146" s="15" t="n">
        <v>0.148</v>
      </c>
      <c r="Q146" s="15" t="n">
        <v>0.148</v>
      </c>
      <c r="R146" s="15"/>
      <c r="S146" s="15" t="s">
        <v>346</v>
      </c>
      <c r="T146" s="15"/>
      <c r="U146" s="15"/>
      <c r="V146" s="15"/>
      <c r="W146" s="15"/>
      <c r="X146" s="15"/>
      <c r="Y146" s="15"/>
      <c r="Z146" s="15"/>
      <c r="AA146" s="15" t="n">
        <v>6</v>
      </c>
      <c r="AB146" s="15" t="n">
        <v>5</v>
      </c>
      <c r="AC146" s="15"/>
      <c r="AD146" s="15"/>
      <c r="AE146" s="15" t="s">
        <v>163</v>
      </c>
      <c r="AF146" s="15"/>
      <c r="AG146" s="24" t="n">
        <f aca="false">SUMIFS(Permissions!$G$2:$G$3000,Permissions!$B$2:$B$3000,$A146,Permissions!$I$2:$I$3000,"Complete",Permissions!$P$2:$P$3000,"Yes")</f>
        <v>6</v>
      </c>
      <c r="AH146" s="24" t="n">
        <f aca="false">SUMIFS(Permissions!$G$2:$G$3000,Permissions!$B$2:$B$3000,$A146,Permissions!$I$2:$I$3000,"Under construction",Permissions!$P$2:$P$3000,"Yes")</f>
        <v>0</v>
      </c>
      <c r="AI146" s="24" t="n">
        <f aca="false">SUMIFS(Permissions!$G$2:$G$3000,Permissions!$B$2:$B$3000,$A146,Permissions!$I$2:$I$3000,"Permitted – not started",Permissions!$P$2:$P$3000,"Yes")</f>
        <v>0</v>
      </c>
      <c r="AJ146" s="24" t="n">
        <f aca="false">SUMIFS(Permissions!$G$2:$G$3000,Permissions!$B$2:$B$3000,$A146,Permissions!$I$2:$I$3000,"Stalled",Permissions!$P$2:$P$3000,"Yes")</f>
        <v>0</v>
      </c>
      <c r="AK146" s="24" t="n">
        <f aca="false">AG146+AH146+AI146+AJ146</f>
        <v>6</v>
      </c>
      <c r="AL146" s="24" t="n">
        <f aca="false">SUMIFS(Permissions!$G$2:$G$3000,Permissions!$B$2:$B$3000,$A146,Permissions!$I$2:$I$3000,"Expired – not started",Permissions!$P$2:$P$3000,"Yes")</f>
        <v>0</v>
      </c>
      <c r="AM146" s="24" t="n">
        <f aca="false">SUMIFS(Permissions!$G$2:$G$3000,Permissions!$B$2:$B$3000,$A146,Permissions!$I$2:$I$3000,"In planning",Permissions!$P$2:$P$3000,"Yes")</f>
        <v>0</v>
      </c>
      <c r="AN146" s="24" t="n">
        <f aca="false">IF(R146="",0,MAX(R146-AK146,0))</f>
        <v>0</v>
      </c>
      <c r="AO146" s="25" t="n">
        <f aca="false">AK146+AN146</f>
        <v>6</v>
      </c>
      <c r="AP146" s="24" t="n">
        <f aca="false">AO146-AG146</f>
        <v>0</v>
      </c>
      <c r="AQ146" s="26" t="n">
        <f aca="false">SUMIFS(Permissions!$AH$2:$AH$3000,Permissions!$B$2:$B$3000,$A146,Permissions!$P$2:$P$3000,"Yes")</f>
        <v>0</v>
      </c>
      <c r="AR146" s="26" t="n">
        <f aca="false">SUMIFS(Permissions!$AI$2:$AI$3000,Permissions!$B$2:$B$3000,$A146,Permissions!$P$2:$P$3000,"Yes")</f>
        <v>0</v>
      </c>
      <c r="AS146" s="26" t="n">
        <f aca="false">SUMIFS(Permissions!$AJ$2:$AJ$3000,Permissions!$B$2:$B$3000,$A146,Permissions!$P$2:$P$3000,"Yes")</f>
        <v>0</v>
      </c>
      <c r="AT146" s="26" t="n">
        <f aca="false">SUMIFS(Permissions!$AK$2:$AK$3000,Permissions!$B$2:$B$3000,$A146,Permissions!$P$2:$P$3000,"Yes")</f>
        <v>0</v>
      </c>
      <c r="AU146" s="26" t="n">
        <f aca="false">SUMIFS(Permissions!$AL$2:$AL$3000,Permissions!$B$2:$B$3000,$A146,Permissions!$P$2:$P$3000,"Yes")</f>
        <v>0</v>
      </c>
      <c r="AV146" s="26" t="n">
        <f aca="false">SUMIFS(Permissions!$AM$2:$AM$3000,Permissions!$B$2:$B$3000,$A146,Permissions!$P$2:$P$3000,"Yes")</f>
        <v>0</v>
      </c>
      <c r="AW146" s="24" t="n">
        <f aca="false">COUNTIFS(Permissions!$B$2:$B$3000,$A146,Permissions!$P$2:$P$3000,"Yes")</f>
        <v>1</v>
      </c>
      <c r="AX146" s="24" t="n">
        <f aca="false">SUMIFS(Permissions!$L$2:$L$3000,Permissions!$B$2:$B$3000,$A146,Permissions!$P$2:$P$3000,"Yes")</f>
        <v>5</v>
      </c>
      <c r="AY146" s="27" t="str">
        <f aca="false">IF(AND(AK146&gt;0,AG146&gt;=AK146,AN146=0),"Built out",IF(AG146&gt;0,"Partly built",IF(AK146&gt;0,"Consented – not built","No consent")))</f>
        <v>Built out</v>
      </c>
      <c r="AZ146" s="28" t="str">
        <f aca="false">IF(AND(R146&lt;&gt;"",AK146&gt;1.1*R146),"Consented above capacity",IF(AND(LEFT(B146,8)="Planning",AW146=0),"Consent parcel with no permission",IF(COUNTIF($A$2:$A$3000,$A146)&gt;1,"Duplicate parcel_id","")))</f>
        <v/>
      </c>
    </row>
    <row r="147" customFormat="false" ht="15" hidden="false" customHeight="false" outlineLevel="0" collapsed="false">
      <c r="A147" s="15" t="s">
        <v>368</v>
      </c>
      <c r="B147" s="15" t="s">
        <v>12</v>
      </c>
      <c r="C147" s="15" t="s">
        <v>16</v>
      </c>
      <c r="D147" s="15" t="s">
        <v>51</v>
      </c>
      <c r="E147" s="15" t="s">
        <v>19</v>
      </c>
      <c r="F147" s="15" t="n">
        <v>1</v>
      </c>
      <c r="G147" s="15" t="s">
        <v>154</v>
      </c>
      <c r="H147" s="15"/>
      <c r="I147" s="15" t="s">
        <v>51</v>
      </c>
      <c r="J147" s="15" t="s">
        <v>176</v>
      </c>
      <c r="K147" s="15" t="s">
        <v>369</v>
      </c>
      <c r="L147" s="15"/>
      <c r="M147" s="15"/>
      <c r="N147" s="15"/>
      <c r="O147" s="15"/>
      <c r="P147" s="15" t="n">
        <v>0.508</v>
      </c>
      <c r="Q147" s="15" t="n">
        <v>0.508</v>
      </c>
      <c r="R147" s="15"/>
      <c r="S147" s="15" t="s">
        <v>346</v>
      </c>
      <c r="T147" s="15"/>
      <c r="U147" s="15"/>
      <c r="V147" s="15"/>
      <c r="W147" s="15"/>
      <c r="X147" s="15"/>
      <c r="Y147" s="15"/>
      <c r="Z147" s="15"/>
      <c r="AA147" s="15" t="n">
        <v>1</v>
      </c>
      <c r="AB147" s="15" t="n">
        <v>0</v>
      </c>
      <c r="AC147" s="15"/>
      <c r="AD147" s="15"/>
      <c r="AE147" s="15" t="s">
        <v>163</v>
      </c>
      <c r="AF147" s="15"/>
      <c r="AG147" s="24" t="n">
        <f aca="false">SUMIFS(Permissions!$G$2:$G$3000,Permissions!$B$2:$B$3000,$A147,Permissions!$I$2:$I$3000,"Complete",Permissions!$P$2:$P$3000,"Yes")</f>
        <v>0</v>
      </c>
      <c r="AH147" s="24" t="n">
        <f aca="false">SUMIFS(Permissions!$G$2:$G$3000,Permissions!$B$2:$B$3000,$A147,Permissions!$I$2:$I$3000,"Under construction",Permissions!$P$2:$P$3000,"Yes")</f>
        <v>28</v>
      </c>
      <c r="AI147" s="24" t="n">
        <f aca="false">SUMIFS(Permissions!$G$2:$G$3000,Permissions!$B$2:$B$3000,$A147,Permissions!$I$2:$I$3000,"Permitted – not started",Permissions!$P$2:$P$3000,"Yes")</f>
        <v>0</v>
      </c>
      <c r="AJ147" s="24" t="n">
        <f aca="false">SUMIFS(Permissions!$G$2:$G$3000,Permissions!$B$2:$B$3000,$A147,Permissions!$I$2:$I$3000,"Stalled",Permissions!$P$2:$P$3000,"Yes")</f>
        <v>0</v>
      </c>
      <c r="AK147" s="24" t="n">
        <f aca="false">AG147+AH147+AI147+AJ147</f>
        <v>28</v>
      </c>
      <c r="AL147" s="24" t="n">
        <f aca="false">SUMIFS(Permissions!$G$2:$G$3000,Permissions!$B$2:$B$3000,$A147,Permissions!$I$2:$I$3000,"Expired – not started",Permissions!$P$2:$P$3000,"Yes")</f>
        <v>0</v>
      </c>
      <c r="AM147" s="24" t="n">
        <f aca="false">SUMIFS(Permissions!$G$2:$G$3000,Permissions!$B$2:$B$3000,$A147,Permissions!$I$2:$I$3000,"In planning",Permissions!$P$2:$P$3000,"Yes")</f>
        <v>0</v>
      </c>
      <c r="AN147" s="24" t="n">
        <f aca="false">IF(R147="",0,MAX(R147-AK147,0))</f>
        <v>0</v>
      </c>
      <c r="AO147" s="25" t="n">
        <f aca="false">AK147+AN147</f>
        <v>28</v>
      </c>
      <c r="AP147" s="24" t="n">
        <f aca="false">AO147-AG147</f>
        <v>28</v>
      </c>
      <c r="AQ147" s="26" t="n">
        <f aca="false">SUMIFS(Permissions!$AH$2:$AH$3000,Permissions!$B$2:$B$3000,$A147,Permissions!$P$2:$P$3000,"Yes")</f>
        <v>3.9</v>
      </c>
      <c r="AR147" s="26" t="n">
        <f aca="false">SUMIFS(Permissions!$AI$2:$AI$3000,Permissions!$B$2:$B$3000,$A147,Permissions!$P$2:$P$3000,"Yes")</f>
        <v>24.1</v>
      </c>
      <c r="AS147" s="26" t="n">
        <f aca="false">SUMIFS(Permissions!$AJ$2:$AJ$3000,Permissions!$B$2:$B$3000,$A147,Permissions!$P$2:$P$3000,"Yes")</f>
        <v>0</v>
      </c>
      <c r="AT147" s="26" t="n">
        <f aca="false">SUMIFS(Permissions!$AK$2:$AK$3000,Permissions!$B$2:$B$3000,$A147,Permissions!$P$2:$P$3000,"Yes")</f>
        <v>0</v>
      </c>
      <c r="AU147" s="26" t="n">
        <f aca="false">SUMIFS(Permissions!$AL$2:$AL$3000,Permissions!$B$2:$B$3000,$A147,Permissions!$P$2:$P$3000,"Yes")</f>
        <v>0</v>
      </c>
      <c r="AV147" s="26" t="n">
        <f aca="false">SUMIFS(Permissions!$AM$2:$AM$3000,Permissions!$B$2:$B$3000,$A147,Permissions!$P$2:$P$3000,"Yes")</f>
        <v>0</v>
      </c>
      <c r="AW147" s="24" t="n">
        <f aca="false">COUNTIFS(Permissions!$B$2:$B$3000,$A147,Permissions!$P$2:$P$3000,"Yes")</f>
        <v>1</v>
      </c>
      <c r="AX147" s="24" t="n">
        <f aca="false">SUMIFS(Permissions!$L$2:$L$3000,Permissions!$B$2:$B$3000,$A147,Permissions!$P$2:$P$3000,"Yes")</f>
        <v>0</v>
      </c>
      <c r="AY147" s="27" t="str">
        <f aca="false">IF(AND(AK147&gt;0,AG147&gt;=AK147,AN147=0),"Built out",IF(AG147&gt;0,"Partly built",IF(AK147&gt;0,"Consented – not built","No consent")))</f>
        <v>Consented – not built</v>
      </c>
      <c r="AZ147" s="28" t="str">
        <f aca="false">IF(AND(R147&lt;&gt;"",AK147&gt;1.1*R147),"Consented above capacity",IF(AND(LEFT(B147,8)="Planning",AW147=0),"Consent parcel with no permission",IF(COUNTIF($A$2:$A$3000,$A147)&gt;1,"Duplicate parcel_id","")))</f>
        <v/>
      </c>
    </row>
    <row r="148" customFormat="false" ht="15" hidden="false" customHeight="false" outlineLevel="0" collapsed="false">
      <c r="A148" s="15" t="s">
        <v>370</v>
      </c>
      <c r="B148" s="15" t="s">
        <v>12</v>
      </c>
      <c r="C148" s="15" t="s">
        <v>16</v>
      </c>
      <c r="D148" s="15" t="s">
        <v>51</v>
      </c>
      <c r="E148" s="15" t="s">
        <v>19</v>
      </c>
      <c r="F148" s="15" t="n">
        <v>1</v>
      </c>
      <c r="G148" s="15" t="s">
        <v>154</v>
      </c>
      <c r="H148" s="15"/>
      <c r="I148" s="15" t="s">
        <v>51</v>
      </c>
      <c r="J148" s="15" t="s">
        <v>176</v>
      </c>
      <c r="K148" s="15" t="s">
        <v>371</v>
      </c>
      <c r="L148" s="15"/>
      <c r="M148" s="15"/>
      <c r="N148" s="15"/>
      <c r="O148" s="15"/>
      <c r="P148" s="15" t="n">
        <v>0.196</v>
      </c>
      <c r="Q148" s="15" t="n">
        <v>0.196</v>
      </c>
      <c r="R148" s="15" t="n">
        <v>6</v>
      </c>
      <c r="S148" s="15" t="s">
        <v>372</v>
      </c>
      <c r="T148" s="15"/>
      <c r="U148" s="15"/>
      <c r="V148" s="15"/>
      <c r="W148" s="15"/>
      <c r="X148" s="15"/>
      <c r="Y148" s="15"/>
      <c r="Z148" s="15"/>
      <c r="AA148" s="15" t="n">
        <v>0</v>
      </c>
      <c r="AB148" s="15" t="n">
        <v>0</v>
      </c>
      <c r="AC148" s="15"/>
      <c r="AD148" s="15" t="s">
        <v>373</v>
      </c>
      <c r="AE148" s="15" t="s">
        <v>163</v>
      </c>
      <c r="AF148" s="15"/>
      <c r="AG148" s="24" t="n">
        <f aca="false">SUMIFS(Permissions!$G$2:$G$3000,Permissions!$B$2:$B$3000,$A148,Permissions!$I$2:$I$3000,"Complete",Permissions!$P$2:$P$3000,"Yes")</f>
        <v>0</v>
      </c>
      <c r="AH148" s="24" t="n">
        <f aca="false">SUMIFS(Permissions!$G$2:$G$3000,Permissions!$B$2:$B$3000,$A148,Permissions!$I$2:$I$3000,"Under construction",Permissions!$P$2:$P$3000,"Yes")</f>
        <v>0</v>
      </c>
      <c r="AI148" s="24" t="n">
        <f aca="false">SUMIFS(Permissions!$G$2:$G$3000,Permissions!$B$2:$B$3000,$A148,Permissions!$I$2:$I$3000,"Permitted – not started",Permissions!$P$2:$P$3000,"Yes")</f>
        <v>0</v>
      </c>
      <c r="AJ148" s="24" t="n">
        <f aca="false">SUMIFS(Permissions!$G$2:$G$3000,Permissions!$B$2:$B$3000,$A148,Permissions!$I$2:$I$3000,"Stalled",Permissions!$P$2:$P$3000,"Yes")</f>
        <v>0</v>
      </c>
      <c r="AK148" s="24" t="n">
        <f aca="false">AG148+AH148+AI148+AJ148</f>
        <v>0</v>
      </c>
      <c r="AL148" s="24" t="n">
        <f aca="false">SUMIFS(Permissions!$G$2:$G$3000,Permissions!$B$2:$B$3000,$A148,Permissions!$I$2:$I$3000,"Expired – not started",Permissions!$P$2:$P$3000,"Yes")</f>
        <v>0</v>
      </c>
      <c r="AM148" s="24" t="n">
        <f aca="false">SUMIFS(Permissions!$G$2:$G$3000,Permissions!$B$2:$B$3000,$A148,Permissions!$I$2:$I$3000,"In planning",Permissions!$P$2:$P$3000,"Yes")</f>
        <v>6</v>
      </c>
      <c r="AN148" s="24" t="n">
        <f aca="false">IF(R148="",0,MAX(R148-AK148,0))</f>
        <v>6</v>
      </c>
      <c r="AO148" s="25" t="n">
        <f aca="false">AK148+AN148</f>
        <v>6</v>
      </c>
      <c r="AP148" s="24" t="n">
        <f aca="false">AO148-AG148</f>
        <v>6</v>
      </c>
      <c r="AQ148" s="26" t="n">
        <f aca="false">SUMIFS(Permissions!$AH$2:$AH$3000,Permissions!$B$2:$B$3000,$A148,Permissions!$P$2:$P$3000,"Yes")</f>
        <v>0</v>
      </c>
      <c r="AR148" s="26" t="n">
        <f aca="false">SUMIFS(Permissions!$AI$2:$AI$3000,Permissions!$B$2:$B$3000,$A148,Permissions!$P$2:$P$3000,"Yes")</f>
        <v>0</v>
      </c>
      <c r="AS148" s="26" t="n">
        <f aca="false">SUMIFS(Permissions!$AJ$2:$AJ$3000,Permissions!$B$2:$B$3000,$A148,Permissions!$P$2:$P$3000,"Yes")</f>
        <v>0</v>
      </c>
      <c r="AT148" s="26" t="n">
        <f aca="false">SUMIFS(Permissions!$AK$2:$AK$3000,Permissions!$B$2:$B$3000,$A148,Permissions!$P$2:$P$3000,"Yes")</f>
        <v>0</v>
      </c>
      <c r="AU148" s="26" t="n">
        <f aca="false">SUMIFS(Permissions!$AL$2:$AL$3000,Permissions!$B$2:$B$3000,$A148,Permissions!$P$2:$P$3000,"Yes")</f>
        <v>0</v>
      </c>
      <c r="AV148" s="26" t="n">
        <f aca="false">SUMIFS(Permissions!$AM$2:$AM$3000,Permissions!$B$2:$B$3000,$A148,Permissions!$P$2:$P$3000,"Yes")</f>
        <v>0</v>
      </c>
      <c r="AW148" s="24" t="n">
        <f aca="false">COUNTIFS(Permissions!$B$2:$B$3000,$A148,Permissions!$P$2:$P$3000,"Yes")</f>
        <v>1</v>
      </c>
      <c r="AX148" s="24" t="n">
        <f aca="false">SUMIFS(Permissions!$L$2:$L$3000,Permissions!$B$2:$B$3000,$A148,Permissions!$P$2:$P$3000,"Yes")</f>
        <v>0</v>
      </c>
      <c r="AY148" s="27" t="str">
        <f aca="false">IF(AND(AK148&gt;0,AG148&gt;=AK148,AN148=0),"Built out",IF(AG148&gt;0,"Partly built",IF(AK148&gt;0,"Consented – not built","No consent")))</f>
        <v>No consent</v>
      </c>
      <c r="AZ148" s="28" t="str">
        <f aca="false">IF(AND(R148&lt;&gt;"",AK148&gt;1.1*R148),"Consented above capacity",IF(AND(LEFT(B148,8)="Planning",AW148=0),"Consent parcel with no permission",IF(COUNTIF($A$2:$A$3000,$A148)&gt;1,"Duplicate parcel_id","")))</f>
        <v/>
      </c>
    </row>
    <row r="149" customFormat="false" ht="15" hidden="false" customHeight="false" outlineLevel="0" collapsed="false">
      <c r="A149" s="15" t="s">
        <v>374</v>
      </c>
      <c r="B149" s="15" t="s">
        <v>12</v>
      </c>
      <c r="C149" s="15" t="s">
        <v>16</v>
      </c>
      <c r="D149" s="15" t="s">
        <v>51</v>
      </c>
      <c r="E149" s="15" t="s">
        <v>19</v>
      </c>
      <c r="F149" s="15" t="n">
        <v>1</v>
      </c>
      <c r="G149" s="15" t="s">
        <v>154</v>
      </c>
      <c r="H149" s="15"/>
      <c r="I149" s="15" t="s">
        <v>51</v>
      </c>
      <c r="J149" s="15" t="s">
        <v>176</v>
      </c>
      <c r="K149" s="15" t="s">
        <v>375</v>
      </c>
      <c r="L149" s="15"/>
      <c r="M149" s="15"/>
      <c r="N149" s="15"/>
      <c r="O149" s="15"/>
      <c r="P149" s="15" t="n">
        <v>0.196</v>
      </c>
      <c r="Q149" s="15" t="n">
        <v>0.196</v>
      </c>
      <c r="R149" s="15"/>
      <c r="S149" s="15" t="s">
        <v>346</v>
      </c>
      <c r="T149" s="15"/>
      <c r="U149" s="15"/>
      <c r="V149" s="15"/>
      <c r="W149" s="15"/>
      <c r="X149" s="15"/>
      <c r="Y149" s="15"/>
      <c r="Z149" s="15"/>
      <c r="AA149" s="15" t="n">
        <v>2</v>
      </c>
      <c r="AB149" s="15" t="n">
        <v>0</v>
      </c>
      <c r="AC149" s="15"/>
      <c r="AD149" s="15" t="s">
        <v>373</v>
      </c>
      <c r="AE149" s="15" t="s">
        <v>163</v>
      </c>
      <c r="AF149" s="15"/>
      <c r="AG149" s="24" t="n">
        <f aca="false">SUMIFS(Permissions!$G$2:$G$3000,Permissions!$B$2:$B$3000,$A149,Permissions!$I$2:$I$3000,"Complete",Permissions!$P$2:$P$3000,"Yes")</f>
        <v>6</v>
      </c>
      <c r="AH149" s="24" t="n">
        <f aca="false">SUMIFS(Permissions!$G$2:$G$3000,Permissions!$B$2:$B$3000,$A149,Permissions!$I$2:$I$3000,"Under construction",Permissions!$P$2:$P$3000,"Yes")</f>
        <v>0</v>
      </c>
      <c r="AI149" s="24" t="n">
        <f aca="false">SUMIFS(Permissions!$G$2:$G$3000,Permissions!$B$2:$B$3000,$A149,Permissions!$I$2:$I$3000,"Permitted – not started",Permissions!$P$2:$P$3000,"Yes")</f>
        <v>0</v>
      </c>
      <c r="AJ149" s="24" t="n">
        <f aca="false">SUMIFS(Permissions!$G$2:$G$3000,Permissions!$B$2:$B$3000,$A149,Permissions!$I$2:$I$3000,"Stalled",Permissions!$P$2:$P$3000,"Yes")</f>
        <v>0</v>
      </c>
      <c r="AK149" s="24" t="n">
        <f aca="false">AG149+AH149+AI149+AJ149</f>
        <v>6</v>
      </c>
      <c r="AL149" s="24" t="n">
        <f aca="false">SUMIFS(Permissions!$G$2:$G$3000,Permissions!$B$2:$B$3000,$A149,Permissions!$I$2:$I$3000,"Expired – not started",Permissions!$P$2:$P$3000,"Yes")</f>
        <v>0</v>
      </c>
      <c r="AM149" s="24" t="n">
        <f aca="false">SUMIFS(Permissions!$G$2:$G$3000,Permissions!$B$2:$B$3000,$A149,Permissions!$I$2:$I$3000,"In planning",Permissions!$P$2:$P$3000,"Yes")</f>
        <v>0</v>
      </c>
      <c r="AN149" s="24" t="n">
        <f aca="false">IF(R149="",0,MAX(R149-AK149,0))</f>
        <v>0</v>
      </c>
      <c r="AO149" s="25" t="n">
        <f aca="false">AK149+AN149</f>
        <v>6</v>
      </c>
      <c r="AP149" s="24" t="n">
        <f aca="false">AO149-AG149</f>
        <v>0</v>
      </c>
      <c r="AQ149" s="26" t="n">
        <f aca="false">SUMIFS(Permissions!$AH$2:$AH$3000,Permissions!$B$2:$B$3000,$A149,Permissions!$P$2:$P$3000,"Yes")</f>
        <v>0</v>
      </c>
      <c r="AR149" s="26" t="n">
        <f aca="false">SUMIFS(Permissions!$AI$2:$AI$3000,Permissions!$B$2:$B$3000,$A149,Permissions!$P$2:$P$3000,"Yes")</f>
        <v>0</v>
      </c>
      <c r="AS149" s="26" t="n">
        <f aca="false">SUMIFS(Permissions!$AJ$2:$AJ$3000,Permissions!$B$2:$B$3000,$A149,Permissions!$P$2:$P$3000,"Yes")</f>
        <v>0</v>
      </c>
      <c r="AT149" s="26" t="n">
        <f aca="false">SUMIFS(Permissions!$AK$2:$AK$3000,Permissions!$B$2:$B$3000,$A149,Permissions!$P$2:$P$3000,"Yes")</f>
        <v>0</v>
      </c>
      <c r="AU149" s="26" t="n">
        <f aca="false">SUMIFS(Permissions!$AL$2:$AL$3000,Permissions!$B$2:$B$3000,$A149,Permissions!$P$2:$P$3000,"Yes")</f>
        <v>0</v>
      </c>
      <c r="AV149" s="26" t="n">
        <f aca="false">SUMIFS(Permissions!$AM$2:$AM$3000,Permissions!$B$2:$B$3000,$A149,Permissions!$P$2:$P$3000,"Yes")</f>
        <v>0</v>
      </c>
      <c r="AW149" s="24" t="n">
        <f aca="false">COUNTIFS(Permissions!$B$2:$B$3000,$A149,Permissions!$P$2:$P$3000,"Yes")</f>
        <v>1</v>
      </c>
      <c r="AX149" s="24" t="n">
        <f aca="false">SUMIFS(Permissions!$L$2:$L$3000,Permissions!$B$2:$B$3000,$A149,Permissions!$P$2:$P$3000,"Yes")</f>
        <v>0</v>
      </c>
      <c r="AY149" s="27" t="str">
        <f aca="false">IF(AND(AK149&gt;0,AG149&gt;=AK149,AN149=0),"Built out",IF(AG149&gt;0,"Partly built",IF(AK149&gt;0,"Consented – not built","No consent")))</f>
        <v>Built out</v>
      </c>
      <c r="AZ149" s="28" t="str">
        <f aca="false">IF(AND(R149&lt;&gt;"",AK149&gt;1.1*R149),"Consented above capacity",IF(AND(LEFT(B149,8)="Planning",AW149=0),"Consent parcel with no permission",IF(COUNTIF($A$2:$A$3000,$A149)&gt;1,"Duplicate parcel_id","")))</f>
        <v/>
      </c>
    </row>
    <row r="150" customFormat="false" ht="15" hidden="false" customHeight="false" outlineLevel="0" collapsed="false">
      <c r="A150" s="15" t="s">
        <v>376</v>
      </c>
      <c r="B150" s="15" t="s">
        <v>12</v>
      </c>
      <c r="C150" s="15" t="s">
        <v>16</v>
      </c>
      <c r="D150" s="15" t="s">
        <v>51</v>
      </c>
      <c r="E150" s="15" t="s">
        <v>19</v>
      </c>
      <c r="F150" s="15" t="n">
        <v>1</v>
      </c>
      <c r="G150" s="15" t="s">
        <v>154</v>
      </c>
      <c r="H150" s="15"/>
      <c r="I150" s="15" t="s">
        <v>51</v>
      </c>
      <c r="J150" s="15" t="s">
        <v>176</v>
      </c>
      <c r="K150" s="15" t="s">
        <v>377</v>
      </c>
      <c r="L150" s="15"/>
      <c r="M150" s="15"/>
      <c r="N150" s="15"/>
      <c r="O150" s="15"/>
      <c r="P150" s="15" t="n">
        <v>0.196</v>
      </c>
      <c r="Q150" s="15" t="n">
        <v>0.196</v>
      </c>
      <c r="R150" s="15" t="n">
        <v>7</v>
      </c>
      <c r="S150" s="15" t="s">
        <v>378</v>
      </c>
      <c r="T150" s="15"/>
      <c r="U150" s="15"/>
      <c r="V150" s="15"/>
      <c r="W150" s="15" t="s">
        <v>297</v>
      </c>
      <c r="X150" s="15" t="n">
        <v>34</v>
      </c>
      <c r="Y150" s="15" t="s">
        <v>298</v>
      </c>
      <c r="Z150" s="15"/>
      <c r="AA150" s="15" t="n">
        <v>2</v>
      </c>
      <c r="AB150" s="15" t="n">
        <v>0</v>
      </c>
      <c r="AC150" s="15"/>
      <c r="AD150" s="15" t="s">
        <v>379</v>
      </c>
      <c r="AE150" s="15" t="s">
        <v>163</v>
      </c>
      <c r="AF150" s="15"/>
      <c r="AG150" s="24" t="n">
        <f aca="false">SUMIFS(Permissions!$G$2:$G$3000,Permissions!$B$2:$B$3000,$A150,Permissions!$I$2:$I$3000,"Complete",Permissions!$P$2:$P$3000,"Yes")</f>
        <v>0</v>
      </c>
      <c r="AH150" s="24" t="n">
        <f aca="false">SUMIFS(Permissions!$G$2:$G$3000,Permissions!$B$2:$B$3000,$A150,Permissions!$I$2:$I$3000,"Under construction",Permissions!$P$2:$P$3000,"Yes")</f>
        <v>0</v>
      </c>
      <c r="AI150" s="24" t="n">
        <f aca="false">SUMIFS(Permissions!$G$2:$G$3000,Permissions!$B$2:$B$3000,$A150,Permissions!$I$2:$I$3000,"Permitted – not started",Permissions!$P$2:$P$3000,"Yes")</f>
        <v>0</v>
      </c>
      <c r="AJ150" s="24" t="n">
        <f aca="false">SUMIFS(Permissions!$G$2:$G$3000,Permissions!$B$2:$B$3000,$A150,Permissions!$I$2:$I$3000,"Stalled",Permissions!$P$2:$P$3000,"Yes")</f>
        <v>0</v>
      </c>
      <c r="AK150" s="24" t="n">
        <f aca="false">AG150+AH150+AI150+AJ150</f>
        <v>0</v>
      </c>
      <c r="AL150" s="24" t="n">
        <f aca="false">SUMIFS(Permissions!$G$2:$G$3000,Permissions!$B$2:$B$3000,$A150,Permissions!$I$2:$I$3000,"Expired – not started",Permissions!$P$2:$P$3000,"Yes")</f>
        <v>0</v>
      </c>
      <c r="AM150" s="24" t="n">
        <f aca="false">SUMIFS(Permissions!$G$2:$G$3000,Permissions!$B$2:$B$3000,$A150,Permissions!$I$2:$I$3000,"In planning",Permissions!$P$2:$P$3000,"Yes")</f>
        <v>0</v>
      </c>
      <c r="AN150" s="24" t="n">
        <f aca="false">IF(R150="",0,MAX(R150-AK150,0))</f>
        <v>7</v>
      </c>
      <c r="AO150" s="25" t="n">
        <f aca="false">AK150+AN150</f>
        <v>7</v>
      </c>
      <c r="AP150" s="24" t="n">
        <f aca="false">AO150-AG150</f>
        <v>7</v>
      </c>
      <c r="AQ150" s="26" t="n">
        <f aca="false">SUMIFS(Permissions!$AH$2:$AH$3000,Permissions!$B$2:$B$3000,$A150,Permissions!$P$2:$P$3000,"Yes")</f>
        <v>0</v>
      </c>
      <c r="AR150" s="26" t="n">
        <f aca="false">SUMIFS(Permissions!$AI$2:$AI$3000,Permissions!$B$2:$B$3000,$A150,Permissions!$P$2:$P$3000,"Yes")</f>
        <v>0</v>
      </c>
      <c r="AS150" s="26" t="n">
        <f aca="false">SUMIFS(Permissions!$AJ$2:$AJ$3000,Permissions!$B$2:$B$3000,$A150,Permissions!$P$2:$P$3000,"Yes")</f>
        <v>0</v>
      </c>
      <c r="AT150" s="26" t="n">
        <f aca="false">SUMIFS(Permissions!$AK$2:$AK$3000,Permissions!$B$2:$B$3000,$A150,Permissions!$P$2:$P$3000,"Yes")</f>
        <v>0</v>
      </c>
      <c r="AU150" s="26" t="n">
        <f aca="false">SUMIFS(Permissions!$AL$2:$AL$3000,Permissions!$B$2:$B$3000,$A150,Permissions!$P$2:$P$3000,"Yes")</f>
        <v>0</v>
      </c>
      <c r="AV150" s="26" t="n">
        <f aca="false">SUMIFS(Permissions!$AM$2:$AM$3000,Permissions!$B$2:$B$3000,$A150,Permissions!$P$2:$P$3000,"Yes")</f>
        <v>0</v>
      </c>
      <c r="AW150" s="24" t="n">
        <f aca="false">COUNTIFS(Permissions!$B$2:$B$3000,$A150,Permissions!$P$2:$P$3000,"Yes")</f>
        <v>1</v>
      </c>
      <c r="AX150" s="24" t="n">
        <f aca="false">SUMIFS(Permissions!$L$2:$L$3000,Permissions!$B$2:$B$3000,$A150,Permissions!$P$2:$P$3000,"Yes")</f>
        <v>0</v>
      </c>
      <c r="AY150" s="27" t="str">
        <f aca="false">IF(AND(AK150&gt;0,AG150&gt;=AK150,AN150=0),"Built out",IF(AG150&gt;0,"Partly built",IF(AK150&gt;0,"Consented – not built","No consent")))</f>
        <v>No consent</v>
      </c>
      <c r="AZ150" s="28" t="str">
        <f aca="false">IF(AND(R150&lt;&gt;"",AK150&gt;1.1*R150),"Consented above capacity",IF(AND(LEFT(B150,8)="Planning",AW150=0),"Consent parcel with no permission",IF(COUNTIF($A$2:$A$3000,$A150)&gt;1,"Duplicate parcel_id","")))</f>
        <v/>
      </c>
    </row>
    <row r="151" customFormat="false" ht="15" hidden="false" customHeight="false" outlineLevel="0" collapsed="false">
      <c r="A151" s="15" t="s">
        <v>380</v>
      </c>
      <c r="B151" s="15" t="s">
        <v>12</v>
      </c>
      <c r="C151" s="15" t="s">
        <v>16</v>
      </c>
      <c r="D151" s="15" t="s">
        <v>51</v>
      </c>
      <c r="E151" s="15" t="s">
        <v>19</v>
      </c>
      <c r="F151" s="15" t="n">
        <v>1</v>
      </c>
      <c r="G151" s="15" t="s">
        <v>154</v>
      </c>
      <c r="H151" s="15"/>
      <c r="I151" s="15" t="s">
        <v>51</v>
      </c>
      <c r="J151" s="15" t="s">
        <v>176</v>
      </c>
      <c r="K151" s="15" t="s">
        <v>381</v>
      </c>
      <c r="L151" s="15"/>
      <c r="M151" s="15"/>
      <c r="N151" s="15"/>
      <c r="O151" s="15"/>
      <c r="P151" s="15" t="n">
        <v>0.453</v>
      </c>
      <c r="Q151" s="15" t="n">
        <v>0.453</v>
      </c>
      <c r="R151" s="15" t="n">
        <v>22</v>
      </c>
      <c r="S151" s="15" t="s">
        <v>372</v>
      </c>
      <c r="T151" s="15"/>
      <c r="U151" s="15"/>
      <c r="V151" s="15"/>
      <c r="W151" s="15"/>
      <c r="X151" s="15"/>
      <c r="Y151" s="15"/>
      <c r="Z151" s="15"/>
      <c r="AA151" s="15" t="n">
        <v>2</v>
      </c>
      <c r="AB151" s="15" t="n">
        <v>0</v>
      </c>
      <c r="AC151" s="15"/>
      <c r="AD151" s="15"/>
      <c r="AE151" s="15" t="s">
        <v>163</v>
      </c>
      <c r="AF151" s="15"/>
      <c r="AG151" s="24" t="n">
        <f aca="false">SUMIFS(Permissions!$G$2:$G$3000,Permissions!$B$2:$B$3000,$A151,Permissions!$I$2:$I$3000,"Complete",Permissions!$P$2:$P$3000,"Yes")</f>
        <v>0</v>
      </c>
      <c r="AH151" s="24" t="n">
        <f aca="false">SUMIFS(Permissions!$G$2:$G$3000,Permissions!$B$2:$B$3000,$A151,Permissions!$I$2:$I$3000,"Under construction",Permissions!$P$2:$P$3000,"Yes")</f>
        <v>0</v>
      </c>
      <c r="AI151" s="24" t="n">
        <f aca="false">SUMIFS(Permissions!$G$2:$G$3000,Permissions!$B$2:$B$3000,$A151,Permissions!$I$2:$I$3000,"Permitted – not started",Permissions!$P$2:$P$3000,"Yes")</f>
        <v>0</v>
      </c>
      <c r="AJ151" s="24" t="n">
        <f aca="false">SUMIFS(Permissions!$G$2:$G$3000,Permissions!$B$2:$B$3000,$A151,Permissions!$I$2:$I$3000,"Stalled",Permissions!$P$2:$P$3000,"Yes")</f>
        <v>0</v>
      </c>
      <c r="AK151" s="24" t="n">
        <f aca="false">AG151+AH151+AI151+AJ151</f>
        <v>0</v>
      </c>
      <c r="AL151" s="24" t="n">
        <f aca="false">SUMIFS(Permissions!$G$2:$G$3000,Permissions!$B$2:$B$3000,$A151,Permissions!$I$2:$I$3000,"Expired – not started",Permissions!$P$2:$P$3000,"Yes")</f>
        <v>0</v>
      </c>
      <c r="AM151" s="24" t="n">
        <f aca="false">SUMIFS(Permissions!$G$2:$G$3000,Permissions!$B$2:$B$3000,$A151,Permissions!$I$2:$I$3000,"In planning",Permissions!$P$2:$P$3000,"Yes")</f>
        <v>22</v>
      </c>
      <c r="AN151" s="24" t="n">
        <f aca="false">IF(R151="",0,MAX(R151-AK151,0))</f>
        <v>22</v>
      </c>
      <c r="AO151" s="25" t="n">
        <f aca="false">AK151+AN151</f>
        <v>22</v>
      </c>
      <c r="AP151" s="24" t="n">
        <f aca="false">AO151-AG151</f>
        <v>22</v>
      </c>
      <c r="AQ151" s="26" t="n">
        <f aca="false">SUMIFS(Permissions!$AH$2:$AH$3000,Permissions!$B$2:$B$3000,$A151,Permissions!$P$2:$P$3000,"Yes")</f>
        <v>0</v>
      </c>
      <c r="AR151" s="26" t="n">
        <f aca="false">SUMIFS(Permissions!$AI$2:$AI$3000,Permissions!$B$2:$B$3000,$A151,Permissions!$P$2:$P$3000,"Yes")</f>
        <v>0</v>
      </c>
      <c r="AS151" s="26" t="n">
        <f aca="false">SUMIFS(Permissions!$AJ$2:$AJ$3000,Permissions!$B$2:$B$3000,$A151,Permissions!$P$2:$P$3000,"Yes")</f>
        <v>0</v>
      </c>
      <c r="AT151" s="26" t="n">
        <f aca="false">SUMIFS(Permissions!$AK$2:$AK$3000,Permissions!$B$2:$B$3000,$A151,Permissions!$P$2:$P$3000,"Yes")</f>
        <v>0</v>
      </c>
      <c r="AU151" s="26" t="n">
        <f aca="false">SUMIFS(Permissions!$AL$2:$AL$3000,Permissions!$B$2:$B$3000,$A151,Permissions!$P$2:$P$3000,"Yes")</f>
        <v>0</v>
      </c>
      <c r="AV151" s="26" t="n">
        <f aca="false">SUMIFS(Permissions!$AM$2:$AM$3000,Permissions!$B$2:$B$3000,$A151,Permissions!$P$2:$P$3000,"Yes")</f>
        <v>0</v>
      </c>
      <c r="AW151" s="24" t="n">
        <f aca="false">COUNTIFS(Permissions!$B$2:$B$3000,$A151,Permissions!$P$2:$P$3000,"Yes")</f>
        <v>1</v>
      </c>
      <c r="AX151" s="24" t="n">
        <f aca="false">SUMIFS(Permissions!$L$2:$L$3000,Permissions!$B$2:$B$3000,$A151,Permissions!$P$2:$P$3000,"Yes")</f>
        <v>0</v>
      </c>
      <c r="AY151" s="27" t="str">
        <f aca="false">IF(AND(AK151&gt;0,AG151&gt;=AK151,AN151=0),"Built out",IF(AG151&gt;0,"Partly built",IF(AK151&gt;0,"Consented – not built","No consent")))</f>
        <v>No consent</v>
      </c>
      <c r="AZ151" s="28" t="str">
        <f aca="false">IF(AND(R151&lt;&gt;"",AK151&gt;1.1*R151),"Consented above capacity",IF(AND(LEFT(B151,8)="Planning",AW151=0),"Consent parcel with no permission",IF(COUNTIF($A$2:$A$3000,$A151)&gt;1,"Duplicate parcel_id","")))</f>
        <v/>
      </c>
    </row>
    <row r="152" customFormat="false" ht="15" hidden="false" customHeight="false" outlineLevel="0" collapsed="false">
      <c r="A152" s="15" t="s">
        <v>382</v>
      </c>
      <c r="B152" s="15" t="s">
        <v>12</v>
      </c>
      <c r="C152" s="15" t="s">
        <v>16</v>
      </c>
      <c r="D152" s="15" t="s">
        <v>51</v>
      </c>
      <c r="E152" s="15" t="s">
        <v>19</v>
      </c>
      <c r="F152" s="15" t="n">
        <v>1</v>
      </c>
      <c r="G152" s="15" t="s">
        <v>154</v>
      </c>
      <c r="H152" s="15"/>
      <c r="I152" s="15" t="s">
        <v>51</v>
      </c>
      <c r="J152" s="15" t="s">
        <v>176</v>
      </c>
      <c r="K152" s="15" t="s">
        <v>383</v>
      </c>
      <c r="L152" s="15"/>
      <c r="M152" s="15"/>
      <c r="N152" s="15"/>
      <c r="O152" s="15"/>
      <c r="P152" s="15" t="n">
        <v>0.143</v>
      </c>
      <c r="Q152" s="15" t="n">
        <v>0.143</v>
      </c>
      <c r="R152" s="15"/>
      <c r="S152" s="15" t="s">
        <v>346</v>
      </c>
      <c r="T152" s="15"/>
      <c r="U152" s="15"/>
      <c r="V152" s="15"/>
      <c r="W152" s="15"/>
      <c r="X152" s="15"/>
      <c r="Y152" s="15"/>
      <c r="Z152" s="15"/>
      <c r="AA152" s="15" t="n">
        <v>0</v>
      </c>
      <c r="AB152" s="15" t="n">
        <v>0</v>
      </c>
      <c r="AC152" s="15"/>
      <c r="AD152" s="15" t="s">
        <v>379</v>
      </c>
      <c r="AE152" s="15" t="s">
        <v>163</v>
      </c>
      <c r="AF152" s="15"/>
      <c r="AG152" s="24" t="n">
        <f aca="false">SUMIFS(Permissions!$G$2:$G$3000,Permissions!$B$2:$B$3000,$A152,Permissions!$I$2:$I$3000,"Complete",Permissions!$P$2:$P$3000,"Yes")</f>
        <v>0</v>
      </c>
      <c r="AH152" s="24" t="n">
        <f aca="false">SUMIFS(Permissions!$G$2:$G$3000,Permissions!$B$2:$B$3000,$A152,Permissions!$I$2:$I$3000,"Under construction",Permissions!$P$2:$P$3000,"Yes")</f>
        <v>38</v>
      </c>
      <c r="AI152" s="24" t="n">
        <f aca="false">SUMIFS(Permissions!$G$2:$G$3000,Permissions!$B$2:$B$3000,$A152,Permissions!$I$2:$I$3000,"Permitted – not started",Permissions!$P$2:$P$3000,"Yes")</f>
        <v>0</v>
      </c>
      <c r="AJ152" s="24" t="n">
        <f aca="false">SUMIFS(Permissions!$G$2:$G$3000,Permissions!$B$2:$B$3000,$A152,Permissions!$I$2:$I$3000,"Stalled",Permissions!$P$2:$P$3000,"Yes")</f>
        <v>0</v>
      </c>
      <c r="AK152" s="24" t="n">
        <f aca="false">AG152+AH152+AI152+AJ152</f>
        <v>38</v>
      </c>
      <c r="AL152" s="24" t="n">
        <f aca="false">SUMIFS(Permissions!$G$2:$G$3000,Permissions!$B$2:$B$3000,$A152,Permissions!$I$2:$I$3000,"Expired – not started",Permissions!$P$2:$P$3000,"Yes")</f>
        <v>0</v>
      </c>
      <c r="AM152" s="24" t="n">
        <f aca="false">SUMIFS(Permissions!$G$2:$G$3000,Permissions!$B$2:$B$3000,$A152,Permissions!$I$2:$I$3000,"In planning",Permissions!$P$2:$P$3000,"Yes")</f>
        <v>0</v>
      </c>
      <c r="AN152" s="24" t="n">
        <f aca="false">IF(R152="",0,MAX(R152-AK152,0))</f>
        <v>0</v>
      </c>
      <c r="AO152" s="25" t="n">
        <f aca="false">AK152+AN152</f>
        <v>38</v>
      </c>
      <c r="AP152" s="24" t="n">
        <f aca="false">AO152-AG152</f>
        <v>38</v>
      </c>
      <c r="AQ152" s="26" t="n">
        <f aca="false">SUMIFS(Permissions!$AH$2:$AH$3000,Permissions!$B$2:$B$3000,$A152,Permissions!$P$2:$P$3000,"Yes")</f>
        <v>8.8</v>
      </c>
      <c r="AR152" s="26" t="n">
        <f aca="false">SUMIFS(Permissions!$AI$2:$AI$3000,Permissions!$B$2:$B$3000,$A152,Permissions!$P$2:$P$3000,"Yes")</f>
        <v>29.2</v>
      </c>
      <c r="AS152" s="26" t="n">
        <f aca="false">SUMIFS(Permissions!$AJ$2:$AJ$3000,Permissions!$B$2:$B$3000,$A152,Permissions!$P$2:$P$3000,"Yes")</f>
        <v>0</v>
      </c>
      <c r="AT152" s="26" t="n">
        <f aca="false">SUMIFS(Permissions!$AK$2:$AK$3000,Permissions!$B$2:$B$3000,$A152,Permissions!$P$2:$P$3000,"Yes")</f>
        <v>0</v>
      </c>
      <c r="AU152" s="26" t="n">
        <f aca="false">SUMIFS(Permissions!$AL$2:$AL$3000,Permissions!$B$2:$B$3000,$A152,Permissions!$P$2:$P$3000,"Yes")</f>
        <v>0</v>
      </c>
      <c r="AV152" s="26" t="n">
        <f aca="false">SUMIFS(Permissions!$AM$2:$AM$3000,Permissions!$B$2:$B$3000,$A152,Permissions!$P$2:$P$3000,"Yes")</f>
        <v>0</v>
      </c>
      <c r="AW152" s="24" t="n">
        <f aca="false">COUNTIFS(Permissions!$B$2:$B$3000,$A152,Permissions!$P$2:$P$3000,"Yes")</f>
        <v>1</v>
      </c>
      <c r="AX152" s="24" t="n">
        <f aca="false">SUMIFS(Permissions!$L$2:$L$3000,Permissions!$B$2:$B$3000,$A152,Permissions!$P$2:$P$3000,"Yes")</f>
        <v>0</v>
      </c>
      <c r="AY152" s="27" t="str">
        <f aca="false">IF(AND(AK152&gt;0,AG152&gt;=AK152,AN152=0),"Built out",IF(AG152&gt;0,"Partly built",IF(AK152&gt;0,"Consented – not built","No consent")))</f>
        <v>Consented – not built</v>
      </c>
      <c r="AZ152" s="28" t="str">
        <f aca="false">IF(AND(R152&lt;&gt;"",AK152&gt;1.1*R152),"Consented above capacity",IF(AND(LEFT(B152,8)="Planning",AW152=0),"Consent parcel with no permission",IF(COUNTIF($A$2:$A$3000,$A152)&gt;1,"Duplicate parcel_id","")))</f>
        <v/>
      </c>
    </row>
    <row r="153" customFormat="false" ht="15" hidden="false" customHeight="false" outlineLevel="0" collapsed="false">
      <c r="A153" s="15" t="s">
        <v>384</v>
      </c>
      <c r="B153" s="15" t="s">
        <v>12</v>
      </c>
      <c r="C153" s="15" t="s">
        <v>16</v>
      </c>
      <c r="D153" s="15" t="s">
        <v>52</v>
      </c>
      <c r="E153" s="15" t="s">
        <v>19</v>
      </c>
      <c r="F153" s="15" t="n">
        <v>1</v>
      </c>
      <c r="G153" s="15" t="s">
        <v>154</v>
      </c>
      <c r="H153" s="15"/>
      <c r="I153" s="15" t="s">
        <v>52</v>
      </c>
      <c r="J153" s="15" t="s">
        <v>205</v>
      </c>
      <c r="K153" s="15" t="s">
        <v>385</v>
      </c>
      <c r="L153" s="15"/>
      <c r="M153" s="15"/>
      <c r="N153" s="15"/>
      <c r="O153" s="15"/>
      <c r="P153" s="15" t="n">
        <v>3.468</v>
      </c>
      <c r="Q153" s="15" t="n">
        <v>3.468</v>
      </c>
      <c r="R153" s="15"/>
      <c r="S153" s="15" t="s">
        <v>346</v>
      </c>
      <c r="T153" s="15"/>
      <c r="U153" s="15"/>
      <c r="V153" s="15"/>
      <c r="W153" s="15"/>
      <c r="X153" s="15"/>
      <c r="Y153" s="15"/>
      <c r="Z153" s="15"/>
      <c r="AA153" s="15" t="n">
        <v>86</v>
      </c>
      <c r="AB153" s="15" t="n">
        <v>86</v>
      </c>
      <c r="AC153" s="15"/>
      <c r="AD153" s="15"/>
      <c r="AE153" s="15" t="s">
        <v>163</v>
      </c>
      <c r="AF153" s="15"/>
      <c r="AG153" s="24" t="n">
        <f aca="false">SUMIFS(Permissions!$G$2:$G$3000,Permissions!$B$2:$B$3000,$A153,Permissions!$I$2:$I$3000,"Complete",Permissions!$P$2:$P$3000,"Yes")</f>
        <v>0</v>
      </c>
      <c r="AH153" s="24" t="n">
        <f aca="false">SUMIFS(Permissions!$G$2:$G$3000,Permissions!$B$2:$B$3000,$A153,Permissions!$I$2:$I$3000,"Under construction",Permissions!$P$2:$P$3000,"Yes")</f>
        <v>122</v>
      </c>
      <c r="AI153" s="24" t="n">
        <f aca="false">SUMIFS(Permissions!$G$2:$G$3000,Permissions!$B$2:$B$3000,$A153,Permissions!$I$2:$I$3000,"Permitted – not started",Permissions!$P$2:$P$3000,"Yes")</f>
        <v>0</v>
      </c>
      <c r="AJ153" s="24" t="n">
        <f aca="false">SUMIFS(Permissions!$G$2:$G$3000,Permissions!$B$2:$B$3000,$A153,Permissions!$I$2:$I$3000,"Stalled",Permissions!$P$2:$P$3000,"Yes")</f>
        <v>0</v>
      </c>
      <c r="AK153" s="24" t="n">
        <f aca="false">AG153+AH153+AI153+AJ153</f>
        <v>122</v>
      </c>
      <c r="AL153" s="24" t="n">
        <f aca="false">SUMIFS(Permissions!$G$2:$G$3000,Permissions!$B$2:$B$3000,$A153,Permissions!$I$2:$I$3000,"Expired – not started",Permissions!$P$2:$P$3000,"Yes")</f>
        <v>0</v>
      </c>
      <c r="AM153" s="24" t="n">
        <f aca="false">SUMIFS(Permissions!$G$2:$G$3000,Permissions!$B$2:$B$3000,$A153,Permissions!$I$2:$I$3000,"In planning",Permissions!$P$2:$P$3000,"Yes")</f>
        <v>0</v>
      </c>
      <c r="AN153" s="24" t="n">
        <f aca="false">IF(R153="",0,MAX(R153-AK153,0))</f>
        <v>0</v>
      </c>
      <c r="AO153" s="25" t="n">
        <f aca="false">AK153+AN153</f>
        <v>122</v>
      </c>
      <c r="AP153" s="24" t="n">
        <f aca="false">AO153-AG153</f>
        <v>122</v>
      </c>
      <c r="AQ153" s="26" t="n">
        <f aca="false">SUMIFS(Permissions!$AH$2:$AH$3000,Permissions!$B$2:$B$3000,$A153,Permissions!$P$2:$P$3000,"Yes")</f>
        <v>28.5</v>
      </c>
      <c r="AR153" s="26" t="n">
        <f aca="false">SUMIFS(Permissions!$AI$2:$AI$3000,Permissions!$B$2:$B$3000,$A153,Permissions!$P$2:$P$3000,"Yes")</f>
        <v>93.5</v>
      </c>
      <c r="AS153" s="26" t="n">
        <f aca="false">SUMIFS(Permissions!$AJ$2:$AJ$3000,Permissions!$B$2:$B$3000,$A153,Permissions!$P$2:$P$3000,"Yes")</f>
        <v>0</v>
      </c>
      <c r="AT153" s="26" t="n">
        <f aca="false">SUMIFS(Permissions!$AK$2:$AK$3000,Permissions!$B$2:$B$3000,$A153,Permissions!$P$2:$P$3000,"Yes")</f>
        <v>0</v>
      </c>
      <c r="AU153" s="26" t="n">
        <f aca="false">SUMIFS(Permissions!$AL$2:$AL$3000,Permissions!$B$2:$B$3000,$A153,Permissions!$P$2:$P$3000,"Yes")</f>
        <v>0</v>
      </c>
      <c r="AV153" s="26" t="n">
        <f aca="false">SUMIFS(Permissions!$AM$2:$AM$3000,Permissions!$B$2:$B$3000,$A153,Permissions!$P$2:$P$3000,"Yes")</f>
        <v>0</v>
      </c>
      <c r="AW153" s="24" t="n">
        <f aca="false">COUNTIFS(Permissions!$B$2:$B$3000,$A153,Permissions!$P$2:$P$3000,"Yes")</f>
        <v>2</v>
      </c>
      <c r="AX153" s="24" t="n">
        <f aca="false">SUMIFS(Permissions!$L$2:$L$3000,Permissions!$B$2:$B$3000,$A153,Permissions!$P$2:$P$3000,"Yes")</f>
        <v>68</v>
      </c>
      <c r="AY153" s="27" t="str">
        <f aca="false">IF(AND(AK153&gt;0,AG153&gt;=AK153,AN153=0),"Built out",IF(AG153&gt;0,"Partly built",IF(AK153&gt;0,"Consented – not built","No consent")))</f>
        <v>Consented – not built</v>
      </c>
      <c r="AZ153" s="28" t="str">
        <f aca="false">IF(AND(R153&lt;&gt;"",AK153&gt;1.1*R153),"Consented above capacity",IF(AND(LEFT(B153,8)="Planning",AW153=0),"Consent parcel with no permission",IF(COUNTIF($A$2:$A$3000,$A153)&gt;1,"Duplicate parcel_id","")))</f>
        <v/>
      </c>
    </row>
    <row r="154" customFormat="false" ht="15" hidden="false" customHeight="false" outlineLevel="0" collapsed="false">
      <c r="A154" s="15" t="s">
        <v>386</v>
      </c>
      <c r="B154" s="15" t="s">
        <v>12</v>
      </c>
      <c r="C154" s="15" t="s">
        <v>16</v>
      </c>
      <c r="D154" s="15" t="s">
        <v>52</v>
      </c>
      <c r="E154" s="15" t="s">
        <v>19</v>
      </c>
      <c r="F154" s="15" t="n">
        <v>1</v>
      </c>
      <c r="G154" s="15" t="s">
        <v>154</v>
      </c>
      <c r="H154" s="15"/>
      <c r="I154" s="15" t="s">
        <v>52</v>
      </c>
      <c r="J154" s="15" t="s">
        <v>205</v>
      </c>
      <c r="K154" s="15" t="s">
        <v>387</v>
      </c>
      <c r="L154" s="15"/>
      <c r="M154" s="15"/>
      <c r="N154" s="15"/>
      <c r="O154" s="15"/>
      <c r="P154" s="15" t="n">
        <v>0.33</v>
      </c>
      <c r="Q154" s="15" t="n">
        <v>0.33</v>
      </c>
      <c r="R154" s="15"/>
      <c r="S154" s="15" t="s">
        <v>346</v>
      </c>
      <c r="T154" s="15"/>
      <c r="U154" s="15"/>
      <c r="V154" s="15"/>
      <c r="W154" s="15"/>
      <c r="X154" s="15"/>
      <c r="Y154" s="15"/>
      <c r="Z154" s="15"/>
      <c r="AA154" s="15" t="n">
        <v>12</v>
      </c>
      <c r="AB154" s="15" t="n">
        <v>12</v>
      </c>
      <c r="AC154" s="15"/>
      <c r="AD154" s="15"/>
      <c r="AE154" s="15" t="s">
        <v>163</v>
      </c>
      <c r="AF154" s="15"/>
      <c r="AG154" s="24" t="n">
        <f aca="false">SUMIFS(Permissions!$G$2:$G$3000,Permissions!$B$2:$B$3000,$A154,Permissions!$I$2:$I$3000,"Complete",Permissions!$P$2:$P$3000,"Yes")</f>
        <v>12</v>
      </c>
      <c r="AH154" s="24" t="n">
        <f aca="false">SUMIFS(Permissions!$G$2:$G$3000,Permissions!$B$2:$B$3000,$A154,Permissions!$I$2:$I$3000,"Under construction",Permissions!$P$2:$P$3000,"Yes")</f>
        <v>0</v>
      </c>
      <c r="AI154" s="24" t="n">
        <f aca="false">SUMIFS(Permissions!$G$2:$G$3000,Permissions!$B$2:$B$3000,$A154,Permissions!$I$2:$I$3000,"Permitted – not started",Permissions!$P$2:$P$3000,"Yes")</f>
        <v>0</v>
      </c>
      <c r="AJ154" s="24" t="n">
        <f aca="false">SUMIFS(Permissions!$G$2:$G$3000,Permissions!$B$2:$B$3000,$A154,Permissions!$I$2:$I$3000,"Stalled",Permissions!$P$2:$P$3000,"Yes")</f>
        <v>0</v>
      </c>
      <c r="AK154" s="24" t="n">
        <f aca="false">AG154+AH154+AI154+AJ154</f>
        <v>12</v>
      </c>
      <c r="AL154" s="24" t="n">
        <f aca="false">SUMIFS(Permissions!$G$2:$G$3000,Permissions!$B$2:$B$3000,$A154,Permissions!$I$2:$I$3000,"Expired – not started",Permissions!$P$2:$P$3000,"Yes")</f>
        <v>0</v>
      </c>
      <c r="AM154" s="24" t="n">
        <f aca="false">SUMIFS(Permissions!$G$2:$G$3000,Permissions!$B$2:$B$3000,$A154,Permissions!$I$2:$I$3000,"In planning",Permissions!$P$2:$P$3000,"Yes")</f>
        <v>0</v>
      </c>
      <c r="AN154" s="24" t="n">
        <f aca="false">IF(R154="",0,MAX(R154-AK154,0))</f>
        <v>0</v>
      </c>
      <c r="AO154" s="25" t="n">
        <f aca="false">AK154+AN154</f>
        <v>12</v>
      </c>
      <c r="AP154" s="24" t="n">
        <f aca="false">AO154-AG154</f>
        <v>0</v>
      </c>
      <c r="AQ154" s="26" t="n">
        <f aca="false">SUMIFS(Permissions!$AH$2:$AH$3000,Permissions!$B$2:$B$3000,$A154,Permissions!$P$2:$P$3000,"Yes")</f>
        <v>0</v>
      </c>
      <c r="AR154" s="26" t="n">
        <f aca="false">SUMIFS(Permissions!$AI$2:$AI$3000,Permissions!$B$2:$B$3000,$A154,Permissions!$P$2:$P$3000,"Yes")</f>
        <v>0</v>
      </c>
      <c r="AS154" s="26" t="n">
        <f aca="false">SUMIFS(Permissions!$AJ$2:$AJ$3000,Permissions!$B$2:$B$3000,$A154,Permissions!$P$2:$P$3000,"Yes")</f>
        <v>0</v>
      </c>
      <c r="AT154" s="26" t="n">
        <f aca="false">SUMIFS(Permissions!$AK$2:$AK$3000,Permissions!$B$2:$B$3000,$A154,Permissions!$P$2:$P$3000,"Yes")</f>
        <v>0</v>
      </c>
      <c r="AU154" s="26" t="n">
        <f aca="false">SUMIFS(Permissions!$AL$2:$AL$3000,Permissions!$B$2:$B$3000,$A154,Permissions!$P$2:$P$3000,"Yes")</f>
        <v>0</v>
      </c>
      <c r="AV154" s="26" t="n">
        <f aca="false">SUMIFS(Permissions!$AM$2:$AM$3000,Permissions!$B$2:$B$3000,$A154,Permissions!$P$2:$P$3000,"Yes")</f>
        <v>0</v>
      </c>
      <c r="AW154" s="24" t="n">
        <f aca="false">COUNTIFS(Permissions!$B$2:$B$3000,$A154,Permissions!$P$2:$P$3000,"Yes")</f>
        <v>1</v>
      </c>
      <c r="AX154" s="24" t="n">
        <f aca="false">SUMIFS(Permissions!$L$2:$L$3000,Permissions!$B$2:$B$3000,$A154,Permissions!$P$2:$P$3000,"Yes")</f>
        <v>12</v>
      </c>
      <c r="AY154" s="27" t="str">
        <f aca="false">IF(AND(AK154&gt;0,AG154&gt;=AK154,AN154=0),"Built out",IF(AG154&gt;0,"Partly built",IF(AK154&gt;0,"Consented – not built","No consent")))</f>
        <v>Built out</v>
      </c>
      <c r="AZ154" s="28" t="str">
        <f aca="false">IF(AND(R154&lt;&gt;"",AK154&gt;1.1*R154),"Consented above capacity",IF(AND(LEFT(B154,8)="Planning",AW154=0),"Consent parcel with no permission",IF(COUNTIF($A$2:$A$3000,$A154)&gt;1,"Duplicate parcel_id","")))</f>
        <v/>
      </c>
    </row>
    <row r="155" customFormat="false" ht="15" hidden="false" customHeight="false" outlineLevel="0" collapsed="false">
      <c r="A155" s="15" t="s">
        <v>388</v>
      </c>
      <c r="B155" s="15" t="s">
        <v>12</v>
      </c>
      <c r="C155" s="15" t="s">
        <v>16</v>
      </c>
      <c r="D155" s="15" t="s">
        <v>52</v>
      </c>
      <c r="E155" s="15" t="s">
        <v>19</v>
      </c>
      <c r="F155" s="15" t="n">
        <v>1</v>
      </c>
      <c r="G155" s="15" t="s">
        <v>154</v>
      </c>
      <c r="H155" s="15"/>
      <c r="I155" s="15" t="s">
        <v>52</v>
      </c>
      <c r="J155" s="15" t="s">
        <v>205</v>
      </c>
      <c r="K155" s="15" t="s">
        <v>389</v>
      </c>
      <c r="L155" s="15"/>
      <c r="M155" s="15"/>
      <c r="N155" s="15"/>
      <c r="O155" s="15"/>
      <c r="P155" s="15" t="n">
        <v>0.333</v>
      </c>
      <c r="Q155" s="15" t="n">
        <v>0.333</v>
      </c>
      <c r="R155" s="15"/>
      <c r="S155" s="15" t="s">
        <v>346</v>
      </c>
      <c r="T155" s="15"/>
      <c r="U155" s="15"/>
      <c r="V155" s="15"/>
      <c r="W155" s="15"/>
      <c r="X155" s="15"/>
      <c r="Y155" s="15"/>
      <c r="Z155" s="15"/>
      <c r="AA155" s="15" t="n">
        <v>6</v>
      </c>
      <c r="AB155" s="15" t="n">
        <v>6</v>
      </c>
      <c r="AC155" s="15"/>
      <c r="AD155" s="15"/>
      <c r="AE155" s="15" t="s">
        <v>163</v>
      </c>
      <c r="AF155" s="15"/>
      <c r="AG155" s="24" t="n">
        <f aca="false">SUMIFS(Permissions!$G$2:$G$3000,Permissions!$B$2:$B$3000,$A155,Permissions!$I$2:$I$3000,"Complete",Permissions!$P$2:$P$3000,"Yes")</f>
        <v>6</v>
      </c>
      <c r="AH155" s="24" t="n">
        <f aca="false">SUMIFS(Permissions!$G$2:$G$3000,Permissions!$B$2:$B$3000,$A155,Permissions!$I$2:$I$3000,"Under construction",Permissions!$P$2:$P$3000,"Yes")</f>
        <v>0</v>
      </c>
      <c r="AI155" s="24" t="n">
        <f aca="false">SUMIFS(Permissions!$G$2:$G$3000,Permissions!$B$2:$B$3000,$A155,Permissions!$I$2:$I$3000,"Permitted – not started",Permissions!$P$2:$P$3000,"Yes")</f>
        <v>0</v>
      </c>
      <c r="AJ155" s="24" t="n">
        <f aca="false">SUMIFS(Permissions!$G$2:$G$3000,Permissions!$B$2:$B$3000,$A155,Permissions!$I$2:$I$3000,"Stalled",Permissions!$P$2:$P$3000,"Yes")</f>
        <v>0</v>
      </c>
      <c r="AK155" s="24" t="n">
        <f aca="false">AG155+AH155+AI155+AJ155</f>
        <v>6</v>
      </c>
      <c r="AL155" s="24" t="n">
        <f aca="false">SUMIFS(Permissions!$G$2:$G$3000,Permissions!$B$2:$B$3000,$A155,Permissions!$I$2:$I$3000,"Expired – not started",Permissions!$P$2:$P$3000,"Yes")</f>
        <v>0</v>
      </c>
      <c r="AM155" s="24" t="n">
        <f aca="false">SUMIFS(Permissions!$G$2:$G$3000,Permissions!$B$2:$B$3000,$A155,Permissions!$I$2:$I$3000,"In planning",Permissions!$P$2:$P$3000,"Yes")</f>
        <v>0</v>
      </c>
      <c r="AN155" s="24" t="n">
        <f aca="false">IF(R155="",0,MAX(R155-AK155,0))</f>
        <v>0</v>
      </c>
      <c r="AO155" s="25" t="n">
        <f aca="false">AK155+AN155</f>
        <v>6</v>
      </c>
      <c r="AP155" s="24" t="n">
        <f aca="false">AO155-AG155</f>
        <v>0</v>
      </c>
      <c r="AQ155" s="26" t="n">
        <f aca="false">SUMIFS(Permissions!$AH$2:$AH$3000,Permissions!$B$2:$B$3000,$A155,Permissions!$P$2:$P$3000,"Yes")</f>
        <v>0</v>
      </c>
      <c r="AR155" s="26" t="n">
        <f aca="false">SUMIFS(Permissions!$AI$2:$AI$3000,Permissions!$B$2:$B$3000,$A155,Permissions!$P$2:$P$3000,"Yes")</f>
        <v>0</v>
      </c>
      <c r="AS155" s="26" t="n">
        <f aca="false">SUMIFS(Permissions!$AJ$2:$AJ$3000,Permissions!$B$2:$B$3000,$A155,Permissions!$P$2:$P$3000,"Yes")</f>
        <v>0</v>
      </c>
      <c r="AT155" s="26" t="n">
        <f aca="false">SUMIFS(Permissions!$AK$2:$AK$3000,Permissions!$B$2:$B$3000,$A155,Permissions!$P$2:$P$3000,"Yes")</f>
        <v>0</v>
      </c>
      <c r="AU155" s="26" t="n">
        <f aca="false">SUMIFS(Permissions!$AL$2:$AL$3000,Permissions!$B$2:$B$3000,$A155,Permissions!$P$2:$P$3000,"Yes")</f>
        <v>0</v>
      </c>
      <c r="AV155" s="26" t="n">
        <f aca="false">SUMIFS(Permissions!$AM$2:$AM$3000,Permissions!$B$2:$B$3000,$A155,Permissions!$P$2:$P$3000,"Yes")</f>
        <v>0</v>
      </c>
      <c r="AW155" s="24" t="n">
        <f aca="false">COUNTIFS(Permissions!$B$2:$B$3000,$A155,Permissions!$P$2:$P$3000,"Yes")</f>
        <v>1</v>
      </c>
      <c r="AX155" s="24" t="n">
        <f aca="false">SUMIFS(Permissions!$L$2:$L$3000,Permissions!$B$2:$B$3000,$A155,Permissions!$P$2:$P$3000,"Yes")</f>
        <v>6</v>
      </c>
      <c r="AY155" s="27" t="str">
        <f aca="false">IF(AND(AK155&gt;0,AG155&gt;=AK155,AN155=0),"Built out",IF(AG155&gt;0,"Partly built",IF(AK155&gt;0,"Consented – not built","No consent")))</f>
        <v>Built out</v>
      </c>
      <c r="AZ155" s="28" t="str">
        <f aca="false">IF(AND(R155&lt;&gt;"",AK155&gt;1.1*R155),"Consented above capacity",IF(AND(LEFT(B155,8)="Planning",AW155=0),"Consent parcel with no permission",IF(COUNTIF($A$2:$A$3000,$A155)&gt;1,"Duplicate parcel_id","")))</f>
        <v/>
      </c>
    </row>
    <row r="156" customFormat="false" ht="15" hidden="false" customHeight="false" outlineLevel="0" collapsed="false">
      <c r="A156" s="15" t="s">
        <v>390</v>
      </c>
      <c r="B156" s="15" t="s">
        <v>12</v>
      </c>
      <c r="C156" s="15" t="s">
        <v>16</v>
      </c>
      <c r="D156" s="15" t="s">
        <v>52</v>
      </c>
      <c r="E156" s="15" t="s">
        <v>19</v>
      </c>
      <c r="F156" s="15" t="n">
        <v>1</v>
      </c>
      <c r="G156" s="15" t="s">
        <v>154</v>
      </c>
      <c r="H156" s="15"/>
      <c r="I156" s="15" t="s">
        <v>52</v>
      </c>
      <c r="J156" s="15" t="s">
        <v>205</v>
      </c>
      <c r="K156" s="15" t="s">
        <v>391</v>
      </c>
      <c r="L156" s="15"/>
      <c r="M156" s="15"/>
      <c r="N156" s="15"/>
      <c r="O156" s="15"/>
      <c r="P156" s="15" t="n">
        <v>0.241</v>
      </c>
      <c r="Q156" s="15" t="n">
        <v>0.241</v>
      </c>
      <c r="R156" s="15"/>
      <c r="S156" s="15" t="s">
        <v>346</v>
      </c>
      <c r="T156" s="15"/>
      <c r="U156" s="15"/>
      <c r="V156" s="15"/>
      <c r="W156" s="15"/>
      <c r="X156" s="15"/>
      <c r="Y156" s="15"/>
      <c r="Z156" s="15"/>
      <c r="AA156" s="15" t="n">
        <v>0</v>
      </c>
      <c r="AB156" s="15" t="n">
        <v>0</v>
      </c>
      <c r="AC156" s="15"/>
      <c r="AD156" s="15"/>
      <c r="AE156" s="15" t="s">
        <v>163</v>
      </c>
      <c r="AF156" s="15"/>
      <c r="AG156" s="24" t="n">
        <f aca="false">SUMIFS(Permissions!$G$2:$G$3000,Permissions!$B$2:$B$3000,$A156,Permissions!$I$2:$I$3000,"Complete",Permissions!$P$2:$P$3000,"Yes")</f>
        <v>0</v>
      </c>
      <c r="AH156" s="24" t="n">
        <f aca="false">SUMIFS(Permissions!$G$2:$G$3000,Permissions!$B$2:$B$3000,$A156,Permissions!$I$2:$I$3000,"Under construction",Permissions!$P$2:$P$3000,"Yes")</f>
        <v>8</v>
      </c>
      <c r="AI156" s="24" t="n">
        <f aca="false">SUMIFS(Permissions!$G$2:$G$3000,Permissions!$B$2:$B$3000,$A156,Permissions!$I$2:$I$3000,"Permitted – not started",Permissions!$P$2:$P$3000,"Yes")</f>
        <v>0</v>
      </c>
      <c r="AJ156" s="24" t="n">
        <f aca="false">SUMIFS(Permissions!$G$2:$G$3000,Permissions!$B$2:$B$3000,$A156,Permissions!$I$2:$I$3000,"Stalled",Permissions!$P$2:$P$3000,"Yes")</f>
        <v>0</v>
      </c>
      <c r="AK156" s="24" t="n">
        <f aca="false">AG156+AH156+AI156+AJ156</f>
        <v>8</v>
      </c>
      <c r="AL156" s="24" t="n">
        <f aca="false">SUMIFS(Permissions!$G$2:$G$3000,Permissions!$B$2:$B$3000,$A156,Permissions!$I$2:$I$3000,"Expired – not started",Permissions!$P$2:$P$3000,"Yes")</f>
        <v>0</v>
      </c>
      <c r="AM156" s="24" t="n">
        <f aca="false">SUMIFS(Permissions!$G$2:$G$3000,Permissions!$B$2:$B$3000,$A156,Permissions!$I$2:$I$3000,"In planning",Permissions!$P$2:$P$3000,"Yes")</f>
        <v>0</v>
      </c>
      <c r="AN156" s="24" t="n">
        <f aca="false">IF(R156="",0,MAX(R156-AK156,0))</f>
        <v>0</v>
      </c>
      <c r="AO156" s="25" t="n">
        <f aca="false">AK156+AN156</f>
        <v>8</v>
      </c>
      <c r="AP156" s="24" t="n">
        <f aca="false">AO156-AG156</f>
        <v>8</v>
      </c>
      <c r="AQ156" s="26" t="n">
        <f aca="false">SUMIFS(Permissions!$AH$2:$AH$3000,Permissions!$B$2:$B$3000,$A156,Permissions!$P$2:$P$3000,"Yes")</f>
        <v>1.9</v>
      </c>
      <c r="AR156" s="26" t="n">
        <f aca="false">SUMIFS(Permissions!$AI$2:$AI$3000,Permissions!$B$2:$B$3000,$A156,Permissions!$P$2:$P$3000,"Yes")</f>
        <v>6.1</v>
      </c>
      <c r="AS156" s="26" t="n">
        <f aca="false">SUMIFS(Permissions!$AJ$2:$AJ$3000,Permissions!$B$2:$B$3000,$A156,Permissions!$P$2:$P$3000,"Yes")</f>
        <v>0</v>
      </c>
      <c r="AT156" s="26" t="n">
        <f aca="false">SUMIFS(Permissions!$AK$2:$AK$3000,Permissions!$B$2:$B$3000,$A156,Permissions!$P$2:$P$3000,"Yes")</f>
        <v>0</v>
      </c>
      <c r="AU156" s="26" t="n">
        <f aca="false">SUMIFS(Permissions!$AL$2:$AL$3000,Permissions!$B$2:$B$3000,$A156,Permissions!$P$2:$P$3000,"Yes")</f>
        <v>0</v>
      </c>
      <c r="AV156" s="26" t="n">
        <f aca="false">SUMIFS(Permissions!$AM$2:$AM$3000,Permissions!$B$2:$B$3000,$A156,Permissions!$P$2:$P$3000,"Yes")</f>
        <v>0</v>
      </c>
      <c r="AW156" s="24" t="n">
        <f aca="false">COUNTIFS(Permissions!$B$2:$B$3000,$A156,Permissions!$P$2:$P$3000,"Yes")</f>
        <v>1</v>
      </c>
      <c r="AX156" s="24" t="n">
        <f aca="false">SUMIFS(Permissions!$L$2:$L$3000,Permissions!$B$2:$B$3000,$A156,Permissions!$P$2:$P$3000,"Yes")</f>
        <v>0</v>
      </c>
      <c r="AY156" s="27" t="str">
        <f aca="false">IF(AND(AK156&gt;0,AG156&gt;=AK156,AN156=0),"Built out",IF(AG156&gt;0,"Partly built",IF(AK156&gt;0,"Consented – not built","No consent")))</f>
        <v>Consented – not built</v>
      </c>
      <c r="AZ156" s="28" t="str">
        <f aca="false">IF(AND(R156&lt;&gt;"",AK156&gt;1.1*R156),"Consented above capacity",IF(AND(LEFT(B156,8)="Planning",AW156=0),"Consent parcel with no permission",IF(COUNTIF($A$2:$A$3000,$A156)&gt;1,"Duplicate parcel_id","")))</f>
        <v/>
      </c>
    </row>
    <row r="157" customFormat="false" ht="15" hidden="false" customHeight="false" outlineLevel="0" collapsed="false">
      <c r="A157" s="15" t="s">
        <v>392</v>
      </c>
      <c r="B157" s="15" t="s">
        <v>12</v>
      </c>
      <c r="C157" s="15" t="s">
        <v>16</v>
      </c>
      <c r="D157" s="15" t="s">
        <v>52</v>
      </c>
      <c r="E157" s="15" t="s">
        <v>19</v>
      </c>
      <c r="F157" s="15" t="n">
        <v>1</v>
      </c>
      <c r="G157" s="15" t="s">
        <v>154</v>
      </c>
      <c r="H157" s="15"/>
      <c r="I157" s="15" t="s">
        <v>52</v>
      </c>
      <c r="J157" s="15" t="s">
        <v>205</v>
      </c>
      <c r="K157" s="15" t="s">
        <v>393</v>
      </c>
      <c r="L157" s="15"/>
      <c r="M157" s="15"/>
      <c r="N157" s="15"/>
      <c r="O157" s="15"/>
      <c r="P157" s="15" t="n">
        <v>1.262</v>
      </c>
      <c r="Q157" s="15" t="n">
        <v>1.262</v>
      </c>
      <c r="R157" s="15" t="n">
        <v>12</v>
      </c>
      <c r="S157" s="15" t="s">
        <v>359</v>
      </c>
      <c r="T157" s="15"/>
      <c r="U157" s="15"/>
      <c r="V157" s="15"/>
      <c r="W157" s="15"/>
      <c r="X157" s="15"/>
      <c r="Y157" s="15"/>
      <c r="Z157" s="15"/>
      <c r="AA157" s="15" t="n">
        <v>11</v>
      </c>
      <c r="AB157" s="15" t="n">
        <v>0</v>
      </c>
      <c r="AC157" s="15"/>
      <c r="AD157" s="15"/>
      <c r="AE157" s="15" t="s">
        <v>163</v>
      </c>
      <c r="AF157" s="15"/>
      <c r="AG157" s="24" t="n">
        <f aca="false">SUMIFS(Permissions!$G$2:$G$3000,Permissions!$B$2:$B$3000,$A157,Permissions!$I$2:$I$3000,"Complete",Permissions!$P$2:$P$3000,"Yes")</f>
        <v>0</v>
      </c>
      <c r="AH157" s="24" t="n">
        <f aca="false">SUMIFS(Permissions!$G$2:$G$3000,Permissions!$B$2:$B$3000,$A157,Permissions!$I$2:$I$3000,"Under construction",Permissions!$P$2:$P$3000,"Yes")</f>
        <v>0</v>
      </c>
      <c r="AI157" s="24" t="n">
        <f aca="false">SUMIFS(Permissions!$G$2:$G$3000,Permissions!$B$2:$B$3000,$A157,Permissions!$I$2:$I$3000,"Permitted – not started",Permissions!$P$2:$P$3000,"Yes")</f>
        <v>0</v>
      </c>
      <c r="AJ157" s="24" t="n">
        <f aca="false">SUMIFS(Permissions!$G$2:$G$3000,Permissions!$B$2:$B$3000,$A157,Permissions!$I$2:$I$3000,"Stalled",Permissions!$P$2:$P$3000,"Yes")</f>
        <v>0</v>
      </c>
      <c r="AK157" s="24" t="n">
        <f aca="false">AG157+AH157+AI157+AJ157</f>
        <v>0</v>
      </c>
      <c r="AL157" s="24" t="n">
        <f aca="false">SUMIFS(Permissions!$G$2:$G$3000,Permissions!$B$2:$B$3000,$A157,Permissions!$I$2:$I$3000,"Expired – not started",Permissions!$P$2:$P$3000,"Yes")</f>
        <v>12</v>
      </c>
      <c r="AM157" s="24" t="n">
        <f aca="false">SUMIFS(Permissions!$G$2:$G$3000,Permissions!$B$2:$B$3000,$A157,Permissions!$I$2:$I$3000,"In planning",Permissions!$P$2:$P$3000,"Yes")</f>
        <v>0</v>
      </c>
      <c r="AN157" s="24" t="n">
        <f aca="false">IF(R157="",0,MAX(R157-AK157,0))</f>
        <v>12</v>
      </c>
      <c r="AO157" s="25" t="n">
        <f aca="false">AK157+AN157</f>
        <v>12</v>
      </c>
      <c r="AP157" s="24" t="n">
        <f aca="false">AO157-AG157</f>
        <v>12</v>
      </c>
      <c r="AQ157" s="26" t="n">
        <f aca="false">SUMIFS(Permissions!$AH$2:$AH$3000,Permissions!$B$2:$B$3000,$A157,Permissions!$P$2:$P$3000,"Yes")</f>
        <v>0</v>
      </c>
      <c r="AR157" s="26" t="n">
        <f aca="false">SUMIFS(Permissions!$AI$2:$AI$3000,Permissions!$B$2:$B$3000,$A157,Permissions!$P$2:$P$3000,"Yes")</f>
        <v>0</v>
      </c>
      <c r="AS157" s="26" t="n">
        <f aca="false">SUMIFS(Permissions!$AJ$2:$AJ$3000,Permissions!$B$2:$B$3000,$A157,Permissions!$P$2:$P$3000,"Yes")</f>
        <v>0</v>
      </c>
      <c r="AT157" s="26" t="n">
        <f aca="false">SUMIFS(Permissions!$AK$2:$AK$3000,Permissions!$B$2:$B$3000,$A157,Permissions!$P$2:$P$3000,"Yes")</f>
        <v>0</v>
      </c>
      <c r="AU157" s="26" t="n">
        <f aca="false">SUMIFS(Permissions!$AL$2:$AL$3000,Permissions!$B$2:$B$3000,$A157,Permissions!$P$2:$P$3000,"Yes")</f>
        <v>0</v>
      </c>
      <c r="AV157" s="26" t="n">
        <f aca="false">SUMIFS(Permissions!$AM$2:$AM$3000,Permissions!$B$2:$B$3000,$A157,Permissions!$P$2:$P$3000,"Yes")</f>
        <v>0</v>
      </c>
      <c r="AW157" s="24" t="n">
        <f aca="false">COUNTIFS(Permissions!$B$2:$B$3000,$A157,Permissions!$P$2:$P$3000,"Yes")</f>
        <v>1</v>
      </c>
      <c r="AX157" s="24" t="n">
        <f aca="false">SUMIFS(Permissions!$L$2:$L$3000,Permissions!$B$2:$B$3000,$A157,Permissions!$P$2:$P$3000,"Yes")</f>
        <v>0</v>
      </c>
      <c r="AY157" s="27" t="str">
        <f aca="false">IF(AND(AK157&gt;0,AG157&gt;=AK157,AN157=0),"Built out",IF(AG157&gt;0,"Partly built",IF(AK157&gt;0,"Consented – not built","No consent")))</f>
        <v>No consent</v>
      </c>
      <c r="AZ157" s="28" t="str">
        <f aca="false">IF(AND(R157&lt;&gt;"",AK157&gt;1.1*R157),"Consented above capacity",IF(AND(LEFT(B157,8)="Planning",AW157=0),"Consent parcel with no permission",IF(COUNTIF($A$2:$A$3000,$A157)&gt;1,"Duplicate parcel_id","")))</f>
        <v/>
      </c>
    </row>
    <row r="158" customFormat="false" ht="15" hidden="false" customHeight="false" outlineLevel="0" collapsed="false">
      <c r="A158" s="15" t="s">
        <v>394</v>
      </c>
      <c r="B158" s="15" t="s">
        <v>12</v>
      </c>
      <c r="C158" s="15" t="s">
        <v>16</v>
      </c>
      <c r="D158" s="15" t="s">
        <v>52</v>
      </c>
      <c r="E158" s="15" t="s">
        <v>19</v>
      </c>
      <c r="F158" s="15" t="n">
        <v>1</v>
      </c>
      <c r="G158" s="15" t="s">
        <v>154</v>
      </c>
      <c r="H158" s="15"/>
      <c r="I158" s="15" t="s">
        <v>52</v>
      </c>
      <c r="J158" s="15" t="s">
        <v>205</v>
      </c>
      <c r="K158" s="15" t="s">
        <v>395</v>
      </c>
      <c r="L158" s="15"/>
      <c r="M158" s="15"/>
      <c r="N158" s="15"/>
      <c r="O158" s="15"/>
      <c r="P158" s="15" t="n">
        <v>1.491</v>
      </c>
      <c r="Q158" s="15" t="n">
        <v>1.491</v>
      </c>
      <c r="R158" s="15"/>
      <c r="S158" s="15" t="s">
        <v>346</v>
      </c>
      <c r="T158" s="15"/>
      <c r="U158" s="15"/>
      <c r="V158" s="15"/>
      <c r="W158" s="15"/>
      <c r="X158" s="15"/>
      <c r="Y158" s="15"/>
      <c r="Z158" s="15"/>
      <c r="AA158" s="15" t="n">
        <v>63</v>
      </c>
      <c r="AB158" s="15" t="n">
        <v>63</v>
      </c>
      <c r="AC158" s="15"/>
      <c r="AD158" s="15"/>
      <c r="AE158" s="15" t="s">
        <v>163</v>
      </c>
      <c r="AF158" s="15"/>
      <c r="AG158" s="24" t="n">
        <f aca="false">SUMIFS(Permissions!$G$2:$G$3000,Permissions!$B$2:$B$3000,$A158,Permissions!$I$2:$I$3000,"Complete",Permissions!$P$2:$P$3000,"Yes")</f>
        <v>62</v>
      </c>
      <c r="AH158" s="24" t="n">
        <f aca="false">SUMIFS(Permissions!$G$2:$G$3000,Permissions!$B$2:$B$3000,$A158,Permissions!$I$2:$I$3000,"Under construction",Permissions!$P$2:$P$3000,"Yes")</f>
        <v>0</v>
      </c>
      <c r="AI158" s="24" t="n">
        <f aca="false">SUMIFS(Permissions!$G$2:$G$3000,Permissions!$B$2:$B$3000,$A158,Permissions!$I$2:$I$3000,"Permitted – not started",Permissions!$P$2:$P$3000,"Yes")</f>
        <v>0</v>
      </c>
      <c r="AJ158" s="24" t="n">
        <f aca="false">SUMIFS(Permissions!$G$2:$G$3000,Permissions!$B$2:$B$3000,$A158,Permissions!$I$2:$I$3000,"Stalled",Permissions!$P$2:$P$3000,"Yes")</f>
        <v>0</v>
      </c>
      <c r="AK158" s="24" t="n">
        <f aca="false">AG158+AH158+AI158+AJ158</f>
        <v>62</v>
      </c>
      <c r="AL158" s="24" t="n">
        <f aca="false">SUMIFS(Permissions!$G$2:$G$3000,Permissions!$B$2:$B$3000,$A158,Permissions!$I$2:$I$3000,"Expired – not started",Permissions!$P$2:$P$3000,"Yes")</f>
        <v>0</v>
      </c>
      <c r="AM158" s="24" t="n">
        <f aca="false">SUMIFS(Permissions!$G$2:$G$3000,Permissions!$B$2:$B$3000,$A158,Permissions!$I$2:$I$3000,"In planning",Permissions!$P$2:$P$3000,"Yes")</f>
        <v>0</v>
      </c>
      <c r="AN158" s="24" t="n">
        <f aca="false">IF(R158="",0,MAX(R158-AK158,0))</f>
        <v>0</v>
      </c>
      <c r="AO158" s="25" t="n">
        <f aca="false">AK158+AN158</f>
        <v>62</v>
      </c>
      <c r="AP158" s="24" t="n">
        <f aca="false">AO158-AG158</f>
        <v>0</v>
      </c>
      <c r="AQ158" s="26" t="n">
        <f aca="false">SUMIFS(Permissions!$AH$2:$AH$3000,Permissions!$B$2:$B$3000,$A158,Permissions!$P$2:$P$3000,"Yes")</f>
        <v>0</v>
      </c>
      <c r="AR158" s="26" t="n">
        <f aca="false">SUMIFS(Permissions!$AI$2:$AI$3000,Permissions!$B$2:$B$3000,$A158,Permissions!$P$2:$P$3000,"Yes")</f>
        <v>0</v>
      </c>
      <c r="AS158" s="26" t="n">
        <f aca="false">SUMIFS(Permissions!$AJ$2:$AJ$3000,Permissions!$B$2:$B$3000,$A158,Permissions!$P$2:$P$3000,"Yes")</f>
        <v>0</v>
      </c>
      <c r="AT158" s="26" t="n">
        <f aca="false">SUMIFS(Permissions!$AK$2:$AK$3000,Permissions!$B$2:$B$3000,$A158,Permissions!$P$2:$P$3000,"Yes")</f>
        <v>0</v>
      </c>
      <c r="AU158" s="26" t="n">
        <f aca="false">SUMIFS(Permissions!$AL$2:$AL$3000,Permissions!$B$2:$B$3000,$A158,Permissions!$P$2:$P$3000,"Yes")</f>
        <v>0</v>
      </c>
      <c r="AV158" s="26" t="n">
        <f aca="false">SUMIFS(Permissions!$AM$2:$AM$3000,Permissions!$B$2:$B$3000,$A158,Permissions!$P$2:$P$3000,"Yes")</f>
        <v>0</v>
      </c>
      <c r="AW158" s="24" t="n">
        <f aca="false">COUNTIFS(Permissions!$B$2:$B$3000,$A158,Permissions!$P$2:$P$3000,"Yes")</f>
        <v>1</v>
      </c>
      <c r="AX158" s="24" t="n">
        <f aca="false">SUMIFS(Permissions!$L$2:$L$3000,Permissions!$B$2:$B$3000,$A158,Permissions!$P$2:$P$3000,"Yes")</f>
        <v>62</v>
      </c>
      <c r="AY158" s="27" t="str">
        <f aca="false">IF(AND(AK158&gt;0,AG158&gt;=AK158,AN158=0),"Built out",IF(AG158&gt;0,"Partly built",IF(AK158&gt;0,"Consented – not built","No consent")))</f>
        <v>Built out</v>
      </c>
      <c r="AZ158" s="28" t="str">
        <f aca="false">IF(AND(R158&lt;&gt;"",AK158&gt;1.1*R158),"Consented above capacity",IF(AND(LEFT(B158,8)="Planning",AW158=0),"Consent parcel with no permission",IF(COUNTIF($A$2:$A$3000,$A158)&gt;1,"Duplicate parcel_id","")))</f>
        <v/>
      </c>
    </row>
    <row r="159" customFormat="false" ht="15" hidden="false" customHeight="false" outlineLevel="0" collapsed="false">
      <c r="A159" s="15" t="s">
        <v>396</v>
      </c>
      <c r="B159" s="15" t="s">
        <v>12</v>
      </c>
      <c r="C159" s="15" t="s">
        <v>16</v>
      </c>
      <c r="D159" s="15" t="s">
        <v>52</v>
      </c>
      <c r="E159" s="15" t="s">
        <v>19</v>
      </c>
      <c r="F159" s="15" t="n">
        <v>1</v>
      </c>
      <c r="G159" s="15" t="s">
        <v>154</v>
      </c>
      <c r="H159" s="15"/>
      <c r="I159" s="15" t="s">
        <v>52</v>
      </c>
      <c r="J159" s="15" t="s">
        <v>205</v>
      </c>
      <c r="K159" s="15" t="s">
        <v>397</v>
      </c>
      <c r="L159" s="15"/>
      <c r="M159" s="15"/>
      <c r="N159" s="15"/>
      <c r="O159" s="15"/>
      <c r="P159" s="15" t="n">
        <v>0.162</v>
      </c>
      <c r="Q159" s="15" t="n">
        <v>0.162</v>
      </c>
      <c r="R159" s="15"/>
      <c r="S159" s="15" t="s">
        <v>346</v>
      </c>
      <c r="T159" s="15"/>
      <c r="U159" s="15"/>
      <c r="V159" s="15"/>
      <c r="W159" s="15"/>
      <c r="X159" s="15"/>
      <c r="Y159" s="15"/>
      <c r="Z159" s="15"/>
      <c r="AA159" s="15" t="n">
        <v>3</v>
      </c>
      <c r="AB159" s="15" t="n">
        <v>3</v>
      </c>
      <c r="AC159" s="15"/>
      <c r="AD159" s="15"/>
      <c r="AE159" s="15" t="s">
        <v>163</v>
      </c>
      <c r="AF159" s="15"/>
      <c r="AG159" s="24" t="n">
        <f aca="false">SUMIFS(Permissions!$G$2:$G$3000,Permissions!$B$2:$B$3000,$A159,Permissions!$I$2:$I$3000,"Complete",Permissions!$P$2:$P$3000,"Yes")</f>
        <v>3</v>
      </c>
      <c r="AH159" s="24" t="n">
        <f aca="false">SUMIFS(Permissions!$G$2:$G$3000,Permissions!$B$2:$B$3000,$A159,Permissions!$I$2:$I$3000,"Under construction",Permissions!$P$2:$P$3000,"Yes")</f>
        <v>0</v>
      </c>
      <c r="AI159" s="24" t="n">
        <f aca="false">SUMIFS(Permissions!$G$2:$G$3000,Permissions!$B$2:$B$3000,$A159,Permissions!$I$2:$I$3000,"Permitted – not started",Permissions!$P$2:$P$3000,"Yes")</f>
        <v>0</v>
      </c>
      <c r="AJ159" s="24" t="n">
        <f aca="false">SUMIFS(Permissions!$G$2:$G$3000,Permissions!$B$2:$B$3000,$A159,Permissions!$I$2:$I$3000,"Stalled",Permissions!$P$2:$P$3000,"Yes")</f>
        <v>0</v>
      </c>
      <c r="AK159" s="24" t="n">
        <f aca="false">AG159+AH159+AI159+AJ159</f>
        <v>3</v>
      </c>
      <c r="AL159" s="24" t="n">
        <f aca="false">SUMIFS(Permissions!$G$2:$G$3000,Permissions!$B$2:$B$3000,$A159,Permissions!$I$2:$I$3000,"Expired – not started",Permissions!$P$2:$P$3000,"Yes")</f>
        <v>0</v>
      </c>
      <c r="AM159" s="24" t="n">
        <f aca="false">SUMIFS(Permissions!$G$2:$G$3000,Permissions!$B$2:$B$3000,$A159,Permissions!$I$2:$I$3000,"In planning",Permissions!$P$2:$P$3000,"Yes")</f>
        <v>0</v>
      </c>
      <c r="AN159" s="24" t="n">
        <f aca="false">IF(R159="",0,MAX(R159-AK159,0))</f>
        <v>0</v>
      </c>
      <c r="AO159" s="25" t="n">
        <f aca="false">AK159+AN159</f>
        <v>3</v>
      </c>
      <c r="AP159" s="24" t="n">
        <f aca="false">AO159-AG159</f>
        <v>0</v>
      </c>
      <c r="AQ159" s="26" t="n">
        <f aca="false">SUMIFS(Permissions!$AH$2:$AH$3000,Permissions!$B$2:$B$3000,$A159,Permissions!$P$2:$P$3000,"Yes")</f>
        <v>0</v>
      </c>
      <c r="AR159" s="26" t="n">
        <f aca="false">SUMIFS(Permissions!$AI$2:$AI$3000,Permissions!$B$2:$B$3000,$A159,Permissions!$P$2:$P$3000,"Yes")</f>
        <v>0</v>
      </c>
      <c r="AS159" s="26" t="n">
        <f aca="false">SUMIFS(Permissions!$AJ$2:$AJ$3000,Permissions!$B$2:$B$3000,$A159,Permissions!$P$2:$P$3000,"Yes")</f>
        <v>0</v>
      </c>
      <c r="AT159" s="26" t="n">
        <f aca="false">SUMIFS(Permissions!$AK$2:$AK$3000,Permissions!$B$2:$B$3000,$A159,Permissions!$P$2:$P$3000,"Yes")</f>
        <v>0</v>
      </c>
      <c r="AU159" s="26" t="n">
        <f aca="false">SUMIFS(Permissions!$AL$2:$AL$3000,Permissions!$B$2:$B$3000,$A159,Permissions!$P$2:$P$3000,"Yes")</f>
        <v>0</v>
      </c>
      <c r="AV159" s="26" t="n">
        <f aca="false">SUMIFS(Permissions!$AM$2:$AM$3000,Permissions!$B$2:$B$3000,$A159,Permissions!$P$2:$P$3000,"Yes")</f>
        <v>0</v>
      </c>
      <c r="AW159" s="24" t="n">
        <f aca="false">COUNTIFS(Permissions!$B$2:$B$3000,$A159,Permissions!$P$2:$P$3000,"Yes")</f>
        <v>1</v>
      </c>
      <c r="AX159" s="24" t="n">
        <f aca="false">SUMIFS(Permissions!$L$2:$L$3000,Permissions!$B$2:$B$3000,$A159,Permissions!$P$2:$P$3000,"Yes")</f>
        <v>3</v>
      </c>
      <c r="AY159" s="27" t="str">
        <f aca="false">IF(AND(AK159&gt;0,AG159&gt;=AK159,AN159=0),"Built out",IF(AG159&gt;0,"Partly built",IF(AK159&gt;0,"Consented – not built","No consent")))</f>
        <v>Built out</v>
      </c>
      <c r="AZ159" s="28" t="str">
        <f aca="false">IF(AND(R159&lt;&gt;"",AK159&gt;1.1*R159),"Consented above capacity",IF(AND(LEFT(B159,8)="Planning",AW159=0),"Consent parcel with no permission",IF(COUNTIF($A$2:$A$3000,$A159)&gt;1,"Duplicate parcel_id","")))</f>
        <v/>
      </c>
    </row>
    <row r="160" customFormat="false" ht="15" hidden="false" customHeight="false" outlineLevel="0" collapsed="false">
      <c r="A160" s="15" t="s">
        <v>398</v>
      </c>
      <c r="B160" s="15" t="s">
        <v>12</v>
      </c>
      <c r="C160" s="15" t="s">
        <v>16</v>
      </c>
      <c r="D160" s="15" t="s">
        <v>52</v>
      </c>
      <c r="E160" s="15" t="s">
        <v>19</v>
      </c>
      <c r="F160" s="15" t="n">
        <v>1</v>
      </c>
      <c r="G160" s="15" t="s">
        <v>154</v>
      </c>
      <c r="H160" s="15"/>
      <c r="I160" s="15" t="s">
        <v>52</v>
      </c>
      <c r="J160" s="15" t="s">
        <v>205</v>
      </c>
      <c r="K160" s="15" t="s">
        <v>399</v>
      </c>
      <c r="L160" s="15"/>
      <c r="M160" s="15"/>
      <c r="N160" s="15"/>
      <c r="O160" s="15"/>
      <c r="P160" s="15" t="n">
        <v>8.757</v>
      </c>
      <c r="Q160" s="15" t="n">
        <v>8.757</v>
      </c>
      <c r="R160" s="15"/>
      <c r="S160" s="15" t="s">
        <v>346</v>
      </c>
      <c r="T160" s="15"/>
      <c r="U160" s="15"/>
      <c r="V160" s="15"/>
      <c r="W160" s="15"/>
      <c r="X160" s="15"/>
      <c r="Y160" s="15"/>
      <c r="Z160" s="15"/>
      <c r="AA160" s="15" t="n">
        <v>219</v>
      </c>
      <c r="AB160" s="15" t="n">
        <v>219</v>
      </c>
      <c r="AC160" s="15"/>
      <c r="AD160" s="15"/>
      <c r="AE160" s="15" t="s">
        <v>163</v>
      </c>
      <c r="AF160" s="15"/>
      <c r="AG160" s="24" t="n">
        <f aca="false">SUMIFS(Permissions!$G$2:$G$3000,Permissions!$B$2:$B$3000,$A160,Permissions!$I$2:$I$3000,"Complete",Permissions!$P$2:$P$3000,"Yes")</f>
        <v>197</v>
      </c>
      <c r="AH160" s="24" t="n">
        <f aca="false">SUMIFS(Permissions!$G$2:$G$3000,Permissions!$B$2:$B$3000,$A160,Permissions!$I$2:$I$3000,"Under construction",Permissions!$P$2:$P$3000,"Yes")</f>
        <v>188</v>
      </c>
      <c r="AI160" s="24" t="n">
        <f aca="false">SUMIFS(Permissions!$G$2:$G$3000,Permissions!$B$2:$B$3000,$A160,Permissions!$I$2:$I$3000,"Permitted – not started",Permissions!$P$2:$P$3000,"Yes")</f>
        <v>0</v>
      </c>
      <c r="AJ160" s="24" t="n">
        <f aca="false">SUMIFS(Permissions!$G$2:$G$3000,Permissions!$B$2:$B$3000,$A160,Permissions!$I$2:$I$3000,"Stalled",Permissions!$P$2:$P$3000,"Yes")</f>
        <v>0</v>
      </c>
      <c r="AK160" s="24" t="n">
        <f aca="false">AG160+AH160+AI160+AJ160</f>
        <v>385</v>
      </c>
      <c r="AL160" s="24" t="n">
        <f aca="false">SUMIFS(Permissions!$G$2:$G$3000,Permissions!$B$2:$B$3000,$A160,Permissions!$I$2:$I$3000,"Expired – not started",Permissions!$P$2:$P$3000,"Yes")</f>
        <v>0</v>
      </c>
      <c r="AM160" s="24" t="n">
        <f aca="false">SUMIFS(Permissions!$G$2:$G$3000,Permissions!$B$2:$B$3000,$A160,Permissions!$I$2:$I$3000,"In planning",Permissions!$P$2:$P$3000,"Yes")</f>
        <v>0</v>
      </c>
      <c r="AN160" s="24" t="n">
        <f aca="false">IF(R160="",0,MAX(R160-AK160,0))</f>
        <v>0</v>
      </c>
      <c r="AO160" s="25" t="n">
        <f aca="false">AK160+AN160</f>
        <v>385</v>
      </c>
      <c r="AP160" s="24" t="n">
        <f aca="false">AO160-AG160</f>
        <v>188</v>
      </c>
      <c r="AQ160" s="26" t="n">
        <f aca="false">SUMIFS(Permissions!$AH$2:$AH$3000,Permissions!$B$2:$B$3000,$A160,Permissions!$P$2:$P$3000,"Yes")</f>
        <v>43.8</v>
      </c>
      <c r="AR160" s="26" t="n">
        <f aca="false">SUMIFS(Permissions!$AI$2:$AI$3000,Permissions!$B$2:$B$3000,$A160,Permissions!$P$2:$P$3000,"Yes")</f>
        <v>144.2</v>
      </c>
      <c r="AS160" s="26" t="n">
        <f aca="false">SUMIFS(Permissions!$AJ$2:$AJ$3000,Permissions!$B$2:$B$3000,$A160,Permissions!$P$2:$P$3000,"Yes")</f>
        <v>0</v>
      </c>
      <c r="AT160" s="26" t="n">
        <f aca="false">SUMIFS(Permissions!$AK$2:$AK$3000,Permissions!$B$2:$B$3000,$A160,Permissions!$P$2:$P$3000,"Yes")</f>
        <v>0</v>
      </c>
      <c r="AU160" s="26" t="n">
        <f aca="false">SUMIFS(Permissions!$AL$2:$AL$3000,Permissions!$B$2:$B$3000,$A160,Permissions!$P$2:$P$3000,"Yes")</f>
        <v>0</v>
      </c>
      <c r="AV160" s="26" t="n">
        <f aca="false">SUMIFS(Permissions!$AM$2:$AM$3000,Permissions!$B$2:$B$3000,$A160,Permissions!$P$2:$P$3000,"Yes")</f>
        <v>0</v>
      </c>
      <c r="AW160" s="24" t="n">
        <f aca="false">COUNTIFS(Permissions!$B$2:$B$3000,$A160,Permissions!$P$2:$P$3000,"Yes")</f>
        <v>4</v>
      </c>
      <c r="AX160" s="24" t="n">
        <f aca="false">SUMIFS(Permissions!$L$2:$L$3000,Permissions!$B$2:$B$3000,$A160,Permissions!$P$2:$P$3000,"Yes")</f>
        <v>169</v>
      </c>
      <c r="AY160" s="27" t="str">
        <f aca="false">IF(AND(AK160&gt;0,AG160&gt;=AK160,AN160=0),"Built out",IF(AG160&gt;0,"Partly built",IF(AK160&gt;0,"Consented – not built","No consent")))</f>
        <v>Partly built</v>
      </c>
      <c r="AZ160" s="28" t="str">
        <f aca="false">IF(AND(R160&lt;&gt;"",AK160&gt;1.1*R160),"Consented above capacity",IF(AND(LEFT(B160,8)="Planning",AW160=0),"Consent parcel with no permission",IF(COUNTIF($A$2:$A$3000,$A160)&gt;1,"Duplicate parcel_id","")))</f>
        <v/>
      </c>
    </row>
    <row r="161" customFormat="false" ht="15" hidden="false" customHeight="false" outlineLevel="0" collapsed="false">
      <c r="A161" s="15" t="s">
        <v>400</v>
      </c>
      <c r="B161" s="15" t="s">
        <v>12</v>
      </c>
      <c r="C161" s="15" t="s">
        <v>16</v>
      </c>
      <c r="D161" s="15" t="s">
        <v>52</v>
      </c>
      <c r="E161" s="15" t="s">
        <v>19</v>
      </c>
      <c r="F161" s="15" t="n">
        <v>1</v>
      </c>
      <c r="G161" s="15" t="s">
        <v>154</v>
      </c>
      <c r="H161" s="15"/>
      <c r="I161" s="15" t="s">
        <v>52</v>
      </c>
      <c r="J161" s="15" t="s">
        <v>205</v>
      </c>
      <c r="K161" s="15" t="s">
        <v>401</v>
      </c>
      <c r="L161" s="15"/>
      <c r="M161" s="15"/>
      <c r="N161" s="15"/>
      <c r="O161" s="15"/>
      <c r="P161" s="15" t="n">
        <v>3.249</v>
      </c>
      <c r="Q161" s="15" t="n">
        <v>3.249</v>
      </c>
      <c r="R161" s="15"/>
      <c r="S161" s="15" t="s">
        <v>346</v>
      </c>
      <c r="T161" s="15"/>
      <c r="U161" s="15"/>
      <c r="V161" s="15"/>
      <c r="W161" s="15"/>
      <c r="X161" s="15"/>
      <c r="Y161" s="15"/>
      <c r="Z161" s="15"/>
      <c r="AA161" s="15" t="n">
        <v>101</v>
      </c>
      <c r="AB161" s="15" t="n">
        <v>101</v>
      </c>
      <c r="AC161" s="15"/>
      <c r="AD161" s="15"/>
      <c r="AE161" s="15" t="s">
        <v>163</v>
      </c>
      <c r="AF161" s="15"/>
      <c r="AG161" s="24" t="n">
        <f aca="false">SUMIFS(Permissions!$G$2:$G$3000,Permissions!$B$2:$B$3000,$A161,Permissions!$I$2:$I$3000,"Complete",Permissions!$P$2:$P$3000,"Yes")</f>
        <v>38</v>
      </c>
      <c r="AH161" s="24" t="n">
        <f aca="false">SUMIFS(Permissions!$G$2:$G$3000,Permissions!$B$2:$B$3000,$A161,Permissions!$I$2:$I$3000,"Under construction",Permissions!$P$2:$P$3000,"Yes")</f>
        <v>62</v>
      </c>
      <c r="AI161" s="24" t="n">
        <f aca="false">SUMIFS(Permissions!$G$2:$G$3000,Permissions!$B$2:$B$3000,$A161,Permissions!$I$2:$I$3000,"Permitted – not started",Permissions!$P$2:$P$3000,"Yes")</f>
        <v>0</v>
      </c>
      <c r="AJ161" s="24" t="n">
        <f aca="false">SUMIFS(Permissions!$G$2:$G$3000,Permissions!$B$2:$B$3000,$A161,Permissions!$I$2:$I$3000,"Stalled",Permissions!$P$2:$P$3000,"Yes")</f>
        <v>0</v>
      </c>
      <c r="AK161" s="24" t="n">
        <f aca="false">AG161+AH161+AI161+AJ161</f>
        <v>100</v>
      </c>
      <c r="AL161" s="24" t="n">
        <f aca="false">SUMIFS(Permissions!$G$2:$G$3000,Permissions!$B$2:$B$3000,$A161,Permissions!$I$2:$I$3000,"Expired – not started",Permissions!$P$2:$P$3000,"Yes")</f>
        <v>0</v>
      </c>
      <c r="AM161" s="24" t="n">
        <f aca="false">SUMIFS(Permissions!$G$2:$G$3000,Permissions!$B$2:$B$3000,$A161,Permissions!$I$2:$I$3000,"In planning",Permissions!$P$2:$P$3000,"Yes")</f>
        <v>0</v>
      </c>
      <c r="AN161" s="24" t="n">
        <f aca="false">IF(R161="",0,MAX(R161-AK161,0))</f>
        <v>0</v>
      </c>
      <c r="AO161" s="25" t="n">
        <f aca="false">AK161+AN161</f>
        <v>100</v>
      </c>
      <c r="AP161" s="24" t="n">
        <f aca="false">AO161-AG161</f>
        <v>62</v>
      </c>
      <c r="AQ161" s="26" t="n">
        <f aca="false">SUMIFS(Permissions!$AH$2:$AH$3000,Permissions!$B$2:$B$3000,$A161,Permissions!$P$2:$P$3000,"Yes")</f>
        <v>14.4</v>
      </c>
      <c r="AR161" s="26" t="n">
        <f aca="false">SUMIFS(Permissions!$AI$2:$AI$3000,Permissions!$B$2:$B$3000,$A161,Permissions!$P$2:$P$3000,"Yes")</f>
        <v>47.6</v>
      </c>
      <c r="AS161" s="26" t="n">
        <f aca="false">SUMIFS(Permissions!$AJ$2:$AJ$3000,Permissions!$B$2:$B$3000,$A161,Permissions!$P$2:$P$3000,"Yes")</f>
        <v>0</v>
      </c>
      <c r="AT161" s="26" t="n">
        <f aca="false">SUMIFS(Permissions!$AK$2:$AK$3000,Permissions!$B$2:$B$3000,$A161,Permissions!$P$2:$P$3000,"Yes")</f>
        <v>0</v>
      </c>
      <c r="AU161" s="26" t="n">
        <f aca="false">SUMIFS(Permissions!$AL$2:$AL$3000,Permissions!$B$2:$B$3000,$A161,Permissions!$P$2:$P$3000,"Yes")</f>
        <v>0</v>
      </c>
      <c r="AV161" s="26" t="n">
        <f aca="false">SUMIFS(Permissions!$AM$2:$AM$3000,Permissions!$B$2:$B$3000,$A161,Permissions!$P$2:$P$3000,"Yes")</f>
        <v>0</v>
      </c>
      <c r="AW161" s="24" t="n">
        <f aca="false">COUNTIFS(Permissions!$B$2:$B$3000,$A161,Permissions!$P$2:$P$3000,"Yes")</f>
        <v>2</v>
      </c>
      <c r="AX161" s="24" t="n">
        <f aca="false">SUMIFS(Permissions!$L$2:$L$3000,Permissions!$B$2:$B$3000,$A161,Permissions!$P$2:$P$3000,"Yes")</f>
        <v>61</v>
      </c>
      <c r="AY161" s="27" t="str">
        <f aca="false">IF(AND(AK161&gt;0,AG161&gt;=AK161,AN161=0),"Built out",IF(AG161&gt;0,"Partly built",IF(AK161&gt;0,"Consented – not built","No consent")))</f>
        <v>Partly built</v>
      </c>
      <c r="AZ161" s="28" t="str">
        <f aca="false">IF(AND(R161&lt;&gt;"",AK161&gt;1.1*R161),"Consented above capacity",IF(AND(LEFT(B161,8)="Planning",AW161=0),"Consent parcel with no permission",IF(COUNTIF($A$2:$A$3000,$A161)&gt;1,"Duplicate parcel_id","")))</f>
        <v/>
      </c>
    </row>
    <row r="162" customFormat="false" ht="15" hidden="false" customHeight="false" outlineLevel="0" collapsed="false">
      <c r="A162" s="15" t="s">
        <v>402</v>
      </c>
      <c r="B162" s="15" t="s">
        <v>12</v>
      </c>
      <c r="C162" s="15" t="s">
        <v>16</v>
      </c>
      <c r="D162" s="15" t="s">
        <v>52</v>
      </c>
      <c r="E162" s="15" t="s">
        <v>19</v>
      </c>
      <c r="F162" s="15" t="n">
        <v>1</v>
      </c>
      <c r="G162" s="15" t="s">
        <v>154</v>
      </c>
      <c r="H162" s="15"/>
      <c r="I162" s="15" t="s">
        <v>52</v>
      </c>
      <c r="J162" s="15" t="s">
        <v>205</v>
      </c>
      <c r="K162" s="15" t="s">
        <v>403</v>
      </c>
      <c r="L162" s="15"/>
      <c r="M162" s="15"/>
      <c r="N162" s="15"/>
      <c r="O162" s="15"/>
      <c r="P162" s="15" t="n">
        <v>0.085</v>
      </c>
      <c r="Q162" s="15" t="n">
        <v>0.085</v>
      </c>
      <c r="R162" s="15"/>
      <c r="S162" s="15" t="s">
        <v>346</v>
      </c>
      <c r="T162" s="15"/>
      <c r="U162" s="15"/>
      <c r="V162" s="15"/>
      <c r="W162" s="15"/>
      <c r="X162" s="15"/>
      <c r="Y162" s="15"/>
      <c r="Z162" s="15"/>
      <c r="AA162" s="15" t="n">
        <v>1</v>
      </c>
      <c r="AB162" s="15" t="n">
        <v>1</v>
      </c>
      <c r="AC162" s="15"/>
      <c r="AD162" s="15"/>
      <c r="AE162" s="15" t="s">
        <v>163</v>
      </c>
      <c r="AF162" s="15"/>
      <c r="AG162" s="24" t="n">
        <f aca="false">SUMIFS(Permissions!$G$2:$G$3000,Permissions!$B$2:$B$3000,$A162,Permissions!$I$2:$I$3000,"Complete",Permissions!$P$2:$P$3000,"Yes")</f>
        <v>0</v>
      </c>
      <c r="AH162" s="24" t="n">
        <f aca="false">SUMIFS(Permissions!$G$2:$G$3000,Permissions!$B$2:$B$3000,$A162,Permissions!$I$2:$I$3000,"Under construction",Permissions!$P$2:$P$3000,"Yes")</f>
        <v>2</v>
      </c>
      <c r="AI162" s="24" t="n">
        <f aca="false">SUMIFS(Permissions!$G$2:$G$3000,Permissions!$B$2:$B$3000,$A162,Permissions!$I$2:$I$3000,"Permitted – not started",Permissions!$P$2:$P$3000,"Yes")</f>
        <v>0</v>
      </c>
      <c r="AJ162" s="24" t="n">
        <f aca="false">SUMIFS(Permissions!$G$2:$G$3000,Permissions!$B$2:$B$3000,$A162,Permissions!$I$2:$I$3000,"Stalled",Permissions!$P$2:$P$3000,"Yes")</f>
        <v>0</v>
      </c>
      <c r="AK162" s="24" t="n">
        <f aca="false">AG162+AH162+AI162+AJ162</f>
        <v>2</v>
      </c>
      <c r="AL162" s="24" t="n">
        <f aca="false">SUMIFS(Permissions!$G$2:$G$3000,Permissions!$B$2:$B$3000,$A162,Permissions!$I$2:$I$3000,"Expired – not started",Permissions!$P$2:$P$3000,"Yes")</f>
        <v>0</v>
      </c>
      <c r="AM162" s="24" t="n">
        <f aca="false">SUMIFS(Permissions!$G$2:$G$3000,Permissions!$B$2:$B$3000,$A162,Permissions!$I$2:$I$3000,"In planning",Permissions!$P$2:$P$3000,"Yes")</f>
        <v>0</v>
      </c>
      <c r="AN162" s="24" t="n">
        <f aca="false">IF(R162="",0,MAX(R162-AK162,0))</f>
        <v>0</v>
      </c>
      <c r="AO162" s="25" t="n">
        <f aca="false">AK162+AN162</f>
        <v>2</v>
      </c>
      <c r="AP162" s="24" t="n">
        <f aca="false">AO162-AG162</f>
        <v>2</v>
      </c>
      <c r="AQ162" s="26" t="n">
        <f aca="false">SUMIFS(Permissions!$AH$2:$AH$3000,Permissions!$B$2:$B$3000,$A162,Permissions!$P$2:$P$3000,"Yes")</f>
        <v>0.5</v>
      </c>
      <c r="AR162" s="26" t="n">
        <f aca="false">SUMIFS(Permissions!$AI$2:$AI$3000,Permissions!$B$2:$B$3000,$A162,Permissions!$P$2:$P$3000,"Yes")</f>
        <v>1.5</v>
      </c>
      <c r="AS162" s="26" t="n">
        <f aca="false">SUMIFS(Permissions!$AJ$2:$AJ$3000,Permissions!$B$2:$B$3000,$A162,Permissions!$P$2:$P$3000,"Yes")</f>
        <v>0</v>
      </c>
      <c r="AT162" s="26" t="n">
        <f aca="false">SUMIFS(Permissions!$AK$2:$AK$3000,Permissions!$B$2:$B$3000,$A162,Permissions!$P$2:$P$3000,"Yes")</f>
        <v>0</v>
      </c>
      <c r="AU162" s="26" t="n">
        <f aca="false">SUMIFS(Permissions!$AL$2:$AL$3000,Permissions!$B$2:$B$3000,$A162,Permissions!$P$2:$P$3000,"Yes")</f>
        <v>0</v>
      </c>
      <c r="AV162" s="26" t="n">
        <f aca="false">SUMIFS(Permissions!$AM$2:$AM$3000,Permissions!$B$2:$B$3000,$A162,Permissions!$P$2:$P$3000,"Yes")</f>
        <v>0</v>
      </c>
      <c r="AW162" s="24" t="n">
        <f aca="false">COUNTIFS(Permissions!$B$2:$B$3000,$A162,Permissions!$P$2:$P$3000,"Yes")</f>
        <v>1</v>
      </c>
      <c r="AX162" s="24" t="n">
        <f aca="false">SUMIFS(Permissions!$L$2:$L$3000,Permissions!$B$2:$B$3000,$A162,Permissions!$P$2:$P$3000,"Yes")</f>
        <v>1</v>
      </c>
      <c r="AY162" s="27" t="str">
        <f aca="false">IF(AND(AK162&gt;0,AG162&gt;=AK162,AN162=0),"Built out",IF(AG162&gt;0,"Partly built",IF(AK162&gt;0,"Consented – not built","No consent")))</f>
        <v>Consented – not built</v>
      </c>
      <c r="AZ162" s="28" t="str">
        <f aca="false">IF(AND(R162&lt;&gt;"",AK162&gt;1.1*R162),"Consented above capacity",IF(AND(LEFT(B162,8)="Planning",AW162=0),"Consent parcel with no permission",IF(COUNTIF($A$2:$A$3000,$A162)&gt;1,"Duplicate parcel_id","")))</f>
        <v/>
      </c>
    </row>
    <row r="163" customFormat="false" ht="15" hidden="false" customHeight="false" outlineLevel="0" collapsed="false">
      <c r="A163" s="15" t="s">
        <v>404</v>
      </c>
      <c r="B163" s="15" t="s">
        <v>12</v>
      </c>
      <c r="C163" s="15" t="s">
        <v>16</v>
      </c>
      <c r="D163" s="15" t="s">
        <v>52</v>
      </c>
      <c r="E163" s="15" t="s">
        <v>19</v>
      </c>
      <c r="F163" s="15" t="n">
        <v>1</v>
      </c>
      <c r="G163" s="15" t="s">
        <v>154</v>
      </c>
      <c r="H163" s="15"/>
      <c r="I163" s="15" t="s">
        <v>52</v>
      </c>
      <c r="J163" s="15" t="s">
        <v>205</v>
      </c>
      <c r="K163" s="15" t="s">
        <v>405</v>
      </c>
      <c r="L163" s="15"/>
      <c r="M163" s="15"/>
      <c r="N163" s="15"/>
      <c r="O163" s="15"/>
      <c r="P163" s="15" t="n">
        <v>0.81</v>
      </c>
      <c r="Q163" s="15" t="n">
        <v>0.81</v>
      </c>
      <c r="R163" s="15"/>
      <c r="S163" s="15" t="s">
        <v>346</v>
      </c>
      <c r="T163" s="15"/>
      <c r="U163" s="15"/>
      <c r="V163" s="15"/>
      <c r="W163" s="15"/>
      <c r="X163" s="15"/>
      <c r="Y163" s="15"/>
      <c r="Z163" s="15"/>
      <c r="AA163" s="15" t="n">
        <v>13</v>
      </c>
      <c r="AB163" s="15" t="n">
        <v>13</v>
      </c>
      <c r="AC163" s="15"/>
      <c r="AD163" s="15"/>
      <c r="AE163" s="15" t="s">
        <v>163</v>
      </c>
      <c r="AF163" s="15"/>
      <c r="AG163" s="24" t="n">
        <f aca="false">SUMIFS(Permissions!$G$2:$G$3000,Permissions!$B$2:$B$3000,$A163,Permissions!$I$2:$I$3000,"Complete",Permissions!$P$2:$P$3000,"Yes")</f>
        <v>0</v>
      </c>
      <c r="AH163" s="24" t="n">
        <f aca="false">SUMIFS(Permissions!$G$2:$G$3000,Permissions!$B$2:$B$3000,$A163,Permissions!$I$2:$I$3000,"Under construction",Permissions!$P$2:$P$3000,"Yes")</f>
        <v>14</v>
      </c>
      <c r="AI163" s="24" t="n">
        <f aca="false">SUMIFS(Permissions!$G$2:$G$3000,Permissions!$B$2:$B$3000,$A163,Permissions!$I$2:$I$3000,"Permitted – not started",Permissions!$P$2:$P$3000,"Yes")</f>
        <v>0</v>
      </c>
      <c r="AJ163" s="24" t="n">
        <f aca="false">SUMIFS(Permissions!$G$2:$G$3000,Permissions!$B$2:$B$3000,$A163,Permissions!$I$2:$I$3000,"Stalled",Permissions!$P$2:$P$3000,"Yes")</f>
        <v>0</v>
      </c>
      <c r="AK163" s="24" t="n">
        <f aca="false">AG163+AH163+AI163+AJ163</f>
        <v>14</v>
      </c>
      <c r="AL163" s="24" t="n">
        <f aca="false">SUMIFS(Permissions!$G$2:$G$3000,Permissions!$B$2:$B$3000,$A163,Permissions!$I$2:$I$3000,"Expired – not started",Permissions!$P$2:$P$3000,"Yes")</f>
        <v>0</v>
      </c>
      <c r="AM163" s="24" t="n">
        <f aca="false">SUMIFS(Permissions!$G$2:$G$3000,Permissions!$B$2:$B$3000,$A163,Permissions!$I$2:$I$3000,"In planning",Permissions!$P$2:$P$3000,"Yes")</f>
        <v>0</v>
      </c>
      <c r="AN163" s="24" t="n">
        <f aca="false">IF(R163="",0,MAX(R163-AK163,0))</f>
        <v>0</v>
      </c>
      <c r="AO163" s="25" t="n">
        <f aca="false">AK163+AN163</f>
        <v>14</v>
      </c>
      <c r="AP163" s="24" t="n">
        <f aca="false">AO163-AG163</f>
        <v>14</v>
      </c>
      <c r="AQ163" s="26" t="n">
        <f aca="false">SUMIFS(Permissions!$AH$2:$AH$3000,Permissions!$B$2:$B$3000,$A163,Permissions!$P$2:$P$3000,"Yes")</f>
        <v>3.3</v>
      </c>
      <c r="AR163" s="26" t="n">
        <f aca="false">SUMIFS(Permissions!$AI$2:$AI$3000,Permissions!$B$2:$B$3000,$A163,Permissions!$P$2:$P$3000,"Yes")</f>
        <v>10.7</v>
      </c>
      <c r="AS163" s="26" t="n">
        <f aca="false">SUMIFS(Permissions!$AJ$2:$AJ$3000,Permissions!$B$2:$B$3000,$A163,Permissions!$P$2:$P$3000,"Yes")</f>
        <v>0</v>
      </c>
      <c r="AT163" s="26" t="n">
        <f aca="false">SUMIFS(Permissions!$AK$2:$AK$3000,Permissions!$B$2:$B$3000,$A163,Permissions!$P$2:$P$3000,"Yes")</f>
        <v>0</v>
      </c>
      <c r="AU163" s="26" t="n">
        <f aca="false">SUMIFS(Permissions!$AL$2:$AL$3000,Permissions!$B$2:$B$3000,$A163,Permissions!$P$2:$P$3000,"Yes")</f>
        <v>0</v>
      </c>
      <c r="AV163" s="26" t="n">
        <f aca="false">SUMIFS(Permissions!$AM$2:$AM$3000,Permissions!$B$2:$B$3000,$A163,Permissions!$P$2:$P$3000,"Yes")</f>
        <v>0</v>
      </c>
      <c r="AW163" s="24" t="n">
        <f aca="false">COUNTIFS(Permissions!$B$2:$B$3000,$A163,Permissions!$P$2:$P$3000,"Yes")</f>
        <v>1</v>
      </c>
      <c r="AX163" s="24" t="n">
        <f aca="false">SUMIFS(Permissions!$L$2:$L$3000,Permissions!$B$2:$B$3000,$A163,Permissions!$P$2:$P$3000,"Yes")</f>
        <v>0</v>
      </c>
      <c r="AY163" s="27" t="str">
        <f aca="false">IF(AND(AK163&gt;0,AG163&gt;=AK163,AN163=0),"Built out",IF(AG163&gt;0,"Partly built",IF(AK163&gt;0,"Consented – not built","No consent")))</f>
        <v>Consented – not built</v>
      </c>
      <c r="AZ163" s="28" t="str">
        <f aca="false">IF(AND(R163&lt;&gt;"",AK163&gt;1.1*R163),"Consented above capacity",IF(AND(LEFT(B163,8)="Planning",AW163=0),"Consent parcel with no permission",IF(COUNTIF($A$2:$A$3000,$A163)&gt;1,"Duplicate parcel_id","")))</f>
        <v/>
      </c>
    </row>
    <row r="164" customFormat="false" ht="15" hidden="false" customHeight="false" outlineLevel="0" collapsed="false">
      <c r="A164" s="15" t="s">
        <v>406</v>
      </c>
      <c r="B164" s="15" t="s">
        <v>12</v>
      </c>
      <c r="C164" s="15" t="s">
        <v>16</v>
      </c>
      <c r="D164" s="15" t="s">
        <v>52</v>
      </c>
      <c r="E164" s="15" t="s">
        <v>19</v>
      </c>
      <c r="F164" s="15" t="n">
        <v>1</v>
      </c>
      <c r="G164" s="15" t="s">
        <v>154</v>
      </c>
      <c r="H164" s="15"/>
      <c r="I164" s="15" t="s">
        <v>52</v>
      </c>
      <c r="J164" s="15" t="s">
        <v>205</v>
      </c>
      <c r="K164" s="15" t="s">
        <v>407</v>
      </c>
      <c r="L164" s="15"/>
      <c r="M164" s="15"/>
      <c r="N164" s="15"/>
      <c r="O164" s="15"/>
      <c r="P164" s="15" t="n">
        <v>3.097</v>
      </c>
      <c r="Q164" s="15" t="n">
        <v>3.097</v>
      </c>
      <c r="R164" s="15"/>
      <c r="S164" s="15" t="s">
        <v>346</v>
      </c>
      <c r="T164" s="15"/>
      <c r="U164" s="15"/>
      <c r="V164" s="15"/>
      <c r="W164" s="15"/>
      <c r="X164" s="15"/>
      <c r="Y164" s="15"/>
      <c r="Z164" s="15"/>
      <c r="AA164" s="15" t="n">
        <v>57</v>
      </c>
      <c r="AB164" s="15" t="n">
        <v>56</v>
      </c>
      <c r="AC164" s="15"/>
      <c r="AD164" s="15"/>
      <c r="AE164" s="15" t="s">
        <v>163</v>
      </c>
      <c r="AF164" s="15"/>
      <c r="AG164" s="24" t="n">
        <f aca="false">SUMIFS(Permissions!$G$2:$G$3000,Permissions!$B$2:$B$3000,$A164,Permissions!$I$2:$I$3000,"Complete",Permissions!$P$2:$P$3000,"Yes")</f>
        <v>0</v>
      </c>
      <c r="AH164" s="24" t="n">
        <f aca="false">SUMIFS(Permissions!$G$2:$G$3000,Permissions!$B$2:$B$3000,$A164,Permissions!$I$2:$I$3000,"Under construction",Permissions!$P$2:$P$3000,"Yes")</f>
        <v>122</v>
      </c>
      <c r="AI164" s="24" t="n">
        <f aca="false">SUMIFS(Permissions!$G$2:$G$3000,Permissions!$B$2:$B$3000,$A164,Permissions!$I$2:$I$3000,"Permitted – not started",Permissions!$P$2:$P$3000,"Yes")</f>
        <v>0</v>
      </c>
      <c r="AJ164" s="24" t="n">
        <f aca="false">SUMIFS(Permissions!$G$2:$G$3000,Permissions!$B$2:$B$3000,$A164,Permissions!$I$2:$I$3000,"Stalled",Permissions!$P$2:$P$3000,"Yes")</f>
        <v>0</v>
      </c>
      <c r="AK164" s="24" t="n">
        <f aca="false">AG164+AH164+AI164+AJ164</f>
        <v>122</v>
      </c>
      <c r="AL164" s="24" t="n">
        <f aca="false">SUMIFS(Permissions!$G$2:$G$3000,Permissions!$B$2:$B$3000,$A164,Permissions!$I$2:$I$3000,"Expired – not started",Permissions!$P$2:$P$3000,"Yes")</f>
        <v>0</v>
      </c>
      <c r="AM164" s="24" t="n">
        <f aca="false">SUMIFS(Permissions!$G$2:$G$3000,Permissions!$B$2:$B$3000,$A164,Permissions!$I$2:$I$3000,"In planning",Permissions!$P$2:$P$3000,"Yes")</f>
        <v>0</v>
      </c>
      <c r="AN164" s="24" t="n">
        <f aca="false">IF(R164="",0,MAX(R164-AK164,0))</f>
        <v>0</v>
      </c>
      <c r="AO164" s="25" t="n">
        <f aca="false">AK164+AN164</f>
        <v>122</v>
      </c>
      <c r="AP164" s="24" t="n">
        <f aca="false">AO164-AG164</f>
        <v>122</v>
      </c>
      <c r="AQ164" s="26" t="n">
        <f aca="false">SUMIFS(Permissions!$AH$2:$AH$3000,Permissions!$B$2:$B$3000,$A164,Permissions!$P$2:$P$3000,"Yes")</f>
        <v>28.4</v>
      </c>
      <c r="AR164" s="26" t="n">
        <f aca="false">SUMIFS(Permissions!$AI$2:$AI$3000,Permissions!$B$2:$B$3000,$A164,Permissions!$P$2:$P$3000,"Yes")</f>
        <v>93.6</v>
      </c>
      <c r="AS164" s="26" t="n">
        <f aca="false">SUMIFS(Permissions!$AJ$2:$AJ$3000,Permissions!$B$2:$B$3000,$A164,Permissions!$P$2:$P$3000,"Yes")</f>
        <v>0</v>
      </c>
      <c r="AT164" s="26" t="n">
        <f aca="false">SUMIFS(Permissions!$AK$2:$AK$3000,Permissions!$B$2:$B$3000,$A164,Permissions!$P$2:$P$3000,"Yes")</f>
        <v>0</v>
      </c>
      <c r="AU164" s="26" t="n">
        <f aca="false">SUMIFS(Permissions!$AL$2:$AL$3000,Permissions!$B$2:$B$3000,$A164,Permissions!$P$2:$P$3000,"Yes")</f>
        <v>0</v>
      </c>
      <c r="AV164" s="26" t="n">
        <f aca="false">SUMIFS(Permissions!$AM$2:$AM$3000,Permissions!$B$2:$B$3000,$A164,Permissions!$P$2:$P$3000,"Yes")</f>
        <v>0</v>
      </c>
      <c r="AW164" s="24" t="n">
        <f aca="false">COUNTIFS(Permissions!$B$2:$B$3000,$A164,Permissions!$P$2:$P$3000,"Yes")</f>
        <v>1</v>
      </c>
      <c r="AX164" s="24" t="n">
        <f aca="false">SUMIFS(Permissions!$L$2:$L$3000,Permissions!$B$2:$B$3000,$A164,Permissions!$P$2:$P$3000,"Yes")</f>
        <v>0</v>
      </c>
      <c r="AY164" s="27" t="str">
        <f aca="false">IF(AND(AK164&gt;0,AG164&gt;=AK164,AN164=0),"Built out",IF(AG164&gt;0,"Partly built",IF(AK164&gt;0,"Consented – not built","No consent")))</f>
        <v>Consented – not built</v>
      </c>
      <c r="AZ164" s="28" t="str">
        <f aca="false">IF(AND(R164&lt;&gt;"",AK164&gt;1.1*R164),"Consented above capacity",IF(AND(LEFT(B164,8)="Planning",AW164=0),"Consent parcel with no permission",IF(COUNTIF($A$2:$A$3000,$A164)&gt;1,"Duplicate parcel_id","")))</f>
        <v/>
      </c>
    </row>
    <row r="165" customFormat="false" ht="15" hidden="false" customHeight="false" outlineLevel="0" collapsed="false">
      <c r="A165" s="15" t="s">
        <v>408</v>
      </c>
      <c r="B165" s="15" t="s">
        <v>12</v>
      </c>
      <c r="C165" s="15" t="s">
        <v>16</v>
      </c>
      <c r="D165" s="15" t="s">
        <v>52</v>
      </c>
      <c r="E165" s="15" t="s">
        <v>19</v>
      </c>
      <c r="F165" s="15" t="n">
        <v>1</v>
      </c>
      <c r="G165" s="15" t="s">
        <v>154</v>
      </c>
      <c r="H165" s="15"/>
      <c r="I165" s="15" t="s">
        <v>52</v>
      </c>
      <c r="J165" s="15" t="s">
        <v>205</v>
      </c>
      <c r="K165" s="15" t="s">
        <v>409</v>
      </c>
      <c r="L165" s="15"/>
      <c r="M165" s="15"/>
      <c r="N165" s="15"/>
      <c r="O165" s="15"/>
      <c r="P165" s="15" t="n">
        <v>0.196</v>
      </c>
      <c r="Q165" s="15" t="n">
        <v>0.196</v>
      </c>
      <c r="R165" s="15"/>
      <c r="S165" s="15" t="s">
        <v>346</v>
      </c>
      <c r="T165" s="15"/>
      <c r="U165" s="15"/>
      <c r="V165" s="15"/>
      <c r="W165" s="15"/>
      <c r="X165" s="15"/>
      <c r="Y165" s="15"/>
      <c r="Z165" s="15"/>
      <c r="AA165" s="15" t="n">
        <v>0</v>
      </c>
      <c r="AB165" s="15" t="n">
        <v>0</v>
      </c>
      <c r="AC165" s="15"/>
      <c r="AD165" s="15" t="s">
        <v>373</v>
      </c>
      <c r="AE165" s="15" t="s">
        <v>163</v>
      </c>
      <c r="AF165" s="15"/>
      <c r="AG165" s="24" t="n">
        <f aca="false">SUMIFS(Permissions!$G$2:$G$3000,Permissions!$B$2:$B$3000,$A165,Permissions!$I$2:$I$3000,"Complete",Permissions!$P$2:$P$3000,"Yes")</f>
        <v>0</v>
      </c>
      <c r="AH165" s="24" t="n">
        <f aca="false">SUMIFS(Permissions!$G$2:$G$3000,Permissions!$B$2:$B$3000,$A165,Permissions!$I$2:$I$3000,"Under construction",Permissions!$P$2:$P$3000,"Yes")</f>
        <v>6</v>
      </c>
      <c r="AI165" s="24" t="n">
        <f aca="false">SUMIFS(Permissions!$G$2:$G$3000,Permissions!$B$2:$B$3000,$A165,Permissions!$I$2:$I$3000,"Permitted – not started",Permissions!$P$2:$P$3000,"Yes")</f>
        <v>0</v>
      </c>
      <c r="AJ165" s="24" t="n">
        <f aca="false">SUMIFS(Permissions!$G$2:$G$3000,Permissions!$B$2:$B$3000,$A165,Permissions!$I$2:$I$3000,"Stalled",Permissions!$P$2:$P$3000,"Yes")</f>
        <v>0</v>
      </c>
      <c r="AK165" s="24" t="n">
        <f aca="false">AG165+AH165+AI165+AJ165</f>
        <v>6</v>
      </c>
      <c r="AL165" s="24" t="n">
        <f aca="false">SUMIFS(Permissions!$G$2:$G$3000,Permissions!$B$2:$B$3000,$A165,Permissions!$I$2:$I$3000,"Expired – not started",Permissions!$P$2:$P$3000,"Yes")</f>
        <v>0</v>
      </c>
      <c r="AM165" s="24" t="n">
        <f aca="false">SUMIFS(Permissions!$G$2:$G$3000,Permissions!$B$2:$B$3000,$A165,Permissions!$I$2:$I$3000,"In planning",Permissions!$P$2:$P$3000,"Yes")</f>
        <v>0</v>
      </c>
      <c r="AN165" s="24" t="n">
        <f aca="false">IF(R165="",0,MAX(R165-AK165,0))</f>
        <v>0</v>
      </c>
      <c r="AO165" s="25" t="n">
        <f aca="false">AK165+AN165</f>
        <v>6</v>
      </c>
      <c r="AP165" s="24" t="n">
        <f aca="false">AO165-AG165</f>
        <v>6</v>
      </c>
      <c r="AQ165" s="26" t="n">
        <f aca="false">SUMIFS(Permissions!$AH$2:$AH$3000,Permissions!$B$2:$B$3000,$A165,Permissions!$P$2:$P$3000,"Yes")</f>
        <v>0</v>
      </c>
      <c r="AR165" s="26" t="n">
        <f aca="false">SUMIFS(Permissions!$AI$2:$AI$3000,Permissions!$B$2:$B$3000,$A165,Permissions!$P$2:$P$3000,"Yes")</f>
        <v>4.7</v>
      </c>
      <c r="AS165" s="26" t="n">
        <f aca="false">SUMIFS(Permissions!$AJ$2:$AJ$3000,Permissions!$B$2:$B$3000,$A165,Permissions!$P$2:$P$3000,"Yes")</f>
        <v>1.3</v>
      </c>
      <c r="AT165" s="26" t="n">
        <f aca="false">SUMIFS(Permissions!$AK$2:$AK$3000,Permissions!$B$2:$B$3000,$A165,Permissions!$P$2:$P$3000,"Yes")</f>
        <v>0</v>
      </c>
      <c r="AU165" s="26" t="n">
        <f aca="false">SUMIFS(Permissions!$AL$2:$AL$3000,Permissions!$B$2:$B$3000,$A165,Permissions!$P$2:$P$3000,"Yes")</f>
        <v>0</v>
      </c>
      <c r="AV165" s="26" t="n">
        <f aca="false">SUMIFS(Permissions!$AM$2:$AM$3000,Permissions!$B$2:$B$3000,$A165,Permissions!$P$2:$P$3000,"Yes")</f>
        <v>0</v>
      </c>
      <c r="AW165" s="24" t="n">
        <f aca="false">COUNTIFS(Permissions!$B$2:$B$3000,$A165,Permissions!$P$2:$P$3000,"Yes")</f>
        <v>1</v>
      </c>
      <c r="AX165" s="24" t="n">
        <f aca="false">SUMIFS(Permissions!$L$2:$L$3000,Permissions!$B$2:$B$3000,$A165,Permissions!$P$2:$P$3000,"Yes")</f>
        <v>0</v>
      </c>
      <c r="AY165" s="27" t="str">
        <f aca="false">IF(AND(AK165&gt;0,AG165&gt;=AK165,AN165=0),"Built out",IF(AG165&gt;0,"Partly built",IF(AK165&gt;0,"Consented – not built","No consent")))</f>
        <v>Consented – not built</v>
      </c>
      <c r="AZ165" s="28" t="str">
        <f aca="false">IF(AND(R165&lt;&gt;"",AK165&gt;1.1*R165),"Consented above capacity",IF(AND(LEFT(B165,8)="Planning",AW165=0),"Consent parcel with no permission",IF(COUNTIF($A$2:$A$3000,$A165)&gt;1,"Duplicate parcel_id","")))</f>
        <v/>
      </c>
    </row>
    <row r="166" customFormat="false" ht="15" hidden="false" customHeight="false" outlineLevel="0" collapsed="false">
      <c r="A166" s="15" t="s">
        <v>410</v>
      </c>
      <c r="B166" s="15" t="s">
        <v>12</v>
      </c>
      <c r="C166" s="15" t="s">
        <v>16</v>
      </c>
      <c r="D166" s="15" t="s">
        <v>52</v>
      </c>
      <c r="E166" s="15" t="s">
        <v>19</v>
      </c>
      <c r="F166" s="15" t="n">
        <v>1</v>
      </c>
      <c r="G166" s="15" t="s">
        <v>154</v>
      </c>
      <c r="H166" s="15"/>
      <c r="I166" s="15" t="s">
        <v>52</v>
      </c>
      <c r="J166" s="15" t="s">
        <v>205</v>
      </c>
      <c r="K166" s="15" t="s">
        <v>411</v>
      </c>
      <c r="L166" s="15"/>
      <c r="M166" s="15"/>
      <c r="N166" s="15"/>
      <c r="O166" s="15"/>
      <c r="P166" s="15" t="n">
        <v>0.196</v>
      </c>
      <c r="Q166" s="15" t="n">
        <v>0.196</v>
      </c>
      <c r="R166" s="15"/>
      <c r="S166" s="15" t="s">
        <v>346</v>
      </c>
      <c r="T166" s="15"/>
      <c r="U166" s="15"/>
      <c r="V166" s="15"/>
      <c r="W166" s="15"/>
      <c r="X166" s="15"/>
      <c r="Y166" s="15"/>
      <c r="Z166" s="15"/>
      <c r="AA166" s="15" t="n">
        <v>6</v>
      </c>
      <c r="AB166" s="15" t="n">
        <v>5</v>
      </c>
      <c r="AC166" s="15"/>
      <c r="AD166" s="15" t="s">
        <v>373</v>
      </c>
      <c r="AE166" s="15" t="s">
        <v>163</v>
      </c>
      <c r="AF166" s="15"/>
      <c r="AG166" s="24" t="n">
        <f aca="false">SUMIFS(Permissions!$G$2:$G$3000,Permissions!$B$2:$B$3000,$A166,Permissions!$I$2:$I$3000,"Complete",Permissions!$P$2:$P$3000,"Yes")</f>
        <v>0</v>
      </c>
      <c r="AH166" s="24" t="n">
        <f aca="false">SUMIFS(Permissions!$G$2:$G$3000,Permissions!$B$2:$B$3000,$A166,Permissions!$I$2:$I$3000,"Under construction",Permissions!$P$2:$P$3000,"Yes")</f>
        <v>0</v>
      </c>
      <c r="AI166" s="24" t="n">
        <f aca="false">SUMIFS(Permissions!$G$2:$G$3000,Permissions!$B$2:$B$3000,$A166,Permissions!$I$2:$I$3000,"Permitted – not started",Permissions!$P$2:$P$3000,"Yes")</f>
        <v>4</v>
      </c>
      <c r="AJ166" s="24" t="n">
        <f aca="false">SUMIFS(Permissions!$G$2:$G$3000,Permissions!$B$2:$B$3000,$A166,Permissions!$I$2:$I$3000,"Stalled",Permissions!$P$2:$P$3000,"Yes")</f>
        <v>0</v>
      </c>
      <c r="AK166" s="24" t="n">
        <f aca="false">AG166+AH166+AI166+AJ166</f>
        <v>4</v>
      </c>
      <c r="AL166" s="24" t="n">
        <f aca="false">SUMIFS(Permissions!$G$2:$G$3000,Permissions!$B$2:$B$3000,$A166,Permissions!$I$2:$I$3000,"Expired – not started",Permissions!$P$2:$P$3000,"Yes")</f>
        <v>0</v>
      </c>
      <c r="AM166" s="24" t="n">
        <f aca="false">SUMIFS(Permissions!$G$2:$G$3000,Permissions!$B$2:$B$3000,$A166,Permissions!$I$2:$I$3000,"In planning",Permissions!$P$2:$P$3000,"Yes")</f>
        <v>0</v>
      </c>
      <c r="AN166" s="24" t="n">
        <f aca="false">IF(R166="",0,MAX(R166-AK166,0))</f>
        <v>0</v>
      </c>
      <c r="AO166" s="25" t="n">
        <f aca="false">AK166+AN166</f>
        <v>4</v>
      </c>
      <c r="AP166" s="24" t="n">
        <f aca="false">AO166-AG166</f>
        <v>4</v>
      </c>
      <c r="AQ166" s="26" t="n">
        <f aca="false">SUMIFS(Permissions!$AH$2:$AH$3000,Permissions!$B$2:$B$3000,$A166,Permissions!$P$2:$P$3000,"Yes")</f>
        <v>0</v>
      </c>
      <c r="AR166" s="26" t="n">
        <f aca="false">SUMIFS(Permissions!$AI$2:$AI$3000,Permissions!$B$2:$B$3000,$A166,Permissions!$P$2:$P$3000,"Yes")</f>
        <v>0</v>
      </c>
      <c r="AS166" s="26" t="n">
        <f aca="false">SUMIFS(Permissions!$AJ$2:$AJ$3000,Permissions!$B$2:$B$3000,$A166,Permissions!$P$2:$P$3000,"Yes")</f>
        <v>1.2</v>
      </c>
      <c r="AT166" s="26" t="n">
        <f aca="false">SUMIFS(Permissions!$AK$2:$AK$3000,Permissions!$B$2:$B$3000,$A166,Permissions!$P$2:$P$3000,"Yes")</f>
        <v>2.8</v>
      </c>
      <c r="AU166" s="26" t="n">
        <f aca="false">SUMIFS(Permissions!$AL$2:$AL$3000,Permissions!$B$2:$B$3000,$A166,Permissions!$P$2:$P$3000,"Yes")</f>
        <v>0</v>
      </c>
      <c r="AV166" s="26" t="n">
        <f aca="false">SUMIFS(Permissions!$AM$2:$AM$3000,Permissions!$B$2:$B$3000,$A166,Permissions!$P$2:$P$3000,"Yes")</f>
        <v>0</v>
      </c>
      <c r="AW166" s="24" t="n">
        <f aca="false">COUNTIFS(Permissions!$B$2:$B$3000,$A166,Permissions!$P$2:$P$3000,"Yes")</f>
        <v>1</v>
      </c>
      <c r="AX166" s="24" t="n">
        <f aca="false">SUMIFS(Permissions!$L$2:$L$3000,Permissions!$B$2:$B$3000,$A166,Permissions!$P$2:$P$3000,"Yes")</f>
        <v>0</v>
      </c>
      <c r="AY166" s="27" t="str">
        <f aca="false">IF(AND(AK166&gt;0,AG166&gt;=AK166,AN166=0),"Built out",IF(AG166&gt;0,"Partly built",IF(AK166&gt;0,"Consented – not built","No consent")))</f>
        <v>Consented – not built</v>
      </c>
      <c r="AZ166" s="28" t="str">
        <f aca="false">IF(AND(R166&lt;&gt;"",AK166&gt;1.1*R166),"Consented above capacity",IF(AND(LEFT(B166,8)="Planning",AW166=0),"Consent parcel with no permission",IF(COUNTIF($A$2:$A$3000,$A166)&gt;1,"Duplicate parcel_id","")))</f>
        <v/>
      </c>
    </row>
    <row r="167" customFormat="false" ht="15" hidden="false" customHeight="false" outlineLevel="0" collapsed="false">
      <c r="A167" s="15" t="s">
        <v>412</v>
      </c>
      <c r="B167" s="15" t="s">
        <v>12</v>
      </c>
      <c r="C167" s="15" t="s">
        <v>16</v>
      </c>
      <c r="D167" s="15" t="s">
        <v>52</v>
      </c>
      <c r="E167" s="15" t="s">
        <v>19</v>
      </c>
      <c r="F167" s="15" t="n">
        <v>1</v>
      </c>
      <c r="G167" s="15" t="s">
        <v>154</v>
      </c>
      <c r="H167" s="15"/>
      <c r="I167" s="15" t="s">
        <v>52</v>
      </c>
      <c r="J167" s="15" t="s">
        <v>205</v>
      </c>
      <c r="K167" s="15" t="s">
        <v>413</v>
      </c>
      <c r="L167" s="15"/>
      <c r="M167" s="15"/>
      <c r="N167" s="15"/>
      <c r="O167" s="15"/>
      <c r="P167" s="15" t="n">
        <v>18.97</v>
      </c>
      <c r="Q167" s="15" t="n">
        <v>18.97</v>
      </c>
      <c r="R167" s="15"/>
      <c r="S167" s="15" t="s">
        <v>346</v>
      </c>
      <c r="T167" s="15"/>
      <c r="U167" s="15"/>
      <c r="V167" s="15"/>
      <c r="W167" s="15"/>
      <c r="X167" s="15"/>
      <c r="Y167" s="15"/>
      <c r="Z167" s="15"/>
      <c r="AA167" s="15" t="n">
        <v>383</v>
      </c>
      <c r="AB167" s="15" t="n">
        <v>339</v>
      </c>
      <c r="AC167" s="15"/>
      <c r="AD167" s="15"/>
      <c r="AE167" s="15" t="s">
        <v>163</v>
      </c>
      <c r="AF167" s="15"/>
      <c r="AG167" s="24" t="n">
        <f aca="false">SUMIFS(Permissions!$G$2:$G$3000,Permissions!$B$2:$B$3000,$A167,Permissions!$I$2:$I$3000,"Complete",Permissions!$P$2:$P$3000,"Yes")</f>
        <v>298</v>
      </c>
      <c r="AH167" s="24" t="n">
        <f aca="false">SUMIFS(Permissions!$G$2:$G$3000,Permissions!$B$2:$B$3000,$A167,Permissions!$I$2:$I$3000,"Under construction",Permissions!$P$2:$P$3000,"Yes")</f>
        <v>0</v>
      </c>
      <c r="AI167" s="24" t="n">
        <f aca="false">SUMIFS(Permissions!$G$2:$G$3000,Permissions!$B$2:$B$3000,$A167,Permissions!$I$2:$I$3000,"Permitted – not started",Permissions!$P$2:$P$3000,"Yes")</f>
        <v>0</v>
      </c>
      <c r="AJ167" s="24" t="n">
        <f aca="false">SUMIFS(Permissions!$G$2:$G$3000,Permissions!$B$2:$B$3000,$A167,Permissions!$I$2:$I$3000,"Stalled",Permissions!$P$2:$P$3000,"Yes")</f>
        <v>0</v>
      </c>
      <c r="AK167" s="24" t="n">
        <f aca="false">AG167+AH167+AI167+AJ167</f>
        <v>298</v>
      </c>
      <c r="AL167" s="24" t="n">
        <f aca="false">SUMIFS(Permissions!$G$2:$G$3000,Permissions!$B$2:$B$3000,$A167,Permissions!$I$2:$I$3000,"Expired – not started",Permissions!$P$2:$P$3000,"Yes")</f>
        <v>0</v>
      </c>
      <c r="AM167" s="24" t="n">
        <f aca="false">SUMIFS(Permissions!$G$2:$G$3000,Permissions!$B$2:$B$3000,$A167,Permissions!$I$2:$I$3000,"In planning",Permissions!$P$2:$P$3000,"Yes")</f>
        <v>0</v>
      </c>
      <c r="AN167" s="24" t="n">
        <f aca="false">IF(R167="",0,MAX(R167-AK167,0))</f>
        <v>0</v>
      </c>
      <c r="AO167" s="25" t="n">
        <f aca="false">AK167+AN167</f>
        <v>298</v>
      </c>
      <c r="AP167" s="24" t="n">
        <f aca="false">AO167-AG167</f>
        <v>0</v>
      </c>
      <c r="AQ167" s="26" t="n">
        <f aca="false">SUMIFS(Permissions!$AH$2:$AH$3000,Permissions!$B$2:$B$3000,$A167,Permissions!$P$2:$P$3000,"Yes")</f>
        <v>0</v>
      </c>
      <c r="AR167" s="26" t="n">
        <f aca="false">SUMIFS(Permissions!$AI$2:$AI$3000,Permissions!$B$2:$B$3000,$A167,Permissions!$P$2:$P$3000,"Yes")</f>
        <v>0</v>
      </c>
      <c r="AS167" s="26" t="n">
        <f aca="false">SUMIFS(Permissions!$AJ$2:$AJ$3000,Permissions!$B$2:$B$3000,$A167,Permissions!$P$2:$P$3000,"Yes")</f>
        <v>0</v>
      </c>
      <c r="AT167" s="26" t="n">
        <f aca="false">SUMIFS(Permissions!$AK$2:$AK$3000,Permissions!$B$2:$B$3000,$A167,Permissions!$P$2:$P$3000,"Yes")</f>
        <v>0</v>
      </c>
      <c r="AU167" s="26" t="n">
        <f aca="false">SUMIFS(Permissions!$AL$2:$AL$3000,Permissions!$B$2:$B$3000,$A167,Permissions!$P$2:$P$3000,"Yes")</f>
        <v>0</v>
      </c>
      <c r="AV167" s="26" t="n">
        <f aca="false">SUMIFS(Permissions!$AM$2:$AM$3000,Permissions!$B$2:$B$3000,$A167,Permissions!$P$2:$P$3000,"Yes")</f>
        <v>0</v>
      </c>
      <c r="AW167" s="24" t="n">
        <f aca="false">COUNTIFS(Permissions!$B$2:$B$3000,$A167,Permissions!$P$2:$P$3000,"Yes")</f>
        <v>4</v>
      </c>
      <c r="AX167" s="24" t="n">
        <f aca="false">SUMIFS(Permissions!$L$2:$L$3000,Permissions!$B$2:$B$3000,$A167,Permissions!$P$2:$P$3000,"Yes")</f>
        <v>297</v>
      </c>
      <c r="AY167" s="27" t="str">
        <f aca="false">IF(AND(AK167&gt;0,AG167&gt;=AK167,AN167=0),"Built out",IF(AG167&gt;0,"Partly built",IF(AK167&gt;0,"Consented – not built","No consent")))</f>
        <v>Built out</v>
      </c>
      <c r="AZ167" s="28" t="str">
        <f aca="false">IF(AND(R167&lt;&gt;"",AK167&gt;1.1*R167),"Consented above capacity",IF(AND(LEFT(B167,8)="Planning",AW167=0),"Consent parcel with no permission",IF(COUNTIF($A$2:$A$3000,$A167)&gt;1,"Duplicate parcel_id","")))</f>
        <v/>
      </c>
    </row>
    <row r="168" customFormat="false" ht="15" hidden="false" customHeight="false" outlineLevel="0" collapsed="false">
      <c r="A168" s="15" t="s">
        <v>414</v>
      </c>
      <c r="B168" s="15" t="s">
        <v>12</v>
      </c>
      <c r="C168" s="15" t="s">
        <v>16</v>
      </c>
      <c r="D168" s="15" t="s">
        <v>53</v>
      </c>
      <c r="E168" s="15" t="s">
        <v>19</v>
      </c>
      <c r="F168" s="15" t="n">
        <v>1</v>
      </c>
      <c r="G168" s="15" t="s">
        <v>154</v>
      </c>
      <c r="H168" s="15"/>
      <c r="I168" s="15" t="s">
        <v>53</v>
      </c>
      <c r="J168" s="15" t="s">
        <v>205</v>
      </c>
      <c r="K168" s="15" t="s">
        <v>415</v>
      </c>
      <c r="L168" s="15"/>
      <c r="M168" s="15"/>
      <c r="N168" s="15"/>
      <c r="O168" s="15"/>
      <c r="P168" s="15" t="n">
        <v>0.286</v>
      </c>
      <c r="Q168" s="15" t="n">
        <v>0.286</v>
      </c>
      <c r="R168" s="15"/>
      <c r="S168" s="15" t="s">
        <v>346</v>
      </c>
      <c r="T168" s="15"/>
      <c r="U168" s="15"/>
      <c r="V168" s="15"/>
      <c r="W168" s="15"/>
      <c r="X168" s="15"/>
      <c r="Y168" s="15"/>
      <c r="Z168" s="15"/>
      <c r="AA168" s="15" t="n">
        <v>13</v>
      </c>
      <c r="AB168" s="15" t="n">
        <v>13</v>
      </c>
      <c r="AC168" s="15"/>
      <c r="AD168" s="15"/>
      <c r="AE168" s="15" t="s">
        <v>163</v>
      </c>
      <c r="AF168" s="15"/>
      <c r="AG168" s="24" t="n">
        <f aca="false">SUMIFS(Permissions!$G$2:$G$3000,Permissions!$B$2:$B$3000,$A168,Permissions!$I$2:$I$3000,"Complete",Permissions!$P$2:$P$3000,"Yes")</f>
        <v>13</v>
      </c>
      <c r="AH168" s="24" t="n">
        <f aca="false">SUMIFS(Permissions!$G$2:$G$3000,Permissions!$B$2:$B$3000,$A168,Permissions!$I$2:$I$3000,"Under construction",Permissions!$P$2:$P$3000,"Yes")</f>
        <v>0</v>
      </c>
      <c r="AI168" s="24" t="n">
        <f aca="false">SUMIFS(Permissions!$G$2:$G$3000,Permissions!$B$2:$B$3000,$A168,Permissions!$I$2:$I$3000,"Permitted – not started",Permissions!$P$2:$P$3000,"Yes")</f>
        <v>0</v>
      </c>
      <c r="AJ168" s="24" t="n">
        <f aca="false">SUMIFS(Permissions!$G$2:$G$3000,Permissions!$B$2:$B$3000,$A168,Permissions!$I$2:$I$3000,"Stalled",Permissions!$P$2:$P$3000,"Yes")</f>
        <v>0</v>
      </c>
      <c r="AK168" s="24" t="n">
        <f aca="false">AG168+AH168+AI168+AJ168</f>
        <v>13</v>
      </c>
      <c r="AL168" s="24" t="n">
        <f aca="false">SUMIFS(Permissions!$G$2:$G$3000,Permissions!$B$2:$B$3000,$A168,Permissions!$I$2:$I$3000,"Expired – not started",Permissions!$P$2:$P$3000,"Yes")</f>
        <v>0</v>
      </c>
      <c r="AM168" s="24" t="n">
        <f aca="false">SUMIFS(Permissions!$G$2:$G$3000,Permissions!$B$2:$B$3000,$A168,Permissions!$I$2:$I$3000,"In planning",Permissions!$P$2:$P$3000,"Yes")</f>
        <v>0</v>
      </c>
      <c r="AN168" s="24" t="n">
        <f aca="false">IF(R168="",0,MAX(R168-AK168,0))</f>
        <v>0</v>
      </c>
      <c r="AO168" s="25" t="n">
        <f aca="false">AK168+AN168</f>
        <v>13</v>
      </c>
      <c r="AP168" s="24" t="n">
        <f aca="false">AO168-AG168</f>
        <v>0</v>
      </c>
      <c r="AQ168" s="26" t="n">
        <f aca="false">SUMIFS(Permissions!$AH$2:$AH$3000,Permissions!$B$2:$B$3000,$A168,Permissions!$P$2:$P$3000,"Yes")</f>
        <v>0</v>
      </c>
      <c r="AR168" s="26" t="n">
        <f aca="false">SUMIFS(Permissions!$AI$2:$AI$3000,Permissions!$B$2:$B$3000,$A168,Permissions!$P$2:$P$3000,"Yes")</f>
        <v>0</v>
      </c>
      <c r="AS168" s="26" t="n">
        <f aca="false">SUMIFS(Permissions!$AJ$2:$AJ$3000,Permissions!$B$2:$B$3000,$A168,Permissions!$P$2:$P$3000,"Yes")</f>
        <v>0</v>
      </c>
      <c r="AT168" s="26" t="n">
        <f aca="false">SUMIFS(Permissions!$AK$2:$AK$3000,Permissions!$B$2:$B$3000,$A168,Permissions!$P$2:$P$3000,"Yes")</f>
        <v>0</v>
      </c>
      <c r="AU168" s="26" t="n">
        <f aca="false">SUMIFS(Permissions!$AL$2:$AL$3000,Permissions!$B$2:$B$3000,$A168,Permissions!$P$2:$P$3000,"Yes")</f>
        <v>0</v>
      </c>
      <c r="AV168" s="26" t="n">
        <f aca="false">SUMIFS(Permissions!$AM$2:$AM$3000,Permissions!$B$2:$B$3000,$A168,Permissions!$P$2:$P$3000,"Yes")</f>
        <v>0</v>
      </c>
      <c r="AW168" s="24" t="n">
        <f aca="false">COUNTIFS(Permissions!$B$2:$B$3000,$A168,Permissions!$P$2:$P$3000,"Yes")</f>
        <v>1</v>
      </c>
      <c r="AX168" s="24" t="n">
        <f aca="false">SUMIFS(Permissions!$L$2:$L$3000,Permissions!$B$2:$B$3000,$A168,Permissions!$P$2:$P$3000,"Yes")</f>
        <v>13</v>
      </c>
      <c r="AY168" s="27" t="str">
        <f aca="false">IF(AND(AK168&gt;0,AG168&gt;=AK168,AN168=0),"Built out",IF(AG168&gt;0,"Partly built",IF(AK168&gt;0,"Consented – not built","No consent")))</f>
        <v>Built out</v>
      </c>
      <c r="AZ168" s="28" t="str">
        <f aca="false">IF(AND(R168&lt;&gt;"",AK168&gt;1.1*R168),"Consented above capacity",IF(AND(LEFT(B168,8)="Planning",AW168=0),"Consent parcel with no permission",IF(COUNTIF($A$2:$A$3000,$A168)&gt;1,"Duplicate parcel_id","")))</f>
        <v/>
      </c>
    </row>
    <row r="169" customFormat="false" ht="15" hidden="false" customHeight="false" outlineLevel="0" collapsed="false">
      <c r="A169" s="15" t="s">
        <v>416</v>
      </c>
      <c r="B169" s="15" t="s">
        <v>12</v>
      </c>
      <c r="C169" s="15" t="s">
        <v>16</v>
      </c>
      <c r="D169" s="15" t="s">
        <v>53</v>
      </c>
      <c r="E169" s="15" t="s">
        <v>19</v>
      </c>
      <c r="F169" s="15" t="n">
        <v>1</v>
      </c>
      <c r="G169" s="15" t="s">
        <v>154</v>
      </c>
      <c r="H169" s="15"/>
      <c r="I169" s="15" t="s">
        <v>53</v>
      </c>
      <c r="J169" s="15" t="s">
        <v>155</v>
      </c>
      <c r="K169" s="15" t="s">
        <v>417</v>
      </c>
      <c r="L169" s="15"/>
      <c r="M169" s="15"/>
      <c r="N169" s="15"/>
      <c r="O169" s="15"/>
      <c r="P169" s="15" t="n">
        <v>0.085</v>
      </c>
      <c r="Q169" s="15" t="n">
        <v>0.085</v>
      </c>
      <c r="R169" s="15"/>
      <c r="S169" s="15" t="s">
        <v>346</v>
      </c>
      <c r="T169" s="15"/>
      <c r="U169" s="15"/>
      <c r="V169" s="15"/>
      <c r="W169" s="15"/>
      <c r="X169" s="15"/>
      <c r="Y169" s="15"/>
      <c r="Z169" s="15"/>
      <c r="AA169" s="15" t="n">
        <v>50</v>
      </c>
      <c r="AB169" s="15" t="n">
        <v>0</v>
      </c>
      <c r="AC169" s="15"/>
      <c r="AD169" s="15"/>
      <c r="AE169" s="15" t="s">
        <v>163</v>
      </c>
      <c r="AF169" s="15"/>
      <c r="AG169" s="24" t="n">
        <f aca="false">SUMIFS(Permissions!$G$2:$G$3000,Permissions!$B$2:$B$3000,$A169,Permissions!$I$2:$I$3000,"Complete",Permissions!$P$2:$P$3000,"Yes")</f>
        <v>14</v>
      </c>
      <c r="AH169" s="24" t="n">
        <f aca="false">SUMIFS(Permissions!$G$2:$G$3000,Permissions!$B$2:$B$3000,$A169,Permissions!$I$2:$I$3000,"Under construction",Permissions!$P$2:$P$3000,"Yes")</f>
        <v>0</v>
      </c>
      <c r="AI169" s="24" t="n">
        <f aca="false">SUMIFS(Permissions!$G$2:$G$3000,Permissions!$B$2:$B$3000,$A169,Permissions!$I$2:$I$3000,"Permitted – not started",Permissions!$P$2:$P$3000,"Yes")</f>
        <v>0</v>
      </c>
      <c r="AJ169" s="24" t="n">
        <f aca="false">SUMIFS(Permissions!$G$2:$G$3000,Permissions!$B$2:$B$3000,$A169,Permissions!$I$2:$I$3000,"Stalled",Permissions!$P$2:$P$3000,"Yes")</f>
        <v>0</v>
      </c>
      <c r="AK169" s="24" t="n">
        <f aca="false">AG169+AH169+AI169+AJ169</f>
        <v>14</v>
      </c>
      <c r="AL169" s="24" t="n">
        <f aca="false">SUMIFS(Permissions!$G$2:$G$3000,Permissions!$B$2:$B$3000,$A169,Permissions!$I$2:$I$3000,"Expired – not started",Permissions!$P$2:$P$3000,"Yes")</f>
        <v>0</v>
      </c>
      <c r="AM169" s="24" t="n">
        <f aca="false">SUMIFS(Permissions!$G$2:$G$3000,Permissions!$B$2:$B$3000,$A169,Permissions!$I$2:$I$3000,"In planning",Permissions!$P$2:$P$3000,"Yes")</f>
        <v>0</v>
      </c>
      <c r="AN169" s="24" t="n">
        <f aca="false">IF(R169="",0,MAX(R169-AK169,0))</f>
        <v>0</v>
      </c>
      <c r="AO169" s="25" t="n">
        <f aca="false">AK169+AN169</f>
        <v>14</v>
      </c>
      <c r="AP169" s="24" t="n">
        <f aca="false">AO169-AG169</f>
        <v>0</v>
      </c>
      <c r="AQ169" s="26" t="n">
        <f aca="false">SUMIFS(Permissions!$AH$2:$AH$3000,Permissions!$B$2:$B$3000,$A169,Permissions!$P$2:$P$3000,"Yes")</f>
        <v>0</v>
      </c>
      <c r="AR169" s="26" t="n">
        <f aca="false">SUMIFS(Permissions!$AI$2:$AI$3000,Permissions!$B$2:$B$3000,$A169,Permissions!$P$2:$P$3000,"Yes")</f>
        <v>0</v>
      </c>
      <c r="AS169" s="26" t="n">
        <f aca="false">SUMIFS(Permissions!$AJ$2:$AJ$3000,Permissions!$B$2:$B$3000,$A169,Permissions!$P$2:$P$3000,"Yes")</f>
        <v>0</v>
      </c>
      <c r="AT169" s="26" t="n">
        <f aca="false">SUMIFS(Permissions!$AK$2:$AK$3000,Permissions!$B$2:$B$3000,$A169,Permissions!$P$2:$P$3000,"Yes")</f>
        <v>0</v>
      </c>
      <c r="AU169" s="26" t="n">
        <f aca="false">SUMIFS(Permissions!$AL$2:$AL$3000,Permissions!$B$2:$B$3000,$A169,Permissions!$P$2:$P$3000,"Yes")</f>
        <v>0</v>
      </c>
      <c r="AV169" s="26" t="n">
        <f aca="false">SUMIFS(Permissions!$AM$2:$AM$3000,Permissions!$B$2:$B$3000,$A169,Permissions!$P$2:$P$3000,"Yes")</f>
        <v>0</v>
      </c>
      <c r="AW169" s="24" t="n">
        <f aca="false">COUNTIFS(Permissions!$B$2:$B$3000,$A169,Permissions!$P$2:$P$3000,"Yes")</f>
        <v>1</v>
      </c>
      <c r="AX169" s="24" t="n">
        <f aca="false">SUMIFS(Permissions!$L$2:$L$3000,Permissions!$B$2:$B$3000,$A169,Permissions!$P$2:$P$3000,"Yes")</f>
        <v>0</v>
      </c>
      <c r="AY169" s="27" t="str">
        <f aca="false">IF(AND(AK169&gt;0,AG169&gt;=AK169,AN169=0),"Built out",IF(AG169&gt;0,"Partly built",IF(AK169&gt;0,"Consented – not built","No consent")))</f>
        <v>Built out</v>
      </c>
      <c r="AZ169" s="28" t="str">
        <f aca="false">IF(AND(R169&lt;&gt;"",AK169&gt;1.1*R169),"Consented above capacity",IF(AND(LEFT(B169,8)="Planning",AW169=0),"Consent parcel with no permission",IF(COUNTIF($A$2:$A$3000,$A169)&gt;1,"Duplicate parcel_id","")))</f>
        <v/>
      </c>
    </row>
    <row r="170" customFormat="false" ht="15" hidden="false" customHeight="false" outlineLevel="0" collapsed="false">
      <c r="A170" s="15" t="s">
        <v>418</v>
      </c>
      <c r="B170" s="15" t="s">
        <v>12</v>
      </c>
      <c r="C170" s="15" t="s">
        <v>16</v>
      </c>
      <c r="D170" s="15" t="s">
        <v>53</v>
      </c>
      <c r="E170" s="15" t="s">
        <v>19</v>
      </c>
      <c r="F170" s="15" t="n">
        <v>1</v>
      </c>
      <c r="G170" s="15" t="s">
        <v>154</v>
      </c>
      <c r="H170" s="15"/>
      <c r="I170" s="15" t="s">
        <v>53</v>
      </c>
      <c r="J170" s="15" t="s">
        <v>176</v>
      </c>
      <c r="K170" s="15" t="s">
        <v>419</v>
      </c>
      <c r="L170" s="15"/>
      <c r="M170" s="15"/>
      <c r="N170" s="15"/>
      <c r="O170" s="15"/>
      <c r="P170" s="15" t="n">
        <v>0.167</v>
      </c>
      <c r="Q170" s="15" t="n">
        <v>0.167</v>
      </c>
      <c r="R170" s="15"/>
      <c r="S170" s="15" t="s">
        <v>346</v>
      </c>
      <c r="T170" s="15"/>
      <c r="U170" s="15"/>
      <c r="V170" s="15"/>
      <c r="W170" s="15"/>
      <c r="X170" s="15"/>
      <c r="Y170" s="15"/>
      <c r="Z170" s="15"/>
      <c r="AA170" s="15" t="n">
        <v>14</v>
      </c>
      <c r="AB170" s="15" t="n">
        <v>13</v>
      </c>
      <c r="AC170" s="15"/>
      <c r="AD170" s="15"/>
      <c r="AE170" s="15" t="s">
        <v>163</v>
      </c>
      <c r="AF170" s="15"/>
      <c r="AG170" s="24" t="n">
        <f aca="false">SUMIFS(Permissions!$G$2:$G$3000,Permissions!$B$2:$B$3000,$A170,Permissions!$I$2:$I$3000,"Complete",Permissions!$P$2:$P$3000,"Yes")</f>
        <v>14</v>
      </c>
      <c r="AH170" s="24" t="n">
        <f aca="false">SUMIFS(Permissions!$G$2:$G$3000,Permissions!$B$2:$B$3000,$A170,Permissions!$I$2:$I$3000,"Under construction",Permissions!$P$2:$P$3000,"Yes")</f>
        <v>0</v>
      </c>
      <c r="AI170" s="24" t="n">
        <f aca="false">SUMIFS(Permissions!$G$2:$G$3000,Permissions!$B$2:$B$3000,$A170,Permissions!$I$2:$I$3000,"Permitted – not started",Permissions!$P$2:$P$3000,"Yes")</f>
        <v>0</v>
      </c>
      <c r="AJ170" s="24" t="n">
        <f aca="false">SUMIFS(Permissions!$G$2:$G$3000,Permissions!$B$2:$B$3000,$A170,Permissions!$I$2:$I$3000,"Stalled",Permissions!$P$2:$P$3000,"Yes")</f>
        <v>0</v>
      </c>
      <c r="AK170" s="24" t="n">
        <f aca="false">AG170+AH170+AI170+AJ170</f>
        <v>14</v>
      </c>
      <c r="AL170" s="24" t="n">
        <f aca="false">SUMIFS(Permissions!$G$2:$G$3000,Permissions!$B$2:$B$3000,$A170,Permissions!$I$2:$I$3000,"Expired – not started",Permissions!$P$2:$P$3000,"Yes")</f>
        <v>0</v>
      </c>
      <c r="AM170" s="24" t="n">
        <f aca="false">SUMIFS(Permissions!$G$2:$G$3000,Permissions!$B$2:$B$3000,$A170,Permissions!$I$2:$I$3000,"In planning",Permissions!$P$2:$P$3000,"Yes")</f>
        <v>0</v>
      </c>
      <c r="AN170" s="24" t="n">
        <f aca="false">IF(R170="",0,MAX(R170-AK170,0))</f>
        <v>0</v>
      </c>
      <c r="AO170" s="25" t="n">
        <f aca="false">AK170+AN170</f>
        <v>14</v>
      </c>
      <c r="AP170" s="24" t="n">
        <f aca="false">AO170-AG170</f>
        <v>0</v>
      </c>
      <c r="AQ170" s="26" t="n">
        <f aca="false">SUMIFS(Permissions!$AH$2:$AH$3000,Permissions!$B$2:$B$3000,$A170,Permissions!$P$2:$P$3000,"Yes")</f>
        <v>0</v>
      </c>
      <c r="AR170" s="26" t="n">
        <f aca="false">SUMIFS(Permissions!$AI$2:$AI$3000,Permissions!$B$2:$B$3000,$A170,Permissions!$P$2:$P$3000,"Yes")</f>
        <v>0</v>
      </c>
      <c r="AS170" s="26" t="n">
        <f aca="false">SUMIFS(Permissions!$AJ$2:$AJ$3000,Permissions!$B$2:$B$3000,$A170,Permissions!$P$2:$P$3000,"Yes")</f>
        <v>0</v>
      </c>
      <c r="AT170" s="26" t="n">
        <f aca="false">SUMIFS(Permissions!$AK$2:$AK$3000,Permissions!$B$2:$B$3000,$A170,Permissions!$P$2:$P$3000,"Yes")</f>
        <v>0</v>
      </c>
      <c r="AU170" s="26" t="n">
        <f aca="false">SUMIFS(Permissions!$AL$2:$AL$3000,Permissions!$B$2:$B$3000,$A170,Permissions!$P$2:$P$3000,"Yes")</f>
        <v>0</v>
      </c>
      <c r="AV170" s="26" t="n">
        <f aca="false">SUMIFS(Permissions!$AM$2:$AM$3000,Permissions!$B$2:$B$3000,$A170,Permissions!$P$2:$P$3000,"Yes")</f>
        <v>0</v>
      </c>
      <c r="AW170" s="24" t="n">
        <f aca="false">COUNTIFS(Permissions!$B$2:$B$3000,$A170,Permissions!$P$2:$P$3000,"Yes")</f>
        <v>1</v>
      </c>
      <c r="AX170" s="24" t="n">
        <f aca="false">SUMIFS(Permissions!$L$2:$L$3000,Permissions!$B$2:$B$3000,$A170,Permissions!$P$2:$P$3000,"Yes")</f>
        <v>14</v>
      </c>
      <c r="AY170" s="27" t="str">
        <f aca="false">IF(AND(AK170&gt;0,AG170&gt;=AK170,AN170=0),"Built out",IF(AG170&gt;0,"Partly built",IF(AK170&gt;0,"Consented – not built","No consent")))</f>
        <v>Built out</v>
      </c>
      <c r="AZ170" s="28" t="str">
        <f aca="false">IF(AND(R170&lt;&gt;"",AK170&gt;1.1*R170),"Consented above capacity",IF(AND(LEFT(B170,8)="Planning",AW170=0),"Consent parcel with no permission",IF(COUNTIF($A$2:$A$3000,$A170)&gt;1,"Duplicate parcel_id","")))</f>
        <v/>
      </c>
    </row>
    <row r="171" customFormat="false" ht="15" hidden="false" customHeight="false" outlineLevel="0" collapsed="false">
      <c r="A171" s="15" t="s">
        <v>420</v>
      </c>
      <c r="B171" s="15" t="s">
        <v>12</v>
      </c>
      <c r="C171" s="15" t="s">
        <v>16</v>
      </c>
      <c r="D171" s="15" t="s">
        <v>53</v>
      </c>
      <c r="E171" s="15" t="s">
        <v>19</v>
      </c>
      <c r="F171" s="15" t="n">
        <v>1</v>
      </c>
      <c r="G171" s="15" t="s">
        <v>154</v>
      </c>
      <c r="H171" s="15"/>
      <c r="I171" s="15" t="s">
        <v>53</v>
      </c>
      <c r="J171" s="15" t="s">
        <v>155</v>
      </c>
      <c r="K171" s="15" t="s">
        <v>421</v>
      </c>
      <c r="L171" s="15"/>
      <c r="M171" s="15"/>
      <c r="N171" s="15"/>
      <c r="O171" s="15"/>
      <c r="P171" s="15" t="n">
        <v>0.409</v>
      </c>
      <c r="Q171" s="15" t="n">
        <v>0.409</v>
      </c>
      <c r="R171" s="15"/>
      <c r="S171" s="15" t="s">
        <v>346</v>
      </c>
      <c r="T171" s="15"/>
      <c r="U171" s="15"/>
      <c r="V171" s="15"/>
      <c r="W171" s="15"/>
      <c r="X171" s="15"/>
      <c r="Y171" s="15"/>
      <c r="Z171" s="15"/>
      <c r="AA171" s="15" t="n">
        <v>35</v>
      </c>
      <c r="AB171" s="15" t="n">
        <v>0</v>
      </c>
      <c r="AC171" s="15"/>
      <c r="AD171" s="15"/>
      <c r="AE171" s="15" t="s">
        <v>163</v>
      </c>
      <c r="AF171" s="15"/>
      <c r="AG171" s="24" t="n">
        <f aca="false">SUMIFS(Permissions!$G$2:$G$3000,Permissions!$B$2:$B$3000,$A171,Permissions!$I$2:$I$3000,"Complete",Permissions!$P$2:$P$3000,"Yes")</f>
        <v>35</v>
      </c>
      <c r="AH171" s="24" t="n">
        <f aca="false">SUMIFS(Permissions!$G$2:$G$3000,Permissions!$B$2:$B$3000,$A171,Permissions!$I$2:$I$3000,"Under construction",Permissions!$P$2:$P$3000,"Yes")</f>
        <v>0</v>
      </c>
      <c r="AI171" s="24" t="n">
        <f aca="false">SUMIFS(Permissions!$G$2:$G$3000,Permissions!$B$2:$B$3000,$A171,Permissions!$I$2:$I$3000,"Permitted – not started",Permissions!$P$2:$P$3000,"Yes")</f>
        <v>0</v>
      </c>
      <c r="AJ171" s="24" t="n">
        <f aca="false">SUMIFS(Permissions!$G$2:$G$3000,Permissions!$B$2:$B$3000,$A171,Permissions!$I$2:$I$3000,"Stalled",Permissions!$P$2:$P$3000,"Yes")</f>
        <v>0</v>
      </c>
      <c r="AK171" s="24" t="n">
        <f aca="false">AG171+AH171+AI171+AJ171</f>
        <v>35</v>
      </c>
      <c r="AL171" s="24" t="n">
        <f aca="false">SUMIFS(Permissions!$G$2:$G$3000,Permissions!$B$2:$B$3000,$A171,Permissions!$I$2:$I$3000,"Expired – not started",Permissions!$P$2:$P$3000,"Yes")</f>
        <v>0</v>
      </c>
      <c r="AM171" s="24" t="n">
        <f aca="false">SUMIFS(Permissions!$G$2:$G$3000,Permissions!$B$2:$B$3000,$A171,Permissions!$I$2:$I$3000,"In planning",Permissions!$P$2:$P$3000,"Yes")</f>
        <v>0</v>
      </c>
      <c r="AN171" s="24" t="n">
        <f aca="false">IF(R171="",0,MAX(R171-AK171,0))</f>
        <v>0</v>
      </c>
      <c r="AO171" s="25" t="n">
        <f aca="false">AK171+AN171</f>
        <v>35</v>
      </c>
      <c r="AP171" s="24" t="n">
        <f aca="false">AO171-AG171</f>
        <v>0</v>
      </c>
      <c r="AQ171" s="26" t="n">
        <f aca="false">SUMIFS(Permissions!$AH$2:$AH$3000,Permissions!$B$2:$B$3000,$A171,Permissions!$P$2:$P$3000,"Yes")</f>
        <v>0</v>
      </c>
      <c r="AR171" s="26" t="n">
        <f aca="false">SUMIFS(Permissions!$AI$2:$AI$3000,Permissions!$B$2:$B$3000,$A171,Permissions!$P$2:$P$3000,"Yes")</f>
        <v>0</v>
      </c>
      <c r="AS171" s="26" t="n">
        <f aca="false">SUMIFS(Permissions!$AJ$2:$AJ$3000,Permissions!$B$2:$B$3000,$A171,Permissions!$P$2:$P$3000,"Yes")</f>
        <v>0</v>
      </c>
      <c r="AT171" s="26" t="n">
        <f aca="false">SUMIFS(Permissions!$AK$2:$AK$3000,Permissions!$B$2:$B$3000,$A171,Permissions!$P$2:$P$3000,"Yes")</f>
        <v>0</v>
      </c>
      <c r="AU171" s="26" t="n">
        <f aca="false">SUMIFS(Permissions!$AL$2:$AL$3000,Permissions!$B$2:$B$3000,$A171,Permissions!$P$2:$P$3000,"Yes")</f>
        <v>0</v>
      </c>
      <c r="AV171" s="26" t="n">
        <f aca="false">SUMIFS(Permissions!$AM$2:$AM$3000,Permissions!$B$2:$B$3000,$A171,Permissions!$P$2:$P$3000,"Yes")</f>
        <v>0</v>
      </c>
      <c r="AW171" s="24" t="n">
        <f aca="false">COUNTIFS(Permissions!$B$2:$B$3000,$A171,Permissions!$P$2:$P$3000,"Yes")</f>
        <v>1</v>
      </c>
      <c r="AX171" s="24" t="n">
        <f aca="false">SUMIFS(Permissions!$L$2:$L$3000,Permissions!$B$2:$B$3000,$A171,Permissions!$P$2:$P$3000,"Yes")</f>
        <v>0</v>
      </c>
      <c r="AY171" s="27" t="str">
        <f aca="false">IF(AND(AK171&gt;0,AG171&gt;=AK171,AN171=0),"Built out",IF(AG171&gt;0,"Partly built",IF(AK171&gt;0,"Consented – not built","No consent")))</f>
        <v>Built out</v>
      </c>
      <c r="AZ171" s="28" t="str">
        <f aca="false">IF(AND(R171&lt;&gt;"",AK171&gt;1.1*R171),"Consented above capacity",IF(AND(LEFT(B171,8)="Planning",AW171=0),"Consent parcel with no permission",IF(COUNTIF($A$2:$A$3000,$A171)&gt;1,"Duplicate parcel_id","")))</f>
        <v/>
      </c>
    </row>
    <row r="172" customFormat="false" ht="15" hidden="false" customHeight="false" outlineLevel="0" collapsed="false">
      <c r="A172" s="15" t="s">
        <v>422</v>
      </c>
      <c r="B172" s="15" t="s">
        <v>12</v>
      </c>
      <c r="C172" s="15" t="s">
        <v>16</v>
      </c>
      <c r="D172" s="15" t="s">
        <v>53</v>
      </c>
      <c r="E172" s="15" t="s">
        <v>19</v>
      </c>
      <c r="F172" s="15" t="n">
        <v>1</v>
      </c>
      <c r="G172" s="15" t="s">
        <v>154</v>
      </c>
      <c r="H172" s="15"/>
      <c r="I172" s="15" t="s">
        <v>53</v>
      </c>
      <c r="J172" s="15" t="s">
        <v>155</v>
      </c>
      <c r="K172" s="15" t="s">
        <v>423</v>
      </c>
      <c r="L172" s="15"/>
      <c r="M172" s="15"/>
      <c r="N172" s="15"/>
      <c r="O172" s="15"/>
      <c r="P172" s="15" t="n">
        <v>0.015</v>
      </c>
      <c r="Q172" s="15" t="n">
        <v>0.015</v>
      </c>
      <c r="R172" s="15"/>
      <c r="S172" s="15" t="s">
        <v>346</v>
      </c>
      <c r="T172" s="15"/>
      <c r="U172" s="15"/>
      <c r="V172" s="15"/>
      <c r="W172" s="15"/>
      <c r="X172" s="15"/>
      <c r="Y172" s="15"/>
      <c r="Z172" s="15"/>
      <c r="AA172" s="15" t="n">
        <v>0</v>
      </c>
      <c r="AB172" s="15" t="n">
        <v>0</v>
      </c>
      <c r="AC172" s="15"/>
      <c r="AD172" s="15"/>
      <c r="AE172" s="15" t="s">
        <v>163</v>
      </c>
      <c r="AF172" s="15"/>
      <c r="AG172" s="24" t="n">
        <f aca="false">SUMIFS(Permissions!$G$2:$G$3000,Permissions!$B$2:$B$3000,$A172,Permissions!$I$2:$I$3000,"Complete",Permissions!$P$2:$P$3000,"Yes")</f>
        <v>0</v>
      </c>
      <c r="AH172" s="24" t="n">
        <f aca="false">SUMIFS(Permissions!$G$2:$G$3000,Permissions!$B$2:$B$3000,$A172,Permissions!$I$2:$I$3000,"Under construction",Permissions!$P$2:$P$3000,"Yes")</f>
        <v>5</v>
      </c>
      <c r="AI172" s="24" t="n">
        <f aca="false">SUMIFS(Permissions!$G$2:$G$3000,Permissions!$B$2:$B$3000,$A172,Permissions!$I$2:$I$3000,"Permitted – not started",Permissions!$P$2:$P$3000,"Yes")</f>
        <v>0</v>
      </c>
      <c r="AJ172" s="24" t="n">
        <f aca="false">SUMIFS(Permissions!$G$2:$G$3000,Permissions!$B$2:$B$3000,$A172,Permissions!$I$2:$I$3000,"Stalled",Permissions!$P$2:$P$3000,"Yes")</f>
        <v>0</v>
      </c>
      <c r="AK172" s="24" t="n">
        <f aca="false">AG172+AH172+AI172+AJ172</f>
        <v>5</v>
      </c>
      <c r="AL172" s="24" t="n">
        <f aca="false">SUMIFS(Permissions!$G$2:$G$3000,Permissions!$B$2:$B$3000,$A172,Permissions!$I$2:$I$3000,"Expired – not started",Permissions!$P$2:$P$3000,"Yes")</f>
        <v>0</v>
      </c>
      <c r="AM172" s="24" t="n">
        <f aca="false">SUMIFS(Permissions!$G$2:$G$3000,Permissions!$B$2:$B$3000,$A172,Permissions!$I$2:$I$3000,"In planning",Permissions!$P$2:$P$3000,"Yes")</f>
        <v>0</v>
      </c>
      <c r="AN172" s="24" t="n">
        <f aca="false">IF(R172="",0,MAX(R172-AK172,0))</f>
        <v>0</v>
      </c>
      <c r="AO172" s="25" t="n">
        <f aca="false">AK172+AN172</f>
        <v>5</v>
      </c>
      <c r="AP172" s="24" t="n">
        <f aca="false">AO172-AG172</f>
        <v>5</v>
      </c>
      <c r="AQ172" s="26" t="n">
        <f aca="false">SUMIFS(Permissions!$AH$2:$AH$3000,Permissions!$B$2:$B$3000,$A172,Permissions!$P$2:$P$3000,"Yes")</f>
        <v>1.2</v>
      </c>
      <c r="AR172" s="26" t="n">
        <f aca="false">SUMIFS(Permissions!$AI$2:$AI$3000,Permissions!$B$2:$B$3000,$A172,Permissions!$P$2:$P$3000,"Yes")</f>
        <v>3.8</v>
      </c>
      <c r="AS172" s="26" t="n">
        <f aca="false">SUMIFS(Permissions!$AJ$2:$AJ$3000,Permissions!$B$2:$B$3000,$A172,Permissions!$P$2:$P$3000,"Yes")</f>
        <v>0</v>
      </c>
      <c r="AT172" s="26" t="n">
        <f aca="false">SUMIFS(Permissions!$AK$2:$AK$3000,Permissions!$B$2:$B$3000,$A172,Permissions!$P$2:$P$3000,"Yes")</f>
        <v>0</v>
      </c>
      <c r="AU172" s="26" t="n">
        <f aca="false">SUMIFS(Permissions!$AL$2:$AL$3000,Permissions!$B$2:$B$3000,$A172,Permissions!$P$2:$P$3000,"Yes")</f>
        <v>0</v>
      </c>
      <c r="AV172" s="26" t="n">
        <f aca="false">SUMIFS(Permissions!$AM$2:$AM$3000,Permissions!$B$2:$B$3000,$A172,Permissions!$P$2:$P$3000,"Yes")</f>
        <v>0</v>
      </c>
      <c r="AW172" s="24" t="n">
        <f aca="false">COUNTIFS(Permissions!$B$2:$B$3000,$A172,Permissions!$P$2:$P$3000,"Yes")</f>
        <v>1</v>
      </c>
      <c r="AX172" s="24" t="n">
        <f aca="false">SUMIFS(Permissions!$L$2:$L$3000,Permissions!$B$2:$B$3000,$A172,Permissions!$P$2:$P$3000,"Yes")</f>
        <v>0</v>
      </c>
      <c r="AY172" s="27" t="str">
        <f aca="false">IF(AND(AK172&gt;0,AG172&gt;=AK172,AN172=0),"Built out",IF(AG172&gt;0,"Partly built",IF(AK172&gt;0,"Consented – not built","No consent")))</f>
        <v>Consented – not built</v>
      </c>
      <c r="AZ172" s="28" t="str">
        <f aca="false">IF(AND(R172&lt;&gt;"",AK172&gt;1.1*R172),"Consented above capacity",IF(AND(LEFT(B172,8)="Planning",AW172=0),"Consent parcel with no permission",IF(COUNTIF($A$2:$A$3000,$A172)&gt;1,"Duplicate parcel_id","")))</f>
        <v/>
      </c>
    </row>
    <row r="173" customFormat="false" ht="15" hidden="false" customHeight="false" outlineLevel="0" collapsed="false">
      <c r="A173" s="15" t="s">
        <v>424</v>
      </c>
      <c r="B173" s="15" t="s">
        <v>12</v>
      </c>
      <c r="C173" s="15" t="s">
        <v>16</v>
      </c>
      <c r="D173" s="15" t="s">
        <v>53</v>
      </c>
      <c r="E173" s="15" t="s">
        <v>19</v>
      </c>
      <c r="F173" s="15" t="n">
        <v>1</v>
      </c>
      <c r="G173" s="15" t="s">
        <v>154</v>
      </c>
      <c r="H173" s="15"/>
      <c r="I173" s="15" t="s">
        <v>53</v>
      </c>
      <c r="J173" s="15" t="s">
        <v>176</v>
      </c>
      <c r="K173" s="15" t="s">
        <v>425</v>
      </c>
      <c r="L173" s="15"/>
      <c r="M173" s="15"/>
      <c r="N173" s="15"/>
      <c r="O173" s="15"/>
      <c r="P173" s="15" t="n">
        <v>0.023</v>
      </c>
      <c r="Q173" s="15" t="n">
        <v>0.023</v>
      </c>
      <c r="R173" s="15"/>
      <c r="S173" s="15" t="s">
        <v>346</v>
      </c>
      <c r="T173" s="15"/>
      <c r="U173" s="15"/>
      <c r="V173" s="15"/>
      <c r="W173" s="15"/>
      <c r="X173" s="15"/>
      <c r="Y173" s="15"/>
      <c r="Z173" s="15"/>
      <c r="AA173" s="15" t="n">
        <v>3</v>
      </c>
      <c r="AB173" s="15" t="n">
        <v>2</v>
      </c>
      <c r="AC173" s="15"/>
      <c r="AD173" s="15"/>
      <c r="AE173" s="15" t="s">
        <v>163</v>
      </c>
      <c r="AF173" s="15"/>
      <c r="AG173" s="24" t="n">
        <f aca="false">SUMIFS(Permissions!$G$2:$G$3000,Permissions!$B$2:$B$3000,$A173,Permissions!$I$2:$I$3000,"Complete",Permissions!$P$2:$P$3000,"Yes")</f>
        <v>3</v>
      </c>
      <c r="AH173" s="24" t="n">
        <f aca="false">SUMIFS(Permissions!$G$2:$G$3000,Permissions!$B$2:$B$3000,$A173,Permissions!$I$2:$I$3000,"Under construction",Permissions!$P$2:$P$3000,"Yes")</f>
        <v>0</v>
      </c>
      <c r="AI173" s="24" t="n">
        <f aca="false">SUMIFS(Permissions!$G$2:$G$3000,Permissions!$B$2:$B$3000,$A173,Permissions!$I$2:$I$3000,"Permitted – not started",Permissions!$P$2:$P$3000,"Yes")</f>
        <v>0</v>
      </c>
      <c r="AJ173" s="24" t="n">
        <f aca="false">SUMIFS(Permissions!$G$2:$G$3000,Permissions!$B$2:$B$3000,$A173,Permissions!$I$2:$I$3000,"Stalled",Permissions!$P$2:$P$3000,"Yes")</f>
        <v>0</v>
      </c>
      <c r="AK173" s="24" t="n">
        <f aca="false">AG173+AH173+AI173+AJ173</f>
        <v>3</v>
      </c>
      <c r="AL173" s="24" t="n">
        <f aca="false">SUMIFS(Permissions!$G$2:$G$3000,Permissions!$B$2:$B$3000,$A173,Permissions!$I$2:$I$3000,"Expired – not started",Permissions!$P$2:$P$3000,"Yes")</f>
        <v>0</v>
      </c>
      <c r="AM173" s="24" t="n">
        <f aca="false">SUMIFS(Permissions!$G$2:$G$3000,Permissions!$B$2:$B$3000,$A173,Permissions!$I$2:$I$3000,"In planning",Permissions!$P$2:$P$3000,"Yes")</f>
        <v>0</v>
      </c>
      <c r="AN173" s="24" t="n">
        <f aca="false">IF(R173="",0,MAX(R173-AK173,0))</f>
        <v>0</v>
      </c>
      <c r="AO173" s="25" t="n">
        <f aca="false">AK173+AN173</f>
        <v>3</v>
      </c>
      <c r="AP173" s="24" t="n">
        <f aca="false">AO173-AG173</f>
        <v>0</v>
      </c>
      <c r="AQ173" s="26" t="n">
        <f aca="false">SUMIFS(Permissions!$AH$2:$AH$3000,Permissions!$B$2:$B$3000,$A173,Permissions!$P$2:$P$3000,"Yes")</f>
        <v>0</v>
      </c>
      <c r="AR173" s="26" t="n">
        <f aca="false">SUMIFS(Permissions!$AI$2:$AI$3000,Permissions!$B$2:$B$3000,$A173,Permissions!$P$2:$P$3000,"Yes")</f>
        <v>0</v>
      </c>
      <c r="AS173" s="26" t="n">
        <f aca="false">SUMIFS(Permissions!$AJ$2:$AJ$3000,Permissions!$B$2:$B$3000,$A173,Permissions!$P$2:$P$3000,"Yes")</f>
        <v>0</v>
      </c>
      <c r="AT173" s="26" t="n">
        <f aca="false">SUMIFS(Permissions!$AK$2:$AK$3000,Permissions!$B$2:$B$3000,$A173,Permissions!$P$2:$P$3000,"Yes")</f>
        <v>0</v>
      </c>
      <c r="AU173" s="26" t="n">
        <f aca="false">SUMIFS(Permissions!$AL$2:$AL$3000,Permissions!$B$2:$B$3000,$A173,Permissions!$P$2:$P$3000,"Yes")</f>
        <v>0</v>
      </c>
      <c r="AV173" s="26" t="n">
        <f aca="false">SUMIFS(Permissions!$AM$2:$AM$3000,Permissions!$B$2:$B$3000,$A173,Permissions!$P$2:$P$3000,"Yes")</f>
        <v>0</v>
      </c>
      <c r="AW173" s="24" t="n">
        <f aca="false">COUNTIFS(Permissions!$B$2:$B$3000,$A173,Permissions!$P$2:$P$3000,"Yes")</f>
        <v>1</v>
      </c>
      <c r="AX173" s="24" t="n">
        <f aca="false">SUMIFS(Permissions!$L$2:$L$3000,Permissions!$B$2:$B$3000,$A173,Permissions!$P$2:$P$3000,"Yes")</f>
        <v>3</v>
      </c>
      <c r="AY173" s="27" t="str">
        <f aca="false">IF(AND(AK173&gt;0,AG173&gt;=AK173,AN173=0),"Built out",IF(AG173&gt;0,"Partly built",IF(AK173&gt;0,"Consented – not built","No consent")))</f>
        <v>Built out</v>
      </c>
      <c r="AZ173" s="28" t="str">
        <f aca="false">IF(AND(R173&lt;&gt;"",AK173&gt;1.1*R173),"Consented above capacity",IF(AND(LEFT(B173,8)="Planning",AW173=0),"Consent parcel with no permission",IF(COUNTIF($A$2:$A$3000,$A173)&gt;1,"Duplicate parcel_id","")))</f>
        <v/>
      </c>
    </row>
    <row r="174" customFormat="false" ht="15" hidden="false" customHeight="false" outlineLevel="0" collapsed="false">
      <c r="A174" s="15" t="s">
        <v>426</v>
      </c>
      <c r="B174" s="15" t="s">
        <v>12</v>
      </c>
      <c r="C174" s="15" t="s">
        <v>16</v>
      </c>
      <c r="D174" s="15" t="s">
        <v>53</v>
      </c>
      <c r="E174" s="15" t="s">
        <v>19</v>
      </c>
      <c r="F174" s="15" t="n">
        <v>1</v>
      </c>
      <c r="G174" s="15" t="s">
        <v>154</v>
      </c>
      <c r="H174" s="15"/>
      <c r="I174" s="15" t="s">
        <v>53</v>
      </c>
      <c r="J174" s="15" t="s">
        <v>155</v>
      </c>
      <c r="K174" s="15" t="s">
        <v>427</v>
      </c>
      <c r="L174" s="15"/>
      <c r="M174" s="15"/>
      <c r="N174" s="15"/>
      <c r="O174" s="15"/>
      <c r="P174" s="15" t="n">
        <v>0.037</v>
      </c>
      <c r="Q174" s="15" t="n">
        <v>0.037</v>
      </c>
      <c r="R174" s="15"/>
      <c r="S174" s="15" t="s">
        <v>346</v>
      </c>
      <c r="T174" s="15"/>
      <c r="U174" s="15"/>
      <c r="V174" s="15"/>
      <c r="W174" s="15"/>
      <c r="X174" s="15"/>
      <c r="Y174" s="15"/>
      <c r="Z174" s="15"/>
      <c r="AA174" s="15" t="n">
        <v>0</v>
      </c>
      <c r="AB174" s="15" t="n">
        <v>0</v>
      </c>
      <c r="AC174" s="15"/>
      <c r="AD174" s="15"/>
      <c r="AE174" s="15" t="s">
        <v>163</v>
      </c>
      <c r="AF174" s="15"/>
      <c r="AG174" s="24" t="n">
        <f aca="false">SUMIFS(Permissions!$G$2:$G$3000,Permissions!$B$2:$B$3000,$A174,Permissions!$I$2:$I$3000,"Complete",Permissions!$P$2:$P$3000,"Yes")</f>
        <v>0</v>
      </c>
      <c r="AH174" s="24" t="n">
        <f aca="false">SUMIFS(Permissions!$G$2:$G$3000,Permissions!$B$2:$B$3000,$A174,Permissions!$I$2:$I$3000,"Under construction",Permissions!$P$2:$P$3000,"Yes")</f>
        <v>2</v>
      </c>
      <c r="AI174" s="24" t="n">
        <f aca="false">SUMIFS(Permissions!$G$2:$G$3000,Permissions!$B$2:$B$3000,$A174,Permissions!$I$2:$I$3000,"Permitted – not started",Permissions!$P$2:$P$3000,"Yes")</f>
        <v>0</v>
      </c>
      <c r="AJ174" s="24" t="n">
        <f aca="false">SUMIFS(Permissions!$G$2:$G$3000,Permissions!$B$2:$B$3000,$A174,Permissions!$I$2:$I$3000,"Stalled",Permissions!$P$2:$P$3000,"Yes")</f>
        <v>0</v>
      </c>
      <c r="AK174" s="24" t="n">
        <f aca="false">AG174+AH174+AI174+AJ174</f>
        <v>2</v>
      </c>
      <c r="AL174" s="24" t="n">
        <f aca="false">SUMIFS(Permissions!$G$2:$G$3000,Permissions!$B$2:$B$3000,$A174,Permissions!$I$2:$I$3000,"Expired – not started",Permissions!$P$2:$P$3000,"Yes")</f>
        <v>0</v>
      </c>
      <c r="AM174" s="24" t="n">
        <f aca="false">SUMIFS(Permissions!$G$2:$G$3000,Permissions!$B$2:$B$3000,$A174,Permissions!$I$2:$I$3000,"In planning",Permissions!$P$2:$P$3000,"Yes")</f>
        <v>0</v>
      </c>
      <c r="AN174" s="24" t="n">
        <f aca="false">IF(R174="",0,MAX(R174-AK174,0))</f>
        <v>0</v>
      </c>
      <c r="AO174" s="25" t="n">
        <f aca="false">AK174+AN174</f>
        <v>2</v>
      </c>
      <c r="AP174" s="24" t="n">
        <f aca="false">AO174-AG174</f>
        <v>2</v>
      </c>
      <c r="AQ174" s="26" t="n">
        <f aca="false">SUMIFS(Permissions!$AH$2:$AH$3000,Permissions!$B$2:$B$3000,$A174,Permissions!$P$2:$P$3000,"Yes")</f>
        <v>0.5</v>
      </c>
      <c r="AR174" s="26" t="n">
        <f aca="false">SUMIFS(Permissions!$AI$2:$AI$3000,Permissions!$B$2:$B$3000,$A174,Permissions!$P$2:$P$3000,"Yes")</f>
        <v>1.5</v>
      </c>
      <c r="AS174" s="26" t="n">
        <f aca="false">SUMIFS(Permissions!$AJ$2:$AJ$3000,Permissions!$B$2:$B$3000,$A174,Permissions!$P$2:$P$3000,"Yes")</f>
        <v>0</v>
      </c>
      <c r="AT174" s="26" t="n">
        <f aca="false">SUMIFS(Permissions!$AK$2:$AK$3000,Permissions!$B$2:$B$3000,$A174,Permissions!$P$2:$P$3000,"Yes")</f>
        <v>0</v>
      </c>
      <c r="AU174" s="26" t="n">
        <f aca="false">SUMIFS(Permissions!$AL$2:$AL$3000,Permissions!$B$2:$B$3000,$A174,Permissions!$P$2:$P$3000,"Yes")</f>
        <v>0</v>
      </c>
      <c r="AV174" s="26" t="n">
        <f aca="false">SUMIFS(Permissions!$AM$2:$AM$3000,Permissions!$B$2:$B$3000,$A174,Permissions!$P$2:$P$3000,"Yes")</f>
        <v>0</v>
      </c>
      <c r="AW174" s="24" t="n">
        <f aca="false">COUNTIFS(Permissions!$B$2:$B$3000,$A174,Permissions!$P$2:$P$3000,"Yes")</f>
        <v>1</v>
      </c>
      <c r="AX174" s="24" t="n">
        <f aca="false">SUMIFS(Permissions!$L$2:$L$3000,Permissions!$B$2:$B$3000,$A174,Permissions!$P$2:$P$3000,"Yes")</f>
        <v>0</v>
      </c>
      <c r="AY174" s="27" t="str">
        <f aca="false">IF(AND(AK174&gt;0,AG174&gt;=AK174,AN174=0),"Built out",IF(AG174&gt;0,"Partly built",IF(AK174&gt;0,"Consented – not built","No consent")))</f>
        <v>Consented – not built</v>
      </c>
      <c r="AZ174" s="28" t="str">
        <f aca="false">IF(AND(R174&lt;&gt;"",AK174&gt;1.1*R174),"Consented above capacity",IF(AND(LEFT(B174,8)="Planning",AW174=0),"Consent parcel with no permission",IF(COUNTIF($A$2:$A$3000,$A174)&gt;1,"Duplicate parcel_id","")))</f>
        <v/>
      </c>
    </row>
    <row r="175" customFormat="false" ht="15" hidden="false" customHeight="false" outlineLevel="0" collapsed="false">
      <c r="A175" s="15" t="s">
        <v>428</v>
      </c>
      <c r="B175" s="15" t="s">
        <v>12</v>
      </c>
      <c r="C175" s="15" t="s">
        <v>16</v>
      </c>
      <c r="D175" s="15" t="s">
        <v>53</v>
      </c>
      <c r="E175" s="15" t="s">
        <v>19</v>
      </c>
      <c r="F175" s="15" t="n">
        <v>1</v>
      </c>
      <c r="G175" s="15" t="s">
        <v>154</v>
      </c>
      <c r="H175" s="15"/>
      <c r="I175" s="15" t="s">
        <v>53</v>
      </c>
      <c r="J175" s="15" t="s">
        <v>155</v>
      </c>
      <c r="K175" s="15" t="s">
        <v>429</v>
      </c>
      <c r="L175" s="15"/>
      <c r="M175" s="15"/>
      <c r="N175" s="15"/>
      <c r="O175" s="15"/>
      <c r="P175" s="15" t="n">
        <v>0.029</v>
      </c>
      <c r="Q175" s="15" t="n">
        <v>0.029</v>
      </c>
      <c r="R175" s="15" t="n">
        <v>3</v>
      </c>
      <c r="S175" s="15" t="s">
        <v>378</v>
      </c>
      <c r="T175" s="15"/>
      <c r="U175" s="15"/>
      <c r="V175" s="15"/>
      <c r="W175" s="15" t="s">
        <v>232</v>
      </c>
      <c r="X175" s="15" t="n">
        <v>101</v>
      </c>
      <c r="Y175" s="15" t="s">
        <v>233</v>
      </c>
      <c r="Z175" s="15"/>
      <c r="AA175" s="15" t="n">
        <v>0</v>
      </c>
      <c r="AB175" s="15" t="n">
        <v>0</v>
      </c>
      <c r="AC175" s="15"/>
      <c r="AD175" s="15"/>
      <c r="AE175" s="15" t="s">
        <v>163</v>
      </c>
      <c r="AF175" s="15"/>
      <c r="AG175" s="24" t="n">
        <f aca="false">SUMIFS(Permissions!$G$2:$G$3000,Permissions!$B$2:$B$3000,$A175,Permissions!$I$2:$I$3000,"Complete",Permissions!$P$2:$P$3000,"Yes")</f>
        <v>0</v>
      </c>
      <c r="AH175" s="24" t="n">
        <f aca="false">SUMIFS(Permissions!$G$2:$G$3000,Permissions!$B$2:$B$3000,$A175,Permissions!$I$2:$I$3000,"Under construction",Permissions!$P$2:$P$3000,"Yes")</f>
        <v>0</v>
      </c>
      <c r="AI175" s="24" t="n">
        <f aca="false">SUMIFS(Permissions!$G$2:$G$3000,Permissions!$B$2:$B$3000,$A175,Permissions!$I$2:$I$3000,"Permitted – not started",Permissions!$P$2:$P$3000,"Yes")</f>
        <v>0</v>
      </c>
      <c r="AJ175" s="24" t="n">
        <f aca="false">SUMIFS(Permissions!$G$2:$G$3000,Permissions!$B$2:$B$3000,$A175,Permissions!$I$2:$I$3000,"Stalled",Permissions!$P$2:$P$3000,"Yes")</f>
        <v>0</v>
      </c>
      <c r="AK175" s="24" t="n">
        <f aca="false">AG175+AH175+AI175+AJ175</f>
        <v>0</v>
      </c>
      <c r="AL175" s="24" t="n">
        <f aca="false">SUMIFS(Permissions!$G$2:$G$3000,Permissions!$B$2:$B$3000,$A175,Permissions!$I$2:$I$3000,"Expired – not started",Permissions!$P$2:$P$3000,"Yes")</f>
        <v>0</v>
      </c>
      <c r="AM175" s="24" t="n">
        <f aca="false">SUMIFS(Permissions!$G$2:$G$3000,Permissions!$B$2:$B$3000,$A175,Permissions!$I$2:$I$3000,"In planning",Permissions!$P$2:$P$3000,"Yes")</f>
        <v>0</v>
      </c>
      <c r="AN175" s="24" t="n">
        <f aca="false">IF(R175="",0,MAX(R175-AK175,0))</f>
        <v>3</v>
      </c>
      <c r="AO175" s="25" t="n">
        <f aca="false">AK175+AN175</f>
        <v>3</v>
      </c>
      <c r="AP175" s="24" t="n">
        <f aca="false">AO175-AG175</f>
        <v>3</v>
      </c>
      <c r="AQ175" s="26" t="n">
        <f aca="false">SUMIFS(Permissions!$AH$2:$AH$3000,Permissions!$B$2:$B$3000,$A175,Permissions!$P$2:$P$3000,"Yes")</f>
        <v>0</v>
      </c>
      <c r="AR175" s="26" t="n">
        <f aca="false">SUMIFS(Permissions!$AI$2:$AI$3000,Permissions!$B$2:$B$3000,$A175,Permissions!$P$2:$P$3000,"Yes")</f>
        <v>0</v>
      </c>
      <c r="AS175" s="26" t="n">
        <f aca="false">SUMIFS(Permissions!$AJ$2:$AJ$3000,Permissions!$B$2:$B$3000,$A175,Permissions!$P$2:$P$3000,"Yes")</f>
        <v>0</v>
      </c>
      <c r="AT175" s="26" t="n">
        <f aca="false">SUMIFS(Permissions!$AK$2:$AK$3000,Permissions!$B$2:$B$3000,$A175,Permissions!$P$2:$P$3000,"Yes")</f>
        <v>0</v>
      </c>
      <c r="AU175" s="26" t="n">
        <f aca="false">SUMIFS(Permissions!$AL$2:$AL$3000,Permissions!$B$2:$B$3000,$A175,Permissions!$P$2:$P$3000,"Yes")</f>
        <v>0</v>
      </c>
      <c r="AV175" s="26" t="n">
        <f aca="false">SUMIFS(Permissions!$AM$2:$AM$3000,Permissions!$B$2:$B$3000,$A175,Permissions!$P$2:$P$3000,"Yes")</f>
        <v>0</v>
      </c>
      <c r="AW175" s="24" t="n">
        <f aca="false">COUNTIFS(Permissions!$B$2:$B$3000,$A175,Permissions!$P$2:$P$3000,"Yes")</f>
        <v>1</v>
      </c>
      <c r="AX175" s="24" t="n">
        <f aca="false">SUMIFS(Permissions!$L$2:$L$3000,Permissions!$B$2:$B$3000,$A175,Permissions!$P$2:$P$3000,"Yes")</f>
        <v>0</v>
      </c>
      <c r="AY175" s="27" t="str">
        <f aca="false">IF(AND(AK175&gt;0,AG175&gt;=AK175,AN175=0),"Built out",IF(AG175&gt;0,"Partly built",IF(AK175&gt;0,"Consented – not built","No consent")))</f>
        <v>No consent</v>
      </c>
      <c r="AZ175" s="28" t="str">
        <f aca="false">IF(AND(R175&lt;&gt;"",AK175&gt;1.1*R175),"Consented above capacity",IF(AND(LEFT(B175,8)="Planning",AW175=0),"Consent parcel with no permission",IF(COUNTIF($A$2:$A$3000,$A175)&gt;1,"Duplicate parcel_id","")))</f>
        <v/>
      </c>
    </row>
    <row r="176" customFormat="false" ht="15" hidden="false" customHeight="false" outlineLevel="0" collapsed="false">
      <c r="A176" s="15" t="s">
        <v>430</v>
      </c>
      <c r="B176" s="15" t="s">
        <v>12</v>
      </c>
      <c r="C176" s="15" t="s">
        <v>16</v>
      </c>
      <c r="D176" s="15" t="s">
        <v>53</v>
      </c>
      <c r="E176" s="15" t="s">
        <v>19</v>
      </c>
      <c r="F176" s="15" t="n">
        <v>1</v>
      </c>
      <c r="G176" s="15" t="s">
        <v>154</v>
      </c>
      <c r="H176" s="15"/>
      <c r="I176" s="15" t="s">
        <v>53</v>
      </c>
      <c r="J176" s="15" t="s">
        <v>155</v>
      </c>
      <c r="K176" s="15" t="s">
        <v>431</v>
      </c>
      <c r="L176" s="15"/>
      <c r="M176" s="15"/>
      <c r="N176" s="15"/>
      <c r="O176" s="15"/>
      <c r="P176" s="15" t="n">
        <v>0.047</v>
      </c>
      <c r="Q176" s="15" t="n">
        <v>0.047</v>
      </c>
      <c r="R176" s="15" t="n">
        <v>15</v>
      </c>
      <c r="S176" s="15" t="s">
        <v>359</v>
      </c>
      <c r="T176" s="15"/>
      <c r="U176" s="15"/>
      <c r="V176" s="15"/>
      <c r="W176" s="15"/>
      <c r="X176" s="15"/>
      <c r="Y176" s="15"/>
      <c r="Z176" s="15"/>
      <c r="AA176" s="15" t="n">
        <v>27</v>
      </c>
      <c r="AB176" s="15" t="n">
        <v>0</v>
      </c>
      <c r="AC176" s="15"/>
      <c r="AD176" s="15"/>
      <c r="AE176" s="15" t="s">
        <v>163</v>
      </c>
      <c r="AF176" s="15"/>
      <c r="AG176" s="24" t="n">
        <f aca="false">SUMIFS(Permissions!$G$2:$G$3000,Permissions!$B$2:$B$3000,$A176,Permissions!$I$2:$I$3000,"Complete",Permissions!$P$2:$P$3000,"Yes")</f>
        <v>0</v>
      </c>
      <c r="AH176" s="24" t="n">
        <f aca="false">SUMIFS(Permissions!$G$2:$G$3000,Permissions!$B$2:$B$3000,$A176,Permissions!$I$2:$I$3000,"Under construction",Permissions!$P$2:$P$3000,"Yes")</f>
        <v>0</v>
      </c>
      <c r="AI176" s="24" t="n">
        <f aca="false">SUMIFS(Permissions!$G$2:$G$3000,Permissions!$B$2:$B$3000,$A176,Permissions!$I$2:$I$3000,"Permitted – not started",Permissions!$P$2:$P$3000,"Yes")</f>
        <v>0</v>
      </c>
      <c r="AJ176" s="24" t="n">
        <f aca="false">SUMIFS(Permissions!$G$2:$G$3000,Permissions!$B$2:$B$3000,$A176,Permissions!$I$2:$I$3000,"Stalled",Permissions!$P$2:$P$3000,"Yes")</f>
        <v>0</v>
      </c>
      <c r="AK176" s="24" t="n">
        <f aca="false">AG176+AH176+AI176+AJ176</f>
        <v>0</v>
      </c>
      <c r="AL176" s="24" t="n">
        <f aca="false">SUMIFS(Permissions!$G$2:$G$3000,Permissions!$B$2:$B$3000,$A176,Permissions!$I$2:$I$3000,"Expired – not started",Permissions!$P$2:$P$3000,"Yes")</f>
        <v>15</v>
      </c>
      <c r="AM176" s="24" t="n">
        <f aca="false">SUMIFS(Permissions!$G$2:$G$3000,Permissions!$B$2:$B$3000,$A176,Permissions!$I$2:$I$3000,"In planning",Permissions!$P$2:$P$3000,"Yes")</f>
        <v>0</v>
      </c>
      <c r="AN176" s="24" t="n">
        <f aca="false">IF(R176="",0,MAX(R176-AK176,0))</f>
        <v>15</v>
      </c>
      <c r="AO176" s="25" t="n">
        <f aca="false">AK176+AN176</f>
        <v>15</v>
      </c>
      <c r="AP176" s="24" t="n">
        <f aca="false">AO176-AG176</f>
        <v>15</v>
      </c>
      <c r="AQ176" s="26" t="n">
        <f aca="false">SUMIFS(Permissions!$AH$2:$AH$3000,Permissions!$B$2:$B$3000,$A176,Permissions!$P$2:$P$3000,"Yes")</f>
        <v>0</v>
      </c>
      <c r="AR176" s="26" t="n">
        <f aca="false">SUMIFS(Permissions!$AI$2:$AI$3000,Permissions!$B$2:$B$3000,$A176,Permissions!$P$2:$P$3000,"Yes")</f>
        <v>0</v>
      </c>
      <c r="AS176" s="26" t="n">
        <f aca="false">SUMIFS(Permissions!$AJ$2:$AJ$3000,Permissions!$B$2:$B$3000,$A176,Permissions!$P$2:$P$3000,"Yes")</f>
        <v>0</v>
      </c>
      <c r="AT176" s="26" t="n">
        <f aca="false">SUMIFS(Permissions!$AK$2:$AK$3000,Permissions!$B$2:$B$3000,$A176,Permissions!$P$2:$P$3000,"Yes")</f>
        <v>0</v>
      </c>
      <c r="AU176" s="26" t="n">
        <f aca="false">SUMIFS(Permissions!$AL$2:$AL$3000,Permissions!$B$2:$B$3000,$A176,Permissions!$P$2:$P$3000,"Yes")</f>
        <v>0</v>
      </c>
      <c r="AV176" s="26" t="n">
        <f aca="false">SUMIFS(Permissions!$AM$2:$AM$3000,Permissions!$B$2:$B$3000,$A176,Permissions!$P$2:$P$3000,"Yes")</f>
        <v>0</v>
      </c>
      <c r="AW176" s="24" t="n">
        <f aca="false">COUNTIFS(Permissions!$B$2:$B$3000,$A176,Permissions!$P$2:$P$3000,"Yes")</f>
        <v>1</v>
      </c>
      <c r="AX176" s="24" t="n">
        <f aca="false">SUMIFS(Permissions!$L$2:$L$3000,Permissions!$B$2:$B$3000,$A176,Permissions!$P$2:$P$3000,"Yes")</f>
        <v>0</v>
      </c>
      <c r="AY176" s="27" t="str">
        <f aca="false">IF(AND(AK176&gt;0,AG176&gt;=AK176,AN176=0),"Built out",IF(AG176&gt;0,"Partly built",IF(AK176&gt;0,"Consented – not built","No consent")))</f>
        <v>No consent</v>
      </c>
      <c r="AZ176" s="28" t="str">
        <f aca="false">IF(AND(R176&lt;&gt;"",AK176&gt;1.1*R176),"Consented above capacity",IF(AND(LEFT(B176,8)="Planning",AW176=0),"Consent parcel with no permission",IF(COUNTIF($A$2:$A$3000,$A176)&gt;1,"Duplicate parcel_id","")))</f>
        <v/>
      </c>
    </row>
    <row r="177" customFormat="false" ht="15" hidden="false" customHeight="false" outlineLevel="0" collapsed="false">
      <c r="A177" s="15" t="s">
        <v>432</v>
      </c>
      <c r="B177" s="15" t="s">
        <v>12</v>
      </c>
      <c r="C177" s="15" t="s">
        <v>16</v>
      </c>
      <c r="D177" s="15" t="s">
        <v>53</v>
      </c>
      <c r="E177" s="15" t="s">
        <v>19</v>
      </c>
      <c r="F177" s="15" t="n">
        <v>1</v>
      </c>
      <c r="G177" s="15" t="s">
        <v>154</v>
      </c>
      <c r="H177" s="15"/>
      <c r="I177" s="15" t="s">
        <v>53</v>
      </c>
      <c r="J177" s="15" t="s">
        <v>155</v>
      </c>
      <c r="K177" s="15" t="s">
        <v>433</v>
      </c>
      <c r="L177" s="15"/>
      <c r="M177" s="15"/>
      <c r="N177" s="15"/>
      <c r="O177" s="15"/>
      <c r="P177" s="15" t="n">
        <v>0.048</v>
      </c>
      <c r="Q177" s="15" t="n">
        <v>0.048</v>
      </c>
      <c r="R177" s="15"/>
      <c r="S177" s="15" t="s">
        <v>346</v>
      </c>
      <c r="T177" s="15"/>
      <c r="U177" s="15"/>
      <c r="V177" s="15"/>
      <c r="W177" s="15"/>
      <c r="X177" s="15"/>
      <c r="Y177" s="15"/>
      <c r="Z177" s="15"/>
      <c r="AA177" s="15" t="n">
        <v>0</v>
      </c>
      <c r="AB177" s="15" t="n">
        <v>0</v>
      </c>
      <c r="AC177" s="15"/>
      <c r="AD177" s="15"/>
      <c r="AE177" s="15" t="s">
        <v>163</v>
      </c>
      <c r="AF177" s="15"/>
      <c r="AG177" s="24" t="n">
        <f aca="false">SUMIFS(Permissions!$G$2:$G$3000,Permissions!$B$2:$B$3000,$A177,Permissions!$I$2:$I$3000,"Complete",Permissions!$P$2:$P$3000,"Yes")</f>
        <v>0</v>
      </c>
      <c r="AH177" s="24" t="n">
        <f aca="false">SUMIFS(Permissions!$G$2:$G$3000,Permissions!$B$2:$B$3000,$A177,Permissions!$I$2:$I$3000,"Under construction",Permissions!$P$2:$P$3000,"Yes")</f>
        <v>0</v>
      </c>
      <c r="AI177" s="24" t="n">
        <f aca="false">SUMIFS(Permissions!$G$2:$G$3000,Permissions!$B$2:$B$3000,$A177,Permissions!$I$2:$I$3000,"Permitted – not started",Permissions!$P$2:$P$3000,"Yes")</f>
        <v>14</v>
      </c>
      <c r="AJ177" s="24" t="n">
        <f aca="false">SUMIFS(Permissions!$G$2:$G$3000,Permissions!$B$2:$B$3000,$A177,Permissions!$I$2:$I$3000,"Stalled",Permissions!$P$2:$P$3000,"Yes")</f>
        <v>0</v>
      </c>
      <c r="AK177" s="24" t="n">
        <f aca="false">AG177+AH177+AI177+AJ177</f>
        <v>14</v>
      </c>
      <c r="AL177" s="24" t="n">
        <f aca="false">SUMIFS(Permissions!$G$2:$G$3000,Permissions!$B$2:$B$3000,$A177,Permissions!$I$2:$I$3000,"Expired – not started",Permissions!$P$2:$P$3000,"Yes")</f>
        <v>0</v>
      </c>
      <c r="AM177" s="24" t="n">
        <f aca="false">SUMIFS(Permissions!$G$2:$G$3000,Permissions!$B$2:$B$3000,$A177,Permissions!$I$2:$I$3000,"In planning",Permissions!$P$2:$P$3000,"Yes")</f>
        <v>0</v>
      </c>
      <c r="AN177" s="24" t="n">
        <f aca="false">IF(R177="",0,MAX(R177-AK177,0))</f>
        <v>0</v>
      </c>
      <c r="AO177" s="25" t="n">
        <f aca="false">AK177+AN177</f>
        <v>14</v>
      </c>
      <c r="AP177" s="24" t="n">
        <f aca="false">AO177-AG177</f>
        <v>14</v>
      </c>
      <c r="AQ177" s="26" t="n">
        <f aca="false">SUMIFS(Permissions!$AH$2:$AH$3000,Permissions!$B$2:$B$3000,$A177,Permissions!$P$2:$P$3000,"Yes")</f>
        <v>0</v>
      </c>
      <c r="AR177" s="26" t="n">
        <f aca="false">SUMIFS(Permissions!$AI$2:$AI$3000,Permissions!$B$2:$B$3000,$A177,Permissions!$P$2:$P$3000,"Yes")</f>
        <v>0</v>
      </c>
      <c r="AS177" s="26" t="n">
        <f aca="false">SUMIFS(Permissions!$AJ$2:$AJ$3000,Permissions!$B$2:$B$3000,$A177,Permissions!$P$2:$P$3000,"Yes")</f>
        <v>8.2</v>
      </c>
      <c r="AT177" s="26" t="n">
        <f aca="false">SUMIFS(Permissions!$AK$2:$AK$3000,Permissions!$B$2:$B$3000,$A177,Permissions!$P$2:$P$3000,"Yes")</f>
        <v>5.8</v>
      </c>
      <c r="AU177" s="26" t="n">
        <f aca="false">SUMIFS(Permissions!$AL$2:$AL$3000,Permissions!$B$2:$B$3000,$A177,Permissions!$P$2:$P$3000,"Yes")</f>
        <v>0</v>
      </c>
      <c r="AV177" s="26" t="n">
        <f aca="false">SUMIFS(Permissions!$AM$2:$AM$3000,Permissions!$B$2:$B$3000,$A177,Permissions!$P$2:$P$3000,"Yes")</f>
        <v>0</v>
      </c>
      <c r="AW177" s="24" t="n">
        <f aca="false">COUNTIFS(Permissions!$B$2:$B$3000,$A177,Permissions!$P$2:$P$3000,"Yes")</f>
        <v>1</v>
      </c>
      <c r="AX177" s="24" t="n">
        <f aca="false">SUMIFS(Permissions!$L$2:$L$3000,Permissions!$B$2:$B$3000,$A177,Permissions!$P$2:$P$3000,"Yes")</f>
        <v>0</v>
      </c>
      <c r="AY177" s="27" t="str">
        <f aca="false">IF(AND(AK177&gt;0,AG177&gt;=AK177,AN177=0),"Built out",IF(AG177&gt;0,"Partly built",IF(AK177&gt;0,"Consented – not built","No consent")))</f>
        <v>Consented – not built</v>
      </c>
      <c r="AZ177" s="28" t="str">
        <f aca="false">IF(AND(R177&lt;&gt;"",AK177&gt;1.1*R177),"Consented above capacity",IF(AND(LEFT(B177,8)="Planning",AW177=0),"Consent parcel with no permission",IF(COUNTIF($A$2:$A$3000,$A177)&gt;1,"Duplicate parcel_id","")))</f>
        <v/>
      </c>
    </row>
    <row r="178" customFormat="false" ht="15" hidden="false" customHeight="false" outlineLevel="0" collapsed="false">
      <c r="A178" s="15" t="s">
        <v>434</v>
      </c>
      <c r="B178" s="15" t="s">
        <v>12</v>
      </c>
      <c r="C178" s="15" t="s">
        <v>16</v>
      </c>
      <c r="D178" s="15" t="s">
        <v>53</v>
      </c>
      <c r="E178" s="15" t="s">
        <v>19</v>
      </c>
      <c r="F178" s="15" t="n">
        <v>1</v>
      </c>
      <c r="G178" s="15" t="s">
        <v>154</v>
      </c>
      <c r="H178" s="15"/>
      <c r="I178" s="15" t="s">
        <v>53</v>
      </c>
      <c r="J178" s="15" t="s">
        <v>155</v>
      </c>
      <c r="K178" s="15" t="s">
        <v>435</v>
      </c>
      <c r="L178" s="15"/>
      <c r="M178" s="15"/>
      <c r="N178" s="15"/>
      <c r="O178" s="15"/>
      <c r="P178" s="15" t="n">
        <v>0.077</v>
      </c>
      <c r="Q178" s="15" t="n">
        <v>0.077</v>
      </c>
      <c r="R178" s="15"/>
      <c r="S178" s="15" t="s">
        <v>346</v>
      </c>
      <c r="T178" s="15"/>
      <c r="U178" s="15"/>
      <c r="V178" s="15"/>
      <c r="W178" s="15"/>
      <c r="X178" s="15"/>
      <c r="Y178" s="15"/>
      <c r="Z178" s="15"/>
      <c r="AA178" s="15" t="n">
        <v>0</v>
      </c>
      <c r="AB178" s="15" t="n">
        <v>0</v>
      </c>
      <c r="AC178" s="15"/>
      <c r="AD178" s="15"/>
      <c r="AE178" s="15" t="s">
        <v>163</v>
      </c>
      <c r="AF178" s="15"/>
      <c r="AG178" s="24" t="n">
        <f aca="false">SUMIFS(Permissions!$G$2:$G$3000,Permissions!$B$2:$B$3000,$A178,Permissions!$I$2:$I$3000,"Complete",Permissions!$P$2:$P$3000,"Yes")</f>
        <v>0</v>
      </c>
      <c r="AH178" s="24" t="n">
        <f aca="false">SUMIFS(Permissions!$G$2:$G$3000,Permissions!$B$2:$B$3000,$A178,Permissions!$I$2:$I$3000,"Under construction",Permissions!$P$2:$P$3000,"Yes")</f>
        <v>0</v>
      </c>
      <c r="AI178" s="24" t="n">
        <f aca="false">SUMIFS(Permissions!$G$2:$G$3000,Permissions!$B$2:$B$3000,$A178,Permissions!$I$2:$I$3000,"Permitted – not started",Permissions!$P$2:$P$3000,"Yes")</f>
        <v>29</v>
      </c>
      <c r="AJ178" s="24" t="n">
        <f aca="false">SUMIFS(Permissions!$G$2:$G$3000,Permissions!$B$2:$B$3000,$A178,Permissions!$I$2:$I$3000,"Stalled",Permissions!$P$2:$P$3000,"Yes")</f>
        <v>0</v>
      </c>
      <c r="AK178" s="24" t="n">
        <f aca="false">AG178+AH178+AI178+AJ178</f>
        <v>29</v>
      </c>
      <c r="AL178" s="24" t="n">
        <f aca="false">SUMIFS(Permissions!$G$2:$G$3000,Permissions!$B$2:$B$3000,$A178,Permissions!$I$2:$I$3000,"Expired – not started",Permissions!$P$2:$P$3000,"Yes")</f>
        <v>0</v>
      </c>
      <c r="AM178" s="24" t="n">
        <f aca="false">SUMIFS(Permissions!$G$2:$G$3000,Permissions!$B$2:$B$3000,$A178,Permissions!$I$2:$I$3000,"In planning",Permissions!$P$2:$P$3000,"Yes")</f>
        <v>0</v>
      </c>
      <c r="AN178" s="24" t="n">
        <f aca="false">IF(R178="",0,MAX(R178-AK178,0))</f>
        <v>0</v>
      </c>
      <c r="AO178" s="25" t="n">
        <f aca="false">AK178+AN178</f>
        <v>29</v>
      </c>
      <c r="AP178" s="24" t="n">
        <f aca="false">AO178-AG178</f>
        <v>29</v>
      </c>
      <c r="AQ178" s="26" t="n">
        <f aca="false">SUMIFS(Permissions!$AH$2:$AH$3000,Permissions!$B$2:$B$3000,$A178,Permissions!$P$2:$P$3000,"Yes")</f>
        <v>0</v>
      </c>
      <c r="AR178" s="26" t="n">
        <f aca="false">SUMIFS(Permissions!$AI$2:$AI$3000,Permissions!$B$2:$B$3000,$A178,Permissions!$P$2:$P$3000,"Yes")</f>
        <v>0</v>
      </c>
      <c r="AS178" s="26" t="n">
        <f aca="false">SUMIFS(Permissions!$AJ$2:$AJ$3000,Permissions!$B$2:$B$3000,$A178,Permissions!$P$2:$P$3000,"Yes")</f>
        <v>22</v>
      </c>
      <c r="AT178" s="26" t="n">
        <f aca="false">SUMIFS(Permissions!$AK$2:$AK$3000,Permissions!$B$2:$B$3000,$A178,Permissions!$P$2:$P$3000,"Yes")</f>
        <v>7</v>
      </c>
      <c r="AU178" s="26" t="n">
        <f aca="false">SUMIFS(Permissions!$AL$2:$AL$3000,Permissions!$B$2:$B$3000,$A178,Permissions!$P$2:$P$3000,"Yes")</f>
        <v>0</v>
      </c>
      <c r="AV178" s="26" t="n">
        <f aca="false">SUMIFS(Permissions!$AM$2:$AM$3000,Permissions!$B$2:$B$3000,$A178,Permissions!$P$2:$P$3000,"Yes")</f>
        <v>0</v>
      </c>
      <c r="AW178" s="24" t="n">
        <f aca="false">COUNTIFS(Permissions!$B$2:$B$3000,$A178,Permissions!$P$2:$P$3000,"Yes")</f>
        <v>1</v>
      </c>
      <c r="AX178" s="24" t="n">
        <f aca="false">SUMIFS(Permissions!$L$2:$L$3000,Permissions!$B$2:$B$3000,$A178,Permissions!$P$2:$P$3000,"Yes")</f>
        <v>0</v>
      </c>
      <c r="AY178" s="27" t="str">
        <f aca="false">IF(AND(AK178&gt;0,AG178&gt;=AK178,AN178=0),"Built out",IF(AG178&gt;0,"Partly built",IF(AK178&gt;0,"Consented – not built","No consent")))</f>
        <v>Consented – not built</v>
      </c>
      <c r="AZ178" s="28" t="str">
        <f aca="false">IF(AND(R178&lt;&gt;"",AK178&gt;1.1*R178),"Consented above capacity",IF(AND(LEFT(B178,8)="Planning",AW178=0),"Consent parcel with no permission",IF(COUNTIF($A$2:$A$3000,$A178)&gt;1,"Duplicate parcel_id","")))</f>
        <v/>
      </c>
    </row>
    <row r="179" customFormat="false" ht="15" hidden="false" customHeight="false" outlineLevel="0" collapsed="false">
      <c r="A179" s="15" t="s">
        <v>436</v>
      </c>
      <c r="B179" s="15" t="s">
        <v>12</v>
      </c>
      <c r="C179" s="15" t="s">
        <v>16</v>
      </c>
      <c r="D179" s="15" t="s">
        <v>53</v>
      </c>
      <c r="E179" s="15" t="s">
        <v>19</v>
      </c>
      <c r="F179" s="15" t="n">
        <v>1</v>
      </c>
      <c r="G179" s="15" t="s">
        <v>154</v>
      </c>
      <c r="H179" s="15"/>
      <c r="I179" s="15" t="s">
        <v>53</v>
      </c>
      <c r="J179" s="15" t="s">
        <v>155</v>
      </c>
      <c r="K179" s="15" t="s">
        <v>437</v>
      </c>
      <c r="L179" s="15"/>
      <c r="M179" s="15"/>
      <c r="N179" s="15"/>
      <c r="O179" s="15"/>
      <c r="P179" s="15" t="n">
        <v>0.089</v>
      </c>
      <c r="Q179" s="15" t="n">
        <v>0.089</v>
      </c>
      <c r="R179" s="15"/>
      <c r="S179" s="15" t="s">
        <v>346</v>
      </c>
      <c r="T179" s="15"/>
      <c r="U179" s="15"/>
      <c r="V179" s="15"/>
      <c r="W179" s="15"/>
      <c r="X179" s="15"/>
      <c r="Y179" s="15"/>
      <c r="Z179" s="15"/>
      <c r="AA179" s="15" t="n">
        <v>2</v>
      </c>
      <c r="AB179" s="15" t="n">
        <v>0</v>
      </c>
      <c r="AC179" s="15"/>
      <c r="AD179" s="15"/>
      <c r="AE179" s="15" t="s">
        <v>163</v>
      </c>
      <c r="AF179" s="15"/>
      <c r="AG179" s="24" t="n">
        <f aca="false">SUMIFS(Permissions!$G$2:$G$3000,Permissions!$B$2:$B$3000,$A179,Permissions!$I$2:$I$3000,"Complete",Permissions!$P$2:$P$3000,"Yes")</f>
        <v>0</v>
      </c>
      <c r="AH179" s="24" t="n">
        <f aca="false">SUMIFS(Permissions!$G$2:$G$3000,Permissions!$B$2:$B$3000,$A179,Permissions!$I$2:$I$3000,"Under construction",Permissions!$P$2:$P$3000,"Yes")</f>
        <v>0</v>
      </c>
      <c r="AI179" s="24" t="n">
        <f aca="false">SUMIFS(Permissions!$G$2:$G$3000,Permissions!$B$2:$B$3000,$A179,Permissions!$I$2:$I$3000,"Permitted – not started",Permissions!$P$2:$P$3000,"Yes")</f>
        <v>25</v>
      </c>
      <c r="AJ179" s="24" t="n">
        <f aca="false">SUMIFS(Permissions!$G$2:$G$3000,Permissions!$B$2:$B$3000,$A179,Permissions!$I$2:$I$3000,"Stalled",Permissions!$P$2:$P$3000,"Yes")</f>
        <v>0</v>
      </c>
      <c r="AK179" s="24" t="n">
        <f aca="false">AG179+AH179+AI179+AJ179</f>
        <v>25</v>
      </c>
      <c r="AL179" s="24" t="n">
        <f aca="false">SUMIFS(Permissions!$G$2:$G$3000,Permissions!$B$2:$B$3000,$A179,Permissions!$I$2:$I$3000,"Expired – not started",Permissions!$P$2:$P$3000,"Yes")</f>
        <v>0</v>
      </c>
      <c r="AM179" s="24" t="n">
        <f aca="false">SUMIFS(Permissions!$G$2:$G$3000,Permissions!$B$2:$B$3000,$A179,Permissions!$I$2:$I$3000,"In planning",Permissions!$P$2:$P$3000,"Yes")</f>
        <v>0</v>
      </c>
      <c r="AN179" s="24" t="n">
        <f aca="false">IF(R179="",0,MAX(R179-AK179,0))</f>
        <v>0</v>
      </c>
      <c r="AO179" s="25" t="n">
        <f aca="false">AK179+AN179</f>
        <v>25</v>
      </c>
      <c r="AP179" s="24" t="n">
        <f aca="false">AO179-AG179</f>
        <v>25</v>
      </c>
      <c r="AQ179" s="26" t="n">
        <f aca="false">SUMIFS(Permissions!$AH$2:$AH$3000,Permissions!$B$2:$B$3000,$A179,Permissions!$P$2:$P$3000,"Yes")</f>
        <v>0</v>
      </c>
      <c r="AR179" s="26" t="n">
        <f aca="false">SUMIFS(Permissions!$AI$2:$AI$3000,Permissions!$B$2:$B$3000,$A179,Permissions!$P$2:$P$3000,"Yes")</f>
        <v>0</v>
      </c>
      <c r="AS179" s="26" t="n">
        <f aca="false">SUMIFS(Permissions!$AJ$2:$AJ$3000,Permissions!$B$2:$B$3000,$A179,Permissions!$P$2:$P$3000,"Yes")</f>
        <v>25</v>
      </c>
      <c r="AT179" s="26" t="n">
        <f aca="false">SUMIFS(Permissions!$AK$2:$AK$3000,Permissions!$B$2:$B$3000,$A179,Permissions!$P$2:$P$3000,"Yes")</f>
        <v>0</v>
      </c>
      <c r="AU179" s="26" t="n">
        <f aca="false">SUMIFS(Permissions!$AL$2:$AL$3000,Permissions!$B$2:$B$3000,$A179,Permissions!$P$2:$P$3000,"Yes")</f>
        <v>0</v>
      </c>
      <c r="AV179" s="26" t="n">
        <f aca="false">SUMIFS(Permissions!$AM$2:$AM$3000,Permissions!$B$2:$B$3000,$A179,Permissions!$P$2:$P$3000,"Yes")</f>
        <v>0</v>
      </c>
      <c r="AW179" s="24" t="n">
        <f aca="false">COUNTIFS(Permissions!$B$2:$B$3000,$A179,Permissions!$P$2:$P$3000,"Yes")</f>
        <v>1</v>
      </c>
      <c r="AX179" s="24" t="n">
        <f aca="false">SUMIFS(Permissions!$L$2:$L$3000,Permissions!$B$2:$B$3000,$A179,Permissions!$P$2:$P$3000,"Yes")</f>
        <v>0</v>
      </c>
      <c r="AY179" s="27" t="str">
        <f aca="false">IF(AND(AK179&gt;0,AG179&gt;=AK179,AN179=0),"Built out",IF(AG179&gt;0,"Partly built",IF(AK179&gt;0,"Consented – not built","No consent")))</f>
        <v>Consented – not built</v>
      </c>
      <c r="AZ179" s="28" t="str">
        <f aca="false">IF(AND(R179&lt;&gt;"",AK179&gt;1.1*R179),"Consented above capacity",IF(AND(LEFT(B179,8)="Planning",AW179=0),"Consent parcel with no permission",IF(COUNTIF($A$2:$A$3000,$A179)&gt;1,"Duplicate parcel_id","")))</f>
        <v/>
      </c>
    </row>
    <row r="180" customFormat="false" ht="15" hidden="false" customHeight="false" outlineLevel="0" collapsed="false">
      <c r="A180" s="15" t="s">
        <v>438</v>
      </c>
      <c r="B180" s="15" t="s">
        <v>12</v>
      </c>
      <c r="C180" s="15" t="s">
        <v>16</v>
      </c>
      <c r="D180" s="15" t="s">
        <v>53</v>
      </c>
      <c r="E180" s="15" t="s">
        <v>19</v>
      </c>
      <c r="F180" s="15" t="n">
        <v>1</v>
      </c>
      <c r="G180" s="15" t="s">
        <v>154</v>
      </c>
      <c r="H180" s="15"/>
      <c r="I180" s="15" t="s">
        <v>53</v>
      </c>
      <c r="J180" s="15" t="s">
        <v>155</v>
      </c>
      <c r="K180" s="15" t="s">
        <v>439</v>
      </c>
      <c r="L180" s="15"/>
      <c r="M180" s="15"/>
      <c r="N180" s="15"/>
      <c r="O180" s="15"/>
      <c r="P180" s="15" t="n">
        <v>0.079</v>
      </c>
      <c r="Q180" s="15" t="n">
        <v>0.079</v>
      </c>
      <c r="R180" s="15"/>
      <c r="S180" s="15" t="s">
        <v>346</v>
      </c>
      <c r="T180" s="15"/>
      <c r="U180" s="15"/>
      <c r="V180" s="15"/>
      <c r="W180" s="15"/>
      <c r="X180" s="15"/>
      <c r="Y180" s="15"/>
      <c r="Z180" s="15"/>
      <c r="AA180" s="15" t="n">
        <v>0</v>
      </c>
      <c r="AB180" s="15" t="n">
        <v>0</v>
      </c>
      <c r="AC180" s="15"/>
      <c r="AD180" s="15"/>
      <c r="AE180" s="15" t="s">
        <v>163</v>
      </c>
      <c r="AF180" s="15"/>
      <c r="AG180" s="24" t="n">
        <f aca="false">SUMIFS(Permissions!$G$2:$G$3000,Permissions!$B$2:$B$3000,$A180,Permissions!$I$2:$I$3000,"Complete",Permissions!$P$2:$P$3000,"Yes")</f>
        <v>0</v>
      </c>
      <c r="AH180" s="24" t="n">
        <f aca="false">SUMIFS(Permissions!$G$2:$G$3000,Permissions!$B$2:$B$3000,$A180,Permissions!$I$2:$I$3000,"Under construction",Permissions!$P$2:$P$3000,"Yes")</f>
        <v>0</v>
      </c>
      <c r="AI180" s="24" t="n">
        <f aca="false">SUMIFS(Permissions!$G$2:$G$3000,Permissions!$B$2:$B$3000,$A180,Permissions!$I$2:$I$3000,"Permitted – not started",Permissions!$P$2:$P$3000,"Yes")</f>
        <v>24</v>
      </c>
      <c r="AJ180" s="24" t="n">
        <f aca="false">SUMIFS(Permissions!$G$2:$G$3000,Permissions!$B$2:$B$3000,$A180,Permissions!$I$2:$I$3000,"Stalled",Permissions!$P$2:$P$3000,"Yes")</f>
        <v>0</v>
      </c>
      <c r="AK180" s="24" t="n">
        <f aca="false">AG180+AH180+AI180+AJ180</f>
        <v>24</v>
      </c>
      <c r="AL180" s="24" t="n">
        <f aca="false">SUMIFS(Permissions!$G$2:$G$3000,Permissions!$B$2:$B$3000,$A180,Permissions!$I$2:$I$3000,"Expired – not started",Permissions!$P$2:$P$3000,"Yes")</f>
        <v>0</v>
      </c>
      <c r="AM180" s="24" t="n">
        <f aca="false">SUMIFS(Permissions!$G$2:$G$3000,Permissions!$B$2:$B$3000,$A180,Permissions!$I$2:$I$3000,"In planning",Permissions!$P$2:$P$3000,"Yes")</f>
        <v>0</v>
      </c>
      <c r="AN180" s="24" t="n">
        <f aca="false">IF(R180="",0,MAX(R180-AK180,0))</f>
        <v>0</v>
      </c>
      <c r="AO180" s="25" t="n">
        <f aca="false">AK180+AN180</f>
        <v>24</v>
      </c>
      <c r="AP180" s="24" t="n">
        <f aca="false">AO180-AG180</f>
        <v>24</v>
      </c>
      <c r="AQ180" s="26" t="n">
        <f aca="false">SUMIFS(Permissions!$AH$2:$AH$3000,Permissions!$B$2:$B$3000,$A180,Permissions!$P$2:$P$3000,"Yes")</f>
        <v>0</v>
      </c>
      <c r="AR180" s="26" t="n">
        <f aca="false">SUMIFS(Permissions!$AI$2:$AI$3000,Permissions!$B$2:$B$3000,$A180,Permissions!$P$2:$P$3000,"Yes")</f>
        <v>0</v>
      </c>
      <c r="AS180" s="26" t="n">
        <f aca="false">SUMIFS(Permissions!$AJ$2:$AJ$3000,Permissions!$B$2:$B$3000,$A180,Permissions!$P$2:$P$3000,"Yes")</f>
        <v>6.2</v>
      </c>
      <c r="AT180" s="26" t="n">
        <f aca="false">SUMIFS(Permissions!$AK$2:$AK$3000,Permissions!$B$2:$B$3000,$A180,Permissions!$P$2:$P$3000,"Yes")</f>
        <v>12.8</v>
      </c>
      <c r="AU180" s="26" t="n">
        <f aca="false">SUMIFS(Permissions!$AL$2:$AL$3000,Permissions!$B$2:$B$3000,$A180,Permissions!$P$2:$P$3000,"Yes")</f>
        <v>5</v>
      </c>
      <c r="AV180" s="26" t="n">
        <f aca="false">SUMIFS(Permissions!$AM$2:$AM$3000,Permissions!$B$2:$B$3000,$A180,Permissions!$P$2:$P$3000,"Yes")</f>
        <v>0</v>
      </c>
      <c r="AW180" s="24" t="n">
        <f aca="false">COUNTIFS(Permissions!$B$2:$B$3000,$A180,Permissions!$P$2:$P$3000,"Yes")</f>
        <v>1</v>
      </c>
      <c r="AX180" s="24" t="n">
        <f aca="false">SUMIFS(Permissions!$L$2:$L$3000,Permissions!$B$2:$B$3000,$A180,Permissions!$P$2:$P$3000,"Yes")</f>
        <v>0</v>
      </c>
      <c r="AY180" s="27" t="str">
        <f aca="false">IF(AND(AK180&gt;0,AG180&gt;=AK180,AN180=0),"Built out",IF(AG180&gt;0,"Partly built",IF(AK180&gt;0,"Consented – not built","No consent")))</f>
        <v>Consented – not built</v>
      </c>
      <c r="AZ180" s="28" t="str">
        <f aca="false">IF(AND(R180&lt;&gt;"",AK180&gt;1.1*R180),"Consented above capacity",IF(AND(LEFT(B180,8)="Planning",AW180=0),"Consent parcel with no permission",IF(COUNTIF($A$2:$A$3000,$A180)&gt;1,"Duplicate parcel_id","")))</f>
        <v/>
      </c>
    </row>
    <row r="181" customFormat="false" ht="15" hidden="false" customHeight="false" outlineLevel="0" collapsed="false">
      <c r="A181" s="15" t="s">
        <v>440</v>
      </c>
      <c r="B181" s="15" t="s">
        <v>12</v>
      </c>
      <c r="C181" s="15" t="s">
        <v>16</v>
      </c>
      <c r="D181" s="15" t="s">
        <v>53</v>
      </c>
      <c r="E181" s="15" t="s">
        <v>19</v>
      </c>
      <c r="F181" s="15" t="n">
        <v>1</v>
      </c>
      <c r="G181" s="15" t="s">
        <v>154</v>
      </c>
      <c r="H181" s="15"/>
      <c r="I181" s="15" t="s">
        <v>53</v>
      </c>
      <c r="J181" s="15" t="s">
        <v>155</v>
      </c>
      <c r="K181" s="15" t="s">
        <v>441</v>
      </c>
      <c r="L181" s="15"/>
      <c r="M181" s="15"/>
      <c r="N181" s="15"/>
      <c r="O181" s="15"/>
      <c r="P181" s="15" t="n">
        <v>0.072</v>
      </c>
      <c r="Q181" s="15" t="n">
        <v>0.072</v>
      </c>
      <c r="R181" s="15"/>
      <c r="S181" s="15" t="s">
        <v>346</v>
      </c>
      <c r="T181" s="15"/>
      <c r="U181" s="15"/>
      <c r="V181" s="15"/>
      <c r="W181" s="15"/>
      <c r="X181" s="15"/>
      <c r="Y181" s="15"/>
      <c r="Z181" s="15"/>
      <c r="AA181" s="15" t="n">
        <v>9</v>
      </c>
      <c r="AB181" s="15" t="n">
        <v>0</v>
      </c>
      <c r="AC181" s="15"/>
      <c r="AD181" s="15"/>
      <c r="AE181" s="15" t="s">
        <v>163</v>
      </c>
      <c r="AF181" s="15"/>
      <c r="AG181" s="24" t="n">
        <f aca="false">SUMIFS(Permissions!$G$2:$G$3000,Permissions!$B$2:$B$3000,$A181,Permissions!$I$2:$I$3000,"Complete",Permissions!$P$2:$P$3000,"Yes")</f>
        <v>9</v>
      </c>
      <c r="AH181" s="24" t="n">
        <f aca="false">SUMIFS(Permissions!$G$2:$G$3000,Permissions!$B$2:$B$3000,$A181,Permissions!$I$2:$I$3000,"Under construction",Permissions!$P$2:$P$3000,"Yes")</f>
        <v>0</v>
      </c>
      <c r="AI181" s="24" t="n">
        <f aca="false">SUMIFS(Permissions!$G$2:$G$3000,Permissions!$B$2:$B$3000,$A181,Permissions!$I$2:$I$3000,"Permitted – not started",Permissions!$P$2:$P$3000,"Yes")</f>
        <v>0</v>
      </c>
      <c r="AJ181" s="24" t="n">
        <f aca="false">SUMIFS(Permissions!$G$2:$G$3000,Permissions!$B$2:$B$3000,$A181,Permissions!$I$2:$I$3000,"Stalled",Permissions!$P$2:$P$3000,"Yes")</f>
        <v>0</v>
      </c>
      <c r="AK181" s="24" t="n">
        <f aca="false">AG181+AH181+AI181+AJ181</f>
        <v>9</v>
      </c>
      <c r="AL181" s="24" t="n">
        <f aca="false">SUMIFS(Permissions!$G$2:$G$3000,Permissions!$B$2:$B$3000,$A181,Permissions!$I$2:$I$3000,"Expired – not started",Permissions!$P$2:$P$3000,"Yes")</f>
        <v>8</v>
      </c>
      <c r="AM181" s="24" t="n">
        <f aca="false">SUMIFS(Permissions!$G$2:$G$3000,Permissions!$B$2:$B$3000,$A181,Permissions!$I$2:$I$3000,"In planning",Permissions!$P$2:$P$3000,"Yes")</f>
        <v>0</v>
      </c>
      <c r="AN181" s="24" t="n">
        <f aca="false">IF(R181="",0,MAX(R181-AK181,0))</f>
        <v>0</v>
      </c>
      <c r="AO181" s="25" t="n">
        <f aca="false">AK181+AN181</f>
        <v>9</v>
      </c>
      <c r="AP181" s="24" t="n">
        <f aca="false">AO181-AG181</f>
        <v>0</v>
      </c>
      <c r="AQ181" s="26" t="n">
        <f aca="false">SUMIFS(Permissions!$AH$2:$AH$3000,Permissions!$B$2:$B$3000,$A181,Permissions!$P$2:$P$3000,"Yes")</f>
        <v>0</v>
      </c>
      <c r="AR181" s="26" t="n">
        <f aca="false">SUMIFS(Permissions!$AI$2:$AI$3000,Permissions!$B$2:$B$3000,$A181,Permissions!$P$2:$P$3000,"Yes")</f>
        <v>0</v>
      </c>
      <c r="AS181" s="26" t="n">
        <f aca="false">SUMIFS(Permissions!$AJ$2:$AJ$3000,Permissions!$B$2:$B$3000,$A181,Permissions!$P$2:$P$3000,"Yes")</f>
        <v>0</v>
      </c>
      <c r="AT181" s="26" t="n">
        <f aca="false">SUMIFS(Permissions!$AK$2:$AK$3000,Permissions!$B$2:$B$3000,$A181,Permissions!$P$2:$P$3000,"Yes")</f>
        <v>0</v>
      </c>
      <c r="AU181" s="26" t="n">
        <f aca="false">SUMIFS(Permissions!$AL$2:$AL$3000,Permissions!$B$2:$B$3000,$A181,Permissions!$P$2:$P$3000,"Yes")</f>
        <v>0</v>
      </c>
      <c r="AV181" s="26" t="n">
        <f aca="false">SUMIFS(Permissions!$AM$2:$AM$3000,Permissions!$B$2:$B$3000,$A181,Permissions!$P$2:$P$3000,"Yes")</f>
        <v>0</v>
      </c>
      <c r="AW181" s="24" t="n">
        <f aca="false">COUNTIFS(Permissions!$B$2:$B$3000,$A181,Permissions!$P$2:$P$3000,"Yes")</f>
        <v>2</v>
      </c>
      <c r="AX181" s="24" t="n">
        <f aca="false">SUMIFS(Permissions!$L$2:$L$3000,Permissions!$B$2:$B$3000,$A181,Permissions!$P$2:$P$3000,"Yes")</f>
        <v>0</v>
      </c>
      <c r="AY181" s="27" t="str">
        <f aca="false">IF(AND(AK181&gt;0,AG181&gt;=AK181,AN181=0),"Built out",IF(AG181&gt;0,"Partly built",IF(AK181&gt;0,"Consented – not built","No consent")))</f>
        <v>Built out</v>
      </c>
      <c r="AZ181" s="28" t="str">
        <f aca="false">IF(AND(R181&lt;&gt;"",AK181&gt;1.1*R181),"Consented above capacity",IF(AND(LEFT(B181,8)="Planning",AW181=0),"Consent parcel with no permission",IF(COUNTIF($A$2:$A$3000,$A181)&gt;1,"Duplicate parcel_id","")))</f>
        <v/>
      </c>
    </row>
    <row r="182" customFormat="false" ht="15" hidden="false" customHeight="false" outlineLevel="0" collapsed="false">
      <c r="A182" s="15" t="s">
        <v>442</v>
      </c>
      <c r="B182" s="15" t="s">
        <v>12</v>
      </c>
      <c r="C182" s="15" t="s">
        <v>16</v>
      </c>
      <c r="D182" s="15" t="s">
        <v>53</v>
      </c>
      <c r="E182" s="15" t="s">
        <v>19</v>
      </c>
      <c r="F182" s="15" t="n">
        <v>1</v>
      </c>
      <c r="G182" s="15" t="s">
        <v>154</v>
      </c>
      <c r="H182" s="15"/>
      <c r="I182" s="15" t="s">
        <v>53</v>
      </c>
      <c r="J182" s="15" t="s">
        <v>155</v>
      </c>
      <c r="K182" s="15" t="s">
        <v>443</v>
      </c>
      <c r="L182" s="15"/>
      <c r="M182" s="15"/>
      <c r="N182" s="15"/>
      <c r="O182" s="15"/>
      <c r="P182" s="15" t="n">
        <v>0.054</v>
      </c>
      <c r="Q182" s="15" t="n">
        <v>0.054</v>
      </c>
      <c r="R182" s="15"/>
      <c r="S182" s="15" t="s">
        <v>346</v>
      </c>
      <c r="T182" s="15"/>
      <c r="U182" s="15"/>
      <c r="V182" s="15"/>
      <c r="W182" s="15"/>
      <c r="X182" s="15"/>
      <c r="Y182" s="15"/>
      <c r="Z182" s="15"/>
      <c r="AA182" s="15" t="n">
        <v>1</v>
      </c>
      <c r="AB182" s="15" t="n">
        <v>0</v>
      </c>
      <c r="AC182" s="15"/>
      <c r="AD182" s="15"/>
      <c r="AE182" s="15" t="s">
        <v>163</v>
      </c>
      <c r="AF182" s="15"/>
      <c r="AG182" s="24" t="n">
        <f aca="false">SUMIFS(Permissions!$G$2:$G$3000,Permissions!$B$2:$B$3000,$A182,Permissions!$I$2:$I$3000,"Complete",Permissions!$P$2:$P$3000,"Yes")</f>
        <v>0</v>
      </c>
      <c r="AH182" s="24" t="n">
        <f aca="false">SUMIFS(Permissions!$G$2:$G$3000,Permissions!$B$2:$B$3000,$A182,Permissions!$I$2:$I$3000,"Under construction",Permissions!$P$2:$P$3000,"Yes")</f>
        <v>13</v>
      </c>
      <c r="AI182" s="24" t="n">
        <f aca="false">SUMIFS(Permissions!$G$2:$G$3000,Permissions!$B$2:$B$3000,$A182,Permissions!$I$2:$I$3000,"Permitted – not started",Permissions!$P$2:$P$3000,"Yes")</f>
        <v>0</v>
      </c>
      <c r="AJ182" s="24" t="n">
        <f aca="false">SUMIFS(Permissions!$G$2:$G$3000,Permissions!$B$2:$B$3000,$A182,Permissions!$I$2:$I$3000,"Stalled",Permissions!$P$2:$P$3000,"Yes")</f>
        <v>0</v>
      </c>
      <c r="AK182" s="24" t="n">
        <f aca="false">AG182+AH182+AI182+AJ182</f>
        <v>13</v>
      </c>
      <c r="AL182" s="24" t="n">
        <f aca="false">SUMIFS(Permissions!$G$2:$G$3000,Permissions!$B$2:$B$3000,$A182,Permissions!$I$2:$I$3000,"Expired – not started",Permissions!$P$2:$P$3000,"Yes")</f>
        <v>0</v>
      </c>
      <c r="AM182" s="24" t="n">
        <f aca="false">SUMIFS(Permissions!$G$2:$G$3000,Permissions!$B$2:$B$3000,$A182,Permissions!$I$2:$I$3000,"In planning",Permissions!$P$2:$P$3000,"Yes")</f>
        <v>0</v>
      </c>
      <c r="AN182" s="24" t="n">
        <f aca="false">IF(R182="",0,MAX(R182-AK182,0))</f>
        <v>0</v>
      </c>
      <c r="AO182" s="25" t="n">
        <f aca="false">AK182+AN182</f>
        <v>13</v>
      </c>
      <c r="AP182" s="24" t="n">
        <f aca="false">AO182-AG182</f>
        <v>13</v>
      </c>
      <c r="AQ182" s="26" t="n">
        <f aca="false">SUMIFS(Permissions!$AH$2:$AH$3000,Permissions!$B$2:$B$3000,$A182,Permissions!$P$2:$P$3000,"Yes")</f>
        <v>0</v>
      </c>
      <c r="AR182" s="26" t="n">
        <f aca="false">SUMIFS(Permissions!$AI$2:$AI$3000,Permissions!$B$2:$B$3000,$A182,Permissions!$P$2:$P$3000,"Yes")</f>
        <v>13</v>
      </c>
      <c r="AS182" s="26" t="n">
        <f aca="false">SUMIFS(Permissions!$AJ$2:$AJ$3000,Permissions!$B$2:$B$3000,$A182,Permissions!$P$2:$P$3000,"Yes")</f>
        <v>0</v>
      </c>
      <c r="AT182" s="26" t="n">
        <f aca="false">SUMIFS(Permissions!$AK$2:$AK$3000,Permissions!$B$2:$B$3000,$A182,Permissions!$P$2:$P$3000,"Yes")</f>
        <v>0</v>
      </c>
      <c r="AU182" s="26" t="n">
        <f aca="false">SUMIFS(Permissions!$AL$2:$AL$3000,Permissions!$B$2:$B$3000,$A182,Permissions!$P$2:$P$3000,"Yes")</f>
        <v>0</v>
      </c>
      <c r="AV182" s="26" t="n">
        <f aca="false">SUMIFS(Permissions!$AM$2:$AM$3000,Permissions!$B$2:$B$3000,$A182,Permissions!$P$2:$P$3000,"Yes")</f>
        <v>0</v>
      </c>
      <c r="AW182" s="24" t="n">
        <f aca="false">COUNTIFS(Permissions!$B$2:$B$3000,$A182,Permissions!$P$2:$P$3000,"Yes")</f>
        <v>1</v>
      </c>
      <c r="AX182" s="24" t="n">
        <f aca="false">SUMIFS(Permissions!$L$2:$L$3000,Permissions!$B$2:$B$3000,$A182,Permissions!$P$2:$P$3000,"Yes")</f>
        <v>0</v>
      </c>
      <c r="AY182" s="27" t="str">
        <f aca="false">IF(AND(AK182&gt;0,AG182&gt;=AK182,AN182=0),"Built out",IF(AG182&gt;0,"Partly built",IF(AK182&gt;0,"Consented – not built","No consent")))</f>
        <v>Consented – not built</v>
      </c>
      <c r="AZ182" s="28" t="str">
        <f aca="false">IF(AND(R182&lt;&gt;"",AK182&gt;1.1*R182),"Consented above capacity",IF(AND(LEFT(B182,8)="Planning",AW182=0),"Consent parcel with no permission",IF(COUNTIF($A$2:$A$3000,$A182)&gt;1,"Duplicate parcel_id","")))</f>
        <v/>
      </c>
    </row>
    <row r="183" customFormat="false" ht="15" hidden="false" customHeight="false" outlineLevel="0" collapsed="false">
      <c r="A183" s="15" t="s">
        <v>444</v>
      </c>
      <c r="B183" s="15" t="s">
        <v>12</v>
      </c>
      <c r="C183" s="15" t="s">
        <v>16</v>
      </c>
      <c r="D183" s="15" t="s">
        <v>53</v>
      </c>
      <c r="E183" s="15" t="s">
        <v>19</v>
      </c>
      <c r="F183" s="15" t="n">
        <v>1</v>
      </c>
      <c r="G183" s="15" t="s">
        <v>154</v>
      </c>
      <c r="H183" s="15"/>
      <c r="I183" s="15" t="s">
        <v>53</v>
      </c>
      <c r="J183" s="15" t="s">
        <v>176</v>
      </c>
      <c r="K183" s="15" t="s">
        <v>445</v>
      </c>
      <c r="L183" s="15"/>
      <c r="M183" s="15"/>
      <c r="N183" s="15"/>
      <c r="O183" s="15"/>
      <c r="P183" s="15" t="n">
        <v>0.196</v>
      </c>
      <c r="Q183" s="15" t="n">
        <v>0.196</v>
      </c>
      <c r="R183" s="15"/>
      <c r="S183" s="15" t="s">
        <v>346</v>
      </c>
      <c r="T183" s="15"/>
      <c r="U183" s="15"/>
      <c r="V183" s="15"/>
      <c r="W183" s="15"/>
      <c r="X183" s="15"/>
      <c r="Y183" s="15"/>
      <c r="Z183" s="15"/>
      <c r="AA183" s="15" t="n">
        <v>0</v>
      </c>
      <c r="AB183" s="15" t="n">
        <v>0</v>
      </c>
      <c r="AC183" s="15"/>
      <c r="AD183" s="15" t="s">
        <v>379</v>
      </c>
      <c r="AE183" s="15" t="s">
        <v>163</v>
      </c>
      <c r="AF183" s="15"/>
      <c r="AG183" s="24" t="n">
        <f aca="false">SUMIFS(Permissions!$G$2:$G$3000,Permissions!$B$2:$B$3000,$A183,Permissions!$I$2:$I$3000,"Complete",Permissions!$P$2:$P$3000,"Yes")</f>
        <v>0</v>
      </c>
      <c r="AH183" s="24" t="n">
        <f aca="false">SUMIFS(Permissions!$G$2:$G$3000,Permissions!$B$2:$B$3000,$A183,Permissions!$I$2:$I$3000,"Under construction",Permissions!$P$2:$P$3000,"Yes")</f>
        <v>0</v>
      </c>
      <c r="AI183" s="24" t="n">
        <f aca="false">SUMIFS(Permissions!$G$2:$G$3000,Permissions!$B$2:$B$3000,$A183,Permissions!$I$2:$I$3000,"Permitted – not started",Permissions!$P$2:$P$3000,"Yes")</f>
        <v>4</v>
      </c>
      <c r="AJ183" s="24" t="n">
        <f aca="false">SUMIFS(Permissions!$G$2:$G$3000,Permissions!$B$2:$B$3000,$A183,Permissions!$I$2:$I$3000,"Stalled",Permissions!$P$2:$P$3000,"Yes")</f>
        <v>0</v>
      </c>
      <c r="AK183" s="24" t="n">
        <f aca="false">AG183+AH183+AI183+AJ183</f>
        <v>4</v>
      </c>
      <c r="AL183" s="24" t="n">
        <f aca="false">SUMIFS(Permissions!$G$2:$G$3000,Permissions!$B$2:$B$3000,$A183,Permissions!$I$2:$I$3000,"Expired – not started",Permissions!$P$2:$P$3000,"Yes")</f>
        <v>0</v>
      </c>
      <c r="AM183" s="24" t="n">
        <f aca="false">SUMIFS(Permissions!$G$2:$G$3000,Permissions!$B$2:$B$3000,$A183,Permissions!$I$2:$I$3000,"In planning",Permissions!$P$2:$P$3000,"Yes")</f>
        <v>0</v>
      </c>
      <c r="AN183" s="24" t="n">
        <f aca="false">IF(R183="",0,MAX(R183-AK183,0))</f>
        <v>0</v>
      </c>
      <c r="AO183" s="25" t="n">
        <f aca="false">AK183+AN183</f>
        <v>4</v>
      </c>
      <c r="AP183" s="24" t="n">
        <f aca="false">AO183-AG183</f>
        <v>4</v>
      </c>
      <c r="AQ183" s="26" t="n">
        <f aca="false">SUMIFS(Permissions!$AH$2:$AH$3000,Permissions!$B$2:$B$3000,$A183,Permissions!$P$2:$P$3000,"Yes")</f>
        <v>0</v>
      </c>
      <c r="AR183" s="26" t="n">
        <f aca="false">SUMIFS(Permissions!$AI$2:$AI$3000,Permissions!$B$2:$B$3000,$A183,Permissions!$P$2:$P$3000,"Yes")</f>
        <v>0</v>
      </c>
      <c r="AS183" s="26" t="n">
        <f aca="false">SUMIFS(Permissions!$AJ$2:$AJ$3000,Permissions!$B$2:$B$3000,$A183,Permissions!$P$2:$P$3000,"Yes")</f>
        <v>2.5</v>
      </c>
      <c r="AT183" s="26" t="n">
        <f aca="false">SUMIFS(Permissions!$AK$2:$AK$3000,Permissions!$B$2:$B$3000,$A183,Permissions!$P$2:$P$3000,"Yes")</f>
        <v>1.5</v>
      </c>
      <c r="AU183" s="26" t="n">
        <f aca="false">SUMIFS(Permissions!$AL$2:$AL$3000,Permissions!$B$2:$B$3000,$A183,Permissions!$P$2:$P$3000,"Yes")</f>
        <v>0</v>
      </c>
      <c r="AV183" s="26" t="n">
        <f aca="false">SUMIFS(Permissions!$AM$2:$AM$3000,Permissions!$B$2:$B$3000,$A183,Permissions!$P$2:$P$3000,"Yes")</f>
        <v>0</v>
      </c>
      <c r="AW183" s="24" t="n">
        <f aca="false">COUNTIFS(Permissions!$B$2:$B$3000,$A183,Permissions!$P$2:$P$3000,"Yes")</f>
        <v>1</v>
      </c>
      <c r="AX183" s="24" t="n">
        <f aca="false">SUMIFS(Permissions!$L$2:$L$3000,Permissions!$B$2:$B$3000,$A183,Permissions!$P$2:$P$3000,"Yes")</f>
        <v>0</v>
      </c>
      <c r="AY183" s="27" t="str">
        <f aca="false">IF(AND(AK183&gt;0,AG183&gt;=AK183,AN183=0),"Built out",IF(AG183&gt;0,"Partly built",IF(AK183&gt;0,"Consented – not built","No consent")))</f>
        <v>Consented – not built</v>
      </c>
      <c r="AZ183" s="28" t="str">
        <f aca="false">IF(AND(R183&lt;&gt;"",AK183&gt;1.1*R183),"Consented above capacity",IF(AND(LEFT(B183,8)="Planning",AW183=0),"Consent parcel with no permission",IF(COUNTIF($A$2:$A$3000,$A183)&gt;1,"Duplicate parcel_id","")))</f>
        <v/>
      </c>
    </row>
    <row r="184" customFormat="false" ht="15" hidden="false" customHeight="false" outlineLevel="0" collapsed="false">
      <c r="A184" s="15" t="s">
        <v>446</v>
      </c>
      <c r="B184" s="15" t="s">
        <v>12</v>
      </c>
      <c r="C184" s="15" t="s">
        <v>16</v>
      </c>
      <c r="D184" s="15" t="s">
        <v>53</v>
      </c>
      <c r="E184" s="15" t="s">
        <v>19</v>
      </c>
      <c r="F184" s="15" t="n">
        <v>1</v>
      </c>
      <c r="G184" s="15" t="s">
        <v>154</v>
      </c>
      <c r="H184" s="15"/>
      <c r="I184" s="15" t="s">
        <v>53</v>
      </c>
      <c r="J184" s="15" t="s">
        <v>155</v>
      </c>
      <c r="K184" s="15" t="s">
        <v>447</v>
      </c>
      <c r="L184" s="15"/>
      <c r="M184" s="15"/>
      <c r="N184" s="15"/>
      <c r="O184" s="15"/>
      <c r="P184" s="15" t="n">
        <v>0.081</v>
      </c>
      <c r="Q184" s="15" t="n">
        <v>0.081</v>
      </c>
      <c r="R184" s="15"/>
      <c r="S184" s="15" t="s">
        <v>346</v>
      </c>
      <c r="T184" s="15"/>
      <c r="U184" s="15"/>
      <c r="V184" s="15"/>
      <c r="W184" s="15"/>
      <c r="X184" s="15"/>
      <c r="Y184" s="15"/>
      <c r="Z184" s="15"/>
      <c r="AA184" s="15" t="n">
        <v>2</v>
      </c>
      <c r="AB184" s="15" t="n">
        <v>0</v>
      </c>
      <c r="AC184" s="15"/>
      <c r="AD184" s="15"/>
      <c r="AE184" s="15" t="s">
        <v>163</v>
      </c>
      <c r="AF184" s="15"/>
      <c r="AG184" s="24" t="n">
        <f aca="false">SUMIFS(Permissions!$G$2:$G$3000,Permissions!$B$2:$B$3000,$A184,Permissions!$I$2:$I$3000,"Complete",Permissions!$P$2:$P$3000,"Yes")</f>
        <v>0</v>
      </c>
      <c r="AH184" s="24" t="n">
        <f aca="false">SUMIFS(Permissions!$G$2:$G$3000,Permissions!$B$2:$B$3000,$A184,Permissions!$I$2:$I$3000,"Under construction",Permissions!$P$2:$P$3000,"Yes")</f>
        <v>24</v>
      </c>
      <c r="AI184" s="24" t="n">
        <f aca="false">SUMIFS(Permissions!$G$2:$G$3000,Permissions!$B$2:$B$3000,$A184,Permissions!$I$2:$I$3000,"Permitted – not started",Permissions!$P$2:$P$3000,"Yes")</f>
        <v>0</v>
      </c>
      <c r="AJ184" s="24" t="n">
        <f aca="false">SUMIFS(Permissions!$G$2:$G$3000,Permissions!$B$2:$B$3000,$A184,Permissions!$I$2:$I$3000,"Stalled",Permissions!$P$2:$P$3000,"Yes")</f>
        <v>0</v>
      </c>
      <c r="AK184" s="24" t="n">
        <f aca="false">AG184+AH184+AI184+AJ184</f>
        <v>24</v>
      </c>
      <c r="AL184" s="24" t="n">
        <f aca="false">SUMIFS(Permissions!$G$2:$G$3000,Permissions!$B$2:$B$3000,$A184,Permissions!$I$2:$I$3000,"Expired – not started",Permissions!$P$2:$P$3000,"Yes")</f>
        <v>0</v>
      </c>
      <c r="AM184" s="24" t="n">
        <f aca="false">SUMIFS(Permissions!$G$2:$G$3000,Permissions!$B$2:$B$3000,$A184,Permissions!$I$2:$I$3000,"In planning",Permissions!$P$2:$P$3000,"Yes")</f>
        <v>0</v>
      </c>
      <c r="AN184" s="24" t="n">
        <f aca="false">IF(R184="",0,MAX(R184-AK184,0))</f>
        <v>0</v>
      </c>
      <c r="AO184" s="25" t="n">
        <f aca="false">AK184+AN184</f>
        <v>24</v>
      </c>
      <c r="AP184" s="24" t="n">
        <f aca="false">AO184-AG184</f>
        <v>24</v>
      </c>
      <c r="AQ184" s="26" t="n">
        <f aca="false">SUMIFS(Permissions!$AH$2:$AH$3000,Permissions!$B$2:$B$3000,$A184,Permissions!$P$2:$P$3000,"Yes")</f>
        <v>1.1</v>
      </c>
      <c r="AR184" s="26" t="n">
        <f aca="false">SUMIFS(Permissions!$AI$2:$AI$3000,Permissions!$B$2:$B$3000,$A184,Permissions!$P$2:$P$3000,"Yes")</f>
        <v>12.8</v>
      </c>
      <c r="AS184" s="26" t="n">
        <f aca="false">SUMIFS(Permissions!$AJ$2:$AJ$3000,Permissions!$B$2:$B$3000,$A184,Permissions!$P$2:$P$3000,"Yes")</f>
        <v>10.1</v>
      </c>
      <c r="AT184" s="26" t="n">
        <f aca="false">SUMIFS(Permissions!$AK$2:$AK$3000,Permissions!$B$2:$B$3000,$A184,Permissions!$P$2:$P$3000,"Yes")</f>
        <v>0</v>
      </c>
      <c r="AU184" s="26" t="n">
        <f aca="false">SUMIFS(Permissions!$AL$2:$AL$3000,Permissions!$B$2:$B$3000,$A184,Permissions!$P$2:$P$3000,"Yes")</f>
        <v>0</v>
      </c>
      <c r="AV184" s="26" t="n">
        <f aca="false">SUMIFS(Permissions!$AM$2:$AM$3000,Permissions!$B$2:$B$3000,$A184,Permissions!$P$2:$P$3000,"Yes")</f>
        <v>0</v>
      </c>
      <c r="AW184" s="24" t="n">
        <f aca="false">COUNTIFS(Permissions!$B$2:$B$3000,$A184,Permissions!$P$2:$P$3000,"Yes")</f>
        <v>1</v>
      </c>
      <c r="AX184" s="24" t="n">
        <f aca="false">SUMIFS(Permissions!$L$2:$L$3000,Permissions!$B$2:$B$3000,$A184,Permissions!$P$2:$P$3000,"Yes")</f>
        <v>0</v>
      </c>
      <c r="AY184" s="27" t="str">
        <f aca="false">IF(AND(AK184&gt;0,AG184&gt;=AK184,AN184=0),"Built out",IF(AG184&gt;0,"Partly built",IF(AK184&gt;0,"Consented – not built","No consent")))</f>
        <v>Consented – not built</v>
      </c>
      <c r="AZ184" s="28" t="str">
        <f aca="false">IF(AND(R184&lt;&gt;"",AK184&gt;1.1*R184),"Consented above capacity",IF(AND(LEFT(B184,8)="Planning",AW184=0),"Consent parcel with no permission",IF(COUNTIF($A$2:$A$3000,$A184)&gt;1,"Duplicate parcel_id","")))</f>
        <v/>
      </c>
    </row>
    <row r="185" customFormat="false" ht="15" hidden="false" customHeight="false" outlineLevel="0" collapsed="false">
      <c r="A185" s="15" t="s">
        <v>448</v>
      </c>
      <c r="B185" s="15" t="s">
        <v>12</v>
      </c>
      <c r="C185" s="15" t="s">
        <v>16</v>
      </c>
      <c r="D185" s="15" t="s">
        <v>53</v>
      </c>
      <c r="E185" s="15" t="s">
        <v>19</v>
      </c>
      <c r="F185" s="15" t="n">
        <v>1</v>
      </c>
      <c r="G185" s="15" t="s">
        <v>154</v>
      </c>
      <c r="H185" s="15"/>
      <c r="I185" s="15" t="s">
        <v>53</v>
      </c>
      <c r="J185" s="15" t="s">
        <v>155</v>
      </c>
      <c r="K185" s="15" t="s">
        <v>449</v>
      </c>
      <c r="L185" s="15"/>
      <c r="M185" s="15"/>
      <c r="N185" s="15"/>
      <c r="O185" s="15"/>
      <c r="P185" s="15" t="n">
        <v>0.032</v>
      </c>
      <c r="Q185" s="15" t="n">
        <v>0.032</v>
      </c>
      <c r="R185" s="15"/>
      <c r="S185" s="15" t="s">
        <v>346</v>
      </c>
      <c r="T185" s="15"/>
      <c r="U185" s="15"/>
      <c r="V185" s="15"/>
      <c r="W185" s="15"/>
      <c r="X185" s="15"/>
      <c r="Y185" s="15"/>
      <c r="Z185" s="15"/>
      <c r="AA185" s="15" t="n">
        <v>1</v>
      </c>
      <c r="AB185" s="15" t="n">
        <v>0</v>
      </c>
      <c r="AC185" s="15"/>
      <c r="AD185" s="15"/>
      <c r="AE185" s="15" t="s">
        <v>163</v>
      </c>
      <c r="AF185" s="15"/>
      <c r="AG185" s="24" t="n">
        <f aca="false">SUMIFS(Permissions!$G$2:$G$3000,Permissions!$B$2:$B$3000,$A185,Permissions!$I$2:$I$3000,"Complete",Permissions!$P$2:$P$3000,"Yes")</f>
        <v>0</v>
      </c>
      <c r="AH185" s="24" t="n">
        <f aca="false">SUMIFS(Permissions!$G$2:$G$3000,Permissions!$B$2:$B$3000,$A185,Permissions!$I$2:$I$3000,"Under construction",Permissions!$P$2:$P$3000,"Yes")</f>
        <v>0</v>
      </c>
      <c r="AI185" s="24" t="n">
        <f aca="false">SUMIFS(Permissions!$G$2:$G$3000,Permissions!$B$2:$B$3000,$A185,Permissions!$I$2:$I$3000,"Permitted – not started",Permissions!$P$2:$P$3000,"Yes")</f>
        <v>21</v>
      </c>
      <c r="AJ185" s="24" t="n">
        <f aca="false">SUMIFS(Permissions!$G$2:$G$3000,Permissions!$B$2:$B$3000,$A185,Permissions!$I$2:$I$3000,"Stalled",Permissions!$P$2:$P$3000,"Yes")</f>
        <v>0</v>
      </c>
      <c r="AK185" s="24" t="n">
        <f aca="false">AG185+AH185+AI185+AJ185</f>
        <v>21</v>
      </c>
      <c r="AL185" s="24" t="n">
        <f aca="false">SUMIFS(Permissions!$G$2:$G$3000,Permissions!$B$2:$B$3000,$A185,Permissions!$I$2:$I$3000,"Expired – not started",Permissions!$P$2:$P$3000,"Yes")</f>
        <v>0</v>
      </c>
      <c r="AM185" s="24" t="n">
        <f aca="false">SUMIFS(Permissions!$G$2:$G$3000,Permissions!$B$2:$B$3000,$A185,Permissions!$I$2:$I$3000,"In planning",Permissions!$P$2:$P$3000,"Yes")</f>
        <v>0</v>
      </c>
      <c r="AN185" s="24" t="n">
        <f aca="false">IF(R185="",0,MAX(R185-AK185,0))</f>
        <v>0</v>
      </c>
      <c r="AO185" s="25" t="n">
        <f aca="false">AK185+AN185</f>
        <v>21</v>
      </c>
      <c r="AP185" s="24" t="n">
        <f aca="false">AO185-AG185</f>
        <v>21</v>
      </c>
      <c r="AQ185" s="26" t="n">
        <f aca="false">SUMIFS(Permissions!$AH$2:$AH$3000,Permissions!$B$2:$B$3000,$A185,Permissions!$P$2:$P$3000,"Yes")</f>
        <v>0</v>
      </c>
      <c r="AR185" s="26" t="n">
        <f aca="false">SUMIFS(Permissions!$AI$2:$AI$3000,Permissions!$B$2:$B$3000,$A185,Permissions!$P$2:$P$3000,"Yes")</f>
        <v>0</v>
      </c>
      <c r="AS185" s="26" t="n">
        <f aca="false">SUMIFS(Permissions!$AJ$2:$AJ$3000,Permissions!$B$2:$B$3000,$A185,Permissions!$P$2:$P$3000,"Yes")</f>
        <v>6.7</v>
      </c>
      <c r="AT185" s="26" t="n">
        <f aca="false">SUMIFS(Permissions!$AK$2:$AK$3000,Permissions!$B$2:$B$3000,$A185,Permissions!$P$2:$P$3000,"Yes")</f>
        <v>13.9</v>
      </c>
      <c r="AU185" s="26" t="n">
        <f aca="false">SUMIFS(Permissions!$AL$2:$AL$3000,Permissions!$B$2:$B$3000,$A185,Permissions!$P$2:$P$3000,"Yes")</f>
        <v>0.5</v>
      </c>
      <c r="AV185" s="26" t="n">
        <f aca="false">SUMIFS(Permissions!$AM$2:$AM$3000,Permissions!$B$2:$B$3000,$A185,Permissions!$P$2:$P$3000,"Yes")</f>
        <v>-0.1</v>
      </c>
      <c r="AW185" s="24" t="n">
        <f aca="false">COUNTIFS(Permissions!$B$2:$B$3000,$A185,Permissions!$P$2:$P$3000,"Yes")</f>
        <v>1</v>
      </c>
      <c r="AX185" s="24" t="n">
        <f aca="false">SUMIFS(Permissions!$L$2:$L$3000,Permissions!$B$2:$B$3000,$A185,Permissions!$P$2:$P$3000,"Yes")</f>
        <v>0</v>
      </c>
      <c r="AY185" s="27" t="str">
        <f aca="false">IF(AND(AK185&gt;0,AG185&gt;=AK185,AN185=0),"Built out",IF(AG185&gt;0,"Partly built",IF(AK185&gt;0,"Consented – not built","No consent")))</f>
        <v>Consented – not built</v>
      </c>
      <c r="AZ185" s="28" t="str">
        <f aca="false">IF(AND(R185&lt;&gt;"",AK185&gt;1.1*R185),"Consented above capacity",IF(AND(LEFT(B185,8)="Planning",AW185=0),"Consent parcel with no permission",IF(COUNTIF($A$2:$A$3000,$A185)&gt;1,"Duplicate parcel_id","")))</f>
        <v/>
      </c>
    </row>
    <row r="186" customFormat="false" ht="15" hidden="false" customHeight="false" outlineLevel="0" collapsed="false">
      <c r="A186" s="15" t="s">
        <v>450</v>
      </c>
      <c r="B186" s="15" t="s">
        <v>12</v>
      </c>
      <c r="C186" s="15" t="s">
        <v>16</v>
      </c>
      <c r="D186" s="15" t="s">
        <v>53</v>
      </c>
      <c r="E186" s="15" t="s">
        <v>19</v>
      </c>
      <c r="F186" s="15" t="n">
        <v>1</v>
      </c>
      <c r="G186" s="15" t="s">
        <v>154</v>
      </c>
      <c r="H186" s="15"/>
      <c r="I186" s="15" t="s">
        <v>53</v>
      </c>
      <c r="J186" s="15" t="s">
        <v>155</v>
      </c>
      <c r="K186" s="15" t="s">
        <v>451</v>
      </c>
      <c r="L186" s="15"/>
      <c r="M186" s="15"/>
      <c r="N186" s="15"/>
      <c r="O186" s="15"/>
      <c r="P186" s="15" t="n">
        <v>0.008</v>
      </c>
      <c r="Q186" s="15" t="n">
        <v>0.008</v>
      </c>
      <c r="R186" s="15"/>
      <c r="S186" s="15" t="s">
        <v>346</v>
      </c>
      <c r="T186" s="15"/>
      <c r="U186" s="15"/>
      <c r="V186" s="15"/>
      <c r="W186" s="15"/>
      <c r="X186" s="15"/>
      <c r="Y186" s="15"/>
      <c r="Z186" s="15"/>
      <c r="AA186" s="15" t="n">
        <v>0</v>
      </c>
      <c r="AB186" s="15" t="n">
        <v>0</v>
      </c>
      <c r="AC186" s="15"/>
      <c r="AD186" s="15"/>
      <c r="AE186" s="15" t="s">
        <v>163</v>
      </c>
      <c r="AF186" s="15"/>
      <c r="AG186" s="24" t="n">
        <f aca="false">SUMIFS(Permissions!$G$2:$G$3000,Permissions!$B$2:$B$3000,$A186,Permissions!$I$2:$I$3000,"Complete",Permissions!$P$2:$P$3000,"Yes")</f>
        <v>0</v>
      </c>
      <c r="AH186" s="24" t="n">
        <f aca="false">SUMIFS(Permissions!$G$2:$G$3000,Permissions!$B$2:$B$3000,$A186,Permissions!$I$2:$I$3000,"Under construction",Permissions!$P$2:$P$3000,"Yes")</f>
        <v>3</v>
      </c>
      <c r="AI186" s="24" t="n">
        <f aca="false">SUMIFS(Permissions!$G$2:$G$3000,Permissions!$B$2:$B$3000,$A186,Permissions!$I$2:$I$3000,"Permitted – not started",Permissions!$P$2:$P$3000,"Yes")</f>
        <v>0</v>
      </c>
      <c r="AJ186" s="24" t="n">
        <f aca="false">SUMIFS(Permissions!$G$2:$G$3000,Permissions!$B$2:$B$3000,$A186,Permissions!$I$2:$I$3000,"Stalled",Permissions!$P$2:$P$3000,"Yes")</f>
        <v>0</v>
      </c>
      <c r="AK186" s="24" t="n">
        <f aca="false">AG186+AH186+AI186+AJ186</f>
        <v>3</v>
      </c>
      <c r="AL186" s="24" t="n">
        <f aca="false">SUMIFS(Permissions!$G$2:$G$3000,Permissions!$B$2:$B$3000,$A186,Permissions!$I$2:$I$3000,"Expired – not started",Permissions!$P$2:$P$3000,"Yes")</f>
        <v>0</v>
      </c>
      <c r="AM186" s="24" t="n">
        <f aca="false">SUMIFS(Permissions!$G$2:$G$3000,Permissions!$B$2:$B$3000,$A186,Permissions!$I$2:$I$3000,"In planning",Permissions!$P$2:$P$3000,"Yes")</f>
        <v>0</v>
      </c>
      <c r="AN186" s="24" t="n">
        <f aca="false">IF(R186="",0,MAX(R186-AK186,0))</f>
        <v>0</v>
      </c>
      <c r="AO186" s="25" t="n">
        <f aca="false">AK186+AN186</f>
        <v>3</v>
      </c>
      <c r="AP186" s="24" t="n">
        <f aca="false">AO186-AG186</f>
        <v>3</v>
      </c>
      <c r="AQ186" s="26" t="n">
        <f aca="false">SUMIFS(Permissions!$AH$2:$AH$3000,Permissions!$B$2:$B$3000,$A186,Permissions!$P$2:$P$3000,"Yes")</f>
        <v>0.7</v>
      </c>
      <c r="AR186" s="26" t="n">
        <f aca="false">SUMIFS(Permissions!$AI$2:$AI$3000,Permissions!$B$2:$B$3000,$A186,Permissions!$P$2:$P$3000,"Yes")</f>
        <v>2.3</v>
      </c>
      <c r="AS186" s="26" t="n">
        <f aca="false">SUMIFS(Permissions!$AJ$2:$AJ$3000,Permissions!$B$2:$B$3000,$A186,Permissions!$P$2:$P$3000,"Yes")</f>
        <v>0</v>
      </c>
      <c r="AT186" s="26" t="n">
        <f aca="false">SUMIFS(Permissions!$AK$2:$AK$3000,Permissions!$B$2:$B$3000,$A186,Permissions!$P$2:$P$3000,"Yes")</f>
        <v>0</v>
      </c>
      <c r="AU186" s="26" t="n">
        <f aca="false">SUMIFS(Permissions!$AL$2:$AL$3000,Permissions!$B$2:$B$3000,$A186,Permissions!$P$2:$P$3000,"Yes")</f>
        <v>0</v>
      </c>
      <c r="AV186" s="26" t="n">
        <f aca="false">SUMIFS(Permissions!$AM$2:$AM$3000,Permissions!$B$2:$B$3000,$A186,Permissions!$P$2:$P$3000,"Yes")</f>
        <v>0</v>
      </c>
      <c r="AW186" s="24" t="n">
        <f aca="false">COUNTIFS(Permissions!$B$2:$B$3000,$A186,Permissions!$P$2:$P$3000,"Yes")</f>
        <v>1</v>
      </c>
      <c r="AX186" s="24" t="n">
        <f aca="false">SUMIFS(Permissions!$L$2:$L$3000,Permissions!$B$2:$B$3000,$A186,Permissions!$P$2:$P$3000,"Yes")</f>
        <v>0</v>
      </c>
      <c r="AY186" s="27" t="str">
        <f aca="false">IF(AND(AK186&gt;0,AG186&gt;=AK186,AN186=0),"Built out",IF(AG186&gt;0,"Partly built",IF(AK186&gt;0,"Consented – not built","No consent")))</f>
        <v>Consented – not built</v>
      </c>
      <c r="AZ186" s="28" t="str">
        <f aca="false">IF(AND(R186&lt;&gt;"",AK186&gt;1.1*R186),"Consented above capacity",IF(AND(LEFT(B186,8)="Planning",AW186=0),"Consent parcel with no permission",IF(COUNTIF($A$2:$A$3000,$A186)&gt;1,"Duplicate parcel_id","")))</f>
        <v/>
      </c>
    </row>
    <row r="187" customFormat="false" ht="15" hidden="false" customHeight="false" outlineLevel="0" collapsed="false">
      <c r="A187" s="15" t="s">
        <v>452</v>
      </c>
      <c r="B187" s="15" t="s">
        <v>12</v>
      </c>
      <c r="C187" s="15" t="s">
        <v>16</v>
      </c>
      <c r="D187" s="15" t="s">
        <v>53</v>
      </c>
      <c r="E187" s="15" t="s">
        <v>19</v>
      </c>
      <c r="F187" s="15" t="n">
        <v>1</v>
      </c>
      <c r="G187" s="15" t="s">
        <v>154</v>
      </c>
      <c r="H187" s="15"/>
      <c r="I187" s="15" t="s">
        <v>53</v>
      </c>
      <c r="J187" s="15" t="s">
        <v>155</v>
      </c>
      <c r="K187" s="15" t="s">
        <v>453</v>
      </c>
      <c r="L187" s="15"/>
      <c r="M187" s="15"/>
      <c r="N187" s="15"/>
      <c r="O187" s="15"/>
      <c r="P187" s="15" t="n">
        <v>0.026</v>
      </c>
      <c r="Q187" s="15" t="n">
        <v>0.026</v>
      </c>
      <c r="R187" s="15"/>
      <c r="S187" s="15" t="s">
        <v>346</v>
      </c>
      <c r="T187" s="15"/>
      <c r="U187" s="15"/>
      <c r="V187" s="15"/>
      <c r="W187" s="15"/>
      <c r="X187" s="15"/>
      <c r="Y187" s="15"/>
      <c r="Z187" s="15"/>
      <c r="AA187" s="15" t="n">
        <v>0</v>
      </c>
      <c r="AB187" s="15" t="n">
        <v>0</v>
      </c>
      <c r="AC187" s="15"/>
      <c r="AD187" s="15"/>
      <c r="AE187" s="15" t="s">
        <v>163</v>
      </c>
      <c r="AF187" s="15"/>
      <c r="AG187" s="24" t="n">
        <f aca="false">SUMIFS(Permissions!$G$2:$G$3000,Permissions!$B$2:$B$3000,$A187,Permissions!$I$2:$I$3000,"Complete",Permissions!$P$2:$P$3000,"Yes")</f>
        <v>0</v>
      </c>
      <c r="AH187" s="24" t="n">
        <f aca="false">SUMIFS(Permissions!$G$2:$G$3000,Permissions!$B$2:$B$3000,$A187,Permissions!$I$2:$I$3000,"Under construction",Permissions!$P$2:$P$3000,"Yes")</f>
        <v>8</v>
      </c>
      <c r="AI187" s="24" t="n">
        <f aca="false">SUMIFS(Permissions!$G$2:$G$3000,Permissions!$B$2:$B$3000,$A187,Permissions!$I$2:$I$3000,"Permitted – not started",Permissions!$P$2:$P$3000,"Yes")</f>
        <v>0</v>
      </c>
      <c r="AJ187" s="24" t="n">
        <f aca="false">SUMIFS(Permissions!$G$2:$G$3000,Permissions!$B$2:$B$3000,$A187,Permissions!$I$2:$I$3000,"Stalled",Permissions!$P$2:$P$3000,"Yes")</f>
        <v>0</v>
      </c>
      <c r="AK187" s="24" t="n">
        <f aca="false">AG187+AH187+AI187+AJ187</f>
        <v>8</v>
      </c>
      <c r="AL187" s="24" t="n">
        <f aca="false">SUMIFS(Permissions!$G$2:$G$3000,Permissions!$B$2:$B$3000,$A187,Permissions!$I$2:$I$3000,"Expired – not started",Permissions!$P$2:$P$3000,"Yes")</f>
        <v>0</v>
      </c>
      <c r="AM187" s="24" t="n">
        <f aca="false">SUMIFS(Permissions!$G$2:$G$3000,Permissions!$B$2:$B$3000,$A187,Permissions!$I$2:$I$3000,"In planning",Permissions!$P$2:$P$3000,"Yes")</f>
        <v>0</v>
      </c>
      <c r="AN187" s="24" t="n">
        <f aca="false">IF(R187="",0,MAX(R187-AK187,0))</f>
        <v>0</v>
      </c>
      <c r="AO187" s="25" t="n">
        <f aca="false">AK187+AN187</f>
        <v>8</v>
      </c>
      <c r="AP187" s="24" t="n">
        <f aca="false">AO187-AG187</f>
        <v>8</v>
      </c>
      <c r="AQ187" s="26" t="n">
        <f aca="false">SUMIFS(Permissions!$AH$2:$AH$3000,Permissions!$B$2:$B$3000,$A187,Permissions!$P$2:$P$3000,"Yes")</f>
        <v>1.9</v>
      </c>
      <c r="AR187" s="26" t="n">
        <f aca="false">SUMIFS(Permissions!$AI$2:$AI$3000,Permissions!$B$2:$B$3000,$A187,Permissions!$P$2:$P$3000,"Yes")</f>
        <v>6.1</v>
      </c>
      <c r="AS187" s="26" t="n">
        <f aca="false">SUMIFS(Permissions!$AJ$2:$AJ$3000,Permissions!$B$2:$B$3000,$A187,Permissions!$P$2:$P$3000,"Yes")</f>
        <v>0</v>
      </c>
      <c r="AT187" s="26" t="n">
        <f aca="false">SUMIFS(Permissions!$AK$2:$AK$3000,Permissions!$B$2:$B$3000,$A187,Permissions!$P$2:$P$3000,"Yes")</f>
        <v>0</v>
      </c>
      <c r="AU187" s="26" t="n">
        <f aca="false">SUMIFS(Permissions!$AL$2:$AL$3000,Permissions!$B$2:$B$3000,$A187,Permissions!$P$2:$P$3000,"Yes")</f>
        <v>0</v>
      </c>
      <c r="AV187" s="26" t="n">
        <f aca="false">SUMIFS(Permissions!$AM$2:$AM$3000,Permissions!$B$2:$B$3000,$A187,Permissions!$P$2:$P$3000,"Yes")</f>
        <v>0</v>
      </c>
      <c r="AW187" s="24" t="n">
        <f aca="false">COUNTIFS(Permissions!$B$2:$B$3000,$A187,Permissions!$P$2:$P$3000,"Yes")</f>
        <v>1</v>
      </c>
      <c r="AX187" s="24" t="n">
        <f aca="false">SUMIFS(Permissions!$L$2:$L$3000,Permissions!$B$2:$B$3000,$A187,Permissions!$P$2:$P$3000,"Yes")</f>
        <v>0</v>
      </c>
      <c r="AY187" s="27" t="str">
        <f aca="false">IF(AND(AK187&gt;0,AG187&gt;=AK187,AN187=0),"Built out",IF(AG187&gt;0,"Partly built",IF(AK187&gt;0,"Consented – not built","No consent")))</f>
        <v>Consented – not built</v>
      </c>
      <c r="AZ187" s="28" t="str">
        <f aca="false">IF(AND(R187&lt;&gt;"",AK187&gt;1.1*R187),"Consented above capacity",IF(AND(LEFT(B187,8)="Planning",AW187=0),"Consent parcel with no permission",IF(COUNTIF($A$2:$A$3000,$A187)&gt;1,"Duplicate parcel_id","")))</f>
        <v/>
      </c>
    </row>
    <row r="188" customFormat="false" ht="15" hidden="false" customHeight="false" outlineLevel="0" collapsed="false">
      <c r="A188" s="15" t="s">
        <v>454</v>
      </c>
      <c r="B188" s="15" t="s">
        <v>12</v>
      </c>
      <c r="C188" s="15" t="s">
        <v>16</v>
      </c>
      <c r="D188" s="15" t="s">
        <v>53</v>
      </c>
      <c r="E188" s="15" t="s">
        <v>19</v>
      </c>
      <c r="F188" s="15" t="n">
        <v>1</v>
      </c>
      <c r="G188" s="15" t="s">
        <v>154</v>
      </c>
      <c r="H188" s="15"/>
      <c r="I188" s="15" t="s">
        <v>53</v>
      </c>
      <c r="J188" s="15" t="s">
        <v>155</v>
      </c>
      <c r="K188" s="15" t="s">
        <v>455</v>
      </c>
      <c r="L188" s="15"/>
      <c r="M188" s="15"/>
      <c r="N188" s="15"/>
      <c r="O188" s="15"/>
      <c r="P188" s="15" t="n">
        <v>0.031</v>
      </c>
      <c r="Q188" s="15" t="n">
        <v>0.031</v>
      </c>
      <c r="R188" s="15"/>
      <c r="S188" s="15" t="s">
        <v>346</v>
      </c>
      <c r="T188" s="15"/>
      <c r="U188" s="15"/>
      <c r="V188" s="15"/>
      <c r="W188" s="15"/>
      <c r="X188" s="15"/>
      <c r="Y188" s="15"/>
      <c r="Z188" s="15"/>
      <c r="AA188" s="15" t="n">
        <v>0</v>
      </c>
      <c r="AB188" s="15" t="n">
        <v>0</v>
      </c>
      <c r="AC188" s="15"/>
      <c r="AD188" s="15"/>
      <c r="AE188" s="15" t="s">
        <v>163</v>
      </c>
      <c r="AF188" s="15"/>
      <c r="AG188" s="24" t="n">
        <f aca="false">SUMIFS(Permissions!$G$2:$G$3000,Permissions!$B$2:$B$3000,$A188,Permissions!$I$2:$I$3000,"Complete",Permissions!$P$2:$P$3000,"Yes")</f>
        <v>0</v>
      </c>
      <c r="AH188" s="24" t="n">
        <f aca="false">SUMIFS(Permissions!$G$2:$G$3000,Permissions!$B$2:$B$3000,$A188,Permissions!$I$2:$I$3000,"Under construction",Permissions!$P$2:$P$3000,"Yes")</f>
        <v>0</v>
      </c>
      <c r="AI188" s="24" t="n">
        <f aca="false">SUMIFS(Permissions!$G$2:$G$3000,Permissions!$B$2:$B$3000,$A188,Permissions!$I$2:$I$3000,"Permitted – not started",Permissions!$P$2:$P$3000,"Yes")</f>
        <v>8</v>
      </c>
      <c r="AJ188" s="24" t="n">
        <f aca="false">SUMIFS(Permissions!$G$2:$G$3000,Permissions!$B$2:$B$3000,$A188,Permissions!$I$2:$I$3000,"Stalled",Permissions!$P$2:$P$3000,"Yes")</f>
        <v>0</v>
      </c>
      <c r="AK188" s="24" t="n">
        <f aca="false">AG188+AH188+AI188+AJ188</f>
        <v>8</v>
      </c>
      <c r="AL188" s="24" t="n">
        <f aca="false">SUMIFS(Permissions!$G$2:$G$3000,Permissions!$B$2:$B$3000,$A188,Permissions!$I$2:$I$3000,"Expired – not started",Permissions!$P$2:$P$3000,"Yes")</f>
        <v>0</v>
      </c>
      <c r="AM188" s="24" t="n">
        <f aca="false">SUMIFS(Permissions!$G$2:$G$3000,Permissions!$B$2:$B$3000,$A188,Permissions!$I$2:$I$3000,"In planning",Permissions!$P$2:$P$3000,"Yes")</f>
        <v>0</v>
      </c>
      <c r="AN188" s="24" t="n">
        <f aca="false">IF(R188="",0,MAX(R188-AK188,0))</f>
        <v>0</v>
      </c>
      <c r="AO188" s="25" t="n">
        <f aca="false">AK188+AN188</f>
        <v>8</v>
      </c>
      <c r="AP188" s="24" t="n">
        <f aca="false">AO188-AG188</f>
        <v>8</v>
      </c>
      <c r="AQ188" s="26" t="n">
        <f aca="false">SUMIFS(Permissions!$AH$2:$AH$3000,Permissions!$B$2:$B$3000,$A188,Permissions!$P$2:$P$3000,"Yes")</f>
        <v>0</v>
      </c>
      <c r="AR188" s="26" t="n">
        <f aca="false">SUMIFS(Permissions!$AI$2:$AI$3000,Permissions!$B$2:$B$3000,$A188,Permissions!$P$2:$P$3000,"Yes")</f>
        <v>0</v>
      </c>
      <c r="AS188" s="26" t="n">
        <f aca="false">SUMIFS(Permissions!$AJ$2:$AJ$3000,Permissions!$B$2:$B$3000,$A188,Permissions!$P$2:$P$3000,"Yes")</f>
        <v>4</v>
      </c>
      <c r="AT188" s="26" t="n">
        <f aca="false">SUMIFS(Permissions!$AK$2:$AK$3000,Permissions!$B$2:$B$3000,$A188,Permissions!$P$2:$P$3000,"Yes")</f>
        <v>4</v>
      </c>
      <c r="AU188" s="26" t="n">
        <f aca="false">SUMIFS(Permissions!$AL$2:$AL$3000,Permissions!$B$2:$B$3000,$A188,Permissions!$P$2:$P$3000,"Yes")</f>
        <v>0</v>
      </c>
      <c r="AV188" s="26" t="n">
        <f aca="false">SUMIFS(Permissions!$AM$2:$AM$3000,Permissions!$B$2:$B$3000,$A188,Permissions!$P$2:$P$3000,"Yes")</f>
        <v>0</v>
      </c>
      <c r="AW188" s="24" t="n">
        <f aca="false">COUNTIFS(Permissions!$B$2:$B$3000,$A188,Permissions!$P$2:$P$3000,"Yes")</f>
        <v>1</v>
      </c>
      <c r="AX188" s="24" t="n">
        <f aca="false">SUMIFS(Permissions!$L$2:$L$3000,Permissions!$B$2:$B$3000,$A188,Permissions!$P$2:$P$3000,"Yes")</f>
        <v>0</v>
      </c>
      <c r="AY188" s="27" t="str">
        <f aca="false">IF(AND(AK188&gt;0,AG188&gt;=AK188,AN188=0),"Built out",IF(AG188&gt;0,"Partly built",IF(AK188&gt;0,"Consented – not built","No consent")))</f>
        <v>Consented – not built</v>
      </c>
      <c r="AZ188" s="28" t="str">
        <f aca="false">IF(AND(R188&lt;&gt;"",AK188&gt;1.1*R188),"Consented above capacity",IF(AND(LEFT(B188,8)="Planning",AW188=0),"Consent parcel with no permission",IF(COUNTIF($A$2:$A$3000,$A188)&gt;1,"Duplicate parcel_id","")))</f>
        <v/>
      </c>
    </row>
    <row r="189" customFormat="false" ht="15" hidden="false" customHeight="false" outlineLevel="0" collapsed="false">
      <c r="A189" s="15" t="s">
        <v>456</v>
      </c>
      <c r="B189" s="15" t="s">
        <v>12</v>
      </c>
      <c r="C189" s="15" t="s">
        <v>16</v>
      </c>
      <c r="D189" s="15" t="s">
        <v>53</v>
      </c>
      <c r="E189" s="15" t="s">
        <v>19</v>
      </c>
      <c r="F189" s="15" t="n">
        <v>1</v>
      </c>
      <c r="G189" s="15" t="s">
        <v>154</v>
      </c>
      <c r="H189" s="15"/>
      <c r="I189" s="15" t="s">
        <v>53</v>
      </c>
      <c r="J189" s="15" t="s">
        <v>155</v>
      </c>
      <c r="K189" s="15" t="s">
        <v>457</v>
      </c>
      <c r="L189" s="15"/>
      <c r="M189" s="15"/>
      <c r="N189" s="15"/>
      <c r="O189" s="15"/>
      <c r="P189" s="15" t="n">
        <v>0.045</v>
      </c>
      <c r="Q189" s="15" t="n">
        <v>0.045</v>
      </c>
      <c r="R189" s="15"/>
      <c r="S189" s="15" t="s">
        <v>346</v>
      </c>
      <c r="T189" s="15"/>
      <c r="U189" s="15"/>
      <c r="V189" s="15"/>
      <c r="W189" s="15"/>
      <c r="X189" s="15"/>
      <c r="Y189" s="15"/>
      <c r="Z189" s="15"/>
      <c r="AA189" s="15" t="n">
        <v>6</v>
      </c>
      <c r="AB189" s="15" t="n">
        <v>0</v>
      </c>
      <c r="AC189" s="15"/>
      <c r="AD189" s="15"/>
      <c r="AE189" s="15" t="s">
        <v>163</v>
      </c>
      <c r="AF189" s="15"/>
      <c r="AG189" s="24" t="n">
        <f aca="false">SUMIFS(Permissions!$G$2:$G$3000,Permissions!$B$2:$B$3000,$A189,Permissions!$I$2:$I$3000,"Complete",Permissions!$P$2:$P$3000,"Yes")</f>
        <v>0</v>
      </c>
      <c r="AH189" s="24" t="n">
        <f aca="false">SUMIFS(Permissions!$G$2:$G$3000,Permissions!$B$2:$B$3000,$A189,Permissions!$I$2:$I$3000,"Under construction",Permissions!$P$2:$P$3000,"Yes")</f>
        <v>7</v>
      </c>
      <c r="AI189" s="24" t="n">
        <f aca="false">SUMIFS(Permissions!$G$2:$G$3000,Permissions!$B$2:$B$3000,$A189,Permissions!$I$2:$I$3000,"Permitted – not started",Permissions!$P$2:$P$3000,"Yes")</f>
        <v>0</v>
      </c>
      <c r="AJ189" s="24" t="n">
        <f aca="false">SUMIFS(Permissions!$G$2:$G$3000,Permissions!$B$2:$B$3000,$A189,Permissions!$I$2:$I$3000,"Stalled",Permissions!$P$2:$P$3000,"Yes")</f>
        <v>0</v>
      </c>
      <c r="AK189" s="24" t="n">
        <f aca="false">AG189+AH189+AI189+AJ189</f>
        <v>7</v>
      </c>
      <c r="AL189" s="24" t="n">
        <f aca="false">SUMIFS(Permissions!$G$2:$G$3000,Permissions!$B$2:$B$3000,$A189,Permissions!$I$2:$I$3000,"Expired – not started",Permissions!$P$2:$P$3000,"Yes")</f>
        <v>0</v>
      </c>
      <c r="AM189" s="24" t="n">
        <f aca="false">SUMIFS(Permissions!$G$2:$G$3000,Permissions!$B$2:$B$3000,$A189,Permissions!$I$2:$I$3000,"In planning",Permissions!$P$2:$P$3000,"Yes")</f>
        <v>0</v>
      </c>
      <c r="AN189" s="24" t="n">
        <f aca="false">IF(R189="",0,MAX(R189-AK189,0))</f>
        <v>0</v>
      </c>
      <c r="AO189" s="25" t="n">
        <f aca="false">AK189+AN189</f>
        <v>7</v>
      </c>
      <c r="AP189" s="24" t="n">
        <f aca="false">AO189-AG189</f>
        <v>7</v>
      </c>
      <c r="AQ189" s="26" t="n">
        <f aca="false">SUMIFS(Permissions!$AH$2:$AH$3000,Permissions!$B$2:$B$3000,$A189,Permissions!$P$2:$P$3000,"Yes")</f>
        <v>0</v>
      </c>
      <c r="AR189" s="26" t="n">
        <f aca="false">SUMIFS(Permissions!$AI$2:$AI$3000,Permissions!$B$2:$B$3000,$A189,Permissions!$P$2:$P$3000,"Yes")</f>
        <v>5.8</v>
      </c>
      <c r="AS189" s="26" t="n">
        <f aca="false">SUMIFS(Permissions!$AJ$2:$AJ$3000,Permissions!$B$2:$B$3000,$A189,Permissions!$P$2:$P$3000,"Yes")</f>
        <v>1.2</v>
      </c>
      <c r="AT189" s="26" t="n">
        <f aca="false">SUMIFS(Permissions!$AK$2:$AK$3000,Permissions!$B$2:$B$3000,$A189,Permissions!$P$2:$P$3000,"Yes")</f>
        <v>0</v>
      </c>
      <c r="AU189" s="26" t="n">
        <f aca="false">SUMIFS(Permissions!$AL$2:$AL$3000,Permissions!$B$2:$B$3000,$A189,Permissions!$P$2:$P$3000,"Yes")</f>
        <v>0</v>
      </c>
      <c r="AV189" s="26" t="n">
        <f aca="false">SUMIFS(Permissions!$AM$2:$AM$3000,Permissions!$B$2:$B$3000,$A189,Permissions!$P$2:$P$3000,"Yes")</f>
        <v>0</v>
      </c>
      <c r="AW189" s="24" t="n">
        <f aca="false">COUNTIFS(Permissions!$B$2:$B$3000,$A189,Permissions!$P$2:$P$3000,"Yes")</f>
        <v>1</v>
      </c>
      <c r="AX189" s="24" t="n">
        <f aca="false">SUMIFS(Permissions!$L$2:$L$3000,Permissions!$B$2:$B$3000,$A189,Permissions!$P$2:$P$3000,"Yes")</f>
        <v>0</v>
      </c>
      <c r="AY189" s="27" t="str">
        <f aca="false">IF(AND(AK189&gt;0,AG189&gt;=AK189,AN189=0),"Built out",IF(AG189&gt;0,"Partly built",IF(AK189&gt;0,"Consented – not built","No consent")))</f>
        <v>Consented – not built</v>
      </c>
      <c r="AZ189" s="28" t="str">
        <f aca="false">IF(AND(R189&lt;&gt;"",AK189&gt;1.1*R189),"Consented above capacity",IF(AND(LEFT(B189,8)="Planning",AW189=0),"Consent parcel with no permission",IF(COUNTIF($A$2:$A$3000,$A189)&gt;1,"Duplicate parcel_id","")))</f>
        <v/>
      </c>
    </row>
    <row r="190" customFormat="false" ht="15" hidden="false" customHeight="false" outlineLevel="0" collapsed="false">
      <c r="A190" s="15" t="s">
        <v>458</v>
      </c>
      <c r="B190" s="15" t="s">
        <v>12</v>
      </c>
      <c r="C190" s="15" t="s">
        <v>16</v>
      </c>
      <c r="D190" s="15" t="s">
        <v>53</v>
      </c>
      <c r="E190" s="15" t="s">
        <v>19</v>
      </c>
      <c r="F190" s="15" t="n">
        <v>1</v>
      </c>
      <c r="G190" s="15" t="s">
        <v>154</v>
      </c>
      <c r="H190" s="15"/>
      <c r="I190" s="15" t="s">
        <v>53</v>
      </c>
      <c r="J190" s="15" t="s">
        <v>155</v>
      </c>
      <c r="K190" s="15" t="s">
        <v>459</v>
      </c>
      <c r="L190" s="15"/>
      <c r="M190" s="15"/>
      <c r="N190" s="15"/>
      <c r="O190" s="15"/>
      <c r="P190" s="15" t="n">
        <v>0.129</v>
      </c>
      <c r="Q190" s="15" t="n">
        <v>0.129</v>
      </c>
      <c r="R190" s="15"/>
      <c r="S190" s="15" t="s">
        <v>346</v>
      </c>
      <c r="T190" s="15"/>
      <c r="U190" s="15"/>
      <c r="V190" s="15"/>
      <c r="W190" s="15"/>
      <c r="X190" s="15"/>
      <c r="Y190" s="15"/>
      <c r="Z190" s="15"/>
      <c r="AA190" s="15" t="n">
        <v>0</v>
      </c>
      <c r="AB190" s="15" t="n">
        <v>0</v>
      </c>
      <c r="AC190" s="15"/>
      <c r="AD190" s="15"/>
      <c r="AE190" s="15" t="s">
        <v>163</v>
      </c>
      <c r="AF190" s="15"/>
      <c r="AG190" s="24" t="n">
        <f aca="false">SUMIFS(Permissions!$G$2:$G$3000,Permissions!$B$2:$B$3000,$A190,Permissions!$I$2:$I$3000,"Complete",Permissions!$P$2:$P$3000,"Yes")</f>
        <v>0</v>
      </c>
      <c r="AH190" s="24" t="n">
        <f aca="false">SUMIFS(Permissions!$G$2:$G$3000,Permissions!$B$2:$B$3000,$A190,Permissions!$I$2:$I$3000,"Under construction",Permissions!$P$2:$P$3000,"Yes")</f>
        <v>0</v>
      </c>
      <c r="AI190" s="24" t="n">
        <f aca="false">SUMIFS(Permissions!$G$2:$G$3000,Permissions!$B$2:$B$3000,$A190,Permissions!$I$2:$I$3000,"Permitted – not started",Permissions!$P$2:$P$3000,"Yes")</f>
        <v>40</v>
      </c>
      <c r="AJ190" s="24" t="n">
        <f aca="false">SUMIFS(Permissions!$G$2:$G$3000,Permissions!$B$2:$B$3000,$A190,Permissions!$I$2:$I$3000,"Stalled",Permissions!$P$2:$P$3000,"Yes")</f>
        <v>0</v>
      </c>
      <c r="AK190" s="24" t="n">
        <f aca="false">AG190+AH190+AI190+AJ190</f>
        <v>40</v>
      </c>
      <c r="AL190" s="24" t="n">
        <f aca="false">SUMIFS(Permissions!$G$2:$G$3000,Permissions!$B$2:$B$3000,$A190,Permissions!$I$2:$I$3000,"Expired – not started",Permissions!$P$2:$P$3000,"Yes")</f>
        <v>0</v>
      </c>
      <c r="AM190" s="24" t="n">
        <f aca="false">SUMIFS(Permissions!$G$2:$G$3000,Permissions!$B$2:$B$3000,$A190,Permissions!$I$2:$I$3000,"In planning",Permissions!$P$2:$P$3000,"Yes")</f>
        <v>0</v>
      </c>
      <c r="AN190" s="24" t="n">
        <f aca="false">IF(R190="",0,MAX(R190-AK190,0))</f>
        <v>0</v>
      </c>
      <c r="AO190" s="25" t="n">
        <f aca="false">AK190+AN190</f>
        <v>40</v>
      </c>
      <c r="AP190" s="24" t="n">
        <f aca="false">AO190-AG190</f>
        <v>40</v>
      </c>
      <c r="AQ190" s="26" t="n">
        <f aca="false">SUMIFS(Permissions!$AH$2:$AH$3000,Permissions!$B$2:$B$3000,$A190,Permissions!$P$2:$P$3000,"Yes")</f>
        <v>0</v>
      </c>
      <c r="AR190" s="26" t="n">
        <f aca="false">SUMIFS(Permissions!$AI$2:$AI$3000,Permissions!$B$2:$B$3000,$A190,Permissions!$P$2:$P$3000,"Yes")</f>
        <v>0</v>
      </c>
      <c r="AS190" s="26" t="n">
        <f aca="false">SUMIFS(Permissions!$AJ$2:$AJ$3000,Permissions!$B$2:$B$3000,$A190,Permissions!$P$2:$P$3000,"Yes")</f>
        <v>22</v>
      </c>
      <c r="AT190" s="26" t="n">
        <f aca="false">SUMIFS(Permissions!$AK$2:$AK$3000,Permissions!$B$2:$B$3000,$A190,Permissions!$P$2:$P$3000,"Yes")</f>
        <v>18</v>
      </c>
      <c r="AU190" s="26" t="n">
        <f aca="false">SUMIFS(Permissions!$AL$2:$AL$3000,Permissions!$B$2:$B$3000,$A190,Permissions!$P$2:$P$3000,"Yes")</f>
        <v>0</v>
      </c>
      <c r="AV190" s="26" t="n">
        <f aca="false">SUMIFS(Permissions!$AM$2:$AM$3000,Permissions!$B$2:$B$3000,$A190,Permissions!$P$2:$P$3000,"Yes")</f>
        <v>0</v>
      </c>
      <c r="AW190" s="24" t="n">
        <f aca="false">COUNTIFS(Permissions!$B$2:$B$3000,$A190,Permissions!$P$2:$P$3000,"Yes")</f>
        <v>1</v>
      </c>
      <c r="AX190" s="24" t="n">
        <f aca="false">SUMIFS(Permissions!$L$2:$L$3000,Permissions!$B$2:$B$3000,$A190,Permissions!$P$2:$P$3000,"Yes")</f>
        <v>0</v>
      </c>
      <c r="AY190" s="27" t="str">
        <f aca="false">IF(AND(AK190&gt;0,AG190&gt;=AK190,AN190=0),"Built out",IF(AG190&gt;0,"Partly built",IF(AK190&gt;0,"Consented – not built","No consent")))</f>
        <v>Consented – not built</v>
      </c>
      <c r="AZ190" s="28" t="str">
        <f aca="false">IF(AND(R190&lt;&gt;"",AK190&gt;1.1*R190),"Consented above capacity",IF(AND(LEFT(B190,8)="Planning",AW190=0),"Consent parcel with no permission",IF(COUNTIF($A$2:$A$3000,$A190)&gt;1,"Duplicate parcel_id","")))</f>
        <v/>
      </c>
    </row>
    <row r="191" customFormat="false" ht="15" hidden="false" customHeight="false" outlineLevel="0" collapsed="false">
      <c r="A191" s="15" t="s">
        <v>460</v>
      </c>
      <c r="B191" s="15" t="s">
        <v>12</v>
      </c>
      <c r="C191" s="15" t="s">
        <v>16</v>
      </c>
      <c r="D191" s="15" t="s">
        <v>53</v>
      </c>
      <c r="E191" s="15" t="s">
        <v>19</v>
      </c>
      <c r="F191" s="15" t="n">
        <v>1</v>
      </c>
      <c r="G191" s="15" t="s">
        <v>154</v>
      </c>
      <c r="H191" s="15"/>
      <c r="I191" s="15" t="s">
        <v>53</v>
      </c>
      <c r="J191" s="15" t="s">
        <v>176</v>
      </c>
      <c r="K191" s="15" t="s">
        <v>461</v>
      </c>
      <c r="L191" s="15"/>
      <c r="M191" s="15"/>
      <c r="N191" s="15"/>
      <c r="O191" s="15"/>
      <c r="P191" s="15" t="n">
        <v>0.054</v>
      </c>
      <c r="Q191" s="15" t="n">
        <v>0.054</v>
      </c>
      <c r="R191" s="15"/>
      <c r="S191" s="15" t="s">
        <v>346</v>
      </c>
      <c r="T191" s="15"/>
      <c r="U191" s="15"/>
      <c r="V191" s="15"/>
      <c r="W191" s="15"/>
      <c r="X191" s="15"/>
      <c r="Y191" s="15"/>
      <c r="Z191" s="15"/>
      <c r="AA191" s="15" t="n">
        <v>0</v>
      </c>
      <c r="AB191" s="15" t="n">
        <v>0</v>
      </c>
      <c r="AC191" s="15"/>
      <c r="AD191" s="15"/>
      <c r="AE191" s="15" t="s">
        <v>163</v>
      </c>
      <c r="AF191" s="15"/>
      <c r="AG191" s="24" t="n">
        <f aca="false">SUMIFS(Permissions!$G$2:$G$3000,Permissions!$B$2:$B$3000,$A191,Permissions!$I$2:$I$3000,"Complete",Permissions!$P$2:$P$3000,"Yes")</f>
        <v>0</v>
      </c>
      <c r="AH191" s="24" t="n">
        <f aca="false">SUMIFS(Permissions!$G$2:$G$3000,Permissions!$B$2:$B$3000,$A191,Permissions!$I$2:$I$3000,"Under construction",Permissions!$P$2:$P$3000,"Yes")</f>
        <v>0</v>
      </c>
      <c r="AI191" s="24" t="n">
        <f aca="false">SUMIFS(Permissions!$G$2:$G$3000,Permissions!$B$2:$B$3000,$A191,Permissions!$I$2:$I$3000,"Permitted – not started",Permissions!$P$2:$P$3000,"Yes")</f>
        <v>15</v>
      </c>
      <c r="AJ191" s="24" t="n">
        <f aca="false">SUMIFS(Permissions!$G$2:$G$3000,Permissions!$B$2:$B$3000,$A191,Permissions!$I$2:$I$3000,"Stalled",Permissions!$P$2:$P$3000,"Yes")</f>
        <v>0</v>
      </c>
      <c r="AK191" s="24" t="n">
        <f aca="false">AG191+AH191+AI191+AJ191</f>
        <v>15</v>
      </c>
      <c r="AL191" s="24" t="n">
        <f aca="false">SUMIFS(Permissions!$G$2:$G$3000,Permissions!$B$2:$B$3000,$A191,Permissions!$I$2:$I$3000,"Expired – not started",Permissions!$P$2:$P$3000,"Yes")</f>
        <v>0</v>
      </c>
      <c r="AM191" s="24" t="n">
        <f aca="false">SUMIFS(Permissions!$G$2:$G$3000,Permissions!$B$2:$B$3000,$A191,Permissions!$I$2:$I$3000,"In planning",Permissions!$P$2:$P$3000,"Yes")</f>
        <v>0</v>
      </c>
      <c r="AN191" s="24" t="n">
        <f aca="false">IF(R191="",0,MAX(R191-AK191,0))</f>
        <v>0</v>
      </c>
      <c r="AO191" s="25" t="n">
        <f aca="false">AK191+AN191</f>
        <v>15</v>
      </c>
      <c r="AP191" s="24" t="n">
        <f aca="false">AO191-AG191</f>
        <v>15</v>
      </c>
      <c r="AQ191" s="26" t="n">
        <f aca="false">SUMIFS(Permissions!$AH$2:$AH$3000,Permissions!$B$2:$B$3000,$A191,Permissions!$P$2:$P$3000,"Yes")</f>
        <v>0</v>
      </c>
      <c r="AR191" s="26" t="n">
        <f aca="false">SUMIFS(Permissions!$AI$2:$AI$3000,Permissions!$B$2:$B$3000,$A191,Permissions!$P$2:$P$3000,"Yes")</f>
        <v>0</v>
      </c>
      <c r="AS191" s="26" t="n">
        <f aca="false">SUMIFS(Permissions!$AJ$2:$AJ$3000,Permissions!$B$2:$B$3000,$A191,Permissions!$P$2:$P$3000,"Yes")</f>
        <v>8.8</v>
      </c>
      <c r="AT191" s="26" t="n">
        <f aca="false">SUMIFS(Permissions!$AK$2:$AK$3000,Permissions!$B$2:$B$3000,$A191,Permissions!$P$2:$P$3000,"Yes")</f>
        <v>6.2</v>
      </c>
      <c r="AU191" s="26" t="n">
        <f aca="false">SUMIFS(Permissions!$AL$2:$AL$3000,Permissions!$B$2:$B$3000,$A191,Permissions!$P$2:$P$3000,"Yes")</f>
        <v>0</v>
      </c>
      <c r="AV191" s="26" t="n">
        <f aca="false">SUMIFS(Permissions!$AM$2:$AM$3000,Permissions!$B$2:$B$3000,$A191,Permissions!$P$2:$P$3000,"Yes")</f>
        <v>0</v>
      </c>
      <c r="AW191" s="24" t="n">
        <f aca="false">COUNTIFS(Permissions!$B$2:$B$3000,$A191,Permissions!$P$2:$P$3000,"Yes")</f>
        <v>1</v>
      </c>
      <c r="AX191" s="24" t="n">
        <f aca="false">SUMIFS(Permissions!$L$2:$L$3000,Permissions!$B$2:$B$3000,$A191,Permissions!$P$2:$P$3000,"Yes")</f>
        <v>0</v>
      </c>
      <c r="AY191" s="27" t="str">
        <f aca="false">IF(AND(AK191&gt;0,AG191&gt;=AK191,AN191=0),"Built out",IF(AG191&gt;0,"Partly built",IF(AK191&gt;0,"Consented – not built","No consent")))</f>
        <v>Consented – not built</v>
      </c>
      <c r="AZ191" s="28" t="str">
        <f aca="false">IF(AND(R191&lt;&gt;"",AK191&gt;1.1*R191),"Consented above capacity",IF(AND(LEFT(B191,8)="Planning",AW191=0),"Consent parcel with no permission",IF(COUNTIF($A$2:$A$3000,$A191)&gt;1,"Duplicate parcel_id","")))</f>
        <v/>
      </c>
    </row>
    <row r="192" customFormat="false" ht="15" hidden="false" customHeight="false" outlineLevel="0" collapsed="false">
      <c r="A192" s="15" t="s">
        <v>462</v>
      </c>
      <c r="B192" s="15" t="s">
        <v>12</v>
      </c>
      <c r="C192" s="15" t="s">
        <v>16</v>
      </c>
      <c r="D192" s="15" t="s">
        <v>53</v>
      </c>
      <c r="E192" s="15" t="s">
        <v>19</v>
      </c>
      <c r="F192" s="15" t="n">
        <v>1</v>
      </c>
      <c r="G192" s="15" t="s">
        <v>154</v>
      </c>
      <c r="H192" s="15"/>
      <c r="I192" s="15" t="s">
        <v>53</v>
      </c>
      <c r="J192" s="15" t="s">
        <v>155</v>
      </c>
      <c r="K192" s="15" t="s">
        <v>463</v>
      </c>
      <c r="L192" s="15"/>
      <c r="M192" s="15"/>
      <c r="N192" s="15"/>
      <c r="O192" s="15"/>
      <c r="P192" s="15" t="n">
        <v>0.022</v>
      </c>
      <c r="Q192" s="15" t="n">
        <v>0.022</v>
      </c>
      <c r="R192" s="15"/>
      <c r="S192" s="15" t="s">
        <v>346</v>
      </c>
      <c r="T192" s="15"/>
      <c r="U192" s="15"/>
      <c r="V192" s="15"/>
      <c r="W192" s="15"/>
      <c r="X192" s="15"/>
      <c r="Y192" s="15"/>
      <c r="Z192" s="15"/>
      <c r="AA192" s="15" t="n">
        <v>0</v>
      </c>
      <c r="AB192" s="15" t="n">
        <v>0</v>
      </c>
      <c r="AC192" s="15"/>
      <c r="AD192" s="15"/>
      <c r="AE192" s="15" t="s">
        <v>163</v>
      </c>
      <c r="AF192" s="15"/>
      <c r="AG192" s="24" t="n">
        <f aca="false">SUMIFS(Permissions!$G$2:$G$3000,Permissions!$B$2:$B$3000,$A192,Permissions!$I$2:$I$3000,"Complete",Permissions!$P$2:$P$3000,"Yes")</f>
        <v>0</v>
      </c>
      <c r="AH192" s="24" t="n">
        <f aca="false">SUMIFS(Permissions!$G$2:$G$3000,Permissions!$B$2:$B$3000,$A192,Permissions!$I$2:$I$3000,"Under construction",Permissions!$P$2:$P$3000,"Yes")</f>
        <v>6</v>
      </c>
      <c r="AI192" s="24" t="n">
        <f aca="false">SUMIFS(Permissions!$G$2:$G$3000,Permissions!$B$2:$B$3000,$A192,Permissions!$I$2:$I$3000,"Permitted – not started",Permissions!$P$2:$P$3000,"Yes")</f>
        <v>0</v>
      </c>
      <c r="AJ192" s="24" t="n">
        <f aca="false">SUMIFS(Permissions!$G$2:$G$3000,Permissions!$B$2:$B$3000,$A192,Permissions!$I$2:$I$3000,"Stalled",Permissions!$P$2:$P$3000,"Yes")</f>
        <v>0</v>
      </c>
      <c r="AK192" s="24" t="n">
        <f aca="false">AG192+AH192+AI192+AJ192</f>
        <v>6</v>
      </c>
      <c r="AL192" s="24" t="n">
        <f aca="false">SUMIFS(Permissions!$G$2:$G$3000,Permissions!$B$2:$B$3000,$A192,Permissions!$I$2:$I$3000,"Expired – not started",Permissions!$P$2:$P$3000,"Yes")</f>
        <v>0</v>
      </c>
      <c r="AM192" s="24" t="n">
        <f aca="false">SUMIFS(Permissions!$G$2:$G$3000,Permissions!$B$2:$B$3000,$A192,Permissions!$I$2:$I$3000,"In planning",Permissions!$P$2:$P$3000,"Yes")</f>
        <v>0</v>
      </c>
      <c r="AN192" s="24" t="n">
        <f aca="false">IF(R192="",0,MAX(R192-AK192,0))</f>
        <v>0</v>
      </c>
      <c r="AO192" s="25" t="n">
        <f aca="false">AK192+AN192</f>
        <v>6</v>
      </c>
      <c r="AP192" s="24" t="n">
        <f aca="false">AO192-AG192</f>
        <v>6</v>
      </c>
      <c r="AQ192" s="26" t="n">
        <f aca="false">SUMIFS(Permissions!$AH$2:$AH$3000,Permissions!$B$2:$B$3000,$A192,Permissions!$P$2:$P$3000,"Yes")</f>
        <v>0</v>
      </c>
      <c r="AR192" s="26" t="n">
        <f aca="false">SUMIFS(Permissions!$AI$2:$AI$3000,Permissions!$B$2:$B$3000,$A192,Permissions!$P$2:$P$3000,"Yes")</f>
        <v>6</v>
      </c>
      <c r="AS192" s="26" t="n">
        <f aca="false">SUMIFS(Permissions!$AJ$2:$AJ$3000,Permissions!$B$2:$B$3000,$A192,Permissions!$P$2:$P$3000,"Yes")</f>
        <v>0</v>
      </c>
      <c r="AT192" s="26" t="n">
        <f aca="false">SUMIFS(Permissions!$AK$2:$AK$3000,Permissions!$B$2:$B$3000,$A192,Permissions!$P$2:$P$3000,"Yes")</f>
        <v>0</v>
      </c>
      <c r="AU192" s="26" t="n">
        <f aca="false">SUMIFS(Permissions!$AL$2:$AL$3000,Permissions!$B$2:$B$3000,$A192,Permissions!$P$2:$P$3000,"Yes")</f>
        <v>0</v>
      </c>
      <c r="AV192" s="26" t="n">
        <f aca="false">SUMIFS(Permissions!$AM$2:$AM$3000,Permissions!$B$2:$B$3000,$A192,Permissions!$P$2:$P$3000,"Yes")</f>
        <v>0</v>
      </c>
      <c r="AW192" s="24" t="n">
        <f aca="false">COUNTIFS(Permissions!$B$2:$B$3000,$A192,Permissions!$P$2:$P$3000,"Yes")</f>
        <v>1</v>
      </c>
      <c r="AX192" s="24" t="n">
        <f aca="false">SUMIFS(Permissions!$L$2:$L$3000,Permissions!$B$2:$B$3000,$A192,Permissions!$P$2:$P$3000,"Yes")</f>
        <v>0</v>
      </c>
      <c r="AY192" s="27" t="str">
        <f aca="false">IF(AND(AK192&gt;0,AG192&gt;=AK192,AN192=0),"Built out",IF(AG192&gt;0,"Partly built",IF(AK192&gt;0,"Consented – not built","No consent")))</f>
        <v>Consented – not built</v>
      </c>
      <c r="AZ192" s="28" t="str">
        <f aca="false">IF(AND(R192&lt;&gt;"",AK192&gt;1.1*R192),"Consented above capacity",IF(AND(LEFT(B192,8)="Planning",AW192=0),"Consent parcel with no permission",IF(COUNTIF($A$2:$A$3000,$A192)&gt;1,"Duplicate parcel_id","")))</f>
        <v/>
      </c>
    </row>
    <row r="193" customFormat="false" ht="15" hidden="false" customHeight="false" outlineLevel="0" collapsed="false">
      <c r="A193" s="15" t="s">
        <v>464</v>
      </c>
      <c r="B193" s="15" t="s">
        <v>12</v>
      </c>
      <c r="C193" s="15" t="s">
        <v>16</v>
      </c>
      <c r="D193" s="15" t="s">
        <v>53</v>
      </c>
      <c r="E193" s="15" t="s">
        <v>19</v>
      </c>
      <c r="F193" s="15" t="n">
        <v>1</v>
      </c>
      <c r="G193" s="15" t="s">
        <v>154</v>
      </c>
      <c r="H193" s="15"/>
      <c r="I193" s="15" t="s">
        <v>53</v>
      </c>
      <c r="J193" s="15" t="s">
        <v>176</v>
      </c>
      <c r="K193" s="15" t="s">
        <v>465</v>
      </c>
      <c r="L193" s="15"/>
      <c r="M193" s="15"/>
      <c r="N193" s="15"/>
      <c r="O193" s="15"/>
      <c r="P193" s="15" t="n">
        <v>0.032</v>
      </c>
      <c r="Q193" s="15" t="n">
        <v>0.032</v>
      </c>
      <c r="R193" s="15"/>
      <c r="S193" s="15" t="s">
        <v>346</v>
      </c>
      <c r="T193" s="15"/>
      <c r="U193" s="15"/>
      <c r="V193" s="15"/>
      <c r="W193" s="15"/>
      <c r="X193" s="15"/>
      <c r="Y193" s="15"/>
      <c r="Z193" s="15"/>
      <c r="AA193" s="15" t="n">
        <v>4</v>
      </c>
      <c r="AB193" s="15" t="n">
        <v>0</v>
      </c>
      <c r="AC193" s="15"/>
      <c r="AD193" s="15"/>
      <c r="AE193" s="15" t="s">
        <v>163</v>
      </c>
      <c r="AF193" s="15"/>
      <c r="AG193" s="24" t="n">
        <f aca="false">SUMIFS(Permissions!$G$2:$G$3000,Permissions!$B$2:$B$3000,$A193,Permissions!$I$2:$I$3000,"Complete",Permissions!$P$2:$P$3000,"Yes")</f>
        <v>0</v>
      </c>
      <c r="AH193" s="24" t="n">
        <f aca="false">SUMIFS(Permissions!$G$2:$G$3000,Permissions!$B$2:$B$3000,$A193,Permissions!$I$2:$I$3000,"Under construction",Permissions!$P$2:$P$3000,"Yes")</f>
        <v>7</v>
      </c>
      <c r="AI193" s="24" t="n">
        <f aca="false">SUMIFS(Permissions!$G$2:$G$3000,Permissions!$B$2:$B$3000,$A193,Permissions!$I$2:$I$3000,"Permitted – not started",Permissions!$P$2:$P$3000,"Yes")</f>
        <v>0</v>
      </c>
      <c r="AJ193" s="24" t="n">
        <f aca="false">SUMIFS(Permissions!$G$2:$G$3000,Permissions!$B$2:$B$3000,$A193,Permissions!$I$2:$I$3000,"Stalled",Permissions!$P$2:$P$3000,"Yes")</f>
        <v>0</v>
      </c>
      <c r="AK193" s="24" t="n">
        <f aca="false">AG193+AH193+AI193+AJ193</f>
        <v>7</v>
      </c>
      <c r="AL193" s="24" t="n">
        <f aca="false">SUMIFS(Permissions!$G$2:$G$3000,Permissions!$B$2:$B$3000,$A193,Permissions!$I$2:$I$3000,"Expired – not started",Permissions!$P$2:$P$3000,"Yes")</f>
        <v>0</v>
      </c>
      <c r="AM193" s="24" t="n">
        <f aca="false">SUMIFS(Permissions!$G$2:$G$3000,Permissions!$B$2:$B$3000,$A193,Permissions!$I$2:$I$3000,"In planning",Permissions!$P$2:$P$3000,"Yes")</f>
        <v>0</v>
      </c>
      <c r="AN193" s="24" t="n">
        <f aca="false">IF(R193="",0,MAX(R193-AK193,0))</f>
        <v>0</v>
      </c>
      <c r="AO193" s="25" t="n">
        <f aca="false">AK193+AN193</f>
        <v>7</v>
      </c>
      <c r="AP193" s="24" t="n">
        <f aca="false">AO193-AG193</f>
        <v>7</v>
      </c>
      <c r="AQ193" s="26" t="n">
        <f aca="false">SUMIFS(Permissions!$AH$2:$AH$3000,Permissions!$B$2:$B$3000,$A193,Permissions!$P$2:$P$3000,"Yes")</f>
        <v>0</v>
      </c>
      <c r="AR193" s="26" t="n">
        <f aca="false">SUMIFS(Permissions!$AI$2:$AI$3000,Permissions!$B$2:$B$3000,$A193,Permissions!$P$2:$P$3000,"Yes")</f>
        <v>6.6</v>
      </c>
      <c r="AS193" s="26" t="n">
        <f aca="false">SUMIFS(Permissions!$AJ$2:$AJ$3000,Permissions!$B$2:$B$3000,$A193,Permissions!$P$2:$P$3000,"Yes")</f>
        <v>0.4</v>
      </c>
      <c r="AT193" s="26" t="n">
        <f aca="false">SUMIFS(Permissions!$AK$2:$AK$3000,Permissions!$B$2:$B$3000,$A193,Permissions!$P$2:$P$3000,"Yes")</f>
        <v>0</v>
      </c>
      <c r="AU193" s="26" t="n">
        <f aca="false">SUMIFS(Permissions!$AL$2:$AL$3000,Permissions!$B$2:$B$3000,$A193,Permissions!$P$2:$P$3000,"Yes")</f>
        <v>0</v>
      </c>
      <c r="AV193" s="26" t="n">
        <f aca="false">SUMIFS(Permissions!$AM$2:$AM$3000,Permissions!$B$2:$B$3000,$A193,Permissions!$P$2:$P$3000,"Yes")</f>
        <v>0</v>
      </c>
      <c r="AW193" s="24" t="n">
        <f aca="false">COUNTIFS(Permissions!$B$2:$B$3000,$A193,Permissions!$P$2:$P$3000,"Yes")</f>
        <v>1</v>
      </c>
      <c r="AX193" s="24" t="n">
        <f aca="false">SUMIFS(Permissions!$L$2:$L$3000,Permissions!$B$2:$B$3000,$A193,Permissions!$P$2:$P$3000,"Yes")</f>
        <v>0</v>
      </c>
      <c r="AY193" s="27" t="str">
        <f aca="false">IF(AND(AK193&gt;0,AG193&gt;=AK193,AN193=0),"Built out",IF(AG193&gt;0,"Partly built",IF(AK193&gt;0,"Consented – not built","No consent")))</f>
        <v>Consented – not built</v>
      </c>
      <c r="AZ193" s="28" t="str">
        <f aca="false">IF(AND(R193&lt;&gt;"",AK193&gt;1.1*R193),"Consented above capacity",IF(AND(LEFT(B193,8)="Planning",AW193=0),"Consent parcel with no permission",IF(COUNTIF($A$2:$A$3000,$A193)&gt;1,"Duplicate parcel_id","")))</f>
        <v/>
      </c>
    </row>
    <row r="194" customFormat="false" ht="15" hidden="false" customHeight="false" outlineLevel="0" collapsed="false">
      <c r="A194" s="15" t="s">
        <v>466</v>
      </c>
      <c r="B194" s="15" t="s">
        <v>12</v>
      </c>
      <c r="C194" s="15" t="s">
        <v>16</v>
      </c>
      <c r="D194" s="15" t="s">
        <v>53</v>
      </c>
      <c r="E194" s="15" t="s">
        <v>19</v>
      </c>
      <c r="F194" s="15" t="n">
        <v>1</v>
      </c>
      <c r="G194" s="15" t="s">
        <v>154</v>
      </c>
      <c r="H194" s="15"/>
      <c r="I194" s="15" t="s">
        <v>53</v>
      </c>
      <c r="J194" s="15" t="s">
        <v>155</v>
      </c>
      <c r="K194" s="15" t="s">
        <v>467</v>
      </c>
      <c r="L194" s="15"/>
      <c r="M194" s="15"/>
      <c r="N194" s="15"/>
      <c r="O194" s="15"/>
      <c r="P194" s="15" t="n">
        <v>0.032</v>
      </c>
      <c r="Q194" s="15" t="n">
        <v>0.032</v>
      </c>
      <c r="R194" s="15"/>
      <c r="S194" s="15" t="s">
        <v>346</v>
      </c>
      <c r="T194" s="15"/>
      <c r="U194" s="15"/>
      <c r="V194" s="15"/>
      <c r="W194" s="15"/>
      <c r="X194" s="15"/>
      <c r="Y194" s="15"/>
      <c r="Z194" s="15"/>
      <c r="AA194" s="15" t="n">
        <v>0</v>
      </c>
      <c r="AB194" s="15" t="n">
        <v>0</v>
      </c>
      <c r="AC194" s="15"/>
      <c r="AD194" s="15"/>
      <c r="AE194" s="15" t="s">
        <v>163</v>
      </c>
      <c r="AF194" s="15"/>
      <c r="AG194" s="24" t="n">
        <f aca="false">SUMIFS(Permissions!$G$2:$G$3000,Permissions!$B$2:$B$3000,$A194,Permissions!$I$2:$I$3000,"Complete",Permissions!$P$2:$P$3000,"Yes")</f>
        <v>0</v>
      </c>
      <c r="AH194" s="24" t="n">
        <f aca="false">SUMIFS(Permissions!$G$2:$G$3000,Permissions!$B$2:$B$3000,$A194,Permissions!$I$2:$I$3000,"Under construction",Permissions!$P$2:$P$3000,"Yes")</f>
        <v>0</v>
      </c>
      <c r="AI194" s="24" t="n">
        <f aca="false">SUMIFS(Permissions!$G$2:$G$3000,Permissions!$B$2:$B$3000,$A194,Permissions!$I$2:$I$3000,"Permitted – not started",Permissions!$P$2:$P$3000,"Yes")</f>
        <v>16</v>
      </c>
      <c r="AJ194" s="24" t="n">
        <f aca="false">SUMIFS(Permissions!$G$2:$G$3000,Permissions!$B$2:$B$3000,$A194,Permissions!$I$2:$I$3000,"Stalled",Permissions!$P$2:$P$3000,"Yes")</f>
        <v>0</v>
      </c>
      <c r="AK194" s="24" t="n">
        <f aca="false">AG194+AH194+AI194+AJ194</f>
        <v>16</v>
      </c>
      <c r="AL194" s="24" t="n">
        <f aca="false">SUMIFS(Permissions!$G$2:$G$3000,Permissions!$B$2:$B$3000,$A194,Permissions!$I$2:$I$3000,"Expired – not started",Permissions!$P$2:$P$3000,"Yes")</f>
        <v>0</v>
      </c>
      <c r="AM194" s="24" t="n">
        <f aca="false">SUMIFS(Permissions!$G$2:$G$3000,Permissions!$B$2:$B$3000,$A194,Permissions!$I$2:$I$3000,"In planning",Permissions!$P$2:$P$3000,"Yes")</f>
        <v>0</v>
      </c>
      <c r="AN194" s="24" t="n">
        <f aca="false">IF(R194="",0,MAX(R194-AK194,0))</f>
        <v>0</v>
      </c>
      <c r="AO194" s="25" t="n">
        <f aca="false">AK194+AN194</f>
        <v>16</v>
      </c>
      <c r="AP194" s="24" t="n">
        <f aca="false">AO194-AG194</f>
        <v>16</v>
      </c>
      <c r="AQ194" s="26" t="n">
        <f aca="false">SUMIFS(Permissions!$AH$2:$AH$3000,Permissions!$B$2:$B$3000,$A194,Permissions!$P$2:$P$3000,"Yes")</f>
        <v>0</v>
      </c>
      <c r="AR194" s="26" t="n">
        <f aca="false">SUMIFS(Permissions!$AI$2:$AI$3000,Permissions!$B$2:$B$3000,$A194,Permissions!$P$2:$P$3000,"Yes")</f>
        <v>0</v>
      </c>
      <c r="AS194" s="26" t="n">
        <f aca="false">SUMIFS(Permissions!$AJ$2:$AJ$3000,Permissions!$B$2:$B$3000,$A194,Permissions!$P$2:$P$3000,"Yes")</f>
        <v>3.1</v>
      </c>
      <c r="AT194" s="26" t="n">
        <f aca="false">SUMIFS(Permissions!$AK$2:$AK$3000,Permissions!$B$2:$B$3000,$A194,Permissions!$P$2:$P$3000,"Yes")</f>
        <v>12.9</v>
      </c>
      <c r="AU194" s="26" t="n">
        <f aca="false">SUMIFS(Permissions!$AL$2:$AL$3000,Permissions!$B$2:$B$3000,$A194,Permissions!$P$2:$P$3000,"Yes")</f>
        <v>0</v>
      </c>
      <c r="AV194" s="26" t="n">
        <f aca="false">SUMIFS(Permissions!$AM$2:$AM$3000,Permissions!$B$2:$B$3000,$A194,Permissions!$P$2:$P$3000,"Yes")</f>
        <v>0</v>
      </c>
      <c r="AW194" s="24" t="n">
        <f aca="false">COUNTIFS(Permissions!$B$2:$B$3000,$A194,Permissions!$P$2:$P$3000,"Yes")</f>
        <v>1</v>
      </c>
      <c r="AX194" s="24" t="n">
        <f aca="false">SUMIFS(Permissions!$L$2:$L$3000,Permissions!$B$2:$B$3000,$A194,Permissions!$P$2:$P$3000,"Yes")</f>
        <v>0</v>
      </c>
      <c r="AY194" s="27" t="str">
        <f aca="false">IF(AND(AK194&gt;0,AG194&gt;=AK194,AN194=0),"Built out",IF(AG194&gt;0,"Partly built",IF(AK194&gt;0,"Consented – not built","No consent")))</f>
        <v>Consented – not built</v>
      </c>
      <c r="AZ194" s="28" t="str">
        <f aca="false">IF(AND(R194&lt;&gt;"",AK194&gt;1.1*R194),"Consented above capacity",IF(AND(LEFT(B194,8)="Planning",AW194=0),"Consent parcel with no permission",IF(COUNTIF($A$2:$A$3000,$A194)&gt;1,"Duplicate parcel_id","")))</f>
        <v/>
      </c>
    </row>
    <row r="195" customFormat="false" ht="15" hidden="false" customHeight="false" outlineLevel="0" collapsed="false">
      <c r="A195" s="15" t="s">
        <v>468</v>
      </c>
      <c r="B195" s="15" t="s">
        <v>12</v>
      </c>
      <c r="C195" s="15" t="s">
        <v>16</v>
      </c>
      <c r="D195" s="15" t="s">
        <v>53</v>
      </c>
      <c r="E195" s="15" t="s">
        <v>19</v>
      </c>
      <c r="F195" s="15" t="n">
        <v>1</v>
      </c>
      <c r="G195" s="15" t="s">
        <v>154</v>
      </c>
      <c r="H195" s="15"/>
      <c r="I195" s="15" t="s">
        <v>53</v>
      </c>
      <c r="J195" s="15" t="s">
        <v>155</v>
      </c>
      <c r="K195" s="15" t="s">
        <v>469</v>
      </c>
      <c r="L195" s="15"/>
      <c r="M195" s="15"/>
      <c r="N195" s="15"/>
      <c r="O195" s="15"/>
      <c r="P195" s="15" t="n">
        <v>0.126</v>
      </c>
      <c r="Q195" s="15" t="n">
        <v>0.126</v>
      </c>
      <c r="R195" s="15"/>
      <c r="S195" s="15" t="s">
        <v>346</v>
      </c>
      <c r="T195" s="15"/>
      <c r="U195" s="15"/>
      <c r="V195" s="15"/>
      <c r="W195" s="15"/>
      <c r="X195" s="15"/>
      <c r="Y195" s="15"/>
      <c r="Z195" s="15"/>
      <c r="AA195" s="15" t="n">
        <v>0</v>
      </c>
      <c r="AB195" s="15" t="n">
        <v>0</v>
      </c>
      <c r="AC195" s="15"/>
      <c r="AD195" s="15"/>
      <c r="AE195" s="15" t="s">
        <v>163</v>
      </c>
      <c r="AF195" s="15"/>
      <c r="AG195" s="24" t="n">
        <f aca="false">SUMIFS(Permissions!$G$2:$G$3000,Permissions!$B$2:$B$3000,$A195,Permissions!$I$2:$I$3000,"Complete",Permissions!$P$2:$P$3000,"Yes")</f>
        <v>0</v>
      </c>
      <c r="AH195" s="24" t="n">
        <f aca="false">SUMIFS(Permissions!$G$2:$G$3000,Permissions!$B$2:$B$3000,$A195,Permissions!$I$2:$I$3000,"Under construction",Permissions!$P$2:$P$3000,"Yes")</f>
        <v>0</v>
      </c>
      <c r="AI195" s="24" t="n">
        <f aca="false">SUMIFS(Permissions!$G$2:$G$3000,Permissions!$B$2:$B$3000,$A195,Permissions!$I$2:$I$3000,"Permitted – not started",Permissions!$P$2:$P$3000,"Yes")</f>
        <v>48</v>
      </c>
      <c r="AJ195" s="24" t="n">
        <f aca="false">SUMIFS(Permissions!$G$2:$G$3000,Permissions!$B$2:$B$3000,$A195,Permissions!$I$2:$I$3000,"Stalled",Permissions!$P$2:$P$3000,"Yes")</f>
        <v>0</v>
      </c>
      <c r="AK195" s="24" t="n">
        <f aca="false">AG195+AH195+AI195+AJ195</f>
        <v>48</v>
      </c>
      <c r="AL195" s="24" t="n">
        <f aca="false">SUMIFS(Permissions!$G$2:$G$3000,Permissions!$B$2:$B$3000,$A195,Permissions!$I$2:$I$3000,"Expired – not started",Permissions!$P$2:$P$3000,"Yes")</f>
        <v>0</v>
      </c>
      <c r="AM195" s="24" t="n">
        <f aca="false">SUMIFS(Permissions!$G$2:$G$3000,Permissions!$B$2:$B$3000,$A195,Permissions!$I$2:$I$3000,"In planning",Permissions!$P$2:$P$3000,"Yes")</f>
        <v>0</v>
      </c>
      <c r="AN195" s="24" t="n">
        <f aca="false">IF(R195="",0,MAX(R195-AK195,0))</f>
        <v>0</v>
      </c>
      <c r="AO195" s="25" t="n">
        <f aca="false">AK195+AN195</f>
        <v>48</v>
      </c>
      <c r="AP195" s="24" t="n">
        <f aca="false">AO195-AG195</f>
        <v>48</v>
      </c>
      <c r="AQ195" s="26" t="n">
        <f aca="false">SUMIFS(Permissions!$AH$2:$AH$3000,Permissions!$B$2:$B$3000,$A195,Permissions!$P$2:$P$3000,"Yes")</f>
        <v>0</v>
      </c>
      <c r="AR195" s="26" t="n">
        <f aca="false">SUMIFS(Permissions!$AI$2:$AI$3000,Permissions!$B$2:$B$3000,$A195,Permissions!$P$2:$P$3000,"Yes")</f>
        <v>0</v>
      </c>
      <c r="AS195" s="26" t="n">
        <f aca="false">SUMIFS(Permissions!$AJ$2:$AJ$3000,Permissions!$B$2:$B$3000,$A195,Permissions!$P$2:$P$3000,"Yes")</f>
        <v>20.5</v>
      </c>
      <c r="AT195" s="26" t="n">
        <f aca="false">SUMIFS(Permissions!$AK$2:$AK$3000,Permissions!$B$2:$B$3000,$A195,Permissions!$P$2:$P$3000,"Yes")</f>
        <v>27.5</v>
      </c>
      <c r="AU195" s="26" t="n">
        <f aca="false">SUMIFS(Permissions!$AL$2:$AL$3000,Permissions!$B$2:$B$3000,$A195,Permissions!$P$2:$P$3000,"Yes")</f>
        <v>0</v>
      </c>
      <c r="AV195" s="26" t="n">
        <f aca="false">SUMIFS(Permissions!$AM$2:$AM$3000,Permissions!$B$2:$B$3000,$A195,Permissions!$P$2:$P$3000,"Yes")</f>
        <v>0</v>
      </c>
      <c r="AW195" s="24" t="n">
        <f aca="false">COUNTIFS(Permissions!$B$2:$B$3000,$A195,Permissions!$P$2:$P$3000,"Yes")</f>
        <v>1</v>
      </c>
      <c r="AX195" s="24" t="n">
        <f aca="false">SUMIFS(Permissions!$L$2:$L$3000,Permissions!$B$2:$B$3000,$A195,Permissions!$P$2:$P$3000,"Yes")</f>
        <v>0</v>
      </c>
      <c r="AY195" s="27" t="str">
        <f aca="false">IF(AND(AK195&gt;0,AG195&gt;=AK195,AN195=0),"Built out",IF(AG195&gt;0,"Partly built",IF(AK195&gt;0,"Consented – not built","No consent")))</f>
        <v>Consented – not built</v>
      </c>
      <c r="AZ195" s="28" t="str">
        <f aca="false">IF(AND(R195&lt;&gt;"",AK195&gt;1.1*R195),"Consented above capacity",IF(AND(LEFT(B195,8)="Planning",AW195=0),"Consent parcel with no permission",IF(COUNTIF($A$2:$A$3000,$A195)&gt;1,"Duplicate parcel_id","")))</f>
        <v/>
      </c>
    </row>
    <row r="196" customFormat="false" ht="15" hidden="false" customHeight="false" outlineLevel="0" collapsed="false">
      <c r="A196" s="15" t="s">
        <v>470</v>
      </c>
      <c r="B196" s="15" t="s">
        <v>12</v>
      </c>
      <c r="C196" s="15" t="s">
        <v>16</v>
      </c>
      <c r="D196" s="15" t="s">
        <v>53</v>
      </c>
      <c r="E196" s="15" t="s">
        <v>19</v>
      </c>
      <c r="F196" s="15" t="n">
        <v>1</v>
      </c>
      <c r="G196" s="15" t="s">
        <v>154</v>
      </c>
      <c r="H196" s="15"/>
      <c r="I196" s="15" t="s">
        <v>53</v>
      </c>
      <c r="J196" s="15" t="s">
        <v>155</v>
      </c>
      <c r="K196" s="15" t="s">
        <v>471</v>
      </c>
      <c r="L196" s="15"/>
      <c r="M196" s="15"/>
      <c r="N196" s="15"/>
      <c r="O196" s="15"/>
      <c r="P196" s="15" t="n">
        <v>0.074</v>
      </c>
      <c r="Q196" s="15" t="n">
        <v>0.074</v>
      </c>
      <c r="R196" s="15"/>
      <c r="S196" s="15" t="s">
        <v>346</v>
      </c>
      <c r="T196" s="15"/>
      <c r="U196" s="15"/>
      <c r="V196" s="15"/>
      <c r="W196" s="15"/>
      <c r="X196" s="15"/>
      <c r="Y196" s="15"/>
      <c r="Z196" s="15"/>
      <c r="AA196" s="15" t="n">
        <v>1</v>
      </c>
      <c r="AB196" s="15" t="n">
        <v>0</v>
      </c>
      <c r="AC196" s="15"/>
      <c r="AD196" s="15"/>
      <c r="AE196" s="15" t="s">
        <v>163</v>
      </c>
      <c r="AF196" s="15"/>
      <c r="AG196" s="24" t="n">
        <f aca="false">SUMIFS(Permissions!$G$2:$G$3000,Permissions!$B$2:$B$3000,$A196,Permissions!$I$2:$I$3000,"Complete",Permissions!$P$2:$P$3000,"Yes")</f>
        <v>0</v>
      </c>
      <c r="AH196" s="24" t="n">
        <f aca="false">SUMIFS(Permissions!$G$2:$G$3000,Permissions!$B$2:$B$3000,$A196,Permissions!$I$2:$I$3000,"Under construction",Permissions!$P$2:$P$3000,"Yes")</f>
        <v>0</v>
      </c>
      <c r="AI196" s="24" t="n">
        <f aca="false">SUMIFS(Permissions!$G$2:$G$3000,Permissions!$B$2:$B$3000,$A196,Permissions!$I$2:$I$3000,"Permitted – not started",Permissions!$P$2:$P$3000,"Yes")</f>
        <v>74</v>
      </c>
      <c r="AJ196" s="24" t="n">
        <f aca="false">SUMIFS(Permissions!$G$2:$G$3000,Permissions!$B$2:$B$3000,$A196,Permissions!$I$2:$I$3000,"Stalled",Permissions!$P$2:$P$3000,"Yes")</f>
        <v>0</v>
      </c>
      <c r="AK196" s="24" t="n">
        <f aca="false">AG196+AH196+AI196+AJ196</f>
        <v>74</v>
      </c>
      <c r="AL196" s="24" t="n">
        <f aca="false">SUMIFS(Permissions!$G$2:$G$3000,Permissions!$B$2:$B$3000,$A196,Permissions!$I$2:$I$3000,"Expired – not started",Permissions!$P$2:$P$3000,"Yes")</f>
        <v>0</v>
      </c>
      <c r="AM196" s="24" t="n">
        <f aca="false">SUMIFS(Permissions!$G$2:$G$3000,Permissions!$B$2:$B$3000,$A196,Permissions!$I$2:$I$3000,"In planning",Permissions!$P$2:$P$3000,"Yes")</f>
        <v>0</v>
      </c>
      <c r="AN196" s="24" t="n">
        <f aca="false">IF(R196="",0,MAX(R196-AK196,0))</f>
        <v>0</v>
      </c>
      <c r="AO196" s="25" t="n">
        <f aca="false">AK196+AN196</f>
        <v>74</v>
      </c>
      <c r="AP196" s="24" t="n">
        <f aca="false">AO196-AG196</f>
        <v>74</v>
      </c>
      <c r="AQ196" s="26" t="n">
        <f aca="false">SUMIFS(Permissions!$AH$2:$AH$3000,Permissions!$B$2:$B$3000,$A196,Permissions!$P$2:$P$3000,"Yes")</f>
        <v>0</v>
      </c>
      <c r="AR196" s="26" t="n">
        <f aca="false">SUMIFS(Permissions!$AI$2:$AI$3000,Permissions!$B$2:$B$3000,$A196,Permissions!$P$2:$P$3000,"Yes")</f>
        <v>0</v>
      </c>
      <c r="AS196" s="26" t="n">
        <f aca="false">SUMIFS(Permissions!$AJ$2:$AJ$3000,Permissions!$B$2:$B$3000,$A196,Permissions!$P$2:$P$3000,"Yes")</f>
        <v>54.4</v>
      </c>
      <c r="AT196" s="26" t="n">
        <f aca="false">SUMIFS(Permissions!$AK$2:$AK$3000,Permissions!$B$2:$B$3000,$A196,Permissions!$P$2:$P$3000,"Yes")</f>
        <v>19.6</v>
      </c>
      <c r="AU196" s="26" t="n">
        <f aca="false">SUMIFS(Permissions!$AL$2:$AL$3000,Permissions!$B$2:$B$3000,$A196,Permissions!$P$2:$P$3000,"Yes")</f>
        <v>0</v>
      </c>
      <c r="AV196" s="26" t="n">
        <f aca="false">SUMIFS(Permissions!$AM$2:$AM$3000,Permissions!$B$2:$B$3000,$A196,Permissions!$P$2:$P$3000,"Yes")</f>
        <v>0</v>
      </c>
      <c r="AW196" s="24" t="n">
        <f aca="false">COUNTIFS(Permissions!$B$2:$B$3000,$A196,Permissions!$P$2:$P$3000,"Yes")</f>
        <v>2</v>
      </c>
      <c r="AX196" s="24" t="n">
        <f aca="false">SUMIFS(Permissions!$L$2:$L$3000,Permissions!$B$2:$B$3000,$A196,Permissions!$P$2:$P$3000,"Yes")</f>
        <v>0</v>
      </c>
      <c r="AY196" s="27" t="str">
        <f aca="false">IF(AND(AK196&gt;0,AG196&gt;=AK196,AN196=0),"Built out",IF(AG196&gt;0,"Partly built",IF(AK196&gt;0,"Consented – not built","No consent")))</f>
        <v>Consented – not built</v>
      </c>
      <c r="AZ196" s="28" t="str">
        <f aca="false">IF(AND(R196&lt;&gt;"",AK196&gt;1.1*R196),"Consented above capacity",IF(AND(LEFT(B196,8)="Planning",AW196=0),"Consent parcel with no permission",IF(COUNTIF($A$2:$A$3000,$A196)&gt;1,"Duplicate parcel_id","")))</f>
        <v/>
      </c>
    </row>
    <row r="197" customFormat="false" ht="15" hidden="false" customHeight="false" outlineLevel="0" collapsed="false">
      <c r="A197" s="15" t="s">
        <v>472</v>
      </c>
      <c r="B197" s="15" t="s">
        <v>12</v>
      </c>
      <c r="C197" s="15" t="s">
        <v>16</v>
      </c>
      <c r="D197" s="15" t="s">
        <v>53</v>
      </c>
      <c r="E197" s="15" t="s">
        <v>19</v>
      </c>
      <c r="F197" s="15" t="n">
        <v>1</v>
      </c>
      <c r="G197" s="15" t="s">
        <v>154</v>
      </c>
      <c r="H197" s="15"/>
      <c r="I197" s="15" t="s">
        <v>53</v>
      </c>
      <c r="J197" s="15" t="s">
        <v>155</v>
      </c>
      <c r="K197" s="15" t="s">
        <v>473</v>
      </c>
      <c r="L197" s="15"/>
      <c r="M197" s="15"/>
      <c r="N197" s="15"/>
      <c r="O197" s="15"/>
      <c r="P197" s="15" t="n">
        <v>0.024</v>
      </c>
      <c r="Q197" s="15" t="n">
        <v>0.024</v>
      </c>
      <c r="R197" s="15"/>
      <c r="S197" s="15" t="s">
        <v>346</v>
      </c>
      <c r="T197" s="15"/>
      <c r="U197" s="15"/>
      <c r="V197" s="15"/>
      <c r="W197" s="15"/>
      <c r="X197" s="15"/>
      <c r="Y197" s="15"/>
      <c r="Z197" s="15"/>
      <c r="AA197" s="15" t="n">
        <v>10</v>
      </c>
      <c r="AB197" s="15" t="n">
        <v>0</v>
      </c>
      <c r="AC197" s="15"/>
      <c r="AD197" s="15"/>
      <c r="AE197" s="15" t="s">
        <v>163</v>
      </c>
      <c r="AF197" s="15"/>
      <c r="AG197" s="24" t="n">
        <f aca="false">SUMIFS(Permissions!$G$2:$G$3000,Permissions!$B$2:$B$3000,$A197,Permissions!$I$2:$I$3000,"Complete",Permissions!$P$2:$P$3000,"Yes")</f>
        <v>0</v>
      </c>
      <c r="AH197" s="24" t="n">
        <f aca="false">SUMIFS(Permissions!$G$2:$G$3000,Permissions!$B$2:$B$3000,$A197,Permissions!$I$2:$I$3000,"Under construction",Permissions!$P$2:$P$3000,"Yes")</f>
        <v>0</v>
      </c>
      <c r="AI197" s="24" t="n">
        <f aca="false">SUMIFS(Permissions!$G$2:$G$3000,Permissions!$B$2:$B$3000,$A197,Permissions!$I$2:$I$3000,"Permitted – not started",Permissions!$P$2:$P$3000,"Yes")</f>
        <v>6</v>
      </c>
      <c r="AJ197" s="24" t="n">
        <f aca="false">SUMIFS(Permissions!$G$2:$G$3000,Permissions!$B$2:$B$3000,$A197,Permissions!$I$2:$I$3000,"Stalled",Permissions!$P$2:$P$3000,"Yes")</f>
        <v>0</v>
      </c>
      <c r="AK197" s="24" t="n">
        <f aca="false">AG197+AH197+AI197+AJ197</f>
        <v>6</v>
      </c>
      <c r="AL197" s="24" t="n">
        <f aca="false">SUMIFS(Permissions!$G$2:$G$3000,Permissions!$B$2:$B$3000,$A197,Permissions!$I$2:$I$3000,"Expired – not started",Permissions!$P$2:$P$3000,"Yes")</f>
        <v>0</v>
      </c>
      <c r="AM197" s="24" t="n">
        <f aca="false">SUMIFS(Permissions!$G$2:$G$3000,Permissions!$B$2:$B$3000,$A197,Permissions!$I$2:$I$3000,"In planning",Permissions!$P$2:$P$3000,"Yes")</f>
        <v>0</v>
      </c>
      <c r="AN197" s="24" t="n">
        <f aca="false">IF(R197="",0,MAX(R197-AK197,0))</f>
        <v>0</v>
      </c>
      <c r="AO197" s="25" t="n">
        <f aca="false">AK197+AN197</f>
        <v>6</v>
      </c>
      <c r="AP197" s="24" t="n">
        <f aca="false">AO197-AG197</f>
        <v>6</v>
      </c>
      <c r="AQ197" s="26" t="n">
        <f aca="false">SUMIFS(Permissions!$AH$2:$AH$3000,Permissions!$B$2:$B$3000,$A197,Permissions!$P$2:$P$3000,"Yes")</f>
        <v>0</v>
      </c>
      <c r="AR197" s="26" t="n">
        <f aca="false">SUMIFS(Permissions!$AI$2:$AI$3000,Permissions!$B$2:$B$3000,$A197,Permissions!$P$2:$P$3000,"Yes")</f>
        <v>0</v>
      </c>
      <c r="AS197" s="26" t="n">
        <f aca="false">SUMIFS(Permissions!$AJ$2:$AJ$3000,Permissions!$B$2:$B$3000,$A197,Permissions!$P$2:$P$3000,"Yes")</f>
        <v>4.5</v>
      </c>
      <c r="AT197" s="26" t="n">
        <f aca="false">SUMIFS(Permissions!$AK$2:$AK$3000,Permissions!$B$2:$B$3000,$A197,Permissions!$P$2:$P$3000,"Yes")</f>
        <v>1.5</v>
      </c>
      <c r="AU197" s="26" t="n">
        <f aca="false">SUMIFS(Permissions!$AL$2:$AL$3000,Permissions!$B$2:$B$3000,$A197,Permissions!$P$2:$P$3000,"Yes")</f>
        <v>0</v>
      </c>
      <c r="AV197" s="26" t="n">
        <f aca="false">SUMIFS(Permissions!$AM$2:$AM$3000,Permissions!$B$2:$B$3000,$A197,Permissions!$P$2:$P$3000,"Yes")</f>
        <v>0</v>
      </c>
      <c r="AW197" s="24" t="n">
        <f aca="false">COUNTIFS(Permissions!$B$2:$B$3000,$A197,Permissions!$P$2:$P$3000,"Yes")</f>
        <v>1</v>
      </c>
      <c r="AX197" s="24" t="n">
        <f aca="false">SUMIFS(Permissions!$L$2:$L$3000,Permissions!$B$2:$B$3000,$A197,Permissions!$P$2:$P$3000,"Yes")</f>
        <v>0</v>
      </c>
      <c r="AY197" s="27" t="str">
        <f aca="false">IF(AND(AK197&gt;0,AG197&gt;=AK197,AN197=0),"Built out",IF(AG197&gt;0,"Partly built",IF(AK197&gt;0,"Consented – not built","No consent")))</f>
        <v>Consented – not built</v>
      </c>
      <c r="AZ197" s="28" t="str">
        <f aca="false">IF(AND(R197&lt;&gt;"",AK197&gt;1.1*R197),"Consented above capacity",IF(AND(LEFT(B197,8)="Planning",AW197=0),"Consent parcel with no permission",IF(COUNTIF($A$2:$A$3000,$A197)&gt;1,"Duplicate parcel_id","")))</f>
        <v/>
      </c>
    </row>
    <row r="198" customFormat="false" ht="15" hidden="false" customHeight="false" outlineLevel="0" collapsed="false">
      <c r="A198" s="15" t="s">
        <v>474</v>
      </c>
      <c r="B198" s="15" t="s">
        <v>12</v>
      </c>
      <c r="C198" s="15" t="s">
        <v>16</v>
      </c>
      <c r="D198" s="15" t="s">
        <v>53</v>
      </c>
      <c r="E198" s="15" t="s">
        <v>19</v>
      </c>
      <c r="F198" s="15" t="n">
        <v>1</v>
      </c>
      <c r="G198" s="15" t="s">
        <v>154</v>
      </c>
      <c r="H198" s="15"/>
      <c r="I198" s="15" t="s">
        <v>53</v>
      </c>
      <c r="J198" s="15" t="s">
        <v>155</v>
      </c>
      <c r="K198" s="15" t="s">
        <v>475</v>
      </c>
      <c r="L198" s="15"/>
      <c r="M198" s="15"/>
      <c r="N198" s="15"/>
      <c r="O198" s="15"/>
      <c r="P198" s="15" t="n">
        <v>0.058</v>
      </c>
      <c r="Q198" s="15" t="n">
        <v>0.058</v>
      </c>
      <c r="R198" s="15"/>
      <c r="S198" s="15" t="s">
        <v>346</v>
      </c>
      <c r="T198" s="15"/>
      <c r="U198" s="15"/>
      <c r="V198" s="15"/>
      <c r="W198" s="15"/>
      <c r="X198" s="15"/>
      <c r="Y198" s="15"/>
      <c r="Z198" s="15"/>
      <c r="AA198" s="15" t="n">
        <v>0</v>
      </c>
      <c r="AB198" s="15" t="n">
        <v>0</v>
      </c>
      <c r="AC198" s="15"/>
      <c r="AD198" s="15"/>
      <c r="AE198" s="15" t="s">
        <v>163</v>
      </c>
      <c r="AF198" s="15"/>
      <c r="AG198" s="24" t="n">
        <f aca="false">SUMIFS(Permissions!$G$2:$G$3000,Permissions!$B$2:$B$3000,$A198,Permissions!$I$2:$I$3000,"Complete",Permissions!$P$2:$P$3000,"Yes")</f>
        <v>0</v>
      </c>
      <c r="AH198" s="24" t="n">
        <f aca="false">SUMIFS(Permissions!$G$2:$G$3000,Permissions!$B$2:$B$3000,$A198,Permissions!$I$2:$I$3000,"Under construction",Permissions!$P$2:$P$3000,"Yes")</f>
        <v>0</v>
      </c>
      <c r="AI198" s="24" t="n">
        <f aca="false">SUMIFS(Permissions!$G$2:$G$3000,Permissions!$B$2:$B$3000,$A198,Permissions!$I$2:$I$3000,"Permitted – not started",Permissions!$P$2:$P$3000,"Yes")</f>
        <v>22</v>
      </c>
      <c r="AJ198" s="24" t="n">
        <f aca="false">SUMIFS(Permissions!$G$2:$G$3000,Permissions!$B$2:$B$3000,$A198,Permissions!$I$2:$I$3000,"Stalled",Permissions!$P$2:$P$3000,"Yes")</f>
        <v>0</v>
      </c>
      <c r="AK198" s="24" t="n">
        <f aca="false">AG198+AH198+AI198+AJ198</f>
        <v>22</v>
      </c>
      <c r="AL198" s="24" t="n">
        <f aca="false">SUMIFS(Permissions!$G$2:$G$3000,Permissions!$B$2:$B$3000,$A198,Permissions!$I$2:$I$3000,"Expired – not started",Permissions!$P$2:$P$3000,"Yes")</f>
        <v>0</v>
      </c>
      <c r="AM198" s="24" t="n">
        <f aca="false">SUMIFS(Permissions!$G$2:$G$3000,Permissions!$B$2:$B$3000,$A198,Permissions!$I$2:$I$3000,"In planning",Permissions!$P$2:$P$3000,"Yes")</f>
        <v>0</v>
      </c>
      <c r="AN198" s="24" t="n">
        <f aca="false">IF(R198="",0,MAX(R198-AK198,0))</f>
        <v>0</v>
      </c>
      <c r="AO198" s="25" t="n">
        <f aca="false">AK198+AN198</f>
        <v>22</v>
      </c>
      <c r="AP198" s="24" t="n">
        <f aca="false">AO198-AG198</f>
        <v>22</v>
      </c>
      <c r="AQ198" s="26" t="n">
        <f aca="false">SUMIFS(Permissions!$AH$2:$AH$3000,Permissions!$B$2:$B$3000,$A198,Permissions!$P$2:$P$3000,"Yes")</f>
        <v>0</v>
      </c>
      <c r="AR198" s="26" t="n">
        <f aca="false">SUMIFS(Permissions!$AI$2:$AI$3000,Permissions!$B$2:$B$3000,$A198,Permissions!$P$2:$P$3000,"Yes")</f>
        <v>0</v>
      </c>
      <c r="AS198" s="26" t="n">
        <f aca="false">SUMIFS(Permissions!$AJ$2:$AJ$3000,Permissions!$B$2:$B$3000,$A198,Permissions!$P$2:$P$3000,"Yes")</f>
        <v>2.4</v>
      </c>
      <c r="AT198" s="26" t="n">
        <f aca="false">SUMIFS(Permissions!$AK$2:$AK$3000,Permissions!$B$2:$B$3000,$A198,Permissions!$P$2:$P$3000,"Yes")</f>
        <v>13.5</v>
      </c>
      <c r="AU198" s="26" t="n">
        <f aca="false">SUMIFS(Permissions!$AL$2:$AL$3000,Permissions!$B$2:$B$3000,$A198,Permissions!$P$2:$P$3000,"Yes")</f>
        <v>6.2</v>
      </c>
      <c r="AV198" s="26" t="n">
        <f aca="false">SUMIFS(Permissions!$AM$2:$AM$3000,Permissions!$B$2:$B$3000,$A198,Permissions!$P$2:$P$3000,"Yes")</f>
        <v>-0.1</v>
      </c>
      <c r="AW198" s="24" t="n">
        <f aca="false">COUNTIFS(Permissions!$B$2:$B$3000,$A198,Permissions!$P$2:$P$3000,"Yes")</f>
        <v>1</v>
      </c>
      <c r="AX198" s="24" t="n">
        <f aca="false">SUMIFS(Permissions!$L$2:$L$3000,Permissions!$B$2:$B$3000,$A198,Permissions!$P$2:$P$3000,"Yes")</f>
        <v>0</v>
      </c>
      <c r="AY198" s="27" t="str">
        <f aca="false">IF(AND(AK198&gt;0,AG198&gt;=AK198,AN198=0),"Built out",IF(AG198&gt;0,"Partly built",IF(AK198&gt;0,"Consented – not built","No consent")))</f>
        <v>Consented – not built</v>
      </c>
      <c r="AZ198" s="28" t="str">
        <f aca="false">IF(AND(R198&lt;&gt;"",AK198&gt;1.1*R198),"Consented above capacity",IF(AND(LEFT(B198,8)="Planning",AW198=0),"Consent parcel with no permission",IF(COUNTIF($A$2:$A$3000,$A198)&gt;1,"Duplicate parcel_id","")))</f>
        <v/>
      </c>
    </row>
    <row r="199" customFormat="false" ht="15" hidden="false" customHeight="false" outlineLevel="0" collapsed="false">
      <c r="A199" s="15" t="s">
        <v>476</v>
      </c>
      <c r="B199" s="15" t="s">
        <v>12</v>
      </c>
      <c r="C199" s="15" t="s">
        <v>16</v>
      </c>
      <c r="D199" s="15" t="s">
        <v>53</v>
      </c>
      <c r="E199" s="15" t="s">
        <v>19</v>
      </c>
      <c r="F199" s="15" t="n">
        <v>1</v>
      </c>
      <c r="G199" s="15" t="s">
        <v>154</v>
      </c>
      <c r="H199" s="15"/>
      <c r="I199" s="15" t="s">
        <v>53</v>
      </c>
      <c r="J199" s="15" t="s">
        <v>155</v>
      </c>
      <c r="K199" s="15" t="s">
        <v>477</v>
      </c>
      <c r="L199" s="15"/>
      <c r="M199" s="15"/>
      <c r="N199" s="15"/>
      <c r="O199" s="15"/>
      <c r="P199" s="15" t="n">
        <v>0.206</v>
      </c>
      <c r="Q199" s="15" t="n">
        <v>0.206</v>
      </c>
      <c r="R199" s="15"/>
      <c r="S199" s="15" t="s">
        <v>346</v>
      </c>
      <c r="T199" s="15"/>
      <c r="U199" s="15"/>
      <c r="V199" s="15"/>
      <c r="W199" s="15"/>
      <c r="X199" s="15"/>
      <c r="Y199" s="15"/>
      <c r="Z199" s="15"/>
      <c r="AA199" s="15" t="n">
        <v>4</v>
      </c>
      <c r="AB199" s="15" t="n">
        <v>0</v>
      </c>
      <c r="AC199" s="15"/>
      <c r="AD199" s="15"/>
      <c r="AE199" s="15" t="s">
        <v>163</v>
      </c>
      <c r="AF199" s="15"/>
      <c r="AG199" s="24" t="n">
        <f aca="false">SUMIFS(Permissions!$G$2:$G$3000,Permissions!$B$2:$B$3000,$A199,Permissions!$I$2:$I$3000,"Complete",Permissions!$P$2:$P$3000,"Yes")</f>
        <v>0</v>
      </c>
      <c r="AH199" s="24" t="n">
        <f aca="false">SUMIFS(Permissions!$G$2:$G$3000,Permissions!$B$2:$B$3000,$A199,Permissions!$I$2:$I$3000,"Under construction",Permissions!$P$2:$P$3000,"Yes")</f>
        <v>0</v>
      </c>
      <c r="AI199" s="24" t="n">
        <f aca="false">SUMIFS(Permissions!$G$2:$G$3000,Permissions!$B$2:$B$3000,$A199,Permissions!$I$2:$I$3000,"Permitted – not started",Permissions!$P$2:$P$3000,"Yes")</f>
        <v>76</v>
      </c>
      <c r="AJ199" s="24" t="n">
        <f aca="false">SUMIFS(Permissions!$G$2:$G$3000,Permissions!$B$2:$B$3000,$A199,Permissions!$I$2:$I$3000,"Stalled",Permissions!$P$2:$P$3000,"Yes")</f>
        <v>0</v>
      </c>
      <c r="AK199" s="24" t="n">
        <f aca="false">AG199+AH199+AI199+AJ199</f>
        <v>76</v>
      </c>
      <c r="AL199" s="24" t="n">
        <f aca="false">SUMIFS(Permissions!$G$2:$G$3000,Permissions!$B$2:$B$3000,$A199,Permissions!$I$2:$I$3000,"Expired – not started",Permissions!$P$2:$P$3000,"Yes")</f>
        <v>24</v>
      </c>
      <c r="AM199" s="24" t="n">
        <f aca="false">SUMIFS(Permissions!$G$2:$G$3000,Permissions!$B$2:$B$3000,$A199,Permissions!$I$2:$I$3000,"In planning",Permissions!$P$2:$P$3000,"Yes")</f>
        <v>0</v>
      </c>
      <c r="AN199" s="24" t="n">
        <f aca="false">IF(R199="",0,MAX(R199-AK199,0))</f>
        <v>0</v>
      </c>
      <c r="AO199" s="25" t="n">
        <f aca="false">AK199+AN199</f>
        <v>76</v>
      </c>
      <c r="AP199" s="24" t="n">
        <f aca="false">AO199-AG199</f>
        <v>76</v>
      </c>
      <c r="AQ199" s="26" t="n">
        <f aca="false">SUMIFS(Permissions!$AH$2:$AH$3000,Permissions!$B$2:$B$3000,$A199,Permissions!$P$2:$P$3000,"Yes")</f>
        <v>0</v>
      </c>
      <c r="AR199" s="26" t="n">
        <f aca="false">SUMIFS(Permissions!$AI$2:$AI$3000,Permissions!$B$2:$B$3000,$A199,Permissions!$P$2:$P$3000,"Yes")</f>
        <v>0</v>
      </c>
      <c r="AS199" s="26" t="n">
        <f aca="false">SUMIFS(Permissions!$AJ$2:$AJ$3000,Permissions!$B$2:$B$3000,$A199,Permissions!$P$2:$P$3000,"Yes")</f>
        <v>26.3</v>
      </c>
      <c r="AT199" s="26" t="n">
        <f aca="false">SUMIFS(Permissions!$AK$2:$AK$3000,Permissions!$B$2:$B$3000,$A199,Permissions!$P$2:$P$3000,"Yes")</f>
        <v>49.7</v>
      </c>
      <c r="AU199" s="26" t="n">
        <f aca="false">SUMIFS(Permissions!$AL$2:$AL$3000,Permissions!$B$2:$B$3000,$A199,Permissions!$P$2:$P$3000,"Yes")</f>
        <v>0</v>
      </c>
      <c r="AV199" s="26" t="n">
        <f aca="false">SUMIFS(Permissions!$AM$2:$AM$3000,Permissions!$B$2:$B$3000,$A199,Permissions!$P$2:$P$3000,"Yes")</f>
        <v>0</v>
      </c>
      <c r="AW199" s="24" t="n">
        <f aca="false">COUNTIFS(Permissions!$B$2:$B$3000,$A199,Permissions!$P$2:$P$3000,"Yes")</f>
        <v>2</v>
      </c>
      <c r="AX199" s="24" t="n">
        <f aca="false">SUMIFS(Permissions!$L$2:$L$3000,Permissions!$B$2:$B$3000,$A199,Permissions!$P$2:$P$3000,"Yes")</f>
        <v>0</v>
      </c>
      <c r="AY199" s="27" t="str">
        <f aca="false">IF(AND(AK199&gt;0,AG199&gt;=AK199,AN199=0),"Built out",IF(AG199&gt;0,"Partly built",IF(AK199&gt;0,"Consented – not built","No consent")))</f>
        <v>Consented – not built</v>
      </c>
      <c r="AZ199" s="28" t="str">
        <f aca="false">IF(AND(R199&lt;&gt;"",AK199&gt;1.1*R199),"Consented above capacity",IF(AND(LEFT(B199,8)="Planning",AW199=0),"Consent parcel with no permission",IF(COUNTIF($A$2:$A$3000,$A199)&gt;1,"Duplicate parcel_id","")))</f>
        <v/>
      </c>
    </row>
    <row r="200" customFormat="false" ht="15" hidden="false" customHeight="false" outlineLevel="0" collapsed="false">
      <c r="A200" s="15" t="s">
        <v>478</v>
      </c>
      <c r="B200" s="15" t="s">
        <v>12</v>
      </c>
      <c r="C200" s="15" t="s">
        <v>16</v>
      </c>
      <c r="D200" s="15" t="s">
        <v>53</v>
      </c>
      <c r="E200" s="15" t="s">
        <v>19</v>
      </c>
      <c r="F200" s="15" t="n">
        <v>0.91</v>
      </c>
      <c r="G200" s="15" t="s">
        <v>154</v>
      </c>
      <c r="H200" s="15"/>
      <c r="I200" s="15" t="s">
        <v>53</v>
      </c>
      <c r="J200" s="15" t="s">
        <v>176</v>
      </c>
      <c r="K200" s="15" t="s">
        <v>479</v>
      </c>
      <c r="L200" s="15"/>
      <c r="M200" s="15"/>
      <c r="N200" s="15"/>
      <c r="O200" s="15"/>
      <c r="P200" s="15" t="n">
        <v>0.196</v>
      </c>
      <c r="Q200" s="15" t="n">
        <v>0.196</v>
      </c>
      <c r="R200" s="15" t="n">
        <v>13</v>
      </c>
      <c r="S200" s="15" t="s">
        <v>372</v>
      </c>
      <c r="T200" s="15"/>
      <c r="U200" s="15"/>
      <c r="V200" s="15"/>
      <c r="W200" s="15"/>
      <c r="X200" s="15"/>
      <c r="Y200" s="15"/>
      <c r="Z200" s="15"/>
      <c r="AA200" s="15" t="n">
        <v>2</v>
      </c>
      <c r="AB200" s="15" t="n">
        <v>0</v>
      </c>
      <c r="AC200" s="15"/>
      <c r="AD200" s="15" t="s">
        <v>373</v>
      </c>
      <c r="AE200" s="15" t="s">
        <v>163</v>
      </c>
      <c r="AF200" s="15"/>
      <c r="AG200" s="24" t="n">
        <f aca="false">SUMIFS(Permissions!$G$2:$G$3000,Permissions!$B$2:$B$3000,$A200,Permissions!$I$2:$I$3000,"Complete",Permissions!$P$2:$P$3000,"Yes")</f>
        <v>0</v>
      </c>
      <c r="AH200" s="24" t="n">
        <f aca="false">SUMIFS(Permissions!$G$2:$G$3000,Permissions!$B$2:$B$3000,$A200,Permissions!$I$2:$I$3000,"Under construction",Permissions!$P$2:$P$3000,"Yes")</f>
        <v>0</v>
      </c>
      <c r="AI200" s="24" t="n">
        <f aca="false">SUMIFS(Permissions!$G$2:$G$3000,Permissions!$B$2:$B$3000,$A200,Permissions!$I$2:$I$3000,"Permitted – not started",Permissions!$P$2:$P$3000,"Yes")</f>
        <v>0</v>
      </c>
      <c r="AJ200" s="24" t="n">
        <f aca="false">SUMIFS(Permissions!$G$2:$G$3000,Permissions!$B$2:$B$3000,$A200,Permissions!$I$2:$I$3000,"Stalled",Permissions!$P$2:$P$3000,"Yes")</f>
        <v>0</v>
      </c>
      <c r="AK200" s="24" t="n">
        <f aca="false">AG200+AH200+AI200+AJ200</f>
        <v>0</v>
      </c>
      <c r="AL200" s="24" t="n">
        <f aca="false">SUMIFS(Permissions!$G$2:$G$3000,Permissions!$B$2:$B$3000,$A200,Permissions!$I$2:$I$3000,"Expired – not started",Permissions!$P$2:$P$3000,"Yes")</f>
        <v>0</v>
      </c>
      <c r="AM200" s="24" t="n">
        <f aca="false">SUMIFS(Permissions!$G$2:$G$3000,Permissions!$B$2:$B$3000,$A200,Permissions!$I$2:$I$3000,"In planning",Permissions!$P$2:$P$3000,"Yes")</f>
        <v>13</v>
      </c>
      <c r="AN200" s="24" t="n">
        <f aca="false">IF(R200="",0,MAX(R200-AK200,0))</f>
        <v>13</v>
      </c>
      <c r="AO200" s="25" t="n">
        <f aca="false">AK200+AN200</f>
        <v>13</v>
      </c>
      <c r="AP200" s="24" t="n">
        <f aca="false">AO200-AG200</f>
        <v>13</v>
      </c>
      <c r="AQ200" s="26" t="n">
        <f aca="false">SUMIFS(Permissions!$AH$2:$AH$3000,Permissions!$B$2:$B$3000,$A200,Permissions!$P$2:$P$3000,"Yes")</f>
        <v>0</v>
      </c>
      <c r="AR200" s="26" t="n">
        <f aca="false">SUMIFS(Permissions!$AI$2:$AI$3000,Permissions!$B$2:$B$3000,$A200,Permissions!$P$2:$P$3000,"Yes")</f>
        <v>0</v>
      </c>
      <c r="AS200" s="26" t="n">
        <f aca="false">SUMIFS(Permissions!$AJ$2:$AJ$3000,Permissions!$B$2:$B$3000,$A200,Permissions!$P$2:$P$3000,"Yes")</f>
        <v>0</v>
      </c>
      <c r="AT200" s="26" t="n">
        <f aca="false">SUMIFS(Permissions!$AK$2:$AK$3000,Permissions!$B$2:$B$3000,$A200,Permissions!$P$2:$P$3000,"Yes")</f>
        <v>0</v>
      </c>
      <c r="AU200" s="26" t="n">
        <f aca="false">SUMIFS(Permissions!$AL$2:$AL$3000,Permissions!$B$2:$B$3000,$A200,Permissions!$P$2:$P$3000,"Yes")</f>
        <v>0</v>
      </c>
      <c r="AV200" s="26" t="n">
        <f aca="false">SUMIFS(Permissions!$AM$2:$AM$3000,Permissions!$B$2:$B$3000,$A200,Permissions!$P$2:$P$3000,"Yes")</f>
        <v>0</v>
      </c>
      <c r="AW200" s="24" t="n">
        <f aca="false">COUNTIFS(Permissions!$B$2:$B$3000,$A200,Permissions!$P$2:$P$3000,"Yes")</f>
        <v>1</v>
      </c>
      <c r="AX200" s="24" t="n">
        <f aca="false">SUMIFS(Permissions!$L$2:$L$3000,Permissions!$B$2:$B$3000,$A200,Permissions!$P$2:$P$3000,"Yes")</f>
        <v>0</v>
      </c>
      <c r="AY200" s="27" t="str">
        <f aca="false">IF(AND(AK200&gt;0,AG200&gt;=AK200,AN200=0),"Built out",IF(AG200&gt;0,"Partly built",IF(AK200&gt;0,"Consented – not built","No consent")))</f>
        <v>No consent</v>
      </c>
      <c r="AZ200" s="28" t="str">
        <f aca="false">IF(AND(R200&lt;&gt;"",AK200&gt;1.1*R200),"Consented above capacity",IF(AND(LEFT(B200,8)="Planning",AW200=0),"Consent parcel with no permission",IF(COUNTIF($A$2:$A$3000,$A200)&gt;1,"Duplicate parcel_id","")))</f>
        <v/>
      </c>
    </row>
    <row r="201" customFormat="false" ht="15" hidden="false" customHeight="false" outlineLevel="0" collapsed="false">
      <c r="A201" s="15" t="s">
        <v>480</v>
      </c>
      <c r="B201" s="15" t="s">
        <v>12</v>
      </c>
      <c r="C201" s="15" t="s">
        <v>16</v>
      </c>
      <c r="D201" s="15" t="s">
        <v>53</v>
      </c>
      <c r="E201" s="15" t="s">
        <v>19</v>
      </c>
      <c r="F201" s="15" t="n">
        <v>1</v>
      </c>
      <c r="G201" s="15" t="s">
        <v>154</v>
      </c>
      <c r="H201" s="15"/>
      <c r="I201" s="15" t="s">
        <v>53</v>
      </c>
      <c r="J201" s="15" t="s">
        <v>155</v>
      </c>
      <c r="K201" s="15" t="s">
        <v>481</v>
      </c>
      <c r="L201" s="15"/>
      <c r="M201" s="15"/>
      <c r="N201" s="15"/>
      <c r="O201" s="15"/>
      <c r="P201" s="15" t="n">
        <v>0.196</v>
      </c>
      <c r="Q201" s="15" t="n">
        <v>0.196</v>
      </c>
      <c r="R201" s="15"/>
      <c r="S201" s="15" t="s">
        <v>346</v>
      </c>
      <c r="T201" s="15"/>
      <c r="U201" s="15"/>
      <c r="V201" s="15"/>
      <c r="W201" s="15"/>
      <c r="X201" s="15"/>
      <c r="Y201" s="15"/>
      <c r="Z201" s="15"/>
      <c r="AA201" s="15" t="n">
        <v>4</v>
      </c>
      <c r="AB201" s="15" t="n">
        <v>0</v>
      </c>
      <c r="AC201" s="15"/>
      <c r="AD201" s="15" t="s">
        <v>379</v>
      </c>
      <c r="AE201" s="15" t="s">
        <v>163</v>
      </c>
      <c r="AF201" s="15"/>
      <c r="AG201" s="24" t="n">
        <f aca="false">SUMIFS(Permissions!$G$2:$G$3000,Permissions!$B$2:$B$3000,$A201,Permissions!$I$2:$I$3000,"Complete",Permissions!$P$2:$P$3000,"Yes")</f>
        <v>0</v>
      </c>
      <c r="AH201" s="24" t="n">
        <f aca="false">SUMIFS(Permissions!$G$2:$G$3000,Permissions!$B$2:$B$3000,$A201,Permissions!$I$2:$I$3000,"Under construction",Permissions!$P$2:$P$3000,"Yes")</f>
        <v>0</v>
      </c>
      <c r="AI201" s="24" t="n">
        <f aca="false">SUMIFS(Permissions!$G$2:$G$3000,Permissions!$B$2:$B$3000,$A201,Permissions!$I$2:$I$3000,"Permitted – not started",Permissions!$P$2:$P$3000,"Yes")</f>
        <v>8</v>
      </c>
      <c r="AJ201" s="24" t="n">
        <f aca="false">SUMIFS(Permissions!$G$2:$G$3000,Permissions!$B$2:$B$3000,$A201,Permissions!$I$2:$I$3000,"Stalled",Permissions!$P$2:$P$3000,"Yes")</f>
        <v>0</v>
      </c>
      <c r="AK201" s="24" t="n">
        <f aca="false">AG201+AH201+AI201+AJ201</f>
        <v>8</v>
      </c>
      <c r="AL201" s="24" t="n">
        <f aca="false">SUMIFS(Permissions!$G$2:$G$3000,Permissions!$B$2:$B$3000,$A201,Permissions!$I$2:$I$3000,"Expired – not started",Permissions!$P$2:$P$3000,"Yes")</f>
        <v>0</v>
      </c>
      <c r="AM201" s="24" t="n">
        <f aca="false">SUMIFS(Permissions!$G$2:$G$3000,Permissions!$B$2:$B$3000,$A201,Permissions!$I$2:$I$3000,"In planning",Permissions!$P$2:$P$3000,"Yes")</f>
        <v>0</v>
      </c>
      <c r="AN201" s="24" t="n">
        <f aca="false">IF(R201="",0,MAX(R201-AK201,0))</f>
        <v>0</v>
      </c>
      <c r="AO201" s="25" t="n">
        <f aca="false">AK201+AN201</f>
        <v>8</v>
      </c>
      <c r="AP201" s="24" t="n">
        <f aca="false">AO201-AG201</f>
        <v>8</v>
      </c>
      <c r="AQ201" s="26" t="n">
        <f aca="false">SUMIFS(Permissions!$AH$2:$AH$3000,Permissions!$B$2:$B$3000,$A201,Permissions!$P$2:$P$3000,"Yes")</f>
        <v>0</v>
      </c>
      <c r="AR201" s="26" t="n">
        <f aca="false">SUMIFS(Permissions!$AI$2:$AI$3000,Permissions!$B$2:$B$3000,$A201,Permissions!$P$2:$P$3000,"Yes")</f>
        <v>0</v>
      </c>
      <c r="AS201" s="26" t="n">
        <f aca="false">SUMIFS(Permissions!$AJ$2:$AJ$3000,Permissions!$B$2:$B$3000,$A201,Permissions!$P$2:$P$3000,"Yes")</f>
        <v>4</v>
      </c>
      <c r="AT201" s="26" t="n">
        <f aca="false">SUMIFS(Permissions!$AK$2:$AK$3000,Permissions!$B$2:$B$3000,$A201,Permissions!$P$2:$P$3000,"Yes")</f>
        <v>4</v>
      </c>
      <c r="AU201" s="26" t="n">
        <f aca="false">SUMIFS(Permissions!$AL$2:$AL$3000,Permissions!$B$2:$B$3000,$A201,Permissions!$P$2:$P$3000,"Yes")</f>
        <v>0</v>
      </c>
      <c r="AV201" s="26" t="n">
        <f aca="false">SUMIFS(Permissions!$AM$2:$AM$3000,Permissions!$B$2:$B$3000,$A201,Permissions!$P$2:$P$3000,"Yes")</f>
        <v>0</v>
      </c>
      <c r="AW201" s="24" t="n">
        <f aca="false">COUNTIFS(Permissions!$B$2:$B$3000,$A201,Permissions!$P$2:$P$3000,"Yes")</f>
        <v>1</v>
      </c>
      <c r="AX201" s="24" t="n">
        <f aca="false">SUMIFS(Permissions!$L$2:$L$3000,Permissions!$B$2:$B$3000,$A201,Permissions!$P$2:$P$3000,"Yes")</f>
        <v>0</v>
      </c>
      <c r="AY201" s="27" t="str">
        <f aca="false">IF(AND(AK201&gt;0,AG201&gt;=AK201,AN201=0),"Built out",IF(AG201&gt;0,"Partly built",IF(AK201&gt;0,"Consented – not built","No consent")))</f>
        <v>Consented – not built</v>
      </c>
      <c r="AZ201" s="28" t="str">
        <f aca="false">IF(AND(R201&lt;&gt;"",AK201&gt;1.1*R201),"Consented above capacity",IF(AND(LEFT(B201,8)="Planning",AW201=0),"Consent parcel with no permission",IF(COUNTIF($A$2:$A$3000,$A201)&gt;1,"Duplicate parcel_id","")))</f>
        <v/>
      </c>
    </row>
    <row r="202" customFormat="false" ht="15" hidden="false" customHeight="false" outlineLevel="0" collapsed="false">
      <c r="A202" s="15" t="s">
        <v>482</v>
      </c>
      <c r="B202" s="15" t="s">
        <v>12</v>
      </c>
      <c r="C202" s="15" t="s">
        <v>16</v>
      </c>
      <c r="D202" s="15" t="s">
        <v>53</v>
      </c>
      <c r="E202" s="15" t="s">
        <v>19</v>
      </c>
      <c r="F202" s="15" t="n">
        <v>1</v>
      </c>
      <c r="G202" s="15" t="s">
        <v>154</v>
      </c>
      <c r="H202" s="15"/>
      <c r="I202" s="15" t="s">
        <v>53</v>
      </c>
      <c r="J202" s="15" t="s">
        <v>176</v>
      </c>
      <c r="K202" s="15" t="s">
        <v>483</v>
      </c>
      <c r="L202" s="15"/>
      <c r="M202" s="15"/>
      <c r="N202" s="15"/>
      <c r="O202" s="15"/>
      <c r="P202" s="15" t="n">
        <v>0.196</v>
      </c>
      <c r="Q202" s="15" t="n">
        <v>0.196</v>
      </c>
      <c r="R202" s="15" t="n">
        <v>13</v>
      </c>
      <c r="S202" s="15" t="s">
        <v>372</v>
      </c>
      <c r="T202" s="15"/>
      <c r="U202" s="15"/>
      <c r="V202" s="15"/>
      <c r="W202" s="15"/>
      <c r="X202" s="15"/>
      <c r="Y202" s="15"/>
      <c r="Z202" s="15"/>
      <c r="AA202" s="15" t="n">
        <v>8</v>
      </c>
      <c r="AB202" s="15" t="n">
        <v>0</v>
      </c>
      <c r="AC202" s="15"/>
      <c r="AD202" s="15" t="s">
        <v>373</v>
      </c>
      <c r="AE202" s="15" t="s">
        <v>163</v>
      </c>
      <c r="AF202" s="15"/>
      <c r="AG202" s="24" t="n">
        <f aca="false">SUMIFS(Permissions!$G$2:$G$3000,Permissions!$B$2:$B$3000,$A202,Permissions!$I$2:$I$3000,"Complete",Permissions!$P$2:$P$3000,"Yes")</f>
        <v>0</v>
      </c>
      <c r="AH202" s="24" t="n">
        <f aca="false">SUMIFS(Permissions!$G$2:$G$3000,Permissions!$B$2:$B$3000,$A202,Permissions!$I$2:$I$3000,"Under construction",Permissions!$P$2:$P$3000,"Yes")</f>
        <v>0</v>
      </c>
      <c r="AI202" s="24" t="n">
        <f aca="false">SUMIFS(Permissions!$G$2:$G$3000,Permissions!$B$2:$B$3000,$A202,Permissions!$I$2:$I$3000,"Permitted – not started",Permissions!$P$2:$P$3000,"Yes")</f>
        <v>0</v>
      </c>
      <c r="AJ202" s="24" t="n">
        <f aca="false">SUMIFS(Permissions!$G$2:$G$3000,Permissions!$B$2:$B$3000,$A202,Permissions!$I$2:$I$3000,"Stalled",Permissions!$P$2:$P$3000,"Yes")</f>
        <v>0</v>
      </c>
      <c r="AK202" s="24" t="n">
        <f aca="false">AG202+AH202+AI202+AJ202</f>
        <v>0</v>
      </c>
      <c r="AL202" s="24" t="n">
        <f aca="false">SUMIFS(Permissions!$G$2:$G$3000,Permissions!$B$2:$B$3000,$A202,Permissions!$I$2:$I$3000,"Expired – not started",Permissions!$P$2:$P$3000,"Yes")</f>
        <v>0</v>
      </c>
      <c r="AM202" s="24" t="n">
        <f aca="false">SUMIFS(Permissions!$G$2:$G$3000,Permissions!$B$2:$B$3000,$A202,Permissions!$I$2:$I$3000,"In planning",Permissions!$P$2:$P$3000,"Yes")</f>
        <v>13</v>
      </c>
      <c r="AN202" s="24" t="n">
        <f aca="false">IF(R202="",0,MAX(R202-AK202,0))</f>
        <v>13</v>
      </c>
      <c r="AO202" s="25" t="n">
        <f aca="false">AK202+AN202</f>
        <v>13</v>
      </c>
      <c r="AP202" s="24" t="n">
        <f aca="false">AO202-AG202</f>
        <v>13</v>
      </c>
      <c r="AQ202" s="26" t="n">
        <f aca="false">SUMIFS(Permissions!$AH$2:$AH$3000,Permissions!$B$2:$B$3000,$A202,Permissions!$P$2:$P$3000,"Yes")</f>
        <v>0</v>
      </c>
      <c r="AR202" s="26" t="n">
        <f aca="false">SUMIFS(Permissions!$AI$2:$AI$3000,Permissions!$B$2:$B$3000,$A202,Permissions!$P$2:$P$3000,"Yes")</f>
        <v>0</v>
      </c>
      <c r="AS202" s="26" t="n">
        <f aca="false">SUMIFS(Permissions!$AJ$2:$AJ$3000,Permissions!$B$2:$B$3000,$A202,Permissions!$P$2:$P$3000,"Yes")</f>
        <v>0</v>
      </c>
      <c r="AT202" s="26" t="n">
        <f aca="false">SUMIFS(Permissions!$AK$2:$AK$3000,Permissions!$B$2:$B$3000,$A202,Permissions!$P$2:$P$3000,"Yes")</f>
        <v>0</v>
      </c>
      <c r="AU202" s="26" t="n">
        <f aca="false">SUMIFS(Permissions!$AL$2:$AL$3000,Permissions!$B$2:$B$3000,$A202,Permissions!$P$2:$P$3000,"Yes")</f>
        <v>0</v>
      </c>
      <c r="AV202" s="26" t="n">
        <f aca="false">SUMIFS(Permissions!$AM$2:$AM$3000,Permissions!$B$2:$B$3000,$A202,Permissions!$P$2:$P$3000,"Yes")</f>
        <v>0</v>
      </c>
      <c r="AW202" s="24" t="n">
        <f aca="false">COUNTIFS(Permissions!$B$2:$B$3000,$A202,Permissions!$P$2:$P$3000,"Yes")</f>
        <v>1</v>
      </c>
      <c r="AX202" s="24" t="n">
        <f aca="false">SUMIFS(Permissions!$L$2:$L$3000,Permissions!$B$2:$B$3000,$A202,Permissions!$P$2:$P$3000,"Yes")</f>
        <v>0</v>
      </c>
      <c r="AY202" s="27" t="str">
        <f aca="false">IF(AND(AK202&gt;0,AG202&gt;=AK202,AN202=0),"Built out",IF(AG202&gt;0,"Partly built",IF(AK202&gt;0,"Consented – not built","No consent")))</f>
        <v>No consent</v>
      </c>
      <c r="AZ202" s="28" t="str">
        <f aca="false">IF(AND(R202&lt;&gt;"",AK202&gt;1.1*R202),"Consented above capacity",IF(AND(LEFT(B202,8)="Planning",AW202=0),"Consent parcel with no permission",IF(COUNTIF($A$2:$A$3000,$A202)&gt;1,"Duplicate parcel_id","")))</f>
        <v/>
      </c>
    </row>
    <row r="203" customFormat="false" ht="15" hidden="false" customHeight="false" outlineLevel="0" collapsed="false">
      <c r="A203" s="15" t="s">
        <v>484</v>
      </c>
      <c r="B203" s="15" t="s">
        <v>12</v>
      </c>
      <c r="C203" s="15" t="s">
        <v>16</v>
      </c>
      <c r="D203" s="15" t="s">
        <v>54</v>
      </c>
      <c r="E203" s="15" t="s">
        <v>19</v>
      </c>
      <c r="F203" s="15" t="n">
        <v>1</v>
      </c>
      <c r="G203" s="15" t="s">
        <v>154</v>
      </c>
      <c r="H203" s="15"/>
      <c r="I203" s="15" t="s">
        <v>54</v>
      </c>
      <c r="J203" s="15" t="s">
        <v>176</v>
      </c>
      <c r="K203" s="15" t="s">
        <v>485</v>
      </c>
      <c r="L203" s="15"/>
      <c r="M203" s="15"/>
      <c r="N203" s="15"/>
      <c r="O203" s="15"/>
      <c r="P203" s="15" t="n">
        <v>1.352</v>
      </c>
      <c r="Q203" s="15" t="n">
        <v>1.352</v>
      </c>
      <c r="R203" s="15"/>
      <c r="S203" s="15" t="s">
        <v>346</v>
      </c>
      <c r="T203" s="15"/>
      <c r="U203" s="15"/>
      <c r="V203" s="15"/>
      <c r="W203" s="15"/>
      <c r="X203" s="15"/>
      <c r="Y203" s="15"/>
      <c r="Z203" s="15"/>
      <c r="AA203" s="15" t="n">
        <v>28</v>
      </c>
      <c r="AB203" s="15" t="n">
        <v>15</v>
      </c>
      <c r="AC203" s="15"/>
      <c r="AD203" s="15"/>
      <c r="AE203" s="15" t="s">
        <v>163</v>
      </c>
      <c r="AF203" s="15"/>
      <c r="AG203" s="24" t="n">
        <f aca="false">SUMIFS(Permissions!$G$2:$G$3000,Permissions!$B$2:$B$3000,$A203,Permissions!$I$2:$I$3000,"Complete",Permissions!$P$2:$P$3000,"Yes")</f>
        <v>24</v>
      </c>
      <c r="AH203" s="24" t="n">
        <f aca="false">SUMIFS(Permissions!$G$2:$G$3000,Permissions!$B$2:$B$3000,$A203,Permissions!$I$2:$I$3000,"Under construction",Permissions!$P$2:$P$3000,"Yes")</f>
        <v>0</v>
      </c>
      <c r="AI203" s="24" t="n">
        <f aca="false">SUMIFS(Permissions!$G$2:$G$3000,Permissions!$B$2:$B$3000,$A203,Permissions!$I$2:$I$3000,"Permitted – not started",Permissions!$P$2:$P$3000,"Yes")</f>
        <v>0</v>
      </c>
      <c r="AJ203" s="24" t="n">
        <f aca="false">SUMIFS(Permissions!$G$2:$G$3000,Permissions!$B$2:$B$3000,$A203,Permissions!$I$2:$I$3000,"Stalled",Permissions!$P$2:$P$3000,"Yes")</f>
        <v>0</v>
      </c>
      <c r="AK203" s="24" t="n">
        <f aca="false">AG203+AH203+AI203+AJ203</f>
        <v>24</v>
      </c>
      <c r="AL203" s="24" t="n">
        <f aca="false">SUMIFS(Permissions!$G$2:$G$3000,Permissions!$B$2:$B$3000,$A203,Permissions!$I$2:$I$3000,"Expired – not started",Permissions!$P$2:$P$3000,"Yes")</f>
        <v>0</v>
      </c>
      <c r="AM203" s="24" t="n">
        <f aca="false">SUMIFS(Permissions!$G$2:$G$3000,Permissions!$B$2:$B$3000,$A203,Permissions!$I$2:$I$3000,"In planning",Permissions!$P$2:$P$3000,"Yes")</f>
        <v>0</v>
      </c>
      <c r="AN203" s="24" t="n">
        <f aca="false">IF(R203="",0,MAX(R203-AK203,0))</f>
        <v>0</v>
      </c>
      <c r="AO203" s="25" t="n">
        <f aca="false">AK203+AN203</f>
        <v>24</v>
      </c>
      <c r="AP203" s="24" t="n">
        <f aca="false">AO203-AG203</f>
        <v>0</v>
      </c>
      <c r="AQ203" s="26" t="n">
        <f aca="false">SUMIFS(Permissions!$AH$2:$AH$3000,Permissions!$B$2:$B$3000,$A203,Permissions!$P$2:$P$3000,"Yes")</f>
        <v>0</v>
      </c>
      <c r="AR203" s="26" t="n">
        <f aca="false">SUMIFS(Permissions!$AI$2:$AI$3000,Permissions!$B$2:$B$3000,$A203,Permissions!$P$2:$P$3000,"Yes")</f>
        <v>0</v>
      </c>
      <c r="AS203" s="26" t="n">
        <f aca="false">SUMIFS(Permissions!$AJ$2:$AJ$3000,Permissions!$B$2:$B$3000,$A203,Permissions!$P$2:$P$3000,"Yes")</f>
        <v>0</v>
      </c>
      <c r="AT203" s="26" t="n">
        <f aca="false">SUMIFS(Permissions!$AK$2:$AK$3000,Permissions!$B$2:$B$3000,$A203,Permissions!$P$2:$P$3000,"Yes")</f>
        <v>0</v>
      </c>
      <c r="AU203" s="26" t="n">
        <f aca="false">SUMIFS(Permissions!$AL$2:$AL$3000,Permissions!$B$2:$B$3000,$A203,Permissions!$P$2:$P$3000,"Yes")</f>
        <v>0</v>
      </c>
      <c r="AV203" s="26" t="n">
        <f aca="false">SUMIFS(Permissions!$AM$2:$AM$3000,Permissions!$B$2:$B$3000,$A203,Permissions!$P$2:$P$3000,"Yes")</f>
        <v>0</v>
      </c>
      <c r="AW203" s="24" t="n">
        <f aca="false">COUNTIFS(Permissions!$B$2:$B$3000,$A203,Permissions!$P$2:$P$3000,"Yes")</f>
        <v>1</v>
      </c>
      <c r="AX203" s="24" t="n">
        <f aca="false">SUMIFS(Permissions!$L$2:$L$3000,Permissions!$B$2:$B$3000,$A203,Permissions!$P$2:$P$3000,"Yes")</f>
        <v>24</v>
      </c>
      <c r="AY203" s="27" t="str">
        <f aca="false">IF(AND(AK203&gt;0,AG203&gt;=AK203,AN203=0),"Built out",IF(AG203&gt;0,"Partly built",IF(AK203&gt;0,"Consented – not built","No consent")))</f>
        <v>Built out</v>
      </c>
      <c r="AZ203" s="28" t="str">
        <f aca="false">IF(AND(R203&lt;&gt;"",AK203&gt;1.1*R203),"Consented above capacity",IF(AND(LEFT(B203,8)="Planning",AW203=0),"Consent parcel with no permission",IF(COUNTIF($A$2:$A$3000,$A203)&gt;1,"Duplicate parcel_id","")))</f>
        <v/>
      </c>
    </row>
    <row r="204" customFormat="false" ht="15" hidden="false" customHeight="false" outlineLevel="0" collapsed="false">
      <c r="A204" s="15" t="s">
        <v>486</v>
      </c>
      <c r="B204" s="15" t="s">
        <v>12</v>
      </c>
      <c r="C204" s="15" t="s">
        <v>16</v>
      </c>
      <c r="D204" s="15" t="s">
        <v>54</v>
      </c>
      <c r="E204" s="15" t="s">
        <v>19</v>
      </c>
      <c r="F204" s="15" t="n">
        <v>1</v>
      </c>
      <c r="G204" s="15" t="s">
        <v>154</v>
      </c>
      <c r="H204" s="15"/>
      <c r="I204" s="15" t="s">
        <v>54</v>
      </c>
      <c r="J204" s="15" t="s">
        <v>176</v>
      </c>
      <c r="K204" s="15" t="s">
        <v>487</v>
      </c>
      <c r="L204" s="15"/>
      <c r="M204" s="15"/>
      <c r="N204" s="15"/>
      <c r="O204" s="15"/>
      <c r="P204" s="15" t="n">
        <v>0.764</v>
      </c>
      <c r="Q204" s="15" t="n">
        <v>0.764</v>
      </c>
      <c r="R204" s="15"/>
      <c r="S204" s="15" t="s">
        <v>346</v>
      </c>
      <c r="T204" s="15"/>
      <c r="U204" s="15"/>
      <c r="V204" s="15"/>
      <c r="W204" s="15"/>
      <c r="X204" s="15"/>
      <c r="Y204" s="15"/>
      <c r="Z204" s="15"/>
      <c r="AA204" s="15" t="n">
        <v>0</v>
      </c>
      <c r="AB204" s="15" t="n">
        <v>0</v>
      </c>
      <c r="AC204" s="15"/>
      <c r="AD204" s="15" t="s">
        <v>488</v>
      </c>
      <c r="AE204" s="15" t="s">
        <v>163</v>
      </c>
      <c r="AF204" s="15"/>
      <c r="AG204" s="24" t="n">
        <f aca="false">SUMIFS(Permissions!$G$2:$G$3000,Permissions!$B$2:$B$3000,$A204,Permissions!$I$2:$I$3000,"Complete",Permissions!$P$2:$P$3000,"Yes")</f>
        <v>0</v>
      </c>
      <c r="AH204" s="24" t="n">
        <f aca="false">SUMIFS(Permissions!$G$2:$G$3000,Permissions!$B$2:$B$3000,$A204,Permissions!$I$2:$I$3000,"Under construction",Permissions!$P$2:$P$3000,"Yes")</f>
        <v>0</v>
      </c>
      <c r="AI204" s="24" t="n">
        <f aca="false">SUMIFS(Permissions!$G$2:$G$3000,Permissions!$B$2:$B$3000,$A204,Permissions!$I$2:$I$3000,"Permitted – not started",Permissions!$P$2:$P$3000,"Yes")</f>
        <v>15</v>
      </c>
      <c r="AJ204" s="24" t="n">
        <f aca="false">SUMIFS(Permissions!$G$2:$G$3000,Permissions!$B$2:$B$3000,$A204,Permissions!$I$2:$I$3000,"Stalled",Permissions!$P$2:$P$3000,"Yes")</f>
        <v>0</v>
      </c>
      <c r="AK204" s="24" t="n">
        <f aca="false">AG204+AH204+AI204+AJ204</f>
        <v>15</v>
      </c>
      <c r="AL204" s="24" t="n">
        <f aca="false">SUMIFS(Permissions!$G$2:$G$3000,Permissions!$B$2:$B$3000,$A204,Permissions!$I$2:$I$3000,"Expired – not started",Permissions!$P$2:$P$3000,"Yes")</f>
        <v>0</v>
      </c>
      <c r="AM204" s="24" t="n">
        <f aca="false">SUMIFS(Permissions!$G$2:$G$3000,Permissions!$B$2:$B$3000,$A204,Permissions!$I$2:$I$3000,"In planning",Permissions!$P$2:$P$3000,"Yes")</f>
        <v>0</v>
      </c>
      <c r="AN204" s="24" t="n">
        <f aca="false">IF(R204="",0,MAX(R204-AK204,0))</f>
        <v>0</v>
      </c>
      <c r="AO204" s="25" t="n">
        <f aca="false">AK204+AN204</f>
        <v>15</v>
      </c>
      <c r="AP204" s="24" t="n">
        <f aca="false">AO204-AG204</f>
        <v>15</v>
      </c>
      <c r="AQ204" s="26" t="n">
        <f aca="false">SUMIFS(Permissions!$AH$2:$AH$3000,Permissions!$B$2:$B$3000,$A204,Permissions!$P$2:$P$3000,"Yes")</f>
        <v>0</v>
      </c>
      <c r="AR204" s="26" t="n">
        <f aca="false">SUMIFS(Permissions!$AI$2:$AI$3000,Permissions!$B$2:$B$3000,$A204,Permissions!$P$2:$P$3000,"Yes")</f>
        <v>0</v>
      </c>
      <c r="AS204" s="26" t="n">
        <f aca="false">SUMIFS(Permissions!$AJ$2:$AJ$3000,Permissions!$B$2:$B$3000,$A204,Permissions!$P$2:$P$3000,"Yes")</f>
        <v>15</v>
      </c>
      <c r="AT204" s="26" t="n">
        <f aca="false">SUMIFS(Permissions!$AK$2:$AK$3000,Permissions!$B$2:$B$3000,$A204,Permissions!$P$2:$P$3000,"Yes")</f>
        <v>0</v>
      </c>
      <c r="AU204" s="26" t="n">
        <f aca="false">SUMIFS(Permissions!$AL$2:$AL$3000,Permissions!$B$2:$B$3000,$A204,Permissions!$P$2:$P$3000,"Yes")</f>
        <v>0</v>
      </c>
      <c r="AV204" s="26" t="n">
        <f aca="false">SUMIFS(Permissions!$AM$2:$AM$3000,Permissions!$B$2:$B$3000,$A204,Permissions!$P$2:$P$3000,"Yes")</f>
        <v>0</v>
      </c>
      <c r="AW204" s="24" t="n">
        <f aca="false">COUNTIFS(Permissions!$B$2:$B$3000,$A204,Permissions!$P$2:$P$3000,"Yes")</f>
        <v>1</v>
      </c>
      <c r="AX204" s="24" t="n">
        <f aca="false">SUMIFS(Permissions!$L$2:$L$3000,Permissions!$B$2:$B$3000,$A204,Permissions!$P$2:$P$3000,"Yes")</f>
        <v>0</v>
      </c>
      <c r="AY204" s="27" t="str">
        <f aca="false">IF(AND(AK204&gt;0,AG204&gt;=AK204,AN204=0),"Built out",IF(AG204&gt;0,"Partly built",IF(AK204&gt;0,"Consented – not built","No consent")))</f>
        <v>Consented – not built</v>
      </c>
      <c r="AZ204" s="28" t="str">
        <f aca="false">IF(AND(R204&lt;&gt;"",AK204&gt;1.1*R204),"Consented above capacity",IF(AND(LEFT(B204,8)="Planning",AW204=0),"Consent parcel with no permission",IF(COUNTIF($A$2:$A$3000,$A204)&gt;1,"Duplicate parcel_id","")))</f>
        <v/>
      </c>
    </row>
    <row r="205" customFormat="false" ht="15" hidden="false" customHeight="false" outlineLevel="0" collapsed="false">
      <c r="A205" s="15" t="s">
        <v>489</v>
      </c>
      <c r="B205" s="15" t="s">
        <v>12</v>
      </c>
      <c r="C205" s="15" t="s">
        <v>16</v>
      </c>
      <c r="D205" s="15" t="s">
        <v>54</v>
      </c>
      <c r="E205" s="15" t="s">
        <v>19</v>
      </c>
      <c r="F205" s="15" t="n">
        <v>1</v>
      </c>
      <c r="G205" s="15" t="s">
        <v>154</v>
      </c>
      <c r="H205" s="15"/>
      <c r="I205" s="15" t="s">
        <v>54</v>
      </c>
      <c r="J205" s="15" t="s">
        <v>176</v>
      </c>
      <c r="K205" s="15" t="s">
        <v>490</v>
      </c>
      <c r="L205" s="15"/>
      <c r="M205" s="15"/>
      <c r="N205" s="15"/>
      <c r="O205" s="15"/>
      <c r="P205" s="15" t="n">
        <v>0.196</v>
      </c>
      <c r="Q205" s="15" t="n">
        <v>0.196</v>
      </c>
      <c r="R205" s="15" t="n">
        <v>6</v>
      </c>
      <c r="S205" s="15" t="s">
        <v>372</v>
      </c>
      <c r="T205" s="15"/>
      <c r="U205" s="15"/>
      <c r="V205" s="15"/>
      <c r="W205" s="15"/>
      <c r="X205" s="15"/>
      <c r="Y205" s="15"/>
      <c r="Z205" s="15"/>
      <c r="AA205" s="15" t="n">
        <v>6</v>
      </c>
      <c r="AB205" s="15" t="n">
        <v>0</v>
      </c>
      <c r="AC205" s="15"/>
      <c r="AD205" s="15" t="s">
        <v>373</v>
      </c>
      <c r="AE205" s="15" t="s">
        <v>163</v>
      </c>
      <c r="AF205" s="15"/>
      <c r="AG205" s="24" t="n">
        <f aca="false">SUMIFS(Permissions!$G$2:$G$3000,Permissions!$B$2:$B$3000,$A205,Permissions!$I$2:$I$3000,"Complete",Permissions!$P$2:$P$3000,"Yes")</f>
        <v>0</v>
      </c>
      <c r="AH205" s="24" t="n">
        <f aca="false">SUMIFS(Permissions!$G$2:$G$3000,Permissions!$B$2:$B$3000,$A205,Permissions!$I$2:$I$3000,"Under construction",Permissions!$P$2:$P$3000,"Yes")</f>
        <v>0</v>
      </c>
      <c r="AI205" s="24" t="n">
        <f aca="false">SUMIFS(Permissions!$G$2:$G$3000,Permissions!$B$2:$B$3000,$A205,Permissions!$I$2:$I$3000,"Permitted – not started",Permissions!$P$2:$P$3000,"Yes")</f>
        <v>0</v>
      </c>
      <c r="AJ205" s="24" t="n">
        <f aca="false">SUMIFS(Permissions!$G$2:$G$3000,Permissions!$B$2:$B$3000,$A205,Permissions!$I$2:$I$3000,"Stalled",Permissions!$P$2:$P$3000,"Yes")</f>
        <v>0</v>
      </c>
      <c r="AK205" s="24" t="n">
        <f aca="false">AG205+AH205+AI205+AJ205</f>
        <v>0</v>
      </c>
      <c r="AL205" s="24" t="n">
        <f aca="false">SUMIFS(Permissions!$G$2:$G$3000,Permissions!$B$2:$B$3000,$A205,Permissions!$I$2:$I$3000,"Expired – not started",Permissions!$P$2:$P$3000,"Yes")</f>
        <v>0</v>
      </c>
      <c r="AM205" s="24" t="n">
        <f aca="false">SUMIFS(Permissions!$G$2:$G$3000,Permissions!$B$2:$B$3000,$A205,Permissions!$I$2:$I$3000,"In planning",Permissions!$P$2:$P$3000,"Yes")</f>
        <v>6</v>
      </c>
      <c r="AN205" s="24" t="n">
        <f aca="false">IF(R205="",0,MAX(R205-AK205,0))</f>
        <v>6</v>
      </c>
      <c r="AO205" s="25" t="n">
        <f aca="false">AK205+AN205</f>
        <v>6</v>
      </c>
      <c r="AP205" s="24" t="n">
        <f aca="false">AO205-AG205</f>
        <v>6</v>
      </c>
      <c r="AQ205" s="26" t="n">
        <f aca="false">SUMIFS(Permissions!$AH$2:$AH$3000,Permissions!$B$2:$B$3000,$A205,Permissions!$P$2:$P$3000,"Yes")</f>
        <v>0</v>
      </c>
      <c r="AR205" s="26" t="n">
        <f aca="false">SUMIFS(Permissions!$AI$2:$AI$3000,Permissions!$B$2:$B$3000,$A205,Permissions!$P$2:$P$3000,"Yes")</f>
        <v>0</v>
      </c>
      <c r="AS205" s="26" t="n">
        <f aca="false">SUMIFS(Permissions!$AJ$2:$AJ$3000,Permissions!$B$2:$B$3000,$A205,Permissions!$P$2:$P$3000,"Yes")</f>
        <v>0</v>
      </c>
      <c r="AT205" s="26" t="n">
        <f aca="false">SUMIFS(Permissions!$AK$2:$AK$3000,Permissions!$B$2:$B$3000,$A205,Permissions!$P$2:$P$3000,"Yes")</f>
        <v>0</v>
      </c>
      <c r="AU205" s="26" t="n">
        <f aca="false">SUMIFS(Permissions!$AL$2:$AL$3000,Permissions!$B$2:$B$3000,$A205,Permissions!$P$2:$P$3000,"Yes")</f>
        <v>0</v>
      </c>
      <c r="AV205" s="26" t="n">
        <f aca="false">SUMIFS(Permissions!$AM$2:$AM$3000,Permissions!$B$2:$B$3000,$A205,Permissions!$P$2:$P$3000,"Yes")</f>
        <v>0</v>
      </c>
      <c r="AW205" s="24" t="n">
        <f aca="false">COUNTIFS(Permissions!$B$2:$B$3000,$A205,Permissions!$P$2:$P$3000,"Yes")</f>
        <v>1</v>
      </c>
      <c r="AX205" s="24" t="n">
        <f aca="false">SUMIFS(Permissions!$L$2:$L$3000,Permissions!$B$2:$B$3000,$A205,Permissions!$P$2:$P$3000,"Yes")</f>
        <v>0</v>
      </c>
      <c r="AY205" s="27" t="str">
        <f aca="false">IF(AND(AK205&gt;0,AG205&gt;=AK205,AN205=0),"Built out",IF(AG205&gt;0,"Partly built",IF(AK205&gt;0,"Consented – not built","No consent")))</f>
        <v>No consent</v>
      </c>
      <c r="AZ205" s="28" t="str">
        <f aca="false">IF(AND(R205&lt;&gt;"",AK205&gt;1.1*R205),"Consented above capacity",IF(AND(LEFT(B205,8)="Planning",AW205=0),"Consent parcel with no permission",IF(COUNTIF($A$2:$A$3000,$A205)&gt;1,"Duplicate parcel_id","")))</f>
        <v/>
      </c>
    </row>
    <row r="206" customFormat="false" ht="15" hidden="false" customHeight="false" outlineLevel="0" collapsed="false">
      <c r="A206" s="15" t="s">
        <v>491</v>
      </c>
      <c r="B206" s="15" t="s">
        <v>12</v>
      </c>
      <c r="C206" s="15" t="s">
        <v>16</v>
      </c>
      <c r="D206" s="15" t="s">
        <v>55</v>
      </c>
      <c r="E206" s="15" t="s">
        <v>19</v>
      </c>
      <c r="F206" s="15" t="n">
        <v>1</v>
      </c>
      <c r="G206" s="15" t="s">
        <v>154</v>
      </c>
      <c r="H206" s="15"/>
      <c r="I206" s="15" t="s">
        <v>55</v>
      </c>
      <c r="J206" s="15" t="s">
        <v>155</v>
      </c>
      <c r="K206" s="15" t="s">
        <v>492</v>
      </c>
      <c r="L206" s="15"/>
      <c r="M206" s="15"/>
      <c r="N206" s="15"/>
      <c r="O206" s="15"/>
      <c r="P206" s="15" t="n">
        <v>0.133</v>
      </c>
      <c r="Q206" s="15" t="n">
        <v>0.133</v>
      </c>
      <c r="R206" s="15" t="n">
        <v>5</v>
      </c>
      <c r="S206" s="15" t="s">
        <v>378</v>
      </c>
      <c r="T206" s="15"/>
      <c r="U206" s="15"/>
      <c r="V206" s="15"/>
      <c r="W206" s="15" t="s">
        <v>297</v>
      </c>
      <c r="X206" s="15" t="n">
        <v>34</v>
      </c>
      <c r="Y206" s="15" t="s">
        <v>298</v>
      </c>
      <c r="Z206" s="15"/>
      <c r="AA206" s="15" t="n">
        <v>8</v>
      </c>
      <c r="AB206" s="15" t="n">
        <v>8</v>
      </c>
      <c r="AC206" s="15"/>
      <c r="AD206" s="15"/>
      <c r="AE206" s="15" t="s">
        <v>163</v>
      </c>
      <c r="AF206" s="15"/>
      <c r="AG206" s="24" t="n">
        <f aca="false">SUMIFS(Permissions!$G$2:$G$3000,Permissions!$B$2:$B$3000,$A206,Permissions!$I$2:$I$3000,"Complete",Permissions!$P$2:$P$3000,"Yes")</f>
        <v>0</v>
      </c>
      <c r="AH206" s="24" t="n">
        <f aca="false">SUMIFS(Permissions!$G$2:$G$3000,Permissions!$B$2:$B$3000,$A206,Permissions!$I$2:$I$3000,"Under construction",Permissions!$P$2:$P$3000,"Yes")</f>
        <v>0</v>
      </c>
      <c r="AI206" s="24" t="n">
        <f aca="false">SUMIFS(Permissions!$G$2:$G$3000,Permissions!$B$2:$B$3000,$A206,Permissions!$I$2:$I$3000,"Permitted – not started",Permissions!$P$2:$P$3000,"Yes")</f>
        <v>0</v>
      </c>
      <c r="AJ206" s="24" t="n">
        <f aca="false">SUMIFS(Permissions!$G$2:$G$3000,Permissions!$B$2:$B$3000,$A206,Permissions!$I$2:$I$3000,"Stalled",Permissions!$P$2:$P$3000,"Yes")</f>
        <v>0</v>
      </c>
      <c r="AK206" s="24" t="n">
        <f aca="false">AG206+AH206+AI206+AJ206</f>
        <v>0</v>
      </c>
      <c r="AL206" s="24" t="n">
        <f aca="false">SUMIFS(Permissions!$G$2:$G$3000,Permissions!$B$2:$B$3000,$A206,Permissions!$I$2:$I$3000,"Expired – not started",Permissions!$P$2:$P$3000,"Yes")</f>
        <v>0</v>
      </c>
      <c r="AM206" s="24" t="n">
        <f aca="false">SUMIFS(Permissions!$G$2:$G$3000,Permissions!$B$2:$B$3000,$A206,Permissions!$I$2:$I$3000,"In planning",Permissions!$P$2:$P$3000,"Yes")</f>
        <v>0</v>
      </c>
      <c r="AN206" s="24" t="n">
        <f aca="false">IF(R206="",0,MAX(R206-AK206,0))</f>
        <v>5</v>
      </c>
      <c r="AO206" s="25" t="n">
        <f aca="false">AK206+AN206</f>
        <v>5</v>
      </c>
      <c r="AP206" s="24" t="n">
        <f aca="false">AO206-AG206</f>
        <v>5</v>
      </c>
      <c r="AQ206" s="26" t="n">
        <f aca="false">SUMIFS(Permissions!$AH$2:$AH$3000,Permissions!$B$2:$B$3000,$A206,Permissions!$P$2:$P$3000,"Yes")</f>
        <v>0</v>
      </c>
      <c r="AR206" s="26" t="n">
        <f aca="false">SUMIFS(Permissions!$AI$2:$AI$3000,Permissions!$B$2:$B$3000,$A206,Permissions!$P$2:$P$3000,"Yes")</f>
        <v>0</v>
      </c>
      <c r="AS206" s="26" t="n">
        <f aca="false">SUMIFS(Permissions!$AJ$2:$AJ$3000,Permissions!$B$2:$B$3000,$A206,Permissions!$P$2:$P$3000,"Yes")</f>
        <v>0</v>
      </c>
      <c r="AT206" s="26" t="n">
        <f aca="false">SUMIFS(Permissions!$AK$2:$AK$3000,Permissions!$B$2:$B$3000,$A206,Permissions!$P$2:$P$3000,"Yes")</f>
        <v>0</v>
      </c>
      <c r="AU206" s="26" t="n">
        <f aca="false">SUMIFS(Permissions!$AL$2:$AL$3000,Permissions!$B$2:$B$3000,$A206,Permissions!$P$2:$P$3000,"Yes")</f>
        <v>0</v>
      </c>
      <c r="AV206" s="26" t="n">
        <f aca="false">SUMIFS(Permissions!$AM$2:$AM$3000,Permissions!$B$2:$B$3000,$A206,Permissions!$P$2:$P$3000,"Yes")</f>
        <v>0</v>
      </c>
      <c r="AW206" s="24" t="n">
        <f aca="false">COUNTIFS(Permissions!$B$2:$B$3000,$A206,Permissions!$P$2:$P$3000,"Yes")</f>
        <v>1</v>
      </c>
      <c r="AX206" s="24" t="n">
        <f aca="false">SUMIFS(Permissions!$L$2:$L$3000,Permissions!$B$2:$B$3000,$A206,Permissions!$P$2:$P$3000,"Yes")</f>
        <v>9</v>
      </c>
      <c r="AY206" s="27" t="str">
        <f aca="false">IF(AND(AK206&gt;0,AG206&gt;=AK206,AN206=0),"Built out",IF(AG206&gt;0,"Partly built",IF(AK206&gt;0,"Consented – not built","No consent")))</f>
        <v>No consent</v>
      </c>
      <c r="AZ206" s="28" t="str">
        <f aca="false">IF(AND(R206&lt;&gt;"",AK206&gt;1.1*R206),"Consented above capacity",IF(AND(LEFT(B206,8)="Planning",AW206=0),"Consent parcel with no permission",IF(COUNTIF($A$2:$A$3000,$A206)&gt;1,"Duplicate parcel_id","")))</f>
        <v/>
      </c>
    </row>
    <row r="207" customFormat="false" ht="15" hidden="false" customHeight="false" outlineLevel="0" collapsed="false">
      <c r="A207" s="15" t="s">
        <v>493</v>
      </c>
      <c r="B207" s="15" t="s">
        <v>12</v>
      </c>
      <c r="C207" s="15" t="s">
        <v>16</v>
      </c>
      <c r="D207" s="15" t="s">
        <v>55</v>
      </c>
      <c r="E207" s="15" t="s">
        <v>19</v>
      </c>
      <c r="F207" s="15" t="n">
        <v>1</v>
      </c>
      <c r="G207" s="15" t="s">
        <v>154</v>
      </c>
      <c r="H207" s="15"/>
      <c r="I207" s="15" t="s">
        <v>55</v>
      </c>
      <c r="J207" s="15" t="s">
        <v>155</v>
      </c>
      <c r="K207" s="15" t="s">
        <v>494</v>
      </c>
      <c r="L207" s="15"/>
      <c r="M207" s="15"/>
      <c r="N207" s="15"/>
      <c r="O207" s="15"/>
      <c r="P207" s="15" t="n">
        <v>5.246</v>
      </c>
      <c r="Q207" s="15" t="n">
        <v>5.246</v>
      </c>
      <c r="R207" s="15"/>
      <c r="S207" s="15" t="s">
        <v>346</v>
      </c>
      <c r="T207" s="15"/>
      <c r="U207" s="15"/>
      <c r="V207" s="15"/>
      <c r="W207" s="15"/>
      <c r="X207" s="15"/>
      <c r="Y207" s="15"/>
      <c r="Z207" s="15"/>
      <c r="AA207" s="15" t="n">
        <v>94</v>
      </c>
      <c r="AB207" s="15" t="n">
        <v>94</v>
      </c>
      <c r="AC207" s="15"/>
      <c r="AD207" s="15"/>
      <c r="AE207" s="15" t="s">
        <v>163</v>
      </c>
      <c r="AF207" s="15"/>
      <c r="AG207" s="24" t="n">
        <f aca="false">SUMIFS(Permissions!$G$2:$G$3000,Permissions!$B$2:$B$3000,$A207,Permissions!$I$2:$I$3000,"Complete",Permissions!$P$2:$P$3000,"Yes")</f>
        <v>0</v>
      </c>
      <c r="AH207" s="24" t="n">
        <f aca="false">SUMIFS(Permissions!$G$2:$G$3000,Permissions!$B$2:$B$3000,$A207,Permissions!$I$2:$I$3000,"Under construction",Permissions!$P$2:$P$3000,"Yes")</f>
        <v>192</v>
      </c>
      <c r="AI207" s="24" t="n">
        <f aca="false">SUMIFS(Permissions!$G$2:$G$3000,Permissions!$B$2:$B$3000,$A207,Permissions!$I$2:$I$3000,"Permitted – not started",Permissions!$P$2:$P$3000,"Yes")</f>
        <v>0</v>
      </c>
      <c r="AJ207" s="24" t="n">
        <f aca="false">SUMIFS(Permissions!$G$2:$G$3000,Permissions!$B$2:$B$3000,$A207,Permissions!$I$2:$I$3000,"Stalled",Permissions!$P$2:$P$3000,"Yes")</f>
        <v>0</v>
      </c>
      <c r="AK207" s="24" t="n">
        <f aca="false">AG207+AH207+AI207+AJ207</f>
        <v>192</v>
      </c>
      <c r="AL207" s="24" t="n">
        <f aca="false">SUMIFS(Permissions!$G$2:$G$3000,Permissions!$B$2:$B$3000,$A207,Permissions!$I$2:$I$3000,"Expired – not started",Permissions!$P$2:$P$3000,"Yes")</f>
        <v>0</v>
      </c>
      <c r="AM207" s="24" t="n">
        <f aca="false">SUMIFS(Permissions!$G$2:$G$3000,Permissions!$B$2:$B$3000,$A207,Permissions!$I$2:$I$3000,"In planning",Permissions!$P$2:$P$3000,"Yes")</f>
        <v>0</v>
      </c>
      <c r="AN207" s="24" t="n">
        <f aca="false">IF(R207="",0,MAX(R207-AK207,0))</f>
        <v>0</v>
      </c>
      <c r="AO207" s="25" t="n">
        <f aca="false">AK207+AN207</f>
        <v>192</v>
      </c>
      <c r="AP207" s="24" t="n">
        <f aca="false">AO207-AG207</f>
        <v>192</v>
      </c>
      <c r="AQ207" s="26" t="n">
        <f aca="false">SUMIFS(Permissions!$AH$2:$AH$3000,Permissions!$B$2:$B$3000,$A207,Permissions!$P$2:$P$3000,"Yes")</f>
        <v>22.4</v>
      </c>
      <c r="AR207" s="26" t="n">
        <f aca="false">SUMIFS(Permissions!$AI$2:$AI$3000,Permissions!$B$2:$B$3000,$A207,Permissions!$P$2:$P$3000,"Yes")</f>
        <v>112.5</v>
      </c>
      <c r="AS207" s="26" t="n">
        <f aca="false">SUMIFS(Permissions!$AJ$2:$AJ$3000,Permissions!$B$2:$B$3000,$A207,Permissions!$P$2:$P$3000,"Yes")</f>
        <v>52.8</v>
      </c>
      <c r="AT207" s="26" t="n">
        <f aca="false">SUMIFS(Permissions!$AK$2:$AK$3000,Permissions!$B$2:$B$3000,$A207,Permissions!$P$2:$P$3000,"Yes")</f>
        <v>4.3</v>
      </c>
      <c r="AU207" s="26" t="n">
        <f aca="false">SUMIFS(Permissions!$AL$2:$AL$3000,Permissions!$B$2:$B$3000,$A207,Permissions!$P$2:$P$3000,"Yes")</f>
        <v>0</v>
      </c>
      <c r="AV207" s="26" t="n">
        <f aca="false">SUMIFS(Permissions!$AM$2:$AM$3000,Permissions!$B$2:$B$3000,$A207,Permissions!$P$2:$P$3000,"Yes")</f>
        <v>0</v>
      </c>
      <c r="AW207" s="24" t="n">
        <f aca="false">COUNTIFS(Permissions!$B$2:$B$3000,$A207,Permissions!$P$2:$P$3000,"Yes")</f>
        <v>2</v>
      </c>
      <c r="AX207" s="24" t="n">
        <f aca="false">SUMIFS(Permissions!$L$2:$L$3000,Permissions!$B$2:$B$3000,$A207,Permissions!$P$2:$P$3000,"Yes")</f>
        <v>90</v>
      </c>
      <c r="AY207" s="27" t="str">
        <f aca="false">IF(AND(AK207&gt;0,AG207&gt;=AK207,AN207=0),"Built out",IF(AG207&gt;0,"Partly built",IF(AK207&gt;0,"Consented – not built","No consent")))</f>
        <v>Consented – not built</v>
      </c>
      <c r="AZ207" s="28" t="str">
        <f aca="false">IF(AND(R207&lt;&gt;"",AK207&gt;1.1*R207),"Consented above capacity",IF(AND(LEFT(B207,8)="Planning",AW207=0),"Consent parcel with no permission",IF(COUNTIF($A$2:$A$3000,$A207)&gt;1,"Duplicate parcel_id","")))</f>
        <v/>
      </c>
    </row>
    <row r="208" customFormat="false" ht="15" hidden="false" customHeight="false" outlineLevel="0" collapsed="false">
      <c r="A208" s="15" t="s">
        <v>495</v>
      </c>
      <c r="B208" s="15" t="s">
        <v>12</v>
      </c>
      <c r="C208" s="15" t="s">
        <v>16</v>
      </c>
      <c r="D208" s="15" t="s">
        <v>55</v>
      </c>
      <c r="E208" s="15" t="s">
        <v>19</v>
      </c>
      <c r="F208" s="15" t="n">
        <v>1</v>
      </c>
      <c r="G208" s="15" t="s">
        <v>154</v>
      </c>
      <c r="H208" s="15"/>
      <c r="I208" s="15" t="s">
        <v>55</v>
      </c>
      <c r="J208" s="15" t="s">
        <v>155</v>
      </c>
      <c r="K208" s="15" t="s">
        <v>496</v>
      </c>
      <c r="L208" s="15"/>
      <c r="M208" s="15"/>
      <c r="N208" s="15"/>
      <c r="O208" s="15"/>
      <c r="P208" s="15" t="n">
        <v>1.44</v>
      </c>
      <c r="Q208" s="15" t="n">
        <v>1.44</v>
      </c>
      <c r="R208" s="15"/>
      <c r="S208" s="15" t="s">
        <v>346</v>
      </c>
      <c r="T208" s="15"/>
      <c r="U208" s="15"/>
      <c r="V208" s="15"/>
      <c r="W208" s="15"/>
      <c r="X208" s="15"/>
      <c r="Y208" s="15"/>
      <c r="Z208" s="15"/>
      <c r="AA208" s="15" t="n">
        <v>66</v>
      </c>
      <c r="AB208" s="15" t="n">
        <v>66</v>
      </c>
      <c r="AC208" s="15"/>
      <c r="AD208" s="15"/>
      <c r="AE208" s="15" t="s">
        <v>163</v>
      </c>
      <c r="AF208" s="15"/>
      <c r="AG208" s="24" t="n">
        <f aca="false">SUMIFS(Permissions!$G$2:$G$3000,Permissions!$B$2:$B$3000,$A208,Permissions!$I$2:$I$3000,"Complete",Permissions!$P$2:$P$3000,"Yes")</f>
        <v>66</v>
      </c>
      <c r="AH208" s="24" t="n">
        <f aca="false">SUMIFS(Permissions!$G$2:$G$3000,Permissions!$B$2:$B$3000,$A208,Permissions!$I$2:$I$3000,"Under construction",Permissions!$P$2:$P$3000,"Yes")</f>
        <v>0</v>
      </c>
      <c r="AI208" s="24" t="n">
        <f aca="false">SUMIFS(Permissions!$G$2:$G$3000,Permissions!$B$2:$B$3000,$A208,Permissions!$I$2:$I$3000,"Permitted – not started",Permissions!$P$2:$P$3000,"Yes")</f>
        <v>0</v>
      </c>
      <c r="AJ208" s="24" t="n">
        <f aca="false">SUMIFS(Permissions!$G$2:$G$3000,Permissions!$B$2:$B$3000,$A208,Permissions!$I$2:$I$3000,"Stalled",Permissions!$P$2:$P$3000,"Yes")</f>
        <v>0</v>
      </c>
      <c r="AK208" s="24" t="n">
        <f aca="false">AG208+AH208+AI208+AJ208</f>
        <v>66</v>
      </c>
      <c r="AL208" s="24" t="n">
        <f aca="false">SUMIFS(Permissions!$G$2:$G$3000,Permissions!$B$2:$B$3000,$A208,Permissions!$I$2:$I$3000,"Expired – not started",Permissions!$P$2:$P$3000,"Yes")</f>
        <v>0</v>
      </c>
      <c r="AM208" s="24" t="n">
        <f aca="false">SUMIFS(Permissions!$G$2:$G$3000,Permissions!$B$2:$B$3000,$A208,Permissions!$I$2:$I$3000,"In planning",Permissions!$P$2:$P$3000,"Yes")</f>
        <v>0</v>
      </c>
      <c r="AN208" s="24" t="n">
        <f aca="false">IF(R208="",0,MAX(R208-AK208,0))</f>
        <v>0</v>
      </c>
      <c r="AO208" s="25" t="n">
        <f aca="false">AK208+AN208</f>
        <v>66</v>
      </c>
      <c r="AP208" s="24" t="n">
        <f aca="false">AO208-AG208</f>
        <v>0</v>
      </c>
      <c r="AQ208" s="26" t="n">
        <f aca="false">SUMIFS(Permissions!$AH$2:$AH$3000,Permissions!$B$2:$B$3000,$A208,Permissions!$P$2:$P$3000,"Yes")</f>
        <v>0</v>
      </c>
      <c r="AR208" s="26" t="n">
        <f aca="false">SUMIFS(Permissions!$AI$2:$AI$3000,Permissions!$B$2:$B$3000,$A208,Permissions!$P$2:$P$3000,"Yes")</f>
        <v>0</v>
      </c>
      <c r="AS208" s="26" t="n">
        <f aca="false">SUMIFS(Permissions!$AJ$2:$AJ$3000,Permissions!$B$2:$B$3000,$A208,Permissions!$P$2:$P$3000,"Yes")</f>
        <v>0</v>
      </c>
      <c r="AT208" s="26" t="n">
        <f aca="false">SUMIFS(Permissions!$AK$2:$AK$3000,Permissions!$B$2:$B$3000,$A208,Permissions!$P$2:$P$3000,"Yes")</f>
        <v>0</v>
      </c>
      <c r="AU208" s="26" t="n">
        <f aca="false">SUMIFS(Permissions!$AL$2:$AL$3000,Permissions!$B$2:$B$3000,$A208,Permissions!$P$2:$P$3000,"Yes")</f>
        <v>0</v>
      </c>
      <c r="AV208" s="26" t="n">
        <f aca="false">SUMIFS(Permissions!$AM$2:$AM$3000,Permissions!$B$2:$B$3000,$A208,Permissions!$P$2:$P$3000,"Yes")</f>
        <v>0</v>
      </c>
      <c r="AW208" s="24" t="n">
        <f aca="false">COUNTIFS(Permissions!$B$2:$B$3000,$A208,Permissions!$P$2:$P$3000,"Yes")</f>
        <v>1</v>
      </c>
      <c r="AX208" s="24" t="n">
        <f aca="false">SUMIFS(Permissions!$L$2:$L$3000,Permissions!$B$2:$B$3000,$A208,Permissions!$P$2:$P$3000,"Yes")</f>
        <v>66</v>
      </c>
      <c r="AY208" s="27" t="str">
        <f aca="false">IF(AND(AK208&gt;0,AG208&gt;=AK208,AN208=0),"Built out",IF(AG208&gt;0,"Partly built",IF(AK208&gt;0,"Consented – not built","No consent")))</f>
        <v>Built out</v>
      </c>
      <c r="AZ208" s="28" t="str">
        <f aca="false">IF(AND(R208&lt;&gt;"",AK208&gt;1.1*R208),"Consented above capacity",IF(AND(LEFT(B208,8)="Planning",AW208=0),"Consent parcel with no permission",IF(COUNTIF($A$2:$A$3000,$A208)&gt;1,"Duplicate parcel_id","")))</f>
        <v/>
      </c>
    </row>
    <row r="209" customFormat="false" ht="15" hidden="false" customHeight="false" outlineLevel="0" collapsed="false">
      <c r="A209" s="15" t="s">
        <v>497</v>
      </c>
      <c r="B209" s="15" t="s">
        <v>12</v>
      </c>
      <c r="C209" s="15" t="s">
        <v>16</v>
      </c>
      <c r="D209" s="15" t="s">
        <v>55</v>
      </c>
      <c r="E209" s="15" t="s">
        <v>19</v>
      </c>
      <c r="F209" s="15" t="n">
        <v>1</v>
      </c>
      <c r="G209" s="15" t="s">
        <v>154</v>
      </c>
      <c r="H209" s="15"/>
      <c r="I209" s="15" t="s">
        <v>55</v>
      </c>
      <c r="J209" s="15" t="s">
        <v>155</v>
      </c>
      <c r="K209" s="15" t="s">
        <v>498</v>
      </c>
      <c r="L209" s="15"/>
      <c r="M209" s="15"/>
      <c r="N209" s="15"/>
      <c r="O209" s="15"/>
      <c r="P209" s="15" t="n">
        <v>5.37</v>
      </c>
      <c r="Q209" s="15" t="n">
        <v>5.37</v>
      </c>
      <c r="R209" s="15"/>
      <c r="S209" s="15" t="s">
        <v>346</v>
      </c>
      <c r="T209" s="15"/>
      <c r="U209" s="15"/>
      <c r="V209" s="15"/>
      <c r="W209" s="15"/>
      <c r="X209" s="15"/>
      <c r="Y209" s="15"/>
      <c r="Z209" s="15"/>
      <c r="AA209" s="15" t="n">
        <v>106</v>
      </c>
      <c r="AB209" s="15" t="n">
        <v>38</v>
      </c>
      <c r="AC209" s="15"/>
      <c r="AD209" s="15"/>
      <c r="AE209" s="15" t="s">
        <v>163</v>
      </c>
      <c r="AF209" s="15"/>
      <c r="AG209" s="24" t="n">
        <f aca="false">SUMIFS(Permissions!$G$2:$G$3000,Permissions!$B$2:$B$3000,$A209,Permissions!$I$2:$I$3000,"Complete",Permissions!$P$2:$P$3000,"Yes")</f>
        <v>25</v>
      </c>
      <c r="AH209" s="24" t="n">
        <f aca="false">SUMIFS(Permissions!$G$2:$G$3000,Permissions!$B$2:$B$3000,$A209,Permissions!$I$2:$I$3000,"Under construction",Permissions!$P$2:$P$3000,"Yes")</f>
        <v>29</v>
      </c>
      <c r="AI209" s="24" t="n">
        <f aca="false">SUMIFS(Permissions!$G$2:$G$3000,Permissions!$B$2:$B$3000,$A209,Permissions!$I$2:$I$3000,"Permitted – not started",Permissions!$P$2:$P$3000,"Yes")</f>
        <v>0</v>
      </c>
      <c r="AJ209" s="24" t="n">
        <f aca="false">SUMIFS(Permissions!$G$2:$G$3000,Permissions!$B$2:$B$3000,$A209,Permissions!$I$2:$I$3000,"Stalled",Permissions!$P$2:$P$3000,"Yes")</f>
        <v>0</v>
      </c>
      <c r="AK209" s="24" t="n">
        <f aca="false">AG209+AH209+AI209+AJ209</f>
        <v>54</v>
      </c>
      <c r="AL209" s="24" t="n">
        <f aca="false">SUMIFS(Permissions!$G$2:$G$3000,Permissions!$B$2:$B$3000,$A209,Permissions!$I$2:$I$3000,"Expired – not started",Permissions!$P$2:$P$3000,"Yes")</f>
        <v>0</v>
      </c>
      <c r="AM209" s="24" t="n">
        <f aca="false">SUMIFS(Permissions!$G$2:$G$3000,Permissions!$B$2:$B$3000,$A209,Permissions!$I$2:$I$3000,"In planning",Permissions!$P$2:$P$3000,"Yes")</f>
        <v>0</v>
      </c>
      <c r="AN209" s="24" t="n">
        <f aca="false">IF(R209="",0,MAX(R209-AK209,0))</f>
        <v>0</v>
      </c>
      <c r="AO209" s="25" t="n">
        <f aca="false">AK209+AN209</f>
        <v>54</v>
      </c>
      <c r="AP209" s="24" t="n">
        <f aca="false">AO209-AG209</f>
        <v>29</v>
      </c>
      <c r="AQ209" s="26" t="n">
        <f aca="false">SUMIFS(Permissions!$AH$2:$AH$3000,Permissions!$B$2:$B$3000,$A209,Permissions!$P$2:$P$3000,"Yes")</f>
        <v>6.8</v>
      </c>
      <c r="AR209" s="26" t="n">
        <f aca="false">SUMIFS(Permissions!$AI$2:$AI$3000,Permissions!$B$2:$B$3000,$A209,Permissions!$P$2:$P$3000,"Yes")</f>
        <v>22.2</v>
      </c>
      <c r="AS209" s="26" t="n">
        <f aca="false">SUMIFS(Permissions!$AJ$2:$AJ$3000,Permissions!$B$2:$B$3000,$A209,Permissions!$P$2:$P$3000,"Yes")</f>
        <v>0</v>
      </c>
      <c r="AT209" s="26" t="n">
        <f aca="false">SUMIFS(Permissions!$AK$2:$AK$3000,Permissions!$B$2:$B$3000,$A209,Permissions!$P$2:$P$3000,"Yes")</f>
        <v>0</v>
      </c>
      <c r="AU209" s="26" t="n">
        <f aca="false">SUMIFS(Permissions!$AL$2:$AL$3000,Permissions!$B$2:$B$3000,$A209,Permissions!$P$2:$P$3000,"Yes")</f>
        <v>0</v>
      </c>
      <c r="AV209" s="26" t="n">
        <f aca="false">SUMIFS(Permissions!$AM$2:$AM$3000,Permissions!$B$2:$B$3000,$A209,Permissions!$P$2:$P$3000,"Yes")</f>
        <v>0</v>
      </c>
      <c r="AW209" s="24" t="n">
        <f aca="false">COUNTIFS(Permissions!$B$2:$B$3000,$A209,Permissions!$P$2:$P$3000,"Yes")</f>
        <v>3</v>
      </c>
      <c r="AX209" s="24" t="n">
        <f aca="false">SUMIFS(Permissions!$L$2:$L$3000,Permissions!$B$2:$B$3000,$A209,Permissions!$P$2:$P$3000,"Yes")</f>
        <v>54</v>
      </c>
      <c r="AY209" s="27" t="str">
        <f aca="false">IF(AND(AK209&gt;0,AG209&gt;=AK209,AN209=0),"Built out",IF(AG209&gt;0,"Partly built",IF(AK209&gt;0,"Consented – not built","No consent")))</f>
        <v>Partly built</v>
      </c>
      <c r="AZ209" s="28" t="str">
        <f aca="false">IF(AND(R209&lt;&gt;"",AK209&gt;1.1*R209),"Consented above capacity",IF(AND(LEFT(B209,8)="Planning",AW209=0),"Consent parcel with no permission",IF(COUNTIF($A$2:$A$3000,$A209)&gt;1,"Duplicate parcel_id","")))</f>
        <v/>
      </c>
    </row>
    <row r="210" customFormat="false" ht="15" hidden="false" customHeight="false" outlineLevel="0" collapsed="false">
      <c r="A210" s="15" t="s">
        <v>499</v>
      </c>
      <c r="B210" s="15" t="s">
        <v>12</v>
      </c>
      <c r="C210" s="15" t="s">
        <v>16</v>
      </c>
      <c r="D210" s="15" t="s">
        <v>55</v>
      </c>
      <c r="E210" s="15" t="s">
        <v>19</v>
      </c>
      <c r="F210" s="15" t="n">
        <v>1</v>
      </c>
      <c r="G210" s="15" t="s">
        <v>154</v>
      </c>
      <c r="H210" s="15"/>
      <c r="I210" s="15" t="s">
        <v>55</v>
      </c>
      <c r="J210" s="15" t="s">
        <v>155</v>
      </c>
      <c r="K210" s="15" t="s">
        <v>500</v>
      </c>
      <c r="L210" s="15"/>
      <c r="M210" s="15"/>
      <c r="N210" s="15"/>
      <c r="O210" s="15"/>
      <c r="P210" s="15" t="n">
        <v>2.48</v>
      </c>
      <c r="Q210" s="15" t="n">
        <v>2.48</v>
      </c>
      <c r="R210" s="15"/>
      <c r="S210" s="15" t="s">
        <v>346</v>
      </c>
      <c r="T210" s="15"/>
      <c r="U210" s="15"/>
      <c r="V210" s="15"/>
      <c r="W210" s="15"/>
      <c r="X210" s="15"/>
      <c r="Y210" s="15"/>
      <c r="Z210" s="15"/>
      <c r="AA210" s="15" t="n">
        <v>39</v>
      </c>
      <c r="AB210" s="15" t="n">
        <v>39</v>
      </c>
      <c r="AC210" s="15"/>
      <c r="AD210" s="15"/>
      <c r="AE210" s="15" t="s">
        <v>163</v>
      </c>
      <c r="AF210" s="15"/>
      <c r="AG210" s="24" t="n">
        <f aca="false">SUMIFS(Permissions!$G$2:$G$3000,Permissions!$B$2:$B$3000,$A210,Permissions!$I$2:$I$3000,"Complete",Permissions!$P$2:$P$3000,"Yes")</f>
        <v>0</v>
      </c>
      <c r="AH210" s="24" t="n">
        <f aca="false">SUMIFS(Permissions!$G$2:$G$3000,Permissions!$B$2:$B$3000,$A210,Permissions!$I$2:$I$3000,"Under construction",Permissions!$P$2:$P$3000,"Yes")</f>
        <v>99</v>
      </c>
      <c r="AI210" s="24" t="n">
        <f aca="false">SUMIFS(Permissions!$G$2:$G$3000,Permissions!$B$2:$B$3000,$A210,Permissions!$I$2:$I$3000,"Permitted – not started",Permissions!$P$2:$P$3000,"Yes")</f>
        <v>0</v>
      </c>
      <c r="AJ210" s="24" t="n">
        <f aca="false">SUMIFS(Permissions!$G$2:$G$3000,Permissions!$B$2:$B$3000,$A210,Permissions!$I$2:$I$3000,"Stalled",Permissions!$P$2:$P$3000,"Yes")</f>
        <v>0</v>
      </c>
      <c r="AK210" s="24" t="n">
        <f aca="false">AG210+AH210+AI210+AJ210</f>
        <v>99</v>
      </c>
      <c r="AL210" s="24" t="n">
        <f aca="false">SUMIFS(Permissions!$G$2:$G$3000,Permissions!$B$2:$B$3000,$A210,Permissions!$I$2:$I$3000,"Expired – not started",Permissions!$P$2:$P$3000,"Yes")</f>
        <v>0</v>
      </c>
      <c r="AM210" s="24" t="n">
        <f aca="false">SUMIFS(Permissions!$G$2:$G$3000,Permissions!$B$2:$B$3000,$A210,Permissions!$I$2:$I$3000,"In planning",Permissions!$P$2:$P$3000,"Yes")</f>
        <v>0</v>
      </c>
      <c r="AN210" s="24" t="n">
        <f aca="false">IF(R210="",0,MAX(R210-AK210,0))</f>
        <v>0</v>
      </c>
      <c r="AO210" s="25" t="n">
        <f aca="false">AK210+AN210</f>
        <v>99</v>
      </c>
      <c r="AP210" s="24" t="n">
        <f aca="false">AO210-AG210</f>
        <v>99</v>
      </c>
      <c r="AQ210" s="26" t="n">
        <f aca="false">SUMIFS(Permissions!$AH$2:$AH$3000,Permissions!$B$2:$B$3000,$A210,Permissions!$P$2:$P$3000,"Yes")</f>
        <v>23.1</v>
      </c>
      <c r="AR210" s="26" t="n">
        <f aca="false">SUMIFS(Permissions!$AI$2:$AI$3000,Permissions!$B$2:$B$3000,$A210,Permissions!$P$2:$P$3000,"Yes")</f>
        <v>75.9</v>
      </c>
      <c r="AS210" s="26" t="n">
        <f aca="false">SUMIFS(Permissions!$AJ$2:$AJ$3000,Permissions!$B$2:$B$3000,$A210,Permissions!$P$2:$P$3000,"Yes")</f>
        <v>0</v>
      </c>
      <c r="AT210" s="26" t="n">
        <f aca="false">SUMIFS(Permissions!$AK$2:$AK$3000,Permissions!$B$2:$B$3000,$A210,Permissions!$P$2:$P$3000,"Yes")</f>
        <v>0</v>
      </c>
      <c r="AU210" s="26" t="n">
        <f aca="false">SUMIFS(Permissions!$AL$2:$AL$3000,Permissions!$B$2:$B$3000,$A210,Permissions!$P$2:$P$3000,"Yes")</f>
        <v>0</v>
      </c>
      <c r="AV210" s="26" t="n">
        <f aca="false">SUMIFS(Permissions!$AM$2:$AM$3000,Permissions!$B$2:$B$3000,$A210,Permissions!$P$2:$P$3000,"Yes")</f>
        <v>0</v>
      </c>
      <c r="AW210" s="24" t="n">
        <f aca="false">COUNTIFS(Permissions!$B$2:$B$3000,$A210,Permissions!$P$2:$P$3000,"Yes")</f>
        <v>1</v>
      </c>
      <c r="AX210" s="24" t="n">
        <f aca="false">SUMIFS(Permissions!$L$2:$L$3000,Permissions!$B$2:$B$3000,$A210,Permissions!$P$2:$P$3000,"Yes")</f>
        <v>0</v>
      </c>
      <c r="AY210" s="27" t="str">
        <f aca="false">IF(AND(AK210&gt;0,AG210&gt;=AK210,AN210=0),"Built out",IF(AG210&gt;0,"Partly built",IF(AK210&gt;0,"Consented – not built","No consent")))</f>
        <v>Consented – not built</v>
      </c>
      <c r="AZ210" s="28" t="str">
        <f aca="false">IF(AND(R210&lt;&gt;"",AK210&gt;1.1*R210),"Consented above capacity",IF(AND(LEFT(B210,8)="Planning",AW210=0),"Consent parcel with no permission",IF(COUNTIF($A$2:$A$3000,$A210)&gt;1,"Duplicate parcel_id","")))</f>
        <v/>
      </c>
    </row>
    <row r="211" customFormat="false" ht="15" hidden="false" customHeight="false" outlineLevel="0" collapsed="false">
      <c r="A211" s="15" t="s">
        <v>501</v>
      </c>
      <c r="B211" s="15" t="s">
        <v>12</v>
      </c>
      <c r="C211" s="15" t="s">
        <v>16</v>
      </c>
      <c r="D211" s="15" t="s">
        <v>55</v>
      </c>
      <c r="E211" s="15" t="s">
        <v>19</v>
      </c>
      <c r="F211" s="15" t="n">
        <v>1</v>
      </c>
      <c r="G211" s="15" t="s">
        <v>154</v>
      </c>
      <c r="H211" s="15"/>
      <c r="I211" s="15" t="s">
        <v>55</v>
      </c>
      <c r="J211" s="15" t="s">
        <v>155</v>
      </c>
      <c r="K211" s="15" t="s">
        <v>502</v>
      </c>
      <c r="L211" s="15"/>
      <c r="M211" s="15"/>
      <c r="N211" s="15"/>
      <c r="O211" s="15"/>
      <c r="P211" s="15" t="n">
        <v>2.869</v>
      </c>
      <c r="Q211" s="15" t="n">
        <v>2.869</v>
      </c>
      <c r="R211" s="15"/>
      <c r="S211" s="15" t="s">
        <v>346</v>
      </c>
      <c r="T211" s="15"/>
      <c r="U211" s="15"/>
      <c r="V211" s="15"/>
      <c r="W211" s="15"/>
      <c r="X211" s="15"/>
      <c r="Y211" s="15"/>
      <c r="Z211" s="15"/>
      <c r="AA211" s="15" t="n">
        <v>113</v>
      </c>
      <c r="AB211" s="15" t="n">
        <v>113</v>
      </c>
      <c r="AC211" s="15"/>
      <c r="AD211" s="15"/>
      <c r="AE211" s="15" t="s">
        <v>163</v>
      </c>
      <c r="AF211" s="15"/>
      <c r="AG211" s="24" t="n">
        <f aca="false">SUMIFS(Permissions!$G$2:$G$3000,Permissions!$B$2:$B$3000,$A211,Permissions!$I$2:$I$3000,"Complete",Permissions!$P$2:$P$3000,"Yes")</f>
        <v>0</v>
      </c>
      <c r="AH211" s="24" t="n">
        <f aca="false">SUMIFS(Permissions!$G$2:$G$3000,Permissions!$B$2:$B$3000,$A211,Permissions!$I$2:$I$3000,"Under construction",Permissions!$P$2:$P$3000,"Yes")</f>
        <v>101</v>
      </c>
      <c r="AI211" s="24" t="n">
        <f aca="false">SUMIFS(Permissions!$G$2:$G$3000,Permissions!$B$2:$B$3000,$A211,Permissions!$I$2:$I$3000,"Permitted – not started",Permissions!$P$2:$P$3000,"Yes")</f>
        <v>0</v>
      </c>
      <c r="AJ211" s="24" t="n">
        <f aca="false">SUMIFS(Permissions!$G$2:$G$3000,Permissions!$B$2:$B$3000,$A211,Permissions!$I$2:$I$3000,"Stalled",Permissions!$P$2:$P$3000,"Yes")</f>
        <v>0</v>
      </c>
      <c r="AK211" s="24" t="n">
        <f aca="false">AG211+AH211+AI211+AJ211</f>
        <v>101</v>
      </c>
      <c r="AL211" s="24" t="n">
        <f aca="false">SUMIFS(Permissions!$G$2:$G$3000,Permissions!$B$2:$B$3000,$A211,Permissions!$I$2:$I$3000,"Expired – not started",Permissions!$P$2:$P$3000,"Yes")</f>
        <v>0</v>
      </c>
      <c r="AM211" s="24" t="n">
        <f aca="false">SUMIFS(Permissions!$G$2:$G$3000,Permissions!$B$2:$B$3000,$A211,Permissions!$I$2:$I$3000,"In planning",Permissions!$P$2:$P$3000,"Yes")</f>
        <v>0</v>
      </c>
      <c r="AN211" s="24" t="n">
        <f aca="false">IF(R211="",0,MAX(R211-AK211,0))</f>
        <v>0</v>
      </c>
      <c r="AO211" s="25" t="n">
        <f aca="false">AK211+AN211</f>
        <v>101</v>
      </c>
      <c r="AP211" s="24" t="n">
        <f aca="false">AO211-AG211</f>
        <v>101</v>
      </c>
      <c r="AQ211" s="26" t="n">
        <f aca="false">SUMIFS(Permissions!$AH$2:$AH$3000,Permissions!$B$2:$B$3000,$A211,Permissions!$P$2:$P$3000,"Yes")</f>
        <v>23.5</v>
      </c>
      <c r="AR211" s="26" t="n">
        <f aca="false">SUMIFS(Permissions!$AI$2:$AI$3000,Permissions!$B$2:$B$3000,$A211,Permissions!$P$2:$P$3000,"Yes")</f>
        <v>77.5</v>
      </c>
      <c r="AS211" s="26" t="n">
        <f aca="false">SUMIFS(Permissions!$AJ$2:$AJ$3000,Permissions!$B$2:$B$3000,$A211,Permissions!$P$2:$P$3000,"Yes")</f>
        <v>0</v>
      </c>
      <c r="AT211" s="26" t="n">
        <f aca="false">SUMIFS(Permissions!$AK$2:$AK$3000,Permissions!$B$2:$B$3000,$A211,Permissions!$P$2:$P$3000,"Yes")</f>
        <v>0</v>
      </c>
      <c r="AU211" s="26" t="n">
        <f aca="false">SUMIFS(Permissions!$AL$2:$AL$3000,Permissions!$B$2:$B$3000,$A211,Permissions!$P$2:$P$3000,"Yes")</f>
        <v>0</v>
      </c>
      <c r="AV211" s="26" t="n">
        <f aca="false">SUMIFS(Permissions!$AM$2:$AM$3000,Permissions!$B$2:$B$3000,$A211,Permissions!$P$2:$P$3000,"Yes")</f>
        <v>0</v>
      </c>
      <c r="AW211" s="24" t="n">
        <f aca="false">COUNTIFS(Permissions!$B$2:$B$3000,$A211,Permissions!$P$2:$P$3000,"Yes")</f>
        <v>1</v>
      </c>
      <c r="AX211" s="24" t="n">
        <f aca="false">SUMIFS(Permissions!$L$2:$L$3000,Permissions!$B$2:$B$3000,$A211,Permissions!$P$2:$P$3000,"Yes")</f>
        <v>51</v>
      </c>
      <c r="AY211" s="27" t="str">
        <f aca="false">IF(AND(AK211&gt;0,AG211&gt;=AK211,AN211=0),"Built out",IF(AG211&gt;0,"Partly built",IF(AK211&gt;0,"Consented – not built","No consent")))</f>
        <v>Consented – not built</v>
      </c>
      <c r="AZ211" s="28" t="str">
        <f aca="false">IF(AND(R211&lt;&gt;"",AK211&gt;1.1*R211),"Consented above capacity",IF(AND(LEFT(B211,8)="Planning",AW211=0),"Consent parcel with no permission",IF(COUNTIF($A$2:$A$3000,$A211)&gt;1,"Duplicate parcel_id","")))</f>
        <v/>
      </c>
    </row>
    <row r="212" customFormat="false" ht="15" hidden="false" customHeight="false" outlineLevel="0" collapsed="false">
      <c r="A212" s="15" t="s">
        <v>503</v>
      </c>
      <c r="B212" s="15" t="s">
        <v>12</v>
      </c>
      <c r="C212" s="15" t="s">
        <v>16</v>
      </c>
      <c r="D212" s="15" t="s">
        <v>55</v>
      </c>
      <c r="E212" s="15" t="s">
        <v>19</v>
      </c>
      <c r="F212" s="15" t="n">
        <v>1</v>
      </c>
      <c r="G212" s="15" t="s">
        <v>154</v>
      </c>
      <c r="H212" s="15"/>
      <c r="I212" s="15" t="s">
        <v>55</v>
      </c>
      <c r="J212" s="15" t="s">
        <v>155</v>
      </c>
      <c r="K212" s="15" t="s">
        <v>504</v>
      </c>
      <c r="L212" s="15"/>
      <c r="M212" s="15"/>
      <c r="N212" s="15"/>
      <c r="O212" s="15"/>
      <c r="P212" s="15" t="n">
        <v>0.346</v>
      </c>
      <c r="Q212" s="15" t="n">
        <v>0.346</v>
      </c>
      <c r="R212" s="15"/>
      <c r="S212" s="15" t="s">
        <v>346</v>
      </c>
      <c r="T212" s="15"/>
      <c r="U212" s="15"/>
      <c r="V212" s="15"/>
      <c r="W212" s="15"/>
      <c r="X212" s="15"/>
      <c r="Y212" s="15"/>
      <c r="Z212" s="15"/>
      <c r="AA212" s="15" t="n">
        <v>12</v>
      </c>
      <c r="AB212" s="15" t="n">
        <v>12</v>
      </c>
      <c r="AC212" s="15"/>
      <c r="AD212" s="15"/>
      <c r="AE212" s="15" t="s">
        <v>163</v>
      </c>
      <c r="AF212" s="15"/>
      <c r="AG212" s="24" t="n">
        <f aca="false">SUMIFS(Permissions!$G$2:$G$3000,Permissions!$B$2:$B$3000,$A212,Permissions!$I$2:$I$3000,"Complete",Permissions!$P$2:$P$3000,"Yes")</f>
        <v>12</v>
      </c>
      <c r="AH212" s="24" t="n">
        <f aca="false">SUMIFS(Permissions!$G$2:$G$3000,Permissions!$B$2:$B$3000,$A212,Permissions!$I$2:$I$3000,"Under construction",Permissions!$P$2:$P$3000,"Yes")</f>
        <v>0</v>
      </c>
      <c r="AI212" s="24" t="n">
        <f aca="false">SUMIFS(Permissions!$G$2:$G$3000,Permissions!$B$2:$B$3000,$A212,Permissions!$I$2:$I$3000,"Permitted – not started",Permissions!$P$2:$P$3000,"Yes")</f>
        <v>0</v>
      </c>
      <c r="AJ212" s="24" t="n">
        <f aca="false">SUMIFS(Permissions!$G$2:$G$3000,Permissions!$B$2:$B$3000,$A212,Permissions!$I$2:$I$3000,"Stalled",Permissions!$P$2:$P$3000,"Yes")</f>
        <v>0</v>
      </c>
      <c r="AK212" s="24" t="n">
        <f aca="false">AG212+AH212+AI212+AJ212</f>
        <v>12</v>
      </c>
      <c r="AL212" s="24" t="n">
        <f aca="false">SUMIFS(Permissions!$G$2:$G$3000,Permissions!$B$2:$B$3000,$A212,Permissions!$I$2:$I$3000,"Expired – not started",Permissions!$P$2:$P$3000,"Yes")</f>
        <v>0</v>
      </c>
      <c r="AM212" s="24" t="n">
        <f aca="false">SUMIFS(Permissions!$G$2:$G$3000,Permissions!$B$2:$B$3000,$A212,Permissions!$I$2:$I$3000,"In planning",Permissions!$P$2:$P$3000,"Yes")</f>
        <v>0</v>
      </c>
      <c r="AN212" s="24" t="n">
        <f aca="false">IF(R212="",0,MAX(R212-AK212,0))</f>
        <v>0</v>
      </c>
      <c r="AO212" s="25" t="n">
        <f aca="false">AK212+AN212</f>
        <v>12</v>
      </c>
      <c r="AP212" s="24" t="n">
        <f aca="false">AO212-AG212</f>
        <v>0</v>
      </c>
      <c r="AQ212" s="26" t="n">
        <f aca="false">SUMIFS(Permissions!$AH$2:$AH$3000,Permissions!$B$2:$B$3000,$A212,Permissions!$P$2:$P$3000,"Yes")</f>
        <v>0</v>
      </c>
      <c r="AR212" s="26" t="n">
        <f aca="false">SUMIFS(Permissions!$AI$2:$AI$3000,Permissions!$B$2:$B$3000,$A212,Permissions!$P$2:$P$3000,"Yes")</f>
        <v>0</v>
      </c>
      <c r="AS212" s="26" t="n">
        <f aca="false">SUMIFS(Permissions!$AJ$2:$AJ$3000,Permissions!$B$2:$B$3000,$A212,Permissions!$P$2:$P$3000,"Yes")</f>
        <v>0</v>
      </c>
      <c r="AT212" s="26" t="n">
        <f aca="false">SUMIFS(Permissions!$AK$2:$AK$3000,Permissions!$B$2:$B$3000,$A212,Permissions!$P$2:$P$3000,"Yes")</f>
        <v>0</v>
      </c>
      <c r="AU212" s="26" t="n">
        <f aca="false">SUMIFS(Permissions!$AL$2:$AL$3000,Permissions!$B$2:$B$3000,$A212,Permissions!$P$2:$P$3000,"Yes")</f>
        <v>0</v>
      </c>
      <c r="AV212" s="26" t="n">
        <f aca="false">SUMIFS(Permissions!$AM$2:$AM$3000,Permissions!$B$2:$B$3000,$A212,Permissions!$P$2:$P$3000,"Yes")</f>
        <v>0</v>
      </c>
      <c r="AW212" s="24" t="n">
        <f aca="false">COUNTIFS(Permissions!$B$2:$B$3000,$A212,Permissions!$P$2:$P$3000,"Yes")</f>
        <v>1</v>
      </c>
      <c r="AX212" s="24" t="n">
        <f aca="false">SUMIFS(Permissions!$L$2:$L$3000,Permissions!$B$2:$B$3000,$A212,Permissions!$P$2:$P$3000,"Yes")</f>
        <v>12</v>
      </c>
      <c r="AY212" s="27" t="str">
        <f aca="false">IF(AND(AK212&gt;0,AG212&gt;=AK212,AN212=0),"Built out",IF(AG212&gt;0,"Partly built",IF(AK212&gt;0,"Consented – not built","No consent")))</f>
        <v>Built out</v>
      </c>
      <c r="AZ212" s="28" t="str">
        <f aca="false">IF(AND(R212&lt;&gt;"",AK212&gt;1.1*R212),"Consented above capacity",IF(AND(LEFT(B212,8)="Planning",AW212=0),"Consent parcel with no permission",IF(COUNTIF($A$2:$A$3000,$A212)&gt;1,"Duplicate parcel_id","")))</f>
        <v/>
      </c>
    </row>
    <row r="213" customFormat="false" ht="15" hidden="false" customHeight="false" outlineLevel="0" collapsed="false">
      <c r="A213" s="15" t="s">
        <v>505</v>
      </c>
      <c r="B213" s="15" t="s">
        <v>12</v>
      </c>
      <c r="C213" s="15" t="s">
        <v>16</v>
      </c>
      <c r="D213" s="15" t="s">
        <v>55</v>
      </c>
      <c r="E213" s="15" t="s">
        <v>19</v>
      </c>
      <c r="F213" s="15" t="n">
        <v>1</v>
      </c>
      <c r="G213" s="15" t="s">
        <v>154</v>
      </c>
      <c r="H213" s="15"/>
      <c r="I213" s="15" t="s">
        <v>55</v>
      </c>
      <c r="J213" s="15" t="s">
        <v>155</v>
      </c>
      <c r="K213" s="15" t="s">
        <v>506</v>
      </c>
      <c r="L213" s="15"/>
      <c r="M213" s="15"/>
      <c r="N213" s="15"/>
      <c r="O213" s="15"/>
      <c r="P213" s="15" t="n">
        <v>0.206</v>
      </c>
      <c r="Q213" s="15" t="n">
        <v>0.206</v>
      </c>
      <c r="R213" s="15"/>
      <c r="S213" s="15" t="s">
        <v>346</v>
      </c>
      <c r="T213" s="15"/>
      <c r="U213" s="15"/>
      <c r="V213" s="15"/>
      <c r="W213" s="15"/>
      <c r="X213" s="15"/>
      <c r="Y213" s="15"/>
      <c r="Z213" s="15"/>
      <c r="AA213" s="15" t="n">
        <v>7</v>
      </c>
      <c r="AB213" s="15" t="n">
        <v>7</v>
      </c>
      <c r="AC213" s="15"/>
      <c r="AD213" s="15"/>
      <c r="AE213" s="15" t="s">
        <v>163</v>
      </c>
      <c r="AF213" s="15"/>
      <c r="AG213" s="24" t="n">
        <f aca="false">SUMIFS(Permissions!$G$2:$G$3000,Permissions!$B$2:$B$3000,$A213,Permissions!$I$2:$I$3000,"Complete",Permissions!$P$2:$P$3000,"Yes")</f>
        <v>7</v>
      </c>
      <c r="AH213" s="24" t="n">
        <f aca="false">SUMIFS(Permissions!$G$2:$G$3000,Permissions!$B$2:$B$3000,$A213,Permissions!$I$2:$I$3000,"Under construction",Permissions!$P$2:$P$3000,"Yes")</f>
        <v>0</v>
      </c>
      <c r="AI213" s="24" t="n">
        <f aca="false">SUMIFS(Permissions!$G$2:$G$3000,Permissions!$B$2:$B$3000,$A213,Permissions!$I$2:$I$3000,"Permitted – not started",Permissions!$P$2:$P$3000,"Yes")</f>
        <v>0</v>
      </c>
      <c r="AJ213" s="24" t="n">
        <f aca="false">SUMIFS(Permissions!$G$2:$G$3000,Permissions!$B$2:$B$3000,$A213,Permissions!$I$2:$I$3000,"Stalled",Permissions!$P$2:$P$3000,"Yes")</f>
        <v>0</v>
      </c>
      <c r="AK213" s="24" t="n">
        <f aca="false">AG213+AH213+AI213+AJ213</f>
        <v>7</v>
      </c>
      <c r="AL213" s="24" t="n">
        <f aca="false">SUMIFS(Permissions!$G$2:$G$3000,Permissions!$B$2:$B$3000,$A213,Permissions!$I$2:$I$3000,"Expired – not started",Permissions!$P$2:$P$3000,"Yes")</f>
        <v>0</v>
      </c>
      <c r="AM213" s="24" t="n">
        <f aca="false">SUMIFS(Permissions!$G$2:$G$3000,Permissions!$B$2:$B$3000,$A213,Permissions!$I$2:$I$3000,"In planning",Permissions!$P$2:$P$3000,"Yes")</f>
        <v>0</v>
      </c>
      <c r="AN213" s="24" t="n">
        <f aca="false">IF(R213="",0,MAX(R213-AK213,0))</f>
        <v>0</v>
      </c>
      <c r="AO213" s="25" t="n">
        <f aca="false">AK213+AN213</f>
        <v>7</v>
      </c>
      <c r="AP213" s="24" t="n">
        <f aca="false">AO213-AG213</f>
        <v>0</v>
      </c>
      <c r="AQ213" s="26" t="n">
        <f aca="false">SUMIFS(Permissions!$AH$2:$AH$3000,Permissions!$B$2:$B$3000,$A213,Permissions!$P$2:$P$3000,"Yes")</f>
        <v>0</v>
      </c>
      <c r="AR213" s="26" t="n">
        <f aca="false">SUMIFS(Permissions!$AI$2:$AI$3000,Permissions!$B$2:$B$3000,$A213,Permissions!$P$2:$P$3000,"Yes")</f>
        <v>0</v>
      </c>
      <c r="AS213" s="26" t="n">
        <f aca="false">SUMIFS(Permissions!$AJ$2:$AJ$3000,Permissions!$B$2:$B$3000,$A213,Permissions!$P$2:$P$3000,"Yes")</f>
        <v>0</v>
      </c>
      <c r="AT213" s="26" t="n">
        <f aca="false">SUMIFS(Permissions!$AK$2:$AK$3000,Permissions!$B$2:$B$3000,$A213,Permissions!$P$2:$P$3000,"Yes")</f>
        <v>0</v>
      </c>
      <c r="AU213" s="26" t="n">
        <f aca="false">SUMIFS(Permissions!$AL$2:$AL$3000,Permissions!$B$2:$B$3000,$A213,Permissions!$P$2:$P$3000,"Yes")</f>
        <v>0</v>
      </c>
      <c r="AV213" s="26" t="n">
        <f aca="false">SUMIFS(Permissions!$AM$2:$AM$3000,Permissions!$B$2:$B$3000,$A213,Permissions!$P$2:$P$3000,"Yes")</f>
        <v>0</v>
      </c>
      <c r="AW213" s="24" t="n">
        <f aca="false">COUNTIFS(Permissions!$B$2:$B$3000,$A213,Permissions!$P$2:$P$3000,"Yes")</f>
        <v>1</v>
      </c>
      <c r="AX213" s="24" t="n">
        <f aca="false">SUMIFS(Permissions!$L$2:$L$3000,Permissions!$B$2:$B$3000,$A213,Permissions!$P$2:$P$3000,"Yes")</f>
        <v>7</v>
      </c>
      <c r="AY213" s="27" t="str">
        <f aca="false">IF(AND(AK213&gt;0,AG213&gt;=AK213,AN213=0),"Built out",IF(AG213&gt;0,"Partly built",IF(AK213&gt;0,"Consented – not built","No consent")))</f>
        <v>Built out</v>
      </c>
      <c r="AZ213" s="28" t="str">
        <f aca="false">IF(AND(R213&lt;&gt;"",AK213&gt;1.1*R213),"Consented above capacity",IF(AND(LEFT(B213,8)="Planning",AW213=0),"Consent parcel with no permission",IF(COUNTIF($A$2:$A$3000,$A213)&gt;1,"Duplicate parcel_id","")))</f>
        <v/>
      </c>
    </row>
    <row r="214" customFormat="false" ht="15" hidden="false" customHeight="false" outlineLevel="0" collapsed="false">
      <c r="A214" s="15" t="s">
        <v>507</v>
      </c>
      <c r="B214" s="15" t="s">
        <v>12</v>
      </c>
      <c r="C214" s="15" t="s">
        <v>16</v>
      </c>
      <c r="D214" s="15" t="s">
        <v>55</v>
      </c>
      <c r="E214" s="15" t="s">
        <v>19</v>
      </c>
      <c r="F214" s="15" t="n">
        <v>1</v>
      </c>
      <c r="G214" s="15" t="s">
        <v>154</v>
      </c>
      <c r="H214" s="15"/>
      <c r="I214" s="15" t="s">
        <v>55</v>
      </c>
      <c r="J214" s="15" t="s">
        <v>155</v>
      </c>
      <c r="K214" s="15" t="s">
        <v>508</v>
      </c>
      <c r="L214" s="15"/>
      <c r="M214" s="15"/>
      <c r="N214" s="15"/>
      <c r="O214" s="15"/>
      <c r="P214" s="15" t="n">
        <v>0.228</v>
      </c>
      <c r="Q214" s="15" t="n">
        <v>0.228</v>
      </c>
      <c r="R214" s="15"/>
      <c r="S214" s="15" t="s">
        <v>346</v>
      </c>
      <c r="T214" s="15"/>
      <c r="U214" s="15"/>
      <c r="V214" s="15"/>
      <c r="W214" s="15"/>
      <c r="X214" s="15"/>
      <c r="Y214" s="15"/>
      <c r="Z214" s="15"/>
      <c r="AA214" s="15" t="n">
        <v>0</v>
      </c>
      <c r="AB214" s="15" t="n">
        <v>0</v>
      </c>
      <c r="AC214" s="15"/>
      <c r="AD214" s="15"/>
      <c r="AE214" s="15" t="s">
        <v>163</v>
      </c>
      <c r="AF214" s="15"/>
      <c r="AG214" s="24" t="n">
        <f aca="false">SUMIFS(Permissions!$G$2:$G$3000,Permissions!$B$2:$B$3000,$A214,Permissions!$I$2:$I$3000,"Complete",Permissions!$P$2:$P$3000,"Yes")</f>
        <v>0</v>
      </c>
      <c r="AH214" s="24" t="n">
        <f aca="false">SUMIFS(Permissions!$G$2:$G$3000,Permissions!$B$2:$B$3000,$A214,Permissions!$I$2:$I$3000,"Under construction",Permissions!$P$2:$P$3000,"Yes")</f>
        <v>0</v>
      </c>
      <c r="AI214" s="24" t="n">
        <f aca="false">SUMIFS(Permissions!$G$2:$G$3000,Permissions!$B$2:$B$3000,$A214,Permissions!$I$2:$I$3000,"Permitted – not started",Permissions!$P$2:$P$3000,"Yes")</f>
        <v>30</v>
      </c>
      <c r="AJ214" s="24" t="n">
        <f aca="false">SUMIFS(Permissions!$G$2:$G$3000,Permissions!$B$2:$B$3000,$A214,Permissions!$I$2:$I$3000,"Stalled",Permissions!$P$2:$P$3000,"Yes")</f>
        <v>0</v>
      </c>
      <c r="AK214" s="24" t="n">
        <f aca="false">AG214+AH214+AI214+AJ214</f>
        <v>30</v>
      </c>
      <c r="AL214" s="24" t="n">
        <f aca="false">SUMIFS(Permissions!$G$2:$G$3000,Permissions!$B$2:$B$3000,$A214,Permissions!$I$2:$I$3000,"Expired – not started",Permissions!$P$2:$P$3000,"Yes")</f>
        <v>0</v>
      </c>
      <c r="AM214" s="24" t="n">
        <f aca="false">SUMIFS(Permissions!$G$2:$G$3000,Permissions!$B$2:$B$3000,$A214,Permissions!$I$2:$I$3000,"In planning",Permissions!$P$2:$P$3000,"Yes")</f>
        <v>0</v>
      </c>
      <c r="AN214" s="24" t="n">
        <f aca="false">IF(R214="",0,MAX(R214-AK214,0))</f>
        <v>0</v>
      </c>
      <c r="AO214" s="25" t="n">
        <f aca="false">AK214+AN214</f>
        <v>30</v>
      </c>
      <c r="AP214" s="24" t="n">
        <f aca="false">AO214-AG214</f>
        <v>30</v>
      </c>
      <c r="AQ214" s="26" t="n">
        <f aca="false">SUMIFS(Permissions!$AH$2:$AH$3000,Permissions!$B$2:$B$3000,$A214,Permissions!$P$2:$P$3000,"Yes")</f>
        <v>0</v>
      </c>
      <c r="AR214" s="26" t="n">
        <f aca="false">SUMIFS(Permissions!$AI$2:$AI$3000,Permissions!$B$2:$B$3000,$A214,Permissions!$P$2:$P$3000,"Yes")</f>
        <v>0</v>
      </c>
      <c r="AS214" s="26" t="n">
        <f aca="false">SUMIFS(Permissions!$AJ$2:$AJ$3000,Permissions!$B$2:$B$3000,$A214,Permissions!$P$2:$P$3000,"Yes")</f>
        <v>22.8</v>
      </c>
      <c r="AT214" s="26" t="n">
        <f aca="false">SUMIFS(Permissions!$AK$2:$AK$3000,Permissions!$B$2:$B$3000,$A214,Permissions!$P$2:$P$3000,"Yes")</f>
        <v>7.2</v>
      </c>
      <c r="AU214" s="26" t="n">
        <f aca="false">SUMIFS(Permissions!$AL$2:$AL$3000,Permissions!$B$2:$B$3000,$A214,Permissions!$P$2:$P$3000,"Yes")</f>
        <v>0</v>
      </c>
      <c r="AV214" s="26" t="n">
        <f aca="false">SUMIFS(Permissions!$AM$2:$AM$3000,Permissions!$B$2:$B$3000,$A214,Permissions!$P$2:$P$3000,"Yes")</f>
        <v>0</v>
      </c>
      <c r="AW214" s="24" t="n">
        <f aca="false">COUNTIFS(Permissions!$B$2:$B$3000,$A214,Permissions!$P$2:$P$3000,"Yes")</f>
        <v>1</v>
      </c>
      <c r="AX214" s="24" t="n">
        <f aca="false">SUMIFS(Permissions!$L$2:$L$3000,Permissions!$B$2:$B$3000,$A214,Permissions!$P$2:$P$3000,"Yes")</f>
        <v>0</v>
      </c>
      <c r="AY214" s="27" t="str">
        <f aca="false">IF(AND(AK214&gt;0,AG214&gt;=AK214,AN214=0),"Built out",IF(AG214&gt;0,"Partly built",IF(AK214&gt;0,"Consented – not built","No consent")))</f>
        <v>Consented – not built</v>
      </c>
      <c r="AZ214" s="28" t="str">
        <f aca="false">IF(AND(R214&lt;&gt;"",AK214&gt;1.1*R214),"Consented above capacity",IF(AND(LEFT(B214,8)="Planning",AW214=0),"Consent parcel with no permission",IF(COUNTIF($A$2:$A$3000,$A214)&gt;1,"Duplicate parcel_id","")))</f>
        <v/>
      </c>
    </row>
    <row r="215" customFormat="false" ht="15" hidden="false" customHeight="false" outlineLevel="0" collapsed="false">
      <c r="A215" s="15" t="s">
        <v>509</v>
      </c>
      <c r="B215" s="15" t="s">
        <v>12</v>
      </c>
      <c r="C215" s="15" t="s">
        <v>16</v>
      </c>
      <c r="D215" s="15" t="s">
        <v>55</v>
      </c>
      <c r="E215" s="15" t="s">
        <v>19</v>
      </c>
      <c r="F215" s="15" t="n">
        <v>1</v>
      </c>
      <c r="G215" s="15" t="s">
        <v>154</v>
      </c>
      <c r="H215" s="15"/>
      <c r="I215" s="15" t="s">
        <v>55</v>
      </c>
      <c r="J215" s="15" t="s">
        <v>155</v>
      </c>
      <c r="K215" s="15" t="s">
        <v>510</v>
      </c>
      <c r="L215" s="15"/>
      <c r="M215" s="15"/>
      <c r="N215" s="15"/>
      <c r="O215" s="15"/>
      <c r="P215" s="15" t="n">
        <v>0.875</v>
      </c>
      <c r="Q215" s="15" t="n">
        <v>0.875</v>
      </c>
      <c r="R215" s="15"/>
      <c r="S215" s="15" t="s">
        <v>346</v>
      </c>
      <c r="T215" s="15"/>
      <c r="U215" s="15"/>
      <c r="V215" s="15"/>
      <c r="W215" s="15"/>
      <c r="X215" s="15"/>
      <c r="Y215" s="15"/>
      <c r="Z215" s="15"/>
      <c r="AA215" s="15" t="n">
        <v>0</v>
      </c>
      <c r="AB215" s="15" t="n">
        <v>0</v>
      </c>
      <c r="AC215" s="15"/>
      <c r="AD215" s="15"/>
      <c r="AE215" s="15" t="s">
        <v>163</v>
      </c>
      <c r="AF215" s="15"/>
      <c r="AG215" s="24" t="n">
        <f aca="false">SUMIFS(Permissions!$G$2:$G$3000,Permissions!$B$2:$B$3000,$A215,Permissions!$I$2:$I$3000,"Complete",Permissions!$P$2:$P$3000,"Yes")</f>
        <v>0</v>
      </c>
      <c r="AH215" s="24" t="n">
        <f aca="false">SUMIFS(Permissions!$G$2:$G$3000,Permissions!$B$2:$B$3000,$A215,Permissions!$I$2:$I$3000,"Under construction",Permissions!$P$2:$P$3000,"Yes")</f>
        <v>0</v>
      </c>
      <c r="AI215" s="24" t="n">
        <f aca="false">SUMIFS(Permissions!$G$2:$G$3000,Permissions!$B$2:$B$3000,$A215,Permissions!$I$2:$I$3000,"Permitted – not started",Permissions!$P$2:$P$3000,"Yes")</f>
        <v>21</v>
      </c>
      <c r="AJ215" s="24" t="n">
        <f aca="false">SUMIFS(Permissions!$G$2:$G$3000,Permissions!$B$2:$B$3000,$A215,Permissions!$I$2:$I$3000,"Stalled",Permissions!$P$2:$P$3000,"Yes")</f>
        <v>0</v>
      </c>
      <c r="AK215" s="24" t="n">
        <f aca="false">AG215+AH215+AI215+AJ215</f>
        <v>21</v>
      </c>
      <c r="AL215" s="24" t="n">
        <f aca="false">SUMIFS(Permissions!$G$2:$G$3000,Permissions!$B$2:$B$3000,$A215,Permissions!$I$2:$I$3000,"Expired – not started",Permissions!$P$2:$P$3000,"Yes")</f>
        <v>0</v>
      </c>
      <c r="AM215" s="24" t="n">
        <f aca="false">SUMIFS(Permissions!$G$2:$G$3000,Permissions!$B$2:$B$3000,$A215,Permissions!$I$2:$I$3000,"In planning",Permissions!$P$2:$P$3000,"Yes")</f>
        <v>0</v>
      </c>
      <c r="AN215" s="24" t="n">
        <f aca="false">IF(R215="",0,MAX(R215-AK215,0))</f>
        <v>0</v>
      </c>
      <c r="AO215" s="25" t="n">
        <f aca="false">AK215+AN215</f>
        <v>21</v>
      </c>
      <c r="AP215" s="24" t="n">
        <f aca="false">AO215-AG215</f>
        <v>21</v>
      </c>
      <c r="AQ215" s="26" t="n">
        <f aca="false">SUMIFS(Permissions!$AH$2:$AH$3000,Permissions!$B$2:$B$3000,$A215,Permissions!$P$2:$P$3000,"Yes")</f>
        <v>0</v>
      </c>
      <c r="AR215" s="26" t="n">
        <f aca="false">SUMIFS(Permissions!$AI$2:$AI$3000,Permissions!$B$2:$B$3000,$A215,Permissions!$P$2:$P$3000,"Yes")</f>
        <v>0</v>
      </c>
      <c r="AS215" s="26" t="n">
        <f aca="false">SUMIFS(Permissions!$AJ$2:$AJ$3000,Permissions!$B$2:$B$3000,$A215,Permissions!$P$2:$P$3000,"Yes")</f>
        <v>6.7</v>
      </c>
      <c r="AT215" s="26" t="n">
        <f aca="false">SUMIFS(Permissions!$AK$2:$AK$3000,Permissions!$B$2:$B$3000,$A215,Permissions!$P$2:$P$3000,"Yes")</f>
        <v>13.9</v>
      </c>
      <c r="AU215" s="26" t="n">
        <f aca="false">SUMIFS(Permissions!$AL$2:$AL$3000,Permissions!$B$2:$B$3000,$A215,Permissions!$P$2:$P$3000,"Yes")</f>
        <v>0.5</v>
      </c>
      <c r="AV215" s="26" t="n">
        <f aca="false">SUMIFS(Permissions!$AM$2:$AM$3000,Permissions!$B$2:$B$3000,$A215,Permissions!$P$2:$P$3000,"Yes")</f>
        <v>-0.1</v>
      </c>
      <c r="AW215" s="24" t="n">
        <f aca="false">COUNTIFS(Permissions!$B$2:$B$3000,$A215,Permissions!$P$2:$P$3000,"Yes")</f>
        <v>1</v>
      </c>
      <c r="AX215" s="24" t="n">
        <f aca="false">SUMIFS(Permissions!$L$2:$L$3000,Permissions!$B$2:$B$3000,$A215,Permissions!$P$2:$P$3000,"Yes")</f>
        <v>0</v>
      </c>
      <c r="AY215" s="27" t="str">
        <f aca="false">IF(AND(AK215&gt;0,AG215&gt;=AK215,AN215=0),"Built out",IF(AG215&gt;0,"Partly built",IF(AK215&gt;0,"Consented – not built","No consent")))</f>
        <v>Consented – not built</v>
      </c>
      <c r="AZ215" s="28" t="str">
        <f aca="false">IF(AND(R215&lt;&gt;"",AK215&gt;1.1*R215),"Consented above capacity",IF(AND(LEFT(B215,8)="Planning",AW215=0),"Consent parcel with no permission",IF(COUNTIF($A$2:$A$3000,$A215)&gt;1,"Duplicate parcel_id","")))</f>
        <v/>
      </c>
    </row>
    <row r="216" customFormat="false" ht="15" hidden="false" customHeight="false" outlineLevel="0" collapsed="false">
      <c r="A216" s="15" t="s">
        <v>511</v>
      </c>
      <c r="B216" s="15" t="s">
        <v>12</v>
      </c>
      <c r="C216" s="15" t="s">
        <v>16</v>
      </c>
      <c r="D216" s="15" t="s">
        <v>55</v>
      </c>
      <c r="E216" s="15" t="s">
        <v>19</v>
      </c>
      <c r="F216" s="15" t="n">
        <v>1</v>
      </c>
      <c r="G216" s="15" t="s">
        <v>154</v>
      </c>
      <c r="H216" s="15"/>
      <c r="I216" s="15" t="s">
        <v>55</v>
      </c>
      <c r="J216" s="15" t="s">
        <v>155</v>
      </c>
      <c r="K216" s="15" t="s">
        <v>512</v>
      </c>
      <c r="L216" s="15"/>
      <c r="M216" s="15"/>
      <c r="N216" s="15"/>
      <c r="O216" s="15"/>
      <c r="P216" s="15" t="n">
        <v>2.533</v>
      </c>
      <c r="Q216" s="15" t="n">
        <v>2.533</v>
      </c>
      <c r="R216" s="15"/>
      <c r="S216" s="15" t="s">
        <v>346</v>
      </c>
      <c r="T216" s="15"/>
      <c r="U216" s="15"/>
      <c r="V216" s="15"/>
      <c r="W216" s="15"/>
      <c r="X216" s="15"/>
      <c r="Y216" s="15"/>
      <c r="Z216" s="15"/>
      <c r="AA216" s="15" t="n">
        <v>58</v>
      </c>
      <c r="AB216" s="15" t="n">
        <v>58</v>
      </c>
      <c r="AC216" s="15"/>
      <c r="AD216" s="15"/>
      <c r="AE216" s="15" t="s">
        <v>163</v>
      </c>
      <c r="AF216" s="15"/>
      <c r="AG216" s="24" t="n">
        <f aca="false">SUMIFS(Permissions!$G$2:$G$3000,Permissions!$B$2:$B$3000,$A216,Permissions!$I$2:$I$3000,"Complete",Permissions!$P$2:$P$3000,"Yes")</f>
        <v>0</v>
      </c>
      <c r="AH216" s="24" t="n">
        <f aca="false">SUMIFS(Permissions!$G$2:$G$3000,Permissions!$B$2:$B$3000,$A216,Permissions!$I$2:$I$3000,"Under construction",Permissions!$P$2:$P$3000,"Yes")</f>
        <v>66</v>
      </c>
      <c r="AI216" s="24" t="n">
        <f aca="false">SUMIFS(Permissions!$G$2:$G$3000,Permissions!$B$2:$B$3000,$A216,Permissions!$I$2:$I$3000,"Permitted – not started",Permissions!$P$2:$P$3000,"Yes")</f>
        <v>0</v>
      </c>
      <c r="AJ216" s="24" t="n">
        <f aca="false">SUMIFS(Permissions!$G$2:$G$3000,Permissions!$B$2:$B$3000,$A216,Permissions!$I$2:$I$3000,"Stalled",Permissions!$P$2:$P$3000,"Yes")</f>
        <v>0</v>
      </c>
      <c r="AK216" s="24" t="n">
        <f aca="false">AG216+AH216+AI216+AJ216</f>
        <v>66</v>
      </c>
      <c r="AL216" s="24" t="n">
        <f aca="false">SUMIFS(Permissions!$G$2:$G$3000,Permissions!$B$2:$B$3000,$A216,Permissions!$I$2:$I$3000,"Expired – not started",Permissions!$P$2:$P$3000,"Yes")</f>
        <v>0</v>
      </c>
      <c r="AM216" s="24" t="n">
        <f aca="false">SUMIFS(Permissions!$G$2:$G$3000,Permissions!$B$2:$B$3000,$A216,Permissions!$I$2:$I$3000,"In planning",Permissions!$P$2:$P$3000,"Yes")</f>
        <v>0</v>
      </c>
      <c r="AN216" s="24" t="n">
        <f aca="false">IF(R216="",0,MAX(R216-AK216,0))</f>
        <v>0</v>
      </c>
      <c r="AO216" s="25" t="n">
        <f aca="false">AK216+AN216</f>
        <v>66</v>
      </c>
      <c r="AP216" s="24" t="n">
        <f aca="false">AO216-AG216</f>
        <v>66</v>
      </c>
      <c r="AQ216" s="26" t="n">
        <f aca="false">SUMIFS(Permissions!$AH$2:$AH$3000,Permissions!$B$2:$B$3000,$A216,Permissions!$P$2:$P$3000,"Yes")</f>
        <v>15.4</v>
      </c>
      <c r="AR216" s="26" t="n">
        <f aca="false">SUMIFS(Permissions!$AI$2:$AI$3000,Permissions!$B$2:$B$3000,$A216,Permissions!$P$2:$P$3000,"Yes")</f>
        <v>50.6</v>
      </c>
      <c r="AS216" s="26" t="n">
        <f aca="false">SUMIFS(Permissions!$AJ$2:$AJ$3000,Permissions!$B$2:$B$3000,$A216,Permissions!$P$2:$P$3000,"Yes")</f>
        <v>0</v>
      </c>
      <c r="AT216" s="26" t="n">
        <f aca="false">SUMIFS(Permissions!$AK$2:$AK$3000,Permissions!$B$2:$B$3000,$A216,Permissions!$P$2:$P$3000,"Yes")</f>
        <v>0</v>
      </c>
      <c r="AU216" s="26" t="n">
        <f aca="false">SUMIFS(Permissions!$AL$2:$AL$3000,Permissions!$B$2:$B$3000,$A216,Permissions!$P$2:$P$3000,"Yes")</f>
        <v>0</v>
      </c>
      <c r="AV216" s="26" t="n">
        <f aca="false">SUMIFS(Permissions!$AM$2:$AM$3000,Permissions!$B$2:$B$3000,$A216,Permissions!$P$2:$P$3000,"Yes")</f>
        <v>0</v>
      </c>
      <c r="AW216" s="24" t="n">
        <f aca="false">COUNTIFS(Permissions!$B$2:$B$3000,$A216,Permissions!$P$2:$P$3000,"Yes")</f>
        <v>1</v>
      </c>
      <c r="AX216" s="24" t="n">
        <f aca="false">SUMIFS(Permissions!$L$2:$L$3000,Permissions!$B$2:$B$3000,$A216,Permissions!$P$2:$P$3000,"Yes")</f>
        <v>13</v>
      </c>
      <c r="AY216" s="27" t="str">
        <f aca="false">IF(AND(AK216&gt;0,AG216&gt;=AK216,AN216=0),"Built out",IF(AG216&gt;0,"Partly built",IF(AK216&gt;0,"Consented – not built","No consent")))</f>
        <v>Consented – not built</v>
      </c>
      <c r="AZ216" s="28" t="str">
        <f aca="false">IF(AND(R216&lt;&gt;"",AK216&gt;1.1*R216),"Consented above capacity",IF(AND(LEFT(B216,8)="Planning",AW216=0),"Consent parcel with no permission",IF(COUNTIF($A$2:$A$3000,$A216)&gt;1,"Duplicate parcel_id","")))</f>
        <v/>
      </c>
    </row>
    <row r="217" customFormat="false" ht="15" hidden="false" customHeight="false" outlineLevel="0" collapsed="false">
      <c r="A217" s="15" t="s">
        <v>513</v>
      </c>
      <c r="B217" s="15" t="s">
        <v>12</v>
      </c>
      <c r="C217" s="15" t="s">
        <v>16</v>
      </c>
      <c r="D217" s="15" t="s">
        <v>55</v>
      </c>
      <c r="E217" s="15" t="s">
        <v>19</v>
      </c>
      <c r="F217" s="15" t="n">
        <v>1</v>
      </c>
      <c r="G217" s="15" t="s">
        <v>154</v>
      </c>
      <c r="H217" s="15"/>
      <c r="I217" s="15" t="s">
        <v>55</v>
      </c>
      <c r="J217" s="15" t="s">
        <v>155</v>
      </c>
      <c r="K217" s="15" t="s">
        <v>514</v>
      </c>
      <c r="L217" s="15"/>
      <c r="M217" s="15"/>
      <c r="N217" s="15"/>
      <c r="O217" s="15"/>
      <c r="P217" s="15" t="n">
        <v>0.935</v>
      </c>
      <c r="Q217" s="15" t="n">
        <v>0.935</v>
      </c>
      <c r="R217" s="15"/>
      <c r="S217" s="15" t="s">
        <v>346</v>
      </c>
      <c r="T217" s="15"/>
      <c r="U217" s="15"/>
      <c r="V217" s="15"/>
      <c r="W217" s="15"/>
      <c r="X217" s="15"/>
      <c r="Y217" s="15"/>
      <c r="Z217" s="15"/>
      <c r="AA217" s="15" t="n">
        <v>0</v>
      </c>
      <c r="AB217" s="15" t="n">
        <v>0</v>
      </c>
      <c r="AC217" s="15"/>
      <c r="AD217" s="15"/>
      <c r="AE217" s="15" t="s">
        <v>163</v>
      </c>
      <c r="AF217" s="15"/>
      <c r="AG217" s="24" t="n">
        <f aca="false">SUMIFS(Permissions!$G$2:$G$3000,Permissions!$B$2:$B$3000,$A217,Permissions!$I$2:$I$3000,"Complete",Permissions!$P$2:$P$3000,"Yes")</f>
        <v>0</v>
      </c>
      <c r="AH217" s="24" t="n">
        <f aca="false">SUMIFS(Permissions!$G$2:$G$3000,Permissions!$B$2:$B$3000,$A217,Permissions!$I$2:$I$3000,"Under construction",Permissions!$P$2:$P$3000,"Yes")</f>
        <v>0</v>
      </c>
      <c r="AI217" s="24" t="n">
        <f aca="false">SUMIFS(Permissions!$G$2:$G$3000,Permissions!$B$2:$B$3000,$A217,Permissions!$I$2:$I$3000,"Permitted – not started",Permissions!$P$2:$P$3000,"Yes")</f>
        <v>104</v>
      </c>
      <c r="AJ217" s="24" t="n">
        <f aca="false">SUMIFS(Permissions!$G$2:$G$3000,Permissions!$B$2:$B$3000,$A217,Permissions!$I$2:$I$3000,"Stalled",Permissions!$P$2:$P$3000,"Yes")</f>
        <v>0</v>
      </c>
      <c r="AK217" s="24" t="n">
        <f aca="false">AG217+AH217+AI217+AJ217</f>
        <v>104</v>
      </c>
      <c r="AL217" s="24" t="n">
        <f aca="false">SUMIFS(Permissions!$G$2:$G$3000,Permissions!$B$2:$B$3000,$A217,Permissions!$I$2:$I$3000,"Expired – not started",Permissions!$P$2:$P$3000,"Yes")</f>
        <v>0</v>
      </c>
      <c r="AM217" s="24" t="n">
        <f aca="false">SUMIFS(Permissions!$G$2:$G$3000,Permissions!$B$2:$B$3000,$A217,Permissions!$I$2:$I$3000,"In planning",Permissions!$P$2:$P$3000,"Yes")</f>
        <v>0</v>
      </c>
      <c r="AN217" s="24" t="n">
        <f aca="false">IF(R217="",0,MAX(R217-AK217,0))</f>
        <v>0</v>
      </c>
      <c r="AO217" s="25" t="n">
        <f aca="false">AK217+AN217</f>
        <v>104</v>
      </c>
      <c r="AP217" s="24" t="n">
        <f aca="false">AO217-AG217</f>
        <v>104</v>
      </c>
      <c r="AQ217" s="26" t="n">
        <f aca="false">SUMIFS(Permissions!$AH$2:$AH$3000,Permissions!$B$2:$B$3000,$A217,Permissions!$P$2:$P$3000,"Yes")</f>
        <v>0</v>
      </c>
      <c r="AR217" s="26" t="n">
        <f aca="false">SUMIFS(Permissions!$AI$2:$AI$3000,Permissions!$B$2:$B$3000,$A217,Permissions!$P$2:$P$3000,"Yes")</f>
        <v>0</v>
      </c>
      <c r="AS217" s="26" t="n">
        <f aca="false">SUMIFS(Permissions!$AJ$2:$AJ$3000,Permissions!$B$2:$B$3000,$A217,Permissions!$P$2:$P$3000,"Yes")</f>
        <v>70</v>
      </c>
      <c r="AT217" s="26" t="n">
        <f aca="false">SUMIFS(Permissions!$AK$2:$AK$3000,Permissions!$B$2:$B$3000,$A217,Permissions!$P$2:$P$3000,"Yes")</f>
        <v>34</v>
      </c>
      <c r="AU217" s="26" t="n">
        <f aca="false">SUMIFS(Permissions!$AL$2:$AL$3000,Permissions!$B$2:$B$3000,$A217,Permissions!$P$2:$P$3000,"Yes")</f>
        <v>0</v>
      </c>
      <c r="AV217" s="26" t="n">
        <f aca="false">SUMIFS(Permissions!$AM$2:$AM$3000,Permissions!$B$2:$B$3000,$A217,Permissions!$P$2:$P$3000,"Yes")</f>
        <v>0</v>
      </c>
      <c r="AW217" s="24" t="n">
        <f aca="false">COUNTIFS(Permissions!$B$2:$B$3000,$A217,Permissions!$P$2:$P$3000,"Yes")</f>
        <v>1</v>
      </c>
      <c r="AX217" s="24" t="n">
        <f aca="false">SUMIFS(Permissions!$L$2:$L$3000,Permissions!$B$2:$B$3000,$A217,Permissions!$P$2:$P$3000,"Yes")</f>
        <v>0</v>
      </c>
      <c r="AY217" s="27" t="str">
        <f aca="false">IF(AND(AK217&gt;0,AG217&gt;=AK217,AN217=0),"Built out",IF(AG217&gt;0,"Partly built",IF(AK217&gt;0,"Consented – not built","No consent")))</f>
        <v>Consented – not built</v>
      </c>
      <c r="AZ217" s="28" t="str">
        <f aca="false">IF(AND(R217&lt;&gt;"",AK217&gt;1.1*R217),"Consented above capacity",IF(AND(LEFT(B217,8)="Planning",AW217=0),"Consent parcel with no permission",IF(COUNTIF($A$2:$A$3000,$A217)&gt;1,"Duplicate parcel_id","")))</f>
        <v/>
      </c>
    </row>
    <row r="218" customFormat="false" ht="15" hidden="false" customHeight="false" outlineLevel="0" collapsed="false">
      <c r="A218" s="15" t="s">
        <v>515</v>
      </c>
      <c r="B218" s="15" t="s">
        <v>12</v>
      </c>
      <c r="C218" s="15" t="s">
        <v>16</v>
      </c>
      <c r="D218" s="15" t="s">
        <v>55</v>
      </c>
      <c r="E218" s="15" t="s">
        <v>19</v>
      </c>
      <c r="F218" s="15" t="n">
        <v>1</v>
      </c>
      <c r="G218" s="15" t="s">
        <v>154</v>
      </c>
      <c r="H218" s="15"/>
      <c r="I218" s="15" t="s">
        <v>55</v>
      </c>
      <c r="J218" s="15" t="s">
        <v>155</v>
      </c>
      <c r="K218" s="15" t="s">
        <v>516</v>
      </c>
      <c r="L218" s="15"/>
      <c r="M218" s="15"/>
      <c r="N218" s="15"/>
      <c r="O218" s="15"/>
      <c r="P218" s="15" t="n">
        <v>0.272</v>
      </c>
      <c r="Q218" s="15" t="n">
        <v>0.272</v>
      </c>
      <c r="R218" s="15"/>
      <c r="S218" s="15" t="s">
        <v>346</v>
      </c>
      <c r="T218" s="15"/>
      <c r="U218" s="15"/>
      <c r="V218" s="15"/>
      <c r="W218" s="15"/>
      <c r="X218" s="15"/>
      <c r="Y218" s="15"/>
      <c r="Z218" s="15"/>
      <c r="AA218" s="15" t="n">
        <v>1</v>
      </c>
      <c r="AB218" s="15" t="n">
        <v>1</v>
      </c>
      <c r="AC218" s="15"/>
      <c r="AD218" s="15"/>
      <c r="AE218" s="15" t="s">
        <v>163</v>
      </c>
      <c r="AF218" s="15"/>
      <c r="AG218" s="24" t="n">
        <f aca="false">SUMIFS(Permissions!$G$2:$G$3000,Permissions!$B$2:$B$3000,$A218,Permissions!$I$2:$I$3000,"Complete",Permissions!$P$2:$P$3000,"Yes")</f>
        <v>0</v>
      </c>
      <c r="AH218" s="24" t="n">
        <f aca="false">SUMIFS(Permissions!$G$2:$G$3000,Permissions!$B$2:$B$3000,$A218,Permissions!$I$2:$I$3000,"Under construction",Permissions!$P$2:$P$3000,"Yes")</f>
        <v>0</v>
      </c>
      <c r="AI218" s="24" t="n">
        <f aca="false">SUMIFS(Permissions!$G$2:$G$3000,Permissions!$B$2:$B$3000,$A218,Permissions!$I$2:$I$3000,"Permitted – not started",Permissions!$P$2:$P$3000,"Yes")</f>
        <v>24</v>
      </c>
      <c r="AJ218" s="24" t="n">
        <f aca="false">SUMIFS(Permissions!$G$2:$G$3000,Permissions!$B$2:$B$3000,$A218,Permissions!$I$2:$I$3000,"Stalled",Permissions!$P$2:$P$3000,"Yes")</f>
        <v>0</v>
      </c>
      <c r="AK218" s="24" t="n">
        <f aca="false">AG218+AH218+AI218+AJ218</f>
        <v>24</v>
      </c>
      <c r="AL218" s="24" t="n">
        <f aca="false">SUMIFS(Permissions!$G$2:$G$3000,Permissions!$B$2:$B$3000,$A218,Permissions!$I$2:$I$3000,"Expired – not started",Permissions!$P$2:$P$3000,"Yes")</f>
        <v>0</v>
      </c>
      <c r="AM218" s="24" t="n">
        <f aca="false">SUMIFS(Permissions!$G$2:$G$3000,Permissions!$B$2:$B$3000,$A218,Permissions!$I$2:$I$3000,"In planning",Permissions!$P$2:$P$3000,"Yes")</f>
        <v>0</v>
      </c>
      <c r="AN218" s="24" t="n">
        <f aca="false">IF(R218="",0,MAX(R218-AK218,0))</f>
        <v>0</v>
      </c>
      <c r="AO218" s="25" t="n">
        <f aca="false">AK218+AN218</f>
        <v>24</v>
      </c>
      <c r="AP218" s="24" t="n">
        <f aca="false">AO218-AG218</f>
        <v>24</v>
      </c>
      <c r="AQ218" s="26" t="n">
        <f aca="false">SUMIFS(Permissions!$AH$2:$AH$3000,Permissions!$B$2:$B$3000,$A218,Permissions!$P$2:$P$3000,"Yes")</f>
        <v>0</v>
      </c>
      <c r="AR218" s="26" t="n">
        <f aca="false">SUMIFS(Permissions!$AI$2:$AI$3000,Permissions!$B$2:$B$3000,$A218,Permissions!$P$2:$P$3000,"Yes")</f>
        <v>0</v>
      </c>
      <c r="AS218" s="26" t="n">
        <f aca="false">SUMIFS(Permissions!$AJ$2:$AJ$3000,Permissions!$B$2:$B$3000,$A218,Permissions!$P$2:$P$3000,"Yes")</f>
        <v>4.2</v>
      </c>
      <c r="AT218" s="26" t="n">
        <f aca="false">SUMIFS(Permissions!$AK$2:$AK$3000,Permissions!$B$2:$B$3000,$A218,Permissions!$P$2:$P$3000,"Yes")</f>
        <v>12.8</v>
      </c>
      <c r="AU218" s="26" t="n">
        <f aca="false">SUMIFS(Permissions!$AL$2:$AL$3000,Permissions!$B$2:$B$3000,$A218,Permissions!$P$2:$P$3000,"Yes")</f>
        <v>7</v>
      </c>
      <c r="AV218" s="26" t="n">
        <f aca="false">SUMIFS(Permissions!$AM$2:$AM$3000,Permissions!$B$2:$B$3000,$A218,Permissions!$P$2:$P$3000,"Yes")</f>
        <v>0</v>
      </c>
      <c r="AW218" s="24" t="n">
        <f aca="false">COUNTIFS(Permissions!$B$2:$B$3000,$A218,Permissions!$P$2:$P$3000,"Yes")</f>
        <v>1</v>
      </c>
      <c r="AX218" s="24" t="n">
        <f aca="false">SUMIFS(Permissions!$L$2:$L$3000,Permissions!$B$2:$B$3000,$A218,Permissions!$P$2:$P$3000,"Yes")</f>
        <v>0</v>
      </c>
      <c r="AY218" s="27" t="str">
        <f aca="false">IF(AND(AK218&gt;0,AG218&gt;=AK218,AN218=0),"Built out",IF(AG218&gt;0,"Partly built",IF(AK218&gt;0,"Consented – not built","No consent")))</f>
        <v>Consented – not built</v>
      </c>
      <c r="AZ218" s="28" t="str">
        <f aca="false">IF(AND(R218&lt;&gt;"",AK218&gt;1.1*R218),"Consented above capacity",IF(AND(LEFT(B218,8)="Planning",AW218=0),"Consent parcel with no permission",IF(COUNTIF($A$2:$A$3000,$A218)&gt;1,"Duplicate parcel_id","")))</f>
        <v/>
      </c>
    </row>
    <row r="219" customFormat="false" ht="15" hidden="false" customHeight="false" outlineLevel="0" collapsed="false">
      <c r="A219" s="15" t="s">
        <v>517</v>
      </c>
      <c r="B219" s="15" t="s">
        <v>12</v>
      </c>
      <c r="C219" s="15" t="s">
        <v>16</v>
      </c>
      <c r="D219" s="15" t="s">
        <v>55</v>
      </c>
      <c r="E219" s="15" t="s">
        <v>19</v>
      </c>
      <c r="F219" s="15" t="n">
        <v>1</v>
      </c>
      <c r="G219" s="15" t="s">
        <v>154</v>
      </c>
      <c r="H219" s="15"/>
      <c r="I219" s="15" t="s">
        <v>55</v>
      </c>
      <c r="J219" s="15" t="s">
        <v>155</v>
      </c>
      <c r="K219" s="15" t="s">
        <v>518</v>
      </c>
      <c r="L219" s="15"/>
      <c r="M219" s="15"/>
      <c r="N219" s="15"/>
      <c r="O219" s="15"/>
      <c r="P219" s="15" t="n">
        <v>0.196</v>
      </c>
      <c r="Q219" s="15" t="n">
        <v>0.196</v>
      </c>
      <c r="R219" s="15"/>
      <c r="S219" s="15" t="s">
        <v>346</v>
      </c>
      <c r="T219" s="15"/>
      <c r="U219" s="15"/>
      <c r="V219" s="15"/>
      <c r="W219" s="15"/>
      <c r="X219" s="15"/>
      <c r="Y219" s="15"/>
      <c r="Z219" s="15"/>
      <c r="AA219" s="15" t="n">
        <v>0</v>
      </c>
      <c r="AB219" s="15" t="n">
        <v>0</v>
      </c>
      <c r="AC219" s="15"/>
      <c r="AD219" s="15" t="s">
        <v>373</v>
      </c>
      <c r="AE219" s="15" t="s">
        <v>163</v>
      </c>
      <c r="AF219" s="15"/>
      <c r="AG219" s="24" t="n">
        <f aca="false">SUMIFS(Permissions!$G$2:$G$3000,Permissions!$B$2:$B$3000,$A219,Permissions!$I$2:$I$3000,"Complete",Permissions!$P$2:$P$3000,"Yes")</f>
        <v>0</v>
      </c>
      <c r="AH219" s="24" t="n">
        <f aca="false">SUMIFS(Permissions!$G$2:$G$3000,Permissions!$B$2:$B$3000,$A219,Permissions!$I$2:$I$3000,"Under construction",Permissions!$P$2:$P$3000,"Yes")</f>
        <v>0</v>
      </c>
      <c r="AI219" s="24" t="n">
        <f aca="false">SUMIFS(Permissions!$G$2:$G$3000,Permissions!$B$2:$B$3000,$A219,Permissions!$I$2:$I$3000,"Permitted – not started",Permissions!$P$2:$P$3000,"Yes")</f>
        <v>20</v>
      </c>
      <c r="AJ219" s="24" t="n">
        <f aca="false">SUMIFS(Permissions!$G$2:$G$3000,Permissions!$B$2:$B$3000,$A219,Permissions!$I$2:$I$3000,"Stalled",Permissions!$P$2:$P$3000,"Yes")</f>
        <v>0</v>
      </c>
      <c r="AK219" s="24" t="n">
        <f aca="false">AG219+AH219+AI219+AJ219</f>
        <v>20</v>
      </c>
      <c r="AL219" s="24" t="n">
        <f aca="false">SUMIFS(Permissions!$G$2:$G$3000,Permissions!$B$2:$B$3000,$A219,Permissions!$I$2:$I$3000,"Expired – not started",Permissions!$P$2:$P$3000,"Yes")</f>
        <v>0</v>
      </c>
      <c r="AM219" s="24" t="n">
        <f aca="false">SUMIFS(Permissions!$G$2:$G$3000,Permissions!$B$2:$B$3000,$A219,Permissions!$I$2:$I$3000,"In planning",Permissions!$P$2:$P$3000,"Yes")</f>
        <v>0</v>
      </c>
      <c r="AN219" s="24" t="n">
        <f aca="false">IF(R219="",0,MAX(R219-AK219,0))</f>
        <v>0</v>
      </c>
      <c r="AO219" s="25" t="n">
        <f aca="false">AK219+AN219</f>
        <v>20</v>
      </c>
      <c r="AP219" s="24" t="n">
        <f aca="false">AO219-AG219</f>
        <v>20</v>
      </c>
      <c r="AQ219" s="26" t="n">
        <f aca="false">SUMIFS(Permissions!$AH$2:$AH$3000,Permissions!$B$2:$B$3000,$A219,Permissions!$P$2:$P$3000,"Yes")</f>
        <v>0</v>
      </c>
      <c r="AR219" s="26" t="n">
        <f aca="false">SUMIFS(Permissions!$AI$2:$AI$3000,Permissions!$B$2:$B$3000,$A219,Permissions!$P$2:$P$3000,"Yes")</f>
        <v>0</v>
      </c>
      <c r="AS219" s="26" t="n">
        <f aca="false">SUMIFS(Permissions!$AJ$2:$AJ$3000,Permissions!$B$2:$B$3000,$A219,Permissions!$P$2:$P$3000,"Yes")</f>
        <v>6.9</v>
      </c>
      <c r="AT219" s="26" t="n">
        <f aca="false">SUMIFS(Permissions!$AK$2:$AK$3000,Permissions!$B$2:$B$3000,$A219,Permissions!$P$2:$P$3000,"Yes")</f>
        <v>13.1</v>
      </c>
      <c r="AU219" s="26" t="n">
        <f aca="false">SUMIFS(Permissions!$AL$2:$AL$3000,Permissions!$B$2:$B$3000,$A219,Permissions!$P$2:$P$3000,"Yes")</f>
        <v>0</v>
      </c>
      <c r="AV219" s="26" t="n">
        <f aca="false">SUMIFS(Permissions!$AM$2:$AM$3000,Permissions!$B$2:$B$3000,$A219,Permissions!$P$2:$P$3000,"Yes")</f>
        <v>0</v>
      </c>
      <c r="AW219" s="24" t="n">
        <f aca="false">COUNTIFS(Permissions!$B$2:$B$3000,$A219,Permissions!$P$2:$P$3000,"Yes")</f>
        <v>1</v>
      </c>
      <c r="AX219" s="24" t="n">
        <f aca="false">SUMIFS(Permissions!$L$2:$L$3000,Permissions!$B$2:$B$3000,$A219,Permissions!$P$2:$P$3000,"Yes")</f>
        <v>0</v>
      </c>
      <c r="AY219" s="27" t="str">
        <f aca="false">IF(AND(AK219&gt;0,AG219&gt;=AK219,AN219=0),"Built out",IF(AG219&gt;0,"Partly built",IF(AK219&gt;0,"Consented – not built","No consent")))</f>
        <v>Consented – not built</v>
      </c>
      <c r="AZ219" s="28" t="str">
        <f aca="false">IF(AND(R219&lt;&gt;"",AK219&gt;1.1*R219),"Consented above capacity",IF(AND(LEFT(B219,8)="Planning",AW219=0),"Consent parcel with no permission",IF(COUNTIF($A$2:$A$3000,$A219)&gt;1,"Duplicate parcel_id","")))</f>
        <v/>
      </c>
    </row>
    <row r="220" customFormat="false" ht="15" hidden="false" customHeight="false" outlineLevel="0" collapsed="false">
      <c r="A220" s="15" t="s">
        <v>519</v>
      </c>
      <c r="B220" s="15" t="s">
        <v>12</v>
      </c>
      <c r="C220" s="15" t="s">
        <v>16</v>
      </c>
      <c r="D220" s="15" t="s">
        <v>56</v>
      </c>
      <c r="E220" s="15" t="s">
        <v>19</v>
      </c>
      <c r="F220" s="15" t="n">
        <v>1</v>
      </c>
      <c r="G220" s="15" t="s">
        <v>154</v>
      </c>
      <c r="H220" s="15"/>
      <c r="I220" s="15" t="s">
        <v>56</v>
      </c>
      <c r="J220" s="15" t="s">
        <v>176</v>
      </c>
      <c r="K220" s="15" t="s">
        <v>520</v>
      </c>
      <c r="L220" s="15"/>
      <c r="M220" s="15"/>
      <c r="N220" s="15"/>
      <c r="O220" s="15"/>
      <c r="P220" s="15" t="n">
        <v>0.172</v>
      </c>
      <c r="Q220" s="15" t="n">
        <v>0.172</v>
      </c>
      <c r="R220" s="15"/>
      <c r="S220" s="15" t="s">
        <v>346</v>
      </c>
      <c r="T220" s="15"/>
      <c r="U220" s="15"/>
      <c r="V220" s="15"/>
      <c r="W220" s="15"/>
      <c r="X220" s="15"/>
      <c r="Y220" s="15"/>
      <c r="Z220" s="15"/>
      <c r="AA220" s="15" t="n">
        <v>2</v>
      </c>
      <c r="AB220" s="15" t="n">
        <v>0</v>
      </c>
      <c r="AC220" s="15"/>
      <c r="AD220" s="15" t="s">
        <v>379</v>
      </c>
      <c r="AE220" s="15" t="s">
        <v>163</v>
      </c>
      <c r="AF220" s="15"/>
      <c r="AG220" s="24" t="n">
        <f aca="false">SUMIFS(Permissions!$G$2:$G$3000,Permissions!$B$2:$B$3000,$A220,Permissions!$I$2:$I$3000,"Complete",Permissions!$P$2:$P$3000,"Yes")</f>
        <v>0</v>
      </c>
      <c r="AH220" s="24" t="n">
        <f aca="false">SUMIFS(Permissions!$G$2:$G$3000,Permissions!$B$2:$B$3000,$A220,Permissions!$I$2:$I$3000,"Under construction",Permissions!$P$2:$P$3000,"Yes")</f>
        <v>0</v>
      </c>
      <c r="AI220" s="24" t="n">
        <f aca="false">SUMIFS(Permissions!$G$2:$G$3000,Permissions!$B$2:$B$3000,$A220,Permissions!$I$2:$I$3000,"Permitted – not started",Permissions!$P$2:$P$3000,"Yes")</f>
        <v>23</v>
      </c>
      <c r="AJ220" s="24" t="n">
        <f aca="false">SUMIFS(Permissions!$G$2:$G$3000,Permissions!$B$2:$B$3000,$A220,Permissions!$I$2:$I$3000,"Stalled",Permissions!$P$2:$P$3000,"Yes")</f>
        <v>0</v>
      </c>
      <c r="AK220" s="24" t="n">
        <f aca="false">AG220+AH220+AI220+AJ220</f>
        <v>23</v>
      </c>
      <c r="AL220" s="24" t="n">
        <f aca="false">SUMIFS(Permissions!$G$2:$G$3000,Permissions!$B$2:$B$3000,$A220,Permissions!$I$2:$I$3000,"Expired – not started",Permissions!$P$2:$P$3000,"Yes")</f>
        <v>0</v>
      </c>
      <c r="AM220" s="24" t="n">
        <f aca="false">SUMIFS(Permissions!$G$2:$G$3000,Permissions!$B$2:$B$3000,$A220,Permissions!$I$2:$I$3000,"In planning",Permissions!$P$2:$P$3000,"Yes")</f>
        <v>0</v>
      </c>
      <c r="AN220" s="24" t="n">
        <f aca="false">IF(R220="",0,MAX(R220-AK220,0))</f>
        <v>0</v>
      </c>
      <c r="AO220" s="25" t="n">
        <f aca="false">AK220+AN220</f>
        <v>23</v>
      </c>
      <c r="AP220" s="24" t="n">
        <f aca="false">AO220-AG220</f>
        <v>23</v>
      </c>
      <c r="AQ220" s="26" t="n">
        <f aca="false">SUMIFS(Permissions!$AH$2:$AH$3000,Permissions!$B$2:$B$3000,$A220,Permissions!$P$2:$P$3000,"Yes")</f>
        <v>0</v>
      </c>
      <c r="AR220" s="26" t="n">
        <f aca="false">SUMIFS(Permissions!$AI$2:$AI$3000,Permissions!$B$2:$B$3000,$A220,Permissions!$P$2:$P$3000,"Yes")</f>
        <v>0</v>
      </c>
      <c r="AS220" s="26" t="n">
        <f aca="false">SUMIFS(Permissions!$AJ$2:$AJ$3000,Permissions!$B$2:$B$3000,$A220,Permissions!$P$2:$P$3000,"Yes")</f>
        <v>9.6</v>
      </c>
      <c r="AT220" s="26" t="n">
        <f aca="false">SUMIFS(Permissions!$AK$2:$AK$3000,Permissions!$B$2:$B$3000,$A220,Permissions!$P$2:$P$3000,"Yes")</f>
        <v>13.1</v>
      </c>
      <c r="AU220" s="26" t="n">
        <f aca="false">SUMIFS(Permissions!$AL$2:$AL$3000,Permissions!$B$2:$B$3000,$A220,Permissions!$P$2:$P$3000,"Yes")</f>
        <v>0.3</v>
      </c>
      <c r="AV220" s="26" t="n">
        <f aca="false">SUMIFS(Permissions!$AM$2:$AM$3000,Permissions!$B$2:$B$3000,$A220,Permissions!$P$2:$P$3000,"Yes")</f>
        <v>0</v>
      </c>
      <c r="AW220" s="24" t="n">
        <f aca="false">COUNTIFS(Permissions!$B$2:$B$3000,$A220,Permissions!$P$2:$P$3000,"Yes")</f>
        <v>1</v>
      </c>
      <c r="AX220" s="24" t="n">
        <f aca="false">SUMIFS(Permissions!$L$2:$L$3000,Permissions!$B$2:$B$3000,$A220,Permissions!$P$2:$P$3000,"Yes")</f>
        <v>0</v>
      </c>
      <c r="AY220" s="27" t="str">
        <f aca="false">IF(AND(AK220&gt;0,AG220&gt;=AK220,AN220=0),"Built out",IF(AG220&gt;0,"Partly built",IF(AK220&gt;0,"Consented – not built","No consent")))</f>
        <v>Consented – not built</v>
      </c>
      <c r="AZ220" s="28" t="str">
        <f aca="false">IF(AND(R220&lt;&gt;"",AK220&gt;1.1*R220),"Consented above capacity",IF(AND(LEFT(B220,8)="Planning",AW220=0),"Consent parcel with no permission",IF(COUNTIF($A$2:$A$3000,$A220)&gt;1,"Duplicate parcel_id","")))</f>
        <v/>
      </c>
    </row>
    <row r="221" customFormat="false" ht="15" hidden="false" customHeight="false" outlineLevel="0" collapsed="false">
      <c r="A221" s="15" t="s">
        <v>521</v>
      </c>
      <c r="B221" s="15" t="s">
        <v>12</v>
      </c>
      <c r="C221" s="15" t="s">
        <v>16</v>
      </c>
      <c r="D221" s="15" t="s">
        <v>57</v>
      </c>
      <c r="E221" s="15" t="s">
        <v>19</v>
      </c>
      <c r="F221" s="15" t="n">
        <v>1</v>
      </c>
      <c r="G221" s="15" t="s">
        <v>154</v>
      </c>
      <c r="H221" s="15"/>
      <c r="I221" s="15" t="s">
        <v>57</v>
      </c>
      <c r="J221" s="15" t="s">
        <v>176</v>
      </c>
      <c r="K221" s="15" t="s">
        <v>522</v>
      </c>
      <c r="L221" s="15"/>
      <c r="M221" s="15"/>
      <c r="N221" s="15"/>
      <c r="O221" s="15"/>
      <c r="P221" s="15" t="n">
        <v>0.19</v>
      </c>
      <c r="Q221" s="15" t="n">
        <v>0.19</v>
      </c>
      <c r="R221" s="15"/>
      <c r="S221" s="15" t="s">
        <v>346</v>
      </c>
      <c r="T221" s="15"/>
      <c r="U221" s="15"/>
      <c r="V221" s="15"/>
      <c r="W221" s="15"/>
      <c r="X221" s="15"/>
      <c r="Y221" s="15"/>
      <c r="Z221" s="15"/>
      <c r="AA221" s="15" t="n">
        <v>7</v>
      </c>
      <c r="AB221" s="15" t="n">
        <v>7</v>
      </c>
      <c r="AC221" s="15"/>
      <c r="AD221" s="15"/>
      <c r="AE221" s="15" t="s">
        <v>163</v>
      </c>
      <c r="AF221" s="15"/>
      <c r="AG221" s="24" t="n">
        <f aca="false">SUMIFS(Permissions!$G$2:$G$3000,Permissions!$B$2:$B$3000,$A221,Permissions!$I$2:$I$3000,"Complete",Permissions!$P$2:$P$3000,"Yes")</f>
        <v>7</v>
      </c>
      <c r="AH221" s="24" t="n">
        <f aca="false">SUMIFS(Permissions!$G$2:$G$3000,Permissions!$B$2:$B$3000,$A221,Permissions!$I$2:$I$3000,"Under construction",Permissions!$P$2:$P$3000,"Yes")</f>
        <v>0</v>
      </c>
      <c r="AI221" s="24" t="n">
        <f aca="false">SUMIFS(Permissions!$G$2:$G$3000,Permissions!$B$2:$B$3000,$A221,Permissions!$I$2:$I$3000,"Permitted – not started",Permissions!$P$2:$P$3000,"Yes")</f>
        <v>0</v>
      </c>
      <c r="AJ221" s="24" t="n">
        <f aca="false">SUMIFS(Permissions!$G$2:$G$3000,Permissions!$B$2:$B$3000,$A221,Permissions!$I$2:$I$3000,"Stalled",Permissions!$P$2:$P$3000,"Yes")</f>
        <v>0</v>
      </c>
      <c r="AK221" s="24" t="n">
        <f aca="false">AG221+AH221+AI221+AJ221</f>
        <v>7</v>
      </c>
      <c r="AL221" s="24" t="n">
        <f aca="false">SUMIFS(Permissions!$G$2:$G$3000,Permissions!$B$2:$B$3000,$A221,Permissions!$I$2:$I$3000,"Expired – not started",Permissions!$P$2:$P$3000,"Yes")</f>
        <v>0</v>
      </c>
      <c r="AM221" s="24" t="n">
        <f aca="false">SUMIFS(Permissions!$G$2:$G$3000,Permissions!$B$2:$B$3000,$A221,Permissions!$I$2:$I$3000,"In planning",Permissions!$P$2:$P$3000,"Yes")</f>
        <v>0</v>
      </c>
      <c r="AN221" s="24" t="n">
        <f aca="false">IF(R221="",0,MAX(R221-AK221,0))</f>
        <v>0</v>
      </c>
      <c r="AO221" s="25" t="n">
        <f aca="false">AK221+AN221</f>
        <v>7</v>
      </c>
      <c r="AP221" s="24" t="n">
        <f aca="false">AO221-AG221</f>
        <v>0</v>
      </c>
      <c r="AQ221" s="26" t="n">
        <f aca="false">SUMIFS(Permissions!$AH$2:$AH$3000,Permissions!$B$2:$B$3000,$A221,Permissions!$P$2:$P$3000,"Yes")</f>
        <v>0</v>
      </c>
      <c r="AR221" s="26" t="n">
        <f aca="false">SUMIFS(Permissions!$AI$2:$AI$3000,Permissions!$B$2:$B$3000,$A221,Permissions!$P$2:$P$3000,"Yes")</f>
        <v>0</v>
      </c>
      <c r="AS221" s="26" t="n">
        <f aca="false">SUMIFS(Permissions!$AJ$2:$AJ$3000,Permissions!$B$2:$B$3000,$A221,Permissions!$P$2:$P$3000,"Yes")</f>
        <v>0</v>
      </c>
      <c r="AT221" s="26" t="n">
        <f aca="false">SUMIFS(Permissions!$AK$2:$AK$3000,Permissions!$B$2:$B$3000,$A221,Permissions!$P$2:$P$3000,"Yes")</f>
        <v>0</v>
      </c>
      <c r="AU221" s="26" t="n">
        <f aca="false">SUMIFS(Permissions!$AL$2:$AL$3000,Permissions!$B$2:$B$3000,$A221,Permissions!$P$2:$P$3000,"Yes")</f>
        <v>0</v>
      </c>
      <c r="AV221" s="26" t="n">
        <f aca="false">SUMIFS(Permissions!$AM$2:$AM$3000,Permissions!$B$2:$B$3000,$A221,Permissions!$P$2:$P$3000,"Yes")</f>
        <v>0</v>
      </c>
      <c r="AW221" s="24" t="n">
        <f aca="false">COUNTIFS(Permissions!$B$2:$B$3000,$A221,Permissions!$P$2:$P$3000,"Yes")</f>
        <v>1</v>
      </c>
      <c r="AX221" s="24" t="n">
        <f aca="false">SUMIFS(Permissions!$L$2:$L$3000,Permissions!$B$2:$B$3000,$A221,Permissions!$P$2:$P$3000,"Yes")</f>
        <v>7</v>
      </c>
      <c r="AY221" s="27" t="str">
        <f aca="false">IF(AND(AK221&gt;0,AG221&gt;=AK221,AN221=0),"Built out",IF(AG221&gt;0,"Partly built",IF(AK221&gt;0,"Consented – not built","No consent")))</f>
        <v>Built out</v>
      </c>
      <c r="AZ221" s="28" t="str">
        <f aca="false">IF(AND(R221&lt;&gt;"",AK221&gt;1.1*R221),"Consented above capacity",IF(AND(LEFT(B221,8)="Planning",AW221=0),"Consent parcel with no permission",IF(COUNTIF($A$2:$A$3000,$A221)&gt;1,"Duplicate parcel_id","")))</f>
        <v/>
      </c>
    </row>
    <row r="222" customFormat="false" ht="15" hidden="false" customHeight="false" outlineLevel="0" collapsed="false">
      <c r="A222" s="15" t="s">
        <v>523</v>
      </c>
      <c r="B222" s="15" t="s">
        <v>12</v>
      </c>
      <c r="C222" s="15" t="s">
        <v>16</v>
      </c>
      <c r="D222" s="15" t="s">
        <v>57</v>
      </c>
      <c r="E222" s="15" t="s">
        <v>19</v>
      </c>
      <c r="F222" s="15" t="n">
        <v>1</v>
      </c>
      <c r="G222" s="15" t="s">
        <v>154</v>
      </c>
      <c r="H222" s="15"/>
      <c r="I222" s="15" t="s">
        <v>57</v>
      </c>
      <c r="J222" s="15" t="s">
        <v>176</v>
      </c>
      <c r="K222" s="15" t="s">
        <v>524</v>
      </c>
      <c r="L222" s="15"/>
      <c r="M222" s="15"/>
      <c r="N222" s="15"/>
      <c r="O222" s="15"/>
      <c r="P222" s="15" t="n">
        <v>0.061</v>
      </c>
      <c r="Q222" s="15" t="n">
        <v>0.061</v>
      </c>
      <c r="R222" s="15"/>
      <c r="S222" s="15" t="s">
        <v>346</v>
      </c>
      <c r="T222" s="15"/>
      <c r="U222" s="15"/>
      <c r="V222" s="15"/>
      <c r="W222" s="15"/>
      <c r="X222" s="15"/>
      <c r="Y222" s="15"/>
      <c r="Z222" s="15"/>
      <c r="AA222" s="15" t="n">
        <v>7</v>
      </c>
      <c r="AB222" s="15" t="n">
        <v>7</v>
      </c>
      <c r="AC222" s="15"/>
      <c r="AD222" s="15"/>
      <c r="AE222" s="15" t="s">
        <v>163</v>
      </c>
      <c r="AF222" s="15"/>
      <c r="AG222" s="24" t="n">
        <f aca="false">SUMIFS(Permissions!$G$2:$G$3000,Permissions!$B$2:$B$3000,$A222,Permissions!$I$2:$I$3000,"Complete",Permissions!$P$2:$P$3000,"Yes")</f>
        <v>7</v>
      </c>
      <c r="AH222" s="24" t="n">
        <f aca="false">SUMIFS(Permissions!$G$2:$G$3000,Permissions!$B$2:$B$3000,$A222,Permissions!$I$2:$I$3000,"Under construction",Permissions!$P$2:$P$3000,"Yes")</f>
        <v>0</v>
      </c>
      <c r="AI222" s="24" t="n">
        <f aca="false">SUMIFS(Permissions!$G$2:$G$3000,Permissions!$B$2:$B$3000,$A222,Permissions!$I$2:$I$3000,"Permitted – not started",Permissions!$P$2:$P$3000,"Yes")</f>
        <v>0</v>
      </c>
      <c r="AJ222" s="24" t="n">
        <f aca="false">SUMIFS(Permissions!$G$2:$G$3000,Permissions!$B$2:$B$3000,$A222,Permissions!$I$2:$I$3000,"Stalled",Permissions!$P$2:$P$3000,"Yes")</f>
        <v>0</v>
      </c>
      <c r="AK222" s="24" t="n">
        <f aca="false">AG222+AH222+AI222+AJ222</f>
        <v>7</v>
      </c>
      <c r="AL222" s="24" t="n">
        <f aca="false">SUMIFS(Permissions!$G$2:$G$3000,Permissions!$B$2:$B$3000,$A222,Permissions!$I$2:$I$3000,"Expired – not started",Permissions!$P$2:$P$3000,"Yes")</f>
        <v>0</v>
      </c>
      <c r="AM222" s="24" t="n">
        <f aca="false">SUMIFS(Permissions!$G$2:$G$3000,Permissions!$B$2:$B$3000,$A222,Permissions!$I$2:$I$3000,"In planning",Permissions!$P$2:$P$3000,"Yes")</f>
        <v>0</v>
      </c>
      <c r="AN222" s="24" t="n">
        <f aca="false">IF(R222="",0,MAX(R222-AK222,0))</f>
        <v>0</v>
      </c>
      <c r="AO222" s="25" t="n">
        <f aca="false">AK222+AN222</f>
        <v>7</v>
      </c>
      <c r="AP222" s="24" t="n">
        <f aca="false">AO222-AG222</f>
        <v>0</v>
      </c>
      <c r="AQ222" s="26" t="n">
        <f aca="false">SUMIFS(Permissions!$AH$2:$AH$3000,Permissions!$B$2:$B$3000,$A222,Permissions!$P$2:$P$3000,"Yes")</f>
        <v>0</v>
      </c>
      <c r="AR222" s="26" t="n">
        <f aca="false">SUMIFS(Permissions!$AI$2:$AI$3000,Permissions!$B$2:$B$3000,$A222,Permissions!$P$2:$P$3000,"Yes")</f>
        <v>0</v>
      </c>
      <c r="AS222" s="26" t="n">
        <f aca="false">SUMIFS(Permissions!$AJ$2:$AJ$3000,Permissions!$B$2:$B$3000,$A222,Permissions!$P$2:$P$3000,"Yes")</f>
        <v>0</v>
      </c>
      <c r="AT222" s="26" t="n">
        <f aca="false">SUMIFS(Permissions!$AK$2:$AK$3000,Permissions!$B$2:$B$3000,$A222,Permissions!$P$2:$P$3000,"Yes")</f>
        <v>0</v>
      </c>
      <c r="AU222" s="26" t="n">
        <f aca="false">SUMIFS(Permissions!$AL$2:$AL$3000,Permissions!$B$2:$B$3000,$A222,Permissions!$P$2:$P$3000,"Yes")</f>
        <v>0</v>
      </c>
      <c r="AV222" s="26" t="n">
        <f aca="false">SUMIFS(Permissions!$AM$2:$AM$3000,Permissions!$B$2:$B$3000,$A222,Permissions!$P$2:$P$3000,"Yes")</f>
        <v>0</v>
      </c>
      <c r="AW222" s="24" t="n">
        <f aca="false">COUNTIFS(Permissions!$B$2:$B$3000,$A222,Permissions!$P$2:$P$3000,"Yes")</f>
        <v>1</v>
      </c>
      <c r="AX222" s="24" t="n">
        <f aca="false">SUMIFS(Permissions!$L$2:$L$3000,Permissions!$B$2:$B$3000,$A222,Permissions!$P$2:$P$3000,"Yes")</f>
        <v>3</v>
      </c>
      <c r="AY222" s="27" t="str">
        <f aca="false">IF(AND(AK222&gt;0,AG222&gt;=AK222,AN222=0),"Built out",IF(AG222&gt;0,"Partly built",IF(AK222&gt;0,"Consented – not built","No consent")))</f>
        <v>Built out</v>
      </c>
      <c r="AZ222" s="28" t="str">
        <f aca="false">IF(AND(R222&lt;&gt;"",AK222&gt;1.1*R222),"Consented above capacity",IF(AND(LEFT(B222,8)="Planning",AW222=0),"Consent parcel with no permission",IF(COUNTIF($A$2:$A$3000,$A222)&gt;1,"Duplicate parcel_id","")))</f>
        <v/>
      </c>
    </row>
    <row r="223" customFormat="false" ht="15" hidden="false" customHeight="false" outlineLevel="0" collapsed="false">
      <c r="A223" s="15" t="s">
        <v>525</v>
      </c>
      <c r="B223" s="15" t="s">
        <v>12</v>
      </c>
      <c r="C223" s="15" t="s">
        <v>16</v>
      </c>
      <c r="D223" s="15" t="s">
        <v>57</v>
      </c>
      <c r="E223" s="15" t="s">
        <v>19</v>
      </c>
      <c r="F223" s="15" t="n">
        <v>1</v>
      </c>
      <c r="G223" s="15" t="s">
        <v>154</v>
      </c>
      <c r="H223" s="15"/>
      <c r="I223" s="15" t="s">
        <v>57</v>
      </c>
      <c r="J223" s="15" t="s">
        <v>176</v>
      </c>
      <c r="K223" s="15" t="s">
        <v>526</v>
      </c>
      <c r="L223" s="15"/>
      <c r="M223" s="15"/>
      <c r="N223" s="15"/>
      <c r="O223" s="15"/>
      <c r="P223" s="15" t="n">
        <v>1.005</v>
      </c>
      <c r="Q223" s="15" t="n">
        <v>1.005</v>
      </c>
      <c r="R223" s="15"/>
      <c r="S223" s="15" t="s">
        <v>346</v>
      </c>
      <c r="T223" s="15"/>
      <c r="U223" s="15"/>
      <c r="V223" s="15"/>
      <c r="W223" s="15"/>
      <c r="X223" s="15"/>
      <c r="Y223" s="15"/>
      <c r="Z223" s="15"/>
      <c r="AA223" s="15" t="n">
        <v>23</v>
      </c>
      <c r="AB223" s="15" t="n">
        <v>23</v>
      </c>
      <c r="AC223" s="15"/>
      <c r="AD223" s="15"/>
      <c r="AE223" s="15" t="s">
        <v>163</v>
      </c>
      <c r="AF223" s="15"/>
      <c r="AG223" s="24" t="n">
        <f aca="false">SUMIFS(Permissions!$G$2:$G$3000,Permissions!$B$2:$B$3000,$A223,Permissions!$I$2:$I$3000,"Complete",Permissions!$P$2:$P$3000,"Yes")</f>
        <v>0</v>
      </c>
      <c r="AH223" s="24" t="n">
        <f aca="false">SUMIFS(Permissions!$G$2:$G$3000,Permissions!$B$2:$B$3000,$A223,Permissions!$I$2:$I$3000,"Under construction",Permissions!$P$2:$P$3000,"Yes")</f>
        <v>26</v>
      </c>
      <c r="AI223" s="24" t="n">
        <f aca="false">SUMIFS(Permissions!$G$2:$G$3000,Permissions!$B$2:$B$3000,$A223,Permissions!$I$2:$I$3000,"Permitted – not started",Permissions!$P$2:$P$3000,"Yes")</f>
        <v>0</v>
      </c>
      <c r="AJ223" s="24" t="n">
        <f aca="false">SUMIFS(Permissions!$G$2:$G$3000,Permissions!$B$2:$B$3000,$A223,Permissions!$I$2:$I$3000,"Stalled",Permissions!$P$2:$P$3000,"Yes")</f>
        <v>0</v>
      </c>
      <c r="AK223" s="24" t="n">
        <f aca="false">AG223+AH223+AI223+AJ223</f>
        <v>26</v>
      </c>
      <c r="AL223" s="24" t="n">
        <f aca="false">SUMIFS(Permissions!$G$2:$G$3000,Permissions!$B$2:$B$3000,$A223,Permissions!$I$2:$I$3000,"Expired – not started",Permissions!$P$2:$P$3000,"Yes")</f>
        <v>0</v>
      </c>
      <c r="AM223" s="24" t="n">
        <f aca="false">SUMIFS(Permissions!$G$2:$G$3000,Permissions!$B$2:$B$3000,$A223,Permissions!$I$2:$I$3000,"In planning",Permissions!$P$2:$P$3000,"Yes")</f>
        <v>0</v>
      </c>
      <c r="AN223" s="24" t="n">
        <f aca="false">IF(R223="",0,MAX(R223-AK223,0))</f>
        <v>0</v>
      </c>
      <c r="AO223" s="25" t="n">
        <f aca="false">AK223+AN223</f>
        <v>26</v>
      </c>
      <c r="AP223" s="24" t="n">
        <f aca="false">AO223-AG223</f>
        <v>26</v>
      </c>
      <c r="AQ223" s="26" t="n">
        <f aca="false">SUMIFS(Permissions!$AH$2:$AH$3000,Permissions!$B$2:$B$3000,$A223,Permissions!$P$2:$P$3000,"Yes")</f>
        <v>6.1</v>
      </c>
      <c r="AR223" s="26" t="n">
        <f aca="false">SUMIFS(Permissions!$AI$2:$AI$3000,Permissions!$B$2:$B$3000,$A223,Permissions!$P$2:$P$3000,"Yes")</f>
        <v>19.9</v>
      </c>
      <c r="AS223" s="26" t="n">
        <f aca="false">SUMIFS(Permissions!$AJ$2:$AJ$3000,Permissions!$B$2:$B$3000,$A223,Permissions!$P$2:$P$3000,"Yes")</f>
        <v>0</v>
      </c>
      <c r="AT223" s="26" t="n">
        <f aca="false">SUMIFS(Permissions!$AK$2:$AK$3000,Permissions!$B$2:$B$3000,$A223,Permissions!$P$2:$P$3000,"Yes")</f>
        <v>0</v>
      </c>
      <c r="AU223" s="26" t="n">
        <f aca="false">SUMIFS(Permissions!$AL$2:$AL$3000,Permissions!$B$2:$B$3000,$A223,Permissions!$P$2:$P$3000,"Yes")</f>
        <v>0</v>
      </c>
      <c r="AV223" s="26" t="n">
        <f aca="false">SUMIFS(Permissions!$AM$2:$AM$3000,Permissions!$B$2:$B$3000,$A223,Permissions!$P$2:$P$3000,"Yes")</f>
        <v>0</v>
      </c>
      <c r="AW223" s="24" t="n">
        <f aca="false">COUNTIFS(Permissions!$B$2:$B$3000,$A223,Permissions!$P$2:$P$3000,"Yes")</f>
        <v>1</v>
      </c>
      <c r="AX223" s="24" t="n">
        <f aca="false">SUMIFS(Permissions!$L$2:$L$3000,Permissions!$B$2:$B$3000,$A223,Permissions!$P$2:$P$3000,"Yes")</f>
        <v>23</v>
      </c>
      <c r="AY223" s="27" t="str">
        <f aca="false">IF(AND(AK223&gt;0,AG223&gt;=AK223,AN223=0),"Built out",IF(AG223&gt;0,"Partly built",IF(AK223&gt;0,"Consented – not built","No consent")))</f>
        <v>Consented – not built</v>
      </c>
      <c r="AZ223" s="28" t="str">
        <f aca="false">IF(AND(R223&lt;&gt;"",AK223&gt;1.1*R223),"Consented above capacity",IF(AND(LEFT(B223,8)="Planning",AW223=0),"Consent parcel with no permission",IF(COUNTIF($A$2:$A$3000,$A223)&gt;1,"Duplicate parcel_id","")))</f>
        <v/>
      </c>
    </row>
    <row r="224" customFormat="false" ht="15" hidden="false" customHeight="false" outlineLevel="0" collapsed="false">
      <c r="A224" s="15" t="s">
        <v>527</v>
      </c>
      <c r="B224" s="15" t="s">
        <v>12</v>
      </c>
      <c r="C224" s="15" t="s">
        <v>16</v>
      </c>
      <c r="D224" s="15" t="s">
        <v>57</v>
      </c>
      <c r="E224" s="15" t="s">
        <v>19</v>
      </c>
      <c r="F224" s="15" t="n">
        <v>1</v>
      </c>
      <c r="G224" s="15" t="s">
        <v>154</v>
      </c>
      <c r="H224" s="15"/>
      <c r="I224" s="15" t="s">
        <v>57</v>
      </c>
      <c r="J224" s="15" t="s">
        <v>205</v>
      </c>
      <c r="K224" s="15" t="s">
        <v>528</v>
      </c>
      <c r="L224" s="15"/>
      <c r="M224" s="15"/>
      <c r="N224" s="15"/>
      <c r="O224" s="15"/>
      <c r="P224" s="15" t="n">
        <v>0.13</v>
      </c>
      <c r="Q224" s="15" t="n">
        <v>0.13</v>
      </c>
      <c r="R224" s="15"/>
      <c r="S224" s="15" t="s">
        <v>346</v>
      </c>
      <c r="T224" s="15"/>
      <c r="U224" s="15"/>
      <c r="V224" s="15"/>
      <c r="W224" s="15"/>
      <c r="X224" s="15"/>
      <c r="Y224" s="15"/>
      <c r="Z224" s="15"/>
      <c r="AA224" s="15" t="n">
        <v>15</v>
      </c>
      <c r="AB224" s="15" t="n">
        <v>15</v>
      </c>
      <c r="AC224" s="15"/>
      <c r="AD224" s="15"/>
      <c r="AE224" s="15" t="s">
        <v>163</v>
      </c>
      <c r="AF224" s="15"/>
      <c r="AG224" s="24" t="n">
        <f aca="false">SUMIFS(Permissions!$G$2:$G$3000,Permissions!$B$2:$B$3000,$A224,Permissions!$I$2:$I$3000,"Complete",Permissions!$P$2:$P$3000,"Yes")</f>
        <v>15</v>
      </c>
      <c r="AH224" s="24" t="n">
        <f aca="false">SUMIFS(Permissions!$G$2:$G$3000,Permissions!$B$2:$B$3000,$A224,Permissions!$I$2:$I$3000,"Under construction",Permissions!$P$2:$P$3000,"Yes")</f>
        <v>0</v>
      </c>
      <c r="AI224" s="24" t="n">
        <f aca="false">SUMIFS(Permissions!$G$2:$G$3000,Permissions!$B$2:$B$3000,$A224,Permissions!$I$2:$I$3000,"Permitted – not started",Permissions!$P$2:$P$3000,"Yes")</f>
        <v>0</v>
      </c>
      <c r="AJ224" s="24" t="n">
        <f aca="false">SUMIFS(Permissions!$G$2:$G$3000,Permissions!$B$2:$B$3000,$A224,Permissions!$I$2:$I$3000,"Stalled",Permissions!$P$2:$P$3000,"Yes")</f>
        <v>0</v>
      </c>
      <c r="AK224" s="24" t="n">
        <f aca="false">AG224+AH224+AI224+AJ224</f>
        <v>15</v>
      </c>
      <c r="AL224" s="24" t="n">
        <f aca="false">SUMIFS(Permissions!$G$2:$G$3000,Permissions!$B$2:$B$3000,$A224,Permissions!$I$2:$I$3000,"Expired – not started",Permissions!$P$2:$P$3000,"Yes")</f>
        <v>0</v>
      </c>
      <c r="AM224" s="24" t="n">
        <f aca="false">SUMIFS(Permissions!$G$2:$G$3000,Permissions!$B$2:$B$3000,$A224,Permissions!$I$2:$I$3000,"In planning",Permissions!$P$2:$P$3000,"Yes")</f>
        <v>0</v>
      </c>
      <c r="AN224" s="24" t="n">
        <f aca="false">IF(R224="",0,MAX(R224-AK224,0))</f>
        <v>0</v>
      </c>
      <c r="AO224" s="25" t="n">
        <f aca="false">AK224+AN224</f>
        <v>15</v>
      </c>
      <c r="AP224" s="24" t="n">
        <f aca="false">AO224-AG224</f>
        <v>0</v>
      </c>
      <c r="AQ224" s="26" t="n">
        <f aca="false">SUMIFS(Permissions!$AH$2:$AH$3000,Permissions!$B$2:$B$3000,$A224,Permissions!$P$2:$P$3000,"Yes")</f>
        <v>0</v>
      </c>
      <c r="AR224" s="26" t="n">
        <f aca="false">SUMIFS(Permissions!$AI$2:$AI$3000,Permissions!$B$2:$B$3000,$A224,Permissions!$P$2:$P$3000,"Yes")</f>
        <v>0</v>
      </c>
      <c r="AS224" s="26" t="n">
        <f aca="false">SUMIFS(Permissions!$AJ$2:$AJ$3000,Permissions!$B$2:$B$3000,$A224,Permissions!$P$2:$P$3000,"Yes")</f>
        <v>0</v>
      </c>
      <c r="AT224" s="26" t="n">
        <f aca="false">SUMIFS(Permissions!$AK$2:$AK$3000,Permissions!$B$2:$B$3000,$A224,Permissions!$P$2:$P$3000,"Yes")</f>
        <v>0</v>
      </c>
      <c r="AU224" s="26" t="n">
        <f aca="false">SUMIFS(Permissions!$AL$2:$AL$3000,Permissions!$B$2:$B$3000,$A224,Permissions!$P$2:$P$3000,"Yes")</f>
        <v>0</v>
      </c>
      <c r="AV224" s="26" t="n">
        <f aca="false">SUMIFS(Permissions!$AM$2:$AM$3000,Permissions!$B$2:$B$3000,$A224,Permissions!$P$2:$P$3000,"Yes")</f>
        <v>0</v>
      </c>
      <c r="AW224" s="24" t="n">
        <f aca="false">COUNTIFS(Permissions!$B$2:$B$3000,$A224,Permissions!$P$2:$P$3000,"Yes")</f>
        <v>1</v>
      </c>
      <c r="AX224" s="24" t="n">
        <f aca="false">SUMIFS(Permissions!$L$2:$L$3000,Permissions!$B$2:$B$3000,$A224,Permissions!$P$2:$P$3000,"Yes")</f>
        <v>15</v>
      </c>
      <c r="AY224" s="27" t="str">
        <f aca="false">IF(AND(AK224&gt;0,AG224&gt;=AK224,AN224=0),"Built out",IF(AG224&gt;0,"Partly built",IF(AK224&gt;0,"Consented – not built","No consent")))</f>
        <v>Built out</v>
      </c>
      <c r="AZ224" s="28" t="str">
        <f aca="false">IF(AND(R224&lt;&gt;"",AK224&gt;1.1*R224),"Consented above capacity",IF(AND(LEFT(B224,8)="Planning",AW224=0),"Consent parcel with no permission",IF(COUNTIF($A$2:$A$3000,$A224)&gt;1,"Duplicate parcel_id","")))</f>
        <v/>
      </c>
    </row>
    <row r="225" customFormat="false" ht="15" hidden="false" customHeight="false" outlineLevel="0" collapsed="false">
      <c r="A225" s="15" t="s">
        <v>529</v>
      </c>
      <c r="B225" s="15" t="s">
        <v>12</v>
      </c>
      <c r="C225" s="15" t="s">
        <v>16</v>
      </c>
      <c r="D225" s="15" t="s">
        <v>57</v>
      </c>
      <c r="E225" s="15" t="s">
        <v>19</v>
      </c>
      <c r="F225" s="15" t="n">
        <v>1</v>
      </c>
      <c r="G225" s="15" t="s">
        <v>154</v>
      </c>
      <c r="H225" s="15"/>
      <c r="I225" s="15" t="s">
        <v>57</v>
      </c>
      <c r="J225" s="15" t="s">
        <v>176</v>
      </c>
      <c r="K225" s="15" t="s">
        <v>530</v>
      </c>
      <c r="L225" s="15"/>
      <c r="M225" s="15"/>
      <c r="N225" s="15"/>
      <c r="O225" s="15"/>
      <c r="P225" s="15" t="n">
        <v>0.264</v>
      </c>
      <c r="Q225" s="15" t="n">
        <v>0.264</v>
      </c>
      <c r="R225" s="15"/>
      <c r="S225" s="15" t="s">
        <v>346</v>
      </c>
      <c r="T225" s="15"/>
      <c r="U225" s="15"/>
      <c r="V225" s="15"/>
      <c r="W225" s="15"/>
      <c r="X225" s="15"/>
      <c r="Y225" s="15"/>
      <c r="Z225" s="15"/>
      <c r="AA225" s="15" t="n">
        <v>0</v>
      </c>
      <c r="AB225" s="15" t="n">
        <v>0</v>
      </c>
      <c r="AC225" s="15"/>
      <c r="AD225" s="15"/>
      <c r="AE225" s="15" t="s">
        <v>163</v>
      </c>
      <c r="AF225" s="15"/>
      <c r="AG225" s="24" t="n">
        <f aca="false">SUMIFS(Permissions!$G$2:$G$3000,Permissions!$B$2:$B$3000,$A225,Permissions!$I$2:$I$3000,"Complete",Permissions!$P$2:$P$3000,"Yes")</f>
        <v>0</v>
      </c>
      <c r="AH225" s="24" t="n">
        <f aca="false">SUMIFS(Permissions!$G$2:$G$3000,Permissions!$B$2:$B$3000,$A225,Permissions!$I$2:$I$3000,"Under construction",Permissions!$P$2:$P$3000,"Yes")</f>
        <v>6</v>
      </c>
      <c r="AI225" s="24" t="n">
        <f aca="false">SUMIFS(Permissions!$G$2:$G$3000,Permissions!$B$2:$B$3000,$A225,Permissions!$I$2:$I$3000,"Permitted – not started",Permissions!$P$2:$P$3000,"Yes")</f>
        <v>0</v>
      </c>
      <c r="AJ225" s="24" t="n">
        <f aca="false">SUMIFS(Permissions!$G$2:$G$3000,Permissions!$B$2:$B$3000,$A225,Permissions!$I$2:$I$3000,"Stalled",Permissions!$P$2:$P$3000,"Yes")</f>
        <v>0</v>
      </c>
      <c r="AK225" s="24" t="n">
        <f aca="false">AG225+AH225+AI225+AJ225</f>
        <v>6</v>
      </c>
      <c r="AL225" s="24" t="n">
        <f aca="false">SUMIFS(Permissions!$G$2:$G$3000,Permissions!$B$2:$B$3000,$A225,Permissions!$I$2:$I$3000,"Expired – not started",Permissions!$P$2:$P$3000,"Yes")</f>
        <v>0</v>
      </c>
      <c r="AM225" s="24" t="n">
        <f aca="false">SUMIFS(Permissions!$G$2:$G$3000,Permissions!$B$2:$B$3000,$A225,Permissions!$I$2:$I$3000,"In planning",Permissions!$P$2:$P$3000,"Yes")</f>
        <v>0</v>
      </c>
      <c r="AN225" s="24" t="n">
        <f aca="false">IF(R225="",0,MAX(R225-AK225,0))</f>
        <v>0</v>
      </c>
      <c r="AO225" s="25" t="n">
        <f aca="false">AK225+AN225</f>
        <v>6</v>
      </c>
      <c r="AP225" s="24" t="n">
        <f aca="false">AO225-AG225</f>
        <v>6</v>
      </c>
      <c r="AQ225" s="26" t="n">
        <f aca="false">SUMIFS(Permissions!$AH$2:$AH$3000,Permissions!$B$2:$B$3000,$A225,Permissions!$P$2:$P$3000,"Yes")</f>
        <v>0.2</v>
      </c>
      <c r="AR225" s="26" t="n">
        <f aca="false">SUMIFS(Permissions!$AI$2:$AI$3000,Permissions!$B$2:$B$3000,$A225,Permissions!$P$2:$P$3000,"Yes")</f>
        <v>5.8</v>
      </c>
      <c r="AS225" s="26" t="n">
        <f aca="false">SUMIFS(Permissions!$AJ$2:$AJ$3000,Permissions!$B$2:$B$3000,$A225,Permissions!$P$2:$P$3000,"Yes")</f>
        <v>0</v>
      </c>
      <c r="AT225" s="26" t="n">
        <f aca="false">SUMIFS(Permissions!$AK$2:$AK$3000,Permissions!$B$2:$B$3000,$A225,Permissions!$P$2:$P$3000,"Yes")</f>
        <v>0</v>
      </c>
      <c r="AU225" s="26" t="n">
        <f aca="false">SUMIFS(Permissions!$AL$2:$AL$3000,Permissions!$B$2:$B$3000,$A225,Permissions!$P$2:$P$3000,"Yes")</f>
        <v>0</v>
      </c>
      <c r="AV225" s="26" t="n">
        <f aca="false">SUMIFS(Permissions!$AM$2:$AM$3000,Permissions!$B$2:$B$3000,$A225,Permissions!$P$2:$P$3000,"Yes")</f>
        <v>0</v>
      </c>
      <c r="AW225" s="24" t="n">
        <f aca="false">COUNTIFS(Permissions!$B$2:$B$3000,$A225,Permissions!$P$2:$P$3000,"Yes")</f>
        <v>1</v>
      </c>
      <c r="AX225" s="24" t="n">
        <f aca="false">SUMIFS(Permissions!$L$2:$L$3000,Permissions!$B$2:$B$3000,$A225,Permissions!$P$2:$P$3000,"Yes")</f>
        <v>0</v>
      </c>
      <c r="AY225" s="27" t="str">
        <f aca="false">IF(AND(AK225&gt;0,AG225&gt;=AK225,AN225=0),"Built out",IF(AG225&gt;0,"Partly built",IF(AK225&gt;0,"Consented – not built","No consent")))</f>
        <v>Consented – not built</v>
      </c>
      <c r="AZ225" s="28" t="str">
        <f aca="false">IF(AND(R225&lt;&gt;"",AK225&gt;1.1*R225),"Consented above capacity",IF(AND(LEFT(B225,8)="Planning",AW225=0),"Consent parcel with no permission",IF(COUNTIF($A$2:$A$3000,$A225)&gt;1,"Duplicate parcel_id","")))</f>
        <v/>
      </c>
    </row>
    <row r="226" customFormat="false" ht="15" hidden="false" customHeight="false" outlineLevel="0" collapsed="false">
      <c r="A226" s="15" t="s">
        <v>531</v>
      </c>
      <c r="B226" s="15" t="s">
        <v>12</v>
      </c>
      <c r="C226" s="15" t="s">
        <v>16</v>
      </c>
      <c r="D226" s="15" t="s">
        <v>57</v>
      </c>
      <c r="E226" s="15" t="s">
        <v>19</v>
      </c>
      <c r="F226" s="15" t="n">
        <v>1</v>
      </c>
      <c r="G226" s="15" t="s">
        <v>154</v>
      </c>
      <c r="H226" s="15"/>
      <c r="I226" s="15" t="s">
        <v>57</v>
      </c>
      <c r="J226" s="15" t="s">
        <v>176</v>
      </c>
      <c r="K226" s="15" t="s">
        <v>532</v>
      </c>
      <c r="L226" s="15"/>
      <c r="M226" s="15"/>
      <c r="N226" s="15"/>
      <c r="O226" s="15"/>
      <c r="P226" s="15" t="n">
        <v>0.053</v>
      </c>
      <c r="Q226" s="15" t="n">
        <v>0.053</v>
      </c>
      <c r="R226" s="15"/>
      <c r="S226" s="15" t="s">
        <v>346</v>
      </c>
      <c r="T226" s="15"/>
      <c r="U226" s="15"/>
      <c r="V226" s="15"/>
      <c r="W226" s="15"/>
      <c r="X226" s="15"/>
      <c r="Y226" s="15"/>
      <c r="Z226" s="15"/>
      <c r="AA226" s="15" t="n">
        <v>0</v>
      </c>
      <c r="AB226" s="15" t="n">
        <v>0</v>
      </c>
      <c r="AC226" s="15"/>
      <c r="AD226" s="15"/>
      <c r="AE226" s="15" t="s">
        <v>163</v>
      </c>
      <c r="AF226" s="15"/>
      <c r="AG226" s="24" t="n">
        <f aca="false">SUMIFS(Permissions!$G$2:$G$3000,Permissions!$B$2:$B$3000,$A226,Permissions!$I$2:$I$3000,"Complete",Permissions!$P$2:$P$3000,"Yes")</f>
        <v>0</v>
      </c>
      <c r="AH226" s="24" t="n">
        <f aca="false">SUMIFS(Permissions!$G$2:$G$3000,Permissions!$B$2:$B$3000,$A226,Permissions!$I$2:$I$3000,"Under construction",Permissions!$P$2:$P$3000,"Yes")</f>
        <v>0</v>
      </c>
      <c r="AI226" s="24" t="n">
        <f aca="false">SUMIFS(Permissions!$G$2:$G$3000,Permissions!$B$2:$B$3000,$A226,Permissions!$I$2:$I$3000,"Permitted – not started",Permissions!$P$2:$P$3000,"Yes")</f>
        <v>8</v>
      </c>
      <c r="AJ226" s="24" t="n">
        <f aca="false">SUMIFS(Permissions!$G$2:$G$3000,Permissions!$B$2:$B$3000,$A226,Permissions!$I$2:$I$3000,"Stalled",Permissions!$P$2:$P$3000,"Yes")</f>
        <v>0</v>
      </c>
      <c r="AK226" s="24" t="n">
        <f aca="false">AG226+AH226+AI226+AJ226</f>
        <v>8</v>
      </c>
      <c r="AL226" s="24" t="n">
        <f aca="false">SUMIFS(Permissions!$G$2:$G$3000,Permissions!$B$2:$B$3000,$A226,Permissions!$I$2:$I$3000,"Expired – not started",Permissions!$P$2:$P$3000,"Yes")</f>
        <v>0</v>
      </c>
      <c r="AM226" s="24" t="n">
        <f aca="false">SUMIFS(Permissions!$G$2:$G$3000,Permissions!$B$2:$B$3000,$A226,Permissions!$I$2:$I$3000,"In planning",Permissions!$P$2:$P$3000,"Yes")</f>
        <v>0</v>
      </c>
      <c r="AN226" s="24" t="n">
        <f aca="false">IF(R226="",0,MAX(R226-AK226,0))</f>
        <v>0</v>
      </c>
      <c r="AO226" s="25" t="n">
        <f aca="false">AK226+AN226</f>
        <v>8</v>
      </c>
      <c r="AP226" s="24" t="n">
        <f aca="false">AO226-AG226</f>
        <v>8</v>
      </c>
      <c r="AQ226" s="26" t="n">
        <f aca="false">SUMIFS(Permissions!$AH$2:$AH$3000,Permissions!$B$2:$B$3000,$A226,Permissions!$P$2:$P$3000,"Yes")</f>
        <v>0</v>
      </c>
      <c r="AR226" s="26" t="n">
        <f aca="false">SUMIFS(Permissions!$AI$2:$AI$3000,Permissions!$B$2:$B$3000,$A226,Permissions!$P$2:$P$3000,"Yes")</f>
        <v>0</v>
      </c>
      <c r="AS226" s="26" t="n">
        <f aca="false">SUMIFS(Permissions!$AJ$2:$AJ$3000,Permissions!$B$2:$B$3000,$A226,Permissions!$P$2:$P$3000,"Yes")</f>
        <v>4</v>
      </c>
      <c r="AT226" s="26" t="n">
        <f aca="false">SUMIFS(Permissions!$AK$2:$AK$3000,Permissions!$B$2:$B$3000,$A226,Permissions!$P$2:$P$3000,"Yes")</f>
        <v>4</v>
      </c>
      <c r="AU226" s="26" t="n">
        <f aca="false">SUMIFS(Permissions!$AL$2:$AL$3000,Permissions!$B$2:$B$3000,$A226,Permissions!$P$2:$P$3000,"Yes")</f>
        <v>0</v>
      </c>
      <c r="AV226" s="26" t="n">
        <f aca="false">SUMIFS(Permissions!$AM$2:$AM$3000,Permissions!$B$2:$B$3000,$A226,Permissions!$P$2:$P$3000,"Yes")</f>
        <v>0</v>
      </c>
      <c r="AW226" s="24" t="n">
        <f aca="false">COUNTIFS(Permissions!$B$2:$B$3000,$A226,Permissions!$P$2:$P$3000,"Yes")</f>
        <v>1</v>
      </c>
      <c r="AX226" s="24" t="n">
        <f aca="false">SUMIFS(Permissions!$L$2:$L$3000,Permissions!$B$2:$B$3000,$A226,Permissions!$P$2:$P$3000,"Yes")</f>
        <v>0</v>
      </c>
      <c r="AY226" s="27" t="str">
        <f aca="false">IF(AND(AK226&gt;0,AG226&gt;=AK226,AN226=0),"Built out",IF(AG226&gt;0,"Partly built",IF(AK226&gt;0,"Consented – not built","No consent")))</f>
        <v>Consented – not built</v>
      </c>
      <c r="AZ226" s="28" t="str">
        <f aca="false">IF(AND(R226&lt;&gt;"",AK226&gt;1.1*R226),"Consented above capacity",IF(AND(LEFT(B226,8)="Planning",AW226=0),"Consent parcel with no permission",IF(COUNTIF($A$2:$A$3000,$A226)&gt;1,"Duplicate parcel_id","")))</f>
        <v/>
      </c>
    </row>
    <row r="227" customFormat="false" ht="15" hidden="false" customHeight="false" outlineLevel="0" collapsed="false">
      <c r="A227" s="15" t="s">
        <v>533</v>
      </c>
      <c r="B227" s="15" t="s">
        <v>12</v>
      </c>
      <c r="C227" s="15" t="s">
        <v>16</v>
      </c>
      <c r="D227" s="15" t="s">
        <v>57</v>
      </c>
      <c r="E227" s="15" t="s">
        <v>19</v>
      </c>
      <c r="F227" s="15" t="n">
        <v>1</v>
      </c>
      <c r="G227" s="15" t="s">
        <v>154</v>
      </c>
      <c r="H227" s="15"/>
      <c r="I227" s="15" t="s">
        <v>57</v>
      </c>
      <c r="J227" s="15" t="s">
        <v>176</v>
      </c>
      <c r="K227" s="15" t="s">
        <v>534</v>
      </c>
      <c r="L227" s="15"/>
      <c r="M227" s="15"/>
      <c r="N227" s="15"/>
      <c r="O227" s="15"/>
      <c r="P227" s="15" t="n">
        <v>0.165</v>
      </c>
      <c r="Q227" s="15" t="n">
        <v>0.165</v>
      </c>
      <c r="R227" s="15" t="n">
        <v>6</v>
      </c>
      <c r="S227" s="15" t="s">
        <v>378</v>
      </c>
      <c r="T227" s="15"/>
      <c r="U227" s="15"/>
      <c r="V227" s="15"/>
      <c r="W227" s="15" t="s">
        <v>297</v>
      </c>
      <c r="X227" s="15" t="n">
        <v>34</v>
      </c>
      <c r="Y227" s="15" t="s">
        <v>298</v>
      </c>
      <c r="Z227" s="15"/>
      <c r="AA227" s="15" t="n">
        <v>0</v>
      </c>
      <c r="AB227" s="15" t="n">
        <v>0</v>
      </c>
      <c r="AC227" s="15"/>
      <c r="AD227" s="15"/>
      <c r="AE227" s="15" t="s">
        <v>163</v>
      </c>
      <c r="AF227" s="15"/>
      <c r="AG227" s="24" t="n">
        <f aca="false">SUMIFS(Permissions!$G$2:$G$3000,Permissions!$B$2:$B$3000,$A227,Permissions!$I$2:$I$3000,"Complete",Permissions!$P$2:$P$3000,"Yes")</f>
        <v>0</v>
      </c>
      <c r="AH227" s="24" t="n">
        <f aca="false">SUMIFS(Permissions!$G$2:$G$3000,Permissions!$B$2:$B$3000,$A227,Permissions!$I$2:$I$3000,"Under construction",Permissions!$P$2:$P$3000,"Yes")</f>
        <v>0</v>
      </c>
      <c r="AI227" s="24" t="n">
        <f aca="false">SUMIFS(Permissions!$G$2:$G$3000,Permissions!$B$2:$B$3000,$A227,Permissions!$I$2:$I$3000,"Permitted – not started",Permissions!$P$2:$P$3000,"Yes")</f>
        <v>0</v>
      </c>
      <c r="AJ227" s="24" t="n">
        <f aca="false">SUMIFS(Permissions!$G$2:$G$3000,Permissions!$B$2:$B$3000,$A227,Permissions!$I$2:$I$3000,"Stalled",Permissions!$P$2:$P$3000,"Yes")</f>
        <v>0</v>
      </c>
      <c r="AK227" s="24" t="n">
        <f aca="false">AG227+AH227+AI227+AJ227</f>
        <v>0</v>
      </c>
      <c r="AL227" s="24" t="n">
        <f aca="false">SUMIFS(Permissions!$G$2:$G$3000,Permissions!$B$2:$B$3000,$A227,Permissions!$I$2:$I$3000,"Expired – not started",Permissions!$P$2:$P$3000,"Yes")</f>
        <v>0</v>
      </c>
      <c r="AM227" s="24" t="n">
        <f aca="false">SUMIFS(Permissions!$G$2:$G$3000,Permissions!$B$2:$B$3000,$A227,Permissions!$I$2:$I$3000,"In planning",Permissions!$P$2:$P$3000,"Yes")</f>
        <v>0</v>
      </c>
      <c r="AN227" s="24" t="n">
        <f aca="false">IF(R227="",0,MAX(R227-AK227,0))</f>
        <v>6</v>
      </c>
      <c r="AO227" s="25" t="n">
        <f aca="false">AK227+AN227</f>
        <v>6</v>
      </c>
      <c r="AP227" s="24" t="n">
        <f aca="false">AO227-AG227</f>
        <v>6</v>
      </c>
      <c r="AQ227" s="26" t="n">
        <f aca="false">SUMIFS(Permissions!$AH$2:$AH$3000,Permissions!$B$2:$B$3000,$A227,Permissions!$P$2:$P$3000,"Yes")</f>
        <v>0</v>
      </c>
      <c r="AR227" s="26" t="n">
        <f aca="false">SUMIFS(Permissions!$AI$2:$AI$3000,Permissions!$B$2:$B$3000,$A227,Permissions!$P$2:$P$3000,"Yes")</f>
        <v>0</v>
      </c>
      <c r="AS227" s="26" t="n">
        <f aca="false">SUMIFS(Permissions!$AJ$2:$AJ$3000,Permissions!$B$2:$B$3000,$A227,Permissions!$P$2:$P$3000,"Yes")</f>
        <v>0</v>
      </c>
      <c r="AT227" s="26" t="n">
        <f aca="false">SUMIFS(Permissions!$AK$2:$AK$3000,Permissions!$B$2:$B$3000,$A227,Permissions!$P$2:$P$3000,"Yes")</f>
        <v>0</v>
      </c>
      <c r="AU227" s="26" t="n">
        <f aca="false">SUMIFS(Permissions!$AL$2:$AL$3000,Permissions!$B$2:$B$3000,$A227,Permissions!$P$2:$P$3000,"Yes")</f>
        <v>0</v>
      </c>
      <c r="AV227" s="26" t="n">
        <f aca="false">SUMIFS(Permissions!$AM$2:$AM$3000,Permissions!$B$2:$B$3000,$A227,Permissions!$P$2:$P$3000,"Yes")</f>
        <v>0</v>
      </c>
      <c r="AW227" s="24" t="n">
        <f aca="false">COUNTIFS(Permissions!$B$2:$B$3000,$A227,Permissions!$P$2:$P$3000,"Yes")</f>
        <v>1</v>
      </c>
      <c r="AX227" s="24" t="n">
        <f aca="false">SUMIFS(Permissions!$L$2:$L$3000,Permissions!$B$2:$B$3000,$A227,Permissions!$P$2:$P$3000,"Yes")</f>
        <v>0</v>
      </c>
      <c r="AY227" s="27" t="str">
        <f aca="false">IF(AND(AK227&gt;0,AG227&gt;=AK227,AN227=0),"Built out",IF(AG227&gt;0,"Partly built",IF(AK227&gt;0,"Consented – not built","No consent")))</f>
        <v>No consent</v>
      </c>
      <c r="AZ227" s="28" t="str">
        <f aca="false">IF(AND(R227&lt;&gt;"",AK227&gt;1.1*R227),"Consented above capacity",IF(AND(LEFT(B227,8)="Planning",AW227=0),"Consent parcel with no permission",IF(COUNTIF($A$2:$A$3000,$A227)&gt;1,"Duplicate parcel_id","")))</f>
        <v/>
      </c>
    </row>
    <row r="228" customFormat="false" ht="15" hidden="false" customHeight="false" outlineLevel="0" collapsed="false">
      <c r="A228" s="15" t="s">
        <v>535</v>
      </c>
      <c r="B228" s="15" t="s">
        <v>12</v>
      </c>
      <c r="C228" s="15" t="s">
        <v>16</v>
      </c>
      <c r="D228" s="15" t="s">
        <v>58</v>
      </c>
      <c r="E228" s="15" t="s">
        <v>19</v>
      </c>
      <c r="F228" s="15" t="n">
        <v>1</v>
      </c>
      <c r="G228" s="15" t="s">
        <v>154</v>
      </c>
      <c r="H228" s="15"/>
      <c r="I228" s="15" t="s">
        <v>58</v>
      </c>
      <c r="J228" s="15" t="s">
        <v>205</v>
      </c>
      <c r="K228" s="15" t="s">
        <v>536</v>
      </c>
      <c r="L228" s="15"/>
      <c r="M228" s="15"/>
      <c r="N228" s="15"/>
      <c r="O228" s="15"/>
      <c r="P228" s="15" t="n">
        <v>0.094</v>
      </c>
      <c r="Q228" s="15" t="n">
        <v>0.094</v>
      </c>
      <c r="R228" s="15"/>
      <c r="S228" s="15" t="s">
        <v>346</v>
      </c>
      <c r="T228" s="15"/>
      <c r="U228" s="15"/>
      <c r="V228" s="15"/>
      <c r="W228" s="15"/>
      <c r="X228" s="15"/>
      <c r="Y228" s="15"/>
      <c r="Z228" s="15"/>
      <c r="AA228" s="15" t="n">
        <v>5</v>
      </c>
      <c r="AB228" s="15" t="n">
        <v>5</v>
      </c>
      <c r="AC228" s="15"/>
      <c r="AD228" s="15"/>
      <c r="AE228" s="15" t="s">
        <v>163</v>
      </c>
      <c r="AF228" s="15"/>
      <c r="AG228" s="24" t="n">
        <f aca="false">SUMIFS(Permissions!$G$2:$G$3000,Permissions!$B$2:$B$3000,$A228,Permissions!$I$2:$I$3000,"Complete",Permissions!$P$2:$P$3000,"Yes")</f>
        <v>5</v>
      </c>
      <c r="AH228" s="24" t="n">
        <f aca="false">SUMIFS(Permissions!$G$2:$G$3000,Permissions!$B$2:$B$3000,$A228,Permissions!$I$2:$I$3000,"Under construction",Permissions!$P$2:$P$3000,"Yes")</f>
        <v>0</v>
      </c>
      <c r="AI228" s="24" t="n">
        <f aca="false">SUMIFS(Permissions!$G$2:$G$3000,Permissions!$B$2:$B$3000,$A228,Permissions!$I$2:$I$3000,"Permitted – not started",Permissions!$P$2:$P$3000,"Yes")</f>
        <v>0</v>
      </c>
      <c r="AJ228" s="24" t="n">
        <f aca="false">SUMIFS(Permissions!$G$2:$G$3000,Permissions!$B$2:$B$3000,$A228,Permissions!$I$2:$I$3000,"Stalled",Permissions!$P$2:$P$3000,"Yes")</f>
        <v>0</v>
      </c>
      <c r="AK228" s="24" t="n">
        <f aca="false">AG228+AH228+AI228+AJ228</f>
        <v>5</v>
      </c>
      <c r="AL228" s="24" t="n">
        <f aca="false">SUMIFS(Permissions!$G$2:$G$3000,Permissions!$B$2:$B$3000,$A228,Permissions!$I$2:$I$3000,"Expired – not started",Permissions!$P$2:$P$3000,"Yes")</f>
        <v>0</v>
      </c>
      <c r="AM228" s="24" t="n">
        <f aca="false">SUMIFS(Permissions!$G$2:$G$3000,Permissions!$B$2:$B$3000,$A228,Permissions!$I$2:$I$3000,"In planning",Permissions!$P$2:$P$3000,"Yes")</f>
        <v>0</v>
      </c>
      <c r="AN228" s="24" t="n">
        <f aca="false">IF(R228="",0,MAX(R228-AK228,0))</f>
        <v>0</v>
      </c>
      <c r="AO228" s="25" t="n">
        <f aca="false">AK228+AN228</f>
        <v>5</v>
      </c>
      <c r="AP228" s="24" t="n">
        <f aca="false">AO228-AG228</f>
        <v>0</v>
      </c>
      <c r="AQ228" s="26" t="n">
        <f aca="false">SUMIFS(Permissions!$AH$2:$AH$3000,Permissions!$B$2:$B$3000,$A228,Permissions!$P$2:$P$3000,"Yes")</f>
        <v>0</v>
      </c>
      <c r="AR228" s="26" t="n">
        <f aca="false">SUMIFS(Permissions!$AI$2:$AI$3000,Permissions!$B$2:$B$3000,$A228,Permissions!$P$2:$P$3000,"Yes")</f>
        <v>0</v>
      </c>
      <c r="AS228" s="26" t="n">
        <f aca="false">SUMIFS(Permissions!$AJ$2:$AJ$3000,Permissions!$B$2:$B$3000,$A228,Permissions!$P$2:$P$3000,"Yes")</f>
        <v>0</v>
      </c>
      <c r="AT228" s="26" t="n">
        <f aca="false">SUMIFS(Permissions!$AK$2:$AK$3000,Permissions!$B$2:$B$3000,$A228,Permissions!$P$2:$P$3000,"Yes")</f>
        <v>0</v>
      </c>
      <c r="AU228" s="26" t="n">
        <f aca="false">SUMIFS(Permissions!$AL$2:$AL$3000,Permissions!$B$2:$B$3000,$A228,Permissions!$P$2:$P$3000,"Yes")</f>
        <v>0</v>
      </c>
      <c r="AV228" s="26" t="n">
        <f aca="false">SUMIFS(Permissions!$AM$2:$AM$3000,Permissions!$B$2:$B$3000,$A228,Permissions!$P$2:$P$3000,"Yes")</f>
        <v>0</v>
      </c>
      <c r="AW228" s="24" t="n">
        <f aca="false">COUNTIFS(Permissions!$B$2:$B$3000,$A228,Permissions!$P$2:$P$3000,"Yes")</f>
        <v>1</v>
      </c>
      <c r="AX228" s="24" t="n">
        <f aca="false">SUMIFS(Permissions!$L$2:$L$3000,Permissions!$B$2:$B$3000,$A228,Permissions!$P$2:$P$3000,"Yes")</f>
        <v>5</v>
      </c>
      <c r="AY228" s="27" t="str">
        <f aca="false">IF(AND(AK228&gt;0,AG228&gt;=AK228,AN228=0),"Built out",IF(AG228&gt;0,"Partly built",IF(AK228&gt;0,"Consented – not built","No consent")))</f>
        <v>Built out</v>
      </c>
      <c r="AZ228" s="28" t="str">
        <f aca="false">IF(AND(R228&lt;&gt;"",AK228&gt;1.1*R228),"Consented above capacity",IF(AND(LEFT(B228,8)="Planning",AW228=0),"Consent parcel with no permission",IF(COUNTIF($A$2:$A$3000,$A228)&gt;1,"Duplicate parcel_id","")))</f>
        <v/>
      </c>
    </row>
    <row r="229" customFormat="false" ht="15" hidden="false" customHeight="false" outlineLevel="0" collapsed="false">
      <c r="A229" s="15" t="s">
        <v>537</v>
      </c>
      <c r="B229" s="15" t="s">
        <v>12</v>
      </c>
      <c r="C229" s="15" t="s">
        <v>16</v>
      </c>
      <c r="D229" s="15" t="s">
        <v>58</v>
      </c>
      <c r="E229" s="15" t="s">
        <v>19</v>
      </c>
      <c r="F229" s="15" t="n">
        <v>1</v>
      </c>
      <c r="G229" s="15" t="s">
        <v>154</v>
      </c>
      <c r="H229" s="15"/>
      <c r="I229" s="15" t="s">
        <v>58</v>
      </c>
      <c r="J229" s="15" t="s">
        <v>205</v>
      </c>
      <c r="K229" s="15" t="s">
        <v>538</v>
      </c>
      <c r="L229" s="15"/>
      <c r="M229" s="15"/>
      <c r="N229" s="15"/>
      <c r="O229" s="15"/>
      <c r="P229" s="15" t="n">
        <v>1.793</v>
      </c>
      <c r="Q229" s="15" t="n">
        <v>1.793</v>
      </c>
      <c r="R229" s="15"/>
      <c r="S229" s="15" t="s">
        <v>346</v>
      </c>
      <c r="T229" s="15"/>
      <c r="U229" s="15"/>
      <c r="V229" s="15"/>
      <c r="W229" s="15"/>
      <c r="X229" s="15"/>
      <c r="Y229" s="15"/>
      <c r="Z229" s="15"/>
      <c r="AA229" s="15" t="n">
        <v>54</v>
      </c>
      <c r="AB229" s="15" t="n">
        <v>53</v>
      </c>
      <c r="AC229" s="15"/>
      <c r="AD229" s="15"/>
      <c r="AE229" s="15" t="s">
        <v>163</v>
      </c>
      <c r="AF229" s="15"/>
      <c r="AG229" s="24" t="n">
        <f aca="false">SUMIFS(Permissions!$G$2:$G$3000,Permissions!$B$2:$B$3000,$A229,Permissions!$I$2:$I$3000,"Complete",Permissions!$P$2:$P$3000,"Yes")</f>
        <v>53</v>
      </c>
      <c r="AH229" s="24" t="n">
        <f aca="false">SUMIFS(Permissions!$G$2:$G$3000,Permissions!$B$2:$B$3000,$A229,Permissions!$I$2:$I$3000,"Under construction",Permissions!$P$2:$P$3000,"Yes")</f>
        <v>0</v>
      </c>
      <c r="AI229" s="24" t="n">
        <f aca="false">SUMIFS(Permissions!$G$2:$G$3000,Permissions!$B$2:$B$3000,$A229,Permissions!$I$2:$I$3000,"Permitted – not started",Permissions!$P$2:$P$3000,"Yes")</f>
        <v>0</v>
      </c>
      <c r="AJ229" s="24" t="n">
        <f aca="false">SUMIFS(Permissions!$G$2:$G$3000,Permissions!$B$2:$B$3000,$A229,Permissions!$I$2:$I$3000,"Stalled",Permissions!$P$2:$P$3000,"Yes")</f>
        <v>0</v>
      </c>
      <c r="AK229" s="24" t="n">
        <f aca="false">AG229+AH229+AI229+AJ229</f>
        <v>53</v>
      </c>
      <c r="AL229" s="24" t="n">
        <f aca="false">SUMIFS(Permissions!$G$2:$G$3000,Permissions!$B$2:$B$3000,$A229,Permissions!$I$2:$I$3000,"Expired – not started",Permissions!$P$2:$P$3000,"Yes")</f>
        <v>0</v>
      </c>
      <c r="AM229" s="24" t="n">
        <f aca="false">SUMIFS(Permissions!$G$2:$G$3000,Permissions!$B$2:$B$3000,$A229,Permissions!$I$2:$I$3000,"In planning",Permissions!$P$2:$P$3000,"Yes")</f>
        <v>0</v>
      </c>
      <c r="AN229" s="24" t="n">
        <f aca="false">IF(R229="",0,MAX(R229-AK229,0))</f>
        <v>0</v>
      </c>
      <c r="AO229" s="25" t="n">
        <f aca="false">AK229+AN229</f>
        <v>53</v>
      </c>
      <c r="AP229" s="24" t="n">
        <f aca="false">AO229-AG229</f>
        <v>0</v>
      </c>
      <c r="AQ229" s="26" t="n">
        <f aca="false">SUMIFS(Permissions!$AH$2:$AH$3000,Permissions!$B$2:$B$3000,$A229,Permissions!$P$2:$P$3000,"Yes")</f>
        <v>0</v>
      </c>
      <c r="AR229" s="26" t="n">
        <f aca="false">SUMIFS(Permissions!$AI$2:$AI$3000,Permissions!$B$2:$B$3000,$A229,Permissions!$P$2:$P$3000,"Yes")</f>
        <v>0</v>
      </c>
      <c r="AS229" s="26" t="n">
        <f aca="false">SUMIFS(Permissions!$AJ$2:$AJ$3000,Permissions!$B$2:$B$3000,$A229,Permissions!$P$2:$P$3000,"Yes")</f>
        <v>0</v>
      </c>
      <c r="AT229" s="26" t="n">
        <f aca="false">SUMIFS(Permissions!$AK$2:$AK$3000,Permissions!$B$2:$B$3000,$A229,Permissions!$P$2:$P$3000,"Yes")</f>
        <v>0</v>
      </c>
      <c r="AU229" s="26" t="n">
        <f aca="false">SUMIFS(Permissions!$AL$2:$AL$3000,Permissions!$B$2:$B$3000,$A229,Permissions!$P$2:$P$3000,"Yes")</f>
        <v>0</v>
      </c>
      <c r="AV229" s="26" t="n">
        <f aca="false">SUMIFS(Permissions!$AM$2:$AM$3000,Permissions!$B$2:$B$3000,$A229,Permissions!$P$2:$P$3000,"Yes")</f>
        <v>0</v>
      </c>
      <c r="AW229" s="24" t="n">
        <f aca="false">COUNTIFS(Permissions!$B$2:$B$3000,$A229,Permissions!$P$2:$P$3000,"Yes")</f>
        <v>1</v>
      </c>
      <c r="AX229" s="24" t="n">
        <f aca="false">SUMIFS(Permissions!$L$2:$L$3000,Permissions!$B$2:$B$3000,$A229,Permissions!$P$2:$P$3000,"Yes")</f>
        <v>53</v>
      </c>
      <c r="AY229" s="27" t="str">
        <f aca="false">IF(AND(AK229&gt;0,AG229&gt;=AK229,AN229=0),"Built out",IF(AG229&gt;0,"Partly built",IF(AK229&gt;0,"Consented – not built","No consent")))</f>
        <v>Built out</v>
      </c>
      <c r="AZ229" s="28" t="str">
        <f aca="false">IF(AND(R229&lt;&gt;"",AK229&gt;1.1*R229),"Consented above capacity",IF(AND(LEFT(B229,8)="Planning",AW229=0),"Consent parcel with no permission",IF(COUNTIF($A$2:$A$3000,$A229)&gt;1,"Duplicate parcel_id","")))</f>
        <v/>
      </c>
    </row>
    <row r="230" customFormat="false" ht="15" hidden="false" customHeight="false" outlineLevel="0" collapsed="false">
      <c r="A230" s="15" t="s">
        <v>539</v>
      </c>
      <c r="B230" s="15" t="s">
        <v>12</v>
      </c>
      <c r="C230" s="15" t="s">
        <v>16</v>
      </c>
      <c r="D230" s="15" t="s">
        <v>58</v>
      </c>
      <c r="E230" s="15" t="s">
        <v>19</v>
      </c>
      <c r="F230" s="15" t="n">
        <v>1</v>
      </c>
      <c r="G230" s="15" t="s">
        <v>154</v>
      </c>
      <c r="H230" s="15"/>
      <c r="I230" s="15" t="s">
        <v>58</v>
      </c>
      <c r="J230" s="15" t="s">
        <v>205</v>
      </c>
      <c r="K230" s="15" t="s">
        <v>540</v>
      </c>
      <c r="L230" s="15"/>
      <c r="M230" s="15"/>
      <c r="N230" s="15"/>
      <c r="O230" s="15"/>
      <c r="P230" s="15" t="n">
        <v>4.882</v>
      </c>
      <c r="Q230" s="15" t="n">
        <v>4.882</v>
      </c>
      <c r="R230" s="15"/>
      <c r="S230" s="15" t="s">
        <v>346</v>
      </c>
      <c r="T230" s="15"/>
      <c r="U230" s="15"/>
      <c r="V230" s="15"/>
      <c r="W230" s="15"/>
      <c r="X230" s="15"/>
      <c r="Y230" s="15"/>
      <c r="Z230" s="15"/>
      <c r="AA230" s="15" t="n">
        <v>134</v>
      </c>
      <c r="AB230" s="15" t="n">
        <v>134</v>
      </c>
      <c r="AC230" s="15"/>
      <c r="AD230" s="15"/>
      <c r="AE230" s="15" t="s">
        <v>163</v>
      </c>
      <c r="AF230" s="15"/>
      <c r="AG230" s="24" t="n">
        <f aca="false">SUMIFS(Permissions!$G$2:$G$3000,Permissions!$B$2:$B$3000,$A230,Permissions!$I$2:$I$3000,"Complete",Permissions!$P$2:$P$3000,"Yes")</f>
        <v>170</v>
      </c>
      <c r="AH230" s="24" t="n">
        <f aca="false">SUMIFS(Permissions!$G$2:$G$3000,Permissions!$B$2:$B$3000,$A230,Permissions!$I$2:$I$3000,"Under construction",Permissions!$P$2:$P$3000,"Yes")</f>
        <v>0</v>
      </c>
      <c r="AI230" s="24" t="n">
        <f aca="false">SUMIFS(Permissions!$G$2:$G$3000,Permissions!$B$2:$B$3000,$A230,Permissions!$I$2:$I$3000,"Permitted – not started",Permissions!$P$2:$P$3000,"Yes")</f>
        <v>0</v>
      </c>
      <c r="AJ230" s="24" t="n">
        <f aca="false">SUMIFS(Permissions!$G$2:$G$3000,Permissions!$B$2:$B$3000,$A230,Permissions!$I$2:$I$3000,"Stalled",Permissions!$P$2:$P$3000,"Yes")</f>
        <v>0</v>
      </c>
      <c r="AK230" s="24" t="n">
        <f aca="false">AG230+AH230+AI230+AJ230</f>
        <v>170</v>
      </c>
      <c r="AL230" s="24" t="n">
        <f aca="false">SUMIFS(Permissions!$G$2:$G$3000,Permissions!$B$2:$B$3000,$A230,Permissions!$I$2:$I$3000,"Expired – not started",Permissions!$P$2:$P$3000,"Yes")</f>
        <v>0</v>
      </c>
      <c r="AM230" s="24" t="n">
        <f aca="false">SUMIFS(Permissions!$G$2:$G$3000,Permissions!$B$2:$B$3000,$A230,Permissions!$I$2:$I$3000,"In planning",Permissions!$P$2:$P$3000,"Yes")</f>
        <v>0</v>
      </c>
      <c r="AN230" s="24" t="n">
        <f aca="false">IF(R230="",0,MAX(R230-AK230,0))</f>
        <v>0</v>
      </c>
      <c r="AO230" s="25" t="n">
        <f aca="false">AK230+AN230</f>
        <v>170</v>
      </c>
      <c r="AP230" s="24" t="n">
        <f aca="false">AO230-AG230</f>
        <v>0</v>
      </c>
      <c r="AQ230" s="26" t="n">
        <f aca="false">SUMIFS(Permissions!$AH$2:$AH$3000,Permissions!$B$2:$B$3000,$A230,Permissions!$P$2:$P$3000,"Yes")</f>
        <v>0</v>
      </c>
      <c r="AR230" s="26" t="n">
        <f aca="false">SUMIFS(Permissions!$AI$2:$AI$3000,Permissions!$B$2:$B$3000,$A230,Permissions!$P$2:$P$3000,"Yes")</f>
        <v>0</v>
      </c>
      <c r="AS230" s="26" t="n">
        <f aca="false">SUMIFS(Permissions!$AJ$2:$AJ$3000,Permissions!$B$2:$B$3000,$A230,Permissions!$P$2:$P$3000,"Yes")</f>
        <v>0</v>
      </c>
      <c r="AT230" s="26" t="n">
        <f aca="false">SUMIFS(Permissions!$AK$2:$AK$3000,Permissions!$B$2:$B$3000,$A230,Permissions!$P$2:$P$3000,"Yes")</f>
        <v>0</v>
      </c>
      <c r="AU230" s="26" t="n">
        <f aca="false">SUMIFS(Permissions!$AL$2:$AL$3000,Permissions!$B$2:$B$3000,$A230,Permissions!$P$2:$P$3000,"Yes")</f>
        <v>0</v>
      </c>
      <c r="AV230" s="26" t="n">
        <f aca="false">SUMIFS(Permissions!$AM$2:$AM$3000,Permissions!$B$2:$B$3000,$A230,Permissions!$P$2:$P$3000,"Yes")</f>
        <v>0</v>
      </c>
      <c r="AW230" s="24" t="n">
        <f aca="false">COUNTIFS(Permissions!$B$2:$B$3000,$A230,Permissions!$P$2:$P$3000,"Yes")</f>
        <v>2</v>
      </c>
      <c r="AX230" s="24" t="n">
        <f aca="false">SUMIFS(Permissions!$L$2:$L$3000,Permissions!$B$2:$B$3000,$A230,Permissions!$P$2:$P$3000,"Yes")</f>
        <v>135</v>
      </c>
      <c r="AY230" s="27" t="str">
        <f aca="false">IF(AND(AK230&gt;0,AG230&gt;=AK230,AN230=0),"Built out",IF(AG230&gt;0,"Partly built",IF(AK230&gt;0,"Consented – not built","No consent")))</f>
        <v>Built out</v>
      </c>
      <c r="AZ230" s="28" t="str">
        <f aca="false">IF(AND(R230&lt;&gt;"",AK230&gt;1.1*R230),"Consented above capacity",IF(AND(LEFT(B230,8)="Planning",AW230=0),"Consent parcel with no permission",IF(COUNTIF($A$2:$A$3000,$A230)&gt;1,"Duplicate parcel_id","")))</f>
        <v/>
      </c>
    </row>
    <row r="231" customFormat="false" ht="15" hidden="false" customHeight="false" outlineLevel="0" collapsed="false">
      <c r="A231" s="15" t="s">
        <v>541</v>
      </c>
      <c r="B231" s="15" t="s">
        <v>12</v>
      </c>
      <c r="C231" s="15" t="s">
        <v>16</v>
      </c>
      <c r="D231" s="15" t="s">
        <v>58</v>
      </c>
      <c r="E231" s="15" t="s">
        <v>19</v>
      </c>
      <c r="F231" s="15" t="n">
        <v>1</v>
      </c>
      <c r="G231" s="15" t="s">
        <v>154</v>
      </c>
      <c r="H231" s="15"/>
      <c r="I231" s="15" t="s">
        <v>58</v>
      </c>
      <c r="J231" s="15" t="s">
        <v>205</v>
      </c>
      <c r="K231" s="15" t="s">
        <v>542</v>
      </c>
      <c r="L231" s="15"/>
      <c r="M231" s="15"/>
      <c r="N231" s="15"/>
      <c r="O231" s="15"/>
      <c r="P231" s="15" t="n">
        <v>0.133</v>
      </c>
      <c r="Q231" s="15" t="n">
        <v>0.133</v>
      </c>
      <c r="R231" s="15"/>
      <c r="S231" s="15" t="s">
        <v>346</v>
      </c>
      <c r="T231" s="15"/>
      <c r="U231" s="15"/>
      <c r="V231" s="15"/>
      <c r="W231" s="15"/>
      <c r="X231" s="15"/>
      <c r="Y231" s="15"/>
      <c r="Z231" s="15"/>
      <c r="AA231" s="15" t="n">
        <v>3</v>
      </c>
      <c r="AB231" s="15" t="n">
        <v>3</v>
      </c>
      <c r="AC231" s="15"/>
      <c r="AD231" s="15"/>
      <c r="AE231" s="15" t="s">
        <v>163</v>
      </c>
      <c r="AF231" s="15"/>
      <c r="AG231" s="24" t="n">
        <f aca="false">SUMIFS(Permissions!$G$2:$G$3000,Permissions!$B$2:$B$3000,$A231,Permissions!$I$2:$I$3000,"Complete",Permissions!$P$2:$P$3000,"Yes")</f>
        <v>0</v>
      </c>
      <c r="AH231" s="24" t="n">
        <f aca="false">SUMIFS(Permissions!$G$2:$G$3000,Permissions!$B$2:$B$3000,$A231,Permissions!$I$2:$I$3000,"Under construction",Permissions!$P$2:$P$3000,"Yes")</f>
        <v>4</v>
      </c>
      <c r="AI231" s="24" t="n">
        <f aca="false">SUMIFS(Permissions!$G$2:$G$3000,Permissions!$B$2:$B$3000,$A231,Permissions!$I$2:$I$3000,"Permitted – not started",Permissions!$P$2:$P$3000,"Yes")</f>
        <v>0</v>
      </c>
      <c r="AJ231" s="24" t="n">
        <f aca="false">SUMIFS(Permissions!$G$2:$G$3000,Permissions!$B$2:$B$3000,$A231,Permissions!$I$2:$I$3000,"Stalled",Permissions!$P$2:$P$3000,"Yes")</f>
        <v>0</v>
      </c>
      <c r="AK231" s="24" t="n">
        <f aca="false">AG231+AH231+AI231+AJ231</f>
        <v>4</v>
      </c>
      <c r="AL231" s="24" t="n">
        <f aca="false">SUMIFS(Permissions!$G$2:$G$3000,Permissions!$B$2:$B$3000,$A231,Permissions!$I$2:$I$3000,"Expired – not started",Permissions!$P$2:$P$3000,"Yes")</f>
        <v>0</v>
      </c>
      <c r="AM231" s="24" t="n">
        <f aca="false">SUMIFS(Permissions!$G$2:$G$3000,Permissions!$B$2:$B$3000,$A231,Permissions!$I$2:$I$3000,"In planning",Permissions!$P$2:$P$3000,"Yes")</f>
        <v>0</v>
      </c>
      <c r="AN231" s="24" t="n">
        <f aca="false">IF(R231="",0,MAX(R231-AK231,0))</f>
        <v>0</v>
      </c>
      <c r="AO231" s="25" t="n">
        <f aca="false">AK231+AN231</f>
        <v>4</v>
      </c>
      <c r="AP231" s="24" t="n">
        <f aca="false">AO231-AG231</f>
        <v>4</v>
      </c>
      <c r="AQ231" s="26" t="n">
        <f aca="false">SUMIFS(Permissions!$AH$2:$AH$3000,Permissions!$B$2:$B$3000,$A231,Permissions!$P$2:$P$3000,"Yes")</f>
        <v>0.9</v>
      </c>
      <c r="AR231" s="26" t="n">
        <f aca="false">SUMIFS(Permissions!$AI$2:$AI$3000,Permissions!$B$2:$B$3000,$A231,Permissions!$P$2:$P$3000,"Yes")</f>
        <v>3.1</v>
      </c>
      <c r="AS231" s="26" t="n">
        <f aca="false">SUMIFS(Permissions!$AJ$2:$AJ$3000,Permissions!$B$2:$B$3000,$A231,Permissions!$P$2:$P$3000,"Yes")</f>
        <v>0</v>
      </c>
      <c r="AT231" s="26" t="n">
        <f aca="false">SUMIFS(Permissions!$AK$2:$AK$3000,Permissions!$B$2:$B$3000,$A231,Permissions!$P$2:$P$3000,"Yes")</f>
        <v>0</v>
      </c>
      <c r="AU231" s="26" t="n">
        <f aca="false">SUMIFS(Permissions!$AL$2:$AL$3000,Permissions!$B$2:$B$3000,$A231,Permissions!$P$2:$P$3000,"Yes")</f>
        <v>0</v>
      </c>
      <c r="AV231" s="26" t="n">
        <f aca="false">SUMIFS(Permissions!$AM$2:$AM$3000,Permissions!$B$2:$B$3000,$A231,Permissions!$P$2:$P$3000,"Yes")</f>
        <v>0</v>
      </c>
      <c r="AW231" s="24" t="n">
        <f aca="false">COUNTIFS(Permissions!$B$2:$B$3000,$A231,Permissions!$P$2:$P$3000,"Yes")</f>
        <v>1</v>
      </c>
      <c r="AX231" s="24" t="n">
        <f aca="false">SUMIFS(Permissions!$L$2:$L$3000,Permissions!$B$2:$B$3000,$A231,Permissions!$P$2:$P$3000,"Yes")</f>
        <v>3</v>
      </c>
      <c r="AY231" s="27" t="str">
        <f aca="false">IF(AND(AK231&gt;0,AG231&gt;=AK231,AN231=0),"Built out",IF(AG231&gt;0,"Partly built",IF(AK231&gt;0,"Consented – not built","No consent")))</f>
        <v>Consented – not built</v>
      </c>
      <c r="AZ231" s="28" t="str">
        <f aca="false">IF(AND(R231&lt;&gt;"",AK231&gt;1.1*R231),"Consented above capacity",IF(AND(LEFT(B231,8)="Planning",AW231=0),"Consent parcel with no permission",IF(COUNTIF($A$2:$A$3000,$A231)&gt;1,"Duplicate parcel_id","")))</f>
        <v/>
      </c>
    </row>
    <row r="232" customFormat="false" ht="15" hidden="false" customHeight="false" outlineLevel="0" collapsed="false">
      <c r="A232" s="15" t="s">
        <v>543</v>
      </c>
      <c r="B232" s="15" t="s">
        <v>12</v>
      </c>
      <c r="C232" s="15" t="s">
        <v>16</v>
      </c>
      <c r="D232" s="15" t="s">
        <v>58</v>
      </c>
      <c r="E232" s="15" t="s">
        <v>19</v>
      </c>
      <c r="F232" s="15" t="n">
        <v>1</v>
      </c>
      <c r="G232" s="15" t="s">
        <v>154</v>
      </c>
      <c r="H232" s="15"/>
      <c r="I232" s="15" t="s">
        <v>58</v>
      </c>
      <c r="J232" s="15" t="s">
        <v>205</v>
      </c>
      <c r="K232" s="15" t="s">
        <v>544</v>
      </c>
      <c r="L232" s="15"/>
      <c r="M232" s="15"/>
      <c r="N232" s="15"/>
      <c r="O232" s="15"/>
      <c r="P232" s="15" t="n">
        <v>0.242</v>
      </c>
      <c r="Q232" s="15" t="n">
        <v>0.242</v>
      </c>
      <c r="R232" s="15"/>
      <c r="S232" s="15" t="s">
        <v>346</v>
      </c>
      <c r="T232" s="15"/>
      <c r="U232" s="15"/>
      <c r="V232" s="15"/>
      <c r="W232" s="15"/>
      <c r="X232" s="15"/>
      <c r="Y232" s="15"/>
      <c r="Z232" s="15"/>
      <c r="AA232" s="15" t="n">
        <v>4</v>
      </c>
      <c r="AB232" s="15" t="n">
        <v>4</v>
      </c>
      <c r="AC232" s="15"/>
      <c r="AD232" s="15"/>
      <c r="AE232" s="15" t="s">
        <v>163</v>
      </c>
      <c r="AF232" s="15"/>
      <c r="AG232" s="24" t="n">
        <f aca="false">SUMIFS(Permissions!$G$2:$G$3000,Permissions!$B$2:$B$3000,$A232,Permissions!$I$2:$I$3000,"Complete",Permissions!$P$2:$P$3000,"Yes")</f>
        <v>4</v>
      </c>
      <c r="AH232" s="24" t="n">
        <f aca="false">SUMIFS(Permissions!$G$2:$G$3000,Permissions!$B$2:$B$3000,$A232,Permissions!$I$2:$I$3000,"Under construction",Permissions!$P$2:$P$3000,"Yes")</f>
        <v>0</v>
      </c>
      <c r="AI232" s="24" t="n">
        <f aca="false">SUMIFS(Permissions!$G$2:$G$3000,Permissions!$B$2:$B$3000,$A232,Permissions!$I$2:$I$3000,"Permitted – not started",Permissions!$P$2:$P$3000,"Yes")</f>
        <v>0</v>
      </c>
      <c r="AJ232" s="24" t="n">
        <f aca="false">SUMIFS(Permissions!$G$2:$G$3000,Permissions!$B$2:$B$3000,$A232,Permissions!$I$2:$I$3000,"Stalled",Permissions!$P$2:$P$3000,"Yes")</f>
        <v>0</v>
      </c>
      <c r="AK232" s="24" t="n">
        <f aca="false">AG232+AH232+AI232+AJ232</f>
        <v>4</v>
      </c>
      <c r="AL232" s="24" t="n">
        <f aca="false">SUMIFS(Permissions!$G$2:$G$3000,Permissions!$B$2:$B$3000,$A232,Permissions!$I$2:$I$3000,"Expired – not started",Permissions!$P$2:$P$3000,"Yes")</f>
        <v>0</v>
      </c>
      <c r="AM232" s="24" t="n">
        <f aca="false">SUMIFS(Permissions!$G$2:$G$3000,Permissions!$B$2:$B$3000,$A232,Permissions!$I$2:$I$3000,"In planning",Permissions!$P$2:$P$3000,"Yes")</f>
        <v>0</v>
      </c>
      <c r="AN232" s="24" t="n">
        <f aca="false">IF(R232="",0,MAX(R232-AK232,0))</f>
        <v>0</v>
      </c>
      <c r="AO232" s="25" t="n">
        <f aca="false">AK232+AN232</f>
        <v>4</v>
      </c>
      <c r="AP232" s="24" t="n">
        <f aca="false">AO232-AG232</f>
        <v>0</v>
      </c>
      <c r="AQ232" s="26" t="n">
        <f aca="false">SUMIFS(Permissions!$AH$2:$AH$3000,Permissions!$B$2:$B$3000,$A232,Permissions!$P$2:$P$3000,"Yes")</f>
        <v>0</v>
      </c>
      <c r="AR232" s="26" t="n">
        <f aca="false">SUMIFS(Permissions!$AI$2:$AI$3000,Permissions!$B$2:$B$3000,$A232,Permissions!$P$2:$P$3000,"Yes")</f>
        <v>0</v>
      </c>
      <c r="AS232" s="26" t="n">
        <f aca="false">SUMIFS(Permissions!$AJ$2:$AJ$3000,Permissions!$B$2:$B$3000,$A232,Permissions!$P$2:$P$3000,"Yes")</f>
        <v>0</v>
      </c>
      <c r="AT232" s="26" t="n">
        <f aca="false">SUMIFS(Permissions!$AK$2:$AK$3000,Permissions!$B$2:$B$3000,$A232,Permissions!$P$2:$P$3000,"Yes")</f>
        <v>0</v>
      </c>
      <c r="AU232" s="26" t="n">
        <f aca="false">SUMIFS(Permissions!$AL$2:$AL$3000,Permissions!$B$2:$B$3000,$A232,Permissions!$P$2:$P$3000,"Yes")</f>
        <v>0</v>
      </c>
      <c r="AV232" s="26" t="n">
        <f aca="false">SUMIFS(Permissions!$AM$2:$AM$3000,Permissions!$B$2:$B$3000,$A232,Permissions!$P$2:$P$3000,"Yes")</f>
        <v>0</v>
      </c>
      <c r="AW232" s="24" t="n">
        <f aca="false">COUNTIFS(Permissions!$B$2:$B$3000,$A232,Permissions!$P$2:$P$3000,"Yes")</f>
        <v>1</v>
      </c>
      <c r="AX232" s="24" t="n">
        <f aca="false">SUMIFS(Permissions!$L$2:$L$3000,Permissions!$B$2:$B$3000,$A232,Permissions!$P$2:$P$3000,"Yes")</f>
        <v>4</v>
      </c>
      <c r="AY232" s="27" t="str">
        <f aca="false">IF(AND(AK232&gt;0,AG232&gt;=AK232,AN232=0),"Built out",IF(AG232&gt;0,"Partly built",IF(AK232&gt;0,"Consented – not built","No consent")))</f>
        <v>Built out</v>
      </c>
      <c r="AZ232" s="28" t="str">
        <f aca="false">IF(AND(R232&lt;&gt;"",AK232&gt;1.1*R232),"Consented above capacity",IF(AND(LEFT(B232,8)="Planning",AW232=0),"Consent parcel with no permission",IF(COUNTIF($A$2:$A$3000,$A232)&gt;1,"Duplicate parcel_id","")))</f>
        <v/>
      </c>
    </row>
    <row r="233" customFormat="false" ht="15" hidden="false" customHeight="false" outlineLevel="0" collapsed="false">
      <c r="A233" s="15" t="s">
        <v>545</v>
      </c>
      <c r="B233" s="15" t="s">
        <v>12</v>
      </c>
      <c r="C233" s="15" t="s">
        <v>16</v>
      </c>
      <c r="D233" s="15" t="s">
        <v>58</v>
      </c>
      <c r="E233" s="15" t="s">
        <v>19</v>
      </c>
      <c r="F233" s="15" t="n">
        <v>0.99</v>
      </c>
      <c r="G233" s="15" t="s">
        <v>154</v>
      </c>
      <c r="H233" s="15"/>
      <c r="I233" s="15" t="s">
        <v>58</v>
      </c>
      <c r="J233" s="15" t="s">
        <v>205</v>
      </c>
      <c r="K233" s="15" t="s">
        <v>546</v>
      </c>
      <c r="L233" s="15"/>
      <c r="M233" s="15"/>
      <c r="N233" s="15"/>
      <c r="O233" s="15"/>
      <c r="P233" s="15" t="n">
        <v>2.777</v>
      </c>
      <c r="Q233" s="15" t="n">
        <v>2.777</v>
      </c>
      <c r="R233" s="15"/>
      <c r="S233" s="15" t="s">
        <v>346</v>
      </c>
      <c r="T233" s="15"/>
      <c r="U233" s="15"/>
      <c r="V233" s="15"/>
      <c r="W233" s="15"/>
      <c r="X233" s="15"/>
      <c r="Y233" s="15"/>
      <c r="Z233" s="15"/>
      <c r="AA233" s="15" t="n">
        <v>43</v>
      </c>
      <c r="AB233" s="15" t="n">
        <v>43</v>
      </c>
      <c r="AC233" s="15"/>
      <c r="AD233" s="15"/>
      <c r="AE233" s="15" t="s">
        <v>163</v>
      </c>
      <c r="AF233" s="15"/>
      <c r="AG233" s="24" t="n">
        <f aca="false">SUMIFS(Permissions!$G$2:$G$3000,Permissions!$B$2:$B$3000,$A233,Permissions!$I$2:$I$3000,"Complete",Permissions!$P$2:$P$3000,"Yes")</f>
        <v>43</v>
      </c>
      <c r="AH233" s="24" t="n">
        <f aca="false">SUMIFS(Permissions!$G$2:$G$3000,Permissions!$B$2:$B$3000,$A233,Permissions!$I$2:$I$3000,"Under construction",Permissions!$P$2:$P$3000,"Yes")</f>
        <v>0</v>
      </c>
      <c r="AI233" s="24" t="n">
        <f aca="false">SUMIFS(Permissions!$G$2:$G$3000,Permissions!$B$2:$B$3000,$A233,Permissions!$I$2:$I$3000,"Permitted – not started",Permissions!$P$2:$P$3000,"Yes")</f>
        <v>0</v>
      </c>
      <c r="AJ233" s="24" t="n">
        <f aca="false">SUMIFS(Permissions!$G$2:$G$3000,Permissions!$B$2:$B$3000,$A233,Permissions!$I$2:$I$3000,"Stalled",Permissions!$P$2:$P$3000,"Yes")</f>
        <v>0</v>
      </c>
      <c r="AK233" s="24" t="n">
        <f aca="false">AG233+AH233+AI233+AJ233</f>
        <v>43</v>
      </c>
      <c r="AL233" s="24" t="n">
        <f aca="false">SUMIFS(Permissions!$G$2:$G$3000,Permissions!$B$2:$B$3000,$A233,Permissions!$I$2:$I$3000,"Expired – not started",Permissions!$P$2:$P$3000,"Yes")</f>
        <v>0</v>
      </c>
      <c r="AM233" s="24" t="n">
        <f aca="false">SUMIFS(Permissions!$G$2:$G$3000,Permissions!$B$2:$B$3000,$A233,Permissions!$I$2:$I$3000,"In planning",Permissions!$P$2:$P$3000,"Yes")</f>
        <v>0</v>
      </c>
      <c r="AN233" s="24" t="n">
        <f aca="false">IF(R233="",0,MAX(R233-AK233,0))</f>
        <v>0</v>
      </c>
      <c r="AO233" s="25" t="n">
        <f aca="false">AK233+AN233</f>
        <v>43</v>
      </c>
      <c r="AP233" s="24" t="n">
        <f aca="false">AO233-AG233</f>
        <v>0</v>
      </c>
      <c r="AQ233" s="26" t="n">
        <f aca="false">SUMIFS(Permissions!$AH$2:$AH$3000,Permissions!$B$2:$B$3000,$A233,Permissions!$P$2:$P$3000,"Yes")</f>
        <v>0</v>
      </c>
      <c r="AR233" s="26" t="n">
        <f aca="false">SUMIFS(Permissions!$AI$2:$AI$3000,Permissions!$B$2:$B$3000,$A233,Permissions!$P$2:$P$3000,"Yes")</f>
        <v>0</v>
      </c>
      <c r="AS233" s="26" t="n">
        <f aca="false">SUMIFS(Permissions!$AJ$2:$AJ$3000,Permissions!$B$2:$B$3000,$A233,Permissions!$P$2:$P$3000,"Yes")</f>
        <v>0</v>
      </c>
      <c r="AT233" s="26" t="n">
        <f aca="false">SUMIFS(Permissions!$AK$2:$AK$3000,Permissions!$B$2:$B$3000,$A233,Permissions!$P$2:$P$3000,"Yes")</f>
        <v>0</v>
      </c>
      <c r="AU233" s="26" t="n">
        <f aca="false">SUMIFS(Permissions!$AL$2:$AL$3000,Permissions!$B$2:$B$3000,$A233,Permissions!$P$2:$P$3000,"Yes")</f>
        <v>0</v>
      </c>
      <c r="AV233" s="26" t="n">
        <f aca="false">SUMIFS(Permissions!$AM$2:$AM$3000,Permissions!$B$2:$B$3000,$A233,Permissions!$P$2:$P$3000,"Yes")</f>
        <v>0</v>
      </c>
      <c r="AW233" s="24" t="n">
        <f aca="false">COUNTIFS(Permissions!$B$2:$B$3000,$A233,Permissions!$P$2:$P$3000,"Yes")</f>
        <v>1</v>
      </c>
      <c r="AX233" s="24" t="n">
        <f aca="false">SUMIFS(Permissions!$L$2:$L$3000,Permissions!$B$2:$B$3000,$A233,Permissions!$P$2:$P$3000,"Yes")</f>
        <v>43</v>
      </c>
      <c r="AY233" s="27" t="str">
        <f aca="false">IF(AND(AK233&gt;0,AG233&gt;=AK233,AN233=0),"Built out",IF(AG233&gt;0,"Partly built",IF(AK233&gt;0,"Consented – not built","No consent")))</f>
        <v>Built out</v>
      </c>
      <c r="AZ233" s="28" t="str">
        <f aca="false">IF(AND(R233&lt;&gt;"",AK233&gt;1.1*R233),"Consented above capacity",IF(AND(LEFT(B233,8)="Planning",AW233=0),"Consent parcel with no permission",IF(COUNTIF($A$2:$A$3000,$A233)&gt;1,"Duplicate parcel_id","")))</f>
        <v/>
      </c>
    </row>
    <row r="234" customFormat="false" ht="15" hidden="false" customHeight="false" outlineLevel="0" collapsed="false">
      <c r="A234" s="15" t="s">
        <v>547</v>
      </c>
      <c r="B234" s="15" t="s">
        <v>12</v>
      </c>
      <c r="C234" s="15" t="s">
        <v>16</v>
      </c>
      <c r="D234" s="15" t="s">
        <v>58</v>
      </c>
      <c r="E234" s="15" t="s">
        <v>19</v>
      </c>
      <c r="F234" s="15" t="n">
        <v>1</v>
      </c>
      <c r="G234" s="15" t="s">
        <v>154</v>
      </c>
      <c r="H234" s="15"/>
      <c r="I234" s="15" t="s">
        <v>58</v>
      </c>
      <c r="J234" s="15" t="s">
        <v>205</v>
      </c>
      <c r="K234" s="15" t="s">
        <v>548</v>
      </c>
      <c r="L234" s="15"/>
      <c r="M234" s="15"/>
      <c r="N234" s="15"/>
      <c r="O234" s="15"/>
      <c r="P234" s="15" t="n">
        <v>0.522</v>
      </c>
      <c r="Q234" s="15" t="n">
        <v>0.522</v>
      </c>
      <c r="R234" s="15"/>
      <c r="S234" s="15" t="s">
        <v>346</v>
      </c>
      <c r="T234" s="15"/>
      <c r="U234" s="15"/>
      <c r="V234" s="15"/>
      <c r="W234" s="15"/>
      <c r="X234" s="15"/>
      <c r="Y234" s="15"/>
      <c r="Z234" s="15"/>
      <c r="AA234" s="15" t="n">
        <v>10</v>
      </c>
      <c r="AB234" s="15" t="n">
        <v>10</v>
      </c>
      <c r="AC234" s="15"/>
      <c r="AD234" s="15" t="s">
        <v>488</v>
      </c>
      <c r="AE234" s="15" t="s">
        <v>163</v>
      </c>
      <c r="AF234" s="15"/>
      <c r="AG234" s="24" t="n">
        <f aca="false">SUMIFS(Permissions!$G$2:$G$3000,Permissions!$B$2:$B$3000,$A234,Permissions!$I$2:$I$3000,"Complete",Permissions!$P$2:$P$3000,"Yes")</f>
        <v>0</v>
      </c>
      <c r="AH234" s="24" t="n">
        <f aca="false">SUMIFS(Permissions!$G$2:$G$3000,Permissions!$B$2:$B$3000,$A234,Permissions!$I$2:$I$3000,"Under construction",Permissions!$P$2:$P$3000,"Yes")</f>
        <v>12</v>
      </c>
      <c r="AI234" s="24" t="n">
        <f aca="false">SUMIFS(Permissions!$G$2:$G$3000,Permissions!$B$2:$B$3000,$A234,Permissions!$I$2:$I$3000,"Permitted – not started",Permissions!$P$2:$P$3000,"Yes")</f>
        <v>0</v>
      </c>
      <c r="AJ234" s="24" t="n">
        <f aca="false">SUMIFS(Permissions!$G$2:$G$3000,Permissions!$B$2:$B$3000,$A234,Permissions!$I$2:$I$3000,"Stalled",Permissions!$P$2:$P$3000,"Yes")</f>
        <v>0</v>
      </c>
      <c r="AK234" s="24" t="n">
        <f aca="false">AG234+AH234+AI234+AJ234</f>
        <v>12</v>
      </c>
      <c r="AL234" s="24" t="n">
        <f aca="false">SUMIFS(Permissions!$G$2:$G$3000,Permissions!$B$2:$B$3000,$A234,Permissions!$I$2:$I$3000,"Expired – not started",Permissions!$P$2:$P$3000,"Yes")</f>
        <v>0</v>
      </c>
      <c r="AM234" s="24" t="n">
        <f aca="false">SUMIFS(Permissions!$G$2:$G$3000,Permissions!$B$2:$B$3000,$A234,Permissions!$I$2:$I$3000,"In planning",Permissions!$P$2:$P$3000,"Yes")</f>
        <v>0</v>
      </c>
      <c r="AN234" s="24" t="n">
        <f aca="false">IF(R234="",0,MAX(R234-AK234,0))</f>
        <v>0</v>
      </c>
      <c r="AO234" s="25" t="n">
        <f aca="false">AK234+AN234</f>
        <v>12</v>
      </c>
      <c r="AP234" s="24" t="n">
        <f aca="false">AO234-AG234</f>
        <v>12</v>
      </c>
      <c r="AQ234" s="26" t="n">
        <f aca="false">SUMIFS(Permissions!$AH$2:$AH$3000,Permissions!$B$2:$B$3000,$A234,Permissions!$P$2:$P$3000,"Yes")</f>
        <v>2.8</v>
      </c>
      <c r="AR234" s="26" t="n">
        <f aca="false">SUMIFS(Permissions!$AI$2:$AI$3000,Permissions!$B$2:$B$3000,$A234,Permissions!$P$2:$P$3000,"Yes")</f>
        <v>9.2</v>
      </c>
      <c r="AS234" s="26" t="n">
        <f aca="false">SUMIFS(Permissions!$AJ$2:$AJ$3000,Permissions!$B$2:$B$3000,$A234,Permissions!$P$2:$P$3000,"Yes")</f>
        <v>0</v>
      </c>
      <c r="AT234" s="26" t="n">
        <f aca="false">SUMIFS(Permissions!$AK$2:$AK$3000,Permissions!$B$2:$B$3000,$A234,Permissions!$P$2:$P$3000,"Yes")</f>
        <v>0</v>
      </c>
      <c r="AU234" s="26" t="n">
        <f aca="false">SUMIFS(Permissions!$AL$2:$AL$3000,Permissions!$B$2:$B$3000,$A234,Permissions!$P$2:$P$3000,"Yes")</f>
        <v>0</v>
      </c>
      <c r="AV234" s="26" t="n">
        <f aca="false">SUMIFS(Permissions!$AM$2:$AM$3000,Permissions!$B$2:$B$3000,$A234,Permissions!$P$2:$P$3000,"Yes")</f>
        <v>0</v>
      </c>
      <c r="AW234" s="24" t="n">
        <f aca="false">COUNTIFS(Permissions!$B$2:$B$3000,$A234,Permissions!$P$2:$P$3000,"Yes")</f>
        <v>1</v>
      </c>
      <c r="AX234" s="24" t="n">
        <f aca="false">SUMIFS(Permissions!$L$2:$L$3000,Permissions!$B$2:$B$3000,$A234,Permissions!$P$2:$P$3000,"Yes")</f>
        <v>0</v>
      </c>
      <c r="AY234" s="27" t="str">
        <f aca="false">IF(AND(AK234&gt;0,AG234&gt;=AK234,AN234=0),"Built out",IF(AG234&gt;0,"Partly built",IF(AK234&gt;0,"Consented – not built","No consent")))</f>
        <v>Consented – not built</v>
      </c>
      <c r="AZ234" s="28" t="str">
        <f aca="false">IF(AND(R234&lt;&gt;"",AK234&gt;1.1*R234),"Consented above capacity",IF(AND(LEFT(B234,8)="Planning",AW234=0),"Consent parcel with no permission",IF(COUNTIF($A$2:$A$3000,$A234)&gt;1,"Duplicate parcel_id","")))</f>
        <v/>
      </c>
    </row>
    <row r="235" customFormat="false" ht="15" hidden="false" customHeight="false" outlineLevel="0" collapsed="false">
      <c r="A235" s="15" t="s">
        <v>549</v>
      </c>
      <c r="B235" s="15" t="s">
        <v>12</v>
      </c>
      <c r="C235" s="15" t="s">
        <v>16</v>
      </c>
      <c r="D235" s="15" t="s">
        <v>58</v>
      </c>
      <c r="E235" s="15" t="s">
        <v>19</v>
      </c>
      <c r="F235" s="15" t="n">
        <v>1</v>
      </c>
      <c r="G235" s="15" t="s">
        <v>154</v>
      </c>
      <c r="H235" s="15"/>
      <c r="I235" s="15" t="s">
        <v>58</v>
      </c>
      <c r="J235" s="15" t="s">
        <v>205</v>
      </c>
      <c r="K235" s="15" t="s">
        <v>550</v>
      </c>
      <c r="L235" s="15"/>
      <c r="M235" s="15"/>
      <c r="N235" s="15"/>
      <c r="O235" s="15"/>
      <c r="P235" s="15" t="n">
        <v>0.196</v>
      </c>
      <c r="Q235" s="15" t="n">
        <v>0.196</v>
      </c>
      <c r="R235" s="15" t="n">
        <v>12</v>
      </c>
      <c r="S235" s="15" t="s">
        <v>372</v>
      </c>
      <c r="T235" s="15"/>
      <c r="U235" s="15"/>
      <c r="V235" s="15"/>
      <c r="W235" s="15"/>
      <c r="X235" s="15"/>
      <c r="Y235" s="15"/>
      <c r="Z235" s="15"/>
      <c r="AA235" s="15" t="n">
        <v>1</v>
      </c>
      <c r="AB235" s="15" t="n">
        <v>0</v>
      </c>
      <c r="AC235" s="15"/>
      <c r="AD235" s="15" t="s">
        <v>373</v>
      </c>
      <c r="AE235" s="15" t="s">
        <v>163</v>
      </c>
      <c r="AF235" s="15"/>
      <c r="AG235" s="24" t="n">
        <f aca="false">SUMIFS(Permissions!$G$2:$G$3000,Permissions!$B$2:$B$3000,$A235,Permissions!$I$2:$I$3000,"Complete",Permissions!$P$2:$P$3000,"Yes")</f>
        <v>0</v>
      </c>
      <c r="AH235" s="24" t="n">
        <f aca="false">SUMIFS(Permissions!$G$2:$G$3000,Permissions!$B$2:$B$3000,$A235,Permissions!$I$2:$I$3000,"Under construction",Permissions!$P$2:$P$3000,"Yes")</f>
        <v>0</v>
      </c>
      <c r="AI235" s="24" t="n">
        <f aca="false">SUMIFS(Permissions!$G$2:$G$3000,Permissions!$B$2:$B$3000,$A235,Permissions!$I$2:$I$3000,"Permitted – not started",Permissions!$P$2:$P$3000,"Yes")</f>
        <v>0</v>
      </c>
      <c r="AJ235" s="24" t="n">
        <f aca="false">SUMIFS(Permissions!$G$2:$G$3000,Permissions!$B$2:$B$3000,$A235,Permissions!$I$2:$I$3000,"Stalled",Permissions!$P$2:$P$3000,"Yes")</f>
        <v>0</v>
      </c>
      <c r="AK235" s="24" t="n">
        <f aca="false">AG235+AH235+AI235+AJ235</f>
        <v>0</v>
      </c>
      <c r="AL235" s="24" t="n">
        <f aca="false">SUMIFS(Permissions!$G$2:$G$3000,Permissions!$B$2:$B$3000,$A235,Permissions!$I$2:$I$3000,"Expired – not started",Permissions!$P$2:$P$3000,"Yes")</f>
        <v>0</v>
      </c>
      <c r="AM235" s="24" t="n">
        <f aca="false">SUMIFS(Permissions!$G$2:$G$3000,Permissions!$B$2:$B$3000,$A235,Permissions!$I$2:$I$3000,"In planning",Permissions!$P$2:$P$3000,"Yes")</f>
        <v>12</v>
      </c>
      <c r="AN235" s="24" t="n">
        <f aca="false">IF(R235="",0,MAX(R235-AK235,0))</f>
        <v>12</v>
      </c>
      <c r="AO235" s="25" t="n">
        <f aca="false">AK235+AN235</f>
        <v>12</v>
      </c>
      <c r="AP235" s="24" t="n">
        <f aca="false">AO235-AG235</f>
        <v>12</v>
      </c>
      <c r="AQ235" s="26" t="n">
        <f aca="false">SUMIFS(Permissions!$AH$2:$AH$3000,Permissions!$B$2:$B$3000,$A235,Permissions!$P$2:$P$3000,"Yes")</f>
        <v>0</v>
      </c>
      <c r="AR235" s="26" t="n">
        <f aca="false">SUMIFS(Permissions!$AI$2:$AI$3000,Permissions!$B$2:$B$3000,$A235,Permissions!$P$2:$P$3000,"Yes")</f>
        <v>0</v>
      </c>
      <c r="AS235" s="26" t="n">
        <f aca="false">SUMIFS(Permissions!$AJ$2:$AJ$3000,Permissions!$B$2:$B$3000,$A235,Permissions!$P$2:$P$3000,"Yes")</f>
        <v>0</v>
      </c>
      <c r="AT235" s="26" t="n">
        <f aca="false">SUMIFS(Permissions!$AK$2:$AK$3000,Permissions!$B$2:$B$3000,$A235,Permissions!$P$2:$P$3000,"Yes")</f>
        <v>0</v>
      </c>
      <c r="AU235" s="26" t="n">
        <f aca="false">SUMIFS(Permissions!$AL$2:$AL$3000,Permissions!$B$2:$B$3000,$A235,Permissions!$P$2:$P$3000,"Yes")</f>
        <v>0</v>
      </c>
      <c r="AV235" s="26" t="n">
        <f aca="false">SUMIFS(Permissions!$AM$2:$AM$3000,Permissions!$B$2:$B$3000,$A235,Permissions!$P$2:$P$3000,"Yes")</f>
        <v>0</v>
      </c>
      <c r="AW235" s="24" t="n">
        <f aca="false">COUNTIFS(Permissions!$B$2:$B$3000,$A235,Permissions!$P$2:$P$3000,"Yes")</f>
        <v>1</v>
      </c>
      <c r="AX235" s="24" t="n">
        <f aca="false">SUMIFS(Permissions!$L$2:$L$3000,Permissions!$B$2:$B$3000,$A235,Permissions!$P$2:$P$3000,"Yes")</f>
        <v>0</v>
      </c>
      <c r="AY235" s="27" t="str">
        <f aca="false">IF(AND(AK235&gt;0,AG235&gt;=AK235,AN235=0),"Built out",IF(AG235&gt;0,"Partly built",IF(AK235&gt;0,"Consented – not built","No consent")))</f>
        <v>No consent</v>
      </c>
      <c r="AZ235" s="28" t="str">
        <f aca="false">IF(AND(R235&lt;&gt;"",AK235&gt;1.1*R235),"Consented above capacity",IF(AND(LEFT(B235,8)="Planning",AW235=0),"Consent parcel with no permission",IF(COUNTIF($A$2:$A$3000,$A235)&gt;1,"Duplicate parcel_id","")))</f>
        <v/>
      </c>
    </row>
    <row r="236" customFormat="false" ht="15" hidden="false" customHeight="false" outlineLevel="0" collapsed="false">
      <c r="A236" s="15" t="s">
        <v>551</v>
      </c>
      <c r="B236" s="15" t="s">
        <v>12</v>
      </c>
      <c r="C236" s="15" t="s">
        <v>16</v>
      </c>
      <c r="D236" s="15" t="s">
        <v>58</v>
      </c>
      <c r="E236" s="15" t="s">
        <v>19</v>
      </c>
      <c r="F236" s="15" t="n">
        <v>1</v>
      </c>
      <c r="G236" s="15" t="s">
        <v>154</v>
      </c>
      <c r="H236" s="15"/>
      <c r="I236" s="15" t="s">
        <v>58</v>
      </c>
      <c r="J236" s="15" t="s">
        <v>205</v>
      </c>
      <c r="K236" s="15" t="s">
        <v>552</v>
      </c>
      <c r="L236" s="15"/>
      <c r="M236" s="15"/>
      <c r="N236" s="15"/>
      <c r="O236" s="15"/>
      <c r="P236" s="15" t="n">
        <v>0.196</v>
      </c>
      <c r="Q236" s="15" t="n">
        <v>0.196</v>
      </c>
      <c r="R236" s="15"/>
      <c r="S236" s="15" t="s">
        <v>346</v>
      </c>
      <c r="T236" s="15"/>
      <c r="U236" s="15"/>
      <c r="V236" s="15"/>
      <c r="W236" s="15"/>
      <c r="X236" s="15"/>
      <c r="Y236" s="15"/>
      <c r="Z236" s="15"/>
      <c r="AA236" s="15" t="n">
        <v>0</v>
      </c>
      <c r="AB236" s="15" t="n">
        <v>0</v>
      </c>
      <c r="AC236" s="15"/>
      <c r="AD236" s="15" t="s">
        <v>379</v>
      </c>
      <c r="AE236" s="15" t="s">
        <v>163</v>
      </c>
      <c r="AF236" s="15"/>
      <c r="AG236" s="24" t="n">
        <f aca="false">SUMIFS(Permissions!$G$2:$G$3000,Permissions!$B$2:$B$3000,$A236,Permissions!$I$2:$I$3000,"Complete",Permissions!$P$2:$P$3000,"Yes")</f>
        <v>0</v>
      </c>
      <c r="AH236" s="24" t="n">
        <f aca="false">SUMIFS(Permissions!$G$2:$G$3000,Permissions!$B$2:$B$3000,$A236,Permissions!$I$2:$I$3000,"Under construction",Permissions!$P$2:$P$3000,"Yes")</f>
        <v>0</v>
      </c>
      <c r="AI236" s="24" t="n">
        <f aca="false">SUMIFS(Permissions!$G$2:$G$3000,Permissions!$B$2:$B$3000,$A236,Permissions!$I$2:$I$3000,"Permitted – not started",Permissions!$P$2:$P$3000,"Yes")</f>
        <v>5</v>
      </c>
      <c r="AJ236" s="24" t="n">
        <f aca="false">SUMIFS(Permissions!$G$2:$G$3000,Permissions!$B$2:$B$3000,$A236,Permissions!$I$2:$I$3000,"Stalled",Permissions!$P$2:$P$3000,"Yes")</f>
        <v>0</v>
      </c>
      <c r="AK236" s="24" t="n">
        <f aca="false">AG236+AH236+AI236+AJ236</f>
        <v>5</v>
      </c>
      <c r="AL236" s="24" t="n">
        <f aca="false">SUMIFS(Permissions!$G$2:$G$3000,Permissions!$B$2:$B$3000,$A236,Permissions!$I$2:$I$3000,"Expired – not started",Permissions!$P$2:$P$3000,"Yes")</f>
        <v>0</v>
      </c>
      <c r="AM236" s="24" t="n">
        <f aca="false">SUMIFS(Permissions!$G$2:$G$3000,Permissions!$B$2:$B$3000,$A236,Permissions!$I$2:$I$3000,"In planning",Permissions!$P$2:$P$3000,"Yes")</f>
        <v>0</v>
      </c>
      <c r="AN236" s="24" t="n">
        <f aca="false">IF(R236="",0,MAX(R236-AK236,0))</f>
        <v>0</v>
      </c>
      <c r="AO236" s="25" t="n">
        <f aca="false">AK236+AN236</f>
        <v>5</v>
      </c>
      <c r="AP236" s="24" t="n">
        <f aca="false">AO236-AG236</f>
        <v>5</v>
      </c>
      <c r="AQ236" s="26" t="n">
        <f aca="false">SUMIFS(Permissions!$AH$2:$AH$3000,Permissions!$B$2:$B$3000,$A236,Permissions!$P$2:$P$3000,"Yes")</f>
        <v>0</v>
      </c>
      <c r="AR236" s="26" t="n">
        <f aca="false">SUMIFS(Permissions!$AI$2:$AI$3000,Permissions!$B$2:$B$3000,$A236,Permissions!$P$2:$P$3000,"Yes")</f>
        <v>0</v>
      </c>
      <c r="AS236" s="26" t="n">
        <f aca="false">SUMIFS(Permissions!$AJ$2:$AJ$3000,Permissions!$B$2:$B$3000,$A236,Permissions!$P$2:$P$3000,"Yes")</f>
        <v>4.4</v>
      </c>
      <c r="AT236" s="26" t="n">
        <f aca="false">SUMIFS(Permissions!$AK$2:$AK$3000,Permissions!$B$2:$B$3000,$A236,Permissions!$P$2:$P$3000,"Yes")</f>
        <v>0.6</v>
      </c>
      <c r="AU236" s="26" t="n">
        <f aca="false">SUMIFS(Permissions!$AL$2:$AL$3000,Permissions!$B$2:$B$3000,$A236,Permissions!$P$2:$P$3000,"Yes")</f>
        <v>0</v>
      </c>
      <c r="AV236" s="26" t="n">
        <f aca="false">SUMIFS(Permissions!$AM$2:$AM$3000,Permissions!$B$2:$B$3000,$A236,Permissions!$P$2:$P$3000,"Yes")</f>
        <v>0</v>
      </c>
      <c r="AW236" s="24" t="n">
        <f aca="false">COUNTIFS(Permissions!$B$2:$B$3000,$A236,Permissions!$P$2:$P$3000,"Yes")</f>
        <v>1</v>
      </c>
      <c r="AX236" s="24" t="n">
        <f aca="false">SUMIFS(Permissions!$L$2:$L$3000,Permissions!$B$2:$B$3000,$A236,Permissions!$P$2:$P$3000,"Yes")</f>
        <v>0</v>
      </c>
      <c r="AY236" s="27" t="str">
        <f aca="false">IF(AND(AK236&gt;0,AG236&gt;=AK236,AN236=0),"Built out",IF(AG236&gt;0,"Partly built",IF(AK236&gt;0,"Consented – not built","No consent")))</f>
        <v>Consented – not built</v>
      </c>
      <c r="AZ236" s="28" t="str">
        <f aca="false">IF(AND(R236&lt;&gt;"",AK236&gt;1.1*R236),"Consented above capacity",IF(AND(LEFT(B236,8)="Planning",AW236=0),"Consent parcel with no permission",IF(COUNTIF($A$2:$A$3000,$A236)&gt;1,"Duplicate parcel_id","")))</f>
        <v/>
      </c>
    </row>
    <row r="237" customFormat="false" ht="15" hidden="false" customHeight="false" outlineLevel="0" collapsed="false">
      <c r="A237" s="15" t="s">
        <v>553</v>
      </c>
      <c r="B237" s="15" t="s">
        <v>12</v>
      </c>
      <c r="C237" s="15" t="s">
        <v>16</v>
      </c>
      <c r="D237" s="15" t="s">
        <v>58</v>
      </c>
      <c r="E237" s="15" t="s">
        <v>19</v>
      </c>
      <c r="F237" s="15" t="n">
        <v>1</v>
      </c>
      <c r="G237" s="15" t="s">
        <v>154</v>
      </c>
      <c r="H237" s="15"/>
      <c r="I237" s="15" t="s">
        <v>58</v>
      </c>
      <c r="J237" s="15" t="s">
        <v>205</v>
      </c>
      <c r="K237" s="15" t="s">
        <v>554</v>
      </c>
      <c r="L237" s="15"/>
      <c r="M237" s="15"/>
      <c r="N237" s="15"/>
      <c r="O237" s="15"/>
      <c r="P237" s="15" t="n">
        <v>0.196</v>
      </c>
      <c r="Q237" s="15" t="n">
        <v>0.196</v>
      </c>
      <c r="R237" s="15"/>
      <c r="S237" s="15" t="s">
        <v>346</v>
      </c>
      <c r="T237" s="15"/>
      <c r="U237" s="15"/>
      <c r="V237" s="15"/>
      <c r="W237" s="15"/>
      <c r="X237" s="15"/>
      <c r="Y237" s="15"/>
      <c r="Z237" s="15"/>
      <c r="AA237" s="15" t="n">
        <v>8</v>
      </c>
      <c r="AB237" s="15" t="n">
        <v>3</v>
      </c>
      <c r="AC237" s="15"/>
      <c r="AD237" s="15" t="s">
        <v>373</v>
      </c>
      <c r="AE237" s="15" t="s">
        <v>163</v>
      </c>
      <c r="AF237" s="15"/>
      <c r="AG237" s="24" t="n">
        <f aca="false">SUMIFS(Permissions!$G$2:$G$3000,Permissions!$B$2:$B$3000,$A237,Permissions!$I$2:$I$3000,"Complete",Permissions!$P$2:$P$3000,"Yes")</f>
        <v>14</v>
      </c>
      <c r="AH237" s="24" t="n">
        <f aca="false">SUMIFS(Permissions!$G$2:$G$3000,Permissions!$B$2:$B$3000,$A237,Permissions!$I$2:$I$3000,"Under construction",Permissions!$P$2:$P$3000,"Yes")</f>
        <v>0</v>
      </c>
      <c r="AI237" s="24" t="n">
        <f aca="false">SUMIFS(Permissions!$G$2:$G$3000,Permissions!$B$2:$B$3000,$A237,Permissions!$I$2:$I$3000,"Permitted – not started",Permissions!$P$2:$P$3000,"Yes")</f>
        <v>0</v>
      </c>
      <c r="AJ237" s="24" t="n">
        <f aca="false">SUMIFS(Permissions!$G$2:$G$3000,Permissions!$B$2:$B$3000,$A237,Permissions!$I$2:$I$3000,"Stalled",Permissions!$P$2:$P$3000,"Yes")</f>
        <v>0</v>
      </c>
      <c r="AK237" s="24" t="n">
        <f aca="false">AG237+AH237+AI237+AJ237</f>
        <v>14</v>
      </c>
      <c r="AL237" s="24" t="n">
        <f aca="false">SUMIFS(Permissions!$G$2:$G$3000,Permissions!$B$2:$B$3000,$A237,Permissions!$I$2:$I$3000,"Expired – not started",Permissions!$P$2:$P$3000,"Yes")</f>
        <v>0</v>
      </c>
      <c r="AM237" s="24" t="n">
        <f aca="false">SUMIFS(Permissions!$G$2:$G$3000,Permissions!$B$2:$B$3000,$A237,Permissions!$I$2:$I$3000,"In planning",Permissions!$P$2:$P$3000,"Yes")</f>
        <v>0</v>
      </c>
      <c r="AN237" s="24" t="n">
        <f aca="false">IF(R237="",0,MAX(R237-AK237,0))</f>
        <v>0</v>
      </c>
      <c r="AO237" s="25" t="n">
        <f aca="false">AK237+AN237</f>
        <v>14</v>
      </c>
      <c r="AP237" s="24" t="n">
        <f aca="false">AO237-AG237</f>
        <v>0</v>
      </c>
      <c r="AQ237" s="26" t="n">
        <f aca="false">SUMIFS(Permissions!$AH$2:$AH$3000,Permissions!$B$2:$B$3000,$A237,Permissions!$P$2:$P$3000,"Yes")</f>
        <v>0</v>
      </c>
      <c r="AR237" s="26" t="n">
        <f aca="false">SUMIFS(Permissions!$AI$2:$AI$3000,Permissions!$B$2:$B$3000,$A237,Permissions!$P$2:$P$3000,"Yes")</f>
        <v>0</v>
      </c>
      <c r="AS237" s="26" t="n">
        <f aca="false">SUMIFS(Permissions!$AJ$2:$AJ$3000,Permissions!$B$2:$B$3000,$A237,Permissions!$P$2:$P$3000,"Yes")</f>
        <v>0</v>
      </c>
      <c r="AT237" s="26" t="n">
        <f aca="false">SUMIFS(Permissions!$AK$2:$AK$3000,Permissions!$B$2:$B$3000,$A237,Permissions!$P$2:$P$3000,"Yes")</f>
        <v>0</v>
      </c>
      <c r="AU237" s="26" t="n">
        <f aca="false">SUMIFS(Permissions!$AL$2:$AL$3000,Permissions!$B$2:$B$3000,$A237,Permissions!$P$2:$P$3000,"Yes")</f>
        <v>0</v>
      </c>
      <c r="AV237" s="26" t="n">
        <f aca="false">SUMIFS(Permissions!$AM$2:$AM$3000,Permissions!$B$2:$B$3000,$A237,Permissions!$P$2:$P$3000,"Yes")</f>
        <v>0</v>
      </c>
      <c r="AW237" s="24" t="n">
        <f aca="false">COUNTIFS(Permissions!$B$2:$B$3000,$A237,Permissions!$P$2:$P$3000,"Yes")</f>
        <v>1</v>
      </c>
      <c r="AX237" s="24" t="n">
        <f aca="false">SUMIFS(Permissions!$L$2:$L$3000,Permissions!$B$2:$B$3000,$A237,Permissions!$P$2:$P$3000,"Yes")</f>
        <v>0</v>
      </c>
      <c r="AY237" s="27" t="str">
        <f aca="false">IF(AND(AK237&gt;0,AG237&gt;=AK237,AN237=0),"Built out",IF(AG237&gt;0,"Partly built",IF(AK237&gt;0,"Consented – not built","No consent")))</f>
        <v>Built out</v>
      </c>
      <c r="AZ237" s="28" t="str">
        <f aca="false">IF(AND(R237&lt;&gt;"",AK237&gt;1.1*R237),"Consented above capacity",IF(AND(LEFT(B237,8)="Planning",AW237=0),"Consent parcel with no permission",IF(COUNTIF($A$2:$A$3000,$A237)&gt;1,"Duplicate parcel_id","")))</f>
        <v/>
      </c>
    </row>
    <row r="238" customFormat="false" ht="15" hidden="false" customHeight="false" outlineLevel="0" collapsed="false">
      <c r="A238" s="15" t="s">
        <v>555</v>
      </c>
      <c r="B238" s="15" t="s">
        <v>12</v>
      </c>
      <c r="C238" s="15" t="s">
        <v>16</v>
      </c>
      <c r="D238" s="15" t="s">
        <v>58</v>
      </c>
      <c r="E238" s="15" t="s">
        <v>19</v>
      </c>
      <c r="F238" s="15" t="n">
        <v>1</v>
      </c>
      <c r="G238" s="15" t="s">
        <v>154</v>
      </c>
      <c r="H238" s="15"/>
      <c r="I238" s="15" t="s">
        <v>58</v>
      </c>
      <c r="J238" s="15" t="s">
        <v>205</v>
      </c>
      <c r="K238" s="15" t="s">
        <v>556</v>
      </c>
      <c r="L238" s="15"/>
      <c r="M238" s="15"/>
      <c r="N238" s="15"/>
      <c r="O238" s="15"/>
      <c r="P238" s="15" t="n">
        <v>0.187</v>
      </c>
      <c r="Q238" s="15" t="n">
        <v>0.187</v>
      </c>
      <c r="R238" s="15" t="n">
        <v>4</v>
      </c>
      <c r="S238" s="15" t="s">
        <v>372</v>
      </c>
      <c r="T238" s="15"/>
      <c r="U238" s="15"/>
      <c r="V238" s="15"/>
      <c r="W238" s="15"/>
      <c r="X238" s="15"/>
      <c r="Y238" s="15"/>
      <c r="Z238" s="15"/>
      <c r="AA238" s="15" t="n">
        <v>9</v>
      </c>
      <c r="AB238" s="15" t="n">
        <v>0</v>
      </c>
      <c r="AC238" s="15"/>
      <c r="AD238" s="15" t="s">
        <v>379</v>
      </c>
      <c r="AE238" s="15" t="s">
        <v>163</v>
      </c>
      <c r="AF238" s="15"/>
      <c r="AG238" s="24" t="n">
        <f aca="false">SUMIFS(Permissions!$G$2:$G$3000,Permissions!$B$2:$B$3000,$A238,Permissions!$I$2:$I$3000,"Complete",Permissions!$P$2:$P$3000,"Yes")</f>
        <v>0</v>
      </c>
      <c r="AH238" s="24" t="n">
        <f aca="false">SUMIFS(Permissions!$G$2:$G$3000,Permissions!$B$2:$B$3000,$A238,Permissions!$I$2:$I$3000,"Under construction",Permissions!$P$2:$P$3000,"Yes")</f>
        <v>0</v>
      </c>
      <c r="AI238" s="24" t="n">
        <f aca="false">SUMIFS(Permissions!$G$2:$G$3000,Permissions!$B$2:$B$3000,$A238,Permissions!$I$2:$I$3000,"Permitted – not started",Permissions!$P$2:$P$3000,"Yes")</f>
        <v>0</v>
      </c>
      <c r="AJ238" s="24" t="n">
        <f aca="false">SUMIFS(Permissions!$G$2:$G$3000,Permissions!$B$2:$B$3000,$A238,Permissions!$I$2:$I$3000,"Stalled",Permissions!$P$2:$P$3000,"Yes")</f>
        <v>0</v>
      </c>
      <c r="AK238" s="24" t="n">
        <f aca="false">AG238+AH238+AI238+AJ238</f>
        <v>0</v>
      </c>
      <c r="AL238" s="24" t="n">
        <f aca="false">SUMIFS(Permissions!$G$2:$G$3000,Permissions!$B$2:$B$3000,$A238,Permissions!$I$2:$I$3000,"Expired – not started",Permissions!$P$2:$P$3000,"Yes")</f>
        <v>0</v>
      </c>
      <c r="AM238" s="24" t="n">
        <f aca="false">SUMIFS(Permissions!$G$2:$G$3000,Permissions!$B$2:$B$3000,$A238,Permissions!$I$2:$I$3000,"In planning",Permissions!$P$2:$P$3000,"Yes")</f>
        <v>4</v>
      </c>
      <c r="AN238" s="24" t="n">
        <f aca="false">IF(R238="",0,MAX(R238-AK238,0))</f>
        <v>4</v>
      </c>
      <c r="AO238" s="25" t="n">
        <f aca="false">AK238+AN238</f>
        <v>4</v>
      </c>
      <c r="AP238" s="24" t="n">
        <f aca="false">AO238-AG238</f>
        <v>4</v>
      </c>
      <c r="AQ238" s="26" t="n">
        <f aca="false">SUMIFS(Permissions!$AH$2:$AH$3000,Permissions!$B$2:$B$3000,$A238,Permissions!$P$2:$P$3000,"Yes")</f>
        <v>0</v>
      </c>
      <c r="AR238" s="26" t="n">
        <f aca="false">SUMIFS(Permissions!$AI$2:$AI$3000,Permissions!$B$2:$B$3000,$A238,Permissions!$P$2:$P$3000,"Yes")</f>
        <v>0</v>
      </c>
      <c r="AS238" s="26" t="n">
        <f aca="false">SUMIFS(Permissions!$AJ$2:$AJ$3000,Permissions!$B$2:$B$3000,$A238,Permissions!$P$2:$P$3000,"Yes")</f>
        <v>0</v>
      </c>
      <c r="AT238" s="26" t="n">
        <f aca="false">SUMIFS(Permissions!$AK$2:$AK$3000,Permissions!$B$2:$B$3000,$A238,Permissions!$P$2:$P$3000,"Yes")</f>
        <v>0</v>
      </c>
      <c r="AU238" s="26" t="n">
        <f aca="false">SUMIFS(Permissions!$AL$2:$AL$3000,Permissions!$B$2:$B$3000,$A238,Permissions!$P$2:$P$3000,"Yes")</f>
        <v>0</v>
      </c>
      <c r="AV238" s="26" t="n">
        <f aca="false">SUMIFS(Permissions!$AM$2:$AM$3000,Permissions!$B$2:$B$3000,$A238,Permissions!$P$2:$P$3000,"Yes")</f>
        <v>0</v>
      </c>
      <c r="AW238" s="24" t="n">
        <f aca="false">COUNTIFS(Permissions!$B$2:$B$3000,$A238,Permissions!$P$2:$P$3000,"Yes")</f>
        <v>1</v>
      </c>
      <c r="AX238" s="24" t="n">
        <f aca="false">SUMIFS(Permissions!$L$2:$L$3000,Permissions!$B$2:$B$3000,$A238,Permissions!$P$2:$P$3000,"Yes")</f>
        <v>0</v>
      </c>
      <c r="AY238" s="27" t="str">
        <f aca="false">IF(AND(AK238&gt;0,AG238&gt;=AK238,AN238=0),"Built out",IF(AG238&gt;0,"Partly built",IF(AK238&gt;0,"Consented – not built","No consent")))</f>
        <v>No consent</v>
      </c>
      <c r="AZ238" s="28" t="str">
        <f aca="false">IF(AND(R238&lt;&gt;"",AK238&gt;1.1*R238),"Consented above capacity",IF(AND(LEFT(B238,8)="Planning",AW238=0),"Consent parcel with no permission",IF(COUNTIF($A$2:$A$3000,$A238)&gt;1,"Duplicate parcel_id","")))</f>
        <v/>
      </c>
    </row>
    <row r="239" customFormat="false" ht="15" hidden="false" customHeight="false" outlineLevel="0" collapsed="false">
      <c r="A239" s="15" t="s">
        <v>557</v>
      </c>
      <c r="B239" s="15" t="s">
        <v>12</v>
      </c>
      <c r="C239" s="15" t="s">
        <v>17</v>
      </c>
      <c r="D239" s="15" t="s">
        <v>22</v>
      </c>
      <c r="E239" s="15" t="s">
        <v>22</v>
      </c>
      <c r="F239" s="15"/>
      <c r="G239" s="15" t="s">
        <v>22</v>
      </c>
      <c r="H239" s="15"/>
      <c r="I239" s="15" t="s">
        <v>558</v>
      </c>
      <c r="J239" s="15" t="s">
        <v>559</v>
      </c>
      <c r="K239" s="15" t="s">
        <v>560</v>
      </c>
      <c r="L239" s="15"/>
      <c r="M239" s="15"/>
      <c r="N239" s="15"/>
      <c r="O239" s="15"/>
      <c r="P239" s="15" t="n">
        <v>0.818</v>
      </c>
      <c r="Q239" s="15" t="n">
        <v>0.818</v>
      </c>
      <c r="R239" s="15"/>
      <c r="S239" s="15" t="s">
        <v>346</v>
      </c>
      <c r="T239" s="15"/>
      <c r="U239" s="15"/>
      <c r="V239" s="15"/>
      <c r="W239" s="15"/>
      <c r="X239" s="15"/>
      <c r="Y239" s="15"/>
      <c r="Z239" s="15"/>
      <c r="AA239" s="15" t="n">
        <v>3</v>
      </c>
      <c r="AB239" s="15" t="n">
        <v>3</v>
      </c>
      <c r="AC239" s="15"/>
      <c r="AD239" s="15" t="s">
        <v>373</v>
      </c>
      <c r="AE239" s="15" t="s">
        <v>163</v>
      </c>
      <c r="AF239" s="15"/>
      <c r="AG239" s="24" t="n">
        <f aca="false">SUMIFS(Permissions!$G$2:$G$3000,Permissions!$B$2:$B$3000,$A239,Permissions!$I$2:$I$3000,"Complete",Permissions!$P$2:$P$3000,"Yes")</f>
        <v>6</v>
      </c>
      <c r="AH239" s="24" t="n">
        <f aca="false">SUMIFS(Permissions!$G$2:$G$3000,Permissions!$B$2:$B$3000,$A239,Permissions!$I$2:$I$3000,"Under construction",Permissions!$P$2:$P$3000,"Yes")</f>
        <v>0</v>
      </c>
      <c r="AI239" s="24" t="n">
        <f aca="false">SUMIFS(Permissions!$G$2:$G$3000,Permissions!$B$2:$B$3000,$A239,Permissions!$I$2:$I$3000,"Permitted – not started",Permissions!$P$2:$P$3000,"Yes")</f>
        <v>0</v>
      </c>
      <c r="AJ239" s="24" t="n">
        <f aca="false">SUMIFS(Permissions!$G$2:$G$3000,Permissions!$B$2:$B$3000,$A239,Permissions!$I$2:$I$3000,"Stalled",Permissions!$P$2:$P$3000,"Yes")</f>
        <v>0</v>
      </c>
      <c r="AK239" s="24" t="n">
        <f aca="false">AG239+AH239+AI239+AJ239</f>
        <v>6</v>
      </c>
      <c r="AL239" s="24" t="n">
        <f aca="false">SUMIFS(Permissions!$G$2:$G$3000,Permissions!$B$2:$B$3000,$A239,Permissions!$I$2:$I$3000,"Expired – not started",Permissions!$P$2:$P$3000,"Yes")</f>
        <v>0</v>
      </c>
      <c r="AM239" s="24" t="n">
        <f aca="false">SUMIFS(Permissions!$G$2:$G$3000,Permissions!$B$2:$B$3000,$A239,Permissions!$I$2:$I$3000,"In planning",Permissions!$P$2:$P$3000,"Yes")</f>
        <v>0</v>
      </c>
      <c r="AN239" s="24" t="n">
        <f aca="false">IF(R239="",0,MAX(R239-AK239,0))</f>
        <v>0</v>
      </c>
      <c r="AO239" s="25" t="n">
        <f aca="false">AK239+AN239</f>
        <v>6</v>
      </c>
      <c r="AP239" s="24" t="n">
        <f aca="false">AO239-AG239</f>
        <v>0</v>
      </c>
      <c r="AQ239" s="26" t="n">
        <f aca="false">SUMIFS(Permissions!$AH$2:$AH$3000,Permissions!$B$2:$B$3000,$A239,Permissions!$P$2:$P$3000,"Yes")</f>
        <v>0</v>
      </c>
      <c r="AR239" s="26" t="n">
        <f aca="false">SUMIFS(Permissions!$AI$2:$AI$3000,Permissions!$B$2:$B$3000,$A239,Permissions!$P$2:$P$3000,"Yes")</f>
        <v>0</v>
      </c>
      <c r="AS239" s="26" t="n">
        <f aca="false">SUMIFS(Permissions!$AJ$2:$AJ$3000,Permissions!$B$2:$B$3000,$A239,Permissions!$P$2:$P$3000,"Yes")</f>
        <v>0</v>
      </c>
      <c r="AT239" s="26" t="n">
        <f aca="false">SUMIFS(Permissions!$AK$2:$AK$3000,Permissions!$B$2:$B$3000,$A239,Permissions!$P$2:$P$3000,"Yes")</f>
        <v>0</v>
      </c>
      <c r="AU239" s="26" t="n">
        <f aca="false">SUMIFS(Permissions!$AL$2:$AL$3000,Permissions!$B$2:$B$3000,$A239,Permissions!$P$2:$P$3000,"Yes")</f>
        <v>0</v>
      </c>
      <c r="AV239" s="26" t="n">
        <f aca="false">SUMIFS(Permissions!$AM$2:$AM$3000,Permissions!$B$2:$B$3000,$A239,Permissions!$P$2:$P$3000,"Yes")</f>
        <v>0</v>
      </c>
      <c r="AW239" s="24" t="n">
        <f aca="false">COUNTIFS(Permissions!$B$2:$B$3000,$A239,Permissions!$P$2:$P$3000,"Yes")</f>
        <v>2</v>
      </c>
      <c r="AX239" s="24" t="n">
        <f aca="false">SUMIFS(Permissions!$L$2:$L$3000,Permissions!$B$2:$B$3000,$A239,Permissions!$P$2:$P$3000,"Yes")</f>
        <v>3</v>
      </c>
      <c r="AY239" s="27" t="str">
        <f aca="false">IF(AND(AK239&gt;0,AG239&gt;=AK239,AN239=0),"Built out",IF(AG239&gt;0,"Partly built",IF(AK239&gt;0,"Consented – not built","No consent")))</f>
        <v>Built out</v>
      </c>
      <c r="AZ239" s="28" t="str">
        <f aca="false">IF(AND(R239&lt;&gt;"",AK239&gt;1.1*R239),"Consented above capacity",IF(AND(LEFT(B239,8)="Planning",AW239=0),"Consent parcel with no permission",IF(COUNTIF($A$2:$A$3000,$A239)&gt;1,"Duplicate parcel_id","")))</f>
        <v/>
      </c>
    </row>
    <row r="240" customFormat="false" ht="15" hidden="false" customHeight="false" outlineLevel="0" collapsed="false">
      <c r="A240" s="15" t="s">
        <v>561</v>
      </c>
      <c r="B240" s="15" t="s">
        <v>12</v>
      </c>
      <c r="C240" s="15" t="s">
        <v>17</v>
      </c>
      <c r="D240" s="15" t="s">
        <v>74</v>
      </c>
      <c r="E240" s="15" t="s">
        <v>21</v>
      </c>
      <c r="F240" s="15" t="n">
        <v>0.97</v>
      </c>
      <c r="G240" s="15" t="s">
        <v>154</v>
      </c>
      <c r="H240" s="15"/>
      <c r="I240" s="15" t="s">
        <v>558</v>
      </c>
      <c r="J240" s="15" t="s">
        <v>155</v>
      </c>
      <c r="K240" s="15" t="s">
        <v>562</v>
      </c>
      <c r="L240" s="15"/>
      <c r="M240" s="15"/>
      <c r="N240" s="15"/>
      <c r="O240" s="15"/>
      <c r="P240" s="15" t="n">
        <v>0.824</v>
      </c>
      <c r="Q240" s="15" t="n">
        <v>0.824</v>
      </c>
      <c r="R240" s="15"/>
      <c r="S240" s="15" t="s">
        <v>346</v>
      </c>
      <c r="T240" s="15"/>
      <c r="U240" s="15"/>
      <c r="V240" s="15"/>
      <c r="W240" s="15"/>
      <c r="X240" s="15"/>
      <c r="Y240" s="15"/>
      <c r="Z240" s="15"/>
      <c r="AA240" s="15" t="n">
        <v>16</v>
      </c>
      <c r="AB240" s="15" t="n">
        <v>16</v>
      </c>
      <c r="AC240" s="15"/>
      <c r="AD240" s="15"/>
      <c r="AE240" s="15" t="s">
        <v>163</v>
      </c>
      <c r="AF240" s="15"/>
      <c r="AG240" s="24" t="n">
        <f aca="false">SUMIFS(Permissions!$G$2:$G$3000,Permissions!$B$2:$B$3000,$A240,Permissions!$I$2:$I$3000,"Complete",Permissions!$P$2:$P$3000,"Yes")</f>
        <v>16</v>
      </c>
      <c r="AH240" s="24" t="n">
        <f aca="false">SUMIFS(Permissions!$G$2:$G$3000,Permissions!$B$2:$B$3000,$A240,Permissions!$I$2:$I$3000,"Under construction",Permissions!$P$2:$P$3000,"Yes")</f>
        <v>0</v>
      </c>
      <c r="AI240" s="24" t="n">
        <f aca="false">SUMIFS(Permissions!$G$2:$G$3000,Permissions!$B$2:$B$3000,$A240,Permissions!$I$2:$I$3000,"Permitted – not started",Permissions!$P$2:$P$3000,"Yes")</f>
        <v>0</v>
      </c>
      <c r="AJ240" s="24" t="n">
        <f aca="false">SUMIFS(Permissions!$G$2:$G$3000,Permissions!$B$2:$B$3000,$A240,Permissions!$I$2:$I$3000,"Stalled",Permissions!$P$2:$P$3000,"Yes")</f>
        <v>0</v>
      </c>
      <c r="AK240" s="24" t="n">
        <f aca="false">AG240+AH240+AI240+AJ240</f>
        <v>16</v>
      </c>
      <c r="AL240" s="24" t="n">
        <f aca="false">SUMIFS(Permissions!$G$2:$G$3000,Permissions!$B$2:$B$3000,$A240,Permissions!$I$2:$I$3000,"Expired – not started",Permissions!$P$2:$P$3000,"Yes")</f>
        <v>0</v>
      </c>
      <c r="AM240" s="24" t="n">
        <f aca="false">SUMIFS(Permissions!$G$2:$G$3000,Permissions!$B$2:$B$3000,$A240,Permissions!$I$2:$I$3000,"In planning",Permissions!$P$2:$P$3000,"Yes")</f>
        <v>0</v>
      </c>
      <c r="AN240" s="24" t="n">
        <f aca="false">IF(R240="",0,MAX(R240-AK240,0))</f>
        <v>0</v>
      </c>
      <c r="AO240" s="25" t="n">
        <f aca="false">AK240+AN240</f>
        <v>16</v>
      </c>
      <c r="AP240" s="24" t="n">
        <f aca="false">AO240-AG240</f>
        <v>0</v>
      </c>
      <c r="AQ240" s="26" t="n">
        <f aca="false">SUMIFS(Permissions!$AH$2:$AH$3000,Permissions!$B$2:$B$3000,$A240,Permissions!$P$2:$P$3000,"Yes")</f>
        <v>0</v>
      </c>
      <c r="AR240" s="26" t="n">
        <f aca="false">SUMIFS(Permissions!$AI$2:$AI$3000,Permissions!$B$2:$B$3000,$A240,Permissions!$P$2:$P$3000,"Yes")</f>
        <v>0</v>
      </c>
      <c r="AS240" s="26" t="n">
        <f aca="false">SUMIFS(Permissions!$AJ$2:$AJ$3000,Permissions!$B$2:$B$3000,$A240,Permissions!$P$2:$P$3000,"Yes")</f>
        <v>0</v>
      </c>
      <c r="AT240" s="26" t="n">
        <f aca="false">SUMIFS(Permissions!$AK$2:$AK$3000,Permissions!$B$2:$B$3000,$A240,Permissions!$P$2:$P$3000,"Yes")</f>
        <v>0</v>
      </c>
      <c r="AU240" s="26" t="n">
        <f aca="false">SUMIFS(Permissions!$AL$2:$AL$3000,Permissions!$B$2:$B$3000,$A240,Permissions!$P$2:$P$3000,"Yes")</f>
        <v>0</v>
      </c>
      <c r="AV240" s="26" t="n">
        <f aca="false">SUMIFS(Permissions!$AM$2:$AM$3000,Permissions!$B$2:$B$3000,$A240,Permissions!$P$2:$P$3000,"Yes")</f>
        <v>0</v>
      </c>
      <c r="AW240" s="24" t="n">
        <f aca="false">COUNTIFS(Permissions!$B$2:$B$3000,$A240,Permissions!$P$2:$P$3000,"Yes")</f>
        <v>1</v>
      </c>
      <c r="AX240" s="24" t="n">
        <f aca="false">SUMIFS(Permissions!$L$2:$L$3000,Permissions!$B$2:$B$3000,$A240,Permissions!$P$2:$P$3000,"Yes")</f>
        <v>16</v>
      </c>
      <c r="AY240" s="27" t="str">
        <f aca="false">IF(AND(AK240&gt;0,AG240&gt;=AK240,AN240=0),"Built out",IF(AG240&gt;0,"Partly built",IF(AK240&gt;0,"Consented – not built","No consent")))</f>
        <v>Built out</v>
      </c>
      <c r="AZ240" s="28" t="str">
        <f aca="false">IF(AND(R240&lt;&gt;"",AK240&gt;1.1*R240),"Consented above capacity",IF(AND(LEFT(B240,8)="Planning",AW240=0),"Consent parcel with no permission",IF(COUNTIF($A$2:$A$3000,$A240)&gt;1,"Duplicate parcel_id","")))</f>
        <v/>
      </c>
    </row>
    <row r="241" customFormat="false" ht="15" hidden="false" customHeight="false" outlineLevel="0" collapsed="false">
      <c r="A241" s="15" t="s">
        <v>563</v>
      </c>
      <c r="B241" s="15" t="s">
        <v>12</v>
      </c>
      <c r="C241" s="15" t="s">
        <v>17</v>
      </c>
      <c r="D241" s="15" t="s">
        <v>74</v>
      </c>
      <c r="E241" s="15" t="s">
        <v>21</v>
      </c>
      <c r="F241" s="15" t="n">
        <v>1</v>
      </c>
      <c r="G241" s="15" t="s">
        <v>154</v>
      </c>
      <c r="H241" s="15"/>
      <c r="I241" s="15" t="s">
        <v>558</v>
      </c>
      <c r="J241" s="15" t="s">
        <v>155</v>
      </c>
      <c r="K241" s="15" t="s">
        <v>564</v>
      </c>
      <c r="L241" s="15"/>
      <c r="M241" s="15"/>
      <c r="N241" s="15"/>
      <c r="O241" s="15"/>
      <c r="P241" s="15" t="n">
        <v>4.427</v>
      </c>
      <c r="Q241" s="15" t="n">
        <v>4.427</v>
      </c>
      <c r="R241" s="15"/>
      <c r="S241" s="15" t="s">
        <v>346</v>
      </c>
      <c r="T241" s="15"/>
      <c r="U241" s="15"/>
      <c r="V241" s="15"/>
      <c r="W241" s="15"/>
      <c r="X241" s="15"/>
      <c r="Y241" s="15"/>
      <c r="Z241" s="15"/>
      <c r="AA241" s="15" t="n">
        <v>85</v>
      </c>
      <c r="AB241" s="15" t="n">
        <v>85</v>
      </c>
      <c r="AC241" s="15"/>
      <c r="AD241" s="15"/>
      <c r="AE241" s="15" t="s">
        <v>163</v>
      </c>
      <c r="AF241" s="15"/>
      <c r="AG241" s="24" t="n">
        <f aca="false">SUMIFS(Permissions!$G$2:$G$3000,Permissions!$B$2:$B$3000,$A241,Permissions!$I$2:$I$3000,"Complete",Permissions!$P$2:$P$3000,"Yes")</f>
        <v>54</v>
      </c>
      <c r="AH241" s="24" t="n">
        <f aca="false">SUMIFS(Permissions!$G$2:$G$3000,Permissions!$B$2:$B$3000,$A241,Permissions!$I$2:$I$3000,"Under construction",Permissions!$P$2:$P$3000,"Yes")</f>
        <v>58</v>
      </c>
      <c r="AI241" s="24" t="n">
        <f aca="false">SUMIFS(Permissions!$G$2:$G$3000,Permissions!$B$2:$B$3000,$A241,Permissions!$I$2:$I$3000,"Permitted – not started",Permissions!$P$2:$P$3000,"Yes")</f>
        <v>0</v>
      </c>
      <c r="AJ241" s="24" t="n">
        <f aca="false">SUMIFS(Permissions!$G$2:$G$3000,Permissions!$B$2:$B$3000,$A241,Permissions!$I$2:$I$3000,"Stalled",Permissions!$P$2:$P$3000,"Yes")</f>
        <v>0</v>
      </c>
      <c r="AK241" s="24" t="n">
        <f aca="false">AG241+AH241+AI241+AJ241</f>
        <v>112</v>
      </c>
      <c r="AL241" s="24" t="n">
        <f aca="false">SUMIFS(Permissions!$G$2:$G$3000,Permissions!$B$2:$B$3000,$A241,Permissions!$I$2:$I$3000,"Expired – not started",Permissions!$P$2:$P$3000,"Yes")</f>
        <v>0</v>
      </c>
      <c r="AM241" s="24" t="n">
        <f aca="false">SUMIFS(Permissions!$G$2:$G$3000,Permissions!$B$2:$B$3000,$A241,Permissions!$I$2:$I$3000,"In planning",Permissions!$P$2:$P$3000,"Yes")</f>
        <v>0</v>
      </c>
      <c r="AN241" s="24" t="n">
        <f aca="false">IF(R241="",0,MAX(R241-AK241,0))</f>
        <v>0</v>
      </c>
      <c r="AO241" s="25" t="n">
        <f aca="false">AK241+AN241</f>
        <v>112</v>
      </c>
      <c r="AP241" s="24" t="n">
        <f aca="false">AO241-AG241</f>
        <v>58</v>
      </c>
      <c r="AQ241" s="26" t="n">
        <f aca="false">SUMIFS(Permissions!$AH$2:$AH$3000,Permissions!$B$2:$B$3000,$A241,Permissions!$P$2:$P$3000,"Yes")</f>
        <v>13.5</v>
      </c>
      <c r="AR241" s="26" t="n">
        <f aca="false">SUMIFS(Permissions!$AI$2:$AI$3000,Permissions!$B$2:$B$3000,$A241,Permissions!$P$2:$P$3000,"Yes")</f>
        <v>44.5</v>
      </c>
      <c r="AS241" s="26" t="n">
        <f aca="false">SUMIFS(Permissions!$AJ$2:$AJ$3000,Permissions!$B$2:$B$3000,$A241,Permissions!$P$2:$P$3000,"Yes")</f>
        <v>0</v>
      </c>
      <c r="AT241" s="26" t="n">
        <f aca="false">SUMIFS(Permissions!$AK$2:$AK$3000,Permissions!$B$2:$B$3000,$A241,Permissions!$P$2:$P$3000,"Yes")</f>
        <v>0</v>
      </c>
      <c r="AU241" s="26" t="n">
        <f aca="false">SUMIFS(Permissions!$AL$2:$AL$3000,Permissions!$B$2:$B$3000,$A241,Permissions!$P$2:$P$3000,"Yes")</f>
        <v>0</v>
      </c>
      <c r="AV241" s="26" t="n">
        <f aca="false">SUMIFS(Permissions!$AM$2:$AM$3000,Permissions!$B$2:$B$3000,$A241,Permissions!$P$2:$P$3000,"Yes")</f>
        <v>0</v>
      </c>
      <c r="AW241" s="24" t="n">
        <f aca="false">COUNTIFS(Permissions!$B$2:$B$3000,$A241,Permissions!$P$2:$P$3000,"Yes")</f>
        <v>3</v>
      </c>
      <c r="AX241" s="24" t="n">
        <f aca="false">SUMIFS(Permissions!$L$2:$L$3000,Permissions!$B$2:$B$3000,$A241,Permissions!$P$2:$P$3000,"Yes")</f>
        <v>69</v>
      </c>
      <c r="AY241" s="27" t="str">
        <f aca="false">IF(AND(AK241&gt;0,AG241&gt;=AK241,AN241=0),"Built out",IF(AG241&gt;0,"Partly built",IF(AK241&gt;0,"Consented – not built","No consent")))</f>
        <v>Partly built</v>
      </c>
      <c r="AZ241" s="28" t="str">
        <f aca="false">IF(AND(R241&lt;&gt;"",AK241&gt;1.1*R241),"Consented above capacity",IF(AND(LEFT(B241,8)="Planning",AW241=0),"Consent parcel with no permission",IF(COUNTIF($A$2:$A$3000,$A241)&gt;1,"Duplicate parcel_id","")))</f>
        <v/>
      </c>
    </row>
    <row r="242" customFormat="false" ht="15" hidden="false" customHeight="false" outlineLevel="0" collapsed="false">
      <c r="A242" s="15" t="s">
        <v>565</v>
      </c>
      <c r="B242" s="15" t="s">
        <v>12</v>
      </c>
      <c r="C242" s="15" t="s">
        <v>17</v>
      </c>
      <c r="D242" s="15" t="s">
        <v>71</v>
      </c>
      <c r="E242" s="15" t="s">
        <v>21</v>
      </c>
      <c r="F242" s="15" t="n">
        <v>1</v>
      </c>
      <c r="G242" s="15" t="s">
        <v>154</v>
      </c>
      <c r="H242" s="15"/>
      <c r="I242" s="15" t="s">
        <v>558</v>
      </c>
      <c r="J242" s="15" t="s">
        <v>559</v>
      </c>
      <c r="K242" s="15" t="s">
        <v>566</v>
      </c>
      <c r="L242" s="15"/>
      <c r="M242" s="15"/>
      <c r="N242" s="15"/>
      <c r="O242" s="15"/>
      <c r="P242" s="15" t="n">
        <v>1.015</v>
      </c>
      <c r="Q242" s="15" t="n">
        <v>1.015</v>
      </c>
      <c r="R242" s="15"/>
      <c r="S242" s="15" t="s">
        <v>346</v>
      </c>
      <c r="T242" s="15"/>
      <c r="U242" s="15"/>
      <c r="V242" s="15"/>
      <c r="W242" s="15"/>
      <c r="X242" s="15"/>
      <c r="Y242" s="15"/>
      <c r="Z242" s="15"/>
      <c r="AA242" s="15" t="n">
        <v>20</v>
      </c>
      <c r="AB242" s="15" t="n">
        <v>20</v>
      </c>
      <c r="AC242" s="15"/>
      <c r="AD242" s="15"/>
      <c r="AE242" s="15" t="s">
        <v>163</v>
      </c>
      <c r="AF242" s="15"/>
      <c r="AG242" s="24" t="n">
        <f aca="false">SUMIFS(Permissions!$G$2:$G$3000,Permissions!$B$2:$B$3000,$A242,Permissions!$I$2:$I$3000,"Complete",Permissions!$P$2:$P$3000,"Yes")</f>
        <v>20</v>
      </c>
      <c r="AH242" s="24" t="n">
        <f aca="false">SUMIFS(Permissions!$G$2:$G$3000,Permissions!$B$2:$B$3000,$A242,Permissions!$I$2:$I$3000,"Under construction",Permissions!$P$2:$P$3000,"Yes")</f>
        <v>0</v>
      </c>
      <c r="AI242" s="24" t="n">
        <f aca="false">SUMIFS(Permissions!$G$2:$G$3000,Permissions!$B$2:$B$3000,$A242,Permissions!$I$2:$I$3000,"Permitted – not started",Permissions!$P$2:$P$3000,"Yes")</f>
        <v>0</v>
      </c>
      <c r="AJ242" s="24" t="n">
        <f aca="false">SUMIFS(Permissions!$G$2:$G$3000,Permissions!$B$2:$B$3000,$A242,Permissions!$I$2:$I$3000,"Stalled",Permissions!$P$2:$P$3000,"Yes")</f>
        <v>0</v>
      </c>
      <c r="AK242" s="24" t="n">
        <f aca="false">AG242+AH242+AI242+AJ242</f>
        <v>20</v>
      </c>
      <c r="AL242" s="24" t="n">
        <f aca="false">SUMIFS(Permissions!$G$2:$G$3000,Permissions!$B$2:$B$3000,$A242,Permissions!$I$2:$I$3000,"Expired – not started",Permissions!$P$2:$P$3000,"Yes")</f>
        <v>0</v>
      </c>
      <c r="AM242" s="24" t="n">
        <f aca="false">SUMIFS(Permissions!$G$2:$G$3000,Permissions!$B$2:$B$3000,$A242,Permissions!$I$2:$I$3000,"In planning",Permissions!$P$2:$P$3000,"Yes")</f>
        <v>0</v>
      </c>
      <c r="AN242" s="24" t="n">
        <f aca="false">IF(R242="",0,MAX(R242-AK242,0))</f>
        <v>0</v>
      </c>
      <c r="AO242" s="25" t="n">
        <f aca="false">AK242+AN242</f>
        <v>20</v>
      </c>
      <c r="AP242" s="24" t="n">
        <f aca="false">AO242-AG242</f>
        <v>0</v>
      </c>
      <c r="AQ242" s="26" t="n">
        <f aca="false">SUMIFS(Permissions!$AH$2:$AH$3000,Permissions!$B$2:$B$3000,$A242,Permissions!$P$2:$P$3000,"Yes")</f>
        <v>0</v>
      </c>
      <c r="AR242" s="26" t="n">
        <f aca="false">SUMIFS(Permissions!$AI$2:$AI$3000,Permissions!$B$2:$B$3000,$A242,Permissions!$P$2:$P$3000,"Yes")</f>
        <v>0</v>
      </c>
      <c r="AS242" s="26" t="n">
        <f aca="false">SUMIFS(Permissions!$AJ$2:$AJ$3000,Permissions!$B$2:$B$3000,$A242,Permissions!$P$2:$P$3000,"Yes")</f>
        <v>0</v>
      </c>
      <c r="AT242" s="26" t="n">
        <f aca="false">SUMIFS(Permissions!$AK$2:$AK$3000,Permissions!$B$2:$B$3000,$A242,Permissions!$P$2:$P$3000,"Yes")</f>
        <v>0</v>
      </c>
      <c r="AU242" s="26" t="n">
        <f aca="false">SUMIFS(Permissions!$AL$2:$AL$3000,Permissions!$B$2:$B$3000,$A242,Permissions!$P$2:$P$3000,"Yes")</f>
        <v>0</v>
      </c>
      <c r="AV242" s="26" t="n">
        <f aca="false">SUMIFS(Permissions!$AM$2:$AM$3000,Permissions!$B$2:$B$3000,$A242,Permissions!$P$2:$P$3000,"Yes")</f>
        <v>0</v>
      </c>
      <c r="AW242" s="24" t="n">
        <f aca="false">COUNTIFS(Permissions!$B$2:$B$3000,$A242,Permissions!$P$2:$P$3000,"Yes")</f>
        <v>1</v>
      </c>
      <c r="AX242" s="24" t="n">
        <f aca="false">SUMIFS(Permissions!$L$2:$L$3000,Permissions!$B$2:$B$3000,$A242,Permissions!$P$2:$P$3000,"Yes")</f>
        <v>20</v>
      </c>
      <c r="AY242" s="27" t="str">
        <f aca="false">IF(AND(AK242&gt;0,AG242&gt;=AK242,AN242=0),"Built out",IF(AG242&gt;0,"Partly built",IF(AK242&gt;0,"Consented – not built","No consent")))</f>
        <v>Built out</v>
      </c>
      <c r="AZ242" s="28" t="str">
        <f aca="false">IF(AND(R242&lt;&gt;"",AK242&gt;1.1*R242),"Consented above capacity",IF(AND(LEFT(B242,8)="Planning",AW242=0),"Consent parcel with no permission",IF(COUNTIF($A$2:$A$3000,$A242)&gt;1,"Duplicate parcel_id","")))</f>
        <v/>
      </c>
    </row>
    <row r="243" customFormat="false" ht="15" hidden="false" customHeight="false" outlineLevel="0" collapsed="false">
      <c r="A243" s="15" t="s">
        <v>567</v>
      </c>
      <c r="B243" s="15" t="s">
        <v>12</v>
      </c>
      <c r="C243" s="15" t="s">
        <v>17</v>
      </c>
      <c r="D243" s="15" t="s">
        <v>60</v>
      </c>
      <c r="E243" s="15" t="s">
        <v>20</v>
      </c>
      <c r="F243" s="15" t="n">
        <v>1</v>
      </c>
      <c r="G243" s="15" t="s">
        <v>154</v>
      </c>
      <c r="H243" s="15"/>
      <c r="I243" s="15" t="s">
        <v>558</v>
      </c>
      <c r="J243" s="15" t="s">
        <v>568</v>
      </c>
      <c r="K243" s="15" t="s">
        <v>569</v>
      </c>
      <c r="L243" s="15"/>
      <c r="M243" s="15"/>
      <c r="N243" s="15"/>
      <c r="O243" s="15"/>
      <c r="P243" s="15" t="n">
        <v>0.115</v>
      </c>
      <c r="Q243" s="15" t="n">
        <v>0.115</v>
      </c>
      <c r="R243" s="15"/>
      <c r="S243" s="15" t="s">
        <v>346</v>
      </c>
      <c r="T243" s="15"/>
      <c r="U243" s="15"/>
      <c r="V243" s="15"/>
      <c r="W243" s="15"/>
      <c r="X243" s="15"/>
      <c r="Y243" s="15"/>
      <c r="Z243" s="15"/>
      <c r="AA243" s="15" t="n">
        <v>1</v>
      </c>
      <c r="AB243" s="15" t="n">
        <v>0</v>
      </c>
      <c r="AC243" s="15"/>
      <c r="AD243" s="15"/>
      <c r="AE243" s="15" t="s">
        <v>163</v>
      </c>
      <c r="AF243" s="15"/>
      <c r="AG243" s="24" t="n">
        <f aca="false">SUMIFS(Permissions!$G$2:$G$3000,Permissions!$B$2:$B$3000,$A243,Permissions!$I$2:$I$3000,"Complete",Permissions!$P$2:$P$3000,"Yes")</f>
        <v>0</v>
      </c>
      <c r="AH243" s="24" t="n">
        <f aca="false">SUMIFS(Permissions!$G$2:$G$3000,Permissions!$B$2:$B$3000,$A243,Permissions!$I$2:$I$3000,"Under construction",Permissions!$P$2:$P$3000,"Yes")</f>
        <v>0</v>
      </c>
      <c r="AI243" s="24" t="n">
        <f aca="false">SUMIFS(Permissions!$G$2:$G$3000,Permissions!$B$2:$B$3000,$A243,Permissions!$I$2:$I$3000,"Permitted – not started",Permissions!$P$2:$P$3000,"Yes")</f>
        <v>7</v>
      </c>
      <c r="AJ243" s="24" t="n">
        <f aca="false">SUMIFS(Permissions!$G$2:$G$3000,Permissions!$B$2:$B$3000,$A243,Permissions!$I$2:$I$3000,"Stalled",Permissions!$P$2:$P$3000,"Yes")</f>
        <v>0</v>
      </c>
      <c r="AK243" s="24" t="n">
        <f aca="false">AG243+AH243+AI243+AJ243</f>
        <v>7</v>
      </c>
      <c r="AL243" s="24" t="n">
        <f aca="false">SUMIFS(Permissions!$G$2:$G$3000,Permissions!$B$2:$B$3000,$A243,Permissions!$I$2:$I$3000,"Expired – not started",Permissions!$P$2:$P$3000,"Yes")</f>
        <v>0</v>
      </c>
      <c r="AM243" s="24" t="n">
        <f aca="false">SUMIFS(Permissions!$G$2:$G$3000,Permissions!$B$2:$B$3000,$A243,Permissions!$I$2:$I$3000,"In planning",Permissions!$P$2:$P$3000,"Yes")</f>
        <v>0</v>
      </c>
      <c r="AN243" s="24" t="n">
        <f aca="false">IF(R243="",0,MAX(R243-AK243,0))</f>
        <v>0</v>
      </c>
      <c r="AO243" s="25" t="n">
        <f aca="false">AK243+AN243</f>
        <v>7</v>
      </c>
      <c r="AP243" s="24" t="n">
        <f aca="false">AO243-AG243</f>
        <v>7</v>
      </c>
      <c r="AQ243" s="26" t="n">
        <f aca="false">SUMIFS(Permissions!$AH$2:$AH$3000,Permissions!$B$2:$B$3000,$A243,Permissions!$P$2:$P$3000,"Yes")</f>
        <v>0</v>
      </c>
      <c r="AR243" s="26" t="n">
        <f aca="false">SUMIFS(Permissions!$AI$2:$AI$3000,Permissions!$B$2:$B$3000,$A243,Permissions!$P$2:$P$3000,"Yes")</f>
        <v>0</v>
      </c>
      <c r="AS243" s="26" t="n">
        <f aca="false">SUMIFS(Permissions!$AJ$2:$AJ$3000,Permissions!$B$2:$B$3000,$A243,Permissions!$P$2:$P$3000,"Yes")</f>
        <v>4.4</v>
      </c>
      <c r="AT243" s="26" t="n">
        <f aca="false">SUMIFS(Permissions!$AK$2:$AK$3000,Permissions!$B$2:$B$3000,$A243,Permissions!$P$2:$P$3000,"Yes")</f>
        <v>2.6</v>
      </c>
      <c r="AU243" s="26" t="n">
        <f aca="false">SUMIFS(Permissions!$AL$2:$AL$3000,Permissions!$B$2:$B$3000,$A243,Permissions!$P$2:$P$3000,"Yes")</f>
        <v>0</v>
      </c>
      <c r="AV243" s="26" t="n">
        <f aca="false">SUMIFS(Permissions!$AM$2:$AM$3000,Permissions!$B$2:$B$3000,$A243,Permissions!$P$2:$P$3000,"Yes")</f>
        <v>0</v>
      </c>
      <c r="AW243" s="24" t="n">
        <f aca="false">COUNTIFS(Permissions!$B$2:$B$3000,$A243,Permissions!$P$2:$P$3000,"Yes")</f>
        <v>1</v>
      </c>
      <c r="AX243" s="24" t="n">
        <f aca="false">SUMIFS(Permissions!$L$2:$L$3000,Permissions!$B$2:$B$3000,$A243,Permissions!$P$2:$P$3000,"Yes")</f>
        <v>0</v>
      </c>
      <c r="AY243" s="27" t="str">
        <f aca="false">IF(AND(AK243&gt;0,AG243&gt;=AK243,AN243=0),"Built out",IF(AG243&gt;0,"Partly built",IF(AK243&gt;0,"Consented – not built","No consent")))</f>
        <v>Consented – not built</v>
      </c>
      <c r="AZ243" s="28" t="str">
        <f aca="false">IF(AND(R243&lt;&gt;"",AK243&gt;1.1*R243),"Consented above capacity",IF(AND(LEFT(B243,8)="Planning",AW243=0),"Consent parcel with no permission",IF(COUNTIF($A$2:$A$3000,$A243)&gt;1,"Duplicate parcel_id","")))</f>
        <v/>
      </c>
    </row>
    <row r="244" customFormat="false" ht="15" hidden="false" customHeight="false" outlineLevel="0" collapsed="false">
      <c r="A244" s="15" t="s">
        <v>570</v>
      </c>
      <c r="B244" s="15" t="s">
        <v>12</v>
      </c>
      <c r="C244" s="15" t="s">
        <v>17</v>
      </c>
      <c r="D244" s="15" t="s">
        <v>64</v>
      </c>
      <c r="E244" s="15" t="s">
        <v>20</v>
      </c>
      <c r="F244" s="15" t="n">
        <v>1</v>
      </c>
      <c r="G244" s="15" t="s">
        <v>154</v>
      </c>
      <c r="H244" s="15"/>
      <c r="I244" s="15" t="s">
        <v>558</v>
      </c>
      <c r="J244" s="15" t="s">
        <v>568</v>
      </c>
      <c r="K244" s="15" t="s">
        <v>571</v>
      </c>
      <c r="L244" s="15"/>
      <c r="M244" s="15"/>
      <c r="N244" s="15"/>
      <c r="O244" s="15"/>
      <c r="P244" s="15" t="n">
        <v>0.132</v>
      </c>
      <c r="Q244" s="15" t="n">
        <v>0.132</v>
      </c>
      <c r="R244" s="15"/>
      <c r="S244" s="15" t="s">
        <v>346</v>
      </c>
      <c r="T244" s="15"/>
      <c r="U244" s="15"/>
      <c r="V244" s="15"/>
      <c r="W244" s="15"/>
      <c r="X244" s="15"/>
      <c r="Y244" s="15"/>
      <c r="Z244" s="15"/>
      <c r="AA244" s="15" t="n">
        <v>6</v>
      </c>
      <c r="AB244" s="15" t="n">
        <v>6</v>
      </c>
      <c r="AC244" s="15"/>
      <c r="AD244" s="15"/>
      <c r="AE244" s="15" t="s">
        <v>163</v>
      </c>
      <c r="AF244" s="15"/>
      <c r="AG244" s="24" t="n">
        <f aca="false">SUMIFS(Permissions!$G$2:$G$3000,Permissions!$B$2:$B$3000,$A244,Permissions!$I$2:$I$3000,"Complete",Permissions!$P$2:$P$3000,"Yes")</f>
        <v>6</v>
      </c>
      <c r="AH244" s="24" t="n">
        <f aca="false">SUMIFS(Permissions!$G$2:$G$3000,Permissions!$B$2:$B$3000,$A244,Permissions!$I$2:$I$3000,"Under construction",Permissions!$P$2:$P$3000,"Yes")</f>
        <v>0</v>
      </c>
      <c r="AI244" s="24" t="n">
        <f aca="false">SUMIFS(Permissions!$G$2:$G$3000,Permissions!$B$2:$B$3000,$A244,Permissions!$I$2:$I$3000,"Permitted – not started",Permissions!$P$2:$P$3000,"Yes")</f>
        <v>0</v>
      </c>
      <c r="AJ244" s="24" t="n">
        <f aca="false">SUMIFS(Permissions!$G$2:$G$3000,Permissions!$B$2:$B$3000,$A244,Permissions!$I$2:$I$3000,"Stalled",Permissions!$P$2:$P$3000,"Yes")</f>
        <v>0</v>
      </c>
      <c r="AK244" s="24" t="n">
        <f aca="false">AG244+AH244+AI244+AJ244</f>
        <v>6</v>
      </c>
      <c r="AL244" s="24" t="n">
        <f aca="false">SUMIFS(Permissions!$G$2:$G$3000,Permissions!$B$2:$B$3000,$A244,Permissions!$I$2:$I$3000,"Expired – not started",Permissions!$P$2:$P$3000,"Yes")</f>
        <v>0</v>
      </c>
      <c r="AM244" s="24" t="n">
        <f aca="false">SUMIFS(Permissions!$G$2:$G$3000,Permissions!$B$2:$B$3000,$A244,Permissions!$I$2:$I$3000,"In planning",Permissions!$P$2:$P$3000,"Yes")</f>
        <v>0</v>
      </c>
      <c r="AN244" s="24" t="n">
        <f aca="false">IF(R244="",0,MAX(R244-AK244,0))</f>
        <v>0</v>
      </c>
      <c r="AO244" s="25" t="n">
        <f aca="false">AK244+AN244</f>
        <v>6</v>
      </c>
      <c r="AP244" s="24" t="n">
        <f aca="false">AO244-AG244</f>
        <v>0</v>
      </c>
      <c r="AQ244" s="26" t="n">
        <f aca="false">SUMIFS(Permissions!$AH$2:$AH$3000,Permissions!$B$2:$B$3000,$A244,Permissions!$P$2:$P$3000,"Yes")</f>
        <v>0</v>
      </c>
      <c r="AR244" s="26" t="n">
        <f aca="false">SUMIFS(Permissions!$AI$2:$AI$3000,Permissions!$B$2:$B$3000,$A244,Permissions!$P$2:$P$3000,"Yes")</f>
        <v>0</v>
      </c>
      <c r="AS244" s="26" t="n">
        <f aca="false">SUMIFS(Permissions!$AJ$2:$AJ$3000,Permissions!$B$2:$B$3000,$A244,Permissions!$P$2:$P$3000,"Yes")</f>
        <v>0</v>
      </c>
      <c r="AT244" s="26" t="n">
        <f aca="false">SUMIFS(Permissions!$AK$2:$AK$3000,Permissions!$B$2:$B$3000,$A244,Permissions!$P$2:$P$3000,"Yes")</f>
        <v>0</v>
      </c>
      <c r="AU244" s="26" t="n">
        <f aca="false">SUMIFS(Permissions!$AL$2:$AL$3000,Permissions!$B$2:$B$3000,$A244,Permissions!$P$2:$P$3000,"Yes")</f>
        <v>0</v>
      </c>
      <c r="AV244" s="26" t="n">
        <f aca="false">SUMIFS(Permissions!$AM$2:$AM$3000,Permissions!$B$2:$B$3000,$A244,Permissions!$P$2:$P$3000,"Yes")</f>
        <v>0</v>
      </c>
      <c r="AW244" s="24" t="n">
        <f aca="false">COUNTIFS(Permissions!$B$2:$B$3000,$A244,Permissions!$P$2:$P$3000,"Yes")</f>
        <v>1</v>
      </c>
      <c r="AX244" s="24" t="n">
        <f aca="false">SUMIFS(Permissions!$L$2:$L$3000,Permissions!$B$2:$B$3000,$A244,Permissions!$P$2:$P$3000,"Yes")</f>
        <v>6</v>
      </c>
      <c r="AY244" s="27" t="str">
        <f aca="false">IF(AND(AK244&gt;0,AG244&gt;=AK244,AN244=0),"Built out",IF(AG244&gt;0,"Partly built",IF(AK244&gt;0,"Consented – not built","No consent")))</f>
        <v>Built out</v>
      </c>
      <c r="AZ244" s="28" t="str">
        <f aca="false">IF(AND(R244&lt;&gt;"",AK244&gt;1.1*R244),"Consented above capacity",IF(AND(LEFT(B244,8)="Planning",AW244=0),"Consent parcel with no permission",IF(COUNTIF($A$2:$A$3000,$A244)&gt;1,"Duplicate parcel_id","")))</f>
        <v/>
      </c>
    </row>
    <row r="245" customFormat="false" ht="15" hidden="false" customHeight="false" outlineLevel="0" collapsed="false">
      <c r="A245" s="15" t="s">
        <v>572</v>
      </c>
      <c r="B245" s="15" t="s">
        <v>12</v>
      </c>
      <c r="C245" s="15" t="s">
        <v>17</v>
      </c>
      <c r="D245" s="15" t="s">
        <v>68</v>
      </c>
      <c r="E245" s="15" t="s">
        <v>21</v>
      </c>
      <c r="F245" s="15" t="n">
        <v>1</v>
      </c>
      <c r="G245" s="15" t="s">
        <v>154</v>
      </c>
      <c r="H245" s="15"/>
      <c r="I245" s="15" t="s">
        <v>558</v>
      </c>
      <c r="J245" s="15" t="s">
        <v>559</v>
      </c>
      <c r="K245" s="15" t="s">
        <v>573</v>
      </c>
      <c r="L245" s="15"/>
      <c r="M245" s="15"/>
      <c r="N245" s="15"/>
      <c r="O245" s="15"/>
      <c r="P245" s="15" t="n">
        <v>0.081</v>
      </c>
      <c r="Q245" s="15" t="n">
        <v>0.081</v>
      </c>
      <c r="R245" s="15"/>
      <c r="S245" s="15" t="s">
        <v>346</v>
      </c>
      <c r="T245" s="15"/>
      <c r="U245" s="15"/>
      <c r="V245" s="15"/>
      <c r="W245" s="15"/>
      <c r="X245" s="15"/>
      <c r="Y245" s="15"/>
      <c r="Z245" s="15"/>
      <c r="AA245" s="15" t="n">
        <v>2</v>
      </c>
      <c r="AB245" s="15" t="n">
        <v>2</v>
      </c>
      <c r="AC245" s="15"/>
      <c r="AD245" s="15"/>
      <c r="AE245" s="15" t="s">
        <v>163</v>
      </c>
      <c r="AF245" s="15"/>
      <c r="AG245" s="24" t="n">
        <f aca="false">SUMIFS(Permissions!$G$2:$G$3000,Permissions!$B$2:$B$3000,$A245,Permissions!$I$2:$I$3000,"Complete",Permissions!$P$2:$P$3000,"Yes")</f>
        <v>2</v>
      </c>
      <c r="AH245" s="24" t="n">
        <f aca="false">SUMIFS(Permissions!$G$2:$G$3000,Permissions!$B$2:$B$3000,$A245,Permissions!$I$2:$I$3000,"Under construction",Permissions!$P$2:$P$3000,"Yes")</f>
        <v>0</v>
      </c>
      <c r="AI245" s="24" t="n">
        <f aca="false">SUMIFS(Permissions!$G$2:$G$3000,Permissions!$B$2:$B$3000,$A245,Permissions!$I$2:$I$3000,"Permitted – not started",Permissions!$P$2:$P$3000,"Yes")</f>
        <v>0</v>
      </c>
      <c r="AJ245" s="24" t="n">
        <f aca="false">SUMIFS(Permissions!$G$2:$G$3000,Permissions!$B$2:$B$3000,$A245,Permissions!$I$2:$I$3000,"Stalled",Permissions!$P$2:$P$3000,"Yes")</f>
        <v>0</v>
      </c>
      <c r="AK245" s="24" t="n">
        <f aca="false">AG245+AH245+AI245+AJ245</f>
        <v>2</v>
      </c>
      <c r="AL245" s="24" t="n">
        <f aca="false">SUMIFS(Permissions!$G$2:$G$3000,Permissions!$B$2:$B$3000,$A245,Permissions!$I$2:$I$3000,"Expired – not started",Permissions!$P$2:$P$3000,"Yes")</f>
        <v>0</v>
      </c>
      <c r="AM245" s="24" t="n">
        <f aca="false">SUMIFS(Permissions!$G$2:$G$3000,Permissions!$B$2:$B$3000,$A245,Permissions!$I$2:$I$3000,"In planning",Permissions!$P$2:$P$3000,"Yes")</f>
        <v>0</v>
      </c>
      <c r="AN245" s="24" t="n">
        <f aca="false">IF(R245="",0,MAX(R245-AK245,0))</f>
        <v>0</v>
      </c>
      <c r="AO245" s="25" t="n">
        <f aca="false">AK245+AN245</f>
        <v>2</v>
      </c>
      <c r="AP245" s="24" t="n">
        <f aca="false">AO245-AG245</f>
        <v>0</v>
      </c>
      <c r="AQ245" s="26" t="n">
        <f aca="false">SUMIFS(Permissions!$AH$2:$AH$3000,Permissions!$B$2:$B$3000,$A245,Permissions!$P$2:$P$3000,"Yes")</f>
        <v>0</v>
      </c>
      <c r="AR245" s="26" t="n">
        <f aca="false">SUMIFS(Permissions!$AI$2:$AI$3000,Permissions!$B$2:$B$3000,$A245,Permissions!$P$2:$P$3000,"Yes")</f>
        <v>0</v>
      </c>
      <c r="AS245" s="26" t="n">
        <f aca="false">SUMIFS(Permissions!$AJ$2:$AJ$3000,Permissions!$B$2:$B$3000,$A245,Permissions!$P$2:$P$3000,"Yes")</f>
        <v>0</v>
      </c>
      <c r="AT245" s="26" t="n">
        <f aca="false">SUMIFS(Permissions!$AK$2:$AK$3000,Permissions!$B$2:$B$3000,$A245,Permissions!$P$2:$P$3000,"Yes")</f>
        <v>0</v>
      </c>
      <c r="AU245" s="26" t="n">
        <f aca="false">SUMIFS(Permissions!$AL$2:$AL$3000,Permissions!$B$2:$B$3000,$A245,Permissions!$P$2:$P$3000,"Yes")</f>
        <v>0</v>
      </c>
      <c r="AV245" s="26" t="n">
        <f aca="false">SUMIFS(Permissions!$AM$2:$AM$3000,Permissions!$B$2:$B$3000,$A245,Permissions!$P$2:$P$3000,"Yes")</f>
        <v>0</v>
      </c>
      <c r="AW245" s="24" t="n">
        <f aca="false">COUNTIFS(Permissions!$B$2:$B$3000,$A245,Permissions!$P$2:$P$3000,"Yes")</f>
        <v>1</v>
      </c>
      <c r="AX245" s="24" t="n">
        <f aca="false">SUMIFS(Permissions!$L$2:$L$3000,Permissions!$B$2:$B$3000,$A245,Permissions!$P$2:$P$3000,"Yes")</f>
        <v>2</v>
      </c>
      <c r="AY245" s="27" t="str">
        <f aca="false">IF(AND(AK245&gt;0,AG245&gt;=AK245,AN245=0),"Built out",IF(AG245&gt;0,"Partly built",IF(AK245&gt;0,"Consented – not built","No consent")))</f>
        <v>Built out</v>
      </c>
      <c r="AZ245" s="28" t="str">
        <f aca="false">IF(AND(R245&lt;&gt;"",AK245&gt;1.1*R245),"Consented above capacity",IF(AND(LEFT(B245,8)="Planning",AW245=0),"Consent parcel with no permission",IF(COUNTIF($A$2:$A$3000,$A245)&gt;1,"Duplicate parcel_id","")))</f>
        <v/>
      </c>
    </row>
    <row r="246" customFormat="false" ht="15" hidden="false" customHeight="false" outlineLevel="0" collapsed="false">
      <c r="A246" s="15" t="s">
        <v>574</v>
      </c>
      <c r="B246" s="15" t="s">
        <v>12</v>
      </c>
      <c r="C246" s="15" t="s">
        <v>17</v>
      </c>
      <c r="D246" s="15" t="s">
        <v>73</v>
      </c>
      <c r="E246" s="15" t="s">
        <v>21</v>
      </c>
      <c r="F246" s="15" t="n">
        <v>1</v>
      </c>
      <c r="G246" s="15" t="s">
        <v>154</v>
      </c>
      <c r="H246" s="15"/>
      <c r="I246" s="15" t="s">
        <v>558</v>
      </c>
      <c r="J246" s="15" t="s">
        <v>559</v>
      </c>
      <c r="K246" s="15" t="s">
        <v>575</v>
      </c>
      <c r="L246" s="15"/>
      <c r="M246" s="15"/>
      <c r="N246" s="15"/>
      <c r="O246" s="15"/>
      <c r="P246" s="15" t="n">
        <v>1.417</v>
      </c>
      <c r="Q246" s="15" t="n">
        <v>1.417</v>
      </c>
      <c r="R246" s="15"/>
      <c r="S246" s="15" t="s">
        <v>346</v>
      </c>
      <c r="T246" s="15"/>
      <c r="U246" s="15"/>
      <c r="V246" s="15"/>
      <c r="W246" s="15"/>
      <c r="X246" s="15"/>
      <c r="Y246" s="15"/>
      <c r="Z246" s="15"/>
      <c r="AA246" s="15" t="n">
        <v>0</v>
      </c>
      <c r="AB246" s="15" t="n">
        <v>0</v>
      </c>
      <c r="AC246" s="15"/>
      <c r="AD246" s="15"/>
      <c r="AE246" s="15" t="s">
        <v>163</v>
      </c>
      <c r="AF246" s="15"/>
      <c r="AG246" s="24" t="n">
        <f aca="false">SUMIFS(Permissions!$G$2:$G$3000,Permissions!$B$2:$B$3000,$A246,Permissions!$I$2:$I$3000,"Complete",Permissions!$P$2:$P$3000,"Yes")</f>
        <v>0</v>
      </c>
      <c r="AH246" s="24" t="n">
        <f aca="false">SUMIFS(Permissions!$G$2:$G$3000,Permissions!$B$2:$B$3000,$A246,Permissions!$I$2:$I$3000,"Under construction",Permissions!$P$2:$P$3000,"Yes")</f>
        <v>0</v>
      </c>
      <c r="AI246" s="24" t="n">
        <f aca="false">SUMIFS(Permissions!$G$2:$G$3000,Permissions!$B$2:$B$3000,$A246,Permissions!$I$2:$I$3000,"Permitted – not started",Permissions!$P$2:$P$3000,"Yes")</f>
        <v>0</v>
      </c>
      <c r="AJ246" s="24" t="n">
        <f aca="false">SUMIFS(Permissions!$G$2:$G$3000,Permissions!$B$2:$B$3000,$A246,Permissions!$I$2:$I$3000,"Stalled",Permissions!$P$2:$P$3000,"Yes")</f>
        <v>32</v>
      </c>
      <c r="AK246" s="24" t="n">
        <f aca="false">AG246+AH246+AI246+AJ246</f>
        <v>32</v>
      </c>
      <c r="AL246" s="24" t="n">
        <f aca="false">SUMIFS(Permissions!$G$2:$G$3000,Permissions!$B$2:$B$3000,$A246,Permissions!$I$2:$I$3000,"Expired – not started",Permissions!$P$2:$P$3000,"Yes")</f>
        <v>0</v>
      </c>
      <c r="AM246" s="24" t="n">
        <f aca="false">SUMIFS(Permissions!$G$2:$G$3000,Permissions!$B$2:$B$3000,$A246,Permissions!$I$2:$I$3000,"In planning",Permissions!$P$2:$P$3000,"Yes")</f>
        <v>0</v>
      </c>
      <c r="AN246" s="24" t="n">
        <f aca="false">IF(R246="",0,MAX(R246-AK246,0))</f>
        <v>0</v>
      </c>
      <c r="AO246" s="25" t="n">
        <f aca="false">AK246+AN246</f>
        <v>32</v>
      </c>
      <c r="AP246" s="24" t="n">
        <f aca="false">AO246-AG246</f>
        <v>32</v>
      </c>
      <c r="AQ246" s="26" t="n">
        <f aca="false">SUMIFS(Permissions!$AH$2:$AH$3000,Permissions!$B$2:$B$3000,$A246,Permissions!$P$2:$P$3000,"Yes")</f>
        <v>0</v>
      </c>
      <c r="AR246" s="26" t="n">
        <f aca="false">SUMIFS(Permissions!$AI$2:$AI$3000,Permissions!$B$2:$B$3000,$A246,Permissions!$P$2:$P$3000,"Yes")</f>
        <v>0</v>
      </c>
      <c r="AS246" s="26" t="n">
        <f aca="false">SUMIFS(Permissions!$AJ$2:$AJ$3000,Permissions!$B$2:$B$3000,$A246,Permissions!$P$2:$P$3000,"Yes")</f>
        <v>0</v>
      </c>
      <c r="AT246" s="26" t="n">
        <f aca="false">SUMIFS(Permissions!$AK$2:$AK$3000,Permissions!$B$2:$B$3000,$A246,Permissions!$P$2:$P$3000,"Yes")</f>
        <v>0</v>
      </c>
      <c r="AU246" s="26" t="n">
        <f aca="false">SUMIFS(Permissions!$AL$2:$AL$3000,Permissions!$B$2:$B$3000,$A246,Permissions!$P$2:$P$3000,"Yes")</f>
        <v>0</v>
      </c>
      <c r="AV246" s="26" t="n">
        <f aca="false">SUMIFS(Permissions!$AM$2:$AM$3000,Permissions!$B$2:$B$3000,$A246,Permissions!$P$2:$P$3000,"Yes")</f>
        <v>0</v>
      </c>
      <c r="AW246" s="24" t="n">
        <f aca="false">COUNTIFS(Permissions!$B$2:$B$3000,$A246,Permissions!$P$2:$P$3000,"Yes")</f>
        <v>1</v>
      </c>
      <c r="AX246" s="24" t="n">
        <f aca="false">SUMIFS(Permissions!$L$2:$L$3000,Permissions!$B$2:$B$3000,$A246,Permissions!$P$2:$P$3000,"Yes")</f>
        <v>0</v>
      </c>
      <c r="AY246" s="27" t="str">
        <f aca="false">IF(AND(AK246&gt;0,AG246&gt;=AK246,AN246=0),"Built out",IF(AG246&gt;0,"Partly built",IF(AK246&gt;0,"Consented – not built","No consent")))</f>
        <v>Consented – not built</v>
      </c>
      <c r="AZ246" s="28" t="str">
        <f aca="false">IF(AND(R246&lt;&gt;"",AK246&gt;1.1*R246),"Consented above capacity",IF(AND(LEFT(B246,8)="Planning",AW246=0),"Consent parcel with no permission",IF(COUNTIF($A$2:$A$3000,$A246)&gt;1,"Duplicate parcel_id","")))</f>
        <v/>
      </c>
    </row>
    <row r="247" customFormat="false" ht="15" hidden="false" customHeight="false" outlineLevel="0" collapsed="false">
      <c r="A247" s="15" t="s">
        <v>576</v>
      </c>
      <c r="B247" s="15" t="s">
        <v>12</v>
      </c>
      <c r="C247" s="15" t="s">
        <v>17</v>
      </c>
      <c r="D247" s="15" t="s">
        <v>22</v>
      </c>
      <c r="E247" s="15" t="s">
        <v>22</v>
      </c>
      <c r="F247" s="15"/>
      <c r="G247" s="15" t="s">
        <v>22</v>
      </c>
      <c r="H247" s="15"/>
      <c r="I247" s="15" t="s">
        <v>558</v>
      </c>
      <c r="J247" s="15" t="s">
        <v>559</v>
      </c>
      <c r="K247" s="15" t="s">
        <v>577</v>
      </c>
      <c r="L247" s="15"/>
      <c r="M247" s="15"/>
      <c r="N247" s="15"/>
      <c r="O247" s="15"/>
      <c r="P247" s="15" t="n">
        <v>1.529</v>
      </c>
      <c r="Q247" s="15" t="n">
        <v>1.529</v>
      </c>
      <c r="R247" s="15" t="n">
        <v>21</v>
      </c>
      <c r="S247" s="15" t="s">
        <v>359</v>
      </c>
      <c r="T247" s="15"/>
      <c r="U247" s="15"/>
      <c r="V247" s="15"/>
      <c r="W247" s="15"/>
      <c r="X247" s="15"/>
      <c r="Y247" s="15"/>
      <c r="Z247" s="15"/>
      <c r="AA247" s="15" t="n">
        <v>0</v>
      </c>
      <c r="AB247" s="15" t="n">
        <v>0</v>
      </c>
      <c r="AC247" s="15"/>
      <c r="AD247" s="15"/>
      <c r="AE247" s="15" t="s">
        <v>163</v>
      </c>
      <c r="AF247" s="15"/>
      <c r="AG247" s="24" t="n">
        <f aca="false">SUMIFS(Permissions!$G$2:$G$3000,Permissions!$B$2:$B$3000,$A247,Permissions!$I$2:$I$3000,"Complete",Permissions!$P$2:$P$3000,"Yes")</f>
        <v>0</v>
      </c>
      <c r="AH247" s="24" t="n">
        <f aca="false">SUMIFS(Permissions!$G$2:$G$3000,Permissions!$B$2:$B$3000,$A247,Permissions!$I$2:$I$3000,"Under construction",Permissions!$P$2:$P$3000,"Yes")</f>
        <v>0</v>
      </c>
      <c r="AI247" s="24" t="n">
        <f aca="false">SUMIFS(Permissions!$G$2:$G$3000,Permissions!$B$2:$B$3000,$A247,Permissions!$I$2:$I$3000,"Permitted – not started",Permissions!$P$2:$P$3000,"Yes")</f>
        <v>0</v>
      </c>
      <c r="AJ247" s="24" t="n">
        <f aca="false">SUMIFS(Permissions!$G$2:$G$3000,Permissions!$B$2:$B$3000,$A247,Permissions!$I$2:$I$3000,"Stalled",Permissions!$P$2:$P$3000,"Yes")</f>
        <v>0</v>
      </c>
      <c r="AK247" s="24" t="n">
        <f aca="false">AG247+AH247+AI247+AJ247</f>
        <v>0</v>
      </c>
      <c r="AL247" s="24" t="n">
        <f aca="false">SUMIFS(Permissions!$G$2:$G$3000,Permissions!$B$2:$B$3000,$A247,Permissions!$I$2:$I$3000,"Expired – not started",Permissions!$P$2:$P$3000,"Yes")</f>
        <v>21</v>
      </c>
      <c r="AM247" s="24" t="n">
        <f aca="false">SUMIFS(Permissions!$G$2:$G$3000,Permissions!$B$2:$B$3000,$A247,Permissions!$I$2:$I$3000,"In planning",Permissions!$P$2:$P$3000,"Yes")</f>
        <v>0</v>
      </c>
      <c r="AN247" s="24" t="n">
        <f aca="false">IF(R247="",0,MAX(R247-AK247,0))</f>
        <v>21</v>
      </c>
      <c r="AO247" s="25" t="n">
        <f aca="false">AK247+AN247</f>
        <v>21</v>
      </c>
      <c r="AP247" s="24" t="n">
        <f aca="false">AO247-AG247</f>
        <v>21</v>
      </c>
      <c r="AQ247" s="26" t="n">
        <f aca="false">SUMIFS(Permissions!$AH$2:$AH$3000,Permissions!$B$2:$B$3000,$A247,Permissions!$P$2:$P$3000,"Yes")</f>
        <v>0</v>
      </c>
      <c r="AR247" s="26" t="n">
        <f aca="false">SUMIFS(Permissions!$AI$2:$AI$3000,Permissions!$B$2:$B$3000,$A247,Permissions!$P$2:$P$3000,"Yes")</f>
        <v>0</v>
      </c>
      <c r="AS247" s="26" t="n">
        <f aca="false">SUMIFS(Permissions!$AJ$2:$AJ$3000,Permissions!$B$2:$B$3000,$A247,Permissions!$P$2:$P$3000,"Yes")</f>
        <v>0</v>
      </c>
      <c r="AT247" s="26" t="n">
        <f aca="false">SUMIFS(Permissions!$AK$2:$AK$3000,Permissions!$B$2:$B$3000,$A247,Permissions!$P$2:$P$3000,"Yes")</f>
        <v>0</v>
      </c>
      <c r="AU247" s="26" t="n">
        <f aca="false">SUMIFS(Permissions!$AL$2:$AL$3000,Permissions!$B$2:$B$3000,$A247,Permissions!$P$2:$P$3000,"Yes")</f>
        <v>0</v>
      </c>
      <c r="AV247" s="26" t="n">
        <f aca="false">SUMIFS(Permissions!$AM$2:$AM$3000,Permissions!$B$2:$B$3000,$A247,Permissions!$P$2:$P$3000,"Yes")</f>
        <v>0</v>
      </c>
      <c r="AW247" s="24" t="n">
        <f aca="false">COUNTIFS(Permissions!$B$2:$B$3000,$A247,Permissions!$P$2:$P$3000,"Yes")</f>
        <v>1</v>
      </c>
      <c r="AX247" s="24" t="n">
        <f aca="false">SUMIFS(Permissions!$L$2:$L$3000,Permissions!$B$2:$B$3000,$A247,Permissions!$P$2:$P$3000,"Yes")</f>
        <v>0</v>
      </c>
      <c r="AY247" s="27" t="str">
        <f aca="false">IF(AND(AK247&gt;0,AG247&gt;=AK247,AN247=0),"Built out",IF(AG247&gt;0,"Partly built",IF(AK247&gt;0,"Consented – not built","No consent")))</f>
        <v>No consent</v>
      </c>
      <c r="AZ247" s="28" t="str">
        <f aca="false">IF(AND(R247&lt;&gt;"",AK247&gt;1.1*R247),"Consented above capacity",IF(AND(LEFT(B247,8)="Planning",AW247=0),"Consent parcel with no permission",IF(COUNTIF($A$2:$A$3000,$A247)&gt;1,"Duplicate parcel_id","")))</f>
        <v/>
      </c>
    </row>
    <row r="248" customFormat="false" ht="15" hidden="false" customHeight="false" outlineLevel="0" collapsed="false">
      <c r="A248" s="15" t="s">
        <v>578</v>
      </c>
      <c r="B248" s="15" t="s">
        <v>12</v>
      </c>
      <c r="C248" s="15" t="s">
        <v>17</v>
      </c>
      <c r="D248" s="15" t="s">
        <v>63</v>
      </c>
      <c r="E248" s="15" t="s">
        <v>20</v>
      </c>
      <c r="F248" s="15" t="n">
        <v>1</v>
      </c>
      <c r="G248" s="15" t="s">
        <v>154</v>
      </c>
      <c r="H248" s="15"/>
      <c r="I248" s="15" t="s">
        <v>558</v>
      </c>
      <c r="J248" s="15" t="s">
        <v>559</v>
      </c>
      <c r="K248" s="15" t="s">
        <v>579</v>
      </c>
      <c r="L248" s="15"/>
      <c r="M248" s="15"/>
      <c r="N248" s="15"/>
      <c r="O248" s="15"/>
      <c r="P248" s="15" t="n">
        <v>0.144</v>
      </c>
      <c r="Q248" s="15" t="n">
        <v>0.144</v>
      </c>
      <c r="R248" s="15"/>
      <c r="S248" s="15" t="s">
        <v>346</v>
      </c>
      <c r="T248" s="15"/>
      <c r="U248" s="15"/>
      <c r="V248" s="15"/>
      <c r="W248" s="15"/>
      <c r="X248" s="15"/>
      <c r="Y248" s="15"/>
      <c r="Z248" s="15"/>
      <c r="AA248" s="15" t="n">
        <v>5</v>
      </c>
      <c r="AB248" s="15" t="n">
        <v>5</v>
      </c>
      <c r="AC248" s="15"/>
      <c r="AD248" s="15"/>
      <c r="AE248" s="15" t="s">
        <v>163</v>
      </c>
      <c r="AF248" s="15"/>
      <c r="AG248" s="24" t="n">
        <f aca="false">SUMIFS(Permissions!$G$2:$G$3000,Permissions!$B$2:$B$3000,$A248,Permissions!$I$2:$I$3000,"Complete",Permissions!$P$2:$P$3000,"Yes")</f>
        <v>5</v>
      </c>
      <c r="AH248" s="24" t="n">
        <f aca="false">SUMIFS(Permissions!$G$2:$G$3000,Permissions!$B$2:$B$3000,$A248,Permissions!$I$2:$I$3000,"Under construction",Permissions!$P$2:$P$3000,"Yes")</f>
        <v>0</v>
      </c>
      <c r="AI248" s="24" t="n">
        <f aca="false">SUMIFS(Permissions!$G$2:$G$3000,Permissions!$B$2:$B$3000,$A248,Permissions!$I$2:$I$3000,"Permitted – not started",Permissions!$P$2:$P$3000,"Yes")</f>
        <v>0</v>
      </c>
      <c r="AJ248" s="24" t="n">
        <f aca="false">SUMIFS(Permissions!$G$2:$G$3000,Permissions!$B$2:$B$3000,$A248,Permissions!$I$2:$I$3000,"Stalled",Permissions!$P$2:$P$3000,"Yes")</f>
        <v>0</v>
      </c>
      <c r="AK248" s="24" t="n">
        <f aca="false">AG248+AH248+AI248+AJ248</f>
        <v>5</v>
      </c>
      <c r="AL248" s="24" t="n">
        <f aca="false">SUMIFS(Permissions!$G$2:$G$3000,Permissions!$B$2:$B$3000,$A248,Permissions!$I$2:$I$3000,"Expired – not started",Permissions!$P$2:$P$3000,"Yes")</f>
        <v>0</v>
      </c>
      <c r="AM248" s="24" t="n">
        <f aca="false">SUMIFS(Permissions!$G$2:$G$3000,Permissions!$B$2:$B$3000,$A248,Permissions!$I$2:$I$3000,"In planning",Permissions!$P$2:$P$3000,"Yes")</f>
        <v>0</v>
      </c>
      <c r="AN248" s="24" t="n">
        <f aca="false">IF(R248="",0,MAX(R248-AK248,0))</f>
        <v>0</v>
      </c>
      <c r="AO248" s="25" t="n">
        <f aca="false">AK248+AN248</f>
        <v>5</v>
      </c>
      <c r="AP248" s="24" t="n">
        <f aca="false">AO248-AG248</f>
        <v>0</v>
      </c>
      <c r="AQ248" s="26" t="n">
        <f aca="false">SUMIFS(Permissions!$AH$2:$AH$3000,Permissions!$B$2:$B$3000,$A248,Permissions!$P$2:$P$3000,"Yes")</f>
        <v>0</v>
      </c>
      <c r="AR248" s="26" t="n">
        <f aca="false">SUMIFS(Permissions!$AI$2:$AI$3000,Permissions!$B$2:$B$3000,$A248,Permissions!$P$2:$P$3000,"Yes")</f>
        <v>0</v>
      </c>
      <c r="AS248" s="26" t="n">
        <f aca="false">SUMIFS(Permissions!$AJ$2:$AJ$3000,Permissions!$B$2:$B$3000,$A248,Permissions!$P$2:$P$3000,"Yes")</f>
        <v>0</v>
      </c>
      <c r="AT248" s="26" t="n">
        <f aca="false">SUMIFS(Permissions!$AK$2:$AK$3000,Permissions!$B$2:$B$3000,$A248,Permissions!$P$2:$P$3000,"Yes")</f>
        <v>0</v>
      </c>
      <c r="AU248" s="26" t="n">
        <f aca="false">SUMIFS(Permissions!$AL$2:$AL$3000,Permissions!$B$2:$B$3000,$A248,Permissions!$P$2:$P$3000,"Yes")</f>
        <v>0</v>
      </c>
      <c r="AV248" s="26" t="n">
        <f aca="false">SUMIFS(Permissions!$AM$2:$AM$3000,Permissions!$B$2:$B$3000,$A248,Permissions!$P$2:$P$3000,"Yes")</f>
        <v>0</v>
      </c>
      <c r="AW248" s="24" t="n">
        <f aca="false">COUNTIFS(Permissions!$B$2:$B$3000,$A248,Permissions!$P$2:$P$3000,"Yes")</f>
        <v>1</v>
      </c>
      <c r="AX248" s="24" t="n">
        <f aca="false">SUMIFS(Permissions!$L$2:$L$3000,Permissions!$B$2:$B$3000,$A248,Permissions!$P$2:$P$3000,"Yes")</f>
        <v>0</v>
      </c>
      <c r="AY248" s="27" t="str">
        <f aca="false">IF(AND(AK248&gt;0,AG248&gt;=AK248,AN248=0),"Built out",IF(AG248&gt;0,"Partly built",IF(AK248&gt;0,"Consented – not built","No consent")))</f>
        <v>Built out</v>
      </c>
      <c r="AZ248" s="28" t="str">
        <f aca="false">IF(AND(R248&lt;&gt;"",AK248&gt;1.1*R248),"Consented above capacity",IF(AND(LEFT(B248,8)="Planning",AW248=0),"Consent parcel with no permission",IF(COUNTIF($A$2:$A$3000,$A248)&gt;1,"Duplicate parcel_id","")))</f>
        <v/>
      </c>
    </row>
    <row r="249" customFormat="false" ht="15" hidden="false" customHeight="false" outlineLevel="0" collapsed="false">
      <c r="A249" s="15" t="s">
        <v>580</v>
      </c>
      <c r="B249" s="15" t="s">
        <v>12</v>
      </c>
      <c r="C249" s="15" t="s">
        <v>17</v>
      </c>
      <c r="D249" s="15" t="s">
        <v>62</v>
      </c>
      <c r="E249" s="15" t="s">
        <v>20</v>
      </c>
      <c r="F249" s="15" t="n">
        <v>0.12</v>
      </c>
      <c r="G249" s="15" t="s">
        <v>154</v>
      </c>
      <c r="H249" s="15"/>
      <c r="I249" s="15" t="s">
        <v>558</v>
      </c>
      <c r="J249" s="15" t="s">
        <v>205</v>
      </c>
      <c r="K249" s="15" t="s">
        <v>581</v>
      </c>
      <c r="L249" s="15"/>
      <c r="M249" s="15"/>
      <c r="N249" s="15"/>
      <c r="O249" s="15"/>
      <c r="P249" s="15" t="n">
        <v>5.817</v>
      </c>
      <c r="Q249" s="15" t="n">
        <v>5.817</v>
      </c>
      <c r="R249" s="15"/>
      <c r="S249" s="15" t="s">
        <v>346</v>
      </c>
      <c r="T249" s="15"/>
      <c r="U249" s="15"/>
      <c r="V249" s="15"/>
      <c r="W249" s="15"/>
      <c r="X249" s="15"/>
      <c r="Y249" s="15"/>
      <c r="Z249" s="15"/>
      <c r="AA249" s="15" t="n">
        <v>51</v>
      </c>
      <c r="AB249" s="15" t="n">
        <v>51</v>
      </c>
      <c r="AC249" s="15"/>
      <c r="AD249" s="15"/>
      <c r="AE249" s="15" t="s">
        <v>163</v>
      </c>
      <c r="AF249" s="15"/>
      <c r="AG249" s="24" t="n">
        <f aca="false">SUMIFS(Permissions!$G$2:$G$3000,Permissions!$B$2:$B$3000,$A249,Permissions!$I$2:$I$3000,"Complete",Permissions!$P$2:$P$3000,"Yes")</f>
        <v>51</v>
      </c>
      <c r="AH249" s="24" t="n">
        <f aca="false">SUMIFS(Permissions!$G$2:$G$3000,Permissions!$B$2:$B$3000,$A249,Permissions!$I$2:$I$3000,"Under construction",Permissions!$P$2:$P$3000,"Yes")</f>
        <v>0</v>
      </c>
      <c r="AI249" s="24" t="n">
        <f aca="false">SUMIFS(Permissions!$G$2:$G$3000,Permissions!$B$2:$B$3000,$A249,Permissions!$I$2:$I$3000,"Permitted – not started",Permissions!$P$2:$P$3000,"Yes")</f>
        <v>14</v>
      </c>
      <c r="AJ249" s="24" t="n">
        <f aca="false">SUMIFS(Permissions!$G$2:$G$3000,Permissions!$B$2:$B$3000,$A249,Permissions!$I$2:$I$3000,"Stalled",Permissions!$P$2:$P$3000,"Yes")</f>
        <v>0</v>
      </c>
      <c r="AK249" s="24" t="n">
        <f aca="false">AG249+AH249+AI249+AJ249</f>
        <v>65</v>
      </c>
      <c r="AL249" s="24" t="n">
        <f aca="false">SUMIFS(Permissions!$G$2:$G$3000,Permissions!$B$2:$B$3000,$A249,Permissions!$I$2:$I$3000,"Expired – not started",Permissions!$P$2:$P$3000,"Yes")</f>
        <v>0</v>
      </c>
      <c r="AM249" s="24" t="n">
        <f aca="false">SUMIFS(Permissions!$G$2:$G$3000,Permissions!$B$2:$B$3000,$A249,Permissions!$I$2:$I$3000,"In planning",Permissions!$P$2:$P$3000,"Yes")</f>
        <v>0</v>
      </c>
      <c r="AN249" s="24" t="n">
        <f aca="false">IF(R249="",0,MAX(R249-AK249,0))</f>
        <v>0</v>
      </c>
      <c r="AO249" s="25" t="n">
        <f aca="false">AK249+AN249</f>
        <v>65</v>
      </c>
      <c r="AP249" s="24" t="n">
        <f aca="false">AO249-AG249</f>
        <v>14</v>
      </c>
      <c r="AQ249" s="26" t="n">
        <f aca="false">SUMIFS(Permissions!$AH$2:$AH$3000,Permissions!$B$2:$B$3000,$A249,Permissions!$P$2:$P$3000,"Yes")</f>
        <v>0</v>
      </c>
      <c r="AR249" s="26" t="n">
        <f aca="false">SUMIFS(Permissions!$AI$2:$AI$3000,Permissions!$B$2:$B$3000,$A249,Permissions!$P$2:$P$3000,"Yes")</f>
        <v>0</v>
      </c>
      <c r="AS249" s="26" t="n">
        <f aca="false">SUMIFS(Permissions!$AJ$2:$AJ$3000,Permissions!$B$2:$B$3000,$A249,Permissions!$P$2:$P$3000,"Yes")</f>
        <v>8.2</v>
      </c>
      <c r="AT249" s="26" t="n">
        <f aca="false">SUMIFS(Permissions!$AK$2:$AK$3000,Permissions!$B$2:$B$3000,$A249,Permissions!$P$2:$P$3000,"Yes")</f>
        <v>5.8</v>
      </c>
      <c r="AU249" s="26" t="n">
        <f aca="false">SUMIFS(Permissions!$AL$2:$AL$3000,Permissions!$B$2:$B$3000,$A249,Permissions!$P$2:$P$3000,"Yes")</f>
        <v>0</v>
      </c>
      <c r="AV249" s="26" t="n">
        <f aca="false">SUMIFS(Permissions!$AM$2:$AM$3000,Permissions!$B$2:$B$3000,$A249,Permissions!$P$2:$P$3000,"Yes")</f>
        <v>0</v>
      </c>
      <c r="AW249" s="24" t="n">
        <f aca="false">COUNTIFS(Permissions!$B$2:$B$3000,$A249,Permissions!$P$2:$P$3000,"Yes")</f>
        <v>2</v>
      </c>
      <c r="AX249" s="24" t="n">
        <f aca="false">SUMIFS(Permissions!$L$2:$L$3000,Permissions!$B$2:$B$3000,$A249,Permissions!$P$2:$P$3000,"Yes")</f>
        <v>51</v>
      </c>
      <c r="AY249" s="27" t="str">
        <f aca="false">IF(AND(AK249&gt;0,AG249&gt;=AK249,AN249=0),"Built out",IF(AG249&gt;0,"Partly built",IF(AK249&gt;0,"Consented – not built","No consent")))</f>
        <v>Partly built</v>
      </c>
      <c r="AZ249" s="28" t="str">
        <f aca="false">IF(AND(R249&lt;&gt;"",AK249&gt;1.1*R249),"Consented above capacity",IF(AND(LEFT(B249,8)="Planning",AW249=0),"Consent parcel with no permission",IF(COUNTIF($A$2:$A$3000,$A249)&gt;1,"Duplicate parcel_id","")))</f>
        <v/>
      </c>
    </row>
    <row r="250" customFormat="false" ht="15" hidden="false" customHeight="false" outlineLevel="0" collapsed="false">
      <c r="A250" s="15" t="s">
        <v>582</v>
      </c>
      <c r="B250" s="15" t="s">
        <v>12</v>
      </c>
      <c r="C250" s="15" t="s">
        <v>17</v>
      </c>
      <c r="D250" s="15" t="s">
        <v>70</v>
      </c>
      <c r="E250" s="15" t="s">
        <v>21</v>
      </c>
      <c r="F250" s="15" t="n">
        <v>1</v>
      </c>
      <c r="G250" s="15" t="s">
        <v>154</v>
      </c>
      <c r="H250" s="15"/>
      <c r="I250" s="15" t="s">
        <v>558</v>
      </c>
      <c r="J250" s="15" t="s">
        <v>583</v>
      </c>
      <c r="K250" s="15" t="s">
        <v>417</v>
      </c>
      <c r="L250" s="15"/>
      <c r="M250" s="15"/>
      <c r="N250" s="15"/>
      <c r="O250" s="15"/>
      <c r="P250" s="15" t="n">
        <v>0.318</v>
      </c>
      <c r="Q250" s="15" t="n">
        <v>0.318</v>
      </c>
      <c r="R250" s="15"/>
      <c r="S250" s="15" t="s">
        <v>346</v>
      </c>
      <c r="T250" s="15"/>
      <c r="U250" s="15"/>
      <c r="V250" s="15"/>
      <c r="W250" s="15"/>
      <c r="X250" s="15"/>
      <c r="Y250" s="15"/>
      <c r="Z250" s="15"/>
      <c r="AA250" s="15" t="n">
        <v>0</v>
      </c>
      <c r="AB250" s="15" t="n">
        <v>0</v>
      </c>
      <c r="AC250" s="15"/>
      <c r="AD250" s="15"/>
      <c r="AE250" s="15" t="s">
        <v>163</v>
      </c>
      <c r="AF250" s="15"/>
      <c r="AG250" s="24" t="n">
        <f aca="false">SUMIFS(Permissions!$G$2:$G$3000,Permissions!$B$2:$B$3000,$A250,Permissions!$I$2:$I$3000,"Complete",Permissions!$P$2:$P$3000,"Yes")</f>
        <v>0</v>
      </c>
      <c r="AH250" s="24" t="n">
        <f aca="false">SUMIFS(Permissions!$G$2:$G$3000,Permissions!$B$2:$B$3000,$A250,Permissions!$I$2:$I$3000,"Under construction",Permissions!$P$2:$P$3000,"Yes")</f>
        <v>0</v>
      </c>
      <c r="AI250" s="24" t="n">
        <f aca="false">SUMIFS(Permissions!$G$2:$G$3000,Permissions!$B$2:$B$3000,$A250,Permissions!$I$2:$I$3000,"Permitted – not started",Permissions!$P$2:$P$3000,"Yes")</f>
        <v>14</v>
      </c>
      <c r="AJ250" s="24" t="n">
        <f aca="false">SUMIFS(Permissions!$G$2:$G$3000,Permissions!$B$2:$B$3000,$A250,Permissions!$I$2:$I$3000,"Stalled",Permissions!$P$2:$P$3000,"Yes")</f>
        <v>0</v>
      </c>
      <c r="AK250" s="24" t="n">
        <f aca="false">AG250+AH250+AI250+AJ250</f>
        <v>14</v>
      </c>
      <c r="AL250" s="24" t="n">
        <f aca="false">SUMIFS(Permissions!$G$2:$G$3000,Permissions!$B$2:$B$3000,$A250,Permissions!$I$2:$I$3000,"Expired – not started",Permissions!$P$2:$P$3000,"Yes")</f>
        <v>0</v>
      </c>
      <c r="AM250" s="24" t="n">
        <f aca="false">SUMIFS(Permissions!$G$2:$G$3000,Permissions!$B$2:$B$3000,$A250,Permissions!$I$2:$I$3000,"In planning",Permissions!$P$2:$P$3000,"Yes")</f>
        <v>0</v>
      </c>
      <c r="AN250" s="24" t="n">
        <f aca="false">IF(R250="",0,MAX(R250-AK250,0))</f>
        <v>0</v>
      </c>
      <c r="AO250" s="25" t="n">
        <f aca="false">AK250+AN250</f>
        <v>14</v>
      </c>
      <c r="AP250" s="24" t="n">
        <f aca="false">AO250-AG250</f>
        <v>14</v>
      </c>
      <c r="AQ250" s="26" t="n">
        <f aca="false">SUMIFS(Permissions!$AH$2:$AH$3000,Permissions!$B$2:$B$3000,$A250,Permissions!$P$2:$P$3000,"Yes")</f>
        <v>0</v>
      </c>
      <c r="AR250" s="26" t="n">
        <f aca="false">SUMIFS(Permissions!$AI$2:$AI$3000,Permissions!$B$2:$B$3000,$A250,Permissions!$P$2:$P$3000,"Yes")</f>
        <v>0</v>
      </c>
      <c r="AS250" s="26" t="n">
        <f aca="false">SUMIFS(Permissions!$AJ$2:$AJ$3000,Permissions!$B$2:$B$3000,$A250,Permissions!$P$2:$P$3000,"Yes")</f>
        <v>8.2</v>
      </c>
      <c r="AT250" s="26" t="n">
        <f aca="false">SUMIFS(Permissions!$AK$2:$AK$3000,Permissions!$B$2:$B$3000,$A250,Permissions!$P$2:$P$3000,"Yes")</f>
        <v>5.8</v>
      </c>
      <c r="AU250" s="26" t="n">
        <f aca="false">SUMIFS(Permissions!$AL$2:$AL$3000,Permissions!$B$2:$B$3000,$A250,Permissions!$P$2:$P$3000,"Yes")</f>
        <v>0</v>
      </c>
      <c r="AV250" s="26" t="n">
        <f aca="false">SUMIFS(Permissions!$AM$2:$AM$3000,Permissions!$B$2:$B$3000,$A250,Permissions!$P$2:$P$3000,"Yes")</f>
        <v>0</v>
      </c>
      <c r="AW250" s="24" t="n">
        <f aca="false">COUNTIFS(Permissions!$B$2:$B$3000,$A250,Permissions!$P$2:$P$3000,"Yes")</f>
        <v>1</v>
      </c>
      <c r="AX250" s="24" t="n">
        <f aca="false">SUMIFS(Permissions!$L$2:$L$3000,Permissions!$B$2:$B$3000,$A250,Permissions!$P$2:$P$3000,"Yes")</f>
        <v>0</v>
      </c>
      <c r="AY250" s="27" t="str">
        <f aca="false">IF(AND(AK250&gt;0,AG250&gt;=AK250,AN250=0),"Built out",IF(AG250&gt;0,"Partly built",IF(AK250&gt;0,"Consented – not built","No consent")))</f>
        <v>Consented – not built</v>
      </c>
      <c r="AZ250" s="28" t="str">
        <f aca="false">IF(AND(R250&lt;&gt;"",AK250&gt;1.1*R250),"Consented above capacity",IF(AND(LEFT(B250,8)="Planning",AW250=0),"Consent parcel with no permission",IF(COUNTIF($A$2:$A$3000,$A250)&gt;1,"Duplicate parcel_id","")))</f>
        <v/>
      </c>
    </row>
    <row r="251" customFormat="false" ht="15" hidden="false" customHeight="false" outlineLevel="0" collapsed="false">
      <c r="A251" s="15" t="s">
        <v>584</v>
      </c>
      <c r="B251" s="15" t="s">
        <v>12</v>
      </c>
      <c r="C251" s="15" t="s">
        <v>17</v>
      </c>
      <c r="D251" s="15" t="s">
        <v>74</v>
      </c>
      <c r="E251" s="15" t="s">
        <v>21</v>
      </c>
      <c r="F251" s="15" t="n">
        <v>1</v>
      </c>
      <c r="G251" s="15" t="s">
        <v>154</v>
      </c>
      <c r="H251" s="15"/>
      <c r="I251" s="15" t="s">
        <v>558</v>
      </c>
      <c r="J251" s="15" t="s">
        <v>155</v>
      </c>
      <c r="K251" s="15" t="s">
        <v>585</v>
      </c>
      <c r="L251" s="15"/>
      <c r="M251" s="15"/>
      <c r="N251" s="15"/>
      <c r="O251" s="15"/>
      <c r="P251" s="15" t="n">
        <v>0.361</v>
      </c>
      <c r="Q251" s="15" t="n">
        <v>0.361</v>
      </c>
      <c r="R251" s="15"/>
      <c r="S251" s="15" t="s">
        <v>346</v>
      </c>
      <c r="T251" s="15"/>
      <c r="U251" s="15"/>
      <c r="V251" s="15"/>
      <c r="W251" s="15"/>
      <c r="X251" s="15"/>
      <c r="Y251" s="15"/>
      <c r="Z251" s="15"/>
      <c r="AA251" s="15" t="n">
        <v>9</v>
      </c>
      <c r="AB251" s="15" t="n">
        <v>9</v>
      </c>
      <c r="AC251" s="15"/>
      <c r="AD251" s="15"/>
      <c r="AE251" s="15" t="s">
        <v>163</v>
      </c>
      <c r="AF251" s="15"/>
      <c r="AG251" s="24" t="n">
        <f aca="false">SUMIFS(Permissions!$G$2:$G$3000,Permissions!$B$2:$B$3000,$A251,Permissions!$I$2:$I$3000,"Complete",Permissions!$P$2:$P$3000,"Yes")</f>
        <v>0</v>
      </c>
      <c r="AH251" s="24" t="n">
        <f aca="false">SUMIFS(Permissions!$G$2:$G$3000,Permissions!$B$2:$B$3000,$A251,Permissions!$I$2:$I$3000,"Under construction",Permissions!$P$2:$P$3000,"Yes")</f>
        <v>9</v>
      </c>
      <c r="AI251" s="24" t="n">
        <f aca="false">SUMIFS(Permissions!$G$2:$G$3000,Permissions!$B$2:$B$3000,$A251,Permissions!$I$2:$I$3000,"Permitted – not started",Permissions!$P$2:$P$3000,"Yes")</f>
        <v>0</v>
      </c>
      <c r="AJ251" s="24" t="n">
        <f aca="false">SUMIFS(Permissions!$G$2:$G$3000,Permissions!$B$2:$B$3000,$A251,Permissions!$I$2:$I$3000,"Stalled",Permissions!$P$2:$P$3000,"Yes")</f>
        <v>0</v>
      </c>
      <c r="AK251" s="24" t="n">
        <f aca="false">AG251+AH251+AI251+AJ251</f>
        <v>9</v>
      </c>
      <c r="AL251" s="24" t="n">
        <f aca="false">SUMIFS(Permissions!$G$2:$G$3000,Permissions!$B$2:$B$3000,$A251,Permissions!$I$2:$I$3000,"Expired – not started",Permissions!$P$2:$P$3000,"Yes")</f>
        <v>0</v>
      </c>
      <c r="AM251" s="24" t="n">
        <f aca="false">SUMIFS(Permissions!$G$2:$G$3000,Permissions!$B$2:$B$3000,$A251,Permissions!$I$2:$I$3000,"In planning",Permissions!$P$2:$P$3000,"Yes")</f>
        <v>0</v>
      </c>
      <c r="AN251" s="24" t="n">
        <f aca="false">IF(R251="",0,MAX(R251-AK251,0))</f>
        <v>0</v>
      </c>
      <c r="AO251" s="25" t="n">
        <f aca="false">AK251+AN251</f>
        <v>9</v>
      </c>
      <c r="AP251" s="24" t="n">
        <f aca="false">AO251-AG251</f>
        <v>9</v>
      </c>
      <c r="AQ251" s="26" t="n">
        <f aca="false">SUMIFS(Permissions!$AH$2:$AH$3000,Permissions!$B$2:$B$3000,$A251,Permissions!$P$2:$P$3000,"Yes")</f>
        <v>2.1</v>
      </c>
      <c r="AR251" s="26" t="n">
        <f aca="false">SUMIFS(Permissions!$AI$2:$AI$3000,Permissions!$B$2:$B$3000,$A251,Permissions!$P$2:$P$3000,"Yes")</f>
        <v>6.9</v>
      </c>
      <c r="AS251" s="26" t="n">
        <f aca="false">SUMIFS(Permissions!$AJ$2:$AJ$3000,Permissions!$B$2:$B$3000,$A251,Permissions!$P$2:$P$3000,"Yes")</f>
        <v>0</v>
      </c>
      <c r="AT251" s="26" t="n">
        <f aca="false">SUMIFS(Permissions!$AK$2:$AK$3000,Permissions!$B$2:$B$3000,$A251,Permissions!$P$2:$P$3000,"Yes")</f>
        <v>0</v>
      </c>
      <c r="AU251" s="26" t="n">
        <f aca="false">SUMIFS(Permissions!$AL$2:$AL$3000,Permissions!$B$2:$B$3000,$A251,Permissions!$P$2:$P$3000,"Yes")</f>
        <v>0</v>
      </c>
      <c r="AV251" s="26" t="n">
        <f aca="false">SUMIFS(Permissions!$AM$2:$AM$3000,Permissions!$B$2:$B$3000,$A251,Permissions!$P$2:$P$3000,"Yes")</f>
        <v>0</v>
      </c>
      <c r="AW251" s="24" t="n">
        <f aca="false">COUNTIFS(Permissions!$B$2:$B$3000,$A251,Permissions!$P$2:$P$3000,"Yes")</f>
        <v>1</v>
      </c>
      <c r="AX251" s="24" t="n">
        <f aca="false">SUMIFS(Permissions!$L$2:$L$3000,Permissions!$B$2:$B$3000,$A251,Permissions!$P$2:$P$3000,"Yes")</f>
        <v>8</v>
      </c>
      <c r="AY251" s="27" t="str">
        <f aca="false">IF(AND(AK251&gt;0,AG251&gt;=AK251,AN251=0),"Built out",IF(AG251&gt;0,"Partly built",IF(AK251&gt;0,"Consented – not built","No consent")))</f>
        <v>Consented – not built</v>
      </c>
      <c r="AZ251" s="28" t="str">
        <f aca="false">IF(AND(R251&lt;&gt;"",AK251&gt;1.1*R251),"Consented above capacity",IF(AND(LEFT(B251,8)="Planning",AW251=0),"Consent parcel with no permission",IF(COUNTIF($A$2:$A$3000,$A251)&gt;1,"Duplicate parcel_id","")))</f>
        <v/>
      </c>
    </row>
    <row r="252" customFormat="false" ht="15" hidden="false" customHeight="false" outlineLevel="0" collapsed="false">
      <c r="A252" s="15" t="s">
        <v>586</v>
      </c>
      <c r="B252" s="15" t="s">
        <v>12</v>
      </c>
      <c r="C252" s="15" t="s">
        <v>17</v>
      </c>
      <c r="D252" s="15" t="s">
        <v>22</v>
      </c>
      <c r="E252" s="15" t="s">
        <v>22</v>
      </c>
      <c r="F252" s="15"/>
      <c r="G252" s="15" t="s">
        <v>22</v>
      </c>
      <c r="H252" s="15"/>
      <c r="I252" s="15" t="s">
        <v>558</v>
      </c>
      <c r="J252" s="15" t="s">
        <v>583</v>
      </c>
      <c r="K252" s="15" t="s">
        <v>587</v>
      </c>
      <c r="L252" s="15"/>
      <c r="M252" s="15"/>
      <c r="N252" s="15"/>
      <c r="O252" s="15"/>
      <c r="P252" s="15" t="n">
        <v>1.683</v>
      </c>
      <c r="Q252" s="15" t="n">
        <v>1.683</v>
      </c>
      <c r="R252" s="15"/>
      <c r="S252" s="15" t="s">
        <v>346</v>
      </c>
      <c r="T252" s="15"/>
      <c r="U252" s="15"/>
      <c r="V252" s="15"/>
      <c r="W252" s="15"/>
      <c r="X252" s="15"/>
      <c r="Y252" s="15"/>
      <c r="Z252" s="15"/>
      <c r="AA252" s="15" t="n">
        <v>8</v>
      </c>
      <c r="AB252" s="15" t="n">
        <v>8</v>
      </c>
      <c r="AC252" s="15"/>
      <c r="AD252" s="15"/>
      <c r="AE252" s="15" t="s">
        <v>163</v>
      </c>
      <c r="AF252" s="15"/>
      <c r="AG252" s="24" t="n">
        <f aca="false">SUMIFS(Permissions!$G$2:$G$3000,Permissions!$B$2:$B$3000,$A252,Permissions!$I$2:$I$3000,"Complete",Permissions!$P$2:$P$3000,"Yes")</f>
        <v>4</v>
      </c>
      <c r="AH252" s="24" t="n">
        <f aca="false">SUMIFS(Permissions!$G$2:$G$3000,Permissions!$B$2:$B$3000,$A252,Permissions!$I$2:$I$3000,"Under construction",Permissions!$P$2:$P$3000,"Yes")</f>
        <v>0</v>
      </c>
      <c r="AI252" s="24" t="n">
        <f aca="false">SUMIFS(Permissions!$G$2:$G$3000,Permissions!$B$2:$B$3000,$A252,Permissions!$I$2:$I$3000,"Permitted – not started",Permissions!$P$2:$P$3000,"Yes")</f>
        <v>0</v>
      </c>
      <c r="AJ252" s="24" t="n">
        <f aca="false">SUMIFS(Permissions!$G$2:$G$3000,Permissions!$B$2:$B$3000,$A252,Permissions!$I$2:$I$3000,"Stalled",Permissions!$P$2:$P$3000,"Yes")</f>
        <v>0</v>
      </c>
      <c r="AK252" s="24" t="n">
        <f aca="false">AG252+AH252+AI252+AJ252</f>
        <v>4</v>
      </c>
      <c r="AL252" s="24" t="n">
        <f aca="false">SUMIFS(Permissions!$G$2:$G$3000,Permissions!$B$2:$B$3000,$A252,Permissions!$I$2:$I$3000,"Expired – not started",Permissions!$P$2:$P$3000,"Yes")</f>
        <v>0</v>
      </c>
      <c r="AM252" s="24" t="n">
        <f aca="false">SUMIFS(Permissions!$G$2:$G$3000,Permissions!$B$2:$B$3000,$A252,Permissions!$I$2:$I$3000,"In planning",Permissions!$P$2:$P$3000,"Yes")</f>
        <v>0</v>
      </c>
      <c r="AN252" s="24" t="n">
        <f aca="false">IF(R252="",0,MAX(R252-AK252,0))</f>
        <v>0</v>
      </c>
      <c r="AO252" s="25" t="n">
        <f aca="false">AK252+AN252</f>
        <v>4</v>
      </c>
      <c r="AP252" s="24" t="n">
        <f aca="false">AO252-AG252</f>
        <v>0</v>
      </c>
      <c r="AQ252" s="26" t="n">
        <f aca="false">SUMIFS(Permissions!$AH$2:$AH$3000,Permissions!$B$2:$B$3000,$A252,Permissions!$P$2:$P$3000,"Yes")</f>
        <v>0</v>
      </c>
      <c r="AR252" s="26" t="n">
        <f aca="false">SUMIFS(Permissions!$AI$2:$AI$3000,Permissions!$B$2:$B$3000,$A252,Permissions!$P$2:$P$3000,"Yes")</f>
        <v>0</v>
      </c>
      <c r="AS252" s="26" t="n">
        <f aca="false">SUMIFS(Permissions!$AJ$2:$AJ$3000,Permissions!$B$2:$B$3000,$A252,Permissions!$P$2:$P$3000,"Yes")</f>
        <v>0</v>
      </c>
      <c r="AT252" s="26" t="n">
        <f aca="false">SUMIFS(Permissions!$AK$2:$AK$3000,Permissions!$B$2:$B$3000,$A252,Permissions!$P$2:$P$3000,"Yes")</f>
        <v>0</v>
      </c>
      <c r="AU252" s="26" t="n">
        <f aca="false">SUMIFS(Permissions!$AL$2:$AL$3000,Permissions!$B$2:$B$3000,$A252,Permissions!$P$2:$P$3000,"Yes")</f>
        <v>0</v>
      </c>
      <c r="AV252" s="26" t="n">
        <f aca="false">SUMIFS(Permissions!$AM$2:$AM$3000,Permissions!$B$2:$B$3000,$A252,Permissions!$P$2:$P$3000,"Yes")</f>
        <v>0</v>
      </c>
      <c r="AW252" s="24" t="n">
        <f aca="false">COUNTIFS(Permissions!$B$2:$B$3000,$A252,Permissions!$P$2:$P$3000,"Yes")</f>
        <v>1</v>
      </c>
      <c r="AX252" s="24" t="n">
        <f aca="false">SUMIFS(Permissions!$L$2:$L$3000,Permissions!$B$2:$B$3000,$A252,Permissions!$P$2:$P$3000,"Yes")</f>
        <v>4</v>
      </c>
      <c r="AY252" s="27" t="str">
        <f aca="false">IF(AND(AK252&gt;0,AG252&gt;=AK252,AN252=0),"Built out",IF(AG252&gt;0,"Partly built",IF(AK252&gt;0,"Consented – not built","No consent")))</f>
        <v>Built out</v>
      </c>
      <c r="AZ252" s="28" t="str">
        <f aca="false">IF(AND(R252&lt;&gt;"",AK252&gt;1.1*R252),"Consented above capacity",IF(AND(LEFT(B252,8)="Planning",AW252=0),"Consent parcel with no permission",IF(COUNTIF($A$2:$A$3000,$A252)&gt;1,"Duplicate parcel_id","")))</f>
        <v/>
      </c>
    </row>
    <row r="253" customFormat="false" ht="15" hidden="false" customHeight="false" outlineLevel="0" collapsed="false">
      <c r="A253" s="15" t="s">
        <v>588</v>
      </c>
      <c r="B253" s="15" t="s">
        <v>12</v>
      </c>
      <c r="C253" s="15" t="s">
        <v>17</v>
      </c>
      <c r="D253" s="15" t="s">
        <v>70</v>
      </c>
      <c r="E253" s="15" t="s">
        <v>21</v>
      </c>
      <c r="F253" s="15" t="n">
        <v>1</v>
      </c>
      <c r="G253" s="15" t="s">
        <v>154</v>
      </c>
      <c r="H253" s="15"/>
      <c r="I253" s="15" t="s">
        <v>558</v>
      </c>
      <c r="J253" s="15" t="s">
        <v>583</v>
      </c>
      <c r="K253" s="15" t="s">
        <v>589</v>
      </c>
      <c r="L253" s="15"/>
      <c r="M253" s="15"/>
      <c r="N253" s="15"/>
      <c r="O253" s="15"/>
      <c r="P253" s="15" t="n">
        <v>0.432</v>
      </c>
      <c r="Q253" s="15" t="n">
        <v>0.432</v>
      </c>
      <c r="R253" s="15"/>
      <c r="S253" s="15" t="s">
        <v>346</v>
      </c>
      <c r="T253" s="15"/>
      <c r="U253" s="15"/>
      <c r="V253" s="15"/>
      <c r="W253" s="15"/>
      <c r="X253" s="15"/>
      <c r="Y253" s="15"/>
      <c r="Z253" s="15"/>
      <c r="AA253" s="15" t="n">
        <v>16</v>
      </c>
      <c r="AB253" s="15" t="n">
        <v>16</v>
      </c>
      <c r="AC253" s="15"/>
      <c r="AD253" s="15"/>
      <c r="AE253" s="15" t="s">
        <v>163</v>
      </c>
      <c r="AF253" s="15"/>
      <c r="AG253" s="24" t="n">
        <f aca="false">SUMIFS(Permissions!$G$2:$G$3000,Permissions!$B$2:$B$3000,$A253,Permissions!$I$2:$I$3000,"Complete",Permissions!$P$2:$P$3000,"Yes")</f>
        <v>16</v>
      </c>
      <c r="AH253" s="24" t="n">
        <f aca="false">SUMIFS(Permissions!$G$2:$G$3000,Permissions!$B$2:$B$3000,$A253,Permissions!$I$2:$I$3000,"Under construction",Permissions!$P$2:$P$3000,"Yes")</f>
        <v>0</v>
      </c>
      <c r="AI253" s="24" t="n">
        <f aca="false">SUMIFS(Permissions!$G$2:$G$3000,Permissions!$B$2:$B$3000,$A253,Permissions!$I$2:$I$3000,"Permitted – not started",Permissions!$P$2:$P$3000,"Yes")</f>
        <v>0</v>
      </c>
      <c r="AJ253" s="24" t="n">
        <f aca="false">SUMIFS(Permissions!$G$2:$G$3000,Permissions!$B$2:$B$3000,$A253,Permissions!$I$2:$I$3000,"Stalled",Permissions!$P$2:$P$3000,"Yes")</f>
        <v>0</v>
      </c>
      <c r="AK253" s="24" t="n">
        <f aca="false">AG253+AH253+AI253+AJ253</f>
        <v>16</v>
      </c>
      <c r="AL253" s="24" t="n">
        <f aca="false">SUMIFS(Permissions!$G$2:$G$3000,Permissions!$B$2:$B$3000,$A253,Permissions!$I$2:$I$3000,"Expired – not started",Permissions!$P$2:$P$3000,"Yes")</f>
        <v>0</v>
      </c>
      <c r="AM253" s="24" t="n">
        <f aca="false">SUMIFS(Permissions!$G$2:$G$3000,Permissions!$B$2:$B$3000,$A253,Permissions!$I$2:$I$3000,"In planning",Permissions!$P$2:$P$3000,"Yes")</f>
        <v>0</v>
      </c>
      <c r="AN253" s="24" t="n">
        <f aca="false">IF(R253="",0,MAX(R253-AK253,0))</f>
        <v>0</v>
      </c>
      <c r="AO253" s="25" t="n">
        <f aca="false">AK253+AN253</f>
        <v>16</v>
      </c>
      <c r="AP253" s="24" t="n">
        <f aca="false">AO253-AG253</f>
        <v>0</v>
      </c>
      <c r="AQ253" s="26" t="n">
        <f aca="false">SUMIFS(Permissions!$AH$2:$AH$3000,Permissions!$B$2:$B$3000,$A253,Permissions!$P$2:$P$3000,"Yes")</f>
        <v>0</v>
      </c>
      <c r="AR253" s="26" t="n">
        <f aca="false">SUMIFS(Permissions!$AI$2:$AI$3000,Permissions!$B$2:$B$3000,$A253,Permissions!$P$2:$P$3000,"Yes")</f>
        <v>0</v>
      </c>
      <c r="AS253" s="26" t="n">
        <f aca="false">SUMIFS(Permissions!$AJ$2:$AJ$3000,Permissions!$B$2:$B$3000,$A253,Permissions!$P$2:$P$3000,"Yes")</f>
        <v>0</v>
      </c>
      <c r="AT253" s="26" t="n">
        <f aca="false">SUMIFS(Permissions!$AK$2:$AK$3000,Permissions!$B$2:$B$3000,$A253,Permissions!$P$2:$P$3000,"Yes")</f>
        <v>0</v>
      </c>
      <c r="AU253" s="26" t="n">
        <f aca="false">SUMIFS(Permissions!$AL$2:$AL$3000,Permissions!$B$2:$B$3000,$A253,Permissions!$P$2:$P$3000,"Yes")</f>
        <v>0</v>
      </c>
      <c r="AV253" s="26" t="n">
        <f aca="false">SUMIFS(Permissions!$AM$2:$AM$3000,Permissions!$B$2:$B$3000,$A253,Permissions!$P$2:$P$3000,"Yes")</f>
        <v>0</v>
      </c>
      <c r="AW253" s="24" t="n">
        <f aca="false">COUNTIFS(Permissions!$B$2:$B$3000,$A253,Permissions!$P$2:$P$3000,"Yes")</f>
        <v>1</v>
      </c>
      <c r="AX253" s="24" t="n">
        <f aca="false">SUMIFS(Permissions!$L$2:$L$3000,Permissions!$B$2:$B$3000,$A253,Permissions!$P$2:$P$3000,"Yes")</f>
        <v>16</v>
      </c>
      <c r="AY253" s="27" t="str">
        <f aca="false">IF(AND(AK253&gt;0,AG253&gt;=AK253,AN253=0),"Built out",IF(AG253&gt;0,"Partly built",IF(AK253&gt;0,"Consented – not built","No consent")))</f>
        <v>Built out</v>
      </c>
      <c r="AZ253" s="28" t="str">
        <f aca="false">IF(AND(R253&lt;&gt;"",AK253&gt;1.1*R253),"Consented above capacity",IF(AND(LEFT(B253,8)="Planning",AW253=0),"Consent parcel with no permission",IF(COUNTIF($A$2:$A$3000,$A253)&gt;1,"Duplicate parcel_id","")))</f>
        <v/>
      </c>
    </row>
    <row r="254" customFormat="false" ht="15" hidden="false" customHeight="false" outlineLevel="0" collapsed="false">
      <c r="A254" s="15" t="s">
        <v>590</v>
      </c>
      <c r="B254" s="15" t="s">
        <v>12</v>
      </c>
      <c r="C254" s="15" t="s">
        <v>17</v>
      </c>
      <c r="D254" s="15" t="s">
        <v>22</v>
      </c>
      <c r="E254" s="15" t="s">
        <v>22</v>
      </c>
      <c r="F254" s="15"/>
      <c r="G254" s="15" t="s">
        <v>22</v>
      </c>
      <c r="H254" s="15"/>
      <c r="I254" s="15" t="s">
        <v>558</v>
      </c>
      <c r="J254" s="15" t="s">
        <v>559</v>
      </c>
      <c r="K254" s="15" t="s">
        <v>365</v>
      </c>
      <c r="L254" s="15"/>
      <c r="M254" s="15"/>
      <c r="N254" s="15"/>
      <c r="O254" s="15"/>
      <c r="P254" s="15" t="n">
        <v>1.004</v>
      </c>
      <c r="Q254" s="15" t="n">
        <v>1.004</v>
      </c>
      <c r="R254" s="15"/>
      <c r="S254" s="15" t="s">
        <v>346</v>
      </c>
      <c r="T254" s="15"/>
      <c r="U254" s="15"/>
      <c r="V254" s="15"/>
      <c r="W254" s="15"/>
      <c r="X254" s="15"/>
      <c r="Y254" s="15"/>
      <c r="Z254" s="15"/>
      <c r="AA254" s="15" t="n">
        <v>17</v>
      </c>
      <c r="AB254" s="15" t="n">
        <v>17</v>
      </c>
      <c r="AC254" s="15"/>
      <c r="AD254" s="15"/>
      <c r="AE254" s="15" t="s">
        <v>163</v>
      </c>
      <c r="AF254" s="15"/>
      <c r="AG254" s="24" t="n">
        <f aca="false">SUMIFS(Permissions!$G$2:$G$3000,Permissions!$B$2:$B$3000,$A254,Permissions!$I$2:$I$3000,"Complete",Permissions!$P$2:$P$3000,"Yes")</f>
        <v>17</v>
      </c>
      <c r="AH254" s="24" t="n">
        <f aca="false">SUMIFS(Permissions!$G$2:$G$3000,Permissions!$B$2:$B$3000,$A254,Permissions!$I$2:$I$3000,"Under construction",Permissions!$P$2:$P$3000,"Yes")</f>
        <v>0</v>
      </c>
      <c r="AI254" s="24" t="n">
        <f aca="false">SUMIFS(Permissions!$G$2:$G$3000,Permissions!$B$2:$B$3000,$A254,Permissions!$I$2:$I$3000,"Permitted – not started",Permissions!$P$2:$P$3000,"Yes")</f>
        <v>0</v>
      </c>
      <c r="AJ254" s="24" t="n">
        <f aca="false">SUMIFS(Permissions!$G$2:$G$3000,Permissions!$B$2:$B$3000,$A254,Permissions!$I$2:$I$3000,"Stalled",Permissions!$P$2:$P$3000,"Yes")</f>
        <v>0</v>
      </c>
      <c r="AK254" s="24" t="n">
        <f aca="false">AG254+AH254+AI254+AJ254</f>
        <v>17</v>
      </c>
      <c r="AL254" s="24" t="n">
        <f aca="false">SUMIFS(Permissions!$G$2:$G$3000,Permissions!$B$2:$B$3000,$A254,Permissions!$I$2:$I$3000,"Expired – not started",Permissions!$P$2:$P$3000,"Yes")</f>
        <v>0</v>
      </c>
      <c r="AM254" s="24" t="n">
        <f aca="false">SUMIFS(Permissions!$G$2:$G$3000,Permissions!$B$2:$B$3000,$A254,Permissions!$I$2:$I$3000,"In planning",Permissions!$P$2:$P$3000,"Yes")</f>
        <v>0</v>
      </c>
      <c r="AN254" s="24" t="n">
        <f aca="false">IF(R254="",0,MAX(R254-AK254,0))</f>
        <v>0</v>
      </c>
      <c r="AO254" s="25" t="n">
        <f aca="false">AK254+AN254</f>
        <v>17</v>
      </c>
      <c r="AP254" s="24" t="n">
        <f aca="false">AO254-AG254</f>
        <v>0</v>
      </c>
      <c r="AQ254" s="26" t="n">
        <f aca="false">SUMIFS(Permissions!$AH$2:$AH$3000,Permissions!$B$2:$B$3000,$A254,Permissions!$P$2:$P$3000,"Yes")</f>
        <v>0</v>
      </c>
      <c r="AR254" s="26" t="n">
        <f aca="false">SUMIFS(Permissions!$AI$2:$AI$3000,Permissions!$B$2:$B$3000,$A254,Permissions!$P$2:$P$3000,"Yes")</f>
        <v>0</v>
      </c>
      <c r="AS254" s="26" t="n">
        <f aca="false">SUMIFS(Permissions!$AJ$2:$AJ$3000,Permissions!$B$2:$B$3000,$A254,Permissions!$P$2:$P$3000,"Yes")</f>
        <v>0</v>
      </c>
      <c r="AT254" s="26" t="n">
        <f aca="false">SUMIFS(Permissions!$AK$2:$AK$3000,Permissions!$B$2:$B$3000,$A254,Permissions!$P$2:$P$3000,"Yes")</f>
        <v>0</v>
      </c>
      <c r="AU254" s="26" t="n">
        <f aca="false">SUMIFS(Permissions!$AL$2:$AL$3000,Permissions!$B$2:$B$3000,$A254,Permissions!$P$2:$P$3000,"Yes")</f>
        <v>0</v>
      </c>
      <c r="AV254" s="26" t="n">
        <f aca="false">SUMIFS(Permissions!$AM$2:$AM$3000,Permissions!$B$2:$B$3000,$A254,Permissions!$P$2:$P$3000,"Yes")</f>
        <v>0</v>
      </c>
      <c r="AW254" s="24" t="n">
        <f aca="false">COUNTIFS(Permissions!$B$2:$B$3000,$A254,Permissions!$P$2:$P$3000,"Yes")</f>
        <v>2</v>
      </c>
      <c r="AX254" s="24" t="n">
        <f aca="false">SUMIFS(Permissions!$L$2:$L$3000,Permissions!$B$2:$B$3000,$A254,Permissions!$P$2:$P$3000,"Yes")</f>
        <v>17</v>
      </c>
      <c r="AY254" s="27" t="str">
        <f aca="false">IF(AND(AK254&gt;0,AG254&gt;=AK254,AN254=0),"Built out",IF(AG254&gt;0,"Partly built",IF(AK254&gt;0,"Consented – not built","No consent")))</f>
        <v>Built out</v>
      </c>
      <c r="AZ254" s="28" t="str">
        <f aca="false">IF(AND(R254&lt;&gt;"",AK254&gt;1.1*R254),"Consented above capacity",IF(AND(LEFT(B254,8)="Planning",AW254=0),"Consent parcel with no permission",IF(COUNTIF($A$2:$A$3000,$A254)&gt;1,"Duplicate parcel_id","")))</f>
        <v/>
      </c>
    </row>
    <row r="255" customFormat="false" ht="15" hidden="false" customHeight="false" outlineLevel="0" collapsed="false">
      <c r="A255" s="15" t="s">
        <v>591</v>
      </c>
      <c r="B255" s="15" t="s">
        <v>12</v>
      </c>
      <c r="C255" s="15" t="s">
        <v>17</v>
      </c>
      <c r="D255" s="15" t="s">
        <v>22</v>
      </c>
      <c r="E255" s="15" t="s">
        <v>22</v>
      </c>
      <c r="F255" s="15"/>
      <c r="G255" s="15" t="s">
        <v>22</v>
      </c>
      <c r="H255" s="15"/>
      <c r="I255" s="15" t="s">
        <v>558</v>
      </c>
      <c r="J255" s="15" t="s">
        <v>205</v>
      </c>
      <c r="K255" s="15" t="s">
        <v>592</v>
      </c>
      <c r="L255" s="15"/>
      <c r="M255" s="15"/>
      <c r="N255" s="15"/>
      <c r="O255" s="15"/>
      <c r="P255" s="15" t="n">
        <v>0.861</v>
      </c>
      <c r="Q255" s="15" t="n">
        <v>0.861</v>
      </c>
      <c r="R255" s="15"/>
      <c r="S255" s="15" t="s">
        <v>346</v>
      </c>
      <c r="T255" s="15"/>
      <c r="U255" s="15"/>
      <c r="V255" s="15"/>
      <c r="W255" s="15"/>
      <c r="X255" s="15"/>
      <c r="Y255" s="15"/>
      <c r="Z255" s="15"/>
      <c r="AA255" s="15" t="n">
        <v>0</v>
      </c>
      <c r="AB255" s="15" t="n">
        <v>0</v>
      </c>
      <c r="AC255" s="15"/>
      <c r="AD255" s="15"/>
      <c r="AE255" s="15" t="s">
        <v>163</v>
      </c>
      <c r="AF255" s="15"/>
      <c r="AG255" s="24" t="n">
        <f aca="false">SUMIFS(Permissions!$G$2:$G$3000,Permissions!$B$2:$B$3000,$A255,Permissions!$I$2:$I$3000,"Complete",Permissions!$P$2:$P$3000,"Yes")</f>
        <v>0</v>
      </c>
      <c r="AH255" s="24" t="n">
        <f aca="false">SUMIFS(Permissions!$G$2:$G$3000,Permissions!$B$2:$B$3000,$A255,Permissions!$I$2:$I$3000,"Under construction",Permissions!$P$2:$P$3000,"Yes")</f>
        <v>0</v>
      </c>
      <c r="AI255" s="24" t="n">
        <f aca="false">SUMIFS(Permissions!$G$2:$G$3000,Permissions!$B$2:$B$3000,$A255,Permissions!$I$2:$I$3000,"Permitted – not started",Permissions!$P$2:$P$3000,"Yes")</f>
        <v>12</v>
      </c>
      <c r="AJ255" s="24" t="n">
        <f aca="false">SUMIFS(Permissions!$G$2:$G$3000,Permissions!$B$2:$B$3000,$A255,Permissions!$I$2:$I$3000,"Stalled",Permissions!$P$2:$P$3000,"Yes")</f>
        <v>0</v>
      </c>
      <c r="AK255" s="24" t="n">
        <f aca="false">AG255+AH255+AI255+AJ255</f>
        <v>12</v>
      </c>
      <c r="AL255" s="24" t="n">
        <f aca="false">SUMIFS(Permissions!$G$2:$G$3000,Permissions!$B$2:$B$3000,$A255,Permissions!$I$2:$I$3000,"Expired – not started",Permissions!$P$2:$P$3000,"Yes")</f>
        <v>0</v>
      </c>
      <c r="AM255" s="24" t="n">
        <f aca="false">SUMIFS(Permissions!$G$2:$G$3000,Permissions!$B$2:$B$3000,$A255,Permissions!$I$2:$I$3000,"In planning",Permissions!$P$2:$P$3000,"Yes")</f>
        <v>0</v>
      </c>
      <c r="AN255" s="24" t="n">
        <f aca="false">IF(R255="",0,MAX(R255-AK255,0))</f>
        <v>0</v>
      </c>
      <c r="AO255" s="25" t="n">
        <f aca="false">AK255+AN255</f>
        <v>12</v>
      </c>
      <c r="AP255" s="24" t="n">
        <f aca="false">AO255-AG255</f>
        <v>12</v>
      </c>
      <c r="AQ255" s="26" t="n">
        <f aca="false">SUMIFS(Permissions!$AH$2:$AH$3000,Permissions!$B$2:$B$3000,$A255,Permissions!$P$2:$P$3000,"Yes")</f>
        <v>0</v>
      </c>
      <c r="AR255" s="26" t="n">
        <f aca="false">SUMIFS(Permissions!$AI$2:$AI$3000,Permissions!$B$2:$B$3000,$A255,Permissions!$P$2:$P$3000,"Yes")</f>
        <v>0</v>
      </c>
      <c r="AS255" s="26" t="n">
        <f aca="false">SUMIFS(Permissions!$AJ$2:$AJ$3000,Permissions!$B$2:$B$3000,$A255,Permissions!$P$2:$P$3000,"Yes")</f>
        <v>7</v>
      </c>
      <c r="AT255" s="26" t="n">
        <f aca="false">SUMIFS(Permissions!$AK$2:$AK$3000,Permissions!$B$2:$B$3000,$A255,Permissions!$P$2:$P$3000,"Yes")</f>
        <v>5</v>
      </c>
      <c r="AU255" s="26" t="n">
        <f aca="false">SUMIFS(Permissions!$AL$2:$AL$3000,Permissions!$B$2:$B$3000,$A255,Permissions!$P$2:$P$3000,"Yes")</f>
        <v>0</v>
      </c>
      <c r="AV255" s="26" t="n">
        <f aca="false">SUMIFS(Permissions!$AM$2:$AM$3000,Permissions!$B$2:$B$3000,$A255,Permissions!$P$2:$P$3000,"Yes")</f>
        <v>0</v>
      </c>
      <c r="AW255" s="24" t="n">
        <f aca="false">COUNTIFS(Permissions!$B$2:$B$3000,$A255,Permissions!$P$2:$P$3000,"Yes")</f>
        <v>1</v>
      </c>
      <c r="AX255" s="24" t="n">
        <f aca="false">SUMIFS(Permissions!$L$2:$L$3000,Permissions!$B$2:$B$3000,$A255,Permissions!$P$2:$P$3000,"Yes")</f>
        <v>0</v>
      </c>
      <c r="AY255" s="27" t="str">
        <f aca="false">IF(AND(AK255&gt;0,AG255&gt;=AK255,AN255=0),"Built out",IF(AG255&gt;0,"Partly built",IF(AK255&gt;0,"Consented – not built","No consent")))</f>
        <v>Consented – not built</v>
      </c>
      <c r="AZ255" s="28" t="str">
        <f aca="false">IF(AND(R255&lt;&gt;"",AK255&gt;1.1*R255),"Consented above capacity",IF(AND(LEFT(B255,8)="Planning",AW255=0),"Consent parcel with no permission",IF(COUNTIF($A$2:$A$3000,$A255)&gt;1,"Duplicate parcel_id","")))</f>
        <v/>
      </c>
    </row>
    <row r="256" customFormat="false" ht="15" hidden="false" customHeight="false" outlineLevel="0" collapsed="false">
      <c r="A256" s="15" t="s">
        <v>593</v>
      </c>
      <c r="B256" s="15" t="s">
        <v>12</v>
      </c>
      <c r="C256" s="15" t="s">
        <v>17</v>
      </c>
      <c r="D256" s="15" t="s">
        <v>67</v>
      </c>
      <c r="E256" s="15" t="s">
        <v>21</v>
      </c>
      <c r="F256" s="15" t="n">
        <v>0.43</v>
      </c>
      <c r="G256" s="15" t="s">
        <v>154</v>
      </c>
      <c r="H256" s="15"/>
      <c r="I256" s="15" t="s">
        <v>558</v>
      </c>
      <c r="J256" s="15" t="s">
        <v>583</v>
      </c>
      <c r="K256" s="15" t="s">
        <v>594</v>
      </c>
      <c r="L256" s="15"/>
      <c r="M256" s="15"/>
      <c r="N256" s="15"/>
      <c r="O256" s="15"/>
      <c r="P256" s="15" t="n">
        <v>2.18</v>
      </c>
      <c r="Q256" s="15" t="n">
        <v>2.18</v>
      </c>
      <c r="R256" s="15"/>
      <c r="S256" s="15" t="s">
        <v>346</v>
      </c>
      <c r="T256" s="15"/>
      <c r="U256" s="15"/>
      <c r="V256" s="15"/>
      <c r="W256" s="15"/>
      <c r="X256" s="15"/>
      <c r="Y256" s="15"/>
      <c r="Z256" s="15"/>
      <c r="AA256" s="15" t="n">
        <v>0</v>
      </c>
      <c r="AB256" s="15" t="n">
        <v>0</v>
      </c>
      <c r="AC256" s="15"/>
      <c r="AD256" s="15"/>
      <c r="AE256" s="15" t="s">
        <v>163</v>
      </c>
      <c r="AF256" s="15"/>
      <c r="AG256" s="24" t="n">
        <f aca="false">SUMIFS(Permissions!$G$2:$G$3000,Permissions!$B$2:$B$3000,$A256,Permissions!$I$2:$I$3000,"Complete",Permissions!$P$2:$P$3000,"Yes")</f>
        <v>0</v>
      </c>
      <c r="AH256" s="24" t="n">
        <f aca="false">SUMIFS(Permissions!$G$2:$G$3000,Permissions!$B$2:$B$3000,$A256,Permissions!$I$2:$I$3000,"Under construction",Permissions!$P$2:$P$3000,"Yes")</f>
        <v>0</v>
      </c>
      <c r="AI256" s="24" t="n">
        <f aca="false">SUMIFS(Permissions!$G$2:$G$3000,Permissions!$B$2:$B$3000,$A256,Permissions!$I$2:$I$3000,"Permitted – not started",Permissions!$P$2:$P$3000,"Yes")</f>
        <v>31</v>
      </c>
      <c r="AJ256" s="24" t="n">
        <f aca="false">SUMIFS(Permissions!$G$2:$G$3000,Permissions!$B$2:$B$3000,$A256,Permissions!$I$2:$I$3000,"Stalled",Permissions!$P$2:$P$3000,"Yes")</f>
        <v>0</v>
      </c>
      <c r="AK256" s="24" t="n">
        <f aca="false">AG256+AH256+AI256+AJ256</f>
        <v>31</v>
      </c>
      <c r="AL256" s="24" t="n">
        <f aca="false">SUMIFS(Permissions!$G$2:$G$3000,Permissions!$B$2:$B$3000,$A256,Permissions!$I$2:$I$3000,"Expired – not started",Permissions!$P$2:$P$3000,"Yes")</f>
        <v>0</v>
      </c>
      <c r="AM256" s="24" t="n">
        <f aca="false">SUMIFS(Permissions!$G$2:$G$3000,Permissions!$B$2:$B$3000,$A256,Permissions!$I$2:$I$3000,"In planning",Permissions!$P$2:$P$3000,"Yes")</f>
        <v>0</v>
      </c>
      <c r="AN256" s="24" t="n">
        <f aca="false">IF(R256="",0,MAX(R256-AK256,0))</f>
        <v>0</v>
      </c>
      <c r="AO256" s="25" t="n">
        <f aca="false">AK256+AN256</f>
        <v>31</v>
      </c>
      <c r="AP256" s="24" t="n">
        <f aca="false">AO256-AG256</f>
        <v>31</v>
      </c>
      <c r="AQ256" s="26" t="n">
        <f aca="false">SUMIFS(Permissions!$AH$2:$AH$3000,Permissions!$B$2:$B$3000,$A256,Permissions!$P$2:$P$3000,"Yes")</f>
        <v>0</v>
      </c>
      <c r="AR256" s="26" t="n">
        <f aca="false">SUMIFS(Permissions!$AI$2:$AI$3000,Permissions!$B$2:$B$3000,$A256,Permissions!$P$2:$P$3000,"Yes")</f>
        <v>0</v>
      </c>
      <c r="AS256" s="26" t="n">
        <f aca="false">SUMIFS(Permissions!$AJ$2:$AJ$3000,Permissions!$B$2:$B$3000,$A256,Permissions!$P$2:$P$3000,"Yes")</f>
        <v>23.6</v>
      </c>
      <c r="AT256" s="26" t="n">
        <f aca="false">SUMIFS(Permissions!$AK$2:$AK$3000,Permissions!$B$2:$B$3000,$A256,Permissions!$P$2:$P$3000,"Yes")</f>
        <v>7.4</v>
      </c>
      <c r="AU256" s="26" t="n">
        <f aca="false">SUMIFS(Permissions!$AL$2:$AL$3000,Permissions!$B$2:$B$3000,$A256,Permissions!$P$2:$P$3000,"Yes")</f>
        <v>0</v>
      </c>
      <c r="AV256" s="26" t="n">
        <f aca="false">SUMIFS(Permissions!$AM$2:$AM$3000,Permissions!$B$2:$B$3000,$A256,Permissions!$P$2:$P$3000,"Yes")</f>
        <v>0</v>
      </c>
      <c r="AW256" s="24" t="n">
        <f aca="false">COUNTIFS(Permissions!$B$2:$B$3000,$A256,Permissions!$P$2:$P$3000,"Yes")</f>
        <v>1</v>
      </c>
      <c r="AX256" s="24" t="n">
        <f aca="false">SUMIFS(Permissions!$L$2:$L$3000,Permissions!$B$2:$B$3000,$A256,Permissions!$P$2:$P$3000,"Yes")</f>
        <v>2</v>
      </c>
      <c r="AY256" s="27" t="str">
        <f aca="false">IF(AND(AK256&gt;0,AG256&gt;=AK256,AN256=0),"Built out",IF(AG256&gt;0,"Partly built",IF(AK256&gt;0,"Consented – not built","No consent")))</f>
        <v>Consented – not built</v>
      </c>
      <c r="AZ256" s="28" t="str">
        <f aca="false">IF(AND(R256&lt;&gt;"",AK256&gt;1.1*R256),"Consented above capacity",IF(AND(LEFT(B256,8)="Planning",AW256=0),"Consent parcel with no permission",IF(COUNTIF($A$2:$A$3000,$A256)&gt;1,"Duplicate parcel_id","")))</f>
        <v/>
      </c>
    </row>
    <row r="257" customFormat="false" ht="15" hidden="false" customHeight="false" outlineLevel="0" collapsed="false">
      <c r="A257" s="15" t="s">
        <v>595</v>
      </c>
      <c r="B257" s="15" t="s">
        <v>12</v>
      </c>
      <c r="C257" s="15" t="s">
        <v>17</v>
      </c>
      <c r="D257" s="15" t="s">
        <v>69</v>
      </c>
      <c r="E257" s="15" t="s">
        <v>21</v>
      </c>
      <c r="F257" s="15" t="n">
        <v>1</v>
      </c>
      <c r="G257" s="15" t="s">
        <v>154</v>
      </c>
      <c r="H257" s="15"/>
      <c r="I257" s="15" t="s">
        <v>558</v>
      </c>
      <c r="J257" s="15" t="s">
        <v>559</v>
      </c>
      <c r="K257" s="15" t="s">
        <v>596</v>
      </c>
      <c r="L257" s="15"/>
      <c r="M257" s="15"/>
      <c r="N257" s="15"/>
      <c r="O257" s="15"/>
      <c r="P257" s="15" t="n">
        <v>0.253</v>
      </c>
      <c r="Q257" s="15" t="n">
        <v>0.253</v>
      </c>
      <c r="R257" s="15"/>
      <c r="S257" s="15" t="s">
        <v>346</v>
      </c>
      <c r="T257" s="15"/>
      <c r="U257" s="15"/>
      <c r="V257" s="15"/>
      <c r="W257" s="15"/>
      <c r="X257" s="15"/>
      <c r="Y257" s="15"/>
      <c r="Z257" s="15"/>
      <c r="AA257" s="15" t="n">
        <v>10</v>
      </c>
      <c r="AB257" s="15" t="n">
        <v>10</v>
      </c>
      <c r="AC257" s="15"/>
      <c r="AD257" s="15"/>
      <c r="AE257" s="15" t="s">
        <v>163</v>
      </c>
      <c r="AF257" s="15"/>
      <c r="AG257" s="24" t="n">
        <f aca="false">SUMIFS(Permissions!$G$2:$G$3000,Permissions!$B$2:$B$3000,$A257,Permissions!$I$2:$I$3000,"Complete",Permissions!$P$2:$P$3000,"Yes")</f>
        <v>10</v>
      </c>
      <c r="AH257" s="24" t="n">
        <f aca="false">SUMIFS(Permissions!$G$2:$G$3000,Permissions!$B$2:$B$3000,$A257,Permissions!$I$2:$I$3000,"Under construction",Permissions!$P$2:$P$3000,"Yes")</f>
        <v>0</v>
      </c>
      <c r="AI257" s="24" t="n">
        <f aca="false">SUMIFS(Permissions!$G$2:$G$3000,Permissions!$B$2:$B$3000,$A257,Permissions!$I$2:$I$3000,"Permitted – not started",Permissions!$P$2:$P$3000,"Yes")</f>
        <v>0</v>
      </c>
      <c r="AJ257" s="24" t="n">
        <f aca="false">SUMIFS(Permissions!$G$2:$G$3000,Permissions!$B$2:$B$3000,$A257,Permissions!$I$2:$I$3000,"Stalled",Permissions!$P$2:$P$3000,"Yes")</f>
        <v>0</v>
      </c>
      <c r="AK257" s="24" t="n">
        <f aca="false">AG257+AH257+AI257+AJ257</f>
        <v>10</v>
      </c>
      <c r="AL257" s="24" t="n">
        <f aca="false">SUMIFS(Permissions!$G$2:$G$3000,Permissions!$B$2:$B$3000,$A257,Permissions!$I$2:$I$3000,"Expired – not started",Permissions!$P$2:$P$3000,"Yes")</f>
        <v>0</v>
      </c>
      <c r="AM257" s="24" t="n">
        <f aca="false">SUMIFS(Permissions!$G$2:$G$3000,Permissions!$B$2:$B$3000,$A257,Permissions!$I$2:$I$3000,"In planning",Permissions!$P$2:$P$3000,"Yes")</f>
        <v>0</v>
      </c>
      <c r="AN257" s="24" t="n">
        <f aca="false">IF(R257="",0,MAX(R257-AK257,0))</f>
        <v>0</v>
      </c>
      <c r="AO257" s="25" t="n">
        <f aca="false">AK257+AN257</f>
        <v>10</v>
      </c>
      <c r="AP257" s="24" t="n">
        <f aca="false">AO257-AG257</f>
        <v>0</v>
      </c>
      <c r="AQ257" s="26" t="n">
        <f aca="false">SUMIFS(Permissions!$AH$2:$AH$3000,Permissions!$B$2:$B$3000,$A257,Permissions!$P$2:$P$3000,"Yes")</f>
        <v>0</v>
      </c>
      <c r="AR257" s="26" t="n">
        <f aca="false">SUMIFS(Permissions!$AI$2:$AI$3000,Permissions!$B$2:$B$3000,$A257,Permissions!$P$2:$P$3000,"Yes")</f>
        <v>0</v>
      </c>
      <c r="AS257" s="26" t="n">
        <f aca="false">SUMIFS(Permissions!$AJ$2:$AJ$3000,Permissions!$B$2:$B$3000,$A257,Permissions!$P$2:$P$3000,"Yes")</f>
        <v>0</v>
      </c>
      <c r="AT257" s="26" t="n">
        <f aca="false">SUMIFS(Permissions!$AK$2:$AK$3000,Permissions!$B$2:$B$3000,$A257,Permissions!$P$2:$P$3000,"Yes")</f>
        <v>0</v>
      </c>
      <c r="AU257" s="26" t="n">
        <f aca="false">SUMIFS(Permissions!$AL$2:$AL$3000,Permissions!$B$2:$B$3000,$A257,Permissions!$P$2:$P$3000,"Yes")</f>
        <v>0</v>
      </c>
      <c r="AV257" s="26" t="n">
        <f aca="false">SUMIFS(Permissions!$AM$2:$AM$3000,Permissions!$B$2:$B$3000,$A257,Permissions!$P$2:$P$3000,"Yes")</f>
        <v>0</v>
      </c>
      <c r="AW257" s="24" t="n">
        <f aca="false">COUNTIFS(Permissions!$B$2:$B$3000,$A257,Permissions!$P$2:$P$3000,"Yes")</f>
        <v>1</v>
      </c>
      <c r="AX257" s="24" t="n">
        <f aca="false">SUMIFS(Permissions!$L$2:$L$3000,Permissions!$B$2:$B$3000,$A257,Permissions!$P$2:$P$3000,"Yes")</f>
        <v>10</v>
      </c>
      <c r="AY257" s="27" t="str">
        <f aca="false">IF(AND(AK257&gt;0,AG257&gt;=AK257,AN257=0),"Built out",IF(AG257&gt;0,"Partly built",IF(AK257&gt;0,"Consented – not built","No consent")))</f>
        <v>Built out</v>
      </c>
      <c r="AZ257" s="28" t="str">
        <f aca="false">IF(AND(R257&lt;&gt;"",AK257&gt;1.1*R257),"Consented above capacity",IF(AND(LEFT(B257,8)="Planning",AW257=0),"Consent parcel with no permission",IF(COUNTIF($A$2:$A$3000,$A257)&gt;1,"Duplicate parcel_id","")))</f>
        <v/>
      </c>
    </row>
    <row r="258" customFormat="false" ht="15" hidden="false" customHeight="false" outlineLevel="0" collapsed="false">
      <c r="A258" s="15" t="s">
        <v>597</v>
      </c>
      <c r="B258" s="15" t="s">
        <v>12</v>
      </c>
      <c r="C258" s="15" t="s">
        <v>17</v>
      </c>
      <c r="D258" s="15" t="s">
        <v>67</v>
      </c>
      <c r="E258" s="15" t="s">
        <v>21</v>
      </c>
      <c r="F258" s="15" t="n">
        <v>0.26</v>
      </c>
      <c r="G258" s="15" t="s">
        <v>154</v>
      </c>
      <c r="H258" s="15"/>
      <c r="I258" s="15" t="s">
        <v>558</v>
      </c>
      <c r="J258" s="15" t="s">
        <v>583</v>
      </c>
      <c r="K258" s="15" t="s">
        <v>598</v>
      </c>
      <c r="L258" s="15"/>
      <c r="M258" s="15"/>
      <c r="N258" s="15"/>
      <c r="O258" s="15"/>
      <c r="P258" s="15" t="n">
        <v>0.735</v>
      </c>
      <c r="Q258" s="15" t="n">
        <v>0.735</v>
      </c>
      <c r="R258" s="15"/>
      <c r="S258" s="15" t="s">
        <v>346</v>
      </c>
      <c r="T258" s="15"/>
      <c r="U258" s="15"/>
      <c r="V258" s="15"/>
      <c r="W258" s="15"/>
      <c r="X258" s="15"/>
      <c r="Y258" s="15"/>
      <c r="Z258" s="15"/>
      <c r="AA258" s="15" t="n">
        <v>0</v>
      </c>
      <c r="AB258" s="15" t="n">
        <v>0</v>
      </c>
      <c r="AC258" s="15"/>
      <c r="AD258" s="15"/>
      <c r="AE258" s="15" t="s">
        <v>163</v>
      </c>
      <c r="AF258" s="15"/>
      <c r="AG258" s="24" t="n">
        <f aca="false">SUMIFS(Permissions!$G$2:$G$3000,Permissions!$B$2:$B$3000,$A258,Permissions!$I$2:$I$3000,"Complete",Permissions!$P$2:$P$3000,"Yes")</f>
        <v>0</v>
      </c>
      <c r="AH258" s="24" t="n">
        <f aca="false">SUMIFS(Permissions!$G$2:$G$3000,Permissions!$B$2:$B$3000,$A258,Permissions!$I$2:$I$3000,"Under construction",Permissions!$P$2:$P$3000,"Yes")</f>
        <v>5</v>
      </c>
      <c r="AI258" s="24" t="n">
        <f aca="false">SUMIFS(Permissions!$G$2:$G$3000,Permissions!$B$2:$B$3000,$A258,Permissions!$I$2:$I$3000,"Permitted – not started",Permissions!$P$2:$P$3000,"Yes")</f>
        <v>0</v>
      </c>
      <c r="AJ258" s="24" t="n">
        <f aca="false">SUMIFS(Permissions!$G$2:$G$3000,Permissions!$B$2:$B$3000,$A258,Permissions!$I$2:$I$3000,"Stalled",Permissions!$P$2:$P$3000,"Yes")</f>
        <v>0</v>
      </c>
      <c r="AK258" s="24" t="n">
        <f aca="false">AG258+AH258+AI258+AJ258</f>
        <v>5</v>
      </c>
      <c r="AL258" s="24" t="n">
        <f aca="false">SUMIFS(Permissions!$G$2:$G$3000,Permissions!$B$2:$B$3000,$A258,Permissions!$I$2:$I$3000,"Expired – not started",Permissions!$P$2:$P$3000,"Yes")</f>
        <v>0</v>
      </c>
      <c r="AM258" s="24" t="n">
        <f aca="false">SUMIFS(Permissions!$G$2:$G$3000,Permissions!$B$2:$B$3000,$A258,Permissions!$I$2:$I$3000,"In planning",Permissions!$P$2:$P$3000,"Yes")</f>
        <v>0</v>
      </c>
      <c r="AN258" s="24" t="n">
        <f aca="false">IF(R258="",0,MAX(R258-AK258,0))</f>
        <v>0</v>
      </c>
      <c r="AO258" s="25" t="n">
        <f aca="false">AK258+AN258</f>
        <v>5</v>
      </c>
      <c r="AP258" s="24" t="n">
        <f aca="false">AO258-AG258</f>
        <v>5</v>
      </c>
      <c r="AQ258" s="26" t="n">
        <f aca="false">SUMIFS(Permissions!$AH$2:$AH$3000,Permissions!$B$2:$B$3000,$A258,Permissions!$P$2:$P$3000,"Yes")</f>
        <v>1.2</v>
      </c>
      <c r="AR258" s="26" t="n">
        <f aca="false">SUMIFS(Permissions!$AI$2:$AI$3000,Permissions!$B$2:$B$3000,$A258,Permissions!$P$2:$P$3000,"Yes")</f>
        <v>3.8</v>
      </c>
      <c r="AS258" s="26" t="n">
        <f aca="false">SUMIFS(Permissions!$AJ$2:$AJ$3000,Permissions!$B$2:$B$3000,$A258,Permissions!$P$2:$P$3000,"Yes")</f>
        <v>0</v>
      </c>
      <c r="AT258" s="26" t="n">
        <f aca="false">SUMIFS(Permissions!$AK$2:$AK$3000,Permissions!$B$2:$B$3000,$A258,Permissions!$P$2:$P$3000,"Yes")</f>
        <v>0</v>
      </c>
      <c r="AU258" s="26" t="n">
        <f aca="false">SUMIFS(Permissions!$AL$2:$AL$3000,Permissions!$B$2:$B$3000,$A258,Permissions!$P$2:$P$3000,"Yes")</f>
        <v>0</v>
      </c>
      <c r="AV258" s="26" t="n">
        <f aca="false">SUMIFS(Permissions!$AM$2:$AM$3000,Permissions!$B$2:$B$3000,$A258,Permissions!$P$2:$P$3000,"Yes")</f>
        <v>0</v>
      </c>
      <c r="AW258" s="24" t="n">
        <f aca="false">COUNTIFS(Permissions!$B$2:$B$3000,$A258,Permissions!$P$2:$P$3000,"Yes")</f>
        <v>1</v>
      </c>
      <c r="AX258" s="24" t="n">
        <f aca="false">SUMIFS(Permissions!$L$2:$L$3000,Permissions!$B$2:$B$3000,$A258,Permissions!$P$2:$P$3000,"Yes")</f>
        <v>0</v>
      </c>
      <c r="AY258" s="27" t="str">
        <f aca="false">IF(AND(AK258&gt;0,AG258&gt;=AK258,AN258=0),"Built out",IF(AG258&gt;0,"Partly built",IF(AK258&gt;0,"Consented – not built","No consent")))</f>
        <v>Consented – not built</v>
      </c>
      <c r="AZ258" s="28" t="str">
        <f aca="false">IF(AND(R258&lt;&gt;"",AK258&gt;1.1*R258),"Consented above capacity",IF(AND(LEFT(B258,8)="Planning",AW258=0),"Consent parcel with no permission",IF(COUNTIF($A$2:$A$3000,$A258)&gt;1,"Duplicate parcel_id","")))</f>
        <v/>
      </c>
    </row>
    <row r="259" customFormat="false" ht="15" hidden="false" customHeight="false" outlineLevel="0" collapsed="false">
      <c r="A259" s="15" t="s">
        <v>599</v>
      </c>
      <c r="B259" s="15" t="s">
        <v>12</v>
      </c>
      <c r="C259" s="15" t="s">
        <v>17</v>
      </c>
      <c r="D259" s="15" t="s">
        <v>22</v>
      </c>
      <c r="E259" s="15" t="s">
        <v>22</v>
      </c>
      <c r="F259" s="15"/>
      <c r="G259" s="15" t="s">
        <v>22</v>
      </c>
      <c r="H259" s="15"/>
      <c r="I259" s="15" t="s">
        <v>558</v>
      </c>
      <c r="J259" s="15" t="s">
        <v>583</v>
      </c>
      <c r="K259" s="15" t="s">
        <v>600</v>
      </c>
      <c r="L259" s="15"/>
      <c r="M259" s="15"/>
      <c r="N259" s="15"/>
      <c r="O259" s="15"/>
      <c r="P259" s="15" t="n">
        <v>0.625</v>
      </c>
      <c r="Q259" s="15" t="n">
        <v>0.625</v>
      </c>
      <c r="R259" s="15"/>
      <c r="S259" s="15" t="s">
        <v>346</v>
      </c>
      <c r="T259" s="15"/>
      <c r="U259" s="15"/>
      <c r="V259" s="15"/>
      <c r="W259" s="15"/>
      <c r="X259" s="15"/>
      <c r="Y259" s="15"/>
      <c r="Z259" s="15"/>
      <c r="AA259" s="15" t="n">
        <v>6</v>
      </c>
      <c r="AB259" s="15" t="n">
        <v>0</v>
      </c>
      <c r="AC259" s="15"/>
      <c r="AD259" s="15"/>
      <c r="AE259" s="15" t="s">
        <v>163</v>
      </c>
      <c r="AF259" s="15"/>
      <c r="AG259" s="24" t="n">
        <f aca="false">SUMIFS(Permissions!$G$2:$G$3000,Permissions!$B$2:$B$3000,$A259,Permissions!$I$2:$I$3000,"Complete",Permissions!$P$2:$P$3000,"Yes")</f>
        <v>0</v>
      </c>
      <c r="AH259" s="24" t="n">
        <f aca="false">SUMIFS(Permissions!$G$2:$G$3000,Permissions!$B$2:$B$3000,$A259,Permissions!$I$2:$I$3000,"Under construction",Permissions!$P$2:$P$3000,"Yes")</f>
        <v>6</v>
      </c>
      <c r="AI259" s="24" t="n">
        <f aca="false">SUMIFS(Permissions!$G$2:$G$3000,Permissions!$B$2:$B$3000,$A259,Permissions!$I$2:$I$3000,"Permitted – not started",Permissions!$P$2:$P$3000,"Yes")</f>
        <v>0</v>
      </c>
      <c r="AJ259" s="24" t="n">
        <f aca="false">SUMIFS(Permissions!$G$2:$G$3000,Permissions!$B$2:$B$3000,$A259,Permissions!$I$2:$I$3000,"Stalled",Permissions!$P$2:$P$3000,"Yes")</f>
        <v>0</v>
      </c>
      <c r="AK259" s="24" t="n">
        <f aca="false">AG259+AH259+AI259+AJ259</f>
        <v>6</v>
      </c>
      <c r="AL259" s="24" t="n">
        <f aca="false">SUMIFS(Permissions!$G$2:$G$3000,Permissions!$B$2:$B$3000,$A259,Permissions!$I$2:$I$3000,"Expired – not started",Permissions!$P$2:$P$3000,"Yes")</f>
        <v>0</v>
      </c>
      <c r="AM259" s="24" t="n">
        <f aca="false">SUMIFS(Permissions!$G$2:$G$3000,Permissions!$B$2:$B$3000,$A259,Permissions!$I$2:$I$3000,"In planning",Permissions!$P$2:$P$3000,"Yes")</f>
        <v>0</v>
      </c>
      <c r="AN259" s="24" t="n">
        <f aca="false">IF(R259="",0,MAX(R259-AK259,0))</f>
        <v>0</v>
      </c>
      <c r="AO259" s="25" t="n">
        <f aca="false">AK259+AN259</f>
        <v>6</v>
      </c>
      <c r="AP259" s="24" t="n">
        <f aca="false">AO259-AG259</f>
        <v>6</v>
      </c>
      <c r="AQ259" s="26" t="n">
        <f aca="false">SUMIFS(Permissions!$AH$2:$AH$3000,Permissions!$B$2:$B$3000,$A259,Permissions!$P$2:$P$3000,"Yes")</f>
        <v>1.4</v>
      </c>
      <c r="AR259" s="26" t="n">
        <f aca="false">SUMIFS(Permissions!$AI$2:$AI$3000,Permissions!$B$2:$B$3000,$A259,Permissions!$P$2:$P$3000,"Yes")</f>
        <v>4.6</v>
      </c>
      <c r="AS259" s="26" t="n">
        <f aca="false">SUMIFS(Permissions!$AJ$2:$AJ$3000,Permissions!$B$2:$B$3000,$A259,Permissions!$P$2:$P$3000,"Yes")</f>
        <v>0</v>
      </c>
      <c r="AT259" s="26" t="n">
        <f aca="false">SUMIFS(Permissions!$AK$2:$AK$3000,Permissions!$B$2:$B$3000,$A259,Permissions!$P$2:$P$3000,"Yes")</f>
        <v>0</v>
      </c>
      <c r="AU259" s="26" t="n">
        <f aca="false">SUMIFS(Permissions!$AL$2:$AL$3000,Permissions!$B$2:$B$3000,$A259,Permissions!$P$2:$P$3000,"Yes")</f>
        <v>0</v>
      </c>
      <c r="AV259" s="26" t="n">
        <f aca="false">SUMIFS(Permissions!$AM$2:$AM$3000,Permissions!$B$2:$B$3000,$A259,Permissions!$P$2:$P$3000,"Yes")</f>
        <v>0</v>
      </c>
      <c r="AW259" s="24" t="n">
        <f aca="false">COUNTIFS(Permissions!$B$2:$B$3000,$A259,Permissions!$P$2:$P$3000,"Yes")</f>
        <v>1</v>
      </c>
      <c r="AX259" s="24" t="n">
        <f aca="false">SUMIFS(Permissions!$L$2:$L$3000,Permissions!$B$2:$B$3000,$A259,Permissions!$P$2:$P$3000,"Yes")</f>
        <v>0</v>
      </c>
      <c r="AY259" s="27" t="str">
        <f aca="false">IF(AND(AK259&gt;0,AG259&gt;=AK259,AN259=0),"Built out",IF(AG259&gt;0,"Partly built",IF(AK259&gt;0,"Consented – not built","No consent")))</f>
        <v>Consented – not built</v>
      </c>
      <c r="AZ259" s="28" t="str">
        <f aca="false">IF(AND(R259&lt;&gt;"",AK259&gt;1.1*R259),"Consented above capacity",IF(AND(LEFT(B259,8)="Planning",AW259=0),"Consent parcel with no permission",IF(COUNTIF($A$2:$A$3000,$A259)&gt;1,"Duplicate parcel_id","")))</f>
        <v/>
      </c>
    </row>
    <row r="260" customFormat="false" ht="15" hidden="false" customHeight="false" outlineLevel="0" collapsed="false">
      <c r="A260" s="15" t="s">
        <v>601</v>
      </c>
      <c r="B260" s="15" t="s">
        <v>12</v>
      </c>
      <c r="C260" s="15" t="s">
        <v>17</v>
      </c>
      <c r="D260" s="15" t="s">
        <v>22</v>
      </c>
      <c r="E260" s="15" t="s">
        <v>22</v>
      </c>
      <c r="F260" s="15"/>
      <c r="G260" s="15" t="s">
        <v>22</v>
      </c>
      <c r="H260" s="15"/>
      <c r="I260" s="15" t="s">
        <v>558</v>
      </c>
      <c r="J260" s="15" t="s">
        <v>559</v>
      </c>
      <c r="K260" s="15" t="s">
        <v>602</v>
      </c>
      <c r="L260" s="15"/>
      <c r="M260" s="15"/>
      <c r="N260" s="15"/>
      <c r="O260" s="15"/>
      <c r="P260" s="15" t="n">
        <v>0.174</v>
      </c>
      <c r="Q260" s="15" t="n">
        <v>0.174</v>
      </c>
      <c r="R260" s="15" t="n">
        <v>1</v>
      </c>
      <c r="S260" s="15" t="s">
        <v>359</v>
      </c>
      <c r="T260" s="15"/>
      <c r="U260" s="15"/>
      <c r="V260" s="15"/>
      <c r="W260" s="15"/>
      <c r="X260" s="15"/>
      <c r="Y260" s="15"/>
      <c r="Z260" s="15"/>
      <c r="AA260" s="15" t="n">
        <v>1</v>
      </c>
      <c r="AB260" s="15" t="n">
        <v>0</v>
      </c>
      <c r="AC260" s="15"/>
      <c r="AD260" s="15"/>
      <c r="AE260" s="15" t="s">
        <v>163</v>
      </c>
      <c r="AF260" s="15"/>
      <c r="AG260" s="24" t="n">
        <f aca="false">SUMIFS(Permissions!$G$2:$G$3000,Permissions!$B$2:$B$3000,$A260,Permissions!$I$2:$I$3000,"Complete",Permissions!$P$2:$P$3000,"Yes")</f>
        <v>0</v>
      </c>
      <c r="AH260" s="24" t="n">
        <f aca="false">SUMIFS(Permissions!$G$2:$G$3000,Permissions!$B$2:$B$3000,$A260,Permissions!$I$2:$I$3000,"Under construction",Permissions!$P$2:$P$3000,"Yes")</f>
        <v>0</v>
      </c>
      <c r="AI260" s="24" t="n">
        <f aca="false">SUMIFS(Permissions!$G$2:$G$3000,Permissions!$B$2:$B$3000,$A260,Permissions!$I$2:$I$3000,"Permitted – not started",Permissions!$P$2:$P$3000,"Yes")</f>
        <v>0</v>
      </c>
      <c r="AJ260" s="24" t="n">
        <f aca="false">SUMIFS(Permissions!$G$2:$G$3000,Permissions!$B$2:$B$3000,$A260,Permissions!$I$2:$I$3000,"Stalled",Permissions!$P$2:$P$3000,"Yes")</f>
        <v>0</v>
      </c>
      <c r="AK260" s="24" t="n">
        <f aca="false">AG260+AH260+AI260+AJ260</f>
        <v>0</v>
      </c>
      <c r="AL260" s="24" t="n">
        <f aca="false">SUMIFS(Permissions!$G$2:$G$3000,Permissions!$B$2:$B$3000,$A260,Permissions!$I$2:$I$3000,"Expired – not started",Permissions!$P$2:$P$3000,"Yes")</f>
        <v>1</v>
      </c>
      <c r="AM260" s="24" t="n">
        <f aca="false">SUMIFS(Permissions!$G$2:$G$3000,Permissions!$B$2:$B$3000,$A260,Permissions!$I$2:$I$3000,"In planning",Permissions!$P$2:$P$3000,"Yes")</f>
        <v>0</v>
      </c>
      <c r="AN260" s="24" t="n">
        <f aca="false">IF(R260="",0,MAX(R260-AK260,0))</f>
        <v>1</v>
      </c>
      <c r="AO260" s="25" t="n">
        <f aca="false">AK260+AN260</f>
        <v>1</v>
      </c>
      <c r="AP260" s="24" t="n">
        <f aca="false">AO260-AG260</f>
        <v>1</v>
      </c>
      <c r="AQ260" s="26" t="n">
        <f aca="false">SUMIFS(Permissions!$AH$2:$AH$3000,Permissions!$B$2:$B$3000,$A260,Permissions!$P$2:$P$3000,"Yes")</f>
        <v>0</v>
      </c>
      <c r="AR260" s="26" t="n">
        <f aca="false">SUMIFS(Permissions!$AI$2:$AI$3000,Permissions!$B$2:$B$3000,$A260,Permissions!$P$2:$P$3000,"Yes")</f>
        <v>0</v>
      </c>
      <c r="AS260" s="26" t="n">
        <f aca="false">SUMIFS(Permissions!$AJ$2:$AJ$3000,Permissions!$B$2:$B$3000,$A260,Permissions!$P$2:$P$3000,"Yes")</f>
        <v>0</v>
      </c>
      <c r="AT260" s="26" t="n">
        <f aca="false">SUMIFS(Permissions!$AK$2:$AK$3000,Permissions!$B$2:$B$3000,$A260,Permissions!$P$2:$P$3000,"Yes")</f>
        <v>0</v>
      </c>
      <c r="AU260" s="26" t="n">
        <f aca="false">SUMIFS(Permissions!$AL$2:$AL$3000,Permissions!$B$2:$B$3000,$A260,Permissions!$P$2:$P$3000,"Yes")</f>
        <v>0</v>
      </c>
      <c r="AV260" s="26" t="n">
        <f aca="false">SUMIFS(Permissions!$AM$2:$AM$3000,Permissions!$B$2:$B$3000,$A260,Permissions!$P$2:$P$3000,"Yes")</f>
        <v>0</v>
      </c>
      <c r="AW260" s="24" t="n">
        <f aca="false">COUNTIFS(Permissions!$B$2:$B$3000,$A260,Permissions!$P$2:$P$3000,"Yes")</f>
        <v>1</v>
      </c>
      <c r="AX260" s="24" t="n">
        <f aca="false">SUMIFS(Permissions!$L$2:$L$3000,Permissions!$B$2:$B$3000,$A260,Permissions!$P$2:$P$3000,"Yes")</f>
        <v>0</v>
      </c>
      <c r="AY260" s="27" t="str">
        <f aca="false">IF(AND(AK260&gt;0,AG260&gt;=AK260,AN260=0),"Built out",IF(AG260&gt;0,"Partly built",IF(AK260&gt;0,"Consented – not built","No consent")))</f>
        <v>No consent</v>
      </c>
      <c r="AZ260" s="28" t="str">
        <f aca="false">IF(AND(R260&lt;&gt;"",AK260&gt;1.1*R260),"Consented above capacity",IF(AND(LEFT(B260,8)="Planning",AW260=0),"Consent parcel with no permission",IF(COUNTIF($A$2:$A$3000,$A260)&gt;1,"Duplicate parcel_id","")))</f>
        <v/>
      </c>
    </row>
    <row r="261" customFormat="false" ht="15" hidden="false" customHeight="false" outlineLevel="0" collapsed="false">
      <c r="A261" s="15" t="s">
        <v>603</v>
      </c>
      <c r="B261" s="15" t="s">
        <v>12</v>
      </c>
      <c r="C261" s="15" t="s">
        <v>17</v>
      </c>
      <c r="D261" s="15" t="s">
        <v>70</v>
      </c>
      <c r="E261" s="15" t="s">
        <v>21</v>
      </c>
      <c r="F261" s="15" t="n">
        <v>1</v>
      </c>
      <c r="G261" s="15" t="s">
        <v>154</v>
      </c>
      <c r="H261" s="15"/>
      <c r="I261" s="15" t="s">
        <v>558</v>
      </c>
      <c r="J261" s="15" t="s">
        <v>583</v>
      </c>
      <c r="K261" s="15" t="s">
        <v>604</v>
      </c>
      <c r="L261" s="15"/>
      <c r="M261" s="15"/>
      <c r="N261" s="15"/>
      <c r="O261" s="15"/>
      <c r="P261" s="15" t="n">
        <v>0.313</v>
      </c>
      <c r="Q261" s="15" t="n">
        <v>0.313</v>
      </c>
      <c r="R261" s="15"/>
      <c r="S261" s="15" t="s">
        <v>346</v>
      </c>
      <c r="T261" s="15"/>
      <c r="U261" s="15"/>
      <c r="V261" s="15"/>
      <c r="W261" s="15"/>
      <c r="X261" s="15"/>
      <c r="Y261" s="15"/>
      <c r="Z261" s="15"/>
      <c r="AA261" s="15" t="n">
        <v>0</v>
      </c>
      <c r="AB261" s="15" t="n">
        <v>0</v>
      </c>
      <c r="AC261" s="15"/>
      <c r="AD261" s="15"/>
      <c r="AE261" s="15" t="s">
        <v>163</v>
      </c>
      <c r="AF261" s="15"/>
      <c r="AG261" s="24" t="n">
        <f aca="false">SUMIFS(Permissions!$G$2:$G$3000,Permissions!$B$2:$B$3000,$A261,Permissions!$I$2:$I$3000,"Complete",Permissions!$P$2:$P$3000,"Yes")</f>
        <v>0</v>
      </c>
      <c r="AH261" s="24" t="n">
        <f aca="false">SUMIFS(Permissions!$G$2:$G$3000,Permissions!$B$2:$B$3000,$A261,Permissions!$I$2:$I$3000,"Under construction",Permissions!$P$2:$P$3000,"Yes")</f>
        <v>0</v>
      </c>
      <c r="AI261" s="24" t="n">
        <f aca="false">SUMIFS(Permissions!$G$2:$G$3000,Permissions!$B$2:$B$3000,$A261,Permissions!$I$2:$I$3000,"Permitted – not started",Permissions!$P$2:$P$3000,"Yes")</f>
        <v>14</v>
      </c>
      <c r="AJ261" s="24" t="n">
        <f aca="false">SUMIFS(Permissions!$G$2:$G$3000,Permissions!$B$2:$B$3000,$A261,Permissions!$I$2:$I$3000,"Stalled",Permissions!$P$2:$P$3000,"Yes")</f>
        <v>0</v>
      </c>
      <c r="AK261" s="24" t="n">
        <f aca="false">AG261+AH261+AI261+AJ261</f>
        <v>14</v>
      </c>
      <c r="AL261" s="24" t="n">
        <f aca="false">SUMIFS(Permissions!$G$2:$G$3000,Permissions!$B$2:$B$3000,$A261,Permissions!$I$2:$I$3000,"Expired – not started",Permissions!$P$2:$P$3000,"Yes")</f>
        <v>0</v>
      </c>
      <c r="AM261" s="24" t="n">
        <f aca="false">SUMIFS(Permissions!$G$2:$G$3000,Permissions!$B$2:$B$3000,$A261,Permissions!$I$2:$I$3000,"In planning",Permissions!$P$2:$P$3000,"Yes")</f>
        <v>0</v>
      </c>
      <c r="AN261" s="24" t="n">
        <f aca="false">IF(R261="",0,MAX(R261-AK261,0))</f>
        <v>0</v>
      </c>
      <c r="AO261" s="25" t="n">
        <f aca="false">AK261+AN261</f>
        <v>14</v>
      </c>
      <c r="AP261" s="24" t="n">
        <f aca="false">AO261-AG261</f>
        <v>14</v>
      </c>
      <c r="AQ261" s="26" t="n">
        <f aca="false">SUMIFS(Permissions!$AH$2:$AH$3000,Permissions!$B$2:$B$3000,$A261,Permissions!$P$2:$P$3000,"Yes")</f>
        <v>0</v>
      </c>
      <c r="AR261" s="26" t="n">
        <f aca="false">SUMIFS(Permissions!$AI$2:$AI$3000,Permissions!$B$2:$B$3000,$A261,Permissions!$P$2:$P$3000,"Yes")</f>
        <v>0</v>
      </c>
      <c r="AS261" s="26" t="n">
        <f aca="false">SUMIFS(Permissions!$AJ$2:$AJ$3000,Permissions!$B$2:$B$3000,$A261,Permissions!$P$2:$P$3000,"Yes")</f>
        <v>8.2</v>
      </c>
      <c r="AT261" s="26" t="n">
        <f aca="false">SUMIFS(Permissions!$AK$2:$AK$3000,Permissions!$B$2:$B$3000,$A261,Permissions!$P$2:$P$3000,"Yes")</f>
        <v>5.8</v>
      </c>
      <c r="AU261" s="26" t="n">
        <f aca="false">SUMIFS(Permissions!$AL$2:$AL$3000,Permissions!$B$2:$B$3000,$A261,Permissions!$P$2:$P$3000,"Yes")</f>
        <v>0</v>
      </c>
      <c r="AV261" s="26" t="n">
        <f aca="false">SUMIFS(Permissions!$AM$2:$AM$3000,Permissions!$B$2:$B$3000,$A261,Permissions!$P$2:$P$3000,"Yes")</f>
        <v>0</v>
      </c>
      <c r="AW261" s="24" t="n">
        <f aca="false">COUNTIFS(Permissions!$B$2:$B$3000,$A261,Permissions!$P$2:$P$3000,"Yes")</f>
        <v>1</v>
      </c>
      <c r="AX261" s="24" t="n">
        <f aca="false">SUMIFS(Permissions!$L$2:$L$3000,Permissions!$B$2:$B$3000,$A261,Permissions!$P$2:$P$3000,"Yes")</f>
        <v>0</v>
      </c>
      <c r="AY261" s="27" t="str">
        <f aca="false">IF(AND(AK261&gt;0,AG261&gt;=AK261,AN261=0),"Built out",IF(AG261&gt;0,"Partly built",IF(AK261&gt;0,"Consented – not built","No consent")))</f>
        <v>Consented – not built</v>
      </c>
      <c r="AZ261" s="28" t="str">
        <f aca="false">IF(AND(R261&lt;&gt;"",AK261&gt;1.1*R261),"Consented above capacity",IF(AND(LEFT(B261,8)="Planning",AW261=0),"Consent parcel with no permission",IF(COUNTIF($A$2:$A$3000,$A261)&gt;1,"Duplicate parcel_id","")))</f>
        <v/>
      </c>
    </row>
    <row r="262" customFormat="false" ht="15" hidden="false" customHeight="false" outlineLevel="0" collapsed="false">
      <c r="A262" s="15" t="s">
        <v>605</v>
      </c>
      <c r="B262" s="15" t="s">
        <v>12</v>
      </c>
      <c r="C262" s="15" t="s">
        <v>17</v>
      </c>
      <c r="D262" s="15" t="s">
        <v>22</v>
      </c>
      <c r="E262" s="15" t="s">
        <v>22</v>
      </c>
      <c r="F262" s="15"/>
      <c r="G262" s="15" t="s">
        <v>22</v>
      </c>
      <c r="H262" s="15"/>
      <c r="I262" s="15" t="s">
        <v>558</v>
      </c>
      <c r="J262" s="15" t="s">
        <v>568</v>
      </c>
      <c r="K262" s="15" t="s">
        <v>606</v>
      </c>
      <c r="L262" s="15"/>
      <c r="M262" s="15"/>
      <c r="N262" s="15"/>
      <c r="O262" s="15"/>
      <c r="P262" s="15" t="n">
        <v>0.884</v>
      </c>
      <c r="Q262" s="15" t="n">
        <v>0.884</v>
      </c>
      <c r="R262" s="15"/>
      <c r="S262" s="15" t="s">
        <v>346</v>
      </c>
      <c r="T262" s="15"/>
      <c r="U262" s="15"/>
      <c r="V262" s="15"/>
      <c r="W262" s="15"/>
      <c r="X262" s="15"/>
      <c r="Y262" s="15"/>
      <c r="Z262" s="15"/>
      <c r="AA262" s="15" t="n">
        <v>1</v>
      </c>
      <c r="AB262" s="15" t="n">
        <v>1</v>
      </c>
      <c r="AC262" s="15"/>
      <c r="AD262" s="15"/>
      <c r="AE262" s="15" t="s">
        <v>163</v>
      </c>
      <c r="AF262" s="15"/>
      <c r="AG262" s="24" t="n">
        <f aca="false">SUMIFS(Permissions!$G$2:$G$3000,Permissions!$B$2:$B$3000,$A262,Permissions!$I$2:$I$3000,"Complete",Permissions!$P$2:$P$3000,"Yes")</f>
        <v>0</v>
      </c>
      <c r="AH262" s="24" t="n">
        <f aca="false">SUMIFS(Permissions!$G$2:$G$3000,Permissions!$B$2:$B$3000,$A262,Permissions!$I$2:$I$3000,"Under construction",Permissions!$P$2:$P$3000,"Yes")</f>
        <v>4</v>
      </c>
      <c r="AI262" s="24" t="n">
        <f aca="false">SUMIFS(Permissions!$G$2:$G$3000,Permissions!$B$2:$B$3000,$A262,Permissions!$I$2:$I$3000,"Permitted – not started",Permissions!$P$2:$P$3000,"Yes")</f>
        <v>0</v>
      </c>
      <c r="AJ262" s="24" t="n">
        <f aca="false">SUMIFS(Permissions!$G$2:$G$3000,Permissions!$B$2:$B$3000,$A262,Permissions!$I$2:$I$3000,"Stalled",Permissions!$P$2:$P$3000,"Yes")</f>
        <v>0</v>
      </c>
      <c r="AK262" s="24" t="n">
        <f aca="false">AG262+AH262+AI262+AJ262</f>
        <v>4</v>
      </c>
      <c r="AL262" s="24" t="n">
        <f aca="false">SUMIFS(Permissions!$G$2:$G$3000,Permissions!$B$2:$B$3000,$A262,Permissions!$I$2:$I$3000,"Expired – not started",Permissions!$P$2:$P$3000,"Yes")</f>
        <v>0</v>
      </c>
      <c r="AM262" s="24" t="n">
        <f aca="false">SUMIFS(Permissions!$G$2:$G$3000,Permissions!$B$2:$B$3000,$A262,Permissions!$I$2:$I$3000,"In planning",Permissions!$P$2:$P$3000,"Yes")</f>
        <v>0</v>
      </c>
      <c r="AN262" s="24" t="n">
        <f aca="false">IF(R262="",0,MAX(R262-AK262,0))</f>
        <v>0</v>
      </c>
      <c r="AO262" s="25" t="n">
        <f aca="false">AK262+AN262</f>
        <v>4</v>
      </c>
      <c r="AP262" s="24" t="n">
        <f aca="false">AO262-AG262</f>
        <v>4</v>
      </c>
      <c r="AQ262" s="26" t="n">
        <f aca="false">SUMIFS(Permissions!$AH$2:$AH$3000,Permissions!$B$2:$B$3000,$A262,Permissions!$P$2:$P$3000,"Yes")</f>
        <v>0.9</v>
      </c>
      <c r="AR262" s="26" t="n">
        <f aca="false">SUMIFS(Permissions!$AI$2:$AI$3000,Permissions!$B$2:$B$3000,$A262,Permissions!$P$2:$P$3000,"Yes")</f>
        <v>3.1</v>
      </c>
      <c r="AS262" s="26" t="n">
        <f aca="false">SUMIFS(Permissions!$AJ$2:$AJ$3000,Permissions!$B$2:$B$3000,$A262,Permissions!$P$2:$P$3000,"Yes")</f>
        <v>0</v>
      </c>
      <c r="AT262" s="26" t="n">
        <f aca="false">SUMIFS(Permissions!$AK$2:$AK$3000,Permissions!$B$2:$B$3000,$A262,Permissions!$P$2:$P$3000,"Yes")</f>
        <v>0</v>
      </c>
      <c r="AU262" s="26" t="n">
        <f aca="false">SUMIFS(Permissions!$AL$2:$AL$3000,Permissions!$B$2:$B$3000,$A262,Permissions!$P$2:$P$3000,"Yes")</f>
        <v>0</v>
      </c>
      <c r="AV262" s="26" t="n">
        <f aca="false">SUMIFS(Permissions!$AM$2:$AM$3000,Permissions!$B$2:$B$3000,$A262,Permissions!$P$2:$P$3000,"Yes")</f>
        <v>0</v>
      </c>
      <c r="AW262" s="24" t="n">
        <f aca="false">COUNTIFS(Permissions!$B$2:$B$3000,$A262,Permissions!$P$2:$P$3000,"Yes")</f>
        <v>1</v>
      </c>
      <c r="AX262" s="24" t="n">
        <f aca="false">SUMIFS(Permissions!$L$2:$L$3000,Permissions!$B$2:$B$3000,$A262,Permissions!$P$2:$P$3000,"Yes")</f>
        <v>0</v>
      </c>
      <c r="AY262" s="27" t="str">
        <f aca="false">IF(AND(AK262&gt;0,AG262&gt;=AK262,AN262=0),"Built out",IF(AG262&gt;0,"Partly built",IF(AK262&gt;0,"Consented – not built","No consent")))</f>
        <v>Consented – not built</v>
      </c>
      <c r="AZ262" s="28" t="str">
        <f aca="false">IF(AND(R262&lt;&gt;"",AK262&gt;1.1*R262),"Consented above capacity",IF(AND(LEFT(B262,8)="Planning",AW262=0),"Consent parcel with no permission",IF(COUNTIF($A$2:$A$3000,$A262)&gt;1,"Duplicate parcel_id","")))</f>
        <v/>
      </c>
    </row>
    <row r="263" customFormat="false" ht="15" hidden="false" customHeight="false" outlineLevel="0" collapsed="false">
      <c r="A263" s="15" t="s">
        <v>607</v>
      </c>
      <c r="B263" s="15" t="s">
        <v>12</v>
      </c>
      <c r="C263" s="15" t="s">
        <v>17</v>
      </c>
      <c r="D263" s="15" t="s">
        <v>22</v>
      </c>
      <c r="E263" s="15" t="s">
        <v>22</v>
      </c>
      <c r="F263" s="15"/>
      <c r="G263" s="15" t="s">
        <v>22</v>
      </c>
      <c r="H263" s="15"/>
      <c r="I263" s="15" t="s">
        <v>558</v>
      </c>
      <c r="J263" s="15" t="s">
        <v>568</v>
      </c>
      <c r="K263" s="15" t="s">
        <v>608</v>
      </c>
      <c r="L263" s="15"/>
      <c r="M263" s="15"/>
      <c r="N263" s="15"/>
      <c r="O263" s="15"/>
      <c r="P263" s="15" t="n">
        <v>0.24</v>
      </c>
      <c r="Q263" s="15" t="n">
        <v>0.24</v>
      </c>
      <c r="R263" s="15"/>
      <c r="S263" s="15" t="s">
        <v>346</v>
      </c>
      <c r="T263" s="15"/>
      <c r="U263" s="15"/>
      <c r="V263" s="15"/>
      <c r="W263" s="15"/>
      <c r="X263" s="15"/>
      <c r="Y263" s="15"/>
      <c r="Z263" s="15"/>
      <c r="AA263" s="15" t="n">
        <v>2</v>
      </c>
      <c r="AB263" s="15" t="n">
        <v>2</v>
      </c>
      <c r="AC263" s="15"/>
      <c r="AD263" s="15"/>
      <c r="AE263" s="15" t="s">
        <v>163</v>
      </c>
      <c r="AF263" s="15"/>
      <c r="AG263" s="24" t="n">
        <f aca="false">SUMIFS(Permissions!$G$2:$G$3000,Permissions!$B$2:$B$3000,$A263,Permissions!$I$2:$I$3000,"Complete",Permissions!$P$2:$P$3000,"Yes")</f>
        <v>0</v>
      </c>
      <c r="AH263" s="24" t="n">
        <f aca="false">SUMIFS(Permissions!$G$2:$G$3000,Permissions!$B$2:$B$3000,$A263,Permissions!$I$2:$I$3000,"Under construction",Permissions!$P$2:$P$3000,"Yes")</f>
        <v>2</v>
      </c>
      <c r="AI263" s="24" t="n">
        <f aca="false">SUMIFS(Permissions!$G$2:$G$3000,Permissions!$B$2:$B$3000,$A263,Permissions!$I$2:$I$3000,"Permitted – not started",Permissions!$P$2:$P$3000,"Yes")</f>
        <v>0</v>
      </c>
      <c r="AJ263" s="24" t="n">
        <f aca="false">SUMIFS(Permissions!$G$2:$G$3000,Permissions!$B$2:$B$3000,$A263,Permissions!$I$2:$I$3000,"Stalled",Permissions!$P$2:$P$3000,"Yes")</f>
        <v>0</v>
      </c>
      <c r="AK263" s="24" t="n">
        <f aca="false">AG263+AH263+AI263+AJ263</f>
        <v>2</v>
      </c>
      <c r="AL263" s="24" t="n">
        <f aca="false">SUMIFS(Permissions!$G$2:$G$3000,Permissions!$B$2:$B$3000,$A263,Permissions!$I$2:$I$3000,"Expired – not started",Permissions!$P$2:$P$3000,"Yes")</f>
        <v>0</v>
      </c>
      <c r="AM263" s="24" t="n">
        <f aca="false">SUMIFS(Permissions!$G$2:$G$3000,Permissions!$B$2:$B$3000,$A263,Permissions!$I$2:$I$3000,"In planning",Permissions!$P$2:$P$3000,"Yes")</f>
        <v>0</v>
      </c>
      <c r="AN263" s="24" t="n">
        <f aca="false">IF(R263="",0,MAX(R263-AK263,0))</f>
        <v>0</v>
      </c>
      <c r="AO263" s="25" t="n">
        <f aca="false">AK263+AN263</f>
        <v>2</v>
      </c>
      <c r="AP263" s="24" t="n">
        <f aca="false">AO263-AG263</f>
        <v>2</v>
      </c>
      <c r="AQ263" s="26" t="n">
        <f aca="false">SUMIFS(Permissions!$AH$2:$AH$3000,Permissions!$B$2:$B$3000,$A263,Permissions!$P$2:$P$3000,"Yes")</f>
        <v>0.5</v>
      </c>
      <c r="AR263" s="26" t="n">
        <f aca="false">SUMIFS(Permissions!$AI$2:$AI$3000,Permissions!$B$2:$B$3000,$A263,Permissions!$P$2:$P$3000,"Yes")</f>
        <v>1.5</v>
      </c>
      <c r="AS263" s="26" t="n">
        <f aca="false">SUMIFS(Permissions!$AJ$2:$AJ$3000,Permissions!$B$2:$B$3000,$A263,Permissions!$P$2:$P$3000,"Yes")</f>
        <v>0</v>
      </c>
      <c r="AT263" s="26" t="n">
        <f aca="false">SUMIFS(Permissions!$AK$2:$AK$3000,Permissions!$B$2:$B$3000,$A263,Permissions!$P$2:$P$3000,"Yes")</f>
        <v>0</v>
      </c>
      <c r="AU263" s="26" t="n">
        <f aca="false">SUMIFS(Permissions!$AL$2:$AL$3000,Permissions!$B$2:$B$3000,$A263,Permissions!$P$2:$P$3000,"Yes")</f>
        <v>0</v>
      </c>
      <c r="AV263" s="26" t="n">
        <f aca="false">SUMIFS(Permissions!$AM$2:$AM$3000,Permissions!$B$2:$B$3000,$A263,Permissions!$P$2:$P$3000,"Yes")</f>
        <v>0</v>
      </c>
      <c r="AW263" s="24" t="n">
        <f aca="false">COUNTIFS(Permissions!$B$2:$B$3000,$A263,Permissions!$P$2:$P$3000,"Yes")</f>
        <v>1</v>
      </c>
      <c r="AX263" s="24" t="n">
        <f aca="false">SUMIFS(Permissions!$L$2:$L$3000,Permissions!$B$2:$B$3000,$A263,Permissions!$P$2:$P$3000,"Yes")</f>
        <v>0</v>
      </c>
      <c r="AY263" s="27" t="str">
        <f aca="false">IF(AND(AK263&gt;0,AG263&gt;=AK263,AN263=0),"Built out",IF(AG263&gt;0,"Partly built",IF(AK263&gt;0,"Consented – not built","No consent")))</f>
        <v>Consented – not built</v>
      </c>
      <c r="AZ263" s="28" t="str">
        <f aca="false">IF(AND(R263&lt;&gt;"",AK263&gt;1.1*R263),"Consented above capacity",IF(AND(LEFT(B263,8)="Planning",AW263=0),"Consent parcel with no permission",IF(COUNTIF($A$2:$A$3000,$A263)&gt;1,"Duplicate parcel_id","")))</f>
        <v/>
      </c>
    </row>
    <row r="264" customFormat="false" ht="15" hidden="false" customHeight="false" outlineLevel="0" collapsed="false">
      <c r="A264" s="15" t="s">
        <v>609</v>
      </c>
      <c r="B264" s="15" t="s">
        <v>12</v>
      </c>
      <c r="C264" s="15" t="s">
        <v>17</v>
      </c>
      <c r="D264" s="15" t="s">
        <v>72</v>
      </c>
      <c r="E264" s="15" t="s">
        <v>21</v>
      </c>
      <c r="F264" s="15" t="n">
        <v>0.98</v>
      </c>
      <c r="G264" s="15" t="s">
        <v>154</v>
      </c>
      <c r="H264" s="15"/>
      <c r="I264" s="15" t="s">
        <v>558</v>
      </c>
      <c r="J264" s="15" t="s">
        <v>559</v>
      </c>
      <c r="K264" s="15" t="s">
        <v>610</v>
      </c>
      <c r="L264" s="15"/>
      <c r="M264" s="15"/>
      <c r="N264" s="15"/>
      <c r="O264" s="15"/>
      <c r="P264" s="15" t="n">
        <v>0.395</v>
      </c>
      <c r="Q264" s="15" t="n">
        <v>0.395</v>
      </c>
      <c r="R264" s="15"/>
      <c r="S264" s="15" t="s">
        <v>346</v>
      </c>
      <c r="T264" s="15"/>
      <c r="U264" s="15"/>
      <c r="V264" s="15"/>
      <c r="W264" s="15"/>
      <c r="X264" s="15"/>
      <c r="Y264" s="15"/>
      <c r="Z264" s="15"/>
      <c r="AA264" s="15" t="n">
        <v>10</v>
      </c>
      <c r="AB264" s="15" t="n">
        <v>10</v>
      </c>
      <c r="AC264" s="15"/>
      <c r="AD264" s="15"/>
      <c r="AE264" s="15" t="s">
        <v>163</v>
      </c>
      <c r="AF264" s="15"/>
      <c r="AG264" s="24" t="n">
        <f aca="false">SUMIFS(Permissions!$G$2:$G$3000,Permissions!$B$2:$B$3000,$A264,Permissions!$I$2:$I$3000,"Complete",Permissions!$P$2:$P$3000,"Yes")</f>
        <v>0</v>
      </c>
      <c r="AH264" s="24" t="n">
        <f aca="false">SUMIFS(Permissions!$G$2:$G$3000,Permissions!$B$2:$B$3000,$A264,Permissions!$I$2:$I$3000,"Under construction",Permissions!$P$2:$P$3000,"Yes")</f>
        <v>14</v>
      </c>
      <c r="AI264" s="24" t="n">
        <f aca="false">SUMIFS(Permissions!$G$2:$G$3000,Permissions!$B$2:$B$3000,$A264,Permissions!$I$2:$I$3000,"Permitted – not started",Permissions!$P$2:$P$3000,"Yes")</f>
        <v>0</v>
      </c>
      <c r="AJ264" s="24" t="n">
        <f aca="false">SUMIFS(Permissions!$G$2:$G$3000,Permissions!$B$2:$B$3000,$A264,Permissions!$I$2:$I$3000,"Stalled",Permissions!$P$2:$P$3000,"Yes")</f>
        <v>0</v>
      </c>
      <c r="AK264" s="24" t="n">
        <f aca="false">AG264+AH264+AI264+AJ264</f>
        <v>14</v>
      </c>
      <c r="AL264" s="24" t="n">
        <f aca="false">SUMIFS(Permissions!$G$2:$G$3000,Permissions!$B$2:$B$3000,$A264,Permissions!$I$2:$I$3000,"Expired – not started",Permissions!$P$2:$P$3000,"Yes")</f>
        <v>0</v>
      </c>
      <c r="AM264" s="24" t="n">
        <f aca="false">SUMIFS(Permissions!$G$2:$G$3000,Permissions!$B$2:$B$3000,$A264,Permissions!$I$2:$I$3000,"In planning",Permissions!$P$2:$P$3000,"Yes")</f>
        <v>0</v>
      </c>
      <c r="AN264" s="24" t="n">
        <f aca="false">IF(R264="",0,MAX(R264-AK264,0))</f>
        <v>0</v>
      </c>
      <c r="AO264" s="25" t="n">
        <f aca="false">AK264+AN264</f>
        <v>14</v>
      </c>
      <c r="AP264" s="24" t="n">
        <f aca="false">AO264-AG264</f>
        <v>14</v>
      </c>
      <c r="AQ264" s="26" t="n">
        <f aca="false">SUMIFS(Permissions!$AH$2:$AH$3000,Permissions!$B$2:$B$3000,$A264,Permissions!$P$2:$P$3000,"Yes")</f>
        <v>3.3</v>
      </c>
      <c r="AR264" s="26" t="n">
        <f aca="false">SUMIFS(Permissions!$AI$2:$AI$3000,Permissions!$B$2:$B$3000,$A264,Permissions!$P$2:$P$3000,"Yes")</f>
        <v>10.7</v>
      </c>
      <c r="AS264" s="26" t="n">
        <f aca="false">SUMIFS(Permissions!$AJ$2:$AJ$3000,Permissions!$B$2:$B$3000,$A264,Permissions!$P$2:$P$3000,"Yes")</f>
        <v>0</v>
      </c>
      <c r="AT264" s="26" t="n">
        <f aca="false">SUMIFS(Permissions!$AK$2:$AK$3000,Permissions!$B$2:$B$3000,$A264,Permissions!$P$2:$P$3000,"Yes")</f>
        <v>0</v>
      </c>
      <c r="AU264" s="26" t="n">
        <f aca="false">SUMIFS(Permissions!$AL$2:$AL$3000,Permissions!$B$2:$B$3000,$A264,Permissions!$P$2:$P$3000,"Yes")</f>
        <v>0</v>
      </c>
      <c r="AV264" s="26" t="n">
        <f aca="false">SUMIFS(Permissions!$AM$2:$AM$3000,Permissions!$B$2:$B$3000,$A264,Permissions!$P$2:$P$3000,"Yes")</f>
        <v>0</v>
      </c>
      <c r="AW264" s="24" t="n">
        <f aca="false">COUNTIFS(Permissions!$B$2:$B$3000,$A264,Permissions!$P$2:$P$3000,"Yes")</f>
        <v>1</v>
      </c>
      <c r="AX264" s="24" t="n">
        <f aca="false">SUMIFS(Permissions!$L$2:$L$3000,Permissions!$B$2:$B$3000,$A264,Permissions!$P$2:$P$3000,"Yes")</f>
        <v>0</v>
      </c>
      <c r="AY264" s="27" t="str">
        <f aca="false">IF(AND(AK264&gt;0,AG264&gt;=AK264,AN264=0),"Built out",IF(AG264&gt;0,"Partly built",IF(AK264&gt;0,"Consented – not built","No consent")))</f>
        <v>Consented – not built</v>
      </c>
      <c r="AZ264" s="28" t="str">
        <f aca="false">IF(AND(R264&lt;&gt;"",AK264&gt;1.1*R264),"Consented above capacity",IF(AND(LEFT(B264,8)="Planning",AW264=0),"Consent parcel with no permission",IF(COUNTIF($A$2:$A$3000,$A264)&gt;1,"Duplicate parcel_id","")))</f>
        <v/>
      </c>
    </row>
    <row r="265" customFormat="false" ht="15" hidden="false" customHeight="false" outlineLevel="0" collapsed="false">
      <c r="A265" s="15" t="s">
        <v>611</v>
      </c>
      <c r="B265" s="15" t="s">
        <v>12</v>
      </c>
      <c r="C265" s="15" t="s">
        <v>17</v>
      </c>
      <c r="D265" s="15" t="s">
        <v>22</v>
      </c>
      <c r="E265" s="15" t="s">
        <v>22</v>
      </c>
      <c r="F265" s="15"/>
      <c r="G265" s="15" t="s">
        <v>22</v>
      </c>
      <c r="H265" s="15"/>
      <c r="I265" s="15" t="s">
        <v>558</v>
      </c>
      <c r="J265" s="15" t="s">
        <v>559</v>
      </c>
      <c r="K265" s="15" t="s">
        <v>612</v>
      </c>
      <c r="L265" s="15"/>
      <c r="M265" s="15"/>
      <c r="N265" s="15"/>
      <c r="O265" s="15"/>
      <c r="P265" s="15" t="n">
        <v>0.095</v>
      </c>
      <c r="Q265" s="15" t="n">
        <v>0.095</v>
      </c>
      <c r="R265" s="15"/>
      <c r="S265" s="15" t="s">
        <v>346</v>
      </c>
      <c r="T265" s="15"/>
      <c r="U265" s="15"/>
      <c r="V265" s="15"/>
      <c r="W265" s="15"/>
      <c r="X265" s="15"/>
      <c r="Y265" s="15"/>
      <c r="Z265" s="15"/>
      <c r="AA265" s="15" t="n">
        <v>5</v>
      </c>
      <c r="AB265" s="15" t="n">
        <v>5</v>
      </c>
      <c r="AC265" s="15"/>
      <c r="AD265" s="15"/>
      <c r="AE265" s="15" t="s">
        <v>163</v>
      </c>
      <c r="AF265" s="15"/>
      <c r="AG265" s="24" t="n">
        <f aca="false">SUMIFS(Permissions!$G$2:$G$3000,Permissions!$B$2:$B$3000,$A265,Permissions!$I$2:$I$3000,"Complete",Permissions!$P$2:$P$3000,"Yes")</f>
        <v>5</v>
      </c>
      <c r="AH265" s="24" t="n">
        <f aca="false">SUMIFS(Permissions!$G$2:$G$3000,Permissions!$B$2:$B$3000,$A265,Permissions!$I$2:$I$3000,"Under construction",Permissions!$P$2:$P$3000,"Yes")</f>
        <v>0</v>
      </c>
      <c r="AI265" s="24" t="n">
        <f aca="false">SUMIFS(Permissions!$G$2:$G$3000,Permissions!$B$2:$B$3000,$A265,Permissions!$I$2:$I$3000,"Permitted – not started",Permissions!$P$2:$P$3000,"Yes")</f>
        <v>0</v>
      </c>
      <c r="AJ265" s="24" t="n">
        <f aca="false">SUMIFS(Permissions!$G$2:$G$3000,Permissions!$B$2:$B$3000,$A265,Permissions!$I$2:$I$3000,"Stalled",Permissions!$P$2:$P$3000,"Yes")</f>
        <v>0</v>
      </c>
      <c r="AK265" s="24" t="n">
        <f aca="false">AG265+AH265+AI265+AJ265</f>
        <v>5</v>
      </c>
      <c r="AL265" s="24" t="n">
        <f aca="false">SUMIFS(Permissions!$G$2:$G$3000,Permissions!$B$2:$B$3000,$A265,Permissions!$I$2:$I$3000,"Expired – not started",Permissions!$P$2:$P$3000,"Yes")</f>
        <v>0</v>
      </c>
      <c r="AM265" s="24" t="n">
        <f aca="false">SUMIFS(Permissions!$G$2:$G$3000,Permissions!$B$2:$B$3000,$A265,Permissions!$I$2:$I$3000,"In planning",Permissions!$P$2:$P$3000,"Yes")</f>
        <v>0</v>
      </c>
      <c r="AN265" s="24" t="n">
        <f aca="false">IF(R265="",0,MAX(R265-AK265,0))</f>
        <v>0</v>
      </c>
      <c r="AO265" s="25" t="n">
        <f aca="false">AK265+AN265</f>
        <v>5</v>
      </c>
      <c r="AP265" s="24" t="n">
        <f aca="false">AO265-AG265</f>
        <v>0</v>
      </c>
      <c r="AQ265" s="26" t="n">
        <f aca="false">SUMIFS(Permissions!$AH$2:$AH$3000,Permissions!$B$2:$B$3000,$A265,Permissions!$P$2:$P$3000,"Yes")</f>
        <v>0</v>
      </c>
      <c r="AR265" s="26" t="n">
        <f aca="false">SUMIFS(Permissions!$AI$2:$AI$3000,Permissions!$B$2:$B$3000,$A265,Permissions!$P$2:$P$3000,"Yes")</f>
        <v>0</v>
      </c>
      <c r="AS265" s="26" t="n">
        <f aca="false">SUMIFS(Permissions!$AJ$2:$AJ$3000,Permissions!$B$2:$B$3000,$A265,Permissions!$P$2:$P$3000,"Yes")</f>
        <v>0</v>
      </c>
      <c r="AT265" s="26" t="n">
        <f aca="false">SUMIFS(Permissions!$AK$2:$AK$3000,Permissions!$B$2:$B$3000,$A265,Permissions!$P$2:$P$3000,"Yes")</f>
        <v>0</v>
      </c>
      <c r="AU265" s="26" t="n">
        <f aca="false">SUMIFS(Permissions!$AL$2:$AL$3000,Permissions!$B$2:$B$3000,$A265,Permissions!$P$2:$P$3000,"Yes")</f>
        <v>0</v>
      </c>
      <c r="AV265" s="26" t="n">
        <f aca="false">SUMIFS(Permissions!$AM$2:$AM$3000,Permissions!$B$2:$B$3000,$A265,Permissions!$P$2:$P$3000,"Yes")</f>
        <v>0</v>
      </c>
      <c r="AW265" s="24" t="n">
        <f aca="false">COUNTIFS(Permissions!$B$2:$B$3000,$A265,Permissions!$P$2:$P$3000,"Yes")</f>
        <v>1</v>
      </c>
      <c r="AX265" s="24" t="n">
        <f aca="false">SUMIFS(Permissions!$L$2:$L$3000,Permissions!$B$2:$B$3000,$A265,Permissions!$P$2:$P$3000,"Yes")</f>
        <v>5</v>
      </c>
      <c r="AY265" s="27" t="str">
        <f aca="false">IF(AND(AK265&gt;0,AG265&gt;=AK265,AN265=0),"Built out",IF(AG265&gt;0,"Partly built",IF(AK265&gt;0,"Consented – not built","No consent")))</f>
        <v>Built out</v>
      </c>
      <c r="AZ265" s="28" t="str">
        <f aca="false">IF(AND(R265&lt;&gt;"",AK265&gt;1.1*R265),"Consented above capacity",IF(AND(LEFT(B265,8)="Planning",AW265=0),"Consent parcel with no permission",IF(COUNTIF($A$2:$A$3000,$A265)&gt;1,"Duplicate parcel_id","")))</f>
        <v/>
      </c>
    </row>
    <row r="266" customFormat="false" ht="15" hidden="false" customHeight="false" outlineLevel="0" collapsed="false">
      <c r="A266" s="15" t="s">
        <v>613</v>
      </c>
      <c r="B266" s="15" t="s">
        <v>12</v>
      </c>
      <c r="C266" s="15" t="s">
        <v>17</v>
      </c>
      <c r="D266" s="15" t="s">
        <v>72</v>
      </c>
      <c r="E266" s="15" t="s">
        <v>21</v>
      </c>
      <c r="F266" s="15" t="n">
        <v>1</v>
      </c>
      <c r="G266" s="15" t="s">
        <v>154</v>
      </c>
      <c r="H266" s="15"/>
      <c r="I266" s="15" t="s">
        <v>558</v>
      </c>
      <c r="J266" s="15" t="s">
        <v>559</v>
      </c>
      <c r="K266" s="15" t="s">
        <v>614</v>
      </c>
      <c r="L266" s="15"/>
      <c r="M266" s="15"/>
      <c r="N266" s="15"/>
      <c r="O266" s="15"/>
      <c r="P266" s="15" t="n">
        <v>0.21</v>
      </c>
      <c r="Q266" s="15" t="n">
        <v>0.21</v>
      </c>
      <c r="R266" s="15"/>
      <c r="S266" s="15" t="s">
        <v>346</v>
      </c>
      <c r="T266" s="15"/>
      <c r="U266" s="15"/>
      <c r="V266" s="15"/>
      <c r="W266" s="15"/>
      <c r="X266" s="15"/>
      <c r="Y266" s="15"/>
      <c r="Z266" s="15"/>
      <c r="AA266" s="15" t="n">
        <v>10</v>
      </c>
      <c r="AB266" s="15" t="n">
        <v>0</v>
      </c>
      <c r="AC266" s="15"/>
      <c r="AD266" s="15"/>
      <c r="AE266" s="15" t="s">
        <v>163</v>
      </c>
      <c r="AF266" s="15"/>
      <c r="AG266" s="24" t="n">
        <f aca="false">SUMIFS(Permissions!$G$2:$G$3000,Permissions!$B$2:$B$3000,$A266,Permissions!$I$2:$I$3000,"Complete",Permissions!$P$2:$P$3000,"Yes")</f>
        <v>9</v>
      </c>
      <c r="AH266" s="24" t="n">
        <f aca="false">SUMIFS(Permissions!$G$2:$G$3000,Permissions!$B$2:$B$3000,$A266,Permissions!$I$2:$I$3000,"Under construction",Permissions!$P$2:$P$3000,"Yes")</f>
        <v>0</v>
      </c>
      <c r="AI266" s="24" t="n">
        <f aca="false">SUMIFS(Permissions!$G$2:$G$3000,Permissions!$B$2:$B$3000,$A266,Permissions!$I$2:$I$3000,"Permitted – not started",Permissions!$P$2:$P$3000,"Yes")</f>
        <v>0</v>
      </c>
      <c r="AJ266" s="24" t="n">
        <f aca="false">SUMIFS(Permissions!$G$2:$G$3000,Permissions!$B$2:$B$3000,$A266,Permissions!$I$2:$I$3000,"Stalled",Permissions!$P$2:$P$3000,"Yes")</f>
        <v>0</v>
      </c>
      <c r="AK266" s="24" t="n">
        <f aca="false">AG266+AH266+AI266+AJ266</f>
        <v>9</v>
      </c>
      <c r="AL266" s="24" t="n">
        <f aca="false">SUMIFS(Permissions!$G$2:$G$3000,Permissions!$B$2:$B$3000,$A266,Permissions!$I$2:$I$3000,"Expired – not started",Permissions!$P$2:$P$3000,"Yes")</f>
        <v>0</v>
      </c>
      <c r="AM266" s="24" t="n">
        <f aca="false">SUMIFS(Permissions!$G$2:$G$3000,Permissions!$B$2:$B$3000,$A266,Permissions!$I$2:$I$3000,"In planning",Permissions!$P$2:$P$3000,"Yes")</f>
        <v>0</v>
      </c>
      <c r="AN266" s="24" t="n">
        <f aca="false">IF(R266="",0,MAX(R266-AK266,0))</f>
        <v>0</v>
      </c>
      <c r="AO266" s="25" t="n">
        <f aca="false">AK266+AN266</f>
        <v>9</v>
      </c>
      <c r="AP266" s="24" t="n">
        <f aca="false">AO266-AG266</f>
        <v>0</v>
      </c>
      <c r="AQ266" s="26" t="n">
        <f aca="false">SUMIFS(Permissions!$AH$2:$AH$3000,Permissions!$B$2:$B$3000,$A266,Permissions!$P$2:$P$3000,"Yes")</f>
        <v>0</v>
      </c>
      <c r="AR266" s="26" t="n">
        <f aca="false">SUMIFS(Permissions!$AI$2:$AI$3000,Permissions!$B$2:$B$3000,$A266,Permissions!$P$2:$P$3000,"Yes")</f>
        <v>0</v>
      </c>
      <c r="AS266" s="26" t="n">
        <f aca="false">SUMIFS(Permissions!$AJ$2:$AJ$3000,Permissions!$B$2:$B$3000,$A266,Permissions!$P$2:$P$3000,"Yes")</f>
        <v>0</v>
      </c>
      <c r="AT266" s="26" t="n">
        <f aca="false">SUMIFS(Permissions!$AK$2:$AK$3000,Permissions!$B$2:$B$3000,$A266,Permissions!$P$2:$P$3000,"Yes")</f>
        <v>0</v>
      </c>
      <c r="AU266" s="26" t="n">
        <f aca="false">SUMIFS(Permissions!$AL$2:$AL$3000,Permissions!$B$2:$B$3000,$A266,Permissions!$P$2:$P$3000,"Yes")</f>
        <v>0</v>
      </c>
      <c r="AV266" s="26" t="n">
        <f aca="false">SUMIFS(Permissions!$AM$2:$AM$3000,Permissions!$B$2:$B$3000,$A266,Permissions!$P$2:$P$3000,"Yes")</f>
        <v>0</v>
      </c>
      <c r="AW266" s="24" t="n">
        <f aca="false">COUNTIFS(Permissions!$B$2:$B$3000,$A266,Permissions!$P$2:$P$3000,"Yes")</f>
        <v>1</v>
      </c>
      <c r="AX266" s="24" t="n">
        <f aca="false">SUMIFS(Permissions!$L$2:$L$3000,Permissions!$B$2:$B$3000,$A266,Permissions!$P$2:$P$3000,"Yes")</f>
        <v>0</v>
      </c>
      <c r="AY266" s="27" t="str">
        <f aca="false">IF(AND(AK266&gt;0,AG266&gt;=AK266,AN266=0),"Built out",IF(AG266&gt;0,"Partly built",IF(AK266&gt;0,"Consented – not built","No consent")))</f>
        <v>Built out</v>
      </c>
      <c r="AZ266" s="28" t="str">
        <f aca="false">IF(AND(R266&lt;&gt;"",AK266&gt;1.1*R266),"Consented above capacity",IF(AND(LEFT(B266,8)="Planning",AW266=0),"Consent parcel with no permission",IF(COUNTIF($A$2:$A$3000,$A266)&gt;1,"Duplicate parcel_id","")))</f>
        <v/>
      </c>
    </row>
    <row r="267" customFormat="false" ht="15" hidden="false" customHeight="false" outlineLevel="0" collapsed="false">
      <c r="A267" s="15" t="s">
        <v>615</v>
      </c>
      <c r="B267" s="15" t="s">
        <v>12</v>
      </c>
      <c r="C267" s="15" t="s">
        <v>17</v>
      </c>
      <c r="D267" s="15" t="s">
        <v>64</v>
      </c>
      <c r="E267" s="15" t="s">
        <v>20</v>
      </c>
      <c r="F267" s="15" t="n">
        <v>0</v>
      </c>
      <c r="G267" s="15" t="s">
        <v>616</v>
      </c>
      <c r="H267" s="15"/>
      <c r="I267" s="15" t="s">
        <v>558</v>
      </c>
      <c r="J267" s="15" t="s">
        <v>568</v>
      </c>
      <c r="K267" s="15" t="s">
        <v>617</v>
      </c>
      <c r="L267" s="15"/>
      <c r="M267" s="15"/>
      <c r="N267" s="15"/>
      <c r="O267" s="15"/>
      <c r="P267" s="15" t="n">
        <v>2.797</v>
      </c>
      <c r="Q267" s="15" t="n">
        <v>2.797</v>
      </c>
      <c r="R267" s="15"/>
      <c r="S267" s="15" t="s">
        <v>346</v>
      </c>
      <c r="T267" s="15"/>
      <c r="U267" s="15"/>
      <c r="V267" s="15"/>
      <c r="W267" s="15"/>
      <c r="X267" s="15"/>
      <c r="Y267" s="15"/>
      <c r="Z267" s="15"/>
      <c r="AA267" s="15" t="n">
        <v>45</v>
      </c>
      <c r="AB267" s="15" t="n">
        <v>45</v>
      </c>
      <c r="AC267" s="15"/>
      <c r="AD267" s="15"/>
      <c r="AE267" s="15" t="s">
        <v>163</v>
      </c>
      <c r="AF267" s="15"/>
      <c r="AG267" s="24" t="n">
        <f aca="false">SUMIFS(Permissions!$G$2:$G$3000,Permissions!$B$2:$B$3000,$A267,Permissions!$I$2:$I$3000,"Complete",Permissions!$P$2:$P$3000,"Yes")</f>
        <v>0</v>
      </c>
      <c r="AH267" s="24" t="n">
        <f aca="false">SUMIFS(Permissions!$G$2:$G$3000,Permissions!$B$2:$B$3000,$A267,Permissions!$I$2:$I$3000,"Under construction",Permissions!$P$2:$P$3000,"Yes")</f>
        <v>73</v>
      </c>
      <c r="AI267" s="24" t="n">
        <f aca="false">SUMIFS(Permissions!$G$2:$G$3000,Permissions!$B$2:$B$3000,$A267,Permissions!$I$2:$I$3000,"Permitted – not started",Permissions!$P$2:$P$3000,"Yes")</f>
        <v>0</v>
      </c>
      <c r="AJ267" s="24" t="n">
        <f aca="false">SUMIFS(Permissions!$G$2:$G$3000,Permissions!$B$2:$B$3000,$A267,Permissions!$I$2:$I$3000,"Stalled",Permissions!$P$2:$P$3000,"Yes")</f>
        <v>0</v>
      </c>
      <c r="AK267" s="24" t="n">
        <f aca="false">AG267+AH267+AI267+AJ267</f>
        <v>73</v>
      </c>
      <c r="AL267" s="24" t="n">
        <f aca="false">SUMIFS(Permissions!$G$2:$G$3000,Permissions!$B$2:$B$3000,$A267,Permissions!$I$2:$I$3000,"Expired – not started",Permissions!$P$2:$P$3000,"Yes")</f>
        <v>0</v>
      </c>
      <c r="AM267" s="24" t="n">
        <f aca="false">SUMIFS(Permissions!$G$2:$G$3000,Permissions!$B$2:$B$3000,$A267,Permissions!$I$2:$I$3000,"In planning",Permissions!$P$2:$P$3000,"Yes")</f>
        <v>0</v>
      </c>
      <c r="AN267" s="24" t="n">
        <f aca="false">IF(R267="",0,MAX(R267-AK267,0))</f>
        <v>0</v>
      </c>
      <c r="AO267" s="25" t="n">
        <f aca="false">AK267+AN267</f>
        <v>73</v>
      </c>
      <c r="AP267" s="24" t="n">
        <f aca="false">AO267-AG267</f>
        <v>73</v>
      </c>
      <c r="AQ267" s="26" t="n">
        <f aca="false">SUMIFS(Permissions!$AH$2:$AH$3000,Permissions!$B$2:$B$3000,$A267,Permissions!$P$2:$P$3000,"Yes")</f>
        <v>17</v>
      </c>
      <c r="AR267" s="26" t="n">
        <f aca="false">SUMIFS(Permissions!$AI$2:$AI$3000,Permissions!$B$2:$B$3000,$A267,Permissions!$P$2:$P$3000,"Yes")</f>
        <v>56</v>
      </c>
      <c r="AS267" s="26" t="n">
        <f aca="false">SUMIFS(Permissions!$AJ$2:$AJ$3000,Permissions!$B$2:$B$3000,$A267,Permissions!$P$2:$P$3000,"Yes")</f>
        <v>0</v>
      </c>
      <c r="AT267" s="26" t="n">
        <f aca="false">SUMIFS(Permissions!$AK$2:$AK$3000,Permissions!$B$2:$B$3000,$A267,Permissions!$P$2:$P$3000,"Yes")</f>
        <v>0</v>
      </c>
      <c r="AU267" s="26" t="n">
        <f aca="false">SUMIFS(Permissions!$AL$2:$AL$3000,Permissions!$B$2:$B$3000,$A267,Permissions!$P$2:$P$3000,"Yes")</f>
        <v>0</v>
      </c>
      <c r="AV267" s="26" t="n">
        <f aca="false">SUMIFS(Permissions!$AM$2:$AM$3000,Permissions!$B$2:$B$3000,$A267,Permissions!$P$2:$P$3000,"Yes")</f>
        <v>0</v>
      </c>
      <c r="AW267" s="24" t="n">
        <f aca="false">COUNTIFS(Permissions!$B$2:$B$3000,$A267,Permissions!$P$2:$P$3000,"Yes")</f>
        <v>2</v>
      </c>
      <c r="AX267" s="24" t="n">
        <f aca="false">SUMIFS(Permissions!$L$2:$L$3000,Permissions!$B$2:$B$3000,$A267,Permissions!$P$2:$P$3000,"Yes")</f>
        <v>30</v>
      </c>
      <c r="AY267" s="27" t="str">
        <f aca="false">IF(AND(AK267&gt;0,AG267&gt;=AK267,AN267=0),"Built out",IF(AG267&gt;0,"Partly built",IF(AK267&gt;0,"Consented – not built","No consent")))</f>
        <v>Consented – not built</v>
      </c>
      <c r="AZ267" s="28" t="str">
        <f aca="false">IF(AND(R267&lt;&gt;"",AK267&gt;1.1*R267),"Consented above capacity",IF(AND(LEFT(B267,8)="Planning",AW267=0),"Consent parcel with no permission",IF(COUNTIF($A$2:$A$3000,$A267)&gt;1,"Duplicate parcel_id","")))</f>
        <v/>
      </c>
    </row>
    <row r="268" customFormat="false" ht="15" hidden="false" customHeight="false" outlineLevel="0" collapsed="false">
      <c r="A268" s="15" t="s">
        <v>618</v>
      </c>
      <c r="B268" s="15" t="s">
        <v>12</v>
      </c>
      <c r="C268" s="15" t="s">
        <v>17</v>
      </c>
      <c r="D268" s="15" t="s">
        <v>61</v>
      </c>
      <c r="E268" s="15" t="s">
        <v>20</v>
      </c>
      <c r="F268" s="15" t="n">
        <v>1</v>
      </c>
      <c r="G268" s="15" t="s">
        <v>154</v>
      </c>
      <c r="H268" s="15"/>
      <c r="I268" s="15" t="s">
        <v>558</v>
      </c>
      <c r="J268" s="15" t="s">
        <v>559</v>
      </c>
      <c r="K268" s="15" t="s">
        <v>619</v>
      </c>
      <c r="L268" s="15"/>
      <c r="M268" s="15"/>
      <c r="N268" s="15"/>
      <c r="O268" s="15"/>
      <c r="P268" s="15" t="n">
        <v>0.213</v>
      </c>
      <c r="Q268" s="15" t="n">
        <v>0.213</v>
      </c>
      <c r="R268" s="15"/>
      <c r="S268" s="15" t="s">
        <v>346</v>
      </c>
      <c r="T268" s="15"/>
      <c r="U268" s="15"/>
      <c r="V268" s="15"/>
      <c r="W268" s="15"/>
      <c r="X268" s="15"/>
      <c r="Y268" s="15"/>
      <c r="Z268" s="15"/>
      <c r="AA268" s="15" t="n">
        <v>7</v>
      </c>
      <c r="AB268" s="15" t="n">
        <v>7</v>
      </c>
      <c r="AC268" s="15"/>
      <c r="AD268" s="15"/>
      <c r="AE268" s="15" t="s">
        <v>163</v>
      </c>
      <c r="AF268" s="15"/>
      <c r="AG268" s="24" t="n">
        <f aca="false">SUMIFS(Permissions!$G$2:$G$3000,Permissions!$B$2:$B$3000,$A268,Permissions!$I$2:$I$3000,"Complete",Permissions!$P$2:$P$3000,"Yes")</f>
        <v>9</v>
      </c>
      <c r="AH268" s="24" t="n">
        <f aca="false">SUMIFS(Permissions!$G$2:$G$3000,Permissions!$B$2:$B$3000,$A268,Permissions!$I$2:$I$3000,"Under construction",Permissions!$P$2:$P$3000,"Yes")</f>
        <v>0</v>
      </c>
      <c r="AI268" s="24" t="n">
        <f aca="false">SUMIFS(Permissions!$G$2:$G$3000,Permissions!$B$2:$B$3000,$A268,Permissions!$I$2:$I$3000,"Permitted – not started",Permissions!$P$2:$P$3000,"Yes")</f>
        <v>0</v>
      </c>
      <c r="AJ268" s="24" t="n">
        <f aca="false">SUMIFS(Permissions!$G$2:$G$3000,Permissions!$B$2:$B$3000,$A268,Permissions!$I$2:$I$3000,"Stalled",Permissions!$P$2:$P$3000,"Yes")</f>
        <v>0</v>
      </c>
      <c r="AK268" s="24" t="n">
        <f aca="false">AG268+AH268+AI268+AJ268</f>
        <v>9</v>
      </c>
      <c r="AL268" s="24" t="n">
        <f aca="false">SUMIFS(Permissions!$G$2:$G$3000,Permissions!$B$2:$B$3000,$A268,Permissions!$I$2:$I$3000,"Expired – not started",Permissions!$P$2:$P$3000,"Yes")</f>
        <v>0</v>
      </c>
      <c r="AM268" s="24" t="n">
        <f aca="false">SUMIFS(Permissions!$G$2:$G$3000,Permissions!$B$2:$B$3000,$A268,Permissions!$I$2:$I$3000,"In planning",Permissions!$P$2:$P$3000,"Yes")</f>
        <v>0</v>
      </c>
      <c r="AN268" s="24" t="n">
        <f aca="false">IF(R268="",0,MAX(R268-AK268,0))</f>
        <v>0</v>
      </c>
      <c r="AO268" s="25" t="n">
        <f aca="false">AK268+AN268</f>
        <v>9</v>
      </c>
      <c r="AP268" s="24" t="n">
        <f aca="false">AO268-AG268</f>
        <v>0</v>
      </c>
      <c r="AQ268" s="26" t="n">
        <f aca="false">SUMIFS(Permissions!$AH$2:$AH$3000,Permissions!$B$2:$B$3000,$A268,Permissions!$P$2:$P$3000,"Yes")</f>
        <v>0</v>
      </c>
      <c r="AR268" s="26" t="n">
        <f aca="false">SUMIFS(Permissions!$AI$2:$AI$3000,Permissions!$B$2:$B$3000,$A268,Permissions!$P$2:$P$3000,"Yes")</f>
        <v>0</v>
      </c>
      <c r="AS268" s="26" t="n">
        <f aca="false">SUMIFS(Permissions!$AJ$2:$AJ$3000,Permissions!$B$2:$B$3000,$A268,Permissions!$P$2:$P$3000,"Yes")</f>
        <v>0</v>
      </c>
      <c r="AT268" s="26" t="n">
        <f aca="false">SUMIFS(Permissions!$AK$2:$AK$3000,Permissions!$B$2:$B$3000,$A268,Permissions!$P$2:$P$3000,"Yes")</f>
        <v>0</v>
      </c>
      <c r="AU268" s="26" t="n">
        <f aca="false">SUMIFS(Permissions!$AL$2:$AL$3000,Permissions!$B$2:$B$3000,$A268,Permissions!$P$2:$P$3000,"Yes")</f>
        <v>0</v>
      </c>
      <c r="AV268" s="26" t="n">
        <f aca="false">SUMIFS(Permissions!$AM$2:$AM$3000,Permissions!$B$2:$B$3000,$A268,Permissions!$P$2:$P$3000,"Yes")</f>
        <v>0</v>
      </c>
      <c r="AW268" s="24" t="n">
        <f aca="false">COUNTIFS(Permissions!$B$2:$B$3000,$A268,Permissions!$P$2:$P$3000,"Yes")</f>
        <v>1</v>
      </c>
      <c r="AX268" s="24" t="n">
        <f aca="false">SUMIFS(Permissions!$L$2:$L$3000,Permissions!$B$2:$B$3000,$A268,Permissions!$P$2:$P$3000,"Yes")</f>
        <v>0</v>
      </c>
      <c r="AY268" s="27" t="str">
        <f aca="false">IF(AND(AK268&gt;0,AG268&gt;=AK268,AN268=0),"Built out",IF(AG268&gt;0,"Partly built",IF(AK268&gt;0,"Consented – not built","No consent")))</f>
        <v>Built out</v>
      </c>
      <c r="AZ268" s="28" t="str">
        <f aca="false">IF(AND(R268&lt;&gt;"",AK268&gt;1.1*R268),"Consented above capacity",IF(AND(LEFT(B268,8)="Planning",AW268=0),"Consent parcel with no permission",IF(COUNTIF($A$2:$A$3000,$A268)&gt;1,"Duplicate parcel_id","")))</f>
        <v/>
      </c>
    </row>
    <row r="269" customFormat="false" ht="15" hidden="false" customHeight="false" outlineLevel="0" collapsed="false">
      <c r="A269" s="15" t="s">
        <v>620</v>
      </c>
      <c r="B269" s="15" t="s">
        <v>12</v>
      </c>
      <c r="C269" s="15" t="s">
        <v>17</v>
      </c>
      <c r="D269" s="15" t="s">
        <v>60</v>
      </c>
      <c r="E269" s="15" t="s">
        <v>20</v>
      </c>
      <c r="F269" s="15" t="n">
        <v>0</v>
      </c>
      <c r="G269" s="15" t="s">
        <v>616</v>
      </c>
      <c r="H269" s="15"/>
      <c r="I269" s="15" t="s">
        <v>558</v>
      </c>
      <c r="J269" s="15" t="s">
        <v>568</v>
      </c>
      <c r="K269" s="15" t="s">
        <v>621</v>
      </c>
      <c r="L269" s="15"/>
      <c r="M269" s="15"/>
      <c r="N269" s="15"/>
      <c r="O269" s="15"/>
      <c r="P269" s="15" t="n">
        <v>2.789</v>
      </c>
      <c r="Q269" s="15" t="n">
        <v>2.789</v>
      </c>
      <c r="R269" s="15"/>
      <c r="S269" s="15" t="s">
        <v>346</v>
      </c>
      <c r="T269" s="15"/>
      <c r="U269" s="15"/>
      <c r="V269" s="15"/>
      <c r="W269" s="15"/>
      <c r="X269" s="15"/>
      <c r="Y269" s="15"/>
      <c r="Z269" s="15"/>
      <c r="AA269" s="15" t="n">
        <v>0</v>
      </c>
      <c r="AB269" s="15" t="n">
        <v>0</v>
      </c>
      <c r="AC269" s="15"/>
      <c r="AD269" s="15"/>
      <c r="AE269" s="15" t="s">
        <v>163</v>
      </c>
      <c r="AF269" s="15"/>
      <c r="AG269" s="24" t="n">
        <f aca="false">SUMIFS(Permissions!$G$2:$G$3000,Permissions!$B$2:$B$3000,$A269,Permissions!$I$2:$I$3000,"Complete",Permissions!$P$2:$P$3000,"Yes")</f>
        <v>0</v>
      </c>
      <c r="AH269" s="24" t="n">
        <f aca="false">SUMIFS(Permissions!$G$2:$G$3000,Permissions!$B$2:$B$3000,$A269,Permissions!$I$2:$I$3000,"Under construction",Permissions!$P$2:$P$3000,"Yes")</f>
        <v>0</v>
      </c>
      <c r="AI269" s="24" t="n">
        <f aca="false">SUMIFS(Permissions!$G$2:$G$3000,Permissions!$B$2:$B$3000,$A269,Permissions!$I$2:$I$3000,"Permitted – not started",Permissions!$P$2:$P$3000,"Yes")</f>
        <v>68</v>
      </c>
      <c r="AJ269" s="24" t="n">
        <f aca="false">SUMIFS(Permissions!$G$2:$G$3000,Permissions!$B$2:$B$3000,$A269,Permissions!$I$2:$I$3000,"Stalled",Permissions!$P$2:$P$3000,"Yes")</f>
        <v>0</v>
      </c>
      <c r="AK269" s="24" t="n">
        <f aca="false">AG269+AH269+AI269+AJ269</f>
        <v>68</v>
      </c>
      <c r="AL269" s="24" t="n">
        <f aca="false">SUMIFS(Permissions!$G$2:$G$3000,Permissions!$B$2:$B$3000,$A269,Permissions!$I$2:$I$3000,"Expired – not started",Permissions!$P$2:$P$3000,"Yes")</f>
        <v>0</v>
      </c>
      <c r="AM269" s="24" t="n">
        <f aca="false">SUMIFS(Permissions!$G$2:$G$3000,Permissions!$B$2:$B$3000,$A269,Permissions!$I$2:$I$3000,"In planning",Permissions!$P$2:$P$3000,"Yes")</f>
        <v>48</v>
      </c>
      <c r="AN269" s="24" t="n">
        <f aca="false">IF(R269="",0,MAX(R269-AK269,0))</f>
        <v>0</v>
      </c>
      <c r="AO269" s="25" t="n">
        <f aca="false">AK269+AN269</f>
        <v>68</v>
      </c>
      <c r="AP269" s="24" t="n">
        <f aca="false">AO269-AG269</f>
        <v>68</v>
      </c>
      <c r="AQ269" s="26" t="n">
        <f aca="false">SUMIFS(Permissions!$AH$2:$AH$3000,Permissions!$B$2:$B$3000,$A269,Permissions!$P$2:$P$3000,"Yes")</f>
        <v>0</v>
      </c>
      <c r="AR269" s="26" t="n">
        <f aca="false">SUMIFS(Permissions!$AI$2:$AI$3000,Permissions!$B$2:$B$3000,$A269,Permissions!$P$2:$P$3000,"Yes")</f>
        <v>0</v>
      </c>
      <c r="AS269" s="26" t="n">
        <f aca="false">SUMIFS(Permissions!$AJ$2:$AJ$3000,Permissions!$B$2:$B$3000,$A269,Permissions!$P$2:$P$3000,"Yes")</f>
        <v>53</v>
      </c>
      <c r="AT269" s="26" t="n">
        <f aca="false">SUMIFS(Permissions!$AK$2:$AK$3000,Permissions!$B$2:$B$3000,$A269,Permissions!$P$2:$P$3000,"Yes")</f>
        <v>15</v>
      </c>
      <c r="AU269" s="26" t="n">
        <f aca="false">SUMIFS(Permissions!$AL$2:$AL$3000,Permissions!$B$2:$B$3000,$A269,Permissions!$P$2:$P$3000,"Yes")</f>
        <v>0</v>
      </c>
      <c r="AV269" s="26" t="n">
        <f aca="false">SUMIFS(Permissions!$AM$2:$AM$3000,Permissions!$B$2:$B$3000,$A269,Permissions!$P$2:$P$3000,"Yes")</f>
        <v>0</v>
      </c>
      <c r="AW269" s="24" t="n">
        <f aca="false">COUNTIFS(Permissions!$B$2:$B$3000,$A269,Permissions!$P$2:$P$3000,"Yes")</f>
        <v>2</v>
      </c>
      <c r="AX269" s="24" t="n">
        <f aca="false">SUMIFS(Permissions!$L$2:$L$3000,Permissions!$B$2:$B$3000,$A269,Permissions!$P$2:$P$3000,"Yes")</f>
        <v>0</v>
      </c>
      <c r="AY269" s="27" t="str">
        <f aca="false">IF(AND(AK269&gt;0,AG269&gt;=AK269,AN269=0),"Built out",IF(AG269&gt;0,"Partly built",IF(AK269&gt;0,"Consented – not built","No consent")))</f>
        <v>Consented – not built</v>
      </c>
      <c r="AZ269" s="28" t="str">
        <f aca="false">IF(AND(R269&lt;&gt;"",AK269&gt;1.1*R269),"Consented above capacity",IF(AND(LEFT(B269,8)="Planning",AW269=0),"Consent parcel with no permission",IF(COUNTIF($A$2:$A$3000,$A269)&gt;1,"Duplicate parcel_id","")))</f>
        <v/>
      </c>
    </row>
    <row r="270" customFormat="false" ht="15" hidden="false" customHeight="false" outlineLevel="0" collapsed="false">
      <c r="A270" s="15" t="s">
        <v>622</v>
      </c>
      <c r="B270" s="15" t="s">
        <v>12</v>
      </c>
      <c r="C270" s="15" t="s">
        <v>17</v>
      </c>
      <c r="D270" s="15" t="s">
        <v>70</v>
      </c>
      <c r="E270" s="15" t="s">
        <v>21</v>
      </c>
      <c r="F270" s="15" t="n">
        <v>1</v>
      </c>
      <c r="G270" s="15" t="s">
        <v>154</v>
      </c>
      <c r="H270" s="15"/>
      <c r="I270" s="15" t="s">
        <v>558</v>
      </c>
      <c r="J270" s="15" t="s">
        <v>583</v>
      </c>
      <c r="K270" s="15" t="s">
        <v>623</v>
      </c>
      <c r="L270" s="15"/>
      <c r="M270" s="15"/>
      <c r="N270" s="15"/>
      <c r="O270" s="15"/>
      <c r="P270" s="15" t="n">
        <v>2.047</v>
      </c>
      <c r="Q270" s="15" t="n">
        <v>2.047</v>
      </c>
      <c r="R270" s="15"/>
      <c r="S270" s="15" t="s">
        <v>346</v>
      </c>
      <c r="T270" s="15"/>
      <c r="U270" s="15"/>
      <c r="V270" s="15"/>
      <c r="W270" s="15"/>
      <c r="X270" s="15"/>
      <c r="Y270" s="15"/>
      <c r="Z270" s="15"/>
      <c r="AA270" s="15" t="n">
        <v>1</v>
      </c>
      <c r="AB270" s="15" t="n">
        <v>0</v>
      </c>
      <c r="AC270" s="15"/>
      <c r="AD270" s="15"/>
      <c r="AE270" s="15" t="s">
        <v>163</v>
      </c>
      <c r="AF270" s="15"/>
      <c r="AG270" s="24" t="n">
        <f aca="false">SUMIFS(Permissions!$G$2:$G$3000,Permissions!$B$2:$B$3000,$A270,Permissions!$I$2:$I$3000,"Complete",Permissions!$P$2:$P$3000,"Yes")</f>
        <v>0</v>
      </c>
      <c r="AH270" s="24" t="n">
        <f aca="false">SUMIFS(Permissions!$G$2:$G$3000,Permissions!$B$2:$B$3000,$A270,Permissions!$I$2:$I$3000,"Under construction",Permissions!$P$2:$P$3000,"Yes")</f>
        <v>0</v>
      </c>
      <c r="AI270" s="24" t="n">
        <f aca="false">SUMIFS(Permissions!$G$2:$G$3000,Permissions!$B$2:$B$3000,$A270,Permissions!$I$2:$I$3000,"Permitted – not started",Permissions!$P$2:$P$3000,"Yes")</f>
        <v>51</v>
      </c>
      <c r="AJ270" s="24" t="n">
        <f aca="false">SUMIFS(Permissions!$G$2:$G$3000,Permissions!$B$2:$B$3000,$A270,Permissions!$I$2:$I$3000,"Stalled",Permissions!$P$2:$P$3000,"Yes")</f>
        <v>0</v>
      </c>
      <c r="AK270" s="24" t="n">
        <f aca="false">AG270+AH270+AI270+AJ270</f>
        <v>51</v>
      </c>
      <c r="AL270" s="24" t="n">
        <f aca="false">SUMIFS(Permissions!$G$2:$G$3000,Permissions!$B$2:$B$3000,$A270,Permissions!$I$2:$I$3000,"Expired – not started",Permissions!$P$2:$P$3000,"Yes")</f>
        <v>0</v>
      </c>
      <c r="AM270" s="24" t="n">
        <f aca="false">SUMIFS(Permissions!$G$2:$G$3000,Permissions!$B$2:$B$3000,$A270,Permissions!$I$2:$I$3000,"In planning",Permissions!$P$2:$P$3000,"Yes")</f>
        <v>0</v>
      </c>
      <c r="AN270" s="24" t="n">
        <f aca="false">IF(R270="",0,MAX(R270-AK270,0))</f>
        <v>0</v>
      </c>
      <c r="AO270" s="25" t="n">
        <f aca="false">AK270+AN270</f>
        <v>51</v>
      </c>
      <c r="AP270" s="24" t="n">
        <f aca="false">AO270-AG270</f>
        <v>51</v>
      </c>
      <c r="AQ270" s="26" t="n">
        <f aca="false">SUMIFS(Permissions!$AH$2:$AH$3000,Permissions!$B$2:$B$3000,$A270,Permissions!$P$2:$P$3000,"Yes")</f>
        <v>0</v>
      </c>
      <c r="AR270" s="26" t="n">
        <f aca="false">SUMIFS(Permissions!$AI$2:$AI$3000,Permissions!$B$2:$B$3000,$A270,Permissions!$P$2:$P$3000,"Yes")</f>
        <v>0</v>
      </c>
      <c r="AS270" s="26" t="n">
        <f aca="false">SUMIFS(Permissions!$AJ$2:$AJ$3000,Permissions!$B$2:$B$3000,$A270,Permissions!$P$2:$P$3000,"Yes")</f>
        <v>39.8</v>
      </c>
      <c r="AT270" s="26" t="n">
        <f aca="false">SUMIFS(Permissions!$AK$2:$AK$3000,Permissions!$B$2:$B$3000,$A270,Permissions!$P$2:$P$3000,"Yes")</f>
        <v>11.2</v>
      </c>
      <c r="AU270" s="26" t="n">
        <f aca="false">SUMIFS(Permissions!$AL$2:$AL$3000,Permissions!$B$2:$B$3000,$A270,Permissions!$P$2:$P$3000,"Yes")</f>
        <v>0</v>
      </c>
      <c r="AV270" s="26" t="n">
        <f aca="false">SUMIFS(Permissions!$AM$2:$AM$3000,Permissions!$B$2:$B$3000,$A270,Permissions!$P$2:$P$3000,"Yes")</f>
        <v>0</v>
      </c>
      <c r="AW270" s="24" t="n">
        <f aca="false">COUNTIFS(Permissions!$B$2:$B$3000,$A270,Permissions!$P$2:$P$3000,"Yes")</f>
        <v>1</v>
      </c>
      <c r="AX270" s="24" t="n">
        <f aca="false">SUMIFS(Permissions!$L$2:$L$3000,Permissions!$B$2:$B$3000,$A270,Permissions!$P$2:$P$3000,"Yes")</f>
        <v>0</v>
      </c>
      <c r="AY270" s="27" t="str">
        <f aca="false">IF(AND(AK270&gt;0,AG270&gt;=AK270,AN270=0),"Built out",IF(AG270&gt;0,"Partly built",IF(AK270&gt;0,"Consented – not built","No consent")))</f>
        <v>Consented – not built</v>
      </c>
      <c r="AZ270" s="28" t="str">
        <f aca="false">IF(AND(R270&lt;&gt;"",AK270&gt;1.1*R270),"Consented above capacity",IF(AND(LEFT(B270,8)="Planning",AW270=0),"Consent parcel with no permission",IF(COUNTIF($A$2:$A$3000,$A270)&gt;1,"Duplicate parcel_id","")))</f>
        <v/>
      </c>
    </row>
    <row r="271" customFormat="false" ht="15" hidden="false" customHeight="false" outlineLevel="0" collapsed="false">
      <c r="A271" s="15" t="s">
        <v>624</v>
      </c>
      <c r="B271" s="15" t="s">
        <v>12</v>
      </c>
      <c r="C271" s="15" t="s">
        <v>17</v>
      </c>
      <c r="D271" s="15" t="s">
        <v>22</v>
      </c>
      <c r="E271" s="15" t="s">
        <v>22</v>
      </c>
      <c r="F271" s="15"/>
      <c r="G271" s="15" t="s">
        <v>22</v>
      </c>
      <c r="H271" s="15"/>
      <c r="I271" s="15" t="s">
        <v>558</v>
      </c>
      <c r="J271" s="15" t="s">
        <v>568</v>
      </c>
      <c r="K271" s="15" t="s">
        <v>625</v>
      </c>
      <c r="L271" s="15"/>
      <c r="M271" s="15"/>
      <c r="N271" s="15"/>
      <c r="O271" s="15"/>
      <c r="P271" s="15" t="n">
        <v>0.581</v>
      </c>
      <c r="Q271" s="15" t="n">
        <v>0.581</v>
      </c>
      <c r="R271" s="15"/>
      <c r="S271" s="15" t="s">
        <v>346</v>
      </c>
      <c r="T271" s="15"/>
      <c r="U271" s="15"/>
      <c r="V271" s="15"/>
      <c r="W271" s="15"/>
      <c r="X271" s="15"/>
      <c r="Y271" s="15"/>
      <c r="Z271" s="15"/>
      <c r="AA271" s="15" t="n">
        <v>11</v>
      </c>
      <c r="AB271" s="15" t="n">
        <v>11</v>
      </c>
      <c r="AC271" s="15"/>
      <c r="AD271" s="15"/>
      <c r="AE271" s="15" t="s">
        <v>163</v>
      </c>
      <c r="AF271" s="15"/>
      <c r="AG271" s="24" t="n">
        <f aca="false">SUMIFS(Permissions!$G$2:$G$3000,Permissions!$B$2:$B$3000,$A271,Permissions!$I$2:$I$3000,"Complete",Permissions!$P$2:$P$3000,"Yes")</f>
        <v>0</v>
      </c>
      <c r="AH271" s="24" t="n">
        <f aca="false">SUMIFS(Permissions!$G$2:$G$3000,Permissions!$B$2:$B$3000,$A271,Permissions!$I$2:$I$3000,"Under construction",Permissions!$P$2:$P$3000,"Yes")</f>
        <v>18</v>
      </c>
      <c r="AI271" s="24" t="n">
        <f aca="false">SUMIFS(Permissions!$G$2:$G$3000,Permissions!$B$2:$B$3000,$A271,Permissions!$I$2:$I$3000,"Permitted – not started",Permissions!$P$2:$P$3000,"Yes")</f>
        <v>18</v>
      </c>
      <c r="AJ271" s="24" t="n">
        <f aca="false">SUMIFS(Permissions!$G$2:$G$3000,Permissions!$B$2:$B$3000,$A271,Permissions!$I$2:$I$3000,"Stalled",Permissions!$P$2:$P$3000,"Yes")</f>
        <v>0</v>
      </c>
      <c r="AK271" s="24" t="n">
        <f aca="false">AG271+AH271+AI271+AJ271</f>
        <v>36</v>
      </c>
      <c r="AL271" s="24" t="n">
        <f aca="false">SUMIFS(Permissions!$G$2:$G$3000,Permissions!$B$2:$B$3000,$A271,Permissions!$I$2:$I$3000,"Expired – not started",Permissions!$P$2:$P$3000,"Yes")</f>
        <v>0</v>
      </c>
      <c r="AM271" s="24" t="n">
        <f aca="false">SUMIFS(Permissions!$G$2:$G$3000,Permissions!$B$2:$B$3000,$A271,Permissions!$I$2:$I$3000,"In planning",Permissions!$P$2:$P$3000,"Yes")</f>
        <v>0</v>
      </c>
      <c r="AN271" s="24" t="n">
        <f aca="false">IF(R271="",0,MAX(R271-AK271,0))</f>
        <v>0</v>
      </c>
      <c r="AO271" s="25" t="n">
        <f aca="false">AK271+AN271</f>
        <v>36</v>
      </c>
      <c r="AP271" s="24" t="n">
        <f aca="false">AO271-AG271</f>
        <v>36</v>
      </c>
      <c r="AQ271" s="26" t="n">
        <f aca="false">SUMIFS(Permissions!$AH$2:$AH$3000,Permissions!$B$2:$B$3000,$A271,Permissions!$P$2:$P$3000,"Yes")</f>
        <v>4.2</v>
      </c>
      <c r="AR271" s="26" t="n">
        <f aca="false">SUMIFS(Permissions!$AI$2:$AI$3000,Permissions!$B$2:$B$3000,$A271,Permissions!$P$2:$P$3000,"Yes")</f>
        <v>13.8</v>
      </c>
      <c r="AS271" s="26" t="n">
        <f aca="false">SUMIFS(Permissions!$AJ$2:$AJ$3000,Permissions!$B$2:$B$3000,$A271,Permissions!$P$2:$P$3000,"Yes")</f>
        <v>7.5</v>
      </c>
      <c r="AT271" s="26" t="n">
        <f aca="false">SUMIFS(Permissions!$AK$2:$AK$3000,Permissions!$B$2:$B$3000,$A271,Permissions!$P$2:$P$3000,"Yes")</f>
        <v>10.5</v>
      </c>
      <c r="AU271" s="26" t="n">
        <f aca="false">SUMIFS(Permissions!$AL$2:$AL$3000,Permissions!$B$2:$B$3000,$A271,Permissions!$P$2:$P$3000,"Yes")</f>
        <v>0</v>
      </c>
      <c r="AV271" s="26" t="n">
        <f aca="false">SUMIFS(Permissions!$AM$2:$AM$3000,Permissions!$B$2:$B$3000,$A271,Permissions!$P$2:$P$3000,"Yes")</f>
        <v>0</v>
      </c>
      <c r="AW271" s="24" t="n">
        <f aca="false">COUNTIFS(Permissions!$B$2:$B$3000,$A271,Permissions!$P$2:$P$3000,"Yes")</f>
        <v>2</v>
      </c>
      <c r="AX271" s="24" t="n">
        <f aca="false">SUMIFS(Permissions!$L$2:$L$3000,Permissions!$B$2:$B$3000,$A271,Permissions!$P$2:$P$3000,"Yes")</f>
        <v>0</v>
      </c>
      <c r="AY271" s="27" t="str">
        <f aca="false">IF(AND(AK271&gt;0,AG271&gt;=AK271,AN271=0),"Built out",IF(AG271&gt;0,"Partly built",IF(AK271&gt;0,"Consented – not built","No consent")))</f>
        <v>Consented – not built</v>
      </c>
      <c r="AZ271" s="28" t="str">
        <f aca="false">IF(AND(R271&lt;&gt;"",AK271&gt;1.1*R271),"Consented above capacity",IF(AND(LEFT(B271,8)="Planning",AW271=0),"Consent parcel with no permission",IF(COUNTIF($A$2:$A$3000,$A271)&gt;1,"Duplicate parcel_id","")))</f>
        <v/>
      </c>
    </row>
    <row r="272" customFormat="false" ht="15" hidden="false" customHeight="false" outlineLevel="0" collapsed="false">
      <c r="A272" s="15" t="s">
        <v>626</v>
      </c>
      <c r="B272" s="15" t="s">
        <v>12</v>
      </c>
      <c r="C272" s="15" t="s">
        <v>17</v>
      </c>
      <c r="D272" s="15" t="s">
        <v>72</v>
      </c>
      <c r="E272" s="15" t="s">
        <v>21</v>
      </c>
      <c r="F272" s="15" t="n">
        <v>0.05</v>
      </c>
      <c r="G272" s="15" t="s">
        <v>154</v>
      </c>
      <c r="H272" s="15"/>
      <c r="I272" s="15" t="s">
        <v>558</v>
      </c>
      <c r="J272" s="15" t="s">
        <v>559</v>
      </c>
      <c r="K272" s="15" t="s">
        <v>627</v>
      </c>
      <c r="L272" s="15"/>
      <c r="M272" s="15"/>
      <c r="N272" s="15"/>
      <c r="O272" s="15"/>
      <c r="P272" s="15" t="n">
        <v>0.427</v>
      </c>
      <c r="Q272" s="15" t="n">
        <v>0.427</v>
      </c>
      <c r="R272" s="15"/>
      <c r="S272" s="15" t="s">
        <v>346</v>
      </c>
      <c r="T272" s="15"/>
      <c r="U272" s="15"/>
      <c r="V272" s="15"/>
      <c r="W272" s="15"/>
      <c r="X272" s="15"/>
      <c r="Y272" s="15"/>
      <c r="Z272" s="15"/>
      <c r="AA272" s="15" t="n">
        <v>10</v>
      </c>
      <c r="AB272" s="15" t="n">
        <v>10</v>
      </c>
      <c r="AC272" s="15"/>
      <c r="AD272" s="15"/>
      <c r="AE272" s="15" t="s">
        <v>163</v>
      </c>
      <c r="AF272" s="15"/>
      <c r="AG272" s="24" t="n">
        <f aca="false">SUMIFS(Permissions!$G$2:$G$3000,Permissions!$B$2:$B$3000,$A272,Permissions!$I$2:$I$3000,"Complete",Permissions!$P$2:$P$3000,"Yes")</f>
        <v>10</v>
      </c>
      <c r="AH272" s="24" t="n">
        <f aca="false">SUMIFS(Permissions!$G$2:$G$3000,Permissions!$B$2:$B$3000,$A272,Permissions!$I$2:$I$3000,"Under construction",Permissions!$P$2:$P$3000,"Yes")</f>
        <v>0</v>
      </c>
      <c r="AI272" s="24" t="n">
        <f aca="false">SUMIFS(Permissions!$G$2:$G$3000,Permissions!$B$2:$B$3000,$A272,Permissions!$I$2:$I$3000,"Permitted – not started",Permissions!$P$2:$P$3000,"Yes")</f>
        <v>0</v>
      </c>
      <c r="AJ272" s="24" t="n">
        <f aca="false">SUMIFS(Permissions!$G$2:$G$3000,Permissions!$B$2:$B$3000,$A272,Permissions!$I$2:$I$3000,"Stalled",Permissions!$P$2:$P$3000,"Yes")</f>
        <v>0</v>
      </c>
      <c r="AK272" s="24" t="n">
        <f aca="false">AG272+AH272+AI272+AJ272</f>
        <v>10</v>
      </c>
      <c r="AL272" s="24" t="n">
        <f aca="false">SUMIFS(Permissions!$G$2:$G$3000,Permissions!$B$2:$B$3000,$A272,Permissions!$I$2:$I$3000,"Expired – not started",Permissions!$P$2:$P$3000,"Yes")</f>
        <v>0</v>
      </c>
      <c r="AM272" s="24" t="n">
        <f aca="false">SUMIFS(Permissions!$G$2:$G$3000,Permissions!$B$2:$B$3000,$A272,Permissions!$I$2:$I$3000,"In planning",Permissions!$P$2:$P$3000,"Yes")</f>
        <v>0</v>
      </c>
      <c r="AN272" s="24" t="n">
        <f aca="false">IF(R272="",0,MAX(R272-AK272,0))</f>
        <v>0</v>
      </c>
      <c r="AO272" s="25" t="n">
        <f aca="false">AK272+AN272</f>
        <v>10</v>
      </c>
      <c r="AP272" s="24" t="n">
        <f aca="false">AO272-AG272</f>
        <v>0</v>
      </c>
      <c r="AQ272" s="26" t="n">
        <f aca="false">SUMIFS(Permissions!$AH$2:$AH$3000,Permissions!$B$2:$B$3000,$A272,Permissions!$P$2:$P$3000,"Yes")</f>
        <v>0</v>
      </c>
      <c r="AR272" s="26" t="n">
        <f aca="false">SUMIFS(Permissions!$AI$2:$AI$3000,Permissions!$B$2:$B$3000,$A272,Permissions!$P$2:$P$3000,"Yes")</f>
        <v>0</v>
      </c>
      <c r="AS272" s="26" t="n">
        <f aca="false">SUMIFS(Permissions!$AJ$2:$AJ$3000,Permissions!$B$2:$B$3000,$A272,Permissions!$P$2:$P$3000,"Yes")</f>
        <v>0</v>
      </c>
      <c r="AT272" s="26" t="n">
        <f aca="false">SUMIFS(Permissions!$AK$2:$AK$3000,Permissions!$B$2:$B$3000,$A272,Permissions!$P$2:$P$3000,"Yes")</f>
        <v>0</v>
      </c>
      <c r="AU272" s="26" t="n">
        <f aca="false">SUMIFS(Permissions!$AL$2:$AL$3000,Permissions!$B$2:$B$3000,$A272,Permissions!$P$2:$P$3000,"Yes")</f>
        <v>0</v>
      </c>
      <c r="AV272" s="26" t="n">
        <f aca="false">SUMIFS(Permissions!$AM$2:$AM$3000,Permissions!$B$2:$B$3000,$A272,Permissions!$P$2:$P$3000,"Yes")</f>
        <v>0</v>
      </c>
      <c r="AW272" s="24" t="n">
        <f aca="false">COUNTIFS(Permissions!$B$2:$B$3000,$A272,Permissions!$P$2:$P$3000,"Yes")</f>
        <v>1</v>
      </c>
      <c r="AX272" s="24" t="n">
        <f aca="false">SUMIFS(Permissions!$L$2:$L$3000,Permissions!$B$2:$B$3000,$A272,Permissions!$P$2:$P$3000,"Yes")</f>
        <v>10</v>
      </c>
      <c r="AY272" s="27" t="str">
        <f aca="false">IF(AND(AK272&gt;0,AG272&gt;=AK272,AN272=0),"Built out",IF(AG272&gt;0,"Partly built",IF(AK272&gt;0,"Consented – not built","No consent")))</f>
        <v>Built out</v>
      </c>
      <c r="AZ272" s="28" t="str">
        <f aca="false">IF(AND(R272&lt;&gt;"",AK272&gt;1.1*R272),"Consented above capacity",IF(AND(LEFT(B272,8)="Planning",AW272=0),"Consent parcel with no permission",IF(COUNTIF($A$2:$A$3000,$A272)&gt;1,"Duplicate parcel_id","")))</f>
        <v/>
      </c>
    </row>
    <row r="273" customFormat="false" ht="15" hidden="false" customHeight="false" outlineLevel="0" collapsed="false">
      <c r="A273" s="15" t="s">
        <v>628</v>
      </c>
      <c r="B273" s="15" t="s">
        <v>12</v>
      </c>
      <c r="C273" s="15" t="s">
        <v>17</v>
      </c>
      <c r="D273" s="15" t="s">
        <v>74</v>
      </c>
      <c r="E273" s="15" t="s">
        <v>21</v>
      </c>
      <c r="F273" s="15" t="n">
        <v>1</v>
      </c>
      <c r="G273" s="15" t="s">
        <v>154</v>
      </c>
      <c r="H273" s="15"/>
      <c r="I273" s="15" t="s">
        <v>558</v>
      </c>
      <c r="J273" s="15" t="s">
        <v>155</v>
      </c>
      <c r="K273" s="15" t="s">
        <v>629</v>
      </c>
      <c r="L273" s="15"/>
      <c r="M273" s="15"/>
      <c r="N273" s="15"/>
      <c r="O273" s="15"/>
      <c r="P273" s="15" t="n">
        <v>0.474</v>
      </c>
      <c r="Q273" s="15" t="n">
        <v>0.474</v>
      </c>
      <c r="R273" s="15"/>
      <c r="S273" s="15" t="s">
        <v>346</v>
      </c>
      <c r="T273" s="15"/>
      <c r="U273" s="15"/>
      <c r="V273" s="15"/>
      <c r="W273" s="15"/>
      <c r="X273" s="15"/>
      <c r="Y273" s="15"/>
      <c r="Z273" s="15"/>
      <c r="AA273" s="15" t="n">
        <v>9</v>
      </c>
      <c r="AB273" s="15" t="n">
        <v>9</v>
      </c>
      <c r="AC273" s="15"/>
      <c r="AD273" s="15"/>
      <c r="AE273" s="15" t="s">
        <v>163</v>
      </c>
      <c r="AF273" s="15"/>
      <c r="AG273" s="24" t="n">
        <f aca="false">SUMIFS(Permissions!$G$2:$G$3000,Permissions!$B$2:$B$3000,$A273,Permissions!$I$2:$I$3000,"Complete",Permissions!$P$2:$P$3000,"Yes")</f>
        <v>9</v>
      </c>
      <c r="AH273" s="24" t="n">
        <f aca="false">SUMIFS(Permissions!$G$2:$G$3000,Permissions!$B$2:$B$3000,$A273,Permissions!$I$2:$I$3000,"Under construction",Permissions!$P$2:$P$3000,"Yes")</f>
        <v>0</v>
      </c>
      <c r="AI273" s="24" t="n">
        <f aca="false">SUMIFS(Permissions!$G$2:$G$3000,Permissions!$B$2:$B$3000,$A273,Permissions!$I$2:$I$3000,"Permitted – not started",Permissions!$P$2:$P$3000,"Yes")</f>
        <v>0</v>
      </c>
      <c r="AJ273" s="24" t="n">
        <f aca="false">SUMIFS(Permissions!$G$2:$G$3000,Permissions!$B$2:$B$3000,$A273,Permissions!$I$2:$I$3000,"Stalled",Permissions!$P$2:$P$3000,"Yes")</f>
        <v>0</v>
      </c>
      <c r="AK273" s="24" t="n">
        <f aca="false">AG273+AH273+AI273+AJ273</f>
        <v>9</v>
      </c>
      <c r="AL273" s="24" t="n">
        <f aca="false">SUMIFS(Permissions!$G$2:$G$3000,Permissions!$B$2:$B$3000,$A273,Permissions!$I$2:$I$3000,"Expired – not started",Permissions!$P$2:$P$3000,"Yes")</f>
        <v>0</v>
      </c>
      <c r="AM273" s="24" t="n">
        <f aca="false">SUMIFS(Permissions!$G$2:$G$3000,Permissions!$B$2:$B$3000,$A273,Permissions!$I$2:$I$3000,"In planning",Permissions!$P$2:$P$3000,"Yes")</f>
        <v>0</v>
      </c>
      <c r="AN273" s="24" t="n">
        <f aca="false">IF(R273="",0,MAX(R273-AK273,0))</f>
        <v>0</v>
      </c>
      <c r="AO273" s="25" t="n">
        <f aca="false">AK273+AN273</f>
        <v>9</v>
      </c>
      <c r="AP273" s="24" t="n">
        <f aca="false">AO273-AG273</f>
        <v>0</v>
      </c>
      <c r="AQ273" s="26" t="n">
        <f aca="false">SUMIFS(Permissions!$AH$2:$AH$3000,Permissions!$B$2:$B$3000,$A273,Permissions!$P$2:$P$3000,"Yes")</f>
        <v>0</v>
      </c>
      <c r="AR273" s="26" t="n">
        <f aca="false">SUMIFS(Permissions!$AI$2:$AI$3000,Permissions!$B$2:$B$3000,$A273,Permissions!$P$2:$P$3000,"Yes")</f>
        <v>0</v>
      </c>
      <c r="AS273" s="26" t="n">
        <f aca="false">SUMIFS(Permissions!$AJ$2:$AJ$3000,Permissions!$B$2:$B$3000,$A273,Permissions!$P$2:$P$3000,"Yes")</f>
        <v>0</v>
      </c>
      <c r="AT273" s="26" t="n">
        <f aca="false">SUMIFS(Permissions!$AK$2:$AK$3000,Permissions!$B$2:$B$3000,$A273,Permissions!$P$2:$P$3000,"Yes")</f>
        <v>0</v>
      </c>
      <c r="AU273" s="26" t="n">
        <f aca="false">SUMIFS(Permissions!$AL$2:$AL$3000,Permissions!$B$2:$B$3000,$A273,Permissions!$P$2:$P$3000,"Yes")</f>
        <v>0</v>
      </c>
      <c r="AV273" s="26" t="n">
        <f aca="false">SUMIFS(Permissions!$AM$2:$AM$3000,Permissions!$B$2:$B$3000,$A273,Permissions!$P$2:$P$3000,"Yes")</f>
        <v>0</v>
      </c>
      <c r="AW273" s="24" t="n">
        <f aca="false">COUNTIFS(Permissions!$B$2:$B$3000,$A273,Permissions!$P$2:$P$3000,"Yes")</f>
        <v>1</v>
      </c>
      <c r="AX273" s="24" t="n">
        <f aca="false">SUMIFS(Permissions!$L$2:$L$3000,Permissions!$B$2:$B$3000,$A273,Permissions!$P$2:$P$3000,"Yes")</f>
        <v>0</v>
      </c>
      <c r="AY273" s="27" t="str">
        <f aca="false">IF(AND(AK273&gt;0,AG273&gt;=AK273,AN273=0),"Built out",IF(AG273&gt;0,"Partly built",IF(AK273&gt;0,"Consented – not built","No consent")))</f>
        <v>Built out</v>
      </c>
      <c r="AZ273" s="28" t="str">
        <f aca="false">IF(AND(R273&lt;&gt;"",AK273&gt;1.1*R273),"Consented above capacity",IF(AND(LEFT(B273,8)="Planning",AW273=0),"Consent parcel with no permission",IF(COUNTIF($A$2:$A$3000,$A273)&gt;1,"Duplicate parcel_id","")))</f>
        <v/>
      </c>
    </row>
    <row r="274" customFormat="false" ht="15" hidden="false" customHeight="false" outlineLevel="0" collapsed="false">
      <c r="A274" s="15" t="s">
        <v>630</v>
      </c>
      <c r="B274" s="15" t="s">
        <v>12</v>
      </c>
      <c r="C274" s="15" t="s">
        <v>17</v>
      </c>
      <c r="D274" s="15" t="s">
        <v>74</v>
      </c>
      <c r="E274" s="15" t="s">
        <v>21</v>
      </c>
      <c r="F274" s="15" t="n">
        <v>0</v>
      </c>
      <c r="G274" s="15" t="s">
        <v>616</v>
      </c>
      <c r="H274" s="15"/>
      <c r="I274" s="15" t="s">
        <v>558</v>
      </c>
      <c r="J274" s="15" t="s">
        <v>155</v>
      </c>
      <c r="K274" s="15" t="s">
        <v>631</v>
      </c>
      <c r="L274" s="15"/>
      <c r="M274" s="15"/>
      <c r="N274" s="15"/>
      <c r="O274" s="15"/>
      <c r="P274" s="15" t="n">
        <v>2.683</v>
      </c>
      <c r="Q274" s="15" t="n">
        <v>2.683</v>
      </c>
      <c r="R274" s="15"/>
      <c r="S274" s="15" t="s">
        <v>346</v>
      </c>
      <c r="T274" s="15"/>
      <c r="U274" s="15"/>
      <c r="V274" s="15"/>
      <c r="W274" s="15"/>
      <c r="X274" s="15"/>
      <c r="Y274" s="15"/>
      <c r="Z274" s="15"/>
      <c r="AA274" s="15" t="n">
        <v>14</v>
      </c>
      <c r="AB274" s="15" t="n">
        <v>14</v>
      </c>
      <c r="AC274" s="15"/>
      <c r="AD274" s="15"/>
      <c r="AE274" s="15" t="s">
        <v>163</v>
      </c>
      <c r="AF274" s="15"/>
      <c r="AG274" s="24" t="n">
        <f aca="false">SUMIFS(Permissions!$G$2:$G$3000,Permissions!$B$2:$B$3000,$A274,Permissions!$I$2:$I$3000,"Complete",Permissions!$P$2:$P$3000,"Yes")</f>
        <v>0</v>
      </c>
      <c r="AH274" s="24" t="n">
        <f aca="false">SUMIFS(Permissions!$G$2:$G$3000,Permissions!$B$2:$B$3000,$A274,Permissions!$I$2:$I$3000,"Under construction",Permissions!$P$2:$P$3000,"Yes")</f>
        <v>52</v>
      </c>
      <c r="AI274" s="24" t="n">
        <f aca="false">SUMIFS(Permissions!$G$2:$G$3000,Permissions!$B$2:$B$3000,$A274,Permissions!$I$2:$I$3000,"Permitted – not started",Permissions!$P$2:$P$3000,"Yes")</f>
        <v>0</v>
      </c>
      <c r="AJ274" s="24" t="n">
        <f aca="false">SUMIFS(Permissions!$G$2:$G$3000,Permissions!$B$2:$B$3000,$A274,Permissions!$I$2:$I$3000,"Stalled",Permissions!$P$2:$P$3000,"Yes")</f>
        <v>0</v>
      </c>
      <c r="AK274" s="24" t="n">
        <f aca="false">AG274+AH274+AI274+AJ274</f>
        <v>52</v>
      </c>
      <c r="AL274" s="24" t="n">
        <f aca="false">SUMIFS(Permissions!$G$2:$G$3000,Permissions!$B$2:$B$3000,$A274,Permissions!$I$2:$I$3000,"Expired – not started",Permissions!$P$2:$P$3000,"Yes")</f>
        <v>0</v>
      </c>
      <c r="AM274" s="24" t="n">
        <f aca="false">SUMIFS(Permissions!$G$2:$G$3000,Permissions!$B$2:$B$3000,$A274,Permissions!$I$2:$I$3000,"In planning",Permissions!$P$2:$P$3000,"Yes")</f>
        <v>0</v>
      </c>
      <c r="AN274" s="24" t="n">
        <f aca="false">IF(R274="",0,MAX(R274-AK274,0))</f>
        <v>0</v>
      </c>
      <c r="AO274" s="25" t="n">
        <f aca="false">AK274+AN274</f>
        <v>52</v>
      </c>
      <c r="AP274" s="24" t="n">
        <f aca="false">AO274-AG274</f>
        <v>52</v>
      </c>
      <c r="AQ274" s="26" t="n">
        <f aca="false">SUMIFS(Permissions!$AH$2:$AH$3000,Permissions!$B$2:$B$3000,$A274,Permissions!$P$2:$P$3000,"Yes")</f>
        <v>12.1</v>
      </c>
      <c r="AR274" s="26" t="n">
        <f aca="false">SUMIFS(Permissions!$AI$2:$AI$3000,Permissions!$B$2:$B$3000,$A274,Permissions!$P$2:$P$3000,"Yes")</f>
        <v>39.9</v>
      </c>
      <c r="AS274" s="26" t="n">
        <f aca="false">SUMIFS(Permissions!$AJ$2:$AJ$3000,Permissions!$B$2:$B$3000,$A274,Permissions!$P$2:$P$3000,"Yes")</f>
        <v>0</v>
      </c>
      <c r="AT274" s="26" t="n">
        <f aca="false">SUMIFS(Permissions!$AK$2:$AK$3000,Permissions!$B$2:$B$3000,$A274,Permissions!$P$2:$P$3000,"Yes")</f>
        <v>0</v>
      </c>
      <c r="AU274" s="26" t="n">
        <f aca="false">SUMIFS(Permissions!$AL$2:$AL$3000,Permissions!$B$2:$B$3000,$A274,Permissions!$P$2:$P$3000,"Yes")</f>
        <v>0</v>
      </c>
      <c r="AV274" s="26" t="n">
        <f aca="false">SUMIFS(Permissions!$AM$2:$AM$3000,Permissions!$B$2:$B$3000,$A274,Permissions!$P$2:$P$3000,"Yes")</f>
        <v>0</v>
      </c>
      <c r="AW274" s="24" t="n">
        <f aca="false">COUNTIFS(Permissions!$B$2:$B$3000,$A274,Permissions!$P$2:$P$3000,"Yes")</f>
        <v>1</v>
      </c>
      <c r="AX274" s="24" t="n">
        <f aca="false">SUMIFS(Permissions!$L$2:$L$3000,Permissions!$B$2:$B$3000,$A274,Permissions!$P$2:$P$3000,"Yes")</f>
        <v>0</v>
      </c>
      <c r="AY274" s="27" t="str">
        <f aca="false">IF(AND(AK274&gt;0,AG274&gt;=AK274,AN274=0),"Built out",IF(AG274&gt;0,"Partly built",IF(AK274&gt;0,"Consented – not built","No consent")))</f>
        <v>Consented – not built</v>
      </c>
      <c r="AZ274" s="28" t="str">
        <f aca="false">IF(AND(R274&lt;&gt;"",AK274&gt;1.1*R274),"Consented above capacity",IF(AND(LEFT(B274,8)="Planning",AW274=0),"Consent parcel with no permission",IF(COUNTIF($A$2:$A$3000,$A274)&gt;1,"Duplicate parcel_id","")))</f>
        <v/>
      </c>
    </row>
    <row r="275" customFormat="false" ht="15" hidden="false" customHeight="false" outlineLevel="0" collapsed="false">
      <c r="A275" s="15" t="s">
        <v>632</v>
      </c>
      <c r="B275" s="15" t="s">
        <v>12</v>
      </c>
      <c r="C275" s="15" t="s">
        <v>17</v>
      </c>
      <c r="D275" s="15" t="s">
        <v>69</v>
      </c>
      <c r="E275" s="15" t="s">
        <v>21</v>
      </c>
      <c r="F275" s="15" t="n">
        <v>0</v>
      </c>
      <c r="G275" s="15" t="s">
        <v>616</v>
      </c>
      <c r="H275" s="15"/>
      <c r="I275" s="15" t="s">
        <v>558</v>
      </c>
      <c r="J275" s="15" t="s">
        <v>559</v>
      </c>
      <c r="K275" s="15" t="s">
        <v>633</v>
      </c>
      <c r="L275" s="15"/>
      <c r="M275" s="15"/>
      <c r="N275" s="15"/>
      <c r="O275" s="15"/>
      <c r="P275" s="15" t="n">
        <v>0.883</v>
      </c>
      <c r="Q275" s="15" t="n">
        <v>0.883</v>
      </c>
      <c r="R275" s="15"/>
      <c r="S275" s="15" t="s">
        <v>346</v>
      </c>
      <c r="T275" s="15"/>
      <c r="U275" s="15"/>
      <c r="V275" s="15"/>
      <c r="W275" s="15"/>
      <c r="X275" s="15"/>
      <c r="Y275" s="15"/>
      <c r="Z275" s="15"/>
      <c r="AA275" s="15" t="n">
        <v>17</v>
      </c>
      <c r="AB275" s="15" t="n">
        <v>17</v>
      </c>
      <c r="AC275" s="15"/>
      <c r="AD275" s="15"/>
      <c r="AE275" s="15" t="s">
        <v>163</v>
      </c>
      <c r="AF275" s="15"/>
      <c r="AG275" s="24" t="n">
        <f aca="false">SUMIFS(Permissions!$G$2:$G$3000,Permissions!$B$2:$B$3000,$A275,Permissions!$I$2:$I$3000,"Complete",Permissions!$P$2:$P$3000,"Yes")</f>
        <v>17</v>
      </c>
      <c r="AH275" s="24" t="n">
        <f aca="false">SUMIFS(Permissions!$G$2:$G$3000,Permissions!$B$2:$B$3000,$A275,Permissions!$I$2:$I$3000,"Under construction",Permissions!$P$2:$P$3000,"Yes")</f>
        <v>0</v>
      </c>
      <c r="AI275" s="24" t="n">
        <f aca="false">SUMIFS(Permissions!$G$2:$G$3000,Permissions!$B$2:$B$3000,$A275,Permissions!$I$2:$I$3000,"Permitted – not started",Permissions!$P$2:$P$3000,"Yes")</f>
        <v>0</v>
      </c>
      <c r="AJ275" s="24" t="n">
        <f aca="false">SUMIFS(Permissions!$G$2:$G$3000,Permissions!$B$2:$B$3000,$A275,Permissions!$I$2:$I$3000,"Stalled",Permissions!$P$2:$P$3000,"Yes")</f>
        <v>0</v>
      </c>
      <c r="AK275" s="24" t="n">
        <f aca="false">AG275+AH275+AI275+AJ275</f>
        <v>17</v>
      </c>
      <c r="AL275" s="24" t="n">
        <f aca="false">SUMIFS(Permissions!$G$2:$G$3000,Permissions!$B$2:$B$3000,$A275,Permissions!$I$2:$I$3000,"Expired – not started",Permissions!$P$2:$P$3000,"Yes")</f>
        <v>0</v>
      </c>
      <c r="AM275" s="24" t="n">
        <f aca="false">SUMIFS(Permissions!$G$2:$G$3000,Permissions!$B$2:$B$3000,$A275,Permissions!$I$2:$I$3000,"In planning",Permissions!$P$2:$P$3000,"Yes")</f>
        <v>0</v>
      </c>
      <c r="AN275" s="24" t="n">
        <f aca="false">IF(R275="",0,MAX(R275-AK275,0))</f>
        <v>0</v>
      </c>
      <c r="AO275" s="25" t="n">
        <f aca="false">AK275+AN275</f>
        <v>17</v>
      </c>
      <c r="AP275" s="24" t="n">
        <f aca="false">AO275-AG275</f>
        <v>0</v>
      </c>
      <c r="AQ275" s="26" t="n">
        <f aca="false">SUMIFS(Permissions!$AH$2:$AH$3000,Permissions!$B$2:$B$3000,$A275,Permissions!$P$2:$P$3000,"Yes")</f>
        <v>0</v>
      </c>
      <c r="AR275" s="26" t="n">
        <f aca="false">SUMIFS(Permissions!$AI$2:$AI$3000,Permissions!$B$2:$B$3000,$A275,Permissions!$P$2:$P$3000,"Yes")</f>
        <v>0</v>
      </c>
      <c r="AS275" s="26" t="n">
        <f aca="false">SUMIFS(Permissions!$AJ$2:$AJ$3000,Permissions!$B$2:$B$3000,$A275,Permissions!$P$2:$P$3000,"Yes")</f>
        <v>0</v>
      </c>
      <c r="AT275" s="26" t="n">
        <f aca="false">SUMIFS(Permissions!$AK$2:$AK$3000,Permissions!$B$2:$B$3000,$A275,Permissions!$P$2:$P$3000,"Yes")</f>
        <v>0</v>
      </c>
      <c r="AU275" s="26" t="n">
        <f aca="false">SUMIFS(Permissions!$AL$2:$AL$3000,Permissions!$B$2:$B$3000,$A275,Permissions!$P$2:$P$3000,"Yes")</f>
        <v>0</v>
      </c>
      <c r="AV275" s="26" t="n">
        <f aca="false">SUMIFS(Permissions!$AM$2:$AM$3000,Permissions!$B$2:$B$3000,$A275,Permissions!$P$2:$P$3000,"Yes")</f>
        <v>0</v>
      </c>
      <c r="AW275" s="24" t="n">
        <f aca="false">COUNTIFS(Permissions!$B$2:$B$3000,$A275,Permissions!$P$2:$P$3000,"Yes")</f>
        <v>1</v>
      </c>
      <c r="AX275" s="24" t="n">
        <f aca="false">SUMIFS(Permissions!$L$2:$L$3000,Permissions!$B$2:$B$3000,$A275,Permissions!$P$2:$P$3000,"Yes")</f>
        <v>0</v>
      </c>
      <c r="AY275" s="27" t="str">
        <f aca="false">IF(AND(AK275&gt;0,AG275&gt;=AK275,AN275=0),"Built out",IF(AG275&gt;0,"Partly built",IF(AK275&gt;0,"Consented – not built","No consent")))</f>
        <v>Built out</v>
      </c>
      <c r="AZ275" s="28" t="str">
        <f aca="false">IF(AND(R275&lt;&gt;"",AK275&gt;1.1*R275),"Consented above capacity",IF(AND(LEFT(B275,8)="Planning",AW275=0),"Consent parcel with no permission",IF(COUNTIF($A$2:$A$3000,$A275)&gt;1,"Duplicate parcel_id","")))</f>
        <v/>
      </c>
    </row>
    <row r="276" customFormat="false" ht="15" hidden="false" customHeight="false" outlineLevel="0" collapsed="false">
      <c r="A276" s="15" t="s">
        <v>634</v>
      </c>
      <c r="B276" s="15" t="s">
        <v>12</v>
      </c>
      <c r="C276" s="15" t="s">
        <v>17</v>
      </c>
      <c r="D276" s="15" t="s">
        <v>62</v>
      </c>
      <c r="E276" s="15" t="s">
        <v>20</v>
      </c>
      <c r="F276" s="15" t="n">
        <v>0.93</v>
      </c>
      <c r="G276" s="15" t="s">
        <v>154</v>
      </c>
      <c r="H276" s="15"/>
      <c r="I276" s="15" t="s">
        <v>558</v>
      </c>
      <c r="J276" s="15" t="s">
        <v>205</v>
      </c>
      <c r="K276" s="15" t="s">
        <v>635</v>
      </c>
      <c r="L276" s="15"/>
      <c r="M276" s="15"/>
      <c r="N276" s="15"/>
      <c r="O276" s="15"/>
      <c r="P276" s="15" t="n">
        <v>0.372</v>
      </c>
      <c r="Q276" s="15" t="n">
        <v>0.372</v>
      </c>
      <c r="R276" s="15"/>
      <c r="S276" s="15" t="s">
        <v>346</v>
      </c>
      <c r="T276" s="15"/>
      <c r="U276" s="15"/>
      <c r="V276" s="15"/>
      <c r="W276" s="15"/>
      <c r="X276" s="15"/>
      <c r="Y276" s="15"/>
      <c r="Z276" s="15"/>
      <c r="AA276" s="15" t="n">
        <v>13</v>
      </c>
      <c r="AB276" s="15" t="n">
        <v>13</v>
      </c>
      <c r="AC276" s="15"/>
      <c r="AD276" s="15"/>
      <c r="AE276" s="15" t="s">
        <v>163</v>
      </c>
      <c r="AF276" s="15"/>
      <c r="AG276" s="24" t="n">
        <f aca="false">SUMIFS(Permissions!$G$2:$G$3000,Permissions!$B$2:$B$3000,$A276,Permissions!$I$2:$I$3000,"Complete",Permissions!$P$2:$P$3000,"Yes")</f>
        <v>13</v>
      </c>
      <c r="AH276" s="24" t="n">
        <f aca="false">SUMIFS(Permissions!$G$2:$G$3000,Permissions!$B$2:$B$3000,$A276,Permissions!$I$2:$I$3000,"Under construction",Permissions!$P$2:$P$3000,"Yes")</f>
        <v>0</v>
      </c>
      <c r="AI276" s="24" t="n">
        <f aca="false">SUMIFS(Permissions!$G$2:$G$3000,Permissions!$B$2:$B$3000,$A276,Permissions!$I$2:$I$3000,"Permitted – not started",Permissions!$P$2:$P$3000,"Yes")</f>
        <v>0</v>
      </c>
      <c r="AJ276" s="24" t="n">
        <f aca="false">SUMIFS(Permissions!$G$2:$G$3000,Permissions!$B$2:$B$3000,$A276,Permissions!$I$2:$I$3000,"Stalled",Permissions!$P$2:$P$3000,"Yes")</f>
        <v>0</v>
      </c>
      <c r="AK276" s="24" t="n">
        <f aca="false">AG276+AH276+AI276+AJ276</f>
        <v>13</v>
      </c>
      <c r="AL276" s="24" t="n">
        <f aca="false">SUMIFS(Permissions!$G$2:$G$3000,Permissions!$B$2:$B$3000,$A276,Permissions!$I$2:$I$3000,"Expired – not started",Permissions!$P$2:$P$3000,"Yes")</f>
        <v>0</v>
      </c>
      <c r="AM276" s="24" t="n">
        <f aca="false">SUMIFS(Permissions!$G$2:$G$3000,Permissions!$B$2:$B$3000,$A276,Permissions!$I$2:$I$3000,"In planning",Permissions!$P$2:$P$3000,"Yes")</f>
        <v>0</v>
      </c>
      <c r="AN276" s="24" t="n">
        <f aca="false">IF(R276="",0,MAX(R276-AK276,0))</f>
        <v>0</v>
      </c>
      <c r="AO276" s="25" t="n">
        <f aca="false">AK276+AN276</f>
        <v>13</v>
      </c>
      <c r="AP276" s="24" t="n">
        <f aca="false">AO276-AG276</f>
        <v>0</v>
      </c>
      <c r="AQ276" s="26" t="n">
        <f aca="false">SUMIFS(Permissions!$AH$2:$AH$3000,Permissions!$B$2:$B$3000,$A276,Permissions!$P$2:$P$3000,"Yes")</f>
        <v>0</v>
      </c>
      <c r="AR276" s="26" t="n">
        <f aca="false">SUMIFS(Permissions!$AI$2:$AI$3000,Permissions!$B$2:$B$3000,$A276,Permissions!$P$2:$P$3000,"Yes")</f>
        <v>0</v>
      </c>
      <c r="AS276" s="26" t="n">
        <f aca="false">SUMIFS(Permissions!$AJ$2:$AJ$3000,Permissions!$B$2:$B$3000,$A276,Permissions!$P$2:$P$3000,"Yes")</f>
        <v>0</v>
      </c>
      <c r="AT276" s="26" t="n">
        <f aca="false">SUMIFS(Permissions!$AK$2:$AK$3000,Permissions!$B$2:$B$3000,$A276,Permissions!$P$2:$P$3000,"Yes")</f>
        <v>0</v>
      </c>
      <c r="AU276" s="26" t="n">
        <f aca="false">SUMIFS(Permissions!$AL$2:$AL$3000,Permissions!$B$2:$B$3000,$A276,Permissions!$P$2:$P$3000,"Yes")</f>
        <v>0</v>
      </c>
      <c r="AV276" s="26" t="n">
        <f aca="false">SUMIFS(Permissions!$AM$2:$AM$3000,Permissions!$B$2:$B$3000,$A276,Permissions!$P$2:$P$3000,"Yes")</f>
        <v>0</v>
      </c>
      <c r="AW276" s="24" t="n">
        <f aca="false">COUNTIFS(Permissions!$B$2:$B$3000,$A276,Permissions!$P$2:$P$3000,"Yes")</f>
        <v>1</v>
      </c>
      <c r="AX276" s="24" t="n">
        <f aca="false">SUMIFS(Permissions!$L$2:$L$3000,Permissions!$B$2:$B$3000,$A276,Permissions!$P$2:$P$3000,"Yes")</f>
        <v>13</v>
      </c>
      <c r="AY276" s="27" t="str">
        <f aca="false">IF(AND(AK276&gt;0,AG276&gt;=AK276,AN276=0),"Built out",IF(AG276&gt;0,"Partly built",IF(AK276&gt;0,"Consented – not built","No consent")))</f>
        <v>Built out</v>
      </c>
      <c r="AZ276" s="28" t="str">
        <f aca="false">IF(AND(R276&lt;&gt;"",AK276&gt;1.1*R276),"Consented above capacity",IF(AND(LEFT(B276,8)="Planning",AW276=0),"Consent parcel with no permission",IF(COUNTIF($A$2:$A$3000,$A276)&gt;1,"Duplicate parcel_id","")))</f>
        <v/>
      </c>
    </row>
    <row r="277" customFormat="false" ht="15" hidden="false" customHeight="false" outlineLevel="0" collapsed="false">
      <c r="A277" s="15" t="s">
        <v>636</v>
      </c>
      <c r="B277" s="15" t="s">
        <v>12</v>
      </c>
      <c r="C277" s="15" t="s">
        <v>17</v>
      </c>
      <c r="D277" s="15" t="s">
        <v>70</v>
      </c>
      <c r="E277" s="15" t="s">
        <v>21</v>
      </c>
      <c r="F277" s="15" t="n">
        <v>1</v>
      </c>
      <c r="G277" s="15" t="s">
        <v>154</v>
      </c>
      <c r="H277" s="15"/>
      <c r="I277" s="15" t="s">
        <v>558</v>
      </c>
      <c r="J277" s="15" t="s">
        <v>583</v>
      </c>
      <c r="K277" s="15" t="s">
        <v>637</v>
      </c>
      <c r="L277" s="15"/>
      <c r="M277" s="15"/>
      <c r="N277" s="15"/>
      <c r="O277" s="15"/>
      <c r="P277" s="15" t="n">
        <v>1.663</v>
      </c>
      <c r="Q277" s="15" t="n">
        <v>1.663</v>
      </c>
      <c r="R277" s="15"/>
      <c r="S277" s="15" t="s">
        <v>346</v>
      </c>
      <c r="T277" s="15"/>
      <c r="U277" s="15"/>
      <c r="V277" s="15"/>
      <c r="W277" s="15"/>
      <c r="X277" s="15"/>
      <c r="Y277" s="15"/>
      <c r="Z277" s="15"/>
      <c r="AA277" s="15" t="n">
        <v>0</v>
      </c>
      <c r="AB277" s="15" t="n">
        <v>0</v>
      </c>
      <c r="AC277" s="15"/>
      <c r="AD277" s="15"/>
      <c r="AE277" s="15" t="s">
        <v>163</v>
      </c>
      <c r="AF277" s="15"/>
      <c r="AG277" s="24" t="n">
        <f aca="false">SUMIFS(Permissions!$G$2:$G$3000,Permissions!$B$2:$B$3000,$A277,Permissions!$I$2:$I$3000,"Complete",Permissions!$P$2:$P$3000,"Yes")</f>
        <v>0</v>
      </c>
      <c r="AH277" s="24" t="n">
        <f aca="false">SUMIFS(Permissions!$G$2:$G$3000,Permissions!$B$2:$B$3000,$A277,Permissions!$I$2:$I$3000,"Under construction",Permissions!$P$2:$P$3000,"Yes")</f>
        <v>0</v>
      </c>
      <c r="AI277" s="24" t="n">
        <f aca="false">SUMIFS(Permissions!$G$2:$G$3000,Permissions!$B$2:$B$3000,$A277,Permissions!$I$2:$I$3000,"Permitted – not started",Permissions!$P$2:$P$3000,"Yes")</f>
        <v>32</v>
      </c>
      <c r="AJ277" s="24" t="n">
        <f aca="false">SUMIFS(Permissions!$G$2:$G$3000,Permissions!$B$2:$B$3000,$A277,Permissions!$I$2:$I$3000,"Stalled",Permissions!$P$2:$P$3000,"Yes")</f>
        <v>0</v>
      </c>
      <c r="AK277" s="24" t="n">
        <f aca="false">AG277+AH277+AI277+AJ277</f>
        <v>32</v>
      </c>
      <c r="AL277" s="24" t="n">
        <f aca="false">SUMIFS(Permissions!$G$2:$G$3000,Permissions!$B$2:$B$3000,$A277,Permissions!$I$2:$I$3000,"Expired – not started",Permissions!$P$2:$P$3000,"Yes")</f>
        <v>0</v>
      </c>
      <c r="AM277" s="24" t="n">
        <f aca="false">SUMIFS(Permissions!$G$2:$G$3000,Permissions!$B$2:$B$3000,$A277,Permissions!$I$2:$I$3000,"In planning",Permissions!$P$2:$P$3000,"Yes")</f>
        <v>0</v>
      </c>
      <c r="AN277" s="24" t="n">
        <f aca="false">IF(R277="",0,MAX(R277-AK277,0))</f>
        <v>0</v>
      </c>
      <c r="AO277" s="25" t="n">
        <f aca="false">AK277+AN277</f>
        <v>32</v>
      </c>
      <c r="AP277" s="24" t="n">
        <f aca="false">AO277-AG277</f>
        <v>32</v>
      </c>
      <c r="AQ277" s="26" t="n">
        <f aca="false">SUMIFS(Permissions!$AH$2:$AH$3000,Permissions!$B$2:$B$3000,$A277,Permissions!$P$2:$P$3000,"Yes")</f>
        <v>0</v>
      </c>
      <c r="AR277" s="26" t="n">
        <f aca="false">SUMIFS(Permissions!$AI$2:$AI$3000,Permissions!$B$2:$B$3000,$A277,Permissions!$P$2:$P$3000,"Yes")</f>
        <v>0</v>
      </c>
      <c r="AS277" s="26" t="n">
        <f aca="false">SUMIFS(Permissions!$AJ$2:$AJ$3000,Permissions!$B$2:$B$3000,$A277,Permissions!$P$2:$P$3000,"Yes")</f>
        <v>23.6</v>
      </c>
      <c r="AT277" s="26" t="n">
        <f aca="false">SUMIFS(Permissions!$AK$2:$AK$3000,Permissions!$B$2:$B$3000,$A277,Permissions!$P$2:$P$3000,"Yes")</f>
        <v>8.4</v>
      </c>
      <c r="AU277" s="26" t="n">
        <f aca="false">SUMIFS(Permissions!$AL$2:$AL$3000,Permissions!$B$2:$B$3000,$A277,Permissions!$P$2:$P$3000,"Yes")</f>
        <v>0</v>
      </c>
      <c r="AV277" s="26" t="n">
        <f aca="false">SUMIFS(Permissions!$AM$2:$AM$3000,Permissions!$B$2:$B$3000,$A277,Permissions!$P$2:$P$3000,"Yes")</f>
        <v>0</v>
      </c>
      <c r="AW277" s="24" t="n">
        <f aca="false">COUNTIFS(Permissions!$B$2:$B$3000,$A277,Permissions!$P$2:$P$3000,"Yes")</f>
        <v>1</v>
      </c>
      <c r="AX277" s="24" t="n">
        <f aca="false">SUMIFS(Permissions!$L$2:$L$3000,Permissions!$B$2:$B$3000,$A277,Permissions!$P$2:$P$3000,"Yes")</f>
        <v>0</v>
      </c>
      <c r="AY277" s="27" t="str">
        <f aca="false">IF(AND(AK277&gt;0,AG277&gt;=AK277,AN277=0),"Built out",IF(AG277&gt;0,"Partly built",IF(AK277&gt;0,"Consented – not built","No consent")))</f>
        <v>Consented – not built</v>
      </c>
      <c r="AZ277" s="28" t="str">
        <f aca="false">IF(AND(R277&lt;&gt;"",AK277&gt;1.1*R277),"Consented above capacity",IF(AND(LEFT(B277,8)="Planning",AW277=0),"Consent parcel with no permission",IF(COUNTIF($A$2:$A$3000,$A277)&gt;1,"Duplicate parcel_id","")))</f>
        <v/>
      </c>
    </row>
    <row r="278" customFormat="false" ht="15" hidden="false" customHeight="false" outlineLevel="0" collapsed="false">
      <c r="A278" s="15" t="s">
        <v>638</v>
      </c>
      <c r="B278" s="15" t="s">
        <v>12</v>
      </c>
      <c r="C278" s="15" t="s">
        <v>17</v>
      </c>
      <c r="D278" s="15" t="s">
        <v>22</v>
      </c>
      <c r="E278" s="15" t="s">
        <v>22</v>
      </c>
      <c r="F278" s="15"/>
      <c r="G278" s="15" t="s">
        <v>22</v>
      </c>
      <c r="H278" s="15"/>
      <c r="I278" s="15" t="s">
        <v>558</v>
      </c>
      <c r="J278" s="15" t="s">
        <v>559</v>
      </c>
      <c r="K278" s="15" t="s">
        <v>639</v>
      </c>
      <c r="L278" s="15"/>
      <c r="M278" s="15"/>
      <c r="N278" s="15"/>
      <c r="O278" s="15"/>
      <c r="P278" s="15" t="n">
        <v>0.627</v>
      </c>
      <c r="Q278" s="15" t="n">
        <v>0.627</v>
      </c>
      <c r="R278" s="15"/>
      <c r="S278" s="15" t="s">
        <v>346</v>
      </c>
      <c r="T278" s="15"/>
      <c r="U278" s="15"/>
      <c r="V278" s="15"/>
      <c r="W278" s="15"/>
      <c r="X278" s="15"/>
      <c r="Y278" s="15"/>
      <c r="Z278" s="15"/>
      <c r="AA278" s="15" t="n">
        <v>9</v>
      </c>
      <c r="AB278" s="15" t="n">
        <v>9</v>
      </c>
      <c r="AC278" s="15"/>
      <c r="AD278" s="15"/>
      <c r="AE278" s="15" t="s">
        <v>163</v>
      </c>
      <c r="AF278" s="15"/>
      <c r="AG278" s="24" t="n">
        <f aca="false">SUMIFS(Permissions!$G$2:$G$3000,Permissions!$B$2:$B$3000,$A278,Permissions!$I$2:$I$3000,"Complete",Permissions!$P$2:$P$3000,"Yes")</f>
        <v>0</v>
      </c>
      <c r="AH278" s="24" t="n">
        <f aca="false">SUMIFS(Permissions!$G$2:$G$3000,Permissions!$B$2:$B$3000,$A278,Permissions!$I$2:$I$3000,"Under construction",Permissions!$P$2:$P$3000,"Yes")</f>
        <v>9</v>
      </c>
      <c r="AI278" s="24" t="n">
        <f aca="false">SUMIFS(Permissions!$G$2:$G$3000,Permissions!$B$2:$B$3000,$A278,Permissions!$I$2:$I$3000,"Permitted – not started",Permissions!$P$2:$P$3000,"Yes")</f>
        <v>0</v>
      </c>
      <c r="AJ278" s="24" t="n">
        <f aca="false">SUMIFS(Permissions!$G$2:$G$3000,Permissions!$B$2:$B$3000,$A278,Permissions!$I$2:$I$3000,"Stalled",Permissions!$P$2:$P$3000,"Yes")</f>
        <v>0</v>
      </c>
      <c r="AK278" s="24" t="n">
        <f aca="false">AG278+AH278+AI278+AJ278</f>
        <v>9</v>
      </c>
      <c r="AL278" s="24" t="n">
        <f aca="false">SUMIFS(Permissions!$G$2:$G$3000,Permissions!$B$2:$B$3000,$A278,Permissions!$I$2:$I$3000,"Expired – not started",Permissions!$P$2:$P$3000,"Yes")</f>
        <v>0</v>
      </c>
      <c r="AM278" s="24" t="n">
        <f aca="false">SUMIFS(Permissions!$G$2:$G$3000,Permissions!$B$2:$B$3000,$A278,Permissions!$I$2:$I$3000,"In planning",Permissions!$P$2:$P$3000,"Yes")</f>
        <v>0</v>
      </c>
      <c r="AN278" s="24" t="n">
        <f aca="false">IF(R278="",0,MAX(R278-AK278,0))</f>
        <v>0</v>
      </c>
      <c r="AO278" s="25" t="n">
        <f aca="false">AK278+AN278</f>
        <v>9</v>
      </c>
      <c r="AP278" s="24" t="n">
        <f aca="false">AO278-AG278</f>
        <v>9</v>
      </c>
      <c r="AQ278" s="26" t="n">
        <f aca="false">SUMIFS(Permissions!$AH$2:$AH$3000,Permissions!$B$2:$B$3000,$A278,Permissions!$P$2:$P$3000,"Yes")</f>
        <v>2.1</v>
      </c>
      <c r="AR278" s="26" t="n">
        <f aca="false">SUMIFS(Permissions!$AI$2:$AI$3000,Permissions!$B$2:$B$3000,$A278,Permissions!$P$2:$P$3000,"Yes")</f>
        <v>6.9</v>
      </c>
      <c r="AS278" s="26" t="n">
        <f aca="false">SUMIFS(Permissions!$AJ$2:$AJ$3000,Permissions!$B$2:$B$3000,$A278,Permissions!$P$2:$P$3000,"Yes")</f>
        <v>0</v>
      </c>
      <c r="AT278" s="26" t="n">
        <f aca="false">SUMIFS(Permissions!$AK$2:$AK$3000,Permissions!$B$2:$B$3000,$A278,Permissions!$P$2:$P$3000,"Yes")</f>
        <v>0</v>
      </c>
      <c r="AU278" s="26" t="n">
        <f aca="false">SUMIFS(Permissions!$AL$2:$AL$3000,Permissions!$B$2:$B$3000,$A278,Permissions!$P$2:$P$3000,"Yes")</f>
        <v>0</v>
      </c>
      <c r="AV278" s="26" t="n">
        <f aca="false">SUMIFS(Permissions!$AM$2:$AM$3000,Permissions!$B$2:$B$3000,$A278,Permissions!$P$2:$P$3000,"Yes")</f>
        <v>0</v>
      </c>
      <c r="AW278" s="24" t="n">
        <f aca="false">COUNTIFS(Permissions!$B$2:$B$3000,$A278,Permissions!$P$2:$P$3000,"Yes")</f>
        <v>1</v>
      </c>
      <c r="AX278" s="24" t="n">
        <f aca="false">SUMIFS(Permissions!$L$2:$L$3000,Permissions!$B$2:$B$3000,$A278,Permissions!$P$2:$P$3000,"Yes")</f>
        <v>0</v>
      </c>
      <c r="AY278" s="27" t="str">
        <f aca="false">IF(AND(AK278&gt;0,AG278&gt;=AK278,AN278=0),"Built out",IF(AG278&gt;0,"Partly built",IF(AK278&gt;0,"Consented – not built","No consent")))</f>
        <v>Consented – not built</v>
      </c>
      <c r="AZ278" s="28" t="str">
        <f aca="false">IF(AND(R278&lt;&gt;"",AK278&gt;1.1*R278),"Consented above capacity",IF(AND(LEFT(B278,8)="Planning",AW278=0),"Consent parcel with no permission",IF(COUNTIF($A$2:$A$3000,$A278)&gt;1,"Duplicate parcel_id","")))</f>
        <v/>
      </c>
    </row>
    <row r="279" customFormat="false" ht="15" hidden="false" customHeight="false" outlineLevel="0" collapsed="false">
      <c r="A279" s="15" t="s">
        <v>640</v>
      </c>
      <c r="B279" s="15" t="s">
        <v>12</v>
      </c>
      <c r="C279" s="15" t="s">
        <v>17</v>
      </c>
      <c r="D279" s="15" t="s">
        <v>22</v>
      </c>
      <c r="E279" s="15" t="s">
        <v>22</v>
      </c>
      <c r="F279" s="15"/>
      <c r="G279" s="15" t="s">
        <v>22</v>
      </c>
      <c r="H279" s="15"/>
      <c r="I279" s="15" t="s">
        <v>558</v>
      </c>
      <c r="J279" s="15" t="s">
        <v>568</v>
      </c>
      <c r="K279" s="15" t="s">
        <v>641</v>
      </c>
      <c r="L279" s="15"/>
      <c r="M279" s="15"/>
      <c r="N279" s="15"/>
      <c r="O279" s="15"/>
      <c r="P279" s="15" t="n">
        <v>0.49</v>
      </c>
      <c r="Q279" s="15" t="n">
        <v>0.49</v>
      </c>
      <c r="R279" s="15"/>
      <c r="S279" s="15" t="s">
        <v>346</v>
      </c>
      <c r="T279" s="15"/>
      <c r="U279" s="15"/>
      <c r="V279" s="15"/>
      <c r="W279" s="15"/>
      <c r="X279" s="15"/>
      <c r="Y279" s="15"/>
      <c r="Z279" s="15"/>
      <c r="AA279" s="15" t="n">
        <v>0</v>
      </c>
      <c r="AB279" s="15" t="n">
        <v>0</v>
      </c>
      <c r="AC279" s="15"/>
      <c r="AD279" s="15"/>
      <c r="AE279" s="15" t="s">
        <v>163</v>
      </c>
      <c r="AF279" s="15"/>
      <c r="AG279" s="24" t="n">
        <f aca="false">SUMIFS(Permissions!$G$2:$G$3000,Permissions!$B$2:$B$3000,$A279,Permissions!$I$2:$I$3000,"Complete",Permissions!$P$2:$P$3000,"Yes")</f>
        <v>0</v>
      </c>
      <c r="AH279" s="24" t="n">
        <f aca="false">SUMIFS(Permissions!$G$2:$G$3000,Permissions!$B$2:$B$3000,$A279,Permissions!$I$2:$I$3000,"Under construction",Permissions!$P$2:$P$3000,"Yes")</f>
        <v>10</v>
      </c>
      <c r="AI279" s="24" t="n">
        <f aca="false">SUMIFS(Permissions!$G$2:$G$3000,Permissions!$B$2:$B$3000,$A279,Permissions!$I$2:$I$3000,"Permitted – not started",Permissions!$P$2:$P$3000,"Yes")</f>
        <v>0</v>
      </c>
      <c r="AJ279" s="24" t="n">
        <f aca="false">SUMIFS(Permissions!$G$2:$G$3000,Permissions!$B$2:$B$3000,$A279,Permissions!$I$2:$I$3000,"Stalled",Permissions!$P$2:$P$3000,"Yes")</f>
        <v>0</v>
      </c>
      <c r="AK279" s="24" t="n">
        <f aca="false">AG279+AH279+AI279+AJ279</f>
        <v>10</v>
      </c>
      <c r="AL279" s="24" t="n">
        <f aca="false">SUMIFS(Permissions!$G$2:$G$3000,Permissions!$B$2:$B$3000,$A279,Permissions!$I$2:$I$3000,"Expired – not started",Permissions!$P$2:$P$3000,"Yes")</f>
        <v>0</v>
      </c>
      <c r="AM279" s="24" t="n">
        <f aca="false">SUMIFS(Permissions!$G$2:$G$3000,Permissions!$B$2:$B$3000,$A279,Permissions!$I$2:$I$3000,"In planning",Permissions!$P$2:$P$3000,"Yes")</f>
        <v>0</v>
      </c>
      <c r="AN279" s="24" t="n">
        <f aca="false">IF(R279="",0,MAX(R279-AK279,0))</f>
        <v>0</v>
      </c>
      <c r="AO279" s="25" t="n">
        <f aca="false">AK279+AN279</f>
        <v>10</v>
      </c>
      <c r="AP279" s="24" t="n">
        <f aca="false">AO279-AG279</f>
        <v>10</v>
      </c>
      <c r="AQ279" s="26" t="n">
        <f aca="false">SUMIFS(Permissions!$AH$2:$AH$3000,Permissions!$B$2:$B$3000,$A279,Permissions!$P$2:$P$3000,"Yes")</f>
        <v>2.3</v>
      </c>
      <c r="AR279" s="26" t="n">
        <f aca="false">SUMIFS(Permissions!$AI$2:$AI$3000,Permissions!$B$2:$B$3000,$A279,Permissions!$P$2:$P$3000,"Yes")</f>
        <v>7.7</v>
      </c>
      <c r="AS279" s="26" t="n">
        <f aca="false">SUMIFS(Permissions!$AJ$2:$AJ$3000,Permissions!$B$2:$B$3000,$A279,Permissions!$P$2:$P$3000,"Yes")</f>
        <v>0</v>
      </c>
      <c r="AT279" s="26" t="n">
        <f aca="false">SUMIFS(Permissions!$AK$2:$AK$3000,Permissions!$B$2:$B$3000,$A279,Permissions!$P$2:$P$3000,"Yes")</f>
        <v>0</v>
      </c>
      <c r="AU279" s="26" t="n">
        <f aca="false">SUMIFS(Permissions!$AL$2:$AL$3000,Permissions!$B$2:$B$3000,$A279,Permissions!$P$2:$P$3000,"Yes")</f>
        <v>0</v>
      </c>
      <c r="AV279" s="26" t="n">
        <f aca="false">SUMIFS(Permissions!$AM$2:$AM$3000,Permissions!$B$2:$B$3000,$A279,Permissions!$P$2:$P$3000,"Yes")</f>
        <v>0</v>
      </c>
      <c r="AW279" s="24" t="n">
        <f aca="false">COUNTIFS(Permissions!$B$2:$B$3000,$A279,Permissions!$P$2:$P$3000,"Yes")</f>
        <v>1</v>
      </c>
      <c r="AX279" s="24" t="n">
        <f aca="false">SUMIFS(Permissions!$L$2:$L$3000,Permissions!$B$2:$B$3000,$A279,Permissions!$P$2:$P$3000,"Yes")</f>
        <v>0</v>
      </c>
      <c r="AY279" s="27" t="str">
        <f aca="false">IF(AND(AK279&gt;0,AG279&gt;=AK279,AN279=0),"Built out",IF(AG279&gt;0,"Partly built",IF(AK279&gt;0,"Consented – not built","No consent")))</f>
        <v>Consented – not built</v>
      </c>
      <c r="AZ279" s="28" t="str">
        <f aca="false">IF(AND(R279&lt;&gt;"",AK279&gt;1.1*R279),"Consented above capacity",IF(AND(LEFT(B279,8)="Planning",AW279=0),"Consent parcel with no permission",IF(COUNTIF($A$2:$A$3000,$A279)&gt;1,"Duplicate parcel_id","")))</f>
        <v/>
      </c>
    </row>
    <row r="280" customFormat="false" ht="15" hidden="false" customHeight="false" outlineLevel="0" collapsed="false">
      <c r="A280" s="15" t="s">
        <v>642</v>
      </c>
      <c r="B280" s="15" t="s">
        <v>12</v>
      </c>
      <c r="C280" s="15" t="s">
        <v>17</v>
      </c>
      <c r="D280" s="15" t="s">
        <v>74</v>
      </c>
      <c r="E280" s="15" t="s">
        <v>21</v>
      </c>
      <c r="F280" s="15" t="n">
        <v>0.16</v>
      </c>
      <c r="G280" s="15" t="s">
        <v>154</v>
      </c>
      <c r="H280" s="15"/>
      <c r="I280" s="15" t="s">
        <v>558</v>
      </c>
      <c r="J280" s="15" t="s">
        <v>155</v>
      </c>
      <c r="K280" s="15" t="s">
        <v>643</v>
      </c>
      <c r="L280" s="15"/>
      <c r="M280" s="15"/>
      <c r="N280" s="15"/>
      <c r="O280" s="15"/>
      <c r="P280" s="15" t="n">
        <v>1.695</v>
      </c>
      <c r="Q280" s="15" t="n">
        <v>1.695</v>
      </c>
      <c r="R280" s="15"/>
      <c r="S280" s="15" t="s">
        <v>346</v>
      </c>
      <c r="T280" s="15"/>
      <c r="U280" s="15"/>
      <c r="V280" s="15"/>
      <c r="W280" s="15"/>
      <c r="X280" s="15"/>
      <c r="Y280" s="15"/>
      <c r="Z280" s="15"/>
      <c r="AA280" s="15" t="n">
        <v>0</v>
      </c>
      <c r="AB280" s="15" t="n">
        <v>0</v>
      </c>
      <c r="AC280" s="15"/>
      <c r="AD280" s="15"/>
      <c r="AE280" s="15" t="s">
        <v>163</v>
      </c>
      <c r="AF280" s="15"/>
      <c r="AG280" s="24" t="n">
        <f aca="false">SUMIFS(Permissions!$G$2:$G$3000,Permissions!$B$2:$B$3000,$A280,Permissions!$I$2:$I$3000,"Complete",Permissions!$P$2:$P$3000,"Yes")</f>
        <v>0</v>
      </c>
      <c r="AH280" s="24" t="n">
        <f aca="false">SUMIFS(Permissions!$G$2:$G$3000,Permissions!$B$2:$B$3000,$A280,Permissions!$I$2:$I$3000,"Under construction",Permissions!$P$2:$P$3000,"Yes")</f>
        <v>48</v>
      </c>
      <c r="AI280" s="24" t="n">
        <f aca="false">SUMIFS(Permissions!$G$2:$G$3000,Permissions!$B$2:$B$3000,$A280,Permissions!$I$2:$I$3000,"Permitted – not started",Permissions!$P$2:$P$3000,"Yes")</f>
        <v>0</v>
      </c>
      <c r="AJ280" s="24" t="n">
        <f aca="false">SUMIFS(Permissions!$G$2:$G$3000,Permissions!$B$2:$B$3000,$A280,Permissions!$I$2:$I$3000,"Stalled",Permissions!$P$2:$P$3000,"Yes")</f>
        <v>0</v>
      </c>
      <c r="AK280" s="24" t="n">
        <f aca="false">AG280+AH280+AI280+AJ280</f>
        <v>48</v>
      </c>
      <c r="AL280" s="24" t="n">
        <f aca="false">SUMIFS(Permissions!$G$2:$G$3000,Permissions!$B$2:$B$3000,$A280,Permissions!$I$2:$I$3000,"Expired – not started",Permissions!$P$2:$P$3000,"Yes")</f>
        <v>0</v>
      </c>
      <c r="AM280" s="24" t="n">
        <f aca="false">SUMIFS(Permissions!$G$2:$G$3000,Permissions!$B$2:$B$3000,$A280,Permissions!$I$2:$I$3000,"In planning",Permissions!$P$2:$P$3000,"Yes")</f>
        <v>0</v>
      </c>
      <c r="AN280" s="24" t="n">
        <f aca="false">IF(R280="",0,MAX(R280-AK280,0))</f>
        <v>0</v>
      </c>
      <c r="AO280" s="25" t="n">
        <f aca="false">AK280+AN280</f>
        <v>48</v>
      </c>
      <c r="AP280" s="24" t="n">
        <f aca="false">AO280-AG280</f>
        <v>48</v>
      </c>
      <c r="AQ280" s="26" t="n">
        <f aca="false">SUMIFS(Permissions!$AH$2:$AH$3000,Permissions!$B$2:$B$3000,$A280,Permissions!$P$2:$P$3000,"Yes")</f>
        <v>0</v>
      </c>
      <c r="AR280" s="26" t="n">
        <f aca="false">SUMIFS(Permissions!$AI$2:$AI$3000,Permissions!$B$2:$B$3000,$A280,Permissions!$P$2:$P$3000,"Yes")</f>
        <v>8.9</v>
      </c>
      <c r="AS280" s="26" t="n">
        <f aca="false">SUMIFS(Permissions!$AJ$2:$AJ$3000,Permissions!$B$2:$B$3000,$A280,Permissions!$P$2:$P$3000,"Yes")</f>
        <v>25.6</v>
      </c>
      <c r="AT280" s="26" t="n">
        <f aca="false">SUMIFS(Permissions!$AK$2:$AK$3000,Permissions!$B$2:$B$3000,$A280,Permissions!$P$2:$P$3000,"Yes")</f>
        <v>13.5</v>
      </c>
      <c r="AU280" s="26" t="n">
        <f aca="false">SUMIFS(Permissions!$AL$2:$AL$3000,Permissions!$B$2:$B$3000,$A280,Permissions!$P$2:$P$3000,"Yes")</f>
        <v>0</v>
      </c>
      <c r="AV280" s="26" t="n">
        <f aca="false">SUMIFS(Permissions!$AM$2:$AM$3000,Permissions!$B$2:$B$3000,$A280,Permissions!$P$2:$P$3000,"Yes")</f>
        <v>0</v>
      </c>
      <c r="AW280" s="24" t="n">
        <f aca="false">COUNTIFS(Permissions!$B$2:$B$3000,$A280,Permissions!$P$2:$P$3000,"Yes")</f>
        <v>2</v>
      </c>
      <c r="AX280" s="24" t="n">
        <f aca="false">SUMIFS(Permissions!$L$2:$L$3000,Permissions!$B$2:$B$3000,$A280,Permissions!$P$2:$P$3000,"Yes")</f>
        <v>0</v>
      </c>
      <c r="AY280" s="27" t="str">
        <f aca="false">IF(AND(AK280&gt;0,AG280&gt;=AK280,AN280=0),"Built out",IF(AG280&gt;0,"Partly built",IF(AK280&gt;0,"Consented – not built","No consent")))</f>
        <v>Consented – not built</v>
      </c>
      <c r="AZ280" s="28" t="str">
        <f aca="false">IF(AND(R280&lt;&gt;"",AK280&gt;1.1*R280),"Consented above capacity",IF(AND(LEFT(B280,8)="Planning",AW280=0),"Consent parcel with no permission",IF(COUNTIF($A$2:$A$3000,$A280)&gt;1,"Duplicate parcel_id","")))</f>
        <v/>
      </c>
    </row>
    <row r="281" customFormat="false" ht="15" hidden="false" customHeight="false" outlineLevel="0" collapsed="false">
      <c r="A281" s="15" t="s">
        <v>644</v>
      </c>
      <c r="B281" s="15" t="s">
        <v>12</v>
      </c>
      <c r="C281" s="15" t="s">
        <v>17</v>
      </c>
      <c r="D281" s="15" t="s">
        <v>64</v>
      </c>
      <c r="E281" s="15" t="s">
        <v>20</v>
      </c>
      <c r="F281" s="15" t="n">
        <v>1</v>
      </c>
      <c r="G281" s="15" t="s">
        <v>154</v>
      </c>
      <c r="H281" s="15"/>
      <c r="I281" s="15" t="s">
        <v>558</v>
      </c>
      <c r="J281" s="15" t="s">
        <v>568</v>
      </c>
      <c r="K281" s="15" t="s">
        <v>645</v>
      </c>
      <c r="L281" s="15"/>
      <c r="M281" s="15"/>
      <c r="N281" s="15"/>
      <c r="O281" s="15"/>
      <c r="P281" s="15" t="n">
        <v>1.19</v>
      </c>
      <c r="Q281" s="15" t="n">
        <v>1.19</v>
      </c>
      <c r="R281" s="15"/>
      <c r="S281" s="15" t="s">
        <v>346</v>
      </c>
      <c r="T281" s="15"/>
      <c r="U281" s="15"/>
      <c r="V281" s="15"/>
      <c r="W281" s="15"/>
      <c r="X281" s="15"/>
      <c r="Y281" s="15"/>
      <c r="Z281" s="15"/>
      <c r="AA281" s="15" t="n">
        <v>0</v>
      </c>
      <c r="AB281" s="15" t="n">
        <v>0</v>
      </c>
      <c r="AC281" s="15"/>
      <c r="AD281" s="15"/>
      <c r="AE281" s="15" t="s">
        <v>163</v>
      </c>
      <c r="AF281" s="15"/>
      <c r="AG281" s="24" t="n">
        <f aca="false">SUMIFS(Permissions!$G$2:$G$3000,Permissions!$B$2:$B$3000,$A281,Permissions!$I$2:$I$3000,"Complete",Permissions!$P$2:$P$3000,"Yes")</f>
        <v>0</v>
      </c>
      <c r="AH281" s="24" t="n">
        <f aca="false">SUMIFS(Permissions!$G$2:$G$3000,Permissions!$B$2:$B$3000,$A281,Permissions!$I$2:$I$3000,"Under construction",Permissions!$P$2:$P$3000,"Yes")</f>
        <v>0</v>
      </c>
      <c r="AI281" s="24" t="n">
        <f aca="false">SUMIFS(Permissions!$G$2:$G$3000,Permissions!$B$2:$B$3000,$A281,Permissions!$I$2:$I$3000,"Permitted – not started",Permissions!$P$2:$P$3000,"Yes")</f>
        <v>31</v>
      </c>
      <c r="AJ281" s="24" t="n">
        <f aca="false">SUMIFS(Permissions!$G$2:$G$3000,Permissions!$B$2:$B$3000,$A281,Permissions!$I$2:$I$3000,"Stalled",Permissions!$P$2:$P$3000,"Yes")</f>
        <v>0</v>
      </c>
      <c r="AK281" s="24" t="n">
        <f aca="false">AG281+AH281+AI281+AJ281</f>
        <v>31</v>
      </c>
      <c r="AL281" s="24" t="n">
        <f aca="false">SUMIFS(Permissions!$G$2:$G$3000,Permissions!$B$2:$B$3000,$A281,Permissions!$I$2:$I$3000,"Expired – not started",Permissions!$P$2:$P$3000,"Yes")</f>
        <v>0</v>
      </c>
      <c r="AM281" s="24" t="n">
        <f aca="false">SUMIFS(Permissions!$G$2:$G$3000,Permissions!$B$2:$B$3000,$A281,Permissions!$I$2:$I$3000,"In planning",Permissions!$P$2:$P$3000,"Yes")</f>
        <v>0</v>
      </c>
      <c r="AN281" s="24" t="n">
        <f aca="false">IF(R281="",0,MAX(R281-AK281,0))</f>
        <v>0</v>
      </c>
      <c r="AO281" s="25" t="n">
        <f aca="false">AK281+AN281</f>
        <v>31</v>
      </c>
      <c r="AP281" s="24" t="n">
        <f aca="false">AO281-AG281</f>
        <v>31</v>
      </c>
      <c r="AQ281" s="26" t="n">
        <f aca="false">SUMIFS(Permissions!$AH$2:$AH$3000,Permissions!$B$2:$B$3000,$A281,Permissions!$P$2:$P$3000,"Yes")</f>
        <v>0</v>
      </c>
      <c r="AR281" s="26" t="n">
        <f aca="false">SUMIFS(Permissions!$AI$2:$AI$3000,Permissions!$B$2:$B$3000,$A281,Permissions!$P$2:$P$3000,"Yes")</f>
        <v>0</v>
      </c>
      <c r="AS281" s="26" t="n">
        <f aca="false">SUMIFS(Permissions!$AJ$2:$AJ$3000,Permissions!$B$2:$B$3000,$A281,Permissions!$P$2:$P$3000,"Yes")</f>
        <v>23.6</v>
      </c>
      <c r="AT281" s="26" t="n">
        <f aca="false">SUMIFS(Permissions!$AK$2:$AK$3000,Permissions!$B$2:$B$3000,$A281,Permissions!$P$2:$P$3000,"Yes")</f>
        <v>7.4</v>
      </c>
      <c r="AU281" s="26" t="n">
        <f aca="false">SUMIFS(Permissions!$AL$2:$AL$3000,Permissions!$B$2:$B$3000,$A281,Permissions!$P$2:$P$3000,"Yes")</f>
        <v>0</v>
      </c>
      <c r="AV281" s="26" t="n">
        <f aca="false">SUMIFS(Permissions!$AM$2:$AM$3000,Permissions!$B$2:$B$3000,$A281,Permissions!$P$2:$P$3000,"Yes")</f>
        <v>0</v>
      </c>
      <c r="AW281" s="24" t="n">
        <f aca="false">COUNTIFS(Permissions!$B$2:$B$3000,$A281,Permissions!$P$2:$P$3000,"Yes")</f>
        <v>1</v>
      </c>
      <c r="AX281" s="24" t="n">
        <f aca="false">SUMIFS(Permissions!$L$2:$L$3000,Permissions!$B$2:$B$3000,$A281,Permissions!$P$2:$P$3000,"Yes")</f>
        <v>0</v>
      </c>
      <c r="AY281" s="27" t="str">
        <f aca="false">IF(AND(AK281&gt;0,AG281&gt;=AK281,AN281=0),"Built out",IF(AG281&gt;0,"Partly built",IF(AK281&gt;0,"Consented – not built","No consent")))</f>
        <v>Consented – not built</v>
      </c>
      <c r="AZ281" s="28" t="str">
        <f aca="false">IF(AND(R281&lt;&gt;"",AK281&gt;1.1*R281),"Consented above capacity",IF(AND(LEFT(B281,8)="Planning",AW281=0),"Consent parcel with no permission",IF(COUNTIF($A$2:$A$3000,$A281)&gt;1,"Duplicate parcel_id","")))</f>
        <v/>
      </c>
    </row>
    <row r="282" customFormat="false" ht="15" hidden="false" customHeight="false" outlineLevel="0" collapsed="false">
      <c r="A282" s="15" t="s">
        <v>646</v>
      </c>
      <c r="B282" s="15" t="s">
        <v>12</v>
      </c>
      <c r="C282" s="15" t="s">
        <v>17</v>
      </c>
      <c r="D282" s="15" t="s">
        <v>64</v>
      </c>
      <c r="E282" s="15" t="s">
        <v>20</v>
      </c>
      <c r="F282" s="15" t="n">
        <v>1</v>
      </c>
      <c r="G282" s="15" t="s">
        <v>154</v>
      </c>
      <c r="H282" s="15"/>
      <c r="I282" s="15" t="s">
        <v>558</v>
      </c>
      <c r="J282" s="15" t="s">
        <v>568</v>
      </c>
      <c r="K282" s="15" t="s">
        <v>647</v>
      </c>
      <c r="L282" s="15"/>
      <c r="M282" s="15"/>
      <c r="N282" s="15"/>
      <c r="O282" s="15"/>
      <c r="P282" s="15" t="n">
        <v>2.819</v>
      </c>
      <c r="Q282" s="15" t="n">
        <v>2.819</v>
      </c>
      <c r="R282" s="15"/>
      <c r="S282" s="15" t="s">
        <v>346</v>
      </c>
      <c r="T282" s="15"/>
      <c r="U282" s="15"/>
      <c r="V282" s="15"/>
      <c r="W282" s="15"/>
      <c r="X282" s="15"/>
      <c r="Y282" s="15"/>
      <c r="Z282" s="15"/>
      <c r="AA282" s="15" t="n">
        <v>37</v>
      </c>
      <c r="AB282" s="15" t="n">
        <v>37</v>
      </c>
      <c r="AC282" s="15"/>
      <c r="AD282" s="15"/>
      <c r="AE282" s="15" t="s">
        <v>163</v>
      </c>
      <c r="AF282" s="15"/>
      <c r="AG282" s="24" t="n">
        <f aca="false">SUMIFS(Permissions!$G$2:$G$3000,Permissions!$B$2:$B$3000,$A282,Permissions!$I$2:$I$3000,"Complete",Permissions!$P$2:$P$3000,"Yes")</f>
        <v>0</v>
      </c>
      <c r="AH282" s="24" t="n">
        <f aca="false">SUMIFS(Permissions!$G$2:$G$3000,Permissions!$B$2:$B$3000,$A282,Permissions!$I$2:$I$3000,"Under construction",Permissions!$P$2:$P$3000,"Yes")</f>
        <v>93</v>
      </c>
      <c r="AI282" s="24" t="n">
        <f aca="false">SUMIFS(Permissions!$G$2:$G$3000,Permissions!$B$2:$B$3000,$A282,Permissions!$I$2:$I$3000,"Permitted – not started",Permissions!$P$2:$P$3000,"Yes")</f>
        <v>0</v>
      </c>
      <c r="AJ282" s="24" t="n">
        <f aca="false">SUMIFS(Permissions!$G$2:$G$3000,Permissions!$B$2:$B$3000,$A282,Permissions!$I$2:$I$3000,"Stalled",Permissions!$P$2:$P$3000,"Yes")</f>
        <v>0</v>
      </c>
      <c r="AK282" s="24" t="n">
        <f aca="false">AG282+AH282+AI282+AJ282</f>
        <v>93</v>
      </c>
      <c r="AL282" s="24" t="n">
        <f aca="false">SUMIFS(Permissions!$G$2:$G$3000,Permissions!$B$2:$B$3000,$A282,Permissions!$I$2:$I$3000,"Expired – not started",Permissions!$P$2:$P$3000,"Yes")</f>
        <v>0</v>
      </c>
      <c r="AM282" s="24" t="n">
        <f aca="false">SUMIFS(Permissions!$G$2:$G$3000,Permissions!$B$2:$B$3000,$A282,Permissions!$I$2:$I$3000,"In planning",Permissions!$P$2:$P$3000,"Yes")</f>
        <v>0</v>
      </c>
      <c r="AN282" s="24" t="n">
        <f aca="false">IF(R282="",0,MAX(R282-AK282,0))</f>
        <v>0</v>
      </c>
      <c r="AO282" s="25" t="n">
        <f aca="false">AK282+AN282</f>
        <v>93</v>
      </c>
      <c r="AP282" s="24" t="n">
        <f aca="false">AO282-AG282</f>
        <v>93</v>
      </c>
      <c r="AQ282" s="26" t="n">
        <f aca="false">SUMIFS(Permissions!$AH$2:$AH$3000,Permissions!$B$2:$B$3000,$A282,Permissions!$P$2:$P$3000,"Yes")</f>
        <v>21.7</v>
      </c>
      <c r="AR282" s="26" t="n">
        <f aca="false">SUMIFS(Permissions!$AI$2:$AI$3000,Permissions!$B$2:$B$3000,$A282,Permissions!$P$2:$P$3000,"Yes")</f>
        <v>71.3</v>
      </c>
      <c r="AS282" s="26" t="n">
        <f aca="false">SUMIFS(Permissions!$AJ$2:$AJ$3000,Permissions!$B$2:$B$3000,$A282,Permissions!$P$2:$P$3000,"Yes")</f>
        <v>0</v>
      </c>
      <c r="AT282" s="26" t="n">
        <f aca="false">SUMIFS(Permissions!$AK$2:$AK$3000,Permissions!$B$2:$B$3000,$A282,Permissions!$P$2:$P$3000,"Yes")</f>
        <v>0</v>
      </c>
      <c r="AU282" s="26" t="n">
        <f aca="false">SUMIFS(Permissions!$AL$2:$AL$3000,Permissions!$B$2:$B$3000,$A282,Permissions!$P$2:$P$3000,"Yes")</f>
        <v>0</v>
      </c>
      <c r="AV282" s="26" t="n">
        <f aca="false">SUMIFS(Permissions!$AM$2:$AM$3000,Permissions!$B$2:$B$3000,$A282,Permissions!$P$2:$P$3000,"Yes")</f>
        <v>0</v>
      </c>
      <c r="AW282" s="24" t="n">
        <f aca="false">COUNTIFS(Permissions!$B$2:$B$3000,$A282,Permissions!$P$2:$P$3000,"Yes")</f>
        <v>1</v>
      </c>
      <c r="AX282" s="24" t="n">
        <f aca="false">SUMIFS(Permissions!$L$2:$L$3000,Permissions!$B$2:$B$3000,$A282,Permissions!$P$2:$P$3000,"Yes")</f>
        <v>0</v>
      </c>
      <c r="AY282" s="27" t="str">
        <f aca="false">IF(AND(AK282&gt;0,AG282&gt;=AK282,AN282=0),"Built out",IF(AG282&gt;0,"Partly built",IF(AK282&gt;0,"Consented – not built","No consent")))</f>
        <v>Consented – not built</v>
      </c>
      <c r="AZ282" s="28" t="str">
        <f aca="false">IF(AND(R282&lt;&gt;"",AK282&gt;1.1*R282),"Consented above capacity",IF(AND(LEFT(B282,8)="Planning",AW282=0),"Consent parcel with no permission",IF(COUNTIF($A$2:$A$3000,$A282)&gt;1,"Duplicate parcel_id","")))</f>
        <v/>
      </c>
    </row>
    <row r="283" customFormat="false" ht="15" hidden="false" customHeight="false" outlineLevel="0" collapsed="false">
      <c r="A283" s="15" t="s">
        <v>648</v>
      </c>
      <c r="B283" s="15" t="s">
        <v>12</v>
      </c>
      <c r="C283" s="15" t="s">
        <v>17</v>
      </c>
      <c r="D283" s="15" t="s">
        <v>67</v>
      </c>
      <c r="E283" s="15" t="s">
        <v>21</v>
      </c>
      <c r="F283" s="15" t="n">
        <v>0</v>
      </c>
      <c r="G283" s="15" t="s">
        <v>616</v>
      </c>
      <c r="H283" s="15"/>
      <c r="I283" s="15" t="s">
        <v>558</v>
      </c>
      <c r="J283" s="15" t="s">
        <v>583</v>
      </c>
      <c r="K283" s="15" t="s">
        <v>649</v>
      </c>
      <c r="L283" s="15"/>
      <c r="M283" s="15"/>
      <c r="N283" s="15"/>
      <c r="O283" s="15"/>
      <c r="P283" s="15" t="n">
        <v>5.006</v>
      </c>
      <c r="Q283" s="15" t="n">
        <v>5.006</v>
      </c>
      <c r="R283" s="15"/>
      <c r="S283" s="15" t="s">
        <v>346</v>
      </c>
      <c r="T283" s="15"/>
      <c r="U283" s="15"/>
      <c r="V283" s="15"/>
      <c r="W283" s="15"/>
      <c r="X283" s="15"/>
      <c r="Y283" s="15"/>
      <c r="Z283" s="15"/>
      <c r="AA283" s="15" t="n">
        <v>0</v>
      </c>
      <c r="AB283" s="15" t="n">
        <v>0</v>
      </c>
      <c r="AC283" s="15"/>
      <c r="AD283" s="15"/>
      <c r="AE283" s="15" t="s">
        <v>163</v>
      </c>
      <c r="AF283" s="15"/>
      <c r="AG283" s="24" t="n">
        <f aca="false">SUMIFS(Permissions!$G$2:$G$3000,Permissions!$B$2:$B$3000,$A283,Permissions!$I$2:$I$3000,"Complete",Permissions!$P$2:$P$3000,"Yes")</f>
        <v>0</v>
      </c>
      <c r="AH283" s="24" t="n">
        <f aca="false">SUMIFS(Permissions!$G$2:$G$3000,Permissions!$B$2:$B$3000,$A283,Permissions!$I$2:$I$3000,"Under construction",Permissions!$P$2:$P$3000,"Yes")</f>
        <v>0</v>
      </c>
      <c r="AI283" s="24" t="n">
        <f aca="false">SUMIFS(Permissions!$G$2:$G$3000,Permissions!$B$2:$B$3000,$A283,Permissions!$I$2:$I$3000,"Permitted – not started",Permissions!$P$2:$P$3000,"Yes")</f>
        <v>127</v>
      </c>
      <c r="AJ283" s="24" t="n">
        <f aca="false">SUMIFS(Permissions!$G$2:$G$3000,Permissions!$B$2:$B$3000,$A283,Permissions!$I$2:$I$3000,"Stalled",Permissions!$P$2:$P$3000,"Yes")</f>
        <v>0</v>
      </c>
      <c r="AK283" s="24" t="n">
        <f aca="false">AG283+AH283+AI283+AJ283</f>
        <v>127</v>
      </c>
      <c r="AL283" s="24" t="n">
        <f aca="false">SUMIFS(Permissions!$G$2:$G$3000,Permissions!$B$2:$B$3000,$A283,Permissions!$I$2:$I$3000,"Expired – not started",Permissions!$P$2:$P$3000,"Yes")</f>
        <v>0</v>
      </c>
      <c r="AM283" s="24" t="n">
        <f aca="false">SUMIFS(Permissions!$G$2:$G$3000,Permissions!$B$2:$B$3000,$A283,Permissions!$I$2:$I$3000,"In planning",Permissions!$P$2:$P$3000,"Yes")</f>
        <v>0</v>
      </c>
      <c r="AN283" s="24" t="n">
        <f aca="false">IF(R283="",0,MAX(R283-AK283,0))</f>
        <v>0</v>
      </c>
      <c r="AO283" s="25" t="n">
        <f aca="false">AK283+AN283</f>
        <v>127</v>
      </c>
      <c r="AP283" s="24" t="n">
        <f aca="false">AO283-AG283</f>
        <v>127</v>
      </c>
      <c r="AQ283" s="26" t="n">
        <f aca="false">SUMIFS(Permissions!$AH$2:$AH$3000,Permissions!$B$2:$B$3000,$A283,Permissions!$P$2:$P$3000,"Yes")</f>
        <v>0</v>
      </c>
      <c r="AR283" s="26" t="n">
        <f aca="false">SUMIFS(Permissions!$AI$2:$AI$3000,Permissions!$B$2:$B$3000,$A283,Permissions!$P$2:$P$3000,"Yes")</f>
        <v>0</v>
      </c>
      <c r="AS283" s="26" t="n">
        <f aca="false">SUMIFS(Permissions!$AJ$2:$AJ$3000,Permissions!$B$2:$B$3000,$A283,Permissions!$P$2:$P$3000,"Yes")</f>
        <v>46.4</v>
      </c>
      <c r="AT283" s="26" t="n">
        <f aca="false">SUMIFS(Permissions!$AK$2:$AK$3000,Permissions!$B$2:$B$3000,$A283,Permissions!$P$2:$P$3000,"Yes")</f>
        <v>58.6</v>
      </c>
      <c r="AU283" s="26" t="n">
        <f aca="false">SUMIFS(Permissions!$AL$2:$AL$3000,Permissions!$B$2:$B$3000,$A283,Permissions!$P$2:$P$3000,"Yes")</f>
        <v>22</v>
      </c>
      <c r="AV283" s="26" t="n">
        <f aca="false">SUMIFS(Permissions!$AM$2:$AM$3000,Permissions!$B$2:$B$3000,$A283,Permissions!$P$2:$P$3000,"Yes")</f>
        <v>0</v>
      </c>
      <c r="AW283" s="24" t="n">
        <f aca="false">COUNTIFS(Permissions!$B$2:$B$3000,$A283,Permissions!$P$2:$P$3000,"Yes")</f>
        <v>2</v>
      </c>
      <c r="AX283" s="24" t="n">
        <f aca="false">SUMIFS(Permissions!$L$2:$L$3000,Permissions!$B$2:$B$3000,$A283,Permissions!$P$2:$P$3000,"Yes")</f>
        <v>0</v>
      </c>
      <c r="AY283" s="27" t="str">
        <f aca="false">IF(AND(AK283&gt;0,AG283&gt;=AK283,AN283=0),"Built out",IF(AG283&gt;0,"Partly built",IF(AK283&gt;0,"Consented – not built","No consent")))</f>
        <v>Consented – not built</v>
      </c>
      <c r="AZ283" s="28" t="str">
        <f aca="false">IF(AND(R283&lt;&gt;"",AK283&gt;1.1*R283),"Consented above capacity",IF(AND(LEFT(B283,8)="Planning",AW283=0),"Consent parcel with no permission",IF(COUNTIF($A$2:$A$3000,$A283)&gt;1,"Duplicate parcel_id","")))</f>
        <v/>
      </c>
    </row>
    <row r="284" customFormat="false" ht="15" hidden="false" customHeight="false" outlineLevel="0" collapsed="false">
      <c r="A284" s="15" t="s">
        <v>650</v>
      </c>
      <c r="B284" s="15" t="s">
        <v>12</v>
      </c>
      <c r="C284" s="15" t="s">
        <v>17</v>
      </c>
      <c r="D284" s="15" t="s">
        <v>63</v>
      </c>
      <c r="E284" s="15" t="s">
        <v>20</v>
      </c>
      <c r="F284" s="15" t="n">
        <v>0.1</v>
      </c>
      <c r="G284" s="15" t="s">
        <v>154</v>
      </c>
      <c r="H284" s="15"/>
      <c r="I284" s="15" t="s">
        <v>558</v>
      </c>
      <c r="J284" s="15" t="s">
        <v>559</v>
      </c>
      <c r="K284" s="15" t="s">
        <v>651</v>
      </c>
      <c r="L284" s="15"/>
      <c r="M284" s="15"/>
      <c r="N284" s="15"/>
      <c r="O284" s="15"/>
      <c r="P284" s="15" t="n">
        <v>1.245</v>
      </c>
      <c r="Q284" s="15" t="n">
        <v>1.245</v>
      </c>
      <c r="R284" s="15"/>
      <c r="S284" s="15" t="s">
        <v>346</v>
      </c>
      <c r="T284" s="15"/>
      <c r="U284" s="15"/>
      <c r="V284" s="15"/>
      <c r="W284" s="15"/>
      <c r="X284" s="15"/>
      <c r="Y284" s="15"/>
      <c r="Z284" s="15"/>
      <c r="AA284" s="15" t="n">
        <v>0</v>
      </c>
      <c r="AB284" s="15" t="n">
        <v>0</v>
      </c>
      <c r="AC284" s="15"/>
      <c r="AD284" s="15"/>
      <c r="AE284" s="15" t="s">
        <v>163</v>
      </c>
      <c r="AF284" s="15"/>
      <c r="AG284" s="24" t="n">
        <f aca="false">SUMIFS(Permissions!$G$2:$G$3000,Permissions!$B$2:$B$3000,$A284,Permissions!$I$2:$I$3000,"Complete",Permissions!$P$2:$P$3000,"Yes")</f>
        <v>0</v>
      </c>
      <c r="AH284" s="24" t="n">
        <f aca="false">SUMIFS(Permissions!$G$2:$G$3000,Permissions!$B$2:$B$3000,$A284,Permissions!$I$2:$I$3000,"Under construction",Permissions!$P$2:$P$3000,"Yes")</f>
        <v>28</v>
      </c>
      <c r="AI284" s="24" t="n">
        <f aca="false">SUMIFS(Permissions!$G$2:$G$3000,Permissions!$B$2:$B$3000,$A284,Permissions!$I$2:$I$3000,"Permitted – not started",Permissions!$P$2:$P$3000,"Yes")</f>
        <v>0</v>
      </c>
      <c r="AJ284" s="24" t="n">
        <f aca="false">SUMIFS(Permissions!$G$2:$G$3000,Permissions!$B$2:$B$3000,$A284,Permissions!$I$2:$I$3000,"Stalled",Permissions!$P$2:$P$3000,"Yes")</f>
        <v>0</v>
      </c>
      <c r="AK284" s="24" t="n">
        <f aca="false">AG284+AH284+AI284+AJ284</f>
        <v>28</v>
      </c>
      <c r="AL284" s="24" t="n">
        <f aca="false">SUMIFS(Permissions!$G$2:$G$3000,Permissions!$B$2:$B$3000,$A284,Permissions!$I$2:$I$3000,"Expired – not started",Permissions!$P$2:$P$3000,"Yes")</f>
        <v>0</v>
      </c>
      <c r="AM284" s="24" t="n">
        <f aca="false">SUMIFS(Permissions!$G$2:$G$3000,Permissions!$B$2:$B$3000,$A284,Permissions!$I$2:$I$3000,"In planning",Permissions!$P$2:$P$3000,"Yes")</f>
        <v>0</v>
      </c>
      <c r="AN284" s="24" t="n">
        <f aca="false">IF(R284="",0,MAX(R284-AK284,0))</f>
        <v>0</v>
      </c>
      <c r="AO284" s="25" t="n">
        <f aca="false">AK284+AN284</f>
        <v>28</v>
      </c>
      <c r="AP284" s="24" t="n">
        <f aca="false">AO284-AG284</f>
        <v>28</v>
      </c>
      <c r="AQ284" s="26" t="n">
        <f aca="false">SUMIFS(Permissions!$AH$2:$AH$3000,Permissions!$B$2:$B$3000,$A284,Permissions!$P$2:$P$3000,"Yes")</f>
        <v>1.2</v>
      </c>
      <c r="AR284" s="26" t="n">
        <f aca="false">SUMIFS(Permissions!$AI$2:$AI$3000,Permissions!$B$2:$B$3000,$A284,Permissions!$P$2:$P$3000,"Yes")</f>
        <v>26.8</v>
      </c>
      <c r="AS284" s="26" t="n">
        <f aca="false">SUMIFS(Permissions!$AJ$2:$AJ$3000,Permissions!$B$2:$B$3000,$A284,Permissions!$P$2:$P$3000,"Yes")</f>
        <v>0</v>
      </c>
      <c r="AT284" s="26" t="n">
        <f aca="false">SUMIFS(Permissions!$AK$2:$AK$3000,Permissions!$B$2:$B$3000,$A284,Permissions!$P$2:$P$3000,"Yes")</f>
        <v>0</v>
      </c>
      <c r="AU284" s="26" t="n">
        <f aca="false">SUMIFS(Permissions!$AL$2:$AL$3000,Permissions!$B$2:$B$3000,$A284,Permissions!$P$2:$P$3000,"Yes")</f>
        <v>0</v>
      </c>
      <c r="AV284" s="26" t="n">
        <f aca="false">SUMIFS(Permissions!$AM$2:$AM$3000,Permissions!$B$2:$B$3000,$A284,Permissions!$P$2:$P$3000,"Yes")</f>
        <v>0</v>
      </c>
      <c r="AW284" s="24" t="n">
        <f aca="false">COUNTIFS(Permissions!$B$2:$B$3000,$A284,Permissions!$P$2:$P$3000,"Yes")</f>
        <v>1</v>
      </c>
      <c r="AX284" s="24" t="n">
        <f aca="false">SUMIFS(Permissions!$L$2:$L$3000,Permissions!$B$2:$B$3000,$A284,Permissions!$P$2:$P$3000,"Yes")</f>
        <v>0</v>
      </c>
      <c r="AY284" s="27" t="str">
        <f aca="false">IF(AND(AK284&gt;0,AG284&gt;=AK284,AN284=0),"Built out",IF(AG284&gt;0,"Partly built",IF(AK284&gt;0,"Consented – not built","No consent")))</f>
        <v>Consented – not built</v>
      </c>
      <c r="AZ284" s="28" t="str">
        <f aca="false">IF(AND(R284&lt;&gt;"",AK284&gt;1.1*R284),"Consented above capacity",IF(AND(LEFT(B284,8)="Planning",AW284=0),"Consent parcel with no permission",IF(COUNTIF($A$2:$A$3000,$A284)&gt;1,"Duplicate parcel_id","")))</f>
        <v/>
      </c>
    </row>
    <row r="285" customFormat="false" ht="15" hidden="false" customHeight="false" outlineLevel="0" collapsed="false">
      <c r="A285" s="15" t="s">
        <v>652</v>
      </c>
      <c r="B285" s="15" t="s">
        <v>12</v>
      </c>
      <c r="C285" s="15" t="s">
        <v>17</v>
      </c>
      <c r="D285" s="15" t="s">
        <v>69</v>
      </c>
      <c r="E285" s="15" t="s">
        <v>21</v>
      </c>
      <c r="F285" s="15" t="n">
        <v>1</v>
      </c>
      <c r="G285" s="15" t="s">
        <v>154</v>
      </c>
      <c r="H285" s="15"/>
      <c r="I285" s="15" t="s">
        <v>558</v>
      </c>
      <c r="J285" s="15" t="s">
        <v>559</v>
      </c>
      <c r="K285" s="15" t="s">
        <v>653</v>
      </c>
      <c r="L285" s="15"/>
      <c r="M285" s="15"/>
      <c r="N285" s="15"/>
      <c r="O285" s="15"/>
      <c r="P285" s="15" t="n">
        <v>1.012</v>
      </c>
      <c r="Q285" s="15" t="n">
        <v>1.012</v>
      </c>
      <c r="R285" s="15"/>
      <c r="S285" s="15" t="s">
        <v>346</v>
      </c>
      <c r="T285" s="15"/>
      <c r="U285" s="15"/>
      <c r="V285" s="15"/>
      <c r="W285" s="15"/>
      <c r="X285" s="15"/>
      <c r="Y285" s="15"/>
      <c r="Z285" s="15"/>
      <c r="AA285" s="15" t="n">
        <v>15</v>
      </c>
      <c r="AB285" s="15" t="n">
        <v>15</v>
      </c>
      <c r="AC285" s="15"/>
      <c r="AD285" s="15"/>
      <c r="AE285" s="15" t="s">
        <v>163</v>
      </c>
      <c r="AF285" s="15"/>
      <c r="AG285" s="24" t="n">
        <f aca="false">SUMIFS(Permissions!$G$2:$G$3000,Permissions!$B$2:$B$3000,$A285,Permissions!$I$2:$I$3000,"Complete",Permissions!$P$2:$P$3000,"Yes")</f>
        <v>0</v>
      </c>
      <c r="AH285" s="24" t="n">
        <f aca="false">SUMIFS(Permissions!$G$2:$G$3000,Permissions!$B$2:$B$3000,$A285,Permissions!$I$2:$I$3000,"Under construction",Permissions!$P$2:$P$3000,"Yes")</f>
        <v>22</v>
      </c>
      <c r="AI285" s="24" t="n">
        <f aca="false">SUMIFS(Permissions!$G$2:$G$3000,Permissions!$B$2:$B$3000,$A285,Permissions!$I$2:$I$3000,"Permitted – not started",Permissions!$P$2:$P$3000,"Yes")</f>
        <v>0</v>
      </c>
      <c r="AJ285" s="24" t="n">
        <f aca="false">SUMIFS(Permissions!$G$2:$G$3000,Permissions!$B$2:$B$3000,$A285,Permissions!$I$2:$I$3000,"Stalled",Permissions!$P$2:$P$3000,"Yes")</f>
        <v>0</v>
      </c>
      <c r="AK285" s="24" t="n">
        <f aca="false">AG285+AH285+AI285+AJ285</f>
        <v>22</v>
      </c>
      <c r="AL285" s="24" t="n">
        <f aca="false">SUMIFS(Permissions!$G$2:$G$3000,Permissions!$B$2:$B$3000,$A285,Permissions!$I$2:$I$3000,"Expired – not started",Permissions!$P$2:$P$3000,"Yes")</f>
        <v>0</v>
      </c>
      <c r="AM285" s="24" t="n">
        <f aca="false">SUMIFS(Permissions!$G$2:$G$3000,Permissions!$B$2:$B$3000,$A285,Permissions!$I$2:$I$3000,"In planning",Permissions!$P$2:$P$3000,"Yes")</f>
        <v>0</v>
      </c>
      <c r="AN285" s="24" t="n">
        <f aca="false">IF(R285="",0,MAX(R285-AK285,0))</f>
        <v>0</v>
      </c>
      <c r="AO285" s="25" t="n">
        <f aca="false">AK285+AN285</f>
        <v>22</v>
      </c>
      <c r="AP285" s="24" t="n">
        <f aca="false">AO285-AG285</f>
        <v>22</v>
      </c>
      <c r="AQ285" s="26" t="n">
        <f aca="false">SUMIFS(Permissions!$AH$2:$AH$3000,Permissions!$B$2:$B$3000,$A285,Permissions!$P$2:$P$3000,"Yes")</f>
        <v>3.1</v>
      </c>
      <c r="AR285" s="26" t="n">
        <f aca="false">SUMIFS(Permissions!$AI$2:$AI$3000,Permissions!$B$2:$B$3000,$A285,Permissions!$P$2:$P$3000,"Yes")</f>
        <v>13.5</v>
      </c>
      <c r="AS285" s="26" t="n">
        <f aca="false">SUMIFS(Permissions!$AJ$2:$AJ$3000,Permissions!$B$2:$B$3000,$A285,Permissions!$P$2:$P$3000,"Yes")</f>
        <v>5.4</v>
      </c>
      <c r="AT285" s="26" t="n">
        <f aca="false">SUMIFS(Permissions!$AK$2:$AK$3000,Permissions!$B$2:$B$3000,$A285,Permissions!$P$2:$P$3000,"Yes")</f>
        <v>0</v>
      </c>
      <c r="AU285" s="26" t="n">
        <f aca="false">SUMIFS(Permissions!$AL$2:$AL$3000,Permissions!$B$2:$B$3000,$A285,Permissions!$P$2:$P$3000,"Yes")</f>
        <v>0</v>
      </c>
      <c r="AV285" s="26" t="n">
        <f aca="false">SUMIFS(Permissions!$AM$2:$AM$3000,Permissions!$B$2:$B$3000,$A285,Permissions!$P$2:$P$3000,"Yes")</f>
        <v>0</v>
      </c>
      <c r="AW285" s="24" t="n">
        <f aca="false">COUNTIFS(Permissions!$B$2:$B$3000,$A285,Permissions!$P$2:$P$3000,"Yes")</f>
        <v>1</v>
      </c>
      <c r="AX285" s="24" t="n">
        <f aca="false">SUMIFS(Permissions!$L$2:$L$3000,Permissions!$B$2:$B$3000,$A285,Permissions!$P$2:$P$3000,"Yes")</f>
        <v>0</v>
      </c>
      <c r="AY285" s="27" t="str">
        <f aca="false">IF(AND(AK285&gt;0,AG285&gt;=AK285,AN285=0),"Built out",IF(AG285&gt;0,"Partly built",IF(AK285&gt;0,"Consented – not built","No consent")))</f>
        <v>Consented – not built</v>
      </c>
      <c r="AZ285" s="28" t="str">
        <f aca="false">IF(AND(R285&lt;&gt;"",AK285&gt;1.1*R285),"Consented above capacity",IF(AND(LEFT(B285,8)="Planning",AW285=0),"Consent parcel with no permission",IF(COUNTIF($A$2:$A$3000,$A285)&gt;1,"Duplicate parcel_id","")))</f>
        <v/>
      </c>
    </row>
    <row r="286" customFormat="false" ht="15" hidden="false" customHeight="false" outlineLevel="0" collapsed="false">
      <c r="A286" s="15" t="s">
        <v>654</v>
      </c>
      <c r="B286" s="15" t="s">
        <v>12</v>
      </c>
      <c r="C286" s="15" t="s">
        <v>17</v>
      </c>
      <c r="D286" s="15" t="s">
        <v>74</v>
      </c>
      <c r="E286" s="15" t="s">
        <v>21</v>
      </c>
      <c r="F286" s="15" t="n">
        <v>1</v>
      </c>
      <c r="G286" s="15" t="s">
        <v>154</v>
      </c>
      <c r="H286" s="15"/>
      <c r="I286" s="15" t="s">
        <v>558</v>
      </c>
      <c r="J286" s="15" t="s">
        <v>155</v>
      </c>
      <c r="K286" s="15" t="s">
        <v>655</v>
      </c>
      <c r="L286" s="15"/>
      <c r="M286" s="15"/>
      <c r="N286" s="15"/>
      <c r="O286" s="15"/>
      <c r="P286" s="15" t="n">
        <v>1.803</v>
      </c>
      <c r="Q286" s="15" t="n">
        <v>1.803</v>
      </c>
      <c r="R286" s="15"/>
      <c r="S286" s="15" t="s">
        <v>346</v>
      </c>
      <c r="T286" s="15"/>
      <c r="U286" s="15"/>
      <c r="V286" s="15"/>
      <c r="W286" s="15"/>
      <c r="X286" s="15"/>
      <c r="Y286" s="15"/>
      <c r="Z286" s="15"/>
      <c r="AA286" s="15" t="n">
        <v>0</v>
      </c>
      <c r="AB286" s="15" t="n">
        <v>0</v>
      </c>
      <c r="AC286" s="15"/>
      <c r="AD286" s="15"/>
      <c r="AE286" s="15" t="s">
        <v>163</v>
      </c>
      <c r="AF286" s="15"/>
      <c r="AG286" s="24" t="n">
        <f aca="false">SUMIFS(Permissions!$G$2:$G$3000,Permissions!$B$2:$B$3000,$A286,Permissions!$I$2:$I$3000,"Complete",Permissions!$P$2:$P$3000,"Yes")</f>
        <v>0</v>
      </c>
      <c r="AH286" s="24" t="n">
        <f aca="false">SUMIFS(Permissions!$G$2:$G$3000,Permissions!$B$2:$B$3000,$A286,Permissions!$I$2:$I$3000,"Under construction",Permissions!$P$2:$P$3000,"Yes")</f>
        <v>0</v>
      </c>
      <c r="AI286" s="24" t="n">
        <f aca="false">SUMIFS(Permissions!$G$2:$G$3000,Permissions!$B$2:$B$3000,$A286,Permissions!$I$2:$I$3000,"Permitted – not started",Permissions!$P$2:$P$3000,"Yes")</f>
        <v>41</v>
      </c>
      <c r="AJ286" s="24" t="n">
        <f aca="false">SUMIFS(Permissions!$G$2:$G$3000,Permissions!$B$2:$B$3000,$A286,Permissions!$I$2:$I$3000,"Stalled",Permissions!$P$2:$P$3000,"Yes")</f>
        <v>0</v>
      </c>
      <c r="AK286" s="24" t="n">
        <f aca="false">AG286+AH286+AI286+AJ286</f>
        <v>41</v>
      </c>
      <c r="AL286" s="24" t="n">
        <f aca="false">SUMIFS(Permissions!$G$2:$G$3000,Permissions!$B$2:$B$3000,$A286,Permissions!$I$2:$I$3000,"Expired – not started",Permissions!$P$2:$P$3000,"Yes")</f>
        <v>0</v>
      </c>
      <c r="AM286" s="24" t="n">
        <f aca="false">SUMIFS(Permissions!$G$2:$G$3000,Permissions!$B$2:$B$3000,$A286,Permissions!$I$2:$I$3000,"In planning",Permissions!$P$2:$P$3000,"Yes")</f>
        <v>0</v>
      </c>
      <c r="AN286" s="24" t="n">
        <f aca="false">IF(R286="",0,MAX(R286-AK286,0))</f>
        <v>0</v>
      </c>
      <c r="AO286" s="25" t="n">
        <f aca="false">AK286+AN286</f>
        <v>41</v>
      </c>
      <c r="AP286" s="24" t="n">
        <f aca="false">AO286-AG286</f>
        <v>41</v>
      </c>
      <c r="AQ286" s="26" t="n">
        <f aca="false">SUMIFS(Permissions!$AH$2:$AH$3000,Permissions!$B$2:$B$3000,$A286,Permissions!$P$2:$P$3000,"Yes")</f>
        <v>0</v>
      </c>
      <c r="AR286" s="26" t="n">
        <f aca="false">SUMIFS(Permissions!$AI$2:$AI$3000,Permissions!$B$2:$B$3000,$A286,Permissions!$P$2:$P$3000,"Yes")</f>
        <v>1.1</v>
      </c>
      <c r="AS286" s="26" t="n">
        <f aca="false">SUMIFS(Permissions!$AJ$2:$AJ$3000,Permissions!$B$2:$B$3000,$A286,Permissions!$P$2:$P$3000,"Yes")</f>
        <v>39.9</v>
      </c>
      <c r="AT286" s="26" t="n">
        <f aca="false">SUMIFS(Permissions!$AK$2:$AK$3000,Permissions!$B$2:$B$3000,$A286,Permissions!$P$2:$P$3000,"Yes")</f>
        <v>0</v>
      </c>
      <c r="AU286" s="26" t="n">
        <f aca="false">SUMIFS(Permissions!$AL$2:$AL$3000,Permissions!$B$2:$B$3000,$A286,Permissions!$P$2:$P$3000,"Yes")</f>
        <v>0</v>
      </c>
      <c r="AV286" s="26" t="n">
        <f aca="false">SUMIFS(Permissions!$AM$2:$AM$3000,Permissions!$B$2:$B$3000,$A286,Permissions!$P$2:$P$3000,"Yes")</f>
        <v>0</v>
      </c>
      <c r="AW286" s="24" t="n">
        <f aca="false">COUNTIFS(Permissions!$B$2:$B$3000,$A286,Permissions!$P$2:$P$3000,"Yes")</f>
        <v>1</v>
      </c>
      <c r="AX286" s="24" t="n">
        <f aca="false">SUMIFS(Permissions!$L$2:$L$3000,Permissions!$B$2:$B$3000,$A286,Permissions!$P$2:$P$3000,"Yes")</f>
        <v>0</v>
      </c>
      <c r="AY286" s="27" t="str">
        <f aca="false">IF(AND(AK286&gt;0,AG286&gt;=AK286,AN286=0),"Built out",IF(AG286&gt;0,"Partly built",IF(AK286&gt;0,"Consented – not built","No consent")))</f>
        <v>Consented – not built</v>
      </c>
      <c r="AZ286" s="28" t="str">
        <f aca="false">IF(AND(R286&lt;&gt;"",AK286&gt;1.1*R286),"Consented above capacity",IF(AND(LEFT(B286,8)="Planning",AW286=0),"Consent parcel with no permission",IF(COUNTIF($A$2:$A$3000,$A286)&gt;1,"Duplicate parcel_id","")))</f>
        <v/>
      </c>
    </row>
    <row r="287" customFormat="false" ht="15" hidden="false" customHeight="false" outlineLevel="0" collapsed="false">
      <c r="A287" s="15" t="s">
        <v>656</v>
      </c>
      <c r="B287" s="15" t="s">
        <v>12</v>
      </c>
      <c r="C287" s="15" t="s">
        <v>17</v>
      </c>
      <c r="D287" s="15" t="s">
        <v>22</v>
      </c>
      <c r="E287" s="15" t="s">
        <v>22</v>
      </c>
      <c r="F287" s="15"/>
      <c r="G287" s="15" t="s">
        <v>22</v>
      </c>
      <c r="H287" s="15"/>
      <c r="I287" s="15" t="s">
        <v>558</v>
      </c>
      <c r="J287" s="15" t="s">
        <v>583</v>
      </c>
      <c r="K287" s="15" t="s">
        <v>657</v>
      </c>
      <c r="L287" s="15"/>
      <c r="M287" s="15"/>
      <c r="N287" s="15"/>
      <c r="O287" s="15"/>
      <c r="P287" s="15" t="n">
        <v>1.497</v>
      </c>
      <c r="Q287" s="15" t="n">
        <v>1.497</v>
      </c>
      <c r="R287" s="15" t="n">
        <v>3</v>
      </c>
      <c r="S287" s="15" t="s">
        <v>359</v>
      </c>
      <c r="T287" s="15"/>
      <c r="U287" s="15"/>
      <c r="V287" s="15"/>
      <c r="W287" s="15"/>
      <c r="X287" s="15"/>
      <c r="Y287" s="15"/>
      <c r="Z287" s="15"/>
      <c r="AA287" s="15" t="n">
        <v>0</v>
      </c>
      <c r="AB287" s="15" t="n">
        <v>0</v>
      </c>
      <c r="AC287" s="15"/>
      <c r="AD287" s="15"/>
      <c r="AE287" s="15" t="s">
        <v>163</v>
      </c>
      <c r="AF287" s="15"/>
      <c r="AG287" s="24" t="n">
        <f aca="false">SUMIFS(Permissions!$G$2:$G$3000,Permissions!$B$2:$B$3000,$A287,Permissions!$I$2:$I$3000,"Complete",Permissions!$P$2:$P$3000,"Yes")</f>
        <v>0</v>
      </c>
      <c r="AH287" s="24" t="n">
        <f aca="false">SUMIFS(Permissions!$G$2:$G$3000,Permissions!$B$2:$B$3000,$A287,Permissions!$I$2:$I$3000,"Under construction",Permissions!$P$2:$P$3000,"Yes")</f>
        <v>0</v>
      </c>
      <c r="AI287" s="24" t="n">
        <f aca="false">SUMIFS(Permissions!$G$2:$G$3000,Permissions!$B$2:$B$3000,$A287,Permissions!$I$2:$I$3000,"Permitted – not started",Permissions!$P$2:$P$3000,"Yes")</f>
        <v>0</v>
      </c>
      <c r="AJ287" s="24" t="n">
        <f aca="false">SUMIFS(Permissions!$G$2:$G$3000,Permissions!$B$2:$B$3000,$A287,Permissions!$I$2:$I$3000,"Stalled",Permissions!$P$2:$P$3000,"Yes")</f>
        <v>0</v>
      </c>
      <c r="AK287" s="24" t="n">
        <f aca="false">AG287+AH287+AI287+AJ287</f>
        <v>0</v>
      </c>
      <c r="AL287" s="24" t="n">
        <f aca="false">SUMIFS(Permissions!$G$2:$G$3000,Permissions!$B$2:$B$3000,$A287,Permissions!$I$2:$I$3000,"Expired – not started",Permissions!$P$2:$P$3000,"Yes")</f>
        <v>3</v>
      </c>
      <c r="AM287" s="24" t="n">
        <f aca="false">SUMIFS(Permissions!$G$2:$G$3000,Permissions!$B$2:$B$3000,$A287,Permissions!$I$2:$I$3000,"In planning",Permissions!$P$2:$P$3000,"Yes")</f>
        <v>0</v>
      </c>
      <c r="AN287" s="24" t="n">
        <f aca="false">IF(R287="",0,MAX(R287-AK287,0))</f>
        <v>3</v>
      </c>
      <c r="AO287" s="25" t="n">
        <f aca="false">AK287+AN287</f>
        <v>3</v>
      </c>
      <c r="AP287" s="24" t="n">
        <f aca="false">AO287-AG287</f>
        <v>3</v>
      </c>
      <c r="AQ287" s="26" t="n">
        <f aca="false">SUMIFS(Permissions!$AH$2:$AH$3000,Permissions!$B$2:$B$3000,$A287,Permissions!$P$2:$P$3000,"Yes")</f>
        <v>0</v>
      </c>
      <c r="AR287" s="26" t="n">
        <f aca="false">SUMIFS(Permissions!$AI$2:$AI$3000,Permissions!$B$2:$B$3000,$A287,Permissions!$P$2:$P$3000,"Yes")</f>
        <v>0</v>
      </c>
      <c r="AS287" s="26" t="n">
        <f aca="false">SUMIFS(Permissions!$AJ$2:$AJ$3000,Permissions!$B$2:$B$3000,$A287,Permissions!$P$2:$P$3000,"Yes")</f>
        <v>0</v>
      </c>
      <c r="AT287" s="26" t="n">
        <f aca="false">SUMIFS(Permissions!$AK$2:$AK$3000,Permissions!$B$2:$B$3000,$A287,Permissions!$P$2:$P$3000,"Yes")</f>
        <v>0</v>
      </c>
      <c r="AU287" s="26" t="n">
        <f aca="false">SUMIFS(Permissions!$AL$2:$AL$3000,Permissions!$B$2:$B$3000,$A287,Permissions!$P$2:$P$3000,"Yes")</f>
        <v>0</v>
      </c>
      <c r="AV287" s="26" t="n">
        <f aca="false">SUMIFS(Permissions!$AM$2:$AM$3000,Permissions!$B$2:$B$3000,$A287,Permissions!$P$2:$P$3000,"Yes")</f>
        <v>0</v>
      </c>
      <c r="AW287" s="24" t="n">
        <f aca="false">COUNTIFS(Permissions!$B$2:$B$3000,$A287,Permissions!$P$2:$P$3000,"Yes")</f>
        <v>1</v>
      </c>
      <c r="AX287" s="24" t="n">
        <f aca="false">SUMIFS(Permissions!$L$2:$L$3000,Permissions!$B$2:$B$3000,$A287,Permissions!$P$2:$P$3000,"Yes")</f>
        <v>0</v>
      </c>
      <c r="AY287" s="27" t="str">
        <f aca="false">IF(AND(AK287&gt;0,AG287&gt;=AK287,AN287=0),"Built out",IF(AG287&gt;0,"Partly built",IF(AK287&gt;0,"Consented – not built","No consent")))</f>
        <v>No consent</v>
      </c>
      <c r="AZ287" s="28" t="str">
        <f aca="false">IF(AND(R287&lt;&gt;"",AK287&gt;1.1*R287),"Consented above capacity",IF(AND(LEFT(B287,8)="Planning",AW287=0),"Consent parcel with no permission",IF(COUNTIF($A$2:$A$3000,$A287)&gt;1,"Duplicate parcel_id","")))</f>
        <v/>
      </c>
    </row>
    <row r="288" customFormat="false" ht="15" hidden="false" customHeight="false" outlineLevel="0" collapsed="false">
      <c r="A288" s="15" t="s">
        <v>658</v>
      </c>
      <c r="B288" s="15" t="s">
        <v>12</v>
      </c>
      <c r="C288" s="15" t="s">
        <v>17</v>
      </c>
      <c r="D288" s="15" t="s">
        <v>22</v>
      </c>
      <c r="E288" s="15" t="s">
        <v>22</v>
      </c>
      <c r="F288" s="15"/>
      <c r="G288" s="15" t="s">
        <v>22</v>
      </c>
      <c r="H288" s="15"/>
      <c r="I288" s="15" t="s">
        <v>558</v>
      </c>
      <c r="J288" s="15" t="s">
        <v>559</v>
      </c>
      <c r="K288" s="15" t="s">
        <v>659</v>
      </c>
      <c r="L288" s="15"/>
      <c r="M288" s="15"/>
      <c r="N288" s="15"/>
      <c r="O288" s="15"/>
      <c r="P288" s="15" t="n">
        <v>0.621</v>
      </c>
      <c r="Q288" s="15" t="n">
        <v>0.621</v>
      </c>
      <c r="R288" s="15"/>
      <c r="S288" s="15" t="s">
        <v>346</v>
      </c>
      <c r="T288" s="15"/>
      <c r="U288" s="15"/>
      <c r="V288" s="15"/>
      <c r="W288" s="15"/>
      <c r="X288" s="15"/>
      <c r="Y288" s="15"/>
      <c r="Z288" s="15"/>
      <c r="AA288" s="15" t="n">
        <v>8</v>
      </c>
      <c r="AB288" s="15" t="n">
        <v>8</v>
      </c>
      <c r="AC288" s="15"/>
      <c r="AD288" s="15"/>
      <c r="AE288" s="15" t="s">
        <v>163</v>
      </c>
      <c r="AF288" s="15"/>
      <c r="AG288" s="24" t="n">
        <f aca="false">SUMIFS(Permissions!$G$2:$G$3000,Permissions!$B$2:$B$3000,$A288,Permissions!$I$2:$I$3000,"Complete",Permissions!$P$2:$P$3000,"Yes")</f>
        <v>8</v>
      </c>
      <c r="AH288" s="24" t="n">
        <f aca="false">SUMIFS(Permissions!$G$2:$G$3000,Permissions!$B$2:$B$3000,$A288,Permissions!$I$2:$I$3000,"Under construction",Permissions!$P$2:$P$3000,"Yes")</f>
        <v>0</v>
      </c>
      <c r="AI288" s="24" t="n">
        <f aca="false">SUMIFS(Permissions!$G$2:$G$3000,Permissions!$B$2:$B$3000,$A288,Permissions!$I$2:$I$3000,"Permitted – not started",Permissions!$P$2:$P$3000,"Yes")</f>
        <v>0</v>
      </c>
      <c r="AJ288" s="24" t="n">
        <f aca="false">SUMIFS(Permissions!$G$2:$G$3000,Permissions!$B$2:$B$3000,$A288,Permissions!$I$2:$I$3000,"Stalled",Permissions!$P$2:$P$3000,"Yes")</f>
        <v>0</v>
      </c>
      <c r="AK288" s="24" t="n">
        <f aca="false">AG288+AH288+AI288+AJ288</f>
        <v>8</v>
      </c>
      <c r="AL288" s="24" t="n">
        <f aca="false">SUMIFS(Permissions!$G$2:$G$3000,Permissions!$B$2:$B$3000,$A288,Permissions!$I$2:$I$3000,"Expired – not started",Permissions!$P$2:$P$3000,"Yes")</f>
        <v>0</v>
      </c>
      <c r="AM288" s="24" t="n">
        <f aca="false">SUMIFS(Permissions!$G$2:$G$3000,Permissions!$B$2:$B$3000,$A288,Permissions!$I$2:$I$3000,"In planning",Permissions!$P$2:$P$3000,"Yes")</f>
        <v>0</v>
      </c>
      <c r="AN288" s="24" t="n">
        <f aca="false">IF(R288="",0,MAX(R288-AK288,0))</f>
        <v>0</v>
      </c>
      <c r="AO288" s="25" t="n">
        <f aca="false">AK288+AN288</f>
        <v>8</v>
      </c>
      <c r="AP288" s="24" t="n">
        <f aca="false">AO288-AG288</f>
        <v>0</v>
      </c>
      <c r="AQ288" s="26" t="n">
        <f aca="false">SUMIFS(Permissions!$AH$2:$AH$3000,Permissions!$B$2:$B$3000,$A288,Permissions!$P$2:$P$3000,"Yes")</f>
        <v>0</v>
      </c>
      <c r="AR288" s="26" t="n">
        <f aca="false">SUMIFS(Permissions!$AI$2:$AI$3000,Permissions!$B$2:$B$3000,$A288,Permissions!$P$2:$P$3000,"Yes")</f>
        <v>0</v>
      </c>
      <c r="AS288" s="26" t="n">
        <f aca="false">SUMIFS(Permissions!$AJ$2:$AJ$3000,Permissions!$B$2:$B$3000,$A288,Permissions!$P$2:$P$3000,"Yes")</f>
        <v>0</v>
      </c>
      <c r="AT288" s="26" t="n">
        <f aca="false">SUMIFS(Permissions!$AK$2:$AK$3000,Permissions!$B$2:$B$3000,$A288,Permissions!$P$2:$P$3000,"Yes")</f>
        <v>0</v>
      </c>
      <c r="AU288" s="26" t="n">
        <f aca="false">SUMIFS(Permissions!$AL$2:$AL$3000,Permissions!$B$2:$B$3000,$A288,Permissions!$P$2:$P$3000,"Yes")</f>
        <v>0</v>
      </c>
      <c r="AV288" s="26" t="n">
        <f aca="false">SUMIFS(Permissions!$AM$2:$AM$3000,Permissions!$B$2:$B$3000,$A288,Permissions!$P$2:$P$3000,"Yes")</f>
        <v>0</v>
      </c>
      <c r="AW288" s="24" t="n">
        <f aca="false">COUNTIFS(Permissions!$B$2:$B$3000,$A288,Permissions!$P$2:$P$3000,"Yes")</f>
        <v>1</v>
      </c>
      <c r="AX288" s="24" t="n">
        <f aca="false">SUMIFS(Permissions!$L$2:$L$3000,Permissions!$B$2:$B$3000,$A288,Permissions!$P$2:$P$3000,"Yes")</f>
        <v>0</v>
      </c>
      <c r="AY288" s="27" t="str">
        <f aca="false">IF(AND(AK288&gt;0,AG288&gt;=AK288,AN288=0),"Built out",IF(AG288&gt;0,"Partly built",IF(AK288&gt;0,"Consented – not built","No consent")))</f>
        <v>Built out</v>
      </c>
      <c r="AZ288" s="28" t="str">
        <f aca="false">IF(AND(R288&lt;&gt;"",AK288&gt;1.1*R288),"Consented above capacity",IF(AND(LEFT(B288,8)="Planning",AW288=0),"Consent parcel with no permission",IF(COUNTIF($A$2:$A$3000,$A288)&gt;1,"Duplicate parcel_id","")))</f>
        <v/>
      </c>
    </row>
    <row r="289" customFormat="false" ht="15" hidden="false" customHeight="false" outlineLevel="0" collapsed="false">
      <c r="A289" s="15" t="s">
        <v>660</v>
      </c>
      <c r="B289" s="15" t="s">
        <v>12</v>
      </c>
      <c r="C289" s="15" t="s">
        <v>17</v>
      </c>
      <c r="D289" s="15" t="s">
        <v>22</v>
      </c>
      <c r="E289" s="15" t="s">
        <v>22</v>
      </c>
      <c r="F289" s="15"/>
      <c r="G289" s="15" t="s">
        <v>22</v>
      </c>
      <c r="H289" s="15"/>
      <c r="I289" s="15" t="s">
        <v>558</v>
      </c>
      <c r="J289" s="15" t="s">
        <v>205</v>
      </c>
      <c r="K289" s="15" t="s">
        <v>661</v>
      </c>
      <c r="L289" s="15"/>
      <c r="M289" s="15"/>
      <c r="N289" s="15"/>
      <c r="O289" s="15"/>
      <c r="P289" s="15" t="n">
        <v>0.463</v>
      </c>
      <c r="Q289" s="15" t="n">
        <v>0.463</v>
      </c>
      <c r="R289" s="15"/>
      <c r="S289" s="15" t="s">
        <v>346</v>
      </c>
      <c r="T289" s="15"/>
      <c r="U289" s="15"/>
      <c r="V289" s="15"/>
      <c r="W289" s="15"/>
      <c r="X289" s="15"/>
      <c r="Y289" s="15"/>
      <c r="Z289" s="15"/>
      <c r="AA289" s="15" t="n">
        <v>3</v>
      </c>
      <c r="AB289" s="15" t="n">
        <v>3</v>
      </c>
      <c r="AC289" s="15"/>
      <c r="AD289" s="15"/>
      <c r="AE289" s="15" t="s">
        <v>163</v>
      </c>
      <c r="AF289" s="15"/>
      <c r="AG289" s="24" t="n">
        <f aca="false">SUMIFS(Permissions!$G$2:$G$3000,Permissions!$B$2:$B$3000,$A289,Permissions!$I$2:$I$3000,"Complete",Permissions!$P$2:$P$3000,"Yes")</f>
        <v>0</v>
      </c>
      <c r="AH289" s="24" t="n">
        <f aca="false">SUMIFS(Permissions!$G$2:$G$3000,Permissions!$B$2:$B$3000,$A289,Permissions!$I$2:$I$3000,"Under construction",Permissions!$P$2:$P$3000,"Yes")</f>
        <v>3</v>
      </c>
      <c r="AI289" s="24" t="n">
        <f aca="false">SUMIFS(Permissions!$G$2:$G$3000,Permissions!$B$2:$B$3000,$A289,Permissions!$I$2:$I$3000,"Permitted – not started",Permissions!$P$2:$P$3000,"Yes")</f>
        <v>0</v>
      </c>
      <c r="AJ289" s="24" t="n">
        <f aca="false">SUMIFS(Permissions!$G$2:$G$3000,Permissions!$B$2:$B$3000,$A289,Permissions!$I$2:$I$3000,"Stalled",Permissions!$P$2:$P$3000,"Yes")</f>
        <v>0</v>
      </c>
      <c r="AK289" s="24" t="n">
        <f aca="false">AG289+AH289+AI289+AJ289</f>
        <v>3</v>
      </c>
      <c r="AL289" s="24" t="n">
        <f aca="false">SUMIFS(Permissions!$G$2:$G$3000,Permissions!$B$2:$B$3000,$A289,Permissions!$I$2:$I$3000,"Expired – not started",Permissions!$P$2:$P$3000,"Yes")</f>
        <v>0</v>
      </c>
      <c r="AM289" s="24" t="n">
        <f aca="false">SUMIFS(Permissions!$G$2:$G$3000,Permissions!$B$2:$B$3000,$A289,Permissions!$I$2:$I$3000,"In planning",Permissions!$P$2:$P$3000,"Yes")</f>
        <v>0</v>
      </c>
      <c r="AN289" s="24" t="n">
        <f aca="false">IF(R289="",0,MAX(R289-AK289,0))</f>
        <v>0</v>
      </c>
      <c r="AO289" s="25" t="n">
        <f aca="false">AK289+AN289</f>
        <v>3</v>
      </c>
      <c r="AP289" s="24" t="n">
        <f aca="false">AO289-AG289</f>
        <v>3</v>
      </c>
      <c r="AQ289" s="26" t="n">
        <f aca="false">SUMIFS(Permissions!$AH$2:$AH$3000,Permissions!$B$2:$B$3000,$A289,Permissions!$P$2:$P$3000,"Yes")</f>
        <v>0.7</v>
      </c>
      <c r="AR289" s="26" t="n">
        <f aca="false">SUMIFS(Permissions!$AI$2:$AI$3000,Permissions!$B$2:$B$3000,$A289,Permissions!$P$2:$P$3000,"Yes")</f>
        <v>2.3</v>
      </c>
      <c r="AS289" s="26" t="n">
        <f aca="false">SUMIFS(Permissions!$AJ$2:$AJ$3000,Permissions!$B$2:$B$3000,$A289,Permissions!$P$2:$P$3000,"Yes")</f>
        <v>0</v>
      </c>
      <c r="AT289" s="26" t="n">
        <f aca="false">SUMIFS(Permissions!$AK$2:$AK$3000,Permissions!$B$2:$B$3000,$A289,Permissions!$P$2:$P$3000,"Yes")</f>
        <v>0</v>
      </c>
      <c r="AU289" s="26" t="n">
        <f aca="false">SUMIFS(Permissions!$AL$2:$AL$3000,Permissions!$B$2:$B$3000,$A289,Permissions!$P$2:$P$3000,"Yes")</f>
        <v>0</v>
      </c>
      <c r="AV289" s="26" t="n">
        <f aca="false">SUMIFS(Permissions!$AM$2:$AM$3000,Permissions!$B$2:$B$3000,$A289,Permissions!$P$2:$P$3000,"Yes")</f>
        <v>0</v>
      </c>
      <c r="AW289" s="24" t="n">
        <f aca="false">COUNTIFS(Permissions!$B$2:$B$3000,$A289,Permissions!$P$2:$P$3000,"Yes")</f>
        <v>1</v>
      </c>
      <c r="AX289" s="24" t="n">
        <f aca="false">SUMIFS(Permissions!$L$2:$L$3000,Permissions!$B$2:$B$3000,$A289,Permissions!$P$2:$P$3000,"Yes")</f>
        <v>1</v>
      </c>
      <c r="AY289" s="27" t="str">
        <f aca="false">IF(AND(AK289&gt;0,AG289&gt;=AK289,AN289=0),"Built out",IF(AG289&gt;0,"Partly built",IF(AK289&gt;0,"Consented – not built","No consent")))</f>
        <v>Consented – not built</v>
      </c>
      <c r="AZ289" s="28" t="str">
        <f aca="false">IF(AND(R289&lt;&gt;"",AK289&gt;1.1*R289),"Consented above capacity",IF(AND(LEFT(B289,8)="Planning",AW289=0),"Consent parcel with no permission",IF(COUNTIF($A$2:$A$3000,$A289)&gt;1,"Duplicate parcel_id","")))</f>
        <v/>
      </c>
    </row>
    <row r="290" customFormat="false" ht="15" hidden="false" customHeight="false" outlineLevel="0" collapsed="false">
      <c r="A290" s="15" t="s">
        <v>662</v>
      </c>
      <c r="B290" s="15" t="s">
        <v>12</v>
      </c>
      <c r="C290" s="15" t="s">
        <v>17</v>
      </c>
      <c r="D290" s="15" t="s">
        <v>22</v>
      </c>
      <c r="E290" s="15" t="s">
        <v>22</v>
      </c>
      <c r="F290" s="15"/>
      <c r="G290" s="15" t="s">
        <v>22</v>
      </c>
      <c r="H290" s="15"/>
      <c r="I290" s="15" t="s">
        <v>558</v>
      </c>
      <c r="J290" s="15" t="s">
        <v>559</v>
      </c>
      <c r="K290" s="15" t="s">
        <v>663</v>
      </c>
      <c r="L290" s="15"/>
      <c r="M290" s="15"/>
      <c r="N290" s="15"/>
      <c r="O290" s="15"/>
      <c r="P290" s="15" t="n">
        <v>0.076</v>
      </c>
      <c r="Q290" s="15" t="n">
        <v>0.076</v>
      </c>
      <c r="R290" s="15"/>
      <c r="S290" s="15" t="s">
        <v>346</v>
      </c>
      <c r="T290" s="15"/>
      <c r="U290" s="15"/>
      <c r="V290" s="15"/>
      <c r="W290" s="15"/>
      <c r="X290" s="15"/>
      <c r="Y290" s="15"/>
      <c r="Z290" s="15"/>
      <c r="AA290" s="15" t="n">
        <v>4</v>
      </c>
      <c r="AB290" s="15" t="n">
        <v>4</v>
      </c>
      <c r="AC290" s="15"/>
      <c r="AD290" s="15"/>
      <c r="AE290" s="15" t="s">
        <v>163</v>
      </c>
      <c r="AF290" s="15"/>
      <c r="AG290" s="24" t="n">
        <f aca="false">SUMIFS(Permissions!$G$2:$G$3000,Permissions!$B$2:$B$3000,$A290,Permissions!$I$2:$I$3000,"Complete",Permissions!$P$2:$P$3000,"Yes")</f>
        <v>4</v>
      </c>
      <c r="AH290" s="24" t="n">
        <f aca="false">SUMIFS(Permissions!$G$2:$G$3000,Permissions!$B$2:$B$3000,$A290,Permissions!$I$2:$I$3000,"Under construction",Permissions!$P$2:$P$3000,"Yes")</f>
        <v>0</v>
      </c>
      <c r="AI290" s="24" t="n">
        <f aca="false">SUMIFS(Permissions!$G$2:$G$3000,Permissions!$B$2:$B$3000,$A290,Permissions!$I$2:$I$3000,"Permitted – not started",Permissions!$P$2:$P$3000,"Yes")</f>
        <v>0</v>
      </c>
      <c r="AJ290" s="24" t="n">
        <f aca="false">SUMIFS(Permissions!$G$2:$G$3000,Permissions!$B$2:$B$3000,$A290,Permissions!$I$2:$I$3000,"Stalled",Permissions!$P$2:$P$3000,"Yes")</f>
        <v>0</v>
      </c>
      <c r="AK290" s="24" t="n">
        <f aca="false">AG290+AH290+AI290+AJ290</f>
        <v>4</v>
      </c>
      <c r="AL290" s="24" t="n">
        <f aca="false">SUMIFS(Permissions!$G$2:$G$3000,Permissions!$B$2:$B$3000,$A290,Permissions!$I$2:$I$3000,"Expired – not started",Permissions!$P$2:$P$3000,"Yes")</f>
        <v>0</v>
      </c>
      <c r="AM290" s="24" t="n">
        <f aca="false">SUMIFS(Permissions!$G$2:$G$3000,Permissions!$B$2:$B$3000,$A290,Permissions!$I$2:$I$3000,"In planning",Permissions!$P$2:$P$3000,"Yes")</f>
        <v>0</v>
      </c>
      <c r="AN290" s="24" t="n">
        <f aca="false">IF(R290="",0,MAX(R290-AK290,0))</f>
        <v>0</v>
      </c>
      <c r="AO290" s="25" t="n">
        <f aca="false">AK290+AN290</f>
        <v>4</v>
      </c>
      <c r="AP290" s="24" t="n">
        <f aca="false">AO290-AG290</f>
        <v>0</v>
      </c>
      <c r="AQ290" s="26" t="n">
        <f aca="false">SUMIFS(Permissions!$AH$2:$AH$3000,Permissions!$B$2:$B$3000,$A290,Permissions!$P$2:$P$3000,"Yes")</f>
        <v>0</v>
      </c>
      <c r="AR290" s="26" t="n">
        <f aca="false">SUMIFS(Permissions!$AI$2:$AI$3000,Permissions!$B$2:$B$3000,$A290,Permissions!$P$2:$P$3000,"Yes")</f>
        <v>0</v>
      </c>
      <c r="AS290" s="26" t="n">
        <f aca="false">SUMIFS(Permissions!$AJ$2:$AJ$3000,Permissions!$B$2:$B$3000,$A290,Permissions!$P$2:$P$3000,"Yes")</f>
        <v>0</v>
      </c>
      <c r="AT290" s="26" t="n">
        <f aca="false">SUMIFS(Permissions!$AK$2:$AK$3000,Permissions!$B$2:$B$3000,$A290,Permissions!$P$2:$P$3000,"Yes")</f>
        <v>0</v>
      </c>
      <c r="AU290" s="26" t="n">
        <f aca="false">SUMIFS(Permissions!$AL$2:$AL$3000,Permissions!$B$2:$B$3000,$A290,Permissions!$P$2:$P$3000,"Yes")</f>
        <v>0</v>
      </c>
      <c r="AV290" s="26" t="n">
        <f aca="false">SUMIFS(Permissions!$AM$2:$AM$3000,Permissions!$B$2:$B$3000,$A290,Permissions!$P$2:$P$3000,"Yes")</f>
        <v>0</v>
      </c>
      <c r="AW290" s="24" t="n">
        <f aca="false">COUNTIFS(Permissions!$B$2:$B$3000,$A290,Permissions!$P$2:$P$3000,"Yes")</f>
        <v>1</v>
      </c>
      <c r="AX290" s="24" t="n">
        <f aca="false">SUMIFS(Permissions!$L$2:$L$3000,Permissions!$B$2:$B$3000,$A290,Permissions!$P$2:$P$3000,"Yes")</f>
        <v>4</v>
      </c>
      <c r="AY290" s="27" t="str">
        <f aca="false">IF(AND(AK290&gt;0,AG290&gt;=AK290,AN290=0),"Built out",IF(AG290&gt;0,"Partly built",IF(AK290&gt;0,"Consented – not built","No consent")))</f>
        <v>Built out</v>
      </c>
      <c r="AZ290" s="28" t="str">
        <f aca="false">IF(AND(R290&lt;&gt;"",AK290&gt;1.1*R290),"Consented above capacity",IF(AND(LEFT(B290,8)="Planning",AW290=0),"Consent parcel with no permission",IF(COUNTIF($A$2:$A$3000,$A290)&gt;1,"Duplicate parcel_id","")))</f>
        <v/>
      </c>
    </row>
    <row r="291" customFormat="false" ht="15" hidden="false" customHeight="false" outlineLevel="0" collapsed="false">
      <c r="A291" s="15" t="s">
        <v>664</v>
      </c>
      <c r="B291" s="15" t="s">
        <v>12</v>
      </c>
      <c r="C291" s="15" t="s">
        <v>17</v>
      </c>
      <c r="D291" s="15" t="s">
        <v>64</v>
      </c>
      <c r="E291" s="15" t="s">
        <v>20</v>
      </c>
      <c r="F291" s="15" t="n">
        <v>1</v>
      </c>
      <c r="G291" s="15" t="s">
        <v>154</v>
      </c>
      <c r="H291" s="15"/>
      <c r="I291" s="15" t="s">
        <v>558</v>
      </c>
      <c r="J291" s="15" t="s">
        <v>568</v>
      </c>
      <c r="K291" s="15" t="s">
        <v>665</v>
      </c>
      <c r="L291" s="15"/>
      <c r="M291" s="15"/>
      <c r="N291" s="15"/>
      <c r="O291" s="15"/>
      <c r="P291" s="15" t="n">
        <v>1.973</v>
      </c>
      <c r="Q291" s="15" t="n">
        <v>1.973</v>
      </c>
      <c r="R291" s="15"/>
      <c r="S291" s="15" t="s">
        <v>346</v>
      </c>
      <c r="T291" s="15"/>
      <c r="U291" s="15"/>
      <c r="V291" s="15"/>
      <c r="W291" s="15"/>
      <c r="X291" s="15"/>
      <c r="Y291" s="15"/>
      <c r="Z291" s="15"/>
      <c r="AA291" s="15" t="n">
        <v>0</v>
      </c>
      <c r="AB291" s="15" t="n">
        <v>0</v>
      </c>
      <c r="AC291" s="15"/>
      <c r="AD291" s="15"/>
      <c r="AE291" s="15" t="s">
        <v>163</v>
      </c>
      <c r="AF291" s="15"/>
      <c r="AG291" s="24" t="n">
        <f aca="false">SUMIFS(Permissions!$G$2:$G$3000,Permissions!$B$2:$B$3000,$A291,Permissions!$I$2:$I$3000,"Complete",Permissions!$P$2:$P$3000,"Yes")</f>
        <v>0</v>
      </c>
      <c r="AH291" s="24" t="n">
        <f aca="false">SUMIFS(Permissions!$G$2:$G$3000,Permissions!$B$2:$B$3000,$A291,Permissions!$I$2:$I$3000,"Under construction",Permissions!$P$2:$P$3000,"Yes")</f>
        <v>0</v>
      </c>
      <c r="AI291" s="24" t="n">
        <f aca="false">SUMIFS(Permissions!$G$2:$G$3000,Permissions!$B$2:$B$3000,$A291,Permissions!$I$2:$I$3000,"Permitted – not started",Permissions!$P$2:$P$3000,"Yes")</f>
        <v>0</v>
      </c>
      <c r="AJ291" s="24" t="n">
        <f aca="false">SUMIFS(Permissions!$G$2:$G$3000,Permissions!$B$2:$B$3000,$A291,Permissions!$I$2:$I$3000,"Stalled",Permissions!$P$2:$P$3000,"Yes")</f>
        <v>53</v>
      </c>
      <c r="AK291" s="24" t="n">
        <f aca="false">AG291+AH291+AI291+AJ291</f>
        <v>53</v>
      </c>
      <c r="AL291" s="24" t="n">
        <f aca="false">SUMIFS(Permissions!$G$2:$G$3000,Permissions!$B$2:$B$3000,$A291,Permissions!$I$2:$I$3000,"Expired – not started",Permissions!$P$2:$P$3000,"Yes")</f>
        <v>0</v>
      </c>
      <c r="AM291" s="24" t="n">
        <f aca="false">SUMIFS(Permissions!$G$2:$G$3000,Permissions!$B$2:$B$3000,$A291,Permissions!$I$2:$I$3000,"In planning",Permissions!$P$2:$P$3000,"Yes")</f>
        <v>0</v>
      </c>
      <c r="AN291" s="24" t="n">
        <f aca="false">IF(R291="",0,MAX(R291-AK291,0))</f>
        <v>0</v>
      </c>
      <c r="AO291" s="25" t="n">
        <f aca="false">AK291+AN291</f>
        <v>53</v>
      </c>
      <c r="AP291" s="24" t="n">
        <f aca="false">AO291-AG291</f>
        <v>53</v>
      </c>
      <c r="AQ291" s="26" t="n">
        <f aca="false">SUMIFS(Permissions!$AH$2:$AH$3000,Permissions!$B$2:$B$3000,$A291,Permissions!$P$2:$P$3000,"Yes")</f>
        <v>0</v>
      </c>
      <c r="AR291" s="26" t="n">
        <f aca="false">SUMIFS(Permissions!$AI$2:$AI$3000,Permissions!$B$2:$B$3000,$A291,Permissions!$P$2:$P$3000,"Yes")</f>
        <v>0</v>
      </c>
      <c r="AS291" s="26" t="n">
        <f aca="false">SUMIFS(Permissions!$AJ$2:$AJ$3000,Permissions!$B$2:$B$3000,$A291,Permissions!$P$2:$P$3000,"Yes")</f>
        <v>0</v>
      </c>
      <c r="AT291" s="26" t="n">
        <f aca="false">SUMIFS(Permissions!$AK$2:$AK$3000,Permissions!$B$2:$B$3000,$A291,Permissions!$P$2:$P$3000,"Yes")</f>
        <v>0</v>
      </c>
      <c r="AU291" s="26" t="n">
        <f aca="false">SUMIFS(Permissions!$AL$2:$AL$3000,Permissions!$B$2:$B$3000,$A291,Permissions!$P$2:$P$3000,"Yes")</f>
        <v>0</v>
      </c>
      <c r="AV291" s="26" t="n">
        <f aca="false">SUMIFS(Permissions!$AM$2:$AM$3000,Permissions!$B$2:$B$3000,$A291,Permissions!$P$2:$P$3000,"Yes")</f>
        <v>0</v>
      </c>
      <c r="AW291" s="24" t="n">
        <f aca="false">COUNTIFS(Permissions!$B$2:$B$3000,$A291,Permissions!$P$2:$P$3000,"Yes")</f>
        <v>1</v>
      </c>
      <c r="AX291" s="24" t="n">
        <f aca="false">SUMIFS(Permissions!$L$2:$L$3000,Permissions!$B$2:$B$3000,$A291,Permissions!$P$2:$P$3000,"Yes")</f>
        <v>0</v>
      </c>
      <c r="AY291" s="27" t="str">
        <f aca="false">IF(AND(AK291&gt;0,AG291&gt;=AK291,AN291=0),"Built out",IF(AG291&gt;0,"Partly built",IF(AK291&gt;0,"Consented – not built","No consent")))</f>
        <v>Consented – not built</v>
      </c>
      <c r="AZ291" s="28" t="str">
        <f aca="false">IF(AND(R291&lt;&gt;"",AK291&gt;1.1*R291),"Consented above capacity",IF(AND(LEFT(B291,8)="Planning",AW291=0),"Consent parcel with no permission",IF(COUNTIF($A$2:$A$3000,$A291)&gt;1,"Duplicate parcel_id","")))</f>
        <v/>
      </c>
    </row>
    <row r="292" customFormat="false" ht="15" hidden="false" customHeight="false" outlineLevel="0" collapsed="false">
      <c r="A292" s="15" t="s">
        <v>666</v>
      </c>
      <c r="B292" s="15" t="s">
        <v>12</v>
      </c>
      <c r="C292" s="15" t="s">
        <v>17</v>
      </c>
      <c r="D292" s="15" t="s">
        <v>68</v>
      </c>
      <c r="E292" s="15" t="s">
        <v>21</v>
      </c>
      <c r="F292" s="15" t="n">
        <v>0.29</v>
      </c>
      <c r="G292" s="15" t="s">
        <v>154</v>
      </c>
      <c r="H292" s="15"/>
      <c r="I292" s="15" t="s">
        <v>558</v>
      </c>
      <c r="J292" s="15" t="s">
        <v>559</v>
      </c>
      <c r="K292" s="15" t="s">
        <v>667</v>
      </c>
      <c r="L292" s="15"/>
      <c r="M292" s="15"/>
      <c r="N292" s="15"/>
      <c r="O292" s="15"/>
      <c r="P292" s="15" t="n">
        <v>3.59</v>
      </c>
      <c r="Q292" s="15" t="n">
        <v>3.59</v>
      </c>
      <c r="R292" s="15"/>
      <c r="S292" s="15" t="s">
        <v>346</v>
      </c>
      <c r="T292" s="15"/>
      <c r="U292" s="15"/>
      <c r="V292" s="15"/>
      <c r="W292" s="15"/>
      <c r="X292" s="15"/>
      <c r="Y292" s="15"/>
      <c r="Z292" s="15"/>
      <c r="AA292" s="15" t="n">
        <v>0</v>
      </c>
      <c r="AB292" s="15" t="n">
        <v>0</v>
      </c>
      <c r="AC292" s="15"/>
      <c r="AD292" s="15"/>
      <c r="AE292" s="15" t="s">
        <v>163</v>
      </c>
      <c r="AF292" s="15"/>
      <c r="AG292" s="24" t="n">
        <f aca="false">SUMIFS(Permissions!$G$2:$G$3000,Permissions!$B$2:$B$3000,$A292,Permissions!$I$2:$I$3000,"Complete",Permissions!$P$2:$P$3000,"Yes")</f>
        <v>0</v>
      </c>
      <c r="AH292" s="24" t="n">
        <f aca="false">SUMIFS(Permissions!$G$2:$G$3000,Permissions!$B$2:$B$3000,$A292,Permissions!$I$2:$I$3000,"Under construction",Permissions!$P$2:$P$3000,"Yes")</f>
        <v>0</v>
      </c>
      <c r="AI292" s="24" t="n">
        <f aca="false">SUMIFS(Permissions!$G$2:$G$3000,Permissions!$B$2:$B$3000,$A292,Permissions!$I$2:$I$3000,"Permitted – not started",Permissions!$P$2:$P$3000,"Yes")</f>
        <v>74</v>
      </c>
      <c r="AJ292" s="24" t="n">
        <f aca="false">SUMIFS(Permissions!$G$2:$G$3000,Permissions!$B$2:$B$3000,$A292,Permissions!$I$2:$I$3000,"Stalled",Permissions!$P$2:$P$3000,"Yes")</f>
        <v>0</v>
      </c>
      <c r="AK292" s="24" t="n">
        <f aca="false">AG292+AH292+AI292+AJ292</f>
        <v>74</v>
      </c>
      <c r="AL292" s="24" t="n">
        <f aca="false">SUMIFS(Permissions!$G$2:$G$3000,Permissions!$B$2:$B$3000,$A292,Permissions!$I$2:$I$3000,"Expired – not started",Permissions!$P$2:$P$3000,"Yes")</f>
        <v>0</v>
      </c>
      <c r="AM292" s="24" t="n">
        <f aca="false">SUMIFS(Permissions!$G$2:$G$3000,Permissions!$B$2:$B$3000,$A292,Permissions!$I$2:$I$3000,"In planning",Permissions!$P$2:$P$3000,"Yes")</f>
        <v>0</v>
      </c>
      <c r="AN292" s="24" t="n">
        <f aca="false">IF(R292="",0,MAX(R292-AK292,0))</f>
        <v>0</v>
      </c>
      <c r="AO292" s="25" t="n">
        <f aca="false">AK292+AN292</f>
        <v>74</v>
      </c>
      <c r="AP292" s="24" t="n">
        <f aca="false">AO292-AG292</f>
        <v>74</v>
      </c>
      <c r="AQ292" s="26" t="n">
        <f aca="false">SUMIFS(Permissions!$AH$2:$AH$3000,Permissions!$B$2:$B$3000,$A292,Permissions!$P$2:$P$3000,"Yes")</f>
        <v>0</v>
      </c>
      <c r="AR292" s="26" t="n">
        <f aca="false">SUMIFS(Permissions!$AI$2:$AI$3000,Permissions!$B$2:$B$3000,$A292,Permissions!$P$2:$P$3000,"Yes")</f>
        <v>0</v>
      </c>
      <c r="AS292" s="26" t="n">
        <f aca="false">SUMIFS(Permissions!$AJ$2:$AJ$3000,Permissions!$B$2:$B$3000,$A292,Permissions!$P$2:$P$3000,"Yes")</f>
        <v>28.4</v>
      </c>
      <c r="AT292" s="26" t="n">
        <f aca="false">SUMIFS(Permissions!$AK$2:$AK$3000,Permissions!$B$2:$B$3000,$A292,Permissions!$P$2:$P$3000,"Yes")</f>
        <v>45.6</v>
      </c>
      <c r="AU292" s="26" t="n">
        <f aca="false">SUMIFS(Permissions!$AL$2:$AL$3000,Permissions!$B$2:$B$3000,$A292,Permissions!$P$2:$P$3000,"Yes")</f>
        <v>0</v>
      </c>
      <c r="AV292" s="26" t="n">
        <f aca="false">SUMIFS(Permissions!$AM$2:$AM$3000,Permissions!$B$2:$B$3000,$A292,Permissions!$P$2:$P$3000,"Yes")</f>
        <v>0</v>
      </c>
      <c r="AW292" s="24" t="n">
        <f aca="false">COUNTIFS(Permissions!$B$2:$B$3000,$A292,Permissions!$P$2:$P$3000,"Yes")</f>
        <v>1</v>
      </c>
      <c r="AX292" s="24" t="n">
        <f aca="false">SUMIFS(Permissions!$L$2:$L$3000,Permissions!$B$2:$B$3000,$A292,Permissions!$P$2:$P$3000,"Yes")</f>
        <v>0</v>
      </c>
      <c r="AY292" s="27" t="str">
        <f aca="false">IF(AND(AK292&gt;0,AG292&gt;=AK292,AN292=0),"Built out",IF(AG292&gt;0,"Partly built",IF(AK292&gt;0,"Consented – not built","No consent")))</f>
        <v>Consented – not built</v>
      </c>
      <c r="AZ292" s="28" t="str">
        <f aca="false">IF(AND(R292&lt;&gt;"",AK292&gt;1.1*R292),"Consented above capacity",IF(AND(LEFT(B292,8)="Planning",AW292=0),"Consent parcel with no permission",IF(COUNTIF($A$2:$A$3000,$A292)&gt;1,"Duplicate parcel_id","")))</f>
        <v/>
      </c>
    </row>
    <row r="293" customFormat="false" ht="15" hidden="false" customHeight="false" outlineLevel="0" collapsed="false">
      <c r="A293" s="15" t="s">
        <v>668</v>
      </c>
      <c r="B293" s="15" t="s">
        <v>12</v>
      </c>
      <c r="C293" s="15" t="s">
        <v>17</v>
      </c>
      <c r="D293" s="15" t="s">
        <v>22</v>
      </c>
      <c r="E293" s="15" t="s">
        <v>22</v>
      </c>
      <c r="F293" s="15"/>
      <c r="G293" s="15" t="s">
        <v>22</v>
      </c>
      <c r="H293" s="15"/>
      <c r="I293" s="15" t="s">
        <v>558</v>
      </c>
      <c r="J293" s="15" t="s">
        <v>559</v>
      </c>
      <c r="K293" s="15" t="s">
        <v>669</v>
      </c>
      <c r="L293" s="15"/>
      <c r="M293" s="15"/>
      <c r="N293" s="15"/>
      <c r="O293" s="15"/>
      <c r="P293" s="15" t="n">
        <v>0.229</v>
      </c>
      <c r="Q293" s="15" t="n">
        <v>0.229</v>
      </c>
      <c r="R293" s="15"/>
      <c r="S293" s="15" t="s">
        <v>346</v>
      </c>
      <c r="T293" s="15"/>
      <c r="U293" s="15"/>
      <c r="V293" s="15"/>
      <c r="W293" s="15"/>
      <c r="X293" s="15"/>
      <c r="Y293" s="15"/>
      <c r="Z293" s="15"/>
      <c r="AA293" s="15" t="n">
        <v>6</v>
      </c>
      <c r="AB293" s="15" t="n">
        <v>6</v>
      </c>
      <c r="AC293" s="15"/>
      <c r="AD293" s="15"/>
      <c r="AE293" s="15" t="s">
        <v>163</v>
      </c>
      <c r="AF293" s="15"/>
      <c r="AG293" s="24" t="n">
        <f aca="false">SUMIFS(Permissions!$G$2:$G$3000,Permissions!$B$2:$B$3000,$A293,Permissions!$I$2:$I$3000,"Complete",Permissions!$P$2:$P$3000,"Yes")</f>
        <v>0</v>
      </c>
      <c r="AH293" s="24" t="n">
        <f aca="false">SUMIFS(Permissions!$G$2:$G$3000,Permissions!$B$2:$B$3000,$A293,Permissions!$I$2:$I$3000,"Under construction",Permissions!$P$2:$P$3000,"Yes")</f>
        <v>6</v>
      </c>
      <c r="AI293" s="24" t="n">
        <f aca="false">SUMIFS(Permissions!$G$2:$G$3000,Permissions!$B$2:$B$3000,$A293,Permissions!$I$2:$I$3000,"Permitted – not started",Permissions!$P$2:$P$3000,"Yes")</f>
        <v>0</v>
      </c>
      <c r="AJ293" s="24" t="n">
        <f aca="false">SUMIFS(Permissions!$G$2:$G$3000,Permissions!$B$2:$B$3000,$A293,Permissions!$I$2:$I$3000,"Stalled",Permissions!$P$2:$P$3000,"Yes")</f>
        <v>0</v>
      </c>
      <c r="AK293" s="24" t="n">
        <f aca="false">AG293+AH293+AI293+AJ293</f>
        <v>6</v>
      </c>
      <c r="AL293" s="24" t="n">
        <f aca="false">SUMIFS(Permissions!$G$2:$G$3000,Permissions!$B$2:$B$3000,$A293,Permissions!$I$2:$I$3000,"Expired – not started",Permissions!$P$2:$P$3000,"Yes")</f>
        <v>0</v>
      </c>
      <c r="AM293" s="24" t="n">
        <f aca="false">SUMIFS(Permissions!$G$2:$G$3000,Permissions!$B$2:$B$3000,$A293,Permissions!$I$2:$I$3000,"In planning",Permissions!$P$2:$P$3000,"Yes")</f>
        <v>0</v>
      </c>
      <c r="AN293" s="24" t="n">
        <f aca="false">IF(R293="",0,MAX(R293-AK293,0))</f>
        <v>0</v>
      </c>
      <c r="AO293" s="25" t="n">
        <f aca="false">AK293+AN293</f>
        <v>6</v>
      </c>
      <c r="AP293" s="24" t="n">
        <f aca="false">AO293-AG293</f>
        <v>6</v>
      </c>
      <c r="AQ293" s="26" t="n">
        <f aca="false">SUMIFS(Permissions!$AH$2:$AH$3000,Permissions!$B$2:$B$3000,$A293,Permissions!$P$2:$P$3000,"Yes")</f>
        <v>1.4</v>
      </c>
      <c r="AR293" s="26" t="n">
        <f aca="false">SUMIFS(Permissions!$AI$2:$AI$3000,Permissions!$B$2:$B$3000,$A293,Permissions!$P$2:$P$3000,"Yes")</f>
        <v>4.6</v>
      </c>
      <c r="AS293" s="26" t="n">
        <f aca="false">SUMIFS(Permissions!$AJ$2:$AJ$3000,Permissions!$B$2:$B$3000,$A293,Permissions!$P$2:$P$3000,"Yes")</f>
        <v>0</v>
      </c>
      <c r="AT293" s="26" t="n">
        <f aca="false">SUMIFS(Permissions!$AK$2:$AK$3000,Permissions!$B$2:$B$3000,$A293,Permissions!$P$2:$P$3000,"Yes")</f>
        <v>0</v>
      </c>
      <c r="AU293" s="26" t="n">
        <f aca="false">SUMIFS(Permissions!$AL$2:$AL$3000,Permissions!$B$2:$B$3000,$A293,Permissions!$P$2:$P$3000,"Yes")</f>
        <v>0</v>
      </c>
      <c r="AV293" s="26" t="n">
        <f aca="false">SUMIFS(Permissions!$AM$2:$AM$3000,Permissions!$B$2:$B$3000,$A293,Permissions!$P$2:$P$3000,"Yes")</f>
        <v>0</v>
      </c>
      <c r="AW293" s="24" t="n">
        <f aca="false">COUNTIFS(Permissions!$B$2:$B$3000,$A293,Permissions!$P$2:$P$3000,"Yes")</f>
        <v>1</v>
      </c>
      <c r="AX293" s="24" t="n">
        <f aca="false">SUMIFS(Permissions!$L$2:$L$3000,Permissions!$B$2:$B$3000,$A293,Permissions!$P$2:$P$3000,"Yes")</f>
        <v>2</v>
      </c>
      <c r="AY293" s="27" t="str">
        <f aca="false">IF(AND(AK293&gt;0,AG293&gt;=AK293,AN293=0),"Built out",IF(AG293&gt;0,"Partly built",IF(AK293&gt;0,"Consented – not built","No consent")))</f>
        <v>Consented – not built</v>
      </c>
      <c r="AZ293" s="28" t="str">
        <f aca="false">IF(AND(R293&lt;&gt;"",AK293&gt;1.1*R293),"Consented above capacity",IF(AND(LEFT(B293,8)="Planning",AW293=0),"Consent parcel with no permission",IF(COUNTIF($A$2:$A$3000,$A293)&gt;1,"Duplicate parcel_id","")))</f>
        <v/>
      </c>
    </row>
    <row r="294" customFormat="false" ht="15" hidden="false" customHeight="false" outlineLevel="0" collapsed="false">
      <c r="A294" s="15" t="s">
        <v>670</v>
      </c>
      <c r="B294" s="15" t="s">
        <v>12</v>
      </c>
      <c r="C294" s="15" t="s">
        <v>17</v>
      </c>
      <c r="D294" s="15" t="s">
        <v>64</v>
      </c>
      <c r="E294" s="15" t="s">
        <v>20</v>
      </c>
      <c r="F294" s="15" t="n">
        <v>1</v>
      </c>
      <c r="G294" s="15" t="s">
        <v>154</v>
      </c>
      <c r="H294" s="15"/>
      <c r="I294" s="15" t="s">
        <v>558</v>
      </c>
      <c r="J294" s="15" t="s">
        <v>568</v>
      </c>
      <c r="K294" s="15" t="s">
        <v>671</v>
      </c>
      <c r="L294" s="15"/>
      <c r="M294" s="15"/>
      <c r="N294" s="15"/>
      <c r="O294" s="15"/>
      <c r="P294" s="15" t="n">
        <v>0.481</v>
      </c>
      <c r="Q294" s="15" t="n">
        <v>0.481</v>
      </c>
      <c r="R294" s="15"/>
      <c r="S294" s="15" t="s">
        <v>346</v>
      </c>
      <c r="T294" s="15"/>
      <c r="U294" s="15"/>
      <c r="V294" s="15"/>
      <c r="W294" s="15"/>
      <c r="X294" s="15"/>
      <c r="Y294" s="15"/>
      <c r="Z294" s="15"/>
      <c r="AA294" s="15" t="n">
        <v>0</v>
      </c>
      <c r="AB294" s="15" t="n">
        <v>0</v>
      </c>
      <c r="AC294" s="15"/>
      <c r="AD294" s="15"/>
      <c r="AE294" s="15" t="s">
        <v>163</v>
      </c>
      <c r="AF294" s="15"/>
      <c r="AG294" s="24" t="n">
        <f aca="false">SUMIFS(Permissions!$G$2:$G$3000,Permissions!$B$2:$B$3000,$A294,Permissions!$I$2:$I$3000,"Complete",Permissions!$P$2:$P$3000,"Yes")</f>
        <v>0</v>
      </c>
      <c r="AH294" s="24" t="n">
        <f aca="false">SUMIFS(Permissions!$G$2:$G$3000,Permissions!$B$2:$B$3000,$A294,Permissions!$I$2:$I$3000,"Under construction",Permissions!$P$2:$P$3000,"Yes")</f>
        <v>0</v>
      </c>
      <c r="AI294" s="24" t="n">
        <f aca="false">SUMIFS(Permissions!$G$2:$G$3000,Permissions!$B$2:$B$3000,$A294,Permissions!$I$2:$I$3000,"Permitted – not started",Permissions!$P$2:$P$3000,"Yes")</f>
        <v>14</v>
      </c>
      <c r="AJ294" s="24" t="n">
        <f aca="false">SUMIFS(Permissions!$G$2:$G$3000,Permissions!$B$2:$B$3000,$A294,Permissions!$I$2:$I$3000,"Stalled",Permissions!$P$2:$P$3000,"Yes")</f>
        <v>0</v>
      </c>
      <c r="AK294" s="24" t="n">
        <f aca="false">AG294+AH294+AI294+AJ294</f>
        <v>14</v>
      </c>
      <c r="AL294" s="24" t="n">
        <f aca="false">SUMIFS(Permissions!$G$2:$G$3000,Permissions!$B$2:$B$3000,$A294,Permissions!$I$2:$I$3000,"Expired – not started",Permissions!$P$2:$P$3000,"Yes")</f>
        <v>0</v>
      </c>
      <c r="AM294" s="24" t="n">
        <f aca="false">SUMIFS(Permissions!$G$2:$G$3000,Permissions!$B$2:$B$3000,$A294,Permissions!$I$2:$I$3000,"In planning",Permissions!$P$2:$P$3000,"Yes")</f>
        <v>0</v>
      </c>
      <c r="AN294" s="24" t="n">
        <f aca="false">IF(R294="",0,MAX(R294-AK294,0))</f>
        <v>0</v>
      </c>
      <c r="AO294" s="25" t="n">
        <f aca="false">AK294+AN294</f>
        <v>14</v>
      </c>
      <c r="AP294" s="24" t="n">
        <f aca="false">AO294-AG294</f>
        <v>14</v>
      </c>
      <c r="AQ294" s="26" t="n">
        <f aca="false">SUMIFS(Permissions!$AH$2:$AH$3000,Permissions!$B$2:$B$3000,$A294,Permissions!$P$2:$P$3000,"Yes")</f>
        <v>0</v>
      </c>
      <c r="AR294" s="26" t="n">
        <f aca="false">SUMIFS(Permissions!$AI$2:$AI$3000,Permissions!$B$2:$B$3000,$A294,Permissions!$P$2:$P$3000,"Yes")</f>
        <v>0</v>
      </c>
      <c r="AS294" s="26" t="n">
        <f aca="false">SUMIFS(Permissions!$AJ$2:$AJ$3000,Permissions!$B$2:$B$3000,$A294,Permissions!$P$2:$P$3000,"Yes")</f>
        <v>8.2</v>
      </c>
      <c r="AT294" s="26" t="n">
        <f aca="false">SUMIFS(Permissions!$AK$2:$AK$3000,Permissions!$B$2:$B$3000,$A294,Permissions!$P$2:$P$3000,"Yes")</f>
        <v>5.8</v>
      </c>
      <c r="AU294" s="26" t="n">
        <f aca="false">SUMIFS(Permissions!$AL$2:$AL$3000,Permissions!$B$2:$B$3000,$A294,Permissions!$P$2:$P$3000,"Yes")</f>
        <v>0</v>
      </c>
      <c r="AV294" s="26" t="n">
        <f aca="false">SUMIFS(Permissions!$AM$2:$AM$3000,Permissions!$B$2:$B$3000,$A294,Permissions!$P$2:$P$3000,"Yes")</f>
        <v>0</v>
      </c>
      <c r="AW294" s="24" t="n">
        <f aca="false">COUNTIFS(Permissions!$B$2:$B$3000,$A294,Permissions!$P$2:$P$3000,"Yes")</f>
        <v>1</v>
      </c>
      <c r="AX294" s="24" t="n">
        <f aca="false">SUMIFS(Permissions!$L$2:$L$3000,Permissions!$B$2:$B$3000,$A294,Permissions!$P$2:$P$3000,"Yes")</f>
        <v>0</v>
      </c>
      <c r="AY294" s="27" t="str">
        <f aca="false">IF(AND(AK294&gt;0,AG294&gt;=AK294,AN294=0),"Built out",IF(AG294&gt;0,"Partly built",IF(AK294&gt;0,"Consented – not built","No consent")))</f>
        <v>Consented – not built</v>
      </c>
      <c r="AZ294" s="28" t="str">
        <f aca="false">IF(AND(R294&lt;&gt;"",AK294&gt;1.1*R294),"Consented above capacity",IF(AND(LEFT(B294,8)="Planning",AW294=0),"Consent parcel with no permission",IF(COUNTIF($A$2:$A$3000,$A294)&gt;1,"Duplicate parcel_id","")))</f>
        <v/>
      </c>
    </row>
    <row r="295" customFormat="false" ht="15" hidden="false" customHeight="false" outlineLevel="0" collapsed="false">
      <c r="A295" s="15" t="s">
        <v>672</v>
      </c>
      <c r="B295" s="15" t="s">
        <v>12</v>
      </c>
      <c r="C295" s="15" t="s">
        <v>17</v>
      </c>
      <c r="D295" s="15" t="s">
        <v>62</v>
      </c>
      <c r="E295" s="15" t="s">
        <v>20</v>
      </c>
      <c r="F295" s="15" t="n">
        <v>0</v>
      </c>
      <c r="G295" s="15" t="s">
        <v>616</v>
      </c>
      <c r="H295" s="15"/>
      <c r="I295" s="15" t="s">
        <v>558</v>
      </c>
      <c r="J295" s="15" t="s">
        <v>205</v>
      </c>
      <c r="K295" s="15" t="s">
        <v>673</v>
      </c>
      <c r="L295" s="15"/>
      <c r="M295" s="15"/>
      <c r="N295" s="15"/>
      <c r="O295" s="15"/>
      <c r="P295" s="15" t="n">
        <v>5.284</v>
      </c>
      <c r="Q295" s="15" t="n">
        <v>5.284</v>
      </c>
      <c r="R295" s="15"/>
      <c r="S295" s="15" t="s">
        <v>346</v>
      </c>
      <c r="T295" s="15"/>
      <c r="U295" s="15"/>
      <c r="V295" s="15"/>
      <c r="W295" s="15"/>
      <c r="X295" s="15"/>
      <c r="Y295" s="15"/>
      <c r="Z295" s="15"/>
      <c r="AA295" s="15" t="n">
        <v>28</v>
      </c>
      <c r="AB295" s="15" t="n">
        <v>28</v>
      </c>
      <c r="AC295" s="15"/>
      <c r="AD295" s="15"/>
      <c r="AE295" s="15" t="s">
        <v>163</v>
      </c>
      <c r="AF295" s="15"/>
      <c r="AG295" s="24" t="n">
        <f aca="false">SUMIFS(Permissions!$G$2:$G$3000,Permissions!$B$2:$B$3000,$A295,Permissions!$I$2:$I$3000,"Complete",Permissions!$P$2:$P$3000,"Yes")</f>
        <v>0</v>
      </c>
      <c r="AH295" s="24" t="n">
        <f aca="false">SUMIFS(Permissions!$G$2:$G$3000,Permissions!$B$2:$B$3000,$A295,Permissions!$I$2:$I$3000,"Under construction",Permissions!$P$2:$P$3000,"Yes")</f>
        <v>74</v>
      </c>
      <c r="AI295" s="24" t="n">
        <f aca="false">SUMIFS(Permissions!$G$2:$G$3000,Permissions!$B$2:$B$3000,$A295,Permissions!$I$2:$I$3000,"Permitted – not started",Permissions!$P$2:$P$3000,"Yes")</f>
        <v>0</v>
      </c>
      <c r="AJ295" s="24" t="n">
        <f aca="false">SUMIFS(Permissions!$G$2:$G$3000,Permissions!$B$2:$B$3000,$A295,Permissions!$I$2:$I$3000,"Stalled",Permissions!$P$2:$P$3000,"Yes")</f>
        <v>0</v>
      </c>
      <c r="AK295" s="24" t="n">
        <f aca="false">AG295+AH295+AI295+AJ295</f>
        <v>74</v>
      </c>
      <c r="AL295" s="24" t="n">
        <f aca="false">SUMIFS(Permissions!$G$2:$G$3000,Permissions!$B$2:$B$3000,$A295,Permissions!$I$2:$I$3000,"Expired – not started",Permissions!$P$2:$P$3000,"Yes")</f>
        <v>0</v>
      </c>
      <c r="AM295" s="24" t="n">
        <f aca="false">SUMIFS(Permissions!$G$2:$G$3000,Permissions!$B$2:$B$3000,$A295,Permissions!$I$2:$I$3000,"In planning",Permissions!$P$2:$P$3000,"Yes")</f>
        <v>0</v>
      </c>
      <c r="AN295" s="24" t="n">
        <f aca="false">IF(R295="",0,MAX(R295-AK295,0))</f>
        <v>0</v>
      </c>
      <c r="AO295" s="25" t="n">
        <f aca="false">AK295+AN295</f>
        <v>74</v>
      </c>
      <c r="AP295" s="24" t="n">
        <f aca="false">AO295-AG295</f>
        <v>74</v>
      </c>
      <c r="AQ295" s="26" t="n">
        <f aca="false">SUMIFS(Permissions!$AH$2:$AH$3000,Permissions!$B$2:$B$3000,$A295,Permissions!$P$2:$P$3000,"Yes")</f>
        <v>17.2</v>
      </c>
      <c r="AR295" s="26" t="n">
        <f aca="false">SUMIFS(Permissions!$AI$2:$AI$3000,Permissions!$B$2:$B$3000,$A295,Permissions!$P$2:$P$3000,"Yes")</f>
        <v>56.8</v>
      </c>
      <c r="AS295" s="26" t="n">
        <f aca="false">SUMIFS(Permissions!$AJ$2:$AJ$3000,Permissions!$B$2:$B$3000,$A295,Permissions!$P$2:$P$3000,"Yes")</f>
        <v>0</v>
      </c>
      <c r="AT295" s="26" t="n">
        <f aca="false">SUMIFS(Permissions!$AK$2:$AK$3000,Permissions!$B$2:$B$3000,$A295,Permissions!$P$2:$P$3000,"Yes")</f>
        <v>0</v>
      </c>
      <c r="AU295" s="26" t="n">
        <f aca="false">SUMIFS(Permissions!$AL$2:$AL$3000,Permissions!$B$2:$B$3000,$A295,Permissions!$P$2:$P$3000,"Yes")</f>
        <v>0</v>
      </c>
      <c r="AV295" s="26" t="n">
        <f aca="false">SUMIFS(Permissions!$AM$2:$AM$3000,Permissions!$B$2:$B$3000,$A295,Permissions!$P$2:$P$3000,"Yes")</f>
        <v>0</v>
      </c>
      <c r="AW295" s="24" t="n">
        <f aca="false">COUNTIFS(Permissions!$B$2:$B$3000,$A295,Permissions!$P$2:$P$3000,"Yes")</f>
        <v>1</v>
      </c>
      <c r="AX295" s="24" t="n">
        <f aca="false">SUMIFS(Permissions!$L$2:$L$3000,Permissions!$B$2:$B$3000,$A295,Permissions!$P$2:$P$3000,"Yes")</f>
        <v>0</v>
      </c>
      <c r="AY295" s="27" t="str">
        <f aca="false">IF(AND(AK295&gt;0,AG295&gt;=AK295,AN295=0),"Built out",IF(AG295&gt;0,"Partly built",IF(AK295&gt;0,"Consented – not built","No consent")))</f>
        <v>Consented – not built</v>
      </c>
      <c r="AZ295" s="28" t="str">
        <f aca="false">IF(AND(R295&lt;&gt;"",AK295&gt;1.1*R295),"Consented above capacity",IF(AND(LEFT(B295,8)="Planning",AW295=0),"Consent parcel with no permission",IF(COUNTIF($A$2:$A$3000,$A295)&gt;1,"Duplicate parcel_id","")))</f>
        <v/>
      </c>
    </row>
    <row r="296" customFormat="false" ht="15" hidden="false" customHeight="false" outlineLevel="0" collapsed="false">
      <c r="A296" s="15" t="s">
        <v>674</v>
      </c>
      <c r="B296" s="15" t="s">
        <v>12</v>
      </c>
      <c r="C296" s="15" t="s">
        <v>17</v>
      </c>
      <c r="D296" s="15" t="s">
        <v>70</v>
      </c>
      <c r="E296" s="15" t="s">
        <v>21</v>
      </c>
      <c r="F296" s="15" t="n">
        <v>1</v>
      </c>
      <c r="G296" s="15" t="s">
        <v>154</v>
      </c>
      <c r="H296" s="15"/>
      <c r="I296" s="15" t="s">
        <v>558</v>
      </c>
      <c r="J296" s="15" t="s">
        <v>583</v>
      </c>
      <c r="K296" s="15" t="s">
        <v>675</v>
      </c>
      <c r="L296" s="15"/>
      <c r="M296" s="15"/>
      <c r="N296" s="15"/>
      <c r="O296" s="15"/>
      <c r="P296" s="15" t="n">
        <v>0.508</v>
      </c>
      <c r="Q296" s="15" t="n">
        <v>0.508</v>
      </c>
      <c r="R296" s="15"/>
      <c r="S296" s="15" t="s">
        <v>346</v>
      </c>
      <c r="T296" s="15"/>
      <c r="U296" s="15"/>
      <c r="V296" s="15"/>
      <c r="W296" s="15"/>
      <c r="X296" s="15"/>
      <c r="Y296" s="15"/>
      <c r="Z296" s="15"/>
      <c r="AA296" s="15" t="n">
        <v>0</v>
      </c>
      <c r="AB296" s="15" t="n">
        <v>0</v>
      </c>
      <c r="AC296" s="15"/>
      <c r="AD296" s="15"/>
      <c r="AE296" s="15" t="s">
        <v>163</v>
      </c>
      <c r="AF296" s="15"/>
      <c r="AG296" s="24" t="n">
        <f aca="false">SUMIFS(Permissions!$G$2:$G$3000,Permissions!$B$2:$B$3000,$A296,Permissions!$I$2:$I$3000,"Complete",Permissions!$P$2:$P$3000,"Yes")</f>
        <v>0</v>
      </c>
      <c r="AH296" s="24" t="n">
        <f aca="false">SUMIFS(Permissions!$G$2:$G$3000,Permissions!$B$2:$B$3000,$A296,Permissions!$I$2:$I$3000,"Under construction",Permissions!$P$2:$P$3000,"Yes")</f>
        <v>0</v>
      </c>
      <c r="AI296" s="24" t="n">
        <f aca="false">SUMIFS(Permissions!$G$2:$G$3000,Permissions!$B$2:$B$3000,$A296,Permissions!$I$2:$I$3000,"Permitted – not started",Permissions!$P$2:$P$3000,"Yes")</f>
        <v>10</v>
      </c>
      <c r="AJ296" s="24" t="n">
        <f aca="false">SUMIFS(Permissions!$G$2:$G$3000,Permissions!$B$2:$B$3000,$A296,Permissions!$I$2:$I$3000,"Stalled",Permissions!$P$2:$P$3000,"Yes")</f>
        <v>0</v>
      </c>
      <c r="AK296" s="24" t="n">
        <f aca="false">AG296+AH296+AI296+AJ296</f>
        <v>10</v>
      </c>
      <c r="AL296" s="24" t="n">
        <f aca="false">SUMIFS(Permissions!$G$2:$G$3000,Permissions!$B$2:$B$3000,$A296,Permissions!$I$2:$I$3000,"Expired – not started",Permissions!$P$2:$P$3000,"Yes")</f>
        <v>0</v>
      </c>
      <c r="AM296" s="24" t="n">
        <f aca="false">SUMIFS(Permissions!$G$2:$G$3000,Permissions!$B$2:$B$3000,$A296,Permissions!$I$2:$I$3000,"In planning",Permissions!$P$2:$P$3000,"Yes")</f>
        <v>0</v>
      </c>
      <c r="AN296" s="24" t="n">
        <f aca="false">IF(R296="",0,MAX(R296-AK296,0))</f>
        <v>0</v>
      </c>
      <c r="AO296" s="25" t="n">
        <f aca="false">AK296+AN296</f>
        <v>10</v>
      </c>
      <c r="AP296" s="24" t="n">
        <f aca="false">AO296-AG296</f>
        <v>10</v>
      </c>
      <c r="AQ296" s="26" t="n">
        <f aca="false">SUMIFS(Permissions!$AH$2:$AH$3000,Permissions!$B$2:$B$3000,$A296,Permissions!$P$2:$P$3000,"Yes")</f>
        <v>0</v>
      </c>
      <c r="AR296" s="26" t="n">
        <f aca="false">SUMIFS(Permissions!$AI$2:$AI$3000,Permissions!$B$2:$B$3000,$A296,Permissions!$P$2:$P$3000,"Yes")</f>
        <v>0</v>
      </c>
      <c r="AS296" s="26" t="n">
        <f aca="false">SUMIFS(Permissions!$AJ$2:$AJ$3000,Permissions!$B$2:$B$3000,$A296,Permissions!$P$2:$P$3000,"Yes")</f>
        <v>5.9</v>
      </c>
      <c r="AT296" s="26" t="n">
        <f aca="false">SUMIFS(Permissions!$AK$2:$AK$3000,Permissions!$B$2:$B$3000,$A296,Permissions!$P$2:$P$3000,"Yes")</f>
        <v>4.1</v>
      </c>
      <c r="AU296" s="26" t="n">
        <f aca="false">SUMIFS(Permissions!$AL$2:$AL$3000,Permissions!$B$2:$B$3000,$A296,Permissions!$P$2:$P$3000,"Yes")</f>
        <v>0</v>
      </c>
      <c r="AV296" s="26" t="n">
        <f aca="false">SUMIFS(Permissions!$AM$2:$AM$3000,Permissions!$B$2:$B$3000,$A296,Permissions!$P$2:$P$3000,"Yes")</f>
        <v>0</v>
      </c>
      <c r="AW296" s="24" t="n">
        <f aca="false">COUNTIFS(Permissions!$B$2:$B$3000,$A296,Permissions!$P$2:$P$3000,"Yes")</f>
        <v>1</v>
      </c>
      <c r="AX296" s="24" t="n">
        <f aca="false">SUMIFS(Permissions!$L$2:$L$3000,Permissions!$B$2:$B$3000,$A296,Permissions!$P$2:$P$3000,"Yes")</f>
        <v>0</v>
      </c>
      <c r="AY296" s="27" t="str">
        <f aca="false">IF(AND(AK296&gt;0,AG296&gt;=AK296,AN296=0),"Built out",IF(AG296&gt;0,"Partly built",IF(AK296&gt;0,"Consented – not built","No consent")))</f>
        <v>Consented – not built</v>
      </c>
      <c r="AZ296" s="28" t="str">
        <f aca="false">IF(AND(R296&lt;&gt;"",AK296&gt;1.1*R296),"Consented above capacity",IF(AND(LEFT(B296,8)="Planning",AW296=0),"Consent parcel with no permission",IF(COUNTIF($A$2:$A$3000,$A296)&gt;1,"Duplicate parcel_id","")))</f>
        <v/>
      </c>
    </row>
    <row r="297" customFormat="false" ht="15" hidden="false" customHeight="false" outlineLevel="0" collapsed="false">
      <c r="A297" s="15" t="s">
        <v>676</v>
      </c>
      <c r="B297" s="15" t="s">
        <v>12</v>
      </c>
      <c r="C297" s="15" t="s">
        <v>17</v>
      </c>
      <c r="D297" s="15" t="s">
        <v>22</v>
      </c>
      <c r="E297" s="15" t="s">
        <v>22</v>
      </c>
      <c r="F297" s="15"/>
      <c r="G297" s="15" t="s">
        <v>22</v>
      </c>
      <c r="H297" s="15"/>
      <c r="I297" s="15" t="s">
        <v>558</v>
      </c>
      <c r="J297" s="15" t="s">
        <v>583</v>
      </c>
      <c r="K297" s="15" t="s">
        <v>677</v>
      </c>
      <c r="L297" s="15"/>
      <c r="M297" s="15"/>
      <c r="N297" s="15"/>
      <c r="O297" s="15"/>
      <c r="P297" s="15" t="n">
        <v>3.075</v>
      </c>
      <c r="Q297" s="15" t="n">
        <v>3.075</v>
      </c>
      <c r="R297" s="15"/>
      <c r="S297" s="15" t="s">
        <v>346</v>
      </c>
      <c r="T297" s="15"/>
      <c r="U297" s="15"/>
      <c r="V297" s="15"/>
      <c r="W297" s="15"/>
      <c r="X297" s="15"/>
      <c r="Y297" s="15"/>
      <c r="Z297" s="15"/>
      <c r="AA297" s="15" t="n">
        <v>0</v>
      </c>
      <c r="AB297" s="15" t="n">
        <v>0</v>
      </c>
      <c r="AC297" s="15"/>
      <c r="AD297" s="15"/>
      <c r="AE297" s="15" t="s">
        <v>163</v>
      </c>
      <c r="AF297" s="15"/>
      <c r="AG297" s="24" t="n">
        <f aca="false">SUMIFS(Permissions!$G$2:$G$3000,Permissions!$B$2:$B$3000,$A297,Permissions!$I$2:$I$3000,"Complete",Permissions!$P$2:$P$3000,"Yes")</f>
        <v>0</v>
      </c>
      <c r="AH297" s="24" t="n">
        <f aca="false">SUMIFS(Permissions!$G$2:$G$3000,Permissions!$B$2:$B$3000,$A297,Permissions!$I$2:$I$3000,"Under construction",Permissions!$P$2:$P$3000,"Yes")</f>
        <v>30</v>
      </c>
      <c r="AI297" s="24" t="n">
        <f aca="false">SUMIFS(Permissions!$G$2:$G$3000,Permissions!$B$2:$B$3000,$A297,Permissions!$I$2:$I$3000,"Permitted – not started",Permissions!$P$2:$P$3000,"Yes")</f>
        <v>0</v>
      </c>
      <c r="AJ297" s="24" t="n">
        <f aca="false">SUMIFS(Permissions!$G$2:$G$3000,Permissions!$B$2:$B$3000,$A297,Permissions!$I$2:$I$3000,"Stalled",Permissions!$P$2:$P$3000,"Yes")</f>
        <v>0</v>
      </c>
      <c r="AK297" s="24" t="n">
        <f aca="false">AG297+AH297+AI297+AJ297</f>
        <v>30</v>
      </c>
      <c r="AL297" s="24" t="n">
        <f aca="false">SUMIFS(Permissions!$G$2:$G$3000,Permissions!$B$2:$B$3000,$A297,Permissions!$I$2:$I$3000,"Expired – not started",Permissions!$P$2:$P$3000,"Yes")</f>
        <v>0</v>
      </c>
      <c r="AM297" s="24" t="n">
        <f aca="false">SUMIFS(Permissions!$G$2:$G$3000,Permissions!$B$2:$B$3000,$A297,Permissions!$I$2:$I$3000,"In planning",Permissions!$P$2:$P$3000,"Yes")</f>
        <v>0</v>
      </c>
      <c r="AN297" s="24" t="n">
        <f aca="false">IF(R297="",0,MAX(R297-AK297,0))</f>
        <v>0</v>
      </c>
      <c r="AO297" s="25" t="n">
        <f aca="false">AK297+AN297</f>
        <v>30</v>
      </c>
      <c r="AP297" s="24" t="n">
        <f aca="false">AO297-AG297</f>
        <v>30</v>
      </c>
      <c r="AQ297" s="26" t="n">
        <f aca="false">SUMIFS(Permissions!$AH$2:$AH$3000,Permissions!$B$2:$B$3000,$A297,Permissions!$P$2:$P$3000,"Yes")</f>
        <v>7</v>
      </c>
      <c r="AR297" s="26" t="n">
        <f aca="false">SUMIFS(Permissions!$AI$2:$AI$3000,Permissions!$B$2:$B$3000,$A297,Permissions!$P$2:$P$3000,"Yes")</f>
        <v>23</v>
      </c>
      <c r="AS297" s="26" t="n">
        <f aca="false">SUMIFS(Permissions!$AJ$2:$AJ$3000,Permissions!$B$2:$B$3000,$A297,Permissions!$P$2:$P$3000,"Yes")</f>
        <v>0</v>
      </c>
      <c r="AT297" s="26" t="n">
        <f aca="false">SUMIFS(Permissions!$AK$2:$AK$3000,Permissions!$B$2:$B$3000,$A297,Permissions!$P$2:$P$3000,"Yes")</f>
        <v>0</v>
      </c>
      <c r="AU297" s="26" t="n">
        <f aca="false">SUMIFS(Permissions!$AL$2:$AL$3000,Permissions!$B$2:$B$3000,$A297,Permissions!$P$2:$P$3000,"Yes")</f>
        <v>0</v>
      </c>
      <c r="AV297" s="26" t="n">
        <f aca="false">SUMIFS(Permissions!$AM$2:$AM$3000,Permissions!$B$2:$B$3000,$A297,Permissions!$P$2:$P$3000,"Yes")</f>
        <v>0</v>
      </c>
      <c r="AW297" s="24" t="n">
        <f aca="false">COUNTIFS(Permissions!$B$2:$B$3000,$A297,Permissions!$P$2:$P$3000,"Yes")</f>
        <v>1</v>
      </c>
      <c r="AX297" s="24" t="n">
        <f aca="false">SUMIFS(Permissions!$L$2:$L$3000,Permissions!$B$2:$B$3000,$A297,Permissions!$P$2:$P$3000,"Yes")</f>
        <v>0</v>
      </c>
      <c r="AY297" s="27" t="str">
        <f aca="false">IF(AND(AK297&gt;0,AG297&gt;=AK297,AN297=0),"Built out",IF(AG297&gt;0,"Partly built",IF(AK297&gt;0,"Consented – not built","No consent")))</f>
        <v>Consented – not built</v>
      </c>
      <c r="AZ297" s="28" t="str">
        <f aca="false">IF(AND(R297&lt;&gt;"",AK297&gt;1.1*R297),"Consented above capacity",IF(AND(LEFT(B297,8)="Planning",AW297=0),"Consent parcel with no permission",IF(COUNTIF($A$2:$A$3000,$A297)&gt;1,"Duplicate parcel_id","")))</f>
        <v/>
      </c>
    </row>
    <row r="298" customFormat="false" ht="15" hidden="false" customHeight="false" outlineLevel="0" collapsed="false">
      <c r="A298" s="15" t="s">
        <v>678</v>
      </c>
      <c r="B298" s="15" t="s">
        <v>12</v>
      </c>
      <c r="C298" s="15" t="s">
        <v>17</v>
      </c>
      <c r="D298" s="15" t="s">
        <v>22</v>
      </c>
      <c r="E298" s="15" t="s">
        <v>22</v>
      </c>
      <c r="F298" s="15"/>
      <c r="G298" s="15" t="s">
        <v>22</v>
      </c>
      <c r="H298" s="15"/>
      <c r="I298" s="15" t="s">
        <v>558</v>
      </c>
      <c r="J298" s="15" t="s">
        <v>568</v>
      </c>
      <c r="K298" s="15" t="s">
        <v>679</v>
      </c>
      <c r="L298" s="15"/>
      <c r="M298" s="15"/>
      <c r="N298" s="15"/>
      <c r="O298" s="15"/>
      <c r="P298" s="15" t="n">
        <v>0.371</v>
      </c>
      <c r="Q298" s="15" t="n">
        <v>0.371</v>
      </c>
      <c r="R298" s="15"/>
      <c r="S298" s="15" t="s">
        <v>346</v>
      </c>
      <c r="T298" s="15"/>
      <c r="U298" s="15"/>
      <c r="V298" s="15"/>
      <c r="W298" s="15"/>
      <c r="X298" s="15"/>
      <c r="Y298" s="15"/>
      <c r="Z298" s="15"/>
      <c r="AA298" s="15" t="n">
        <v>0</v>
      </c>
      <c r="AB298" s="15" t="n">
        <v>0</v>
      </c>
      <c r="AC298" s="15"/>
      <c r="AD298" s="15"/>
      <c r="AE298" s="15" t="s">
        <v>163</v>
      </c>
      <c r="AF298" s="15"/>
      <c r="AG298" s="24" t="n">
        <f aca="false">SUMIFS(Permissions!$G$2:$G$3000,Permissions!$B$2:$B$3000,$A298,Permissions!$I$2:$I$3000,"Complete",Permissions!$P$2:$P$3000,"Yes")</f>
        <v>0</v>
      </c>
      <c r="AH298" s="24" t="n">
        <f aca="false">SUMIFS(Permissions!$G$2:$G$3000,Permissions!$B$2:$B$3000,$A298,Permissions!$I$2:$I$3000,"Under construction",Permissions!$P$2:$P$3000,"Yes")</f>
        <v>0</v>
      </c>
      <c r="AI298" s="24" t="n">
        <f aca="false">SUMIFS(Permissions!$G$2:$G$3000,Permissions!$B$2:$B$3000,$A298,Permissions!$I$2:$I$3000,"Permitted – not started",Permissions!$P$2:$P$3000,"Yes")</f>
        <v>10</v>
      </c>
      <c r="AJ298" s="24" t="n">
        <f aca="false">SUMIFS(Permissions!$G$2:$G$3000,Permissions!$B$2:$B$3000,$A298,Permissions!$I$2:$I$3000,"Stalled",Permissions!$P$2:$P$3000,"Yes")</f>
        <v>0</v>
      </c>
      <c r="AK298" s="24" t="n">
        <f aca="false">AG298+AH298+AI298+AJ298</f>
        <v>10</v>
      </c>
      <c r="AL298" s="24" t="n">
        <f aca="false">SUMIFS(Permissions!$G$2:$G$3000,Permissions!$B$2:$B$3000,$A298,Permissions!$I$2:$I$3000,"Expired – not started",Permissions!$P$2:$P$3000,"Yes")</f>
        <v>0</v>
      </c>
      <c r="AM298" s="24" t="n">
        <f aca="false">SUMIFS(Permissions!$G$2:$G$3000,Permissions!$B$2:$B$3000,$A298,Permissions!$I$2:$I$3000,"In planning",Permissions!$P$2:$P$3000,"Yes")</f>
        <v>0</v>
      </c>
      <c r="AN298" s="24" t="n">
        <f aca="false">IF(R298="",0,MAX(R298-AK298,0))</f>
        <v>0</v>
      </c>
      <c r="AO298" s="25" t="n">
        <f aca="false">AK298+AN298</f>
        <v>10</v>
      </c>
      <c r="AP298" s="24" t="n">
        <f aca="false">AO298-AG298</f>
        <v>10</v>
      </c>
      <c r="AQ298" s="26" t="n">
        <f aca="false">SUMIFS(Permissions!$AH$2:$AH$3000,Permissions!$B$2:$B$3000,$A298,Permissions!$P$2:$P$3000,"Yes")</f>
        <v>0</v>
      </c>
      <c r="AR298" s="26" t="n">
        <f aca="false">SUMIFS(Permissions!$AI$2:$AI$3000,Permissions!$B$2:$B$3000,$A298,Permissions!$P$2:$P$3000,"Yes")</f>
        <v>0</v>
      </c>
      <c r="AS298" s="26" t="n">
        <f aca="false">SUMIFS(Permissions!$AJ$2:$AJ$3000,Permissions!$B$2:$B$3000,$A298,Permissions!$P$2:$P$3000,"Yes")</f>
        <v>8.4</v>
      </c>
      <c r="AT298" s="26" t="n">
        <f aca="false">SUMIFS(Permissions!$AK$2:$AK$3000,Permissions!$B$2:$B$3000,$A298,Permissions!$P$2:$P$3000,"Yes")</f>
        <v>1.6</v>
      </c>
      <c r="AU298" s="26" t="n">
        <f aca="false">SUMIFS(Permissions!$AL$2:$AL$3000,Permissions!$B$2:$B$3000,$A298,Permissions!$P$2:$P$3000,"Yes")</f>
        <v>0</v>
      </c>
      <c r="AV298" s="26" t="n">
        <f aca="false">SUMIFS(Permissions!$AM$2:$AM$3000,Permissions!$B$2:$B$3000,$A298,Permissions!$P$2:$P$3000,"Yes")</f>
        <v>0</v>
      </c>
      <c r="AW298" s="24" t="n">
        <f aca="false">COUNTIFS(Permissions!$B$2:$B$3000,$A298,Permissions!$P$2:$P$3000,"Yes")</f>
        <v>1</v>
      </c>
      <c r="AX298" s="24" t="n">
        <f aca="false">SUMIFS(Permissions!$L$2:$L$3000,Permissions!$B$2:$B$3000,$A298,Permissions!$P$2:$P$3000,"Yes")</f>
        <v>0</v>
      </c>
      <c r="AY298" s="27" t="str">
        <f aca="false">IF(AND(AK298&gt;0,AG298&gt;=AK298,AN298=0),"Built out",IF(AG298&gt;0,"Partly built",IF(AK298&gt;0,"Consented – not built","No consent")))</f>
        <v>Consented – not built</v>
      </c>
      <c r="AZ298" s="28" t="str">
        <f aca="false">IF(AND(R298&lt;&gt;"",AK298&gt;1.1*R298),"Consented above capacity",IF(AND(LEFT(B298,8)="Planning",AW298=0),"Consent parcel with no permission",IF(COUNTIF($A$2:$A$3000,$A298)&gt;1,"Duplicate parcel_id","")))</f>
        <v/>
      </c>
    </row>
    <row r="299" customFormat="false" ht="15" hidden="false" customHeight="false" outlineLevel="0" collapsed="false">
      <c r="A299" s="15" t="s">
        <v>680</v>
      </c>
      <c r="B299" s="15" t="s">
        <v>12</v>
      </c>
      <c r="C299" s="15" t="s">
        <v>17</v>
      </c>
      <c r="D299" s="15" t="s">
        <v>22</v>
      </c>
      <c r="E299" s="15" t="s">
        <v>22</v>
      </c>
      <c r="F299" s="15"/>
      <c r="G299" s="15" t="s">
        <v>22</v>
      </c>
      <c r="H299" s="15"/>
      <c r="I299" s="15" t="s">
        <v>558</v>
      </c>
      <c r="J299" s="15" t="s">
        <v>568</v>
      </c>
      <c r="K299" s="15" t="s">
        <v>681</v>
      </c>
      <c r="L299" s="15"/>
      <c r="M299" s="15"/>
      <c r="N299" s="15"/>
      <c r="O299" s="15"/>
      <c r="P299" s="15" t="n">
        <v>0.123</v>
      </c>
      <c r="Q299" s="15" t="n">
        <v>0.123</v>
      </c>
      <c r="R299" s="15"/>
      <c r="S299" s="15" t="s">
        <v>346</v>
      </c>
      <c r="T299" s="15"/>
      <c r="U299" s="15"/>
      <c r="V299" s="15"/>
      <c r="W299" s="15"/>
      <c r="X299" s="15"/>
      <c r="Y299" s="15"/>
      <c r="Z299" s="15"/>
      <c r="AA299" s="15" t="n">
        <v>0</v>
      </c>
      <c r="AB299" s="15" t="n">
        <v>0</v>
      </c>
      <c r="AC299" s="15"/>
      <c r="AD299" s="15"/>
      <c r="AE299" s="15" t="s">
        <v>163</v>
      </c>
      <c r="AF299" s="15"/>
      <c r="AG299" s="24" t="n">
        <f aca="false">SUMIFS(Permissions!$G$2:$G$3000,Permissions!$B$2:$B$3000,$A299,Permissions!$I$2:$I$3000,"Complete",Permissions!$P$2:$P$3000,"Yes")</f>
        <v>0</v>
      </c>
      <c r="AH299" s="24" t="n">
        <f aca="false">SUMIFS(Permissions!$G$2:$G$3000,Permissions!$B$2:$B$3000,$A299,Permissions!$I$2:$I$3000,"Under construction",Permissions!$P$2:$P$3000,"Yes")</f>
        <v>0</v>
      </c>
      <c r="AI299" s="24" t="n">
        <f aca="false">SUMIFS(Permissions!$G$2:$G$3000,Permissions!$B$2:$B$3000,$A299,Permissions!$I$2:$I$3000,"Permitted – not started",Permissions!$P$2:$P$3000,"Yes")</f>
        <v>7</v>
      </c>
      <c r="AJ299" s="24" t="n">
        <f aca="false">SUMIFS(Permissions!$G$2:$G$3000,Permissions!$B$2:$B$3000,$A299,Permissions!$I$2:$I$3000,"Stalled",Permissions!$P$2:$P$3000,"Yes")</f>
        <v>0</v>
      </c>
      <c r="AK299" s="24" t="n">
        <f aca="false">AG299+AH299+AI299+AJ299</f>
        <v>7</v>
      </c>
      <c r="AL299" s="24" t="n">
        <f aca="false">SUMIFS(Permissions!$G$2:$G$3000,Permissions!$B$2:$B$3000,$A299,Permissions!$I$2:$I$3000,"Expired – not started",Permissions!$P$2:$P$3000,"Yes")</f>
        <v>0</v>
      </c>
      <c r="AM299" s="24" t="n">
        <f aca="false">SUMIFS(Permissions!$G$2:$G$3000,Permissions!$B$2:$B$3000,$A299,Permissions!$I$2:$I$3000,"In planning",Permissions!$P$2:$P$3000,"Yes")</f>
        <v>0</v>
      </c>
      <c r="AN299" s="24" t="n">
        <f aca="false">IF(R299="",0,MAX(R299-AK299,0))</f>
        <v>0</v>
      </c>
      <c r="AO299" s="25" t="n">
        <f aca="false">AK299+AN299</f>
        <v>7</v>
      </c>
      <c r="AP299" s="24" t="n">
        <f aca="false">AO299-AG299</f>
        <v>7</v>
      </c>
      <c r="AQ299" s="26" t="n">
        <f aca="false">SUMIFS(Permissions!$AH$2:$AH$3000,Permissions!$B$2:$B$3000,$A299,Permissions!$P$2:$P$3000,"Yes")</f>
        <v>0</v>
      </c>
      <c r="AR299" s="26" t="n">
        <f aca="false">SUMIFS(Permissions!$AI$2:$AI$3000,Permissions!$B$2:$B$3000,$A299,Permissions!$P$2:$P$3000,"Yes")</f>
        <v>0</v>
      </c>
      <c r="AS299" s="26" t="n">
        <f aca="false">SUMIFS(Permissions!$AJ$2:$AJ$3000,Permissions!$B$2:$B$3000,$A299,Permissions!$P$2:$P$3000,"Yes")</f>
        <v>6.1</v>
      </c>
      <c r="AT299" s="26" t="n">
        <f aca="false">SUMIFS(Permissions!$AK$2:$AK$3000,Permissions!$B$2:$B$3000,$A299,Permissions!$P$2:$P$3000,"Yes")</f>
        <v>0.9</v>
      </c>
      <c r="AU299" s="26" t="n">
        <f aca="false">SUMIFS(Permissions!$AL$2:$AL$3000,Permissions!$B$2:$B$3000,$A299,Permissions!$P$2:$P$3000,"Yes")</f>
        <v>0</v>
      </c>
      <c r="AV299" s="26" t="n">
        <f aca="false">SUMIFS(Permissions!$AM$2:$AM$3000,Permissions!$B$2:$B$3000,$A299,Permissions!$P$2:$P$3000,"Yes")</f>
        <v>0</v>
      </c>
      <c r="AW299" s="24" t="n">
        <f aca="false">COUNTIFS(Permissions!$B$2:$B$3000,$A299,Permissions!$P$2:$P$3000,"Yes")</f>
        <v>1</v>
      </c>
      <c r="AX299" s="24" t="n">
        <f aca="false">SUMIFS(Permissions!$L$2:$L$3000,Permissions!$B$2:$B$3000,$A299,Permissions!$P$2:$P$3000,"Yes")</f>
        <v>0</v>
      </c>
      <c r="AY299" s="27" t="str">
        <f aca="false">IF(AND(AK299&gt;0,AG299&gt;=AK299,AN299=0),"Built out",IF(AG299&gt;0,"Partly built",IF(AK299&gt;0,"Consented – not built","No consent")))</f>
        <v>Consented – not built</v>
      </c>
      <c r="AZ299" s="28" t="str">
        <f aca="false">IF(AND(R299&lt;&gt;"",AK299&gt;1.1*R299),"Consented above capacity",IF(AND(LEFT(B299,8)="Planning",AW299=0),"Consent parcel with no permission",IF(COUNTIF($A$2:$A$3000,$A299)&gt;1,"Duplicate parcel_id","")))</f>
        <v/>
      </c>
    </row>
    <row r="300" customFormat="false" ht="15" hidden="false" customHeight="false" outlineLevel="0" collapsed="false">
      <c r="A300" s="15" t="s">
        <v>682</v>
      </c>
      <c r="B300" s="15" t="s">
        <v>12</v>
      </c>
      <c r="C300" s="15" t="s">
        <v>17</v>
      </c>
      <c r="D300" s="15" t="s">
        <v>22</v>
      </c>
      <c r="E300" s="15" t="s">
        <v>22</v>
      </c>
      <c r="F300" s="15"/>
      <c r="G300" s="15" t="s">
        <v>22</v>
      </c>
      <c r="H300" s="15"/>
      <c r="I300" s="15" t="s">
        <v>558</v>
      </c>
      <c r="J300" s="15" t="s">
        <v>583</v>
      </c>
      <c r="K300" s="15" t="s">
        <v>683</v>
      </c>
      <c r="L300" s="15"/>
      <c r="M300" s="15"/>
      <c r="N300" s="15"/>
      <c r="O300" s="15"/>
      <c r="P300" s="15" t="n">
        <v>0.764</v>
      </c>
      <c r="Q300" s="15" t="n">
        <v>0.764</v>
      </c>
      <c r="R300" s="15"/>
      <c r="S300" s="15" t="s">
        <v>346</v>
      </c>
      <c r="T300" s="15"/>
      <c r="U300" s="15"/>
      <c r="V300" s="15"/>
      <c r="W300" s="15"/>
      <c r="X300" s="15"/>
      <c r="Y300" s="15"/>
      <c r="Z300" s="15"/>
      <c r="AA300" s="15" t="n">
        <v>0</v>
      </c>
      <c r="AB300" s="15" t="n">
        <v>0</v>
      </c>
      <c r="AC300" s="15"/>
      <c r="AD300" s="15"/>
      <c r="AE300" s="15" t="s">
        <v>163</v>
      </c>
      <c r="AF300" s="15"/>
      <c r="AG300" s="24" t="n">
        <f aca="false">SUMIFS(Permissions!$G$2:$G$3000,Permissions!$B$2:$B$3000,$A300,Permissions!$I$2:$I$3000,"Complete",Permissions!$P$2:$P$3000,"Yes")</f>
        <v>0</v>
      </c>
      <c r="AH300" s="24" t="n">
        <f aca="false">SUMIFS(Permissions!$G$2:$G$3000,Permissions!$B$2:$B$3000,$A300,Permissions!$I$2:$I$3000,"Under construction",Permissions!$P$2:$P$3000,"Yes")</f>
        <v>0</v>
      </c>
      <c r="AI300" s="24" t="n">
        <f aca="false">SUMIFS(Permissions!$G$2:$G$3000,Permissions!$B$2:$B$3000,$A300,Permissions!$I$2:$I$3000,"Permitted – not started",Permissions!$P$2:$P$3000,"Yes")</f>
        <v>3</v>
      </c>
      <c r="AJ300" s="24" t="n">
        <f aca="false">SUMIFS(Permissions!$G$2:$G$3000,Permissions!$B$2:$B$3000,$A300,Permissions!$I$2:$I$3000,"Stalled",Permissions!$P$2:$P$3000,"Yes")</f>
        <v>0</v>
      </c>
      <c r="AK300" s="24" t="n">
        <f aca="false">AG300+AH300+AI300+AJ300</f>
        <v>3</v>
      </c>
      <c r="AL300" s="24" t="n">
        <f aca="false">SUMIFS(Permissions!$G$2:$G$3000,Permissions!$B$2:$B$3000,$A300,Permissions!$I$2:$I$3000,"Expired – not started",Permissions!$P$2:$P$3000,"Yes")</f>
        <v>0</v>
      </c>
      <c r="AM300" s="24" t="n">
        <f aca="false">SUMIFS(Permissions!$G$2:$G$3000,Permissions!$B$2:$B$3000,$A300,Permissions!$I$2:$I$3000,"In planning",Permissions!$P$2:$P$3000,"Yes")</f>
        <v>0</v>
      </c>
      <c r="AN300" s="24" t="n">
        <f aca="false">IF(R300="",0,MAX(R300-AK300,0))</f>
        <v>0</v>
      </c>
      <c r="AO300" s="25" t="n">
        <f aca="false">AK300+AN300</f>
        <v>3</v>
      </c>
      <c r="AP300" s="24" t="n">
        <f aca="false">AO300-AG300</f>
        <v>3</v>
      </c>
      <c r="AQ300" s="26" t="n">
        <f aca="false">SUMIFS(Permissions!$AH$2:$AH$3000,Permissions!$B$2:$B$3000,$A300,Permissions!$P$2:$P$3000,"Yes")</f>
        <v>0</v>
      </c>
      <c r="AR300" s="26" t="n">
        <f aca="false">SUMIFS(Permissions!$AI$2:$AI$3000,Permissions!$B$2:$B$3000,$A300,Permissions!$P$2:$P$3000,"Yes")</f>
        <v>0</v>
      </c>
      <c r="AS300" s="26" t="n">
        <f aca="false">SUMIFS(Permissions!$AJ$2:$AJ$3000,Permissions!$B$2:$B$3000,$A300,Permissions!$P$2:$P$3000,"Yes")</f>
        <v>1.9</v>
      </c>
      <c r="AT300" s="26" t="n">
        <f aca="false">SUMIFS(Permissions!$AK$2:$AK$3000,Permissions!$B$2:$B$3000,$A300,Permissions!$P$2:$P$3000,"Yes")</f>
        <v>1.1</v>
      </c>
      <c r="AU300" s="26" t="n">
        <f aca="false">SUMIFS(Permissions!$AL$2:$AL$3000,Permissions!$B$2:$B$3000,$A300,Permissions!$P$2:$P$3000,"Yes")</f>
        <v>0</v>
      </c>
      <c r="AV300" s="26" t="n">
        <f aca="false">SUMIFS(Permissions!$AM$2:$AM$3000,Permissions!$B$2:$B$3000,$A300,Permissions!$P$2:$P$3000,"Yes")</f>
        <v>0</v>
      </c>
      <c r="AW300" s="24" t="n">
        <f aca="false">COUNTIFS(Permissions!$B$2:$B$3000,$A300,Permissions!$P$2:$P$3000,"Yes")</f>
        <v>1</v>
      </c>
      <c r="AX300" s="24" t="n">
        <f aca="false">SUMIFS(Permissions!$L$2:$L$3000,Permissions!$B$2:$B$3000,$A300,Permissions!$P$2:$P$3000,"Yes")</f>
        <v>0</v>
      </c>
      <c r="AY300" s="27" t="str">
        <f aca="false">IF(AND(AK300&gt;0,AG300&gt;=AK300,AN300=0),"Built out",IF(AG300&gt;0,"Partly built",IF(AK300&gt;0,"Consented – not built","No consent")))</f>
        <v>Consented – not built</v>
      </c>
      <c r="AZ300" s="28" t="str">
        <f aca="false">IF(AND(R300&lt;&gt;"",AK300&gt;1.1*R300),"Consented above capacity",IF(AND(LEFT(B300,8)="Planning",AW300=0),"Consent parcel with no permission",IF(COUNTIF($A$2:$A$3000,$A300)&gt;1,"Duplicate parcel_id","")))</f>
        <v/>
      </c>
    </row>
    <row r="301" customFormat="false" ht="15" hidden="false" customHeight="false" outlineLevel="0" collapsed="false">
      <c r="A301" s="15" t="s">
        <v>684</v>
      </c>
      <c r="B301" s="15" t="s">
        <v>12</v>
      </c>
      <c r="C301" s="15" t="s">
        <v>17</v>
      </c>
      <c r="D301" s="15" t="s">
        <v>67</v>
      </c>
      <c r="E301" s="15" t="s">
        <v>21</v>
      </c>
      <c r="F301" s="15" t="n">
        <v>0</v>
      </c>
      <c r="G301" s="15" t="s">
        <v>616</v>
      </c>
      <c r="H301" s="15"/>
      <c r="I301" s="15" t="s">
        <v>558</v>
      </c>
      <c r="J301" s="15" t="s">
        <v>583</v>
      </c>
      <c r="K301" s="15" t="s">
        <v>685</v>
      </c>
      <c r="L301" s="15"/>
      <c r="M301" s="15"/>
      <c r="N301" s="15"/>
      <c r="O301" s="15"/>
      <c r="P301" s="15" t="n">
        <v>1.491</v>
      </c>
      <c r="Q301" s="15" t="n">
        <v>1.491</v>
      </c>
      <c r="R301" s="15"/>
      <c r="S301" s="15" t="s">
        <v>346</v>
      </c>
      <c r="T301" s="15"/>
      <c r="U301" s="15"/>
      <c r="V301" s="15"/>
      <c r="W301" s="15"/>
      <c r="X301" s="15"/>
      <c r="Y301" s="15"/>
      <c r="Z301" s="15"/>
      <c r="AA301" s="15" t="n">
        <v>0</v>
      </c>
      <c r="AB301" s="15" t="n">
        <v>0</v>
      </c>
      <c r="AC301" s="15"/>
      <c r="AD301" s="15"/>
      <c r="AE301" s="15" t="s">
        <v>163</v>
      </c>
      <c r="AF301" s="15"/>
      <c r="AG301" s="24" t="n">
        <f aca="false">SUMIFS(Permissions!$G$2:$G$3000,Permissions!$B$2:$B$3000,$A301,Permissions!$I$2:$I$3000,"Complete",Permissions!$P$2:$P$3000,"Yes")</f>
        <v>0</v>
      </c>
      <c r="AH301" s="24" t="n">
        <f aca="false">SUMIFS(Permissions!$G$2:$G$3000,Permissions!$B$2:$B$3000,$A301,Permissions!$I$2:$I$3000,"Under construction",Permissions!$P$2:$P$3000,"Yes")</f>
        <v>0</v>
      </c>
      <c r="AI301" s="24" t="n">
        <f aca="false">SUMIFS(Permissions!$G$2:$G$3000,Permissions!$B$2:$B$3000,$A301,Permissions!$I$2:$I$3000,"Permitted – not started",Permissions!$P$2:$P$3000,"Yes")</f>
        <v>25</v>
      </c>
      <c r="AJ301" s="24" t="n">
        <f aca="false">SUMIFS(Permissions!$G$2:$G$3000,Permissions!$B$2:$B$3000,$A301,Permissions!$I$2:$I$3000,"Stalled",Permissions!$P$2:$P$3000,"Yes")</f>
        <v>0</v>
      </c>
      <c r="AK301" s="24" t="n">
        <f aca="false">AG301+AH301+AI301+AJ301</f>
        <v>25</v>
      </c>
      <c r="AL301" s="24" t="n">
        <f aca="false">SUMIFS(Permissions!$G$2:$G$3000,Permissions!$B$2:$B$3000,$A301,Permissions!$I$2:$I$3000,"Expired – not started",Permissions!$P$2:$P$3000,"Yes")</f>
        <v>0</v>
      </c>
      <c r="AM301" s="24" t="n">
        <f aca="false">SUMIFS(Permissions!$G$2:$G$3000,Permissions!$B$2:$B$3000,$A301,Permissions!$I$2:$I$3000,"In planning",Permissions!$P$2:$P$3000,"Yes")</f>
        <v>0</v>
      </c>
      <c r="AN301" s="24" t="n">
        <f aca="false">IF(R301="",0,MAX(R301-AK301,0))</f>
        <v>0</v>
      </c>
      <c r="AO301" s="25" t="n">
        <f aca="false">AK301+AN301</f>
        <v>25</v>
      </c>
      <c r="AP301" s="24" t="n">
        <f aca="false">AO301-AG301</f>
        <v>25</v>
      </c>
      <c r="AQ301" s="26" t="n">
        <f aca="false">SUMIFS(Permissions!$AH$2:$AH$3000,Permissions!$B$2:$B$3000,$A301,Permissions!$P$2:$P$3000,"Yes")</f>
        <v>0</v>
      </c>
      <c r="AR301" s="26" t="n">
        <f aca="false">SUMIFS(Permissions!$AI$2:$AI$3000,Permissions!$B$2:$B$3000,$A301,Permissions!$P$2:$P$3000,"Yes")</f>
        <v>0</v>
      </c>
      <c r="AS301" s="26" t="n">
        <f aca="false">SUMIFS(Permissions!$AJ$2:$AJ$3000,Permissions!$B$2:$B$3000,$A301,Permissions!$P$2:$P$3000,"Yes")</f>
        <v>19</v>
      </c>
      <c r="AT301" s="26" t="n">
        <f aca="false">SUMIFS(Permissions!$AK$2:$AK$3000,Permissions!$B$2:$B$3000,$A301,Permissions!$P$2:$P$3000,"Yes")</f>
        <v>6</v>
      </c>
      <c r="AU301" s="26" t="n">
        <f aca="false">SUMIFS(Permissions!$AL$2:$AL$3000,Permissions!$B$2:$B$3000,$A301,Permissions!$P$2:$P$3000,"Yes")</f>
        <v>0</v>
      </c>
      <c r="AV301" s="26" t="n">
        <f aca="false">SUMIFS(Permissions!$AM$2:$AM$3000,Permissions!$B$2:$B$3000,$A301,Permissions!$P$2:$P$3000,"Yes")</f>
        <v>0</v>
      </c>
      <c r="AW301" s="24" t="n">
        <f aca="false">COUNTIFS(Permissions!$B$2:$B$3000,$A301,Permissions!$P$2:$P$3000,"Yes")</f>
        <v>1</v>
      </c>
      <c r="AX301" s="24" t="n">
        <f aca="false">SUMIFS(Permissions!$L$2:$L$3000,Permissions!$B$2:$B$3000,$A301,Permissions!$P$2:$P$3000,"Yes")</f>
        <v>0</v>
      </c>
      <c r="AY301" s="27" t="str">
        <f aca="false">IF(AND(AK301&gt;0,AG301&gt;=AK301,AN301=0),"Built out",IF(AG301&gt;0,"Partly built",IF(AK301&gt;0,"Consented – not built","No consent")))</f>
        <v>Consented – not built</v>
      </c>
      <c r="AZ301" s="28" t="str">
        <f aca="false">IF(AND(R301&lt;&gt;"",AK301&gt;1.1*R301),"Consented above capacity",IF(AND(LEFT(B301,8)="Planning",AW301=0),"Consent parcel with no permission",IF(COUNTIF($A$2:$A$3000,$A301)&gt;1,"Duplicate parcel_id","")))</f>
        <v/>
      </c>
    </row>
    <row r="302" customFormat="false" ht="15" hidden="false" customHeight="false" outlineLevel="0" collapsed="false">
      <c r="A302" s="15" t="s">
        <v>686</v>
      </c>
      <c r="B302" s="15" t="s">
        <v>12</v>
      </c>
      <c r="C302" s="15" t="s">
        <v>17</v>
      </c>
      <c r="D302" s="15" t="s">
        <v>22</v>
      </c>
      <c r="E302" s="15" t="s">
        <v>22</v>
      </c>
      <c r="F302" s="15"/>
      <c r="G302" s="15" t="s">
        <v>22</v>
      </c>
      <c r="H302" s="15"/>
      <c r="I302" s="15" t="s">
        <v>558</v>
      </c>
      <c r="J302" s="15" t="s">
        <v>568</v>
      </c>
      <c r="K302" s="15" t="s">
        <v>687</v>
      </c>
      <c r="L302" s="15"/>
      <c r="M302" s="15"/>
      <c r="N302" s="15"/>
      <c r="O302" s="15"/>
      <c r="P302" s="15" t="n">
        <v>0.403</v>
      </c>
      <c r="Q302" s="15" t="n">
        <v>0.403</v>
      </c>
      <c r="R302" s="15"/>
      <c r="S302" s="15" t="s">
        <v>346</v>
      </c>
      <c r="T302" s="15"/>
      <c r="U302" s="15"/>
      <c r="V302" s="15"/>
      <c r="W302" s="15"/>
      <c r="X302" s="15"/>
      <c r="Y302" s="15"/>
      <c r="Z302" s="15"/>
      <c r="AA302" s="15" t="n">
        <v>10</v>
      </c>
      <c r="AB302" s="15" t="n">
        <v>10</v>
      </c>
      <c r="AC302" s="15"/>
      <c r="AD302" s="15"/>
      <c r="AE302" s="15" t="s">
        <v>163</v>
      </c>
      <c r="AF302" s="15"/>
      <c r="AG302" s="24" t="n">
        <f aca="false">SUMIFS(Permissions!$G$2:$G$3000,Permissions!$B$2:$B$3000,$A302,Permissions!$I$2:$I$3000,"Complete",Permissions!$P$2:$P$3000,"Yes")</f>
        <v>0</v>
      </c>
      <c r="AH302" s="24" t="n">
        <f aca="false">SUMIFS(Permissions!$G$2:$G$3000,Permissions!$B$2:$B$3000,$A302,Permissions!$I$2:$I$3000,"Under construction",Permissions!$P$2:$P$3000,"Yes")</f>
        <v>18</v>
      </c>
      <c r="AI302" s="24" t="n">
        <f aca="false">SUMIFS(Permissions!$G$2:$G$3000,Permissions!$B$2:$B$3000,$A302,Permissions!$I$2:$I$3000,"Permitted – not started",Permissions!$P$2:$P$3000,"Yes")</f>
        <v>0</v>
      </c>
      <c r="AJ302" s="24" t="n">
        <f aca="false">SUMIFS(Permissions!$G$2:$G$3000,Permissions!$B$2:$B$3000,$A302,Permissions!$I$2:$I$3000,"Stalled",Permissions!$P$2:$P$3000,"Yes")</f>
        <v>0</v>
      </c>
      <c r="AK302" s="24" t="n">
        <f aca="false">AG302+AH302+AI302+AJ302</f>
        <v>18</v>
      </c>
      <c r="AL302" s="24" t="n">
        <f aca="false">SUMIFS(Permissions!$G$2:$G$3000,Permissions!$B$2:$B$3000,$A302,Permissions!$I$2:$I$3000,"Expired – not started",Permissions!$P$2:$P$3000,"Yes")</f>
        <v>0</v>
      </c>
      <c r="AM302" s="24" t="n">
        <f aca="false">SUMIFS(Permissions!$G$2:$G$3000,Permissions!$B$2:$B$3000,$A302,Permissions!$I$2:$I$3000,"In planning",Permissions!$P$2:$P$3000,"Yes")</f>
        <v>0</v>
      </c>
      <c r="AN302" s="24" t="n">
        <f aca="false">IF(R302="",0,MAX(R302-AK302,0))</f>
        <v>0</v>
      </c>
      <c r="AO302" s="25" t="n">
        <f aca="false">AK302+AN302</f>
        <v>18</v>
      </c>
      <c r="AP302" s="24" t="n">
        <f aca="false">AO302-AG302</f>
        <v>18</v>
      </c>
      <c r="AQ302" s="26" t="n">
        <f aca="false">SUMIFS(Permissions!$AH$2:$AH$3000,Permissions!$B$2:$B$3000,$A302,Permissions!$P$2:$P$3000,"Yes")</f>
        <v>3.6</v>
      </c>
      <c r="AR302" s="26" t="n">
        <f aca="false">SUMIFS(Permissions!$AI$2:$AI$3000,Permissions!$B$2:$B$3000,$A302,Permissions!$P$2:$P$3000,"Yes")</f>
        <v>14.4</v>
      </c>
      <c r="AS302" s="26" t="n">
        <f aca="false">SUMIFS(Permissions!$AJ$2:$AJ$3000,Permissions!$B$2:$B$3000,$A302,Permissions!$P$2:$P$3000,"Yes")</f>
        <v>0</v>
      </c>
      <c r="AT302" s="26" t="n">
        <f aca="false">SUMIFS(Permissions!$AK$2:$AK$3000,Permissions!$B$2:$B$3000,$A302,Permissions!$P$2:$P$3000,"Yes")</f>
        <v>0</v>
      </c>
      <c r="AU302" s="26" t="n">
        <f aca="false">SUMIFS(Permissions!$AL$2:$AL$3000,Permissions!$B$2:$B$3000,$A302,Permissions!$P$2:$P$3000,"Yes")</f>
        <v>0</v>
      </c>
      <c r="AV302" s="26" t="n">
        <f aca="false">SUMIFS(Permissions!$AM$2:$AM$3000,Permissions!$B$2:$B$3000,$A302,Permissions!$P$2:$P$3000,"Yes")</f>
        <v>0</v>
      </c>
      <c r="AW302" s="24" t="n">
        <f aca="false">COUNTIFS(Permissions!$B$2:$B$3000,$A302,Permissions!$P$2:$P$3000,"Yes")</f>
        <v>1</v>
      </c>
      <c r="AX302" s="24" t="n">
        <f aca="false">SUMIFS(Permissions!$L$2:$L$3000,Permissions!$B$2:$B$3000,$A302,Permissions!$P$2:$P$3000,"Yes")</f>
        <v>0</v>
      </c>
      <c r="AY302" s="27" t="str">
        <f aca="false">IF(AND(AK302&gt;0,AG302&gt;=AK302,AN302=0),"Built out",IF(AG302&gt;0,"Partly built",IF(AK302&gt;0,"Consented – not built","No consent")))</f>
        <v>Consented – not built</v>
      </c>
      <c r="AZ302" s="28" t="str">
        <f aca="false">IF(AND(R302&lt;&gt;"",AK302&gt;1.1*R302),"Consented above capacity",IF(AND(LEFT(B302,8)="Planning",AW302=0),"Consent parcel with no permission",IF(COUNTIF($A$2:$A$3000,$A302)&gt;1,"Duplicate parcel_id","")))</f>
        <v/>
      </c>
    </row>
    <row r="303" customFormat="false" ht="15" hidden="false" customHeight="false" outlineLevel="0" collapsed="false">
      <c r="A303" s="15" t="s">
        <v>688</v>
      </c>
      <c r="B303" s="15" t="s">
        <v>12</v>
      </c>
      <c r="C303" s="15" t="s">
        <v>17</v>
      </c>
      <c r="D303" s="15" t="s">
        <v>63</v>
      </c>
      <c r="E303" s="15" t="s">
        <v>20</v>
      </c>
      <c r="F303" s="15" t="n">
        <v>0.2</v>
      </c>
      <c r="G303" s="15" t="s">
        <v>154</v>
      </c>
      <c r="H303" s="15"/>
      <c r="I303" s="15" t="s">
        <v>558</v>
      </c>
      <c r="J303" s="15" t="s">
        <v>559</v>
      </c>
      <c r="K303" s="15" t="s">
        <v>689</v>
      </c>
      <c r="L303" s="15"/>
      <c r="M303" s="15"/>
      <c r="N303" s="15"/>
      <c r="O303" s="15"/>
      <c r="P303" s="15" t="n">
        <v>1.7</v>
      </c>
      <c r="Q303" s="15" t="n">
        <v>1.7</v>
      </c>
      <c r="R303" s="15"/>
      <c r="S303" s="15" t="s">
        <v>346</v>
      </c>
      <c r="T303" s="15"/>
      <c r="U303" s="15"/>
      <c r="V303" s="15"/>
      <c r="W303" s="15"/>
      <c r="X303" s="15"/>
      <c r="Y303" s="15"/>
      <c r="Z303" s="15"/>
      <c r="AA303" s="15" t="n">
        <v>0</v>
      </c>
      <c r="AB303" s="15" t="n">
        <v>0</v>
      </c>
      <c r="AC303" s="15"/>
      <c r="AD303" s="15"/>
      <c r="AE303" s="15" t="s">
        <v>163</v>
      </c>
      <c r="AF303" s="15"/>
      <c r="AG303" s="24" t="n">
        <f aca="false">SUMIFS(Permissions!$G$2:$G$3000,Permissions!$B$2:$B$3000,$A303,Permissions!$I$2:$I$3000,"Complete",Permissions!$P$2:$P$3000,"Yes")</f>
        <v>0</v>
      </c>
      <c r="AH303" s="24" t="n">
        <f aca="false">SUMIFS(Permissions!$G$2:$G$3000,Permissions!$B$2:$B$3000,$A303,Permissions!$I$2:$I$3000,"Under construction",Permissions!$P$2:$P$3000,"Yes")</f>
        <v>42</v>
      </c>
      <c r="AI303" s="24" t="n">
        <f aca="false">SUMIFS(Permissions!$G$2:$G$3000,Permissions!$B$2:$B$3000,$A303,Permissions!$I$2:$I$3000,"Permitted – not started",Permissions!$P$2:$P$3000,"Yes")</f>
        <v>0</v>
      </c>
      <c r="AJ303" s="24" t="n">
        <f aca="false">SUMIFS(Permissions!$G$2:$G$3000,Permissions!$B$2:$B$3000,$A303,Permissions!$I$2:$I$3000,"Stalled",Permissions!$P$2:$P$3000,"Yes")</f>
        <v>0</v>
      </c>
      <c r="AK303" s="24" t="n">
        <f aca="false">AG303+AH303+AI303+AJ303</f>
        <v>42</v>
      </c>
      <c r="AL303" s="24" t="n">
        <f aca="false">SUMIFS(Permissions!$G$2:$G$3000,Permissions!$B$2:$B$3000,$A303,Permissions!$I$2:$I$3000,"Expired – not started",Permissions!$P$2:$P$3000,"Yes")</f>
        <v>0</v>
      </c>
      <c r="AM303" s="24" t="n">
        <f aca="false">SUMIFS(Permissions!$G$2:$G$3000,Permissions!$B$2:$B$3000,$A303,Permissions!$I$2:$I$3000,"In planning",Permissions!$P$2:$P$3000,"Yes")</f>
        <v>0</v>
      </c>
      <c r="AN303" s="24" t="n">
        <f aca="false">IF(R303="",0,MAX(R303-AK303,0))</f>
        <v>0</v>
      </c>
      <c r="AO303" s="25" t="n">
        <f aca="false">AK303+AN303</f>
        <v>42</v>
      </c>
      <c r="AP303" s="24" t="n">
        <f aca="false">AO303-AG303</f>
        <v>42</v>
      </c>
      <c r="AQ303" s="26" t="n">
        <f aca="false">SUMIFS(Permissions!$AH$2:$AH$3000,Permissions!$B$2:$B$3000,$A303,Permissions!$P$2:$P$3000,"Yes")</f>
        <v>0</v>
      </c>
      <c r="AR303" s="26" t="n">
        <f aca="false">SUMIFS(Permissions!$AI$2:$AI$3000,Permissions!$B$2:$B$3000,$A303,Permissions!$P$2:$P$3000,"Yes")</f>
        <v>32</v>
      </c>
      <c r="AS303" s="26" t="n">
        <f aca="false">SUMIFS(Permissions!$AJ$2:$AJ$3000,Permissions!$B$2:$B$3000,$A303,Permissions!$P$2:$P$3000,"Yes")</f>
        <v>10</v>
      </c>
      <c r="AT303" s="26" t="n">
        <f aca="false">SUMIFS(Permissions!$AK$2:$AK$3000,Permissions!$B$2:$B$3000,$A303,Permissions!$P$2:$P$3000,"Yes")</f>
        <v>0</v>
      </c>
      <c r="AU303" s="26" t="n">
        <f aca="false">SUMIFS(Permissions!$AL$2:$AL$3000,Permissions!$B$2:$B$3000,$A303,Permissions!$P$2:$P$3000,"Yes")</f>
        <v>0</v>
      </c>
      <c r="AV303" s="26" t="n">
        <f aca="false">SUMIFS(Permissions!$AM$2:$AM$3000,Permissions!$B$2:$B$3000,$A303,Permissions!$P$2:$P$3000,"Yes")</f>
        <v>0</v>
      </c>
      <c r="AW303" s="24" t="n">
        <f aca="false">COUNTIFS(Permissions!$B$2:$B$3000,$A303,Permissions!$P$2:$P$3000,"Yes")</f>
        <v>1</v>
      </c>
      <c r="AX303" s="24" t="n">
        <f aca="false">SUMIFS(Permissions!$L$2:$L$3000,Permissions!$B$2:$B$3000,$A303,Permissions!$P$2:$P$3000,"Yes")</f>
        <v>0</v>
      </c>
      <c r="AY303" s="27" t="str">
        <f aca="false">IF(AND(AK303&gt;0,AG303&gt;=AK303,AN303=0),"Built out",IF(AG303&gt;0,"Partly built",IF(AK303&gt;0,"Consented – not built","No consent")))</f>
        <v>Consented – not built</v>
      </c>
      <c r="AZ303" s="28" t="str">
        <f aca="false">IF(AND(R303&lt;&gt;"",AK303&gt;1.1*R303),"Consented above capacity",IF(AND(LEFT(B303,8)="Planning",AW303=0),"Consent parcel with no permission",IF(COUNTIF($A$2:$A$3000,$A303)&gt;1,"Duplicate parcel_id","")))</f>
        <v/>
      </c>
    </row>
    <row r="304" customFormat="false" ht="15" hidden="false" customHeight="false" outlineLevel="0" collapsed="false">
      <c r="A304" s="15" t="s">
        <v>690</v>
      </c>
      <c r="B304" s="15" t="s">
        <v>12</v>
      </c>
      <c r="C304" s="15" t="s">
        <v>17</v>
      </c>
      <c r="D304" s="15" t="s">
        <v>69</v>
      </c>
      <c r="E304" s="15" t="s">
        <v>21</v>
      </c>
      <c r="F304" s="15" t="n">
        <v>1</v>
      </c>
      <c r="G304" s="15" t="s">
        <v>154</v>
      </c>
      <c r="H304" s="15"/>
      <c r="I304" s="15" t="s">
        <v>558</v>
      </c>
      <c r="J304" s="15" t="s">
        <v>559</v>
      </c>
      <c r="K304" s="15" t="s">
        <v>691</v>
      </c>
      <c r="L304" s="15"/>
      <c r="M304" s="15"/>
      <c r="N304" s="15"/>
      <c r="O304" s="15"/>
      <c r="P304" s="15" t="n">
        <v>0.284</v>
      </c>
      <c r="Q304" s="15" t="n">
        <v>0.284</v>
      </c>
      <c r="R304" s="15"/>
      <c r="S304" s="15" t="s">
        <v>346</v>
      </c>
      <c r="T304" s="15"/>
      <c r="U304" s="15"/>
      <c r="V304" s="15"/>
      <c r="W304" s="15"/>
      <c r="X304" s="15"/>
      <c r="Y304" s="15"/>
      <c r="Z304" s="15"/>
      <c r="AA304" s="15" t="n">
        <v>0</v>
      </c>
      <c r="AB304" s="15" t="n">
        <v>0</v>
      </c>
      <c r="AC304" s="15"/>
      <c r="AD304" s="15"/>
      <c r="AE304" s="15" t="s">
        <v>163</v>
      </c>
      <c r="AF304" s="15"/>
      <c r="AG304" s="24" t="n">
        <f aca="false">SUMIFS(Permissions!$G$2:$G$3000,Permissions!$B$2:$B$3000,$A304,Permissions!$I$2:$I$3000,"Complete",Permissions!$P$2:$P$3000,"Yes")</f>
        <v>0</v>
      </c>
      <c r="AH304" s="24" t="n">
        <f aca="false">SUMIFS(Permissions!$G$2:$G$3000,Permissions!$B$2:$B$3000,$A304,Permissions!$I$2:$I$3000,"Under construction",Permissions!$P$2:$P$3000,"Yes")</f>
        <v>0</v>
      </c>
      <c r="AI304" s="24" t="n">
        <f aca="false">SUMIFS(Permissions!$G$2:$G$3000,Permissions!$B$2:$B$3000,$A304,Permissions!$I$2:$I$3000,"Permitted – not started",Permissions!$P$2:$P$3000,"Yes")</f>
        <v>7</v>
      </c>
      <c r="AJ304" s="24" t="n">
        <f aca="false">SUMIFS(Permissions!$G$2:$G$3000,Permissions!$B$2:$B$3000,$A304,Permissions!$I$2:$I$3000,"Stalled",Permissions!$P$2:$P$3000,"Yes")</f>
        <v>0</v>
      </c>
      <c r="AK304" s="24" t="n">
        <f aca="false">AG304+AH304+AI304+AJ304</f>
        <v>7</v>
      </c>
      <c r="AL304" s="24" t="n">
        <f aca="false">SUMIFS(Permissions!$G$2:$G$3000,Permissions!$B$2:$B$3000,$A304,Permissions!$I$2:$I$3000,"Expired – not started",Permissions!$P$2:$P$3000,"Yes")</f>
        <v>0</v>
      </c>
      <c r="AM304" s="24" t="n">
        <f aca="false">SUMIFS(Permissions!$G$2:$G$3000,Permissions!$B$2:$B$3000,$A304,Permissions!$I$2:$I$3000,"In planning",Permissions!$P$2:$P$3000,"Yes")</f>
        <v>0</v>
      </c>
      <c r="AN304" s="24" t="n">
        <f aca="false">IF(R304="",0,MAX(R304-AK304,0))</f>
        <v>0</v>
      </c>
      <c r="AO304" s="25" t="n">
        <f aca="false">AK304+AN304</f>
        <v>7</v>
      </c>
      <c r="AP304" s="24" t="n">
        <f aca="false">AO304-AG304</f>
        <v>7</v>
      </c>
      <c r="AQ304" s="26" t="n">
        <f aca="false">SUMIFS(Permissions!$AH$2:$AH$3000,Permissions!$B$2:$B$3000,$A304,Permissions!$P$2:$P$3000,"Yes")</f>
        <v>0</v>
      </c>
      <c r="AR304" s="26" t="n">
        <f aca="false">SUMIFS(Permissions!$AI$2:$AI$3000,Permissions!$B$2:$B$3000,$A304,Permissions!$P$2:$P$3000,"Yes")</f>
        <v>0</v>
      </c>
      <c r="AS304" s="26" t="n">
        <f aca="false">SUMIFS(Permissions!$AJ$2:$AJ$3000,Permissions!$B$2:$B$3000,$A304,Permissions!$P$2:$P$3000,"Yes")</f>
        <v>4.4</v>
      </c>
      <c r="AT304" s="26" t="n">
        <f aca="false">SUMIFS(Permissions!$AK$2:$AK$3000,Permissions!$B$2:$B$3000,$A304,Permissions!$P$2:$P$3000,"Yes")</f>
        <v>2.6</v>
      </c>
      <c r="AU304" s="26" t="n">
        <f aca="false">SUMIFS(Permissions!$AL$2:$AL$3000,Permissions!$B$2:$B$3000,$A304,Permissions!$P$2:$P$3000,"Yes")</f>
        <v>0</v>
      </c>
      <c r="AV304" s="26" t="n">
        <f aca="false">SUMIFS(Permissions!$AM$2:$AM$3000,Permissions!$B$2:$B$3000,$A304,Permissions!$P$2:$P$3000,"Yes")</f>
        <v>0</v>
      </c>
      <c r="AW304" s="24" t="n">
        <f aca="false">COUNTIFS(Permissions!$B$2:$B$3000,$A304,Permissions!$P$2:$P$3000,"Yes")</f>
        <v>1</v>
      </c>
      <c r="AX304" s="24" t="n">
        <f aca="false">SUMIFS(Permissions!$L$2:$L$3000,Permissions!$B$2:$B$3000,$A304,Permissions!$P$2:$P$3000,"Yes")</f>
        <v>0</v>
      </c>
      <c r="AY304" s="27" t="str">
        <f aca="false">IF(AND(AK304&gt;0,AG304&gt;=AK304,AN304=0),"Built out",IF(AG304&gt;0,"Partly built",IF(AK304&gt;0,"Consented – not built","No consent")))</f>
        <v>Consented – not built</v>
      </c>
      <c r="AZ304" s="28" t="str">
        <f aca="false">IF(AND(R304&lt;&gt;"",AK304&gt;1.1*R304),"Consented above capacity",IF(AND(LEFT(B304,8)="Planning",AW304=0),"Consent parcel with no permission",IF(COUNTIF($A$2:$A$3000,$A304)&gt;1,"Duplicate parcel_id","")))</f>
        <v/>
      </c>
    </row>
    <row r="305" customFormat="false" ht="15" hidden="false" customHeight="false" outlineLevel="0" collapsed="false">
      <c r="A305" s="15" t="s">
        <v>692</v>
      </c>
      <c r="B305" s="15" t="s">
        <v>12</v>
      </c>
      <c r="C305" s="15" t="s">
        <v>17</v>
      </c>
      <c r="D305" s="15" t="s">
        <v>22</v>
      </c>
      <c r="E305" s="15" t="s">
        <v>22</v>
      </c>
      <c r="F305" s="15"/>
      <c r="G305" s="15" t="s">
        <v>22</v>
      </c>
      <c r="H305" s="15"/>
      <c r="I305" s="15" t="s">
        <v>558</v>
      </c>
      <c r="J305" s="15" t="s">
        <v>559</v>
      </c>
      <c r="K305" s="15" t="s">
        <v>693</v>
      </c>
      <c r="L305" s="15"/>
      <c r="M305" s="15"/>
      <c r="N305" s="15"/>
      <c r="O305" s="15"/>
      <c r="P305" s="15" t="n">
        <v>2.666</v>
      </c>
      <c r="Q305" s="15" t="n">
        <v>2.666</v>
      </c>
      <c r="R305" s="15"/>
      <c r="S305" s="15" t="s">
        <v>346</v>
      </c>
      <c r="T305" s="15"/>
      <c r="U305" s="15"/>
      <c r="V305" s="15"/>
      <c r="W305" s="15"/>
      <c r="X305" s="15"/>
      <c r="Y305" s="15"/>
      <c r="Z305" s="15"/>
      <c r="AA305" s="15" t="n">
        <v>0</v>
      </c>
      <c r="AB305" s="15" t="n">
        <v>0</v>
      </c>
      <c r="AC305" s="15"/>
      <c r="AD305" s="15"/>
      <c r="AE305" s="15" t="s">
        <v>163</v>
      </c>
      <c r="AF305" s="15"/>
      <c r="AG305" s="24" t="n">
        <f aca="false">SUMIFS(Permissions!$G$2:$G$3000,Permissions!$B$2:$B$3000,$A305,Permissions!$I$2:$I$3000,"Complete",Permissions!$P$2:$P$3000,"Yes")</f>
        <v>0</v>
      </c>
      <c r="AH305" s="24" t="n">
        <f aca="false">SUMIFS(Permissions!$G$2:$G$3000,Permissions!$B$2:$B$3000,$A305,Permissions!$I$2:$I$3000,"Under construction",Permissions!$P$2:$P$3000,"Yes")</f>
        <v>0</v>
      </c>
      <c r="AI305" s="24" t="n">
        <f aca="false">SUMIFS(Permissions!$G$2:$G$3000,Permissions!$B$2:$B$3000,$A305,Permissions!$I$2:$I$3000,"Permitted – not started",Permissions!$P$2:$P$3000,"Yes")</f>
        <v>27</v>
      </c>
      <c r="AJ305" s="24" t="n">
        <f aca="false">SUMIFS(Permissions!$G$2:$G$3000,Permissions!$B$2:$B$3000,$A305,Permissions!$I$2:$I$3000,"Stalled",Permissions!$P$2:$P$3000,"Yes")</f>
        <v>0</v>
      </c>
      <c r="AK305" s="24" t="n">
        <f aca="false">AG305+AH305+AI305+AJ305</f>
        <v>27</v>
      </c>
      <c r="AL305" s="24" t="n">
        <f aca="false">SUMIFS(Permissions!$G$2:$G$3000,Permissions!$B$2:$B$3000,$A305,Permissions!$I$2:$I$3000,"Expired – not started",Permissions!$P$2:$P$3000,"Yes")</f>
        <v>0</v>
      </c>
      <c r="AM305" s="24" t="n">
        <f aca="false">SUMIFS(Permissions!$G$2:$G$3000,Permissions!$B$2:$B$3000,$A305,Permissions!$I$2:$I$3000,"In planning",Permissions!$P$2:$P$3000,"Yes")</f>
        <v>0</v>
      </c>
      <c r="AN305" s="24" t="n">
        <f aca="false">IF(R305="",0,MAX(R305-AK305,0))</f>
        <v>0</v>
      </c>
      <c r="AO305" s="25" t="n">
        <f aca="false">AK305+AN305</f>
        <v>27</v>
      </c>
      <c r="AP305" s="24" t="n">
        <f aca="false">AO305-AG305</f>
        <v>27</v>
      </c>
      <c r="AQ305" s="26" t="n">
        <f aca="false">SUMIFS(Permissions!$AH$2:$AH$3000,Permissions!$B$2:$B$3000,$A305,Permissions!$P$2:$P$3000,"Yes")</f>
        <v>0</v>
      </c>
      <c r="AR305" s="26" t="n">
        <f aca="false">SUMIFS(Permissions!$AI$2:$AI$3000,Permissions!$B$2:$B$3000,$A305,Permissions!$P$2:$P$3000,"Yes")</f>
        <v>0</v>
      </c>
      <c r="AS305" s="26" t="n">
        <f aca="false">SUMIFS(Permissions!$AJ$2:$AJ$3000,Permissions!$B$2:$B$3000,$A305,Permissions!$P$2:$P$3000,"Yes")</f>
        <v>11.4</v>
      </c>
      <c r="AT305" s="26" t="n">
        <f aca="false">SUMIFS(Permissions!$AK$2:$AK$3000,Permissions!$B$2:$B$3000,$A305,Permissions!$P$2:$P$3000,"Yes")</f>
        <v>15.6</v>
      </c>
      <c r="AU305" s="26" t="n">
        <f aca="false">SUMIFS(Permissions!$AL$2:$AL$3000,Permissions!$B$2:$B$3000,$A305,Permissions!$P$2:$P$3000,"Yes")</f>
        <v>0</v>
      </c>
      <c r="AV305" s="26" t="n">
        <f aca="false">SUMIFS(Permissions!$AM$2:$AM$3000,Permissions!$B$2:$B$3000,$A305,Permissions!$P$2:$P$3000,"Yes")</f>
        <v>0</v>
      </c>
      <c r="AW305" s="24" t="n">
        <f aca="false">COUNTIFS(Permissions!$B$2:$B$3000,$A305,Permissions!$P$2:$P$3000,"Yes")</f>
        <v>1</v>
      </c>
      <c r="AX305" s="24" t="n">
        <f aca="false">SUMIFS(Permissions!$L$2:$L$3000,Permissions!$B$2:$B$3000,$A305,Permissions!$P$2:$P$3000,"Yes")</f>
        <v>0</v>
      </c>
      <c r="AY305" s="27" t="str">
        <f aca="false">IF(AND(AK305&gt;0,AG305&gt;=AK305,AN305=0),"Built out",IF(AG305&gt;0,"Partly built",IF(AK305&gt;0,"Consented – not built","No consent")))</f>
        <v>Consented – not built</v>
      </c>
      <c r="AZ305" s="28" t="str">
        <f aca="false">IF(AND(R305&lt;&gt;"",AK305&gt;1.1*R305),"Consented above capacity",IF(AND(LEFT(B305,8)="Planning",AW305=0),"Consent parcel with no permission",IF(COUNTIF($A$2:$A$3000,$A305)&gt;1,"Duplicate parcel_id","")))</f>
        <v/>
      </c>
    </row>
    <row r="306" customFormat="false" ht="15" hidden="false" customHeight="false" outlineLevel="0" collapsed="false">
      <c r="A306" s="15" t="s">
        <v>694</v>
      </c>
      <c r="B306" s="15" t="s">
        <v>12</v>
      </c>
      <c r="C306" s="15" t="s">
        <v>17</v>
      </c>
      <c r="D306" s="15" t="s">
        <v>74</v>
      </c>
      <c r="E306" s="15" t="s">
        <v>21</v>
      </c>
      <c r="F306" s="15" t="n">
        <v>0.05</v>
      </c>
      <c r="G306" s="15" t="s">
        <v>154</v>
      </c>
      <c r="H306" s="15"/>
      <c r="I306" s="15" t="s">
        <v>558</v>
      </c>
      <c r="J306" s="15" t="s">
        <v>155</v>
      </c>
      <c r="K306" s="15" t="s">
        <v>695</v>
      </c>
      <c r="L306" s="15"/>
      <c r="M306" s="15"/>
      <c r="N306" s="15"/>
      <c r="O306" s="15"/>
      <c r="P306" s="15" t="n">
        <v>5.882</v>
      </c>
      <c r="Q306" s="15" t="n">
        <v>5.882</v>
      </c>
      <c r="R306" s="15"/>
      <c r="S306" s="15" t="s">
        <v>346</v>
      </c>
      <c r="T306" s="15"/>
      <c r="U306" s="15"/>
      <c r="V306" s="15"/>
      <c r="W306" s="15"/>
      <c r="X306" s="15"/>
      <c r="Y306" s="15"/>
      <c r="Z306" s="15"/>
      <c r="AA306" s="15" t="n">
        <v>0</v>
      </c>
      <c r="AB306" s="15" t="n">
        <v>0</v>
      </c>
      <c r="AC306" s="15"/>
      <c r="AD306" s="15"/>
      <c r="AE306" s="15" t="s">
        <v>163</v>
      </c>
      <c r="AF306" s="15"/>
      <c r="AG306" s="24" t="n">
        <f aca="false">SUMIFS(Permissions!$G$2:$G$3000,Permissions!$B$2:$B$3000,$A306,Permissions!$I$2:$I$3000,"Complete",Permissions!$P$2:$P$3000,"Yes")</f>
        <v>0</v>
      </c>
      <c r="AH306" s="24" t="n">
        <f aca="false">SUMIFS(Permissions!$G$2:$G$3000,Permissions!$B$2:$B$3000,$A306,Permissions!$I$2:$I$3000,"Under construction",Permissions!$P$2:$P$3000,"Yes")</f>
        <v>0</v>
      </c>
      <c r="AI306" s="24" t="n">
        <f aca="false">SUMIFS(Permissions!$G$2:$G$3000,Permissions!$B$2:$B$3000,$A306,Permissions!$I$2:$I$3000,"Permitted – not started",Permissions!$P$2:$P$3000,"Yes")</f>
        <v>63</v>
      </c>
      <c r="AJ306" s="24" t="n">
        <f aca="false">SUMIFS(Permissions!$G$2:$G$3000,Permissions!$B$2:$B$3000,$A306,Permissions!$I$2:$I$3000,"Stalled",Permissions!$P$2:$P$3000,"Yes")</f>
        <v>40</v>
      </c>
      <c r="AK306" s="24" t="n">
        <f aca="false">AG306+AH306+AI306+AJ306</f>
        <v>103</v>
      </c>
      <c r="AL306" s="24" t="n">
        <f aca="false">SUMIFS(Permissions!$G$2:$G$3000,Permissions!$B$2:$B$3000,$A306,Permissions!$I$2:$I$3000,"Expired – not started",Permissions!$P$2:$P$3000,"Yes")</f>
        <v>49</v>
      </c>
      <c r="AM306" s="24" t="n">
        <f aca="false">SUMIFS(Permissions!$G$2:$G$3000,Permissions!$B$2:$B$3000,$A306,Permissions!$I$2:$I$3000,"In planning",Permissions!$P$2:$P$3000,"Yes")</f>
        <v>0</v>
      </c>
      <c r="AN306" s="24" t="n">
        <f aca="false">IF(R306="",0,MAX(R306-AK306,0))</f>
        <v>0</v>
      </c>
      <c r="AO306" s="25" t="n">
        <f aca="false">AK306+AN306</f>
        <v>103</v>
      </c>
      <c r="AP306" s="24" t="n">
        <f aca="false">AO306-AG306</f>
        <v>103</v>
      </c>
      <c r="AQ306" s="26" t="n">
        <f aca="false">SUMIFS(Permissions!$AH$2:$AH$3000,Permissions!$B$2:$B$3000,$A306,Permissions!$P$2:$P$3000,"Yes")</f>
        <v>0</v>
      </c>
      <c r="AR306" s="26" t="n">
        <f aca="false">SUMIFS(Permissions!$AI$2:$AI$3000,Permissions!$B$2:$B$3000,$A306,Permissions!$P$2:$P$3000,"Yes")</f>
        <v>0</v>
      </c>
      <c r="AS306" s="26" t="n">
        <f aca="false">SUMIFS(Permissions!$AJ$2:$AJ$3000,Permissions!$B$2:$B$3000,$A306,Permissions!$P$2:$P$3000,"Yes")</f>
        <v>24.1</v>
      </c>
      <c r="AT306" s="26" t="n">
        <f aca="false">SUMIFS(Permissions!$AK$2:$AK$3000,Permissions!$B$2:$B$3000,$A306,Permissions!$P$2:$P$3000,"Yes")</f>
        <v>38.9</v>
      </c>
      <c r="AU306" s="26" t="n">
        <f aca="false">SUMIFS(Permissions!$AL$2:$AL$3000,Permissions!$B$2:$B$3000,$A306,Permissions!$P$2:$P$3000,"Yes")</f>
        <v>0</v>
      </c>
      <c r="AV306" s="26" t="n">
        <f aca="false">SUMIFS(Permissions!$AM$2:$AM$3000,Permissions!$B$2:$B$3000,$A306,Permissions!$P$2:$P$3000,"Yes")</f>
        <v>0</v>
      </c>
      <c r="AW306" s="24" t="n">
        <f aca="false">COUNTIFS(Permissions!$B$2:$B$3000,$A306,Permissions!$P$2:$P$3000,"Yes")</f>
        <v>3</v>
      </c>
      <c r="AX306" s="24" t="n">
        <f aca="false">SUMIFS(Permissions!$L$2:$L$3000,Permissions!$B$2:$B$3000,$A306,Permissions!$P$2:$P$3000,"Yes")</f>
        <v>0</v>
      </c>
      <c r="AY306" s="27" t="str">
        <f aca="false">IF(AND(AK306&gt;0,AG306&gt;=AK306,AN306=0),"Built out",IF(AG306&gt;0,"Partly built",IF(AK306&gt;0,"Consented – not built","No consent")))</f>
        <v>Consented – not built</v>
      </c>
      <c r="AZ306" s="28" t="str">
        <f aca="false">IF(AND(R306&lt;&gt;"",AK306&gt;1.1*R306),"Consented above capacity",IF(AND(LEFT(B306,8)="Planning",AW306=0),"Consent parcel with no permission",IF(COUNTIF($A$2:$A$3000,$A306)&gt;1,"Duplicate parcel_id","")))</f>
        <v/>
      </c>
    </row>
    <row r="307" customFormat="false" ht="15" hidden="false" customHeight="false" outlineLevel="0" collapsed="false">
      <c r="A307" s="15" t="s">
        <v>696</v>
      </c>
      <c r="B307" s="15" t="s">
        <v>12</v>
      </c>
      <c r="C307" s="15" t="s">
        <v>17</v>
      </c>
      <c r="D307" s="15" t="s">
        <v>73</v>
      </c>
      <c r="E307" s="15" t="s">
        <v>21</v>
      </c>
      <c r="F307" s="15" t="n">
        <v>1</v>
      </c>
      <c r="G307" s="15" t="s">
        <v>154</v>
      </c>
      <c r="H307" s="15"/>
      <c r="I307" s="15" t="s">
        <v>558</v>
      </c>
      <c r="J307" s="15" t="s">
        <v>559</v>
      </c>
      <c r="K307" s="15" t="s">
        <v>697</v>
      </c>
      <c r="L307" s="15"/>
      <c r="M307" s="15"/>
      <c r="N307" s="15"/>
      <c r="O307" s="15"/>
      <c r="P307" s="15" t="n">
        <v>0.25</v>
      </c>
      <c r="Q307" s="15" t="n">
        <v>0.25</v>
      </c>
      <c r="R307" s="15"/>
      <c r="S307" s="15" t="s">
        <v>346</v>
      </c>
      <c r="T307" s="15"/>
      <c r="U307" s="15"/>
      <c r="V307" s="15"/>
      <c r="W307" s="15"/>
      <c r="X307" s="15"/>
      <c r="Y307" s="15"/>
      <c r="Z307" s="15"/>
      <c r="AA307" s="15" t="n">
        <v>2</v>
      </c>
      <c r="AB307" s="15" t="n">
        <v>0</v>
      </c>
      <c r="AC307" s="15"/>
      <c r="AD307" s="15"/>
      <c r="AE307" s="15" t="s">
        <v>163</v>
      </c>
      <c r="AF307" s="15"/>
      <c r="AG307" s="24" t="n">
        <f aca="false">SUMIFS(Permissions!$G$2:$G$3000,Permissions!$B$2:$B$3000,$A307,Permissions!$I$2:$I$3000,"Complete",Permissions!$P$2:$P$3000,"Yes")</f>
        <v>0</v>
      </c>
      <c r="AH307" s="24" t="n">
        <f aca="false">SUMIFS(Permissions!$G$2:$G$3000,Permissions!$B$2:$B$3000,$A307,Permissions!$I$2:$I$3000,"Under construction",Permissions!$P$2:$P$3000,"Yes")</f>
        <v>4</v>
      </c>
      <c r="AI307" s="24" t="n">
        <f aca="false">SUMIFS(Permissions!$G$2:$G$3000,Permissions!$B$2:$B$3000,$A307,Permissions!$I$2:$I$3000,"Permitted – not started",Permissions!$P$2:$P$3000,"Yes")</f>
        <v>0</v>
      </c>
      <c r="AJ307" s="24" t="n">
        <f aca="false">SUMIFS(Permissions!$G$2:$G$3000,Permissions!$B$2:$B$3000,$A307,Permissions!$I$2:$I$3000,"Stalled",Permissions!$P$2:$P$3000,"Yes")</f>
        <v>0</v>
      </c>
      <c r="AK307" s="24" t="n">
        <f aca="false">AG307+AH307+AI307+AJ307</f>
        <v>4</v>
      </c>
      <c r="AL307" s="24" t="n">
        <f aca="false">SUMIFS(Permissions!$G$2:$G$3000,Permissions!$B$2:$B$3000,$A307,Permissions!$I$2:$I$3000,"Expired – not started",Permissions!$P$2:$P$3000,"Yes")</f>
        <v>0</v>
      </c>
      <c r="AM307" s="24" t="n">
        <f aca="false">SUMIFS(Permissions!$G$2:$G$3000,Permissions!$B$2:$B$3000,$A307,Permissions!$I$2:$I$3000,"In planning",Permissions!$P$2:$P$3000,"Yes")</f>
        <v>0</v>
      </c>
      <c r="AN307" s="24" t="n">
        <f aca="false">IF(R307="",0,MAX(R307-AK307,0))</f>
        <v>0</v>
      </c>
      <c r="AO307" s="25" t="n">
        <f aca="false">AK307+AN307</f>
        <v>4</v>
      </c>
      <c r="AP307" s="24" t="n">
        <f aca="false">AO307-AG307</f>
        <v>4</v>
      </c>
      <c r="AQ307" s="26" t="n">
        <f aca="false">SUMIFS(Permissions!$AH$2:$AH$3000,Permissions!$B$2:$B$3000,$A307,Permissions!$P$2:$P$3000,"Yes")</f>
        <v>0</v>
      </c>
      <c r="AR307" s="26" t="n">
        <f aca="false">SUMIFS(Permissions!$AI$2:$AI$3000,Permissions!$B$2:$B$3000,$A307,Permissions!$P$2:$P$3000,"Yes")</f>
        <v>3.7</v>
      </c>
      <c r="AS307" s="26" t="n">
        <f aca="false">SUMIFS(Permissions!$AJ$2:$AJ$3000,Permissions!$B$2:$B$3000,$A307,Permissions!$P$2:$P$3000,"Yes")</f>
        <v>0.3</v>
      </c>
      <c r="AT307" s="26" t="n">
        <f aca="false">SUMIFS(Permissions!$AK$2:$AK$3000,Permissions!$B$2:$B$3000,$A307,Permissions!$P$2:$P$3000,"Yes")</f>
        <v>0</v>
      </c>
      <c r="AU307" s="26" t="n">
        <f aca="false">SUMIFS(Permissions!$AL$2:$AL$3000,Permissions!$B$2:$B$3000,$A307,Permissions!$P$2:$P$3000,"Yes")</f>
        <v>0</v>
      </c>
      <c r="AV307" s="26" t="n">
        <f aca="false">SUMIFS(Permissions!$AM$2:$AM$3000,Permissions!$B$2:$B$3000,$A307,Permissions!$P$2:$P$3000,"Yes")</f>
        <v>0</v>
      </c>
      <c r="AW307" s="24" t="n">
        <f aca="false">COUNTIFS(Permissions!$B$2:$B$3000,$A307,Permissions!$P$2:$P$3000,"Yes")</f>
        <v>1</v>
      </c>
      <c r="AX307" s="24" t="n">
        <f aca="false">SUMIFS(Permissions!$L$2:$L$3000,Permissions!$B$2:$B$3000,$A307,Permissions!$P$2:$P$3000,"Yes")</f>
        <v>0</v>
      </c>
      <c r="AY307" s="27" t="str">
        <f aca="false">IF(AND(AK307&gt;0,AG307&gt;=AK307,AN307=0),"Built out",IF(AG307&gt;0,"Partly built",IF(AK307&gt;0,"Consented – not built","No consent")))</f>
        <v>Consented – not built</v>
      </c>
      <c r="AZ307" s="28" t="str">
        <f aca="false">IF(AND(R307&lt;&gt;"",AK307&gt;1.1*R307),"Consented above capacity",IF(AND(LEFT(B307,8)="Planning",AW307=0),"Consent parcel with no permission",IF(COUNTIF($A$2:$A$3000,$A307)&gt;1,"Duplicate parcel_id","")))</f>
        <v/>
      </c>
    </row>
    <row r="308" customFormat="false" ht="15" hidden="false" customHeight="false" outlineLevel="0" collapsed="false">
      <c r="A308" s="15" t="s">
        <v>698</v>
      </c>
      <c r="B308" s="15" t="s">
        <v>12</v>
      </c>
      <c r="C308" s="15" t="s">
        <v>17</v>
      </c>
      <c r="D308" s="15" t="s">
        <v>74</v>
      </c>
      <c r="E308" s="15" t="s">
        <v>21</v>
      </c>
      <c r="F308" s="15" t="n">
        <v>0.08</v>
      </c>
      <c r="G308" s="15" t="s">
        <v>154</v>
      </c>
      <c r="H308" s="15"/>
      <c r="I308" s="15" t="s">
        <v>558</v>
      </c>
      <c r="J308" s="15" t="s">
        <v>155</v>
      </c>
      <c r="K308" s="15" t="s">
        <v>699</v>
      </c>
      <c r="L308" s="15"/>
      <c r="M308" s="15"/>
      <c r="N308" s="15"/>
      <c r="O308" s="15"/>
      <c r="P308" s="15" t="n">
        <v>0.417</v>
      </c>
      <c r="Q308" s="15" t="n">
        <v>0.417</v>
      </c>
      <c r="R308" s="15"/>
      <c r="S308" s="15" t="s">
        <v>346</v>
      </c>
      <c r="T308" s="15"/>
      <c r="U308" s="15"/>
      <c r="V308" s="15"/>
      <c r="W308" s="15"/>
      <c r="X308" s="15"/>
      <c r="Y308" s="15"/>
      <c r="Z308" s="15"/>
      <c r="AA308" s="15" t="n">
        <v>0</v>
      </c>
      <c r="AB308" s="15" t="n">
        <v>0</v>
      </c>
      <c r="AC308" s="15"/>
      <c r="AD308" s="15"/>
      <c r="AE308" s="15" t="s">
        <v>163</v>
      </c>
      <c r="AF308" s="15"/>
      <c r="AG308" s="24" t="n">
        <f aca="false">SUMIFS(Permissions!$G$2:$G$3000,Permissions!$B$2:$B$3000,$A308,Permissions!$I$2:$I$3000,"Complete",Permissions!$P$2:$P$3000,"Yes")</f>
        <v>0</v>
      </c>
      <c r="AH308" s="24" t="n">
        <f aca="false">SUMIFS(Permissions!$G$2:$G$3000,Permissions!$B$2:$B$3000,$A308,Permissions!$I$2:$I$3000,"Under construction",Permissions!$P$2:$P$3000,"Yes")</f>
        <v>0</v>
      </c>
      <c r="AI308" s="24" t="n">
        <f aca="false">SUMIFS(Permissions!$G$2:$G$3000,Permissions!$B$2:$B$3000,$A308,Permissions!$I$2:$I$3000,"Permitted – not started",Permissions!$P$2:$P$3000,"Yes")</f>
        <v>6</v>
      </c>
      <c r="AJ308" s="24" t="n">
        <f aca="false">SUMIFS(Permissions!$G$2:$G$3000,Permissions!$B$2:$B$3000,$A308,Permissions!$I$2:$I$3000,"Stalled",Permissions!$P$2:$P$3000,"Yes")</f>
        <v>0</v>
      </c>
      <c r="AK308" s="24" t="n">
        <f aca="false">AG308+AH308+AI308+AJ308</f>
        <v>6</v>
      </c>
      <c r="AL308" s="24" t="n">
        <f aca="false">SUMIFS(Permissions!$G$2:$G$3000,Permissions!$B$2:$B$3000,$A308,Permissions!$I$2:$I$3000,"Expired – not started",Permissions!$P$2:$P$3000,"Yes")</f>
        <v>0</v>
      </c>
      <c r="AM308" s="24" t="n">
        <f aca="false">SUMIFS(Permissions!$G$2:$G$3000,Permissions!$B$2:$B$3000,$A308,Permissions!$I$2:$I$3000,"In planning",Permissions!$P$2:$P$3000,"Yes")</f>
        <v>0</v>
      </c>
      <c r="AN308" s="24" t="n">
        <f aca="false">IF(R308="",0,MAX(R308-AK308,0))</f>
        <v>0</v>
      </c>
      <c r="AO308" s="25" t="n">
        <f aca="false">AK308+AN308</f>
        <v>6</v>
      </c>
      <c r="AP308" s="24" t="n">
        <f aca="false">AO308-AG308</f>
        <v>6</v>
      </c>
      <c r="AQ308" s="26" t="n">
        <f aca="false">SUMIFS(Permissions!$AH$2:$AH$3000,Permissions!$B$2:$B$3000,$A308,Permissions!$P$2:$P$3000,"Yes")</f>
        <v>0</v>
      </c>
      <c r="AR308" s="26" t="n">
        <f aca="false">SUMIFS(Permissions!$AI$2:$AI$3000,Permissions!$B$2:$B$3000,$A308,Permissions!$P$2:$P$3000,"Yes")</f>
        <v>0</v>
      </c>
      <c r="AS308" s="26" t="n">
        <f aca="false">SUMIFS(Permissions!$AJ$2:$AJ$3000,Permissions!$B$2:$B$3000,$A308,Permissions!$P$2:$P$3000,"Yes")</f>
        <v>3.7</v>
      </c>
      <c r="AT308" s="26" t="n">
        <f aca="false">SUMIFS(Permissions!$AK$2:$AK$3000,Permissions!$B$2:$B$3000,$A308,Permissions!$P$2:$P$3000,"Yes")</f>
        <v>2.3</v>
      </c>
      <c r="AU308" s="26" t="n">
        <f aca="false">SUMIFS(Permissions!$AL$2:$AL$3000,Permissions!$B$2:$B$3000,$A308,Permissions!$P$2:$P$3000,"Yes")</f>
        <v>0</v>
      </c>
      <c r="AV308" s="26" t="n">
        <f aca="false">SUMIFS(Permissions!$AM$2:$AM$3000,Permissions!$B$2:$B$3000,$A308,Permissions!$P$2:$P$3000,"Yes")</f>
        <v>0</v>
      </c>
      <c r="AW308" s="24" t="n">
        <f aca="false">COUNTIFS(Permissions!$B$2:$B$3000,$A308,Permissions!$P$2:$P$3000,"Yes")</f>
        <v>1</v>
      </c>
      <c r="AX308" s="24" t="n">
        <f aca="false">SUMIFS(Permissions!$L$2:$L$3000,Permissions!$B$2:$B$3000,$A308,Permissions!$P$2:$P$3000,"Yes")</f>
        <v>0</v>
      </c>
      <c r="AY308" s="27" t="str">
        <f aca="false">IF(AND(AK308&gt;0,AG308&gt;=AK308,AN308=0),"Built out",IF(AG308&gt;0,"Partly built",IF(AK308&gt;0,"Consented – not built","No consent")))</f>
        <v>Consented – not built</v>
      </c>
      <c r="AZ308" s="28" t="str">
        <f aca="false">IF(AND(R308&lt;&gt;"",AK308&gt;1.1*R308),"Consented above capacity",IF(AND(LEFT(B308,8)="Planning",AW308=0),"Consent parcel with no permission",IF(COUNTIF($A$2:$A$3000,$A308)&gt;1,"Duplicate parcel_id","")))</f>
        <v/>
      </c>
    </row>
    <row r="309" customFormat="false" ht="15" hidden="false" customHeight="false" outlineLevel="0" collapsed="false">
      <c r="A309" s="15" t="s">
        <v>700</v>
      </c>
      <c r="B309" s="15" t="s">
        <v>12</v>
      </c>
      <c r="C309" s="15" t="s">
        <v>17</v>
      </c>
      <c r="D309" s="15" t="s">
        <v>68</v>
      </c>
      <c r="E309" s="15" t="s">
        <v>21</v>
      </c>
      <c r="F309" s="15" t="n">
        <v>0.76</v>
      </c>
      <c r="G309" s="15" t="s">
        <v>154</v>
      </c>
      <c r="H309" s="15"/>
      <c r="I309" s="15" t="s">
        <v>558</v>
      </c>
      <c r="J309" s="15" t="s">
        <v>559</v>
      </c>
      <c r="K309" s="15" t="s">
        <v>701</v>
      </c>
      <c r="L309" s="15"/>
      <c r="M309" s="15"/>
      <c r="N309" s="15"/>
      <c r="O309" s="15"/>
      <c r="P309" s="15" t="n">
        <v>0.353</v>
      </c>
      <c r="Q309" s="15" t="n">
        <v>0.353</v>
      </c>
      <c r="R309" s="15"/>
      <c r="S309" s="15" t="s">
        <v>346</v>
      </c>
      <c r="T309" s="15"/>
      <c r="U309" s="15"/>
      <c r="V309" s="15"/>
      <c r="W309" s="15"/>
      <c r="X309" s="15"/>
      <c r="Y309" s="15"/>
      <c r="Z309" s="15"/>
      <c r="AA309" s="15" t="n">
        <v>0</v>
      </c>
      <c r="AB309" s="15" t="n">
        <v>0</v>
      </c>
      <c r="AC309" s="15"/>
      <c r="AD309" s="15"/>
      <c r="AE309" s="15" t="s">
        <v>163</v>
      </c>
      <c r="AF309" s="15"/>
      <c r="AG309" s="24" t="n">
        <f aca="false">SUMIFS(Permissions!$G$2:$G$3000,Permissions!$B$2:$B$3000,$A309,Permissions!$I$2:$I$3000,"Complete",Permissions!$P$2:$P$3000,"Yes")</f>
        <v>0</v>
      </c>
      <c r="AH309" s="24" t="n">
        <f aca="false">SUMIFS(Permissions!$G$2:$G$3000,Permissions!$B$2:$B$3000,$A309,Permissions!$I$2:$I$3000,"Under construction",Permissions!$P$2:$P$3000,"Yes")</f>
        <v>0</v>
      </c>
      <c r="AI309" s="24" t="n">
        <f aca="false">SUMIFS(Permissions!$G$2:$G$3000,Permissions!$B$2:$B$3000,$A309,Permissions!$I$2:$I$3000,"Permitted – not started",Permissions!$P$2:$P$3000,"Yes")</f>
        <v>8</v>
      </c>
      <c r="AJ309" s="24" t="n">
        <f aca="false">SUMIFS(Permissions!$G$2:$G$3000,Permissions!$B$2:$B$3000,$A309,Permissions!$I$2:$I$3000,"Stalled",Permissions!$P$2:$P$3000,"Yes")</f>
        <v>0</v>
      </c>
      <c r="AK309" s="24" t="n">
        <f aca="false">AG309+AH309+AI309+AJ309</f>
        <v>8</v>
      </c>
      <c r="AL309" s="24" t="n">
        <f aca="false">SUMIFS(Permissions!$G$2:$G$3000,Permissions!$B$2:$B$3000,$A309,Permissions!$I$2:$I$3000,"Expired – not started",Permissions!$P$2:$P$3000,"Yes")</f>
        <v>0</v>
      </c>
      <c r="AM309" s="24" t="n">
        <f aca="false">SUMIFS(Permissions!$G$2:$G$3000,Permissions!$B$2:$B$3000,$A309,Permissions!$I$2:$I$3000,"In planning",Permissions!$P$2:$P$3000,"Yes")</f>
        <v>0</v>
      </c>
      <c r="AN309" s="24" t="n">
        <f aca="false">IF(R309="",0,MAX(R309-AK309,0))</f>
        <v>0</v>
      </c>
      <c r="AO309" s="25" t="n">
        <f aca="false">AK309+AN309</f>
        <v>8</v>
      </c>
      <c r="AP309" s="24" t="n">
        <f aca="false">AO309-AG309</f>
        <v>8</v>
      </c>
      <c r="AQ309" s="26" t="n">
        <f aca="false">SUMIFS(Permissions!$AH$2:$AH$3000,Permissions!$B$2:$B$3000,$A309,Permissions!$P$2:$P$3000,"Yes")</f>
        <v>0</v>
      </c>
      <c r="AR309" s="26" t="n">
        <f aca="false">SUMIFS(Permissions!$AI$2:$AI$3000,Permissions!$B$2:$B$3000,$A309,Permissions!$P$2:$P$3000,"Yes")</f>
        <v>0</v>
      </c>
      <c r="AS309" s="26" t="n">
        <f aca="false">SUMIFS(Permissions!$AJ$2:$AJ$3000,Permissions!$B$2:$B$3000,$A309,Permissions!$P$2:$P$3000,"Yes")</f>
        <v>0.5</v>
      </c>
      <c r="AT309" s="26" t="n">
        <f aca="false">SUMIFS(Permissions!$AK$2:$AK$3000,Permissions!$B$2:$B$3000,$A309,Permissions!$P$2:$P$3000,"Yes")</f>
        <v>7.5</v>
      </c>
      <c r="AU309" s="26" t="n">
        <f aca="false">SUMIFS(Permissions!$AL$2:$AL$3000,Permissions!$B$2:$B$3000,$A309,Permissions!$P$2:$P$3000,"Yes")</f>
        <v>0</v>
      </c>
      <c r="AV309" s="26" t="n">
        <f aca="false">SUMIFS(Permissions!$AM$2:$AM$3000,Permissions!$B$2:$B$3000,$A309,Permissions!$P$2:$P$3000,"Yes")</f>
        <v>0</v>
      </c>
      <c r="AW309" s="24" t="n">
        <f aca="false">COUNTIFS(Permissions!$B$2:$B$3000,$A309,Permissions!$P$2:$P$3000,"Yes")</f>
        <v>1</v>
      </c>
      <c r="AX309" s="24" t="n">
        <f aca="false">SUMIFS(Permissions!$L$2:$L$3000,Permissions!$B$2:$B$3000,$A309,Permissions!$P$2:$P$3000,"Yes")</f>
        <v>0</v>
      </c>
      <c r="AY309" s="27" t="str">
        <f aca="false">IF(AND(AK309&gt;0,AG309&gt;=AK309,AN309=0),"Built out",IF(AG309&gt;0,"Partly built",IF(AK309&gt;0,"Consented – not built","No consent")))</f>
        <v>Consented – not built</v>
      </c>
      <c r="AZ309" s="28" t="str">
        <f aca="false">IF(AND(R309&lt;&gt;"",AK309&gt;1.1*R309),"Consented above capacity",IF(AND(LEFT(B309,8)="Planning",AW309=0),"Consent parcel with no permission",IF(COUNTIF($A$2:$A$3000,$A309)&gt;1,"Duplicate parcel_id","")))</f>
        <v/>
      </c>
    </row>
    <row r="310" customFormat="false" ht="15" hidden="false" customHeight="false" outlineLevel="0" collapsed="false">
      <c r="A310" s="15" t="s">
        <v>702</v>
      </c>
      <c r="B310" s="15" t="s">
        <v>12</v>
      </c>
      <c r="C310" s="15" t="s">
        <v>17</v>
      </c>
      <c r="D310" s="15" t="s">
        <v>67</v>
      </c>
      <c r="E310" s="15" t="s">
        <v>21</v>
      </c>
      <c r="F310" s="15" t="n">
        <v>0</v>
      </c>
      <c r="G310" s="15" t="s">
        <v>616</v>
      </c>
      <c r="H310" s="15"/>
      <c r="I310" s="15" t="s">
        <v>558</v>
      </c>
      <c r="J310" s="15" t="s">
        <v>583</v>
      </c>
      <c r="K310" s="15" t="s">
        <v>703</v>
      </c>
      <c r="L310" s="15"/>
      <c r="M310" s="15"/>
      <c r="N310" s="15"/>
      <c r="O310" s="15"/>
      <c r="P310" s="15" t="n">
        <v>1.248</v>
      </c>
      <c r="Q310" s="15" t="n">
        <v>1.248</v>
      </c>
      <c r="R310" s="15"/>
      <c r="S310" s="15" t="s">
        <v>346</v>
      </c>
      <c r="T310" s="15"/>
      <c r="U310" s="15"/>
      <c r="V310" s="15"/>
      <c r="W310" s="15"/>
      <c r="X310" s="15"/>
      <c r="Y310" s="15"/>
      <c r="Z310" s="15"/>
      <c r="AA310" s="15" t="n">
        <v>0</v>
      </c>
      <c r="AB310" s="15" t="n">
        <v>0</v>
      </c>
      <c r="AC310" s="15"/>
      <c r="AD310" s="15"/>
      <c r="AE310" s="15" t="s">
        <v>163</v>
      </c>
      <c r="AF310" s="15"/>
      <c r="AG310" s="24" t="n">
        <f aca="false">SUMIFS(Permissions!$G$2:$G$3000,Permissions!$B$2:$B$3000,$A310,Permissions!$I$2:$I$3000,"Complete",Permissions!$P$2:$P$3000,"Yes")</f>
        <v>0</v>
      </c>
      <c r="AH310" s="24" t="n">
        <f aca="false">SUMIFS(Permissions!$G$2:$G$3000,Permissions!$B$2:$B$3000,$A310,Permissions!$I$2:$I$3000,"Under construction",Permissions!$P$2:$P$3000,"Yes")</f>
        <v>10</v>
      </c>
      <c r="AI310" s="24" t="n">
        <f aca="false">SUMIFS(Permissions!$G$2:$G$3000,Permissions!$B$2:$B$3000,$A310,Permissions!$I$2:$I$3000,"Permitted – not started",Permissions!$P$2:$P$3000,"Yes")</f>
        <v>0</v>
      </c>
      <c r="AJ310" s="24" t="n">
        <f aca="false">SUMIFS(Permissions!$G$2:$G$3000,Permissions!$B$2:$B$3000,$A310,Permissions!$I$2:$I$3000,"Stalled",Permissions!$P$2:$P$3000,"Yes")</f>
        <v>0</v>
      </c>
      <c r="AK310" s="24" t="n">
        <f aca="false">AG310+AH310+AI310+AJ310</f>
        <v>10</v>
      </c>
      <c r="AL310" s="24" t="n">
        <f aca="false">SUMIFS(Permissions!$G$2:$G$3000,Permissions!$B$2:$B$3000,$A310,Permissions!$I$2:$I$3000,"Expired – not started",Permissions!$P$2:$P$3000,"Yes")</f>
        <v>0</v>
      </c>
      <c r="AM310" s="24" t="n">
        <f aca="false">SUMIFS(Permissions!$G$2:$G$3000,Permissions!$B$2:$B$3000,$A310,Permissions!$I$2:$I$3000,"In planning",Permissions!$P$2:$P$3000,"Yes")</f>
        <v>0</v>
      </c>
      <c r="AN310" s="24" t="n">
        <f aca="false">IF(R310="",0,MAX(R310-AK310,0))</f>
        <v>0</v>
      </c>
      <c r="AO310" s="25" t="n">
        <f aca="false">AK310+AN310</f>
        <v>10</v>
      </c>
      <c r="AP310" s="24" t="n">
        <f aca="false">AO310-AG310</f>
        <v>10</v>
      </c>
      <c r="AQ310" s="26" t="n">
        <f aca="false">SUMIFS(Permissions!$AH$2:$AH$3000,Permissions!$B$2:$B$3000,$A310,Permissions!$P$2:$P$3000,"Yes")</f>
        <v>0</v>
      </c>
      <c r="AR310" s="26" t="n">
        <f aca="false">SUMIFS(Permissions!$AI$2:$AI$3000,Permissions!$B$2:$B$3000,$A310,Permissions!$P$2:$P$3000,"Yes")</f>
        <v>6.9</v>
      </c>
      <c r="AS310" s="26" t="n">
        <f aca="false">SUMIFS(Permissions!$AJ$2:$AJ$3000,Permissions!$B$2:$B$3000,$A310,Permissions!$P$2:$P$3000,"Yes")</f>
        <v>3.1</v>
      </c>
      <c r="AT310" s="26" t="n">
        <f aca="false">SUMIFS(Permissions!$AK$2:$AK$3000,Permissions!$B$2:$B$3000,$A310,Permissions!$P$2:$P$3000,"Yes")</f>
        <v>0</v>
      </c>
      <c r="AU310" s="26" t="n">
        <f aca="false">SUMIFS(Permissions!$AL$2:$AL$3000,Permissions!$B$2:$B$3000,$A310,Permissions!$P$2:$P$3000,"Yes")</f>
        <v>0</v>
      </c>
      <c r="AV310" s="26" t="n">
        <f aca="false">SUMIFS(Permissions!$AM$2:$AM$3000,Permissions!$B$2:$B$3000,$A310,Permissions!$P$2:$P$3000,"Yes")</f>
        <v>0</v>
      </c>
      <c r="AW310" s="24" t="n">
        <f aca="false">COUNTIFS(Permissions!$B$2:$B$3000,$A310,Permissions!$P$2:$P$3000,"Yes")</f>
        <v>1</v>
      </c>
      <c r="AX310" s="24" t="n">
        <f aca="false">SUMIFS(Permissions!$L$2:$L$3000,Permissions!$B$2:$B$3000,$A310,Permissions!$P$2:$P$3000,"Yes")</f>
        <v>0</v>
      </c>
      <c r="AY310" s="27" t="str">
        <f aca="false">IF(AND(AK310&gt;0,AG310&gt;=AK310,AN310=0),"Built out",IF(AG310&gt;0,"Partly built",IF(AK310&gt;0,"Consented – not built","No consent")))</f>
        <v>Consented – not built</v>
      </c>
      <c r="AZ310" s="28" t="str">
        <f aca="false">IF(AND(R310&lt;&gt;"",AK310&gt;1.1*R310),"Consented above capacity",IF(AND(LEFT(B310,8)="Planning",AW310=0),"Consent parcel with no permission",IF(COUNTIF($A$2:$A$3000,$A310)&gt;1,"Duplicate parcel_id","")))</f>
        <v/>
      </c>
    </row>
    <row r="311" customFormat="false" ht="15" hidden="false" customHeight="false" outlineLevel="0" collapsed="false">
      <c r="A311" s="15" t="s">
        <v>704</v>
      </c>
      <c r="B311" s="15" t="s">
        <v>12</v>
      </c>
      <c r="C311" s="15" t="s">
        <v>17</v>
      </c>
      <c r="D311" s="15" t="s">
        <v>64</v>
      </c>
      <c r="E311" s="15" t="s">
        <v>20</v>
      </c>
      <c r="F311" s="15" t="n">
        <v>1</v>
      </c>
      <c r="G311" s="15" t="s">
        <v>154</v>
      </c>
      <c r="H311" s="15"/>
      <c r="I311" s="15" t="s">
        <v>558</v>
      </c>
      <c r="J311" s="15" t="s">
        <v>568</v>
      </c>
      <c r="K311" s="15" t="s">
        <v>705</v>
      </c>
      <c r="L311" s="15"/>
      <c r="M311" s="15"/>
      <c r="N311" s="15"/>
      <c r="O311" s="15"/>
      <c r="P311" s="15" t="n">
        <v>0.081</v>
      </c>
      <c r="Q311" s="15" t="n">
        <v>0.081</v>
      </c>
      <c r="R311" s="15"/>
      <c r="S311" s="15" t="s">
        <v>346</v>
      </c>
      <c r="T311" s="15"/>
      <c r="U311" s="15"/>
      <c r="V311" s="15"/>
      <c r="W311" s="15"/>
      <c r="X311" s="15"/>
      <c r="Y311" s="15"/>
      <c r="Z311" s="15"/>
      <c r="AA311" s="15" t="n">
        <v>1</v>
      </c>
      <c r="AB311" s="15" t="n">
        <v>0</v>
      </c>
      <c r="AC311" s="15"/>
      <c r="AD311" s="15"/>
      <c r="AE311" s="15" t="s">
        <v>163</v>
      </c>
      <c r="AF311" s="15"/>
      <c r="AG311" s="24" t="n">
        <f aca="false">SUMIFS(Permissions!$G$2:$G$3000,Permissions!$B$2:$B$3000,$A311,Permissions!$I$2:$I$3000,"Complete",Permissions!$P$2:$P$3000,"Yes")</f>
        <v>0</v>
      </c>
      <c r="AH311" s="24" t="n">
        <f aca="false">SUMIFS(Permissions!$G$2:$G$3000,Permissions!$B$2:$B$3000,$A311,Permissions!$I$2:$I$3000,"Under construction",Permissions!$P$2:$P$3000,"Yes")</f>
        <v>0</v>
      </c>
      <c r="AI311" s="24" t="n">
        <f aca="false">SUMIFS(Permissions!$G$2:$G$3000,Permissions!$B$2:$B$3000,$A311,Permissions!$I$2:$I$3000,"Permitted – not started",Permissions!$P$2:$P$3000,"Yes")</f>
        <v>10</v>
      </c>
      <c r="AJ311" s="24" t="n">
        <f aca="false">SUMIFS(Permissions!$G$2:$G$3000,Permissions!$B$2:$B$3000,$A311,Permissions!$I$2:$I$3000,"Stalled",Permissions!$P$2:$P$3000,"Yes")</f>
        <v>0</v>
      </c>
      <c r="AK311" s="24" t="n">
        <f aca="false">AG311+AH311+AI311+AJ311</f>
        <v>10</v>
      </c>
      <c r="AL311" s="24" t="n">
        <f aca="false">SUMIFS(Permissions!$G$2:$G$3000,Permissions!$B$2:$B$3000,$A311,Permissions!$I$2:$I$3000,"Expired – not started",Permissions!$P$2:$P$3000,"Yes")</f>
        <v>0</v>
      </c>
      <c r="AM311" s="24" t="n">
        <f aca="false">SUMIFS(Permissions!$G$2:$G$3000,Permissions!$B$2:$B$3000,$A311,Permissions!$I$2:$I$3000,"In planning",Permissions!$P$2:$P$3000,"Yes")</f>
        <v>0</v>
      </c>
      <c r="AN311" s="24" t="n">
        <f aca="false">IF(R311="",0,MAX(R311-AK311,0))</f>
        <v>0</v>
      </c>
      <c r="AO311" s="25" t="n">
        <f aca="false">AK311+AN311</f>
        <v>10</v>
      </c>
      <c r="AP311" s="24" t="n">
        <f aca="false">AO311-AG311</f>
        <v>10</v>
      </c>
      <c r="AQ311" s="26" t="n">
        <f aca="false">SUMIFS(Permissions!$AH$2:$AH$3000,Permissions!$B$2:$B$3000,$A311,Permissions!$P$2:$P$3000,"Yes")</f>
        <v>0</v>
      </c>
      <c r="AR311" s="26" t="n">
        <f aca="false">SUMIFS(Permissions!$AI$2:$AI$3000,Permissions!$B$2:$B$3000,$A311,Permissions!$P$2:$P$3000,"Yes")</f>
        <v>0</v>
      </c>
      <c r="AS311" s="26" t="n">
        <f aca="false">SUMIFS(Permissions!$AJ$2:$AJ$3000,Permissions!$B$2:$B$3000,$A311,Permissions!$P$2:$P$3000,"Yes")</f>
        <v>8.4</v>
      </c>
      <c r="AT311" s="26" t="n">
        <f aca="false">SUMIFS(Permissions!$AK$2:$AK$3000,Permissions!$B$2:$B$3000,$A311,Permissions!$P$2:$P$3000,"Yes")</f>
        <v>1.6</v>
      </c>
      <c r="AU311" s="26" t="n">
        <f aca="false">SUMIFS(Permissions!$AL$2:$AL$3000,Permissions!$B$2:$B$3000,$A311,Permissions!$P$2:$P$3000,"Yes")</f>
        <v>0</v>
      </c>
      <c r="AV311" s="26" t="n">
        <f aca="false">SUMIFS(Permissions!$AM$2:$AM$3000,Permissions!$B$2:$B$3000,$A311,Permissions!$P$2:$P$3000,"Yes")</f>
        <v>0</v>
      </c>
      <c r="AW311" s="24" t="n">
        <f aca="false">COUNTIFS(Permissions!$B$2:$B$3000,$A311,Permissions!$P$2:$P$3000,"Yes")</f>
        <v>1</v>
      </c>
      <c r="AX311" s="24" t="n">
        <f aca="false">SUMIFS(Permissions!$L$2:$L$3000,Permissions!$B$2:$B$3000,$A311,Permissions!$P$2:$P$3000,"Yes")</f>
        <v>0</v>
      </c>
      <c r="AY311" s="27" t="str">
        <f aca="false">IF(AND(AK311&gt;0,AG311&gt;=AK311,AN311=0),"Built out",IF(AG311&gt;0,"Partly built",IF(AK311&gt;0,"Consented – not built","No consent")))</f>
        <v>Consented – not built</v>
      </c>
      <c r="AZ311" s="28" t="str">
        <f aca="false">IF(AND(R311&lt;&gt;"",AK311&gt;1.1*R311),"Consented above capacity",IF(AND(LEFT(B311,8)="Planning",AW311=0),"Consent parcel with no permission",IF(COUNTIF($A$2:$A$3000,$A311)&gt;1,"Duplicate parcel_id","")))</f>
        <v/>
      </c>
    </row>
    <row r="312" customFormat="false" ht="15" hidden="false" customHeight="false" outlineLevel="0" collapsed="false">
      <c r="A312" s="15" t="s">
        <v>706</v>
      </c>
      <c r="B312" s="15" t="s">
        <v>12</v>
      </c>
      <c r="C312" s="15" t="s">
        <v>17</v>
      </c>
      <c r="D312" s="15" t="s">
        <v>74</v>
      </c>
      <c r="E312" s="15" t="s">
        <v>21</v>
      </c>
      <c r="F312" s="15" t="n">
        <v>0</v>
      </c>
      <c r="G312" s="15" t="s">
        <v>616</v>
      </c>
      <c r="H312" s="15"/>
      <c r="I312" s="15" t="s">
        <v>558</v>
      </c>
      <c r="J312" s="15" t="s">
        <v>155</v>
      </c>
      <c r="K312" s="15" t="s">
        <v>707</v>
      </c>
      <c r="L312" s="15"/>
      <c r="M312" s="15"/>
      <c r="N312" s="15"/>
      <c r="O312" s="15"/>
      <c r="P312" s="15" t="n">
        <v>5.848</v>
      </c>
      <c r="Q312" s="15" t="n">
        <v>5.848</v>
      </c>
      <c r="R312" s="15"/>
      <c r="S312" s="15" t="s">
        <v>346</v>
      </c>
      <c r="T312" s="15"/>
      <c r="U312" s="15"/>
      <c r="V312" s="15"/>
      <c r="W312" s="15"/>
      <c r="X312" s="15"/>
      <c r="Y312" s="15"/>
      <c r="Z312" s="15"/>
      <c r="AA312" s="15" t="n">
        <v>0</v>
      </c>
      <c r="AB312" s="15" t="n">
        <v>0</v>
      </c>
      <c r="AC312" s="15"/>
      <c r="AD312" s="15"/>
      <c r="AE312" s="15" t="s">
        <v>163</v>
      </c>
      <c r="AF312" s="15"/>
      <c r="AG312" s="24" t="n">
        <f aca="false">SUMIFS(Permissions!$G$2:$G$3000,Permissions!$B$2:$B$3000,$A312,Permissions!$I$2:$I$3000,"Complete",Permissions!$P$2:$P$3000,"Yes")</f>
        <v>0</v>
      </c>
      <c r="AH312" s="24" t="n">
        <f aca="false">SUMIFS(Permissions!$G$2:$G$3000,Permissions!$B$2:$B$3000,$A312,Permissions!$I$2:$I$3000,"Under construction",Permissions!$P$2:$P$3000,"Yes")</f>
        <v>90</v>
      </c>
      <c r="AI312" s="24" t="n">
        <f aca="false">SUMIFS(Permissions!$G$2:$G$3000,Permissions!$B$2:$B$3000,$A312,Permissions!$I$2:$I$3000,"Permitted – not started",Permissions!$P$2:$P$3000,"Yes")</f>
        <v>0</v>
      </c>
      <c r="AJ312" s="24" t="n">
        <f aca="false">SUMIFS(Permissions!$G$2:$G$3000,Permissions!$B$2:$B$3000,$A312,Permissions!$I$2:$I$3000,"Stalled",Permissions!$P$2:$P$3000,"Yes")</f>
        <v>0</v>
      </c>
      <c r="AK312" s="24" t="n">
        <f aca="false">AG312+AH312+AI312+AJ312</f>
        <v>90</v>
      </c>
      <c r="AL312" s="24" t="n">
        <f aca="false">SUMIFS(Permissions!$G$2:$G$3000,Permissions!$B$2:$B$3000,$A312,Permissions!$I$2:$I$3000,"Expired – not started",Permissions!$P$2:$P$3000,"Yes")</f>
        <v>0</v>
      </c>
      <c r="AM312" s="24" t="n">
        <f aca="false">SUMIFS(Permissions!$G$2:$G$3000,Permissions!$B$2:$B$3000,$A312,Permissions!$I$2:$I$3000,"In planning",Permissions!$P$2:$P$3000,"Yes")</f>
        <v>0</v>
      </c>
      <c r="AN312" s="24" t="n">
        <f aca="false">IF(R312="",0,MAX(R312-AK312,0))</f>
        <v>0</v>
      </c>
      <c r="AO312" s="25" t="n">
        <f aca="false">AK312+AN312</f>
        <v>90</v>
      </c>
      <c r="AP312" s="24" t="n">
        <f aca="false">AO312-AG312</f>
        <v>90</v>
      </c>
      <c r="AQ312" s="26" t="n">
        <f aca="false">SUMIFS(Permissions!$AH$2:$AH$3000,Permissions!$B$2:$B$3000,$A312,Permissions!$P$2:$P$3000,"Yes")</f>
        <v>8.4</v>
      </c>
      <c r="AR312" s="26" t="n">
        <f aca="false">SUMIFS(Permissions!$AI$2:$AI$3000,Permissions!$B$2:$B$3000,$A312,Permissions!$P$2:$P$3000,"Yes")</f>
        <v>47.7</v>
      </c>
      <c r="AS312" s="26" t="n">
        <f aca="false">SUMIFS(Permissions!$AJ$2:$AJ$3000,Permissions!$B$2:$B$3000,$A312,Permissions!$P$2:$P$3000,"Yes")</f>
        <v>33.9</v>
      </c>
      <c r="AT312" s="26" t="n">
        <f aca="false">SUMIFS(Permissions!$AK$2:$AK$3000,Permissions!$B$2:$B$3000,$A312,Permissions!$P$2:$P$3000,"Yes")</f>
        <v>0</v>
      </c>
      <c r="AU312" s="26" t="n">
        <f aca="false">SUMIFS(Permissions!$AL$2:$AL$3000,Permissions!$B$2:$B$3000,$A312,Permissions!$P$2:$P$3000,"Yes")</f>
        <v>0</v>
      </c>
      <c r="AV312" s="26" t="n">
        <f aca="false">SUMIFS(Permissions!$AM$2:$AM$3000,Permissions!$B$2:$B$3000,$A312,Permissions!$P$2:$P$3000,"Yes")</f>
        <v>0</v>
      </c>
      <c r="AW312" s="24" t="n">
        <f aca="false">COUNTIFS(Permissions!$B$2:$B$3000,$A312,Permissions!$P$2:$P$3000,"Yes")</f>
        <v>2</v>
      </c>
      <c r="AX312" s="24" t="n">
        <f aca="false">SUMIFS(Permissions!$L$2:$L$3000,Permissions!$B$2:$B$3000,$A312,Permissions!$P$2:$P$3000,"Yes")</f>
        <v>0</v>
      </c>
      <c r="AY312" s="27" t="str">
        <f aca="false">IF(AND(AK312&gt;0,AG312&gt;=AK312,AN312=0),"Built out",IF(AG312&gt;0,"Partly built",IF(AK312&gt;0,"Consented – not built","No consent")))</f>
        <v>Consented – not built</v>
      </c>
      <c r="AZ312" s="28" t="str">
        <f aca="false">IF(AND(R312&lt;&gt;"",AK312&gt;1.1*R312),"Consented above capacity",IF(AND(LEFT(B312,8)="Planning",AW312=0),"Consent parcel with no permission",IF(COUNTIF($A$2:$A$3000,$A312)&gt;1,"Duplicate parcel_id","")))</f>
        <v/>
      </c>
    </row>
    <row r="313" customFormat="false" ht="15" hidden="false" customHeight="false" outlineLevel="0" collapsed="false">
      <c r="A313" s="15" t="s">
        <v>708</v>
      </c>
      <c r="B313" s="15" t="s">
        <v>12</v>
      </c>
      <c r="C313" s="15" t="s">
        <v>17</v>
      </c>
      <c r="D313" s="15" t="s">
        <v>60</v>
      </c>
      <c r="E313" s="15" t="s">
        <v>20</v>
      </c>
      <c r="F313" s="15" t="n">
        <v>0.84</v>
      </c>
      <c r="G313" s="15" t="s">
        <v>154</v>
      </c>
      <c r="H313" s="15"/>
      <c r="I313" s="15" t="s">
        <v>558</v>
      </c>
      <c r="J313" s="15" t="s">
        <v>568</v>
      </c>
      <c r="K313" s="15" t="s">
        <v>709</v>
      </c>
      <c r="L313" s="15"/>
      <c r="M313" s="15"/>
      <c r="N313" s="15"/>
      <c r="O313" s="15"/>
      <c r="P313" s="15" t="n">
        <v>0.56</v>
      </c>
      <c r="Q313" s="15" t="n">
        <v>0.56</v>
      </c>
      <c r="R313" s="15"/>
      <c r="S313" s="15" t="s">
        <v>346</v>
      </c>
      <c r="T313" s="15"/>
      <c r="U313" s="15"/>
      <c r="V313" s="15"/>
      <c r="W313" s="15"/>
      <c r="X313" s="15"/>
      <c r="Y313" s="15"/>
      <c r="Z313" s="15"/>
      <c r="AA313" s="15" t="n">
        <v>0</v>
      </c>
      <c r="AB313" s="15" t="n">
        <v>0</v>
      </c>
      <c r="AC313" s="15"/>
      <c r="AD313" s="15"/>
      <c r="AE313" s="15" t="s">
        <v>163</v>
      </c>
      <c r="AF313" s="15"/>
      <c r="AG313" s="24" t="n">
        <f aca="false">SUMIFS(Permissions!$G$2:$G$3000,Permissions!$B$2:$B$3000,$A313,Permissions!$I$2:$I$3000,"Complete",Permissions!$P$2:$P$3000,"Yes")</f>
        <v>0</v>
      </c>
      <c r="AH313" s="24" t="n">
        <f aca="false">SUMIFS(Permissions!$G$2:$G$3000,Permissions!$B$2:$B$3000,$A313,Permissions!$I$2:$I$3000,"Under construction",Permissions!$P$2:$P$3000,"Yes")</f>
        <v>0</v>
      </c>
      <c r="AI313" s="24" t="n">
        <f aca="false">SUMIFS(Permissions!$G$2:$G$3000,Permissions!$B$2:$B$3000,$A313,Permissions!$I$2:$I$3000,"Permitted – not started",Permissions!$P$2:$P$3000,"Yes")</f>
        <v>12</v>
      </c>
      <c r="AJ313" s="24" t="n">
        <f aca="false">SUMIFS(Permissions!$G$2:$G$3000,Permissions!$B$2:$B$3000,$A313,Permissions!$I$2:$I$3000,"Stalled",Permissions!$P$2:$P$3000,"Yes")</f>
        <v>0</v>
      </c>
      <c r="AK313" s="24" t="n">
        <f aca="false">AG313+AH313+AI313+AJ313</f>
        <v>12</v>
      </c>
      <c r="AL313" s="24" t="n">
        <f aca="false">SUMIFS(Permissions!$G$2:$G$3000,Permissions!$B$2:$B$3000,$A313,Permissions!$I$2:$I$3000,"Expired – not started",Permissions!$P$2:$P$3000,"Yes")</f>
        <v>0</v>
      </c>
      <c r="AM313" s="24" t="n">
        <f aca="false">SUMIFS(Permissions!$G$2:$G$3000,Permissions!$B$2:$B$3000,$A313,Permissions!$I$2:$I$3000,"In planning",Permissions!$P$2:$P$3000,"Yes")</f>
        <v>0</v>
      </c>
      <c r="AN313" s="24" t="n">
        <f aca="false">IF(R313="",0,MAX(R313-AK313,0))</f>
        <v>0</v>
      </c>
      <c r="AO313" s="25" t="n">
        <f aca="false">AK313+AN313</f>
        <v>12</v>
      </c>
      <c r="AP313" s="24" t="n">
        <f aca="false">AO313-AG313</f>
        <v>12</v>
      </c>
      <c r="AQ313" s="26" t="n">
        <f aca="false">SUMIFS(Permissions!$AH$2:$AH$3000,Permissions!$B$2:$B$3000,$A313,Permissions!$P$2:$P$3000,"Yes")</f>
        <v>0</v>
      </c>
      <c r="AR313" s="26" t="n">
        <f aca="false">SUMIFS(Permissions!$AI$2:$AI$3000,Permissions!$B$2:$B$3000,$A313,Permissions!$P$2:$P$3000,"Yes")</f>
        <v>0</v>
      </c>
      <c r="AS313" s="26" t="n">
        <f aca="false">SUMIFS(Permissions!$AJ$2:$AJ$3000,Permissions!$B$2:$B$3000,$A313,Permissions!$P$2:$P$3000,"Yes")</f>
        <v>0</v>
      </c>
      <c r="AT313" s="26" t="n">
        <f aca="false">SUMIFS(Permissions!$AK$2:$AK$3000,Permissions!$B$2:$B$3000,$A313,Permissions!$P$2:$P$3000,"Yes")</f>
        <v>11.3</v>
      </c>
      <c r="AU313" s="26" t="n">
        <f aca="false">SUMIFS(Permissions!$AL$2:$AL$3000,Permissions!$B$2:$B$3000,$A313,Permissions!$P$2:$P$3000,"Yes")</f>
        <v>0.7</v>
      </c>
      <c r="AV313" s="26" t="n">
        <f aca="false">SUMIFS(Permissions!$AM$2:$AM$3000,Permissions!$B$2:$B$3000,$A313,Permissions!$P$2:$P$3000,"Yes")</f>
        <v>0</v>
      </c>
      <c r="AW313" s="24" t="n">
        <f aca="false">COUNTIFS(Permissions!$B$2:$B$3000,$A313,Permissions!$P$2:$P$3000,"Yes")</f>
        <v>1</v>
      </c>
      <c r="AX313" s="24" t="n">
        <f aca="false">SUMIFS(Permissions!$L$2:$L$3000,Permissions!$B$2:$B$3000,$A313,Permissions!$P$2:$P$3000,"Yes")</f>
        <v>0</v>
      </c>
      <c r="AY313" s="27" t="str">
        <f aca="false">IF(AND(AK313&gt;0,AG313&gt;=AK313,AN313=0),"Built out",IF(AG313&gt;0,"Partly built",IF(AK313&gt;0,"Consented – not built","No consent")))</f>
        <v>Consented – not built</v>
      </c>
      <c r="AZ313" s="28" t="str">
        <f aca="false">IF(AND(R313&lt;&gt;"",AK313&gt;1.1*R313),"Consented above capacity",IF(AND(LEFT(B313,8)="Planning",AW313=0),"Consent parcel with no permission",IF(COUNTIF($A$2:$A$3000,$A313)&gt;1,"Duplicate parcel_id","")))</f>
        <v/>
      </c>
    </row>
    <row r="314" customFormat="false" ht="15" hidden="false" customHeight="false" outlineLevel="0" collapsed="false">
      <c r="A314" s="15" t="s">
        <v>710</v>
      </c>
      <c r="B314" s="15" t="s">
        <v>12</v>
      </c>
      <c r="C314" s="15" t="s">
        <v>17</v>
      </c>
      <c r="D314" s="15" t="s">
        <v>22</v>
      </c>
      <c r="E314" s="15" t="s">
        <v>22</v>
      </c>
      <c r="F314" s="15"/>
      <c r="G314" s="15" t="s">
        <v>22</v>
      </c>
      <c r="H314" s="15"/>
      <c r="I314" s="15" t="s">
        <v>558</v>
      </c>
      <c r="J314" s="15" t="s">
        <v>568</v>
      </c>
      <c r="K314" s="15" t="s">
        <v>711</v>
      </c>
      <c r="L314" s="15"/>
      <c r="M314" s="15"/>
      <c r="N314" s="15"/>
      <c r="O314" s="15"/>
      <c r="P314" s="15" t="n">
        <v>0.639</v>
      </c>
      <c r="Q314" s="15" t="n">
        <v>0.639</v>
      </c>
      <c r="R314" s="15" t="n">
        <v>8</v>
      </c>
      <c r="S314" s="15" t="s">
        <v>372</v>
      </c>
      <c r="T314" s="15"/>
      <c r="U314" s="15"/>
      <c r="V314" s="15"/>
      <c r="W314" s="15"/>
      <c r="X314" s="15"/>
      <c r="Y314" s="15"/>
      <c r="Z314" s="15"/>
      <c r="AA314" s="15" t="n">
        <v>1</v>
      </c>
      <c r="AB314" s="15" t="n">
        <v>0</v>
      </c>
      <c r="AC314" s="15"/>
      <c r="AD314" s="15"/>
      <c r="AE314" s="15" t="s">
        <v>163</v>
      </c>
      <c r="AF314" s="15"/>
      <c r="AG314" s="24" t="n">
        <f aca="false">SUMIFS(Permissions!$G$2:$G$3000,Permissions!$B$2:$B$3000,$A314,Permissions!$I$2:$I$3000,"Complete",Permissions!$P$2:$P$3000,"Yes")</f>
        <v>0</v>
      </c>
      <c r="AH314" s="24" t="n">
        <f aca="false">SUMIFS(Permissions!$G$2:$G$3000,Permissions!$B$2:$B$3000,$A314,Permissions!$I$2:$I$3000,"Under construction",Permissions!$P$2:$P$3000,"Yes")</f>
        <v>0</v>
      </c>
      <c r="AI314" s="24" t="n">
        <f aca="false">SUMIFS(Permissions!$G$2:$G$3000,Permissions!$B$2:$B$3000,$A314,Permissions!$I$2:$I$3000,"Permitted – not started",Permissions!$P$2:$P$3000,"Yes")</f>
        <v>0</v>
      </c>
      <c r="AJ314" s="24" t="n">
        <f aca="false">SUMIFS(Permissions!$G$2:$G$3000,Permissions!$B$2:$B$3000,$A314,Permissions!$I$2:$I$3000,"Stalled",Permissions!$P$2:$P$3000,"Yes")</f>
        <v>0</v>
      </c>
      <c r="AK314" s="24" t="n">
        <f aca="false">AG314+AH314+AI314+AJ314</f>
        <v>0</v>
      </c>
      <c r="AL314" s="24" t="n">
        <f aca="false">SUMIFS(Permissions!$G$2:$G$3000,Permissions!$B$2:$B$3000,$A314,Permissions!$I$2:$I$3000,"Expired – not started",Permissions!$P$2:$P$3000,"Yes")</f>
        <v>0</v>
      </c>
      <c r="AM314" s="24" t="n">
        <f aca="false">SUMIFS(Permissions!$G$2:$G$3000,Permissions!$B$2:$B$3000,$A314,Permissions!$I$2:$I$3000,"In planning",Permissions!$P$2:$P$3000,"Yes")</f>
        <v>8</v>
      </c>
      <c r="AN314" s="24" t="n">
        <f aca="false">IF(R314="",0,MAX(R314-AK314,0))</f>
        <v>8</v>
      </c>
      <c r="AO314" s="25" t="n">
        <f aca="false">AK314+AN314</f>
        <v>8</v>
      </c>
      <c r="AP314" s="24" t="n">
        <f aca="false">AO314-AG314</f>
        <v>8</v>
      </c>
      <c r="AQ314" s="26" t="n">
        <f aca="false">SUMIFS(Permissions!$AH$2:$AH$3000,Permissions!$B$2:$B$3000,$A314,Permissions!$P$2:$P$3000,"Yes")</f>
        <v>0</v>
      </c>
      <c r="AR314" s="26" t="n">
        <f aca="false">SUMIFS(Permissions!$AI$2:$AI$3000,Permissions!$B$2:$B$3000,$A314,Permissions!$P$2:$P$3000,"Yes")</f>
        <v>0</v>
      </c>
      <c r="AS314" s="26" t="n">
        <f aca="false">SUMIFS(Permissions!$AJ$2:$AJ$3000,Permissions!$B$2:$B$3000,$A314,Permissions!$P$2:$P$3000,"Yes")</f>
        <v>0</v>
      </c>
      <c r="AT314" s="26" t="n">
        <f aca="false">SUMIFS(Permissions!$AK$2:$AK$3000,Permissions!$B$2:$B$3000,$A314,Permissions!$P$2:$P$3000,"Yes")</f>
        <v>0</v>
      </c>
      <c r="AU314" s="26" t="n">
        <f aca="false">SUMIFS(Permissions!$AL$2:$AL$3000,Permissions!$B$2:$B$3000,$A314,Permissions!$P$2:$P$3000,"Yes")</f>
        <v>0</v>
      </c>
      <c r="AV314" s="26" t="n">
        <f aca="false">SUMIFS(Permissions!$AM$2:$AM$3000,Permissions!$B$2:$B$3000,$A314,Permissions!$P$2:$P$3000,"Yes")</f>
        <v>0</v>
      </c>
      <c r="AW314" s="24" t="n">
        <f aca="false">COUNTIFS(Permissions!$B$2:$B$3000,$A314,Permissions!$P$2:$P$3000,"Yes")</f>
        <v>1</v>
      </c>
      <c r="AX314" s="24" t="n">
        <f aca="false">SUMIFS(Permissions!$L$2:$L$3000,Permissions!$B$2:$B$3000,$A314,Permissions!$P$2:$P$3000,"Yes")</f>
        <v>0</v>
      </c>
      <c r="AY314" s="27" t="str">
        <f aca="false">IF(AND(AK314&gt;0,AG314&gt;=AK314,AN314=0),"Built out",IF(AG314&gt;0,"Partly built",IF(AK314&gt;0,"Consented – not built","No consent")))</f>
        <v>No consent</v>
      </c>
      <c r="AZ314" s="28" t="str">
        <f aca="false">IF(AND(R314&lt;&gt;"",AK314&gt;1.1*R314),"Consented above capacity",IF(AND(LEFT(B314,8)="Planning",AW314=0),"Consent parcel with no permission",IF(COUNTIF($A$2:$A$3000,$A314)&gt;1,"Duplicate parcel_id","")))</f>
        <v/>
      </c>
    </row>
    <row r="315" customFormat="false" ht="15" hidden="false" customHeight="false" outlineLevel="0" collapsed="false">
      <c r="A315" s="15" t="s">
        <v>712</v>
      </c>
      <c r="B315" s="15" t="s">
        <v>12</v>
      </c>
      <c r="C315" s="15" t="s">
        <v>17</v>
      </c>
      <c r="D315" s="15" t="s">
        <v>64</v>
      </c>
      <c r="E315" s="15" t="s">
        <v>20</v>
      </c>
      <c r="F315" s="15" t="n">
        <v>1</v>
      </c>
      <c r="G315" s="15" t="s">
        <v>154</v>
      </c>
      <c r="H315" s="15"/>
      <c r="I315" s="15" t="s">
        <v>558</v>
      </c>
      <c r="J315" s="15" t="s">
        <v>568</v>
      </c>
      <c r="K315" s="15" t="s">
        <v>713</v>
      </c>
      <c r="L315" s="15"/>
      <c r="M315" s="15"/>
      <c r="N315" s="15"/>
      <c r="O315" s="15"/>
      <c r="P315" s="15" t="n">
        <v>0.485</v>
      </c>
      <c r="Q315" s="15" t="n">
        <v>0.485</v>
      </c>
      <c r="R315" s="15" t="n">
        <v>30</v>
      </c>
      <c r="S315" s="15" t="s">
        <v>372</v>
      </c>
      <c r="T315" s="15"/>
      <c r="U315" s="15"/>
      <c r="V315" s="15"/>
      <c r="W315" s="15"/>
      <c r="X315" s="15"/>
      <c r="Y315" s="15"/>
      <c r="Z315" s="15"/>
      <c r="AA315" s="15" t="n">
        <v>0</v>
      </c>
      <c r="AB315" s="15" t="n">
        <v>0</v>
      </c>
      <c r="AC315" s="15"/>
      <c r="AD315" s="15"/>
      <c r="AE315" s="15" t="s">
        <v>163</v>
      </c>
      <c r="AF315" s="15"/>
      <c r="AG315" s="24" t="n">
        <f aca="false">SUMIFS(Permissions!$G$2:$G$3000,Permissions!$B$2:$B$3000,$A315,Permissions!$I$2:$I$3000,"Complete",Permissions!$P$2:$P$3000,"Yes")</f>
        <v>0</v>
      </c>
      <c r="AH315" s="24" t="n">
        <f aca="false">SUMIFS(Permissions!$G$2:$G$3000,Permissions!$B$2:$B$3000,$A315,Permissions!$I$2:$I$3000,"Under construction",Permissions!$P$2:$P$3000,"Yes")</f>
        <v>0</v>
      </c>
      <c r="AI315" s="24" t="n">
        <f aca="false">SUMIFS(Permissions!$G$2:$G$3000,Permissions!$B$2:$B$3000,$A315,Permissions!$I$2:$I$3000,"Permitted – not started",Permissions!$P$2:$P$3000,"Yes")</f>
        <v>0</v>
      </c>
      <c r="AJ315" s="24" t="n">
        <f aca="false">SUMIFS(Permissions!$G$2:$G$3000,Permissions!$B$2:$B$3000,$A315,Permissions!$I$2:$I$3000,"Stalled",Permissions!$P$2:$P$3000,"Yes")</f>
        <v>0</v>
      </c>
      <c r="AK315" s="24" t="n">
        <f aca="false">AG315+AH315+AI315+AJ315</f>
        <v>0</v>
      </c>
      <c r="AL315" s="24" t="n">
        <f aca="false">SUMIFS(Permissions!$G$2:$G$3000,Permissions!$B$2:$B$3000,$A315,Permissions!$I$2:$I$3000,"Expired – not started",Permissions!$P$2:$P$3000,"Yes")</f>
        <v>0</v>
      </c>
      <c r="AM315" s="24" t="n">
        <f aca="false">SUMIFS(Permissions!$G$2:$G$3000,Permissions!$B$2:$B$3000,$A315,Permissions!$I$2:$I$3000,"In planning",Permissions!$P$2:$P$3000,"Yes")</f>
        <v>30</v>
      </c>
      <c r="AN315" s="24" t="n">
        <f aca="false">IF(R315="",0,MAX(R315-AK315,0))</f>
        <v>30</v>
      </c>
      <c r="AO315" s="25" t="n">
        <f aca="false">AK315+AN315</f>
        <v>30</v>
      </c>
      <c r="AP315" s="24" t="n">
        <f aca="false">AO315-AG315</f>
        <v>30</v>
      </c>
      <c r="AQ315" s="26" t="n">
        <f aca="false">SUMIFS(Permissions!$AH$2:$AH$3000,Permissions!$B$2:$B$3000,$A315,Permissions!$P$2:$P$3000,"Yes")</f>
        <v>0</v>
      </c>
      <c r="AR315" s="26" t="n">
        <f aca="false">SUMIFS(Permissions!$AI$2:$AI$3000,Permissions!$B$2:$B$3000,$A315,Permissions!$P$2:$P$3000,"Yes")</f>
        <v>0</v>
      </c>
      <c r="AS315" s="26" t="n">
        <f aca="false">SUMIFS(Permissions!$AJ$2:$AJ$3000,Permissions!$B$2:$B$3000,$A315,Permissions!$P$2:$P$3000,"Yes")</f>
        <v>0</v>
      </c>
      <c r="AT315" s="26" t="n">
        <f aca="false">SUMIFS(Permissions!$AK$2:$AK$3000,Permissions!$B$2:$B$3000,$A315,Permissions!$P$2:$P$3000,"Yes")</f>
        <v>0</v>
      </c>
      <c r="AU315" s="26" t="n">
        <f aca="false">SUMIFS(Permissions!$AL$2:$AL$3000,Permissions!$B$2:$B$3000,$A315,Permissions!$P$2:$P$3000,"Yes")</f>
        <v>0</v>
      </c>
      <c r="AV315" s="26" t="n">
        <f aca="false">SUMIFS(Permissions!$AM$2:$AM$3000,Permissions!$B$2:$B$3000,$A315,Permissions!$P$2:$P$3000,"Yes")</f>
        <v>0</v>
      </c>
      <c r="AW315" s="24" t="n">
        <f aca="false">COUNTIFS(Permissions!$B$2:$B$3000,$A315,Permissions!$P$2:$P$3000,"Yes")</f>
        <v>1</v>
      </c>
      <c r="AX315" s="24" t="n">
        <f aca="false">SUMIFS(Permissions!$L$2:$L$3000,Permissions!$B$2:$B$3000,$A315,Permissions!$P$2:$P$3000,"Yes")</f>
        <v>0</v>
      </c>
      <c r="AY315" s="27" t="str">
        <f aca="false">IF(AND(AK315&gt;0,AG315&gt;=AK315,AN315=0),"Built out",IF(AG315&gt;0,"Partly built",IF(AK315&gt;0,"Consented – not built","No consent")))</f>
        <v>No consent</v>
      </c>
      <c r="AZ315" s="28" t="str">
        <f aca="false">IF(AND(R315&lt;&gt;"",AK315&gt;1.1*R315),"Consented above capacity",IF(AND(LEFT(B315,8)="Planning",AW315=0),"Consent parcel with no permission",IF(COUNTIF($A$2:$A$3000,$A315)&gt;1,"Duplicate parcel_id","")))</f>
        <v/>
      </c>
    </row>
    <row r="316" customFormat="false" ht="15" hidden="false" customHeight="false" outlineLevel="0" collapsed="false">
      <c r="A316" s="15" t="s">
        <v>714</v>
      </c>
      <c r="B316" s="15" t="s">
        <v>12</v>
      </c>
      <c r="C316" s="15" t="s">
        <v>17</v>
      </c>
      <c r="D316" s="15" t="s">
        <v>67</v>
      </c>
      <c r="E316" s="15" t="s">
        <v>21</v>
      </c>
      <c r="F316" s="15" t="n">
        <v>0</v>
      </c>
      <c r="G316" s="15" t="s">
        <v>715</v>
      </c>
      <c r="H316" s="15"/>
      <c r="I316" s="15" t="s">
        <v>558</v>
      </c>
      <c r="J316" s="15" t="s">
        <v>583</v>
      </c>
      <c r="K316" s="15" t="s">
        <v>716</v>
      </c>
      <c r="L316" s="15"/>
      <c r="M316" s="15"/>
      <c r="N316" s="15"/>
      <c r="O316" s="15"/>
      <c r="P316" s="15" t="n">
        <v>15.516</v>
      </c>
      <c r="Q316" s="15" t="n">
        <v>15.516</v>
      </c>
      <c r="R316" s="15"/>
      <c r="S316" s="15" t="s">
        <v>346</v>
      </c>
      <c r="T316" s="15"/>
      <c r="U316" s="15"/>
      <c r="V316" s="15"/>
      <c r="W316" s="15"/>
      <c r="X316" s="15"/>
      <c r="Y316" s="15"/>
      <c r="Z316" s="15"/>
      <c r="AA316" s="15" t="n">
        <v>1</v>
      </c>
      <c r="AB316" s="15" t="n">
        <v>0</v>
      </c>
      <c r="AC316" s="15"/>
      <c r="AD316" s="15"/>
      <c r="AE316" s="15" t="s">
        <v>163</v>
      </c>
      <c r="AF316" s="15"/>
      <c r="AG316" s="24" t="n">
        <f aca="false">SUMIFS(Permissions!$G$2:$G$3000,Permissions!$B$2:$B$3000,$A316,Permissions!$I$2:$I$3000,"Complete",Permissions!$P$2:$P$3000,"Yes")</f>
        <v>0</v>
      </c>
      <c r="AH316" s="24" t="n">
        <f aca="false">SUMIFS(Permissions!$G$2:$G$3000,Permissions!$B$2:$B$3000,$A316,Permissions!$I$2:$I$3000,"Under construction",Permissions!$P$2:$P$3000,"Yes")</f>
        <v>0</v>
      </c>
      <c r="AI316" s="24" t="n">
        <f aca="false">SUMIFS(Permissions!$G$2:$G$3000,Permissions!$B$2:$B$3000,$A316,Permissions!$I$2:$I$3000,"Permitted – not started",Permissions!$P$2:$P$3000,"Yes")</f>
        <v>28</v>
      </c>
      <c r="AJ316" s="24" t="n">
        <f aca="false">SUMIFS(Permissions!$G$2:$G$3000,Permissions!$B$2:$B$3000,$A316,Permissions!$I$2:$I$3000,"Stalled",Permissions!$P$2:$P$3000,"Yes")</f>
        <v>0</v>
      </c>
      <c r="AK316" s="24" t="n">
        <f aca="false">AG316+AH316+AI316+AJ316</f>
        <v>28</v>
      </c>
      <c r="AL316" s="24" t="n">
        <f aca="false">SUMIFS(Permissions!$G$2:$G$3000,Permissions!$B$2:$B$3000,$A316,Permissions!$I$2:$I$3000,"Expired – not started",Permissions!$P$2:$P$3000,"Yes")</f>
        <v>0</v>
      </c>
      <c r="AM316" s="24" t="n">
        <f aca="false">SUMIFS(Permissions!$G$2:$G$3000,Permissions!$B$2:$B$3000,$A316,Permissions!$I$2:$I$3000,"In planning",Permissions!$P$2:$P$3000,"Yes")</f>
        <v>0</v>
      </c>
      <c r="AN316" s="24" t="n">
        <f aca="false">IF(R316="",0,MAX(R316-AK316,0))</f>
        <v>0</v>
      </c>
      <c r="AO316" s="25" t="n">
        <f aca="false">AK316+AN316</f>
        <v>28</v>
      </c>
      <c r="AP316" s="24" t="n">
        <f aca="false">AO316-AG316</f>
        <v>28</v>
      </c>
      <c r="AQ316" s="26" t="n">
        <f aca="false">SUMIFS(Permissions!$AH$2:$AH$3000,Permissions!$B$2:$B$3000,$A316,Permissions!$P$2:$P$3000,"Yes")</f>
        <v>0</v>
      </c>
      <c r="AR316" s="26" t="n">
        <f aca="false">SUMIFS(Permissions!$AI$2:$AI$3000,Permissions!$B$2:$B$3000,$A316,Permissions!$P$2:$P$3000,"Yes")</f>
        <v>0</v>
      </c>
      <c r="AS316" s="26" t="n">
        <f aca="false">SUMIFS(Permissions!$AJ$2:$AJ$3000,Permissions!$B$2:$B$3000,$A316,Permissions!$P$2:$P$3000,"Yes")</f>
        <v>0</v>
      </c>
      <c r="AT316" s="26" t="n">
        <f aca="false">SUMIFS(Permissions!$AK$2:$AK$3000,Permissions!$B$2:$B$3000,$A316,Permissions!$P$2:$P$3000,"Yes")</f>
        <v>27.8</v>
      </c>
      <c r="AU316" s="26" t="n">
        <f aca="false">SUMIFS(Permissions!$AL$2:$AL$3000,Permissions!$B$2:$B$3000,$A316,Permissions!$P$2:$P$3000,"Yes")</f>
        <v>0.2</v>
      </c>
      <c r="AV316" s="26" t="n">
        <f aca="false">SUMIFS(Permissions!$AM$2:$AM$3000,Permissions!$B$2:$B$3000,$A316,Permissions!$P$2:$P$3000,"Yes")</f>
        <v>0</v>
      </c>
      <c r="AW316" s="24" t="n">
        <f aca="false">COUNTIFS(Permissions!$B$2:$B$3000,$A316,Permissions!$P$2:$P$3000,"Yes")</f>
        <v>1</v>
      </c>
      <c r="AX316" s="24" t="n">
        <f aca="false">SUMIFS(Permissions!$L$2:$L$3000,Permissions!$B$2:$B$3000,$A316,Permissions!$P$2:$P$3000,"Yes")</f>
        <v>0</v>
      </c>
      <c r="AY316" s="27" t="str">
        <f aca="false">IF(AND(AK316&gt;0,AG316&gt;=AK316,AN316=0),"Built out",IF(AG316&gt;0,"Partly built",IF(AK316&gt;0,"Consented – not built","No consent")))</f>
        <v>Consented – not built</v>
      </c>
      <c r="AZ316" s="28" t="str">
        <f aca="false">IF(AND(R316&lt;&gt;"",AK316&gt;1.1*R316),"Consented above capacity",IF(AND(LEFT(B316,8)="Planning",AW316=0),"Consent parcel with no permission",IF(COUNTIF($A$2:$A$3000,$A316)&gt;1,"Duplicate parcel_id","")))</f>
        <v/>
      </c>
    </row>
    <row r="317" customFormat="false" ht="15" hidden="false" customHeight="false" outlineLevel="0" collapsed="false">
      <c r="A317" s="15" t="s">
        <v>717</v>
      </c>
      <c r="B317" s="15" t="s">
        <v>12</v>
      </c>
      <c r="C317" s="15" t="s">
        <v>17</v>
      </c>
      <c r="D317" s="15" t="s">
        <v>22</v>
      </c>
      <c r="E317" s="15" t="s">
        <v>22</v>
      </c>
      <c r="F317" s="15"/>
      <c r="G317" s="15" t="s">
        <v>22</v>
      </c>
      <c r="H317" s="15"/>
      <c r="I317" s="15" t="s">
        <v>558</v>
      </c>
      <c r="J317" s="15" t="s">
        <v>155</v>
      </c>
      <c r="K317" s="15" t="s">
        <v>718</v>
      </c>
      <c r="L317" s="15"/>
      <c r="M317" s="15"/>
      <c r="N317" s="15"/>
      <c r="O317" s="15"/>
      <c r="P317" s="15" t="n">
        <v>0.196</v>
      </c>
      <c r="Q317" s="15" t="n">
        <v>0.196</v>
      </c>
      <c r="R317" s="15" t="n">
        <v>17</v>
      </c>
      <c r="S317" s="15" t="s">
        <v>359</v>
      </c>
      <c r="T317" s="15"/>
      <c r="U317" s="15"/>
      <c r="V317" s="15"/>
      <c r="W317" s="15"/>
      <c r="X317" s="15"/>
      <c r="Y317" s="15"/>
      <c r="Z317" s="15"/>
      <c r="AA317" s="15" t="n">
        <v>2</v>
      </c>
      <c r="AB317" s="15" t="n">
        <v>2</v>
      </c>
      <c r="AC317" s="15"/>
      <c r="AD317" s="15" t="s">
        <v>373</v>
      </c>
      <c r="AE317" s="15" t="s">
        <v>163</v>
      </c>
      <c r="AF317" s="15"/>
      <c r="AG317" s="24" t="n">
        <f aca="false">SUMIFS(Permissions!$G$2:$G$3000,Permissions!$B$2:$B$3000,$A317,Permissions!$I$2:$I$3000,"Complete",Permissions!$P$2:$P$3000,"Yes")</f>
        <v>0</v>
      </c>
      <c r="AH317" s="24" t="n">
        <f aca="false">SUMIFS(Permissions!$G$2:$G$3000,Permissions!$B$2:$B$3000,$A317,Permissions!$I$2:$I$3000,"Under construction",Permissions!$P$2:$P$3000,"Yes")</f>
        <v>0</v>
      </c>
      <c r="AI317" s="24" t="n">
        <f aca="false">SUMIFS(Permissions!$G$2:$G$3000,Permissions!$B$2:$B$3000,$A317,Permissions!$I$2:$I$3000,"Permitted – not started",Permissions!$P$2:$P$3000,"Yes")</f>
        <v>0</v>
      </c>
      <c r="AJ317" s="24" t="n">
        <f aca="false">SUMIFS(Permissions!$G$2:$G$3000,Permissions!$B$2:$B$3000,$A317,Permissions!$I$2:$I$3000,"Stalled",Permissions!$P$2:$P$3000,"Yes")</f>
        <v>0</v>
      </c>
      <c r="AK317" s="24" t="n">
        <f aca="false">AG317+AH317+AI317+AJ317</f>
        <v>0</v>
      </c>
      <c r="AL317" s="24" t="n">
        <f aca="false">SUMIFS(Permissions!$G$2:$G$3000,Permissions!$B$2:$B$3000,$A317,Permissions!$I$2:$I$3000,"Expired – not started",Permissions!$P$2:$P$3000,"Yes")</f>
        <v>17</v>
      </c>
      <c r="AM317" s="24" t="n">
        <f aca="false">SUMIFS(Permissions!$G$2:$G$3000,Permissions!$B$2:$B$3000,$A317,Permissions!$I$2:$I$3000,"In planning",Permissions!$P$2:$P$3000,"Yes")</f>
        <v>0</v>
      </c>
      <c r="AN317" s="24" t="n">
        <f aca="false">IF(R317="",0,MAX(R317-AK317,0))</f>
        <v>17</v>
      </c>
      <c r="AO317" s="25" t="n">
        <f aca="false">AK317+AN317</f>
        <v>17</v>
      </c>
      <c r="AP317" s="24" t="n">
        <f aca="false">AO317-AG317</f>
        <v>17</v>
      </c>
      <c r="AQ317" s="26" t="n">
        <f aca="false">SUMIFS(Permissions!$AH$2:$AH$3000,Permissions!$B$2:$B$3000,$A317,Permissions!$P$2:$P$3000,"Yes")</f>
        <v>0</v>
      </c>
      <c r="AR317" s="26" t="n">
        <f aca="false">SUMIFS(Permissions!$AI$2:$AI$3000,Permissions!$B$2:$B$3000,$A317,Permissions!$P$2:$P$3000,"Yes")</f>
        <v>0</v>
      </c>
      <c r="AS317" s="26" t="n">
        <f aca="false">SUMIFS(Permissions!$AJ$2:$AJ$3000,Permissions!$B$2:$B$3000,$A317,Permissions!$P$2:$P$3000,"Yes")</f>
        <v>0</v>
      </c>
      <c r="AT317" s="26" t="n">
        <f aca="false">SUMIFS(Permissions!$AK$2:$AK$3000,Permissions!$B$2:$B$3000,$A317,Permissions!$P$2:$P$3000,"Yes")</f>
        <v>0</v>
      </c>
      <c r="AU317" s="26" t="n">
        <f aca="false">SUMIFS(Permissions!$AL$2:$AL$3000,Permissions!$B$2:$B$3000,$A317,Permissions!$P$2:$P$3000,"Yes")</f>
        <v>0</v>
      </c>
      <c r="AV317" s="26" t="n">
        <f aca="false">SUMIFS(Permissions!$AM$2:$AM$3000,Permissions!$B$2:$B$3000,$A317,Permissions!$P$2:$P$3000,"Yes")</f>
        <v>0</v>
      </c>
      <c r="AW317" s="24" t="n">
        <f aca="false">COUNTIFS(Permissions!$B$2:$B$3000,$A317,Permissions!$P$2:$P$3000,"Yes")</f>
        <v>1</v>
      </c>
      <c r="AX317" s="24" t="n">
        <f aca="false">SUMIFS(Permissions!$L$2:$L$3000,Permissions!$B$2:$B$3000,$A317,Permissions!$P$2:$P$3000,"Yes")</f>
        <v>3</v>
      </c>
      <c r="AY317" s="27" t="str">
        <f aca="false">IF(AND(AK317&gt;0,AG317&gt;=AK317,AN317=0),"Built out",IF(AG317&gt;0,"Partly built",IF(AK317&gt;0,"Consented – not built","No consent")))</f>
        <v>No consent</v>
      </c>
      <c r="AZ317" s="28" t="str">
        <f aca="false">IF(AND(R317&lt;&gt;"",AK317&gt;1.1*R317),"Consented above capacity",IF(AND(LEFT(B317,8)="Planning",AW317=0),"Consent parcel with no permission",IF(COUNTIF($A$2:$A$3000,$A317)&gt;1,"Duplicate parcel_id","")))</f>
        <v/>
      </c>
    </row>
    <row r="318" customFormat="false" ht="15" hidden="false" customHeight="false" outlineLevel="0" collapsed="false">
      <c r="A318" s="15" t="s">
        <v>719</v>
      </c>
      <c r="B318" s="15" t="s">
        <v>12</v>
      </c>
      <c r="C318" s="15" t="s">
        <v>17</v>
      </c>
      <c r="D318" s="15" t="s">
        <v>62</v>
      </c>
      <c r="E318" s="15" t="s">
        <v>20</v>
      </c>
      <c r="F318" s="15" t="n">
        <v>1</v>
      </c>
      <c r="G318" s="15" t="s">
        <v>154</v>
      </c>
      <c r="H318" s="15"/>
      <c r="I318" s="15" t="s">
        <v>558</v>
      </c>
      <c r="J318" s="15" t="s">
        <v>205</v>
      </c>
      <c r="K318" s="15" t="s">
        <v>720</v>
      </c>
      <c r="L318" s="15"/>
      <c r="M318" s="15"/>
      <c r="N318" s="15"/>
      <c r="O318" s="15"/>
      <c r="P318" s="15" t="n">
        <v>0.163</v>
      </c>
      <c r="Q318" s="15" t="n">
        <v>0.163</v>
      </c>
      <c r="R318" s="15"/>
      <c r="S318" s="15" t="s">
        <v>346</v>
      </c>
      <c r="T318" s="15"/>
      <c r="U318" s="15"/>
      <c r="V318" s="15"/>
      <c r="W318" s="15"/>
      <c r="X318" s="15"/>
      <c r="Y318" s="15"/>
      <c r="Z318" s="15"/>
      <c r="AA318" s="15" t="n">
        <v>4</v>
      </c>
      <c r="AB318" s="15" t="n">
        <v>4</v>
      </c>
      <c r="AC318" s="15"/>
      <c r="AD318" s="15"/>
      <c r="AE318" s="15" t="s">
        <v>163</v>
      </c>
      <c r="AF318" s="15"/>
      <c r="AG318" s="24" t="n">
        <f aca="false">SUMIFS(Permissions!$G$2:$G$3000,Permissions!$B$2:$B$3000,$A318,Permissions!$I$2:$I$3000,"Complete",Permissions!$P$2:$P$3000,"Yes")</f>
        <v>4</v>
      </c>
      <c r="AH318" s="24" t="n">
        <f aca="false">SUMIFS(Permissions!$G$2:$G$3000,Permissions!$B$2:$B$3000,$A318,Permissions!$I$2:$I$3000,"Under construction",Permissions!$P$2:$P$3000,"Yes")</f>
        <v>0</v>
      </c>
      <c r="AI318" s="24" t="n">
        <f aca="false">SUMIFS(Permissions!$G$2:$G$3000,Permissions!$B$2:$B$3000,$A318,Permissions!$I$2:$I$3000,"Permitted – not started",Permissions!$P$2:$P$3000,"Yes")</f>
        <v>0</v>
      </c>
      <c r="AJ318" s="24" t="n">
        <f aca="false">SUMIFS(Permissions!$G$2:$G$3000,Permissions!$B$2:$B$3000,$A318,Permissions!$I$2:$I$3000,"Stalled",Permissions!$P$2:$P$3000,"Yes")</f>
        <v>0</v>
      </c>
      <c r="AK318" s="24" t="n">
        <f aca="false">AG318+AH318+AI318+AJ318</f>
        <v>4</v>
      </c>
      <c r="AL318" s="24" t="n">
        <f aca="false">SUMIFS(Permissions!$G$2:$G$3000,Permissions!$B$2:$B$3000,$A318,Permissions!$I$2:$I$3000,"Expired – not started",Permissions!$P$2:$P$3000,"Yes")</f>
        <v>0</v>
      </c>
      <c r="AM318" s="24" t="n">
        <f aca="false">SUMIFS(Permissions!$G$2:$G$3000,Permissions!$B$2:$B$3000,$A318,Permissions!$I$2:$I$3000,"In planning",Permissions!$P$2:$P$3000,"Yes")</f>
        <v>0</v>
      </c>
      <c r="AN318" s="24" t="n">
        <f aca="false">IF(R318="",0,MAX(R318-AK318,0))</f>
        <v>0</v>
      </c>
      <c r="AO318" s="25" t="n">
        <f aca="false">AK318+AN318</f>
        <v>4</v>
      </c>
      <c r="AP318" s="24" t="n">
        <f aca="false">AO318-AG318</f>
        <v>0</v>
      </c>
      <c r="AQ318" s="26" t="n">
        <f aca="false">SUMIFS(Permissions!$AH$2:$AH$3000,Permissions!$B$2:$B$3000,$A318,Permissions!$P$2:$P$3000,"Yes")</f>
        <v>0</v>
      </c>
      <c r="AR318" s="26" t="n">
        <f aca="false">SUMIFS(Permissions!$AI$2:$AI$3000,Permissions!$B$2:$B$3000,$A318,Permissions!$P$2:$P$3000,"Yes")</f>
        <v>0</v>
      </c>
      <c r="AS318" s="26" t="n">
        <f aca="false">SUMIFS(Permissions!$AJ$2:$AJ$3000,Permissions!$B$2:$B$3000,$A318,Permissions!$P$2:$P$3000,"Yes")</f>
        <v>0</v>
      </c>
      <c r="AT318" s="26" t="n">
        <f aca="false">SUMIFS(Permissions!$AK$2:$AK$3000,Permissions!$B$2:$B$3000,$A318,Permissions!$P$2:$P$3000,"Yes")</f>
        <v>0</v>
      </c>
      <c r="AU318" s="26" t="n">
        <f aca="false">SUMIFS(Permissions!$AL$2:$AL$3000,Permissions!$B$2:$B$3000,$A318,Permissions!$P$2:$P$3000,"Yes")</f>
        <v>0</v>
      </c>
      <c r="AV318" s="26" t="n">
        <f aca="false">SUMIFS(Permissions!$AM$2:$AM$3000,Permissions!$B$2:$B$3000,$A318,Permissions!$P$2:$P$3000,"Yes")</f>
        <v>0</v>
      </c>
      <c r="AW318" s="24" t="n">
        <f aca="false">COUNTIFS(Permissions!$B$2:$B$3000,$A318,Permissions!$P$2:$P$3000,"Yes")</f>
        <v>1</v>
      </c>
      <c r="AX318" s="24" t="n">
        <f aca="false">SUMIFS(Permissions!$L$2:$L$3000,Permissions!$B$2:$B$3000,$A318,Permissions!$P$2:$P$3000,"Yes")</f>
        <v>4</v>
      </c>
      <c r="AY318" s="27" t="str">
        <f aca="false">IF(AND(AK318&gt;0,AG318&gt;=AK318,AN318=0),"Built out",IF(AG318&gt;0,"Partly built",IF(AK318&gt;0,"Consented – not built","No consent")))</f>
        <v>Built out</v>
      </c>
      <c r="AZ318" s="28" t="str">
        <f aca="false">IF(AND(R318&lt;&gt;"",AK318&gt;1.1*R318),"Consented above capacity",IF(AND(LEFT(B318,8)="Planning",AW318=0),"Consent parcel with no permission",IF(COUNTIF($A$2:$A$3000,$A318)&gt;1,"Duplicate parcel_id","")))</f>
        <v/>
      </c>
    </row>
    <row r="319" customFormat="false" ht="15" hidden="false" customHeight="false" outlineLevel="0" collapsed="false">
      <c r="A319" s="15" t="s">
        <v>721</v>
      </c>
      <c r="B319" s="15" t="s">
        <v>12</v>
      </c>
      <c r="C319" s="15" t="s">
        <v>17</v>
      </c>
      <c r="D319" s="15" t="s">
        <v>74</v>
      </c>
      <c r="E319" s="15" t="s">
        <v>21</v>
      </c>
      <c r="F319" s="15" t="n">
        <v>1</v>
      </c>
      <c r="G319" s="15" t="s">
        <v>154</v>
      </c>
      <c r="H319" s="15"/>
      <c r="I319" s="15" t="s">
        <v>558</v>
      </c>
      <c r="J319" s="15" t="s">
        <v>155</v>
      </c>
      <c r="K319" s="15" t="s">
        <v>722</v>
      </c>
      <c r="L319" s="15"/>
      <c r="M319" s="15"/>
      <c r="N319" s="15"/>
      <c r="O319" s="15"/>
      <c r="P319" s="15" t="n">
        <v>0.196</v>
      </c>
      <c r="Q319" s="15" t="n">
        <v>0.196</v>
      </c>
      <c r="R319" s="15"/>
      <c r="S319" s="15" t="s">
        <v>346</v>
      </c>
      <c r="T319" s="15"/>
      <c r="U319" s="15"/>
      <c r="V319" s="15"/>
      <c r="W319" s="15"/>
      <c r="X319" s="15"/>
      <c r="Y319" s="15"/>
      <c r="Z319" s="15"/>
      <c r="AA319" s="15" t="n">
        <v>0</v>
      </c>
      <c r="AB319" s="15" t="n">
        <v>0</v>
      </c>
      <c r="AC319" s="15"/>
      <c r="AD319" s="15" t="s">
        <v>373</v>
      </c>
      <c r="AE319" s="15" t="s">
        <v>163</v>
      </c>
      <c r="AF319" s="15"/>
      <c r="AG319" s="24" t="n">
        <f aca="false">SUMIFS(Permissions!$G$2:$G$3000,Permissions!$B$2:$B$3000,$A319,Permissions!$I$2:$I$3000,"Complete",Permissions!$P$2:$P$3000,"Yes")</f>
        <v>0</v>
      </c>
      <c r="AH319" s="24" t="n">
        <f aca="false">SUMIFS(Permissions!$G$2:$G$3000,Permissions!$B$2:$B$3000,$A319,Permissions!$I$2:$I$3000,"Under construction",Permissions!$P$2:$P$3000,"Yes")</f>
        <v>0</v>
      </c>
      <c r="AI319" s="24" t="n">
        <f aca="false">SUMIFS(Permissions!$G$2:$G$3000,Permissions!$B$2:$B$3000,$A319,Permissions!$I$2:$I$3000,"Permitted – not started",Permissions!$P$2:$P$3000,"Yes")</f>
        <v>24</v>
      </c>
      <c r="AJ319" s="24" t="n">
        <f aca="false">SUMIFS(Permissions!$G$2:$G$3000,Permissions!$B$2:$B$3000,$A319,Permissions!$I$2:$I$3000,"Stalled",Permissions!$P$2:$P$3000,"Yes")</f>
        <v>0</v>
      </c>
      <c r="AK319" s="24" t="n">
        <f aca="false">AG319+AH319+AI319+AJ319</f>
        <v>24</v>
      </c>
      <c r="AL319" s="24" t="n">
        <f aca="false">SUMIFS(Permissions!$G$2:$G$3000,Permissions!$B$2:$B$3000,$A319,Permissions!$I$2:$I$3000,"Expired – not started",Permissions!$P$2:$P$3000,"Yes")</f>
        <v>0</v>
      </c>
      <c r="AM319" s="24" t="n">
        <f aca="false">SUMIFS(Permissions!$G$2:$G$3000,Permissions!$B$2:$B$3000,$A319,Permissions!$I$2:$I$3000,"In planning",Permissions!$P$2:$P$3000,"Yes")</f>
        <v>0</v>
      </c>
      <c r="AN319" s="24" t="n">
        <f aca="false">IF(R319="",0,MAX(R319-AK319,0))</f>
        <v>0</v>
      </c>
      <c r="AO319" s="25" t="n">
        <f aca="false">AK319+AN319</f>
        <v>24</v>
      </c>
      <c r="AP319" s="24" t="n">
        <f aca="false">AO319-AG319</f>
        <v>24</v>
      </c>
      <c r="AQ319" s="26" t="n">
        <f aca="false">SUMIFS(Permissions!$AH$2:$AH$3000,Permissions!$B$2:$B$3000,$A319,Permissions!$P$2:$P$3000,"Yes")</f>
        <v>0</v>
      </c>
      <c r="AR319" s="26" t="n">
        <f aca="false">SUMIFS(Permissions!$AI$2:$AI$3000,Permissions!$B$2:$B$3000,$A319,Permissions!$P$2:$P$3000,"Yes")</f>
        <v>0</v>
      </c>
      <c r="AS319" s="26" t="n">
        <f aca="false">SUMIFS(Permissions!$AJ$2:$AJ$3000,Permissions!$B$2:$B$3000,$A319,Permissions!$P$2:$P$3000,"Yes")</f>
        <v>6.2</v>
      </c>
      <c r="AT319" s="26" t="n">
        <f aca="false">SUMIFS(Permissions!$AK$2:$AK$3000,Permissions!$B$2:$B$3000,$A319,Permissions!$P$2:$P$3000,"Yes")</f>
        <v>12.8</v>
      </c>
      <c r="AU319" s="26" t="n">
        <f aca="false">SUMIFS(Permissions!$AL$2:$AL$3000,Permissions!$B$2:$B$3000,$A319,Permissions!$P$2:$P$3000,"Yes")</f>
        <v>5</v>
      </c>
      <c r="AV319" s="26" t="n">
        <f aca="false">SUMIFS(Permissions!$AM$2:$AM$3000,Permissions!$B$2:$B$3000,$A319,Permissions!$P$2:$P$3000,"Yes")</f>
        <v>0</v>
      </c>
      <c r="AW319" s="24" t="n">
        <f aca="false">COUNTIFS(Permissions!$B$2:$B$3000,$A319,Permissions!$P$2:$P$3000,"Yes")</f>
        <v>1</v>
      </c>
      <c r="AX319" s="24" t="n">
        <f aca="false">SUMIFS(Permissions!$L$2:$L$3000,Permissions!$B$2:$B$3000,$A319,Permissions!$P$2:$P$3000,"Yes")</f>
        <v>0</v>
      </c>
      <c r="AY319" s="27" t="str">
        <f aca="false">IF(AND(AK319&gt;0,AG319&gt;=AK319,AN319=0),"Built out",IF(AG319&gt;0,"Partly built",IF(AK319&gt;0,"Consented – not built","No consent")))</f>
        <v>Consented – not built</v>
      </c>
      <c r="AZ319" s="28" t="str">
        <f aca="false">IF(AND(R319&lt;&gt;"",AK319&gt;1.1*R319),"Consented above capacity",IF(AND(LEFT(B319,8)="Planning",AW319=0),"Consent parcel with no permission",IF(COUNTIF($A$2:$A$3000,$A319)&gt;1,"Duplicate parcel_id","")))</f>
        <v/>
      </c>
    </row>
    <row r="320" customFormat="false" ht="15" hidden="false" customHeight="false" outlineLevel="0" collapsed="false">
      <c r="A320" s="15" t="s">
        <v>723</v>
      </c>
      <c r="B320" s="15" t="s">
        <v>12</v>
      </c>
      <c r="C320" s="15" t="s">
        <v>17</v>
      </c>
      <c r="D320" s="15" t="s">
        <v>22</v>
      </c>
      <c r="E320" s="15" t="s">
        <v>22</v>
      </c>
      <c r="F320" s="15"/>
      <c r="G320" s="15" t="s">
        <v>22</v>
      </c>
      <c r="H320" s="15"/>
      <c r="I320" s="15" t="s">
        <v>558</v>
      </c>
      <c r="J320" s="15" t="s">
        <v>568</v>
      </c>
      <c r="K320" s="15" t="s">
        <v>724</v>
      </c>
      <c r="L320" s="15"/>
      <c r="M320" s="15"/>
      <c r="N320" s="15"/>
      <c r="O320" s="15"/>
      <c r="P320" s="15" t="n">
        <v>0.196</v>
      </c>
      <c r="Q320" s="15" t="n">
        <v>0.196</v>
      </c>
      <c r="R320" s="15"/>
      <c r="S320" s="15" t="s">
        <v>346</v>
      </c>
      <c r="T320" s="15"/>
      <c r="U320" s="15"/>
      <c r="V320" s="15"/>
      <c r="W320" s="15"/>
      <c r="X320" s="15"/>
      <c r="Y320" s="15"/>
      <c r="Z320" s="15"/>
      <c r="AA320" s="15" t="n">
        <v>5</v>
      </c>
      <c r="AB320" s="15" t="n">
        <v>0</v>
      </c>
      <c r="AC320" s="15"/>
      <c r="AD320" s="15" t="s">
        <v>373</v>
      </c>
      <c r="AE320" s="15" t="s">
        <v>163</v>
      </c>
      <c r="AF320" s="15"/>
      <c r="AG320" s="24" t="n">
        <f aca="false">SUMIFS(Permissions!$G$2:$G$3000,Permissions!$B$2:$B$3000,$A320,Permissions!$I$2:$I$3000,"Complete",Permissions!$P$2:$P$3000,"Yes")</f>
        <v>0</v>
      </c>
      <c r="AH320" s="24" t="n">
        <f aca="false">SUMIFS(Permissions!$G$2:$G$3000,Permissions!$B$2:$B$3000,$A320,Permissions!$I$2:$I$3000,"Under construction",Permissions!$P$2:$P$3000,"Yes")</f>
        <v>0</v>
      </c>
      <c r="AI320" s="24" t="n">
        <f aca="false">SUMIFS(Permissions!$G$2:$G$3000,Permissions!$B$2:$B$3000,$A320,Permissions!$I$2:$I$3000,"Permitted – not started",Permissions!$P$2:$P$3000,"Yes")</f>
        <v>4</v>
      </c>
      <c r="AJ320" s="24" t="n">
        <f aca="false">SUMIFS(Permissions!$G$2:$G$3000,Permissions!$B$2:$B$3000,$A320,Permissions!$I$2:$I$3000,"Stalled",Permissions!$P$2:$P$3000,"Yes")</f>
        <v>0</v>
      </c>
      <c r="AK320" s="24" t="n">
        <f aca="false">AG320+AH320+AI320+AJ320</f>
        <v>4</v>
      </c>
      <c r="AL320" s="24" t="n">
        <f aca="false">SUMIFS(Permissions!$G$2:$G$3000,Permissions!$B$2:$B$3000,$A320,Permissions!$I$2:$I$3000,"Expired – not started",Permissions!$P$2:$P$3000,"Yes")</f>
        <v>0</v>
      </c>
      <c r="AM320" s="24" t="n">
        <f aca="false">SUMIFS(Permissions!$G$2:$G$3000,Permissions!$B$2:$B$3000,$A320,Permissions!$I$2:$I$3000,"In planning",Permissions!$P$2:$P$3000,"Yes")</f>
        <v>0</v>
      </c>
      <c r="AN320" s="24" t="n">
        <f aca="false">IF(R320="",0,MAX(R320-AK320,0))</f>
        <v>0</v>
      </c>
      <c r="AO320" s="25" t="n">
        <f aca="false">AK320+AN320</f>
        <v>4</v>
      </c>
      <c r="AP320" s="24" t="n">
        <f aca="false">AO320-AG320</f>
        <v>4</v>
      </c>
      <c r="AQ320" s="26" t="n">
        <f aca="false">SUMIFS(Permissions!$AH$2:$AH$3000,Permissions!$B$2:$B$3000,$A320,Permissions!$P$2:$P$3000,"Yes")</f>
        <v>0</v>
      </c>
      <c r="AR320" s="26" t="n">
        <f aca="false">SUMIFS(Permissions!$AI$2:$AI$3000,Permissions!$B$2:$B$3000,$A320,Permissions!$P$2:$P$3000,"Yes")</f>
        <v>0</v>
      </c>
      <c r="AS320" s="26" t="n">
        <f aca="false">SUMIFS(Permissions!$AJ$2:$AJ$3000,Permissions!$B$2:$B$3000,$A320,Permissions!$P$2:$P$3000,"Yes")</f>
        <v>3.5</v>
      </c>
      <c r="AT320" s="26" t="n">
        <f aca="false">SUMIFS(Permissions!$AK$2:$AK$3000,Permissions!$B$2:$B$3000,$A320,Permissions!$P$2:$P$3000,"Yes")</f>
        <v>0.5</v>
      </c>
      <c r="AU320" s="26" t="n">
        <f aca="false">SUMIFS(Permissions!$AL$2:$AL$3000,Permissions!$B$2:$B$3000,$A320,Permissions!$P$2:$P$3000,"Yes")</f>
        <v>0</v>
      </c>
      <c r="AV320" s="26" t="n">
        <f aca="false">SUMIFS(Permissions!$AM$2:$AM$3000,Permissions!$B$2:$B$3000,$A320,Permissions!$P$2:$P$3000,"Yes")</f>
        <v>0</v>
      </c>
      <c r="AW320" s="24" t="n">
        <f aca="false">COUNTIFS(Permissions!$B$2:$B$3000,$A320,Permissions!$P$2:$P$3000,"Yes")</f>
        <v>1</v>
      </c>
      <c r="AX320" s="24" t="n">
        <f aca="false">SUMIFS(Permissions!$L$2:$L$3000,Permissions!$B$2:$B$3000,$A320,Permissions!$P$2:$P$3000,"Yes")</f>
        <v>0</v>
      </c>
      <c r="AY320" s="27" t="str">
        <f aca="false">IF(AND(AK320&gt;0,AG320&gt;=AK320,AN320=0),"Built out",IF(AG320&gt;0,"Partly built",IF(AK320&gt;0,"Consented – not built","No consent")))</f>
        <v>Consented – not built</v>
      </c>
      <c r="AZ320" s="28" t="str">
        <f aca="false">IF(AND(R320&lt;&gt;"",AK320&gt;1.1*R320),"Consented above capacity",IF(AND(LEFT(B320,8)="Planning",AW320=0),"Consent parcel with no permission",IF(COUNTIF($A$2:$A$3000,$A320)&gt;1,"Duplicate parcel_id","")))</f>
        <v/>
      </c>
    </row>
    <row r="321" customFormat="false" ht="15" hidden="false" customHeight="false" outlineLevel="0" collapsed="false">
      <c r="A321" s="15" t="s">
        <v>725</v>
      </c>
      <c r="B321" s="15" t="s">
        <v>12</v>
      </c>
      <c r="C321" s="15" t="s">
        <v>17</v>
      </c>
      <c r="D321" s="15" t="s">
        <v>65</v>
      </c>
      <c r="E321" s="15" t="s">
        <v>20</v>
      </c>
      <c r="F321" s="15" t="n">
        <v>1</v>
      </c>
      <c r="G321" s="15" t="s">
        <v>154</v>
      </c>
      <c r="H321" s="15"/>
      <c r="I321" s="15" t="s">
        <v>558</v>
      </c>
      <c r="J321" s="15" t="s">
        <v>583</v>
      </c>
      <c r="K321" s="15" t="s">
        <v>726</v>
      </c>
      <c r="L321" s="15"/>
      <c r="M321" s="15"/>
      <c r="N321" s="15"/>
      <c r="O321" s="15"/>
      <c r="P321" s="15" t="n">
        <v>0.196</v>
      </c>
      <c r="Q321" s="15" t="n">
        <v>0.196</v>
      </c>
      <c r="R321" s="15"/>
      <c r="S321" s="15" t="s">
        <v>346</v>
      </c>
      <c r="T321" s="15"/>
      <c r="U321" s="15"/>
      <c r="V321" s="15"/>
      <c r="W321" s="15"/>
      <c r="X321" s="15"/>
      <c r="Y321" s="15"/>
      <c r="Z321" s="15"/>
      <c r="AA321" s="15" t="n">
        <v>2</v>
      </c>
      <c r="AB321" s="15" t="n">
        <v>0</v>
      </c>
      <c r="AC321" s="15"/>
      <c r="AD321" s="15" t="s">
        <v>373</v>
      </c>
      <c r="AE321" s="15" t="s">
        <v>163</v>
      </c>
      <c r="AF321" s="15"/>
      <c r="AG321" s="24" t="n">
        <f aca="false">SUMIFS(Permissions!$G$2:$G$3000,Permissions!$B$2:$B$3000,$A321,Permissions!$I$2:$I$3000,"Complete",Permissions!$P$2:$P$3000,"Yes")</f>
        <v>0</v>
      </c>
      <c r="AH321" s="24" t="n">
        <f aca="false">SUMIFS(Permissions!$G$2:$G$3000,Permissions!$B$2:$B$3000,$A321,Permissions!$I$2:$I$3000,"Under construction",Permissions!$P$2:$P$3000,"Yes")</f>
        <v>11</v>
      </c>
      <c r="AI321" s="24" t="n">
        <f aca="false">SUMIFS(Permissions!$G$2:$G$3000,Permissions!$B$2:$B$3000,$A321,Permissions!$I$2:$I$3000,"Permitted – not started",Permissions!$P$2:$P$3000,"Yes")</f>
        <v>0</v>
      </c>
      <c r="AJ321" s="24" t="n">
        <f aca="false">SUMIFS(Permissions!$G$2:$G$3000,Permissions!$B$2:$B$3000,$A321,Permissions!$I$2:$I$3000,"Stalled",Permissions!$P$2:$P$3000,"Yes")</f>
        <v>0</v>
      </c>
      <c r="AK321" s="24" t="n">
        <f aca="false">AG321+AH321+AI321+AJ321</f>
        <v>11</v>
      </c>
      <c r="AL321" s="24" t="n">
        <f aca="false">SUMIFS(Permissions!$G$2:$G$3000,Permissions!$B$2:$B$3000,$A321,Permissions!$I$2:$I$3000,"Expired – not started",Permissions!$P$2:$P$3000,"Yes")</f>
        <v>0</v>
      </c>
      <c r="AM321" s="24" t="n">
        <f aca="false">SUMIFS(Permissions!$G$2:$G$3000,Permissions!$B$2:$B$3000,$A321,Permissions!$I$2:$I$3000,"In planning",Permissions!$P$2:$P$3000,"Yes")</f>
        <v>0</v>
      </c>
      <c r="AN321" s="24" t="n">
        <f aca="false">IF(R321="",0,MAX(R321-AK321,0))</f>
        <v>0</v>
      </c>
      <c r="AO321" s="25" t="n">
        <f aca="false">AK321+AN321</f>
        <v>11</v>
      </c>
      <c r="AP321" s="24" t="n">
        <f aca="false">AO321-AG321</f>
        <v>11</v>
      </c>
      <c r="AQ321" s="26" t="n">
        <f aca="false">SUMIFS(Permissions!$AH$2:$AH$3000,Permissions!$B$2:$B$3000,$A321,Permissions!$P$2:$P$3000,"Yes")</f>
        <v>2.6</v>
      </c>
      <c r="AR321" s="26" t="n">
        <f aca="false">SUMIFS(Permissions!$AI$2:$AI$3000,Permissions!$B$2:$B$3000,$A321,Permissions!$P$2:$P$3000,"Yes")</f>
        <v>8.4</v>
      </c>
      <c r="AS321" s="26" t="n">
        <f aca="false">SUMIFS(Permissions!$AJ$2:$AJ$3000,Permissions!$B$2:$B$3000,$A321,Permissions!$P$2:$P$3000,"Yes")</f>
        <v>0</v>
      </c>
      <c r="AT321" s="26" t="n">
        <f aca="false">SUMIFS(Permissions!$AK$2:$AK$3000,Permissions!$B$2:$B$3000,$A321,Permissions!$P$2:$P$3000,"Yes")</f>
        <v>0</v>
      </c>
      <c r="AU321" s="26" t="n">
        <f aca="false">SUMIFS(Permissions!$AL$2:$AL$3000,Permissions!$B$2:$B$3000,$A321,Permissions!$P$2:$P$3000,"Yes")</f>
        <v>0</v>
      </c>
      <c r="AV321" s="26" t="n">
        <f aca="false">SUMIFS(Permissions!$AM$2:$AM$3000,Permissions!$B$2:$B$3000,$A321,Permissions!$P$2:$P$3000,"Yes")</f>
        <v>0</v>
      </c>
      <c r="AW321" s="24" t="n">
        <f aca="false">COUNTIFS(Permissions!$B$2:$B$3000,$A321,Permissions!$P$2:$P$3000,"Yes")</f>
        <v>1</v>
      </c>
      <c r="AX321" s="24" t="n">
        <f aca="false">SUMIFS(Permissions!$L$2:$L$3000,Permissions!$B$2:$B$3000,$A321,Permissions!$P$2:$P$3000,"Yes")</f>
        <v>0</v>
      </c>
      <c r="AY321" s="27" t="str">
        <f aca="false">IF(AND(AK321&gt;0,AG321&gt;=AK321,AN321=0),"Built out",IF(AG321&gt;0,"Partly built",IF(AK321&gt;0,"Consented – not built","No consent")))</f>
        <v>Consented – not built</v>
      </c>
      <c r="AZ321" s="28" t="str">
        <f aca="false">IF(AND(R321&lt;&gt;"",AK321&gt;1.1*R321),"Consented above capacity",IF(AND(LEFT(B321,8)="Planning",AW321=0),"Consent parcel with no permission",IF(COUNTIF($A$2:$A$3000,$A321)&gt;1,"Duplicate parcel_id","")))</f>
        <v/>
      </c>
    </row>
    <row r="322" customFormat="false" ht="15" hidden="false" customHeight="false" outlineLevel="0" collapsed="false">
      <c r="A322" s="15" t="s">
        <v>727</v>
      </c>
      <c r="B322" s="15" t="s">
        <v>12</v>
      </c>
      <c r="C322" s="15" t="s">
        <v>17</v>
      </c>
      <c r="D322" s="15" t="s">
        <v>22</v>
      </c>
      <c r="E322" s="15" t="s">
        <v>22</v>
      </c>
      <c r="F322" s="15"/>
      <c r="G322" s="15" t="s">
        <v>22</v>
      </c>
      <c r="H322" s="15"/>
      <c r="I322" s="15" t="s">
        <v>558</v>
      </c>
      <c r="J322" s="15" t="s">
        <v>559</v>
      </c>
      <c r="K322" s="15" t="s">
        <v>728</v>
      </c>
      <c r="L322" s="15"/>
      <c r="M322" s="15"/>
      <c r="N322" s="15"/>
      <c r="O322" s="15"/>
      <c r="P322" s="15" t="n">
        <v>0.196</v>
      </c>
      <c r="Q322" s="15" t="n">
        <v>0.196</v>
      </c>
      <c r="R322" s="15" t="n">
        <v>4</v>
      </c>
      <c r="S322" s="15" t="s">
        <v>372</v>
      </c>
      <c r="T322" s="15"/>
      <c r="U322" s="15"/>
      <c r="V322" s="15"/>
      <c r="W322" s="15"/>
      <c r="X322" s="15"/>
      <c r="Y322" s="15"/>
      <c r="Z322" s="15"/>
      <c r="AA322" s="15" t="n">
        <v>1</v>
      </c>
      <c r="AB322" s="15" t="n">
        <v>0</v>
      </c>
      <c r="AC322" s="15"/>
      <c r="AD322" s="15" t="s">
        <v>373</v>
      </c>
      <c r="AE322" s="15" t="s">
        <v>163</v>
      </c>
      <c r="AF322" s="15"/>
      <c r="AG322" s="24" t="n">
        <f aca="false">SUMIFS(Permissions!$G$2:$G$3000,Permissions!$B$2:$B$3000,$A322,Permissions!$I$2:$I$3000,"Complete",Permissions!$P$2:$P$3000,"Yes")</f>
        <v>0</v>
      </c>
      <c r="AH322" s="24" t="n">
        <f aca="false">SUMIFS(Permissions!$G$2:$G$3000,Permissions!$B$2:$B$3000,$A322,Permissions!$I$2:$I$3000,"Under construction",Permissions!$P$2:$P$3000,"Yes")</f>
        <v>0</v>
      </c>
      <c r="AI322" s="24" t="n">
        <f aca="false">SUMIFS(Permissions!$G$2:$G$3000,Permissions!$B$2:$B$3000,$A322,Permissions!$I$2:$I$3000,"Permitted – not started",Permissions!$P$2:$P$3000,"Yes")</f>
        <v>0</v>
      </c>
      <c r="AJ322" s="24" t="n">
        <f aca="false">SUMIFS(Permissions!$G$2:$G$3000,Permissions!$B$2:$B$3000,$A322,Permissions!$I$2:$I$3000,"Stalled",Permissions!$P$2:$P$3000,"Yes")</f>
        <v>0</v>
      </c>
      <c r="AK322" s="24" t="n">
        <f aca="false">AG322+AH322+AI322+AJ322</f>
        <v>0</v>
      </c>
      <c r="AL322" s="24" t="n">
        <f aca="false">SUMIFS(Permissions!$G$2:$G$3000,Permissions!$B$2:$B$3000,$A322,Permissions!$I$2:$I$3000,"Expired – not started",Permissions!$P$2:$P$3000,"Yes")</f>
        <v>0</v>
      </c>
      <c r="AM322" s="24" t="n">
        <f aca="false">SUMIFS(Permissions!$G$2:$G$3000,Permissions!$B$2:$B$3000,$A322,Permissions!$I$2:$I$3000,"In planning",Permissions!$P$2:$P$3000,"Yes")</f>
        <v>4</v>
      </c>
      <c r="AN322" s="24" t="n">
        <f aca="false">IF(R322="",0,MAX(R322-AK322,0))</f>
        <v>4</v>
      </c>
      <c r="AO322" s="25" t="n">
        <f aca="false">AK322+AN322</f>
        <v>4</v>
      </c>
      <c r="AP322" s="24" t="n">
        <f aca="false">AO322-AG322</f>
        <v>4</v>
      </c>
      <c r="AQ322" s="26" t="n">
        <f aca="false">SUMIFS(Permissions!$AH$2:$AH$3000,Permissions!$B$2:$B$3000,$A322,Permissions!$P$2:$P$3000,"Yes")</f>
        <v>0</v>
      </c>
      <c r="AR322" s="26" t="n">
        <f aca="false">SUMIFS(Permissions!$AI$2:$AI$3000,Permissions!$B$2:$B$3000,$A322,Permissions!$P$2:$P$3000,"Yes")</f>
        <v>0</v>
      </c>
      <c r="AS322" s="26" t="n">
        <f aca="false">SUMIFS(Permissions!$AJ$2:$AJ$3000,Permissions!$B$2:$B$3000,$A322,Permissions!$P$2:$P$3000,"Yes")</f>
        <v>0</v>
      </c>
      <c r="AT322" s="26" t="n">
        <f aca="false">SUMIFS(Permissions!$AK$2:$AK$3000,Permissions!$B$2:$B$3000,$A322,Permissions!$P$2:$P$3000,"Yes")</f>
        <v>0</v>
      </c>
      <c r="AU322" s="26" t="n">
        <f aca="false">SUMIFS(Permissions!$AL$2:$AL$3000,Permissions!$B$2:$B$3000,$A322,Permissions!$P$2:$P$3000,"Yes")</f>
        <v>0</v>
      </c>
      <c r="AV322" s="26" t="n">
        <f aca="false">SUMIFS(Permissions!$AM$2:$AM$3000,Permissions!$B$2:$B$3000,$A322,Permissions!$P$2:$P$3000,"Yes")</f>
        <v>0</v>
      </c>
      <c r="AW322" s="24" t="n">
        <f aca="false">COUNTIFS(Permissions!$B$2:$B$3000,$A322,Permissions!$P$2:$P$3000,"Yes")</f>
        <v>1</v>
      </c>
      <c r="AX322" s="24" t="n">
        <f aca="false">SUMIFS(Permissions!$L$2:$L$3000,Permissions!$B$2:$B$3000,$A322,Permissions!$P$2:$P$3000,"Yes")</f>
        <v>0</v>
      </c>
      <c r="AY322" s="27" t="str">
        <f aca="false">IF(AND(AK322&gt;0,AG322&gt;=AK322,AN322=0),"Built out",IF(AG322&gt;0,"Partly built",IF(AK322&gt;0,"Consented – not built","No consent")))</f>
        <v>No consent</v>
      </c>
      <c r="AZ322" s="28" t="str">
        <f aca="false">IF(AND(R322&lt;&gt;"",AK322&gt;1.1*R322),"Consented above capacity",IF(AND(LEFT(B322,8)="Planning",AW322=0),"Consent parcel with no permission",IF(COUNTIF($A$2:$A$3000,$A322)&gt;1,"Duplicate parcel_id","")))</f>
        <v/>
      </c>
    </row>
    <row r="323" customFormat="false" ht="15" hidden="false" customHeight="false" outlineLevel="0" collapsed="false">
      <c r="A323" s="15" t="s">
        <v>729</v>
      </c>
      <c r="B323" s="15" t="s">
        <v>12</v>
      </c>
      <c r="C323" s="15" t="s">
        <v>17</v>
      </c>
      <c r="D323" s="15" t="s">
        <v>68</v>
      </c>
      <c r="E323" s="15" t="s">
        <v>21</v>
      </c>
      <c r="F323" s="15" t="n">
        <v>1</v>
      </c>
      <c r="G323" s="15" t="s">
        <v>154</v>
      </c>
      <c r="H323" s="15"/>
      <c r="I323" s="15" t="s">
        <v>558</v>
      </c>
      <c r="J323" s="15" t="s">
        <v>559</v>
      </c>
      <c r="K323" s="15" t="s">
        <v>730</v>
      </c>
      <c r="L323" s="15"/>
      <c r="M323" s="15"/>
      <c r="N323" s="15"/>
      <c r="O323" s="15"/>
      <c r="P323" s="15" t="n">
        <v>0.196</v>
      </c>
      <c r="Q323" s="15" t="n">
        <v>0.196</v>
      </c>
      <c r="R323" s="15"/>
      <c r="S323" s="15" t="s">
        <v>346</v>
      </c>
      <c r="T323" s="15"/>
      <c r="U323" s="15"/>
      <c r="V323" s="15"/>
      <c r="W323" s="15"/>
      <c r="X323" s="15"/>
      <c r="Y323" s="15"/>
      <c r="Z323" s="15"/>
      <c r="AA323" s="15" t="n">
        <v>14</v>
      </c>
      <c r="AB323" s="15" t="n">
        <v>1</v>
      </c>
      <c r="AC323" s="15"/>
      <c r="AD323" s="15" t="s">
        <v>373</v>
      </c>
      <c r="AE323" s="15" t="s">
        <v>163</v>
      </c>
      <c r="AF323" s="15"/>
      <c r="AG323" s="24" t="n">
        <f aca="false">SUMIFS(Permissions!$G$2:$G$3000,Permissions!$B$2:$B$3000,$A323,Permissions!$I$2:$I$3000,"Complete",Permissions!$P$2:$P$3000,"Yes")</f>
        <v>0</v>
      </c>
      <c r="AH323" s="24" t="n">
        <f aca="false">SUMIFS(Permissions!$G$2:$G$3000,Permissions!$B$2:$B$3000,$A323,Permissions!$I$2:$I$3000,"Under construction",Permissions!$P$2:$P$3000,"Yes")</f>
        <v>18</v>
      </c>
      <c r="AI323" s="24" t="n">
        <f aca="false">SUMIFS(Permissions!$G$2:$G$3000,Permissions!$B$2:$B$3000,$A323,Permissions!$I$2:$I$3000,"Permitted – not started",Permissions!$P$2:$P$3000,"Yes")</f>
        <v>0</v>
      </c>
      <c r="AJ323" s="24" t="n">
        <f aca="false">SUMIFS(Permissions!$G$2:$G$3000,Permissions!$B$2:$B$3000,$A323,Permissions!$I$2:$I$3000,"Stalled",Permissions!$P$2:$P$3000,"Yes")</f>
        <v>0</v>
      </c>
      <c r="AK323" s="24" t="n">
        <f aca="false">AG323+AH323+AI323+AJ323</f>
        <v>18</v>
      </c>
      <c r="AL323" s="24" t="n">
        <f aca="false">SUMIFS(Permissions!$G$2:$G$3000,Permissions!$B$2:$B$3000,$A323,Permissions!$I$2:$I$3000,"Expired – not started",Permissions!$P$2:$P$3000,"Yes")</f>
        <v>0</v>
      </c>
      <c r="AM323" s="24" t="n">
        <f aca="false">SUMIFS(Permissions!$G$2:$G$3000,Permissions!$B$2:$B$3000,$A323,Permissions!$I$2:$I$3000,"In planning",Permissions!$P$2:$P$3000,"Yes")</f>
        <v>0</v>
      </c>
      <c r="AN323" s="24" t="n">
        <f aca="false">IF(R323="",0,MAX(R323-AK323,0))</f>
        <v>0</v>
      </c>
      <c r="AO323" s="25" t="n">
        <f aca="false">AK323+AN323</f>
        <v>18</v>
      </c>
      <c r="AP323" s="24" t="n">
        <f aca="false">AO323-AG323</f>
        <v>18</v>
      </c>
      <c r="AQ323" s="26" t="n">
        <f aca="false">SUMIFS(Permissions!$AH$2:$AH$3000,Permissions!$B$2:$B$3000,$A323,Permissions!$P$2:$P$3000,"Yes")</f>
        <v>0</v>
      </c>
      <c r="AR323" s="26" t="n">
        <f aca="false">SUMIFS(Permissions!$AI$2:$AI$3000,Permissions!$B$2:$B$3000,$A323,Permissions!$P$2:$P$3000,"Yes")</f>
        <v>10.2</v>
      </c>
      <c r="AS323" s="26" t="n">
        <f aca="false">SUMIFS(Permissions!$AJ$2:$AJ$3000,Permissions!$B$2:$B$3000,$A323,Permissions!$P$2:$P$3000,"Yes")</f>
        <v>7.8</v>
      </c>
      <c r="AT323" s="26" t="n">
        <f aca="false">SUMIFS(Permissions!$AK$2:$AK$3000,Permissions!$B$2:$B$3000,$A323,Permissions!$P$2:$P$3000,"Yes")</f>
        <v>0</v>
      </c>
      <c r="AU323" s="26" t="n">
        <f aca="false">SUMIFS(Permissions!$AL$2:$AL$3000,Permissions!$B$2:$B$3000,$A323,Permissions!$P$2:$P$3000,"Yes")</f>
        <v>0</v>
      </c>
      <c r="AV323" s="26" t="n">
        <f aca="false">SUMIFS(Permissions!$AM$2:$AM$3000,Permissions!$B$2:$B$3000,$A323,Permissions!$P$2:$P$3000,"Yes")</f>
        <v>0</v>
      </c>
      <c r="AW323" s="24" t="n">
        <f aca="false">COUNTIFS(Permissions!$B$2:$B$3000,$A323,Permissions!$P$2:$P$3000,"Yes")</f>
        <v>1</v>
      </c>
      <c r="AX323" s="24" t="n">
        <f aca="false">SUMIFS(Permissions!$L$2:$L$3000,Permissions!$B$2:$B$3000,$A323,Permissions!$P$2:$P$3000,"Yes")</f>
        <v>0</v>
      </c>
      <c r="AY323" s="27" t="str">
        <f aca="false">IF(AND(AK323&gt;0,AG323&gt;=AK323,AN323=0),"Built out",IF(AG323&gt;0,"Partly built",IF(AK323&gt;0,"Consented – not built","No consent")))</f>
        <v>Consented – not built</v>
      </c>
      <c r="AZ323" s="28" t="str">
        <f aca="false">IF(AND(R323&lt;&gt;"",AK323&gt;1.1*R323),"Consented above capacity",IF(AND(LEFT(B323,8)="Planning",AW323=0),"Consent parcel with no permission",IF(COUNTIF($A$2:$A$3000,$A323)&gt;1,"Duplicate parcel_id","")))</f>
        <v/>
      </c>
    </row>
    <row r="324" customFormat="false" ht="15" hidden="false" customHeight="false" outlineLevel="0" collapsed="false">
      <c r="A324" s="15" t="s">
        <v>731</v>
      </c>
      <c r="B324" s="15" t="s">
        <v>13</v>
      </c>
      <c r="C324" s="15" t="s">
        <v>16</v>
      </c>
      <c r="D324" s="15" t="s">
        <v>50</v>
      </c>
      <c r="E324" s="15" t="s">
        <v>19</v>
      </c>
      <c r="F324" s="15" t="n">
        <v>1</v>
      </c>
      <c r="G324" s="15" t="s">
        <v>154</v>
      </c>
      <c r="H324" s="15"/>
      <c r="I324" s="15" t="s">
        <v>50</v>
      </c>
      <c r="J324" s="15" t="s">
        <v>155</v>
      </c>
      <c r="K324" s="15" t="s">
        <v>732</v>
      </c>
      <c r="L324" s="15"/>
      <c r="M324" s="15" t="s">
        <v>733</v>
      </c>
      <c r="N324" s="15"/>
      <c r="O324" s="15"/>
      <c r="P324" s="15" t="n">
        <v>0.146</v>
      </c>
      <c r="Q324" s="15" t="n">
        <v>0.16</v>
      </c>
      <c r="R324" s="15" t="n">
        <v>5</v>
      </c>
      <c r="S324" s="15" t="s">
        <v>734</v>
      </c>
      <c r="T324" s="15" t="s">
        <v>735</v>
      </c>
      <c r="U324" s="15" t="s">
        <v>736</v>
      </c>
      <c r="V324" s="15"/>
      <c r="W324" s="15" t="s">
        <v>297</v>
      </c>
      <c r="X324" s="15" t="n">
        <v>34</v>
      </c>
      <c r="Y324" s="15" t="s">
        <v>737</v>
      </c>
      <c r="Z324" s="15" t="n">
        <v>1</v>
      </c>
      <c r="AA324" s="15" t="n">
        <v>0</v>
      </c>
      <c r="AB324" s="15" t="n">
        <v>0</v>
      </c>
      <c r="AC324" s="15"/>
      <c r="AD324" s="15"/>
      <c r="AE324" s="15" t="s">
        <v>163</v>
      </c>
      <c r="AF324" s="15"/>
      <c r="AG324" s="24" t="n">
        <f aca="false">SUMIFS(Permissions!$G$2:$G$3000,Permissions!$B$2:$B$3000,$A324,Permissions!$I$2:$I$3000,"Complete",Permissions!$P$2:$P$3000,"Yes")</f>
        <v>0</v>
      </c>
      <c r="AH324" s="24" t="n">
        <f aca="false">SUMIFS(Permissions!$G$2:$G$3000,Permissions!$B$2:$B$3000,$A324,Permissions!$I$2:$I$3000,"Under construction",Permissions!$P$2:$P$3000,"Yes")</f>
        <v>0</v>
      </c>
      <c r="AI324" s="24" t="n">
        <f aca="false">SUMIFS(Permissions!$G$2:$G$3000,Permissions!$B$2:$B$3000,$A324,Permissions!$I$2:$I$3000,"Permitted – not started",Permissions!$P$2:$P$3000,"Yes")</f>
        <v>0</v>
      </c>
      <c r="AJ324" s="24" t="n">
        <f aca="false">SUMIFS(Permissions!$G$2:$G$3000,Permissions!$B$2:$B$3000,$A324,Permissions!$I$2:$I$3000,"Stalled",Permissions!$P$2:$P$3000,"Yes")</f>
        <v>0</v>
      </c>
      <c r="AK324" s="24" t="n">
        <f aca="false">AG324+AH324+AI324+AJ324</f>
        <v>0</v>
      </c>
      <c r="AL324" s="24" t="n">
        <f aca="false">SUMIFS(Permissions!$G$2:$G$3000,Permissions!$B$2:$B$3000,$A324,Permissions!$I$2:$I$3000,"Expired – not started",Permissions!$P$2:$P$3000,"Yes")</f>
        <v>0</v>
      </c>
      <c r="AM324" s="24" t="n">
        <f aca="false">SUMIFS(Permissions!$G$2:$G$3000,Permissions!$B$2:$B$3000,$A324,Permissions!$I$2:$I$3000,"In planning",Permissions!$P$2:$P$3000,"Yes")</f>
        <v>0</v>
      </c>
      <c r="AN324" s="24" t="n">
        <f aca="false">IF(R324="",0,MAX(R324-AK324,0))</f>
        <v>5</v>
      </c>
      <c r="AO324" s="25" t="n">
        <f aca="false">AK324+AN324</f>
        <v>5</v>
      </c>
      <c r="AP324" s="24" t="n">
        <f aca="false">AO324-AG324</f>
        <v>5</v>
      </c>
      <c r="AQ324" s="26" t="n">
        <f aca="false">SUMIFS(Permissions!$AH$2:$AH$3000,Permissions!$B$2:$B$3000,$A324,Permissions!$P$2:$P$3000,"Yes")</f>
        <v>0</v>
      </c>
      <c r="AR324" s="26" t="n">
        <f aca="false">SUMIFS(Permissions!$AI$2:$AI$3000,Permissions!$B$2:$B$3000,$A324,Permissions!$P$2:$P$3000,"Yes")</f>
        <v>0</v>
      </c>
      <c r="AS324" s="26" t="n">
        <f aca="false">SUMIFS(Permissions!$AJ$2:$AJ$3000,Permissions!$B$2:$B$3000,$A324,Permissions!$P$2:$P$3000,"Yes")</f>
        <v>0</v>
      </c>
      <c r="AT324" s="26" t="n">
        <f aca="false">SUMIFS(Permissions!$AK$2:$AK$3000,Permissions!$B$2:$B$3000,$A324,Permissions!$P$2:$P$3000,"Yes")</f>
        <v>0</v>
      </c>
      <c r="AU324" s="26" t="n">
        <f aca="false">SUMIFS(Permissions!$AL$2:$AL$3000,Permissions!$B$2:$B$3000,$A324,Permissions!$P$2:$P$3000,"Yes")</f>
        <v>0</v>
      </c>
      <c r="AV324" s="26" t="n">
        <f aca="false">SUMIFS(Permissions!$AM$2:$AM$3000,Permissions!$B$2:$B$3000,$A324,Permissions!$P$2:$P$3000,"Yes")</f>
        <v>0</v>
      </c>
      <c r="AW324" s="24" t="n">
        <f aca="false">COUNTIFS(Permissions!$B$2:$B$3000,$A324,Permissions!$P$2:$P$3000,"Yes")</f>
        <v>0</v>
      </c>
      <c r="AX324" s="24" t="n">
        <f aca="false">SUMIFS(Permissions!$L$2:$L$3000,Permissions!$B$2:$B$3000,$A324,Permissions!$P$2:$P$3000,"Yes")</f>
        <v>0</v>
      </c>
      <c r="AY324" s="27" t="str">
        <f aca="false">IF(AND(AK324&gt;0,AG324&gt;=AK324,AN324=0),"Built out",IF(AG324&gt;0,"Partly built",IF(AK324&gt;0,"Consented – not built","No consent")))</f>
        <v>No consent</v>
      </c>
      <c r="AZ324" s="28" t="str">
        <f aca="false">IF(AND(R324&lt;&gt;"",AK324&gt;1.1*R324),"Consented above capacity",IF(AND(LEFT(B324,8)="Planning",AW324=0),"Consent parcel with no permission",IF(COUNTIF($A$2:$A$3000,$A324)&gt;1,"Duplicate parcel_id","")))</f>
        <v/>
      </c>
    </row>
    <row r="325" customFormat="false" ht="15" hidden="false" customHeight="false" outlineLevel="0" collapsed="false">
      <c r="A325" s="15" t="s">
        <v>738</v>
      </c>
      <c r="B325" s="15" t="s">
        <v>13</v>
      </c>
      <c r="C325" s="15" t="s">
        <v>16</v>
      </c>
      <c r="D325" s="15" t="s">
        <v>52</v>
      </c>
      <c r="E325" s="15" t="s">
        <v>19</v>
      </c>
      <c r="F325" s="15" t="n">
        <v>1</v>
      </c>
      <c r="G325" s="15" t="s">
        <v>154</v>
      </c>
      <c r="H325" s="15"/>
      <c r="I325" s="15" t="s">
        <v>52</v>
      </c>
      <c r="J325" s="15" t="s">
        <v>205</v>
      </c>
      <c r="K325" s="15" t="s">
        <v>732</v>
      </c>
      <c r="L325" s="15"/>
      <c r="M325" s="15" t="s">
        <v>733</v>
      </c>
      <c r="N325" s="15"/>
      <c r="O325" s="15"/>
      <c r="P325" s="15" t="n">
        <v>0.139</v>
      </c>
      <c r="Q325" s="15" t="n">
        <v>0.152</v>
      </c>
      <c r="R325" s="15" t="n">
        <v>5</v>
      </c>
      <c r="S325" s="15" t="s">
        <v>734</v>
      </c>
      <c r="T325" s="15" t="s">
        <v>735</v>
      </c>
      <c r="U325" s="15" t="s">
        <v>736</v>
      </c>
      <c r="V325" s="15"/>
      <c r="W325" s="15" t="s">
        <v>297</v>
      </c>
      <c r="X325" s="15" t="n">
        <v>34</v>
      </c>
      <c r="Y325" s="15" t="s">
        <v>737</v>
      </c>
      <c r="Z325" s="15" t="n">
        <v>1</v>
      </c>
      <c r="AA325" s="15" t="n">
        <v>0</v>
      </c>
      <c r="AB325" s="15" t="n">
        <v>0</v>
      </c>
      <c r="AC325" s="15"/>
      <c r="AD325" s="15"/>
      <c r="AE325" s="15" t="s">
        <v>163</v>
      </c>
      <c r="AF325" s="15"/>
      <c r="AG325" s="24" t="n">
        <f aca="false">SUMIFS(Permissions!$G$2:$G$3000,Permissions!$B$2:$B$3000,$A325,Permissions!$I$2:$I$3000,"Complete",Permissions!$P$2:$P$3000,"Yes")</f>
        <v>0</v>
      </c>
      <c r="AH325" s="24" t="n">
        <f aca="false">SUMIFS(Permissions!$G$2:$G$3000,Permissions!$B$2:$B$3000,$A325,Permissions!$I$2:$I$3000,"Under construction",Permissions!$P$2:$P$3000,"Yes")</f>
        <v>0</v>
      </c>
      <c r="AI325" s="24" t="n">
        <f aca="false">SUMIFS(Permissions!$G$2:$G$3000,Permissions!$B$2:$B$3000,$A325,Permissions!$I$2:$I$3000,"Permitted – not started",Permissions!$P$2:$P$3000,"Yes")</f>
        <v>0</v>
      </c>
      <c r="AJ325" s="24" t="n">
        <f aca="false">SUMIFS(Permissions!$G$2:$G$3000,Permissions!$B$2:$B$3000,$A325,Permissions!$I$2:$I$3000,"Stalled",Permissions!$P$2:$P$3000,"Yes")</f>
        <v>0</v>
      </c>
      <c r="AK325" s="24" t="n">
        <f aca="false">AG325+AH325+AI325+AJ325</f>
        <v>0</v>
      </c>
      <c r="AL325" s="24" t="n">
        <f aca="false">SUMIFS(Permissions!$G$2:$G$3000,Permissions!$B$2:$B$3000,$A325,Permissions!$I$2:$I$3000,"Expired – not started",Permissions!$P$2:$P$3000,"Yes")</f>
        <v>0</v>
      </c>
      <c r="AM325" s="24" t="n">
        <f aca="false">SUMIFS(Permissions!$G$2:$G$3000,Permissions!$B$2:$B$3000,$A325,Permissions!$I$2:$I$3000,"In planning",Permissions!$P$2:$P$3000,"Yes")</f>
        <v>0</v>
      </c>
      <c r="AN325" s="24" t="n">
        <f aca="false">IF(R325="",0,MAX(R325-AK325,0))</f>
        <v>5</v>
      </c>
      <c r="AO325" s="25" t="n">
        <f aca="false">AK325+AN325</f>
        <v>5</v>
      </c>
      <c r="AP325" s="24" t="n">
        <f aca="false">AO325-AG325</f>
        <v>5</v>
      </c>
      <c r="AQ325" s="26" t="n">
        <f aca="false">SUMIFS(Permissions!$AH$2:$AH$3000,Permissions!$B$2:$B$3000,$A325,Permissions!$P$2:$P$3000,"Yes")</f>
        <v>0</v>
      </c>
      <c r="AR325" s="26" t="n">
        <f aca="false">SUMIFS(Permissions!$AI$2:$AI$3000,Permissions!$B$2:$B$3000,$A325,Permissions!$P$2:$P$3000,"Yes")</f>
        <v>0</v>
      </c>
      <c r="AS325" s="26" t="n">
        <f aca="false">SUMIFS(Permissions!$AJ$2:$AJ$3000,Permissions!$B$2:$B$3000,$A325,Permissions!$P$2:$P$3000,"Yes")</f>
        <v>0</v>
      </c>
      <c r="AT325" s="26" t="n">
        <f aca="false">SUMIFS(Permissions!$AK$2:$AK$3000,Permissions!$B$2:$B$3000,$A325,Permissions!$P$2:$P$3000,"Yes")</f>
        <v>0</v>
      </c>
      <c r="AU325" s="26" t="n">
        <f aca="false">SUMIFS(Permissions!$AL$2:$AL$3000,Permissions!$B$2:$B$3000,$A325,Permissions!$P$2:$P$3000,"Yes")</f>
        <v>0</v>
      </c>
      <c r="AV325" s="26" t="n">
        <f aca="false">SUMIFS(Permissions!$AM$2:$AM$3000,Permissions!$B$2:$B$3000,$A325,Permissions!$P$2:$P$3000,"Yes")</f>
        <v>0</v>
      </c>
      <c r="AW325" s="24" t="n">
        <f aca="false">COUNTIFS(Permissions!$B$2:$B$3000,$A325,Permissions!$P$2:$P$3000,"Yes")</f>
        <v>0</v>
      </c>
      <c r="AX325" s="24" t="n">
        <f aca="false">SUMIFS(Permissions!$L$2:$L$3000,Permissions!$B$2:$B$3000,$A325,Permissions!$P$2:$P$3000,"Yes")</f>
        <v>0</v>
      </c>
      <c r="AY325" s="27" t="str">
        <f aca="false">IF(AND(AK325&gt;0,AG325&gt;=AK325,AN325=0),"Built out",IF(AG325&gt;0,"Partly built",IF(AK325&gt;0,"Consented – not built","No consent")))</f>
        <v>No consent</v>
      </c>
      <c r="AZ325" s="28" t="str">
        <f aca="false">IF(AND(R325&lt;&gt;"",AK325&gt;1.1*R325),"Consented above capacity",IF(AND(LEFT(B325,8)="Planning",AW325=0),"Consent parcel with no permission",IF(COUNTIF($A$2:$A$3000,$A325)&gt;1,"Duplicate parcel_id","")))</f>
        <v/>
      </c>
    </row>
    <row r="326" customFormat="false" ht="15" hidden="false" customHeight="false" outlineLevel="0" collapsed="false">
      <c r="A326" s="15" t="s">
        <v>739</v>
      </c>
      <c r="B326" s="15" t="s">
        <v>13</v>
      </c>
      <c r="C326" s="15" t="s">
        <v>16</v>
      </c>
      <c r="D326" s="15" t="s">
        <v>55</v>
      </c>
      <c r="E326" s="15" t="s">
        <v>19</v>
      </c>
      <c r="F326" s="15" t="n">
        <v>1</v>
      </c>
      <c r="G326" s="15" t="s">
        <v>154</v>
      </c>
      <c r="H326" s="15"/>
      <c r="I326" s="15" t="s">
        <v>55</v>
      </c>
      <c r="J326" s="15" t="s">
        <v>155</v>
      </c>
      <c r="K326" s="15" t="s">
        <v>732</v>
      </c>
      <c r="L326" s="15"/>
      <c r="M326" s="15" t="s">
        <v>733</v>
      </c>
      <c r="N326" s="15"/>
      <c r="O326" s="15"/>
      <c r="P326" s="15" t="n">
        <v>0.422</v>
      </c>
      <c r="Q326" s="15" t="n">
        <v>0.464</v>
      </c>
      <c r="R326" s="15" t="n">
        <v>14</v>
      </c>
      <c r="S326" s="15" t="s">
        <v>734</v>
      </c>
      <c r="T326" s="15" t="s">
        <v>735</v>
      </c>
      <c r="U326" s="15" t="s">
        <v>736</v>
      </c>
      <c r="V326" s="15"/>
      <c r="W326" s="15" t="s">
        <v>297</v>
      </c>
      <c r="X326" s="15" t="n">
        <v>34</v>
      </c>
      <c r="Y326" s="15" t="s">
        <v>737</v>
      </c>
      <c r="Z326" s="15" t="n">
        <v>1</v>
      </c>
      <c r="AA326" s="15" t="n">
        <v>0</v>
      </c>
      <c r="AB326" s="15" t="n">
        <v>0</v>
      </c>
      <c r="AC326" s="15"/>
      <c r="AD326" s="15"/>
      <c r="AE326" s="15" t="s">
        <v>163</v>
      </c>
      <c r="AF326" s="15"/>
      <c r="AG326" s="24" t="n">
        <f aca="false">SUMIFS(Permissions!$G$2:$G$3000,Permissions!$B$2:$B$3000,$A326,Permissions!$I$2:$I$3000,"Complete",Permissions!$P$2:$P$3000,"Yes")</f>
        <v>0</v>
      </c>
      <c r="AH326" s="24" t="n">
        <f aca="false">SUMIFS(Permissions!$G$2:$G$3000,Permissions!$B$2:$B$3000,$A326,Permissions!$I$2:$I$3000,"Under construction",Permissions!$P$2:$P$3000,"Yes")</f>
        <v>0</v>
      </c>
      <c r="AI326" s="24" t="n">
        <f aca="false">SUMIFS(Permissions!$G$2:$G$3000,Permissions!$B$2:$B$3000,$A326,Permissions!$I$2:$I$3000,"Permitted – not started",Permissions!$P$2:$P$3000,"Yes")</f>
        <v>0</v>
      </c>
      <c r="AJ326" s="24" t="n">
        <f aca="false">SUMIFS(Permissions!$G$2:$G$3000,Permissions!$B$2:$B$3000,$A326,Permissions!$I$2:$I$3000,"Stalled",Permissions!$P$2:$P$3000,"Yes")</f>
        <v>0</v>
      </c>
      <c r="AK326" s="24" t="n">
        <f aca="false">AG326+AH326+AI326+AJ326</f>
        <v>0</v>
      </c>
      <c r="AL326" s="24" t="n">
        <f aca="false">SUMIFS(Permissions!$G$2:$G$3000,Permissions!$B$2:$B$3000,$A326,Permissions!$I$2:$I$3000,"Expired – not started",Permissions!$P$2:$P$3000,"Yes")</f>
        <v>0</v>
      </c>
      <c r="AM326" s="24" t="n">
        <f aca="false">SUMIFS(Permissions!$G$2:$G$3000,Permissions!$B$2:$B$3000,$A326,Permissions!$I$2:$I$3000,"In planning",Permissions!$P$2:$P$3000,"Yes")</f>
        <v>0</v>
      </c>
      <c r="AN326" s="24" t="n">
        <f aca="false">IF(R326="",0,MAX(R326-AK326,0))</f>
        <v>14</v>
      </c>
      <c r="AO326" s="25" t="n">
        <f aca="false">AK326+AN326</f>
        <v>14</v>
      </c>
      <c r="AP326" s="24" t="n">
        <f aca="false">AO326-AG326</f>
        <v>14</v>
      </c>
      <c r="AQ326" s="26" t="n">
        <f aca="false">SUMIFS(Permissions!$AH$2:$AH$3000,Permissions!$B$2:$B$3000,$A326,Permissions!$P$2:$P$3000,"Yes")</f>
        <v>0</v>
      </c>
      <c r="AR326" s="26" t="n">
        <f aca="false">SUMIFS(Permissions!$AI$2:$AI$3000,Permissions!$B$2:$B$3000,$A326,Permissions!$P$2:$P$3000,"Yes")</f>
        <v>0</v>
      </c>
      <c r="AS326" s="26" t="n">
        <f aca="false">SUMIFS(Permissions!$AJ$2:$AJ$3000,Permissions!$B$2:$B$3000,$A326,Permissions!$P$2:$P$3000,"Yes")</f>
        <v>0</v>
      </c>
      <c r="AT326" s="26" t="n">
        <f aca="false">SUMIFS(Permissions!$AK$2:$AK$3000,Permissions!$B$2:$B$3000,$A326,Permissions!$P$2:$P$3000,"Yes")</f>
        <v>0</v>
      </c>
      <c r="AU326" s="26" t="n">
        <f aca="false">SUMIFS(Permissions!$AL$2:$AL$3000,Permissions!$B$2:$B$3000,$A326,Permissions!$P$2:$P$3000,"Yes")</f>
        <v>0</v>
      </c>
      <c r="AV326" s="26" t="n">
        <f aca="false">SUMIFS(Permissions!$AM$2:$AM$3000,Permissions!$B$2:$B$3000,$A326,Permissions!$P$2:$P$3000,"Yes")</f>
        <v>0</v>
      </c>
      <c r="AW326" s="24" t="n">
        <f aca="false">COUNTIFS(Permissions!$B$2:$B$3000,$A326,Permissions!$P$2:$P$3000,"Yes")</f>
        <v>0</v>
      </c>
      <c r="AX326" s="24" t="n">
        <f aca="false">SUMIFS(Permissions!$L$2:$L$3000,Permissions!$B$2:$B$3000,$A326,Permissions!$P$2:$P$3000,"Yes")</f>
        <v>0</v>
      </c>
      <c r="AY326" s="27" t="str">
        <f aca="false">IF(AND(AK326&gt;0,AG326&gt;=AK326,AN326=0),"Built out",IF(AG326&gt;0,"Partly built",IF(AK326&gt;0,"Consented – not built","No consent")))</f>
        <v>No consent</v>
      </c>
      <c r="AZ326" s="28" t="str">
        <f aca="false">IF(AND(R326&lt;&gt;"",AK326&gt;1.1*R326),"Consented above capacity",IF(AND(LEFT(B326,8)="Planning",AW326=0),"Consent parcel with no permission",IF(COUNTIF($A$2:$A$3000,$A326)&gt;1,"Duplicate parcel_id","")))</f>
        <v/>
      </c>
    </row>
    <row r="327" customFormat="false" ht="15" hidden="false" customHeight="false" outlineLevel="0" collapsed="false">
      <c r="A327" s="15" t="s">
        <v>740</v>
      </c>
      <c r="B327" s="15" t="s">
        <v>13</v>
      </c>
      <c r="C327" s="15" t="s">
        <v>16</v>
      </c>
      <c r="D327" s="15" t="s">
        <v>57</v>
      </c>
      <c r="E327" s="15" t="s">
        <v>19</v>
      </c>
      <c r="F327" s="15" t="n">
        <v>1</v>
      </c>
      <c r="G327" s="15" t="s">
        <v>154</v>
      </c>
      <c r="H327" s="15"/>
      <c r="I327" s="15" t="s">
        <v>57</v>
      </c>
      <c r="J327" s="15" t="s">
        <v>176</v>
      </c>
      <c r="K327" s="15" t="s">
        <v>732</v>
      </c>
      <c r="L327" s="15"/>
      <c r="M327" s="15" t="s">
        <v>733</v>
      </c>
      <c r="N327" s="15"/>
      <c r="O327" s="15"/>
      <c r="P327" s="15" t="n">
        <v>0.136</v>
      </c>
      <c r="Q327" s="15" t="n">
        <v>0.15</v>
      </c>
      <c r="R327" s="15" t="n">
        <v>5</v>
      </c>
      <c r="S327" s="15" t="s">
        <v>734</v>
      </c>
      <c r="T327" s="15" t="s">
        <v>735</v>
      </c>
      <c r="U327" s="15" t="s">
        <v>736</v>
      </c>
      <c r="V327" s="15"/>
      <c r="W327" s="15" t="s">
        <v>297</v>
      </c>
      <c r="X327" s="15" t="n">
        <v>34</v>
      </c>
      <c r="Y327" s="15" t="s">
        <v>737</v>
      </c>
      <c r="Z327" s="15" t="n">
        <v>1</v>
      </c>
      <c r="AA327" s="15" t="n">
        <v>0</v>
      </c>
      <c r="AB327" s="15" t="n">
        <v>0</v>
      </c>
      <c r="AC327" s="15"/>
      <c r="AD327" s="15"/>
      <c r="AE327" s="15" t="s">
        <v>163</v>
      </c>
      <c r="AF327" s="15"/>
      <c r="AG327" s="24" t="n">
        <f aca="false">SUMIFS(Permissions!$G$2:$G$3000,Permissions!$B$2:$B$3000,$A327,Permissions!$I$2:$I$3000,"Complete",Permissions!$P$2:$P$3000,"Yes")</f>
        <v>0</v>
      </c>
      <c r="AH327" s="24" t="n">
        <f aca="false">SUMIFS(Permissions!$G$2:$G$3000,Permissions!$B$2:$B$3000,$A327,Permissions!$I$2:$I$3000,"Under construction",Permissions!$P$2:$P$3000,"Yes")</f>
        <v>0</v>
      </c>
      <c r="AI327" s="24" t="n">
        <f aca="false">SUMIFS(Permissions!$G$2:$G$3000,Permissions!$B$2:$B$3000,$A327,Permissions!$I$2:$I$3000,"Permitted – not started",Permissions!$P$2:$P$3000,"Yes")</f>
        <v>0</v>
      </c>
      <c r="AJ327" s="24" t="n">
        <f aca="false">SUMIFS(Permissions!$G$2:$G$3000,Permissions!$B$2:$B$3000,$A327,Permissions!$I$2:$I$3000,"Stalled",Permissions!$P$2:$P$3000,"Yes")</f>
        <v>0</v>
      </c>
      <c r="AK327" s="24" t="n">
        <f aca="false">AG327+AH327+AI327+AJ327</f>
        <v>0</v>
      </c>
      <c r="AL327" s="24" t="n">
        <f aca="false">SUMIFS(Permissions!$G$2:$G$3000,Permissions!$B$2:$B$3000,$A327,Permissions!$I$2:$I$3000,"Expired – not started",Permissions!$P$2:$P$3000,"Yes")</f>
        <v>0</v>
      </c>
      <c r="AM327" s="24" t="n">
        <f aca="false">SUMIFS(Permissions!$G$2:$G$3000,Permissions!$B$2:$B$3000,$A327,Permissions!$I$2:$I$3000,"In planning",Permissions!$P$2:$P$3000,"Yes")</f>
        <v>0</v>
      </c>
      <c r="AN327" s="24" t="n">
        <f aca="false">IF(R327="",0,MAX(R327-AK327,0))</f>
        <v>5</v>
      </c>
      <c r="AO327" s="25" t="n">
        <f aca="false">AK327+AN327</f>
        <v>5</v>
      </c>
      <c r="AP327" s="24" t="n">
        <f aca="false">AO327-AG327</f>
        <v>5</v>
      </c>
      <c r="AQ327" s="26" t="n">
        <f aca="false">SUMIFS(Permissions!$AH$2:$AH$3000,Permissions!$B$2:$B$3000,$A327,Permissions!$P$2:$P$3000,"Yes")</f>
        <v>0</v>
      </c>
      <c r="AR327" s="26" t="n">
        <f aca="false">SUMIFS(Permissions!$AI$2:$AI$3000,Permissions!$B$2:$B$3000,$A327,Permissions!$P$2:$P$3000,"Yes")</f>
        <v>0</v>
      </c>
      <c r="AS327" s="26" t="n">
        <f aca="false">SUMIFS(Permissions!$AJ$2:$AJ$3000,Permissions!$B$2:$B$3000,$A327,Permissions!$P$2:$P$3000,"Yes")</f>
        <v>0</v>
      </c>
      <c r="AT327" s="26" t="n">
        <f aca="false">SUMIFS(Permissions!$AK$2:$AK$3000,Permissions!$B$2:$B$3000,$A327,Permissions!$P$2:$P$3000,"Yes")</f>
        <v>0</v>
      </c>
      <c r="AU327" s="26" t="n">
        <f aca="false">SUMIFS(Permissions!$AL$2:$AL$3000,Permissions!$B$2:$B$3000,$A327,Permissions!$P$2:$P$3000,"Yes")</f>
        <v>0</v>
      </c>
      <c r="AV327" s="26" t="n">
        <f aca="false">SUMIFS(Permissions!$AM$2:$AM$3000,Permissions!$B$2:$B$3000,$A327,Permissions!$P$2:$P$3000,"Yes")</f>
        <v>0</v>
      </c>
      <c r="AW327" s="24" t="n">
        <f aca="false">COUNTIFS(Permissions!$B$2:$B$3000,$A327,Permissions!$P$2:$P$3000,"Yes")</f>
        <v>0</v>
      </c>
      <c r="AX327" s="24" t="n">
        <f aca="false">SUMIFS(Permissions!$L$2:$L$3000,Permissions!$B$2:$B$3000,$A327,Permissions!$P$2:$P$3000,"Yes")</f>
        <v>0</v>
      </c>
      <c r="AY327" s="27" t="str">
        <f aca="false">IF(AND(AK327&gt;0,AG327&gt;=AK327,AN327=0),"Built out",IF(AG327&gt;0,"Partly built",IF(AK327&gt;0,"Consented – not built","No consent")))</f>
        <v>No consent</v>
      </c>
      <c r="AZ327" s="28" t="str">
        <f aca="false">IF(AND(R327&lt;&gt;"",AK327&gt;1.1*R327),"Consented above capacity",IF(AND(LEFT(B327,8)="Planning",AW327=0),"Consent parcel with no permission",IF(COUNTIF($A$2:$A$3000,$A327)&gt;1,"Duplicate parcel_id","")))</f>
        <v/>
      </c>
    </row>
    <row r="328" customFormat="false" ht="15" hidden="false" customHeight="false" outlineLevel="0" collapsed="false">
      <c r="A328" s="15" t="s">
        <v>741</v>
      </c>
      <c r="B328" s="15" t="s">
        <v>13</v>
      </c>
      <c r="C328" s="15" t="s">
        <v>16</v>
      </c>
      <c r="D328" s="15" t="s">
        <v>57</v>
      </c>
      <c r="E328" s="15" t="s">
        <v>19</v>
      </c>
      <c r="F328" s="15" t="n">
        <v>1</v>
      </c>
      <c r="G328" s="15" t="s">
        <v>154</v>
      </c>
      <c r="H328" s="15"/>
      <c r="I328" s="15" t="s">
        <v>57</v>
      </c>
      <c r="J328" s="15" t="s">
        <v>176</v>
      </c>
      <c r="K328" s="15" t="s">
        <v>732</v>
      </c>
      <c r="L328" s="15"/>
      <c r="M328" s="15" t="s">
        <v>733</v>
      </c>
      <c r="N328" s="15"/>
      <c r="O328" s="15"/>
      <c r="P328" s="15" t="n">
        <v>0.541</v>
      </c>
      <c r="Q328" s="15" t="n">
        <v>0.594</v>
      </c>
      <c r="R328" s="15" t="n">
        <v>18</v>
      </c>
      <c r="S328" s="15" t="s">
        <v>734</v>
      </c>
      <c r="T328" s="15" t="s">
        <v>735</v>
      </c>
      <c r="U328" s="15" t="s">
        <v>736</v>
      </c>
      <c r="V328" s="15"/>
      <c r="W328" s="15" t="s">
        <v>297</v>
      </c>
      <c r="X328" s="15" t="n">
        <v>34</v>
      </c>
      <c r="Y328" s="15" t="s">
        <v>737</v>
      </c>
      <c r="Z328" s="15" t="n">
        <v>1</v>
      </c>
      <c r="AA328" s="15" t="n">
        <v>0</v>
      </c>
      <c r="AB328" s="15" t="n">
        <v>0</v>
      </c>
      <c r="AC328" s="15"/>
      <c r="AD328" s="15"/>
      <c r="AE328" s="15" t="s">
        <v>163</v>
      </c>
      <c r="AF328" s="15"/>
      <c r="AG328" s="24" t="n">
        <f aca="false">SUMIFS(Permissions!$G$2:$G$3000,Permissions!$B$2:$B$3000,$A328,Permissions!$I$2:$I$3000,"Complete",Permissions!$P$2:$P$3000,"Yes")</f>
        <v>0</v>
      </c>
      <c r="AH328" s="24" t="n">
        <f aca="false">SUMIFS(Permissions!$G$2:$G$3000,Permissions!$B$2:$B$3000,$A328,Permissions!$I$2:$I$3000,"Under construction",Permissions!$P$2:$P$3000,"Yes")</f>
        <v>0</v>
      </c>
      <c r="AI328" s="24" t="n">
        <f aca="false">SUMIFS(Permissions!$G$2:$G$3000,Permissions!$B$2:$B$3000,$A328,Permissions!$I$2:$I$3000,"Permitted – not started",Permissions!$P$2:$P$3000,"Yes")</f>
        <v>0</v>
      </c>
      <c r="AJ328" s="24" t="n">
        <f aca="false">SUMIFS(Permissions!$G$2:$G$3000,Permissions!$B$2:$B$3000,$A328,Permissions!$I$2:$I$3000,"Stalled",Permissions!$P$2:$P$3000,"Yes")</f>
        <v>0</v>
      </c>
      <c r="AK328" s="24" t="n">
        <f aca="false">AG328+AH328+AI328+AJ328</f>
        <v>0</v>
      </c>
      <c r="AL328" s="24" t="n">
        <f aca="false">SUMIFS(Permissions!$G$2:$G$3000,Permissions!$B$2:$B$3000,$A328,Permissions!$I$2:$I$3000,"Expired – not started",Permissions!$P$2:$P$3000,"Yes")</f>
        <v>0</v>
      </c>
      <c r="AM328" s="24" t="n">
        <f aca="false">SUMIFS(Permissions!$G$2:$G$3000,Permissions!$B$2:$B$3000,$A328,Permissions!$I$2:$I$3000,"In planning",Permissions!$P$2:$P$3000,"Yes")</f>
        <v>0</v>
      </c>
      <c r="AN328" s="24" t="n">
        <f aca="false">IF(R328="",0,MAX(R328-AK328,0))</f>
        <v>18</v>
      </c>
      <c r="AO328" s="25" t="n">
        <f aca="false">AK328+AN328</f>
        <v>18</v>
      </c>
      <c r="AP328" s="24" t="n">
        <f aca="false">AO328-AG328</f>
        <v>18</v>
      </c>
      <c r="AQ328" s="26" t="n">
        <f aca="false">SUMIFS(Permissions!$AH$2:$AH$3000,Permissions!$B$2:$B$3000,$A328,Permissions!$P$2:$P$3000,"Yes")</f>
        <v>0</v>
      </c>
      <c r="AR328" s="26" t="n">
        <f aca="false">SUMIFS(Permissions!$AI$2:$AI$3000,Permissions!$B$2:$B$3000,$A328,Permissions!$P$2:$P$3000,"Yes")</f>
        <v>0</v>
      </c>
      <c r="AS328" s="26" t="n">
        <f aca="false">SUMIFS(Permissions!$AJ$2:$AJ$3000,Permissions!$B$2:$B$3000,$A328,Permissions!$P$2:$P$3000,"Yes")</f>
        <v>0</v>
      </c>
      <c r="AT328" s="26" t="n">
        <f aca="false">SUMIFS(Permissions!$AK$2:$AK$3000,Permissions!$B$2:$B$3000,$A328,Permissions!$P$2:$P$3000,"Yes")</f>
        <v>0</v>
      </c>
      <c r="AU328" s="26" t="n">
        <f aca="false">SUMIFS(Permissions!$AL$2:$AL$3000,Permissions!$B$2:$B$3000,$A328,Permissions!$P$2:$P$3000,"Yes")</f>
        <v>0</v>
      </c>
      <c r="AV328" s="26" t="n">
        <f aca="false">SUMIFS(Permissions!$AM$2:$AM$3000,Permissions!$B$2:$B$3000,$A328,Permissions!$P$2:$P$3000,"Yes")</f>
        <v>0</v>
      </c>
      <c r="AW328" s="24" t="n">
        <f aca="false">COUNTIFS(Permissions!$B$2:$B$3000,$A328,Permissions!$P$2:$P$3000,"Yes")</f>
        <v>0</v>
      </c>
      <c r="AX328" s="24" t="n">
        <f aca="false">SUMIFS(Permissions!$L$2:$L$3000,Permissions!$B$2:$B$3000,$A328,Permissions!$P$2:$P$3000,"Yes")</f>
        <v>0</v>
      </c>
      <c r="AY328" s="27" t="str">
        <f aca="false">IF(AND(AK328&gt;0,AG328&gt;=AK328,AN328=0),"Built out",IF(AG328&gt;0,"Partly built",IF(AK328&gt;0,"Consented – not built","No consent")))</f>
        <v>No consent</v>
      </c>
      <c r="AZ328" s="28" t="str">
        <f aca="false">IF(AND(R328&lt;&gt;"",AK328&gt;1.1*R328),"Consented above capacity",IF(AND(LEFT(B328,8)="Planning",AW328=0),"Consent parcel with no permission",IF(COUNTIF($A$2:$A$3000,$A328)&gt;1,"Duplicate parcel_id","")))</f>
        <v/>
      </c>
    </row>
    <row r="329" customFormat="false" ht="15" hidden="false" customHeight="false" outlineLevel="0" collapsed="false">
      <c r="A329" s="15" t="s">
        <v>742</v>
      </c>
      <c r="B329" s="15" t="s">
        <v>13</v>
      </c>
      <c r="C329" s="15" t="s">
        <v>17</v>
      </c>
      <c r="D329" s="15" t="s">
        <v>60</v>
      </c>
      <c r="E329" s="15" t="s">
        <v>20</v>
      </c>
      <c r="F329" s="15" t="n">
        <v>0</v>
      </c>
      <c r="G329" s="15" t="s">
        <v>743</v>
      </c>
      <c r="H329" s="15"/>
      <c r="I329" s="15" t="s">
        <v>17</v>
      </c>
      <c r="J329" s="15" t="s">
        <v>568</v>
      </c>
      <c r="K329" s="15" t="s">
        <v>744</v>
      </c>
      <c r="L329" s="15"/>
      <c r="M329" s="15" t="s">
        <v>733</v>
      </c>
      <c r="N329" s="15"/>
      <c r="O329" s="15"/>
      <c r="P329" s="15" t="n">
        <v>1.572</v>
      </c>
      <c r="Q329" s="15" t="n">
        <v>1.728</v>
      </c>
      <c r="R329" s="15" t="n">
        <v>39</v>
      </c>
      <c r="S329" s="15" t="s">
        <v>734</v>
      </c>
      <c r="T329" s="15" t="s">
        <v>745</v>
      </c>
      <c r="U329" s="15" t="s">
        <v>736</v>
      </c>
      <c r="V329" s="15"/>
      <c r="W329" s="15" t="s">
        <v>746</v>
      </c>
      <c r="X329" s="15" t="n">
        <v>25</v>
      </c>
      <c r="Y329" s="15" t="s">
        <v>747</v>
      </c>
      <c r="Z329" s="15" t="n">
        <v>1</v>
      </c>
      <c r="AA329" s="15" t="n">
        <v>0</v>
      </c>
      <c r="AB329" s="15" t="n">
        <v>0</v>
      </c>
      <c r="AC329" s="15"/>
      <c r="AD329" s="15"/>
      <c r="AE329" s="15" t="s">
        <v>163</v>
      </c>
      <c r="AF329" s="15"/>
      <c r="AG329" s="24" t="n">
        <f aca="false">SUMIFS(Permissions!$G$2:$G$3000,Permissions!$B$2:$B$3000,$A329,Permissions!$I$2:$I$3000,"Complete",Permissions!$P$2:$P$3000,"Yes")</f>
        <v>0</v>
      </c>
      <c r="AH329" s="24" t="n">
        <f aca="false">SUMIFS(Permissions!$G$2:$G$3000,Permissions!$B$2:$B$3000,$A329,Permissions!$I$2:$I$3000,"Under construction",Permissions!$P$2:$P$3000,"Yes")</f>
        <v>0</v>
      </c>
      <c r="AI329" s="24" t="n">
        <f aca="false">SUMIFS(Permissions!$G$2:$G$3000,Permissions!$B$2:$B$3000,$A329,Permissions!$I$2:$I$3000,"Permitted – not started",Permissions!$P$2:$P$3000,"Yes")</f>
        <v>0</v>
      </c>
      <c r="AJ329" s="24" t="n">
        <f aca="false">SUMIFS(Permissions!$G$2:$G$3000,Permissions!$B$2:$B$3000,$A329,Permissions!$I$2:$I$3000,"Stalled",Permissions!$P$2:$P$3000,"Yes")</f>
        <v>0</v>
      </c>
      <c r="AK329" s="24" t="n">
        <f aca="false">AG329+AH329+AI329+AJ329</f>
        <v>0</v>
      </c>
      <c r="AL329" s="24" t="n">
        <f aca="false">SUMIFS(Permissions!$G$2:$G$3000,Permissions!$B$2:$B$3000,$A329,Permissions!$I$2:$I$3000,"Expired – not started",Permissions!$P$2:$P$3000,"Yes")</f>
        <v>0</v>
      </c>
      <c r="AM329" s="24" t="n">
        <f aca="false">SUMIFS(Permissions!$G$2:$G$3000,Permissions!$B$2:$B$3000,$A329,Permissions!$I$2:$I$3000,"In planning",Permissions!$P$2:$P$3000,"Yes")</f>
        <v>0</v>
      </c>
      <c r="AN329" s="24" t="n">
        <f aca="false">IF(R329="",0,MAX(R329-AK329,0))</f>
        <v>39</v>
      </c>
      <c r="AO329" s="25" t="n">
        <f aca="false">AK329+AN329</f>
        <v>39</v>
      </c>
      <c r="AP329" s="24" t="n">
        <f aca="false">AO329-AG329</f>
        <v>39</v>
      </c>
      <c r="AQ329" s="26" t="n">
        <f aca="false">SUMIFS(Permissions!$AH$2:$AH$3000,Permissions!$B$2:$B$3000,$A329,Permissions!$P$2:$P$3000,"Yes")</f>
        <v>0</v>
      </c>
      <c r="AR329" s="26" t="n">
        <f aca="false">SUMIFS(Permissions!$AI$2:$AI$3000,Permissions!$B$2:$B$3000,$A329,Permissions!$P$2:$P$3000,"Yes")</f>
        <v>0</v>
      </c>
      <c r="AS329" s="26" t="n">
        <f aca="false">SUMIFS(Permissions!$AJ$2:$AJ$3000,Permissions!$B$2:$B$3000,$A329,Permissions!$P$2:$P$3000,"Yes")</f>
        <v>0</v>
      </c>
      <c r="AT329" s="26" t="n">
        <f aca="false">SUMIFS(Permissions!$AK$2:$AK$3000,Permissions!$B$2:$B$3000,$A329,Permissions!$P$2:$P$3000,"Yes")</f>
        <v>0</v>
      </c>
      <c r="AU329" s="26" t="n">
        <f aca="false">SUMIFS(Permissions!$AL$2:$AL$3000,Permissions!$B$2:$B$3000,$A329,Permissions!$P$2:$P$3000,"Yes")</f>
        <v>0</v>
      </c>
      <c r="AV329" s="26" t="n">
        <f aca="false">SUMIFS(Permissions!$AM$2:$AM$3000,Permissions!$B$2:$B$3000,$A329,Permissions!$P$2:$P$3000,"Yes")</f>
        <v>0</v>
      </c>
      <c r="AW329" s="24" t="n">
        <f aca="false">COUNTIFS(Permissions!$B$2:$B$3000,$A329,Permissions!$P$2:$P$3000,"Yes")</f>
        <v>0</v>
      </c>
      <c r="AX329" s="24" t="n">
        <f aca="false">SUMIFS(Permissions!$L$2:$L$3000,Permissions!$B$2:$B$3000,$A329,Permissions!$P$2:$P$3000,"Yes")</f>
        <v>0</v>
      </c>
      <c r="AY329" s="27" t="str">
        <f aca="false">IF(AND(AK329&gt;0,AG329&gt;=AK329,AN329=0),"Built out",IF(AG329&gt;0,"Partly built",IF(AK329&gt;0,"Consented – not built","No consent")))</f>
        <v>No consent</v>
      </c>
      <c r="AZ329" s="28" t="str">
        <f aca="false">IF(AND(R329&lt;&gt;"",AK329&gt;1.1*R329),"Consented above capacity",IF(AND(LEFT(B329,8)="Planning",AW329=0),"Consent parcel with no permission",IF(COUNTIF($A$2:$A$3000,$A329)&gt;1,"Duplicate parcel_id","")))</f>
        <v/>
      </c>
    </row>
    <row r="330" customFormat="false" ht="15" hidden="false" customHeight="false" outlineLevel="0" collapsed="false">
      <c r="A330" s="15" t="s">
        <v>748</v>
      </c>
      <c r="B330" s="15" t="s">
        <v>13</v>
      </c>
      <c r="C330" s="15" t="s">
        <v>17</v>
      </c>
      <c r="D330" s="15" t="s">
        <v>60</v>
      </c>
      <c r="E330" s="15" t="s">
        <v>20</v>
      </c>
      <c r="F330" s="15" t="n">
        <v>0</v>
      </c>
      <c r="G330" s="15" t="s">
        <v>743</v>
      </c>
      <c r="H330" s="15"/>
      <c r="I330" s="15" t="s">
        <v>17</v>
      </c>
      <c r="J330" s="15" t="s">
        <v>568</v>
      </c>
      <c r="K330" s="15" t="s">
        <v>744</v>
      </c>
      <c r="L330" s="15"/>
      <c r="M330" s="15" t="s">
        <v>733</v>
      </c>
      <c r="N330" s="15"/>
      <c r="O330" s="15"/>
      <c r="P330" s="15" t="n">
        <v>1.864</v>
      </c>
      <c r="Q330" s="15" t="n">
        <v>2.048</v>
      </c>
      <c r="R330" s="15" t="n">
        <v>47</v>
      </c>
      <c r="S330" s="15" t="s">
        <v>734</v>
      </c>
      <c r="T330" s="15" t="s">
        <v>745</v>
      </c>
      <c r="U330" s="15" t="s">
        <v>736</v>
      </c>
      <c r="V330" s="15"/>
      <c r="W330" s="15" t="s">
        <v>746</v>
      </c>
      <c r="X330" s="15" t="n">
        <v>25</v>
      </c>
      <c r="Y330" s="15" t="s">
        <v>747</v>
      </c>
      <c r="Z330" s="15" t="n">
        <v>0.99</v>
      </c>
      <c r="AA330" s="15" t="n">
        <v>0</v>
      </c>
      <c r="AB330" s="15" t="n">
        <v>0</v>
      </c>
      <c r="AC330" s="15"/>
      <c r="AD330" s="15"/>
      <c r="AE330" s="15" t="s">
        <v>163</v>
      </c>
      <c r="AF330" s="15"/>
      <c r="AG330" s="24" t="n">
        <f aca="false">SUMIFS(Permissions!$G$2:$G$3000,Permissions!$B$2:$B$3000,$A330,Permissions!$I$2:$I$3000,"Complete",Permissions!$P$2:$P$3000,"Yes")</f>
        <v>0</v>
      </c>
      <c r="AH330" s="24" t="n">
        <f aca="false">SUMIFS(Permissions!$G$2:$G$3000,Permissions!$B$2:$B$3000,$A330,Permissions!$I$2:$I$3000,"Under construction",Permissions!$P$2:$P$3000,"Yes")</f>
        <v>0</v>
      </c>
      <c r="AI330" s="24" t="n">
        <f aca="false">SUMIFS(Permissions!$G$2:$G$3000,Permissions!$B$2:$B$3000,$A330,Permissions!$I$2:$I$3000,"Permitted – not started",Permissions!$P$2:$P$3000,"Yes")</f>
        <v>0</v>
      </c>
      <c r="AJ330" s="24" t="n">
        <f aca="false">SUMIFS(Permissions!$G$2:$G$3000,Permissions!$B$2:$B$3000,$A330,Permissions!$I$2:$I$3000,"Stalled",Permissions!$P$2:$P$3000,"Yes")</f>
        <v>0</v>
      </c>
      <c r="AK330" s="24" t="n">
        <f aca="false">AG330+AH330+AI330+AJ330</f>
        <v>0</v>
      </c>
      <c r="AL330" s="24" t="n">
        <f aca="false">SUMIFS(Permissions!$G$2:$G$3000,Permissions!$B$2:$B$3000,$A330,Permissions!$I$2:$I$3000,"Expired – not started",Permissions!$P$2:$P$3000,"Yes")</f>
        <v>0</v>
      </c>
      <c r="AM330" s="24" t="n">
        <f aca="false">SUMIFS(Permissions!$G$2:$G$3000,Permissions!$B$2:$B$3000,$A330,Permissions!$I$2:$I$3000,"In planning",Permissions!$P$2:$P$3000,"Yes")</f>
        <v>0</v>
      </c>
      <c r="AN330" s="24" t="n">
        <f aca="false">IF(R330="",0,MAX(R330-AK330,0))</f>
        <v>47</v>
      </c>
      <c r="AO330" s="25" t="n">
        <f aca="false">AK330+AN330</f>
        <v>47</v>
      </c>
      <c r="AP330" s="24" t="n">
        <f aca="false">AO330-AG330</f>
        <v>47</v>
      </c>
      <c r="AQ330" s="26" t="n">
        <f aca="false">SUMIFS(Permissions!$AH$2:$AH$3000,Permissions!$B$2:$B$3000,$A330,Permissions!$P$2:$P$3000,"Yes")</f>
        <v>0</v>
      </c>
      <c r="AR330" s="26" t="n">
        <f aca="false">SUMIFS(Permissions!$AI$2:$AI$3000,Permissions!$B$2:$B$3000,$A330,Permissions!$P$2:$P$3000,"Yes")</f>
        <v>0</v>
      </c>
      <c r="AS330" s="26" t="n">
        <f aca="false">SUMIFS(Permissions!$AJ$2:$AJ$3000,Permissions!$B$2:$B$3000,$A330,Permissions!$P$2:$P$3000,"Yes")</f>
        <v>0</v>
      </c>
      <c r="AT330" s="26" t="n">
        <f aca="false">SUMIFS(Permissions!$AK$2:$AK$3000,Permissions!$B$2:$B$3000,$A330,Permissions!$P$2:$P$3000,"Yes")</f>
        <v>0</v>
      </c>
      <c r="AU330" s="26" t="n">
        <f aca="false">SUMIFS(Permissions!$AL$2:$AL$3000,Permissions!$B$2:$B$3000,$A330,Permissions!$P$2:$P$3000,"Yes")</f>
        <v>0</v>
      </c>
      <c r="AV330" s="26" t="n">
        <f aca="false">SUMIFS(Permissions!$AM$2:$AM$3000,Permissions!$B$2:$B$3000,$A330,Permissions!$P$2:$P$3000,"Yes")</f>
        <v>0</v>
      </c>
      <c r="AW330" s="24" t="n">
        <f aca="false">COUNTIFS(Permissions!$B$2:$B$3000,$A330,Permissions!$P$2:$P$3000,"Yes")</f>
        <v>0</v>
      </c>
      <c r="AX330" s="24" t="n">
        <f aca="false">SUMIFS(Permissions!$L$2:$L$3000,Permissions!$B$2:$B$3000,$A330,Permissions!$P$2:$P$3000,"Yes")</f>
        <v>0</v>
      </c>
      <c r="AY330" s="27" t="str">
        <f aca="false">IF(AND(AK330&gt;0,AG330&gt;=AK330,AN330=0),"Built out",IF(AG330&gt;0,"Partly built",IF(AK330&gt;0,"Consented – not built","No consent")))</f>
        <v>No consent</v>
      </c>
      <c r="AZ330" s="28" t="str">
        <f aca="false">IF(AND(R330&lt;&gt;"",AK330&gt;1.1*R330),"Consented above capacity",IF(AND(LEFT(B330,8)="Planning",AW330=0),"Consent parcel with no permission",IF(COUNTIF($A$2:$A$3000,$A330)&gt;1,"Duplicate parcel_id","")))</f>
        <v/>
      </c>
    </row>
    <row r="331" customFormat="false" ht="15" hidden="false" customHeight="false" outlineLevel="0" collapsed="false">
      <c r="A331" s="15" t="s">
        <v>749</v>
      </c>
      <c r="B331" s="15" t="s">
        <v>13</v>
      </c>
      <c r="C331" s="15" t="s">
        <v>17</v>
      </c>
      <c r="D331" s="15" t="s">
        <v>60</v>
      </c>
      <c r="E331" s="15" t="s">
        <v>20</v>
      </c>
      <c r="F331" s="15" t="n">
        <v>0</v>
      </c>
      <c r="G331" s="15" t="s">
        <v>743</v>
      </c>
      <c r="H331" s="15"/>
      <c r="I331" s="15" t="s">
        <v>17</v>
      </c>
      <c r="J331" s="15" t="s">
        <v>568</v>
      </c>
      <c r="K331" s="15" t="s">
        <v>750</v>
      </c>
      <c r="L331" s="15"/>
      <c r="M331" s="15" t="s">
        <v>751</v>
      </c>
      <c r="N331" s="15"/>
      <c r="O331" s="15"/>
      <c r="P331" s="15" t="n">
        <v>1.334</v>
      </c>
      <c r="Q331" s="15" t="n">
        <v>1.466</v>
      </c>
      <c r="R331" s="15" t="n">
        <v>25</v>
      </c>
      <c r="S331" s="15" t="s">
        <v>734</v>
      </c>
      <c r="T331" s="15" t="s">
        <v>745</v>
      </c>
      <c r="U331" s="15" t="s">
        <v>752</v>
      </c>
      <c r="V331" s="15"/>
      <c r="W331" s="15" t="s">
        <v>753</v>
      </c>
      <c r="X331" s="15" t="n">
        <v>19</v>
      </c>
      <c r="Y331" s="15" t="s">
        <v>754</v>
      </c>
      <c r="Z331" s="15" t="n">
        <v>1</v>
      </c>
      <c r="AA331" s="15" t="n">
        <v>0</v>
      </c>
      <c r="AB331" s="15" t="n">
        <v>0</v>
      </c>
      <c r="AC331" s="15"/>
      <c r="AD331" s="15"/>
      <c r="AE331" s="15" t="s">
        <v>163</v>
      </c>
      <c r="AF331" s="15"/>
      <c r="AG331" s="24" t="n">
        <f aca="false">SUMIFS(Permissions!$G$2:$G$3000,Permissions!$B$2:$B$3000,$A331,Permissions!$I$2:$I$3000,"Complete",Permissions!$P$2:$P$3000,"Yes")</f>
        <v>0</v>
      </c>
      <c r="AH331" s="24" t="n">
        <f aca="false">SUMIFS(Permissions!$G$2:$G$3000,Permissions!$B$2:$B$3000,$A331,Permissions!$I$2:$I$3000,"Under construction",Permissions!$P$2:$P$3000,"Yes")</f>
        <v>0</v>
      </c>
      <c r="AI331" s="24" t="n">
        <f aca="false">SUMIFS(Permissions!$G$2:$G$3000,Permissions!$B$2:$B$3000,$A331,Permissions!$I$2:$I$3000,"Permitted – not started",Permissions!$P$2:$P$3000,"Yes")</f>
        <v>0</v>
      </c>
      <c r="AJ331" s="24" t="n">
        <f aca="false">SUMIFS(Permissions!$G$2:$G$3000,Permissions!$B$2:$B$3000,$A331,Permissions!$I$2:$I$3000,"Stalled",Permissions!$P$2:$P$3000,"Yes")</f>
        <v>0</v>
      </c>
      <c r="AK331" s="24" t="n">
        <f aca="false">AG331+AH331+AI331+AJ331</f>
        <v>0</v>
      </c>
      <c r="AL331" s="24" t="n">
        <f aca="false">SUMIFS(Permissions!$G$2:$G$3000,Permissions!$B$2:$B$3000,$A331,Permissions!$I$2:$I$3000,"Expired – not started",Permissions!$P$2:$P$3000,"Yes")</f>
        <v>0</v>
      </c>
      <c r="AM331" s="24" t="n">
        <f aca="false">SUMIFS(Permissions!$G$2:$G$3000,Permissions!$B$2:$B$3000,$A331,Permissions!$I$2:$I$3000,"In planning",Permissions!$P$2:$P$3000,"Yes")</f>
        <v>0</v>
      </c>
      <c r="AN331" s="24" t="n">
        <f aca="false">IF(R331="",0,MAX(R331-AK331,0))</f>
        <v>25</v>
      </c>
      <c r="AO331" s="25" t="n">
        <f aca="false">AK331+AN331</f>
        <v>25</v>
      </c>
      <c r="AP331" s="24" t="n">
        <f aca="false">AO331-AG331</f>
        <v>25</v>
      </c>
      <c r="AQ331" s="26" t="n">
        <f aca="false">SUMIFS(Permissions!$AH$2:$AH$3000,Permissions!$B$2:$B$3000,$A331,Permissions!$P$2:$P$3000,"Yes")</f>
        <v>0</v>
      </c>
      <c r="AR331" s="26" t="n">
        <f aca="false">SUMIFS(Permissions!$AI$2:$AI$3000,Permissions!$B$2:$B$3000,$A331,Permissions!$P$2:$P$3000,"Yes")</f>
        <v>0</v>
      </c>
      <c r="AS331" s="26" t="n">
        <f aca="false">SUMIFS(Permissions!$AJ$2:$AJ$3000,Permissions!$B$2:$B$3000,$A331,Permissions!$P$2:$P$3000,"Yes")</f>
        <v>0</v>
      </c>
      <c r="AT331" s="26" t="n">
        <f aca="false">SUMIFS(Permissions!$AK$2:$AK$3000,Permissions!$B$2:$B$3000,$A331,Permissions!$P$2:$P$3000,"Yes")</f>
        <v>0</v>
      </c>
      <c r="AU331" s="26" t="n">
        <f aca="false">SUMIFS(Permissions!$AL$2:$AL$3000,Permissions!$B$2:$B$3000,$A331,Permissions!$P$2:$P$3000,"Yes")</f>
        <v>0</v>
      </c>
      <c r="AV331" s="26" t="n">
        <f aca="false">SUMIFS(Permissions!$AM$2:$AM$3000,Permissions!$B$2:$B$3000,$A331,Permissions!$P$2:$P$3000,"Yes")</f>
        <v>0</v>
      </c>
      <c r="AW331" s="24" t="n">
        <f aca="false">COUNTIFS(Permissions!$B$2:$B$3000,$A331,Permissions!$P$2:$P$3000,"Yes")</f>
        <v>0</v>
      </c>
      <c r="AX331" s="24" t="n">
        <f aca="false">SUMIFS(Permissions!$L$2:$L$3000,Permissions!$B$2:$B$3000,$A331,Permissions!$P$2:$P$3000,"Yes")</f>
        <v>0</v>
      </c>
      <c r="AY331" s="27" t="str">
        <f aca="false">IF(AND(AK331&gt;0,AG331&gt;=AK331,AN331=0),"Built out",IF(AG331&gt;0,"Partly built",IF(AK331&gt;0,"Consented – not built","No consent")))</f>
        <v>No consent</v>
      </c>
      <c r="AZ331" s="28" t="str">
        <f aca="false">IF(AND(R331&lt;&gt;"",AK331&gt;1.1*R331),"Consented above capacity",IF(AND(LEFT(B331,8)="Planning",AW331=0),"Consent parcel with no permission",IF(COUNTIF($A$2:$A$3000,$A331)&gt;1,"Duplicate parcel_id","")))</f>
        <v/>
      </c>
    </row>
    <row r="332" customFormat="false" ht="15" hidden="false" customHeight="false" outlineLevel="0" collapsed="false">
      <c r="A332" s="15" t="s">
        <v>755</v>
      </c>
      <c r="B332" s="15" t="s">
        <v>13</v>
      </c>
      <c r="C332" s="15" t="s">
        <v>17</v>
      </c>
      <c r="D332" s="15" t="s">
        <v>60</v>
      </c>
      <c r="E332" s="15" t="s">
        <v>20</v>
      </c>
      <c r="F332" s="15" t="n">
        <v>0</v>
      </c>
      <c r="G332" s="15" t="s">
        <v>743</v>
      </c>
      <c r="H332" s="15"/>
      <c r="I332" s="15" t="s">
        <v>17</v>
      </c>
      <c r="J332" s="15" t="s">
        <v>568</v>
      </c>
      <c r="K332" s="15" t="s">
        <v>750</v>
      </c>
      <c r="L332" s="15"/>
      <c r="M332" s="15" t="s">
        <v>751</v>
      </c>
      <c r="N332" s="15"/>
      <c r="O332" s="15"/>
      <c r="P332" s="15" t="n">
        <v>0.458</v>
      </c>
      <c r="Q332" s="15" t="n">
        <v>0.504</v>
      </c>
      <c r="R332" s="15" t="n">
        <v>9</v>
      </c>
      <c r="S332" s="15" t="s">
        <v>734</v>
      </c>
      <c r="T332" s="15" t="s">
        <v>745</v>
      </c>
      <c r="U332" s="15" t="s">
        <v>752</v>
      </c>
      <c r="V332" s="15"/>
      <c r="W332" s="15" t="s">
        <v>753</v>
      </c>
      <c r="X332" s="15" t="n">
        <v>19</v>
      </c>
      <c r="Y332" s="15" t="s">
        <v>754</v>
      </c>
      <c r="Z332" s="15" t="n">
        <v>1</v>
      </c>
      <c r="AA332" s="15" t="n">
        <v>0</v>
      </c>
      <c r="AB332" s="15" t="n">
        <v>0</v>
      </c>
      <c r="AC332" s="15"/>
      <c r="AD332" s="15"/>
      <c r="AE332" s="15" t="s">
        <v>163</v>
      </c>
      <c r="AF332" s="15"/>
      <c r="AG332" s="24" t="n">
        <f aca="false">SUMIFS(Permissions!$G$2:$G$3000,Permissions!$B$2:$B$3000,$A332,Permissions!$I$2:$I$3000,"Complete",Permissions!$P$2:$P$3000,"Yes")</f>
        <v>0</v>
      </c>
      <c r="AH332" s="24" t="n">
        <f aca="false">SUMIFS(Permissions!$G$2:$G$3000,Permissions!$B$2:$B$3000,$A332,Permissions!$I$2:$I$3000,"Under construction",Permissions!$P$2:$P$3000,"Yes")</f>
        <v>0</v>
      </c>
      <c r="AI332" s="24" t="n">
        <f aca="false">SUMIFS(Permissions!$G$2:$G$3000,Permissions!$B$2:$B$3000,$A332,Permissions!$I$2:$I$3000,"Permitted – not started",Permissions!$P$2:$P$3000,"Yes")</f>
        <v>0</v>
      </c>
      <c r="AJ332" s="24" t="n">
        <f aca="false">SUMIFS(Permissions!$G$2:$G$3000,Permissions!$B$2:$B$3000,$A332,Permissions!$I$2:$I$3000,"Stalled",Permissions!$P$2:$P$3000,"Yes")</f>
        <v>0</v>
      </c>
      <c r="AK332" s="24" t="n">
        <f aca="false">AG332+AH332+AI332+AJ332</f>
        <v>0</v>
      </c>
      <c r="AL332" s="24" t="n">
        <f aca="false">SUMIFS(Permissions!$G$2:$G$3000,Permissions!$B$2:$B$3000,$A332,Permissions!$I$2:$I$3000,"Expired – not started",Permissions!$P$2:$P$3000,"Yes")</f>
        <v>0</v>
      </c>
      <c r="AM332" s="24" t="n">
        <f aca="false">SUMIFS(Permissions!$G$2:$G$3000,Permissions!$B$2:$B$3000,$A332,Permissions!$I$2:$I$3000,"In planning",Permissions!$P$2:$P$3000,"Yes")</f>
        <v>0</v>
      </c>
      <c r="AN332" s="24" t="n">
        <f aca="false">IF(R332="",0,MAX(R332-AK332,0))</f>
        <v>9</v>
      </c>
      <c r="AO332" s="25" t="n">
        <f aca="false">AK332+AN332</f>
        <v>9</v>
      </c>
      <c r="AP332" s="24" t="n">
        <f aca="false">AO332-AG332</f>
        <v>9</v>
      </c>
      <c r="AQ332" s="26" t="n">
        <f aca="false">SUMIFS(Permissions!$AH$2:$AH$3000,Permissions!$B$2:$B$3000,$A332,Permissions!$P$2:$P$3000,"Yes")</f>
        <v>0</v>
      </c>
      <c r="AR332" s="26" t="n">
        <f aca="false">SUMIFS(Permissions!$AI$2:$AI$3000,Permissions!$B$2:$B$3000,$A332,Permissions!$P$2:$P$3000,"Yes")</f>
        <v>0</v>
      </c>
      <c r="AS332" s="26" t="n">
        <f aca="false">SUMIFS(Permissions!$AJ$2:$AJ$3000,Permissions!$B$2:$B$3000,$A332,Permissions!$P$2:$P$3000,"Yes")</f>
        <v>0</v>
      </c>
      <c r="AT332" s="26" t="n">
        <f aca="false">SUMIFS(Permissions!$AK$2:$AK$3000,Permissions!$B$2:$B$3000,$A332,Permissions!$P$2:$P$3000,"Yes")</f>
        <v>0</v>
      </c>
      <c r="AU332" s="26" t="n">
        <f aca="false">SUMIFS(Permissions!$AL$2:$AL$3000,Permissions!$B$2:$B$3000,$A332,Permissions!$P$2:$P$3000,"Yes")</f>
        <v>0</v>
      </c>
      <c r="AV332" s="26" t="n">
        <f aca="false">SUMIFS(Permissions!$AM$2:$AM$3000,Permissions!$B$2:$B$3000,$A332,Permissions!$P$2:$P$3000,"Yes")</f>
        <v>0</v>
      </c>
      <c r="AW332" s="24" t="n">
        <f aca="false">COUNTIFS(Permissions!$B$2:$B$3000,$A332,Permissions!$P$2:$P$3000,"Yes")</f>
        <v>0</v>
      </c>
      <c r="AX332" s="24" t="n">
        <f aca="false">SUMIFS(Permissions!$L$2:$L$3000,Permissions!$B$2:$B$3000,$A332,Permissions!$P$2:$P$3000,"Yes")</f>
        <v>0</v>
      </c>
      <c r="AY332" s="27" t="str">
        <f aca="false">IF(AND(AK332&gt;0,AG332&gt;=AK332,AN332=0),"Built out",IF(AG332&gt;0,"Partly built",IF(AK332&gt;0,"Consented – not built","No consent")))</f>
        <v>No consent</v>
      </c>
      <c r="AZ332" s="28" t="str">
        <f aca="false">IF(AND(R332&lt;&gt;"",AK332&gt;1.1*R332),"Consented above capacity",IF(AND(LEFT(B332,8)="Planning",AW332=0),"Consent parcel with no permission",IF(COUNTIF($A$2:$A$3000,$A332)&gt;1,"Duplicate parcel_id","")))</f>
        <v/>
      </c>
    </row>
    <row r="333" customFormat="false" ht="15" hidden="false" customHeight="false" outlineLevel="0" collapsed="false">
      <c r="A333" s="15" t="s">
        <v>756</v>
      </c>
      <c r="B333" s="15" t="s">
        <v>13</v>
      </c>
      <c r="C333" s="15" t="s">
        <v>17</v>
      </c>
      <c r="D333" s="15" t="s">
        <v>60</v>
      </c>
      <c r="E333" s="15" t="s">
        <v>20</v>
      </c>
      <c r="F333" s="15" t="n">
        <v>1</v>
      </c>
      <c r="G333" s="15" t="s">
        <v>154</v>
      </c>
      <c r="H333" s="15"/>
      <c r="I333" s="15" t="s">
        <v>17</v>
      </c>
      <c r="J333" s="15" t="s">
        <v>568</v>
      </c>
      <c r="K333" s="15" t="s">
        <v>744</v>
      </c>
      <c r="L333" s="15"/>
      <c r="M333" s="15" t="s">
        <v>733</v>
      </c>
      <c r="N333" s="15"/>
      <c r="O333" s="15"/>
      <c r="P333" s="15" t="n">
        <v>0.34</v>
      </c>
      <c r="Q333" s="15" t="n">
        <v>0.374</v>
      </c>
      <c r="R333" s="15" t="n">
        <v>8</v>
      </c>
      <c r="S333" s="15" t="s">
        <v>734</v>
      </c>
      <c r="T333" s="15" t="s">
        <v>745</v>
      </c>
      <c r="U333" s="15" t="s">
        <v>736</v>
      </c>
      <c r="V333" s="15"/>
      <c r="W333" s="15" t="s">
        <v>746</v>
      </c>
      <c r="X333" s="15" t="n">
        <v>25</v>
      </c>
      <c r="Y333" s="15" t="s">
        <v>747</v>
      </c>
      <c r="Z333" s="15" t="n">
        <v>1</v>
      </c>
      <c r="AA333" s="15" t="n">
        <v>0</v>
      </c>
      <c r="AB333" s="15" t="n">
        <v>0</v>
      </c>
      <c r="AC333" s="15"/>
      <c r="AD333" s="15"/>
      <c r="AE333" s="15" t="s">
        <v>163</v>
      </c>
      <c r="AF333" s="15"/>
      <c r="AG333" s="24" t="n">
        <f aca="false">SUMIFS(Permissions!$G$2:$G$3000,Permissions!$B$2:$B$3000,$A333,Permissions!$I$2:$I$3000,"Complete",Permissions!$P$2:$P$3000,"Yes")</f>
        <v>0</v>
      </c>
      <c r="AH333" s="24" t="n">
        <f aca="false">SUMIFS(Permissions!$G$2:$G$3000,Permissions!$B$2:$B$3000,$A333,Permissions!$I$2:$I$3000,"Under construction",Permissions!$P$2:$P$3000,"Yes")</f>
        <v>0</v>
      </c>
      <c r="AI333" s="24" t="n">
        <f aca="false">SUMIFS(Permissions!$G$2:$G$3000,Permissions!$B$2:$B$3000,$A333,Permissions!$I$2:$I$3000,"Permitted – not started",Permissions!$P$2:$P$3000,"Yes")</f>
        <v>0</v>
      </c>
      <c r="AJ333" s="24" t="n">
        <f aca="false">SUMIFS(Permissions!$G$2:$G$3000,Permissions!$B$2:$B$3000,$A333,Permissions!$I$2:$I$3000,"Stalled",Permissions!$P$2:$P$3000,"Yes")</f>
        <v>0</v>
      </c>
      <c r="AK333" s="24" t="n">
        <f aca="false">AG333+AH333+AI333+AJ333</f>
        <v>0</v>
      </c>
      <c r="AL333" s="24" t="n">
        <f aca="false">SUMIFS(Permissions!$G$2:$G$3000,Permissions!$B$2:$B$3000,$A333,Permissions!$I$2:$I$3000,"Expired – not started",Permissions!$P$2:$P$3000,"Yes")</f>
        <v>0</v>
      </c>
      <c r="AM333" s="24" t="n">
        <f aca="false">SUMIFS(Permissions!$G$2:$G$3000,Permissions!$B$2:$B$3000,$A333,Permissions!$I$2:$I$3000,"In planning",Permissions!$P$2:$P$3000,"Yes")</f>
        <v>0</v>
      </c>
      <c r="AN333" s="24" t="n">
        <f aca="false">IF(R333="",0,MAX(R333-AK333,0))</f>
        <v>8</v>
      </c>
      <c r="AO333" s="25" t="n">
        <f aca="false">AK333+AN333</f>
        <v>8</v>
      </c>
      <c r="AP333" s="24" t="n">
        <f aca="false">AO333-AG333</f>
        <v>8</v>
      </c>
      <c r="AQ333" s="26" t="n">
        <f aca="false">SUMIFS(Permissions!$AH$2:$AH$3000,Permissions!$B$2:$B$3000,$A333,Permissions!$P$2:$P$3000,"Yes")</f>
        <v>0</v>
      </c>
      <c r="AR333" s="26" t="n">
        <f aca="false">SUMIFS(Permissions!$AI$2:$AI$3000,Permissions!$B$2:$B$3000,$A333,Permissions!$P$2:$P$3000,"Yes")</f>
        <v>0</v>
      </c>
      <c r="AS333" s="26" t="n">
        <f aca="false">SUMIFS(Permissions!$AJ$2:$AJ$3000,Permissions!$B$2:$B$3000,$A333,Permissions!$P$2:$P$3000,"Yes")</f>
        <v>0</v>
      </c>
      <c r="AT333" s="26" t="n">
        <f aca="false">SUMIFS(Permissions!$AK$2:$AK$3000,Permissions!$B$2:$B$3000,$A333,Permissions!$P$2:$P$3000,"Yes")</f>
        <v>0</v>
      </c>
      <c r="AU333" s="26" t="n">
        <f aca="false">SUMIFS(Permissions!$AL$2:$AL$3000,Permissions!$B$2:$B$3000,$A333,Permissions!$P$2:$P$3000,"Yes")</f>
        <v>0</v>
      </c>
      <c r="AV333" s="26" t="n">
        <f aca="false">SUMIFS(Permissions!$AM$2:$AM$3000,Permissions!$B$2:$B$3000,$A333,Permissions!$P$2:$P$3000,"Yes")</f>
        <v>0</v>
      </c>
      <c r="AW333" s="24" t="n">
        <f aca="false">COUNTIFS(Permissions!$B$2:$B$3000,$A333,Permissions!$P$2:$P$3000,"Yes")</f>
        <v>0</v>
      </c>
      <c r="AX333" s="24" t="n">
        <f aca="false">SUMIFS(Permissions!$L$2:$L$3000,Permissions!$B$2:$B$3000,$A333,Permissions!$P$2:$P$3000,"Yes")</f>
        <v>0</v>
      </c>
      <c r="AY333" s="27" t="str">
        <f aca="false">IF(AND(AK333&gt;0,AG333&gt;=AK333,AN333=0),"Built out",IF(AG333&gt;0,"Partly built",IF(AK333&gt;0,"Consented – not built","No consent")))</f>
        <v>No consent</v>
      </c>
      <c r="AZ333" s="28" t="str">
        <f aca="false">IF(AND(R333&lt;&gt;"",AK333&gt;1.1*R333),"Consented above capacity",IF(AND(LEFT(B333,8)="Planning",AW333=0),"Consent parcel with no permission",IF(COUNTIF($A$2:$A$3000,$A333)&gt;1,"Duplicate parcel_id","")))</f>
        <v/>
      </c>
    </row>
    <row r="334" customFormat="false" ht="15" hidden="false" customHeight="false" outlineLevel="0" collapsed="false">
      <c r="A334" s="15" t="s">
        <v>757</v>
      </c>
      <c r="B334" s="15" t="s">
        <v>13</v>
      </c>
      <c r="C334" s="15" t="s">
        <v>17</v>
      </c>
      <c r="D334" s="15" t="s">
        <v>60</v>
      </c>
      <c r="E334" s="15" t="s">
        <v>20</v>
      </c>
      <c r="F334" s="15" t="n">
        <v>0.68</v>
      </c>
      <c r="G334" s="15" t="s">
        <v>154</v>
      </c>
      <c r="H334" s="15"/>
      <c r="I334" s="15" t="s">
        <v>17</v>
      </c>
      <c r="J334" s="15" t="s">
        <v>568</v>
      </c>
      <c r="K334" s="15" t="s">
        <v>744</v>
      </c>
      <c r="L334" s="15"/>
      <c r="M334" s="15" t="s">
        <v>733</v>
      </c>
      <c r="N334" s="15"/>
      <c r="O334" s="15"/>
      <c r="P334" s="15" t="n">
        <v>1.244</v>
      </c>
      <c r="Q334" s="15" t="n">
        <v>1.367</v>
      </c>
      <c r="R334" s="15" t="n">
        <v>31</v>
      </c>
      <c r="S334" s="15" t="s">
        <v>734</v>
      </c>
      <c r="T334" s="15" t="s">
        <v>745</v>
      </c>
      <c r="U334" s="15" t="s">
        <v>736</v>
      </c>
      <c r="V334" s="15"/>
      <c r="W334" s="15" t="s">
        <v>746</v>
      </c>
      <c r="X334" s="15" t="n">
        <v>25</v>
      </c>
      <c r="Y334" s="15" t="s">
        <v>747</v>
      </c>
      <c r="Z334" s="15" t="n">
        <v>1</v>
      </c>
      <c r="AA334" s="15" t="n">
        <v>0</v>
      </c>
      <c r="AB334" s="15" t="n">
        <v>0</v>
      </c>
      <c r="AC334" s="15"/>
      <c r="AD334" s="15"/>
      <c r="AE334" s="15" t="s">
        <v>163</v>
      </c>
      <c r="AF334" s="15"/>
      <c r="AG334" s="24" t="n">
        <f aca="false">SUMIFS(Permissions!$G$2:$G$3000,Permissions!$B$2:$B$3000,$A334,Permissions!$I$2:$I$3000,"Complete",Permissions!$P$2:$P$3000,"Yes")</f>
        <v>0</v>
      </c>
      <c r="AH334" s="24" t="n">
        <f aca="false">SUMIFS(Permissions!$G$2:$G$3000,Permissions!$B$2:$B$3000,$A334,Permissions!$I$2:$I$3000,"Under construction",Permissions!$P$2:$P$3000,"Yes")</f>
        <v>0</v>
      </c>
      <c r="AI334" s="24" t="n">
        <f aca="false">SUMIFS(Permissions!$G$2:$G$3000,Permissions!$B$2:$B$3000,$A334,Permissions!$I$2:$I$3000,"Permitted – not started",Permissions!$P$2:$P$3000,"Yes")</f>
        <v>0</v>
      </c>
      <c r="AJ334" s="24" t="n">
        <f aca="false">SUMIFS(Permissions!$G$2:$G$3000,Permissions!$B$2:$B$3000,$A334,Permissions!$I$2:$I$3000,"Stalled",Permissions!$P$2:$P$3000,"Yes")</f>
        <v>0</v>
      </c>
      <c r="AK334" s="24" t="n">
        <f aca="false">AG334+AH334+AI334+AJ334</f>
        <v>0</v>
      </c>
      <c r="AL334" s="24" t="n">
        <f aca="false">SUMIFS(Permissions!$G$2:$G$3000,Permissions!$B$2:$B$3000,$A334,Permissions!$I$2:$I$3000,"Expired – not started",Permissions!$P$2:$P$3000,"Yes")</f>
        <v>0</v>
      </c>
      <c r="AM334" s="24" t="n">
        <f aca="false">SUMIFS(Permissions!$G$2:$G$3000,Permissions!$B$2:$B$3000,$A334,Permissions!$I$2:$I$3000,"In planning",Permissions!$P$2:$P$3000,"Yes")</f>
        <v>0</v>
      </c>
      <c r="AN334" s="24" t="n">
        <f aca="false">IF(R334="",0,MAX(R334-AK334,0))</f>
        <v>31</v>
      </c>
      <c r="AO334" s="25" t="n">
        <f aca="false">AK334+AN334</f>
        <v>31</v>
      </c>
      <c r="AP334" s="24" t="n">
        <f aca="false">AO334-AG334</f>
        <v>31</v>
      </c>
      <c r="AQ334" s="26" t="n">
        <f aca="false">SUMIFS(Permissions!$AH$2:$AH$3000,Permissions!$B$2:$B$3000,$A334,Permissions!$P$2:$P$3000,"Yes")</f>
        <v>0</v>
      </c>
      <c r="AR334" s="26" t="n">
        <f aca="false">SUMIFS(Permissions!$AI$2:$AI$3000,Permissions!$B$2:$B$3000,$A334,Permissions!$P$2:$P$3000,"Yes")</f>
        <v>0</v>
      </c>
      <c r="AS334" s="26" t="n">
        <f aca="false">SUMIFS(Permissions!$AJ$2:$AJ$3000,Permissions!$B$2:$B$3000,$A334,Permissions!$P$2:$P$3000,"Yes")</f>
        <v>0</v>
      </c>
      <c r="AT334" s="26" t="n">
        <f aca="false">SUMIFS(Permissions!$AK$2:$AK$3000,Permissions!$B$2:$B$3000,$A334,Permissions!$P$2:$P$3000,"Yes")</f>
        <v>0</v>
      </c>
      <c r="AU334" s="26" t="n">
        <f aca="false">SUMIFS(Permissions!$AL$2:$AL$3000,Permissions!$B$2:$B$3000,$A334,Permissions!$P$2:$P$3000,"Yes")</f>
        <v>0</v>
      </c>
      <c r="AV334" s="26" t="n">
        <f aca="false">SUMIFS(Permissions!$AM$2:$AM$3000,Permissions!$B$2:$B$3000,$A334,Permissions!$P$2:$P$3000,"Yes")</f>
        <v>0</v>
      </c>
      <c r="AW334" s="24" t="n">
        <f aca="false">COUNTIFS(Permissions!$B$2:$B$3000,$A334,Permissions!$P$2:$P$3000,"Yes")</f>
        <v>0</v>
      </c>
      <c r="AX334" s="24" t="n">
        <f aca="false">SUMIFS(Permissions!$L$2:$L$3000,Permissions!$B$2:$B$3000,$A334,Permissions!$P$2:$P$3000,"Yes")</f>
        <v>0</v>
      </c>
      <c r="AY334" s="27" t="str">
        <f aca="false">IF(AND(AK334&gt;0,AG334&gt;=AK334,AN334=0),"Built out",IF(AG334&gt;0,"Partly built",IF(AK334&gt;0,"Consented – not built","No consent")))</f>
        <v>No consent</v>
      </c>
      <c r="AZ334" s="28" t="str">
        <f aca="false">IF(AND(R334&lt;&gt;"",AK334&gt;1.1*R334),"Consented above capacity",IF(AND(LEFT(B334,8)="Planning",AW334=0),"Consent parcel with no permission",IF(COUNTIF($A$2:$A$3000,$A334)&gt;1,"Duplicate parcel_id","")))</f>
        <v/>
      </c>
    </row>
    <row r="335" customFormat="false" ht="15" hidden="false" customHeight="false" outlineLevel="0" collapsed="false">
      <c r="A335" s="15" t="s">
        <v>758</v>
      </c>
      <c r="B335" s="15" t="s">
        <v>13</v>
      </c>
      <c r="C335" s="15" t="s">
        <v>17</v>
      </c>
      <c r="D335" s="15" t="s">
        <v>60</v>
      </c>
      <c r="E335" s="15" t="s">
        <v>20</v>
      </c>
      <c r="F335" s="15" t="n">
        <v>0</v>
      </c>
      <c r="G335" s="15" t="s">
        <v>743</v>
      </c>
      <c r="H335" s="15"/>
      <c r="I335" s="15" t="s">
        <v>17</v>
      </c>
      <c r="J335" s="15" t="s">
        <v>568</v>
      </c>
      <c r="K335" s="15" t="s">
        <v>750</v>
      </c>
      <c r="L335" s="15"/>
      <c r="M335" s="15" t="s">
        <v>751</v>
      </c>
      <c r="N335" s="15"/>
      <c r="O335" s="15"/>
      <c r="P335" s="15" t="n">
        <v>0.905</v>
      </c>
      <c r="Q335" s="15" t="n">
        <v>0.995</v>
      </c>
      <c r="R335" s="15" t="n">
        <v>17</v>
      </c>
      <c r="S335" s="15" t="s">
        <v>734</v>
      </c>
      <c r="T335" s="15" t="s">
        <v>745</v>
      </c>
      <c r="U335" s="15" t="s">
        <v>752</v>
      </c>
      <c r="V335" s="15"/>
      <c r="W335" s="15" t="s">
        <v>753</v>
      </c>
      <c r="X335" s="15" t="n">
        <v>19</v>
      </c>
      <c r="Y335" s="15" t="s">
        <v>754</v>
      </c>
      <c r="Z335" s="15" t="n">
        <v>0.47</v>
      </c>
      <c r="AA335" s="15" t="n">
        <v>0</v>
      </c>
      <c r="AB335" s="15" t="n">
        <v>0</v>
      </c>
      <c r="AC335" s="15"/>
      <c r="AD335" s="15"/>
      <c r="AE335" s="15" t="s">
        <v>163</v>
      </c>
      <c r="AF335" s="15"/>
      <c r="AG335" s="24" t="n">
        <f aca="false">SUMIFS(Permissions!$G$2:$G$3000,Permissions!$B$2:$B$3000,$A335,Permissions!$I$2:$I$3000,"Complete",Permissions!$P$2:$P$3000,"Yes")</f>
        <v>0</v>
      </c>
      <c r="AH335" s="24" t="n">
        <f aca="false">SUMIFS(Permissions!$G$2:$G$3000,Permissions!$B$2:$B$3000,$A335,Permissions!$I$2:$I$3000,"Under construction",Permissions!$P$2:$P$3000,"Yes")</f>
        <v>0</v>
      </c>
      <c r="AI335" s="24" t="n">
        <f aca="false">SUMIFS(Permissions!$G$2:$G$3000,Permissions!$B$2:$B$3000,$A335,Permissions!$I$2:$I$3000,"Permitted – not started",Permissions!$P$2:$P$3000,"Yes")</f>
        <v>0</v>
      </c>
      <c r="AJ335" s="24" t="n">
        <f aca="false">SUMIFS(Permissions!$G$2:$G$3000,Permissions!$B$2:$B$3000,$A335,Permissions!$I$2:$I$3000,"Stalled",Permissions!$P$2:$P$3000,"Yes")</f>
        <v>0</v>
      </c>
      <c r="AK335" s="24" t="n">
        <f aca="false">AG335+AH335+AI335+AJ335</f>
        <v>0</v>
      </c>
      <c r="AL335" s="24" t="n">
        <f aca="false">SUMIFS(Permissions!$G$2:$G$3000,Permissions!$B$2:$B$3000,$A335,Permissions!$I$2:$I$3000,"Expired – not started",Permissions!$P$2:$P$3000,"Yes")</f>
        <v>0</v>
      </c>
      <c r="AM335" s="24" t="n">
        <f aca="false">SUMIFS(Permissions!$G$2:$G$3000,Permissions!$B$2:$B$3000,$A335,Permissions!$I$2:$I$3000,"In planning",Permissions!$P$2:$P$3000,"Yes")</f>
        <v>0</v>
      </c>
      <c r="AN335" s="24" t="n">
        <f aca="false">IF(R335="",0,MAX(R335-AK335,0))</f>
        <v>17</v>
      </c>
      <c r="AO335" s="25" t="n">
        <f aca="false">AK335+AN335</f>
        <v>17</v>
      </c>
      <c r="AP335" s="24" t="n">
        <f aca="false">AO335-AG335</f>
        <v>17</v>
      </c>
      <c r="AQ335" s="26" t="n">
        <f aca="false">SUMIFS(Permissions!$AH$2:$AH$3000,Permissions!$B$2:$B$3000,$A335,Permissions!$P$2:$P$3000,"Yes")</f>
        <v>0</v>
      </c>
      <c r="AR335" s="26" t="n">
        <f aca="false">SUMIFS(Permissions!$AI$2:$AI$3000,Permissions!$B$2:$B$3000,$A335,Permissions!$P$2:$P$3000,"Yes")</f>
        <v>0</v>
      </c>
      <c r="AS335" s="26" t="n">
        <f aca="false">SUMIFS(Permissions!$AJ$2:$AJ$3000,Permissions!$B$2:$B$3000,$A335,Permissions!$P$2:$P$3000,"Yes")</f>
        <v>0</v>
      </c>
      <c r="AT335" s="26" t="n">
        <f aca="false">SUMIFS(Permissions!$AK$2:$AK$3000,Permissions!$B$2:$B$3000,$A335,Permissions!$P$2:$P$3000,"Yes")</f>
        <v>0</v>
      </c>
      <c r="AU335" s="26" t="n">
        <f aca="false">SUMIFS(Permissions!$AL$2:$AL$3000,Permissions!$B$2:$B$3000,$A335,Permissions!$P$2:$P$3000,"Yes")</f>
        <v>0</v>
      </c>
      <c r="AV335" s="26" t="n">
        <f aca="false">SUMIFS(Permissions!$AM$2:$AM$3000,Permissions!$B$2:$B$3000,$A335,Permissions!$P$2:$P$3000,"Yes")</f>
        <v>0</v>
      </c>
      <c r="AW335" s="24" t="n">
        <f aca="false">COUNTIFS(Permissions!$B$2:$B$3000,$A335,Permissions!$P$2:$P$3000,"Yes")</f>
        <v>0</v>
      </c>
      <c r="AX335" s="24" t="n">
        <f aca="false">SUMIFS(Permissions!$L$2:$L$3000,Permissions!$B$2:$B$3000,$A335,Permissions!$P$2:$P$3000,"Yes")</f>
        <v>0</v>
      </c>
      <c r="AY335" s="27" t="str">
        <f aca="false">IF(AND(AK335&gt;0,AG335&gt;=AK335,AN335=0),"Built out",IF(AG335&gt;0,"Partly built",IF(AK335&gt;0,"Consented – not built","No consent")))</f>
        <v>No consent</v>
      </c>
      <c r="AZ335" s="28" t="str">
        <f aca="false">IF(AND(R335&lt;&gt;"",AK335&gt;1.1*R335),"Consented above capacity",IF(AND(LEFT(B335,8)="Planning",AW335=0),"Consent parcel with no permission",IF(COUNTIF($A$2:$A$3000,$A335)&gt;1,"Duplicate parcel_id","")))</f>
        <v/>
      </c>
    </row>
    <row r="336" customFormat="false" ht="15" hidden="false" customHeight="false" outlineLevel="0" collapsed="false">
      <c r="A336" s="15" t="s">
        <v>759</v>
      </c>
      <c r="B336" s="15" t="s">
        <v>13</v>
      </c>
      <c r="C336" s="15" t="s">
        <v>17</v>
      </c>
      <c r="D336" s="15" t="s">
        <v>67</v>
      </c>
      <c r="E336" s="15" t="s">
        <v>21</v>
      </c>
      <c r="F336" s="15" t="n">
        <v>0</v>
      </c>
      <c r="G336" s="15" t="s">
        <v>760</v>
      </c>
      <c r="H336" s="15"/>
      <c r="I336" s="15" t="s">
        <v>17</v>
      </c>
      <c r="J336" s="15" t="s">
        <v>583</v>
      </c>
      <c r="K336" s="15" t="s">
        <v>761</v>
      </c>
      <c r="L336" s="15"/>
      <c r="M336" s="15" t="s">
        <v>751</v>
      </c>
      <c r="N336" s="15"/>
      <c r="O336" s="15"/>
      <c r="P336" s="15" t="n">
        <v>1.011</v>
      </c>
      <c r="Q336" s="15" t="n">
        <v>1.111</v>
      </c>
      <c r="R336" s="15" t="n">
        <v>19</v>
      </c>
      <c r="S336" s="15" t="s">
        <v>734</v>
      </c>
      <c r="T336" s="15" t="s">
        <v>762</v>
      </c>
      <c r="U336" s="15" t="s">
        <v>752</v>
      </c>
      <c r="V336" s="15"/>
      <c r="W336" s="15" t="s">
        <v>753</v>
      </c>
      <c r="X336" s="15" t="n">
        <v>19</v>
      </c>
      <c r="Y336" s="15" t="s">
        <v>754</v>
      </c>
      <c r="Z336" s="15" t="n">
        <v>0</v>
      </c>
      <c r="AA336" s="15" t="n">
        <v>0</v>
      </c>
      <c r="AB336" s="15" t="n">
        <v>0</v>
      </c>
      <c r="AC336" s="15"/>
      <c r="AD336" s="15"/>
      <c r="AE336" s="15" t="s">
        <v>163</v>
      </c>
      <c r="AF336" s="15"/>
      <c r="AG336" s="24" t="n">
        <f aca="false">SUMIFS(Permissions!$G$2:$G$3000,Permissions!$B$2:$B$3000,$A336,Permissions!$I$2:$I$3000,"Complete",Permissions!$P$2:$P$3000,"Yes")</f>
        <v>0</v>
      </c>
      <c r="AH336" s="24" t="n">
        <f aca="false">SUMIFS(Permissions!$G$2:$G$3000,Permissions!$B$2:$B$3000,$A336,Permissions!$I$2:$I$3000,"Under construction",Permissions!$P$2:$P$3000,"Yes")</f>
        <v>0</v>
      </c>
      <c r="AI336" s="24" t="n">
        <f aca="false">SUMIFS(Permissions!$G$2:$G$3000,Permissions!$B$2:$B$3000,$A336,Permissions!$I$2:$I$3000,"Permitted – not started",Permissions!$P$2:$P$3000,"Yes")</f>
        <v>0</v>
      </c>
      <c r="AJ336" s="24" t="n">
        <f aca="false">SUMIFS(Permissions!$G$2:$G$3000,Permissions!$B$2:$B$3000,$A336,Permissions!$I$2:$I$3000,"Stalled",Permissions!$P$2:$P$3000,"Yes")</f>
        <v>0</v>
      </c>
      <c r="AK336" s="24" t="n">
        <f aca="false">AG336+AH336+AI336+AJ336</f>
        <v>0</v>
      </c>
      <c r="AL336" s="24" t="n">
        <f aca="false">SUMIFS(Permissions!$G$2:$G$3000,Permissions!$B$2:$B$3000,$A336,Permissions!$I$2:$I$3000,"Expired – not started",Permissions!$P$2:$P$3000,"Yes")</f>
        <v>0</v>
      </c>
      <c r="AM336" s="24" t="n">
        <f aca="false">SUMIFS(Permissions!$G$2:$G$3000,Permissions!$B$2:$B$3000,$A336,Permissions!$I$2:$I$3000,"In planning",Permissions!$P$2:$P$3000,"Yes")</f>
        <v>0</v>
      </c>
      <c r="AN336" s="24" t="n">
        <f aca="false">IF(R336="",0,MAX(R336-AK336,0))</f>
        <v>19</v>
      </c>
      <c r="AO336" s="25" t="n">
        <f aca="false">AK336+AN336</f>
        <v>19</v>
      </c>
      <c r="AP336" s="24" t="n">
        <f aca="false">AO336-AG336</f>
        <v>19</v>
      </c>
      <c r="AQ336" s="26" t="n">
        <f aca="false">SUMIFS(Permissions!$AH$2:$AH$3000,Permissions!$B$2:$B$3000,$A336,Permissions!$P$2:$P$3000,"Yes")</f>
        <v>0</v>
      </c>
      <c r="AR336" s="26" t="n">
        <f aca="false">SUMIFS(Permissions!$AI$2:$AI$3000,Permissions!$B$2:$B$3000,$A336,Permissions!$P$2:$P$3000,"Yes")</f>
        <v>0</v>
      </c>
      <c r="AS336" s="26" t="n">
        <f aca="false">SUMIFS(Permissions!$AJ$2:$AJ$3000,Permissions!$B$2:$B$3000,$A336,Permissions!$P$2:$P$3000,"Yes")</f>
        <v>0</v>
      </c>
      <c r="AT336" s="26" t="n">
        <f aca="false">SUMIFS(Permissions!$AK$2:$AK$3000,Permissions!$B$2:$B$3000,$A336,Permissions!$P$2:$P$3000,"Yes")</f>
        <v>0</v>
      </c>
      <c r="AU336" s="26" t="n">
        <f aca="false">SUMIFS(Permissions!$AL$2:$AL$3000,Permissions!$B$2:$B$3000,$A336,Permissions!$P$2:$P$3000,"Yes")</f>
        <v>0</v>
      </c>
      <c r="AV336" s="26" t="n">
        <f aca="false">SUMIFS(Permissions!$AM$2:$AM$3000,Permissions!$B$2:$B$3000,$A336,Permissions!$P$2:$P$3000,"Yes")</f>
        <v>0</v>
      </c>
      <c r="AW336" s="24" t="n">
        <f aca="false">COUNTIFS(Permissions!$B$2:$B$3000,$A336,Permissions!$P$2:$P$3000,"Yes")</f>
        <v>0</v>
      </c>
      <c r="AX336" s="24" t="n">
        <f aca="false">SUMIFS(Permissions!$L$2:$L$3000,Permissions!$B$2:$B$3000,$A336,Permissions!$P$2:$P$3000,"Yes")</f>
        <v>0</v>
      </c>
      <c r="AY336" s="27" t="str">
        <f aca="false">IF(AND(AK336&gt;0,AG336&gt;=AK336,AN336=0),"Built out",IF(AG336&gt;0,"Partly built",IF(AK336&gt;0,"Consented – not built","No consent")))</f>
        <v>No consent</v>
      </c>
      <c r="AZ336" s="28" t="str">
        <f aca="false">IF(AND(R336&lt;&gt;"",AK336&gt;1.1*R336),"Consented above capacity",IF(AND(LEFT(B336,8)="Planning",AW336=0),"Consent parcel with no permission",IF(COUNTIF($A$2:$A$3000,$A336)&gt;1,"Duplicate parcel_id","")))</f>
        <v/>
      </c>
    </row>
    <row r="337" customFormat="false" ht="15" hidden="false" customHeight="false" outlineLevel="0" collapsed="false">
      <c r="A337" s="15" t="s">
        <v>763</v>
      </c>
      <c r="B337" s="15" t="s">
        <v>13</v>
      </c>
      <c r="C337" s="15" t="s">
        <v>17</v>
      </c>
      <c r="D337" s="15" t="s">
        <v>67</v>
      </c>
      <c r="E337" s="15" t="s">
        <v>21</v>
      </c>
      <c r="F337" s="15" t="n">
        <v>0</v>
      </c>
      <c r="G337" s="15" t="s">
        <v>760</v>
      </c>
      <c r="H337" s="15"/>
      <c r="I337" s="15" t="s">
        <v>17</v>
      </c>
      <c r="J337" s="15" t="s">
        <v>583</v>
      </c>
      <c r="K337" s="15" t="s">
        <v>764</v>
      </c>
      <c r="L337" s="15"/>
      <c r="M337" s="15" t="s">
        <v>733</v>
      </c>
      <c r="N337" s="15"/>
      <c r="O337" s="15"/>
      <c r="P337" s="15" t="n">
        <v>0.109</v>
      </c>
      <c r="Q337" s="15" t="n">
        <v>0.12</v>
      </c>
      <c r="R337" s="15" t="n">
        <v>3</v>
      </c>
      <c r="S337" s="15" t="s">
        <v>734</v>
      </c>
      <c r="T337" s="15" t="s">
        <v>762</v>
      </c>
      <c r="U337" s="15" t="s">
        <v>736</v>
      </c>
      <c r="V337" s="15"/>
      <c r="W337" s="15" t="s">
        <v>746</v>
      </c>
      <c r="X337" s="15" t="n">
        <v>25</v>
      </c>
      <c r="Y337" s="15" t="s">
        <v>747</v>
      </c>
      <c r="Z337" s="15" t="n">
        <v>1</v>
      </c>
      <c r="AA337" s="15" t="n">
        <v>0</v>
      </c>
      <c r="AB337" s="15" t="n">
        <v>0</v>
      </c>
      <c r="AC337" s="15"/>
      <c r="AD337" s="15"/>
      <c r="AE337" s="15" t="s">
        <v>163</v>
      </c>
      <c r="AF337" s="15"/>
      <c r="AG337" s="24" t="n">
        <f aca="false">SUMIFS(Permissions!$G$2:$G$3000,Permissions!$B$2:$B$3000,$A337,Permissions!$I$2:$I$3000,"Complete",Permissions!$P$2:$P$3000,"Yes")</f>
        <v>0</v>
      </c>
      <c r="AH337" s="24" t="n">
        <f aca="false">SUMIFS(Permissions!$G$2:$G$3000,Permissions!$B$2:$B$3000,$A337,Permissions!$I$2:$I$3000,"Under construction",Permissions!$P$2:$P$3000,"Yes")</f>
        <v>0</v>
      </c>
      <c r="AI337" s="24" t="n">
        <f aca="false">SUMIFS(Permissions!$G$2:$G$3000,Permissions!$B$2:$B$3000,$A337,Permissions!$I$2:$I$3000,"Permitted – not started",Permissions!$P$2:$P$3000,"Yes")</f>
        <v>0</v>
      </c>
      <c r="AJ337" s="24" t="n">
        <f aca="false">SUMIFS(Permissions!$G$2:$G$3000,Permissions!$B$2:$B$3000,$A337,Permissions!$I$2:$I$3000,"Stalled",Permissions!$P$2:$P$3000,"Yes")</f>
        <v>0</v>
      </c>
      <c r="AK337" s="24" t="n">
        <f aca="false">AG337+AH337+AI337+AJ337</f>
        <v>0</v>
      </c>
      <c r="AL337" s="24" t="n">
        <f aca="false">SUMIFS(Permissions!$G$2:$G$3000,Permissions!$B$2:$B$3000,$A337,Permissions!$I$2:$I$3000,"Expired – not started",Permissions!$P$2:$P$3000,"Yes")</f>
        <v>0</v>
      </c>
      <c r="AM337" s="24" t="n">
        <f aca="false">SUMIFS(Permissions!$G$2:$G$3000,Permissions!$B$2:$B$3000,$A337,Permissions!$I$2:$I$3000,"In planning",Permissions!$P$2:$P$3000,"Yes")</f>
        <v>0</v>
      </c>
      <c r="AN337" s="24" t="n">
        <f aca="false">IF(R337="",0,MAX(R337-AK337,0))</f>
        <v>3</v>
      </c>
      <c r="AO337" s="25" t="n">
        <f aca="false">AK337+AN337</f>
        <v>3</v>
      </c>
      <c r="AP337" s="24" t="n">
        <f aca="false">AO337-AG337</f>
        <v>3</v>
      </c>
      <c r="AQ337" s="26" t="n">
        <f aca="false">SUMIFS(Permissions!$AH$2:$AH$3000,Permissions!$B$2:$B$3000,$A337,Permissions!$P$2:$P$3000,"Yes")</f>
        <v>0</v>
      </c>
      <c r="AR337" s="26" t="n">
        <f aca="false">SUMIFS(Permissions!$AI$2:$AI$3000,Permissions!$B$2:$B$3000,$A337,Permissions!$P$2:$P$3000,"Yes")</f>
        <v>0</v>
      </c>
      <c r="AS337" s="26" t="n">
        <f aca="false">SUMIFS(Permissions!$AJ$2:$AJ$3000,Permissions!$B$2:$B$3000,$A337,Permissions!$P$2:$P$3000,"Yes")</f>
        <v>0</v>
      </c>
      <c r="AT337" s="26" t="n">
        <f aca="false">SUMIFS(Permissions!$AK$2:$AK$3000,Permissions!$B$2:$B$3000,$A337,Permissions!$P$2:$P$3000,"Yes")</f>
        <v>0</v>
      </c>
      <c r="AU337" s="26" t="n">
        <f aca="false">SUMIFS(Permissions!$AL$2:$AL$3000,Permissions!$B$2:$B$3000,$A337,Permissions!$P$2:$P$3000,"Yes")</f>
        <v>0</v>
      </c>
      <c r="AV337" s="26" t="n">
        <f aca="false">SUMIFS(Permissions!$AM$2:$AM$3000,Permissions!$B$2:$B$3000,$A337,Permissions!$P$2:$P$3000,"Yes")</f>
        <v>0</v>
      </c>
      <c r="AW337" s="24" t="n">
        <f aca="false">COUNTIFS(Permissions!$B$2:$B$3000,$A337,Permissions!$P$2:$P$3000,"Yes")</f>
        <v>0</v>
      </c>
      <c r="AX337" s="24" t="n">
        <f aca="false">SUMIFS(Permissions!$L$2:$L$3000,Permissions!$B$2:$B$3000,$A337,Permissions!$P$2:$P$3000,"Yes")</f>
        <v>0</v>
      </c>
      <c r="AY337" s="27" t="str">
        <f aca="false">IF(AND(AK337&gt;0,AG337&gt;=AK337,AN337=0),"Built out",IF(AG337&gt;0,"Partly built",IF(AK337&gt;0,"Consented – not built","No consent")))</f>
        <v>No consent</v>
      </c>
      <c r="AZ337" s="28" t="str">
        <f aca="false">IF(AND(R337&lt;&gt;"",AK337&gt;1.1*R337),"Consented above capacity",IF(AND(LEFT(B337,8)="Planning",AW337=0),"Consent parcel with no permission",IF(COUNTIF($A$2:$A$3000,$A337)&gt;1,"Duplicate parcel_id","")))</f>
        <v/>
      </c>
    </row>
    <row r="338" customFormat="false" ht="15" hidden="false" customHeight="false" outlineLevel="0" collapsed="false">
      <c r="A338" s="15" t="s">
        <v>765</v>
      </c>
      <c r="B338" s="15" t="s">
        <v>13</v>
      </c>
      <c r="C338" s="15" t="s">
        <v>17</v>
      </c>
      <c r="D338" s="15" t="s">
        <v>67</v>
      </c>
      <c r="E338" s="15" t="s">
        <v>21</v>
      </c>
      <c r="F338" s="15" t="n">
        <v>0.6</v>
      </c>
      <c r="G338" s="15" t="s">
        <v>154</v>
      </c>
      <c r="H338" s="15"/>
      <c r="I338" s="15" t="s">
        <v>17</v>
      </c>
      <c r="J338" s="15" t="s">
        <v>583</v>
      </c>
      <c r="K338" s="15" t="s">
        <v>764</v>
      </c>
      <c r="L338" s="15"/>
      <c r="M338" s="15" t="s">
        <v>733</v>
      </c>
      <c r="N338" s="15"/>
      <c r="O338" s="15"/>
      <c r="P338" s="15" t="n">
        <v>1.594</v>
      </c>
      <c r="Q338" s="15" t="n">
        <v>1.752</v>
      </c>
      <c r="R338" s="15" t="n">
        <v>40</v>
      </c>
      <c r="S338" s="15" t="s">
        <v>734</v>
      </c>
      <c r="T338" s="15" t="s">
        <v>762</v>
      </c>
      <c r="U338" s="15" t="s">
        <v>736</v>
      </c>
      <c r="V338" s="15"/>
      <c r="W338" s="15" t="s">
        <v>746</v>
      </c>
      <c r="X338" s="15" t="n">
        <v>25</v>
      </c>
      <c r="Y338" s="15" t="s">
        <v>747</v>
      </c>
      <c r="Z338" s="15" t="n">
        <v>1</v>
      </c>
      <c r="AA338" s="15" t="n">
        <v>0</v>
      </c>
      <c r="AB338" s="15" t="n">
        <v>0</v>
      </c>
      <c r="AC338" s="15"/>
      <c r="AD338" s="15"/>
      <c r="AE338" s="15" t="s">
        <v>163</v>
      </c>
      <c r="AF338" s="15"/>
      <c r="AG338" s="24" t="n">
        <f aca="false">SUMIFS(Permissions!$G$2:$G$3000,Permissions!$B$2:$B$3000,$A338,Permissions!$I$2:$I$3000,"Complete",Permissions!$P$2:$P$3000,"Yes")</f>
        <v>0</v>
      </c>
      <c r="AH338" s="24" t="n">
        <f aca="false">SUMIFS(Permissions!$G$2:$G$3000,Permissions!$B$2:$B$3000,$A338,Permissions!$I$2:$I$3000,"Under construction",Permissions!$P$2:$P$3000,"Yes")</f>
        <v>0</v>
      </c>
      <c r="AI338" s="24" t="n">
        <f aca="false">SUMIFS(Permissions!$G$2:$G$3000,Permissions!$B$2:$B$3000,$A338,Permissions!$I$2:$I$3000,"Permitted – not started",Permissions!$P$2:$P$3000,"Yes")</f>
        <v>0</v>
      </c>
      <c r="AJ338" s="24" t="n">
        <f aca="false">SUMIFS(Permissions!$G$2:$G$3000,Permissions!$B$2:$B$3000,$A338,Permissions!$I$2:$I$3000,"Stalled",Permissions!$P$2:$P$3000,"Yes")</f>
        <v>0</v>
      </c>
      <c r="AK338" s="24" t="n">
        <f aca="false">AG338+AH338+AI338+AJ338</f>
        <v>0</v>
      </c>
      <c r="AL338" s="24" t="n">
        <f aca="false">SUMIFS(Permissions!$G$2:$G$3000,Permissions!$B$2:$B$3000,$A338,Permissions!$I$2:$I$3000,"Expired – not started",Permissions!$P$2:$P$3000,"Yes")</f>
        <v>0</v>
      </c>
      <c r="AM338" s="24" t="n">
        <f aca="false">SUMIFS(Permissions!$G$2:$G$3000,Permissions!$B$2:$B$3000,$A338,Permissions!$I$2:$I$3000,"In planning",Permissions!$P$2:$P$3000,"Yes")</f>
        <v>0</v>
      </c>
      <c r="AN338" s="24" t="n">
        <f aca="false">IF(R338="",0,MAX(R338-AK338,0))</f>
        <v>40</v>
      </c>
      <c r="AO338" s="25" t="n">
        <f aca="false">AK338+AN338</f>
        <v>40</v>
      </c>
      <c r="AP338" s="24" t="n">
        <f aca="false">AO338-AG338</f>
        <v>40</v>
      </c>
      <c r="AQ338" s="26" t="n">
        <f aca="false">SUMIFS(Permissions!$AH$2:$AH$3000,Permissions!$B$2:$B$3000,$A338,Permissions!$P$2:$P$3000,"Yes")</f>
        <v>0</v>
      </c>
      <c r="AR338" s="26" t="n">
        <f aca="false">SUMIFS(Permissions!$AI$2:$AI$3000,Permissions!$B$2:$B$3000,$A338,Permissions!$P$2:$P$3000,"Yes")</f>
        <v>0</v>
      </c>
      <c r="AS338" s="26" t="n">
        <f aca="false">SUMIFS(Permissions!$AJ$2:$AJ$3000,Permissions!$B$2:$B$3000,$A338,Permissions!$P$2:$P$3000,"Yes")</f>
        <v>0</v>
      </c>
      <c r="AT338" s="26" t="n">
        <f aca="false">SUMIFS(Permissions!$AK$2:$AK$3000,Permissions!$B$2:$B$3000,$A338,Permissions!$P$2:$P$3000,"Yes")</f>
        <v>0</v>
      </c>
      <c r="AU338" s="26" t="n">
        <f aca="false">SUMIFS(Permissions!$AL$2:$AL$3000,Permissions!$B$2:$B$3000,$A338,Permissions!$P$2:$P$3000,"Yes")</f>
        <v>0</v>
      </c>
      <c r="AV338" s="26" t="n">
        <f aca="false">SUMIFS(Permissions!$AM$2:$AM$3000,Permissions!$B$2:$B$3000,$A338,Permissions!$P$2:$P$3000,"Yes")</f>
        <v>0</v>
      </c>
      <c r="AW338" s="24" t="n">
        <f aca="false">COUNTIFS(Permissions!$B$2:$B$3000,$A338,Permissions!$P$2:$P$3000,"Yes")</f>
        <v>0</v>
      </c>
      <c r="AX338" s="24" t="n">
        <f aca="false">SUMIFS(Permissions!$L$2:$L$3000,Permissions!$B$2:$B$3000,$A338,Permissions!$P$2:$P$3000,"Yes")</f>
        <v>0</v>
      </c>
      <c r="AY338" s="27" t="str">
        <f aca="false">IF(AND(AK338&gt;0,AG338&gt;=AK338,AN338=0),"Built out",IF(AG338&gt;0,"Partly built",IF(AK338&gt;0,"Consented – not built","No consent")))</f>
        <v>No consent</v>
      </c>
      <c r="AZ338" s="28" t="str">
        <f aca="false">IF(AND(R338&lt;&gt;"",AK338&gt;1.1*R338),"Consented above capacity",IF(AND(LEFT(B338,8)="Planning",AW338=0),"Consent parcel with no permission",IF(COUNTIF($A$2:$A$3000,$A338)&gt;1,"Duplicate parcel_id","")))</f>
        <v/>
      </c>
    </row>
    <row r="339" customFormat="false" ht="15" hidden="false" customHeight="false" outlineLevel="0" collapsed="false">
      <c r="A339" s="15" t="s">
        <v>766</v>
      </c>
      <c r="B339" s="15" t="s">
        <v>13</v>
      </c>
      <c r="C339" s="15" t="s">
        <v>17</v>
      </c>
      <c r="D339" s="15" t="s">
        <v>67</v>
      </c>
      <c r="E339" s="15" t="s">
        <v>21</v>
      </c>
      <c r="F339" s="15" t="n">
        <v>1</v>
      </c>
      <c r="G339" s="15" t="s">
        <v>154</v>
      </c>
      <c r="H339" s="15"/>
      <c r="I339" s="15" t="s">
        <v>17</v>
      </c>
      <c r="J339" s="15" t="s">
        <v>583</v>
      </c>
      <c r="K339" s="15" t="s">
        <v>764</v>
      </c>
      <c r="L339" s="15"/>
      <c r="M339" s="15" t="s">
        <v>733</v>
      </c>
      <c r="N339" s="15"/>
      <c r="O339" s="15"/>
      <c r="P339" s="15" t="n">
        <v>1.53</v>
      </c>
      <c r="Q339" s="15" t="n">
        <v>1.681</v>
      </c>
      <c r="R339" s="15" t="n">
        <v>38</v>
      </c>
      <c r="S339" s="15" t="s">
        <v>734</v>
      </c>
      <c r="T339" s="15" t="s">
        <v>762</v>
      </c>
      <c r="U339" s="15" t="s">
        <v>736</v>
      </c>
      <c r="V339" s="15"/>
      <c r="W339" s="15" t="s">
        <v>746</v>
      </c>
      <c r="X339" s="15" t="n">
        <v>25</v>
      </c>
      <c r="Y339" s="15" t="s">
        <v>747</v>
      </c>
      <c r="Z339" s="15" t="n">
        <v>1</v>
      </c>
      <c r="AA339" s="15" t="n">
        <v>0</v>
      </c>
      <c r="AB339" s="15" t="n">
        <v>0</v>
      </c>
      <c r="AC339" s="15"/>
      <c r="AD339" s="15"/>
      <c r="AE339" s="15" t="s">
        <v>163</v>
      </c>
      <c r="AF339" s="15"/>
      <c r="AG339" s="24" t="n">
        <f aca="false">SUMIFS(Permissions!$G$2:$G$3000,Permissions!$B$2:$B$3000,$A339,Permissions!$I$2:$I$3000,"Complete",Permissions!$P$2:$P$3000,"Yes")</f>
        <v>0</v>
      </c>
      <c r="AH339" s="24" t="n">
        <f aca="false">SUMIFS(Permissions!$G$2:$G$3000,Permissions!$B$2:$B$3000,$A339,Permissions!$I$2:$I$3000,"Under construction",Permissions!$P$2:$P$3000,"Yes")</f>
        <v>0</v>
      </c>
      <c r="AI339" s="24" t="n">
        <f aca="false">SUMIFS(Permissions!$G$2:$G$3000,Permissions!$B$2:$B$3000,$A339,Permissions!$I$2:$I$3000,"Permitted – not started",Permissions!$P$2:$P$3000,"Yes")</f>
        <v>0</v>
      </c>
      <c r="AJ339" s="24" t="n">
        <f aca="false">SUMIFS(Permissions!$G$2:$G$3000,Permissions!$B$2:$B$3000,$A339,Permissions!$I$2:$I$3000,"Stalled",Permissions!$P$2:$P$3000,"Yes")</f>
        <v>0</v>
      </c>
      <c r="AK339" s="24" t="n">
        <f aca="false">AG339+AH339+AI339+AJ339</f>
        <v>0</v>
      </c>
      <c r="AL339" s="24" t="n">
        <f aca="false">SUMIFS(Permissions!$G$2:$G$3000,Permissions!$B$2:$B$3000,$A339,Permissions!$I$2:$I$3000,"Expired – not started",Permissions!$P$2:$P$3000,"Yes")</f>
        <v>0</v>
      </c>
      <c r="AM339" s="24" t="n">
        <f aca="false">SUMIFS(Permissions!$G$2:$G$3000,Permissions!$B$2:$B$3000,$A339,Permissions!$I$2:$I$3000,"In planning",Permissions!$P$2:$P$3000,"Yes")</f>
        <v>0</v>
      </c>
      <c r="AN339" s="24" t="n">
        <f aca="false">IF(R339="",0,MAX(R339-AK339,0))</f>
        <v>38</v>
      </c>
      <c r="AO339" s="25" t="n">
        <f aca="false">AK339+AN339</f>
        <v>38</v>
      </c>
      <c r="AP339" s="24" t="n">
        <f aca="false">AO339-AG339</f>
        <v>38</v>
      </c>
      <c r="AQ339" s="26" t="n">
        <f aca="false">SUMIFS(Permissions!$AH$2:$AH$3000,Permissions!$B$2:$B$3000,$A339,Permissions!$P$2:$P$3000,"Yes")</f>
        <v>0</v>
      </c>
      <c r="AR339" s="26" t="n">
        <f aca="false">SUMIFS(Permissions!$AI$2:$AI$3000,Permissions!$B$2:$B$3000,$A339,Permissions!$P$2:$P$3000,"Yes")</f>
        <v>0</v>
      </c>
      <c r="AS339" s="26" t="n">
        <f aca="false">SUMIFS(Permissions!$AJ$2:$AJ$3000,Permissions!$B$2:$B$3000,$A339,Permissions!$P$2:$P$3000,"Yes")</f>
        <v>0</v>
      </c>
      <c r="AT339" s="26" t="n">
        <f aca="false">SUMIFS(Permissions!$AK$2:$AK$3000,Permissions!$B$2:$B$3000,$A339,Permissions!$P$2:$P$3000,"Yes")</f>
        <v>0</v>
      </c>
      <c r="AU339" s="26" t="n">
        <f aca="false">SUMIFS(Permissions!$AL$2:$AL$3000,Permissions!$B$2:$B$3000,$A339,Permissions!$P$2:$P$3000,"Yes")</f>
        <v>0</v>
      </c>
      <c r="AV339" s="26" t="n">
        <f aca="false">SUMIFS(Permissions!$AM$2:$AM$3000,Permissions!$B$2:$B$3000,$A339,Permissions!$P$2:$P$3000,"Yes")</f>
        <v>0</v>
      </c>
      <c r="AW339" s="24" t="n">
        <f aca="false">COUNTIFS(Permissions!$B$2:$B$3000,$A339,Permissions!$P$2:$P$3000,"Yes")</f>
        <v>0</v>
      </c>
      <c r="AX339" s="24" t="n">
        <f aca="false">SUMIFS(Permissions!$L$2:$L$3000,Permissions!$B$2:$B$3000,$A339,Permissions!$P$2:$P$3000,"Yes")</f>
        <v>0</v>
      </c>
      <c r="AY339" s="27" t="str">
        <f aca="false">IF(AND(AK339&gt;0,AG339&gt;=AK339,AN339=0),"Built out",IF(AG339&gt;0,"Partly built",IF(AK339&gt;0,"Consented – not built","No consent")))</f>
        <v>No consent</v>
      </c>
      <c r="AZ339" s="28" t="str">
        <f aca="false">IF(AND(R339&lt;&gt;"",AK339&gt;1.1*R339),"Consented above capacity",IF(AND(LEFT(B339,8)="Planning",AW339=0),"Consent parcel with no permission",IF(COUNTIF($A$2:$A$3000,$A339)&gt;1,"Duplicate parcel_id","")))</f>
        <v/>
      </c>
    </row>
    <row r="340" customFormat="false" ht="15" hidden="false" customHeight="false" outlineLevel="0" collapsed="false">
      <c r="A340" s="15" t="s">
        <v>767</v>
      </c>
      <c r="B340" s="15" t="s">
        <v>13</v>
      </c>
      <c r="C340" s="15" t="s">
        <v>17</v>
      </c>
      <c r="D340" s="15" t="s">
        <v>67</v>
      </c>
      <c r="E340" s="15" t="s">
        <v>21</v>
      </c>
      <c r="F340" s="15" t="n">
        <v>0</v>
      </c>
      <c r="G340" s="15" t="s">
        <v>760</v>
      </c>
      <c r="H340" s="15"/>
      <c r="I340" s="15" t="s">
        <v>17</v>
      </c>
      <c r="J340" s="15" t="s">
        <v>583</v>
      </c>
      <c r="K340" s="15" t="s">
        <v>761</v>
      </c>
      <c r="L340" s="15"/>
      <c r="M340" s="15" t="s">
        <v>751</v>
      </c>
      <c r="N340" s="15"/>
      <c r="O340" s="15"/>
      <c r="P340" s="15" t="n">
        <v>2.058</v>
      </c>
      <c r="Q340" s="15" t="n">
        <v>2.261</v>
      </c>
      <c r="R340" s="15" t="n">
        <v>39</v>
      </c>
      <c r="S340" s="15" t="s">
        <v>734</v>
      </c>
      <c r="T340" s="15" t="s">
        <v>762</v>
      </c>
      <c r="U340" s="15" t="s">
        <v>752</v>
      </c>
      <c r="V340" s="15"/>
      <c r="W340" s="15" t="s">
        <v>753</v>
      </c>
      <c r="X340" s="15" t="n">
        <v>19</v>
      </c>
      <c r="Y340" s="15" t="s">
        <v>754</v>
      </c>
      <c r="Z340" s="15" t="n">
        <v>0</v>
      </c>
      <c r="AA340" s="15" t="n">
        <v>0</v>
      </c>
      <c r="AB340" s="15" t="n">
        <v>0</v>
      </c>
      <c r="AC340" s="15"/>
      <c r="AD340" s="15"/>
      <c r="AE340" s="15" t="s">
        <v>163</v>
      </c>
      <c r="AF340" s="15"/>
      <c r="AG340" s="24" t="n">
        <f aca="false">SUMIFS(Permissions!$G$2:$G$3000,Permissions!$B$2:$B$3000,$A340,Permissions!$I$2:$I$3000,"Complete",Permissions!$P$2:$P$3000,"Yes")</f>
        <v>0</v>
      </c>
      <c r="AH340" s="24" t="n">
        <f aca="false">SUMIFS(Permissions!$G$2:$G$3000,Permissions!$B$2:$B$3000,$A340,Permissions!$I$2:$I$3000,"Under construction",Permissions!$P$2:$P$3000,"Yes")</f>
        <v>0</v>
      </c>
      <c r="AI340" s="24" t="n">
        <f aca="false">SUMIFS(Permissions!$G$2:$G$3000,Permissions!$B$2:$B$3000,$A340,Permissions!$I$2:$I$3000,"Permitted – not started",Permissions!$P$2:$P$3000,"Yes")</f>
        <v>0</v>
      </c>
      <c r="AJ340" s="24" t="n">
        <f aca="false">SUMIFS(Permissions!$G$2:$G$3000,Permissions!$B$2:$B$3000,$A340,Permissions!$I$2:$I$3000,"Stalled",Permissions!$P$2:$P$3000,"Yes")</f>
        <v>0</v>
      </c>
      <c r="AK340" s="24" t="n">
        <f aca="false">AG340+AH340+AI340+AJ340</f>
        <v>0</v>
      </c>
      <c r="AL340" s="24" t="n">
        <f aca="false">SUMIFS(Permissions!$G$2:$G$3000,Permissions!$B$2:$B$3000,$A340,Permissions!$I$2:$I$3000,"Expired – not started",Permissions!$P$2:$P$3000,"Yes")</f>
        <v>0</v>
      </c>
      <c r="AM340" s="24" t="n">
        <f aca="false">SUMIFS(Permissions!$G$2:$G$3000,Permissions!$B$2:$B$3000,$A340,Permissions!$I$2:$I$3000,"In planning",Permissions!$P$2:$P$3000,"Yes")</f>
        <v>0</v>
      </c>
      <c r="AN340" s="24" t="n">
        <f aca="false">IF(R340="",0,MAX(R340-AK340,0))</f>
        <v>39</v>
      </c>
      <c r="AO340" s="25" t="n">
        <f aca="false">AK340+AN340</f>
        <v>39</v>
      </c>
      <c r="AP340" s="24" t="n">
        <f aca="false">AO340-AG340</f>
        <v>39</v>
      </c>
      <c r="AQ340" s="26" t="n">
        <f aca="false">SUMIFS(Permissions!$AH$2:$AH$3000,Permissions!$B$2:$B$3000,$A340,Permissions!$P$2:$P$3000,"Yes")</f>
        <v>0</v>
      </c>
      <c r="AR340" s="26" t="n">
        <f aca="false">SUMIFS(Permissions!$AI$2:$AI$3000,Permissions!$B$2:$B$3000,$A340,Permissions!$P$2:$P$3000,"Yes")</f>
        <v>0</v>
      </c>
      <c r="AS340" s="26" t="n">
        <f aca="false">SUMIFS(Permissions!$AJ$2:$AJ$3000,Permissions!$B$2:$B$3000,$A340,Permissions!$P$2:$P$3000,"Yes")</f>
        <v>0</v>
      </c>
      <c r="AT340" s="26" t="n">
        <f aca="false">SUMIFS(Permissions!$AK$2:$AK$3000,Permissions!$B$2:$B$3000,$A340,Permissions!$P$2:$P$3000,"Yes")</f>
        <v>0</v>
      </c>
      <c r="AU340" s="26" t="n">
        <f aca="false">SUMIFS(Permissions!$AL$2:$AL$3000,Permissions!$B$2:$B$3000,$A340,Permissions!$P$2:$P$3000,"Yes")</f>
        <v>0</v>
      </c>
      <c r="AV340" s="26" t="n">
        <f aca="false">SUMIFS(Permissions!$AM$2:$AM$3000,Permissions!$B$2:$B$3000,$A340,Permissions!$P$2:$P$3000,"Yes")</f>
        <v>0</v>
      </c>
      <c r="AW340" s="24" t="n">
        <f aca="false">COUNTIFS(Permissions!$B$2:$B$3000,$A340,Permissions!$P$2:$P$3000,"Yes")</f>
        <v>0</v>
      </c>
      <c r="AX340" s="24" t="n">
        <f aca="false">SUMIFS(Permissions!$L$2:$L$3000,Permissions!$B$2:$B$3000,$A340,Permissions!$P$2:$P$3000,"Yes")</f>
        <v>0</v>
      </c>
      <c r="AY340" s="27" t="str">
        <f aca="false">IF(AND(AK340&gt;0,AG340&gt;=AK340,AN340=0),"Built out",IF(AG340&gt;0,"Partly built",IF(AK340&gt;0,"Consented – not built","No consent")))</f>
        <v>No consent</v>
      </c>
      <c r="AZ340" s="28" t="str">
        <f aca="false">IF(AND(R340&lt;&gt;"",AK340&gt;1.1*R340),"Consented above capacity",IF(AND(LEFT(B340,8)="Planning",AW340=0),"Consent parcel with no permission",IF(COUNTIF($A$2:$A$3000,$A340)&gt;1,"Duplicate parcel_id","")))</f>
        <v/>
      </c>
    </row>
    <row r="341" customFormat="false" ht="15" hidden="false" customHeight="false" outlineLevel="0" collapsed="false">
      <c r="A341" s="15" t="s">
        <v>768</v>
      </c>
      <c r="B341" s="15" t="s">
        <v>13</v>
      </c>
      <c r="C341" s="15" t="s">
        <v>17</v>
      </c>
      <c r="D341" s="15" t="s">
        <v>67</v>
      </c>
      <c r="E341" s="15" t="s">
        <v>21</v>
      </c>
      <c r="F341" s="15" t="n">
        <v>0.82</v>
      </c>
      <c r="G341" s="15" t="s">
        <v>154</v>
      </c>
      <c r="H341" s="15"/>
      <c r="I341" s="15" t="s">
        <v>17</v>
      </c>
      <c r="J341" s="15" t="s">
        <v>583</v>
      </c>
      <c r="K341" s="15" t="s">
        <v>764</v>
      </c>
      <c r="L341" s="15"/>
      <c r="M341" s="15" t="s">
        <v>733</v>
      </c>
      <c r="N341" s="15"/>
      <c r="O341" s="15"/>
      <c r="P341" s="15" t="n">
        <v>1.771</v>
      </c>
      <c r="Q341" s="15" t="n">
        <v>1.946</v>
      </c>
      <c r="R341" s="15" t="n">
        <v>44</v>
      </c>
      <c r="S341" s="15" t="s">
        <v>734</v>
      </c>
      <c r="T341" s="15" t="s">
        <v>762</v>
      </c>
      <c r="U341" s="15" t="s">
        <v>736</v>
      </c>
      <c r="V341" s="15"/>
      <c r="W341" s="15" t="s">
        <v>746</v>
      </c>
      <c r="X341" s="15" t="n">
        <v>25</v>
      </c>
      <c r="Y341" s="15" t="s">
        <v>747</v>
      </c>
      <c r="Z341" s="15" t="n">
        <v>0</v>
      </c>
      <c r="AA341" s="15" t="n">
        <v>0</v>
      </c>
      <c r="AB341" s="15" t="n">
        <v>0</v>
      </c>
      <c r="AC341" s="15"/>
      <c r="AD341" s="15"/>
      <c r="AE341" s="15" t="s">
        <v>163</v>
      </c>
      <c r="AF341" s="15"/>
      <c r="AG341" s="24" t="n">
        <f aca="false">SUMIFS(Permissions!$G$2:$G$3000,Permissions!$B$2:$B$3000,$A341,Permissions!$I$2:$I$3000,"Complete",Permissions!$P$2:$P$3000,"Yes")</f>
        <v>0</v>
      </c>
      <c r="AH341" s="24" t="n">
        <f aca="false">SUMIFS(Permissions!$G$2:$G$3000,Permissions!$B$2:$B$3000,$A341,Permissions!$I$2:$I$3000,"Under construction",Permissions!$P$2:$P$3000,"Yes")</f>
        <v>0</v>
      </c>
      <c r="AI341" s="24" t="n">
        <f aca="false">SUMIFS(Permissions!$G$2:$G$3000,Permissions!$B$2:$B$3000,$A341,Permissions!$I$2:$I$3000,"Permitted – not started",Permissions!$P$2:$P$3000,"Yes")</f>
        <v>0</v>
      </c>
      <c r="AJ341" s="24" t="n">
        <f aca="false">SUMIFS(Permissions!$G$2:$G$3000,Permissions!$B$2:$B$3000,$A341,Permissions!$I$2:$I$3000,"Stalled",Permissions!$P$2:$P$3000,"Yes")</f>
        <v>0</v>
      </c>
      <c r="AK341" s="24" t="n">
        <f aca="false">AG341+AH341+AI341+AJ341</f>
        <v>0</v>
      </c>
      <c r="AL341" s="24" t="n">
        <f aca="false">SUMIFS(Permissions!$G$2:$G$3000,Permissions!$B$2:$B$3000,$A341,Permissions!$I$2:$I$3000,"Expired – not started",Permissions!$P$2:$P$3000,"Yes")</f>
        <v>0</v>
      </c>
      <c r="AM341" s="24" t="n">
        <f aca="false">SUMIFS(Permissions!$G$2:$G$3000,Permissions!$B$2:$B$3000,$A341,Permissions!$I$2:$I$3000,"In planning",Permissions!$P$2:$P$3000,"Yes")</f>
        <v>0</v>
      </c>
      <c r="AN341" s="24" t="n">
        <f aca="false">IF(R341="",0,MAX(R341-AK341,0))</f>
        <v>44</v>
      </c>
      <c r="AO341" s="25" t="n">
        <f aca="false">AK341+AN341</f>
        <v>44</v>
      </c>
      <c r="AP341" s="24" t="n">
        <f aca="false">AO341-AG341</f>
        <v>44</v>
      </c>
      <c r="AQ341" s="26" t="n">
        <f aca="false">SUMIFS(Permissions!$AH$2:$AH$3000,Permissions!$B$2:$B$3000,$A341,Permissions!$P$2:$P$3000,"Yes")</f>
        <v>0</v>
      </c>
      <c r="AR341" s="26" t="n">
        <f aca="false">SUMIFS(Permissions!$AI$2:$AI$3000,Permissions!$B$2:$B$3000,$A341,Permissions!$P$2:$P$3000,"Yes")</f>
        <v>0</v>
      </c>
      <c r="AS341" s="26" t="n">
        <f aca="false">SUMIFS(Permissions!$AJ$2:$AJ$3000,Permissions!$B$2:$B$3000,$A341,Permissions!$P$2:$P$3000,"Yes")</f>
        <v>0</v>
      </c>
      <c r="AT341" s="26" t="n">
        <f aca="false">SUMIFS(Permissions!$AK$2:$AK$3000,Permissions!$B$2:$B$3000,$A341,Permissions!$P$2:$P$3000,"Yes")</f>
        <v>0</v>
      </c>
      <c r="AU341" s="26" t="n">
        <f aca="false">SUMIFS(Permissions!$AL$2:$AL$3000,Permissions!$B$2:$B$3000,$A341,Permissions!$P$2:$P$3000,"Yes")</f>
        <v>0</v>
      </c>
      <c r="AV341" s="26" t="n">
        <f aca="false">SUMIFS(Permissions!$AM$2:$AM$3000,Permissions!$B$2:$B$3000,$A341,Permissions!$P$2:$P$3000,"Yes")</f>
        <v>0</v>
      </c>
      <c r="AW341" s="24" t="n">
        <f aca="false">COUNTIFS(Permissions!$B$2:$B$3000,$A341,Permissions!$P$2:$P$3000,"Yes")</f>
        <v>0</v>
      </c>
      <c r="AX341" s="24" t="n">
        <f aca="false">SUMIFS(Permissions!$L$2:$L$3000,Permissions!$B$2:$B$3000,$A341,Permissions!$P$2:$P$3000,"Yes")</f>
        <v>0</v>
      </c>
      <c r="AY341" s="27" t="str">
        <f aca="false">IF(AND(AK341&gt;0,AG341&gt;=AK341,AN341=0),"Built out",IF(AG341&gt;0,"Partly built",IF(AK341&gt;0,"Consented – not built","No consent")))</f>
        <v>No consent</v>
      </c>
      <c r="AZ341" s="28" t="str">
        <f aca="false">IF(AND(R341&lt;&gt;"",AK341&gt;1.1*R341),"Consented above capacity",IF(AND(LEFT(B341,8)="Planning",AW341=0),"Consent parcel with no permission",IF(COUNTIF($A$2:$A$3000,$A341)&gt;1,"Duplicate parcel_id","")))</f>
        <v/>
      </c>
    </row>
    <row r="342" customFormat="false" ht="15" hidden="false" customHeight="false" outlineLevel="0" collapsed="false">
      <c r="A342" s="15" t="s">
        <v>769</v>
      </c>
      <c r="B342" s="15" t="s">
        <v>13</v>
      </c>
      <c r="C342" s="15" t="s">
        <v>17</v>
      </c>
      <c r="D342" s="15" t="s">
        <v>67</v>
      </c>
      <c r="E342" s="15" t="s">
        <v>21</v>
      </c>
      <c r="F342" s="15" t="n">
        <v>0.71</v>
      </c>
      <c r="G342" s="15" t="s">
        <v>154</v>
      </c>
      <c r="H342" s="15"/>
      <c r="I342" s="15" t="s">
        <v>17</v>
      </c>
      <c r="J342" s="15" t="s">
        <v>583</v>
      </c>
      <c r="K342" s="15" t="s">
        <v>764</v>
      </c>
      <c r="L342" s="15"/>
      <c r="M342" s="15" t="s">
        <v>733</v>
      </c>
      <c r="N342" s="15"/>
      <c r="O342" s="15"/>
      <c r="P342" s="15" t="n">
        <v>0.306</v>
      </c>
      <c r="Q342" s="15" t="n">
        <v>0.337</v>
      </c>
      <c r="R342" s="15" t="n">
        <v>8</v>
      </c>
      <c r="S342" s="15" t="s">
        <v>734</v>
      </c>
      <c r="T342" s="15" t="s">
        <v>762</v>
      </c>
      <c r="U342" s="15" t="s">
        <v>736</v>
      </c>
      <c r="V342" s="15"/>
      <c r="W342" s="15" t="s">
        <v>746</v>
      </c>
      <c r="X342" s="15" t="n">
        <v>25</v>
      </c>
      <c r="Y342" s="15" t="s">
        <v>747</v>
      </c>
      <c r="Z342" s="15" t="n">
        <v>1</v>
      </c>
      <c r="AA342" s="15" t="n">
        <v>0</v>
      </c>
      <c r="AB342" s="15" t="n">
        <v>0</v>
      </c>
      <c r="AC342" s="15"/>
      <c r="AD342" s="15"/>
      <c r="AE342" s="15" t="s">
        <v>163</v>
      </c>
      <c r="AF342" s="15"/>
      <c r="AG342" s="24" t="n">
        <f aca="false">SUMIFS(Permissions!$G$2:$G$3000,Permissions!$B$2:$B$3000,$A342,Permissions!$I$2:$I$3000,"Complete",Permissions!$P$2:$P$3000,"Yes")</f>
        <v>0</v>
      </c>
      <c r="AH342" s="24" t="n">
        <f aca="false">SUMIFS(Permissions!$G$2:$G$3000,Permissions!$B$2:$B$3000,$A342,Permissions!$I$2:$I$3000,"Under construction",Permissions!$P$2:$P$3000,"Yes")</f>
        <v>0</v>
      </c>
      <c r="AI342" s="24" t="n">
        <f aca="false">SUMIFS(Permissions!$G$2:$G$3000,Permissions!$B$2:$B$3000,$A342,Permissions!$I$2:$I$3000,"Permitted – not started",Permissions!$P$2:$P$3000,"Yes")</f>
        <v>0</v>
      </c>
      <c r="AJ342" s="24" t="n">
        <f aca="false">SUMIFS(Permissions!$G$2:$G$3000,Permissions!$B$2:$B$3000,$A342,Permissions!$I$2:$I$3000,"Stalled",Permissions!$P$2:$P$3000,"Yes")</f>
        <v>0</v>
      </c>
      <c r="AK342" s="24" t="n">
        <f aca="false">AG342+AH342+AI342+AJ342</f>
        <v>0</v>
      </c>
      <c r="AL342" s="24" t="n">
        <f aca="false">SUMIFS(Permissions!$G$2:$G$3000,Permissions!$B$2:$B$3000,$A342,Permissions!$I$2:$I$3000,"Expired – not started",Permissions!$P$2:$P$3000,"Yes")</f>
        <v>0</v>
      </c>
      <c r="AM342" s="24" t="n">
        <f aca="false">SUMIFS(Permissions!$G$2:$G$3000,Permissions!$B$2:$B$3000,$A342,Permissions!$I$2:$I$3000,"In planning",Permissions!$P$2:$P$3000,"Yes")</f>
        <v>0</v>
      </c>
      <c r="AN342" s="24" t="n">
        <f aca="false">IF(R342="",0,MAX(R342-AK342,0))</f>
        <v>8</v>
      </c>
      <c r="AO342" s="25" t="n">
        <f aca="false">AK342+AN342</f>
        <v>8</v>
      </c>
      <c r="AP342" s="24" t="n">
        <f aca="false">AO342-AG342</f>
        <v>8</v>
      </c>
      <c r="AQ342" s="26" t="n">
        <f aca="false">SUMIFS(Permissions!$AH$2:$AH$3000,Permissions!$B$2:$B$3000,$A342,Permissions!$P$2:$P$3000,"Yes")</f>
        <v>0</v>
      </c>
      <c r="AR342" s="26" t="n">
        <f aca="false">SUMIFS(Permissions!$AI$2:$AI$3000,Permissions!$B$2:$B$3000,$A342,Permissions!$P$2:$P$3000,"Yes")</f>
        <v>0</v>
      </c>
      <c r="AS342" s="26" t="n">
        <f aca="false">SUMIFS(Permissions!$AJ$2:$AJ$3000,Permissions!$B$2:$B$3000,$A342,Permissions!$P$2:$P$3000,"Yes")</f>
        <v>0</v>
      </c>
      <c r="AT342" s="26" t="n">
        <f aca="false">SUMIFS(Permissions!$AK$2:$AK$3000,Permissions!$B$2:$B$3000,$A342,Permissions!$P$2:$P$3000,"Yes")</f>
        <v>0</v>
      </c>
      <c r="AU342" s="26" t="n">
        <f aca="false">SUMIFS(Permissions!$AL$2:$AL$3000,Permissions!$B$2:$B$3000,$A342,Permissions!$P$2:$P$3000,"Yes")</f>
        <v>0</v>
      </c>
      <c r="AV342" s="26" t="n">
        <f aca="false">SUMIFS(Permissions!$AM$2:$AM$3000,Permissions!$B$2:$B$3000,$A342,Permissions!$P$2:$P$3000,"Yes")</f>
        <v>0</v>
      </c>
      <c r="AW342" s="24" t="n">
        <f aca="false">COUNTIFS(Permissions!$B$2:$B$3000,$A342,Permissions!$P$2:$P$3000,"Yes")</f>
        <v>0</v>
      </c>
      <c r="AX342" s="24" t="n">
        <f aca="false">SUMIFS(Permissions!$L$2:$L$3000,Permissions!$B$2:$B$3000,$A342,Permissions!$P$2:$P$3000,"Yes")</f>
        <v>0</v>
      </c>
      <c r="AY342" s="27" t="str">
        <f aca="false">IF(AND(AK342&gt;0,AG342&gt;=AK342,AN342=0),"Built out",IF(AG342&gt;0,"Partly built",IF(AK342&gt;0,"Consented – not built","No consent")))</f>
        <v>No consent</v>
      </c>
      <c r="AZ342" s="28" t="str">
        <f aca="false">IF(AND(R342&lt;&gt;"",AK342&gt;1.1*R342),"Consented above capacity",IF(AND(LEFT(B342,8)="Planning",AW342=0),"Consent parcel with no permission",IF(COUNTIF($A$2:$A$3000,$A342)&gt;1,"Duplicate parcel_id","")))</f>
        <v/>
      </c>
    </row>
    <row r="343" customFormat="false" ht="15" hidden="false" customHeight="false" outlineLevel="0" collapsed="false">
      <c r="A343" s="15" t="s">
        <v>770</v>
      </c>
      <c r="B343" s="15" t="s">
        <v>13</v>
      </c>
      <c r="C343" s="15" t="s">
        <v>17</v>
      </c>
      <c r="D343" s="15" t="s">
        <v>61</v>
      </c>
      <c r="E343" s="15" t="s">
        <v>20</v>
      </c>
      <c r="F343" s="15" t="n">
        <v>1</v>
      </c>
      <c r="G343" s="15" t="s">
        <v>154</v>
      </c>
      <c r="H343" s="15"/>
      <c r="I343" s="15" t="s">
        <v>17</v>
      </c>
      <c r="J343" s="15" t="s">
        <v>559</v>
      </c>
      <c r="K343" s="15" t="s">
        <v>771</v>
      </c>
      <c r="L343" s="15"/>
      <c r="M343" s="15" t="s">
        <v>733</v>
      </c>
      <c r="N343" s="15"/>
      <c r="O343" s="15"/>
      <c r="P343" s="15" t="n">
        <v>0.146</v>
      </c>
      <c r="Q343" s="15" t="n">
        <v>0.161</v>
      </c>
      <c r="R343" s="15" t="n">
        <v>4</v>
      </c>
      <c r="S343" s="15" t="s">
        <v>734</v>
      </c>
      <c r="T343" s="15" t="s">
        <v>772</v>
      </c>
      <c r="U343" s="15" t="s">
        <v>736</v>
      </c>
      <c r="V343" s="15"/>
      <c r="W343" s="15" t="s">
        <v>746</v>
      </c>
      <c r="X343" s="15" t="n">
        <v>25</v>
      </c>
      <c r="Y343" s="15" t="s">
        <v>747</v>
      </c>
      <c r="Z343" s="15" t="n">
        <v>1</v>
      </c>
      <c r="AA343" s="15" t="n">
        <v>0</v>
      </c>
      <c r="AB343" s="15" t="n">
        <v>0</v>
      </c>
      <c r="AC343" s="15"/>
      <c r="AD343" s="15"/>
      <c r="AE343" s="15" t="s">
        <v>163</v>
      </c>
      <c r="AF343" s="15"/>
      <c r="AG343" s="24" t="n">
        <f aca="false">SUMIFS(Permissions!$G$2:$G$3000,Permissions!$B$2:$B$3000,$A343,Permissions!$I$2:$I$3000,"Complete",Permissions!$P$2:$P$3000,"Yes")</f>
        <v>0</v>
      </c>
      <c r="AH343" s="24" t="n">
        <f aca="false">SUMIFS(Permissions!$G$2:$G$3000,Permissions!$B$2:$B$3000,$A343,Permissions!$I$2:$I$3000,"Under construction",Permissions!$P$2:$P$3000,"Yes")</f>
        <v>0</v>
      </c>
      <c r="AI343" s="24" t="n">
        <f aca="false">SUMIFS(Permissions!$G$2:$G$3000,Permissions!$B$2:$B$3000,$A343,Permissions!$I$2:$I$3000,"Permitted – not started",Permissions!$P$2:$P$3000,"Yes")</f>
        <v>0</v>
      </c>
      <c r="AJ343" s="24" t="n">
        <f aca="false">SUMIFS(Permissions!$G$2:$G$3000,Permissions!$B$2:$B$3000,$A343,Permissions!$I$2:$I$3000,"Stalled",Permissions!$P$2:$P$3000,"Yes")</f>
        <v>0</v>
      </c>
      <c r="AK343" s="24" t="n">
        <f aca="false">AG343+AH343+AI343+AJ343</f>
        <v>0</v>
      </c>
      <c r="AL343" s="24" t="n">
        <f aca="false">SUMIFS(Permissions!$G$2:$G$3000,Permissions!$B$2:$B$3000,$A343,Permissions!$I$2:$I$3000,"Expired – not started",Permissions!$P$2:$P$3000,"Yes")</f>
        <v>0</v>
      </c>
      <c r="AM343" s="24" t="n">
        <f aca="false">SUMIFS(Permissions!$G$2:$G$3000,Permissions!$B$2:$B$3000,$A343,Permissions!$I$2:$I$3000,"In planning",Permissions!$P$2:$P$3000,"Yes")</f>
        <v>0</v>
      </c>
      <c r="AN343" s="24" t="n">
        <f aca="false">IF(R343="",0,MAX(R343-AK343,0))</f>
        <v>4</v>
      </c>
      <c r="AO343" s="25" t="n">
        <f aca="false">AK343+AN343</f>
        <v>4</v>
      </c>
      <c r="AP343" s="24" t="n">
        <f aca="false">AO343-AG343</f>
        <v>4</v>
      </c>
      <c r="AQ343" s="26" t="n">
        <f aca="false">SUMIFS(Permissions!$AH$2:$AH$3000,Permissions!$B$2:$B$3000,$A343,Permissions!$P$2:$P$3000,"Yes")</f>
        <v>0</v>
      </c>
      <c r="AR343" s="26" t="n">
        <f aca="false">SUMIFS(Permissions!$AI$2:$AI$3000,Permissions!$B$2:$B$3000,$A343,Permissions!$P$2:$P$3000,"Yes")</f>
        <v>0</v>
      </c>
      <c r="AS343" s="26" t="n">
        <f aca="false">SUMIFS(Permissions!$AJ$2:$AJ$3000,Permissions!$B$2:$B$3000,$A343,Permissions!$P$2:$P$3000,"Yes")</f>
        <v>0</v>
      </c>
      <c r="AT343" s="26" t="n">
        <f aca="false">SUMIFS(Permissions!$AK$2:$AK$3000,Permissions!$B$2:$B$3000,$A343,Permissions!$P$2:$P$3000,"Yes")</f>
        <v>0</v>
      </c>
      <c r="AU343" s="26" t="n">
        <f aca="false">SUMIFS(Permissions!$AL$2:$AL$3000,Permissions!$B$2:$B$3000,$A343,Permissions!$P$2:$P$3000,"Yes")</f>
        <v>0</v>
      </c>
      <c r="AV343" s="26" t="n">
        <f aca="false">SUMIFS(Permissions!$AM$2:$AM$3000,Permissions!$B$2:$B$3000,$A343,Permissions!$P$2:$P$3000,"Yes")</f>
        <v>0</v>
      </c>
      <c r="AW343" s="24" t="n">
        <f aca="false">COUNTIFS(Permissions!$B$2:$B$3000,$A343,Permissions!$P$2:$P$3000,"Yes")</f>
        <v>0</v>
      </c>
      <c r="AX343" s="24" t="n">
        <f aca="false">SUMIFS(Permissions!$L$2:$L$3000,Permissions!$B$2:$B$3000,$A343,Permissions!$P$2:$P$3000,"Yes")</f>
        <v>0</v>
      </c>
      <c r="AY343" s="27" t="str">
        <f aca="false">IF(AND(AK343&gt;0,AG343&gt;=AK343,AN343=0),"Built out",IF(AG343&gt;0,"Partly built",IF(AK343&gt;0,"Consented – not built","No consent")))</f>
        <v>No consent</v>
      </c>
      <c r="AZ343" s="28" t="str">
        <f aca="false">IF(AND(R343&lt;&gt;"",AK343&gt;1.1*R343),"Consented above capacity",IF(AND(LEFT(B343,8)="Planning",AW343=0),"Consent parcel with no permission",IF(COUNTIF($A$2:$A$3000,$A343)&gt;1,"Duplicate parcel_id","")))</f>
        <v/>
      </c>
    </row>
    <row r="344" customFormat="false" ht="15" hidden="false" customHeight="false" outlineLevel="0" collapsed="false">
      <c r="A344" s="15" t="s">
        <v>773</v>
      </c>
      <c r="B344" s="15" t="s">
        <v>13</v>
      </c>
      <c r="C344" s="15" t="s">
        <v>17</v>
      </c>
      <c r="D344" s="15" t="s">
        <v>61</v>
      </c>
      <c r="E344" s="15" t="s">
        <v>20</v>
      </c>
      <c r="F344" s="15" t="n">
        <v>1</v>
      </c>
      <c r="G344" s="15" t="s">
        <v>154</v>
      </c>
      <c r="H344" s="15"/>
      <c r="I344" s="15" t="s">
        <v>17</v>
      </c>
      <c r="J344" s="15" t="s">
        <v>559</v>
      </c>
      <c r="K344" s="15" t="s">
        <v>771</v>
      </c>
      <c r="L344" s="15"/>
      <c r="M344" s="15" t="s">
        <v>733</v>
      </c>
      <c r="N344" s="15"/>
      <c r="O344" s="15"/>
      <c r="P344" s="15" t="n">
        <v>0.229</v>
      </c>
      <c r="Q344" s="15" t="n">
        <v>0.252</v>
      </c>
      <c r="R344" s="15" t="n">
        <v>6</v>
      </c>
      <c r="S344" s="15" t="s">
        <v>734</v>
      </c>
      <c r="T344" s="15" t="s">
        <v>772</v>
      </c>
      <c r="U344" s="15" t="s">
        <v>736</v>
      </c>
      <c r="V344" s="15"/>
      <c r="W344" s="15" t="s">
        <v>746</v>
      </c>
      <c r="X344" s="15" t="n">
        <v>25</v>
      </c>
      <c r="Y344" s="15" t="s">
        <v>747</v>
      </c>
      <c r="Z344" s="15" t="n">
        <v>1</v>
      </c>
      <c r="AA344" s="15" t="n">
        <v>0</v>
      </c>
      <c r="AB344" s="15" t="n">
        <v>0</v>
      </c>
      <c r="AC344" s="15"/>
      <c r="AD344" s="15"/>
      <c r="AE344" s="15" t="s">
        <v>163</v>
      </c>
      <c r="AF344" s="15"/>
      <c r="AG344" s="24" t="n">
        <f aca="false">SUMIFS(Permissions!$G$2:$G$3000,Permissions!$B$2:$B$3000,$A344,Permissions!$I$2:$I$3000,"Complete",Permissions!$P$2:$P$3000,"Yes")</f>
        <v>0</v>
      </c>
      <c r="AH344" s="24" t="n">
        <f aca="false">SUMIFS(Permissions!$G$2:$G$3000,Permissions!$B$2:$B$3000,$A344,Permissions!$I$2:$I$3000,"Under construction",Permissions!$P$2:$P$3000,"Yes")</f>
        <v>0</v>
      </c>
      <c r="AI344" s="24" t="n">
        <f aca="false">SUMIFS(Permissions!$G$2:$G$3000,Permissions!$B$2:$B$3000,$A344,Permissions!$I$2:$I$3000,"Permitted – not started",Permissions!$P$2:$P$3000,"Yes")</f>
        <v>0</v>
      </c>
      <c r="AJ344" s="24" t="n">
        <f aca="false">SUMIFS(Permissions!$G$2:$G$3000,Permissions!$B$2:$B$3000,$A344,Permissions!$I$2:$I$3000,"Stalled",Permissions!$P$2:$P$3000,"Yes")</f>
        <v>0</v>
      </c>
      <c r="AK344" s="24" t="n">
        <f aca="false">AG344+AH344+AI344+AJ344</f>
        <v>0</v>
      </c>
      <c r="AL344" s="24" t="n">
        <f aca="false">SUMIFS(Permissions!$G$2:$G$3000,Permissions!$B$2:$B$3000,$A344,Permissions!$I$2:$I$3000,"Expired – not started",Permissions!$P$2:$P$3000,"Yes")</f>
        <v>0</v>
      </c>
      <c r="AM344" s="24" t="n">
        <f aca="false">SUMIFS(Permissions!$G$2:$G$3000,Permissions!$B$2:$B$3000,$A344,Permissions!$I$2:$I$3000,"In planning",Permissions!$P$2:$P$3000,"Yes")</f>
        <v>0</v>
      </c>
      <c r="AN344" s="24" t="n">
        <f aca="false">IF(R344="",0,MAX(R344-AK344,0))</f>
        <v>6</v>
      </c>
      <c r="AO344" s="25" t="n">
        <f aca="false">AK344+AN344</f>
        <v>6</v>
      </c>
      <c r="AP344" s="24" t="n">
        <f aca="false">AO344-AG344</f>
        <v>6</v>
      </c>
      <c r="AQ344" s="26" t="n">
        <f aca="false">SUMIFS(Permissions!$AH$2:$AH$3000,Permissions!$B$2:$B$3000,$A344,Permissions!$P$2:$P$3000,"Yes")</f>
        <v>0</v>
      </c>
      <c r="AR344" s="26" t="n">
        <f aca="false">SUMIFS(Permissions!$AI$2:$AI$3000,Permissions!$B$2:$B$3000,$A344,Permissions!$P$2:$P$3000,"Yes")</f>
        <v>0</v>
      </c>
      <c r="AS344" s="26" t="n">
        <f aca="false">SUMIFS(Permissions!$AJ$2:$AJ$3000,Permissions!$B$2:$B$3000,$A344,Permissions!$P$2:$P$3000,"Yes")</f>
        <v>0</v>
      </c>
      <c r="AT344" s="26" t="n">
        <f aca="false">SUMIFS(Permissions!$AK$2:$AK$3000,Permissions!$B$2:$B$3000,$A344,Permissions!$P$2:$P$3000,"Yes")</f>
        <v>0</v>
      </c>
      <c r="AU344" s="26" t="n">
        <f aca="false">SUMIFS(Permissions!$AL$2:$AL$3000,Permissions!$B$2:$B$3000,$A344,Permissions!$P$2:$P$3000,"Yes")</f>
        <v>0</v>
      </c>
      <c r="AV344" s="26" t="n">
        <f aca="false">SUMIFS(Permissions!$AM$2:$AM$3000,Permissions!$B$2:$B$3000,$A344,Permissions!$P$2:$P$3000,"Yes")</f>
        <v>0</v>
      </c>
      <c r="AW344" s="24" t="n">
        <f aca="false">COUNTIFS(Permissions!$B$2:$B$3000,$A344,Permissions!$P$2:$P$3000,"Yes")</f>
        <v>0</v>
      </c>
      <c r="AX344" s="24" t="n">
        <f aca="false">SUMIFS(Permissions!$L$2:$L$3000,Permissions!$B$2:$B$3000,$A344,Permissions!$P$2:$P$3000,"Yes")</f>
        <v>0</v>
      </c>
      <c r="AY344" s="27" t="str">
        <f aca="false">IF(AND(AK344&gt;0,AG344&gt;=AK344,AN344=0),"Built out",IF(AG344&gt;0,"Partly built",IF(AK344&gt;0,"Consented – not built","No consent")))</f>
        <v>No consent</v>
      </c>
      <c r="AZ344" s="28" t="str">
        <f aca="false">IF(AND(R344&lt;&gt;"",AK344&gt;1.1*R344),"Consented above capacity",IF(AND(LEFT(B344,8)="Planning",AW344=0),"Consent parcel with no permission",IF(COUNTIF($A$2:$A$3000,$A344)&gt;1,"Duplicate parcel_id","")))</f>
        <v/>
      </c>
    </row>
    <row r="345" customFormat="false" ht="15" hidden="false" customHeight="false" outlineLevel="0" collapsed="false">
      <c r="A345" s="15" t="s">
        <v>774</v>
      </c>
      <c r="B345" s="15" t="s">
        <v>13</v>
      </c>
      <c r="C345" s="15" t="s">
        <v>17</v>
      </c>
      <c r="D345" s="15" t="s">
        <v>61</v>
      </c>
      <c r="E345" s="15" t="s">
        <v>20</v>
      </c>
      <c r="F345" s="15" t="n">
        <v>0.39</v>
      </c>
      <c r="G345" s="15" t="s">
        <v>154</v>
      </c>
      <c r="H345" s="15"/>
      <c r="I345" s="15" t="s">
        <v>17</v>
      </c>
      <c r="J345" s="15" t="s">
        <v>559</v>
      </c>
      <c r="K345" s="15" t="s">
        <v>771</v>
      </c>
      <c r="L345" s="15"/>
      <c r="M345" s="15" t="s">
        <v>733</v>
      </c>
      <c r="N345" s="15"/>
      <c r="O345" s="15"/>
      <c r="P345" s="15" t="n">
        <v>2.346</v>
      </c>
      <c r="Q345" s="15" t="n">
        <v>2.578</v>
      </c>
      <c r="R345" s="15" t="n">
        <v>59</v>
      </c>
      <c r="S345" s="15" t="s">
        <v>734</v>
      </c>
      <c r="T345" s="15" t="s">
        <v>772</v>
      </c>
      <c r="U345" s="15" t="s">
        <v>736</v>
      </c>
      <c r="V345" s="15"/>
      <c r="W345" s="15" t="s">
        <v>746</v>
      </c>
      <c r="X345" s="15" t="n">
        <v>25</v>
      </c>
      <c r="Y345" s="15" t="s">
        <v>747</v>
      </c>
      <c r="Z345" s="15" t="n">
        <v>0.01</v>
      </c>
      <c r="AA345" s="15" t="n">
        <v>0</v>
      </c>
      <c r="AB345" s="15" t="n">
        <v>0</v>
      </c>
      <c r="AC345" s="15"/>
      <c r="AD345" s="15"/>
      <c r="AE345" s="15" t="s">
        <v>163</v>
      </c>
      <c r="AF345" s="15"/>
      <c r="AG345" s="24" t="n">
        <f aca="false">SUMIFS(Permissions!$G$2:$G$3000,Permissions!$B$2:$B$3000,$A345,Permissions!$I$2:$I$3000,"Complete",Permissions!$P$2:$P$3000,"Yes")</f>
        <v>0</v>
      </c>
      <c r="AH345" s="24" t="n">
        <f aca="false">SUMIFS(Permissions!$G$2:$G$3000,Permissions!$B$2:$B$3000,$A345,Permissions!$I$2:$I$3000,"Under construction",Permissions!$P$2:$P$3000,"Yes")</f>
        <v>0</v>
      </c>
      <c r="AI345" s="24" t="n">
        <f aca="false">SUMIFS(Permissions!$G$2:$G$3000,Permissions!$B$2:$B$3000,$A345,Permissions!$I$2:$I$3000,"Permitted – not started",Permissions!$P$2:$P$3000,"Yes")</f>
        <v>0</v>
      </c>
      <c r="AJ345" s="24" t="n">
        <f aca="false">SUMIFS(Permissions!$G$2:$G$3000,Permissions!$B$2:$B$3000,$A345,Permissions!$I$2:$I$3000,"Stalled",Permissions!$P$2:$P$3000,"Yes")</f>
        <v>0</v>
      </c>
      <c r="AK345" s="24" t="n">
        <f aca="false">AG345+AH345+AI345+AJ345</f>
        <v>0</v>
      </c>
      <c r="AL345" s="24" t="n">
        <f aca="false">SUMIFS(Permissions!$G$2:$G$3000,Permissions!$B$2:$B$3000,$A345,Permissions!$I$2:$I$3000,"Expired – not started",Permissions!$P$2:$P$3000,"Yes")</f>
        <v>0</v>
      </c>
      <c r="AM345" s="24" t="n">
        <f aca="false">SUMIFS(Permissions!$G$2:$G$3000,Permissions!$B$2:$B$3000,$A345,Permissions!$I$2:$I$3000,"In planning",Permissions!$P$2:$P$3000,"Yes")</f>
        <v>0</v>
      </c>
      <c r="AN345" s="24" t="n">
        <f aca="false">IF(R345="",0,MAX(R345-AK345,0))</f>
        <v>59</v>
      </c>
      <c r="AO345" s="25" t="n">
        <f aca="false">AK345+AN345</f>
        <v>59</v>
      </c>
      <c r="AP345" s="24" t="n">
        <f aca="false">AO345-AG345</f>
        <v>59</v>
      </c>
      <c r="AQ345" s="26" t="n">
        <f aca="false">SUMIFS(Permissions!$AH$2:$AH$3000,Permissions!$B$2:$B$3000,$A345,Permissions!$P$2:$P$3000,"Yes")</f>
        <v>0</v>
      </c>
      <c r="AR345" s="26" t="n">
        <f aca="false">SUMIFS(Permissions!$AI$2:$AI$3000,Permissions!$B$2:$B$3000,$A345,Permissions!$P$2:$P$3000,"Yes")</f>
        <v>0</v>
      </c>
      <c r="AS345" s="26" t="n">
        <f aca="false">SUMIFS(Permissions!$AJ$2:$AJ$3000,Permissions!$B$2:$B$3000,$A345,Permissions!$P$2:$P$3000,"Yes")</f>
        <v>0</v>
      </c>
      <c r="AT345" s="26" t="n">
        <f aca="false">SUMIFS(Permissions!$AK$2:$AK$3000,Permissions!$B$2:$B$3000,$A345,Permissions!$P$2:$P$3000,"Yes")</f>
        <v>0</v>
      </c>
      <c r="AU345" s="26" t="n">
        <f aca="false">SUMIFS(Permissions!$AL$2:$AL$3000,Permissions!$B$2:$B$3000,$A345,Permissions!$P$2:$P$3000,"Yes")</f>
        <v>0</v>
      </c>
      <c r="AV345" s="26" t="n">
        <f aca="false">SUMIFS(Permissions!$AM$2:$AM$3000,Permissions!$B$2:$B$3000,$A345,Permissions!$P$2:$P$3000,"Yes")</f>
        <v>0</v>
      </c>
      <c r="AW345" s="24" t="n">
        <f aca="false">COUNTIFS(Permissions!$B$2:$B$3000,$A345,Permissions!$P$2:$P$3000,"Yes")</f>
        <v>0</v>
      </c>
      <c r="AX345" s="24" t="n">
        <f aca="false">SUMIFS(Permissions!$L$2:$L$3000,Permissions!$B$2:$B$3000,$A345,Permissions!$P$2:$P$3000,"Yes")</f>
        <v>0</v>
      </c>
      <c r="AY345" s="27" t="str">
        <f aca="false">IF(AND(AK345&gt;0,AG345&gt;=AK345,AN345=0),"Built out",IF(AG345&gt;0,"Partly built",IF(AK345&gt;0,"Consented – not built","No consent")))</f>
        <v>No consent</v>
      </c>
      <c r="AZ345" s="28" t="str">
        <f aca="false">IF(AND(R345&lt;&gt;"",AK345&gt;1.1*R345),"Consented above capacity",IF(AND(LEFT(B345,8)="Planning",AW345=0),"Consent parcel with no permission",IF(COUNTIF($A$2:$A$3000,$A345)&gt;1,"Duplicate parcel_id","")))</f>
        <v/>
      </c>
    </row>
    <row r="346" customFormat="false" ht="15" hidden="false" customHeight="false" outlineLevel="0" collapsed="false">
      <c r="A346" s="15" t="s">
        <v>775</v>
      </c>
      <c r="B346" s="15" t="s">
        <v>13</v>
      </c>
      <c r="C346" s="15" t="s">
        <v>17</v>
      </c>
      <c r="D346" s="15" t="s">
        <v>61</v>
      </c>
      <c r="E346" s="15" t="s">
        <v>20</v>
      </c>
      <c r="F346" s="15" t="n">
        <v>0.07</v>
      </c>
      <c r="G346" s="15" t="s">
        <v>154</v>
      </c>
      <c r="H346" s="15"/>
      <c r="I346" s="15" t="s">
        <v>17</v>
      </c>
      <c r="J346" s="15" t="s">
        <v>559</v>
      </c>
      <c r="K346" s="15" t="s">
        <v>771</v>
      </c>
      <c r="L346" s="15"/>
      <c r="M346" s="15" t="s">
        <v>733</v>
      </c>
      <c r="N346" s="15"/>
      <c r="O346" s="15"/>
      <c r="P346" s="15" t="n">
        <v>3.191</v>
      </c>
      <c r="Q346" s="15" t="n">
        <v>3.506</v>
      </c>
      <c r="R346" s="15" t="n">
        <v>80</v>
      </c>
      <c r="S346" s="15" t="s">
        <v>734</v>
      </c>
      <c r="T346" s="15" t="s">
        <v>772</v>
      </c>
      <c r="U346" s="15" t="s">
        <v>736</v>
      </c>
      <c r="V346" s="15"/>
      <c r="W346" s="15" t="s">
        <v>746</v>
      </c>
      <c r="X346" s="15" t="n">
        <v>25</v>
      </c>
      <c r="Y346" s="15" t="s">
        <v>747</v>
      </c>
      <c r="Z346" s="15" t="n">
        <v>0.62</v>
      </c>
      <c r="AA346" s="15" t="n">
        <v>0</v>
      </c>
      <c r="AB346" s="15" t="n">
        <v>0</v>
      </c>
      <c r="AC346" s="15"/>
      <c r="AD346" s="15"/>
      <c r="AE346" s="15" t="s">
        <v>163</v>
      </c>
      <c r="AF346" s="15"/>
      <c r="AG346" s="24" t="n">
        <f aca="false">SUMIFS(Permissions!$G$2:$G$3000,Permissions!$B$2:$B$3000,$A346,Permissions!$I$2:$I$3000,"Complete",Permissions!$P$2:$P$3000,"Yes")</f>
        <v>0</v>
      </c>
      <c r="AH346" s="24" t="n">
        <f aca="false">SUMIFS(Permissions!$G$2:$G$3000,Permissions!$B$2:$B$3000,$A346,Permissions!$I$2:$I$3000,"Under construction",Permissions!$P$2:$P$3000,"Yes")</f>
        <v>0</v>
      </c>
      <c r="AI346" s="24" t="n">
        <f aca="false">SUMIFS(Permissions!$G$2:$G$3000,Permissions!$B$2:$B$3000,$A346,Permissions!$I$2:$I$3000,"Permitted – not started",Permissions!$P$2:$P$3000,"Yes")</f>
        <v>0</v>
      </c>
      <c r="AJ346" s="24" t="n">
        <f aca="false">SUMIFS(Permissions!$G$2:$G$3000,Permissions!$B$2:$B$3000,$A346,Permissions!$I$2:$I$3000,"Stalled",Permissions!$P$2:$P$3000,"Yes")</f>
        <v>0</v>
      </c>
      <c r="AK346" s="24" t="n">
        <f aca="false">AG346+AH346+AI346+AJ346</f>
        <v>0</v>
      </c>
      <c r="AL346" s="24" t="n">
        <f aca="false">SUMIFS(Permissions!$G$2:$G$3000,Permissions!$B$2:$B$3000,$A346,Permissions!$I$2:$I$3000,"Expired – not started",Permissions!$P$2:$P$3000,"Yes")</f>
        <v>0</v>
      </c>
      <c r="AM346" s="24" t="n">
        <f aca="false">SUMIFS(Permissions!$G$2:$G$3000,Permissions!$B$2:$B$3000,$A346,Permissions!$I$2:$I$3000,"In planning",Permissions!$P$2:$P$3000,"Yes")</f>
        <v>0</v>
      </c>
      <c r="AN346" s="24" t="n">
        <f aca="false">IF(R346="",0,MAX(R346-AK346,0))</f>
        <v>80</v>
      </c>
      <c r="AO346" s="25" t="n">
        <f aca="false">AK346+AN346</f>
        <v>80</v>
      </c>
      <c r="AP346" s="24" t="n">
        <f aca="false">AO346-AG346</f>
        <v>80</v>
      </c>
      <c r="AQ346" s="26" t="n">
        <f aca="false">SUMIFS(Permissions!$AH$2:$AH$3000,Permissions!$B$2:$B$3000,$A346,Permissions!$P$2:$P$3000,"Yes")</f>
        <v>0</v>
      </c>
      <c r="AR346" s="26" t="n">
        <f aca="false">SUMIFS(Permissions!$AI$2:$AI$3000,Permissions!$B$2:$B$3000,$A346,Permissions!$P$2:$P$3000,"Yes")</f>
        <v>0</v>
      </c>
      <c r="AS346" s="26" t="n">
        <f aca="false">SUMIFS(Permissions!$AJ$2:$AJ$3000,Permissions!$B$2:$B$3000,$A346,Permissions!$P$2:$P$3000,"Yes")</f>
        <v>0</v>
      </c>
      <c r="AT346" s="26" t="n">
        <f aca="false">SUMIFS(Permissions!$AK$2:$AK$3000,Permissions!$B$2:$B$3000,$A346,Permissions!$P$2:$P$3000,"Yes")</f>
        <v>0</v>
      </c>
      <c r="AU346" s="26" t="n">
        <f aca="false">SUMIFS(Permissions!$AL$2:$AL$3000,Permissions!$B$2:$B$3000,$A346,Permissions!$P$2:$P$3000,"Yes")</f>
        <v>0</v>
      </c>
      <c r="AV346" s="26" t="n">
        <f aca="false">SUMIFS(Permissions!$AM$2:$AM$3000,Permissions!$B$2:$B$3000,$A346,Permissions!$P$2:$P$3000,"Yes")</f>
        <v>0</v>
      </c>
      <c r="AW346" s="24" t="n">
        <f aca="false">COUNTIFS(Permissions!$B$2:$B$3000,$A346,Permissions!$P$2:$P$3000,"Yes")</f>
        <v>0</v>
      </c>
      <c r="AX346" s="24" t="n">
        <f aca="false">SUMIFS(Permissions!$L$2:$L$3000,Permissions!$B$2:$B$3000,$A346,Permissions!$P$2:$P$3000,"Yes")</f>
        <v>0</v>
      </c>
      <c r="AY346" s="27" t="str">
        <f aca="false">IF(AND(AK346&gt;0,AG346&gt;=AK346,AN346=0),"Built out",IF(AG346&gt;0,"Partly built",IF(AK346&gt;0,"Consented – not built","No consent")))</f>
        <v>No consent</v>
      </c>
      <c r="AZ346" s="28" t="str">
        <f aca="false">IF(AND(R346&lt;&gt;"",AK346&gt;1.1*R346),"Consented above capacity",IF(AND(LEFT(B346,8)="Planning",AW346=0),"Consent parcel with no permission",IF(COUNTIF($A$2:$A$3000,$A346)&gt;1,"Duplicate parcel_id","")))</f>
        <v/>
      </c>
    </row>
    <row r="347" customFormat="false" ht="15" hidden="false" customHeight="false" outlineLevel="0" collapsed="false">
      <c r="A347" s="15" t="s">
        <v>776</v>
      </c>
      <c r="B347" s="15" t="s">
        <v>13</v>
      </c>
      <c r="C347" s="15" t="s">
        <v>17</v>
      </c>
      <c r="D347" s="15" t="s">
        <v>61</v>
      </c>
      <c r="E347" s="15" t="s">
        <v>20</v>
      </c>
      <c r="F347" s="15" t="n">
        <v>1</v>
      </c>
      <c r="G347" s="15" t="s">
        <v>154</v>
      </c>
      <c r="H347" s="15"/>
      <c r="I347" s="15" t="s">
        <v>17</v>
      </c>
      <c r="J347" s="15" t="s">
        <v>559</v>
      </c>
      <c r="K347" s="15" t="s">
        <v>777</v>
      </c>
      <c r="L347" s="15"/>
      <c r="M347" s="15" t="s">
        <v>751</v>
      </c>
      <c r="N347" s="15"/>
      <c r="O347" s="15"/>
      <c r="P347" s="15" t="n">
        <v>1.897</v>
      </c>
      <c r="Q347" s="15" t="n">
        <v>2.084</v>
      </c>
      <c r="R347" s="15" t="n">
        <v>36</v>
      </c>
      <c r="S347" s="15" t="s">
        <v>734</v>
      </c>
      <c r="T347" s="15" t="s">
        <v>772</v>
      </c>
      <c r="U347" s="15" t="s">
        <v>752</v>
      </c>
      <c r="V347" s="15"/>
      <c r="W347" s="15" t="s">
        <v>753</v>
      </c>
      <c r="X347" s="15" t="n">
        <v>19</v>
      </c>
      <c r="Y347" s="15" t="s">
        <v>754</v>
      </c>
      <c r="Z347" s="15" t="n">
        <v>1</v>
      </c>
      <c r="AA347" s="15" t="n">
        <v>0</v>
      </c>
      <c r="AB347" s="15" t="n">
        <v>0</v>
      </c>
      <c r="AC347" s="15"/>
      <c r="AD347" s="15"/>
      <c r="AE347" s="15" t="s">
        <v>163</v>
      </c>
      <c r="AF347" s="15"/>
      <c r="AG347" s="24" t="n">
        <f aca="false">SUMIFS(Permissions!$G$2:$G$3000,Permissions!$B$2:$B$3000,$A347,Permissions!$I$2:$I$3000,"Complete",Permissions!$P$2:$P$3000,"Yes")</f>
        <v>0</v>
      </c>
      <c r="AH347" s="24" t="n">
        <f aca="false">SUMIFS(Permissions!$G$2:$G$3000,Permissions!$B$2:$B$3000,$A347,Permissions!$I$2:$I$3000,"Under construction",Permissions!$P$2:$P$3000,"Yes")</f>
        <v>0</v>
      </c>
      <c r="AI347" s="24" t="n">
        <f aca="false">SUMIFS(Permissions!$G$2:$G$3000,Permissions!$B$2:$B$3000,$A347,Permissions!$I$2:$I$3000,"Permitted – not started",Permissions!$P$2:$P$3000,"Yes")</f>
        <v>0</v>
      </c>
      <c r="AJ347" s="24" t="n">
        <f aca="false">SUMIFS(Permissions!$G$2:$G$3000,Permissions!$B$2:$B$3000,$A347,Permissions!$I$2:$I$3000,"Stalled",Permissions!$P$2:$P$3000,"Yes")</f>
        <v>0</v>
      </c>
      <c r="AK347" s="24" t="n">
        <f aca="false">AG347+AH347+AI347+AJ347</f>
        <v>0</v>
      </c>
      <c r="AL347" s="24" t="n">
        <f aca="false">SUMIFS(Permissions!$G$2:$G$3000,Permissions!$B$2:$B$3000,$A347,Permissions!$I$2:$I$3000,"Expired – not started",Permissions!$P$2:$P$3000,"Yes")</f>
        <v>0</v>
      </c>
      <c r="AM347" s="24" t="n">
        <f aca="false">SUMIFS(Permissions!$G$2:$G$3000,Permissions!$B$2:$B$3000,$A347,Permissions!$I$2:$I$3000,"In planning",Permissions!$P$2:$P$3000,"Yes")</f>
        <v>0</v>
      </c>
      <c r="AN347" s="24" t="n">
        <f aca="false">IF(R347="",0,MAX(R347-AK347,0))</f>
        <v>36</v>
      </c>
      <c r="AO347" s="25" t="n">
        <f aca="false">AK347+AN347</f>
        <v>36</v>
      </c>
      <c r="AP347" s="24" t="n">
        <f aca="false">AO347-AG347</f>
        <v>36</v>
      </c>
      <c r="AQ347" s="26" t="n">
        <f aca="false">SUMIFS(Permissions!$AH$2:$AH$3000,Permissions!$B$2:$B$3000,$A347,Permissions!$P$2:$P$3000,"Yes")</f>
        <v>0</v>
      </c>
      <c r="AR347" s="26" t="n">
        <f aca="false">SUMIFS(Permissions!$AI$2:$AI$3000,Permissions!$B$2:$B$3000,$A347,Permissions!$P$2:$P$3000,"Yes")</f>
        <v>0</v>
      </c>
      <c r="AS347" s="26" t="n">
        <f aca="false">SUMIFS(Permissions!$AJ$2:$AJ$3000,Permissions!$B$2:$B$3000,$A347,Permissions!$P$2:$P$3000,"Yes")</f>
        <v>0</v>
      </c>
      <c r="AT347" s="26" t="n">
        <f aca="false">SUMIFS(Permissions!$AK$2:$AK$3000,Permissions!$B$2:$B$3000,$A347,Permissions!$P$2:$P$3000,"Yes")</f>
        <v>0</v>
      </c>
      <c r="AU347" s="26" t="n">
        <f aca="false">SUMIFS(Permissions!$AL$2:$AL$3000,Permissions!$B$2:$B$3000,$A347,Permissions!$P$2:$P$3000,"Yes")</f>
        <v>0</v>
      </c>
      <c r="AV347" s="26" t="n">
        <f aca="false">SUMIFS(Permissions!$AM$2:$AM$3000,Permissions!$B$2:$B$3000,$A347,Permissions!$P$2:$P$3000,"Yes")</f>
        <v>0</v>
      </c>
      <c r="AW347" s="24" t="n">
        <f aca="false">COUNTIFS(Permissions!$B$2:$B$3000,$A347,Permissions!$P$2:$P$3000,"Yes")</f>
        <v>0</v>
      </c>
      <c r="AX347" s="24" t="n">
        <f aca="false">SUMIFS(Permissions!$L$2:$L$3000,Permissions!$B$2:$B$3000,$A347,Permissions!$P$2:$P$3000,"Yes")</f>
        <v>0</v>
      </c>
      <c r="AY347" s="27" t="str">
        <f aca="false">IF(AND(AK347&gt;0,AG347&gt;=AK347,AN347=0),"Built out",IF(AG347&gt;0,"Partly built",IF(AK347&gt;0,"Consented – not built","No consent")))</f>
        <v>No consent</v>
      </c>
      <c r="AZ347" s="28" t="str">
        <f aca="false">IF(AND(R347&lt;&gt;"",AK347&gt;1.1*R347),"Consented above capacity",IF(AND(LEFT(B347,8)="Planning",AW347=0),"Consent parcel with no permission",IF(COUNTIF($A$2:$A$3000,$A347)&gt;1,"Duplicate parcel_id","")))</f>
        <v/>
      </c>
    </row>
    <row r="348" customFormat="false" ht="15" hidden="false" customHeight="false" outlineLevel="0" collapsed="false">
      <c r="A348" s="15" t="s">
        <v>778</v>
      </c>
      <c r="B348" s="15" t="s">
        <v>13</v>
      </c>
      <c r="C348" s="15" t="s">
        <v>17</v>
      </c>
      <c r="D348" s="15" t="s">
        <v>61</v>
      </c>
      <c r="E348" s="15" t="s">
        <v>20</v>
      </c>
      <c r="F348" s="15" t="n">
        <v>1</v>
      </c>
      <c r="G348" s="15" t="s">
        <v>154</v>
      </c>
      <c r="H348" s="15"/>
      <c r="I348" s="15" t="s">
        <v>17</v>
      </c>
      <c r="J348" s="15" t="s">
        <v>559</v>
      </c>
      <c r="K348" s="15" t="s">
        <v>771</v>
      </c>
      <c r="L348" s="15"/>
      <c r="M348" s="15" t="s">
        <v>733</v>
      </c>
      <c r="N348" s="15"/>
      <c r="O348" s="15"/>
      <c r="P348" s="15" t="n">
        <v>0.192</v>
      </c>
      <c r="Q348" s="15" t="n">
        <v>0.211</v>
      </c>
      <c r="R348" s="15" t="n">
        <v>5</v>
      </c>
      <c r="S348" s="15" t="s">
        <v>734</v>
      </c>
      <c r="T348" s="15" t="s">
        <v>772</v>
      </c>
      <c r="U348" s="15" t="s">
        <v>736</v>
      </c>
      <c r="V348" s="15"/>
      <c r="W348" s="15" t="s">
        <v>746</v>
      </c>
      <c r="X348" s="15" t="n">
        <v>25</v>
      </c>
      <c r="Y348" s="15" t="s">
        <v>747</v>
      </c>
      <c r="Z348" s="15" t="n">
        <v>1</v>
      </c>
      <c r="AA348" s="15" t="n">
        <v>0</v>
      </c>
      <c r="AB348" s="15" t="n">
        <v>0</v>
      </c>
      <c r="AC348" s="15"/>
      <c r="AD348" s="15"/>
      <c r="AE348" s="15" t="s">
        <v>163</v>
      </c>
      <c r="AF348" s="15"/>
      <c r="AG348" s="24" t="n">
        <f aca="false">SUMIFS(Permissions!$G$2:$G$3000,Permissions!$B$2:$B$3000,$A348,Permissions!$I$2:$I$3000,"Complete",Permissions!$P$2:$P$3000,"Yes")</f>
        <v>0</v>
      </c>
      <c r="AH348" s="24" t="n">
        <f aca="false">SUMIFS(Permissions!$G$2:$G$3000,Permissions!$B$2:$B$3000,$A348,Permissions!$I$2:$I$3000,"Under construction",Permissions!$P$2:$P$3000,"Yes")</f>
        <v>0</v>
      </c>
      <c r="AI348" s="24" t="n">
        <f aca="false">SUMIFS(Permissions!$G$2:$G$3000,Permissions!$B$2:$B$3000,$A348,Permissions!$I$2:$I$3000,"Permitted – not started",Permissions!$P$2:$P$3000,"Yes")</f>
        <v>0</v>
      </c>
      <c r="AJ348" s="24" t="n">
        <f aca="false">SUMIFS(Permissions!$G$2:$G$3000,Permissions!$B$2:$B$3000,$A348,Permissions!$I$2:$I$3000,"Stalled",Permissions!$P$2:$P$3000,"Yes")</f>
        <v>0</v>
      </c>
      <c r="AK348" s="24" t="n">
        <f aca="false">AG348+AH348+AI348+AJ348</f>
        <v>0</v>
      </c>
      <c r="AL348" s="24" t="n">
        <f aca="false">SUMIFS(Permissions!$G$2:$G$3000,Permissions!$B$2:$B$3000,$A348,Permissions!$I$2:$I$3000,"Expired – not started",Permissions!$P$2:$P$3000,"Yes")</f>
        <v>0</v>
      </c>
      <c r="AM348" s="24" t="n">
        <f aca="false">SUMIFS(Permissions!$G$2:$G$3000,Permissions!$B$2:$B$3000,$A348,Permissions!$I$2:$I$3000,"In planning",Permissions!$P$2:$P$3000,"Yes")</f>
        <v>0</v>
      </c>
      <c r="AN348" s="24" t="n">
        <f aca="false">IF(R348="",0,MAX(R348-AK348,0))</f>
        <v>5</v>
      </c>
      <c r="AO348" s="25" t="n">
        <f aca="false">AK348+AN348</f>
        <v>5</v>
      </c>
      <c r="AP348" s="24" t="n">
        <f aca="false">AO348-AG348</f>
        <v>5</v>
      </c>
      <c r="AQ348" s="26" t="n">
        <f aca="false">SUMIFS(Permissions!$AH$2:$AH$3000,Permissions!$B$2:$B$3000,$A348,Permissions!$P$2:$P$3000,"Yes")</f>
        <v>0</v>
      </c>
      <c r="AR348" s="26" t="n">
        <f aca="false">SUMIFS(Permissions!$AI$2:$AI$3000,Permissions!$B$2:$B$3000,$A348,Permissions!$P$2:$P$3000,"Yes")</f>
        <v>0</v>
      </c>
      <c r="AS348" s="26" t="n">
        <f aca="false">SUMIFS(Permissions!$AJ$2:$AJ$3000,Permissions!$B$2:$B$3000,$A348,Permissions!$P$2:$P$3000,"Yes")</f>
        <v>0</v>
      </c>
      <c r="AT348" s="26" t="n">
        <f aca="false">SUMIFS(Permissions!$AK$2:$AK$3000,Permissions!$B$2:$B$3000,$A348,Permissions!$P$2:$P$3000,"Yes")</f>
        <v>0</v>
      </c>
      <c r="AU348" s="26" t="n">
        <f aca="false">SUMIFS(Permissions!$AL$2:$AL$3000,Permissions!$B$2:$B$3000,$A348,Permissions!$P$2:$P$3000,"Yes")</f>
        <v>0</v>
      </c>
      <c r="AV348" s="26" t="n">
        <f aca="false">SUMIFS(Permissions!$AM$2:$AM$3000,Permissions!$B$2:$B$3000,$A348,Permissions!$P$2:$P$3000,"Yes")</f>
        <v>0</v>
      </c>
      <c r="AW348" s="24" t="n">
        <f aca="false">COUNTIFS(Permissions!$B$2:$B$3000,$A348,Permissions!$P$2:$P$3000,"Yes")</f>
        <v>0</v>
      </c>
      <c r="AX348" s="24" t="n">
        <f aca="false">SUMIFS(Permissions!$L$2:$L$3000,Permissions!$B$2:$B$3000,$A348,Permissions!$P$2:$P$3000,"Yes")</f>
        <v>0</v>
      </c>
      <c r="AY348" s="27" t="str">
        <f aca="false">IF(AND(AK348&gt;0,AG348&gt;=AK348,AN348=0),"Built out",IF(AG348&gt;0,"Partly built",IF(AK348&gt;0,"Consented – not built","No consent")))</f>
        <v>No consent</v>
      </c>
      <c r="AZ348" s="28" t="str">
        <f aca="false">IF(AND(R348&lt;&gt;"",AK348&gt;1.1*R348),"Consented above capacity",IF(AND(LEFT(B348,8)="Planning",AW348=0),"Consent parcel with no permission",IF(COUNTIF($A$2:$A$3000,$A348)&gt;1,"Duplicate parcel_id","")))</f>
        <v/>
      </c>
    </row>
    <row r="349" customFormat="false" ht="15" hidden="false" customHeight="false" outlineLevel="0" collapsed="false">
      <c r="A349" s="15" t="s">
        <v>779</v>
      </c>
      <c r="B349" s="15" t="s">
        <v>13</v>
      </c>
      <c r="C349" s="15" t="s">
        <v>17</v>
      </c>
      <c r="D349" s="15" t="s">
        <v>62</v>
      </c>
      <c r="E349" s="15" t="s">
        <v>20</v>
      </c>
      <c r="F349" s="15" t="n">
        <v>1</v>
      </c>
      <c r="G349" s="15" t="s">
        <v>154</v>
      </c>
      <c r="H349" s="15"/>
      <c r="I349" s="15" t="s">
        <v>17</v>
      </c>
      <c r="J349" s="15" t="s">
        <v>205</v>
      </c>
      <c r="K349" s="15" t="s">
        <v>780</v>
      </c>
      <c r="L349" s="15"/>
      <c r="M349" s="15" t="s">
        <v>733</v>
      </c>
      <c r="N349" s="15"/>
      <c r="O349" s="15"/>
      <c r="P349" s="15" t="n">
        <v>0.197</v>
      </c>
      <c r="Q349" s="15" t="n">
        <v>0.216</v>
      </c>
      <c r="R349" s="15" t="n">
        <v>5</v>
      </c>
      <c r="S349" s="15" t="s">
        <v>734</v>
      </c>
      <c r="T349" s="15" t="s">
        <v>781</v>
      </c>
      <c r="U349" s="15" t="s">
        <v>736</v>
      </c>
      <c r="V349" s="15"/>
      <c r="W349" s="15" t="s">
        <v>746</v>
      </c>
      <c r="X349" s="15" t="n">
        <v>25</v>
      </c>
      <c r="Y349" s="15" t="s">
        <v>747</v>
      </c>
      <c r="Z349" s="15" t="n">
        <v>1</v>
      </c>
      <c r="AA349" s="15" t="n">
        <v>0</v>
      </c>
      <c r="AB349" s="15" t="n">
        <v>0</v>
      </c>
      <c r="AC349" s="15"/>
      <c r="AD349" s="15"/>
      <c r="AE349" s="15" t="s">
        <v>163</v>
      </c>
      <c r="AF349" s="15"/>
      <c r="AG349" s="24" t="n">
        <f aca="false">SUMIFS(Permissions!$G$2:$G$3000,Permissions!$B$2:$B$3000,$A349,Permissions!$I$2:$I$3000,"Complete",Permissions!$P$2:$P$3000,"Yes")</f>
        <v>0</v>
      </c>
      <c r="AH349" s="24" t="n">
        <f aca="false">SUMIFS(Permissions!$G$2:$G$3000,Permissions!$B$2:$B$3000,$A349,Permissions!$I$2:$I$3000,"Under construction",Permissions!$P$2:$P$3000,"Yes")</f>
        <v>0</v>
      </c>
      <c r="AI349" s="24" t="n">
        <f aca="false">SUMIFS(Permissions!$G$2:$G$3000,Permissions!$B$2:$B$3000,$A349,Permissions!$I$2:$I$3000,"Permitted – not started",Permissions!$P$2:$P$3000,"Yes")</f>
        <v>0</v>
      </c>
      <c r="AJ349" s="24" t="n">
        <f aca="false">SUMIFS(Permissions!$G$2:$G$3000,Permissions!$B$2:$B$3000,$A349,Permissions!$I$2:$I$3000,"Stalled",Permissions!$P$2:$P$3000,"Yes")</f>
        <v>0</v>
      </c>
      <c r="AK349" s="24" t="n">
        <f aca="false">AG349+AH349+AI349+AJ349</f>
        <v>0</v>
      </c>
      <c r="AL349" s="24" t="n">
        <f aca="false">SUMIFS(Permissions!$G$2:$G$3000,Permissions!$B$2:$B$3000,$A349,Permissions!$I$2:$I$3000,"Expired – not started",Permissions!$P$2:$P$3000,"Yes")</f>
        <v>0</v>
      </c>
      <c r="AM349" s="24" t="n">
        <f aca="false">SUMIFS(Permissions!$G$2:$G$3000,Permissions!$B$2:$B$3000,$A349,Permissions!$I$2:$I$3000,"In planning",Permissions!$P$2:$P$3000,"Yes")</f>
        <v>0</v>
      </c>
      <c r="AN349" s="24" t="n">
        <f aca="false">IF(R349="",0,MAX(R349-AK349,0))</f>
        <v>5</v>
      </c>
      <c r="AO349" s="25" t="n">
        <f aca="false">AK349+AN349</f>
        <v>5</v>
      </c>
      <c r="AP349" s="24" t="n">
        <f aca="false">AO349-AG349</f>
        <v>5</v>
      </c>
      <c r="AQ349" s="26" t="n">
        <f aca="false">SUMIFS(Permissions!$AH$2:$AH$3000,Permissions!$B$2:$B$3000,$A349,Permissions!$P$2:$P$3000,"Yes")</f>
        <v>0</v>
      </c>
      <c r="AR349" s="26" t="n">
        <f aca="false">SUMIFS(Permissions!$AI$2:$AI$3000,Permissions!$B$2:$B$3000,$A349,Permissions!$P$2:$P$3000,"Yes")</f>
        <v>0</v>
      </c>
      <c r="AS349" s="26" t="n">
        <f aca="false">SUMIFS(Permissions!$AJ$2:$AJ$3000,Permissions!$B$2:$B$3000,$A349,Permissions!$P$2:$P$3000,"Yes")</f>
        <v>0</v>
      </c>
      <c r="AT349" s="26" t="n">
        <f aca="false">SUMIFS(Permissions!$AK$2:$AK$3000,Permissions!$B$2:$B$3000,$A349,Permissions!$P$2:$P$3000,"Yes")</f>
        <v>0</v>
      </c>
      <c r="AU349" s="26" t="n">
        <f aca="false">SUMIFS(Permissions!$AL$2:$AL$3000,Permissions!$B$2:$B$3000,$A349,Permissions!$P$2:$P$3000,"Yes")</f>
        <v>0</v>
      </c>
      <c r="AV349" s="26" t="n">
        <f aca="false">SUMIFS(Permissions!$AM$2:$AM$3000,Permissions!$B$2:$B$3000,$A349,Permissions!$P$2:$P$3000,"Yes")</f>
        <v>0</v>
      </c>
      <c r="AW349" s="24" t="n">
        <f aca="false">COUNTIFS(Permissions!$B$2:$B$3000,$A349,Permissions!$P$2:$P$3000,"Yes")</f>
        <v>0</v>
      </c>
      <c r="AX349" s="24" t="n">
        <f aca="false">SUMIFS(Permissions!$L$2:$L$3000,Permissions!$B$2:$B$3000,$A349,Permissions!$P$2:$P$3000,"Yes")</f>
        <v>0</v>
      </c>
      <c r="AY349" s="27" t="str">
        <f aca="false">IF(AND(AK349&gt;0,AG349&gt;=AK349,AN349=0),"Built out",IF(AG349&gt;0,"Partly built",IF(AK349&gt;0,"Consented – not built","No consent")))</f>
        <v>No consent</v>
      </c>
      <c r="AZ349" s="28" t="str">
        <f aca="false">IF(AND(R349&lt;&gt;"",AK349&gt;1.1*R349),"Consented above capacity",IF(AND(LEFT(B349,8)="Planning",AW349=0),"Consent parcel with no permission",IF(COUNTIF($A$2:$A$3000,$A349)&gt;1,"Duplicate parcel_id","")))</f>
        <v/>
      </c>
    </row>
    <row r="350" customFormat="false" ht="15" hidden="false" customHeight="false" outlineLevel="0" collapsed="false">
      <c r="A350" s="15" t="s">
        <v>782</v>
      </c>
      <c r="B350" s="15" t="s">
        <v>13</v>
      </c>
      <c r="C350" s="15" t="s">
        <v>17</v>
      </c>
      <c r="D350" s="15" t="s">
        <v>62</v>
      </c>
      <c r="E350" s="15" t="s">
        <v>20</v>
      </c>
      <c r="F350" s="15" t="n">
        <v>0</v>
      </c>
      <c r="G350" s="15" t="s">
        <v>783</v>
      </c>
      <c r="H350" s="15"/>
      <c r="I350" s="15" t="s">
        <v>17</v>
      </c>
      <c r="J350" s="15" t="s">
        <v>205</v>
      </c>
      <c r="K350" s="15" t="s">
        <v>784</v>
      </c>
      <c r="L350" s="15"/>
      <c r="M350" s="15" t="s">
        <v>751</v>
      </c>
      <c r="N350" s="15"/>
      <c r="O350" s="15"/>
      <c r="P350" s="15" t="n">
        <v>1.504</v>
      </c>
      <c r="Q350" s="15" t="n">
        <v>1.653</v>
      </c>
      <c r="R350" s="15" t="n">
        <v>29</v>
      </c>
      <c r="S350" s="15" t="s">
        <v>734</v>
      </c>
      <c r="T350" s="15" t="s">
        <v>781</v>
      </c>
      <c r="U350" s="15" t="s">
        <v>752</v>
      </c>
      <c r="V350" s="15"/>
      <c r="W350" s="15" t="s">
        <v>753</v>
      </c>
      <c r="X350" s="15" t="n">
        <v>19</v>
      </c>
      <c r="Y350" s="15" t="s">
        <v>754</v>
      </c>
      <c r="Z350" s="15" t="n">
        <v>0</v>
      </c>
      <c r="AA350" s="15" t="n">
        <v>0</v>
      </c>
      <c r="AB350" s="15" t="n">
        <v>0</v>
      </c>
      <c r="AC350" s="15"/>
      <c r="AD350" s="15"/>
      <c r="AE350" s="15" t="s">
        <v>163</v>
      </c>
      <c r="AF350" s="15"/>
      <c r="AG350" s="24" t="n">
        <f aca="false">SUMIFS(Permissions!$G$2:$G$3000,Permissions!$B$2:$B$3000,$A350,Permissions!$I$2:$I$3000,"Complete",Permissions!$P$2:$P$3000,"Yes")</f>
        <v>0</v>
      </c>
      <c r="AH350" s="24" t="n">
        <f aca="false">SUMIFS(Permissions!$G$2:$G$3000,Permissions!$B$2:$B$3000,$A350,Permissions!$I$2:$I$3000,"Under construction",Permissions!$P$2:$P$3000,"Yes")</f>
        <v>0</v>
      </c>
      <c r="AI350" s="24" t="n">
        <f aca="false">SUMIFS(Permissions!$G$2:$G$3000,Permissions!$B$2:$B$3000,$A350,Permissions!$I$2:$I$3000,"Permitted – not started",Permissions!$P$2:$P$3000,"Yes")</f>
        <v>0</v>
      </c>
      <c r="AJ350" s="24" t="n">
        <f aca="false">SUMIFS(Permissions!$G$2:$G$3000,Permissions!$B$2:$B$3000,$A350,Permissions!$I$2:$I$3000,"Stalled",Permissions!$P$2:$P$3000,"Yes")</f>
        <v>0</v>
      </c>
      <c r="AK350" s="24" t="n">
        <f aca="false">AG350+AH350+AI350+AJ350</f>
        <v>0</v>
      </c>
      <c r="AL350" s="24" t="n">
        <f aca="false">SUMIFS(Permissions!$G$2:$G$3000,Permissions!$B$2:$B$3000,$A350,Permissions!$I$2:$I$3000,"Expired – not started",Permissions!$P$2:$P$3000,"Yes")</f>
        <v>0</v>
      </c>
      <c r="AM350" s="24" t="n">
        <f aca="false">SUMIFS(Permissions!$G$2:$G$3000,Permissions!$B$2:$B$3000,$A350,Permissions!$I$2:$I$3000,"In planning",Permissions!$P$2:$P$3000,"Yes")</f>
        <v>0</v>
      </c>
      <c r="AN350" s="24" t="n">
        <f aca="false">IF(R350="",0,MAX(R350-AK350,0))</f>
        <v>29</v>
      </c>
      <c r="AO350" s="25" t="n">
        <f aca="false">AK350+AN350</f>
        <v>29</v>
      </c>
      <c r="AP350" s="24" t="n">
        <f aca="false">AO350-AG350</f>
        <v>29</v>
      </c>
      <c r="AQ350" s="26" t="n">
        <f aca="false">SUMIFS(Permissions!$AH$2:$AH$3000,Permissions!$B$2:$B$3000,$A350,Permissions!$P$2:$P$3000,"Yes")</f>
        <v>0</v>
      </c>
      <c r="AR350" s="26" t="n">
        <f aca="false">SUMIFS(Permissions!$AI$2:$AI$3000,Permissions!$B$2:$B$3000,$A350,Permissions!$P$2:$P$3000,"Yes")</f>
        <v>0</v>
      </c>
      <c r="AS350" s="26" t="n">
        <f aca="false">SUMIFS(Permissions!$AJ$2:$AJ$3000,Permissions!$B$2:$B$3000,$A350,Permissions!$P$2:$P$3000,"Yes")</f>
        <v>0</v>
      </c>
      <c r="AT350" s="26" t="n">
        <f aca="false">SUMIFS(Permissions!$AK$2:$AK$3000,Permissions!$B$2:$B$3000,$A350,Permissions!$P$2:$P$3000,"Yes")</f>
        <v>0</v>
      </c>
      <c r="AU350" s="26" t="n">
        <f aca="false">SUMIFS(Permissions!$AL$2:$AL$3000,Permissions!$B$2:$B$3000,$A350,Permissions!$P$2:$P$3000,"Yes")</f>
        <v>0</v>
      </c>
      <c r="AV350" s="26" t="n">
        <f aca="false">SUMIFS(Permissions!$AM$2:$AM$3000,Permissions!$B$2:$B$3000,$A350,Permissions!$P$2:$P$3000,"Yes")</f>
        <v>0</v>
      </c>
      <c r="AW350" s="24" t="n">
        <f aca="false">COUNTIFS(Permissions!$B$2:$B$3000,$A350,Permissions!$P$2:$P$3000,"Yes")</f>
        <v>0</v>
      </c>
      <c r="AX350" s="24" t="n">
        <f aca="false">SUMIFS(Permissions!$L$2:$L$3000,Permissions!$B$2:$B$3000,$A350,Permissions!$P$2:$P$3000,"Yes")</f>
        <v>0</v>
      </c>
      <c r="AY350" s="27" t="str">
        <f aca="false">IF(AND(AK350&gt;0,AG350&gt;=AK350,AN350=0),"Built out",IF(AG350&gt;0,"Partly built",IF(AK350&gt;0,"Consented – not built","No consent")))</f>
        <v>No consent</v>
      </c>
      <c r="AZ350" s="28" t="str">
        <f aca="false">IF(AND(R350&lt;&gt;"",AK350&gt;1.1*R350),"Consented above capacity",IF(AND(LEFT(B350,8)="Planning",AW350=0),"Consent parcel with no permission",IF(COUNTIF($A$2:$A$3000,$A350)&gt;1,"Duplicate parcel_id","")))</f>
        <v/>
      </c>
    </row>
    <row r="351" customFormat="false" ht="15" hidden="false" customHeight="false" outlineLevel="0" collapsed="false">
      <c r="A351" s="15" t="s">
        <v>785</v>
      </c>
      <c r="B351" s="15" t="s">
        <v>13</v>
      </c>
      <c r="C351" s="15" t="s">
        <v>17</v>
      </c>
      <c r="D351" s="15" t="s">
        <v>62</v>
      </c>
      <c r="E351" s="15" t="s">
        <v>20</v>
      </c>
      <c r="F351" s="15" t="n">
        <v>0</v>
      </c>
      <c r="G351" s="15" t="s">
        <v>783</v>
      </c>
      <c r="H351" s="15"/>
      <c r="I351" s="15" t="s">
        <v>17</v>
      </c>
      <c r="J351" s="15" t="s">
        <v>205</v>
      </c>
      <c r="K351" s="15" t="s">
        <v>780</v>
      </c>
      <c r="L351" s="15"/>
      <c r="M351" s="15" t="s">
        <v>733</v>
      </c>
      <c r="N351" s="15"/>
      <c r="O351" s="15"/>
      <c r="P351" s="15" t="n">
        <v>2.619</v>
      </c>
      <c r="Q351" s="15" t="n">
        <v>2.878</v>
      </c>
      <c r="R351" s="15" t="n">
        <v>65</v>
      </c>
      <c r="S351" s="15" t="s">
        <v>734</v>
      </c>
      <c r="T351" s="15" t="s">
        <v>781</v>
      </c>
      <c r="U351" s="15" t="s">
        <v>736</v>
      </c>
      <c r="V351" s="15"/>
      <c r="W351" s="15" t="s">
        <v>746</v>
      </c>
      <c r="X351" s="15" t="n">
        <v>25</v>
      </c>
      <c r="Y351" s="15" t="s">
        <v>747</v>
      </c>
      <c r="Z351" s="15" t="n">
        <v>0.81</v>
      </c>
      <c r="AA351" s="15" t="n">
        <v>0</v>
      </c>
      <c r="AB351" s="15" t="n">
        <v>0</v>
      </c>
      <c r="AC351" s="15"/>
      <c r="AD351" s="15"/>
      <c r="AE351" s="15" t="s">
        <v>163</v>
      </c>
      <c r="AF351" s="15"/>
      <c r="AG351" s="24" t="n">
        <f aca="false">SUMIFS(Permissions!$G$2:$G$3000,Permissions!$B$2:$B$3000,$A351,Permissions!$I$2:$I$3000,"Complete",Permissions!$P$2:$P$3000,"Yes")</f>
        <v>0</v>
      </c>
      <c r="AH351" s="24" t="n">
        <f aca="false">SUMIFS(Permissions!$G$2:$G$3000,Permissions!$B$2:$B$3000,$A351,Permissions!$I$2:$I$3000,"Under construction",Permissions!$P$2:$P$3000,"Yes")</f>
        <v>0</v>
      </c>
      <c r="AI351" s="24" t="n">
        <f aca="false">SUMIFS(Permissions!$G$2:$G$3000,Permissions!$B$2:$B$3000,$A351,Permissions!$I$2:$I$3000,"Permitted – not started",Permissions!$P$2:$P$3000,"Yes")</f>
        <v>0</v>
      </c>
      <c r="AJ351" s="24" t="n">
        <f aca="false">SUMIFS(Permissions!$G$2:$G$3000,Permissions!$B$2:$B$3000,$A351,Permissions!$I$2:$I$3000,"Stalled",Permissions!$P$2:$P$3000,"Yes")</f>
        <v>0</v>
      </c>
      <c r="AK351" s="24" t="n">
        <f aca="false">AG351+AH351+AI351+AJ351</f>
        <v>0</v>
      </c>
      <c r="AL351" s="24" t="n">
        <f aca="false">SUMIFS(Permissions!$G$2:$G$3000,Permissions!$B$2:$B$3000,$A351,Permissions!$I$2:$I$3000,"Expired – not started",Permissions!$P$2:$P$3000,"Yes")</f>
        <v>0</v>
      </c>
      <c r="AM351" s="24" t="n">
        <f aca="false">SUMIFS(Permissions!$G$2:$G$3000,Permissions!$B$2:$B$3000,$A351,Permissions!$I$2:$I$3000,"In planning",Permissions!$P$2:$P$3000,"Yes")</f>
        <v>0</v>
      </c>
      <c r="AN351" s="24" t="n">
        <f aca="false">IF(R351="",0,MAX(R351-AK351,0))</f>
        <v>65</v>
      </c>
      <c r="AO351" s="25" t="n">
        <f aca="false">AK351+AN351</f>
        <v>65</v>
      </c>
      <c r="AP351" s="24" t="n">
        <f aca="false">AO351-AG351</f>
        <v>65</v>
      </c>
      <c r="AQ351" s="26" t="n">
        <f aca="false">SUMIFS(Permissions!$AH$2:$AH$3000,Permissions!$B$2:$B$3000,$A351,Permissions!$P$2:$P$3000,"Yes")</f>
        <v>0</v>
      </c>
      <c r="AR351" s="26" t="n">
        <f aca="false">SUMIFS(Permissions!$AI$2:$AI$3000,Permissions!$B$2:$B$3000,$A351,Permissions!$P$2:$P$3000,"Yes")</f>
        <v>0</v>
      </c>
      <c r="AS351" s="26" t="n">
        <f aca="false">SUMIFS(Permissions!$AJ$2:$AJ$3000,Permissions!$B$2:$B$3000,$A351,Permissions!$P$2:$P$3000,"Yes")</f>
        <v>0</v>
      </c>
      <c r="AT351" s="26" t="n">
        <f aca="false">SUMIFS(Permissions!$AK$2:$AK$3000,Permissions!$B$2:$B$3000,$A351,Permissions!$P$2:$P$3000,"Yes")</f>
        <v>0</v>
      </c>
      <c r="AU351" s="26" t="n">
        <f aca="false">SUMIFS(Permissions!$AL$2:$AL$3000,Permissions!$B$2:$B$3000,$A351,Permissions!$P$2:$P$3000,"Yes")</f>
        <v>0</v>
      </c>
      <c r="AV351" s="26" t="n">
        <f aca="false">SUMIFS(Permissions!$AM$2:$AM$3000,Permissions!$B$2:$B$3000,$A351,Permissions!$P$2:$P$3000,"Yes")</f>
        <v>0</v>
      </c>
      <c r="AW351" s="24" t="n">
        <f aca="false">COUNTIFS(Permissions!$B$2:$B$3000,$A351,Permissions!$P$2:$P$3000,"Yes")</f>
        <v>0</v>
      </c>
      <c r="AX351" s="24" t="n">
        <f aca="false">SUMIFS(Permissions!$L$2:$L$3000,Permissions!$B$2:$B$3000,$A351,Permissions!$P$2:$P$3000,"Yes")</f>
        <v>0</v>
      </c>
      <c r="AY351" s="27" t="str">
        <f aca="false">IF(AND(AK351&gt;0,AG351&gt;=AK351,AN351=0),"Built out",IF(AG351&gt;0,"Partly built",IF(AK351&gt;0,"Consented – not built","No consent")))</f>
        <v>No consent</v>
      </c>
      <c r="AZ351" s="28" t="str">
        <f aca="false">IF(AND(R351&lt;&gt;"",AK351&gt;1.1*R351),"Consented above capacity",IF(AND(LEFT(B351,8)="Planning",AW351=0),"Consent parcel with no permission",IF(COUNTIF($A$2:$A$3000,$A351)&gt;1,"Duplicate parcel_id","")))</f>
        <v/>
      </c>
    </row>
    <row r="352" customFormat="false" ht="15" hidden="false" customHeight="false" outlineLevel="0" collapsed="false">
      <c r="A352" s="15" t="s">
        <v>786</v>
      </c>
      <c r="B352" s="15" t="s">
        <v>13</v>
      </c>
      <c r="C352" s="15" t="s">
        <v>17</v>
      </c>
      <c r="D352" s="15" t="s">
        <v>62</v>
      </c>
      <c r="E352" s="15" t="s">
        <v>20</v>
      </c>
      <c r="F352" s="15" t="n">
        <v>0</v>
      </c>
      <c r="G352" s="15" t="s">
        <v>783</v>
      </c>
      <c r="H352" s="15"/>
      <c r="I352" s="15" t="s">
        <v>17</v>
      </c>
      <c r="J352" s="15" t="s">
        <v>205</v>
      </c>
      <c r="K352" s="15" t="s">
        <v>780</v>
      </c>
      <c r="L352" s="15"/>
      <c r="M352" s="15" t="s">
        <v>733</v>
      </c>
      <c r="N352" s="15"/>
      <c r="O352" s="15"/>
      <c r="P352" s="15" t="n">
        <v>0.868</v>
      </c>
      <c r="Q352" s="15" t="n">
        <v>0.954</v>
      </c>
      <c r="R352" s="15" t="n">
        <v>22</v>
      </c>
      <c r="S352" s="15" t="s">
        <v>734</v>
      </c>
      <c r="T352" s="15" t="s">
        <v>781</v>
      </c>
      <c r="U352" s="15" t="s">
        <v>736</v>
      </c>
      <c r="V352" s="15"/>
      <c r="W352" s="15" t="s">
        <v>746</v>
      </c>
      <c r="X352" s="15" t="n">
        <v>25</v>
      </c>
      <c r="Y352" s="15" t="s">
        <v>747</v>
      </c>
      <c r="Z352" s="15" t="n">
        <v>0</v>
      </c>
      <c r="AA352" s="15" t="n">
        <v>0</v>
      </c>
      <c r="AB352" s="15" t="n">
        <v>0</v>
      </c>
      <c r="AC352" s="15"/>
      <c r="AD352" s="15"/>
      <c r="AE352" s="15" t="s">
        <v>163</v>
      </c>
      <c r="AF352" s="15"/>
      <c r="AG352" s="24" t="n">
        <f aca="false">SUMIFS(Permissions!$G$2:$G$3000,Permissions!$B$2:$B$3000,$A352,Permissions!$I$2:$I$3000,"Complete",Permissions!$P$2:$P$3000,"Yes")</f>
        <v>0</v>
      </c>
      <c r="AH352" s="24" t="n">
        <f aca="false">SUMIFS(Permissions!$G$2:$G$3000,Permissions!$B$2:$B$3000,$A352,Permissions!$I$2:$I$3000,"Under construction",Permissions!$P$2:$P$3000,"Yes")</f>
        <v>0</v>
      </c>
      <c r="AI352" s="24" t="n">
        <f aca="false">SUMIFS(Permissions!$G$2:$G$3000,Permissions!$B$2:$B$3000,$A352,Permissions!$I$2:$I$3000,"Permitted – not started",Permissions!$P$2:$P$3000,"Yes")</f>
        <v>0</v>
      </c>
      <c r="AJ352" s="24" t="n">
        <f aca="false">SUMIFS(Permissions!$G$2:$G$3000,Permissions!$B$2:$B$3000,$A352,Permissions!$I$2:$I$3000,"Stalled",Permissions!$P$2:$P$3000,"Yes")</f>
        <v>0</v>
      </c>
      <c r="AK352" s="24" t="n">
        <f aca="false">AG352+AH352+AI352+AJ352</f>
        <v>0</v>
      </c>
      <c r="AL352" s="24" t="n">
        <f aca="false">SUMIFS(Permissions!$G$2:$G$3000,Permissions!$B$2:$B$3000,$A352,Permissions!$I$2:$I$3000,"Expired – not started",Permissions!$P$2:$P$3000,"Yes")</f>
        <v>0</v>
      </c>
      <c r="AM352" s="24" t="n">
        <f aca="false">SUMIFS(Permissions!$G$2:$G$3000,Permissions!$B$2:$B$3000,$A352,Permissions!$I$2:$I$3000,"In planning",Permissions!$P$2:$P$3000,"Yes")</f>
        <v>0</v>
      </c>
      <c r="AN352" s="24" t="n">
        <f aca="false">IF(R352="",0,MAX(R352-AK352,0))</f>
        <v>22</v>
      </c>
      <c r="AO352" s="25" t="n">
        <f aca="false">AK352+AN352</f>
        <v>22</v>
      </c>
      <c r="AP352" s="24" t="n">
        <f aca="false">AO352-AG352</f>
        <v>22</v>
      </c>
      <c r="AQ352" s="26" t="n">
        <f aca="false">SUMIFS(Permissions!$AH$2:$AH$3000,Permissions!$B$2:$B$3000,$A352,Permissions!$P$2:$P$3000,"Yes")</f>
        <v>0</v>
      </c>
      <c r="AR352" s="26" t="n">
        <f aca="false">SUMIFS(Permissions!$AI$2:$AI$3000,Permissions!$B$2:$B$3000,$A352,Permissions!$P$2:$P$3000,"Yes")</f>
        <v>0</v>
      </c>
      <c r="AS352" s="26" t="n">
        <f aca="false">SUMIFS(Permissions!$AJ$2:$AJ$3000,Permissions!$B$2:$B$3000,$A352,Permissions!$P$2:$P$3000,"Yes")</f>
        <v>0</v>
      </c>
      <c r="AT352" s="26" t="n">
        <f aca="false">SUMIFS(Permissions!$AK$2:$AK$3000,Permissions!$B$2:$B$3000,$A352,Permissions!$P$2:$P$3000,"Yes")</f>
        <v>0</v>
      </c>
      <c r="AU352" s="26" t="n">
        <f aca="false">SUMIFS(Permissions!$AL$2:$AL$3000,Permissions!$B$2:$B$3000,$A352,Permissions!$P$2:$P$3000,"Yes")</f>
        <v>0</v>
      </c>
      <c r="AV352" s="26" t="n">
        <f aca="false">SUMIFS(Permissions!$AM$2:$AM$3000,Permissions!$B$2:$B$3000,$A352,Permissions!$P$2:$P$3000,"Yes")</f>
        <v>0</v>
      </c>
      <c r="AW352" s="24" t="n">
        <f aca="false">COUNTIFS(Permissions!$B$2:$B$3000,$A352,Permissions!$P$2:$P$3000,"Yes")</f>
        <v>0</v>
      </c>
      <c r="AX352" s="24" t="n">
        <f aca="false">SUMIFS(Permissions!$L$2:$L$3000,Permissions!$B$2:$B$3000,$A352,Permissions!$P$2:$P$3000,"Yes")</f>
        <v>0</v>
      </c>
      <c r="AY352" s="27" t="str">
        <f aca="false">IF(AND(AK352&gt;0,AG352&gt;=AK352,AN352=0),"Built out",IF(AG352&gt;0,"Partly built",IF(AK352&gt;0,"Consented – not built","No consent")))</f>
        <v>No consent</v>
      </c>
      <c r="AZ352" s="28" t="str">
        <f aca="false">IF(AND(R352&lt;&gt;"",AK352&gt;1.1*R352),"Consented above capacity",IF(AND(LEFT(B352,8)="Planning",AW352=0),"Consent parcel with no permission",IF(COUNTIF($A$2:$A$3000,$A352)&gt;1,"Duplicate parcel_id","")))</f>
        <v/>
      </c>
    </row>
    <row r="353" customFormat="false" ht="15" hidden="false" customHeight="false" outlineLevel="0" collapsed="false">
      <c r="A353" s="15" t="s">
        <v>787</v>
      </c>
      <c r="B353" s="15" t="s">
        <v>13</v>
      </c>
      <c r="C353" s="15" t="s">
        <v>17</v>
      </c>
      <c r="D353" s="15" t="s">
        <v>62</v>
      </c>
      <c r="E353" s="15" t="s">
        <v>20</v>
      </c>
      <c r="F353" s="15" t="n">
        <v>1</v>
      </c>
      <c r="G353" s="15" t="s">
        <v>154</v>
      </c>
      <c r="H353" s="15"/>
      <c r="I353" s="15" t="s">
        <v>17</v>
      </c>
      <c r="J353" s="15" t="s">
        <v>205</v>
      </c>
      <c r="K353" s="15" t="s">
        <v>780</v>
      </c>
      <c r="L353" s="15"/>
      <c r="M353" s="15" t="s">
        <v>733</v>
      </c>
      <c r="N353" s="15"/>
      <c r="O353" s="15"/>
      <c r="P353" s="15" t="n">
        <v>0.509</v>
      </c>
      <c r="Q353" s="15" t="n">
        <v>0.559</v>
      </c>
      <c r="R353" s="15" t="n">
        <v>13</v>
      </c>
      <c r="S353" s="15" t="s">
        <v>734</v>
      </c>
      <c r="T353" s="15" t="s">
        <v>781</v>
      </c>
      <c r="U353" s="15" t="s">
        <v>736</v>
      </c>
      <c r="V353" s="15"/>
      <c r="W353" s="15" t="s">
        <v>746</v>
      </c>
      <c r="X353" s="15" t="n">
        <v>25</v>
      </c>
      <c r="Y353" s="15" t="s">
        <v>747</v>
      </c>
      <c r="Z353" s="15" t="n">
        <v>1</v>
      </c>
      <c r="AA353" s="15" t="n">
        <v>0</v>
      </c>
      <c r="AB353" s="15" t="n">
        <v>0</v>
      </c>
      <c r="AC353" s="15"/>
      <c r="AD353" s="15"/>
      <c r="AE353" s="15" t="s">
        <v>163</v>
      </c>
      <c r="AF353" s="15"/>
      <c r="AG353" s="24" t="n">
        <f aca="false">SUMIFS(Permissions!$G$2:$G$3000,Permissions!$B$2:$B$3000,$A353,Permissions!$I$2:$I$3000,"Complete",Permissions!$P$2:$P$3000,"Yes")</f>
        <v>0</v>
      </c>
      <c r="AH353" s="24" t="n">
        <f aca="false">SUMIFS(Permissions!$G$2:$G$3000,Permissions!$B$2:$B$3000,$A353,Permissions!$I$2:$I$3000,"Under construction",Permissions!$P$2:$P$3000,"Yes")</f>
        <v>0</v>
      </c>
      <c r="AI353" s="24" t="n">
        <f aca="false">SUMIFS(Permissions!$G$2:$G$3000,Permissions!$B$2:$B$3000,$A353,Permissions!$I$2:$I$3000,"Permitted – not started",Permissions!$P$2:$P$3000,"Yes")</f>
        <v>0</v>
      </c>
      <c r="AJ353" s="24" t="n">
        <f aca="false">SUMIFS(Permissions!$G$2:$G$3000,Permissions!$B$2:$B$3000,$A353,Permissions!$I$2:$I$3000,"Stalled",Permissions!$P$2:$P$3000,"Yes")</f>
        <v>0</v>
      </c>
      <c r="AK353" s="24" t="n">
        <f aca="false">AG353+AH353+AI353+AJ353</f>
        <v>0</v>
      </c>
      <c r="AL353" s="24" t="n">
        <f aca="false">SUMIFS(Permissions!$G$2:$G$3000,Permissions!$B$2:$B$3000,$A353,Permissions!$I$2:$I$3000,"Expired – not started",Permissions!$P$2:$P$3000,"Yes")</f>
        <v>0</v>
      </c>
      <c r="AM353" s="24" t="n">
        <f aca="false">SUMIFS(Permissions!$G$2:$G$3000,Permissions!$B$2:$B$3000,$A353,Permissions!$I$2:$I$3000,"In planning",Permissions!$P$2:$P$3000,"Yes")</f>
        <v>0</v>
      </c>
      <c r="AN353" s="24" t="n">
        <f aca="false">IF(R353="",0,MAX(R353-AK353,0))</f>
        <v>13</v>
      </c>
      <c r="AO353" s="25" t="n">
        <f aca="false">AK353+AN353</f>
        <v>13</v>
      </c>
      <c r="AP353" s="24" t="n">
        <f aca="false">AO353-AG353</f>
        <v>13</v>
      </c>
      <c r="AQ353" s="26" t="n">
        <f aca="false">SUMIFS(Permissions!$AH$2:$AH$3000,Permissions!$B$2:$B$3000,$A353,Permissions!$P$2:$P$3000,"Yes")</f>
        <v>0</v>
      </c>
      <c r="AR353" s="26" t="n">
        <f aca="false">SUMIFS(Permissions!$AI$2:$AI$3000,Permissions!$B$2:$B$3000,$A353,Permissions!$P$2:$P$3000,"Yes")</f>
        <v>0</v>
      </c>
      <c r="AS353" s="26" t="n">
        <f aca="false">SUMIFS(Permissions!$AJ$2:$AJ$3000,Permissions!$B$2:$B$3000,$A353,Permissions!$P$2:$P$3000,"Yes")</f>
        <v>0</v>
      </c>
      <c r="AT353" s="26" t="n">
        <f aca="false">SUMIFS(Permissions!$AK$2:$AK$3000,Permissions!$B$2:$B$3000,$A353,Permissions!$P$2:$P$3000,"Yes")</f>
        <v>0</v>
      </c>
      <c r="AU353" s="26" t="n">
        <f aca="false">SUMIFS(Permissions!$AL$2:$AL$3000,Permissions!$B$2:$B$3000,$A353,Permissions!$P$2:$P$3000,"Yes")</f>
        <v>0</v>
      </c>
      <c r="AV353" s="26" t="n">
        <f aca="false">SUMIFS(Permissions!$AM$2:$AM$3000,Permissions!$B$2:$B$3000,$A353,Permissions!$P$2:$P$3000,"Yes")</f>
        <v>0</v>
      </c>
      <c r="AW353" s="24" t="n">
        <f aca="false">COUNTIFS(Permissions!$B$2:$B$3000,$A353,Permissions!$P$2:$P$3000,"Yes")</f>
        <v>0</v>
      </c>
      <c r="AX353" s="24" t="n">
        <f aca="false">SUMIFS(Permissions!$L$2:$L$3000,Permissions!$B$2:$B$3000,$A353,Permissions!$P$2:$P$3000,"Yes")</f>
        <v>0</v>
      </c>
      <c r="AY353" s="27" t="str">
        <f aca="false">IF(AND(AK353&gt;0,AG353&gt;=AK353,AN353=0),"Built out",IF(AG353&gt;0,"Partly built",IF(AK353&gt;0,"Consented – not built","No consent")))</f>
        <v>No consent</v>
      </c>
      <c r="AZ353" s="28" t="str">
        <f aca="false">IF(AND(R353&lt;&gt;"",AK353&gt;1.1*R353),"Consented above capacity",IF(AND(LEFT(B353,8)="Planning",AW353=0),"Consent parcel with no permission",IF(COUNTIF($A$2:$A$3000,$A353)&gt;1,"Duplicate parcel_id","")))</f>
        <v/>
      </c>
    </row>
    <row r="354" customFormat="false" ht="15" hidden="false" customHeight="false" outlineLevel="0" collapsed="false">
      <c r="A354" s="15" t="s">
        <v>788</v>
      </c>
      <c r="B354" s="15" t="s">
        <v>13</v>
      </c>
      <c r="C354" s="15" t="s">
        <v>17</v>
      </c>
      <c r="D354" s="15" t="s">
        <v>62</v>
      </c>
      <c r="E354" s="15" t="s">
        <v>20</v>
      </c>
      <c r="F354" s="15" t="n">
        <v>1</v>
      </c>
      <c r="G354" s="15" t="s">
        <v>154</v>
      </c>
      <c r="H354" s="15"/>
      <c r="I354" s="15" t="s">
        <v>17</v>
      </c>
      <c r="J354" s="15" t="s">
        <v>205</v>
      </c>
      <c r="K354" s="15" t="s">
        <v>780</v>
      </c>
      <c r="L354" s="15"/>
      <c r="M354" s="15" t="s">
        <v>733</v>
      </c>
      <c r="N354" s="15"/>
      <c r="O354" s="15"/>
      <c r="P354" s="15" t="n">
        <v>0.517</v>
      </c>
      <c r="Q354" s="15" t="n">
        <v>0.568</v>
      </c>
      <c r="R354" s="15" t="n">
        <v>13</v>
      </c>
      <c r="S354" s="15" t="s">
        <v>734</v>
      </c>
      <c r="T354" s="15" t="s">
        <v>781</v>
      </c>
      <c r="U354" s="15" t="s">
        <v>736</v>
      </c>
      <c r="V354" s="15"/>
      <c r="W354" s="15" t="s">
        <v>746</v>
      </c>
      <c r="X354" s="15" t="n">
        <v>25</v>
      </c>
      <c r="Y354" s="15" t="s">
        <v>747</v>
      </c>
      <c r="Z354" s="15" t="n">
        <v>1</v>
      </c>
      <c r="AA354" s="15" t="n">
        <v>0</v>
      </c>
      <c r="AB354" s="15" t="n">
        <v>0</v>
      </c>
      <c r="AC354" s="15"/>
      <c r="AD354" s="15"/>
      <c r="AE354" s="15" t="s">
        <v>163</v>
      </c>
      <c r="AF354" s="15"/>
      <c r="AG354" s="24" t="n">
        <f aca="false">SUMIFS(Permissions!$G$2:$G$3000,Permissions!$B$2:$B$3000,$A354,Permissions!$I$2:$I$3000,"Complete",Permissions!$P$2:$P$3000,"Yes")</f>
        <v>0</v>
      </c>
      <c r="AH354" s="24" t="n">
        <f aca="false">SUMIFS(Permissions!$G$2:$G$3000,Permissions!$B$2:$B$3000,$A354,Permissions!$I$2:$I$3000,"Under construction",Permissions!$P$2:$P$3000,"Yes")</f>
        <v>0</v>
      </c>
      <c r="AI354" s="24" t="n">
        <f aca="false">SUMIFS(Permissions!$G$2:$G$3000,Permissions!$B$2:$B$3000,$A354,Permissions!$I$2:$I$3000,"Permitted – not started",Permissions!$P$2:$P$3000,"Yes")</f>
        <v>0</v>
      </c>
      <c r="AJ354" s="24" t="n">
        <f aca="false">SUMIFS(Permissions!$G$2:$G$3000,Permissions!$B$2:$B$3000,$A354,Permissions!$I$2:$I$3000,"Stalled",Permissions!$P$2:$P$3000,"Yes")</f>
        <v>0</v>
      </c>
      <c r="AK354" s="24" t="n">
        <f aca="false">AG354+AH354+AI354+AJ354</f>
        <v>0</v>
      </c>
      <c r="AL354" s="24" t="n">
        <f aca="false">SUMIFS(Permissions!$G$2:$G$3000,Permissions!$B$2:$B$3000,$A354,Permissions!$I$2:$I$3000,"Expired – not started",Permissions!$P$2:$P$3000,"Yes")</f>
        <v>0</v>
      </c>
      <c r="AM354" s="24" t="n">
        <f aca="false">SUMIFS(Permissions!$G$2:$G$3000,Permissions!$B$2:$B$3000,$A354,Permissions!$I$2:$I$3000,"In planning",Permissions!$P$2:$P$3000,"Yes")</f>
        <v>0</v>
      </c>
      <c r="AN354" s="24" t="n">
        <f aca="false">IF(R354="",0,MAX(R354-AK354,0))</f>
        <v>13</v>
      </c>
      <c r="AO354" s="25" t="n">
        <f aca="false">AK354+AN354</f>
        <v>13</v>
      </c>
      <c r="AP354" s="24" t="n">
        <f aca="false">AO354-AG354</f>
        <v>13</v>
      </c>
      <c r="AQ354" s="26" t="n">
        <f aca="false">SUMIFS(Permissions!$AH$2:$AH$3000,Permissions!$B$2:$B$3000,$A354,Permissions!$P$2:$P$3000,"Yes")</f>
        <v>0</v>
      </c>
      <c r="AR354" s="26" t="n">
        <f aca="false">SUMIFS(Permissions!$AI$2:$AI$3000,Permissions!$B$2:$B$3000,$A354,Permissions!$P$2:$P$3000,"Yes")</f>
        <v>0</v>
      </c>
      <c r="AS354" s="26" t="n">
        <f aca="false">SUMIFS(Permissions!$AJ$2:$AJ$3000,Permissions!$B$2:$B$3000,$A354,Permissions!$P$2:$P$3000,"Yes")</f>
        <v>0</v>
      </c>
      <c r="AT354" s="26" t="n">
        <f aca="false">SUMIFS(Permissions!$AK$2:$AK$3000,Permissions!$B$2:$B$3000,$A354,Permissions!$P$2:$P$3000,"Yes")</f>
        <v>0</v>
      </c>
      <c r="AU354" s="26" t="n">
        <f aca="false">SUMIFS(Permissions!$AL$2:$AL$3000,Permissions!$B$2:$B$3000,$A354,Permissions!$P$2:$P$3000,"Yes")</f>
        <v>0</v>
      </c>
      <c r="AV354" s="26" t="n">
        <f aca="false">SUMIFS(Permissions!$AM$2:$AM$3000,Permissions!$B$2:$B$3000,$A354,Permissions!$P$2:$P$3000,"Yes")</f>
        <v>0</v>
      </c>
      <c r="AW354" s="24" t="n">
        <f aca="false">COUNTIFS(Permissions!$B$2:$B$3000,$A354,Permissions!$P$2:$P$3000,"Yes")</f>
        <v>0</v>
      </c>
      <c r="AX354" s="24" t="n">
        <f aca="false">SUMIFS(Permissions!$L$2:$L$3000,Permissions!$B$2:$B$3000,$A354,Permissions!$P$2:$P$3000,"Yes")</f>
        <v>0</v>
      </c>
      <c r="AY354" s="27" t="str">
        <f aca="false">IF(AND(AK354&gt;0,AG354&gt;=AK354,AN354=0),"Built out",IF(AG354&gt;0,"Partly built",IF(AK354&gt;0,"Consented – not built","No consent")))</f>
        <v>No consent</v>
      </c>
      <c r="AZ354" s="28" t="str">
        <f aca="false">IF(AND(R354&lt;&gt;"",AK354&gt;1.1*R354),"Consented above capacity",IF(AND(LEFT(B354,8)="Planning",AW354=0),"Consent parcel with no permission",IF(COUNTIF($A$2:$A$3000,$A354)&gt;1,"Duplicate parcel_id","")))</f>
        <v/>
      </c>
    </row>
    <row r="355" customFormat="false" ht="15" hidden="false" customHeight="false" outlineLevel="0" collapsed="false">
      <c r="A355" s="15" t="s">
        <v>789</v>
      </c>
      <c r="B355" s="15" t="s">
        <v>13</v>
      </c>
      <c r="C355" s="15" t="s">
        <v>17</v>
      </c>
      <c r="D355" s="15" t="s">
        <v>62</v>
      </c>
      <c r="E355" s="15" t="s">
        <v>20</v>
      </c>
      <c r="F355" s="15" t="n">
        <v>1</v>
      </c>
      <c r="G355" s="15" t="s">
        <v>154</v>
      </c>
      <c r="H355" s="15"/>
      <c r="I355" s="15" t="s">
        <v>17</v>
      </c>
      <c r="J355" s="15" t="s">
        <v>205</v>
      </c>
      <c r="K355" s="15" t="s">
        <v>784</v>
      </c>
      <c r="L355" s="15"/>
      <c r="M355" s="15" t="s">
        <v>751</v>
      </c>
      <c r="N355" s="15"/>
      <c r="O355" s="15"/>
      <c r="P355" s="15" t="n">
        <v>0.976</v>
      </c>
      <c r="Q355" s="15" t="n">
        <v>1.072</v>
      </c>
      <c r="R355" s="15" t="n">
        <v>19</v>
      </c>
      <c r="S355" s="15" t="s">
        <v>734</v>
      </c>
      <c r="T355" s="15" t="s">
        <v>781</v>
      </c>
      <c r="U355" s="15" t="s">
        <v>752</v>
      </c>
      <c r="V355" s="15"/>
      <c r="W355" s="15" t="s">
        <v>753</v>
      </c>
      <c r="X355" s="15" t="n">
        <v>19</v>
      </c>
      <c r="Y355" s="15" t="s">
        <v>754</v>
      </c>
      <c r="Z355" s="15" t="n">
        <v>1</v>
      </c>
      <c r="AA355" s="15" t="n">
        <v>0</v>
      </c>
      <c r="AB355" s="15" t="n">
        <v>0</v>
      </c>
      <c r="AC355" s="15"/>
      <c r="AD355" s="15"/>
      <c r="AE355" s="15" t="s">
        <v>163</v>
      </c>
      <c r="AF355" s="15"/>
      <c r="AG355" s="24" t="n">
        <f aca="false">SUMIFS(Permissions!$G$2:$G$3000,Permissions!$B$2:$B$3000,$A355,Permissions!$I$2:$I$3000,"Complete",Permissions!$P$2:$P$3000,"Yes")</f>
        <v>0</v>
      </c>
      <c r="AH355" s="24" t="n">
        <f aca="false">SUMIFS(Permissions!$G$2:$G$3000,Permissions!$B$2:$B$3000,$A355,Permissions!$I$2:$I$3000,"Under construction",Permissions!$P$2:$P$3000,"Yes")</f>
        <v>0</v>
      </c>
      <c r="AI355" s="24" t="n">
        <f aca="false">SUMIFS(Permissions!$G$2:$G$3000,Permissions!$B$2:$B$3000,$A355,Permissions!$I$2:$I$3000,"Permitted – not started",Permissions!$P$2:$P$3000,"Yes")</f>
        <v>0</v>
      </c>
      <c r="AJ355" s="24" t="n">
        <f aca="false">SUMIFS(Permissions!$G$2:$G$3000,Permissions!$B$2:$B$3000,$A355,Permissions!$I$2:$I$3000,"Stalled",Permissions!$P$2:$P$3000,"Yes")</f>
        <v>0</v>
      </c>
      <c r="AK355" s="24" t="n">
        <f aca="false">AG355+AH355+AI355+AJ355</f>
        <v>0</v>
      </c>
      <c r="AL355" s="24" t="n">
        <f aca="false">SUMIFS(Permissions!$G$2:$G$3000,Permissions!$B$2:$B$3000,$A355,Permissions!$I$2:$I$3000,"Expired – not started",Permissions!$P$2:$P$3000,"Yes")</f>
        <v>0</v>
      </c>
      <c r="AM355" s="24" t="n">
        <f aca="false">SUMIFS(Permissions!$G$2:$G$3000,Permissions!$B$2:$B$3000,$A355,Permissions!$I$2:$I$3000,"In planning",Permissions!$P$2:$P$3000,"Yes")</f>
        <v>0</v>
      </c>
      <c r="AN355" s="24" t="n">
        <f aca="false">IF(R355="",0,MAX(R355-AK355,0))</f>
        <v>19</v>
      </c>
      <c r="AO355" s="25" t="n">
        <f aca="false">AK355+AN355</f>
        <v>19</v>
      </c>
      <c r="AP355" s="24" t="n">
        <f aca="false">AO355-AG355</f>
        <v>19</v>
      </c>
      <c r="AQ355" s="26" t="n">
        <f aca="false">SUMIFS(Permissions!$AH$2:$AH$3000,Permissions!$B$2:$B$3000,$A355,Permissions!$P$2:$P$3000,"Yes")</f>
        <v>0</v>
      </c>
      <c r="AR355" s="26" t="n">
        <f aca="false">SUMIFS(Permissions!$AI$2:$AI$3000,Permissions!$B$2:$B$3000,$A355,Permissions!$P$2:$P$3000,"Yes")</f>
        <v>0</v>
      </c>
      <c r="AS355" s="26" t="n">
        <f aca="false">SUMIFS(Permissions!$AJ$2:$AJ$3000,Permissions!$B$2:$B$3000,$A355,Permissions!$P$2:$P$3000,"Yes")</f>
        <v>0</v>
      </c>
      <c r="AT355" s="26" t="n">
        <f aca="false">SUMIFS(Permissions!$AK$2:$AK$3000,Permissions!$B$2:$B$3000,$A355,Permissions!$P$2:$P$3000,"Yes")</f>
        <v>0</v>
      </c>
      <c r="AU355" s="26" t="n">
        <f aca="false">SUMIFS(Permissions!$AL$2:$AL$3000,Permissions!$B$2:$B$3000,$A355,Permissions!$P$2:$P$3000,"Yes")</f>
        <v>0</v>
      </c>
      <c r="AV355" s="26" t="n">
        <f aca="false">SUMIFS(Permissions!$AM$2:$AM$3000,Permissions!$B$2:$B$3000,$A355,Permissions!$P$2:$P$3000,"Yes")</f>
        <v>0</v>
      </c>
      <c r="AW355" s="24" t="n">
        <f aca="false">COUNTIFS(Permissions!$B$2:$B$3000,$A355,Permissions!$P$2:$P$3000,"Yes")</f>
        <v>0</v>
      </c>
      <c r="AX355" s="24" t="n">
        <f aca="false">SUMIFS(Permissions!$L$2:$L$3000,Permissions!$B$2:$B$3000,$A355,Permissions!$P$2:$P$3000,"Yes")</f>
        <v>0</v>
      </c>
      <c r="AY355" s="27" t="str">
        <f aca="false">IF(AND(AK355&gt;0,AG355&gt;=AK355,AN355=0),"Built out",IF(AG355&gt;0,"Partly built",IF(AK355&gt;0,"Consented – not built","No consent")))</f>
        <v>No consent</v>
      </c>
      <c r="AZ355" s="28" t="str">
        <f aca="false">IF(AND(R355&lt;&gt;"",AK355&gt;1.1*R355),"Consented above capacity",IF(AND(LEFT(B355,8)="Planning",AW355=0),"Consent parcel with no permission",IF(COUNTIF($A$2:$A$3000,$A355)&gt;1,"Duplicate parcel_id","")))</f>
        <v/>
      </c>
    </row>
    <row r="356" customFormat="false" ht="15" hidden="false" customHeight="false" outlineLevel="0" collapsed="false">
      <c r="A356" s="15" t="s">
        <v>790</v>
      </c>
      <c r="B356" s="15" t="s">
        <v>13</v>
      </c>
      <c r="C356" s="15" t="s">
        <v>17</v>
      </c>
      <c r="D356" s="15" t="s">
        <v>62</v>
      </c>
      <c r="E356" s="15" t="s">
        <v>20</v>
      </c>
      <c r="F356" s="15" t="n">
        <v>0.19</v>
      </c>
      <c r="G356" s="15" t="s">
        <v>154</v>
      </c>
      <c r="H356" s="15"/>
      <c r="I356" s="15" t="s">
        <v>17</v>
      </c>
      <c r="J356" s="15" t="s">
        <v>205</v>
      </c>
      <c r="K356" s="15" t="s">
        <v>784</v>
      </c>
      <c r="L356" s="15"/>
      <c r="M356" s="15" t="s">
        <v>751</v>
      </c>
      <c r="N356" s="15"/>
      <c r="O356" s="15"/>
      <c r="P356" s="15" t="n">
        <v>1.474</v>
      </c>
      <c r="Q356" s="15" t="n">
        <v>1.619</v>
      </c>
      <c r="R356" s="15" t="n">
        <v>28</v>
      </c>
      <c r="S356" s="15" t="s">
        <v>734</v>
      </c>
      <c r="T356" s="15" t="s">
        <v>781</v>
      </c>
      <c r="U356" s="15" t="s">
        <v>752</v>
      </c>
      <c r="V356" s="15"/>
      <c r="W356" s="15" t="s">
        <v>753</v>
      </c>
      <c r="X356" s="15" t="n">
        <v>19</v>
      </c>
      <c r="Y356" s="15" t="s">
        <v>754</v>
      </c>
      <c r="Z356" s="15" t="n">
        <v>0.96</v>
      </c>
      <c r="AA356" s="15" t="n">
        <v>0</v>
      </c>
      <c r="AB356" s="15" t="n">
        <v>0</v>
      </c>
      <c r="AC356" s="15"/>
      <c r="AD356" s="15"/>
      <c r="AE356" s="15" t="s">
        <v>163</v>
      </c>
      <c r="AF356" s="15"/>
      <c r="AG356" s="24" t="n">
        <f aca="false">SUMIFS(Permissions!$G$2:$G$3000,Permissions!$B$2:$B$3000,$A356,Permissions!$I$2:$I$3000,"Complete",Permissions!$P$2:$P$3000,"Yes")</f>
        <v>0</v>
      </c>
      <c r="AH356" s="24" t="n">
        <f aca="false">SUMIFS(Permissions!$G$2:$G$3000,Permissions!$B$2:$B$3000,$A356,Permissions!$I$2:$I$3000,"Under construction",Permissions!$P$2:$P$3000,"Yes")</f>
        <v>0</v>
      </c>
      <c r="AI356" s="24" t="n">
        <f aca="false">SUMIFS(Permissions!$G$2:$G$3000,Permissions!$B$2:$B$3000,$A356,Permissions!$I$2:$I$3000,"Permitted – not started",Permissions!$P$2:$P$3000,"Yes")</f>
        <v>0</v>
      </c>
      <c r="AJ356" s="24" t="n">
        <f aca="false">SUMIFS(Permissions!$G$2:$G$3000,Permissions!$B$2:$B$3000,$A356,Permissions!$I$2:$I$3000,"Stalled",Permissions!$P$2:$P$3000,"Yes")</f>
        <v>0</v>
      </c>
      <c r="AK356" s="24" t="n">
        <f aca="false">AG356+AH356+AI356+AJ356</f>
        <v>0</v>
      </c>
      <c r="AL356" s="24" t="n">
        <f aca="false">SUMIFS(Permissions!$G$2:$G$3000,Permissions!$B$2:$B$3000,$A356,Permissions!$I$2:$I$3000,"Expired – not started",Permissions!$P$2:$P$3000,"Yes")</f>
        <v>0</v>
      </c>
      <c r="AM356" s="24" t="n">
        <f aca="false">SUMIFS(Permissions!$G$2:$G$3000,Permissions!$B$2:$B$3000,$A356,Permissions!$I$2:$I$3000,"In planning",Permissions!$P$2:$P$3000,"Yes")</f>
        <v>0</v>
      </c>
      <c r="AN356" s="24" t="n">
        <f aca="false">IF(R356="",0,MAX(R356-AK356,0))</f>
        <v>28</v>
      </c>
      <c r="AO356" s="25" t="n">
        <f aca="false">AK356+AN356</f>
        <v>28</v>
      </c>
      <c r="AP356" s="24" t="n">
        <f aca="false">AO356-AG356</f>
        <v>28</v>
      </c>
      <c r="AQ356" s="26" t="n">
        <f aca="false">SUMIFS(Permissions!$AH$2:$AH$3000,Permissions!$B$2:$B$3000,$A356,Permissions!$P$2:$P$3000,"Yes")</f>
        <v>0</v>
      </c>
      <c r="AR356" s="26" t="n">
        <f aca="false">SUMIFS(Permissions!$AI$2:$AI$3000,Permissions!$B$2:$B$3000,$A356,Permissions!$P$2:$P$3000,"Yes")</f>
        <v>0</v>
      </c>
      <c r="AS356" s="26" t="n">
        <f aca="false">SUMIFS(Permissions!$AJ$2:$AJ$3000,Permissions!$B$2:$B$3000,$A356,Permissions!$P$2:$P$3000,"Yes")</f>
        <v>0</v>
      </c>
      <c r="AT356" s="26" t="n">
        <f aca="false">SUMIFS(Permissions!$AK$2:$AK$3000,Permissions!$B$2:$B$3000,$A356,Permissions!$P$2:$P$3000,"Yes")</f>
        <v>0</v>
      </c>
      <c r="AU356" s="26" t="n">
        <f aca="false">SUMIFS(Permissions!$AL$2:$AL$3000,Permissions!$B$2:$B$3000,$A356,Permissions!$P$2:$P$3000,"Yes")</f>
        <v>0</v>
      </c>
      <c r="AV356" s="26" t="n">
        <f aca="false">SUMIFS(Permissions!$AM$2:$AM$3000,Permissions!$B$2:$B$3000,$A356,Permissions!$P$2:$P$3000,"Yes")</f>
        <v>0</v>
      </c>
      <c r="AW356" s="24" t="n">
        <f aca="false">COUNTIFS(Permissions!$B$2:$B$3000,$A356,Permissions!$P$2:$P$3000,"Yes")</f>
        <v>0</v>
      </c>
      <c r="AX356" s="24" t="n">
        <f aca="false">SUMIFS(Permissions!$L$2:$L$3000,Permissions!$B$2:$B$3000,$A356,Permissions!$P$2:$P$3000,"Yes")</f>
        <v>0</v>
      </c>
      <c r="AY356" s="27" t="str">
        <f aca="false">IF(AND(AK356&gt;0,AG356&gt;=AK356,AN356=0),"Built out",IF(AG356&gt;0,"Partly built",IF(AK356&gt;0,"Consented – not built","No consent")))</f>
        <v>No consent</v>
      </c>
      <c r="AZ356" s="28" t="str">
        <f aca="false">IF(AND(R356&lt;&gt;"",AK356&gt;1.1*R356),"Consented above capacity",IF(AND(LEFT(B356,8)="Planning",AW356=0),"Consent parcel with no permission",IF(COUNTIF($A$2:$A$3000,$A356)&gt;1,"Duplicate parcel_id","")))</f>
        <v/>
      </c>
    </row>
    <row r="357" customFormat="false" ht="15" hidden="false" customHeight="false" outlineLevel="0" collapsed="false">
      <c r="A357" s="15" t="s">
        <v>791</v>
      </c>
      <c r="B357" s="15" t="s">
        <v>13</v>
      </c>
      <c r="C357" s="15" t="s">
        <v>17</v>
      </c>
      <c r="D357" s="15" t="s">
        <v>62</v>
      </c>
      <c r="E357" s="15" t="s">
        <v>20</v>
      </c>
      <c r="F357" s="15" t="n">
        <v>1</v>
      </c>
      <c r="G357" s="15" t="s">
        <v>154</v>
      </c>
      <c r="H357" s="15"/>
      <c r="I357" s="15" t="s">
        <v>17</v>
      </c>
      <c r="J357" s="15" t="s">
        <v>205</v>
      </c>
      <c r="K357" s="15" t="s">
        <v>780</v>
      </c>
      <c r="L357" s="15"/>
      <c r="M357" s="15" t="s">
        <v>733</v>
      </c>
      <c r="N357" s="15"/>
      <c r="O357" s="15"/>
      <c r="P357" s="15" t="n">
        <v>0.546</v>
      </c>
      <c r="Q357" s="15" t="n">
        <v>0.6</v>
      </c>
      <c r="R357" s="15" t="n">
        <v>14</v>
      </c>
      <c r="S357" s="15" t="s">
        <v>734</v>
      </c>
      <c r="T357" s="15" t="s">
        <v>781</v>
      </c>
      <c r="U357" s="15" t="s">
        <v>736</v>
      </c>
      <c r="V357" s="15"/>
      <c r="W357" s="15" t="s">
        <v>746</v>
      </c>
      <c r="X357" s="15" t="n">
        <v>25</v>
      </c>
      <c r="Y357" s="15" t="s">
        <v>747</v>
      </c>
      <c r="Z357" s="15" t="n">
        <v>0.62</v>
      </c>
      <c r="AA357" s="15" t="n">
        <v>0</v>
      </c>
      <c r="AB357" s="15" t="n">
        <v>0</v>
      </c>
      <c r="AC357" s="15"/>
      <c r="AD357" s="15"/>
      <c r="AE357" s="15" t="s">
        <v>163</v>
      </c>
      <c r="AF357" s="15"/>
      <c r="AG357" s="24" t="n">
        <f aca="false">SUMIFS(Permissions!$G$2:$G$3000,Permissions!$B$2:$B$3000,$A357,Permissions!$I$2:$I$3000,"Complete",Permissions!$P$2:$P$3000,"Yes")</f>
        <v>0</v>
      </c>
      <c r="AH357" s="24" t="n">
        <f aca="false">SUMIFS(Permissions!$G$2:$G$3000,Permissions!$B$2:$B$3000,$A357,Permissions!$I$2:$I$3000,"Under construction",Permissions!$P$2:$P$3000,"Yes")</f>
        <v>0</v>
      </c>
      <c r="AI357" s="24" t="n">
        <f aca="false">SUMIFS(Permissions!$G$2:$G$3000,Permissions!$B$2:$B$3000,$A357,Permissions!$I$2:$I$3000,"Permitted – not started",Permissions!$P$2:$P$3000,"Yes")</f>
        <v>0</v>
      </c>
      <c r="AJ357" s="24" t="n">
        <f aca="false">SUMIFS(Permissions!$G$2:$G$3000,Permissions!$B$2:$B$3000,$A357,Permissions!$I$2:$I$3000,"Stalled",Permissions!$P$2:$P$3000,"Yes")</f>
        <v>0</v>
      </c>
      <c r="AK357" s="24" t="n">
        <f aca="false">AG357+AH357+AI357+AJ357</f>
        <v>0</v>
      </c>
      <c r="AL357" s="24" t="n">
        <f aca="false">SUMIFS(Permissions!$G$2:$G$3000,Permissions!$B$2:$B$3000,$A357,Permissions!$I$2:$I$3000,"Expired – not started",Permissions!$P$2:$P$3000,"Yes")</f>
        <v>0</v>
      </c>
      <c r="AM357" s="24" t="n">
        <f aca="false">SUMIFS(Permissions!$G$2:$G$3000,Permissions!$B$2:$B$3000,$A357,Permissions!$I$2:$I$3000,"In planning",Permissions!$P$2:$P$3000,"Yes")</f>
        <v>0</v>
      </c>
      <c r="AN357" s="24" t="n">
        <f aca="false">IF(R357="",0,MAX(R357-AK357,0))</f>
        <v>14</v>
      </c>
      <c r="AO357" s="25" t="n">
        <f aca="false">AK357+AN357</f>
        <v>14</v>
      </c>
      <c r="AP357" s="24" t="n">
        <f aca="false">AO357-AG357</f>
        <v>14</v>
      </c>
      <c r="AQ357" s="26" t="n">
        <f aca="false">SUMIFS(Permissions!$AH$2:$AH$3000,Permissions!$B$2:$B$3000,$A357,Permissions!$P$2:$P$3000,"Yes")</f>
        <v>0</v>
      </c>
      <c r="AR357" s="26" t="n">
        <f aca="false">SUMIFS(Permissions!$AI$2:$AI$3000,Permissions!$B$2:$B$3000,$A357,Permissions!$P$2:$P$3000,"Yes")</f>
        <v>0</v>
      </c>
      <c r="AS357" s="26" t="n">
        <f aca="false">SUMIFS(Permissions!$AJ$2:$AJ$3000,Permissions!$B$2:$B$3000,$A357,Permissions!$P$2:$P$3000,"Yes")</f>
        <v>0</v>
      </c>
      <c r="AT357" s="26" t="n">
        <f aca="false">SUMIFS(Permissions!$AK$2:$AK$3000,Permissions!$B$2:$B$3000,$A357,Permissions!$P$2:$P$3000,"Yes")</f>
        <v>0</v>
      </c>
      <c r="AU357" s="26" t="n">
        <f aca="false">SUMIFS(Permissions!$AL$2:$AL$3000,Permissions!$B$2:$B$3000,$A357,Permissions!$P$2:$P$3000,"Yes")</f>
        <v>0</v>
      </c>
      <c r="AV357" s="26" t="n">
        <f aca="false">SUMIFS(Permissions!$AM$2:$AM$3000,Permissions!$B$2:$B$3000,$A357,Permissions!$P$2:$P$3000,"Yes")</f>
        <v>0</v>
      </c>
      <c r="AW357" s="24" t="n">
        <f aca="false">COUNTIFS(Permissions!$B$2:$B$3000,$A357,Permissions!$P$2:$P$3000,"Yes")</f>
        <v>0</v>
      </c>
      <c r="AX357" s="24" t="n">
        <f aca="false">SUMIFS(Permissions!$L$2:$L$3000,Permissions!$B$2:$B$3000,$A357,Permissions!$P$2:$P$3000,"Yes")</f>
        <v>0</v>
      </c>
      <c r="AY357" s="27" t="str">
        <f aca="false">IF(AND(AK357&gt;0,AG357&gt;=AK357,AN357=0),"Built out",IF(AG357&gt;0,"Partly built",IF(AK357&gt;0,"Consented – not built","No consent")))</f>
        <v>No consent</v>
      </c>
      <c r="AZ357" s="28" t="str">
        <f aca="false">IF(AND(R357&lt;&gt;"",AK357&gt;1.1*R357),"Consented above capacity",IF(AND(LEFT(B357,8)="Planning",AW357=0),"Consent parcel with no permission",IF(COUNTIF($A$2:$A$3000,$A357)&gt;1,"Duplicate parcel_id","")))</f>
        <v/>
      </c>
    </row>
    <row r="358" customFormat="false" ht="15" hidden="false" customHeight="false" outlineLevel="0" collapsed="false">
      <c r="A358" s="15" t="s">
        <v>792</v>
      </c>
      <c r="B358" s="15" t="s">
        <v>13</v>
      </c>
      <c r="C358" s="15" t="s">
        <v>17</v>
      </c>
      <c r="D358" s="15" t="s">
        <v>70</v>
      </c>
      <c r="E358" s="15" t="s">
        <v>21</v>
      </c>
      <c r="F358" s="15" t="n">
        <v>1</v>
      </c>
      <c r="G358" s="15" t="s">
        <v>154</v>
      </c>
      <c r="H358" s="15"/>
      <c r="I358" s="15" t="s">
        <v>17</v>
      </c>
      <c r="J358" s="15" t="s">
        <v>583</v>
      </c>
      <c r="K358" s="15" t="s">
        <v>793</v>
      </c>
      <c r="L358" s="15"/>
      <c r="M358" s="15" t="s">
        <v>794</v>
      </c>
      <c r="N358" s="15"/>
      <c r="O358" s="15"/>
      <c r="P358" s="15" t="n">
        <v>0.208</v>
      </c>
      <c r="Q358" s="15" t="n">
        <v>0.228</v>
      </c>
      <c r="R358" s="15" t="n">
        <v>4</v>
      </c>
      <c r="S358" s="15" t="s">
        <v>734</v>
      </c>
      <c r="T358" s="15" t="s">
        <v>795</v>
      </c>
      <c r="U358" s="15" t="s">
        <v>752</v>
      </c>
      <c r="V358" s="15"/>
      <c r="W358" s="15" t="s">
        <v>753</v>
      </c>
      <c r="X358" s="15" t="n">
        <v>19</v>
      </c>
      <c r="Y358" s="15" t="s">
        <v>754</v>
      </c>
      <c r="Z358" s="15" t="n">
        <v>0</v>
      </c>
      <c r="AA358" s="15" t="n">
        <v>0</v>
      </c>
      <c r="AB358" s="15" t="n">
        <v>0</v>
      </c>
      <c r="AC358" s="15"/>
      <c r="AD358" s="15"/>
      <c r="AE358" s="15" t="s">
        <v>163</v>
      </c>
      <c r="AF358" s="15"/>
      <c r="AG358" s="24" t="n">
        <f aca="false">SUMIFS(Permissions!$G$2:$G$3000,Permissions!$B$2:$B$3000,$A358,Permissions!$I$2:$I$3000,"Complete",Permissions!$P$2:$P$3000,"Yes")</f>
        <v>0</v>
      </c>
      <c r="AH358" s="24" t="n">
        <f aca="false">SUMIFS(Permissions!$G$2:$G$3000,Permissions!$B$2:$B$3000,$A358,Permissions!$I$2:$I$3000,"Under construction",Permissions!$P$2:$P$3000,"Yes")</f>
        <v>0</v>
      </c>
      <c r="AI358" s="24" t="n">
        <f aca="false">SUMIFS(Permissions!$G$2:$G$3000,Permissions!$B$2:$B$3000,$A358,Permissions!$I$2:$I$3000,"Permitted – not started",Permissions!$P$2:$P$3000,"Yes")</f>
        <v>0</v>
      </c>
      <c r="AJ358" s="24" t="n">
        <f aca="false">SUMIFS(Permissions!$G$2:$G$3000,Permissions!$B$2:$B$3000,$A358,Permissions!$I$2:$I$3000,"Stalled",Permissions!$P$2:$P$3000,"Yes")</f>
        <v>0</v>
      </c>
      <c r="AK358" s="24" t="n">
        <f aca="false">AG358+AH358+AI358+AJ358</f>
        <v>0</v>
      </c>
      <c r="AL358" s="24" t="n">
        <f aca="false">SUMIFS(Permissions!$G$2:$G$3000,Permissions!$B$2:$B$3000,$A358,Permissions!$I$2:$I$3000,"Expired – not started",Permissions!$P$2:$P$3000,"Yes")</f>
        <v>0</v>
      </c>
      <c r="AM358" s="24" t="n">
        <f aca="false">SUMIFS(Permissions!$G$2:$G$3000,Permissions!$B$2:$B$3000,$A358,Permissions!$I$2:$I$3000,"In planning",Permissions!$P$2:$P$3000,"Yes")</f>
        <v>0</v>
      </c>
      <c r="AN358" s="24" t="n">
        <f aca="false">IF(R358="",0,MAX(R358-AK358,0))</f>
        <v>4</v>
      </c>
      <c r="AO358" s="25" t="n">
        <f aca="false">AK358+AN358</f>
        <v>4</v>
      </c>
      <c r="AP358" s="24" t="n">
        <f aca="false">AO358-AG358</f>
        <v>4</v>
      </c>
      <c r="AQ358" s="26" t="n">
        <f aca="false">SUMIFS(Permissions!$AH$2:$AH$3000,Permissions!$B$2:$B$3000,$A358,Permissions!$P$2:$P$3000,"Yes")</f>
        <v>0</v>
      </c>
      <c r="AR358" s="26" t="n">
        <f aca="false">SUMIFS(Permissions!$AI$2:$AI$3000,Permissions!$B$2:$B$3000,$A358,Permissions!$P$2:$P$3000,"Yes")</f>
        <v>0</v>
      </c>
      <c r="AS358" s="26" t="n">
        <f aca="false">SUMIFS(Permissions!$AJ$2:$AJ$3000,Permissions!$B$2:$B$3000,$A358,Permissions!$P$2:$P$3000,"Yes")</f>
        <v>0</v>
      </c>
      <c r="AT358" s="26" t="n">
        <f aca="false">SUMIFS(Permissions!$AK$2:$AK$3000,Permissions!$B$2:$B$3000,$A358,Permissions!$P$2:$P$3000,"Yes")</f>
        <v>0</v>
      </c>
      <c r="AU358" s="26" t="n">
        <f aca="false">SUMIFS(Permissions!$AL$2:$AL$3000,Permissions!$B$2:$B$3000,$A358,Permissions!$P$2:$P$3000,"Yes")</f>
        <v>0</v>
      </c>
      <c r="AV358" s="26" t="n">
        <f aca="false">SUMIFS(Permissions!$AM$2:$AM$3000,Permissions!$B$2:$B$3000,$A358,Permissions!$P$2:$P$3000,"Yes")</f>
        <v>0</v>
      </c>
      <c r="AW358" s="24" t="n">
        <f aca="false">COUNTIFS(Permissions!$B$2:$B$3000,$A358,Permissions!$P$2:$P$3000,"Yes")</f>
        <v>0</v>
      </c>
      <c r="AX358" s="24" t="n">
        <f aca="false">SUMIFS(Permissions!$L$2:$L$3000,Permissions!$B$2:$B$3000,$A358,Permissions!$P$2:$P$3000,"Yes")</f>
        <v>0</v>
      </c>
      <c r="AY358" s="27" t="str">
        <f aca="false">IF(AND(AK358&gt;0,AG358&gt;=AK358,AN358=0),"Built out",IF(AG358&gt;0,"Partly built",IF(AK358&gt;0,"Consented – not built","No consent")))</f>
        <v>No consent</v>
      </c>
      <c r="AZ358" s="28" t="str">
        <f aca="false">IF(AND(R358&lt;&gt;"",AK358&gt;1.1*R358),"Consented above capacity",IF(AND(LEFT(B358,8)="Planning",AW358=0),"Consent parcel with no permission",IF(COUNTIF($A$2:$A$3000,$A358)&gt;1,"Duplicate parcel_id","")))</f>
        <v/>
      </c>
    </row>
    <row r="359" customFormat="false" ht="15" hidden="false" customHeight="false" outlineLevel="0" collapsed="false">
      <c r="A359" s="15" t="s">
        <v>796</v>
      </c>
      <c r="B359" s="15" t="s">
        <v>13</v>
      </c>
      <c r="C359" s="15" t="s">
        <v>17</v>
      </c>
      <c r="D359" s="15" t="s">
        <v>70</v>
      </c>
      <c r="E359" s="15" t="s">
        <v>21</v>
      </c>
      <c r="F359" s="15" t="n">
        <v>1</v>
      </c>
      <c r="G359" s="15" t="s">
        <v>154</v>
      </c>
      <c r="H359" s="15"/>
      <c r="I359" s="15" t="s">
        <v>17</v>
      </c>
      <c r="J359" s="15" t="s">
        <v>583</v>
      </c>
      <c r="K359" s="15" t="s">
        <v>797</v>
      </c>
      <c r="L359" s="15"/>
      <c r="M359" s="15" t="s">
        <v>798</v>
      </c>
      <c r="N359" s="15"/>
      <c r="O359" s="15"/>
      <c r="P359" s="15" t="n">
        <v>0.891</v>
      </c>
      <c r="Q359" s="15" t="n">
        <v>0.979</v>
      </c>
      <c r="R359" s="15" t="n">
        <v>22</v>
      </c>
      <c r="S359" s="15" t="s">
        <v>734</v>
      </c>
      <c r="T359" s="15" t="s">
        <v>795</v>
      </c>
      <c r="U359" s="15" t="s">
        <v>752</v>
      </c>
      <c r="V359" s="15"/>
      <c r="W359" s="15" t="s">
        <v>746</v>
      </c>
      <c r="X359" s="15" t="n">
        <v>25</v>
      </c>
      <c r="Y359" s="15" t="s">
        <v>747</v>
      </c>
      <c r="Z359" s="15" t="n">
        <v>0</v>
      </c>
      <c r="AA359" s="15" t="n">
        <v>0</v>
      </c>
      <c r="AB359" s="15" t="n">
        <v>0</v>
      </c>
      <c r="AC359" s="15"/>
      <c r="AD359" s="15"/>
      <c r="AE359" s="15" t="s">
        <v>163</v>
      </c>
      <c r="AF359" s="15"/>
      <c r="AG359" s="24" t="n">
        <f aca="false">SUMIFS(Permissions!$G$2:$G$3000,Permissions!$B$2:$B$3000,$A359,Permissions!$I$2:$I$3000,"Complete",Permissions!$P$2:$P$3000,"Yes")</f>
        <v>0</v>
      </c>
      <c r="AH359" s="24" t="n">
        <f aca="false">SUMIFS(Permissions!$G$2:$G$3000,Permissions!$B$2:$B$3000,$A359,Permissions!$I$2:$I$3000,"Under construction",Permissions!$P$2:$P$3000,"Yes")</f>
        <v>0</v>
      </c>
      <c r="AI359" s="24" t="n">
        <f aca="false">SUMIFS(Permissions!$G$2:$G$3000,Permissions!$B$2:$B$3000,$A359,Permissions!$I$2:$I$3000,"Permitted – not started",Permissions!$P$2:$P$3000,"Yes")</f>
        <v>0</v>
      </c>
      <c r="AJ359" s="24" t="n">
        <f aca="false">SUMIFS(Permissions!$G$2:$G$3000,Permissions!$B$2:$B$3000,$A359,Permissions!$I$2:$I$3000,"Stalled",Permissions!$P$2:$P$3000,"Yes")</f>
        <v>0</v>
      </c>
      <c r="AK359" s="24" t="n">
        <f aca="false">AG359+AH359+AI359+AJ359</f>
        <v>0</v>
      </c>
      <c r="AL359" s="24" t="n">
        <f aca="false">SUMIFS(Permissions!$G$2:$G$3000,Permissions!$B$2:$B$3000,$A359,Permissions!$I$2:$I$3000,"Expired – not started",Permissions!$P$2:$P$3000,"Yes")</f>
        <v>0</v>
      </c>
      <c r="AM359" s="24" t="n">
        <f aca="false">SUMIFS(Permissions!$G$2:$G$3000,Permissions!$B$2:$B$3000,$A359,Permissions!$I$2:$I$3000,"In planning",Permissions!$P$2:$P$3000,"Yes")</f>
        <v>0</v>
      </c>
      <c r="AN359" s="24" t="n">
        <f aca="false">IF(R359="",0,MAX(R359-AK359,0))</f>
        <v>22</v>
      </c>
      <c r="AO359" s="25" t="n">
        <f aca="false">AK359+AN359</f>
        <v>22</v>
      </c>
      <c r="AP359" s="24" t="n">
        <f aca="false">AO359-AG359</f>
        <v>22</v>
      </c>
      <c r="AQ359" s="26" t="n">
        <f aca="false">SUMIFS(Permissions!$AH$2:$AH$3000,Permissions!$B$2:$B$3000,$A359,Permissions!$P$2:$P$3000,"Yes")</f>
        <v>0</v>
      </c>
      <c r="AR359" s="26" t="n">
        <f aca="false">SUMIFS(Permissions!$AI$2:$AI$3000,Permissions!$B$2:$B$3000,$A359,Permissions!$P$2:$P$3000,"Yes")</f>
        <v>0</v>
      </c>
      <c r="AS359" s="26" t="n">
        <f aca="false">SUMIFS(Permissions!$AJ$2:$AJ$3000,Permissions!$B$2:$B$3000,$A359,Permissions!$P$2:$P$3000,"Yes")</f>
        <v>0</v>
      </c>
      <c r="AT359" s="26" t="n">
        <f aca="false">SUMIFS(Permissions!$AK$2:$AK$3000,Permissions!$B$2:$B$3000,$A359,Permissions!$P$2:$P$3000,"Yes")</f>
        <v>0</v>
      </c>
      <c r="AU359" s="26" t="n">
        <f aca="false">SUMIFS(Permissions!$AL$2:$AL$3000,Permissions!$B$2:$B$3000,$A359,Permissions!$P$2:$P$3000,"Yes")</f>
        <v>0</v>
      </c>
      <c r="AV359" s="26" t="n">
        <f aca="false">SUMIFS(Permissions!$AM$2:$AM$3000,Permissions!$B$2:$B$3000,$A359,Permissions!$P$2:$P$3000,"Yes")</f>
        <v>0</v>
      </c>
      <c r="AW359" s="24" t="n">
        <f aca="false">COUNTIFS(Permissions!$B$2:$B$3000,$A359,Permissions!$P$2:$P$3000,"Yes")</f>
        <v>0</v>
      </c>
      <c r="AX359" s="24" t="n">
        <f aca="false">SUMIFS(Permissions!$L$2:$L$3000,Permissions!$B$2:$B$3000,$A359,Permissions!$P$2:$P$3000,"Yes")</f>
        <v>0</v>
      </c>
      <c r="AY359" s="27" t="str">
        <f aca="false">IF(AND(AK359&gt;0,AG359&gt;=AK359,AN359=0),"Built out",IF(AG359&gt;0,"Partly built",IF(AK359&gt;0,"Consented – not built","No consent")))</f>
        <v>No consent</v>
      </c>
      <c r="AZ359" s="28" t="str">
        <f aca="false">IF(AND(R359&lt;&gt;"",AK359&gt;1.1*R359),"Consented above capacity",IF(AND(LEFT(B359,8)="Planning",AW359=0),"Consent parcel with no permission",IF(COUNTIF($A$2:$A$3000,$A359)&gt;1,"Duplicate parcel_id","")))</f>
        <v/>
      </c>
    </row>
    <row r="360" customFormat="false" ht="15" hidden="false" customHeight="false" outlineLevel="0" collapsed="false">
      <c r="A360" s="15" t="s">
        <v>799</v>
      </c>
      <c r="B360" s="15" t="s">
        <v>13</v>
      </c>
      <c r="C360" s="15" t="s">
        <v>17</v>
      </c>
      <c r="D360" s="15" t="s">
        <v>70</v>
      </c>
      <c r="E360" s="15" t="s">
        <v>21</v>
      </c>
      <c r="F360" s="15" t="n">
        <v>1</v>
      </c>
      <c r="G360" s="15" t="s">
        <v>154</v>
      </c>
      <c r="H360" s="15"/>
      <c r="I360" s="15" t="s">
        <v>17</v>
      </c>
      <c r="J360" s="15" t="s">
        <v>583</v>
      </c>
      <c r="K360" s="15" t="s">
        <v>797</v>
      </c>
      <c r="L360" s="15"/>
      <c r="M360" s="15" t="s">
        <v>798</v>
      </c>
      <c r="N360" s="15"/>
      <c r="O360" s="15"/>
      <c r="P360" s="15" t="n">
        <v>0.502</v>
      </c>
      <c r="Q360" s="15" t="n">
        <v>0.551</v>
      </c>
      <c r="R360" s="15" t="n">
        <v>13</v>
      </c>
      <c r="S360" s="15" t="s">
        <v>734</v>
      </c>
      <c r="T360" s="15" t="s">
        <v>795</v>
      </c>
      <c r="U360" s="15" t="s">
        <v>752</v>
      </c>
      <c r="V360" s="15"/>
      <c r="W360" s="15" t="s">
        <v>746</v>
      </c>
      <c r="X360" s="15" t="n">
        <v>25</v>
      </c>
      <c r="Y360" s="15" t="s">
        <v>747</v>
      </c>
      <c r="Z360" s="15" t="n">
        <v>0</v>
      </c>
      <c r="AA360" s="15" t="n">
        <v>0</v>
      </c>
      <c r="AB360" s="15" t="n">
        <v>0</v>
      </c>
      <c r="AC360" s="15"/>
      <c r="AD360" s="15"/>
      <c r="AE360" s="15" t="s">
        <v>163</v>
      </c>
      <c r="AF360" s="15"/>
      <c r="AG360" s="24" t="n">
        <f aca="false">SUMIFS(Permissions!$G$2:$G$3000,Permissions!$B$2:$B$3000,$A360,Permissions!$I$2:$I$3000,"Complete",Permissions!$P$2:$P$3000,"Yes")</f>
        <v>0</v>
      </c>
      <c r="AH360" s="24" t="n">
        <f aca="false">SUMIFS(Permissions!$G$2:$G$3000,Permissions!$B$2:$B$3000,$A360,Permissions!$I$2:$I$3000,"Under construction",Permissions!$P$2:$P$3000,"Yes")</f>
        <v>0</v>
      </c>
      <c r="AI360" s="24" t="n">
        <f aca="false">SUMIFS(Permissions!$G$2:$G$3000,Permissions!$B$2:$B$3000,$A360,Permissions!$I$2:$I$3000,"Permitted – not started",Permissions!$P$2:$P$3000,"Yes")</f>
        <v>0</v>
      </c>
      <c r="AJ360" s="24" t="n">
        <f aca="false">SUMIFS(Permissions!$G$2:$G$3000,Permissions!$B$2:$B$3000,$A360,Permissions!$I$2:$I$3000,"Stalled",Permissions!$P$2:$P$3000,"Yes")</f>
        <v>0</v>
      </c>
      <c r="AK360" s="24" t="n">
        <f aca="false">AG360+AH360+AI360+AJ360</f>
        <v>0</v>
      </c>
      <c r="AL360" s="24" t="n">
        <f aca="false">SUMIFS(Permissions!$G$2:$G$3000,Permissions!$B$2:$B$3000,$A360,Permissions!$I$2:$I$3000,"Expired – not started",Permissions!$P$2:$P$3000,"Yes")</f>
        <v>0</v>
      </c>
      <c r="AM360" s="24" t="n">
        <f aca="false">SUMIFS(Permissions!$G$2:$G$3000,Permissions!$B$2:$B$3000,$A360,Permissions!$I$2:$I$3000,"In planning",Permissions!$P$2:$P$3000,"Yes")</f>
        <v>0</v>
      </c>
      <c r="AN360" s="24" t="n">
        <f aca="false">IF(R360="",0,MAX(R360-AK360,0))</f>
        <v>13</v>
      </c>
      <c r="AO360" s="25" t="n">
        <f aca="false">AK360+AN360</f>
        <v>13</v>
      </c>
      <c r="AP360" s="24" t="n">
        <f aca="false">AO360-AG360</f>
        <v>13</v>
      </c>
      <c r="AQ360" s="26" t="n">
        <f aca="false">SUMIFS(Permissions!$AH$2:$AH$3000,Permissions!$B$2:$B$3000,$A360,Permissions!$P$2:$P$3000,"Yes")</f>
        <v>0</v>
      </c>
      <c r="AR360" s="26" t="n">
        <f aca="false">SUMIFS(Permissions!$AI$2:$AI$3000,Permissions!$B$2:$B$3000,$A360,Permissions!$P$2:$P$3000,"Yes")</f>
        <v>0</v>
      </c>
      <c r="AS360" s="26" t="n">
        <f aca="false">SUMIFS(Permissions!$AJ$2:$AJ$3000,Permissions!$B$2:$B$3000,$A360,Permissions!$P$2:$P$3000,"Yes")</f>
        <v>0</v>
      </c>
      <c r="AT360" s="26" t="n">
        <f aca="false">SUMIFS(Permissions!$AK$2:$AK$3000,Permissions!$B$2:$B$3000,$A360,Permissions!$P$2:$P$3000,"Yes")</f>
        <v>0</v>
      </c>
      <c r="AU360" s="26" t="n">
        <f aca="false">SUMIFS(Permissions!$AL$2:$AL$3000,Permissions!$B$2:$B$3000,$A360,Permissions!$P$2:$P$3000,"Yes")</f>
        <v>0</v>
      </c>
      <c r="AV360" s="26" t="n">
        <f aca="false">SUMIFS(Permissions!$AM$2:$AM$3000,Permissions!$B$2:$B$3000,$A360,Permissions!$P$2:$P$3000,"Yes")</f>
        <v>0</v>
      </c>
      <c r="AW360" s="24" t="n">
        <f aca="false">COUNTIFS(Permissions!$B$2:$B$3000,$A360,Permissions!$P$2:$P$3000,"Yes")</f>
        <v>0</v>
      </c>
      <c r="AX360" s="24" t="n">
        <f aca="false">SUMIFS(Permissions!$L$2:$L$3000,Permissions!$B$2:$B$3000,$A360,Permissions!$P$2:$P$3000,"Yes")</f>
        <v>0</v>
      </c>
      <c r="AY360" s="27" t="str">
        <f aca="false">IF(AND(AK360&gt;0,AG360&gt;=AK360,AN360=0),"Built out",IF(AG360&gt;0,"Partly built",IF(AK360&gt;0,"Consented – not built","No consent")))</f>
        <v>No consent</v>
      </c>
      <c r="AZ360" s="28" t="str">
        <f aca="false">IF(AND(R360&lt;&gt;"",AK360&gt;1.1*R360),"Consented above capacity",IF(AND(LEFT(B360,8)="Planning",AW360=0),"Consent parcel with no permission",IF(COUNTIF($A$2:$A$3000,$A360)&gt;1,"Duplicate parcel_id","")))</f>
        <v/>
      </c>
    </row>
    <row r="361" customFormat="false" ht="15" hidden="false" customHeight="false" outlineLevel="0" collapsed="false">
      <c r="A361" s="15" t="s">
        <v>800</v>
      </c>
      <c r="B361" s="15" t="s">
        <v>13</v>
      </c>
      <c r="C361" s="15" t="s">
        <v>17</v>
      </c>
      <c r="D361" s="15" t="s">
        <v>70</v>
      </c>
      <c r="E361" s="15" t="s">
        <v>21</v>
      </c>
      <c r="F361" s="15" t="n">
        <v>1</v>
      </c>
      <c r="G361" s="15" t="s">
        <v>154</v>
      </c>
      <c r="H361" s="15"/>
      <c r="I361" s="15" t="s">
        <v>17</v>
      </c>
      <c r="J361" s="15" t="s">
        <v>583</v>
      </c>
      <c r="K361" s="15" t="s">
        <v>797</v>
      </c>
      <c r="L361" s="15"/>
      <c r="M361" s="15" t="s">
        <v>798</v>
      </c>
      <c r="N361" s="15"/>
      <c r="O361" s="15"/>
      <c r="P361" s="15" t="n">
        <v>0.175</v>
      </c>
      <c r="Q361" s="15" t="n">
        <v>0.193</v>
      </c>
      <c r="R361" s="15" t="n">
        <v>4</v>
      </c>
      <c r="S361" s="15" t="s">
        <v>734</v>
      </c>
      <c r="T361" s="15" t="s">
        <v>795</v>
      </c>
      <c r="U361" s="15" t="s">
        <v>752</v>
      </c>
      <c r="V361" s="15"/>
      <c r="W361" s="15" t="s">
        <v>746</v>
      </c>
      <c r="X361" s="15" t="n">
        <v>25</v>
      </c>
      <c r="Y361" s="15" t="s">
        <v>747</v>
      </c>
      <c r="Z361" s="15" t="n">
        <v>0</v>
      </c>
      <c r="AA361" s="15" t="n">
        <v>0</v>
      </c>
      <c r="AB361" s="15" t="n">
        <v>0</v>
      </c>
      <c r="AC361" s="15"/>
      <c r="AD361" s="15"/>
      <c r="AE361" s="15" t="s">
        <v>163</v>
      </c>
      <c r="AF361" s="15"/>
      <c r="AG361" s="24" t="n">
        <f aca="false">SUMIFS(Permissions!$G$2:$G$3000,Permissions!$B$2:$B$3000,$A361,Permissions!$I$2:$I$3000,"Complete",Permissions!$P$2:$P$3000,"Yes")</f>
        <v>0</v>
      </c>
      <c r="AH361" s="24" t="n">
        <f aca="false">SUMIFS(Permissions!$G$2:$G$3000,Permissions!$B$2:$B$3000,$A361,Permissions!$I$2:$I$3000,"Under construction",Permissions!$P$2:$P$3000,"Yes")</f>
        <v>0</v>
      </c>
      <c r="AI361" s="24" t="n">
        <f aca="false">SUMIFS(Permissions!$G$2:$G$3000,Permissions!$B$2:$B$3000,$A361,Permissions!$I$2:$I$3000,"Permitted – not started",Permissions!$P$2:$P$3000,"Yes")</f>
        <v>0</v>
      </c>
      <c r="AJ361" s="24" t="n">
        <f aca="false">SUMIFS(Permissions!$G$2:$G$3000,Permissions!$B$2:$B$3000,$A361,Permissions!$I$2:$I$3000,"Stalled",Permissions!$P$2:$P$3000,"Yes")</f>
        <v>0</v>
      </c>
      <c r="AK361" s="24" t="n">
        <f aca="false">AG361+AH361+AI361+AJ361</f>
        <v>0</v>
      </c>
      <c r="AL361" s="24" t="n">
        <f aca="false">SUMIFS(Permissions!$G$2:$G$3000,Permissions!$B$2:$B$3000,$A361,Permissions!$I$2:$I$3000,"Expired – not started",Permissions!$P$2:$P$3000,"Yes")</f>
        <v>0</v>
      </c>
      <c r="AM361" s="24" t="n">
        <f aca="false">SUMIFS(Permissions!$G$2:$G$3000,Permissions!$B$2:$B$3000,$A361,Permissions!$I$2:$I$3000,"In planning",Permissions!$P$2:$P$3000,"Yes")</f>
        <v>0</v>
      </c>
      <c r="AN361" s="24" t="n">
        <f aca="false">IF(R361="",0,MAX(R361-AK361,0))</f>
        <v>4</v>
      </c>
      <c r="AO361" s="25" t="n">
        <f aca="false">AK361+AN361</f>
        <v>4</v>
      </c>
      <c r="AP361" s="24" t="n">
        <f aca="false">AO361-AG361</f>
        <v>4</v>
      </c>
      <c r="AQ361" s="26" t="n">
        <f aca="false">SUMIFS(Permissions!$AH$2:$AH$3000,Permissions!$B$2:$B$3000,$A361,Permissions!$P$2:$P$3000,"Yes")</f>
        <v>0</v>
      </c>
      <c r="AR361" s="26" t="n">
        <f aca="false">SUMIFS(Permissions!$AI$2:$AI$3000,Permissions!$B$2:$B$3000,$A361,Permissions!$P$2:$P$3000,"Yes")</f>
        <v>0</v>
      </c>
      <c r="AS361" s="26" t="n">
        <f aca="false">SUMIFS(Permissions!$AJ$2:$AJ$3000,Permissions!$B$2:$B$3000,$A361,Permissions!$P$2:$P$3000,"Yes")</f>
        <v>0</v>
      </c>
      <c r="AT361" s="26" t="n">
        <f aca="false">SUMIFS(Permissions!$AK$2:$AK$3000,Permissions!$B$2:$B$3000,$A361,Permissions!$P$2:$P$3000,"Yes")</f>
        <v>0</v>
      </c>
      <c r="AU361" s="26" t="n">
        <f aca="false">SUMIFS(Permissions!$AL$2:$AL$3000,Permissions!$B$2:$B$3000,$A361,Permissions!$P$2:$P$3000,"Yes")</f>
        <v>0</v>
      </c>
      <c r="AV361" s="26" t="n">
        <f aca="false">SUMIFS(Permissions!$AM$2:$AM$3000,Permissions!$B$2:$B$3000,$A361,Permissions!$P$2:$P$3000,"Yes")</f>
        <v>0</v>
      </c>
      <c r="AW361" s="24" t="n">
        <f aca="false">COUNTIFS(Permissions!$B$2:$B$3000,$A361,Permissions!$P$2:$P$3000,"Yes")</f>
        <v>0</v>
      </c>
      <c r="AX361" s="24" t="n">
        <f aca="false">SUMIFS(Permissions!$L$2:$L$3000,Permissions!$B$2:$B$3000,$A361,Permissions!$P$2:$P$3000,"Yes")</f>
        <v>0</v>
      </c>
      <c r="AY361" s="27" t="str">
        <f aca="false">IF(AND(AK361&gt;0,AG361&gt;=AK361,AN361=0),"Built out",IF(AG361&gt;0,"Partly built",IF(AK361&gt;0,"Consented – not built","No consent")))</f>
        <v>No consent</v>
      </c>
      <c r="AZ361" s="28" t="str">
        <f aca="false">IF(AND(R361&lt;&gt;"",AK361&gt;1.1*R361),"Consented above capacity",IF(AND(LEFT(B361,8)="Planning",AW361=0),"Consent parcel with no permission",IF(COUNTIF($A$2:$A$3000,$A361)&gt;1,"Duplicate parcel_id","")))</f>
        <v/>
      </c>
    </row>
    <row r="362" customFormat="false" ht="15" hidden="false" customHeight="false" outlineLevel="0" collapsed="false">
      <c r="A362" s="15" t="s">
        <v>801</v>
      </c>
      <c r="B362" s="15" t="s">
        <v>13</v>
      </c>
      <c r="C362" s="15" t="s">
        <v>17</v>
      </c>
      <c r="D362" s="15" t="s">
        <v>70</v>
      </c>
      <c r="E362" s="15" t="s">
        <v>21</v>
      </c>
      <c r="F362" s="15" t="n">
        <v>1</v>
      </c>
      <c r="G362" s="15" t="s">
        <v>154</v>
      </c>
      <c r="H362" s="15"/>
      <c r="I362" s="15" t="s">
        <v>17</v>
      </c>
      <c r="J362" s="15" t="s">
        <v>583</v>
      </c>
      <c r="K362" s="15" t="s">
        <v>797</v>
      </c>
      <c r="L362" s="15"/>
      <c r="M362" s="15" t="s">
        <v>798</v>
      </c>
      <c r="N362" s="15"/>
      <c r="O362" s="15"/>
      <c r="P362" s="15" t="n">
        <v>3.686</v>
      </c>
      <c r="Q362" s="15" t="n">
        <v>4.05</v>
      </c>
      <c r="R362" s="15" t="n">
        <v>92</v>
      </c>
      <c r="S362" s="15" t="s">
        <v>734</v>
      </c>
      <c r="T362" s="15" t="s">
        <v>795</v>
      </c>
      <c r="U362" s="15" t="s">
        <v>752</v>
      </c>
      <c r="V362" s="15"/>
      <c r="W362" s="15" t="s">
        <v>746</v>
      </c>
      <c r="X362" s="15" t="n">
        <v>25</v>
      </c>
      <c r="Y362" s="15" t="s">
        <v>747</v>
      </c>
      <c r="Z362" s="15" t="n">
        <v>0</v>
      </c>
      <c r="AA362" s="15" t="n">
        <v>0</v>
      </c>
      <c r="AB362" s="15" t="n">
        <v>0</v>
      </c>
      <c r="AC362" s="15"/>
      <c r="AD362" s="15"/>
      <c r="AE362" s="15" t="s">
        <v>163</v>
      </c>
      <c r="AF362" s="15"/>
      <c r="AG362" s="24" t="n">
        <f aca="false">SUMIFS(Permissions!$G$2:$G$3000,Permissions!$B$2:$B$3000,$A362,Permissions!$I$2:$I$3000,"Complete",Permissions!$P$2:$P$3000,"Yes")</f>
        <v>0</v>
      </c>
      <c r="AH362" s="24" t="n">
        <f aca="false">SUMIFS(Permissions!$G$2:$G$3000,Permissions!$B$2:$B$3000,$A362,Permissions!$I$2:$I$3000,"Under construction",Permissions!$P$2:$P$3000,"Yes")</f>
        <v>0</v>
      </c>
      <c r="AI362" s="24" t="n">
        <f aca="false">SUMIFS(Permissions!$G$2:$G$3000,Permissions!$B$2:$B$3000,$A362,Permissions!$I$2:$I$3000,"Permitted – not started",Permissions!$P$2:$P$3000,"Yes")</f>
        <v>0</v>
      </c>
      <c r="AJ362" s="24" t="n">
        <f aca="false">SUMIFS(Permissions!$G$2:$G$3000,Permissions!$B$2:$B$3000,$A362,Permissions!$I$2:$I$3000,"Stalled",Permissions!$P$2:$P$3000,"Yes")</f>
        <v>0</v>
      </c>
      <c r="AK362" s="24" t="n">
        <f aca="false">AG362+AH362+AI362+AJ362</f>
        <v>0</v>
      </c>
      <c r="AL362" s="24" t="n">
        <f aca="false">SUMIFS(Permissions!$G$2:$G$3000,Permissions!$B$2:$B$3000,$A362,Permissions!$I$2:$I$3000,"Expired – not started",Permissions!$P$2:$P$3000,"Yes")</f>
        <v>0</v>
      </c>
      <c r="AM362" s="24" t="n">
        <f aca="false">SUMIFS(Permissions!$G$2:$G$3000,Permissions!$B$2:$B$3000,$A362,Permissions!$I$2:$I$3000,"In planning",Permissions!$P$2:$P$3000,"Yes")</f>
        <v>0</v>
      </c>
      <c r="AN362" s="24" t="n">
        <f aca="false">IF(R362="",0,MAX(R362-AK362,0))</f>
        <v>92</v>
      </c>
      <c r="AO362" s="25" t="n">
        <f aca="false">AK362+AN362</f>
        <v>92</v>
      </c>
      <c r="AP362" s="24" t="n">
        <f aca="false">AO362-AG362</f>
        <v>92</v>
      </c>
      <c r="AQ362" s="26" t="n">
        <f aca="false">SUMIFS(Permissions!$AH$2:$AH$3000,Permissions!$B$2:$B$3000,$A362,Permissions!$P$2:$P$3000,"Yes")</f>
        <v>0</v>
      </c>
      <c r="AR362" s="26" t="n">
        <f aca="false">SUMIFS(Permissions!$AI$2:$AI$3000,Permissions!$B$2:$B$3000,$A362,Permissions!$P$2:$P$3000,"Yes")</f>
        <v>0</v>
      </c>
      <c r="AS362" s="26" t="n">
        <f aca="false">SUMIFS(Permissions!$AJ$2:$AJ$3000,Permissions!$B$2:$B$3000,$A362,Permissions!$P$2:$P$3000,"Yes")</f>
        <v>0</v>
      </c>
      <c r="AT362" s="26" t="n">
        <f aca="false">SUMIFS(Permissions!$AK$2:$AK$3000,Permissions!$B$2:$B$3000,$A362,Permissions!$P$2:$P$3000,"Yes")</f>
        <v>0</v>
      </c>
      <c r="AU362" s="26" t="n">
        <f aca="false">SUMIFS(Permissions!$AL$2:$AL$3000,Permissions!$B$2:$B$3000,$A362,Permissions!$P$2:$P$3000,"Yes")</f>
        <v>0</v>
      </c>
      <c r="AV362" s="26" t="n">
        <f aca="false">SUMIFS(Permissions!$AM$2:$AM$3000,Permissions!$B$2:$B$3000,$A362,Permissions!$P$2:$P$3000,"Yes")</f>
        <v>0</v>
      </c>
      <c r="AW362" s="24" t="n">
        <f aca="false">COUNTIFS(Permissions!$B$2:$B$3000,$A362,Permissions!$P$2:$P$3000,"Yes")</f>
        <v>0</v>
      </c>
      <c r="AX362" s="24" t="n">
        <f aca="false">SUMIFS(Permissions!$L$2:$L$3000,Permissions!$B$2:$B$3000,$A362,Permissions!$P$2:$P$3000,"Yes")</f>
        <v>0</v>
      </c>
      <c r="AY362" s="27" t="str">
        <f aca="false">IF(AND(AK362&gt;0,AG362&gt;=AK362,AN362=0),"Built out",IF(AG362&gt;0,"Partly built",IF(AK362&gt;0,"Consented – not built","No consent")))</f>
        <v>No consent</v>
      </c>
      <c r="AZ362" s="28" t="str">
        <f aca="false">IF(AND(R362&lt;&gt;"",AK362&gt;1.1*R362),"Consented above capacity",IF(AND(LEFT(B362,8)="Planning",AW362=0),"Consent parcel with no permission",IF(COUNTIF($A$2:$A$3000,$A362)&gt;1,"Duplicate parcel_id","")))</f>
        <v/>
      </c>
    </row>
    <row r="363" customFormat="false" ht="15" hidden="false" customHeight="false" outlineLevel="0" collapsed="false">
      <c r="A363" s="15" t="s">
        <v>802</v>
      </c>
      <c r="B363" s="15" t="s">
        <v>13</v>
      </c>
      <c r="C363" s="15" t="s">
        <v>17</v>
      </c>
      <c r="D363" s="15" t="s">
        <v>70</v>
      </c>
      <c r="E363" s="15" t="s">
        <v>21</v>
      </c>
      <c r="F363" s="15" t="n">
        <v>1</v>
      </c>
      <c r="G363" s="15" t="s">
        <v>154</v>
      </c>
      <c r="H363" s="15"/>
      <c r="I363" s="15" t="s">
        <v>17</v>
      </c>
      <c r="J363" s="15" t="s">
        <v>583</v>
      </c>
      <c r="K363" s="15" t="s">
        <v>797</v>
      </c>
      <c r="L363" s="15"/>
      <c r="M363" s="15" t="s">
        <v>798</v>
      </c>
      <c r="N363" s="15"/>
      <c r="O363" s="15"/>
      <c r="P363" s="15" t="n">
        <v>0.449</v>
      </c>
      <c r="Q363" s="15" t="n">
        <v>0.494</v>
      </c>
      <c r="R363" s="15" t="n">
        <v>11</v>
      </c>
      <c r="S363" s="15" t="s">
        <v>734</v>
      </c>
      <c r="T363" s="15" t="s">
        <v>795</v>
      </c>
      <c r="U363" s="15" t="s">
        <v>752</v>
      </c>
      <c r="V363" s="15"/>
      <c r="W363" s="15" t="s">
        <v>746</v>
      </c>
      <c r="X363" s="15" t="n">
        <v>25</v>
      </c>
      <c r="Y363" s="15" t="s">
        <v>747</v>
      </c>
      <c r="Z363" s="15" t="n">
        <v>0</v>
      </c>
      <c r="AA363" s="15" t="n">
        <v>0</v>
      </c>
      <c r="AB363" s="15" t="n">
        <v>0</v>
      </c>
      <c r="AC363" s="15"/>
      <c r="AD363" s="15"/>
      <c r="AE363" s="15" t="s">
        <v>163</v>
      </c>
      <c r="AF363" s="15"/>
      <c r="AG363" s="24" t="n">
        <f aca="false">SUMIFS(Permissions!$G$2:$G$3000,Permissions!$B$2:$B$3000,$A363,Permissions!$I$2:$I$3000,"Complete",Permissions!$P$2:$P$3000,"Yes")</f>
        <v>0</v>
      </c>
      <c r="AH363" s="24" t="n">
        <f aca="false">SUMIFS(Permissions!$G$2:$G$3000,Permissions!$B$2:$B$3000,$A363,Permissions!$I$2:$I$3000,"Under construction",Permissions!$P$2:$P$3000,"Yes")</f>
        <v>0</v>
      </c>
      <c r="AI363" s="24" t="n">
        <f aca="false">SUMIFS(Permissions!$G$2:$G$3000,Permissions!$B$2:$B$3000,$A363,Permissions!$I$2:$I$3000,"Permitted – not started",Permissions!$P$2:$P$3000,"Yes")</f>
        <v>0</v>
      </c>
      <c r="AJ363" s="24" t="n">
        <f aca="false">SUMIFS(Permissions!$G$2:$G$3000,Permissions!$B$2:$B$3000,$A363,Permissions!$I$2:$I$3000,"Stalled",Permissions!$P$2:$P$3000,"Yes")</f>
        <v>0</v>
      </c>
      <c r="AK363" s="24" t="n">
        <f aca="false">AG363+AH363+AI363+AJ363</f>
        <v>0</v>
      </c>
      <c r="AL363" s="24" t="n">
        <f aca="false">SUMIFS(Permissions!$G$2:$G$3000,Permissions!$B$2:$B$3000,$A363,Permissions!$I$2:$I$3000,"Expired – not started",Permissions!$P$2:$P$3000,"Yes")</f>
        <v>0</v>
      </c>
      <c r="AM363" s="24" t="n">
        <f aca="false">SUMIFS(Permissions!$G$2:$G$3000,Permissions!$B$2:$B$3000,$A363,Permissions!$I$2:$I$3000,"In planning",Permissions!$P$2:$P$3000,"Yes")</f>
        <v>0</v>
      </c>
      <c r="AN363" s="24" t="n">
        <f aca="false">IF(R363="",0,MAX(R363-AK363,0))</f>
        <v>11</v>
      </c>
      <c r="AO363" s="25" t="n">
        <f aca="false">AK363+AN363</f>
        <v>11</v>
      </c>
      <c r="AP363" s="24" t="n">
        <f aca="false">AO363-AG363</f>
        <v>11</v>
      </c>
      <c r="AQ363" s="26" t="n">
        <f aca="false">SUMIFS(Permissions!$AH$2:$AH$3000,Permissions!$B$2:$B$3000,$A363,Permissions!$P$2:$P$3000,"Yes")</f>
        <v>0</v>
      </c>
      <c r="AR363" s="26" t="n">
        <f aca="false">SUMIFS(Permissions!$AI$2:$AI$3000,Permissions!$B$2:$B$3000,$A363,Permissions!$P$2:$P$3000,"Yes")</f>
        <v>0</v>
      </c>
      <c r="AS363" s="26" t="n">
        <f aca="false">SUMIFS(Permissions!$AJ$2:$AJ$3000,Permissions!$B$2:$B$3000,$A363,Permissions!$P$2:$P$3000,"Yes")</f>
        <v>0</v>
      </c>
      <c r="AT363" s="26" t="n">
        <f aca="false">SUMIFS(Permissions!$AK$2:$AK$3000,Permissions!$B$2:$B$3000,$A363,Permissions!$P$2:$P$3000,"Yes")</f>
        <v>0</v>
      </c>
      <c r="AU363" s="26" t="n">
        <f aca="false">SUMIFS(Permissions!$AL$2:$AL$3000,Permissions!$B$2:$B$3000,$A363,Permissions!$P$2:$P$3000,"Yes")</f>
        <v>0</v>
      </c>
      <c r="AV363" s="26" t="n">
        <f aca="false">SUMIFS(Permissions!$AM$2:$AM$3000,Permissions!$B$2:$B$3000,$A363,Permissions!$P$2:$P$3000,"Yes")</f>
        <v>0</v>
      </c>
      <c r="AW363" s="24" t="n">
        <f aca="false">COUNTIFS(Permissions!$B$2:$B$3000,$A363,Permissions!$P$2:$P$3000,"Yes")</f>
        <v>0</v>
      </c>
      <c r="AX363" s="24" t="n">
        <f aca="false">SUMIFS(Permissions!$L$2:$L$3000,Permissions!$B$2:$B$3000,$A363,Permissions!$P$2:$P$3000,"Yes")</f>
        <v>0</v>
      </c>
      <c r="AY363" s="27" t="str">
        <f aca="false">IF(AND(AK363&gt;0,AG363&gt;=AK363,AN363=0),"Built out",IF(AG363&gt;0,"Partly built",IF(AK363&gt;0,"Consented – not built","No consent")))</f>
        <v>No consent</v>
      </c>
      <c r="AZ363" s="28" t="str">
        <f aca="false">IF(AND(R363&lt;&gt;"",AK363&gt;1.1*R363),"Consented above capacity",IF(AND(LEFT(B363,8)="Planning",AW363=0),"Consent parcel with no permission",IF(COUNTIF($A$2:$A$3000,$A363)&gt;1,"Duplicate parcel_id","")))</f>
        <v/>
      </c>
    </row>
    <row r="364" customFormat="false" ht="15" hidden="false" customHeight="false" outlineLevel="0" collapsed="false">
      <c r="A364" s="15" t="s">
        <v>803</v>
      </c>
      <c r="B364" s="15" t="s">
        <v>13</v>
      </c>
      <c r="C364" s="15" t="s">
        <v>17</v>
      </c>
      <c r="D364" s="15" t="s">
        <v>70</v>
      </c>
      <c r="E364" s="15" t="s">
        <v>21</v>
      </c>
      <c r="F364" s="15" t="n">
        <v>1</v>
      </c>
      <c r="G364" s="15" t="s">
        <v>154</v>
      </c>
      <c r="H364" s="15"/>
      <c r="I364" s="15" t="s">
        <v>17</v>
      </c>
      <c r="J364" s="15" t="s">
        <v>583</v>
      </c>
      <c r="K364" s="15" t="s">
        <v>793</v>
      </c>
      <c r="L364" s="15"/>
      <c r="M364" s="15" t="s">
        <v>794</v>
      </c>
      <c r="N364" s="15"/>
      <c r="O364" s="15"/>
      <c r="P364" s="15" t="n">
        <v>2.435</v>
      </c>
      <c r="Q364" s="15" t="n">
        <v>2.676</v>
      </c>
      <c r="R364" s="15" t="n">
        <v>46</v>
      </c>
      <c r="S364" s="15" t="s">
        <v>734</v>
      </c>
      <c r="T364" s="15" t="s">
        <v>795</v>
      </c>
      <c r="U364" s="15" t="s">
        <v>752</v>
      </c>
      <c r="V364" s="15"/>
      <c r="W364" s="15" t="s">
        <v>753</v>
      </c>
      <c r="X364" s="15" t="n">
        <v>19</v>
      </c>
      <c r="Y364" s="15" t="s">
        <v>754</v>
      </c>
      <c r="Z364" s="15" t="n">
        <v>0</v>
      </c>
      <c r="AA364" s="15" t="n">
        <v>0</v>
      </c>
      <c r="AB364" s="15" t="n">
        <v>0</v>
      </c>
      <c r="AC364" s="15"/>
      <c r="AD364" s="15"/>
      <c r="AE364" s="15" t="s">
        <v>163</v>
      </c>
      <c r="AF364" s="15"/>
      <c r="AG364" s="24" t="n">
        <f aca="false">SUMIFS(Permissions!$G$2:$G$3000,Permissions!$B$2:$B$3000,$A364,Permissions!$I$2:$I$3000,"Complete",Permissions!$P$2:$P$3000,"Yes")</f>
        <v>0</v>
      </c>
      <c r="AH364" s="24" t="n">
        <f aca="false">SUMIFS(Permissions!$G$2:$G$3000,Permissions!$B$2:$B$3000,$A364,Permissions!$I$2:$I$3000,"Under construction",Permissions!$P$2:$P$3000,"Yes")</f>
        <v>0</v>
      </c>
      <c r="AI364" s="24" t="n">
        <f aca="false">SUMIFS(Permissions!$G$2:$G$3000,Permissions!$B$2:$B$3000,$A364,Permissions!$I$2:$I$3000,"Permitted – not started",Permissions!$P$2:$P$3000,"Yes")</f>
        <v>0</v>
      </c>
      <c r="AJ364" s="24" t="n">
        <f aca="false">SUMIFS(Permissions!$G$2:$G$3000,Permissions!$B$2:$B$3000,$A364,Permissions!$I$2:$I$3000,"Stalled",Permissions!$P$2:$P$3000,"Yes")</f>
        <v>0</v>
      </c>
      <c r="AK364" s="24" t="n">
        <f aca="false">AG364+AH364+AI364+AJ364</f>
        <v>0</v>
      </c>
      <c r="AL364" s="24" t="n">
        <f aca="false">SUMIFS(Permissions!$G$2:$G$3000,Permissions!$B$2:$B$3000,$A364,Permissions!$I$2:$I$3000,"Expired – not started",Permissions!$P$2:$P$3000,"Yes")</f>
        <v>0</v>
      </c>
      <c r="AM364" s="24" t="n">
        <f aca="false">SUMIFS(Permissions!$G$2:$G$3000,Permissions!$B$2:$B$3000,$A364,Permissions!$I$2:$I$3000,"In planning",Permissions!$P$2:$P$3000,"Yes")</f>
        <v>0</v>
      </c>
      <c r="AN364" s="24" t="n">
        <f aca="false">IF(R364="",0,MAX(R364-AK364,0))</f>
        <v>46</v>
      </c>
      <c r="AO364" s="25" t="n">
        <f aca="false">AK364+AN364</f>
        <v>46</v>
      </c>
      <c r="AP364" s="24" t="n">
        <f aca="false">AO364-AG364</f>
        <v>46</v>
      </c>
      <c r="AQ364" s="26" t="n">
        <f aca="false">SUMIFS(Permissions!$AH$2:$AH$3000,Permissions!$B$2:$B$3000,$A364,Permissions!$P$2:$P$3000,"Yes")</f>
        <v>0</v>
      </c>
      <c r="AR364" s="26" t="n">
        <f aca="false">SUMIFS(Permissions!$AI$2:$AI$3000,Permissions!$B$2:$B$3000,$A364,Permissions!$P$2:$P$3000,"Yes")</f>
        <v>0</v>
      </c>
      <c r="AS364" s="26" t="n">
        <f aca="false">SUMIFS(Permissions!$AJ$2:$AJ$3000,Permissions!$B$2:$B$3000,$A364,Permissions!$P$2:$P$3000,"Yes")</f>
        <v>0</v>
      </c>
      <c r="AT364" s="26" t="n">
        <f aca="false">SUMIFS(Permissions!$AK$2:$AK$3000,Permissions!$B$2:$B$3000,$A364,Permissions!$P$2:$P$3000,"Yes")</f>
        <v>0</v>
      </c>
      <c r="AU364" s="26" t="n">
        <f aca="false">SUMIFS(Permissions!$AL$2:$AL$3000,Permissions!$B$2:$B$3000,$A364,Permissions!$P$2:$P$3000,"Yes")</f>
        <v>0</v>
      </c>
      <c r="AV364" s="26" t="n">
        <f aca="false">SUMIFS(Permissions!$AM$2:$AM$3000,Permissions!$B$2:$B$3000,$A364,Permissions!$P$2:$P$3000,"Yes")</f>
        <v>0</v>
      </c>
      <c r="AW364" s="24" t="n">
        <f aca="false">COUNTIFS(Permissions!$B$2:$B$3000,$A364,Permissions!$P$2:$P$3000,"Yes")</f>
        <v>0</v>
      </c>
      <c r="AX364" s="24" t="n">
        <f aca="false">SUMIFS(Permissions!$L$2:$L$3000,Permissions!$B$2:$B$3000,$A364,Permissions!$P$2:$P$3000,"Yes")</f>
        <v>0</v>
      </c>
      <c r="AY364" s="27" t="str">
        <f aca="false">IF(AND(AK364&gt;0,AG364&gt;=AK364,AN364=0),"Built out",IF(AG364&gt;0,"Partly built",IF(AK364&gt;0,"Consented – not built","No consent")))</f>
        <v>No consent</v>
      </c>
      <c r="AZ364" s="28" t="str">
        <f aca="false">IF(AND(R364&lt;&gt;"",AK364&gt;1.1*R364),"Consented above capacity",IF(AND(LEFT(B364,8)="Planning",AW364=0),"Consent parcel with no permission",IF(COUNTIF($A$2:$A$3000,$A364)&gt;1,"Duplicate parcel_id","")))</f>
        <v/>
      </c>
    </row>
    <row r="365" customFormat="false" ht="15" hidden="false" customHeight="false" outlineLevel="0" collapsed="false">
      <c r="A365" s="15" t="s">
        <v>804</v>
      </c>
      <c r="B365" s="15" t="s">
        <v>13</v>
      </c>
      <c r="C365" s="15" t="s">
        <v>17</v>
      </c>
      <c r="D365" s="15" t="s">
        <v>63</v>
      </c>
      <c r="E365" s="15" t="s">
        <v>20</v>
      </c>
      <c r="F365" s="15" t="n">
        <v>0</v>
      </c>
      <c r="G365" s="15" t="s">
        <v>805</v>
      </c>
      <c r="H365" s="15"/>
      <c r="I365" s="15" t="s">
        <v>17</v>
      </c>
      <c r="J365" s="15" t="s">
        <v>559</v>
      </c>
      <c r="K365" s="15" t="s">
        <v>806</v>
      </c>
      <c r="L365" s="15"/>
      <c r="M365" s="15" t="s">
        <v>798</v>
      </c>
      <c r="N365" s="15"/>
      <c r="O365" s="15"/>
      <c r="P365" s="15" t="n">
        <v>3.4</v>
      </c>
      <c r="Q365" s="15" t="n">
        <v>3.736</v>
      </c>
      <c r="R365" s="15" t="n">
        <v>85</v>
      </c>
      <c r="S365" s="15" t="s">
        <v>734</v>
      </c>
      <c r="T365" s="15" t="s">
        <v>807</v>
      </c>
      <c r="U365" s="15" t="s">
        <v>752</v>
      </c>
      <c r="V365" s="15"/>
      <c r="W365" s="15" t="s">
        <v>746</v>
      </c>
      <c r="X365" s="15" t="n">
        <v>25</v>
      </c>
      <c r="Y365" s="15" t="s">
        <v>747</v>
      </c>
      <c r="Z365" s="15" t="n">
        <v>1</v>
      </c>
      <c r="AA365" s="15" t="n">
        <v>0</v>
      </c>
      <c r="AB365" s="15" t="n">
        <v>0</v>
      </c>
      <c r="AC365" s="15"/>
      <c r="AD365" s="15"/>
      <c r="AE365" s="15" t="s">
        <v>163</v>
      </c>
      <c r="AF365" s="15"/>
      <c r="AG365" s="24" t="n">
        <f aca="false">SUMIFS(Permissions!$G$2:$G$3000,Permissions!$B$2:$B$3000,$A365,Permissions!$I$2:$I$3000,"Complete",Permissions!$P$2:$P$3000,"Yes")</f>
        <v>0</v>
      </c>
      <c r="AH365" s="24" t="n">
        <f aca="false">SUMIFS(Permissions!$G$2:$G$3000,Permissions!$B$2:$B$3000,$A365,Permissions!$I$2:$I$3000,"Under construction",Permissions!$P$2:$P$3000,"Yes")</f>
        <v>0</v>
      </c>
      <c r="AI365" s="24" t="n">
        <f aca="false">SUMIFS(Permissions!$G$2:$G$3000,Permissions!$B$2:$B$3000,$A365,Permissions!$I$2:$I$3000,"Permitted – not started",Permissions!$P$2:$P$3000,"Yes")</f>
        <v>0</v>
      </c>
      <c r="AJ365" s="24" t="n">
        <f aca="false">SUMIFS(Permissions!$G$2:$G$3000,Permissions!$B$2:$B$3000,$A365,Permissions!$I$2:$I$3000,"Stalled",Permissions!$P$2:$P$3000,"Yes")</f>
        <v>0</v>
      </c>
      <c r="AK365" s="24" t="n">
        <f aca="false">AG365+AH365+AI365+AJ365</f>
        <v>0</v>
      </c>
      <c r="AL365" s="24" t="n">
        <f aca="false">SUMIFS(Permissions!$G$2:$G$3000,Permissions!$B$2:$B$3000,$A365,Permissions!$I$2:$I$3000,"Expired – not started",Permissions!$P$2:$P$3000,"Yes")</f>
        <v>0</v>
      </c>
      <c r="AM365" s="24" t="n">
        <f aca="false">SUMIFS(Permissions!$G$2:$G$3000,Permissions!$B$2:$B$3000,$A365,Permissions!$I$2:$I$3000,"In planning",Permissions!$P$2:$P$3000,"Yes")</f>
        <v>0</v>
      </c>
      <c r="AN365" s="24" t="n">
        <f aca="false">IF(R365="",0,MAX(R365-AK365,0))</f>
        <v>85</v>
      </c>
      <c r="AO365" s="25" t="n">
        <f aca="false">AK365+AN365</f>
        <v>85</v>
      </c>
      <c r="AP365" s="24" t="n">
        <f aca="false">AO365-AG365</f>
        <v>85</v>
      </c>
      <c r="AQ365" s="26" t="n">
        <f aca="false">SUMIFS(Permissions!$AH$2:$AH$3000,Permissions!$B$2:$B$3000,$A365,Permissions!$P$2:$P$3000,"Yes")</f>
        <v>0</v>
      </c>
      <c r="AR365" s="26" t="n">
        <f aca="false">SUMIFS(Permissions!$AI$2:$AI$3000,Permissions!$B$2:$B$3000,$A365,Permissions!$P$2:$P$3000,"Yes")</f>
        <v>0</v>
      </c>
      <c r="AS365" s="26" t="n">
        <f aca="false">SUMIFS(Permissions!$AJ$2:$AJ$3000,Permissions!$B$2:$B$3000,$A365,Permissions!$P$2:$P$3000,"Yes")</f>
        <v>0</v>
      </c>
      <c r="AT365" s="26" t="n">
        <f aca="false">SUMIFS(Permissions!$AK$2:$AK$3000,Permissions!$B$2:$B$3000,$A365,Permissions!$P$2:$P$3000,"Yes")</f>
        <v>0</v>
      </c>
      <c r="AU365" s="26" t="n">
        <f aca="false">SUMIFS(Permissions!$AL$2:$AL$3000,Permissions!$B$2:$B$3000,$A365,Permissions!$P$2:$P$3000,"Yes")</f>
        <v>0</v>
      </c>
      <c r="AV365" s="26" t="n">
        <f aca="false">SUMIFS(Permissions!$AM$2:$AM$3000,Permissions!$B$2:$B$3000,$A365,Permissions!$P$2:$P$3000,"Yes")</f>
        <v>0</v>
      </c>
      <c r="AW365" s="24" t="n">
        <f aca="false">COUNTIFS(Permissions!$B$2:$B$3000,$A365,Permissions!$P$2:$P$3000,"Yes")</f>
        <v>0</v>
      </c>
      <c r="AX365" s="24" t="n">
        <f aca="false">SUMIFS(Permissions!$L$2:$L$3000,Permissions!$B$2:$B$3000,$A365,Permissions!$P$2:$P$3000,"Yes")</f>
        <v>0</v>
      </c>
      <c r="AY365" s="27" t="str">
        <f aca="false">IF(AND(AK365&gt;0,AG365&gt;=AK365,AN365=0),"Built out",IF(AG365&gt;0,"Partly built",IF(AK365&gt;0,"Consented – not built","No consent")))</f>
        <v>No consent</v>
      </c>
      <c r="AZ365" s="28" t="str">
        <f aca="false">IF(AND(R365&lt;&gt;"",AK365&gt;1.1*R365),"Consented above capacity",IF(AND(LEFT(B365,8)="Planning",AW365=0),"Consent parcel with no permission",IF(COUNTIF($A$2:$A$3000,$A365)&gt;1,"Duplicate parcel_id","")))</f>
        <v/>
      </c>
    </row>
    <row r="366" customFormat="false" ht="15" hidden="false" customHeight="false" outlineLevel="0" collapsed="false">
      <c r="A366" s="15" t="s">
        <v>808</v>
      </c>
      <c r="B366" s="15" t="s">
        <v>13</v>
      </c>
      <c r="C366" s="15" t="s">
        <v>17</v>
      </c>
      <c r="D366" s="15" t="s">
        <v>63</v>
      </c>
      <c r="E366" s="15" t="s">
        <v>20</v>
      </c>
      <c r="F366" s="15" t="n">
        <v>0.74</v>
      </c>
      <c r="G366" s="15" t="s">
        <v>154</v>
      </c>
      <c r="H366" s="15"/>
      <c r="I366" s="15" t="s">
        <v>17</v>
      </c>
      <c r="J366" s="15" t="s">
        <v>559</v>
      </c>
      <c r="K366" s="15" t="s">
        <v>806</v>
      </c>
      <c r="L366" s="15"/>
      <c r="M366" s="15" t="s">
        <v>798</v>
      </c>
      <c r="N366" s="15"/>
      <c r="O366" s="15"/>
      <c r="P366" s="15" t="n">
        <v>1.11</v>
      </c>
      <c r="Q366" s="15" t="n">
        <v>1.22</v>
      </c>
      <c r="R366" s="15" t="n">
        <v>28</v>
      </c>
      <c r="S366" s="15" t="s">
        <v>734</v>
      </c>
      <c r="T366" s="15" t="s">
        <v>807</v>
      </c>
      <c r="U366" s="15" t="s">
        <v>752</v>
      </c>
      <c r="V366" s="15"/>
      <c r="W366" s="15" t="s">
        <v>746</v>
      </c>
      <c r="X366" s="15" t="n">
        <v>25</v>
      </c>
      <c r="Y366" s="15" t="s">
        <v>747</v>
      </c>
      <c r="Z366" s="15" t="n">
        <v>1</v>
      </c>
      <c r="AA366" s="15" t="n">
        <v>0</v>
      </c>
      <c r="AB366" s="15" t="n">
        <v>0</v>
      </c>
      <c r="AC366" s="15"/>
      <c r="AD366" s="15"/>
      <c r="AE366" s="15" t="s">
        <v>163</v>
      </c>
      <c r="AF366" s="15"/>
      <c r="AG366" s="24" t="n">
        <f aca="false">SUMIFS(Permissions!$G$2:$G$3000,Permissions!$B$2:$B$3000,$A366,Permissions!$I$2:$I$3000,"Complete",Permissions!$P$2:$P$3000,"Yes")</f>
        <v>0</v>
      </c>
      <c r="AH366" s="24" t="n">
        <f aca="false">SUMIFS(Permissions!$G$2:$G$3000,Permissions!$B$2:$B$3000,$A366,Permissions!$I$2:$I$3000,"Under construction",Permissions!$P$2:$P$3000,"Yes")</f>
        <v>0</v>
      </c>
      <c r="AI366" s="24" t="n">
        <f aca="false">SUMIFS(Permissions!$G$2:$G$3000,Permissions!$B$2:$B$3000,$A366,Permissions!$I$2:$I$3000,"Permitted – not started",Permissions!$P$2:$P$3000,"Yes")</f>
        <v>0</v>
      </c>
      <c r="AJ366" s="24" t="n">
        <f aca="false">SUMIFS(Permissions!$G$2:$G$3000,Permissions!$B$2:$B$3000,$A366,Permissions!$I$2:$I$3000,"Stalled",Permissions!$P$2:$P$3000,"Yes")</f>
        <v>0</v>
      </c>
      <c r="AK366" s="24" t="n">
        <f aca="false">AG366+AH366+AI366+AJ366</f>
        <v>0</v>
      </c>
      <c r="AL366" s="24" t="n">
        <f aca="false">SUMIFS(Permissions!$G$2:$G$3000,Permissions!$B$2:$B$3000,$A366,Permissions!$I$2:$I$3000,"Expired – not started",Permissions!$P$2:$P$3000,"Yes")</f>
        <v>0</v>
      </c>
      <c r="AM366" s="24" t="n">
        <f aca="false">SUMIFS(Permissions!$G$2:$G$3000,Permissions!$B$2:$B$3000,$A366,Permissions!$I$2:$I$3000,"In planning",Permissions!$P$2:$P$3000,"Yes")</f>
        <v>0</v>
      </c>
      <c r="AN366" s="24" t="n">
        <f aca="false">IF(R366="",0,MAX(R366-AK366,0))</f>
        <v>28</v>
      </c>
      <c r="AO366" s="25" t="n">
        <f aca="false">AK366+AN366</f>
        <v>28</v>
      </c>
      <c r="AP366" s="24" t="n">
        <f aca="false">AO366-AG366</f>
        <v>28</v>
      </c>
      <c r="AQ366" s="26" t="n">
        <f aca="false">SUMIFS(Permissions!$AH$2:$AH$3000,Permissions!$B$2:$B$3000,$A366,Permissions!$P$2:$P$3000,"Yes")</f>
        <v>0</v>
      </c>
      <c r="AR366" s="26" t="n">
        <f aca="false">SUMIFS(Permissions!$AI$2:$AI$3000,Permissions!$B$2:$B$3000,$A366,Permissions!$P$2:$P$3000,"Yes")</f>
        <v>0</v>
      </c>
      <c r="AS366" s="26" t="n">
        <f aca="false">SUMIFS(Permissions!$AJ$2:$AJ$3000,Permissions!$B$2:$B$3000,$A366,Permissions!$P$2:$P$3000,"Yes")</f>
        <v>0</v>
      </c>
      <c r="AT366" s="26" t="n">
        <f aca="false">SUMIFS(Permissions!$AK$2:$AK$3000,Permissions!$B$2:$B$3000,$A366,Permissions!$P$2:$P$3000,"Yes")</f>
        <v>0</v>
      </c>
      <c r="AU366" s="26" t="n">
        <f aca="false">SUMIFS(Permissions!$AL$2:$AL$3000,Permissions!$B$2:$B$3000,$A366,Permissions!$P$2:$P$3000,"Yes")</f>
        <v>0</v>
      </c>
      <c r="AV366" s="26" t="n">
        <f aca="false">SUMIFS(Permissions!$AM$2:$AM$3000,Permissions!$B$2:$B$3000,$A366,Permissions!$P$2:$P$3000,"Yes")</f>
        <v>0</v>
      </c>
      <c r="AW366" s="24" t="n">
        <f aca="false">COUNTIFS(Permissions!$B$2:$B$3000,$A366,Permissions!$P$2:$P$3000,"Yes")</f>
        <v>0</v>
      </c>
      <c r="AX366" s="24" t="n">
        <f aca="false">SUMIFS(Permissions!$L$2:$L$3000,Permissions!$B$2:$B$3000,$A366,Permissions!$P$2:$P$3000,"Yes")</f>
        <v>0</v>
      </c>
      <c r="AY366" s="27" t="str">
        <f aca="false">IF(AND(AK366&gt;0,AG366&gt;=AK366,AN366=0),"Built out",IF(AG366&gt;0,"Partly built",IF(AK366&gt;0,"Consented – not built","No consent")))</f>
        <v>No consent</v>
      </c>
      <c r="AZ366" s="28" t="str">
        <f aca="false">IF(AND(R366&lt;&gt;"",AK366&gt;1.1*R366),"Consented above capacity",IF(AND(LEFT(B366,8)="Planning",AW366=0),"Consent parcel with no permission",IF(COUNTIF($A$2:$A$3000,$A366)&gt;1,"Duplicate parcel_id","")))</f>
        <v/>
      </c>
    </row>
    <row r="367" customFormat="false" ht="15" hidden="false" customHeight="false" outlineLevel="0" collapsed="false">
      <c r="A367" s="15" t="s">
        <v>809</v>
      </c>
      <c r="B367" s="15" t="s">
        <v>13</v>
      </c>
      <c r="C367" s="15" t="s">
        <v>17</v>
      </c>
      <c r="D367" s="15" t="s">
        <v>63</v>
      </c>
      <c r="E367" s="15" t="s">
        <v>20</v>
      </c>
      <c r="F367" s="15" t="n">
        <v>0</v>
      </c>
      <c r="G367" s="15" t="s">
        <v>805</v>
      </c>
      <c r="H367" s="15"/>
      <c r="I367" s="15" t="s">
        <v>17</v>
      </c>
      <c r="J367" s="15" t="s">
        <v>559</v>
      </c>
      <c r="K367" s="15" t="s">
        <v>806</v>
      </c>
      <c r="L367" s="15"/>
      <c r="M367" s="15" t="s">
        <v>798</v>
      </c>
      <c r="N367" s="15"/>
      <c r="O367" s="15"/>
      <c r="P367" s="15" t="n">
        <v>1.218</v>
      </c>
      <c r="Q367" s="15" t="n">
        <v>1.339</v>
      </c>
      <c r="R367" s="15" t="n">
        <v>30</v>
      </c>
      <c r="S367" s="15" t="s">
        <v>734</v>
      </c>
      <c r="T367" s="15" t="s">
        <v>807</v>
      </c>
      <c r="U367" s="15" t="s">
        <v>752</v>
      </c>
      <c r="V367" s="15"/>
      <c r="W367" s="15" t="s">
        <v>746</v>
      </c>
      <c r="X367" s="15" t="n">
        <v>25</v>
      </c>
      <c r="Y367" s="15" t="s">
        <v>747</v>
      </c>
      <c r="Z367" s="15" t="n">
        <v>0</v>
      </c>
      <c r="AA367" s="15" t="n">
        <v>0</v>
      </c>
      <c r="AB367" s="15" t="n">
        <v>0</v>
      </c>
      <c r="AC367" s="15"/>
      <c r="AD367" s="15"/>
      <c r="AE367" s="15" t="s">
        <v>163</v>
      </c>
      <c r="AF367" s="15"/>
      <c r="AG367" s="24" t="n">
        <f aca="false">SUMIFS(Permissions!$G$2:$G$3000,Permissions!$B$2:$B$3000,$A367,Permissions!$I$2:$I$3000,"Complete",Permissions!$P$2:$P$3000,"Yes")</f>
        <v>0</v>
      </c>
      <c r="AH367" s="24" t="n">
        <f aca="false">SUMIFS(Permissions!$G$2:$G$3000,Permissions!$B$2:$B$3000,$A367,Permissions!$I$2:$I$3000,"Under construction",Permissions!$P$2:$P$3000,"Yes")</f>
        <v>0</v>
      </c>
      <c r="AI367" s="24" t="n">
        <f aca="false">SUMIFS(Permissions!$G$2:$G$3000,Permissions!$B$2:$B$3000,$A367,Permissions!$I$2:$I$3000,"Permitted – not started",Permissions!$P$2:$P$3000,"Yes")</f>
        <v>0</v>
      </c>
      <c r="AJ367" s="24" t="n">
        <f aca="false">SUMIFS(Permissions!$G$2:$G$3000,Permissions!$B$2:$B$3000,$A367,Permissions!$I$2:$I$3000,"Stalled",Permissions!$P$2:$P$3000,"Yes")</f>
        <v>0</v>
      </c>
      <c r="AK367" s="24" t="n">
        <f aca="false">AG367+AH367+AI367+AJ367</f>
        <v>0</v>
      </c>
      <c r="AL367" s="24" t="n">
        <f aca="false">SUMIFS(Permissions!$G$2:$G$3000,Permissions!$B$2:$B$3000,$A367,Permissions!$I$2:$I$3000,"Expired – not started",Permissions!$P$2:$P$3000,"Yes")</f>
        <v>0</v>
      </c>
      <c r="AM367" s="24" t="n">
        <f aca="false">SUMIFS(Permissions!$G$2:$G$3000,Permissions!$B$2:$B$3000,$A367,Permissions!$I$2:$I$3000,"In planning",Permissions!$P$2:$P$3000,"Yes")</f>
        <v>0</v>
      </c>
      <c r="AN367" s="24" t="n">
        <f aca="false">IF(R367="",0,MAX(R367-AK367,0))</f>
        <v>30</v>
      </c>
      <c r="AO367" s="25" t="n">
        <f aca="false">AK367+AN367</f>
        <v>30</v>
      </c>
      <c r="AP367" s="24" t="n">
        <f aca="false">AO367-AG367</f>
        <v>30</v>
      </c>
      <c r="AQ367" s="26" t="n">
        <f aca="false">SUMIFS(Permissions!$AH$2:$AH$3000,Permissions!$B$2:$B$3000,$A367,Permissions!$P$2:$P$3000,"Yes")</f>
        <v>0</v>
      </c>
      <c r="AR367" s="26" t="n">
        <f aca="false">SUMIFS(Permissions!$AI$2:$AI$3000,Permissions!$B$2:$B$3000,$A367,Permissions!$P$2:$P$3000,"Yes")</f>
        <v>0</v>
      </c>
      <c r="AS367" s="26" t="n">
        <f aca="false">SUMIFS(Permissions!$AJ$2:$AJ$3000,Permissions!$B$2:$B$3000,$A367,Permissions!$P$2:$P$3000,"Yes")</f>
        <v>0</v>
      </c>
      <c r="AT367" s="26" t="n">
        <f aca="false">SUMIFS(Permissions!$AK$2:$AK$3000,Permissions!$B$2:$B$3000,$A367,Permissions!$P$2:$P$3000,"Yes")</f>
        <v>0</v>
      </c>
      <c r="AU367" s="26" t="n">
        <f aca="false">SUMIFS(Permissions!$AL$2:$AL$3000,Permissions!$B$2:$B$3000,$A367,Permissions!$P$2:$P$3000,"Yes")</f>
        <v>0</v>
      </c>
      <c r="AV367" s="26" t="n">
        <f aca="false">SUMIFS(Permissions!$AM$2:$AM$3000,Permissions!$B$2:$B$3000,$A367,Permissions!$P$2:$P$3000,"Yes")</f>
        <v>0</v>
      </c>
      <c r="AW367" s="24" t="n">
        <f aca="false">COUNTIFS(Permissions!$B$2:$B$3000,$A367,Permissions!$P$2:$P$3000,"Yes")</f>
        <v>0</v>
      </c>
      <c r="AX367" s="24" t="n">
        <f aca="false">SUMIFS(Permissions!$L$2:$L$3000,Permissions!$B$2:$B$3000,$A367,Permissions!$P$2:$P$3000,"Yes")</f>
        <v>0</v>
      </c>
      <c r="AY367" s="27" t="str">
        <f aca="false">IF(AND(AK367&gt;0,AG367&gt;=AK367,AN367=0),"Built out",IF(AG367&gt;0,"Partly built",IF(AK367&gt;0,"Consented – not built","No consent")))</f>
        <v>No consent</v>
      </c>
      <c r="AZ367" s="28" t="str">
        <f aca="false">IF(AND(R367&lt;&gt;"",AK367&gt;1.1*R367),"Consented above capacity",IF(AND(LEFT(B367,8)="Planning",AW367=0),"Consent parcel with no permission",IF(COUNTIF($A$2:$A$3000,$A367)&gt;1,"Duplicate parcel_id","")))</f>
        <v/>
      </c>
    </row>
    <row r="368" customFormat="false" ht="15" hidden="false" customHeight="false" outlineLevel="0" collapsed="false">
      <c r="A368" s="15" t="s">
        <v>810</v>
      </c>
      <c r="B368" s="15" t="s">
        <v>13</v>
      </c>
      <c r="C368" s="15" t="s">
        <v>17</v>
      </c>
      <c r="D368" s="15" t="s">
        <v>63</v>
      </c>
      <c r="E368" s="15" t="s">
        <v>20</v>
      </c>
      <c r="F368" s="15" t="n">
        <v>0</v>
      </c>
      <c r="G368" s="15" t="s">
        <v>805</v>
      </c>
      <c r="H368" s="15"/>
      <c r="I368" s="15" t="s">
        <v>17</v>
      </c>
      <c r="J368" s="15" t="s">
        <v>559</v>
      </c>
      <c r="K368" s="15" t="s">
        <v>806</v>
      </c>
      <c r="L368" s="15"/>
      <c r="M368" s="15" t="s">
        <v>798</v>
      </c>
      <c r="N368" s="15"/>
      <c r="O368" s="15"/>
      <c r="P368" s="15" t="n">
        <v>2.527</v>
      </c>
      <c r="Q368" s="15" t="n">
        <v>2.777</v>
      </c>
      <c r="R368" s="15" t="n">
        <v>63</v>
      </c>
      <c r="S368" s="15" t="s">
        <v>734</v>
      </c>
      <c r="T368" s="15" t="s">
        <v>807</v>
      </c>
      <c r="U368" s="15" t="s">
        <v>752</v>
      </c>
      <c r="V368" s="15"/>
      <c r="W368" s="15" t="s">
        <v>746</v>
      </c>
      <c r="X368" s="15" t="n">
        <v>25</v>
      </c>
      <c r="Y368" s="15" t="s">
        <v>747</v>
      </c>
      <c r="Z368" s="15" t="n">
        <v>0</v>
      </c>
      <c r="AA368" s="15" t="n">
        <v>0</v>
      </c>
      <c r="AB368" s="15" t="n">
        <v>0</v>
      </c>
      <c r="AC368" s="15"/>
      <c r="AD368" s="15"/>
      <c r="AE368" s="15" t="s">
        <v>163</v>
      </c>
      <c r="AF368" s="15"/>
      <c r="AG368" s="24" t="n">
        <f aca="false">SUMIFS(Permissions!$G$2:$G$3000,Permissions!$B$2:$B$3000,$A368,Permissions!$I$2:$I$3000,"Complete",Permissions!$P$2:$P$3000,"Yes")</f>
        <v>0</v>
      </c>
      <c r="AH368" s="24" t="n">
        <f aca="false">SUMIFS(Permissions!$G$2:$G$3000,Permissions!$B$2:$B$3000,$A368,Permissions!$I$2:$I$3000,"Under construction",Permissions!$P$2:$P$3000,"Yes")</f>
        <v>0</v>
      </c>
      <c r="AI368" s="24" t="n">
        <f aca="false">SUMIFS(Permissions!$G$2:$G$3000,Permissions!$B$2:$B$3000,$A368,Permissions!$I$2:$I$3000,"Permitted – not started",Permissions!$P$2:$P$3000,"Yes")</f>
        <v>0</v>
      </c>
      <c r="AJ368" s="24" t="n">
        <f aca="false">SUMIFS(Permissions!$G$2:$G$3000,Permissions!$B$2:$B$3000,$A368,Permissions!$I$2:$I$3000,"Stalled",Permissions!$P$2:$P$3000,"Yes")</f>
        <v>0</v>
      </c>
      <c r="AK368" s="24" t="n">
        <f aca="false">AG368+AH368+AI368+AJ368</f>
        <v>0</v>
      </c>
      <c r="AL368" s="24" t="n">
        <f aca="false">SUMIFS(Permissions!$G$2:$G$3000,Permissions!$B$2:$B$3000,$A368,Permissions!$I$2:$I$3000,"Expired – not started",Permissions!$P$2:$P$3000,"Yes")</f>
        <v>0</v>
      </c>
      <c r="AM368" s="24" t="n">
        <f aca="false">SUMIFS(Permissions!$G$2:$G$3000,Permissions!$B$2:$B$3000,$A368,Permissions!$I$2:$I$3000,"In planning",Permissions!$P$2:$P$3000,"Yes")</f>
        <v>0</v>
      </c>
      <c r="AN368" s="24" t="n">
        <f aca="false">IF(R368="",0,MAX(R368-AK368,0))</f>
        <v>63</v>
      </c>
      <c r="AO368" s="25" t="n">
        <f aca="false">AK368+AN368</f>
        <v>63</v>
      </c>
      <c r="AP368" s="24" t="n">
        <f aca="false">AO368-AG368</f>
        <v>63</v>
      </c>
      <c r="AQ368" s="26" t="n">
        <f aca="false">SUMIFS(Permissions!$AH$2:$AH$3000,Permissions!$B$2:$B$3000,$A368,Permissions!$P$2:$P$3000,"Yes")</f>
        <v>0</v>
      </c>
      <c r="AR368" s="26" t="n">
        <f aca="false">SUMIFS(Permissions!$AI$2:$AI$3000,Permissions!$B$2:$B$3000,$A368,Permissions!$P$2:$P$3000,"Yes")</f>
        <v>0</v>
      </c>
      <c r="AS368" s="26" t="n">
        <f aca="false">SUMIFS(Permissions!$AJ$2:$AJ$3000,Permissions!$B$2:$B$3000,$A368,Permissions!$P$2:$P$3000,"Yes")</f>
        <v>0</v>
      </c>
      <c r="AT368" s="26" t="n">
        <f aca="false">SUMIFS(Permissions!$AK$2:$AK$3000,Permissions!$B$2:$B$3000,$A368,Permissions!$P$2:$P$3000,"Yes")</f>
        <v>0</v>
      </c>
      <c r="AU368" s="26" t="n">
        <f aca="false">SUMIFS(Permissions!$AL$2:$AL$3000,Permissions!$B$2:$B$3000,$A368,Permissions!$P$2:$P$3000,"Yes")</f>
        <v>0</v>
      </c>
      <c r="AV368" s="26" t="n">
        <f aca="false">SUMIFS(Permissions!$AM$2:$AM$3000,Permissions!$B$2:$B$3000,$A368,Permissions!$P$2:$P$3000,"Yes")</f>
        <v>0</v>
      </c>
      <c r="AW368" s="24" t="n">
        <f aca="false">COUNTIFS(Permissions!$B$2:$B$3000,$A368,Permissions!$P$2:$P$3000,"Yes")</f>
        <v>0</v>
      </c>
      <c r="AX368" s="24" t="n">
        <f aca="false">SUMIFS(Permissions!$L$2:$L$3000,Permissions!$B$2:$B$3000,$A368,Permissions!$P$2:$P$3000,"Yes")</f>
        <v>0</v>
      </c>
      <c r="AY368" s="27" t="str">
        <f aca="false">IF(AND(AK368&gt;0,AG368&gt;=AK368,AN368=0),"Built out",IF(AG368&gt;0,"Partly built",IF(AK368&gt;0,"Consented – not built","No consent")))</f>
        <v>No consent</v>
      </c>
      <c r="AZ368" s="28" t="str">
        <f aca="false">IF(AND(R368&lt;&gt;"",AK368&gt;1.1*R368),"Consented above capacity",IF(AND(LEFT(B368,8)="Planning",AW368=0),"Consent parcel with no permission",IF(COUNTIF($A$2:$A$3000,$A368)&gt;1,"Duplicate parcel_id","")))</f>
        <v/>
      </c>
    </row>
    <row r="369" customFormat="false" ht="15" hidden="false" customHeight="false" outlineLevel="0" collapsed="false">
      <c r="A369" s="15" t="s">
        <v>811</v>
      </c>
      <c r="B369" s="15" t="s">
        <v>13</v>
      </c>
      <c r="C369" s="15" t="s">
        <v>17</v>
      </c>
      <c r="D369" s="15" t="s">
        <v>63</v>
      </c>
      <c r="E369" s="15" t="s">
        <v>20</v>
      </c>
      <c r="F369" s="15" t="n">
        <v>0</v>
      </c>
      <c r="G369" s="15" t="s">
        <v>805</v>
      </c>
      <c r="H369" s="15"/>
      <c r="I369" s="15" t="s">
        <v>17</v>
      </c>
      <c r="J369" s="15" t="s">
        <v>559</v>
      </c>
      <c r="K369" s="15" t="s">
        <v>806</v>
      </c>
      <c r="L369" s="15"/>
      <c r="M369" s="15" t="s">
        <v>798</v>
      </c>
      <c r="N369" s="15"/>
      <c r="O369" s="15"/>
      <c r="P369" s="15" t="n">
        <v>0.427</v>
      </c>
      <c r="Q369" s="15" t="n">
        <v>0.469</v>
      </c>
      <c r="R369" s="15" t="n">
        <v>11</v>
      </c>
      <c r="S369" s="15" t="s">
        <v>734</v>
      </c>
      <c r="T369" s="15" t="s">
        <v>807</v>
      </c>
      <c r="U369" s="15" t="s">
        <v>752</v>
      </c>
      <c r="V369" s="15"/>
      <c r="W369" s="15" t="s">
        <v>746</v>
      </c>
      <c r="X369" s="15" t="n">
        <v>25</v>
      </c>
      <c r="Y369" s="15" t="s">
        <v>747</v>
      </c>
      <c r="Z369" s="15" t="n">
        <v>0</v>
      </c>
      <c r="AA369" s="15" t="n">
        <v>0</v>
      </c>
      <c r="AB369" s="15" t="n">
        <v>0</v>
      </c>
      <c r="AC369" s="15"/>
      <c r="AD369" s="15"/>
      <c r="AE369" s="15" t="s">
        <v>163</v>
      </c>
      <c r="AF369" s="15"/>
      <c r="AG369" s="24" t="n">
        <f aca="false">SUMIFS(Permissions!$G$2:$G$3000,Permissions!$B$2:$B$3000,$A369,Permissions!$I$2:$I$3000,"Complete",Permissions!$P$2:$P$3000,"Yes")</f>
        <v>0</v>
      </c>
      <c r="AH369" s="24" t="n">
        <f aca="false">SUMIFS(Permissions!$G$2:$G$3000,Permissions!$B$2:$B$3000,$A369,Permissions!$I$2:$I$3000,"Under construction",Permissions!$P$2:$P$3000,"Yes")</f>
        <v>0</v>
      </c>
      <c r="AI369" s="24" t="n">
        <f aca="false">SUMIFS(Permissions!$G$2:$G$3000,Permissions!$B$2:$B$3000,$A369,Permissions!$I$2:$I$3000,"Permitted – not started",Permissions!$P$2:$P$3000,"Yes")</f>
        <v>0</v>
      </c>
      <c r="AJ369" s="24" t="n">
        <f aca="false">SUMIFS(Permissions!$G$2:$G$3000,Permissions!$B$2:$B$3000,$A369,Permissions!$I$2:$I$3000,"Stalled",Permissions!$P$2:$P$3000,"Yes")</f>
        <v>0</v>
      </c>
      <c r="AK369" s="24" t="n">
        <f aca="false">AG369+AH369+AI369+AJ369</f>
        <v>0</v>
      </c>
      <c r="AL369" s="24" t="n">
        <f aca="false">SUMIFS(Permissions!$G$2:$G$3000,Permissions!$B$2:$B$3000,$A369,Permissions!$I$2:$I$3000,"Expired – not started",Permissions!$P$2:$P$3000,"Yes")</f>
        <v>0</v>
      </c>
      <c r="AM369" s="24" t="n">
        <f aca="false">SUMIFS(Permissions!$G$2:$G$3000,Permissions!$B$2:$B$3000,$A369,Permissions!$I$2:$I$3000,"In planning",Permissions!$P$2:$P$3000,"Yes")</f>
        <v>0</v>
      </c>
      <c r="AN369" s="24" t="n">
        <f aca="false">IF(R369="",0,MAX(R369-AK369,0))</f>
        <v>11</v>
      </c>
      <c r="AO369" s="25" t="n">
        <f aca="false">AK369+AN369</f>
        <v>11</v>
      </c>
      <c r="AP369" s="24" t="n">
        <f aca="false">AO369-AG369</f>
        <v>11</v>
      </c>
      <c r="AQ369" s="26" t="n">
        <f aca="false">SUMIFS(Permissions!$AH$2:$AH$3000,Permissions!$B$2:$B$3000,$A369,Permissions!$P$2:$P$3000,"Yes")</f>
        <v>0</v>
      </c>
      <c r="AR369" s="26" t="n">
        <f aca="false">SUMIFS(Permissions!$AI$2:$AI$3000,Permissions!$B$2:$B$3000,$A369,Permissions!$P$2:$P$3000,"Yes")</f>
        <v>0</v>
      </c>
      <c r="AS369" s="26" t="n">
        <f aca="false">SUMIFS(Permissions!$AJ$2:$AJ$3000,Permissions!$B$2:$B$3000,$A369,Permissions!$P$2:$P$3000,"Yes")</f>
        <v>0</v>
      </c>
      <c r="AT369" s="26" t="n">
        <f aca="false">SUMIFS(Permissions!$AK$2:$AK$3000,Permissions!$B$2:$B$3000,$A369,Permissions!$P$2:$P$3000,"Yes")</f>
        <v>0</v>
      </c>
      <c r="AU369" s="26" t="n">
        <f aca="false">SUMIFS(Permissions!$AL$2:$AL$3000,Permissions!$B$2:$B$3000,$A369,Permissions!$P$2:$P$3000,"Yes")</f>
        <v>0</v>
      </c>
      <c r="AV369" s="26" t="n">
        <f aca="false">SUMIFS(Permissions!$AM$2:$AM$3000,Permissions!$B$2:$B$3000,$A369,Permissions!$P$2:$P$3000,"Yes")</f>
        <v>0</v>
      </c>
      <c r="AW369" s="24" t="n">
        <f aca="false">COUNTIFS(Permissions!$B$2:$B$3000,$A369,Permissions!$P$2:$P$3000,"Yes")</f>
        <v>0</v>
      </c>
      <c r="AX369" s="24" t="n">
        <f aca="false">SUMIFS(Permissions!$L$2:$L$3000,Permissions!$B$2:$B$3000,$A369,Permissions!$P$2:$P$3000,"Yes")</f>
        <v>0</v>
      </c>
      <c r="AY369" s="27" t="str">
        <f aca="false">IF(AND(AK369&gt;0,AG369&gt;=AK369,AN369=0),"Built out",IF(AG369&gt;0,"Partly built",IF(AK369&gt;0,"Consented – not built","No consent")))</f>
        <v>No consent</v>
      </c>
      <c r="AZ369" s="28" t="str">
        <f aca="false">IF(AND(R369&lt;&gt;"",AK369&gt;1.1*R369),"Consented above capacity",IF(AND(LEFT(B369,8)="Planning",AW369=0),"Consent parcel with no permission",IF(COUNTIF($A$2:$A$3000,$A369)&gt;1,"Duplicate parcel_id","")))</f>
        <v/>
      </c>
    </row>
    <row r="370" customFormat="false" ht="15" hidden="false" customHeight="false" outlineLevel="0" collapsed="false">
      <c r="A370" s="15" t="s">
        <v>812</v>
      </c>
      <c r="B370" s="15" t="s">
        <v>13</v>
      </c>
      <c r="C370" s="15" t="s">
        <v>17</v>
      </c>
      <c r="D370" s="15" t="s">
        <v>63</v>
      </c>
      <c r="E370" s="15" t="s">
        <v>20</v>
      </c>
      <c r="F370" s="15" t="n">
        <v>0</v>
      </c>
      <c r="G370" s="15" t="s">
        <v>805</v>
      </c>
      <c r="H370" s="15"/>
      <c r="I370" s="15" t="s">
        <v>17</v>
      </c>
      <c r="J370" s="15" t="s">
        <v>559</v>
      </c>
      <c r="K370" s="15" t="s">
        <v>813</v>
      </c>
      <c r="L370" s="15"/>
      <c r="M370" s="15" t="s">
        <v>794</v>
      </c>
      <c r="N370" s="15"/>
      <c r="O370" s="15"/>
      <c r="P370" s="15" t="n">
        <v>3.392</v>
      </c>
      <c r="Q370" s="15" t="n">
        <v>3.728</v>
      </c>
      <c r="R370" s="15" t="n">
        <v>64</v>
      </c>
      <c r="S370" s="15" t="s">
        <v>734</v>
      </c>
      <c r="T370" s="15" t="s">
        <v>807</v>
      </c>
      <c r="U370" s="15" t="s">
        <v>752</v>
      </c>
      <c r="V370" s="15"/>
      <c r="W370" s="15" t="s">
        <v>753</v>
      </c>
      <c r="X370" s="15" t="n">
        <v>19</v>
      </c>
      <c r="Y370" s="15" t="s">
        <v>754</v>
      </c>
      <c r="Z370" s="15" t="n">
        <v>1</v>
      </c>
      <c r="AA370" s="15" t="n">
        <v>0</v>
      </c>
      <c r="AB370" s="15" t="n">
        <v>0</v>
      </c>
      <c r="AC370" s="15"/>
      <c r="AD370" s="15"/>
      <c r="AE370" s="15" t="s">
        <v>163</v>
      </c>
      <c r="AF370" s="15"/>
      <c r="AG370" s="24" t="n">
        <f aca="false">SUMIFS(Permissions!$G$2:$G$3000,Permissions!$B$2:$B$3000,$A370,Permissions!$I$2:$I$3000,"Complete",Permissions!$P$2:$P$3000,"Yes")</f>
        <v>0</v>
      </c>
      <c r="AH370" s="24" t="n">
        <f aca="false">SUMIFS(Permissions!$G$2:$G$3000,Permissions!$B$2:$B$3000,$A370,Permissions!$I$2:$I$3000,"Under construction",Permissions!$P$2:$P$3000,"Yes")</f>
        <v>0</v>
      </c>
      <c r="AI370" s="24" t="n">
        <f aca="false">SUMIFS(Permissions!$G$2:$G$3000,Permissions!$B$2:$B$3000,$A370,Permissions!$I$2:$I$3000,"Permitted – not started",Permissions!$P$2:$P$3000,"Yes")</f>
        <v>0</v>
      </c>
      <c r="AJ370" s="24" t="n">
        <f aca="false">SUMIFS(Permissions!$G$2:$G$3000,Permissions!$B$2:$B$3000,$A370,Permissions!$I$2:$I$3000,"Stalled",Permissions!$P$2:$P$3000,"Yes")</f>
        <v>0</v>
      </c>
      <c r="AK370" s="24" t="n">
        <f aca="false">AG370+AH370+AI370+AJ370</f>
        <v>0</v>
      </c>
      <c r="AL370" s="24" t="n">
        <f aca="false">SUMIFS(Permissions!$G$2:$G$3000,Permissions!$B$2:$B$3000,$A370,Permissions!$I$2:$I$3000,"Expired – not started",Permissions!$P$2:$P$3000,"Yes")</f>
        <v>0</v>
      </c>
      <c r="AM370" s="24" t="n">
        <f aca="false">SUMIFS(Permissions!$G$2:$G$3000,Permissions!$B$2:$B$3000,$A370,Permissions!$I$2:$I$3000,"In planning",Permissions!$P$2:$P$3000,"Yes")</f>
        <v>0</v>
      </c>
      <c r="AN370" s="24" t="n">
        <f aca="false">IF(R370="",0,MAX(R370-AK370,0))</f>
        <v>64</v>
      </c>
      <c r="AO370" s="25" t="n">
        <f aca="false">AK370+AN370</f>
        <v>64</v>
      </c>
      <c r="AP370" s="24" t="n">
        <f aca="false">AO370-AG370</f>
        <v>64</v>
      </c>
      <c r="AQ370" s="26" t="n">
        <f aca="false">SUMIFS(Permissions!$AH$2:$AH$3000,Permissions!$B$2:$B$3000,$A370,Permissions!$P$2:$P$3000,"Yes")</f>
        <v>0</v>
      </c>
      <c r="AR370" s="26" t="n">
        <f aca="false">SUMIFS(Permissions!$AI$2:$AI$3000,Permissions!$B$2:$B$3000,$A370,Permissions!$P$2:$P$3000,"Yes")</f>
        <v>0</v>
      </c>
      <c r="AS370" s="26" t="n">
        <f aca="false">SUMIFS(Permissions!$AJ$2:$AJ$3000,Permissions!$B$2:$B$3000,$A370,Permissions!$P$2:$P$3000,"Yes")</f>
        <v>0</v>
      </c>
      <c r="AT370" s="26" t="n">
        <f aca="false">SUMIFS(Permissions!$AK$2:$AK$3000,Permissions!$B$2:$B$3000,$A370,Permissions!$P$2:$P$3000,"Yes")</f>
        <v>0</v>
      </c>
      <c r="AU370" s="26" t="n">
        <f aca="false">SUMIFS(Permissions!$AL$2:$AL$3000,Permissions!$B$2:$B$3000,$A370,Permissions!$P$2:$P$3000,"Yes")</f>
        <v>0</v>
      </c>
      <c r="AV370" s="26" t="n">
        <f aca="false">SUMIFS(Permissions!$AM$2:$AM$3000,Permissions!$B$2:$B$3000,$A370,Permissions!$P$2:$P$3000,"Yes")</f>
        <v>0</v>
      </c>
      <c r="AW370" s="24" t="n">
        <f aca="false">COUNTIFS(Permissions!$B$2:$B$3000,$A370,Permissions!$P$2:$P$3000,"Yes")</f>
        <v>0</v>
      </c>
      <c r="AX370" s="24" t="n">
        <f aca="false">SUMIFS(Permissions!$L$2:$L$3000,Permissions!$B$2:$B$3000,$A370,Permissions!$P$2:$P$3000,"Yes")</f>
        <v>0</v>
      </c>
      <c r="AY370" s="27" t="str">
        <f aca="false">IF(AND(AK370&gt;0,AG370&gt;=AK370,AN370=0),"Built out",IF(AG370&gt;0,"Partly built",IF(AK370&gt;0,"Consented – not built","No consent")))</f>
        <v>No consent</v>
      </c>
      <c r="AZ370" s="28" t="str">
        <f aca="false">IF(AND(R370&lt;&gt;"",AK370&gt;1.1*R370),"Consented above capacity",IF(AND(LEFT(B370,8)="Planning",AW370=0),"Consent parcel with no permission",IF(COUNTIF($A$2:$A$3000,$A370)&gt;1,"Duplicate parcel_id","")))</f>
        <v/>
      </c>
    </row>
    <row r="371" customFormat="false" ht="15" hidden="false" customHeight="false" outlineLevel="0" collapsed="false">
      <c r="A371" s="15" t="s">
        <v>814</v>
      </c>
      <c r="B371" s="15" t="s">
        <v>13</v>
      </c>
      <c r="C371" s="15" t="s">
        <v>17</v>
      </c>
      <c r="D371" s="15" t="s">
        <v>63</v>
      </c>
      <c r="E371" s="15" t="s">
        <v>20</v>
      </c>
      <c r="F371" s="15" t="n">
        <v>0</v>
      </c>
      <c r="G371" s="15" t="s">
        <v>805</v>
      </c>
      <c r="H371" s="15"/>
      <c r="I371" s="15" t="s">
        <v>17</v>
      </c>
      <c r="J371" s="15" t="s">
        <v>559</v>
      </c>
      <c r="K371" s="15" t="s">
        <v>813</v>
      </c>
      <c r="L371" s="15"/>
      <c r="M371" s="15" t="s">
        <v>794</v>
      </c>
      <c r="N371" s="15"/>
      <c r="O371" s="15"/>
      <c r="P371" s="15" t="n">
        <v>3.316</v>
      </c>
      <c r="Q371" s="15" t="n">
        <v>3.644</v>
      </c>
      <c r="R371" s="15" t="n">
        <v>63</v>
      </c>
      <c r="S371" s="15" t="s">
        <v>734</v>
      </c>
      <c r="T371" s="15" t="s">
        <v>807</v>
      </c>
      <c r="U371" s="15" t="s">
        <v>752</v>
      </c>
      <c r="V371" s="15"/>
      <c r="W371" s="15" t="s">
        <v>753</v>
      </c>
      <c r="X371" s="15" t="n">
        <v>19</v>
      </c>
      <c r="Y371" s="15" t="s">
        <v>754</v>
      </c>
      <c r="Z371" s="15" t="n">
        <v>1</v>
      </c>
      <c r="AA371" s="15" t="n">
        <v>0</v>
      </c>
      <c r="AB371" s="15" t="n">
        <v>0</v>
      </c>
      <c r="AC371" s="15"/>
      <c r="AD371" s="15"/>
      <c r="AE371" s="15" t="s">
        <v>163</v>
      </c>
      <c r="AF371" s="15"/>
      <c r="AG371" s="24" t="n">
        <f aca="false">SUMIFS(Permissions!$G$2:$G$3000,Permissions!$B$2:$B$3000,$A371,Permissions!$I$2:$I$3000,"Complete",Permissions!$P$2:$P$3000,"Yes")</f>
        <v>0</v>
      </c>
      <c r="AH371" s="24" t="n">
        <f aca="false">SUMIFS(Permissions!$G$2:$G$3000,Permissions!$B$2:$B$3000,$A371,Permissions!$I$2:$I$3000,"Under construction",Permissions!$P$2:$P$3000,"Yes")</f>
        <v>0</v>
      </c>
      <c r="AI371" s="24" t="n">
        <f aca="false">SUMIFS(Permissions!$G$2:$G$3000,Permissions!$B$2:$B$3000,$A371,Permissions!$I$2:$I$3000,"Permitted – not started",Permissions!$P$2:$P$3000,"Yes")</f>
        <v>0</v>
      </c>
      <c r="AJ371" s="24" t="n">
        <f aca="false">SUMIFS(Permissions!$G$2:$G$3000,Permissions!$B$2:$B$3000,$A371,Permissions!$I$2:$I$3000,"Stalled",Permissions!$P$2:$P$3000,"Yes")</f>
        <v>0</v>
      </c>
      <c r="AK371" s="24" t="n">
        <f aca="false">AG371+AH371+AI371+AJ371</f>
        <v>0</v>
      </c>
      <c r="AL371" s="24" t="n">
        <f aca="false">SUMIFS(Permissions!$G$2:$G$3000,Permissions!$B$2:$B$3000,$A371,Permissions!$I$2:$I$3000,"Expired – not started",Permissions!$P$2:$P$3000,"Yes")</f>
        <v>0</v>
      </c>
      <c r="AM371" s="24" t="n">
        <f aca="false">SUMIFS(Permissions!$G$2:$G$3000,Permissions!$B$2:$B$3000,$A371,Permissions!$I$2:$I$3000,"In planning",Permissions!$P$2:$P$3000,"Yes")</f>
        <v>0</v>
      </c>
      <c r="AN371" s="24" t="n">
        <f aca="false">IF(R371="",0,MAX(R371-AK371,0))</f>
        <v>63</v>
      </c>
      <c r="AO371" s="25" t="n">
        <f aca="false">AK371+AN371</f>
        <v>63</v>
      </c>
      <c r="AP371" s="24" t="n">
        <f aca="false">AO371-AG371</f>
        <v>63</v>
      </c>
      <c r="AQ371" s="26" t="n">
        <f aca="false">SUMIFS(Permissions!$AH$2:$AH$3000,Permissions!$B$2:$B$3000,$A371,Permissions!$P$2:$P$3000,"Yes")</f>
        <v>0</v>
      </c>
      <c r="AR371" s="26" t="n">
        <f aca="false">SUMIFS(Permissions!$AI$2:$AI$3000,Permissions!$B$2:$B$3000,$A371,Permissions!$P$2:$P$3000,"Yes")</f>
        <v>0</v>
      </c>
      <c r="AS371" s="26" t="n">
        <f aca="false">SUMIFS(Permissions!$AJ$2:$AJ$3000,Permissions!$B$2:$B$3000,$A371,Permissions!$P$2:$P$3000,"Yes")</f>
        <v>0</v>
      </c>
      <c r="AT371" s="26" t="n">
        <f aca="false">SUMIFS(Permissions!$AK$2:$AK$3000,Permissions!$B$2:$B$3000,$A371,Permissions!$P$2:$P$3000,"Yes")</f>
        <v>0</v>
      </c>
      <c r="AU371" s="26" t="n">
        <f aca="false">SUMIFS(Permissions!$AL$2:$AL$3000,Permissions!$B$2:$B$3000,$A371,Permissions!$P$2:$P$3000,"Yes")</f>
        <v>0</v>
      </c>
      <c r="AV371" s="26" t="n">
        <f aca="false">SUMIFS(Permissions!$AM$2:$AM$3000,Permissions!$B$2:$B$3000,$A371,Permissions!$P$2:$P$3000,"Yes")</f>
        <v>0</v>
      </c>
      <c r="AW371" s="24" t="n">
        <f aca="false">COUNTIFS(Permissions!$B$2:$B$3000,$A371,Permissions!$P$2:$P$3000,"Yes")</f>
        <v>0</v>
      </c>
      <c r="AX371" s="24" t="n">
        <f aca="false">SUMIFS(Permissions!$L$2:$L$3000,Permissions!$B$2:$B$3000,$A371,Permissions!$P$2:$P$3000,"Yes")</f>
        <v>0</v>
      </c>
      <c r="AY371" s="27" t="str">
        <f aca="false">IF(AND(AK371&gt;0,AG371&gt;=AK371,AN371=0),"Built out",IF(AG371&gt;0,"Partly built",IF(AK371&gt;0,"Consented – not built","No consent")))</f>
        <v>No consent</v>
      </c>
      <c r="AZ371" s="28" t="str">
        <f aca="false">IF(AND(R371&lt;&gt;"",AK371&gt;1.1*R371),"Consented above capacity",IF(AND(LEFT(B371,8)="Planning",AW371=0),"Consent parcel with no permission",IF(COUNTIF($A$2:$A$3000,$A371)&gt;1,"Duplicate parcel_id","")))</f>
        <v/>
      </c>
    </row>
    <row r="372" customFormat="false" ht="15" hidden="false" customHeight="false" outlineLevel="0" collapsed="false">
      <c r="A372" s="15" t="s">
        <v>815</v>
      </c>
      <c r="B372" s="15" t="s">
        <v>13</v>
      </c>
      <c r="C372" s="15" t="s">
        <v>17</v>
      </c>
      <c r="D372" s="15" t="s">
        <v>63</v>
      </c>
      <c r="E372" s="15" t="s">
        <v>20</v>
      </c>
      <c r="F372" s="15" t="n">
        <v>0</v>
      </c>
      <c r="G372" s="15" t="s">
        <v>805</v>
      </c>
      <c r="H372" s="15"/>
      <c r="I372" s="15" t="s">
        <v>17</v>
      </c>
      <c r="J372" s="15" t="s">
        <v>559</v>
      </c>
      <c r="K372" s="15" t="s">
        <v>806</v>
      </c>
      <c r="L372" s="15"/>
      <c r="M372" s="15" t="s">
        <v>798</v>
      </c>
      <c r="N372" s="15"/>
      <c r="O372" s="15"/>
      <c r="P372" s="15" t="n">
        <v>0.212</v>
      </c>
      <c r="Q372" s="15" t="n">
        <v>0.233</v>
      </c>
      <c r="R372" s="15" t="n">
        <v>5</v>
      </c>
      <c r="S372" s="15" t="s">
        <v>734</v>
      </c>
      <c r="T372" s="15" t="s">
        <v>807</v>
      </c>
      <c r="U372" s="15" t="s">
        <v>752</v>
      </c>
      <c r="V372" s="15"/>
      <c r="W372" s="15" t="s">
        <v>746</v>
      </c>
      <c r="X372" s="15" t="n">
        <v>25</v>
      </c>
      <c r="Y372" s="15" t="s">
        <v>747</v>
      </c>
      <c r="Z372" s="15" t="n">
        <v>0</v>
      </c>
      <c r="AA372" s="15" t="n">
        <v>0</v>
      </c>
      <c r="AB372" s="15" t="n">
        <v>0</v>
      </c>
      <c r="AC372" s="15"/>
      <c r="AD372" s="15"/>
      <c r="AE372" s="15" t="s">
        <v>163</v>
      </c>
      <c r="AF372" s="15"/>
      <c r="AG372" s="24" t="n">
        <f aca="false">SUMIFS(Permissions!$G$2:$G$3000,Permissions!$B$2:$B$3000,$A372,Permissions!$I$2:$I$3000,"Complete",Permissions!$P$2:$P$3000,"Yes")</f>
        <v>0</v>
      </c>
      <c r="AH372" s="24" t="n">
        <f aca="false">SUMIFS(Permissions!$G$2:$G$3000,Permissions!$B$2:$B$3000,$A372,Permissions!$I$2:$I$3000,"Under construction",Permissions!$P$2:$P$3000,"Yes")</f>
        <v>0</v>
      </c>
      <c r="AI372" s="24" t="n">
        <f aca="false">SUMIFS(Permissions!$G$2:$G$3000,Permissions!$B$2:$B$3000,$A372,Permissions!$I$2:$I$3000,"Permitted – not started",Permissions!$P$2:$P$3000,"Yes")</f>
        <v>0</v>
      </c>
      <c r="AJ372" s="24" t="n">
        <f aca="false">SUMIFS(Permissions!$G$2:$G$3000,Permissions!$B$2:$B$3000,$A372,Permissions!$I$2:$I$3000,"Stalled",Permissions!$P$2:$P$3000,"Yes")</f>
        <v>0</v>
      </c>
      <c r="AK372" s="24" t="n">
        <f aca="false">AG372+AH372+AI372+AJ372</f>
        <v>0</v>
      </c>
      <c r="AL372" s="24" t="n">
        <f aca="false">SUMIFS(Permissions!$G$2:$G$3000,Permissions!$B$2:$B$3000,$A372,Permissions!$I$2:$I$3000,"Expired – not started",Permissions!$P$2:$P$3000,"Yes")</f>
        <v>0</v>
      </c>
      <c r="AM372" s="24" t="n">
        <f aca="false">SUMIFS(Permissions!$G$2:$G$3000,Permissions!$B$2:$B$3000,$A372,Permissions!$I$2:$I$3000,"In planning",Permissions!$P$2:$P$3000,"Yes")</f>
        <v>0</v>
      </c>
      <c r="AN372" s="24" t="n">
        <f aca="false">IF(R372="",0,MAX(R372-AK372,0))</f>
        <v>5</v>
      </c>
      <c r="AO372" s="25" t="n">
        <f aca="false">AK372+AN372</f>
        <v>5</v>
      </c>
      <c r="AP372" s="24" t="n">
        <f aca="false">AO372-AG372</f>
        <v>5</v>
      </c>
      <c r="AQ372" s="26" t="n">
        <f aca="false">SUMIFS(Permissions!$AH$2:$AH$3000,Permissions!$B$2:$B$3000,$A372,Permissions!$P$2:$P$3000,"Yes")</f>
        <v>0</v>
      </c>
      <c r="AR372" s="26" t="n">
        <f aca="false">SUMIFS(Permissions!$AI$2:$AI$3000,Permissions!$B$2:$B$3000,$A372,Permissions!$P$2:$P$3000,"Yes")</f>
        <v>0</v>
      </c>
      <c r="AS372" s="26" t="n">
        <f aca="false">SUMIFS(Permissions!$AJ$2:$AJ$3000,Permissions!$B$2:$B$3000,$A372,Permissions!$P$2:$P$3000,"Yes")</f>
        <v>0</v>
      </c>
      <c r="AT372" s="26" t="n">
        <f aca="false">SUMIFS(Permissions!$AK$2:$AK$3000,Permissions!$B$2:$B$3000,$A372,Permissions!$P$2:$P$3000,"Yes")</f>
        <v>0</v>
      </c>
      <c r="AU372" s="26" t="n">
        <f aca="false">SUMIFS(Permissions!$AL$2:$AL$3000,Permissions!$B$2:$B$3000,$A372,Permissions!$P$2:$P$3000,"Yes")</f>
        <v>0</v>
      </c>
      <c r="AV372" s="26" t="n">
        <f aca="false">SUMIFS(Permissions!$AM$2:$AM$3000,Permissions!$B$2:$B$3000,$A372,Permissions!$P$2:$P$3000,"Yes")</f>
        <v>0</v>
      </c>
      <c r="AW372" s="24" t="n">
        <f aca="false">COUNTIFS(Permissions!$B$2:$B$3000,$A372,Permissions!$P$2:$P$3000,"Yes")</f>
        <v>0</v>
      </c>
      <c r="AX372" s="24" t="n">
        <f aca="false">SUMIFS(Permissions!$L$2:$L$3000,Permissions!$B$2:$B$3000,$A372,Permissions!$P$2:$P$3000,"Yes")</f>
        <v>0</v>
      </c>
      <c r="AY372" s="27" t="str">
        <f aca="false">IF(AND(AK372&gt;0,AG372&gt;=AK372,AN372=0),"Built out",IF(AG372&gt;0,"Partly built",IF(AK372&gt;0,"Consented – not built","No consent")))</f>
        <v>No consent</v>
      </c>
      <c r="AZ372" s="28" t="str">
        <f aca="false">IF(AND(R372&lt;&gt;"",AK372&gt;1.1*R372),"Consented above capacity",IF(AND(LEFT(B372,8)="Planning",AW372=0),"Consent parcel with no permission",IF(COUNTIF($A$2:$A$3000,$A372)&gt;1,"Duplicate parcel_id","")))</f>
        <v/>
      </c>
    </row>
    <row r="373" customFormat="false" ht="15" hidden="false" customHeight="false" outlineLevel="0" collapsed="false">
      <c r="A373" s="15" t="s">
        <v>816</v>
      </c>
      <c r="B373" s="15" t="s">
        <v>13</v>
      </c>
      <c r="C373" s="15" t="s">
        <v>17</v>
      </c>
      <c r="D373" s="15" t="s">
        <v>63</v>
      </c>
      <c r="E373" s="15" t="s">
        <v>20</v>
      </c>
      <c r="F373" s="15" t="n">
        <v>0.3</v>
      </c>
      <c r="G373" s="15" t="s">
        <v>154</v>
      </c>
      <c r="H373" s="15"/>
      <c r="I373" s="15" t="s">
        <v>17</v>
      </c>
      <c r="J373" s="15" t="s">
        <v>559</v>
      </c>
      <c r="K373" s="15" t="s">
        <v>806</v>
      </c>
      <c r="L373" s="15"/>
      <c r="M373" s="15" t="s">
        <v>798</v>
      </c>
      <c r="N373" s="15"/>
      <c r="O373" s="15"/>
      <c r="P373" s="15" t="n">
        <v>0.223</v>
      </c>
      <c r="Q373" s="15" t="n">
        <v>0.245</v>
      </c>
      <c r="R373" s="15" t="n">
        <v>6</v>
      </c>
      <c r="S373" s="15" t="s">
        <v>734</v>
      </c>
      <c r="T373" s="15" t="s">
        <v>807</v>
      </c>
      <c r="U373" s="15" t="s">
        <v>752</v>
      </c>
      <c r="V373" s="15"/>
      <c r="W373" s="15" t="s">
        <v>746</v>
      </c>
      <c r="X373" s="15" t="n">
        <v>25</v>
      </c>
      <c r="Y373" s="15" t="s">
        <v>747</v>
      </c>
      <c r="Z373" s="15" t="n">
        <v>0.74</v>
      </c>
      <c r="AA373" s="15" t="n">
        <v>0</v>
      </c>
      <c r="AB373" s="15" t="n">
        <v>0</v>
      </c>
      <c r="AC373" s="15"/>
      <c r="AD373" s="15"/>
      <c r="AE373" s="15" t="s">
        <v>163</v>
      </c>
      <c r="AF373" s="15"/>
      <c r="AG373" s="24" t="n">
        <f aca="false">SUMIFS(Permissions!$G$2:$G$3000,Permissions!$B$2:$B$3000,$A373,Permissions!$I$2:$I$3000,"Complete",Permissions!$P$2:$P$3000,"Yes")</f>
        <v>0</v>
      </c>
      <c r="AH373" s="24" t="n">
        <f aca="false">SUMIFS(Permissions!$G$2:$G$3000,Permissions!$B$2:$B$3000,$A373,Permissions!$I$2:$I$3000,"Under construction",Permissions!$P$2:$P$3000,"Yes")</f>
        <v>0</v>
      </c>
      <c r="AI373" s="24" t="n">
        <f aca="false">SUMIFS(Permissions!$G$2:$G$3000,Permissions!$B$2:$B$3000,$A373,Permissions!$I$2:$I$3000,"Permitted – not started",Permissions!$P$2:$P$3000,"Yes")</f>
        <v>0</v>
      </c>
      <c r="AJ373" s="24" t="n">
        <f aca="false">SUMIFS(Permissions!$G$2:$G$3000,Permissions!$B$2:$B$3000,$A373,Permissions!$I$2:$I$3000,"Stalled",Permissions!$P$2:$P$3000,"Yes")</f>
        <v>0</v>
      </c>
      <c r="AK373" s="24" t="n">
        <f aca="false">AG373+AH373+AI373+AJ373</f>
        <v>0</v>
      </c>
      <c r="AL373" s="24" t="n">
        <f aca="false">SUMIFS(Permissions!$G$2:$G$3000,Permissions!$B$2:$B$3000,$A373,Permissions!$I$2:$I$3000,"Expired – not started",Permissions!$P$2:$P$3000,"Yes")</f>
        <v>0</v>
      </c>
      <c r="AM373" s="24" t="n">
        <f aca="false">SUMIFS(Permissions!$G$2:$G$3000,Permissions!$B$2:$B$3000,$A373,Permissions!$I$2:$I$3000,"In planning",Permissions!$P$2:$P$3000,"Yes")</f>
        <v>0</v>
      </c>
      <c r="AN373" s="24" t="n">
        <f aca="false">IF(R373="",0,MAX(R373-AK373,0))</f>
        <v>6</v>
      </c>
      <c r="AO373" s="25" t="n">
        <f aca="false">AK373+AN373</f>
        <v>6</v>
      </c>
      <c r="AP373" s="24" t="n">
        <f aca="false">AO373-AG373</f>
        <v>6</v>
      </c>
      <c r="AQ373" s="26" t="n">
        <f aca="false">SUMIFS(Permissions!$AH$2:$AH$3000,Permissions!$B$2:$B$3000,$A373,Permissions!$P$2:$P$3000,"Yes")</f>
        <v>0</v>
      </c>
      <c r="AR373" s="26" t="n">
        <f aca="false">SUMIFS(Permissions!$AI$2:$AI$3000,Permissions!$B$2:$B$3000,$A373,Permissions!$P$2:$P$3000,"Yes")</f>
        <v>0</v>
      </c>
      <c r="AS373" s="26" t="n">
        <f aca="false">SUMIFS(Permissions!$AJ$2:$AJ$3000,Permissions!$B$2:$B$3000,$A373,Permissions!$P$2:$P$3000,"Yes")</f>
        <v>0</v>
      </c>
      <c r="AT373" s="26" t="n">
        <f aca="false">SUMIFS(Permissions!$AK$2:$AK$3000,Permissions!$B$2:$B$3000,$A373,Permissions!$P$2:$P$3000,"Yes")</f>
        <v>0</v>
      </c>
      <c r="AU373" s="26" t="n">
        <f aca="false">SUMIFS(Permissions!$AL$2:$AL$3000,Permissions!$B$2:$B$3000,$A373,Permissions!$P$2:$P$3000,"Yes")</f>
        <v>0</v>
      </c>
      <c r="AV373" s="26" t="n">
        <f aca="false">SUMIFS(Permissions!$AM$2:$AM$3000,Permissions!$B$2:$B$3000,$A373,Permissions!$P$2:$P$3000,"Yes")</f>
        <v>0</v>
      </c>
      <c r="AW373" s="24" t="n">
        <f aca="false">COUNTIFS(Permissions!$B$2:$B$3000,$A373,Permissions!$P$2:$P$3000,"Yes")</f>
        <v>0</v>
      </c>
      <c r="AX373" s="24" t="n">
        <f aca="false">SUMIFS(Permissions!$L$2:$L$3000,Permissions!$B$2:$B$3000,$A373,Permissions!$P$2:$P$3000,"Yes")</f>
        <v>0</v>
      </c>
      <c r="AY373" s="27" t="str">
        <f aca="false">IF(AND(AK373&gt;0,AG373&gt;=AK373,AN373=0),"Built out",IF(AG373&gt;0,"Partly built",IF(AK373&gt;0,"Consented – not built","No consent")))</f>
        <v>No consent</v>
      </c>
      <c r="AZ373" s="28" t="str">
        <f aca="false">IF(AND(R373&lt;&gt;"",AK373&gt;1.1*R373),"Consented above capacity",IF(AND(LEFT(B373,8)="Planning",AW373=0),"Consent parcel with no permission",IF(COUNTIF($A$2:$A$3000,$A373)&gt;1,"Duplicate parcel_id","")))</f>
        <v/>
      </c>
    </row>
    <row r="374" customFormat="false" ht="15" hidden="false" customHeight="false" outlineLevel="0" collapsed="false">
      <c r="A374" s="15" t="s">
        <v>817</v>
      </c>
      <c r="B374" s="15" t="s">
        <v>13</v>
      </c>
      <c r="C374" s="15" t="s">
        <v>17</v>
      </c>
      <c r="D374" s="15" t="s">
        <v>68</v>
      </c>
      <c r="E374" s="15" t="s">
        <v>21</v>
      </c>
      <c r="F374" s="15" t="n">
        <v>0.57</v>
      </c>
      <c r="G374" s="15" t="s">
        <v>154</v>
      </c>
      <c r="H374" s="15"/>
      <c r="I374" s="15" t="s">
        <v>17</v>
      </c>
      <c r="J374" s="15" t="s">
        <v>559</v>
      </c>
      <c r="K374" s="15" t="s">
        <v>732</v>
      </c>
      <c r="L374" s="15"/>
      <c r="M374" s="15" t="s">
        <v>733</v>
      </c>
      <c r="N374" s="15"/>
      <c r="O374" s="15"/>
      <c r="P374" s="15" t="n">
        <v>0.197</v>
      </c>
      <c r="Q374" s="15" t="n">
        <v>0.216</v>
      </c>
      <c r="R374" s="15" t="n">
        <v>5</v>
      </c>
      <c r="S374" s="15" t="s">
        <v>734</v>
      </c>
      <c r="T374" s="15" t="s">
        <v>735</v>
      </c>
      <c r="U374" s="15" t="s">
        <v>736</v>
      </c>
      <c r="V374" s="15"/>
      <c r="W374" s="15" t="s">
        <v>746</v>
      </c>
      <c r="X374" s="15" t="n">
        <v>25</v>
      </c>
      <c r="Y374" s="15" t="s">
        <v>747</v>
      </c>
      <c r="Z374" s="15" t="n">
        <v>0.89</v>
      </c>
      <c r="AA374" s="15" t="n">
        <v>0</v>
      </c>
      <c r="AB374" s="15" t="n">
        <v>0</v>
      </c>
      <c r="AC374" s="15"/>
      <c r="AD374" s="15"/>
      <c r="AE374" s="15" t="s">
        <v>163</v>
      </c>
      <c r="AF374" s="15"/>
      <c r="AG374" s="24" t="n">
        <f aca="false">SUMIFS(Permissions!$G$2:$G$3000,Permissions!$B$2:$B$3000,$A374,Permissions!$I$2:$I$3000,"Complete",Permissions!$P$2:$P$3000,"Yes")</f>
        <v>0</v>
      </c>
      <c r="AH374" s="24" t="n">
        <f aca="false">SUMIFS(Permissions!$G$2:$G$3000,Permissions!$B$2:$B$3000,$A374,Permissions!$I$2:$I$3000,"Under construction",Permissions!$P$2:$P$3000,"Yes")</f>
        <v>0</v>
      </c>
      <c r="AI374" s="24" t="n">
        <f aca="false">SUMIFS(Permissions!$G$2:$G$3000,Permissions!$B$2:$B$3000,$A374,Permissions!$I$2:$I$3000,"Permitted – not started",Permissions!$P$2:$P$3000,"Yes")</f>
        <v>0</v>
      </c>
      <c r="AJ374" s="24" t="n">
        <f aca="false">SUMIFS(Permissions!$G$2:$G$3000,Permissions!$B$2:$B$3000,$A374,Permissions!$I$2:$I$3000,"Stalled",Permissions!$P$2:$P$3000,"Yes")</f>
        <v>0</v>
      </c>
      <c r="AK374" s="24" t="n">
        <f aca="false">AG374+AH374+AI374+AJ374</f>
        <v>0</v>
      </c>
      <c r="AL374" s="24" t="n">
        <f aca="false">SUMIFS(Permissions!$G$2:$G$3000,Permissions!$B$2:$B$3000,$A374,Permissions!$I$2:$I$3000,"Expired – not started",Permissions!$P$2:$P$3000,"Yes")</f>
        <v>0</v>
      </c>
      <c r="AM374" s="24" t="n">
        <f aca="false">SUMIFS(Permissions!$G$2:$G$3000,Permissions!$B$2:$B$3000,$A374,Permissions!$I$2:$I$3000,"In planning",Permissions!$P$2:$P$3000,"Yes")</f>
        <v>0</v>
      </c>
      <c r="AN374" s="24" t="n">
        <f aca="false">IF(R374="",0,MAX(R374-AK374,0))</f>
        <v>5</v>
      </c>
      <c r="AO374" s="25" t="n">
        <f aca="false">AK374+AN374</f>
        <v>5</v>
      </c>
      <c r="AP374" s="24" t="n">
        <f aca="false">AO374-AG374</f>
        <v>5</v>
      </c>
      <c r="AQ374" s="26" t="n">
        <f aca="false">SUMIFS(Permissions!$AH$2:$AH$3000,Permissions!$B$2:$B$3000,$A374,Permissions!$P$2:$P$3000,"Yes")</f>
        <v>0</v>
      </c>
      <c r="AR374" s="26" t="n">
        <f aca="false">SUMIFS(Permissions!$AI$2:$AI$3000,Permissions!$B$2:$B$3000,$A374,Permissions!$P$2:$P$3000,"Yes")</f>
        <v>0</v>
      </c>
      <c r="AS374" s="26" t="n">
        <f aca="false">SUMIFS(Permissions!$AJ$2:$AJ$3000,Permissions!$B$2:$B$3000,$A374,Permissions!$P$2:$P$3000,"Yes")</f>
        <v>0</v>
      </c>
      <c r="AT374" s="26" t="n">
        <f aca="false">SUMIFS(Permissions!$AK$2:$AK$3000,Permissions!$B$2:$B$3000,$A374,Permissions!$P$2:$P$3000,"Yes")</f>
        <v>0</v>
      </c>
      <c r="AU374" s="26" t="n">
        <f aca="false">SUMIFS(Permissions!$AL$2:$AL$3000,Permissions!$B$2:$B$3000,$A374,Permissions!$P$2:$P$3000,"Yes")</f>
        <v>0</v>
      </c>
      <c r="AV374" s="26" t="n">
        <f aca="false">SUMIFS(Permissions!$AM$2:$AM$3000,Permissions!$B$2:$B$3000,$A374,Permissions!$P$2:$P$3000,"Yes")</f>
        <v>0</v>
      </c>
      <c r="AW374" s="24" t="n">
        <f aca="false">COUNTIFS(Permissions!$B$2:$B$3000,$A374,Permissions!$P$2:$P$3000,"Yes")</f>
        <v>0</v>
      </c>
      <c r="AX374" s="24" t="n">
        <f aca="false">SUMIFS(Permissions!$L$2:$L$3000,Permissions!$B$2:$B$3000,$A374,Permissions!$P$2:$P$3000,"Yes")</f>
        <v>0</v>
      </c>
      <c r="AY374" s="27" t="str">
        <f aca="false">IF(AND(AK374&gt;0,AG374&gt;=AK374,AN374=0),"Built out",IF(AG374&gt;0,"Partly built",IF(AK374&gt;0,"Consented – not built","No consent")))</f>
        <v>No consent</v>
      </c>
      <c r="AZ374" s="28" t="str">
        <f aca="false">IF(AND(R374&lt;&gt;"",AK374&gt;1.1*R374),"Consented above capacity",IF(AND(LEFT(B374,8)="Planning",AW374=0),"Consent parcel with no permission",IF(COUNTIF($A$2:$A$3000,$A374)&gt;1,"Duplicate parcel_id","")))</f>
        <v/>
      </c>
    </row>
    <row r="375" customFormat="false" ht="15" hidden="false" customHeight="false" outlineLevel="0" collapsed="false">
      <c r="A375" s="15" t="s">
        <v>818</v>
      </c>
      <c r="B375" s="15" t="s">
        <v>13</v>
      </c>
      <c r="C375" s="15" t="s">
        <v>17</v>
      </c>
      <c r="D375" s="15" t="s">
        <v>22</v>
      </c>
      <c r="E375" s="15" t="s">
        <v>22</v>
      </c>
      <c r="F375" s="15"/>
      <c r="G375" s="15" t="s">
        <v>22</v>
      </c>
      <c r="H375" s="15"/>
      <c r="I375" s="15" t="s">
        <v>17</v>
      </c>
      <c r="J375" s="15" t="s">
        <v>568</v>
      </c>
      <c r="K375" s="15" t="s">
        <v>819</v>
      </c>
      <c r="L375" s="15"/>
      <c r="M375" s="15" t="s">
        <v>751</v>
      </c>
      <c r="N375" s="15"/>
      <c r="O375" s="15"/>
      <c r="P375" s="15" t="n">
        <v>0.703</v>
      </c>
      <c r="Q375" s="15" t="n">
        <v>0.773</v>
      </c>
      <c r="R375" s="15" t="n">
        <v>13</v>
      </c>
      <c r="S375" s="15" t="s">
        <v>734</v>
      </c>
      <c r="T375" s="15" t="s">
        <v>735</v>
      </c>
      <c r="U375" s="15" t="s">
        <v>752</v>
      </c>
      <c r="V375" s="15"/>
      <c r="W375" s="15" t="s">
        <v>753</v>
      </c>
      <c r="X375" s="15" t="n">
        <v>19</v>
      </c>
      <c r="Y375" s="15" t="s">
        <v>754</v>
      </c>
      <c r="Z375" s="15" t="n">
        <v>0</v>
      </c>
      <c r="AA375" s="15" t="n">
        <v>0</v>
      </c>
      <c r="AB375" s="15" t="n">
        <v>0</v>
      </c>
      <c r="AC375" s="15"/>
      <c r="AD375" s="15"/>
      <c r="AE375" s="15" t="s">
        <v>163</v>
      </c>
      <c r="AF375" s="15"/>
      <c r="AG375" s="24" t="n">
        <f aca="false">SUMIFS(Permissions!$G$2:$G$3000,Permissions!$B$2:$B$3000,$A375,Permissions!$I$2:$I$3000,"Complete",Permissions!$P$2:$P$3000,"Yes")</f>
        <v>0</v>
      </c>
      <c r="AH375" s="24" t="n">
        <f aca="false">SUMIFS(Permissions!$G$2:$G$3000,Permissions!$B$2:$B$3000,$A375,Permissions!$I$2:$I$3000,"Under construction",Permissions!$P$2:$P$3000,"Yes")</f>
        <v>0</v>
      </c>
      <c r="AI375" s="24" t="n">
        <f aca="false">SUMIFS(Permissions!$G$2:$G$3000,Permissions!$B$2:$B$3000,$A375,Permissions!$I$2:$I$3000,"Permitted – not started",Permissions!$P$2:$P$3000,"Yes")</f>
        <v>0</v>
      </c>
      <c r="AJ375" s="24" t="n">
        <f aca="false">SUMIFS(Permissions!$G$2:$G$3000,Permissions!$B$2:$B$3000,$A375,Permissions!$I$2:$I$3000,"Stalled",Permissions!$P$2:$P$3000,"Yes")</f>
        <v>0</v>
      </c>
      <c r="AK375" s="24" t="n">
        <f aca="false">AG375+AH375+AI375+AJ375</f>
        <v>0</v>
      </c>
      <c r="AL375" s="24" t="n">
        <f aca="false">SUMIFS(Permissions!$G$2:$G$3000,Permissions!$B$2:$B$3000,$A375,Permissions!$I$2:$I$3000,"Expired – not started",Permissions!$P$2:$P$3000,"Yes")</f>
        <v>0</v>
      </c>
      <c r="AM375" s="24" t="n">
        <f aca="false">SUMIFS(Permissions!$G$2:$G$3000,Permissions!$B$2:$B$3000,$A375,Permissions!$I$2:$I$3000,"In planning",Permissions!$P$2:$P$3000,"Yes")</f>
        <v>0</v>
      </c>
      <c r="AN375" s="24" t="n">
        <f aca="false">IF(R375="",0,MAX(R375-AK375,0))</f>
        <v>13</v>
      </c>
      <c r="AO375" s="25" t="n">
        <f aca="false">AK375+AN375</f>
        <v>13</v>
      </c>
      <c r="AP375" s="24" t="n">
        <f aca="false">AO375-AG375</f>
        <v>13</v>
      </c>
      <c r="AQ375" s="26" t="n">
        <f aca="false">SUMIFS(Permissions!$AH$2:$AH$3000,Permissions!$B$2:$B$3000,$A375,Permissions!$P$2:$P$3000,"Yes")</f>
        <v>0</v>
      </c>
      <c r="AR375" s="26" t="n">
        <f aca="false">SUMIFS(Permissions!$AI$2:$AI$3000,Permissions!$B$2:$B$3000,$A375,Permissions!$P$2:$P$3000,"Yes")</f>
        <v>0</v>
      </c>
      <c r="AS375" s="26" t="n">
        <f aca="false">SUMIFS(Permissions!$AJ$2:$AJ$3000,Permissions!$B$2:$B$3000,$A375,Permissions!$P$2:$P$3000,"Yes")</f>
        <v>0</v>
      </c>
      <c r="AT375" s="26" t="n">
        <f aca="false">SUMIFS(Permissions!$AK$2:$AK$3000,Permissions!$B$2:$B$3000,$A375,Permissions!$P$2:$P$3000,"Yes")</f>
        <v>0</v>
      </c>
      <c r="AU375" s="26" t="n">
        <f aca="false">SUMIFS(Permissions!$AL$2:$AL$3000,Permissions!$B$2:$B$3000,$A375,Permissions!$P$2:$P$3000,"Yes")</f>
        <v>0</v>
      </c>
      <c r="AV375" s="26" t="n">
        <f aca="false">SUMIFS(Permissions!$AM$2:$AM$3000,Permissions!$B$2:$B$3000,$A375,Permissions!$P$2:$P$3000,"Yes")</f>
        <v>0</v>
      </c>
      <c r="AW375" s="24" t="n">
        <f aca="false">COUNTIFS(Permissions!$B$2:$B$3000,$A375,Permissions!$P$2:$P$3000,"Yes")</f>
        <v>0</v>
      </c>
      <c r="AX375" s="24" t="n">
        <f aca="false">SUMIFS(Permissions!$L$2:$L$3000,Permissions!$B$2:$B$3000,$A375,Permissions!$P$2:$P$3000,"Yes")</f>
        <v>0</v>
      </c>
      <c r="AY375" s="27" t="str">
        <f aca="false">IF(AND(AK375&gt;0,AG375&gt;=AK375,AN375=0),"Built out",IF(AG375&gt;0,"Partly built",IF(AK375&gt;0,"Consented – not built","No consent")))</f>
        <v>No consent</v>
      </c>
      <c r="AZ375" s="28" t="str">
        <f aca="false">IF(AND(R375&lt;&gt;"",AK375&gt;1.1*R375),"Consented above capacity",IF(AND(LEFT(B375,8)="Planning",AW375=0),"Consent parcel with no permission",IF(COUNTIF($A$2:$A$3000,$A375)&gt;1,"Duplicate parcel_id","")))</f>
        <v/>
      </c>
    </row>
    <row r="376" customFormat="false" ht="15" hidden="false" customHeight="false" outlineLevel="0" collapsed="false">
      <c r="A376" s="15" t="s">
        <v>820</v>
      </c>
      <c r="B376" s="15" t="s">
        <v>13</v>
      </c>
      <c r="C376" s="15" t="s">
        <v>17</v>
      </c>
      <c r="D376" s="15" t="s">
        <v>68</v>
      </c>
      <c r="E376" s="15" t="s">
        <v>21</v>
      </c>
      <c r="F376" s="15" t="n">
        <v>0.1</v>
      </c>
      <c r="G376" s="15" t="s">
        <v>154</v>
      </c>
      <c r="H376" s="15"/>
      <c r="I376" s="15" t="s">
        <v>17</v>
      </c>
      <c r="J376" s="15" t="s">
        <v>559</v>
      </c>
      <c r="K376" s="15" t="s">
        <v>819</v>
      </c>
      <c r="L376" s="15"/>
      <c r="M376" s="15" t="s">
        <v>751</v>
      </c>
      <c r="N376" s="15"/>
      <c r="O376" s="15"/>
      <c r="P376" s="15" t="n">
        <v>1.253</v>
      </c>
      <c r="Q376" s="15" t="n">
        <v>1.377</v>
      </c>
      <c r="R376" s="15" t="n">
        <v>24</v>
      </c>
      <c r="S376" s="15" t="s">
        <v>734</v>
      </c>
      <c r="T376" s="15" t="s">
        <v>735</v>
      </c>
      <c r="U376" s="15" t="s">
        <v>752</v>
      </c>
      <c r="V376" s="15"/>
      <c r="W376" s="15" t="s">
        <v>753</v>
      </c>
      <c r="X376" s="15" t="n">
        <v>19</v>
      </c>
      <c r="Y376" s="15" t="s">
        <v>754</v>
      </c>
      <c r="Z376" s="15" t="n">
        <v>1</v>
      </c>
      <c r="AA376" s="15" t="n">
        <v>0</v>
      </c>
      <c r="AB376" s="15" t="n">
        <v>0</v>
      </c>
      <c r="AC376" s="15"/>
      <c r="AD376" s="15"/>
      <c r="AE376" s="15" t="s">
        <v>163</v>
      </c>
      <c r="AF376" s="15"/>
      <c r="AG376" s="24" t="n">
        <f aca="false">SUMIFS(Permissions!$G$2:$G$3000,Permissions!$B$2:$B$3000,$A376,Permissions!$I$2:$I$3000,"Complete",Permissions!$P$2:$P$3000,"Yes")</f>
        <v>0</v>
      </c>
      <c r="AH376" s="24" t="n">
        <f aca="false">SUMIFS(Permissions!$G$2:$G$3000,Permissions!$B$2:$B$3000,$A376,Permissions!$I$2:$I$3000,"Under construction",Permissions!$P$2:$P$3000,"Yes")</f>
        <v>0</v>
      </c>
      <c r="AI376" s="24" t="n">
        <f aca="false">SUMIFS(Permissions!$G$2:$G$3000,Permissions!$B$2:$B$3000,$A376,Permissions!$I$2:$I$3000,"Permitted – not started",Permissions!$P$2:$P$3000,"Yes")</f>
        <v>0</v>
      </c>
      <c r="AJ376" s="24" t="n">
        <f aca="false">SUMIFS(Permissions!$G$2:$G$3000,Permissions!$B$2:$B$3000,$A376,Permissions!$I$2:$I$3000,"Stalled",Permissions!$P$2:$P$3000,"Yes")</f>
        <v>0</v>
      </c>
      <c r="AK376" s="24" t="n">
        <f aca="false">AG376+AH376+AI376+AJ376</f>
        <v>0</v>
      </c>
      <c r="AL376" s="24" t="n">
        <f aca="false">SUMIFS(Permissions!$G$2:$G$3000,Permissions!$B$2:$B$3000,$A376,Permissions!$I$2:$I$3000,"Expired – not started",Permissions!$P$2:$P$3000,"Yes")</f>
        <v>0</v>
      </c>
      <c r="AM376" s="24" t="n">
        <f aca="false">SUMIFS(Permissions!$G$2:$G$3000,Permissions!$B$2:$B$3000,$A376,Permissions!$I$2:$I$3000,"In planning",Permissions!$P$2:$P$3000,"Yes")</f>
        <v>0</v>
      </c>
      <c r="AN376" s="24" t="n">
        <f aca="false">IF(R376="",0,MAX(R376-AK376,0))</f>
        <v>24</v>
      </c>
      <c r="AO376" s="25" t="n">
        <f aca="false">AK376+AN376</f>
        <v>24</v>
      </c>
      <c r="AP376" s="24" t="n">
        <f aca="false">AO376-AG376</f>
        <v>24</v>
      </c>
      <c r="AQ376" s="26" t="n">
        <f aca="false">SUMIFS(Permissions!$AH$2:$AH$3000,Permissions!$B$2:$B$3000,$A376,Permissions!$P$2:$P$3000,"Yes")</f>
        <v>0</v>
      </c>
      <c r="AR376" s="26" t="n">
        <f aca="false">SUMIFS(Permissions!$AI$2:$AI$3000,Permissions!$B$2:$B$3000,$A376,Permissions!$P$2:$P$3000,"Yes")</f>
        <v>0</v>
      </c>
      <c r="AS376" s="26" t="n">
        <f aca="false">SUMIFS(Permissions!$AJ$2:$AJ$3000,Permissions!$B$2:$B$3000,$A376,Permissions!$P$2:$P$3000,"Yes")</f>
        <v>0</v>
      </c>
      <c r="AT376" s="26" t="n">
        <f aca="false">SUMIFS(Permissions!$AK$2:$AK$3000,Permissions!$B$2:$B$3000,$A376,Permissions!$P$2:$P$3000,"Yes")</f>
        <v>0</v>
      </c>
      <c r="AU376" s="26" t="n">
        <f aca="false">SUMIFS(Permissions!$AL$2:$AL$3000,Permissions!$B$2:$B$3000,$A376,Permissions!$P$2:$P$3000,"Yes")</f>
        <v>0</v>
      </c>
      <c r="AV376" s="26" t="n">
        <f aca="false">SUMIFS(Permissions!$AM$2:$AM$3000,Permissions!$B$2:$B$3000,$A376,Permissions!$P$2:$P$3000,"Yes")</f>
        <v>0</v>
      </c>
      <c r="AW376" s="24" t="n">
        <f aca="false">COUNTIFS(Permissions!$B$2:$B$3000,$A376,Permissions!$P$2:$P$3000,"Yes")</f>
        <v>0</v>
      </c>
      <c r="AX376" s="24" t="n">
        <f aca="false">SUMIFS(Permissions!$L$2:$L$3000,Permissions!$B$2:$B$3000,$A376,Permissions!$P$2:$P$3000,"Yes")</f>
        <v>0</v>
      </c>
      <c r="AY376" s="27" t="str">
        <f aca="false">IF(AND(AK376&gt;0,AG376&gt;=AK376,AN376=0),"Built out",IF(AG376&gt;0,"Partly built",IF(AK376&gt;0,"Consented – not built","No consent")))</f>
        <v>No consent</v>
      </c>
      <c r="AZ376" s="28" t="str">
        <f aca="false">IF(AND(R376&lt;&gt;"",AK376&gt;1.1*R376),"Consented above capacity",IF(AND(LEFT(B376,8)="Planning",AW376=0),"Consent parcel with no permission",IF(COUNTIF($A$2:$A$3000,$A376)&gt;1,"Duplicate parcel_id","")))</f>
        <v/>
      </c>
    </row>
    <row r="377" customFormat="false" ht="15" hidden="false" customHeight="false" outlineLevel="0" collapsed="false">
      <c r="A377" s="15" t="s">
        <v>821</v>
      </c>
      <c r="B377" s="15" t="s">
        <v>13</v>
      </c>
      <c r="C377" s="15" t="s">
        <v>17</v>
      </c>
      <c r="D377" s="15" t="s">
        <v>72</v>
      </c>
      <c r="E377" s="15" t="s">
        <v>21</v>
      </c>
      <c r="F377" s="15" t="n">
        <v>0.1</v>
      </c>
      <c r="G377" s="15" t="s">
        <v>154</v>
      </c>
      <c r="H377" s="15"/>
      <c r="I377" s="15" t="s">
        <v>17</v>
      </c>
      <c r="J377" s="15" t="s">
        <v>559</v>
      </c>
      <c r="K377" s="15" t="s">
        <v>819</v>
      </c>
      <c r="L377" s="15"/>
      <c r="M377" s="15" t="s">
        <v>751</v>
      </c>
      <c r="N377" s="15"/>
      <c r="O377" s="15"/>
      <c r="P377" s="15" t="n">
        <v>1.345</v>
      </c>
      <c r="Q377" s="15" t="n">
        <v>1.477</v>
      </c>
      <c r="R377" s="15" t="n">
        <v>26</v>
      </c>
      <c r="S377" s="15" t="s">
        <v>734</v>
      </c>
      <c r="T377" s="15" t="s">
        <v>735</v>
      </c>
      <c r="U377" s="15" t="s">
        <v>752</v>
      </c>
      <c r="V377" s="15"/>
      <c r="W377" s="15" t="s">
        <v>753</v>
      </c>
      <c r="X377" s="15" t="n">
        <v>19</v>
      </c>
      <c r="Y377" s="15" t="s">
        <v>754</v>
      </c>
      <c r="Z377" s="15" t="n">
        <v>0.94</v>
      </c>
      <c r="AA377" s="15" t="n">
        <v>0</v>
      </c>
      <c r="AB377" s="15" t="n">
        <v>0</v>
      </c>
      <c r="AC377" s="15"/>
      <c r="AD377" s="15"/>
      <c r="AE377" s="15" t="s">
        <v>163</v>
      </c>
      <c r="AF377" s="15"/>
      <c r="AG377" s="24" t="n">
        <f aca="false">SUMIFS(Permissions!$G$2:$G$3000,Permissions!$B$2:$B$3000,$A377,Permissions!$I$2:$I$3000,"Complete",Permissions!$P$2:$P$3000,"Yes")</f>
        <v>0</v>
      </c>
      <c r="AH377" s="24" t="n">
        <f aca="false">SUMIFS(Permissions!$G$2:$G$3000,Permissions!$B$2:$B$3000,$A377,Permissions!$I$2:$I$3000,"Under construction",Permissions!$P$2:$P$3000,"Yes")</f>
        <v>0</v>
      </c>
      <c r="AI377" s="24" t="n">
        <f aca="false">SUMIFS(Permissions!$G$2:$G$3000,Permissions!$B$2:$B$3000,$A377,Permissions!$I$2:$I$3000,"Permitted – not started",Permissions!$P$2:$P$3000,"Yes")</f>
        <v>0</v>
      </c>
      <c r="AJ377" s="24" t="n">
        <f aca="false">SUMIFS(Permissions!$G$2:$G$3000,Permissions!$B$2:$B$3000,$A377,Permissions!$I$2:$I$3000,"Stalled",Permissions!$P$2:$P$3000,"Yes")</f>
        <v>0</v>
      </c>
      <c r="AK377" s="24" t="n">
        <f aca="false">AG377+AH377+AI377+AJ377</f>
        <v>0</v>
      </c>
      <c r="AL377" s="24" t="n">
        <f aca="false">SUMIFS(Permissions!$G$2:$G$3000,Permissions!$B$2:$B$3000,$A377,Permissions!$I$2:$I$3000,"Expired – not started",Permissions!$P$2:$P$3000,"Yes")</f>
        <v>0</v>
      </c>
      <c r="AM377" s="24" t="n">
        <f aca="false">SUMIFS(Permissions!$G$2:$G$3000,Permissions!$B$2:$B$3000,$A377,Permissions!$I$2:$I$3000,"In planning",Permissions!$P$2:$P$3000,"Yes")</f>
        <v>0</v>
      </c>
      <c r="AN377" s="24" t="n">
        <f aca="false">IF(R377="",0,MAX(R377-AK377,0))</f>
        <v>26</v>
      </c>
      <c r="AO377" s="25" t="n">
        <f aca="false">AK377+AN377</f>
        <v>26</v>
      </c>
      <c r="AP377" s="24" t="n">
        <f aca="false">AO377-AG377</f>
        <v>26</v>
      </c>
      <c r="AQ377" s="26" t="n">
        <f aca="false">SUMIFS(Permissions!$AH$2:$AH$3000,Permissions!$B$2:$B$3000,$A377,Permissions!$P$2:$P$3000,"Yes")</f>
        <v>0</v>
      </c>
      <c r="AR377" s="26" t="n">
        <f aca="false">SUMIFS(Permissions!$AI$2:$AI$3000,Permissions!$B$2:$B$3000,$A377,Permissions!$P$2:$P$3000,"Yes")</f>
        <v>0</v>
      </c>
      <c r="AS377" s="26" t="n">
        <f aca="false">SUMIFS(Permissions!$AJ$2:$AJ$3000,Permissions!$B$2:$B$3000,$A377,Permissions!$P$2:$P$3000,"Yes")</f>
        <v>0</v>
      </c>
      <c r="AT377" s="26" t="n">
        <f aca="false">SUMIFS(Permissions!$AK$2:$AK$3000,Permissions!$B$2:$B$3000,$A377,Permissions!$P$2:$P$3000,"Yes")</f>
        <v>0</v>
      </c>
      <c r="AU377" s="26" t="n">
        <f aca="false">SUMIFS(Permissions!$AL$2:$AL$3000,Permissions!$B$2:$B$3000,$A377,Permissions!$P$2:$P$3000,"Yes")</f>
        <v>0</v>
      </c>
      <c r="AV377" s="26" t="n">
        <f aca="false">SUMIFS(Permissions!$AM$2:$AM$3000,Permissions!$B$2:$B$3000,$A377,Permissions!$P$2:$P$3000,"Yes")</f>
        <v>0</v>
      </c>
      <c r="AW377" s="24" t="n">
        <f aca="false">COUNTIFS(Permissions!$B$2:$B$3000,$A377,Permissions!$P$2:$P$3000,"Yes")</f>
        <v>0</v>
      </c>
      <c r="AX377" s="24" t="n">
        <f aca="false">SUMIFS(Permissions!$L$2:$L$3000,Permissions!$B$2:$B$3000,$A377,Permissions!$P$2:$P$3000,"Yes")</f>
        <v>0</v>
      </c>
      <c r="AY377" s="27" t="str">
        <f aca="false">IF(AND(AK377&gt;0,AG377&gt;=AK377,AN377=0),"Built out",IF(AG377&gt;0,"Partly built",IF(AK377&gt;0,"Consented – not built","No consent")))</f>
        <v>No consent</v>
      </c>
      <c r="AZ377" s="28" t="str">
        <f aca="false">IF(AND(R377&lt;&gt;"",AK377&gt;1.1*R377),"Consented above capacity",IF(AND(LEFT(B377,8)="Planning",AW377=0),"Consent parcel with no permission",IF(COUNTIF($A$2:$A$3000,$A377)&gt;1,"Duplicate parcel_id","")))</f>
        <v/>
      </c>
    </row>
    <row r="378" customFormat="false" ht="15" hidden="false" customHeight="false" outlineLevel="0" collapsed="false">
      <c r="A378" s="15" t="s">
        <v>822</v>
      </c>
      <c r="B378" s="15" t="s">
        <v>13</v>
      </c>
      <c r="C378" s="15" t="s">
        <v>17</v>
      </c>
      <c r="D378" s="15" t="s">
        <v>72</v>
      </c>
      <c r="E378" s="15" t="s">
        <v>21</v>
      </c>
      <c r="F378" s="15" t="n">
        <v>1</v>
      </c>
      <c r="G378" s="15" t="s">
        <v>154</v>
      </c>
      <c r="H378" s="15"/>
      <c r="I378" s="15" t="s">
        <v>17</v>
      </c>
      <c r="J378" s="15" t="s">
        <v>559</v>
      </c>
      <c r="K378" s="15" t="s">
        <v>732</v>
      </c>
      <c r="L378" s="15"/>
      <c r="M378" s="15" t="s">
        <v>733</v>
      </c>
      <c r="N378" s="15"/>
      <c r="O378" s="15"/>
      <c r="P378" s="15" t="n">
        <v>0.597</v>
      </c>
      <c r="Q378" s="15" t="n">
        <v>0.656</v>
      </c>
      <c r="R378" s="15" t="n">
        <v>15</v>
      </c>
      <c r="S378" s="15" t="s">
        <v>734</v>
      </c>
      <c r="T378" s="15" t="s">
        <v>735</v>
      </c>
      <c r="U378" s="15" t="s">
        <v>736</v>
      </c>
      <c r="V378" s="15"/>
      <c r="W378" s="15" t="s">
        <v>746</v>
      </c>
      <c r="X378" s="15" t="n">
        <v>25</v>
      </c>
      <c r="Y378" s="15" t="s">
        <v>747</v>
      </c>
      <c r="Z378" s="15" t="n">
        <v>1</v>
      </c>
      <c r="AA378" s="15" t="n">
        <v>0</v>
      </c>
      <c r="AB378" s="15" t="n">
        <v>0</v>
      </c>
      <c r="AC378" s="15"/>
      <c r="AD378" s="15"/>
      <c r="AE378" s="15" t="s">
        <v>163</v>
      </c>
      <c r="AF378" s="15"/>
      <c r="AG378" s="24" t="n">
        <f aca="false">SUMIFS(Permissions!$G$2:$G$3000,Permissions!$B$2:$B$3000,$A378,Permissions!$I$2:$I$3000,"Complete",Permissions!$P$2:$P$3000,"Yes")</f>
        <v>0</v>
      </c>
      <c r="AH378" s="24" t="n">
        <f aca="false">SUMIFS(Permissions!$G$2:$G$3000,Permissions!$B$2:$B$3000,$A378,Permissions!$I$2:$I$3000,"Under construction",Permissions!$P$2:$P$3000,"Yes")</f>
        <v>0</v>
      </c>
      <c r="AI378" s="24" t="n">
        <f aca="false">SUMIFS(Permissions!$G$2:$G$3000,Permissions!$B$2:$B$3000,$A378,Permissions!$I$2:$I$3000,"Permitted – not started",Permissions!$P$2:$P$3000,"Yes")</f>
        <v>0</v>
      </c>
      <c r="AJ378" s="24" t="n">
        <f aca="false">SUMIFS(Permissions!$G$2:$G$3000,Permissions!$B$2:$B$3000,$A378,Permissions!$I$2:$I$3000,"Stalled",Permissions!$P$2:$P$3000,"Yes")</f>
        <v>0</v>
      </c>
      <c r="AK378" s="24" t="n">
        <f aca="false">AG378+AH378+AI378+AJ378</f>
        <v>0</v>
      </c>
      <c r="AL378" s="24" t="n">
        <f aca="false">SUMIFS(Permissions!$G$2:$G$3000,Permissions!$B$2:$B$3000,$A378,Permissions!$I$2:$I$3000,"Expired – not started",Permissions!$P$2:$P$3000,"Yes")</f>
        <v>0</v>
      </c>
      <c r="AM378" s="24" t="n">
        <f aca="false">SUMIFS(Permissions!$G$2:$G$3000,Permissions!$B$2:$B$3000,$A378,Permissions!$I$2:$I$3000,"In planning",Permissions!$P$2:$P$3000,"Yes")</f>
        <v>0</v>
      </c>
      <c r="AN378" s="24" t="n">
        <f aca="false">IF(R378="",0,MAX(R378-AK378,0))</f>
        <v>15</v>
      </c>
      <c r="AO378" s="25" t="n">
        <f aca="false">AK378+AN378</f>
        <v>15</v>
      </c>
      <c r="AP378" s="24" t="n">
        <f aca="false">AO378-AG378</f>
        <v>15</v>
      </c>
      <c r="AQ378" s="26" t="n">
        <f aca="false">SUMIFS(Permissions!$AH$2:$AH$3000,Permissions!$B$2:$B$3000,$A378,Permissions!$P$2:$P$3000,"Yes")</f>
        <v>0</v>
      </c>
      <c r="AR378" s="26" t="n">
        <f aca="false">SUMIFS(Permissions!$AI$2:$AI$3000,Permissions!$B$2:$B$3000,$A378,Permissions!$P$2:$P$3000,"Yes")</f>
        <v>0</v>
      </c>
      <c r="AS378" s="26" t="n">
        <f aca="false">SUMIFS(Permissions!$AJ$2:$AJ$3000,Permissions!$B$2:$B$3000,$A378,Permissions!$P$2:$P$3000,"Yes")</f>
        <v>0</v>
      </c>
      <c r="AT378" s="26" t="n">
        <f aca="false">SUMIFS(Permissions!$AK$2:$AK$3000,Permissions!$B$2:$B$3000,$A378,Permissions!$P$2:$P$3000,"Yes")</f>
        <v>0</v>
      </c>
      <c r="AU378" s="26" t="n">
        <f aca="false">SUMIFS(Permissions!$AL$2:$AL$3000,Permissions!$B$2:$B$3000,$A378,Permissions!$P$2:$P$3000,"Yes")</f>
        <v>0</v>
      </c>
      <c r="AV378" s="26" t="n">
        <f aca="false">SUMIFS(Permissions!$AM$2:$AM$3000,Permissions!$B$2:$B$3000,$A378,Permissions!$P$2:$P$3000,"Yes")</f>
        <v>0</v>
      </c>
      <c r="AW378" s="24" t="n">
        <f aca="false">COUNTIFS(Permissions!$B$2:$B$3000,$A378,Permissions!$P$2:$P$3000,"Yes")</f>
        <v>0</v>
      </c>
      <c r="AX378" s="24" t="n">
        <f aca="false">SUMIFS(Permissions!$L$2:$L$3000,Permissions!$B$2:$B$3000,$A378,Permissions!$P$2:$P$3000,"Yes")</f>
        <v>0</v>
      </c>
      <c r="AY378" s="27" t="str">
        <f aca="false">IF(AND(AK378&gt;0,AG378&gt;=AK378,AN378=0),"Built out",IF(AG378&gt;0,"Partly built",IF(AK378&gt;0,"Consented – not built","No consent")))</f>
        <v>No consent</v>
      </c>
      <c r="AZ378" s="28" t="str">
        <f aca="false">IF(AND(R378&lt;&gt;"",AK378&gt;1.1*R378),"Consented above capacity",IF(AND(LEFT(B378,8)="Planning",AW378=0),"Consent parcel with no permission",IF(COUNTIF($A$2:$A$3000,$A378)&gt;1,"Duplicate parcel_id","")))</f>
        <v/>
      </c>
    </row>
    <row r="379" customFormat="false" ht="15" hidden="false" customHeight="false" outlineLevel="0" collapsed="false">
      <c r="A379" s="15" t="s">
        <v>823</v>
      </c>
      <c r="B379" s="15" t="s">
        <v>13</v>
      </c>
      <c r="C379" s="15" t="s">
        <v>17</v>
      </c>
      <c r="D379" s="15" t="s">
        <v>22</v>
      </c>
      <c r="E379" s="15" t="s">
        <v>22</v>
      </c>
      <c r="F379" s="15"/>
      <c r="G379" s="15" t="s">
        <v>22</v>
      </c>
      <c r="H379" s="15"/>
      <c r="I379" s="15" t="s">
        <v>17</v>
      </c>
      <c r="J379" s="15" t="s">
        <v>559</v>
      </c>
      <c r="K379" s="15" t="s">
        <v>732</v>
      </c>
      <c r="L379" s="15"/>
      <c r="M379" s="15" t="s">
        <v>733</v>
      </c>
      <c r="N379" s="15"/>
      <c r="O379" s="15"/>
      <c r="P379" s="15" t="n">
        <v>0.224</v>
      </c>
      <c r="Q379" s="15" t="n">
        <v>0.247</v>
      </c>
      <c r="R379" s="15" t="n">
        <v>6</v>
      </c>
      <c r="S379" s="15" t="s">
        <v>734</v>
      </c>
      <c r="T379" s="15" t="s">
        <v>735</v>
      </c>
      <c r="U379" s="15" t="s">
        <v>736</v>
      </c>
      <c r="V379" s="15"/>
      <c r="W379" s="15" t="s">
        <v>746</v>
      </c>
      <c r="X379" s="15" t="n">
        <v>25</v>
      </c>
      <c r="Y379" s="15" t="s">
        <v>747</v>
      </c>
      <c r="Z379" s="15" t="n">
        <v>0.99</v>
      </c>
      <c r="AA379" s="15" t="n">
        <v>0</v>
      </c>
      <c r="AB379" s="15" t="n">
        <v>0</v>
      </c>
      <c r="AC379" s="15"/>
      <c r="AD379" s="15"/>
      <c r="AE379" s="15" t="s">
        <v>163</v>
      </c>
      <c r="AF379" s="15"/>
      <c r="AG379" s="24" t="n">
        <f aca="false">SUMIFS(Permissions!$G$2:$G$3000,Permissions!$B$2:$B$3000,$A379,Permissions!$I$2:$I$3000,"Complete",Permissions!$P$2:$P$3000,"Yes")</f>
        <v>0</v>
      </c>
      <c r="AH379" s="24" t="n">
        <f aca="false">SUMIFS(Permissions!$G$2:$G$3000,Permissions!$B$2:$B$3000,$A379,Permissions!$I$2:$I$3000,"Under construction",Permissions!$P$2:$P$3000,"Yes")</f>
        <v>0</v>
      </c>
      <c r="AI379" s="24" t="n">
        <f aca="false">SUMIFS(Permissions!$G$2:$G$3000,Permissions!$B$2:$B$3000,$A379,Permissions!$I$2:$I$3000,"Permitted – not started",Permissions!$P$2:$P$3000,"Yes")</f>
        <v>0</v>
      </c>
      <c r="AJ379" s="24" t="n">
        <f aca="false">SUMIFS(Permissions!$G$2:$G$3000,Permissions!$B$2:$B$3000,$A379,Permissions!$I$2:$I$3000,"Stalled",Permissions!$P$2:$P$3000,"Yes")</f>
        <v>0</v>
      </c>
      <c r="AK379" s="24" t="n">
        <f aca="false">AG379+AH379+AI379+AJ379</f>
        <v>0</v>
      </c>
      <c r="AL379" s="24" t="n">
        <f aca="false">SUMIFS(Permissions!$G$2:$G$3000,Permissions!$B$2:$B$3000,$A379,Permissions!$I$2:$I$3000,"Expired – not started",Permissions!$P$2:$P$3000,"Yes")</f>
        <v>0</v>
      </c>
      <c r="AM379" s="24" t="n">
        <f aca="false">SUMIFS(Permissions!$G$2:$G$3000,Permissions!$B$2:$B$3000,$A379,Permissions!$I$2:$I$3000,"In planning",Permissions!$P$2:$P$3000,"Yes")</f>
        <v>0</v>
      </c>
      <c r="AN379" s="24" t="n">
        <f aca="false">IF(R379="",0,MAX(R379-AK379,0))</f>
        <v>6</v>
      </c>
      <c r="AO379" s="25" t="n">
        <f aca="false">AK379+AN379</f>
        <v>6</v>
      </c>
      <c r="AP379" s="24" t="n">
        <f aca="false">AO379-AG379</f>
        <v>6</v>
      </c>
      <c r="AQ379" s="26" t="n">
        <f aca="false">SUMIFS(Permissions!$AH$2:$AH$3000,Permissions!$B$2:$B$3000,$A379,Permissions!$P$2:$P$3000,"Yes")</f>
        <v>0</v>
      </c>
      <c r="AR379" s="26" t="n">
        <f aca="false">SUMIFS(Permissions!$AI$2:$AI$3000,Permissions!$B$2:$B$3000,$A379,Permissions!$P$2:$P$3000,"Yes")</f>
        <v>0</v>
      </c>
      <c r="AS379" s="26" t="n">
        <f aca="false">SUMIFS(Permissions!$AJ$2:$AJ$3000,Permissions!$B$2:$B$3000,$A379,Permissions!$P$2:$P$3000,"Yes")</f>
        <v>0</v>
      </c>
      <c r="AT379" s="26" t="n">
        <f aca="false">SUMIFS(Permissions!$AK$2:$AK$3000,Permissions!$B$2:$B$3000,$A379,Permissions!$P$2:$P$3000,"Yes")</f>
        <v>0</v>
      </c>
      <c r="AU379" s="26" t="n">
        <f aca="false">SUMIFS(Permissions!$AL$2:$AL$3000,Permissions!$B$2:$B$3000,$A379,Permissions!$P$2:$P$3000,"Yes")</f>
        <v>0</v>
      </c>
      <c r="AV379" s="26" t="n">
        <f aca="false">SUMIFS(Permissions!$AM$2:$AM$3000,Permissions!$B$2:$B$3000,$A379,Permissions!$P$2:$P$3000,"Yes")</f>
        <v>0</v>
      </c>
      <c r="AW379" s="24" t="n">
        <f aca="false">COUNTIFS(Permissions!$B$2:$B$3000,$A379,Permissions!$P$2:$P$3000,"Yes")</f>
        <v>0</v>
      </c>
      <c r="AX379" s="24" t="n">
        <f aca="false">SUMIFS(Permissions!$L$2:$L$3000,Permissions!$B$2:$B$3000,$A379,Permissions!$P$2:$P$3000,"Yes")</f>
        <v>0</v>
      </c>
      <c r="AY379" s="27" t="str">
        <f aca="false">IF(AND(AK379&gt;0,AG379&gt;=AK379,AN379=0),"Built out",IF(AG379&gt;0,"Partly built",IF(AK379&gt;0,"Consented – not built","No consent")))</f>
        <v>No consent</v>
      </c>
      <c r="AZ379" s="28" t="str">
        <f aca="false">IF(AND(R379&lt;&gt;"",AK379&gt;1.1*R379),"Consented above capacity",IF(AND(LEFT(B379,8)="Planning",AW379=0),"Consent parcel with no permission",IF(COUNTIF($A$2:$A$3000,$A379)&gt;1,"Duplicate parcel_id","")))</f>
        <v/>
      </c>
    </row>
    <row r="380" customFormat="false" ht="15" hidden="false" customHeight="false" outlineLevel="0" collapsed="false">
      <c r="A380" s="15" t="s">
        <v>824</v>
      </c>
      <c r="B380" s="15" t="s">
        <v>13</v>
      </c>
      <c r="C380" s="15" t="s">
        <v>17</v>
      </c>
      <c r="D380" s="15" t="s">
        <v>73</v>
      </c>
      <c r="E380" s="15" t="s">
        <v>21</v>
      </c>
      <c r="F380" s="15" t="n">
        <v>0</v>
      </c>
      <c r="G380" s="15" t="s">
        <v>616</v>
      </c>
      <c r="H380" s="15"/>
      <c r="I380" s="15" t="s">
        <v>17</v>
      </c>
      <c r="J380" s="15" t="s">
        <v>559</v>
      </c>
      <c r="K380" s="15" t="s">
        <v>732</v>
      </c>
      <c r="L380" s="15"/>
      <c r="M380" s="15" t="s">
        <v>733</v>
      </c>
      <c r="N380" s="15"/>
      <c r="O380" s="15"/>
      <c r="P380" s="15" t="n">
        <v>0.908</v>
      </c>
      <c r="Q380" s="15" t="n">
        <v>0.997</v>
      </c>
      <c r="R380" s="15" t="n">
        <v>23</v>
      </c>
      <c r="S380" s="15" t="s">
        <v>734</v>
      </c>
      <c r="T380" s="15" t="s">
        <v>735</v>
      </c>
      <c r="U380" s="15" t="s">
        <v>736</v>
      </c>
      <c r="V380" s="15"/>
      <c r="W380" s="15" t="s">
        <v>746</v>
      </c>
      <c r="X380" s="15" t="n">
        <v>25</v>
      </c>
      <c r="Y380" s="15" t="s">
        <v>747</v>
      </c>
      <c r="Z380" s="15" t="n">
        <v>0</v>
      </c>
      <c r="AA380" s="15" t="n">
        <v>0</v>
      </c>
      <c r="AB380" s="15" t="n">
        <v>0</v>
      </c>
      <c r="AC380" s="15"/>
      <c r="AD380" s="15"/>
      <c r="AE380" s="15" t="s">
        <v>163</v>
      </c>
      <c r="AF380" s="15"/>
      <c r="AG380" s="24" t="n">
        <f aca="false">SUMIFS(Permissions!$G$2:$G$3000,Permissions!$B$2:$B$3000,$A380,Permissions!$I$2:$I$3000,"Complete",Permissions!$P$2:$P$3000,"Yes")</f>
        <v>0</v>
      </c>
      <c r="AH380" s="24" t="n">
        <f aca="false">SUMIFS(Permissions!$G$2:$G$3000,Permissions!$B$2:$B$3000,$A380,Permissions!$I$2:$I$3000,"Under construction",Permissions!$P$2:$P$3000,"Yes")</f>
        <v>0</v>
      </c>
      <c r="AI380" s="24" t="n">
        <f aca="false">SUMIFS(Permissions!$G$2:$G$3000,Permissions!$B$2:$B$3000,$A380,Permissions!$I$2:$I$3000,"Permitted – not started",Permissions!$P$2:$P$3000,"Yes")</f>
        <v>0</v>
      </c>
      <c r="AJ380" s="24" t="n">
        <f aca="false">SUMIFS(Permissions!$G$2:$G$3000,Permissions!$B$2:$B$3000,$A380,Permissions!$I$2:$I$3000,"Stalled",Permissions!$P$2:$P$3000,"Yes")</f>
        <v>0</v>
      </c>
      <c r="AK380" s="24" t="n">
        <f aca="false">AG380+AH380+AI380+AJ380</f>
        <v>0</v>
      </c>
      <c r="AL380" s="24" t="n">
        <f aca="false">SUMIFS(Permissions!$G$2:$G$3000,Permissions!$B$2:$B$3000,$A380,Permissions!$I$2:$I$3000,"Expired – not started",Permissions!$P$2:$P$3000,"Yes")</f>
        <v>0</v>
      </c>
      <c r="AM380" s="24" t="n">
        <f aca="false">SUMIFS(Permissions!$G$2:$G$3000,Permissions!$B$2:$B$3000,$A380,Permissions!$I$2:$I$3000,"In planning",Permissions!$P$2:$P$3000,"Yes")</f>
        <v>0</v>
      </c>
      <c r="AN380" s="24" t="n">
        <f aca="false">IF(R380="",0,MAX(R380-AK380,0))</f>
        <v>23</v>
      </c>
      <c r="AO380" s="25" t="n">
        <f aca="false">AK380+AN380</f>
        <v>23</v>
      </c>
      <c r="AP380" s="24" t="n">
        <f aca="false">AO380-AG380</f>
        <v>23</v>
      </c>
      <c r="AQ380" s="26" t="n">
        <f aca="false">SUMIFS(Permissions!$AH$2:$AH$3000,Permissions!$B$2:$B$3000,$A380,Permissions!$P$2:$P$3000,"Yes")</f>
        <v>0</v>
      </c>
      <c r="AR380" s="26" t="n">
        <f aca="false">SUMIFS(Permissions!$AI$2:$AI$3000,Permissions!$B$2:$B$3000,$A380,Permissions!$P$2:$P$3000,"Yes")</f>
        <v>0</v>
      </c>
      <c r="AS380" s="26" t="n">
        <f aca="false">SUMIFS(Permissions!$AJ$2:$AJ$3000,Permissions!$B$2:$B$3000,$A380,Permissions!$P$2:$P$3000,"Yes")</f>
        <v>0</v>
      </c>
      <c r="AT380" s="26" t="n">
        <f aca="false">SUMIFS(Permissions!$AK$2:$AK$3000,Permissions!$B$2:$B$3000,$A380,Permissions!$P$2:$P$3000,"Yes")</f>
        <v>0</v>
      </c>
      <c r="AU380" s="26" t="n">
        <f aca="false">SUMIFS(Permissions!$AL$2:$AL$3000,Permissions!$B$2:$B$3000,$A380,Permissions!$P$2:$P$3000,"Yes")</f>
        <v>0</v>
      </c>
      <c r="AV380" s="26" t="n">
        <f aca="false">SUMIFS(Permissions!$AM$2:$AM$3000,Permissions!$B$2:$B$3000,$A380,Permissions!$P$2:$P$3000,"Yes")</f>
        <v>0</v>
      </c>
      <c r="AW380" s="24" t="n">
        <f aca="false">COUNTIFS(Permissions!$B$2:$B$3000,$A380,Permissions!$P$2:$P$3000,"Yes")</f>
        <v>0</v>
      </c>
      <c r="AX380" s="24" t="n">
        <f aca="false">SUMIFS(Permissions!$L$2:$L$3000,Permissions!$B$2:$B$3000,$A380,Permissions!$P$2:$P$3000,"Yes")</f>
        <v>0</v>
      </c>
      <c r="AY380" s="27" t="str">
        <f aca="false">IF(AND(AK380&gt;0,AG380&gt;=AK380,AN380=0),"Built out",IF(AG380&gt;0,"Partly built",IF(AK380&gt;0,"Consented – not built","No consent")))</f>
        <v>No consent</v>
      </c>
      <c r="AZ380" s="28" t="str">
        <f aca="false">IF(AND(R380&lt;&gt;"",AK380&gt;1.1*R380),"Consented above capacity",IF(AND(LEFT(B380,8)="Planning",AW380=0),"Consent parcel with no permission",IF(COUNTIF($A$2:$A$3000,$A380)&gt;1,"Duplicate parcel_id","")))</f>
        <v/>
      </c>
    </row>
    <row r="381" customFormat="false" ht="15" hidden="false" customHeight="false" outlineLevel="0" collapsed="false">
      <c r="A381" s="15" t="s">
        <v>825</v>
      </c>
      <c r="B381" s="15" t="s">
        <v>13</v>
      </c>
      <c r="C381" s="15" t="s">
        <v>17</v>
      </c>
      <c r="D381" s="15" t="s">
        <v>22</v>
      </c>
      <c r="E381" s="15" t="s">
        <v>22</v>
      </c>
      <c r="F381" s="15"/>
      <c r="G381" s="15" t="s">
        <v>22</v>
      </c>
      <c r="H381" s="15"/>
      <c r="I381" s="15" t="s">
        <v>17</v>
      </c>
      <c r="J381" s="15" t="s">
        <v>583</v>
      </c>
      <c r="K381" s="15" t="s">
        <v>819</v>
      </c>
      <c r="L381" s="15"/>
      <c r="M381" s="15" t="s">
        <v>751</v>
      </c>
      <c r="N381" s="15"/>
      <c r="O381" s="15"/>
      <c r="P381" s="15" t="n">
        <v>0.246</v>
      </c>
      <c r="Q381" s="15" t="n">
        <v>0.271</v>
      </c>
      <c r="R381" s="15" t="n">
        <v>5</v>
      </c>
      <c r="S381" s="15" t="s">
        <v>734</v>
      </c>
      <c r="T381" s="15" t="s">
        <v>735</v>
      </c>
      <c r="U381" s="15" t="s">
        <v>752</v>
      </c>
      <c r="V381" s="15"/>
      <c r="W381" s="15" t="s">
        <v>753</v>
      </c>
      <c r="X381" s="15" t="n">
        <v>19</v>
      </c>
      <c r="Y381" s="15" t="s">
        <v>754</v>
      </c>
      <c r="Z381" s="15" t="n">
        <v>0.99</v>
      </c>
      <c r="AA381" s="15" t="n">
        <v>0</v>
      </c>
      <c r="AB381" s="15" t="n">
        <v>0</v>
      </c>
      <c r="AC381" s="15"/>
      <c r="AD381" s="15"/>
      <c r="AE381" s="15" t="s">
        <v>163</v>
      </c>
      <c r="AF381" s="15"/>
      <c r="AG381" s="24" t="n">
        <f aca="false">SUMIFS(Permissions!$G$2:$G$3000,Permissions!$B$2:$B$3000,$A381,Permissions!$I$2:$I$3000,"Complete",Permissions!$P$2:$P$3000,"Yes")</f>
        <v>0</v>
      </c>
      <c r="AH381" s="24" t="n">
        <f aca="false">SUMIFS(Permissions!$G$2:$G$3000,Permissions!$B$2:$B$3000,$A381,Permissions!$I$2:$I$3000,"Under construction",Permissions!$P$2:$P$3000,"Yes")</f>
        <v>0</v>
      </c>
      <c r="AI381" s="24" t="n">
        <f aca="false">SUMIFS(Permissions!$G$2:$G$3000,Permissions!$B$2:$B$3000,$A381,Permissions!$I$2:$I$3000,"Permitted – not started",Permissions!$P$2:$P$3000,"Yes")</f>
        <v>0</v>
      </c>
      <c r="AJ381" s="24" t="n">
        <f aca="false">SUMIFS(Permissions!$G$2:$G$3000,Permissions!$B$2:$B$3000,$A381,Permissions!$I$2:$I$3000,"Stalled",Permissions!$P$2:$P$3000,"Yes")</f>
        <v>0</v>
      </c>
      <c r="AK381" s="24" t="n">
        <f aca="false">AG381+AH381+AI381+AJ381</f>
        <v>0</v>
      </c>
      <c r="AL381" s="24" t="n">
        <f aca="false">SUMIFS(Permissions!$G$2:$G$3000,Permissions!$B$2:$B$3000,$A381,Permissions!$I$2:$I$3000,"Expired – not started",Permissions!$P$2:$P$3000,"Yes")</f>
        <v>0</v>
      </c>
      <c r="AM381" s="24" t="n">
        <f aca="false">SUMIFS(Permissions!$G$2:$G$3000,Permissions!$B$2:$B$3000,$A381,Permissions!$I$2:$I$3000,"In planning",Permissions!$P$2:$P$3000,"Yes")</f>
        <v>0</v>
      </c>
      <c r="AN381" s="24" t="n">
        <f aca="false">IF(R381="",0,MAX(R381-AK381,0))</f>
        <v>5</v>
      </c>
      <c r="AO381" s="25" t="n">
        <f aca="false">AK381+AN381</f>
        <v>5</v>
      </c>
      <c r="AP381" s="24" t="n">
        <f aca="false">AO381-AG381</f>
        <v>5</v>
      </c>
      <c r="AQ381" s="26" t="n">
        <f aca="false">SUMIFS(Permissions!$AH$2:$AH$3000,Permissions!$B$2:$B$3000,$A381,Permissions!$P$2:$P$3000,"Yes")</f>
        <v>0</v>
      </c>
      <c r="AR381" s="26" t="n">
        <f aca="false">SUMIFS(Permissions!$AI$2:$AI$3000,Permissions!$B$2:$B$3000,$A381,Permissions!$P$2:$P$3000,"Yes")</f>
        <v>0</v>
      </c>
      <c r="AS381" s="26" t="n">
        <f aca="false">SUMIFS(Permissions!$AJ$2:$AJ$3000,Permissions!$B$2:$B$3000,$A381,Permissions!$P$2:$P$3000,"Yes")</f>
        <v>0</v>
      </c>
      <c r="AT381" s="26" t="n">
        <f aca="false">SUMIFS(Permissions!$AK$2:$AK$3000,Permissions!$B$2:$B$3000,$A381,Permissions!$P$2:$P$3000,"Yes")</f>
        <v>0</v>
      </c>
      <c r="AU381" s="26" t="n">
        <f aca="false">SUMIFS(Permissions!$AL$2:$AL$3000,Permissions!$B$2:$B$3000,$A381,Permissions!$P$2:$P$3000,"Yes")</f>
        <v>0</v>
      </c>
      <c r="AV381" s="26" t="n">
        <f aca="false">SUMIFS(Permissions!$AM$2:$AM$3000,Permissions!$B$2:$B$3000,$A381,Permissions!$P$2:$P$3000,"Yes")</f>
        <v>0</v>
      </c>
      <c r="AW381" s="24" t="n">
        <f aca="false">COUNTIFS(Permissions!$B$2:$B$3000,$A381,Permissions!$P$2:$P$3000,"Yes")</f>
        <v>0</v>
      </c>
      <c r="AX381" s="24" t="n">
        <f aca="false">SUMIFS(Permissions!$L$2:$L$3000,Permissions!$B$2:$B$3000,$A381,Permissions!$P$2:$P$3000,"Yes")</f>
        <v>0</v>
      </c>
      <c r="AY381" s="27" t="str">
        <f aca="false">IF(AND(AK381&gt;0,AG381&gt;=AK381,AN381=0),"Built out",IF(AG381&gt;0,"Partly built",IF(AK381&gt;0,"Consented – not built","No consent")))</f>
        <v>No consent</v>
      </c>
      <c r="AZ381" s="28" t="str">
        <f aca="false">IF(AND(R381&lt;&gt;"",AK381&gt;1.1*R381),"Consented above capacity",IF(AND(LEFT(B381,8)="Planning",AW381=0),"Consent parcel with no permission",IF(COUNTIF($A$2:$A$3000,$A381)&gt;1,"Duplicate parcel_id","")))</f>
        <v/>
      </c>
    </row>
    <row r="382" customFormat="false" ht="15" hidden="false" customHeight="false" outlineLevel="0" collapsed="false">
      <c r="A382" s="15" t="s">
        <v>826</v>
      </c>
      <c r="B382" s="15" t="s">
        <v>13</v>
      </c>
      <c r="C382" s="15" t="s">
        <v>17</v>
      </c>
      <c r="D382" s="15" t="s">
        <v>22</v>
      </c>
      <c r="E382" s="15" t="s">
        <v>22</v>
      </c>
      <c r="F382" s="15"/>
      <c r="G382" s="15" t="s">
        <v>22</v>
      </c>
      <c r="H382" s="15"/>
      <c r="I382" s="15" t="s">
        <v>17</v>
      </c>
      <c r="J382" s="15" t="s">
        <v>559</v>
      </c>
      <c r="K382" s="15" t="s">
        <v>732</v>
      </c>
      <c r="L382" s="15"/>
      <c r="M382" s="15" t="s">
        <v>733</v>
      </c>
      <c r="N382" s="15"/>
      <c r="O382" s="15"/>
      <c r="P382" s="15" t="n">
        <v>0.811</v>
      </c>
      <c r="Q382" s="15" t="n">
        <v>0.891</v>
      </c>
      <c r="R382" s="15" t="n">
        <v>20</v>
      </c>
      <c r="S382" s="15" t="s">
        <v>734</v>
      </c>
      <c r="T382" s="15" t="s">
        <v>735</v>
      </c>
      <c r="U382" s="15" t="s">
        <v>736</v>
      </c>
      <c r="V382" s="15"/>
      <c r="W382" s="15" t="s">
        <v>746</v>
      </c>
      <c r="X382" s="15" t="n">
        <v>25</v>
      </c>
      <c r="Y382" s="15" t="s">
        <v>747</v>
      </c>
      <c r="Z382" s="15" t="n">
        <v>1</v>
      </c>
      <c r="AA382" s="15" t="n">
        <v>0</v>
      </c>
      <c r="AB382" s="15" t="n">
        <v>0</v>
      </c>
      <c r="AC382" s="15"/>
      <c r="AD382" s="15"/>
      <c r="AE382" s="15" t="s">
        <v>163</v>
      </c>
      <c r="AF382" s="15"/>
      <c r="AG382" s="24" t="n">
        <f aca="false">SUMIFS(Permissions!$G$2:$G$3000,Permissions!$B$2:$B$3000,$A382,Permissions!$I$2:$I$3000,"Complete",Permissions!$P$2:$P$3000,"Yes")</f>
        <v>0</v>
      </c>
      <c r="AH382" s="24" t="n">
        <f aca="false">SUMIFS(Permissions!$G$2:$G$3000,Permissions!$B$2:$B$3000,$A382,Permissions!$I$2:$I$3000,"Under construction",Permissions!$P$2:$P$3000,"Yes")</f>
        <v>0</v>
      </c>
      <c r="AI382" s="24" t="n">
        <f aca="false">SUMIFS(Permissions!$G$2:$G$3000,Permissions!$B$2:$B$3000,$A382,Permissions!$I$2:$I$3000,"Permitted – not started",Permissions!$P$2:$P$3000,"Yes")</f>
        <v>0</v>
      </c>
      <c r="AJ382" s="24" t="n">
        <f aca="false">SUMIFS(Permissions!$G$2:$G$3000,Permissions!$B$2:$B$3000,$A382,Permissions!$I$2:$I$3000,"Stalled",Permissions!$P$2:$P$3000,"Yes")</f>
        <v>0</v>
      </c>
      <c r="AK382" s="24" t="n">
        <f aca="false">AG382+AH382+AI382+AJ382</f>
        <v>0</v>
      </c>
      <c r="AL382" s="24" t="n">
        <f aca="false">SUMIFS(Permissions!$G$2:$G$3000,Permissions!$B$2:$B$3000,$A382,Permissions!$I$2:$I$3000,"Expired – not started",Permissions!$P$2:$P$3000,"Yes")</f>
        <v>0</v>
      </c>
      <c r="AM382" s="24" t="n">
        <f aca="false">SUMIFS(Permissions!$G$2:$G$3000,Permissions!$B$2:$B$3000,$A382,Permissions!$I$2:$I$3000,"In planning",Permissions!$P$2:$P$3000,"Yes")</f>
        <v>0</v>
      </c>
      <c r="AN382" s="24" t="n">
        <f aca="false">IF(R382="",0,MAX(R382-AK382,0))</f>
        <v>20</v>
      </c>
      <c r="AO382" s="25" t="n">
        <f aca="false">AK382+AN382</f>
        <v>20</v>
      </c>
      <c r="AP382" s="24" t="n">
        <f aca="false">AO382-AG382</f>
        <v>20</v>
      </c>
      <c r="AQ382" s="26" t="n">
        <f aca="false">SUMIFS(Permissions!$AH$2:$AH$3000,Permissions!$B$2:$B$3000,$A382,Permissions!$P$2:$P$3000,"Yes")</f>
        <v>0</v>
      </c>
      <c r="AR382" s="26" t="n">
        <f aca="false">SUMIFS(Permissions!$AI$2:$AI$3000,Permissions!$B$2:$B$3000,$A382,Permissions!$P$2:$P$3000,"Yes")</f>
        <v>0</v>
      </c>
      <c r="AS382" s="26" t="n">
        <f aca="false">SUMIFS(Permissions!$AJ$2:$AJ$3000,Permissions!$B$2:$B$3000,$A382,Permissions!$P$2:$P$3000,"Yes")</f>
        <v>0</v>
      </c>
      <c r="AT382" s="26" t="n">
        <f aca="false">SUMIFS(Permissions!$AK$2:$AK$3000,Permissions!$B$2:$B$3000,$A382,Permissions!$P$2:$P$3000,"Yes")</f>
        <v>0</v>
      </c>
      <c r="AU382" s="26" t="n">
        <f aca="false">SUMIFS(Permissions!$AL$2:$AL$3000,Permissions!$B$2:$B$3000,$A382,Permissions!$P$2:$P$3000,"Yes")</f>
        <v>0</v>
      </c>
      <c r="AV382" s="26" t="n">
        <f aca="false">SUMIFS(Permissions!$AM$2:$AM$3000,Permissions!$B$2:$B$3000,$A382,Permissions!$P$2:$P$3000,"Yes")</f>
        <v>0</v>
      </c>
      <c r="AW382" s="24" t="n">
        <f aca="false">COUNTIFS(Permissions!$B$2:$B$3000,$A382,Permissions!$P$2:$P$3000,"Yes")</f>
        <v>0</v>
      </c>
      <c r="AX382" s="24" t="n">
        <f aca="false">SUMIFS(Permissions!$L$2:$L$3000,Permissions!$B$2:$B$3000,$A382,Permissions!$P$2:$P$3000,"Yes")</f>
        <v>0</v>
      </c>
      <c r="AY382" s="27" t="str">
        <f aca="false">IF(AND(AK382&gt;0,AG382&gt;=AK382,AN382=0),"Built out",IF(AG382&gt;0,"Partly built",IF(AK382&gt;0,"Consented – not built","No consent")))</f>
        <v>No consent</v>
      </c>
      <c r="AZ382" s="28" t="str">
        <f aca="false">IF(AND(R382&lt;&gt;"",AK382&gt;1.1*R382),"Consented above capacity",IF(AND(LEFT(B382,8)="Planning",AW382=0),"Consent parcel with no permission",IF(COUNTIF($A$2:$A$3000,$A382)&gt;1,"Duplicate parcel_id","")))</f>
        <v/>
      </c>
    </row>
    <row r="383" customFormat="false" ht="15" hidden="false" customHeight="false" outlineLevel="0" collapsed="false">
      <c r="A383" s="15" t="s">
        <v>827</v>
      </c>
      <c r="B383" s="15" t="s">
        <v>13</v>
      </c>
      <c r="C383" s="15" t="s">
        <v>17</v>
      </c>
      <c r="D383" s="15" t="s">
        <v>22</v>
      </c>
      <c r="E383" s="15" t="s">
        <v>22</v>
      </c>
      <c r="F383" s="15"/>
      <c r="G383" s="15" t="s">
        <v>22</v>
      </c>
      <c r="H383" s="15"/>
      <c r="I383" s="15" t="s">
        <v>17</v>
      </c>
      <c r="J383" s="15" t="s">
        <v>568</v>
      </c>
      <c r="K383" s="15" t="s">
        <v>732</v>
      </c>
      <c r="L383" s="15"/>
      <c r="M383" s="15" t="s">
        <v>733</v>
      </c>
      <c r="N383" s="15"/>
      <c r="O383" s="15"/>
      <c r="P383" s="15" t="n">
        <v>0.143</v>
      </c>
      <c r="Q383" s="15" t="n">
        <v>0.157</v>
      </c>
      <c r="R383" s="15" t="n">
        <v>4</v>
      </c>
      <c r="S383" s="15" t="s">
        <v>734</v>
      </c>
      <c r="T383" s="15" t="s">
        <v>735</v>
      </c>
      <c r="U383" s="15" t="s">
        <v>736</v>
      </c>
      <c r="V383" s="15"/>
      <c r="W383" s="15" t="s">
        <v>746</v>
      </c>
      <c r="X383" s="15" t="n">
        <v>25</v>
      </c>
      <c r="Y383" s="15" t="s">
        <v>747</v>
      </c>
      <c r="Z383" s="15" t="n">
        <v>0</v>
      </c>
      <c r="AA383" s="15" t="n">
        <v>0</v>
      </c>
      <c r="AB383" s="15" t="n">
        <v>0</v>
      </c>
      <c r="AC383" s="15"/>
      <c r="AD383" s="15"/>
      <c r="AE383" s="15" t="s">
        <v>163</v>
      </c>
      <c r="AF383" s="15"/>
      <c r="AG383" s="24" t="n">
        <f aca="false">SUMIFS(Permissions!$G$2:$G$3000,Permissions!$B$2:$B$3000,$A383,Permissions!$I$2:$I$3000,"Complete",Permissions!$P$2:$P$3000,"Yes")</f>
        <v>0</v>
      </c>
      <c r="AH383" s="24" t="n">
        <f aca="false">SUMIFS(Permissions!$G$2:$G$3000,Permissions!$B$2:$B$3000,$A383,Permissions!$I$2:$I$3000,"Under construction",Permissions!$P$2:$P$3000,"Yes")</f>
        <v>0</v>
      </c>
      <c r="AI383" s="24" t="n">
        <f aca="false">SUMIFS(Permissions!$G$2:$G$3000,Permissions!$B$2:$B$3000,$A383,Permissions!$I$2:$I$3000,"Permitted – not started",Permissions!$P$2:$P$3000,"Yes")</f>
        <v>0</v>
      </c>
      <c r="AJ383" s="24" t="n">
        <f aca="false">SUMIFS(Permissions!$G$2:$G$3000,Permissions!$B$2:$B$3000,$A383,Permissions!$I$2:$I$3000,"Stalled",Permissions!$P$2:$P$3000,"Yes")</f>
        <v>0</v>
      </c>
      <c r="AK383" s="24" t="n">
        <f aca="false">AG383+AH383+AI383+AJ383</f>
        <v>0</v>
      </c>
      <c r="AL383" s="24" t="n">
        <f aca="false">SUMIFS(Permissions!$G$2:$G$3000,Permissions!$B$2:$B$3000,$A383,Permissions!$I$2:$I$3000,"Expired – not started",Permissions!$P$2:$P$3000,"Yes")</f>
        <v>0</v>
      </c>
      <c r="AM383" s="24" t="n">
        <f aca="false">SUMIFS(Permissions!$G$2:$G$3000,Permissions!$B$2:$B$3000,$A383,Permissions!$I$2:$I$3000,"In planning",Permissions!$P$2:$P$3000,"Yes")</f>
        <v>0</v>
      </c>
      <c r="AN383" s="24" t="n">
        <f aca="false">IF(R383="",0,MAX(R383-AK383,0))</f>
        <v>4</v>
      </c>
      <c r="AO383" s="25" t="n">
        <f aca="false">AK383+AN383</f>
        <v>4</v>
      </c>
      <c r="AP383" s="24" t="n">
        <f aca="false">AO383-AG383</f>
        <v>4</v>
      </c>
      <c r="AQ383" s="26" t="n">
        <f aca="false">SUMIFS(Permissions!$AH$2:$AH$3000,Permissions!$B$2:$B$3000,$A383,Permissions!$P$2:$P$3000,"Yes")</f>
        <v>0</v>
      </c>
      <c r="AR383" s="26" t="n">
        <f aca="false">SUMIFS(Permissions!$AI$2:$AI$3000,Permissions!$B$2:$B$3000,$A383,Permissions!$P$2:$P$3000,"Yes")</f>
        <v>0</v>
      </c>
      <c r="AS383" s="26" t="n">
        <f aca="false">SUMIFS(Permissions!$AJ$2:$AJ$3000,Permissions!$B$2:$B$3000,$A383,Permissions!$P$2:$P$3000,"Yes")</f>
        <v>0</v>
      </c>
      <c r="AT383" s="26" t="n">
        <f aca="false">SUMIFS(Permissions!$AK$2:$AK$3000,Permissions!$B$2:$B$3000,$A383,Permissions!$P$2:$P$3000,"Yes")</f>
        <v>0</v>
      </c>
      <c r="AU383" s="26" t="n">
        <f aca="false">SUMIFS(Permissions!$AL$2:$AL$3000,Permissions!$B$2:$B$3000,$A383,Permissions!$P$2:$P$3000,"Yes")</f>
        <v>0</v>
      </c>
      <c r="AV383" s="26" t="n">
        <f aca="false">SUMIFS(Permissions!$AM$2:$AM$3000,Permissions!$B$2:$B$3000,$A383,Permissions!$P$2:$P$3000,"Yes")</f>
        <v>0</v>
      </c>
      <c r="AW383" s="24" t="n">
        <f aca="false">COUNTIFS(Permissions!$B$2:$B$3000,$A383,Permissions!$P$2:$P$3000,"Yes")</f>
        <v>0</v>
      </c>
      <c r="AX383" s="24" t="n">
        <f aca="false">SUMIFS(Permissions!$L$2:$L$3000,Permissions!$B$2:$B$3000,$A383,Permissions!$P$2:$P$3000,"Yes")</f>
        <v>0</v>
      </c>
      <c r="AY383" s="27" t="str">
        <f aca="false">IF(AND(AK383&gt;0,AG383&gt;=AK383,AN383=0),"Built out",IF(AG383&gt;0,"Partly built",IF(AK383&gt;0,"Consented – not built","No consent")))</f>
        <v>No consent</v>
      </c>
      <c r="AZ383" s="28" t="str">
        <f aca="false">IF(AND(R383&lt;&gt;"",AK383&gt;1.1*R383),"Consented above capacity",IF(AND(LEFT(B383,8)="Planning",AW383=0),"Consent parcel with no permission",IF(COUNTIF($A$2:$A$3000,$A383)&gt;1,"Duplicate parcel_id","")))</f>
        <v/>
      </c>
    </row>
    <row r="384" customFormat="false" ht="15" hidden="false" customHeight="false" outlineLevel="0" collapsed="false">
      <c r="A384" s="15" t="s">
        <v>828</v>
      </c>
      <c r="B384" s="15" t="s">
        <v>13</v>
      </c>
      <c r="C384" s="15" t="s">
        <v>17</v>
      </c>
      <c r="D384" s="15" t="s">
        <v>73</v>
      </c>
      <c r="E384" s="15" t="s">
        <v>21</v>
      </c>
      <c r="F384" s="15" t="n">
        <v>0.1</v>
      </c>
      <c r="G384" s="15" t="s">
        <v>154</v>
      </c>
      <c r="H384" s="15"/>
      <c r="I384" s="15" t="s">
        <v>17</v>
      </c>
      <c r="J384" s="15" t="s">
        <v>559</v>
      </c>
      <c r="K384" s="15" t="s">
        <v>732</v>
      </c>
      <c r="L384" s="15"/>
      <c r="M384" s="15" t="s">
        <v>733</v>
      </c>
      <c r="N384" s="15"/>
      <c r="O384" s="15"/>
      <c r="P384" s="15" t="n">
        <v>1.589</v>
      </c>
      <c r="Q384" s="15" t="n">
        <v>1.746</v>
      </c>
      <c r="R384" s="15" t="n">
        <v>40</v>
      </c>
      <c r="S384" s="15" t="s">
        <v>734</v>
      </c>
      <c r="T384" s="15" t="s">
        <v>735</v>
      </c>
      <c r="U384" s="15" t="s">
        <v>736</v>
      </c>
      <c r="V384" s="15"/>
      <c r="W384" s="15" t="s">
        <v>746</v>
      </c>
      <c r="X384" s="15" t="n">
        <v>25</v>
      </c>
      <c r="Y384" s="15" t="s">
        <v>747</v>
      </c>
      <c r="Z384" s="15" t="n">
        <v>0</v>
      </c>
      <c r="AA384" s="15" t="n">
        <v>0</v>
      </c>
      <c r="AB384" s="15" t="n">
        <v>0</v>
      </c>
      <c r="AC384" s="15"/>
      <c r="AD384" s="15"/>
      <c r="AE384" s="15" t="s">
        <v>163</v>
      </c>
      <c r="AF384" s="15"/>
      <c r="AG384" s="24" t="n">
        <f aca="false">SUMIFS(Permissions!$G$2:$G$3000,Permissions!$B$2:$B$3000,$A384,Permissions!$I$2:$I$3000,"Complete",Permissions!$P$2:$P$3000,"Yes")</f>
        <v>0</v>
      </c>
      <c r="AH384" s="24" t="n">
        <f aca="false">SUMIFS(Permissions!$G$2:$G$3000,Permissions!$B$2:$B$3000,$A384,Permissions!$I$2:$I$3000,"Under construction",Permissions!$P$2:$P$3000,"Yes")</f>
        <v>0</v>
      </c>
      <c r="AI384" s="24" t="n">
        <f aca="false">SUMIFS(Permissions!$G$2:$G$3000,Permissions!$B$2:$B$3000,$A384,Permissions!$I$2:$I$3000,"Permitted – not started",Permissions!$P$2:$P$3000,"Yes")</f>
        <v>0</v>
      </c>
      <c r="AJ384" s="24" t="n">
        <f aca="false">SUMIFS(Permissions!$G$2:$G$3000,Permissions!$B$2:$B$3000,$A384,Permissions!$I$2:$I$3000,"Stalled",Permissions!$P$2:$P$3000,"Yes")</f>
        <v>0</v>
      </c>
      <c r="AK384" s="24" t="n">
        <f aca="false">AG384+AH384+AI384+AJ384</f>
        <v>0</v>
      </c>
      <c r="AL384" s="24" t="n">
        <f aca="false">SUMIFS(Permissions!$G$2:$G$3000,Permissions!$B$2:$B$3000,$A384,Permissions!$I$2:$I$3000,"Expired – not started",Permissions!$P$2:$P$3000,"Yes")</f>
        <v>0</v>
      </c>
      <c r="AM384" s="24" t="n">
        <f aca="false">SUMIFS(Permissions!$G$2:$G$3000,Permissions!$B$2:$B$3000,$A384,Permissions!$I$2:$I$3000,"In planning",Permissions!$P$2:$P$3000,"Yes")</f>
        <v>0</v>
      </c>
      <c r="AN384" s="24" t="n">
        <f aca="false">IF(R384="",0,MAX(R384-AK384,0))</f>
        <v>40</v>
      </c>
      <c r="AO384" s="25" t="n">
        <f aca="false">AK384+AN384</f>
        <v>40</v>
      </c>
      <c r="AP384" s="24" t="n">
        <f aca="false">AO384-AG384</f>
        <v>40</v>
      </c>
      <c r="AQ384" s="26" t="n">
        <f aca="false">SUMIFS(Permissions!$AH$2:$AH$3000,Permissions!$B$2:$B$3000,$A384,Permissions!$P$2:$P$3000,"Yes")</f>
        <v>0</v>
      </c>
      <c r="AR384" s="26" t="n">
        <f aca="false">SUMIFS(Permissions!$AI$2:$AI$3000,Permissions!$B$2:$B$3000,$A384,Permissions!$P$2:$P$3000,"Yes")</f>
        <v>0</v>
      </c>
      <c r="AS384" s="26" t="n">
        <f aca="false">SUMIFS(Permissions!$AJ$2:$AJ$3000,Permissions!$B$2:$B$3000,$A384,Permissions!$P$2:$P$3000,"Yes")</f>
        <v>0</v>
      </c>
      <c r="AT384" s="26" t="n">
        <f aca="false">SUMIFS(Permissions!$AK$2:$AK$3000,Permissions!$B$2:$B$3000,$A384,Permissions!$P$2:$P$3000,"Yes")</f>
        <v>0</v>
      </c>
      <c r="AU384" s="26" t="n">
        <f aca="false">SUMIFS(Permissions!$AL$2:$AL$3000,Permissions!$B$2:$B$3000,$A384,Permissions!$P$2:$P$3000,"Yes")</f>
        <v>0</v>
      </c>
      <c r="AV384" s="26" t="n">
        <f aca="false">SUMIFS(Permissions!$AM$2:$AM$3000,Permissions!$B$2:$B$3000,$A384,Permissions!$P$2:$P$3000,"Yes")</f>
        <v>0</v>
      </c>
      <c r="AW384" s="24" t="n">
        <f aca="false">COUNTIFS(Permissions!$B$2:$B$3000,$A384,Permissions!$P$2:$P$3000,"Yes")</f>
        <v>0</v>
      </c>
      <c r="AX384" s="24" t="n">
        <f aca="false">SUMIFS(Permissions!$L$2:$L$3000,Permissions!$B$2:$B$3000,$A384,Permissions!$P$2:$P$3000,"Yes")</f>
        <v>0</v>
      </c>
      <c r="AY384" s="27" t="str">
        <f aca="false">IF(AND(AK384&gt;0,AG384&gt;=AK384,AN384=0),"Built out",IF(AG384&gt;0,"Partly built",IF(AK384&gt;0,"Consented – not built","No consent")))</f>
        <v>No consent</v>
      </c>
      <c r="AZ384" s="28" t="str">
        <f aca="false">IF(AND(R384&lt;&gt;"",AK384&gt;1.1*R384),"Consented above capacity",IF(AND(LEFT(B384,8)="Planning",AW384=0),"Consent parcel with no permission",IF(COUNTIF($A$2:$A$3000,$A384)&gt;1,"Duplicate parcel_id","")))</f>
        <v/>
      </c>
    </row>
    <row r="385" customFormat="false" ht="15" hidden="false" customHeight="false" outlineLevel="0" collapsed="false">
      <c r="A385" s="15" t="s">
        <v>829</v>
      </c>
      <c r="B385" s="15" t="s">
        <v>13</v>
      </c>
      <c r="C385" s="15" t="s">
        <v>17</v>
      </c>
      <c r="D385" s="15" t="s">
        <v>72</v>
      </c>
      <c r="E385" s="15" t="s">
        <v>21</v>
      </c>
      <c r="F385" s="15" t="n">
        <v>1</v>
      </c>
      <c r="G385" s="15" t="s">
        <v>154</v>
      </c>
      <c r="H385" s="15"/>
      <c r="I385" s="15" t="s">
        <v>17</v>
      </c>
      <c r="J385" s="15" t="s">
        <v>559</v>
      </c>
      <c r="K385" s="15" t="s">
        <v>732</v>
      </c>
      <c r="L385" s="15"/>
      <c r="M385" s="15" t="s">
        <v>733</v>
      </c>
      <c r="N385" s="15"/>
      <c r="O385" s="15"/>
      <c r="P385" s="15" t="n">
        <v>0.251</v>
      </c>
      <c r="Q385" s="15" t="n">
        <v>0.276</v>
      </c>
      <c r="R385" s="15" t="n">
        <v>6</v>
      </c>
      <c r="S385" s="15" t="s">
        <v>734</v>
      </c>
      <c r="T385" s="15" t="s">
        <v>735</v>
      </c>
      <c r="U385" s="15" t="s">
        <v>736</v>
      </c>
      <c r="V385" s="15"/>
      <c r="W385" s="15" t="s">
        <v>746</v>
      </c>
      <c r="X385" s="15" t="n">
        <v>25</v>
      </c>
      <c r="Y385" s="15" t="s">
        <v>747</v>
      </c>
      <c r="Z385" s="15" t="n">
        <v>1</v>
      </c>
      <c r="AA385" s="15" t="n">
        <v>0</v>
      </c>
      <c r="AB385" s="15" t="n">
        <v>0</v>
      </c>
      <c r="AC385" s="15"/>
      <c r="AD385" s="15"/>
      <c r="AE385" s="15" t="s">
        <v>163</v>
      </c>
      <c r="AF385" s="15"/>
      <c r="AG385" s="24" t="n">
        <f aca="false">SUMIFS(Permissions!$G$2:$G$3000,Permissions!$B$2:$B$3000,$A385,Permissions!$I$2:$I$3000,"Complete",Permissions!$P$2:$P$3000,"Yes")</f>
        <v>0</v>
      </c>
      <c r="AH385" s="24" t="n">
        <f aca="false">SUMIFS(Permissions!$G$2:$G$3000,Permissions!$B$2:$B$3000,$A385,Permissions!$I$2:$I$3000,"Under construction",Permissions!$P$2:$P$3000,"Yes")</f>
        <v>0</v>
      </c>
      <c r="AI385" s="24" t="n">
        <f aca="false">SUMIFS(Permissions!$G$2:$G$3000,Permissions!$B$2:$B$3000,$A385,Permissions!$I$2:$I$3000,"Permitted – not started",Permissions!$P$2:$P$3000,"Yes")</f>
        <v>0</v>
      </c>
      <c r="AJ385" s="24" t="n">
        <f aca="false">SUMIFS(Permissions!$G$2:$G$3000,Permissions!$B$2:$B$3000,$A385,Permissions!$I$2:$I$3000,"Stalled",Permissions!$P$2:$P$3000,"Yes")</f>
        <v>0</v>
      </c>
      <c r="AK385" s="24" t="n">
        <f aca="false">AG385+AH385+AI385+AJ385</f>
        <v>0</v>
      </c>
      <c r="AL385" s="24" t="n">
        <f aca="false">SUMIFS(Permissions!$G$2:$G$3000,Permissions!$B$2:$B$3000,$A385,Permissions!$I$2:$I$3000,"Expired – not started",Permissions!$P$2:$P$3000,"Yes")</f>
        <v>0</v>
      </c>
      <c r="AM385" s="24" t="n">
        <f aca="false">SUMIFS(Permissions!$G$2:$G$3000,Permissions!$B$2:$B$3000,$A385,Permissions!$I$2:$I$3000,"In planning",Permissions!$P$2:$P$3000,"Yes")</f>
        <v>0</v>
      </c>
      <c r="AN385" s="24" t="n">
        <f aca="false">IF(R385="",0,MAX(R385-AK385,0))</f>
        <v>6</v>
      </c>
      <c r="AO385" s="25" t="n">
        <f aca="false">AK385+AN385</f>
        <v>6</v>
      </c>
      <c r="AP385" s="24" t="n">
        <f aca="false">AO385-AG385</f>
        <v>6</v>
      </c>
      <c r="AQ385" s="26" t="n">
        <f aca="false">SUMIFS(Permissions!$AH$2:$AH$3000,Permissions!$B$2:$B$3000,$A385,Permissions!$P$2:$P$3000,"Yes")</f>
        <v>0</v>
      </c>
      <c r="AR385" s="26" t="n">
        <f aca="false">SUMIFS(Permissions!$AI$2:$AI$3000,Permissions!$B$2:$B$3000,$A385,Permissions!$P$2:$P$3000,"Yes")</f>
        <v>0</v>
      </c>
      <c r="AS385" s="26" t="n">
        <f aca="false">SUMIFS(Permissions!$AJ$2:$AJ$3000,Permissions!$B$2:$B$3000,$A385,Permissions!$P$2:$P$3000,"Yes")</f>
        <v>0</v>
      </c>
      <c r="AT385" s="26" t="n">
        <f aca="false">SUMIFS(Permissions!$AK$2:$AK$3000,Permissions!$B$2:$B$3000,$A385,Permissions!$P$2:$P$3000,"Yes")</f>
        <v>0</v>
      </c>
      <c r="AU385" s="26" t="n">
        <f aca="false">SUMIFS(Permissions!$AL$2:$AL$3000,Permissions!$B$2:$B$3000,$A385,Permissions!$P$2:$P$3000,"Yes")</f>
        <v>0</v>
      </c>
      <c r="AV385" s="26" t="n">
        <f aca="false">SUMIFS(Permissions!$AM$2:$AM$3000,Permissions!$B$2:$B$3000,$A385,Permissions!$P$2:$P$3000,"Yes")</f>
        <v>0</v>
      </c>
      <c r="AW385" s="24" t="n">
        <f aca="false">COUNTIFS(Permissions!$B$2:$B$3000,$A385,Permissions!$P$2:$P$3000,"Yes")</f>
        <v>0</v>
      </c>
      <c r="AX385" s="24" t="n">
        <f aca="false">SUMIFS(Permissions!$L$2:$L$3000,Permissions!$B$2:$B$3000,$A385,Permissions!$P$2:$P$3000,"Yes")</f>
        <v>0</v>
      </c>
      <c r="AY385" s="27" t="str">
        <f aca="false">IF(AND(AK385&gt;0,AG385&gt;=AK385,AN385=0),"Built out",IF(AG385&gt;0,"Partly built",IF(AK385&gt;0,"Consented – not built","No consent")))</f>
        <v>No consent</v>
      </c>
      <c r="AZ385" s="28" t="str">
        <f aca="false">IF(AND(R385&lt;&gt;"",AK385&gt;1.1*R385),"Consented above capacity",IF(AND(LEFT(B385,8)="Planning",AW385=0),"Consent parcel with no permission",IF(COUNTIF($A$2:$A$3000,$A385)&gt;1,"Duplicate parcel_id","")))</f>
        <v/>
      </c>
    </row>
    <row r="386" customFormat="false" ht="15" hidden="false" customHeight="false" outlineLevel="0" collapsed="false">
      <c r="A386" s="15" t="s">
        <v>830</v>
      </c>
      <c r="B386" s="15" t="s">
        <v>13</v>
      </c>
      <c r="C386" s="15" t="s">
        <v>17</v>
      </c>
      <c r="D386" s="15" t="s">
        <v>73</v>
      </c>
      <c r="E386" s="15" t="s">
        <v>21</v>
      </c>
      <c r="F386" s="15" t="n">
        <v>0.27</v>
      </c>
      <c r="G386" s="15" t="s">
        <v>154</v>
      </c>
      <c r="H386" s="15"/>
      <c r="I386" s="15" t="s">
        <v>17</v>
      </c>
      <c r="J386" s="15" t="s">
        <v>559</v>
      </c>
      <c r="K386" s="15" t="s">
        <v>819</v>
      </c>
      <c r="L386" s="15"/>
      <c r="M386" s="15" t="s">
        <v>751</v>
      </c>
      <c r="N386" s="15"/>
      <c r="O386" s="15"/>
      <c r="P386" s="15" t="n">
        <v>1.744</v>
      </c>
      <c r="Q386" s="15" t="n">
        <v>1.916</v>
      </c>
      <c r="R386" s="15" t="n">
        <v>33</v>
      </c>
      <c r="S386" s="15" t="s">
        <v>734</v>
      </c>
      <c r="T386" s="15" t="s">
        <v>735</v>
      </c>
      <c r="U386" s="15" t="s">
        <v>752</v>
      </c>
      <c r="V386" s="15"/>
      <c r="W386" s="15" t="s">
        <v>753</v>
      </c>
      <c r="X386" s="15" t="n">
        <v>19</v>
      </c>
      <c r="Y386" s="15" t="s">
        <v>754</v>
      </c>
      <c r="Z386" s="15" t="n">
        <v>0</v>
      </c>
      <c r="AA386" s="15" t="n">
        <v>0</v>
      </c>
      <c r="AB386" s="15" t="n">
        <v>0</v>
      </c>
      <c r="AC386" s="15"/>
      <c r="AD386" s="15"/>
      <c r="AE386" s="15" t="s">
        <v>163</v>
      </c>
      <c r="AF386" s="15"/>
      <c r="AG386" s="24" t="n">
        <f aca="false">SUMIFS(Permissions!$G$2:$G$3000,Permissions!$B$2:$B$3000,$A386,Permissions!$I$2:$I$3000,"Complete",Permissions!$P$2:$P$3000,"Yes")</f>
        <v>0</v>
      </c>
      <c r="AH386" s="24" t="n">
        <f aca="false">SUMIFS(Permissions!$G$2:$G$3000,Permissions!$B$2:$B$3000,$A386,Permissions!$I$2:$I$3000,"Under construction",Permissions!$P$2:$P$3000,"Yes")</f>
        <v>0</v>
      </c>
      <c r="AI386" s="24" t="n">
        <f aca="false">SUMIFS(Permissions!$G$2:$G$3000,Permissions!$B$2:$B$3000,$A386,Permissions!$I$2:$I$3000,"Permitted – not started",Permissions!$P$2:$P$3000,"Yes")</f>
        <v>0</v>
      </c>
      <c r="AJ386" s="24" t="n">
        <f aca="false">SUMIFS(Permissions!$G$2:$G$3000,Permissions!$B$2:$B$3000,$A386,Permissions!$I$2:$I$3000,"Stalled",Permissions!$P$2:$P$3000,"Yes")</f>
        <v>0</v>
      </c>
      <c r="AK386" s="24" t="n">
        <f aca="false">AG386+AH386+AI386+AJ386</f>
        <v>0</v>
      </c>
      <c r="AL386" s="24" t="n">
        <f aca="false">SUMIFS(Permissions!$G$2:$G$3000,Permissions!$B$2:$B$3000,$A386,Permissions!$I$2:$I$3000,"Expired – not started",Permissions!$P$2:$P$3000,"Yes")</f>
        <v>0</v>
      </c>
      <c r="AM386" s="24" t="n">
        <f aca="false">SUMIFS(Permissions!$G$2:$G$3000,Permissions!$B$2:$B$3000,$A386,Permissions!$I$2:$I$3000,"In planning",Permissions!$P$2:$P$3000,"Yes")</f>
        <v>0</v>
      </c>
      <c r="AN386" s="24" t="n">
        <f aca="false">IF(R386="",0,MAX(R386-AK386,0))</f>
        <v>33</v>
      </c>
      <c r="AO386" s="25" t="n">
        <f aca="false">AK386+AN386</f>
        <v>33</v>
      </c>
      <c r="AP386" s="24" t="n">
        <f aca="false">AO386-AG386</f>
        <v>33</v>
      </c>
      <c r="AQ386" s="26" t="n">
        <f aca="false">SUMIFS(Permissions!$AH$2:$AH$3000,Permissions!$B$2:$B$3000,$A386,Permissions!$P$2:$P$3000,"Yes")</f>
        <v>0</v>
      </c>
      <c r="AR386" s="26" t="n">
        <f aca="false">SUMIFS(Permissions!$AI$2:$AI$3000,Permissions!$B$2:$B$3000,$A386,Permissions!$P$2:$P$3000,"Yes")</f>
        <v>0</v>
      </c>
      <c r="AS386" s="26" t="n">
        <f aca="false">SUMIFS(Permissions!$AJ$2:$AJ$3000,Permissions!$B$2:$B$3000,$A386,Permissions!$P$2:$P$3000,"Yes")</f>
        <v>0</v>
      </c>
      <c r="AT386" s="26" t="n">
        <f aca="false">SUMIFS(Permissions!$AK$2:$AK$3000,Permissions!$B$2:$B$3000,$A386,Permissions!$P$2:$P$3000,"Yes")</f>
        <v>0</v>
      </c>
      <c r="AU386" s="26" t="n">
        <f aca="false">SUMIFS(Permissions!$AL$2:$AL$3000,Permissions!$B$2:$B$3000,$A386,Permissions!$P$2:$P$3000,"Yes")</f>
        <v>0</v>
      </c>
      <c r="AV386" s="26" t="n">
        <f aca="false">SUMIFS(Permissions!$AM$2:$AM$3000,Permissions!$B$2:$B$3000,$A386,Permissions!$P$2:$P$3000,"Yes")</f>
        <v>0</v>
      </c>
      <c r="AW386" s="24" t="n">
        <f aca="false">COUNTIFS(Permissions!$B$2:$B$3000,$A386,Permissions!$P$2:$P$3000,"Yes")</f>
        <v>0</v>
      </c>
      <c r="AX386" s="24" t="n">
        <f aca="false">SUMIFS(Permissions!$L$2:$L$3000,Permissions!$B$2:$B$3000,$A386,Permissions!$P$2:$P$3000,"Yes")</f>
        <v>0</v>
      </c>
      <c r="AY386" s="27" t="str">
        <f aca="false">IF(AND(AK386&gt;0,AG386&gt;=AK386,AN386=0),"Built out",IF(AG386&gt;0,"Partly built",IF(AK386&gt;0,"Consented – not built","No consent")))</f>
        <v>No consent</v>
      </c>
      <c r="AZ386" s="28" t="str">
        <f aca="false">IF(AND(R386&lt;&gt;"",AK386&gt;1.1*R386),"Consented above capacity",IF(AND(LEFT(B386,8)="Planning",AW386=0),"Consent parcel with no permission",IF(COUNTIF($A$2:$A$3000,$A386)&gt;1,"Duplicate parcel_id","")))</f>
        <v/>
      </c>
    </row>
    <row r="387" customFormat="false" ht="15" hidden="false" customHeight="false" outlineLevel="0" collapsed="false">
      <c r="A387" s="15" t="s">
        <v>831</v>
      </c>
      <c r="B387" s="15" t="s">
        <v>13</v>
      </c>
      <c r="C387" s="15" t="s">
        <v>17</v>
      </c>
      <c r="D387" s="15" t="s">
        <v>22</v>
      </c>
      <c r="E387" s="15" t="s">
        <v>22</v>
      </c>
      <c r="F387" s="15"/>
      <c r="G387" s="15" t="s">
        <v>22</v>
      </c>
      <c r="H387" s="15"/>
      <c r="I387" s="15" t="s">
        <v>17</v>
      </c>
      <c r="J387" s="15" t="s">
        <v>568</v>
      </c>
      <c r="K387" s="15" t="s">
        <v>732</v>
      </c>
      <c r="L387" s="15"/>
      <c r="M387" s="15" t="s">
        <v>733</v>
      </c>
      <c r="N387" s="15"/>
      <c r="O387" s="15"/>
      <c r="P387" s="15" t="n">
        <v>0.768</v>
      </c>
      <c r="Q387" s="15" t="n">
        <v>0.844</v>
      </c>
      <c r="R387" s="15" t="n">
        <v>19</v>
      </c>
      <c r="S387" s="15" t="s">
        <v>734</v>
      </c>
      <c r="T387" s="15" t="s">
        <v>735</v>
      </c>
      <c r="U387" s="15" t="s">
        <v>736</v>
      </c>
      <c r="V387" s="15"/>
      <c r="W387" s="15" t="s">
        <v>746</v>
      </c>
      <c r="X387" s="15" t="n">
        <v>25</v>
      </c>
      <c r="Y387" s="15" t="s">
        <v>747</v>
      </c>
      <c r="Z387" s="15" t="n">
        <v>0</v>
      </c>
      <c r="AA387" s="15" t="n">
        <v>0</v>
      </c>
      <c r="AB387" s="15" t="n">
        <v>0</v>
      </c>
      <c r="AC387" s="15"/>
      <c r="AD387" s="15"/>
      <c r="AE387" s="15" t="s">
        <v>163</v>
      </c>
      <c r="AF387" s="15"/>
      <c r="AG387" s="24" t="n">
        <f aca="false">SUMIFS(Permissions!$G$2:$G$3000,Permissions!$B$2:$B$3000,$A387,Permissions!$I$2:$I$3000,"Complete",Permissions!$P$2:$P$3000,"Yes")</f>
        <v>0</v>
      </c>
      <c r="AH387" s="24" t="n">
        <f aca="false">SUMIFS(Permissions!$G$2:$G$3000,Permissions!$B$2:$B$3000,$A387,Permissions!$I$2:$I$3000,"Under construction",Permissions!$P$2:$P$3000,"Yes")</f>
        <v>0</v>
      </c>
      <c r="AI387" s="24" t="n">
        <f aca="false">SUMIFS(Permissions!$G$2:$G$3000,Permissions!$B$2:$B$3000,$A387,Permissions!$I$2:$I$3000,"Permitted – not started",Permissions!$P$2:$P$3000,"Yes")</f>
        <v>0</v>
      </c>
      <c r="AJ387" s="24" t="n">
        <f aca="false">SUMIFS(Permissions!$G$2:$G$3000,Permissions!$B$2:$B$3000,$A387,Permissions!$I$2:$I$3000,"Stalled",Permissions!$P$2:$P$3000,"Yes")</f>
        <v>0</v>
      </c>
      <c r="AK387" s="24" t="n">
        <f aca="false">AG387+AH387+AI387+AJ387</f>
        <v>0</v>
      </c>
      <c r="AL387" s="24" t="n">
        <f aca="false">SUMIFS(Permissions!$G$2:$G$3000,Permissions!$B$2:$B$3000,$A387,Permissions!$I$2:$I$3000,"Expired – not started",Permissions!$P$2:$P$3000,"Yes")</f>
        <v>0</v>
      </c>
      <c r="AM387" s="24" t="n">
        <f aca="false">SUMIFS(Permissions!$G$2:$G$3000,Permissions!$B$2:$B$3000,$A387,Permissions!$I$2:$I$3000,"In planning",Permissions!$P$2:$P$3000,"Yes")</f>
        <v>0</v>
      </c>
      <c r="AN387" s="24" t="n">
        <f aca="false">IF(R387="",0,MAX(R387-AK387,0))</f>
        <v>19</v>
      </c>
      <c r="AO387" s="25" t="n">
        <f aca="false">AK387+AN387</f>
        <v>19</v>
      </c>
      <c r="AP387" s="24" t="n">
        <f aca="false">AO387-AG387</f>
        <v>19</v>
      </c>
      <c r="AQ387" s="26" t="n">
        <f aca="false">SUMIFS(Permissions!$AH$2:$AH$3000,Permissions!$B$2:$B$3000,$A387,Permissions!$P$2:$P$3000,"Yes")</f>
        <v>0</v>
      </c>
      <c r="AR387" s="26" t="n">
        <f aca="false">SUMIFS(Permissions!$AI$2:$AI$3000,Permissions!$B$2:$B$3000,$A387,Permissions!$P$2:$P$3000,"Yes")</f>
        <v>0</v>
      </c>
      <c r="AS387" s="26" t="n">
        <f aca="false">SUMIFS(Permissions!$AJ$2:$AJ$3000,Permissions!$B$2:$B$3000,$A387,Permissions!$P$2:$P$3000,"Yes")</f>
        <v>0</v>
      </c>
      <c r="AT387" s="26" t="n">
        <f aca="false">SUMIFS(Permissions!$AK$2:$AK$3000,Permissions!$B$2:$B$3000,$A387,Permissions!$P$2:$P$3000,"Yes")</f>
        <v>0</v>
      </c>
      <c r="AU387" s="26" t="n">
        <f aca="false">SUMIFS(Permissions!$AL$2:$AL$3000,Permissions!$B$2:$B$3000,$A387,Permissions!$P$2:$P$3000,"Yes")</f>
        <v>0</v>
      </c>
      <c r="AV387" s="26" t="n">
        <f aca="false">SUMIFS(Permissions!$AM$2:$AM$3000,Permissions!$B$2:$B$3000,$A387,Permissions!$P$2:$P$3000,"Yes")</f>
        <v>0</v>
      </c>
      <c r="AW387" s="24" t="n">
        <f aca="false">COUNTIFS(Permissions!$B$2:$B$3000,$A387,Permissions!$P$2:$P$3000,"Yes")</f>
        <v>0</v>
      </c>
      <c r="AX387" s="24" t="n">
        <f aca="false">SUMIFS(Permissions!$L$2:$L$3000,Permissions!$B$2:$B$3000,$A387,Permissions!$P$2:$P$3000,"Yes")</f>
        <v>0</v>
      </c>
      <c r="AY387" s="27" t="str">
        <f aca="false">IF(AND(AK387&gt;0,AG387&gt;=AK387,AN387=0),"Built out",IF(AG387&gt;0,"Partly built",IF(AK387&gt;0,"Consented – not built","No consent")))</f>
        <v>No consent</v>
      </c>
      <c r="AZ387" s="28" t="str">
        <f aca="false">IF(AND(R387&lt;&gt;"",AK387&gt;1.1*R387),"Consented above capacity",IF(AND(LEFT(B387,8)="Planning",AW387=0),"Consent parcel with no permission",IF(COUNTIF($A$2:$A$3000,$A387)&gt;1,"Duplicate parcel_id","")))</f>
        <v/>
      </c>
    </row>
    <row r="388" customFormat="false" ht="15" hidden="false" customHeight="false" outlineLevel="0" collapsed="false">
      <c r="A388" s="15" t="s">
        <v>832</v>
      </c>
      <c r="B388" s="15" t="s">
        <v>13</v>
      </c>
      <c r="C388" s="15" t="s">
        <v>17</v>
      </c>
      <c r="D388" s="15" t="s">
        <v>22</v>
      </c>
      <c r="E388" s="15" t="s">
        <v>22</v>
      </c>
      <c r="F388" s="15"/>
      <c r="G388" s="15" t="s">
        <v>22</v>
      </c>
      <c r="H388" s="15"/>
      <c r="I388" s="15" t="s">
        <v>17</v>
      </c>
      <c r="J388" s="15" t="s">
        <v>583</v>
      </c>
      <c r="K388" s="15" t="s">
        <v>732</v>
      </c>
      <c r="L388" s="15"/>
      <c r="M388" s="15" t="s">
        <v>733</v>
      </c>
      <c r="N388" s="15"/>
      <c r="O388" s="15"/>
      <c r="P388" s="15" t="n">
        <v>0.685</v>
      </c>
      <c r="Q388" s="15" t="n">
        <v>0.752</v>
      </c>
      <c r="R388" s="15" t="n">
        <v>17</v>
      </c>
      <c r="S388" s="15" t="s">
        <v>734</v>
      </c>
      <c r="T388" s="15" t="s">
        <v>735</v>
      </c>
      <c r="U388" s="15" t="s">
        <v>736</v>
      </c>
      <c r="V388" s="15"/>
      <c r="W388" s="15" t="s">
        <v>746</v>
      </c>
      <c r="X388" s="15" t="n">
        <v>25</v>
      </c>
      <c r="Y388" s="15" t="s">
        <v>747</v>
      </c>
      <c r="Z388" s="15" t="n">
        <v>1</v>
      </c>
      <c r="AA388" s="15" t="n">
        <v>0</v>
      </c>
      <c r="AB388" s="15" t="n">
        <v>0</v>
      </c>
      <c r="AC388" s="15"/>
      <c r="AD388" s="15"/>
      <c r="AE388" s="15" t="s">
        <v>163</v>
      </c>
      <c r="AF388" s="15"/>
      <c r="AG388" s="24" t="n">
        <f aca="false">SUMIFS(Permissions!$G$2:$G$3000,Permissions!$B$2:$B$3000,$A388,Permissions!$I$2:$I$3000,"Complete",Permissions!$P$2:$P$3000,"Yes")</f>
        <v>0</v>
      </c>
      <c r="AH388" s="24" t="n">
        <f aca="false">SUMIFS(Permissions!$G$2:$G$3000,Permissions!$B$2:$B$3000,$A388,Permissions!$I$2:$I$3000,"Under construction",Permissions!$P$2:$P$3000,"Yes")</f>
        <v>0</v>
      </c>
      <c r="AI388" s="24" t="n">
        <f aca="false">SUMIFS(Permissions!$G$2:$G$3000,Permissions!$B$2:$B$3000,$A388,Permissions!$I$2:$I$3000,"Permitted – not started",Permissions!$P$2:$P$3000,"Yes")</f>
        <v>0</v>
      </c>
      <c r="AJ388" s="24" t="n">
        <f aca="false">SUMIFS(Permissions!$G$2:$G$3000,Permissions!$B$2:$B$3000,$A388,Permissions!$I$2:$I$3000,"Stalled",Permissions!$P$2:$P$3000,"Yes")</f>
        <v>0</v>
      </c>
      <c r="AK388" s="24" t="n">
        <f aca="false">AG388+AH388+AI388+AJ388</f>
        <v>0</v>
      </c>
      <c r="AL388" s="24" t="n">
        <f aca="false">SUMIFS(Permissions!$G$2:$G$3000,Permissions!$B$2:$B$3000,$A388,Permissions!$I$2:$I$3000,"Expired – not started",Permissions!$P$2:$P$3000,"Yes")</f>
        <v>0</v>
      </c>
      <c r="AM388" s="24" t="n">
        <f aca="false">SUMIFS(Permissions!$G$2:$G$3000,Permissions!$B$2:$B$3000,$A388,Permissions!$I$2:$I$3000,"In planning",Permissions!$P$2:$P$3000,"Yes")</f>
        <v>0</v>
      </c>
      <c r="AN388" s="24" t="n">
        <f aca="false">IF(R388="",0,MAX(R388-AK388,0))</f>
        <v>17</v>
      </c>
      <c r="AO388" s="25" t="n">
        <f aca="false">AK388+AN388</f>
        <v>17</v>
      </c>
      <c r="AP388" s="24" t="n">
        <f aca="false">AO388-AG388</f>
        <v>17</v>
      </c>
      <c r="AQ388" s="26" t="n">
        <f aca="false">SUMIFS(Permissions!$AH$2:$AH$3000,Permissions!$B$2:$B$3000,$A388,Permissions!$P$2:$P$3000,"Yes")</f>
        <v>0</v>
      </c>
      <c r="AR388" s="26" t="n">
        <f aca="false">SUMIFS(Permissions!$AI$2:$AI$3000,Permissions!$B$2:$B$3000,$A388,Permissions!$P$2:$P$3000,"Yes")</f>
        <v>0</v>
      </c>
      <c r="AS388" s="26" t="n">
        <f aca="false">SUMIFS(Permissions!$AJ$2:$AJ$3000,Permissions!$B$2:$B$3000,$A388,Permissions!$P$2:$P$3000,"Yes")</f>
        <v>0</v>
      </c>
      <c r="AT388" s="26" t="n">
        <f aca="false">SUMIFS(Permissions!$AK$2:$AK$3000,Permissions!$B$2:$B$3000,$A388,Permissions!$P$2:$P$3000,"Yes")</f>
        <v>0</v>
      </c>
      <c r="AU388" s="26" t="n">
        <f aca="false">SUMIFS(Permissions!$AL$2:$AL$3000,Permissions!$B$2:$B$3000,$A388,Permissions!$P$2:$P$3000,"Yes")</f>
        <v>0</v>
      </c>
      <c r="AV388" s="26" t="n">
        <f aca="false">SUMIFS(Permissions!$AM$2:$AM$3000,Permissions!$B$2:$B$3000,$A388,Permissions!$P$2:$P$3000,"Yes")</f>
        <v>0</v>
      </c>
      <c r="AW388" s="24" t="n">
        <f aca="false">COUNTIFS(Permissions!$B$2:$B$3000,$A388,Permissions!$P$2:$P$3000,"Yes")</f>
        <v>0</v>
      </c>
      <c r="AX388" s="24" t="n">
        <f aca="false">SUMIFS(Permissions!$L$2:$L$3000,Permissions!$B$2:$B$3000,$A388,Permissions!$P$2:$P$3000,"Yes")</f>
        <v>0</v>
      </c>
      <c r="AY388" s="27" t="str">
        <f aca="false">IF(AND(AK388&gt;0,AG388&gt;=AK388,AN388=0),"Built out",IF(AG388&gt;0,"Partly built",IF(AK388&gt;0,"Consented – not built","No consent")))</f>
        <v>No consent</v>
      </c>
      <c r="AZ388" s="28" t="str">
        <f aca="false">IF(AND(R388&lt;&gt;"",AK388&gt;1.1*R388),"Consented above capacity",IF(AND(LEFT(B388,8)="Planning",AW388=0),"Consent parcel with no permission",IF(COUNTIF($A$2:$A$3000,$A388)&gt;1,"Duplicate parcel_id","")))</f>
        <v/>
      </c>
    </row>
    <row r="389" customFormat="false" ht="15" hidden="false" customHeight="false" outlineLevel="0" collapsed="false">
      <c r="A389" s="15" t="s">
        <v>833</v>
      </c>
      <c r="B389" s="15" t="s">
        <v>13</v>
      </c>
      <c r="C389" s="15" t="s">
        <v>17</v>
      </c>
      <c r="D389" s="15" t="s">
        <v>22</v>
      </c>
      <c r="E389" s="15" t="s">
        <v>22</v>
      </c>
      <c r="F389" s="15"/>
      <c r="G389" s="15" t="s">
        <v>22</v>
      </c>
      <c r="H389" s="15"/>
      <c r="I389" s="15" t="s">
        <v>17</v>
      </c>
      <c r="J389" s="15" t="s">
        <v>559</v>
      </c>
      <c r="K389" s="15" t="s">
        <v>732</v>
      </c>
      <c r="L389" s="15"/>
      <c r="M389" s="15" t="s">
        <v>733</v>
      </c>
      <c r="N389" s="15"/>
      <c r="O389" s="15"/>
      <c r="P389" s="15" t="n">
        <v>0.23</v>
      </c>
      <c r="Q389" s="15" t="n">
        <v>0.252</v>
      </c>
      <c r="R389" s="15" t="n">
        <v>6</v>
      </c>
      <c r="S389" s="15" t="s">
        <v>734</v>
      </c>
      <c r="T389" s="15" t="s">
        <v>735</v>
      </c>
      <c r="U389" s="15" t="s">
        <v>736</v>
      </c>
      <c r="V389" s="15"/>
      <c r="W389" s="15" t="s">
        <v>746</v>
      </c>
      <c r="X389" s="15" t="n">
        <v>25</v>
      </c>
      <c r="Y389" s="15" t="s">
        <v>747</v>
      </c>
      <c r="Z389" s="15" t="n">
        <v>1</v>
      </c>
      <c r="AA389" s="15" t="n">
        <v>0</v>
      </c>
      <c r="AB389" s="15" t="n">
        <v>0</v>
      </c>
      <c r="AC389" s="15"/>
      <c r="AD389" s="15"/>
      <c r="AE389" s="15" t="s">
        <v>163</v>
      </c>
      <c r="AF389" s="15"/>
      <c r="AG389" s="24" t="n">
        <f aca="false">SUMIFS(Permissions!$G$2:$G$3000,Permissions!$B$2:$B$3000,$A389,Permissions!$I$2:$I$3000,"Complete",Permissions!$P$2:$P$3000,"Yes")</f>
        <v>0</v>
      </c>
      <c r="AH389" s="24" t="n">
        <f aca="false">SUMIFS(Permissions!$G$2:$G$3000,Permissions!$B$2:$B$3000,$A389,Permissions!$I$2:$I$3000,"Under construction",Permissions!$P$2:$P$3000,"Yes")</f>
        <v>0</v>
      </c>
      <c r="AI389" s="24" t="n">
        <f aca="false">SUMIFS(Permissions!$G$2:$G$3000,Permissions!$B$2:$B$3000,$A389,Permissions!$I$2:$I$3000,"Permitted – not started",Permissions!$P$2:$P$3000,"Yes")</f>
        <v>0</v>
      </c>
      <c r="AJ389" s="24" t="n">
        <f aca="false">SUMIFS(Permissions!$G$2:$G$3000,Permissions!$B$2:$B$3000,$A389,Permissions!$I$2:$I$3000,"Stalled",Permissions!$P$2:$P$3000,"Yes")</f>
        <v>0</v>
      </c>
      <c r="AK389" s="24" t="n">
        <f aca="false">AG389+AH389+AI389+AJ389</f>
        <v>0</v>
      </c>
      <c r="AL389" s="24" t="n">
        <f aca="false">SUMIFS(Permissions!$G$2:$G$3000,Permissions!$B$2:$B$3000,$A389,Permissions!$I$2:$I$3000,"Expired – not started",Permissions!$P$2:$P$3000,"Yes")</f>
        <v>0</v>
      </c>
      <c r="AM389" s="24" t="n">
        <f aca="false">SUMIFS(Permissions!$G$2:$G$3000,Permissions!$B$2:$B$3000,$A389,Permissions!$I$2:$I$3000,"In planning",Permissions!$P$2:$P$3000,"Yes")</f>
        <v>0</v>
      </c>
      <c r="AN389" s="24" t="n">
        <f aca="false">IF(R389="",0,MAX(R389-AK389,0))</f>
        <v>6</v>
      </c>
      <c r="AO389" s="25" t="n">
        <f aca="false">AK389+AN389</f>
        <v>6</v>
      </c>
      <c r="AP389" s="24" t="n">
        <f aca="false">AO389-AG389</f>
        <v>6</v>
      </c>
      <c r="AQ389" s="26" t="n">
        <f aca="false">SUMIFS(Permissions!$AH$2:$AH$3000,Permissions!$B$2:$B$3000,$A389,Permissions!$P$2:$P$3000,"Yes")</f>
        <v>0</v>
      </c>
      <c r="AR389" s="26" t="n">
        <f aca="false">SUMIFS(Permissions!$AI$2:$AI$3000,Permissions!$B$2:$B$3000,$A389,Permissions!$P$2:$P$3000,"Yes")</f>
        <v>0</v>
      </c>
      <c r="AS389" s="26" t="n">
        <f aca="false">SUMIFS(Permissions!$AJ$2:$AJ$3000,Permissions!$B$2:$B$3000,$A389,Permissions!$P$2:$P$3000,"Yes")</f>
        <v>0</v>
      </c>
      <c r="AT389" s="26" t="n">
        <f aca="false">SUMIFS(Permissions!$AK$2:$AK$3000,Permissions!$B$2:$B$3000,$A389,Permissions!$P$2:$P$3000,"Yes")</f>
        <v>0</v>
      </c>
      <c r="AU389" s="26" t="n">
        <f aca="false">SUMIFS(Permissions!$AL$2:$AL$3000,Permissions!$B$2:$B$3000,$A389,Permissions!$P$2:$P$3000,"Yes")</f>
        <v>0</v>
      </c>
      <c r="AV389" s="26" t="n">
        <f aca="false">SUMIFS(Permissions!$AM$2:$AM$3000,Permissions!$B$2:$B$3000,$A389,Permissions!$P$2:$P$3000,"Yes")</f>
        <v>0</v>
      </c>
      <c r="AW389" s="24" t="n">
        <f aca="false">COUNTIFS(Permissions!$B$2:$B$3000,$A389,Permissions!$P$2:$P$3000,"Yes")</f>
        <v>0</v>
      </c>
      <c r="AX389" s="24" t="n">
        <f aca="false">SUMIFS(Permissions!$L$2:$L$3000,Permissions!$B$2:$B$3000,$A389,Permissions!$P$2:$P$3000,"Yes")</f>
        <v>0</v>
      </c>
      <c r="AY389" s="27" t="str">
        <f aca="false">IF(AND(AK389&gt;0,AG389&gt;=AK389,AN389=0),"Built out",IF(AG389&gt;0,"Partly built",IF(AK389&gt;0,"Consented – not built","No consent")))</f>
        <v>No consent</v>
      </c>
      <c r="AZ389" s="28" t="str">
        <f aca="false">IF(AND(R389&lt;&gt;"",AK389&gt;1.1*R389),"Consented above capacity",IF(AND(LEFT(B389,8)="Planning",AW389=0),"Consent parcel with no permission",IF(COUNTIF($A$2:$A$3000,$A389)&gt;1,"Duplicate parcel_id","")))</f>
        <v/>
      </c>
    </row>
    <row r="390" customFormat="false" ht="15" hidden="false" customHeight="false" outlineLevel="0" collapsed="false">
      <c r="A390" s="15" t="s">
        <v>834</v>
      </c>
      <c r="B390" s="15" t="s">
        <v>13</v>
      </c>
      <c r="C390" s="15" t="s">
        <v>17</v>
      </c>
      <c r="D390" s="15" t="s">
        <v>72</v>
      </c>
      <c r="E390" s="15" t="s">
        <v>21</v>
      </c>
      <c r="F390" s="15" t="n">
        <v>0.63</v>
      </c>
      <c r="G390" s="15" t="s">
        <v>154</v>
      </c>
      <c r="H390" s="15"/>
      <c r="I390" s="15" t="s">
        <v>17</v>
      </c>
      <c r="J390" s="15" t="s">
        <v>559</v>
      </c>
      <c r="K390" s="15" t="s">
        <v>732</v>
      </c>
      <c r="L390" s="15"/>
      <c r="M390" s="15" t="s">
        <v>733</v>
      </c>
      <c r="N390" s="15"/>
      <c r="O390" s="15"/>
      <c r="P390" s="15" t="n">
        <v>0.689</v>
      </c>
      <c r="Q390" s="15" t="n">
        <v>0.757</v>
      </c>
      <c r="R390" s="15" t="n">
        <v>17</v>
      </c>
      <c r="S390" s="15" t="s">
        <v>734</v>
      </c>
      <c r="T390" s="15" t="s">
        <v>735</v>
      </c>
      <c r="U390" s="15" t="s">
        <v>736</v>
      </c>
      <c r="V390" s="15"/>
      <c r="W390" s="15" t="s">
        <v>746</v>
      </c>
      <c r="X390" s="15" t="n">
        <v>25</v>
      </c>
      <c r="Y390" s="15" t="s">
        <v>747</v>
      </c>
      <c r="Z390" s="15" t="n">
        <v>0.96</v>
      </c>
      <c r="AA390" s="15" t="n">
        <v>0</v>
      </c>
      <c r="AB390" s="15" t="n">
        <v>0</v>
      </c>
      <c r="AC390" s="15"/>
      <c r="AD390" s="15"/>
      <c r="AE390" s="15" t="s">
        <v>163</v>
      </c>
      <c r="AF390" s="15"/>
      <c r="AG390" s="24" t="n">
        <f aca="false">SUMIFS(Permissions!$G$2:$G$3000,Permissions!$B$2:$B$3000,$A390,Permissions!$I$2:$I$3000,"Complete",Permissions!$P$2:$P$3000,"Yes")</f>
        <v>0</v>
      </c>
      <c r="AH390" s="24" t="n">
        <f aca="false">SUMIFS(Permissions!$G$2:$G$3000,Permissions!$B$2:$B$3000,$A390,Permissions!$I$2:$I$3000,"Under construction",Permissions!$P$2:$P$3000,"Yes")</f>
        <v>0</v>
      </c>
      <c r="AI390" s="24" t="n">
        <f aca="false">SUMIFS(Permissions!$G$2:$G$3000,Permissions!$B$2:$B$3000,$A390,Permissions!$I$2:$I$3000,"Permitted – not started",Permissions!$P$2:$P$3000,"Yes")</f>
        <v>0</v>
      </c>
      <c r="AJ390" s="24" t="n">
        <f aca="false">SUMIFS(Permissions!$G$2:$G$3000,Permissions!$B$2:$B$3000,$A390,Permissions!$I$2:$I$3000,"Stalled",Permissions!$P$2:$P$3000,"Yes")</f>
        <v>0</v>
      </c>
      <c r="AK390" s="24" t="n">
        <f aca="false">AG390+AH390+AI390+AJ390</f>
        <v>0</v>
      </c>
      <c r="AL390" s="24" t="n">
        <f aca="false">SUMIFS(Permissions!$G$2:$G$3000,Permissions!$B$2:$B$3000,$A390,Permissions!$I$2:$I$3000,"Expired – not started",Permissions!$P$2:$P$3000,"Yes")</f>
        <v>0</v>
      </c>
      <c r="AM390" s="24" t="n">
        <f aca="false">SUMIFS(Permissions!$G$2:$G$3000,Permissions!$B$2:$B$3000,$A390,Permissions!$I$2:$I$3000,"In planning",Permissions!$P$2:$P$3000,"Yes")</f>
        <v>0</v>
      </c>
      <c r="AN390" s="24" t="n">
        <f aca="false">IF(R390="",0,MAX(R390-AK390,0))</f>
        <v>17</v>
      </c>
      <c r="AO390" s="25" t="n">
        <f aca="false">AK390+AN390</f>
        <v>17</v>
      </c>
      <c r="AP390" s="24" t="n">
        <f aca="false">AO390-AG390</f>
        <v>17</v>
      </c>
      <c r="AQ390" s="26" t="n">
        <f aca="false">SUMIFS(Permissions!$AH$2:$AH$3000,Permissions!$B$2:$B$3000,$A390,Permissions!$P$2:$P$3000,"Yes")</f>
        <v>0</v>
      </c>
      <c r="AR390" s="26" t="n">
        <f aca="false">SUMIFS(Permissions!$AI$2:$AI$3000,Permissions!$B$2:$B$3000,$A390,Permissions!$P$2:$P$3000,"Yes")</f>
        <v>0</v>
      </c>
      <c r="AS390" s="26" t="n">
        <f aca="false">SUMIFS(Permissions!$AJ$2:$AJ$3000,Permissions!$B$2:$B$3000,$A390,Permissions!$P$2:$P$3000,"Yes")</f>
        <v>0</v>
      </c>
      <c r="AT390" s="26" t="n">
        <f aca="false">SUMIFS(Permissions!$AK$2:$AK$3000,Permissions!$B$2:$B$3000,$A390,Permissions!$P$2:$P$3000,"Yes")</f>
        <v>0</v>
      </c>
      <c r="AU390" s="26" t="n">
        <f aca="false">SUMIFS(Permissions!$AL$2:$AL$3000,Permissions!$B$2:$B$3000,$A390,Permissions!$P$2:$P$3000,"Yes")</f>
        <v>0</v>
      </c>
      <c r="AV390" s="26" t="n">
        <f aca="false">SUMIFS(Permissions!$AM$2:$AM$3000,Permissions!$B$2:$B$3000,$A390,Permissions!$P$2:$P$3000,"Yes")</f>
        <v>0</v>
      </c>
      <c r="AW390" s="24" t="n">
        <f aca="false">COUNTIFS(Permissions!$B$2:$B$3000,$A390,Permissions!$P$2:$P$3000,"Yes")</f>
        <v>0</v>
      </c>
      <c r="AX390" s="24" t="n">
        <f aca="false">SUMIFS(Permissions!$L$2:$L$3000,Permissions!$B$2:$B$3000,$A390,Permissions!$P$2:$P$3000,"Yes")</f>
        <v>0</v>
      </c>
      <c r="AY390" s="27" t="str">
        <f aca="false">IF(AND(AK390&gt;0,AG390&gt;=AK390,AN390=0),"Built out",IF(AG390&gt;0,"Partly built",IF(AK390&gt;0,"Consented – not built","No consent")))</f>
        <v>No consent</v>
      </c>
      <c r="AZ390" s="28" t="str">
        <f aca="false">IF(AND(R390&lt;&gt;"",AK390&gt;1.1*R390),"Consented above capacity",IF(AND(LEFT(B390,8)="Planning",AW390=0),"Consent parcel with no permission",IF(COUNTIF($A$2:$A$3000,$A390)&gt;1,"Duplicate parcel_id","")))</f>
        <v/>
      </c>
    </row>
    <row r="391" customFormat="false" ht="15" hidden="false" customHeight="false" outlineLevel="0" collapsed="false">
      <c r="A391" s="15" t="s">
        <v>835</v>
      </c>
      <c r="B391" s="15" t="s">
        <v>13</v>
      </c>
      <c r="C391" s="15" t="s">
        <v>17</v>
      </c>
      <c r="D391" s="15" t="s">
        <v>68</v>
      </c>
      <c r="E391" s="15" t="s">
        <v>21</v>
      </c>
      <c r="F391" s="15" t="n">
        <v>0</v>
      </c>
      <c r="G391" s="15" t="s">
        <v>616</v>
      </c>
      <c r="H391" s="15"/>
      <c r="I391" s="15" t="s">
        <v>17</v>
      </c>
      <c r="J391" s="15" t="s">
        <v>559</v>
      </c>
      <c r="K391" s="15" t="s">
        <v>732</v>
      </c>
      <c r="L391" s="15"/>
      <c r="M391" s="15" t="s">
        <v>733</v>
      </c>
      <c r="N391" s="15"/>
      <c r="O391" s="15"/>
      <c r="P391" s="15" t="n">
        <v>0.302</v>
      </c>
      <c r="Q391" s="15" t="n">
        <v>0.332</v>
      </c>
      <c r="R391" s="15" t="n">
        <v>8</v>
      </c>
      <c r="S391" s="15" t="s">
        <v>734</v>
      </c>
      <c r="T391" s="15" t="s">
        <v>735</v>
      </c>
      <c r="U391" s="15" t="s">
        <v>736</v>
      </c>
      <c r="V391" s="15"/>
      <c r="W391" s="15" t="s">
        <v>746</v>
      </c>
      <c r="X391" s="15" t="n">
        <v>25</v>
      </c>
      <c r="Y391" s="15" t="s">
        <v>747</v>
      </c>
      <c r="Z391" s="15" t="n">
        <v>0.85</v>
      </c>
      <c r="AA391" s="15" t="n">
        <v>0</v>
      </c>
      <c r="AB391" s="15" t="n">
        <v>0</v>
      </c>
      <c r="AC391" s="15"/>
      <c r="AD391" s="15"/>
      <c r="AE391" s="15" t="s">
        <v>163</v>
      </c>
      <c r="AF391" s="15"/>
      <c r="AG391" s="24" t="n">
        <f aca="false">SUMIFS(Permissions!$G$2:$G$3000,Permissions!$B$2:$B$3000,$A391,Permissions!$I$2:$I$3000,"Complete",Permissions!$P$2:$P$3000,"Yes")</f>
        <v>0</v>
      </c>
      <c r="AH391" s="24" t="n">
        <f aca="false">SUMIFS(Permissions!$G$2:$G$3000,Permissions!$B$2:$B$3000,$A391,Permissions!$I$2:$I$3000,"Under construction",Permissions!$P$2:$P$3000,"Yes")</f>
        <v>0</v>
      </c>
      <c r="AI391" s="24" t="n">
        <f aca="false">SUMIFS(Permissions!$G$2:$G$3000,Permissions!$B$2:$B$3000,$A391,Permissions!$I$2:$I$3000,"Permitted – not started",Permissions!$P$2:$P$3000,"Yes")</f>
        <v>0</v>
      </c>
      <c r="AJ391" s="24" t="n">
        <f aca="false">SUMIFS(Permissions!$G$2:$G$3000,Permissions!$B$2:$B$3000,$A391,Permissions!$I$2:$I$3000,"Stalled",Permissions!$P$2:$P$3000,"Yes")</f>
        <v>0</v>
      </c>
      <c r="AK391" s="24" t="n">
        <f aca="false">AG391+AH391+AI391+AJ391</f>
        <v>0</v>
      </c>
      <c r="AL391" s="24" t="n">
        <f aca="false">SUMIFS(Permissions!$G$2:$G$3000,Permissions!$B$2:$B$3000,$A391,Permissions!$I$2:$I$3000,"Expired – not started",Permissions!$P$2:$P$3000,"Yes")</f>
        <v>0</v>
      </c>
      <c r="AM391" s="24" t="n">
        <f aca="false">SUMIFS(Permissions!$G$2:$G$3000,Permissions!$B$2:$B$3000,$A391,Permissions!$I$2:$I$3000,"In planning",Permissions!$P$2:$P$3000,"Yes")</f>
        <v>0</v>
      </c>
      <c r="AN391" s="24" t="n">
        <f aca="false">IF(R391="",0,MAX(R391-AK391,0))</f>
        <v>8</v>
      </c>
      <c r="AO391" s="25" t="n">
        <f aca="false">AK391+AN391</f>
        <v>8</v>
      </c>
      <c r="AP391" s="24" t="n">
        <f aca="false">AO391-AG391</f>
        <v>8</v>
      </c>
      <c r="AQ391" s="26" t="n">
        <f aca="false">SUMIFS(Permissions!$AH$2:$AH$3000,Permissions!$B$2:$B$3000,$A391,Permissions!$P$2:$P$3000,"Yes")</f>
        <v>0</v>
      </c>
      <c r="AR391" s="26" t="n">
        <f aca="false">SUMIFS(Permissions!$AI$2:$AI$3000,Permissions!$B$2:$B$3000,$A391,Permissions!$P$2:$P$3000,"Yes")</f>
        <v>0</v>
      </c>
      <c r="AS391" s="26" t="n">
        <f aca="false">SUMIFS(Permissions!$AJ$2:$AJ$3000,Permissions!$B$2:$B$3000,$A391,Permissions!$P$2:$P$3000,"Yes")</f>
        <v>0</v>
      </c>
      <c r="AT391" s="26" t="n">
        <f aca="false">SUMIFS(Permissions!$AK$2:$AK$3000,Permissions!$B$2:$B$3000,$A391,Permissions!$P$2:$P$3000,"Yes")</f>
        <v>0</v>
      </c>
      <c r="AU391" s="26" t="n">
        <f aca="false">SUMIFS(Permissions!$AL$2:$AL$3000,Permissions!$B$2:$B$3000,$A391,Permissions!$P$2:$P$3000,"Yes")</f>
        <v>0</v>
      </c>
      <c r="AV391" s="26" t="n">
        <f aca="false">SUMIFS(Permissions!$AM$2:$AM$3000,Permissions!$B$2:$B$3000,$A391,Permissions!$P$2:$P$3000,"Yes")</f>
        <v>0</v>
      </c>
      <c r="AW391" s="24" t="n">
        <f aca="false">COUNTIFS(Permissions!$B$2:$B$3000,$A391,Permissions!$P$2:$P$3000,"Yes")</f>
        <v>0</v>
      </c>
      <c r="AX391" s="24" t="n">
        <f aca="false">SUMIFS(Permissions!$L$2:$L$3000,Permissions!$B$2:$B$3000,$A391,Permissions!$P$2:$P$3000,"Yes")</f>
        <v>0</v>
      </c>
      <c r="AY391" s="27" t="str">
        <f aca="false">IF(AND(AK391&gt;0,AG391&gt;=AK391,AN391=0),"Built out",IF(AG391&gt;0,"Partly built",IF(AK391&gt;0,"Consented – not built","No consent")))</f>
        <v>No consent</v>
      </c>
      <c r="AZ391" s="28" t="str">
        <f aca="false">IF(AND(R391&lt;&gt;"",AK391&gt;1.1*R391),"Consented above capacity",IF(AND(LEFT(B391,8)="Planning",AW391=0),"Consent parcel with no permission",IF(COUNTIF($A$2:$A$3000,$A391)&gt;1,"Duplicate parcel_id","")))</f>
        <v/>
      </c>
    </row>
    <row r="392" customFormat="false" ht="15" hidden="false" customHeight="false" outlineLevel="0" collapsed="false">
      <c r="A392" s="15" t="s">
        <v>836</v>
      </c>
      <c r="B392" s="15" t="s">
        <v>13</v>
      </c>
      <c r="C392" s="15" t="s">
        <v>17</v>
      </c>
      <c r="D392" s="15" t="s">
        <v>69</v>
      </c>
      <c r="E392" s="15" t="s">
        <v>21</v>
      </c>
      <c r="F392" s="15" t="n">
        <v>0</v>
      </c>
      <c r="G392" s="15" t="s">
        <v>616</v>
      </c>
      <c r="H392" s="15"/>
      <c r="I392" s="15" t="s">
        <v>17</v>
      </c>
      <c r="J392" s="15" t="s">
        <v>559</v>
      </c>
      <c r="K392" s="15" t="s">
        <v>819</v>
      </c>
      <c r="L392" s="15"/>
      <c r="M392" s="15" t="s">
        <v>751</v>
      </c>
      <c r="N392" s="15"/>
      <c r="O392" s="15"/>
      <c r="P392" s="15" t="n">
        <v>0.607</v>
      </c>
      <c r="Q392" s="15" t="n">
        <v>0.667</v>
      </c>
      <c r="R392" s="15" t="n">
        <v>12</v>
      </c>
      <c r="S392" s="15" t="s">
        <v>734</v>
      </c>
      <c r="T392" s="15" t="s">
        <v>735</v>
      </c>
      <c r="U392" s="15" t="s">
        <v>752</v>
      </c>
      <c r="V392" s="15"/>
      <c r="W392" s="15" t="s">
        <v>753</v>
      </c>
      <c r="X392" s="15" t="n">
        <v>19</v>
      </c>
      <c r="Y392" s="15" t="s">
        <v>754</v>
      </c>
      <c r="Z392" s="15" t="n">
        <v>1</v>
      </c>
      <c r="AA392" s="15" t="n">
        <v>0</v>
      </c>
      <c r="AB392" s="15" t="n">
        <v>0</v>
      </c>
      <c r="AC392" s="15"/>
      <c r="AD392" s="15"/>
      <c r="AE392" s="15" t="s">
        <v>163</v>
      </c>
      <c r="AF392" s="15"/>
      <c r="AG392" s="24" t="n">
        <f aca="false">SUMIFS(Permissions!$G$2:$G$3000,Permissions!$B$2:$B$3000,$A392,Permissions!$I$2:$I$3000,"Complete",Permissions!$P$2:$P$3000,"Yes")</f>
        <v>0</v>
      </c>
      <c r="AH392" s="24" t="n">
        <f aca="false">SUMIFS(Permissions!$G$2:$G$3000,Permissions!$B$2:$B$3000,$A392,Permissions!$I$2:$I$3000,"Under construction",Permissions!$P$2:$P$3000,"Yes")</f>
        <v>0</v>
      </c>
      <c r="AI392" s="24" t="n">
        <f aca="false">SUMIFS(Permissions!$G$2:$G$3000,Permissions!$B$2:$B$3000,$A392,Permissions!$I$2:$I$3000,"Permitted – not started",Permissions!$P$2:$P$3000,"Yes")</f>
        <v>0</v>
      </c>
      <c r="AJ392" s="24" t="n">
        <f aca="false">SUMIFS(Permissions!$G$2:$G$3000,Permissions!$B$2:$B$3000,$A392,Permissions!$I$2:$I$3000,"Stalled",Permissions!$P$2:$P$3000,"Yes")</f>
        <v>0</v>
      </c>
      <c r="AK392" s="24" t="n">
        <f aca="false">AG392+AH392+AI392+AJ392</f>
        <v>0</v>
      </c>
      <c r="AL392" s="24" t="n">
        <f aca="false">SUMIFS(Permissions!$G$2:$G$3000,Permissions!$B$2:$B$3000,$A392,Permissions!$I$2:$I$3000,"Expired – not started",Permissions!$P$2:$P$3000,"Yes")</f>
        <v>0</v>
      </c>
      <c r="AM392" s="24" t="n">
        <f aca="false">SUMIFS(Permissions!$G$2:$G$3000,Permissions!$B$2:$B$3000,$A392,Permissions!$I$2:$I$3000,"In planning",Permissions!$P$2:$P$3000,"Yes")</f>
        <v>0</v>
      </c>
      <c r="AN392" s="24" t="n">
        <f aca="false">IF(R392="",0,MAX(R392-AK392,0))</f>
        <v>12</v>
      </c>
      <c r="AO392" s="25" t="n">
        <f aca="false">AK392+AN392</f>
        <v>12</v>
      </c>
      <c r="AP392" s="24" t="n">
        <f aca="false">AO392-AG392</f>
        <v>12</v>
      </c>
      <c r="AQ392" s="26" t="n">
        <f aca="false">SUMIFS(Permissions!$AH$2:$AH$3000,Permissions!$B$2:$B$3000,$A392,Permissions!$P$2:$P$3000,"Yes")</f>
        <v>0</v>
      </c>
      <c r="AR392" s="26" t="n">
        <f aca="false">SUMIFS(Permissions!$AI$2:$AI$3000,Permissions!$B$2:$B$3000,$A392,Permissions!$P$2:$P$3000,"Yes")</f>
        <v>0</v>
      </c>
      <c r="AS392" s="26" t="n">
        <f aca="false">SUMIFS(Permissions!$AJ$2:$AJ$3000,Permissions!$B$2:$B$3000,$A392,Permissions!$P$2:$P$3000,"Yes")</f>
        <v>0</v>
      </c>
      <c r="AT392" s="26" t="n">
        <f aca="false">SUMIFS(Permissions!$AK$2:$AK$3000,Permissions!$B$2:$B$3000,$A392,Permissions!$P$2:$P$3000,"Yes")</f>
        <v>0</v>
      </c>
      <c r="AU392" s="26" t="n">
        <f aca="false">SUMIFS(Permissions!$AL$2:$AL$3000,Permissions!$B$2:$B$3000,$A392,Permissions!$P$2:$P$3000,"Yes")</f>
        <v>0</v>
      </c>
      <c r="AV392" s="26" t="n">
        <f aca="false">SUMIFS(Permissions!$AM$2:$AM$3000,Permissions!$B$2:$B$3000,$A392,Permissions!$P$2:$P$3000,"Yes")</f>
        <v>0</v>
      </c>
      <c r="AW392" s="24" t="n">
        <f aca="false">COUNTIFS(Permissions!$B$2:$B$3000,$A392,Permissions!$P$2:$P$3000,"Yes")</f>
        <v>0</v>
      </c>
      <c r="AX392" s="24" t="n">
        <f aca="false">SUMIFS(Permissions!$L$2:$L$3000,Permissions!$B$2:$B$3000,$A392,Permissions!$P$2:$P$3000,"Yes")</f>
        <v>0</v>
      </c>
      <c r="AY392" s="27" t="str">
        <f aca="false">IF(AND(AK392&gt;0,AG392&gt;=AK392,AN392=0),"Built out",IF(AG392&gt;0,"Partly built",IF(AK392&gt;0,"Consented – not built","No consent")))</f>
        <v>No consent</v>
      </c>
      <c r="AZ392" s="28" t="str">
        <f aca="false">IF(AND(R392&lt;&gt;"",AK392&gt;1.1*R392),"Consented above capacity",IF(AND(LEFT(B392,8)="Planning",AW392=0),"Consent parcel with no permission",IF(COUNTIF($A$2:$A$3000,$A392)&gt;1,"Duplicate parcel_id","")))</f>
        <v/>
      </c>
    </row>
    <row r="393" customFormat="false" ht="15" hidden="false" customHeight="false" outlineLevel="0" collapsed="false">
      <c r="A393" s="15" t="s">
        <v>837</v>
      </c>
      <c r="B393" s="15" t="s">
        <v>13</v>
      </c>
      <c r="C393" s="15" t="s">
        <v>17</v>
      </c>
      <c r="D393" s="15" t="s">
        <v>69</v>
      </c>
      <c r="E393" s="15" t="s">
        <v>21</v>
      </c>
      <c r="F393" s="15" t="n">
        <v>0</v>
      </c>
      <c r="G393" s="15" t="s">
        <v>616</v>
      </c>
      <c r="H393" s="15"/>
      <c r="I393" s="15" t="s">
        <v>17</v>
      </c>
      <c r="J393" s="15" t="s">
        <v>559</v>
      </c>
      <c r="K393" s="15" t="s">
        <v>732</v>
      </c>
      <c r="L393" s="15"/>
      <c r="M393" s="15" t="s">
        <v>733</v>
      </c>
      <c r="N393" s="15"/>
      <c r="O393" s="15"/>
      <c r="P393" s="15" t="n">
        <v>0.489</v>
      </c>
      <c r="Q393" s="15" t="n">
        <v>0.537</v>
      </c>
      <c r="R393" s="15" t="n">
        <v>12</v>
      </c>
      <c r="S393" s="15" t="s">
        <v>734</v>
      </c>
      <c r="T393" s="15" t="s">
        <v>735</v>
      </c>
      <c r="U393" s="15" t="s">
        <v>736</v>
      </c>
      <c r="V393" s="15"/>
      <c r="W393" s="15" t="s">
        <v>746</v>
      </c>
      <c r="X393" s="15" t="n">
        <v>25</v>
      </c>
      <c r="Y393" s="15" t="s">
        <v>747</v>
      </c>
      <c r="Z393" s="15" t="n">
        <v>1</v>
      </c>
      <c r="AA393" s="15" t="n">
        <v>0</v>
      </c>
      <c r="AB393" s="15" t="n">
        <v>0</v>
      </c>
      <c r="AC393" s="15"/>
      <c r="AD393" s="15"/>
      <c r="AE393" s="15" t="s">
        <v>163</v>
      </c>
      <c r="AF393" s="15"/>
      <c r="AG393" s="24" t="n">
        <f aca="false">SUMIFS(Permissions!$G$2:$G$3000,Permissions!$B$2:$B$3000,$A393,Permissions!$I$2:$I$3000,"Complete",Permissions!$P$2:$P$3000,"Yes")</f>
        <v>0</v>
      </c>
      <c r="AH393" s="24" t="n">
        <f aca="false">SUMIFS(Permissions!$G$2:$G$3000,Permissions!$B$2:$B$3000,$A393,Permissions!$I$2:$I$3000,"Under construction",Permissions!$P$2:$P$3000,"Yes")</f>
        <v>0</v>
      </c>
      <c r="AI393" s="24" t="n">
        <f aca="false">SUMIFS(Permissions!$G$2:$G$3000,Permissions!$B$2:$B$3000,$A393,Permissions!$I$2:$I$3000,"Permitted – not started",Permissions!$P$2:$P$3000,"Yes")</f>
        <v>0</v>
      </c>
      <c r="AJ393" s="24" t="n">
        <f aca="false">SUMIFS(Permissions!$G$2:$G$3000,Permissions!$B$2:$B$3000,$A393,Permissions!$I$2:$I$3000,"Stalled",Permissions!$P$2:$P$3000,"Yes")</f>
        <v>0</v>
      </c>
      <c r="AK393" s="24" t="n">
        <f aca="false">AG393+AH393+AI393+AJ393</f>
        <v>0</v>
      </c>
      <c r="AL393" s="24" t="n">
        <f aca="false">SUMIFS(Permissions!$G$2:$G$3000,Permissions!$B$2:$B$3000,$A393,Permissions!$I$2:$I$3000,"Expired – not started",Permissions!$P$2:$P$3000,"Yes")</f>
        <v>0</v>
      </c>
      <c r="AM393" s="24" t="n">
        <f aca="false">SUMIFS(Permissions!$G$2:$G$3000,Permissions!$B$2:$B$3000,$A393,Permissions!$I$2:$I$3000,"In planning",Permissions!$P$2:$P$3000,"Yes")</f>
        <v>0</v>
      </c>
      <c r="AN393" s="24" t="n">
        <f aca="false">IF(R393="",0,MAX(R393-AK393,0))</f>
        <v>12</v>
      </c>
      <c r="AO393" s="25" t="n">
        <f aca="false">AK393+AN393</f>
        <v>12</v>
      </c>
      <c r="AP393" s="24" t="n">
        <f aca="false">AO393-AG393</f>
        <v>12</v>
      </c>
      <c r="AQ393" s="26" t="n">
        <f aca="false">SUMIFS(Permissions!$AH$2:$AH$3000,Permissions!$B$2:$B$3000,$A393,Permissions!$P$2:$P$3000,"Yes")</f>
        <v>0</v>
      </c>
      <c r="AR393" s="26" t="n">
        <f aca="false">SUMIFS(Permissions!$AI$2:$AI$3000,Permissions!$B$2:$B$3000,$A393,Permissions!$P$2:$P$3000,"Yes")</f>
        <v>0</v>
      </c>
      <c r="AS393" s="26" t="n">
        <f aca="false">SUMIFS(Permissions!$AJ$2:$AJ$3000,Permissions!$B$2:$B$3000,$A393,Permissions!$P$2:$P$3000,"Yes")</f>
        <v>0</v>
      </c>
      <c r="AT393" s="26" t="n">
        <f aca="false">SUMIFS(Permissions!$AK$2:$AK$3000,Permissions!$B$2:$B$3000,$A393,Permissions!$P$2:$P$3000,"Yes")</f>
        <v>0</v>
      </c>
      <c r="AU393" s="26" t="n">
        <f aca="false">SUMIFS(Permissions!$AL$2:$AL$3000,Permissions!$B$2:$B$3000,$A393,Permissions!$P$2:$P$3000,"Yes")</f>
        <v>0</v>
      </c>
      <c r="AV393" s="26" t="n">
        <f aca="false">SUMIFS(Permissions!$AM$2:$AM$3000,Permissions!$B$2:$B$3000,$A393,Permissions!$P$2:$P$3000,"Yes")</f>
        <v>0</v>
      </c>
      <c r="AW393" s="24" t="n">
        <f aca="false">COUNTIFS(Permissions!$B$2:$B$3000,$A393,Permissions!$P$2:$P$3000,"Yes")</f>
        <v>0</v>
      </c>
      <c r="AX393" s="24" t="n">
        <f aca="false">SUMIFS(Permissions!$L$2:$L$3000,Permissions!$B$2:$B$3000,$A393,Permissions!$P$2:$P$3000,"Yes")</f>
        <v>0</v>
      </c>
      <c r="AY393" s="27" t="str">
        <f aca="false">IF(AND(AK393&gt;0,AG393&gt;=AK393,AN393=0),"Built out",IF(AG393&gt;0,"Partly built",IF(AK393&gt;0,"Consented – not built","No consent")))</f>
        <v>No consent</v>
      </c>
      <c r="AZ393" s="28" t="str">
        <f aca="false">IF(AND(R393&lt;&gt;"",AK393&gt;1.1*R393),"Consented above capacity",IF(AND(LEFT(B393,8)="Planning",AW393=0),"Consent parcel with no permission",IF(COUNTIF($A$2:$A$3000,$A393)&gt;1,"Duplicate parcel_id","")))</f>
        <v/>
      </c>
    </row>
    <row r="394" customFormat="false" ht="15" hidden="false" customHeight="false" outlineLevel="0" collapsed="false">
      <c r="A394" s="15" t="s">
        <v>838</v>
      </c>
      <c r="B394" s="15" t="s">
        <v>13</v>
      </c>
      <c r="C394" s="15" t="s">
        <v>17</v>
      </c>
      <c r="D394" s="15" t="s">
        <v>22</v>
      </c>
      <c r="E394" s="15" t="s">
        <v>22</v>
      </c>
      <c r="F394" s="15"/>
      <c r="G394" s="15" t="s">
        <v>22</v>
      </c>
      <c r="H394" s="15"/>
      <c r="I394" s="15" t="s">
        <v>17</v>
      </c>
      <c r="J394" s="15" t="s">
        <v>559</v>
      </c>
      <c r="K394" s="15" t="s">
        <v>732</v>
      </c>
      <c r="L394" s="15"/>
      <c r="M394" s="15" t="s">
        <v>733</v>
      </c>
      <c r="N394" s="15"/>
      <c r="O394" s="15"/>
      <c r="P394" s="15" t="n">
        <v>0.558</v>
      </c>
      <c r="Q394" s="15" t="n">
        <v>0.613</v>
      </c>
      <c r="R394" s="15" t="n">
        <v>14</v>
      </c>
      <c r="S394" s="15" t="s">
        <v>734</v>
      </c>
      <c r="T394" s="15" t="s">
        <v>735</v>
      </c>
      <c r="U394" s="15" t="s">
        <v>736</v>
      </c>
      <c r="V394" s="15"/>
      <c r="W394" s="15" t="s">
        <v>746</v>
      </c>
      <c r="X394" s="15" t="n">
        <v>25</v>
      </c>
      <c r="Y394" s="15" t="s">
        <v>747</v>
      </c>
      <c r="Z394" s="15" t="n">
        <v>0</v>
      </c>
      <c r="AA394" s="15" t="n">
        <v>0</v>
      </c>
      <c r="AB394" s="15" t="n">
        <v>0</v>
      </c>
      <c r="AC394" s="15"/>
      <c r="AD394" s="15"/>
      <c r="AE394" s="15" t="s">
        <v>163</v>
      </c>
      <c r="AF394" s="15"/>
      <c r="AG394" s="24" t="n">
        <f aca="false">SUMIFS(Permissions!$G$2:$G$3000,Permissions!$B$2:$B$3000,$A394,Permissions!$I$2:$I$3000,"Complete",Permissions!$P$2:$P$3000,"Yes")</f>
        <v>0</v>
      </c>
      <c r="AH394" s="24" t="n">
        <f aca="false">SUMIFS(Permissions!$G$2:$G$3000,Permissions!$B$2:$B$3000,$A394,Permissions!$I$2:$I$3000,"Under construction",Permissions!$P$2:$P$3000,"Yes")</f>
        <v>0</v>
      </c>
      <c r="AI394" s="24" t="n">
        <f aca="false">SUMIFS(Permissions!$G$2:$G$3000,Permissions!$B$2:$B$3000,$A394,Permissions!$I$2:$I$3000,"Permitted – not started",Permissions!$P$2:$P$3000,"Yes")</f>
        <v>0</v>
      </c>
      <c r="AJ394" s="24" t="n">
        <f aca="false">SUMIFS(Permissions!$G$2:$G$3000,Permissions!$B$2:$B$3000,$A394,Permissions!$I$2:$I$3000,"Stalled",Permissions!$P$2:$P$3000,"Yes")</f>
        <v>0</v>
      </c>
      <c r="AK394" s="24" t="n">
        <f aca="false">AG394+AH394+AI394+AJ394</f>
        <v>0</v>
      </c>
      <c r="AL394" s="24" t="n">
        <f aca="false">SUMIFS(Permissions!$G$2:$G$3000,Permissions!$B$2:$B$3000,$A394,Permissions!$I$2:$I$3000,"Expired – not started",Permissions!$P$2:$P$3000,"Yes")</f>
        <v>0</v>
      </c>
      <c r="AM394" s="24" t="n">
        <f aca="false">SUMIFS(Permissions!$G$2:$G$3000,Permissions!$B$2:$B$3000,$A394,Permissions!$I$2:$I$3000,"In planning",Permissions!$P$2:$P$3000,"Yes")</f>
        <v>0</v>
      </c>
      <c r="AN394" s="24" t="n">
        <f aca="false">IF(R394="",0,MAX(R394-AK394,0))</f>
        <v>14</v>
      </c>
      <c r="AO394" s="25" t="n">
        <f aca="false">AK394+AN394</f>
        <v>14</v>
      </c>
      <c r="AP394" s="24" t="n">
        <f aca="false">AO394-AG394</f>
        <v>14</v>
      </c>
      <c r="AQ394" s="26" t="n">
        <f aca="false">SUMIFS(Permissions!$AH$2:$AH$3000,Permissions!$B$2:$B$3000,$A394,Permissions!$P$2:$P$3000,"Yes")</f>
        <v>0</v>
      </c>
      <c r="AR394" s="26" t="n">
        <f aca="false">SUMIFS(Permissions!$AI$2:$AI$3000,Permissions!$B$2:$B$3000,$A394,Permissions!$P$2:$P$3000,"Yes")</f>
        <v>0</v>
      </c>
      <c r="AS394" s="26" t="n">
        <f aca="false">SUMIFS(Permissions!$AJ$2:$AJ$3000,Permissions!$B$2:$B$3000,$A394,Permissions!$P$2:$P$3000,"Yes")</f>
        <v>0</v>
      </c>
      <c r="AT394" s="26" t="n">
        <f aca="false">SUMIFS(Permissions!$AK$2:$AK$3000,Permissions!$B$2:$B$3000,$A394,Permissions!$P$2:$P$3000,"Yes")</f>
        <v>0</v>
      </c>
      <c r="AU394" s="26" t="n">
        <f aca="false">SUMIFS(Permissions!$AL$2:$AL$3000,Permissions!$B$2:$B$3000,$A394,Permissions!$P$2:$P$3000,"Yes")</f>
        <v>0</v>
      </c>
      <c r="AV394" s="26" t="n">
        <f aca="false">SUMIFS(Permissions!$AM$2:$AM$3000,Permissions!$B$2:$B$3000,$A394,Permissions!$P$2:$P$3000,"Yes")</f>
        <v>0</v>
      </c>
      <c r="AW394" s="24" t="n">
        <f aca="false">COUNTIFS(Permissions!$B$2:$B$3000,$A394,Permissions!$P$2:$P$3000,"Yes")</f>
        <v>0</v>
      </c>
      <c r="AX394" s="24" t="n">
        <f aca="false">SUMIFS(Permissions!$L$2:$L$3000,Permissions!$B$2:$B$3000,$A394,Permissions!$P$2:$P$3000,"Yes")</f>
        <v>0</v>
      </c>
      <c r="AY394" s="27" t="str">
        <f aca="false">IF(AND(AK394&gt;0,AG394&gt;=AK394,AN394=0),"Built out",IF(AG394&gt;0,"Partly built",IF(AK394&gt;0,"Consented – not built","No consent")))</f>
        <v>No consent</v>
      </c>
      <c r="AZ394" s="28" t="str">
        <f aca="false">IF(AND(R394&lt;&gt;"",AK394&gt;1.1*R394),"Consented above capacity",IF(AND(LEFT(B394,8)="Planning",AW394=0),"Consent parcel with no permission",IF(COUNTIF($A$2:$A$3000,$A394)&gt;1,"Duplicate parcel_id","")))</f>
        <v/>
      </c>
    </row>
    <row r="395" customFormat="false" ht="15" hidden="false" customHeight="false" outlineLevel="0" collapsed="false">
      <c r="A395" s="15" t="s">
        <v>839</v>
      </c>
      <c r="B395" s="15" t="s">
        <v>13</v>
      </c>
      <c r="C395" s="15" t="s">
        <v>17</v>
      </c>
      <c r="D395" s="15" t="s">
        <v>22</v>
      </c>
      <c r="E395" s="15" t="s">
        <v>22</v>
      </c>
      <c r="F395" s="15"/>
      <c r="G395" s="15" t="s">
        <v>22</v>
      </c>
      <c r="H395" s="15"/>
      <c r="I395" s="15" t="s">
        <v>17</v>
      </c>
      <c r="J395" s="15" t="s">
        <v>568</v>
      </c>
      <c r="K395" s="15" t="s">
        <v>732</v>
      </c>
      <c r="L395" s="15"/>
      <c r="M395" s="15" t="s">
        <v>733</v>
      </c>
      <c r="N395" s="15"/>
      <c r="O395" s="15"/>
      <c r="P395" s="15" t="n">
        <v>1.126</v>
      </c>
      <c r="Q395" s="15" t="n">
        <v>1.237</v>
      </c>
      <c r="R395" s="15" t="n">
        <v>28</v>
      </c>
      <c r="S395" s="15" t="s">
        <v>734</v>
      </c>
      <c r="T395" s="15" t="s">
        <v>735</v>
      </c>
      <c r="U395" s="15" t="s">
        <v>736</v>
      </c>
      <c r="V395" s="15"/>
      <c r="W395" s="15" t="s">
        <v>746</v>
      </c>
      <c r="X395" s="15" t="n">
        <v>25</v>
      </c>
      <c r="Y395" s="15" t="s">
        <v>747</v>
      </c>
      <c r="Z395" s="15" t="n">
        <v>0</v>
      </c>
      <c r="AA395" s="15" t="n">
        <v>0</v>
      </c>
      <c r="AB395" s="15" t="n">
        <v>0</v>
      </c>
      <c r="AC395" s="15"/>
      <c r="AD395" s="15"/>
      <c r="AE395" s="15" t="s">
        <v>163</v>
      </c>
      <c r="AF395" s="15"/>
      <c r="AG395" s="24" t="n">
        <f aca="false">SUMIFS(Permissions!$G$2:$G$3000,Permissions!$B$2:$B$3000,$A395,Permissions!$I$2:$I$3000,"Complete",Permissions!$P$2:$P$3000,"Yes")</f>
        <v>0</v>
      </c>
      <c r="AH395" s="24" t="n">
        <f aca="false">SUMIFS(Permissions!$G$2:$G$3000,Permissions!$B$2:$B$3000,$A395,Permissions!$I$2:$I$3000,"Under construction",Permissions!$P$2:$P$3000,"Yes")</f>
        <v>0</v>
      </c>
      <c r="AI395" s="24" t="n">
        <f aca="false">SUMIFS(Permissions!$G$2:$G$3000,Permissions!$B$2:$B$3000,$A395,Permissions!$I$2:$I$3000,"Permitted – not started",Permissions!$P$2:$P$3000,"Yes")</f>
        <v>0</v>
      </c>
      <c r="AJ395" s="24" t="n">
        <f aca="false">SUMIFS(Permissions!$G$2:$G$3000,Permissions!$B$2:$B$3000,$A395,Permissions!$I$2:$I$3000,"Stalled",Permissions!$P$2:$P$3000,"Yes")</f>
        <v>0</v>
      </c>
      <c r="AK395" s="24" t="n">
        <f aca="false">AG395+AH395+AI395+AJ395</f>
        <v>0</v>
      </c>
      <c r="AL395" s="24" t="n">
        <f aca="false">SUMIFS(Permissions!$G$2:$G$3000,Permissions!$B$2:$B$3000,$A395,Permissions!$I$2:$I$3000,"Expired – not started",Permissions!$P$2:$P$3000,"Yes")</f>
        <v>0</v>
      </c>
      <c r="AM395" s="24" t="n">
        <f aca="false">SUMIFS(Permissions!$G$2:$G$3000,Permissions!$B$2:$B$3000,$A395,Permissions!$I$2:$I$3000,"In planning",Permissions!$P$2:$P$3000,"Yes")</f>
        <v>0</v>
      </c>
      <c r="AN395" s="24" t="n">
        <f aca="false">IF(R395="",0,MAX(R395-AK395,0))</f>
        <v>28</v>
      </c>
      <c r="AO395" s="25" t="n">
        <f aca="false">AK395+AN395</f>
        <v>28</v>
      </c>
      <c r="AP395" s="24" t="n">
        <f aca="false">AO395-AG395</f>
        <v>28</v>
      </c>
      <c r="AQ395" s="26" t="n">
        <f aca="false">SUMIFS(Permissions!$AH$2:$AH$3000,Permissions!$B$2:$B$3000,$A395,Permissions!$P$2:$P$3000,"Yes")</f>
        <v>0</v>
      </c>
      <c r="AR395" s="26" t="n">
        <f aca="false">SUMIFS(Permissions!$AI$2:$AI$3000,Permissions!$B$2:$B$3000,$A395,Permissions!$P$2:$P$3000,"Yes")</f>
        <v>0</v>
      </c>
      <c r="AS395" s="26" t="n">
        <f aca="false">SUMIFS(Permissions!$AJ$2:$AJ$3000,Permissions!$B$2:$B$3000,$A395,Permissions!$P$2:$P$3000,"Yes")</f>
        <v>0</v>
      </c>
      <c r="AT395" s="26" t="n">
        <f aca="false">SUMIFS(Permissions!$AK$2:$AK$3000,Permissions!$B$2:$B$3000,$A395,Permissions!$P$2:$P$3000,"Yes")</f>
        <v>0</v>
      </c>
      <c r="AU395" s="26" t="n">
        <f aca="false">SUMIFS(Permissions!$AL$2:$AL$3000,Permissions!$B$2:$B$3000,$A395,Permissions!$P$2:$P$3000,"Yes")</f>
        <v>0</v>
      </c>
      <c r="AV395" s="26" t="n">
        <f aca="false">SUMIFS(Permissions!$AM$2:$AM$3000,Permissions!$B$2:$B$3000,$A395,Permissions!$P$2:$P$3000,"Yes")</f>
        <v>0</v>
      </c>
      <c r="AW395" s="24" t="n">
        <f aca="false">COUNTIFS(Permissions!$B$2:$B$3000,$A395,Permissions!$P$2:$P$3000,"Yes")</f>
        <v>0</v>
      </c>
      <c r="AX395" s="24" t="n">
        <f aca="false">SUMIFS(Permissions!$L$2:$L$3000,Permissions!$B$2:$B$3000,$A395,Permissions!$P$2:$P$3000,"Yes")</f>
        <v>0</v>
      </c>
      <c r="AY395" s="27" t="str">
        <f aca="false">IF(AND(AK395&gt;0,AG395&gt;=AK395,AN395=0),"Built out",IF(AG395&gt;0,"Partly built",IF(AK395&gt;0,"Consented – not built","No consent")))</f>
        <v>No consent</v>
      </c>
      <c r="AZ395" s="28" t="str">
        <f aca="false">IF(AND(R395&lt;&gt;"",AK395&gt;1.1*R395),"Consented above capacity",IF(AND(LEFT(B395,8)="Planning",AW395=0),"Consent parcel with no permission",IF(COUNTIF($A$2:$A$3000,$A395)&gt;1,"Duplicate parcel_id","")))</f>
        <v/>
      </c>
    </row>
    <row r="396" customFormat="false" ht="15" hidden="false" customHeight="false" outlineLevel="0" collapsed="false">
      <c r="A396" s="15" t="s">
        <v>840</v>
      </c>
      <c r="B396" s="15" t="s">
        <v>13</v>
      </c>
      <c r="C396" s="15" t="s">
        <v>17</v>
      </c>
      <c r="D396" s="15" t="s">
        <v>22</v>
      </c>
      <c r="E396" s="15" t="s">
        <v>22</v>
      </c>
      <c r="F396" s="15"/>
      <c r="G396" s="15" t="s">
        <v>22</v>
      </c>
      <c r="H396" s="15"/>
      <c r="I396" s="15" t="s">
        <v>17</v>
      </c>
      <c r="J396" s="15" t="s">
        <v>559</v>
      </c>
      <c r="K396" s="15" t="s">
        <v>819</v>
      </c>
      <c r="L396" s="15"/>
      <c r="M396" s="15" t="s">
        <v>751</v>
      </c>
      <c r="N396" s="15"/>
      <c r="O396" s="15"/>
      <c r="P396" s="15" t="n">
        <v>0.973</v>
      </c>
      <c r="Q396" s="15" t="n">
        <v>1.069</v>
      </c>
      <c r="R396" s="15" t="n">
        <v>18</v>
      </c>
      <c r="S396" s="15" t="s">
        <v>734</v>
      </c>
      <c r="T396" s="15" t="s">
        <v>735</v>
      </c>
      <c r="U396" s="15" t="s">
        <v>752</v>
      </c>
      <c r="V396" s="15"/>
      <c r="W396" s="15" t="s">
        <v>753</v>
      </c>
      <c r="X396" s="15" t="n">
        <v>19</v>
      </c>
      <c r="Y396" s="15" t="s">
        <v>754</v>
      </c>
      <c r="Z396" s="15" t="n">
        <v>0</v>
      </c>
      <c r="AA396" s="15" t="n">
        <v>0</v>
      </c>
      <c r="AB396" s="15" t="n">
        <v>0</v>
      </c>
      <c r="AC396" s="15"/>
      <c r="AD396" s="15"/>
      <c r="AE396" s="15" t="s">
        <v>163</v>
      </c>
      <c r="AF396" s="15"/>
      <c r="AG396" s="24" t="n">
        <f aca="false">SUMIFS(Permissions!$G$2:$G$3000,Permissions!$B$2:$B$3000,$A396,Permissions!$I$2:$I$3000,"Complete",Permissions!$P$2:$P$3000,"Yes")</f>
        <v>0</v>
      </c>
      <c r="AH396" s="24" t="n">
        <f aca="false">SUMIFS(Permissions!$G$2:$G$3000,Permissions!$B$2:$B$3000,$A396,Permissions!$I$2:$I$3000,"Under construction",Permissions!$P$2:$P$3000,"Yes")</f>
        <v>0</v>
      </c>
      <c r="AI396" s="24" t="n">
        <f aca="false">SUMIFS(Permissions!$G$2:$G$3000,Permissions!$B$2:$B$3000,$A396,Permissions!$I$2:$I$3000,"Permitted – not started",Permissions!$P$2:$P$3000,"Yes")</f>
        <v>0</v>
      </c>
      <c r="AJ396" s="24" t="n">
        <f aca="false">SUMIFS(Permissions!$G$2:$G$3000,Permissions!$B$2:$B$3000,$A396,Permissions!$I$2:$I$3000,"Stalled",Permissions!$P$2:$P$3000,"Yes")</f>
        <v>0</v>
      </c>
      <c r="AK396" s="24" t="n">
        <f aca="false">AG396+AH396+AI396+AJ396</f>
        <v>0</v>
      </c>
      <c r="AL396" s="24" t="n">
        <f aca="false">SUMIFS(Permissions!$G$2:$G$3000,Permissions!$B$2:$B$3000,$A396,Permissions!$I$2:$I$3000,"Expired – not started",Permissions!$P$2:$P$3000,"Yes")</f>
        <v>0</v>
      </c>
      <c r="AM396" s="24" t="n">
        <f aca="false">SUMIFS(Permissions!$G$2:$G$3000,Permissions!$B$2:$B$3000,$A396,Permissions!$I$2:$I$3000,"In planning",Permissions!$P$2:$P$3000,"Yes")</f>
        <v>0</v>
      </c>
      <c r="AN396" s="24" t="n">
        <f aca="false">IF(R396="",0,MAX(R396-AK396,0))</f>
        <v>18</v>
      </c>
      <c r="AO396" s="25" t="n">
        <f aca="false">AK396+AN396</f>
        <v>18</v>
      </c>
      <c r="AP396" s="24" t="n">
        <f aca="false">AO396-AG396</f>
        <v>18</v>
      </c>
      <c r="AQ396" s="26" t="n">
        <f aca="false">SUMIFS(Permissions!$AH$2:$AH$3000,Permissions!$B$2:$B$3000,$A396,Permissions!$P$2:$P$3000,"Yes")</f>
        <v>0</v>
      </c>
      <c r="AR396" s="26" t="n">
        <f aca="false">SUMIFS(Permissions!$AI$2:$AI$3000,Permissions!$B$2:$B$3000,$A396,Permissions!$P$2:$P$3000,"Yes")</f>
        <v>0</v>
      </c>
      <c r="AS396" s="26" t="n">
        <f aca="false">SUMIFS(Permissions!$AJ$2:$AJ$3000,Permissions!$B$2:$B$3000,$A396,Permissions!$P$2:$P$3000,"Yes")</f>
        <v>0</v>
      </c>
      <c r="AT396" s="26" t="n">
        <f aca="false">SUMIFS(Permissions!$AK$2:$AK$3000,Permissions!$B$2:$B$3000,$A396,Permissions!$P$2:$P$3000,"Yes")</f>
        <v>0</v>
      </c>
      <c r="AU396" s="26" t="n">
        <f aca="false">SUMIFS(Permissions!$AL$2:$AL$3000,Permissions!$B$2:$B$3000,$A396,Permissions!$P$2:$P$3000,"Yes")</f>
        <v>0</v>
      </c>
      <c r="AV396" s="26" t="n">
        <f aca="false">SUMIFS(Permissions!$AM$2:$AM$3000,Permissions!$B$2:$B$3000,$A396,Permissions!$P$2:$P$3000,"Yes")</f>
        <v>0</v>
      </c>
      <c r="AW396" s="24" t="n">
        <f aca="false">COUNTIFS(Permissions!$B$2:$B$3000,$A396,Permissions!$P$2:$P$3000,"Yes")</f>
        <v>0</v>
      </c>
      <c r="AX396" s="24" t="n">
        <f aca="false">SUMIFS(Permissions!$L$2:$L$3000,Permissions!$B$2:$B$3000,$A396,Permissions!$P$2:$P$3000,"Yes")</f>
        <v>0</v>
      </c>
      <c r="AY396" s="27" t="str">
        <f aca="false">IF(AND(AK396&gt;0,AG396&gt;=AK396,AN396=0),"Built out",IF(AG396&gt;0,"Partly built",IF(AK396&gt;0,"Consented – not built","No consent")))</f>
        <v>No consent</v>
      </c>
      <c r="AZ396" s="28" t="str">
        <f aca="false">IF(AND(R396&lt;&gt;"",AK396&gt;1.1*R396),"Consented above capacity",IF(AND(LEFT(B396,8)="Planning",AW396=0),"Consent parcel with no permission",IF(COUNTIF($A$2:$A$3000,$A396)&gt;1,"Duplicate parcel_id","")))</f>
        <v/>
      </c>
    </row>
    <row r="397" customFormat="false" ht="15" hidden="false" customHeight="false" outlineLevel="0" collapsed="false">
      <c r="A397" s="15" t="s">
        <v>841</v>
      </c>
      <c r="B397" s="15" t="s">
        <v>13</v>
      </c>
      <c r="C397" s="15" t="s">
        <v>17</v>
      </c>
      <c r="D397" s="15" t="s">
        <v>22</v>
      </c>
      <c r="E397" s="15" t="s">
        <v>22</v>
      </c>
      <c r="F397" s="15"/>
      <c r="G397" s="15" t="s">
        <v>22</v>
      </c>
      <c r="H397" s="15"/>
      <c r="I397" s="15" t="s">
        <v>17</v>
      </c>
      <c r="J397" s="15" t="s">
        <v>559</v>
      </c>
      <c r="K397" s="15" t="s">
        <v>819</v>
      </c>
      <c r="L397" s="15"/>
      <c r="M397" s="15" t="s">
        <v>751</v>
      </c>
      <c r="N397" s="15"/>
      <c r="O397" s="15"/>
      <c r="P397" s="15" t="n">
        <v>0.669</v>
      </c>
      <c r="Q397" s="15" t="n">
        <v>0.736</v>
      </c>
      <c r="R397" s="15" t="n">
        <v>13</v>
      </c>
      <c r="S397" s="15" t="s">
        <v>734</v>
      </c>
      <c r="T397" s="15" t="s">
        <v>735</v>
      </c>
      <c r="U397" s="15" t="s">
        <v>752</v>
      </c>
      <c r="V397" s="15"/>
      <c r="W397" s="15" t="s">
        <v>753</v>
      </c>
      <c r="X397" s="15" t="n">
        <v>19</v>
      </c>
      <c r="Y397" s="15" t="s">
        <v>754</v>
      </c>
      <c r="Z397" s="15" t="n">
        <v>1</v>
      </c>
      <c r="AA397" s="15" t="n">
        <v>0</v>
      </c>
      <c r="AB397" s="15" t="n">
        <v>0</v>
      </c>
      <c r="AC397" s="15"/>
      <c r="AD397" s="15"/>
      <c r="AE397" s="15" t="s">
        <v>163</v>
      </c>
      <c r="AF397" s="15"/>
      <c r="AG397" s="24" t="n">
        <f aca="false">SUMIFS(Permissions!$G$2:$G$3000,Permissions!$B$2:$B$3000,$A397,Permissions!$I$2:$I$3000,"Complete",Permissions!$P$2:$P$3000,"Yes")</f>
        <v>0</v>
      </c>
      <c r="AH397" s="24" t="n">
        <f aca="false">SUMIFS(Permissions!$G$2:$G$3000,Permissions!$B$2:$B$3000,$A397,Permissions!$I$2:$I$3000,"Under construction",Permissions!$P$2:$P$3000,"Yes")</f>
        <v>0</v>
      </c>
      <c r="AI397" s="24" t="n">
        <f aca="false">SUMIFS(Permissions!$G$2:$G$3000,Permissions!$B$2:$B$3000,$A397,Permissions!$I$2:$I$3000,"Permitted – not started",Permissions!$P$2:$P$3000,"Yes")</f>
        <v>0</v>
      </c>
      <c r="AJ397" s="24" t="n">
        <f aca="false">SUMIFS(Permissions!$G$2:$G$3000,Permissions!$B$2:$B$3000,$A397,Permissions!$I$2:$I$3000,"Stalled",Permissions!$P$2:$P$3000,"Yes")</f>
        <v>0</v>
      </c>
      <c r="AK397" s="24" t="n">
        <f aca="false">AG397+AH397+AI397+AJ397</f>
        <v>0</v>
      </c>
      <c r="AL397" s="24" t="n">
        <f aca="false">SUMIFS(Permissions!$G$2:$G$3000,Permissions!$B$2:$B$3000,$A397,Permissions!$I$2:$I$3000,"Expired – not started",Permissions!$P$2:$P$3000,"Yes")</f>
        <v>0</v>
      </c>
      <c r="AM397" s="24" t="n">
        <f aca="false">SUMIFS(Permissions!$G$2:$G$3000,Permissions!$B$2:$B$3000,$A397,Permissions!$I$2:$I$3000,"In planning",Permissions!$P$2:$P$3000,"Yes")</f>
        <v>0</v>
      </c>
      <c r="AN397" s="24" t="n">
        <f aca="false">IF(R397="",0,MAX(R397-AK397,0))</f>
        <v>13</v>
      </c>
      <c r="AO397" s="25" t="n">
        <f aca="false">AK397+AN397</f>
        <v>13</v>
      </c>
      <c r="AP397" s="24" t="n">
        <f aca="false">AO397-AG397</f>
        <v>13</v>
      </c>
      <c r="AQ397" s="26" t="n">
        <f aca="false">SUMIFS(Permissions!$AH$2:$AH$3000,Permissions!$B$2:$B$3000,$A397,Permissions!$P$2:$P$3000,"Yes")</f>
        <v>0</v>
      </c>
      <c r="AR397" s="26" t="n">
        <f aca="false">SUMIFS(Permissions!$AI$2:$AI$3000,Permissions!$B$2:$B$3000,$A397,Permissions!$P$2:$P$3000,"Yes")</f>
        <v>0</v>
      </c>
      <c r="AS397" s="26" t="n">
        <f aca="false">SUMIFS(Permissions!$AJ$2:$AJ$3000,Permissions!$B$2:$B$3000,$A397,Permissions!$P$2:$P$3000,"Yes")</f>
        <v>0</v>
      </c>
      <c r="AT397" s="26" t="n">
        <f aca="false">SUMIFS(Permissions!$AK$2:$AK$3000,Permissions!$B$2:$B$3000,$A397,Permissions!$P$2:$P$3000,"Yes")</f>
        <v>0</v>
      </c>
      <c r="AU397" s="26" t="n">
        <f aca="false">SUMIFS(Permissions!$AL$2:$AL$3000,Permissions!$B$2:$B$3000,$A397,Permissions!$P$2:$P$3000,"Yes")</f>
        <v>0</v>
      </c>
      <c r="AV397" s="26" t="n">
        <f aca="false">SUMIFS(Permissions!$AM$2:$AM$3000,Permissions!$B$2:$B$3000,$A397,Permissions!$P$2:$P$3000,"Yes")</f>
        <v>0</v>
      </c>
      <c r="AW397" s="24" t="n">
        <f aca="false">COUNTIFS(Permissions!$B$2:$B$3000,$A397,Permissions!$P$2:$P$3000,"Yes")</f>
        <v>0</v>
      </c>
      <c r="AX397" s="24" t="n">
        <f aca="false">SUMIFS(Permissions!$L$2:$L$3000,Permissions!$B$2:$B$3000,$A397,Permissions!$P$2:$P$3000,"Yes")</f>
        <v>0</v>
      </c>
      <c r="AY397" s="27" t="str">
        <f aca="false">IF(AND(AK397&gt;0,AG397&gt;=AK397,AN397=0),"Built out",IF(AG397&gt;0,"Partly built",IF(AK397&gt;0,"Consented – not built","No consent")))</f>
        <v>No consent</v>
      </c>
      <c r="AZ397" s="28" t="str">
        <f aca="false">IF(AND(R397&lt;&gt;"",AK397&gt;1.1*R397),"Consented above capacity",IF(AND(LEFT(B397,8)="Planning",AW397=0),"Consent parcel with no permission",IF(COUNTIF($A$2:$A$3000,$A397)&gt;1,"Duplicate parcel_id","")))</f>
        <v/>
      </c>
    </row>
    <row r="398" customFormat="false" ht="15" hidden="false" customHeight="false" outlineLevel="0" collapsed="false">
      <c r="A398" s="15" t="s">
        <v>842</v>
      </c>
      <c r="B398" s="15" t="s">
        <v>13</v>
      </c>
      <c r="C398" s="15" t="s">
        <v>17</v>
      </c>
      <c r="D398" s="15" t="s">
        <v>22</v>
      </c>
      <c r="E398" s="15" t="s">
        <v>22</v>
      </c>
      <c r="F398" s="15"/>
      <c r="G398" s="15" t="s">
        <v>22</v>
      </c>
      <c r="H398" s="15"/>
      <c r="I398" s="15" t="s">
        <v>17</v>
      </c>
      <c r="J398" s="15" t="s">
        <v>583</v>
      </c>
      <c r="K398" s="15" t="s">
        <v>732</v>
      </c>
      <c r="L398" s="15"/>
      <c r="M398" s="15" t="s">
        <v>733</v>
      </c>
      <c r="N398" s="15"/>
      <c r="O398" s="15"/>
      <c r="P398" s="15" t="n">
        <v>3.183</v>
      </c>
      <c r="Q398" s="15" t="n">
        <v>3.497</v>
      </c>
      <c r="R398" s="15" t="n">
        <v>80</v>
      </c>
      <c r="S398" s="15" t="s">
        <v>734</v>
      </c>
      <c r="T398" s="15" t="s">
        <v>735</v>
      </c>
      <c r="U398" s="15" t="s">
        <v>736</v>
      </c>
      <c r="V398" s="15"/>
      <c r="W398" s="15" t="s">
        <v>746</v>
      </c>
      <c r="X398" s="15" t="n">
        <v>25</v>
      </c>
      <c r="Y398" s="15" t="s">
        <v>747</v>
      </c>
      <c r="Z398" s="15" t="n">
        <v>0</v>
      </c>
      <c r="AA398" s="15" t="n">
        <v>0</v>
      </c>
      <c r="AB398" s="15" t="n">
        <v>0</v>
      </c>
      <c r="AC398" s="15"/>
      <c r="AD398" s="15"/>
      <c r="AE398" s="15" t="s">
        <v>163</v>
      </c>
      <c r="AF398" s="15"/>
      <c r="AG398" s="24" t="n">
        <f aca="false">SUMIFS(Permissions!$G$2:$G$3000,Permissions!$B$2:$B$3000,$A398,Permissions!$I$2:$I$3000,"Complete",Permissions!$P$2:$P$3000,"Yes")</f>
        <v>0</v>
      </c>
      <c r="AH398" s="24" t="n">
        <f aca="false">SUMIFS(Permissions!$G$2:$G$3000,Permissions!$B$2:$B$3000,$A398,Permissions!$I$2:$I$3000,"Under construction",Permissions!$P$2:$P$3000,"Yes")</f>
        <v>0</v>
      </c>
      <c r="AI398" s="24" t="n">
        <f aca="false">SUMIFS(Permissions!$G$2:$G$3000,Permissions!$B$2:$B$3000,$A398,Permissions!$I$2:$I$3000,"Permitted – not started",Permissions!$P$2:$P$3000,"Yes")</f>
        <v>0</v>
      </c>
      <c r="AJ398" s="24" t="n">
        <f aca="false">SUMIFS(Permissions!$G$2:$G$3000,Permissions!$B$2:$B$3000,$A398,Permissions!$I$2:$I$3000,"Stalled",Permissions!$P$2:$P$3000,"Yes")</f>
        <v>0</v>
      </c>
      <c r="AK398" s="24" t="n">
        <f aca="false">AG398+AH398+AI398+AJ398</f>
        <v>0</v>
      </c>
      <c r="AL398" s="24" t="n">
        <f aca="false">SUMIFS(Permissions!$G$2:$G$3000,Permissions!$B$2:$B$3000,$A398,Permissions!$I$2:$I$3000,"Expired – not started",Permissions!$P$2:$P$3000,"Yes")</f>
        <v>0</v>
      </c>
      <c r="AM398" s="24" t="n">
        <f aca="false">SUMIFS(Permissions!$G$2:$G$3000,Permissions!$B$2:$B$3000,$A398,Permissions!$I$2:$I$3000,"In planning",Permissions!$P$2:$P$3000,"Yes")</f>
        <v>0</v>
      </c>
      <c r="AN398" s="24" t="n">
        <f aca="false">IF(R398="",0,MAX(R398-AK398,0))</f>
        <v>80</v>
      </c>
      <c r="AO398" s="25" t="n">
        <f aca="false">AK398+AN398</f>
        <v>80</v>
      </c>
      <c r="AP398" s="24" t="n">
        <f aca="false">AO398-AG398</f>
        <v>80</v>
      </c>
      <c r="AQ398" s="26" t="n">
        <f aca="false">SUMIFS(Permissions!$AH$2:$AH$3000,Permissions!$B$2:$B$3000,$A398,Permissions!$P$2:$P$3000,"Yes")</f>
        <v>0</v>
      </c>
      <c r="AR398" s="26" t="n">
        <f aca="false">SUMIFS(Permissions!$AI$2:$AI$3000,Permissions!$B$2:$B$3000,$A398,Permissions!$P$2:$P$3000,"Yes")</f>
        <v>0</v>
      </c>
      <c r="AS398" s="26" t="n">
        <f aca="false">SUMIFS(Permissions!$AJ$2:$AJ$3000,Permissions!$B$2:$B$3000,$A398,Permissions!$P$2:$P$3000,"Yes")</f>
        <v>0</v>
      </c>
      <c r="AT398" s="26" t="n">
        <f aca="false">SUMIFS(Permissions!$AK$2:$AK$3000,Permissions!$B$2:$B$3000,$A398,Permissions!$P$2:$P$3000,"Yes")</f>
        <v>0</v>
      </c>
      <c r="AU398" s="26" t="n">
        <f aca="false">SUMIFS(Permissions!$AL$2:$AL$3000,Permissions!$B$2:$B$3000,$A398,Permissions!$P$2:$P$3000,"Yes")</f>
        <v>0</v>
      </c>
      <c r="AV398" s="26" t="n">
        <f aca="false">SUMIFS(Permissions!$AM$2:$AM$3000,Permissions!$B$2:$B$3000,$A398,Permissions!$P$2:$P$3000,"Yes")</f>
        <v>0</v>
      </c>
      <c r="AW398" s="24" t="n">
        <f aca="false">COUNTIFS(Permissions!$B$2:$B$3000,$A398,Permissions!$P$2:$P$3000,"Yes")</f>
        <v>0</v>
      </c>
      <c r="AX398" s="24" t="n">
        <f aca="false">SUMIFS(Permissions!$L$2:$L$3000,Permissions!$B$2:$B$3000,$A398,Permissions!$P$2:$P$3000,"Yes")</f>
        <v>0</v>
      </c>
      <c r="AY398" s="27" t="str">
        <f aca="false">IF(AND(AK398&gt;0,AG398&gt;=AK398,AN398=0),"Built out",IF(AG398&gt;0,"Partly built",IF(AK398&gt;0,"Consented – not built","No consent")))</f>
        <v>No consent</v>
      </c>
      <c r="AZ398" s="28" t="str">
        <f aca="false">IF(AND(R398&lt;&gt;"",AK398&gt;1.1*R398),"Consented above capacity",IF(AND(LEFT(B398,8)="Planning",AW398=0),"Consent parcel with no permission",IF(COUNTIF($A$2:$A$3000,$A398)&gt;1,"Duplicate parcel_id","")))</f>
        <v/>
      </c>
    </row>
    <row r="399" customFormat="false" ht="15" hidden="false" customHeight="false" outlineLevel="0" collapsed="false">
      <c r="A399" s="15" t="s">
        <v>843</v>
      </c>
      <c r="B399" s="15" t="s">
        <v>13</v>
      </c>
      <c r="C399" s="15" t="s">
        <v>17</v>
      </c>
      <c r="D399" s="15" t="s">
        <v>22</v>
      </c>
      <c r="E399" s="15" t="s">
        <v>22</v>
      </c>
      <c r="F399" s="15"/>
      <c r="G399" s="15" t="s">
        <v>22</v>
      </c>
      <c r="H399" s="15"/>
      <c r="I399" s="15" t="s">
        <v>17</v>
      </c>
      <c r="J399" s="15" t="s">
        <v>559</v>
      </c>
      <c r="K399" s="15" t="s">
        <v>732</v>
      </c>
      <c r="L399" s="15"/>
      <c r="M399" s="15" t="s">
        <v>733</v>
      </c>
      <c r="N399" s="15"/>
      <c r="O399" s="15"/>
      <c r="P399" s="15" t="n">
        <v>0.498</v>
      </c>
      <c r="Q399" s="15" t="n">
        <v>0.547</v>
      </c>
      <c r="R399" s="15" t="n">
        <v>12</v>
      </c>
      <c r="S399" s="15" t="s">
        <v>734</v>
      </c>
      <c r="T399" s="15" t="s">
        <v>735</v>
      </c>
      <c r="U399" s="15" t="s">
        <v>736</v>
      </c>
      <c r="V399" s="15"/>
      <c r="W399" s="15" t="s">
        <v>746</v>
      </c>
      <c r="X399" s="15" t="n">
        <v>25</v>
      </c>
      <c r="Y399" s="15" t="s">
        <v>747</v>
      </c>
      <c r="Z399" s="15" t="n">
        <v>0</v>
      </c>
      <c r="AA399" s="15" t="n">
        <v>0</v>
      </c>
      <c r="AB399" s="15" t="n">
        <v>0</v>
      </c>
      <c r="AC399" s="15"/>
      <c r="AD399" s="15"/>
      <c r="AE399" s="15" t="s">
        <v>163</v>
      </c>
      <c r="AF399" s="15"/>
      <c r="AG399" s="24" t="n">
        <f aca="false">SUMIFS(Permissions!$G$2:$G$3000,Permissions!$B$2:$B$3000,$A399,Permissions!$I$2:$I$3000,"Complete",Permissions!$P$2:$P$3000,"Yes")</f>
        <v>0</v>
      </c>
      <c r="AH399" s="24" t="n">
        <f aca="false">SUMIFS(Permissions!$G$2:$G$3000,Permissions!$B$2:$B$3000,$A399,Permissions!$I$2:$I$3000,"Under construction",Permissions!$P$2:$P$3000,"Yes")</f>
        <v>0</v>
      </c>
      <c r="AI399" s="24" t="n">
        <f aca="false">SUMIFS(Permissions!$G$2:$G$3000,Permissions!$B$2:$B$3000,$A399,Permissions!$I$2:$I$3000,"Permitted – not started",Permissions!$P$2:$P$3000,"Yes")</f>
        <v>0</v>
      </c>
      <c r="AJ399" s="24" t="n">
        <f aca="false">SUMIFS(Permissions!$G$2:$G$3000,Permissions!$B$2:$B$3000,$A399,Permissions!$I$2:$I$3000,"Stalled",Permissions!$P$2:$P$3000,"Yes")</f>
        <v>0</v>
      </c>
      <c r="AK399" s="24" t="n">
        <f aca="false">AG399+AH399+AI399+AJ399</f>
        <v>0</v>
      </c>
      <c r="AL399" s="24" t="n">
        <f aca="false">SUMIFS(Permissions!$G$2:$G$3000,Permissions!$B$2:$B$3000,$A399,Permissions!$I$2:$I$3000,"Expired – not started",Permissions!$P$2:$P$3000,"Yes")</f>
        <v>0</v>
      </c>
      <c r="AM399" s="24" t="n">
        <f aca="false">SUMIFS(Permissions!$G$2:$G$3000,Permissions!$B$2:$B$3000,$A399,Permissions!$I$2:$I$3000,"In planning",Permissions!$P$2:$P$3000,"Yes")</f>
        <v>0</v>
      </c>
      <c r="AN399" s="24" t="n">
        <f aca="false">IF(R399="",0,MAX(R399-AK399,0))</f>
        <v>12</v>
      </c>
      <c r="AO399" s="25" t="n">
        <f aca="false">AK399+AN399</f>
        <v>12</v>
      </c>
      <c r="AP399" s="24" t="n">
        <f aca="false">AO399-AG399</f>
        <v>12</v>
      </c>
      <c r="AQ399" s="26" t="n">
        <f aca="false">SUMIFS(Permissions!$AH$2:$AH$3000,Permissions!$B$2:$B$3000,$A399,Permissions!$P$2:$P$3000,"Yes")</f>
        <v>0</v>
      </c>
      <c r="AR399" s="26" t="n">
        <f aca="false">SUMIFS(Permissions!$AI$2:$AI$3000,Permissions!$B$2:$B$3000,$A399,Permissions!$P$2:$P$3000,"Yes")</f>
        <v>0</v>
      </c>
      <c r="AS399" s="26" t="n">
        <f aca="false">SUMIFS(Permissions!$AJ$2:$AJ$3000,Permissions!$B$2:$B$3000,$A399,Permissions!$P$2:$P$3000,"Yes")</f>
        <v>0</v>
      </c>
      <c r="AT399" s="26" t="n">
        <f aca="false">SUMIFS(Permissions!$AK$2:$AK$3000,Permissions!$B$2:$B$3000,$A399,Permissions!$P$2:$P$3000,"Yes")</f>
        <v>0</v>
      </c>
      <c r="AU399" s="26" t="n">
        <f aca="false">SUMIFS(Permissions!$AL$2:$AL$3000,Permissions!$B$2:$B$3000,$A399,Permissions!$P$2:$P$3000,"Yes")</f>
        <v>0</v>
      </c>
      <c r="AV399" s="26" t="n">
        <f aca="false">SUMIFS(Permissions!$AM$2:$AM$3000,Permissions!$B$2:$B$3000,$A399,Permissions!$P$2:$P$3000,"Yes")</f>
        <v>0</v>
      </c>
      <c r="AW399" s="24" t="n">
        <f aca="false">COUNTIFS(Permissions!$B$2:$B$3000,$A399,Permissions!$P$2:$P$3000,"Yes")</f>
        <v>0</v>
      </c>
      <c r="AX399" s="24" t="n">
        <f aca="false">SUMIFS(Permissions!$L$2:$L$3000,Permissions!$B$2:$B$3000,$A399,Permissions!$P$2:$P$3000,"Yes")</f>
        <v>0</v>
      </c>
      <c r="AY399" s="27" t="str">
        <f aca="false">IF(AND(AK399&gt;0,AG399&gt;=AK399,AN399=0),"Built out",IF(AG399&gt;0,"Partly built",IF(AK399&gt;0,"Consented – not built","No consent")))</f>
        <v>No consent</v>
      </c>
      <c r="AZ399" s="28" t="str">
        <f aca="false">IF(AND(R399&lt;&gt;"",AK399&gt;1.1*R399),"Consented above capacity",IF(AND(LEFT(B399,8)="Planning",AW399=0),"Consent parcel with no permission",IF(COUNTIF($A$2:$A$3000,$A399)&gt;1,"Duplicate parcel_id","")))</f>
        <v/>
      </c>
    </row>
    <row r="400" customFormat="false" ht="15" hidden="false" customHeight="false" outlineLevel="0" collapsed="false">
      <c r="A400" s="15" t="s">
        <v>844</v>
      </c>
      <c r="B400" s="15" t="s">
        <v>13</v>
      </c>
      <c r="C400" s="15" t="s">
        <v>17</v>
      </c>
      <c r="D400" s="15" t="s">
        <v>22</v>
      </c>
      <c r="E400" s="15" t="s">
        <v>22</v>
      </c>
      <c r="F400" s="15"/>
      <c r="G400" s="15" t="s">
        <v>22</v>
      </c>
      <c r="H400" s="15"/>
      <c r="I400" s="15" t="s">
        <v>17</v>
      </c>
      <c r="J400" s="15" t="s">
        <v>583</v>
      </c>
      <c r="K400" s="15" t="s">
        <v>819</v>
      </c>
      <c r="L400" s="15"/>
      <c r="M400" s="15" t="s">
        <v>751</v>
      </c>
      <c r="N400" s="15"/>
      <c r="O400" s="15"/>
      <c r="P400" s="15" t="n">
        <v>2.641</v>
      </c>
      <c r="Q400" s="15" t="n">
        <v>2.903</v>
      </c>
      <c r="R400" s="15" t="n">
        <v>50</v>
      </c>
      <c r="S400" s="15" t="s">
        <v>734</v>
      </c>
      <c r="T400" s="15" t="s">
        <v>735</v>
      </c>
      <c r="U400" s="15" t="s">
        <v>752</v>
      </c>
      <c r="V400" s="15"/>
      <c r="W400" s="15" t="s">
        <v>753</v>
      </c>
      <c r="X400" s="15" t="n">
        <v>19</v>
      </c>
      <c r="Y400" s="15" t="s">
        <v>754</v>
      </c>
      <c r="Z400" s="15" t="n">
        <v>0.98</v>
      </c>
      <c r="AA400" s="15" t="n">
        <v>0</v>
      </c>
      <c r="AB400" s="15" t="n">
        <v>0</v>
      </c>
      <c r="AC400" s="15"/>
      <c r="AD400" s="15"/>
      <c r="AE400" s="15" t="s">
        <v>163</v>
      </c>
      <c r="AF400" s="15"/>
      <c r="AG400" s="24" t="n">
        <f aca="false">SUMIFS(Permissions!$G$2:$G$3000,Permissions!$B$2:$B$3000,$A400,Permissions!$I$2:$I$3000,"Complete",Permissions!$P$2:$P$3000,"Yes")</f>
        <v>0</v>
      </c>
      <c r="AH400" s="24" t="n">
        <f aca="false">SUMIFS(Permissions!$G$2:$G$3000,Permissions!$B$2:$B$3000,$A400,Permissions!$I$2:$I$3000,"Under construction",Permissions!$P$2:$P$3000,"Yes")</f>
        <v>0</v>
      </c>
      <c r="AI400" s="24" t="n">
        <f aca="false">SUMIFS(Permissions!$G$2:$G$3000,Permissions!$B$2:$B$3000,$A400,Permissions!$I$2:$I$3000,"Permitted – not started",Permissions!$P$2:$P$3000,"Yes")</f>
        <v>0</v>
      </c>
      <c r="AJ400" s="24" t="n">
        <f aca="false">SUMIFS(Permissions!$G$2:$G$3000,Permissions!$B$2:$B$3000,$A400,Permissions!$I$2:$I$3000,"Stalled",Permissions!$P$2:$P$3000,"Yes")</f>
        <v>0</v>
      </c>
      <c r="AK400" s="24" t="n">
        <f aca="false">AG400+AH400+AI400+AJ400</f>
        <v>0</v>
      </c>
      <c r="AL400" s="24" t="n">
        <f aca="false">SUMIFS(Permissions!$G$2:$G$3000,Permissions!$B$2:$B$3000,$A400,Permissions!$I$2:$I$3000,"Expired – not started",Permissions!$P$2:$P$3000,"Yes")</f>
        <v>0</v>
      </c>
      <c r="AM400" s="24" t="n">
        <f aca="false">SUMIFS(Permissions!$G$2:$G$3000,Permissions!$B$2:$B$3000,$A400,Permissions!$I$2:$I$3000,"In planning",Permissions!$P$2:$P$3000,"Yes")</f>
        <v>0</v>
      </c>
      <c r="AN400" s="24" t="n">
        <f aca="false">IF(R400="",0,MAX(R400-AK400,0))</f>
        <v>50</v>
      </c>
      <c r="AO400" s="25" t="n">
        <f aca="false">AK400+AN400</f>
        <v>50</v>
      </c>
      <c r="AP400" s="24" t="n">
        <f aca="false">AO400-AG400</f>
        <v>50</v>
      </c>
      <c r="AQ400" s="26" t="n">
        <f aca="false">SUMIFS(Permissions!$AH$2:$AH$3000,Permissions!$B$2:$B$3000,$A400,Permissions!$P$2:$P$3000,"Yes")</f>
        <v>0</v>
      </c>
      <c r="AR400" s="26" t="n">
        <f aca="false">SUMIFS(Permissions!$AI$2:$AI$3000,Permissions!$B$2:$B$3000,$A400,Permissions!$P$2:$P$3000,"Yes")</f>
        <v>0</v>
      </c>
      <c r="AS400" s="26" t="n">
        <f aca="false">SUMIFS(Permissions!$AJ$2:$AJ$3000,Permissions!$B$2:$B$3000,$A400,Permissions!$P$2:$P$3000,"Yes")</f>
        <v>0</v>
      </c>
      <c r="AT400" s="26" t="n">
        <f aca="false">SUMIFS(Permissions!$AK$2:$AK$3000,Permissions!$B$2:$B$3000,$A400,Permissions!$P$2:$P$3000,"Yes")</f>
        <v>0</v>
      </c>
      <c r="AU400" s="26" t="n">
        <f aca="false">SUMIFS(Permissions!$AL$2:$AL$3000,Permissions!$B$2:$B$3000,$A400,Permissions!$P$2:$P$3000,"Yes")</f>
        <v>0</v>
      </c>
      <c r="AV400" s="26" t="n">
        <f aca="false">SUMIFS(Permissions!$AM$2:$AM$3000,Permissions!$B$2:$B$3000,$A400,Permissions!$P$2:$P$3000,"Yes")</f>
        <v>0</v>
      </c>
      <c r="AW400" s="24" t="n">
        <f aca="false">COUNTIFS(Permissions!$B$2:$B$3000,$A400,Permissions!$P$2:$P$3000,"Yes")</f>
        <v>0</v>
      </c>
      <c r="AX400" s="24" t="n">
        <f aca="false">SUMIFS(Permissions!$L$2:$L$3000,Permissions!$B$2:$B$3000,$A400,Permissions!$P$2:$P$3000,"Yes")</f>
        <v>0</v>
      </c>
      <c r="AY400" s="27" t="str">
        <f aca="false">IF(AND(AK400&gt;0,AG400&gt;=AK400,AN400=0),"Built out",IF(AG400&gt;0,"Partly built",IF(AK400&gt;0,"Consented – not built","No consent")))</f>
        <v>No consent</v>
      </c>
      <c r="AZ400" s="28" t="str">
        <f aca="false">IF(AND(R400&lt;&gt;"",AK400&gt;1.1*R400),"Consented above capacity",IF(AND(LEFT(B400,8)="Planning",AW400=0),"Consent parcel with no permission",IF(COUNTIF($A$2:$A$3000,$A400)&gt;1,"Duplicate parcel_id","")))</f>
        <v/>
      </c>
    </row>
    <row r="401" customFormat="false" ht="15" hidden="false" customHeight="false" outlineLevel="0" collapsed="false">
      <c r="A401" s="15" t="s">
        <v>845</v>
      </c>
      <c r="B401" s="15" t="s">
        <v>13</v>
      </c>
      <c r="C401" s="15" t="s">
        <v>17</v>
      </c>
      <c r="D401" s="15" t="s">
        <v>22</v>
      </c>
      <c r="E401" s="15" t="s">
        <v>22</v>
      </c>
      <c r="F401" s="15"/>
      <c r="G401" s="15" t="s">
        <v>22</v>
      </c>
      <c r="H401" s="15"/>
      <c r="I401" s="15" t="s">
        <v>17</v>
      </c>
      <c r="J401" s="15" t="s">
        <v>568</v>
      </c>
      <c r="K401" s="15" t="s">
        <v>732</v>
      </c>
      <c r="L401" s="15"/>
      <c r="M401" s="15" t="s">
        <v>733</v>
      </c>
      <c r="N401" s="15"/>
      <c r="O401" s="15"/>
      <c r="P401" s="15" t="n">
        <v>0.701</v>
      </c>
      <c r="Q401" s="15" t="n">
        <v>0.77</v>
      </c>
      <c r="R401" s="15" t="n">
        <v>18</v>
      </c>
      <c r="S401" s="15" t="s">
        <v>734</v>
      </c>
      <c r="T401" s="15" t="s">
        <v>735</v>
      </c>
      <c r="U401" s="15" t="s">
        <v>736</v>
      </c>
      <c r="V401" s="15"/>
      <c r="W401" s="15" t="s">
        <v>746</v>
      </c>
      <c r="X401" s="15" t="n">
        <v>25</v>
      </c>
      <c r="Y401" s="15" t="s">
        <v>747</v>
      </c>
      <c r="Z401" s="15" t="n">
        <v>0</v>
      </c>
      <c r="AA401" s="15" t="n">
        <v>0</v>
      </c>
      <c r="AB401" s="15" t="n">
        <v>0</v>
      </c>
      <c r="AC401" s="15"/>
      <c r="AD401" s="15"/>
      <c r="AE401" s="15" t="s">
        <v>163</v>
      </c>
      <c r="AF401" s="15"/>
      <c r="AG401" s="24" t="n">
        <f aca="false">SUMIFS(Permissions!$G$2:$G$3000,Permissions!$B$2:$B$3000,$A401,Permissions!$I$2:$I$3000,"Complete",Permissions!$P$2:$P$3000,"Yes")</f>
        <v>0</v>
      </c>
      <c r="AH401" s="24" t="n">
        <f aca="false">SUMIFS(Permissions!$G$2:$G$3000,Permissions!$B$2:$B$3000,$A401,Permissions!$I$2:$I$3000,"Under construction",Permissions!$P$2:$P$3000,"Yes")</f>
        <v>0</v>
      </c>
      <c r="AI401" s="24" t="n">
        <f aca="false">SUMIFS(Permissions!$G$2:$G$3000,Permissions!$B$2:$B$3000,$A401,Permissions!$I$2:$I$3000,"Permitted – not started",Permissions!$P$2:$P$3000,"Yes")</f>
        <v>0</v>
      </c>
      <c r="AJ401" s="24" t="n">
        <f aca="false">SUMIFS(Permissions!$G$2:$G$3000,Permissions!$B$2:$B$3000,$A401,Permissions!$I$2:$I$3000,"Stalled",Permissions!$P$2:$P$3000,"Yes")</f>
        <v>0</v>
      </c>
      <c r="AK401" s="24" t="n">
        <f aca="false">AG401+AH401+AI401+AJ401</f>
        <v>0</v>
      </c>
      <c r="AL401" s="24" t="n">
        <f aca="false">SUMIFS(Permissions!$G$2:$G$3000,Permissions!$B$2:$B$3000,$A401,Permissions!$I$2:$I$3000,"Expired – not started",Permissions!$P$2:$P$3000,"Yes")</f>
        <v>0</v>
      </c>
      <c r="AM401" s="24" t="n">
        <f aca="false">SUMIFS(Permissions!$G$2:$G$3000,Permissions!$B$2:$B$3000,$A401,Permissions!$I$2:$I$3000,"In planning",Permissions!$P$2:$P$3000,"Yes")</f>
        <v>0</v>
      </c>
      <c r="AN401" s="24" t="n">
        <f aca="false">IF(R401="",0,MAX(R401-AK401,0))</f>
        <v>18</v>
      </c>
      <c r="AO401" s="25" t="n">
        <f aca="false">AK401+AN401</f>
        <v>18</v>
      </c>
      <c r="AP401" s="24" t="n">
        <f aca="false">AO401-AG401</f>
        <v>18</v>
      </c>
      <c r="AQ401" s="26" t="n">
        <f aca="false">SUMIFS(Permissions!$AH$2:$AH$3000,Permissions!$B$2:$B$3000,$A401,Permissions!$P$2:$P$3000,"Yes")</f>
        <v>0</v>
      </c>
      <c r="AR401" s="26" t="n">
        <f aca="false">SUMIFS(Permissions!$AI$2:$AI$3000,Permissions!$B$2:$B$3000,$A401,Permissions!$P$2:$P$3000,"Yes")</f>
        <v>0</v>
      </c>
      <c r="AS401" s="26" t="n">
        <f aca="false">SUMIFS(Permissions!$AJ$2:$AJ$3000,Permissions!$B$2:$B$3000,$A401,Permissions!$P$2:$P$3000,"Yes")</f>
        <v>0</v>
      </c>
      <c r="AT401" s="26" t="n">
        <f aca="false">SUMIFS(Permissions!$AK$2:$AK$3000,Permissions!$B$2:$B$3000,$A401,Permissions!$P$2:$P$3000,"Yes")</f>
        <v>0</v>
      </c>
      <c r="AU401" s="26" t="n">
        <f aca="false">SUMIFS(Permissions!$AL$2:$AL$3000,Permissions!$B$2:$B$3000,$A401,Permissions!$P$2:$P$3000,"Yes")</f>
        <v>0</v>
      </c>
      <c r="AV401" s="26" t="n">
        <f aca="false">SUMIFS(Permissions!$AM$2:$AM$3000,Permissions!$B$2:$B$3000,$A401,Permissions!$P$2:$P$3000,"Yes")</f>
        <v>0</v>
      </c>
      <c r="AW401" s="24" t="n">
        <f aca="false">COUNTIFS(Permissions!$B$2:$B$3000,$A401,Permissions!$P$2:$P$3000,"Yes")</f>
        <v>0</v>
      </c>
      <c r="AX401" s="24" t="n">
        <f aca="false">SUMIFS(Permissions!$L$2:$L$3000,Permissions!$B$2:$B$3000,$A401,Permissions!$P$2:$P$3000,"Yes")</f>
        <v>0</v>
      </c>
      <c r="AY401" s="27" t="str">
        <f aca="false">IF(AND(AK401&gt;0,AG401&gt;=AK401,AN401=0),"Built out",IF(AG401&gt;0,"Partly built",IF(AK401&gt;0,"Consented – not built","No consent")))</f>
        <v>No consent</v>
      </c>
      <c r="AZ401" s="28" t="str">
        <f aca="false">IF(AND(R401&lt;&gt;"",AK401&gt;1.1*R401),"Consented above capacity",IF(AND(LEFT(B401,8)="Planning",AW401=0),"Consent parcel with no permission",IF(COUNTIF($A$2:$A$3000,$A401)&gt;1,"Duplicate parcel_id","")))</f>
        <v/>
      </c>
    </row>
    <row r="402" customFormat="false" ht="15" hidden="false" customHeight="false" outlineLevel="0" collapsed="false">
      <c r="A402" s="15" t="s">
        <v>846</v>
      </c>
      <c r="B402" s="15" t="s">
        <v>13</v>
      </c>
      <c r="C402" s="15" t="s">
        <v>17</v>
      </c>
      <c r="D402" s="15" t="s">
        <v>71</v>
      </c>
      <c r="E402" s="15" t="s">
        <v>21</v>
      </c>
      <c r="F402" s="15" t="n">
        <v>0.38</v>
      </c>
      <c r="G402" s="15" t="s">
        <v>154</v>
      </c>
      <c r="H402" s="15"/>
      <c r="I402" s="15" t="s">
        <v>17</v>
      </c>
      <c r="J402" s="15" t="s">
        <v>559</v>
      </c>
      <c r="K402" s="15" t="s">
        <v>732</v>
      </c>
      <c r="L402" s="15"/>
      <c r="M402" s="15" t="s">
        <v>733</v>
      </c>
      <c r="N402" s="15"/>
      <c r="O402" s="15"/>
      <c r="P402" s="15" t="n">
        <v>0.603</v>
      </c>
      <c r="Q402" s="15" t="n">
        <v>0.662</v>
      </c>
      <c r="R402" s="15" t="n">
        <v>15</v>
      </c>
      <c r="S402" s="15" t="s">
        <v>734</v>
      </c>
      <c r="T402" s="15" t="s">
        <v>735</v>
      </c>
      <c r="U402" s="15" t="s">
        <v>736</v>
      </c>
      <c r="V402" s="15"/>
      <c r="W402" s="15" t="s">
        <v>746</v>
      </c>
      <c r="X402" s="15" t="n">
        <v>25</v>
      </c>
      <c r="Y402" s="15" t="s">
        <v>747</v>
      </c>
      <c r="Z402" s="15" t="n">
        <v>0</v>
      </c>
      <c r="AA402" s="15" t="n">
        <v>0</v>
      </c>
      <c r="AB402" s="15" t="n">
        <v>0</v>
      </c>
      <c r="AC402" s="15"/>
      <c r="AD402" s="15"/>
      <c r="AE402" s="15" t="s">
        <v>163</v>
      </c>
      <c r="AF402" s="15"/>
      <c r="AG402" s="24" t="n">
        <f aca="false">SUMIFS(Permissions!$G$2:$G$3000,Permissions!$B$2:$B$3000,$A402,Permissions!$I$2:$I$3000,"Complete",Permissions!$P$2:$P$3000,"Yes")</f>
        <v>0</v>
      </c>
      <c r="AH402" s="24" t="n">
        <f aca="false">SUMIFS(Permissions!$G$2:$G$3000,Permissions!$B$2:$B$3000,$A402,Permissions!$I$2:$I$3000,"Under construction",Permissions!$P$2:$P$3000,"Yes")</f>
        <v>0</v>
      </c>
      <c r="AI402" s="24" t="n">
        <f aca="false">SUMIFS(Permissions!$G$2:$G$3000,Permissions!$B$2:$B$3000,$A402,Permissions!$I$2:$I$3000,"Permitted – not started",Permissions!$P$2:$P$3000,"Yes")</f>
        <v>0</v>
      </c>
      <c r="AJ402" s="24" t="n">
        <f aca="false">SUMIFS(Permissions!$G$2:$G$3000,Permissions!$B$2:$B$3000,$A402,Permissions!$I$2:$I$3000,"Stalled",Permissions!$P$2:$P$3000,"Yes")</f>
        <v>0</v>
      </c>
      <c r="AK402" s="24" t="n">
        <f aca="false">AG402+AH402+AI402+AJ402</f>
        <v>0</v>
      </c>
      <c r="AL402" s="24" t="n">
        <f aca="false">SUMIFS(Permissions!$G$2:$G$3000,Permissions!$B$2:$B$3000,$A402,Permissions!$I$2:$I$3000,"Expired – not started",Permissions!$P$2:$P$3000,"Yes")</f>
        <v>0</v>
      </c>
      <c r="AM402" s="24" t="n">
        <f aca="false">SUMIFS(Permissions!$G$2:$G$3000,Permissions!$B$2:$B$3000,$A402,Permissions!$I$2:$I$3000,"In planning",Permissions!$P$2:$P$3000,"Yes")</f>
        <v>0</v>
      </c>
      <c r="AN402" s="24" t="n">
        <f aca="false">IF(R402="",0,MAX(R402-AK402,0))</f>
        <v>15</v>
      </c>
      <c r="AO402" s="25" t="n">
        <f aca="false">AK402+AN402</f>
        <v>15</v>
      </c>
      <c r="AP402" s="24" t="n">
        <f aca="false">AO402-AG402</f>
        <v>15</v>
      </c>
      <c r="AQ402" s="26" t="n">
        <f aca="false">SUMIFS(Permissions!$AH$2:$AH$3000,Permissions!$B$2:$B$3000,$A402,Permissions!$P$2:$P$3000,"Yes")</f>
        <v>0</v>
      </c>
      <c r="AR402" s="26" t="n">
        <f aca="false">SUMIFS(Permissions!$AI$2:$AI$3000,Permissions!$B$2:$B$3000,$A402,Permissions!$P$2:$P$3000,"Yes")</f>
        <v>0</v>
      </c>
      <c r="AS402" s="26" t="n">
        <f aca="false">SUMIFS(Permissions!$AJ$2:$AJ$3000,Permissions!$B$2:$B$3000,$A402,Permissions!$P$2:$P$3000,"Yes")</f>
        <v>0</v>
      </c>
      <c r="AT402" s="26" t="n">
        <f aca="false">SUMIFS(Permissions!$AK$2:$AK$3000,Permissions!$B$2:$B$3000,$A402,Permissions!$P$2:$P$3000,"Yes")</f>
        <v>0</v>
      </c>
      <c r="AU402" s="26" t="n">
        <f aca="false">SUMIFS(Permissions!$AL$2:$AL$3000,Permissions!$B$2:$B$3000,$A402,Permissions!$P$2:$P$3000,"Yes")</f>
        <v>0</v>
      </c>
      <c r="AV402" s="26" t="n">
        <f aca="false">SUMIFS(Permissions!$AM$2:$AM$3000,Permissions!$B$2:$B$3000,$A402,Permissions!$P$2:$P$3000,"Yes")</f>
        <v>0</v>
      </c>
      <c r="AW402" s="24" t="n">
        <f aca="false">COUNTIFS(Permissions!$B$2:$B$3000,$A402,Permissions!$P$2:$P$3000,"Yes")</f>
        <v>0</v>
      </c>
      <c r="AX402" s="24" t="n">
        <f aca="false">SUMIFS(Permissions!$L$2:$L$3000,Permissions!$B$2:$B$3000,$A402,Permissions!$P$2:$P$3000,"Yes")</f>
        <v>0</v>
      </c>
      <c r="AY402" s="27" t="str">
        <f aca="false">IF(AND(AK402&gt;0,AG402&gt;=AK402,AN402=0),"Built out",IF(AG402&gt;0,"Partly built",IF(AK402&gt;0,"Consented – not built","No consent")))</f>
        <v>No consent</v>
      </c>
      <c r="AZ402" s="28" t="str">
        <f aca="false">IF(AND(R402&lt;&gt;"",AK402&gt;1.1*R402),"Consented above capacity",IF(AND(LEFT(B402,8)="Planning",AW402=0),"Consent parcel with no permission",IF(COUNTIF($A$2:$A$3000,$A402)&gt;1,"Duplicate parcel_id","")))</f>
        <v/>
      </c>
    </row>
    <row r="403" customFormat="false" ht="15" hidden="false" customHeight="false" outlineLevel="0" collapsed="false">
      <c r="A403" s="15" t="s">
        <v>847</v>
      </c>
      <c r="B403" s="15" t="s">
        <v>13</v>
      </c>
      <c r="C403" s="15" t="s">
        <v>17</v>
      </c>
      <c r="D403" s="15" t="s">
        <v>22</v>
      </c>
      <c r="E403" s="15" t="s">
        <v>22</v>
      </c>
      <c r="F403" s="15"/>
      <c r="G403" s="15" t="s">
        <v>22</v>
      </c>
      <c r="H403" s="15"/>
      <c r="I403" s="15" t="s">
        <v>17</v>
      </c>
      <c r="J403" s="15" t="s">
        <v>583</v>
      </c>
      <c r="K403" s="15" t="s">
        <v>732</v>
      </c>
      <c r="L403" s="15"/>
      <c r="M403" s="15" t="s">
        <v>733</v>
      </c>
      <c r="N403" s="15"/>
      <c r="O403" s="15"/>
      <c r="P403" s="15" t="n">
        <v>1.593</v>
      </c>
      <c r="Q403" s="15" t="n">
        <v>1.75</v>
      </c>
      <c r="R403" s="15" t="n">
        <v>40</v>
      </c>
      <c r="S403" s="15" t="s">
        <v>734</v>
      </c>
      <c r="T403" s="15" t="s">
        <v>735</v>
      </c>
      <c r="U403" s="15" t="s">
        <v>736</v>
      </c>
      <c r="V403" s="15"/>
      <c r="W403" s="15" t="s">
        <v>746</v>
      </c>
      <c r="X403" s="15" t="n">
        <v>25</v>
      </c>
      <c r="Y403" s="15" t="s">
        <v>747</v>
      </c>
      <c r="Z403" s="15" t="n">
        <v>0.67</v>
      </c>
      <c r="AA403" s="15" t="n">
        <v>0</v>
      </c>
      <c r="AB403" s="15" t="n">
        <v>0</v>
      </c>
      <c r="AC403" s="15"/>
      <c r="AD403" s="15"/>
      <c r="AE403" s="15" t="s">
        <v>163</v>
      </c>
      <c r="AF403" s="15"/>
      <c r="AG403" s="24" t="n">
        <f aca="false">SUMIFS(Permissions!$G$2:$G$3000,Permissions!$B$2:$B$3000,$A403,Permissions!$I$2:$I$3000,"Complete",Permissions!$P$2:$P$3000,"Yes")</f>
        <v>0</v>
      </c>
      <c r="AH403" s="24" t="n">
        <f aca="false">SUMIFS(Permissions!$G$2:$G$3000,Permissions!$B$2:$B$3000,$A403,Permissions!$I$2:$I$3000,"Under construction",Permissions!$P$2:$P$3000,"Yes")</f>
        <v>0</v>
      </c>
      <c r="AI403" s="24" t="n">
        <f aca="false">SUMIFS(Permissions!$G$2:$G$3000,Permissions!$B$2:$B$3000,$A403,Permissions!$I$2:$I$3000,"Permitted – not started",Permissions!$P$2:$P$3000,"Yes")</f>
        <v>0</v>
      </c>
      <c r="AJ403" s="24" t="n">
        <f aca="false">SUMIFS(Permissions!$G$2:$G$3000,Permissions!$B$2:$B$3000,$A403,Permissions!$I$2:$I$3000,"Stalled",Permissions!$P$2:$P$3000,"Yes")</f>
        <v>0</v>
      </c>
      <c r="AK403" s="24" t="n">
        <f aca="false">AG403+AH403+AI403+AJ403</f>
        <v>0</v>
      </c>
      <c r="AL403" s="24" t="n">
        <f aca="false">SUMIFS(Permissions!$G$2:$G$3000,Permissions!$B$2:$B$3000,$A403,Permissions!$I$2:$I$3000,"Expired – not started",Permissions!$P$2:$P$3000,"Yes")</f>
        <v>0</v>
      </c>
      <c r="AM403" s="24" t="n">
        <f aca="false">SUMIFS(Permissions!$G$2:$G$3000,Permissions!$B$2:$B$3000,$A403,Permissions!$I$2:$I$3000,"In planning",Permissions!$P$2:$P$3000,"Yes")</f>
        <v>0</v>
      </c>
      <c r="AN403" s="24" t="n">
        <f aca="false">IF(R403="",0,MAX(R403-AK403,0))</f>
        <v>40</v>
      </c>
      <c r="AO403" s="25" t="n">
        <f aca="false">AK403+AN403</f>
        <v>40</v>
      </c>
      <c r="AP403" s="24" t="n">
        <f aca="false">AO403-AG403</f>
        <v>40</v>
      </c>
      <c r="AQ403" s="26" t="n">
        <f aca="false">SUMIFS(Permissions!$AH$2:$AH$3000,Permissions!$B$2:$B$3000,$A403,Permissions!$P$2:$P$3000,"Yes")</f>
        <v>0</v>
      </c>
      <c r="AR403" s="26" t="n">
        <f aca="false">SUMIFS(Permissions!$AI$2:$AI$3000,Permissions!$B$2:$B$3000,$A403,Permissions!$P$2:$P$3000,"Yes")</f>
        <v>0</v>
      </c>
      <c r="AS403" s="26" t="n">
        <f aca="false">SUMIFS(Permissions!$AJ$2:$AJ$3000,Permissions!$B$2:$B$3000,$A403,Permissions!$P$2:$P$3000,"Yes")</f>
        <v>0</v>
      </c>
      <c r="AT403" s="26" t="n">
        <f aca="false">SUMIFS(Permissions!$AK$2:$AK$3000,Permissions!$B$2:$B$3000,$A403,Permissions!$P$2:$P$3000,"Yes")</f>
        <v>0</v>
      </c>
      <c r="AU403" s="26" t="n">
        <f aca="false">SUMIFS(Permissions!$AL$2:$AL$3000,Permissions!$B$2:$B$3000,$A403,Permissions!$P$2:$P$3000,"Yes")</f>
        <v>0</v>
      </c>
      <c r="AV403" s="26" t="n">
        <f aca="false">SUMIFS(Permissions!$AM$2:$AM$3000,Permissions!$B$2:$B$3000,$A403,Permissions!$P$2:$P$3000,"Yes")</f>
        <v>0</v>
      </c>
      <c r="AW403" s="24" t="n">
        <f aca="false">COUNTIFS(Permissions!$B$2:$B$3000,$A403,Permissions!$P$2:$P$3000,"Yes")</f>
        <v>0</v>
      </c>
      <c r="AX403" s="24" t="n">
        <f aca="false">SUMIFS(Permissions!$L$2:$L$3000,Permissions!$B$2:$B$3000,$A403,Permissions!$P$2:$P$3000,"Yes")</f>
        <v>0</v>
      </c>
      <c r="AY403" s="27" t="str">
        <f aca="false">IF(AND(AK403&gt;0,AG403&gt;=AK403,AN403=0),"Built out",IF(AG403&gt;0,"Partly built",IF(AK403&gt;0,"Consented – not built","No consent")))</f>
        <v>No consent</v>
      </c>
      <c r="AZ403" s="28" t="str">
        <f aca="false">IF(AND(R403&lt;&gt;"",AK403&gt;1.1*R403),"Consented above capacity",IF(AND(LEFT(B403,8)="Planning",AW403=0),"Consent parcel with no permission",IF(COUNTIF($A$2:$A$3000,$A403)&gt;1,"Duplicate parcel_id","")))</f>
        <v/>
      </c>
    </row>
    <row r="404" customFormat="false" ht="15" hidden="false" customHeight="false" outlineLevel="0" collapsed="false">
      <c r="A404" s="15" t="s">
        <v>848</v>
      </c>
      <c r="B404" s="15" t="s">
        <v>13</v>
      </c>
      <c r="C404" s="15" t="s">
        <v>17</v>
      </c>
      <c r="D404" s="15" t="s">
        <v>68</v>
      </c>
      <c r="E404" s="15" t="s">
        <v>21</v>
      </c>
      <c r="F404" s="15" t="n">
        <v>0.99</v>
      </c>
      <c r="G404" s="15" t="s">
        <v>154</v>
      </c>
      <c r="H404" s="15"/>
      <c r="I404" s="15" t="s">
        <v>17</v>
      </c>
      <c r="J404" s="15" t="s">
        <v>559</v>
      </c>
      <c r="K404" s="15" t="s">
        <v>732</v>
      </c>
      <c r="L404" s="15"/>
      <c r="M404" s="15" t="s">
        <v>733</v>
      </c>
      <c r="N404" s="15"/>
      <c r="O404" s="15"/>
      <c r="P404" s="15" t="n">
        <v>0.598</v>
      </c>
      <c r="Q404" s="15" t="n">
        <v>0.658</v>
      </c>
      <c r="R404" s="15" t="n">
        <v>15</v>
      </c>
      <c r="S404" s="15" t="s">
        <v>734</v>
      </c>
      <c r="T404" s="15" t="s">
        <v>735</v>
      </c>
      <c r="U404" s="15" t="s">
        <v>736</v>
      </c>
      <c r="V404" s="15"/>
      <c r="W404" s="15" t="s">
        <v>746</v>
      </c>
      <c r="X404" s="15" t="n">
        <v>25</v>
      </c>
      <c r="Y404" s="15" t="s">
        <v>747</v>
      </c>
      <c r="Z404" s="15" t="n">
        <v>1</v>
      </c>
      <c r="AA404" s="15" t="n">
        <v>0</v>
      </c>
      <c r="AB404" s="15" t="n">
        <v>0</v>
      </c>
      <c r="AC404" s="15"/>
      <c r="AD404" s="15"/>
      <c r="AE404" s="15" t="s">
        <v>163</v>
      </c>
      <c r="AF404" s="15"/>
      <c r="AG404" s="24" t="n">
        <f aca="false">SUMIFS(Permissions!$G$2:$G$3000,Permissions!$B$2:$B$3000,$A404,Permissions!$I$2:$I$3000,"Complete",Permissions!$P$2:$P$3000,"Yes")</f>
        <v>0</v>
      </c>
      <c r="AH404" s="24" t="n">
        <f aca="false">SUMIFS(Permissions!$G$2:$G$3000,Permissions!$B$2:$B$3000,$A404,Permissions!$I$2:$I$3000,"Under construction",Permissions!$P$2:$P$3000,"Yes")</f>
        <v>0</v>
      </c>
      <c r="AI404" s="24" t="n">
        <f aca="false">SUMIFS(Permissions!$G$2:$G$3000,Permissions!$B$2:$B$3000,$A404,Permissions!$I$2:$I$3000,"Permitted – not started",Permissions!$P$2:$P$3000,"Yes")</f>
        <v>0</v>
      </c>
      <c r="AJ404" s="24" t="n">
        <f aca="false">SUMIFS(Permissions!$G$2:$G$3000,Permissions!$B$2:$B$3000,$A404,Permissions!$I$2:$I$3000,"Stalled",Permissions!$P$2:$P$3000,"Yes")</f>
        <v>0</v>
      </c>
      <c r="AK404" s="24" t="n">
        <f aca="false">AG404+AH404+AI404+AJ404</f>
        <v>0</v>
      </c>
      <c r="AL404" s="24" t="n">
        <f aca="false">SUMIFS(Permissions!$G$2:$G$3000,Permissions!$B$2:$B$3000,$A404,Permissions!$I$2:$I$3000,"Expired – not started",Permissions!$P$2:$P$3000,"Yes")</f>
        <v>0</v>
      </c>
      <c r="AM404" s="24" t="n">
        <f aca="false">SUMIFS(Permissions!$G$2:$G$3000,Permissions!$B$2:$B$3000,$A404,Permissions!$I$2:$I$3000,"In planning",Permissions!$P$2:$P$3000,"Yes")</f>
        <v>0</v>
      </c>
      <c r="AN404" s="24" t="n">
        <f aca="false">IF(R404="",0,MAX(R404-AK404,0))</f>
        <v>15</v>
      </c>
      <c r="AO404" s="25" t="n">
        <f aca="false">AK404+AN404</f>
        <v>15</v>
      </c>
      <c r="AP404" s="24" t="n">
        <f aca="false">AO404-AG404</f>
        <v>15</v>
      </c>
      <c r="AQ404" s="26" t="n">
        <f aca="false">SUMIFS(Permissions!$AH$2:$AH$3000,Permissions!$B$2:$B$3000,$A404,Permissions!$P$2:$P$3000,"Yes")</f>
        <v>0</v>
      </c>
      <c r="AR404" s="26" t="n">
        <f aca="false">SUMIFS(Permissions!$AI$2:$AI$3000,Permissions!$B$2:$B$3000,$A404,Permissions!$P$2:$P$3000,"Yes")</f>
        <v>0</v>
      </c>
      <c r="AS404" s="26" t="n">
        <f aca="false">SUMIFS(Permissions!$AJ$2:$AJ$3000,Permissions!$B$2:$B$3000,$A404,Permissions!$P$2:$P$3000,"Yes")</f>
        <v>0</v>
      </c>
      <c r="AT404" s="26" t="n">
        <f aca="false">SUMIFS(Permissions!$AK$2:$AK$3000,Permissions!$B$2:$B$3000,$A404,Permissions!$P$2:$P$3000,"Yes")</f>
        <v>0</v>
      </c>
      <c r="AU404" s="26" t="n">
        <f aca="false">SUMIFS(Permissions!$AL$2:$AL$3000,Permissions!$B$2:$B$3000,$A404,Permissions!$P$2:$P$3000,"Yes")</f>
        <v>0</v>
      </c>
      <c r="AV404" s="26" t="n">
        <f aca="false">SUMIFS(Permissions!$AM$2:$AM$3000,Permissions!$B$2:$B$3000,$A404,Permissions!$P$2:$P$3000,"Yes")</f>
        <v>0</v>
      </c>
      <c r="AW404" s="24" t="n">
        <f aca="false">COUNTIFS(Permissions!$B$2:$B$3000,$A404,Permissions!$P$2:$P$3000,"Yes")</f>
        <v>0</v>
      </c>
      <c r="AX404" s="24" t="n">
        <f aca="false">SUMIFS(Permissions!$L$2:$L$3000,Permissions!$B$2:$B$3000,$A404,Permissions!$P$2:$P$3000,"Yes")</f>
        <v>0</v>
      </c>
      <c r="AY404" s="27" t="str">
        <f aca="false">IF(AND(AK404&gt;0,AG404&gt;=AK404,AN404=0),"Built out",IF(AG404&gt;0,"Partly built",IF(AK404&gt;0,"Consented – not built","No consent")))</f>
        <v>No consent</v>
      </c>
      <c r="AZ404" s="28" t="str">
        <f aca="false">IF(AND(R404&lt;&gt;"",AK404&gt;1.1*R404),"Consented above capacity",IF(AND(LEFT(B404,8)="Planning",AW404=0),"Consent parcel with no permission",IF(COUNTIF($A$2:$A$3000,$A404)&gt;1,"Duplicate parcel_id","")))</f>
        <v/>
      </c>
    </row>
    <row r="405" customFormat="false" ht="15" hidden="false" customHeight="false" outlineLevel="0" collapsed="false">
      <c r="A405" s="15" t="s">
        <v>849</v>
      </c>
      <c r="B405" s="15" t="s">
        <v>13</v>
      </c>
      <c r="C405" s="15" t="s">
        <v>17</v>
      </c>
      <c r="D405" s="15" t="s">
        <v>71</v>
      </c>
      <c r="E405" s="15" t="s">
        <v>21</v>
      </c>
      <c r="F405" s="15" t="n">
        <v>1</v>
      </c>
      <c r="G405" s="15" t="s">
        <v>154</v>
      </c>
      <c r="H405" s="15"/>
      <c r="I405" s="15" t="s">
        <v>17</v>
      </c>
      <c r="J405" s="15" t="s">
        <v>559</v>
      </c>
      <c r="K405" s="15" t="s">
        <v>819</v>
      </c>
      <c r="L405" s="15"/>
      <c r="M405" s="15" t="s">
        <v>751</v>
      </c>
      <c r="N405" s="15"/>
      <c r="O405" s="15"/>
      <c r="P405" s="15" t="n">
        <v>0.927</v>
      </c>
      <c r="Q405" s="15" t="n">
        <v>1.019</v>
      </c>
      <c r="R405" s="15" t="n">
        <v>18</v>
      </c>
      <c r="S405" s="15" t="s">
        <v>734</v>
      </c>
      <c r="T405" s="15" t="s">
        <v>735</v>
      </c>
      <c r="U405" s="15" t="s">
        <v>752</v>
      </c>
      <c r="V405" s="15"/>
      <c r="W405" s="15" t="s">
        <v>753</v>
      </c>
      <c r="X405" s="15" t="n">
        <v>19</v>
      </c>
      <c r="Y405" s="15" t="s">
        <v>754</v>
      </c>
      <c r="Z405" s="15" t="n">
        <v>0</v>
      </c>
      <c r="AA405" s="15" t="n">
        <v>0</v>
      </c>
      <c r="AB405" s="15" t="n">
        <v>0</v>
      </c>
      <c r="AC405" s="15"/>
      <c r="AD405" s="15"/>
      <c r="AE405" s="15" t="s">
        <v>163</v>
      </c>
      <c r="AF405" s="15"/>
      <c r="AG405" s="24" t="n">
        <f aca="false">SUMIFS(Permissions!$G$2:$G$3000,Permissions!$B$2:$B$3000,$A405,Permissions!$I$2:$I$3000,"Complete",Permissions!$P$2:$P$3000,"Yes")</f>
        <v>0</v>
      </c>
      <c r="AH405" s="24" t="n">
        <f aca="false">SUMIFS(Permissions!$G$2:$G$3000,Permissions!$B$2:$B$3000,$A405,Permissions!$I$2:$I$3000,"Under construction",Permissions!$P$2:$P$3000,"Yes")</f>
        <v>0</v>
      </c>
      <c r="AI405" s="24" t="n">
        <f aca="false">SUMIFS(Permissions!$G$2:$G$3000,Permissions!$B$2:$B$3000,$A405,Permissions!$I$2:$I$3000,"Permitted – not started",Permissions!$P$2:$P$3000,"Yes")</f>
        <v>0</v>
      </c>
      <c r="AJ405" s="24" t="n">
        <f aca="false">SUMIFS(Permissions!$G$2:$G$3000,Permissions!$B$2:$B$3000,$A405,Permissions!$I$2:$I$3000,"Stalled",Permissions!$P$2:$P$3000,"Yes")</f>
        <v>0</v>
      </c>
      <c r="AK405" s="24" t="n">
        <f aca="false">AG405+AH405+AI405+AJ405</f>
        <v>0</v>
      </c>
      <c r="AL405" s="24" t="n">
        <f aca="false">SUMIFS(Permissions!$G$2:$G$3000,Permissions!$B$2:$B$3000,$A405,Permissions!$I$2:$I$3000,"Expired – not started",Permissions!$P$2:$P$3000,"Yes")</f>
        <v>0</v>
      </c>
      <c r="AM405" s="24" t="n">
        <f aca="false">SUMIFS(Permissions!$G$2:$G$3000,Permissions!$B$2:$B$3000,$A405,Permissions!$I$2:$I$3000,"In planning",Permissions!$P$2:$P$3000,"Yes")</f>
        <v>0</v>
      </c>
      <c r="AN405" s="24" t="n">
        <f aca="false">IF(R405="",0,MAX(R405-AK405,0))</f>
        <v>18</v>
      </c>
      <c r="AO405" s="25" t="n">
        <f aca="false">AK405+AN405</f>
        <v>18</v>
      </c>
      <c r="AP405" s="24" t="n">
        <f aca="false">AO405-AG405</f>
        <v>18</v>
      </c>
      <c r="AQ405" s="26" t="n">
        <f aca="false">SUMIFS(Permissions!$AH$2:$AH$3000,Permissions!$B$2:$B$3000,$A405,Permissions!$P$2:$P$3000,"Yes")</f>
        <v>0</v>
      </c>
      <c r="AR405" s="26" t="n">
        <f aca="false">SUMIFS(Permissions!$AI$2:$AI$3000,Permissions!$B$2:$B$3000,$A405,Permissions!$P$2:$P$3000,"Yes")</f>
        <v>0</v>
      </c>
      <c r="AS405" s="26" t="n">
        <f aca="false">SUMIFS(Permissions!$AJ$2:$AJ$3000,Permissions!$B$2:$B$3000,$A405,Permissions!$P$2:$P$3000,"Yes")</f>
        <v>0</v>
      </c>
      <c r="AT405" s="26" t="n">
        <f aca="false">SUMIFS(Permissions!$AK$2:$AK$3000,Permissions!$B$2:$B$3000,$A405,Permissions!$P$2:$P$3000,"Yes")</f>
        <v>0</v>
      </c>
      <c r="AU405" s="26" t="n">
        <f aca="false">SUMIFS(Permissions!$AL$2:$AL$3000,Permissions!$B$2:$B$3000,$A405,Permissions!$P$2:$P$3000,"Yes")</f>
        <v>0</v>
      </c>
      <c r="AV405" s="26" t="n">
        <f aca="false">SUMIFS(Permissions!$AM$2:$AM$3000,Permissions!$B$2:$B$3000,$A405,Permissions!$P$2:$P$3000,"Yes")</f>
        <v>0</v>
      </c>
      <c r="AW405" s="24" t="n">
        <f aca="false">COUNTIFS(Permissions!$B$2:$B$3000,$A405,Permissions!$P$2:$P$3000,"Yes")</f>
        <v>0</v>
      </c>
      <c r="AX405" s="24" t="n">
        <f aca="false">SUMIFS(Permissions!$L$2:$L$3000,Permissions!$B$2:$B$3000,$A405,Permissions!$P$2:$P$3000,"Yes")</f>
        <v>0</v>
      </c>
      <c r="AY405" s="27" t="str">
        <f aca="false">IF(AND(AK405&gt;0,AG405&gt;=AK405,AN405=0),"Built out",IF(AG405&gt;0,"Partly built",IF(AK405&gt;0,"Consented – not built","No consent")))</f>
        <v>No consent</v>
      </c>
      <c r="AZ405" s="28" t="str">
        <f aca="false">IF(AND(R405&lt;&gt;"",AK405&gt;1.1*R405),"Consented above capacity",IF(AND(LEFT(B405,8)="Planning",AW405=0),"Consent parcel with no permission",IF(COUNTIF($A$2:$A$3000,$A405)&gt;1,"Duplicate parcel_id","")))</f>
        <v/>
      </c>
    </row>
    <row r="406" customFormat="false" ht="15" hidden="false" customHeight="false" outlineLevel="0" collapsed="false">
      <c r="A406" s="15" t="s">
        <v>850</v>
      </c>
      <c r="B406" s="15" t="s">
        <v>13</v>
      </c>
      <c r="C406" s="15" t="s">
        <v>17</v>
      </c>
      <c r="D406" s="15" t="s">
        <v>22</v>
      </c>
      <c r="E406" s="15" t="s">
        <v>22</v>
      </c>
      <c r="F406" s="15"/>
      <c r="G406" s="15" t="s">
        <v>22</v>
      </c>
      <c r="H406" s="15"/>
      <c r="I406" s="15" t="s">
        <v>17</v>
      </c>
      <c r="J406" s="15" t="s">
        <v>568</v>
      </c>
      <c r="K406" s="15" t="s">
        <v>819</v>
      </c>
      <c r="L406" s="15"/>
      <c r="M406" s="15" t="s">
        <v>751</v>
      </c>
      <c r="N406" s="15"/>
      <c r="O406" s="15"/>
      <c r="P406" s="15" t="n">
        <v>0.867</v>
      </c>
      <c r="Q406" s="15" t="n">
        <v>0.953</v>
      </c>
      <c r="R406" s="15" t="n">
        <v>16</v>
      </c>
      <c r="S406" s="15" t="s">
        <v>734</v>
      </c>
      <c r="T406" s="15" t="s">
        <v>735</v>
      </c>
      <c r="U406" s="15" t="s">
        <v>752</v>
      </c>
      <c r="V406" s="15"/>
      <c r="W406" s="15" t="s">
        <v>753</v>
      </c>
      <c r="X406" s="15" t="n">
        <v>19</v>
      </c>
      <c r="Y406" s="15" t="s">
        <v>754</v>
      </c>
      <c r="Z406" s="15" t="n">
        <v>0</v>
      </c>
      <c r="AA406" s="15" t="n">
        <v>0</v>
      </c>
      <c r="AB406" s="15" t="n">
        <v>0</v>
      </c>
      <c r="AC406" s="15"/>
      <c r="AD406" s="15"/>
      <c r="AE406" s="15" t="s">
        <v>163</v>
      </c>
      <c r="AF406" s="15"/>
      <c r="AG406" s="24" t="n">
        <f aca="false">SUMIFS(Permissions!$G$2:$G$3000,Permissions!$B$2:$B$3000,$A406,Permissions!$I$2:$I$3000,"Complete",Permissions!$P$2:$P$3000,"Yes")</f>
        <v>0</v>
      </c>
      <c r="AH406" s="24" t="n">
        <f aca="false">SUMIFS(Permissions!$G$2:$G$3000,Permissions!$B$2:$B$3000,$A406,Permissions!$I$2:$I$3000,"Under construction",Permissions!$P$2:$P$3000,"Yes")</f>
        <v>0</v>
      </c>
      <c r="AI406" s="24" t="n">
        <f aca="false">SUMIFS(Permissions!$G$2:$G$3000,Permissions!$B$2:$B$3000,$A406,Permissions!$I$2:$I$3000,"Permitted – not started",Permissions!$P$2:$P$3000,"Yes")</f>
        <v>0</v>
      </c>
      <c r="AJ406" s="24" t="n">
        <f aca="false">SUMIFS(Permissions!$G$2:$G$3000,Permissions!$B$2:$B$3000,$A406,Permissions!$I$2:$I$3000,"Stalled",Permissions!$P$2:$P$3000,"Yes")</f>
        <v>0</v>
      </c>
      <c r="AK406" s="24" t="n">
        <f aca="false">AG406+AH406+AI406+AJ406</f>
        <v>0</v>
      </c>
      <c r="AL406" s="24" t="n">
        <f aca="false">SUMIFS(Permissions!$G$2:$G$3000,Permissions!$B$2:$B$3000,$A406,Permissions!$I$2:$I$3000,"Expired – not started",Permissions!$P$2:$P$3000,"Yes")</f>
        <v>0</v>
      </c>
      <c r="AM406" s="24" t="n">
        <f aca="false">SUMIFS(Permissions!$G$2:$G$3000,Permissions!$B$2:$B$3000,$A406,Permissions!$I$2:$I$3000,"In planning",Permissions!$P$2:$P$3000,"Yes")</f>
        <v>0</v>
      </c>
      <c r="AN406" s="24" t="n">
        <f aca="false">IF(R406="",0,MAX(R406-AK406,0))</f>
        <v>16</v>
      </c>
      <c r="AO406" s="25" t="n">
        <f aca="false">AK406+AN406</f>
        <v>16</v>
      </c>
      <c r="AP406" s="24" t="n">
        <f aca="false">AO406-AG406</f>
        <v>16</v>
      </c>
      <c r="AQ406" s="26" t="n">
        <f aca="false">SUMIFS(Permissions!$AH$2:$AH$3000,Permissions!$B$2:$B$3000,$A406,Permissions!$P$2:$P$3000,"Yes")</f>
        <v>0</v>
      </c>
      <c r="AR406" s="26" t="n">
        <f aca="false">SUMIFS(Permissions!$AI$2:$AI$3000,Permissions!$B$2:$B$3000,$A406,Permissions!$P$2:$P$3000,"Yes")</f>
        <v>0</v>
      </c>
      <c r="AS406" s="26" t="n">
        <f aca="false">SUMIFS(Permissions!$AJ$2:$AJ$3000,Permissions!$B$2:$B$3000,$A406,Permissions!$P$2:$P$3000,"Yes")</f>
        <v>0</v>
      </c>
      <c r="AT406" s="26" t="n">
        <f aca="false">SUMIFS(Permissions!$AK$2:$AK$3000,Permissions!$B$2:$B$3000,$A406,Permissions!$P$2:$P$3000,"Yes")</f>
        <v>0</v>
      </c>
      <c r="AU406" s="26" t="n">
        <f aca="false">SUMIFS(Permissions!$AL$2:$AL$3000,Permissions!$B$2:$B$3000,$A406,Permissions!$P$2:$P$3000,"Yes")</f>
        <v>0</v>
      </c>
      <c r="AV406" s="26" t="n">
        <f aca="false">SUMIFS(Permissions!$AM$2:$AM$3000,Permissions!$B$2:$B$3000,$A406,Permissions!$P$2:$P$3000,"Yes")</f>
        <v>0</v>
      </c>
      <c r="AW406" s="24" t="n">
        <f aca="false">COUNTIFS(Permissions!$B$2:$B$3000,$A406,Permissions!$P$2:$P$3000,"Yes")</f>
        <v>0</v>
      </c>
      <c r="AX406" s="24" t="n">
        <f aca="false">SUMIFS(Permissions!$L$2:$L$3000,Permissions!$B$2:$B$3000,$A406,Permissions!$P$2:$P$3000,"Yes")</f>
        <v>0</v>
      </c>
      <c r="AY406" s="27" t="str">
        <f aca="false">IF(AND(AK406&gt;0,AG406&gt;=AK406,AN406=0),"Built out",IF(AG406&gt;0,"Partly built",IF(AK406&gt;0,"Consented – not built","No consent")))</f>
        <v>No consent</v>
      </c>
      <c r="AZ406" s="28" t="str">
        <f aca="false">IF(AND(R406&lt;&gt;"",AK406&gt;1.1*R406),"Consented above capacity",IF(AND(LEFT(B406,8)="Planning",AW406=0),"Consent parcel with no permission",IF(COUNTIF($A$2:$A$3000,$A406)&gt;1,"Duplicate parcel_id","")))</f>
        <v/>
      </c>
    </row>
    <row r="407" customFormat="false" ht="15" hidden="false" customHeight="false" outlineLevel="0" collapsed="false">
      <c r="A407" s="15" t="s">
        <v>851</v>
      </c>
      <c r="B407" s="15" t="s">
        <v>13</v>
      </c>
      <c r="C407" s="15" t="s">
        <v>17</v>
      </c>
      <c r="D407" s="15" t="s">
        <v>22</v>
      </c>
      <c r="E407" s="15" t="s">
        <v>22</v>
      </c>
      <c r="F407" s="15"/>
      <c r="G407" s="15" t="s">
        <v>22</v>
      </c>
      <c r="H407" s="15"/>
      <c r="I407" s="15" t="s">
        <v>17</v>
      </c>
      <c r="J407" s="15" t="s">
        <v>583</v>
      </c>
      <c r="K407" s="15" t="s">
        <v>819</v>
      </c>
      <c r="L407" s="15"/>
      <c r="M407" s="15" t="s">
        <v>751</v>
      </c>
      <c r="N407" s="15"/>
      <c r="O407" s="15"/>
      <c r="P407" s="15" t="n">
        <v>0.962</v>
      </c>
      <c r="Q407" s="15" t="n">
        <v>1.057</v>
      </c>
      <c r="R407" s="15" t="n">
        <v>18</v>
      </c>
      <c r="S407" s="15" t="s">
        <v>734</v>
      </c>
      <c r="T407" s="15" t="s">
        <v>735</v>
      </c>
      <c r="U407" s="15" t="s">
        <v>752</v>
      </c>
      <c r="V407" s="15"/>
      <c r="W407" s="15" t="s">
        <v>753</v>
      </c>
      <c r="X407" s="15" t="n">
        <v>19</v>
      </c>
      <c r="Y407" s="15" t="s">
        <v>754</v>
      </c>
      <c r="Z407" s="15" t="n">
        <v>0</v>
      </c>
      <c r="AA407" s="15" t="n">
        <v>0</v>
      </c>
      <c r="AB407" s="15" t="n">
        <v>0</v>
      </c>
      <c r="AC407" s="15"/>
      <c r="AD407" s="15"/>
      <c r="AE407" s="15" t="s">
        <v>163</v>
      </c>
      <c r="AF407" s="15"/>
      <c r="AG407" s="24" t="n">
        <f aca="false">SUMIFS(Permissions!$G$2:$G$3000,Permissions!$B$2:$B$3000,$A407,Permissions!$I$2:$I$3000,"Complete",Permissions!$P$2:$P$3000,"Yes")</f>
        <v>0</v>
      </c>
      <c r="AH407" s="24" t="n">
        <f aca="false">SUMIFS(Permissions!$G$2:$G$3000,Permissions!$B$2:$B$3000,$A407,Permissions!$I$2:$I$3000,"Under construction",Permissions!$P$2:$P$3000,"Yes")</f>
        <v>0</v>
      </c>
      <c r="AI407" s="24" t="n">
        <f aca="false">SUMIFS(Permissions!$G$2:$G$3000,Permissions!$B$2:$B$3000,$A407,Permissions!$I$2:$I$3000,"Permitted – not started",Permissions!$P$2:$P$3000,"Yes")</f>
        <v>0</v>
      </c>
      <c r="AJ407" s="24" t="n">
        <f aca="false">SUMIFS(Permissions!$G$2:$G$3000,Permissions!$B$2:$B$3000,$A407,Permissions!$I$2:$I$3000,"Stalled",Permissions!$P$2:$P$3000,"Yes")</f>
        <v>0</v>
      </c>
      <c r="AK407" s="24" t="n">
        <f aca="false">AG407+AH407+AI407+AJ407</f>
        <v>0</v>
      </c>
      <c r="AL407" s="24" t="n">
        <f aca="false">SUMIFS(Permissions!$G$2:$G$3000,Permissions!$B$2:$B$3000,$A407,Permissions!$I$2:$I$3000,"Expired – not started",Permissions!$P$2:$P$3000,"Yes")</f>
        <v>0</v>
      </c>
      <c r="AM407" s="24" t="n">
        <f aca="false">SUMIFS(Permissions!$G$2:$G$3000,Permissions!$B$2:$B$3000,$A407,Permissions!$I$2:$I$3000,"In planning",Permissions!$P$2:$P$3000,"Yes")</f>
        <v>0</v>
      </c>
      <c r="AN407" s="24" t="n">
        <f aca="false">IF(R407="",0,MAX(R407-AK407,0))</f>
        <v>18</v>
      </c>
      <c r="AO407" s="25" t="n">
        <f aca="false">AK407+AN407</f>
        <v>18</v>
      </c>
      <c r="AP407" s="24" t="n">
        <f aca="false">AO407-AG407</f>
        <v>18</v>
      </c>
      <c r="AQ407" s="26" t="n">
        <f aca="false">SUMIFS(Permissions!$AH$2:$AH$3000,Permissions!$B$2:$B$3000,$A407,Permissions!$P$2:$P$3000,"Yes")</f>
        <v>0</v>
      </c>
      <c r="AR407" s="26" t="n">
        <f aca="false">SUMIFS(Permissions!$AI$2:$AI$3000,Permissions!$B$2:$B$3000,$A407,Permissions!$P$2:$P$3000,"Yes")</f>
        <v>0</v>
      </c>
      <c r="AS407" s="26" t="n">
        <f aca="false">SUMIFS(Permissions!$AJ$2:$AJ$3000,Permissions!$B$2:$B$3000,$A407,Permissions!$P$2:$P$3000,"Yes")</f>
        <v>0</v>
      </c>
      <c r="AT407" s="26" t="n">
        <f aca="false">SUMIFS(Permissions!$AK$2:$AK$3000,Permissions!$B$2:$B$3000,$A407,Permissions!$P$2:$P$3000,"Yes")</f>
        <v>0</v>
      </c>
      <c r="AU407" s="26" t="n">
        <f aca="false">SUMIFS(Permissions!$AL$2:$AL$3000,Permissions!$B$2:$B$3000,$A407,Permissions!$P$2:$P$3000,"Yes")</f>
        <v>0</v>
      </c>
      <c r="AV407" s="26" t="n">
        <f aca="false">SUMIFS(Permissions!$AM$2:$AM$3000,Permissions!$B$2:$B$3000,$A407,Permissions!$P$2:$P$3000,"Yes")</f>
        <v>0</v>
      </c>
      <c r="AW407" s="24" t="n">
        <f aca="false">COUNTIFS(Permissions!$B$2:$B$3000,$A407,Permissions!$P$2:$P$3000,"Yes")</f>
        <v>0</v>
      </c>
      <c r="AX407" s="24" t="n">
        <f aca="false">SUMIFS(Permissions!$L$2:$L$3000,Permissions!$B$2:$B$3000,$A407,Permissions!$P$2:$P$3000,"Yes")</f>
        <v>0</v>
      </c>
      <c r="AY407" s="27" t="str">
        <f aca="false">IF(AND(AK407&gt;0,AG407&gt;=AK407,AN407=0),"Built out",IF(AG407&gt;0,"Partly built",IF(AK407&gt;0,"Consented – not built","No consent")))</f>
        <v>No consent</v>
      </c>
      <c r="AZ407" s="28" t="str">
        <f aca="false">IF(AND(R407&lt;&gt;"",AK407&gt;1.1*R407),"Consented above capacity",IF(AND(LEFT(B407,8)="Planning",AW407=0),"Consent parcel with no permission",IF(COUNTIF($A$2:$A$3000,$A407)&gt;1,"Duplicate parcel_id","")))</f>
        <v/>
      </c>
    </row>
    <row r="408" customFormat="false" ht="15" hidden="false" customHeight="false" outlineLevel="0" collapsed="false">
      <c r="A408" s="15" t="s">
        <v>852</v>
      </c>
      <c r="B408" s="15" t="s">
        <v>13</v>
      </c>
      <c r="C408" s="15" t="s">
        <v>17</v>
      </c>
      <c r="D408" s="15" t="s">
        <v>71</v>
      </c>
      <c r="E408" s="15" t="s">
        <v>21</v>
      </c>
      <c r="F408" s="15" t="n">
        <v>0.86</v>
      </c>
      <c r="G408" s="15" t="s">
        <v>154</v>
      </c>
      <c r="H408" s="15"/>
      <c r="I408" s="15" t="s">
        <v>17</v>
      </c>
      <c r="J408" s="15" t="s">
        <v>559</v>
      </c>
      <c r="K408" s="15" t="s">
        <v>732</v>
      </c>
      <c r="L408" s="15"/>
      <c r="M408" s="15" t="s">
        <v>733</v>
      </c>
      <c r="N408" s="15"/>
      <c r="O408" s="15"/>
      <c r="P408" s="15" t="n">
        <v>0.883</v>
      </c>
      <c r="Q408" s="15" t="n">
        <v>0.97</v>
      </c>
      <c r="R408" s="15" t="n">
        <v>22</v>
      </c>
      <c r="S408" s="15" t="s">
        <v>734</v>
      </c>
      <c r="T408" s="15" t="s">
        <v>735</v>
      </c>
      <c r="U408" s="15" t="s">
        <v>736</v>
      </c>
      <c r="V408" s="15"/>
      <c r="W408" s="15" t="s">
        <v>746</v>
      </c>
      <c r="X408" s="15" t="n">
        <v>25</v>
      </c>
      <c r="Y408" s="15" t="s">
        <v>747</v>
      </c>
      <c r="Z408" s="15" t="n">
        <v>0</v>
      </c>
      <c r="AA408" s="15" t="n">
        <v>0</v>
      </c>
      <c r="AB408" s="15" t="n">
        <v>0</v>
      </c>
      <c r="AC408" s="15"/>
      <c r="AD408" s="15"/>
      <c r="AE408" s="15" t="s">
        <v>163</v>
      </c>
      <c r="AF408" s="15"/>
      <c r="AG408" s="24" t="n">
        <f aca="false">SUMIFS(Permissions!$G$2:$G$3000,Permissions!$B$2:$B$3000,$A408,Permissions!$I$2:$I$3000,"Complete",Permissions!$P$2:$P$3000,"Yes")</f>
        <v>0</v>
      </c>
      <c r="AH408" s="24" t="n">
        <f aca="false">SUMIFS(Permissions!$G$2:$G$3000,Permissions!$B$2:$B$3000,$A408,Permissions!$I$2:$I$3000,"Under construction",Permissions!$P$2:$P$3000,"Yes")</f>
        <v>0</v>
      </c>
      <c r="AI408" s="24" t="n">
        <f aca="false">SUMIFS(Permissions!$G$2:$G$3000,Permissions!$B$2:$B$3000,$A408,Permissions!$I$2:$I$3000,"Permitted – not started",Permissions!$P$2:$P$3000,"Yes")</f>
        <v>0</v>
      </c>
      <c r="AJ408" s="24" t="n">
        <f aca="false">SUMIFS(Permissions!$G$2:$G$3000,Permissions!$B$2:$B$3000,$A408,Permissions!$I$2:$I$3000,"Stalled",Permissions!$P$2:$P$3000,"Yes")</f>
        <v>0</v>
      </c>
      <c r="AK408" s="24" t="n">
        <f aca="false">AG408+AH408+AI408+AJ408</f>
        <v>0</v>
      </c>
      <c r="AL408" s="24" t="n">
        <f aca="false">SUMIFS(Permissions!$G$2:$G$3000,Permissions!$B$2:$B$3000,$A408,Permissions!$I$2:$I$3000,"Expired – not started",Permissions!$P$2:$P$3000,"Yes")</f>
        <v>0</v>
      </c>
      <c r="AM408" s="24" t="n">
        <f aca="false">SUMIFS(Permissions!$G$2:$G$3000,Permissions!$B$2:$B$3000,$A408,Permissions!$I$2:$I$3000,"In planning",Permissions!$P$2:$P$3000,"Yes")</f>
        <v>0</v>
      </c>
      <c r="AN408" s="24" t="n">
        <f aca="false">IF(R408="",0,MAX(R408-AK408,0))</f>
        <v>22</v>
      </c>
      <c r="AO408" s="25" t="n">
        <f aca="false">AK408+AN408</f>
        <v>22</v>
      </c>
      <c r="AP408" s="24" t="n">
        <f aca="false">AO408-AG408</f>
        <v>22</v>
      </c>
      <c r="AQ408" s="26" t="n">
        <f aca="false">SUMIFS(Permissions!$AH$2:$AH$3000,Permissions!$B$2:$B$3000,$A408,Permissions!$P$2:$P$3000,"Yes")</f>
        <v>0</v>
      </c>
      <c r="AR408" s="26" t="n">
        <f aca="false">SUMIFS(Permissions!$AI$2:$AI$3000,Permissions!$B$2:$B$3000,$A408,Permissions!$P$2:$P$3000,"Yes")</f>
        <v>0</v>
      </c>
      <c r="AS408" s="26" t="n">
        <f aca="false">SUMIFS(Permissions!$AJ$2:$AJ$3000,Permissions!$B$2:$B$3000,$A408,Permissions!$P$2:$P$3000,"Yes")</f>
        <v>0</v>
      </c>
      <c r="AT408" s="26" t="n">
        <f aca="false">SUMIFS(Permissions!$AK$2:$AK$3000,Permissions!$B$2:$B$3000,$A408,Permissions!$P$2:$P$3000,"Yes")</f>
        <v>0</v>
      </c>
      <c r="AU408" s="26" t="n">
        <f aca="false">SUMIFS(Permissions!$AL$2:$AL$3000,Permissions!$B$2:$B$3000,$A408,Permissions!$P$2:$P$3000,"Yes")</f>
        <v>0</v>
      </c>
      <c r="AV408" s="26" t="n">
        <f aca="false">SUMIFS(Permissions!$AM$2:$AM$3000,Permissions!$B$2:$B$3000,$A408,Permissions!$P$2:$P$3000,"Yes")</f>
        <v>0</v>
      </c>
      <c r="AW408" s="24" t="n">
        <f aca="false">COUNTIFS(Permissions!$B$2:$B$3000,$A408,Permissions!$P$2:$P$3000,"Yes")</f>
        <v>0</v>
      </c>
      <c r="AX408" s="24" t="n">
        <f aca="false">SUMIFS(Permissions!$L$2:$L$3000,Permissions!$B$2:$B$3000,$A408,Permissions!$P$2:$P$3000,"Yes")</f>
        <v>0</v>
      </c>
      <c r="AY408" s="27" t="str">
        <f aca="false">IF(AND(AK408&gt;0,AG408&gt;=AK408,AN408=0),"Built out",IF(AG408&gt;0,"Partly built",IF(AK408&gt;0,"Consented – not built","No consent")))</f>
        <v>No consent</v>
      </c>
      <c r="AZ408" s="28" t="str">
        <f aca="false">IF(AND(R408&lt;&gt;"",AK408&gt;1.1*R408),"Consented above capacity",IF(AND(LEFT(B408,8)="Planning",AW408=0),"Consent parcel with no permission",IF(COUNTIF($A$2:$A$3000,$A408)&gt;1,"Duplicate parcel_id","")))</f>
        <v/>
      </c>
    </row>
    <row r="409" customFormat="false" ht="15" hidden="false" customHeight="false" outlineLevel="0" collapsed="false">
      <c r="A409" s="15" t="s">
        <v>853</v>
      </c>
      <c r="B409" s="15" t="s">
        <v>13</v>
      </c>
      <c r="C409" s="15" t="s">
        <v>17</v>
      </c>
      <c r="D409" s="15" t="s">
        <v>71</v>
      </c>
      <c r="E409" s="15" t="s">
        <v>21</v>
      </c>
      <c r="F409" s="15" t="n">
        <v>0.92</v>
      </c>
      <c r="G409" s="15" t="s">
        <v>154</v>
      </c>
      <c r="H409" s="15"/>
      <c r="I409" s="15" t="s">
        <v>17</v>
      </c>
      <c r="J409" s="15" t="s">
        <v>559</v>
      </c>
      <c r="K409" s="15" t="s">
        <v>732</v>
      </c>
      <c r="L409" s="15"/>
      <c r="M409" s="15" t="s">
        <v>733</v>
      </c>
      <c r="N409" s="15"/>
      <c r="O409" s="15"/>
      <c r="P409" s="15" t="n">
        <v>0.551</v>
      </c>
      <c r="Q409" s="15" t="n">
        <v>0.605</v>
      </c>
      <c r="R409" s="15" t="n">
        <v>14</v>
      </c>
      <c r="S409" s="15" t="s">
        <v>734</v>
      </c>
      <c r="T409" s="15" t="s">
        <v>735</v>
      </c>
      <c r="U409" s="15" t="s">
        <v>736</v>
      </c>
      <c r="V409" s="15"/>
      <c r="W409" s="15" t="s">
        <v>746</v>
      </c>
      <c r="X409" s="15" t="n">
        <v>25</v>
      </c>
      <c r="Y409" s="15" t="s">
        <v>747</v>
      </c>
      <c r="Z409" s="15" t="n">
        <v>0</v>
      </c>
      <c r="AA409" s="15" t="n">
        <v>0</v>
      </c>
      <c r="AB409" s="15" t="n">
        <v>0</v>
      </c>
      <c r="AC409" s="15"/>
      <c r="AD409" s="15"/>
      <c r="AE409" s="15" t="s">
        <v>163</v>
      </c>
      <c r="AF409" s="15"/>
      <c r="AG409" s="24" t="n">
        <f aca="false">SUMIFS(Permissions!$G$2:$G$3000,Permissions!$B$2:$B$3000,$A409,Permissions!$I$2:$I$3000,"Complete",Permissions!$P$2:$P$3000,"Yes")</f>
        <v>0</v>
      </c>
      <c r="AH409" s="24" t="n">
        <f aca="false">SUMIFS(Permissions!$G$2:$G$3000,Permissions!$B$2:$B$3000,$A409,Permissions!$I$2:$I$3000,"Under construction",Permissions!$P$2:$P$3000,"Yes")</f>
        <v>0</v>
      </c>
      <c r="AI409" s="24" t="n">
        <f aca="false">SUMIFS(Permissions!$G$2:$G$3000,Permissions!$B$2:$B$3000,$A409,Permissions!$I$2:$I$3000,"Permitted – not started",Permissions!$P$2:$P$3000,"Yes")</f>
        <v>0</v>
      </c>
      <c r="AJ409" s="24" t="n">
        <f aca="false">SUMIFS(Permissions!$G$2:$G$3000,Permissions!$B$2:$B$3000,$A409,Permissions!$I$2:$I$3000,"Stalled",Permissions!$P$2:$P$3000,"Yes")</f>
        <v>0</v>
      </c>
      <c r="AK409" s="24" t="n">
        <f aca="false">AG409+AH409+AI409+AJ409</f>
        <v>0</v>
      </c>
      <c r="AL409" s="24" t="n">
        <f aca="false">SUMIFS(Permissions!$G$2:$G$3000,Permissions!$B$2:$B$3000,$A409,Permissions!$I$2:$I$3000,"Expired – not started",Permissions!$P$2:$P$3000,"Yes")</f>
        <v>0</v>
      </c>
      <c r="AM409" s="24" t="n">
        <f aca="false">SUMIFS(Permissions!$G$2:$G$3000,Permissions!$B$2:$B$3000,$A409,Permissions!$I$2:$I$3000,"In planning",Permissions!$P$2:$P$3000,"Yes")</f>
        <v>0</v>
      </c>
      <c r="AN409" s="24" t="n">
        <f aca="false">IF(R409="",0,MAX(R409-AK409,0))</f>
        <v>14</v>
      </c>
      <c r="AO409" s="25" t="n">
        <f aca="false">AK409+AN409</f>
        <v>14</v>
      </c>
      <c r="AP409" s="24" t="n">
        <f aca="false">AO409-AG409</f>
        <v>14</v>
      </c>
      <c r="AQ409" s="26" t="n">
        <f aca="false">SUMIFS(Permissions!$AH$2:$AH$3000,Permissions!$B$2:$B$3000,$A409,Permissions!$P$2:$P$3000,"Yes")</f>
        <v>0</v>
      </c>
      <c r="AR409" s="26" t="n">
        <f aca="false">SUMIFS(Permissions!$AI$2:$AI$3000,Permissions!$B$2:$B$3000,$A409,Permissions!$P$2:$P$3000,"Yes")</f>
        <v>0</v>
      </c>
      <c r="AS409" s="26" t="n">
        <f aca="false">SUMIFS(Permissions!$AJ$2:$AJ$3000,Permissions!$B$2:$B$3000,$A409,Permissions!$P$2:$P$3000,"Yes")</f>
        <v>0</v>
      </c>
      <c r="AT409" s="26" t="n">
        <f aca="false">SUMIFS(Permissions!$AK$2:$AK$3000,Permissions!$B$2:$B$3000,$A409,Permissions!$P$2:$P$3000,"Yes")</f>
        <v>0</v>
      </c>
      <c r="AU409" s="26" t="n">
        <f aca="false">SUMIFS(Permissions!$AL$2:$AL$3000,Permissions!$B$2:$B$3000,$A409,Permissions!$P$2:$P$3000,"Yes")</f>
        <v>0</v>
      </c>
      <c r="AV409" s="26" t="n">
        <f aca="false">SUMIFS(Permissions!$AM$2:$AM$3000,Permissions!$B$2:$B$3000,$A409,Permissions!$P$2:$P$3000,"Yes")</f>
        <v>0</v>
      </c>
      <c r="AW409" s="24" t="n">
        <f aca="false">COUNTIFS(Permissions!$B$2:$B$3000,$A409,Permissions!$P$2:$P$3000,"Yes")</f>
        <v>0</v>
      </c>
      <c r="AX409" s="24" t="n">
        <f aca="false">SUMIFS(Permissions!$L$2:$L$3000,Permissions!$B$2:$B$3000,$A409,Permissions!$P$2:$P$3000,"Yes")</f>
        <v>0</v>
      </c>
      <c r="AY409" s="27" t="str">
        <f aca="false">IF(AND(AK409&gt;0,AG409&gt;=AK409,AN409=0),"Built out",IF(AG409&gt;0,"Partly built",IF(AK409&gt;0,"Consented – not built","No consent")))</f>
        <v>No consent</v>
      </c>
      <c r="AZ409" s="28" t="str">
        <f aca="false">IF(AND(R409&lt;&gt;"",AK409&gt;1.1*R409),"Consented above capacity",IF(AND(LEFT(B409,8)="Planning",AW409=0),"Consent parcel with no permission",IF(COUNTIF($A$2:$A$3000,$A409)&gt;1,"Duplicate parcel_id","")))</f>
        <v/>
      </c>
    </row>
    <row r="410" customFormat="false" ht="15" hidden="false" customHeight="false" outlineLevel="0" collapsed="false">
      <c r="A410" s="15" t="s">
        <v>854</v>
      </c>
      <c r="B410" s="15" t="s">
        <v>13</v>
      </c>
      <c r="C410" s="15" t="s">
        <v>17</v>
      </c>
      <c r="D410" s="15" t="s">
        <v>64</v>
      </c>
      <c r="E410" s="15" t="s">
        <v>20</v>
      </c>
      <c r="F410" s="15" t="n">
        <v>1</v>
      </c>
      <c r="G410" s="15" t="s">
        <v>154</v>
      </c>
      <c r="H410" s="15"/>
      <c r="I410" s="15" t="s">
        <v>17</v>
      </c>
      <c r="J410" s="15" t="s">
        <v>568</v>
      </c>
      <c r="K410" s="15" t="s">
        <v>855</v>
      </c>
      <c r="L410" s="15"/>
      <c r="M410" s="15" t="s">
        <v>733</v>
      </c>
      <c r="N410" s="15"/>
      <c r="O410" s="15"/>
      <c r="P410" s="15" t="n">
        <v>1.732</v>
      </c>
      <c r="Q410" s="15" t="n">
        <v>1.904</v>
      </c>
      <c r="R410" s="15" t="n">
        <v>43</v>
      </c>
      <c r="S410" s="15" t="s">
        <v>734</v>
      </c>
      <c r="T410" s="15" t="s">
        <v>856</v>
      </c>
      <c r="U410" s="15" t="s">
        <v>736</v>
      </c>
      <c r="V410" s="15"/>
      <c r="W410" s="15" t="s">
        <v>746</v>
      </c>
      <c r="X410" s="15" t="n">
        <v>25</v>
      </c>
      <c r="Y410" s="15" t="s">
        <v>747</v>
      </c>
      <c r="Z410" s="15" t="n">
        <v>0</v>
      </c>
      <c r="AA410" s="15" t="n">
        <v>0</v>
      </c>
      <c r="AB410" s="15" t="n">
        <v>0</v>
      </c>
      <c r="AC410" s="15"/>
      <c r="AD410" s="15"/>
      <c r="AE410" s="15" t="s">
        <v>163</v>
      </c>
      <c r="AF410" s="15"/>
      <c r="AG410" s="24" t="n">
        <f aca="false">SUMIFS(Permissions!$G$2:$G$3000,Permissions!$B$2:$B$3000,$A410,Permissions!$I$2:$I$3000,"Complete",Permissions!$P$2:$P$3000,"Yes")</f>
        <v>0</v>
      </c>
      <c r="AH410" s="24" t="n">
        <f aca="false">SUMIFS(Permissions!$G$2:$G$3000,Permissions!$B$2:$B$3000,$A410,Permissions!$I$2:$I$3000,"Under construction",Permissions!$P$2:$P$3000,"Yes")</f>
        <v>0</v>
      </c>
      <c r="AI410" s="24" t="n">
        <f aca="false">SUMIFS(Permissions!$G$2:$G$3000,Permissions!$B$2:$B$3000,$A410,Permissions!$I$2:$I$3000,"Permitted – not started",Permissions!$P$2:$P$3000,"Yes")</f>
        <v>0</v>
      </c>
      <c r="AJ410" s="24" t="n">
        <f aca="false">SUMIFS(Permissions!$G$2:$G$3000,Permissions!$B$2:$B$3000,$A410,Permissions!$I$2:$I$3000,"Stalled",Permissions!$P$2:$P$3000,"Yes")</f>
        <v>0</v>
      </c>
      <c r="AK410" s="24" t="n">
        <f aca="false">AG410+AH410+AI410+AJ410</f>
        <v>0</v>
      </c>
      <c r="AL410" s="24" t="n">
        <f aca="false">SUMIFS(Permissions!$G$2:$G$3000,Permissions!$B$2:$B$3000,$A410,Permissions!$I$2:$I$3000,"Expired – not started",Permissions!$P$2:$P$3000,"Yes")</f>
        <v>0</v>
      </c>
      <c r="AM410" s="24" t="n">
        <f aca="false">SUMIFS(Permissions!$G$2:$G$3000,Permissions!$B$2:$B$3000,$A410,Permissions!$I$2:$I$3000,"In planning",Permissions!$P$2:$P$3000,"Yes")</f>
        <v>0</v>
      </c>
      <c r="AN410" s="24" t="n">
        <f aca="false">IF(R410="",0,MAX(R410-AK410,0))</f>
        <v>43</v>
      </c>
      <c r="AO410" s="25" t="n">
        <f aca="false">AK410+AN410</f>
        <v>43</v>
      </c>
      <c r="AP410" s="24" t="n">
        <f aca="false">AO410-AG410</f>
        <v>43</v>
      </c>
      <c r="AQ410" s="26" t="n">
        <f aca="false">SUMIFS(Permissions!$AH$2:$AH$3000,Permissions!$B$2:$B$3000,$A410,Permissions!$P$2:$P$3000,"Yes")</f>
        <v>0</v>
      </c>
      <c r="AR410" s="26" t="n">
        <f aca="false">SUMIFS(Permissions!$AI$2:$AI$3000,Permissions!$B$2:$B$3000,$A410,Permissions!$P$2:$P$3000,"Yes")</f>
        <v>0</v>
      </c>
      <c r="AS410" s="26" t="n">
        <f aca="false">SUMIFS(Permissions!$AJ$2:$AJ$3000,Permissions!$B$2:$B$3000,$A410,Permissions!$P$2:$P$3000,"Yes")</f>
        <v>0</v>
      </c>
      <c r="AT410" s="26" t="n">
        <f aca="false">SUMIFS(Permissions!$AK$2:$AK$3000,Permissions!$B$2:$B$3000,$A410,Permissions!$P$2:$P$3000,"Yes")</f>
        <v>0</v>
      </c>
      <c r="AU410" s="26" t="n">
        <f aca="false">SUMIFS(Permissions!$AL$2:$AL$3000,Permissions!$B$2:$B$3000,$A410,Permissions!$P$2:$P$3000,"Yes")</f>
        <v>0</v>
      </c>
      <c r="AV410" s="26" t="n">
        <f aca="false">SUMIFS(Permissions!$AM$2:$AM$3000,Permissions!$B$2:$B$3000,$A410,Permissions!$P$2:$P$3000,"Yes")</f>
        <v>0</v>
      </c>
      <c r="AW410" s="24" t="n">
        <f aca="false">COUNTIFS(Permissions!$B$2:$B$3000,$A410,Permissions!$P$2:$P$3000,"Yes")</f>
        <v>0</v>
      </c>
      <c r="AX410" s="24" t="n">
        <f aca="false">SUMIFS(Permissions!$L$2:$L$3000,Permissions!$B$2:$B$3000,$A410,Permissions!$P$2:$P$3000,"Yes")</f>
        <v>0</v>
      </c>
      <c r="AY410" s="27" t="str">
        <f aca="false">IF(AND(AK410&gt;0,AG410&gt;=AK410,AN410=0),"Built out",IF(AG410&gt;0,"Partly built",IF(AK410&gt;0,"Consented – not built","No consent")))</f>
        <v>No consent</v>
      </c>
      <c r="AZ410" s="28" t="str">
        <f aca="false">IF(AND(R410&lt;&gt;"",AK410&gt;1.1*R410),"Consented above capacity",IF(AND(LEFT(B410,8)="Planning",AW410=0),"Consent parcel with no permission",IF(COUNTIF($A$2:$A$3000,$A410)&gt;1,"Duplicate parcel_id","")))</f>
        <v/>
      </c>
    </row>
    <row r="411" customFormat="false" ht="15" hidden="false" customHeight="false" outlineLevel="0" collapsed="false">
      <c r="A411" s="15" t="s">
        <v>857</v>
      </c>
      <c r="B411" s="15" t="s">
        <v>13</v>
      </c>
      <c r="C411" s="15" t="s">
        <v>17</v>
      </c>
      <c r="D411" s="15" t="s">
        <v>64</v>
      </c>
      <c r="E411" s="15" t="s">
        <v>20</v>
      </c>
      <c r="F411" s="15" t="n">
        <v>0</v>
      </c>
      <c r="G411" s="15" t="s">
        <v>858</v>
      </c>
      <c r="H411" s="15"/>
      <c r="I411" s="15" t="s">
        <v>17</v>
      </c>
      <c r="J411" s="15" t="s">
        <v>568</v>
      </c>
      <c r="K411" s="15" t="s">
        <v>855</v>
      </c>
      <c r="L411" s="15"/>
      <c r="M411" s="15" t="s">
        <v>733</v>
      </c>
      <c r="N411" s="15"/>
      <c r="O411" s="15"/>
      <c r="P411" s="15" t="n">
        <v>2.909</v>
      </c>
      <c r="Q411" s="15" t="n">
        <v>3.197</v>
      </c>
      <c r="R411" s="15" t="n">
        <v>73</v>
      </c>
      <c r="S411" s="15" t="s">
        <v>734</v>
      </c>
      <c r="T411" s="15" t="s">
        <v>856</v>
      </c>
      <c r="U411" s="15" t="s">
        <v>736</v>
      </c>
      <c r="V411" s="15"/>
      <c r="W411" s="15" t="s">
        <v>746</v>
      </c>
      <c r="X411" s="15" t="n">
        <v>25</v>
      </c>
      <c r="Y411" s="15" t="s">
        <v>747</v>
      </c>
      <c r="Z411" s="15" t="n">
        <v>0</v>
      </c>
      <c r="AA411" s="15" t="n">
        <v>0</v>
      </c>
      <c r="AB411" s="15" t="n">
        <v>0</v>
      </c>
      <c r="AC411" s="15"/>
      <c r="AD411" s="15"/>
      <c r="AE411" s="15" t="s">
        <v>163</v>
      </c>
      <c r="AF411" s="15"/>
      <c r="AG411" s="24" t="n">
        <f aca="false">SUMIFS(Permissions!$G$2:$G$3000,Permissions!$B$2:$B$3000,$A411,Permissions!$I$2:$I$3000,"Complete",Permissions!$P$2:$P$3000,"Yes")</f>
        <v>0</v>
      </c>
      <c r="AH411" s="24" t="n">
        <f aca="false">SUMIFS(Permissions!$G$2:$G$3000,Permissions!$B$2:$B$3000,$A411,Permissions!$I$2:$I$3000,"Under construction",Permissions!$P$2:$P$3000,"Yes")</f>
        <v>0</v>
      </c>
      <c r="AI411" s="24" t="n">
        <f aca="false">SUMIFS(Permissions!$G$2:$G$3000,Permissions!$B$2:$B$3000,$A411,Permissions!$I$2:$I$3000,"Permitted – not started",Permissions!$P$2:$P$3000,"Yes")</f>
        <v>0</v>
      </c>
      <c r="AJ411" s="24" t="n">
        <f aca="false">SUMIFS(Permissions!$G$2:$G$3000,Permissions!$B$2:$B$3000,$A411,Permissions!$I$2:$I$3000,"Stalled",Permissions!$P$2:$P$3000,"Yes")</f>
        <v>0</v>
      </c>
      <c r="AK411" s="24" t="n">
        <f aca="false">AG411+AH411+AI411+AJ411</f>
        <v>0</v>
      </c>
      <c r="AL411" s="24" t="n">
        <f aca="false">SUMIFS(Permissions!$G$2:$G$3000,Permissions!$B$2:$B$3000,$A411,Permissions!$I$2:$I$3000,"Expired – not started",Permissions!$P$2:$P$3000,"Yes")</f>
        <v>0</v>
      </c>
      <c r="AM411" s="24" t="n">
        <f aca="false">SUMIFS(Permissions!$G$2:$G$3000,Permissions!$B$2:$B$3000,$A411,Permissions!$I$2:$I$3000,"In planning",Permissions!$P$2:$P$3000,"Yes")</f>
        <v>0</v>
      </c>
      <c r="AN411" s="24" t="n">
        <f aca="false">IF(R411="",0,MAX(R411-AK411,0))</f>
        <v>73</v>
      </c>
      <c r="AO411" s="25" t="n">
        <f aca="false">AK411+AN411</f>
        <v>73</v>
      </c>
      <c r="AP411" s="24" t="n">
        <f aca="false">AO411-AG411</f>
        <v>73</v>
      </c>
      <c r="AQ411" s="26" t="n">
        <f aca="false">SUMIFS(Permissions!$AH$2:$AH$3000,Permissions!$B$2:$B$3000,$A411,Permissions!$P$2:$P$3000,"Yes")</f>
        <v>0</v>
      </c>
      <c r="AR411" s="26" t="n">
        <f aca="false">SUMIFS(Permissions!$AI$2:$AI$3000,Permissions!$B$2:$B$3000,$A411,Permissions!$P$2:$P$3000,"Yes")</f>
        <v>0</v>
      </c>
      <c r="AS411" s="26" t="n">
        <f aca="false">SUMIFS(Permissions!$AJ$2:$AJ$3000,Permissions!$B$2:$B$3000,$A411,Permissions!$P$2:$P$3000,"Yes")</f>
        <v>0</v>
      </c>
      <c r="AT411" s="26" t="n">
        <f aca="false">SUMIFS(Permissions!$AK$2:$AK$3000,Permissions!$B$2:$B$3000,$A411,Permissions!$P$2:$P$3000,"Yes")</f>
        <v>0</v>
      </c>
      <c r="AU411" s="26" t="n">
        <f aca="false">SUMIFS(Permissions!$AL$2:$AL$3000,Permissions!$B$2:$B$3000,$A411,Permissions!$P$2:$P$3000,"Yes")</f>
        <v>0</v>
      </c>
      <c r="AV411" s="26" t="n">
        <f aca="false">SUMIFS(Permissions!$AM$2:$AM$3000,Permissions!$B$2:$B$3000,$A411,Permissions!$P$2:$P$3000,"Yes")</f>
        <v>0</v>
      </c>
      <c r="AW411" s="24" t="n">
        <f aca="false">COUNTIFS(Permissions!$B$2:$B$3000,$A411,Permissions!$P$2:$P$3000,"Yes")</f>
        <v>0</v>
      </c>
      <c r="AX411" s="24" t="n">
        <f aca="false">SUMIFS(Permissions!$L$2:$L$3000,Permissions!$B$2:$B$3000,$A411,Permissions!$P$2:$P$3000,"Yes")</f>
        <v>0</v>
      </c>
      <c r="AY411" s="27" t="str">
        <f aca="false">IF(AND(AK411&gt;0,AG411&gt;=AK411,AN411=0),"Built out",IF(AG411&gt;0,"Partly built",IF(AK411&gt;0,"Consented – not built","No consent")))</f>
        <v>No consent</v>
      </c>
      <c r="AZ411" s="28" t="str">
        <f aca="false">IF(AND(R411&lt;&gt;"",AK411&gt;1.1*R411),"Consented above capacity",IF(AND(LEFT(B411,8)="Planning",AW411=0),"Consent parcel with no permission",IF(COUNTIF($A$2:$A$3000,$A411)&gt;1,"Duplicate parcel_id","")))</f>
        <v/>
      </c>
    </row>
    <row r="412" customFormat="false" ht="15" hidden="false" customHeight="false" outlineLevel="0" collapsed="false">
      <c r="A412" s="15" t="s">
        <v>859</v>
      </c>
      <c r="B412" s="15" t="s">
        <v>13</v>
      </c>
      <c r="C412" s="15" t="s">
        <v>17</v>
      </c>
      <c r="D412" s="15" t="s">
        <v>64</v>
      </c>
      <c r="E412" s="15" t="s">
        <v>20</v>
      </c>
      <c r="F412" s="15" t="n">
        <v>1</v>
      </c>
      <c r="G412" s="15" t="s">
        <v>154</v>
      </c>
      <c r="H412" s="15"/>
      <c r="I412" s="15" t="s">
        <v>17</v>
      </c>
      <c r="J412" s="15" t="s">
        <v>568</v>
      </c>
      <c r="K412" s="15" t="s">
        <v>860</v>
      </c>
      <c r="L412" s="15"/>
      <c r="M412" s="15" t="s">
        <v>751</v>
      </c>
      <c r="N412" s="15"/>
      <c r="O412" s="15"/>
      <c r="P412" s="15" t="n">
        <v>1.317</v>
      </c>
      <c r="Q412" s="15" t="n">
        <v>1.447</v>
      </c>
      <c r="R412" s="15" t="n">
        <v>25</v>
      </c>
      <c r="S412" s="15" t="s">
        <v>734</v>
      </c>
      <c r="T412" s="15" t="s">
        <v>856</v>
      </c>
      <c r="U412" s="15" t="s">
        <v>752</v>
      </c>
      <c r="V412" s="15"/>
      <c r="W412" s="15" t="s">
        <v>753</v>
      </c>
      <c r="X412" s="15" t="n">
        <v>19</v>
      </c>
      <c r="Y412" s="15" t="s">
        <v>754</v>
      </c>
      <c r="Z412" s="15" t="n">
        <v>0</v>
      </c>
      <c r="AA412" s="15" t="n">
        <v>0</v>
      </c>
      <c r="AB412" s="15" t="n">
        <v>0</v>
      </c>
      <c r="AC412" s="15"/>
      <c r="AD412" s="15"/>
      <c r="AE412" s="15" t="s">
        <v>163</v>
      </c>
      <c r="AF412" s="15"/>
      <c r="AG412" s="24" t="n">
        <f aca="false">SUMIFS(Permissions!$G$2:$G$3000,Permissions!$B$2:$B$3000,$A412,Permissions!$I$2:$I$3000,"Complete",Permissions!$P$2:$P$3000,"Yes")</f>
        <v>0</v>
      </c>
      <c r="AH412" s="24" t="n">
        <f aca="false">SUMIFS(Permissions!$G$2:$G$3000,Permissions!$B$2:$B$3000,$A412,Permissions!$I$2:$I$3000,"Under construction",Permissions!$P$2:$P$3000,"Yes")</f>
        <v>0</v>
      </c>
      <c r="AI412" s="24" t="n">
        <f aca="false">SUMIFS(Permissions!$G$2:$G$3000,Permissions!$B$2:$B$3000,$A412,Permissions!$I$2:$I$3000,"Permitted – not started",Permissions!$P$2:$P$3000,"Yes")</f>
        <v>0</v>
      </c>
      <c r="AJ412" s="24" t="n">
        <f aca="false">SUMIFS(Permissions!$G$2:$G$3000,Permissions!$B$2:$B$3000,$A412,Permissions!$I$2:$I$3000,"Stalled",Permissions!$P$2:$P$3000,"Yes")</f>
        <v>0</v>
      </c>
      <c r="AK412" s="24" t="n">
        <f aca="false">AG412+AH412+AI412+AJ412</f>
        <v>0</v>
      </c>
      <c r="AL412" s="24" t="n">
        <f aca="false">SUMIFS(Permissions!$G$2:$G$3000,Permissions!$B$2:$B$3000,$A412,Permissions!$I$2:$I$3000,"Expired – not started",Permissions!$P$2:$P$3000,"Yes")</f>
        <v>0</v>
      </c>
      <c r="AM412" s="24" t="n">
        <f aca="false">SUMIFS(Permissions!$G$2:$G$3000,Permissions!$B$2:$B$3000,$A412,Permissions!$I$2:$I$3000,"In planning",Permissions!$P$2:$P$3000,"Yes")</f>
        <v>0</v>
      </c>
      <c r="AN412" s="24" t="n">
        <f aca="false">IF(R412="",0,MAX(R412-AK412,0))</f>
        <v>25</v>
      </c>
      <c r="AO412" s="25" t="n">
        <f aca="false">AK412+AN412</f>
        <v>25</v>
      </c>
      <c r="AP412" s="24" t="n">
        <f aca="false">AO412-AG412</f>
        <v>25</v>
      </c>
      <c r="AQ412" s="26" t="n">
        <f aca="false">SUMIFS(Permissions!$AH$2:$AH$3000,Permissions!$B$2:$B$3000,$A412,Permissions!$P$2:$P$3000,"Yes")</f>
        <v>0</v>
      </c>
      <c r="AR412" s="26" t="n">
        <f aca="false">SUMIFS(Permissions!$AI$2:$AI$3000,Permissions!$B$2:$B$3000,$A412,Permissions!$P$2:$P$3000,"Yes")</f>
        <v>0</v>
      </c>
      <c r="AS412" s="26" t="n">
        <f aca="false">SUMIFS(Permissions!$AJ$2:$AJ$3000,Permissions!$B$2:$B$3000,$A412,Permissions!$P$2:$P$3000,"Yes")</f>
        <v>0</v>
      </c>
      <c r="AT412" s="26" t="n">
        <f aca="false">SUMIFS(Permissions!$AK$2:$AK$3000,Permissions!$B$2:$B$3000,$A412,Permissions!$P$2:$P$3000,"Yes")</f>
        <v>0</v>
      </c>
      <c r="AU412" s="26" t="n">
        <f aca="false">SUMIFS(Permissions!$AL$2:$AL$3000,Permissions!$B$2:$B$3000,$A412,Permissions!$P$2:$P$3000,"Yes")</f>
        <v>0</v>
      </c>
      <c r="AV412" s="26" t="n">
        <f aca="false">SUMIFS(Permissions!$AM$2:$AM$3000,Permissions!$B$2:$B$3000,$A412,Permissions!$P$2:$P$3000,"Yes")</f>
        <v>0</v>
      </c>
      <c r="AW412" s="24" t="n">
        <f aca="false">COUNTIFS(Permissions!$B$2:$B$3000,$A412,Permissions!$P$2:$P$3000,"Yes")</f>
        <v>0</v>
      </c>
      <c r="AX412" s="24" t="n">
        <f aca="false">SUMIFS(Permissions!$L$2:$L$3000,Permissions!$B$2:$B$3000,$A412,Permissions!$P$2:$P$3000,"Yes")</f>
        <v>0</v>
      </c>
      <c r="AY412" s="27" t="str">
        <f aca="false">IF(AND(AK412&gt;0,AG412&gt;=AK412,AN412=0),"Built out",IF(AG412&gt;0,"Partly built",IF(AK412&gt;0,"Consented – not built","No consent")))</f>
        <v>No consent</v>
      </c>
      <c r="AZ412" s="28" t="str">
        <f aca="false">IF(AND(R412&lt;&gt;"",AK412&gt;1.1*R412),"Consented above capacity",IF(AND(LEFT(B412,8)="Planning",AW412=0),"Consent parcel with no permission",IF(COUNTIF($A$2:$A$3000,$A412)&gt;1,"Duplicate parcel_id","")))</f>
        <v/>
      </c>
    </row>
    <row r="413" customFormat="false" ht="15" hidden="false" customHeight="false" outlineLevel="0" collapsed="false">
      <c r="A413" s="15" t="s">
        <v>861</v>
      </c>
      <c r="B413" s="15" t="s">
        <v>13</v>
      </c>
      <c r="C413" s="15" t="s">
        <v>17</v>
      </c>
      <c r="D413" s="15" t="s">
        <v>64</v>
      </c>
      <c r="E413" s="15" t="s">
        <v>20</v>
      </c>
      <c r="F413" s="15" t="n">
        <v>1</v>
      </c>
      <c r="G413" s="15" t="s">
        <v>154</v>
      </c>
      <c r="H413" s="15"/>
      <c r="I413" s="15" t="s">
        <v>17</v>
      </c>
      <c r="J413" s="15" t="s">
        <v>568</v>
      </c>
      <c r="K413" s="15" t="s">
        <v>855</v>
      </c>
      <c r="L413" s="15"/>
      <c r="M413" s="15" t="s">
        <v>733</v>
      </c>
      <c r="N413" s="15"/>
      <c r="O413" s="15"/>
      <c r="P413" s="15" t="n">
        <v>1.023</v>
      </c>
      <c r="Q413" s="15" t="n">
        <v>1.125</v>
      </c>
      <c r="R413" s="15" t="n">
        <v>26</v>
      </c>
      <c r="S413" s="15" t="s">
        <v>734</v>
      </c>
      <c r="T413" s="15" t="s">
        <v>856</v>
      </c>
      <c r="U413" s="15" t="s">
        <v>736</v>
      </c>
      <c r="V413" s="15"/>
      <c r="W413" s="15" t="s">
        <v>746</v>
      </c>
      <c r="X413" s="15" t="n">
        <v>25</v>
      </c>
      <c r="Y413" s="15" t="s">
        <v>747</v>
      </c>
      <c r="Z413" s="15" t="n">
        <v>0</v>
      </c>
      <c r="AA413" s="15" t="n">
        <v>0</v>
      </c>
      <c r="AB413" s="15" t="n">
        <v>0</v>
      </c>
      <c r="AC413" s="15"/>
      <c r="AD413" s="15"/>
      <c r="AE413" s="15" t="s">
        <v>163</v>
      </c>
      <c r="AF413" s="15"/>
      <c r="AG413" s="24" t="n">
        <f aca="false">SUMIFS(Permissions!$G$2:$G$3000,Permissions!$B$2:$B$3000,$A413,Permissions!$I$2:$I$3000,"Complete",Permissions!$P$2:$P$3000,"Yes")</f>
        <v>0</v>
      </c>
      <c r="AH413" s="24" t="n">
        <f aca="false">SUMIFS(Permissions!$G$2:$G$3000,Permissions!$B$2:$B$3000,$A413,Permissions!$I$2:$I$3000,"Under construction",Permissions!$P$2:$P$3000,"Yes")</f>
        <v>0</v>
      </c>
      <c r="AI413" s="24" t="n">
        <f aca="false">SUMIFS(Permissions!$G$2:$G$3000,Permissions!$B$2:$B$3000,$A413,Permissions!$I$2:$I$3000,"Permitted – not started",Permissions!$P$2:$P$3000,"Yes")</f>
        <v>0</v>
      </c>
      <c r="AJ413" s="24" t="n">
        <f aca="false">SUMIFS(Permissions!$G$2:$G$3000,Permissions!$B$2:$B$3000,$A413,Permissions!$I$2:$I$3000,"Stalled",Permissions!$P$2:$P$3000,"Yes")</f>
        <v>0</v>
      </c>
      <c r="AK413" s="24" t="n">
        <f aca="false">AG413+AH413+AI413+AJ413</f>
        <v>0</v>
      </c>
      <c r="AL413" s="24" t="n">
        <f aca="false">SUMIFS(Permissions!$G$2:$G$3000,Permissions!$B$2:$B$3000,$A413,Permissions!$I$2:$I$3000,"Expired – not started",Permissions!$P$2:$P$3000,"Yes")</f>
        <v>0</v>
      </c>
      <c r="AM413" s="24" t="n">
        <f aca="false">SUMIFS(Permissions!$G$2:$G$3000,Permissions!$B$2:$B$3000,$A413,Permissions!$I$2:$I$3000,"In planning",Permissions!$P$2:$P$3000,"Yes")</f>
        <v>0</v>
      </c>
      <c r="AN413" s="24" t="n">
        <f aca="false">IF(R413="",0,MAX(R413-AK413,0))</f>
        <v>26</v>
      </c>
      <c r="AO413" s="25" t="n">
        <f aca="false">AK413+AN413</f>
        <v>26</v>
      </c>
      <c r="AP413" s="24" t="n">
        <f aca="false">AO413-AG413</f>
        <v>26</v>
      </c>
      <c r="AQ413" s="26" t="n">
        <f aca="false">SUMIFS(Permissions!$AH$2:$AH$3000,Permissions!$B$2:$B$3000,$A413,Permissions!$P$2:$P$3000,"Yes")</f>
        <v>0</v>
      </c>
      <c r="AR413" s="26" t="n">
        <f aca="false">SUMIFS(Permissions!$AI$2:$AI$3000,Permissions!$B$2:$B$3000,$A413,Permissions!$P$2:$P$3000,"Yes")</f>
        <v>0</v>
      </c>
      <c r="AS413" s="26" t="n">
        <f aca="false">SUMIFS(Permissions!$AJ$2:$AJ$3000,Permissions!$B$2:$B$3000,$A413,Permissions!$P$2:$P$3000,"Yes")</f>
        <v>0</v>
      </c>
      <c r="AT413" s="26" t="n">
        <f aca="false">SUMIFS(Permissions!$AK$2:$AK$3000,Permissions!$B$2:$B$3000,$A413,Permissions!$P$2:$P$3000,"Yes")</f>
        <v>0</v>
      </c>
      <c r="AU413" s="26" t="n">
        <f aca="false">SUMIFS(Permissions!$AL$2:$AL$3000,Permissions!$B$2:$B$3000,$A413,Permissions!$P$2:$P$3000,"Yes")</f>
        <v>0</v>
      </c>
      <c r="AV413" s="26" t="n">
        <f aca="false">SUMIFS(Permissions!$AM$2:$AM$3000,Permissions!$B$2:$B$3000,$A413,Permissions!$P$2:$P$3000,"Yes")</f>
        <v>0</v>
      </c>
      <c r="AW413" s="24" t="n">
        <f aca="false">COUNTIFS(Permissions!$B$2:$B$3000,$A413,Permissions!$P$2:$P$3000,"Yes")</f>
        <v>0</v>
      </c>
      <c r="AX413" s="24" t="n">
        <f aca="false">SUMIFS(Permissions!$L$2:$L$3000,Permissions!$B$2:$B$3000,$A413,Permissions!$P$2:$P$3000,"Yes")</f>
        <v>0</v>
      </c>
      <c r="AY413" s="27" t="str">
        <f aca="false">IF(AND(AK413&gt;0,AG413&gt;=AK413,AN413=0),"Built out",IF(AG413&gt;0,"Partly built",IF(AK413&gt;0,"Consented – not built","No consent")))</f>
        <v>No consent</v>
      </c>
      <c r="AZ413" s="28" t="str">
        <f aca="false">IF(AND(R413&lt;&gt;"",AK413&gt;1.1*R413),"Consented above capacity",IF(AND(LEFT(B413,8)="Planning",AW413=0),"Consent parcel with no permission",IF(COUNTIF($A$2:$A$3000,$A413)&gt;1,"Duplicate parcel_id","")))</f>
        <v/>
      </c>
    </row>
    <row r="414" customFormat="false" ht="15" hidden="false" customHeight="false" outlineLevel="0" collapsed="false">
      <c r="A414" s="15" t="s">
        <v>862</v>
      </c>
      <c r="B414" s="15" t="s">
        <v>13</v>
      </c>
      <c r="C414" s="15" t="s">
        <v>17</v>
      </c>
      <c r="D414" s="15" t="s">
        <v>64</v>
      </c>
      <c r="E414" s="15" t="s">
        <v>20</v>
      </c>
      <c r="F414" s="15" t="n">
        <v>1</v>
      </c>
      <c r="G414" s="15" t="s">
        <v>154</v>
      </c>
      <c r="H414" s="15"/>
      <c r="I414" s="15" t="s">
        <v>17</v>
      </c>
      <c r="J414" s="15" t="s">
        <v>568</v>
      </c>
      <c r="K414" s="15" t="s">
        <v>860</v>
      </c>
      <c r="L414" s="15"/>
      <c r="M414" s="15" t="s">
        <v>751</v>
      </c>
      <c r="N414" s="15"/>
      <c r="O414" s="15"/>
      <c r="P414" s="15" t="n">
        <v>1.7</v>
      </c>
      <c r="Q414" s="15" t="n">
        <v>1.868</v>
      </c>
      <c r="R414" s="15" t="n">
        <v>32</v>
      </c>
      <c r="S414" s="15" t="s">
        <v>734</v>
      </c>
      <c r="T414" s="15" t="s">
        <v>856</v>
      </c>
      <c r="U414" s="15" t="s">
        <v>752</v>
      </c>
      <c r="V414" s="15"/>
      <c r="W414" s="15" t="s">
        <v>753</v>
      </c>
      <c r="X414" s="15" t="n">
        <v>19</v>
      </c>
      <c r="Y414" s="15" t="s">
        <v>754</v>
      </c>
      <c r="Z414" s="15" t="n">
        <v>0</v>
      </c>
      <c r="AA414" s="15" t="n">
        <v>0</v>
      </c>
      <c r="AB414" s="15" t="n">
        <v>0</v>
      </c>
      <c r="AC414" s="15"/>
      <c r="AD414" s="15"/>
      <c r="AE414" s="15" t="s">
        <v>163</v>
      </c>
      <c r="AF414" s="15"/>
      <c r="AG414" s="24" t="n">
        <f aca="false">SUMIFS(Permissions!$G$2:$G$3000,Permissions!$B$2:$B$3000,$A414,Permissions!$I$2:$I$3000,"Complete",Permissions!$P$2:$P$3000,"Yes")</f>
        <v>0</v>
      </c>
      <c r="AH414" s="24" t="n">
        <f aca="false">SUMIFS(Permissions!$G$2:$G$3000,Permissions!$B$2:$B$3000,$A414,Permissions!$I$2:$I$3000,"Under construction",Permissions!$P$2:$P$3000,"Yes")</f>
        <v>0</v>
      </c>
      <c r="AI414" s="24" t="n">
        <f aca="false">SUMIFS(Permissions!$G$2:$G$3000,Permissions!$B$2:$B$3000,$A414,Permissions!$I$2:$I$3000,"Permitted – not started",Permissions!$P$2:$P$3000,"Yes")</f>
        <v>0</v>
      </c>
      <c r="AJ414" s="24" t="n">
        <f aca="false">SUMIFS(Permissions!$G$2:$G$3000,Permissions!$B$2:$B$3000,$A414,Permissions!$I$2:$I$3000,"Stalled",Permissions!$P$2:$P$3000,"Yes")</f>
        <v>0</v>
      </c>
      <c r="AK414" s="24" t="n">
        <f aca="false">AG414+AH414+AI414+AJ414</f>
        <v>0</v>
      </c>
      <c r="AL414" s="24" t="n">
        <f aca="false">SUMIFS(Permissions!$G$2:$G$3000,Permissions!$B$2:$B$3000,$A414,Permissions!$I$2:$I$3000,"Expired – not started",Permissions!$P$2:$P$3000,"Yes")</f>
        <v>0</v>
      </c>
      <c r="AM414" s="24" t="n">
        <f aca="false">SUMIFS(Permissions!$G$2:$G$3000,Permissions!$B$2:$B$3000,$A414,Permissions!$I$2:$I$3000,"In planning",Permissions!$P$2:$P$3000,"Yes")</f>
        <v>0</v>
      </c>
      <c r="AN414" s="24" t="n">
        <f aca="false">IF(R414="",0,MAX(R414-AK414,0))</f>
        <v>32</v>
      </c>
      <c r="AO414" s="25" t="n">
        <f aca="false">AK414+AN414</f>
        <v>32</v>
      </c>
      <c r="AP414" s="24" t="n">
        <f aca="false">AO414-AG414</f>
        <v>32</v>
      </c>
      <c r="AQ414" s="26" t="n">
        <f aca="false">SUMIFS(Permissions!$AH$2:$AH$3000,Permissions!$B$2:$B$3000,$A414,Permissions!$P$2:$P$3000,"Yes")</f>
        <v>0</v>
      </c>
      <c r="AR414" s="26" t="n">
        <f aca="false">SUMIFS(Permissions!$AI$2:$AI$3000,Permissions!$B$2:$B$3000,$A414,Permissions!$P$2:$P$3000,"Yes")</f>
        <v>0</v>
      </c>
      <c r="AS414" s="26" t="n">
        <f aca="false">SUMIFS(Permissions!$AJ$2:$AJ$3000,Permissions!$B$2:$B$3000,$A414,Permissions!$P$2:$P$3000,"Yes")</f>
        <v>0</v>
      </c>
      <c r="AT414" s="26" t="n">
        <f aca="false">SUMIFS(Permissions!$AK$2:$AK$3000,Permissions!$B$2:$B$3000,$A414,Permissions!$P$2:$P$3000,"Yes")</f>
        <v>0</v>
      </c>
      <c r="AU414" s="26" t="n">
        <f aca="false">SUMIFS(Permissions!$AL$2:$AL$3000,Permissions!$B$2:$B$3000,$A414,Permissions!$P$2:$P$3000,"Yes")</f>
        <v>0</v>
      </c>
      <c r="AV414" s="26" t="n">
        <f aca="false">SUMIFS(Permissions!$AM$2:$AM$3000,Permissions!$B$2:$B$3000,$A414,Permissions!$P$2:$P$3000,"Yes")</f>
        <v>0</v>
      </c>
      <c r="AW414" s="24" t="n">
        <f aca="false">COUNTIFS(Permissions!$B$2:$B$3000,$A414,Permissions!$P$2:$P$3000,"Yes")</f>
        <v>0</v>
      </c>
      <c r="AX414" s="24" t="n">
        <f aca="false">SUMIFS(Permissions!$L$2:$L$3000,Permissions!$B$2:$B$3000,$A414,Permissions!$P$2:$P$3000,"Yes")</f>
        <v>0</v>
      </c>
      <c r="AY414" s="27" t="str">
        <f aca="false">IF(AND(AK414&gt;0,AG414&gt;=AK414,AN414=0),"Built out",IF(AG414&gt;0,"Partly built",IF(AK414&gt;0,"Consented – not built","No consent")))</f>
        <v>No consent</v>
      </c>
      <c r="AZ414" s="28" t="str">
        <f aca="false">IF(AND(R414&lt;&gt;"",AK414&gt;1.1*R414),"Consented above capacity",IF(AND(LEFT(B414,8)="Planning",AW414=0),"Consent parcel with no permission",IF(COUNTIF($A$2:$A$3000,$A414)&gt;1,"Duplicate parcel_id","")))</f>
        <v/>
      </c>
    </row>
    <row r="415" customFormat="false" ht="15" hidden="false" customHeight="false" outlineLevel="0" collapsed="false">
      <c r="A415" s="15" t="s">
        <v>863</v>
      </c>
      <c r="B415" s="15" t="s">
        <v>13</v>
      </c>
      <c r="C415" s="15" t="s">
        <v>17</v>
      </c>
      <c r="D415" s="15" t="s">
        <v>64</v>
      </c>
      <c r="E415" s="15" t="s">
        <v>20</v>
      </c>
      <c r="F415" s="15" t="n">
        <v>1</v>
      </c>
      <c r="G415" s="15" t="s">
        <v>154</v>
      </c>
      <c r="H415" s="15"/>
      <c r="I415" s="15" t="s">
        <v>17</v>
      </c>
      <c r="J415" s="15" t="s">
        <v>568</v>
      </c>
      <c r="K415" s="15" t="s">
        <v>855</v>
      </c>
      <c r="L415" s="15"/>
      <c r="M415" s="15" t="s">
        <v>733</v>
      </c>
      <c r="N415" s="15"/>
      <c r="O415" s="15"/>
      <c r="P415" s="15" t="n">
        <v>1.134</v>
      </c>
      <c r="Q415" s="15" t="n">
        <v>1.246</v>
      </c>
      <c r="R415" s="15" t="n">
        <v>28</v>
      </c>
      <c r="S415" s="15" t="s">
        <v>734</v>
      </c>
      <c r="T415" s="15" t="s">
        <v>856</v>
      </c>
      <c r="U415" s="15" t="s">
        <v>736</v>
      </c>
      <c r="V415" s="15"/>
      <c r="W415" s="15" t="s">
        <v>746</v>
      </c>
      <c r="X415" s="15" t="n">
        <v>25</v>
      </c>
      <c r="Y415" s="15" t="s">
        <v>747</v>
      </c>
      <c r="Z415" s="15" t="n">
        <v>0</v>
      </c>
      <c r="AA415" s="15" t="n">
        <v>0</v>
      </c>
      <c r="AB415" s="15" t="n">
        <v>0</v>
      </c>
      <c r="AC415" s="15"/>
      <c r="AD415" s="15"/>
      <c r="AE415" s="15" t="s">
        <v>163</v>
      </c>
      <c r="AF415" s="15"/>
      <c r="AG415" s="24" t="n">
        <f aca="false">SUMIFS(Permissions!$G$2:$G$3000,Permissions!$B$2:$B$3000,$A415,Permissions!$I$2:$I$3000,"Complete",Permissions!$P$2:$P$3000,"Yes")</f>
        <v>0</v>
      </c>
      <c r="AH415" s="24" t="n">
        <f aca="false">SUMIFS(Permissions!$G$2:$G$3000,Permissions!$B$2:$B$3000,$A415,Permissions!$I$2:$I$3000,"Under construction",Permissions!$P$2:$P$3000,"Yes")</f>
        <v>0</v>
      </c>
      <c r="AI415" s="24" t="n">
        <f aca="false">SUMIFS(Permissions!$G$2:$G$3000,Permissions!$B$2:$B$3000,$A415,Permissions!$I$2:$I$3000,"Permitted – not started",Permissions!$P$2:$P$3000,"Yes")</f>
        <v>0</v>
      </c>
      <c r="AJ415" s="24" t="n">
        <f aca="false">SUMIFS(Permissions!$G$2:$G$3000,Permissions!$B$2:$B$3000,$A415,Permissions!$I$2:$I$3000,"Stalled",Permissions!$P$2:$P$3000,"Yes")</f>
        <v>0</v>
      </c>
      <c r="AK415" s="24" t="n">
        <f aca="false">AG415+AH415+AI415+AJ415</f>
        <v>0</v>
      </c>
      <c r="AL415" s="24" t="n">
        <f aca="false">SUMIFS(Permissions!$G$2:$G$3000,Permissions!$B$2:$B$3000,$A415,Permissions!$I$2:$I$3000,"Expired – not started",Permissions!$P$2:$P$3000,"Yes")</f>
        <v>0</v>
      </c>
      <c r="AM415" s="24" t="n">
        <f aca="false">SUMIFS(Permissions!$G$2:$G$3000,Permissions!$B$2:$B$3000,$A415,Permissions!$I$2:$I$3000,"In planning",Permissions!$P$2:$P$3000,"Yes")</f>
        <v>0</v>
      </c>
      <c r="AN415" s="24" t="n">
        <f aca="false">IF(R415="",0,MAX(R415-AK415,0))</f>
        <v>28</v>
      </c>
      <c r="AO415" s="25" t="n">
        <f aca="false">AK415+AN415</f>
        <v>28</v>
      </c>
      <c r="AP415" s="24" t="n">
        <f aca="false">AO415-AG415</f>
        <v>28</v>
      </c>
      <c r="AQ415" s="26" t="n">
        <f aca="false">SUMIFS(Permissions!$AH$2:$AH$3000,Permissions!$B$2:$B$3000,$A415,Permissions!$P$2:$P$3000,"Yes")</f>
        <v>0</v>
      </c>
      <c r="AR415" s="26" t="n">
        <f aca="false">SUMIFS(Permissions!$AI$2:$AI$3000,Permissions!$B$2:$B$3000,$A415,Permissions!$P$2:$P$3000,"Yes")</f>
        <v>0</v>
      </c>
      <c r="AS415" s="26" t="n">
        <f aca="false">SUMIFS(Permissions!$AJ$2:$AJ$3000,Permissions!$B$2:$B$3000,$A415,Permissions!$P$2:$P$3000,"Yes")</f>
        <v>0</v>
      </c>
      <c r="AT415" s="26" t="n">
        <f aca="false">SUMIFS(Permissions!$AK$2:$AK$3000,Permissions!$B$2:$B$3000,$A415,Permissions!$P$2:$P$3000,"Yes")</f>
        <v>0</v>
      </c>
      <c r="AU415" s="26" t="n">
        <f aca="false">SUMIFS(Permissions!$AL$2:$AL$3000,Permissions!$B$2:$B$3000,$A415,Permissions!$P$2:$P$3000,"Yes")</f>
        <v>0</v>
      </c>
      <c r="AV415" s="26" t="n">
        <f aca="false">SUMIFS(Permissions!$AM$2:$AM$3000,Permissions!$B$2:$B$3000,$A415,Permissions!$P$2:$P$3000,"Yes")</f>
        <v>0</v>
      </c>
      <c r="AW415" s="24" t="n">
        <f aca="false">COUNTIFS(Permissions!$B$2:$B$3000,$A415,Permissions!$P$2:$P$3000,"Yes")</f>
        <v>0</v>
      </c>
      <c r="AX415" s="24" t="n">
        <f aca="false">SUMIFS(Permissions!$L$2:$L$3000,Permissions!$B$2:$B$3000,$A415,Permissions!$P$2:$P$3000,"Yes")</f>
        <v>0</v>
      </c>
      <c r="AY415" s="27" t="str">
        <f aca="false">IF(AND(AK415&gt;0,AG415&gt;=AK415,AN415=0),"Built out",IF(AG415&gt;0,"Partly built",IF(AK415&gt;0,"Consented – not built","No consent")))</f>
        <v>No consent</v>
      </c>
      <c r="AZ415" s="28" t="str">
        <f aca="false">IF(AND(R415&lt;&gt;"",AK415&gt;1.1*R415),"Consented above capacity",IF(AND(LEFT(B415,8)="Planning",AW415=0),"Consent parcel with no permission",IF(COUNTIF($A$2:$A$3000,$A415)&gt;1,"Duplicate parcel_id","")))</f>
        <v/>
      </c>
    </row>
    <row r="416" customFormat="false" ht="15" hidden="false" customHeight="false" outlineLevel="0" collapsed="false">
      <c r="A416" s="15" t="s">
        <v>864</v>
      </c>
      <c r="B416" s="15" t="s">
        <v>13</v>
      </c>
      <c r="C416" s="15" t="s">
        <v>17</v>
      </c>
      <c r="D416" s="15" t="s">
        <v>64</v>
      </c>
      <c r="E416" s="15" t="s">
        <v>20</v>
      </c>
      <c r="F416" s="15" t="n">
        <v>0.98</v>
      </c>
      <c r="G416" s="15" t="s">
        <v>154</v>
      </c>
      <c r="H416" s="15"/>
      <c r="I416" s="15" t="s">
        <v>17</v>
      </c>
      <c r="J416" s="15" t="s">
        <v>568</v>
      </c>
      <c r="K416" s="15" t="s">
        <v>855</v>
      </c>
      <c r="L416" s="15"/>
      <c r="M416" s="15" t="s">
        <v>733</v>
      </c>
      <c r="N416" s="15"/>
      <c r="O416" s="15"/>
      <c r="P416" s="15" t="n">
        <v>1.501</v>
      </c>
      <c r="Q416" s="15" t="n">
        <v>1.649</v>
      </c>
      <c r="R416" s="15" t="n">
        <v>38</v>
      </c>
      <c r="S416" s="15" t="s">
        <v>734</v>
      </c>
      <c r="T416" s="15" t="s">
        <v>856</v>
      </c>
      <c r="U416" s="15" t="s">
        <v>736</v>
      </c>
      <c r="V416" s="15"/>
      <c r="W416" s="15" t="s">
        <v>746</v>
      </c>
      <c r="X416" s="15" t="n">
        <v>25</v>
      </c>
      <c r="Y416" s="15" t="s">
        <v>747</v>
      </c>
      <c r="Z416" s="15" t="n">
        <v>0</v>
      </c>
      <c r="AA416" s="15" t="n">
        <v>0</v>
      </c>
      <c r="AB416" s="15" t="n">
        <v>0</v>
      </c>
      <c r="AC416" s="15"/>
      <c r="AD416" s="15"/>
      <c r="AE416" s="15" t="s">
        <v>163</v>
      </c>
      <c r="AF416" s="15"/>
      <c r="AG416" s="24" t="n">
        <f aca="false">SUMIFS(Permissions!$G$2:$G$3000,Permissions!$B$2:$B$3000,$A416,Permissions!$I$2:$I$3000,"Complete",Permissions!$P$2:$P$3000,"Yes")</f>
        <v>0</v>
      </c>
      <c r="AH416" s="24" t="n">
        <f aca="false">SUMIFS(Permissions!$G$2:$G$3000,Permissions!$B$2:$B$3000,$A416,Permissions!$I$2:$I$3000,"Under construction",Permissions!$P$2:$P$3000,"Yes")</f>
        <v>0</v>
      </c>
      <c r="AI416" s="24" t="n">
        <f aca="false">SUMIFS(Permissions!$G$2:$G$3000,Permissions!$B$2:$B$3000,$A416,Permissions!$I$2:$I$3000,"Permitted – not started",Permissions!$P$2:$P$3000,"Yes")</f>
        <v>0</v>
      </c>
      <c r="AJ416" s="24" t="n">
        <f aca="false">SUMIFS(Permissions!$G$2:$G$3000,Permissions!$B$2:$B$3000,$A416,Permissions!$I$2:$I$3000,"Stalled",Permissions!$P$2:$P$3000,"Yes")</f>
        <v>0</v>
      </c>
      <c r="AK416" s="24" t="n">
        <f aca="false">AG416+AH416+AI416+AJ416</f>
        <v>0</v>
      </c>
      <c r="AL416" s="24" t="n">
        <f aca="false">SUMIFS(Permissions!$G$2:$G$3000,Permissions!$B$2:$B$3000,$A416,Permissions!$I$2:$I$3000,"Expired – not started",Permissions!$P$2:$P$3000,"Yes")</f>
        <v>0</v>
      </c>
      <c r="AM416" s="24" t="n">
        <f aca="false">SUMIFS(Permissions!$G$2:$G$3000,Permissions!$B$2:$B$3000,$A416,Permissions!$I$2:$I$3000,"In planning",Permissions!$P$2:$P$3000,"Yes")</f>
        <v>0</v>
      </c>
      <c r="AN416" s="24" t="n">
        <f aca="false">IF(R416="",0,MAX(R416-AK416,0))</f>
        <v>38</v>
      </c>
      <c r="AO416" s="25" t="n">
        <f aca="false">AK416+AN416</f>
        <v>38</v>
      </c>
      <c r="AP416" s="24" t="n">
        <f aca="false">AO416-AG416</f>
        <v>38</v>
      </c>
      <c r="AQ416" s="26" t="n">
        <f aca="false">SUMIFS(Permissions!$AH$2:$AH$3000,Permissions!$B$2:$B$3000,$A416,Permissions!$P$2:$P$3000,"Yes")</f>
        <v>0</v>
      </c>
      <c r="AR416" s="26" t="n">
        <f aca="false">SUMIFS(Permissions!$AI$2:$AI$3000,Permissions!$B$2:$B$3000,$A416,Permissions!$P$2:$P$3000,"Yes")</f>
        <v>0</v>
      </c>
      <c r="AS416" s="26" t="n">
        <f aca="false">SUMIFS(Permissions!$AJ$2:$AJ$3000,Permissions!$B$2:$B$3000,$A416,Permissions!$P$2:$P$3000,"Yes")</f>
        <v>0</v>
      </c>
      <c r="AT416" s="26" t="n">
        <f aca="false">SUMIFS(Permissions!$AK$2:$AK$3000,Permissions!$B$2:$B$3000,$A416,Permissions!$P$2:$P$3000,"Yes")</f>
        <v>0</v>
      </c>
      <c r="AU416" s="26" t="n">
        <f aca="false">SUMIFS(Permissions!$AL$2:$AL$3000,Permissions!$B$2:$B$3000,$A416,Permissions!$P$2:$P$3000,"Yes")</f>
        <v>0</v>
      </c>
      <c r="AV416" s="26" t="n">
        <f aca="false">SUMIFS(Permissions!$AM$2:$AM$3000,Permissions!$B$2:$B$3000,$A416,Permissions!$P$2:$P$3000,"Yes")</f>
        <v>0</v>
      </c>
      <c r="AW416" s="24" t="n">
        <f aca="false">COUNTIFS(Permissions!$B$2:$B$3000,$A416,Permissions!$P$2:$P$3000,"Yes")</f>
        <v>0</v>
      </c>
      <c r="AX416" s="24" t="n">
        <f aca="false">SUMIFS(Permissions!$L$2:$L$3000,Permissions!$B$2:$B$3000,$A416,Permissions!$P$2:$P$3000,"Yes")</f>
        <v>0</v>
      </c>
      <c r="AY416" s="27" t="str">
        <f aca="false">IF(AND(AK416&gt;0,AG416&gt;=AK416,AN416=0),"Built out",IF(AG416&gt;0,"Partly built",IF(AK416&gt;0,"Consented – not built","No consent")))</f>
        <v>No consent</v>
      </c>
      <c r="AZ416" s="28" t="str">
        <f aca="false">IF(AND(R416&lt;&gt;"",AK416&gt;1.1*R416),"Consented above capacity",IF(AND(LEFT(B416,8)="Planning",AW416=0),"Consent parcel with no permission",IF(COUNTIF($A$2:$A$3000,$A416)&gt;1,"Duplicate parcel_id","")))</f>
        <v/>
      </c>
    </row>
    <row r="417" customFormat="false" ht="15" hidden="false" customHeight="false" outlineLevel="0" collapsed="false">
      <c r="A417" s="15" t="s">
        <v>865</v>
      </c>
      <c r="B417" s="15" t="s">
        <v>13</v>
      </c>
      <c r="C417" s="15" t="s">
        <v>17</v>
      </c>
      <c r="D417" s="15" t="s">
        <v>64</v>
      </c>
      <c r="E417" s="15" t="s">
        <v>20</v>
      </c>
      <c r="F417" s="15" t="n">
        <v>1</v>
      </c>
      <c r="G417" s="15" t="s">
        <v>154</v>
      </c>
      <c r="H417" s="15"/>
      <c r="I417" s="15" t="s">
        <v>17</v>
      </c>
      <c r="J417" s="15" t="s">
        <v>568</v>
      </c>
      <c r="K417" s="15" t="s">
        <v>855</v>
      </c>
      <c r="L417" s="15"/>
      <c r="M417" s="15" t="s">
        <v>733</v>
      </c>
      <c r="N417" s="15"/>
      <c r="O417" s="15"/>
      <c r="P417" s="15" t="n">
        <v>8.757</v>
      </c>
      <c r="Q417" s="15" t="n">
        <v>9.623</v>
      </c>
      <c r="R417" s="15" t="n">
        <v>219</v>
      </c>
      <c r="S417" s="15" t="s">
        <v>734</v>
      </c>
      <c r="T417" s="15" t="s">
        <v>856</v>
      </c>
      <c r="U417" s="15" t="s">
        <v>736</v>
      </c>
      <c r="V417" s="15"/>
      <c r="W417" s="15" t="s">
        <v>746</v>
      </c>
      <c r="X417" s="15" t="n">
        <v>25</v>
      </c>
      <c r="Y417" s="15" t="s">
        <v>747</v>
      </c>
      <c r="Z417" s="15" t="n">
        <v>0</v>
      </c>
      <c r="AA417" s="15" t="n">
        <v>0</v>
      </c>
      <c r="AB417" s="15" t="n">
        <v>0</v>
      </c>
      <c r="AC417" s="15"/>
      <c r="AD417" s="15"/>
      <c r="AE417" s="15" t="s">
        <v>163</v>
      </c>
      <c r="AF417" s="15"/>
      <c r="AG417" s="24" t="n">
        <f aca="false">SUMIFS(Permissions!$G$2:$G$3000,Permissions!$B$2:$B$3000,$A417,Permissions!$I$2:$I$3000,"Complete",Permissions!$P$2:$P$3000,"Yes")</f>
        <v>0</v>
      </c>
      <c r="AH417" s="24" t="n">
        <f aca="false">SUMIFS(Permissions!$G$2:$G$3000,Permissions!$B$2:$B$3000,$A417,Permissions!$I$2:$I$3000,"Under construction",Permissions!$P$2:$P$3000,"Yes")</f>
        <v>0</v>
      </c>
      <c r="AI417" s="24" t="n">
        <f aca="false">SUMIFS(Permissions!$G$2:$G$3000,Permissions!$B$2:$B$3000,$A417,Permissions!$I$2:$I$3000,"Permitted – not started",Permissions!$P$2:$P$3000,"Yes")</f>
        <v>0</v>
      </c>
      <c r="AJ417" s="24" t="n">
        <f aca="false">SUMIFS(Permissions!$G$2:$G$3000,Permissions!$B$2:$B$3000,$A417,Permissions!$I$2:$I$3000,"Stalled",Permissions!$P$2:$P$3000,"Yes")</f>
        <v>0</v>
      </c>
      <c r="AK417" s="24" t="n">
        <f aca="false">AG417+AH417+AI417+AJ417</f>
        <v>0</v>
      </c>
      <c r="AL417" s="24" t="n">
        <f aca="false">SUMIFS(Permissions!$G$2:$G$3000,Permissions!$B$2:$B$3000,$A417,Permissions!$I$2:$I$3000,"Expired – not started",Permissions!$P$2:$P$3000,"Yes")</f>
        <v>0</v>
      </c>
      <c r="AM417" s="24" t="n">
        <f aca="false">SUMIFS(Permissions!$G$2:$G$3000,Permissions!$B$2:$B$3000,$A417,Permissions!$I$2:$I$3000,"In planning",Permissions!$P$2:$P$3000,"Yes")</f>
        <v>0</v>
      </c>
      <c r="AN417" s="24" t="n">
        <f aca="false">IF(R417="",0,MAX(R417-AK417,0))</f>
        <v>219</v>
      </c>
      <c r="AO417" s="25" t="n">
        <f aca="false">AK417+AN417</f>
        <v>219</v>
      </c>
      <c r="AP417" s="24" t="n">
        <f aca="false">AO417-AG417</f>
        <v>219</v>
      </c>
      <c r="AQ417" s="26" t="n">
        <f aca="false">SUMIFS(Permissions!$AH$2:$AH$3000,Permissions!$B$2:$B$3000,$A417,Permissions!$P$2:$P$3000,"Yes")</f>
        <v>0</v>
      </c>
      <c r="AR417" s="26" t="n">
        <f aca="false">SUMIFS(Permissions!$AI$2:$AI$3000,Permissions!$B$2:$B$3000,$A417,Permissions!$P$2:$P$3000,"Yes")</f>
        <v>0</v>
      </c>
      <c r="AS417" s="26" t="n">
        <f aca="false">SUMIFS(Permissions!$AJ$2:$AJ$3000,Permissions!$B$2:$B$3000,$A417,Permissions!$P$2:$P$3000,"Yes")</f>
        <v>0</v>
      </c>
      <c r="AT417" s="26" t="n">
        <f aca="false">SUMIFS(Permissions!$AK$2:$AK$3000,Permissions!$B$2:$B$3000,$A417,Permissions!$P$2:$P$3000,"Yes")</f>
        <v>0</v>
      </c>
      <c r="AU417" s="26" t="n">
        <f aca="false">SUMIFS(Permissions!$AL$2:$AL$3000,Permissions!$B$2:$B$3000,$A417,Permissions!$P$2:$P$3000,"Yes")</f>
        <v>0</v>
      </c>
      <c r="AV417" s="26" t="n">
        <f aca="false">SUMIFS(Permissions!$AM$2:$AM$3000,Permissions!$B$2:$B$3000,$A417,Permissions!$P$2:$P$3000,"Yes")</f>
        <v>0</v>
      </c>
      <c r="AW417" s="24" t="n">
        <f aca="false">COUNTIFS(Permissions!$B$2:$B$3000,$A417,Permissions!$P$2:$P$3000,"Yes")</f>
        <v>0</v>
      </c>
      <c r="AX417" s="24" t="n">
        <f aca="false">SUMIFS(Permissions!$L$2:$L$3000,Permissions!$B$2:$B$3000,$A417,Permissions!$P$2:$P$3000,"Yes")</f>
        <v>0</v>
      </c>
      <c r="AY417" s="27" t="str">
        <f aca="false">IF(AND(AK417&gt;0,AG417&gt;=AK417,AN417=0),"Built out",IF(AG417&gt;0,"Partly built",IF(AK417&gt;0,"Consented – not built","No consent")))</f>
        <v>No consent</v>
      </c>
      <c r="AZ417" s="28" t="str">
        <f aca="false">IF(AND(R417&lt;&gt;"",AK417&gt;1.1*R417),"Consented above capacity",IF(AND(LEFT(B417,8)="Planning",AW417=0),"Consent parcel with no permission",IF(COUNTIF($A$2:$A$3000,$A417)&gt;1,"Duplicate parcel_id","")))</f>
        <v/>
      </c>
    </row>
    <row r="418" customFormat="false" ht="15" hidden="false" customHeight="false" outlineLevel="0" collapsed="false">
      <c r="A418" s="15" t="s">
        <v>866</v>
      </c>
      <c r="B418" s="15" t="s">
        <v>13</v>
      </c>
      <c r="C418" s="15" t="s">
        <v>17</v>
      </c>
      <c r="D418" s="15" t="s">
        <v>64</v>
      </c>
      <c r="E418" s="15" t="s">
        <v>20</v>
      </c>
      <c r="F418" s="15" t="n">
        <v>0</v>
      </c>
      <c r="G418" s="15" t="s">
        <v>858</v>
      </c>
      <c r="H418" s="15"/>
      <c r="I418" s="15" t="s">
        <v>17</v>
      </c>
      <c r="J418" s="15" t="s">
        <v>568</v>
      </c>
      <c r="K418" s="15" t="s">
        <v>855</v>
      </c>
      <c r="L418" s="15"/>
      <c r="M418" s="15" t="s">
        <v>733</v>
      </c>
      <c r="N418" s="15"/>
      <c r="O418" s="15"/>
      <c r="P418" s="15" t="n">
        <v>3.411</v>
      </c>
      <c r="Q418" s="15" t="n">
        <v>3.749</v>
      </c>
      <c r="R418" s="15" t="n">
        <v>85</v>
      </c>
      <c r="S418" s="15" t="s">
        <v>734</v>
      </c>
      <c r="T418" s="15" t="s">
        <v>856</v>
      </c>
      <c r="U418" s="15" t="s">
        <v>736</v>
      </c>
      <c r="V418" s="15"/>
      <c r="W418" s="15" t="s">
        <v>746</v>
      </c>
      <c r="X418" s="15" t="n">
        <v>25</v>
      </c>
      <c r="Y418" s="15" t="s">
        <v>747</v>
      </c>
      <c r="Z418" s="15" t="n">
        <v>0</v>
      </c>
      <c r="AA418" s="15" t="n">
        <v>0</v>
      </c>
      <c r="AB418" s="15" t="n">
        <v>0</v>
      </c>
      <c r="AC418" s="15"/>
      <c r="AD418" s="15"/>
      <c r="AE418" s="15" t="s">
        <v>163</v>
      </c>
      <c r="AF418" s="15"/>
      <c r="AG418" s="24" t="n">
        <f aca="false">SUMIFS(Permissions!$G$2:$G$3000,Permissions!$B$2:$B$3000,$A418,Permissions!$I$2:$I$3000,"Complete",Permissions!$P$2:$P$3000,"Yes")</f>
        <v>0</v>
      </c>
      <c r="AH418" s="24" t="n">
        <f aca="false">SUMIFS(Permissions!$G$2:$G$3000,Permissions!$B$2:$B$3000,$A418,Permissions!$I$2:$I$3000,"Under construction",Permissions!$P$2:$P$3000,"Yes")</f>
        <v>0</v>
      </c>
      <c r="AI418" s="24" t="n">
        <f aca="false">SUMIFS(Permissions!$G$2:$G$3000,Permissions!$B$2:$B$3000,$A418,Permissions!$I$2:$I$3000,"Permitted – not started",Permissions!$P$2:$P$3000,"Yes")</f>
        <v>0</v>
      </c>
      <c r="AJ418" s="24" t="n">
        <f aca="false">SUMIFS(Permissions!$G$2:$G$3000,Permissions!$B$2:$B$3000,$A418,Permissions!$I$2:$I$3000,"Stalled",Permissions!$P$2:$P$3000,"Yes")</f>
        <v>0</v>
      </c>
      <c r="AK418" s="24" t="n">
        <f aca="false">AG418+AH418+AI418+AJ418</f>
        <v>0</v>
      </c>
      <c r="AL418" s="24" t="n">
        <f aca="false">SUMIFS(Permissions!$G$2:$G$3000,Permissions!$B$2:$B$3000,$A418,Permissions!$I$2:$I$3000,"Expired – not started",Permissions!$P$2:$P$3000,"Yes")</f>
        <v>0</v>
      </c>
      <c r="AM418" s="24" t="n">
        <f aca="false">SUMIFS(Permissions!$G$2:$G$3000,Permissions!$B$2:$B$3000,$A418,Permissions!$I$2:$I$3000,"In planning",Permissions!$P$2:$P$3000,"Yes")</f>
        <v>0</v>
      </c>
      <c r="AN418" s="24" t="n">
        <f aca="false">IF(R418="",0,MAX(R418-AK418,0))</f>
        <v>85</v>
      </c>
      <c r="AO418" s="25" t="n">
        <f aca="false">AK418+AN418</f>
        <v>85</v>
      </c>
      <c r="AP418" s="24" t="n">
        <f aca="false">AO418-AG418</f>
        <v>85</v>
      </c>
      <c r="AQ418" s="26" t="n">
        <f aca="false">SUMIFS(Permissions!$AH$2:$AH$3000,Permissions!$B$2:$B$3000,$A418,Permissions!$P$2:$P$3000,"Yes")</f>
        <v>0</v>
      </c>
      <c r="AR418" s="26" t="n">
        <f aca="false">SUMIFS(Permissions!$AI$2:$AI$3000,Permissions!$B$2:$B$3000,$A418,Permissions!$P$2:$P$3000,"Yes")</f>
        <v>0</v>
      </c>
      <c r="AS418" s="26" t="n">
        <f aca="false">SUMIFS(Permissions!$AJ$2:$AJ$3000,Permissions!$B$2:$B$3000,$A418,Permissions!$P$2:$P$3000,"Yes")</f>
        <v>0</v>
      </c>
      <c r="AT418" s="26" t="n">
        <f aca="false">SUMIFS(Permissions!$AK$2:$AK$3000,Permissions!$B$2:$B$3000,$A418,Permissions!$P$2:$P$3000,"Yes")</f>
        <v>0</v>
      </c>
      <c r="AU418" s="26" t="n">
        <f aca="false">SUMIFS(Permissions!$AL$2:$AL$3000,Permissions!$B$2:$B$3000,$A418,Permissions!$P$2:$P$3000,"Yes")</f>
        <v>0</v>
      </c>
      <c r="AV418" s="26" t="n">
        <f aca="false">SUMIFS(Permissions!$AM$2:$AM$3000,Permissions!$B$2:$B$3000,$A418,Permissions!$P$2:$P$3000,"Yes")</f>
        <v>0</v>
      </c>
      <c r="AW418" s="24" t="n">
        <f aca="false">COUNTIFS(Permissions!$B$2:$B$3000,$A418,Permissions!$P$2:$P$3000,"Yes")</f>
        <v>0</v>
      </c>
      <c r="AX418" s="24" t="n">
        <f aca="false">SUMIFS(Permissions!$L$2:$L$3000,Permissions!$B$2:$B$3000,$A418,Permissions!$P$2:$P$3000,"Yes")</f>
        <v>0</v>
      </c>
      <c r="AY418" s="27" t="str">
        <f aca="false">IF(AND(AK418&gt;0,AG418&gt;=AK418,AN418=0),"Built out",IF(AG418&gt;0,"Partly built",IF(AK418&gt;0,"Consented – not built","No consent")))</f>
        <v>No consent</v>
      </c>
      <c r="AZ418" s="28" t="str">
        <f aca="false">IF(AND(R418&lt;&gt;"",AK418&gt;1.1*R418),"Consented above capacity",IF(AND(LEFT(B418,8)="Planning",AW418=0),"Consent parcel with no permission",IF(COUNTIF($A$2:$A$3000,$A418)&gt;1,"Duplicate parcel_id","")))</f>
        <v/>
      </c>
    </row>
    <row r="419" customFormat="false" ht="15" hidden="false" customHeight="false" outlineLevel="0" collapsed="false">
      <c r="A419" s="15" t="s">
        <v>867</v>
      </c>
      <c r="B419" s="15" t="s">
        <v>13</v>
      </c>
      <c r="C419" s="15" t="s">
        <v>17</v>
      </c>
      <c r="D419" s="15" t="s">
        <v>64</v>
      </c>
      <c r="E419" s="15" t="s">
        <v>20</v>
      </c>
      <c r="F419" s="15" t="n">
        <v>1</v>
      </c>
      <c r="G419" s="15" t="s">
        <v>154</v>
      </c>
      <c r="H419" s="15"/>
      <c r="I419" s="15" t="s">
        <v>17</v>
      </c>
      <c r="J419" s="15" t="s">
        <v>568</v>
      </c>
      <c r="K419" s="15" t="s">
        <v>860</v>
      </c>
      <c r="L419" s="15"/>
      <c r="M419" s="15" t="s">
        <v>751</v>
      </c>
      <c r="N419" s="15"/>
      <c r="O419" s="15"/>
      <c r="P419" s="15" t="n">
        <v>1.776</v>
      </c>
      <c r="Q419" s="15" t="n">
        <v>1.951</v>
      </c>
      <c r="R419" s="15" t="n">
        <v>34</v>
      </c>
      <c r="S419" s="15" t="s">
        <v>734</v>
      </c>
      <c r="T419" s="15" t="s">
        <v>856</v>
      </c>
      <c r="U419" s="15" t="s">
        <v>752</v>
      </c>
      <c r="V419" s="15"/>
      <c r="W419" s="15" t="s">
        <v>753</v>
      </c>
      <c r="X419" s="15" t="n">
        <v>19</v>
      </c>
      <c r="Y419" s="15" t="s">
        <v>754</v>
      </c>
      <c r="Z419" s="15" t="n">
        <v>0</v>
      </c>
      <c r="AA419" s="15" t="n">
        <v>0</v>
      </c>
      <c r="AB419" s="15" t="n">
        <v>0</v>
      </c>
      <c r="AC419" s="15"/>
      <c r="AD419" s="15"/>
      <c r="AE419" s="15" t="s">
        <v>163</v>
      </c>
      <c r="AF419" s="15"/>
      <c r="AG419" s="24" t="n">
        <f aca="false">SUMIFS(Permissions!$G$2:$G$3000,Permissions!$B$2:$B$3000,$A419,Permissions!$I$2:$I$3000,"Complete",Permissions!$P$2:$P$3000,"Yes")</f>
        <v>0</v>
      </c>
      <c r="AH419" s="24" t="n">
        <f aca="false">SUMIFS(Permissions!$G$2:$G$3000,Permissions!$B$2:$B$3000,$A419,Permissions!$I$2:$I$3000,"Under construction",Permissions!$P$2:$P$3000,"Yes")</f>
        <v>0</v>
      </c>
      <c r="AI419" s="24" t="n">
        <f aca="false">SUMIFS(Permissions!$G$2:$G$3000,Permissions!$B$2:$B$3000,$A419,Permissions!$I$2:$I$3000,"Permitted – not started",Permissions!$P$2:$P$3000,"Yes")</f>
        <v>0</v>
      </c>
      <c r="AJ419" s="24" t="n">
        <f aca="false">SUMIFS(Permissions!$G$2:$G$3000,Permissions!$B$2:$B$3000,$A419,Permissions!$I$2:$I$3000,"Stalled",Permissions!$P$2:$P$3000,"Yes")</f>
        <v>0</v>
      </c>
      <c r="AK419" s="24" t="n">
        <f aca="false">AG419+AH419+AI419+AJ419</f>
        <v>0</v>
      </c>
      <c r="AL419" s="24" t="n">
        <f aca="false">SUMIFS(Permissions!$G$2:$G$3000,Permissions!$B$2:$B$3000,$A419,Permissions!$I$2:$I$3000,"Expired – not started",Permissions!$P$2:$P$3000,"Yes")</f>
        <v>0</v>
      </c>
      <c r="AM419" s="24" t="n">
        <f aca="false">SUMIFS(Permissions!$G$2:$G$3000,Permissions!$B$2:$B$3000,$A419,Permissions!$I$2:$I$3000,"In planning",Permissions!$P$2:$P$3000,"Yes")</f>
        <v>0</v>
      </c>
      <c r="AN419" s="24" t="n">
        <f aca="false">IF(R419="",0,MAX(R419-AK419,0))</f>
        <v>34</v>
      </c>
      <c r="AO419" s="25" t="n">
        <f aca="false">AK419+AN419</f>
        <v>34</v>
      </c>
      <c r="AP419" s="24" t="n">
        <f aca="false">AO419-AG419</f>
        <v>34</v>
      </c>
      <c r="AQ419" s="26" t="n">
        <f aca="false">SUMIFS(Permissions!$AH$2:$AH$3000,Permissions!$B$2:$B$3000,$A419,Permissions!$P$2:$P$3000,"Yes")</f>
        <v>0</v>
      </c>
      <c r="AR419" s="26" t="n">
        <f aca="false">SUMIFS(Permissions!$AI$2:$AI$3000,Permissions!$B$2:$B$3000,$A419,Permissions!$P$2:$P$3000,"Yes")</f>
        <v>0</v>
      </c>
      <c r="AS419" s="26" t="n">
        <f aca="false">SUMIFS(Permissions!$AJ$2:$AJ$3000,Permissions!$B$2:$B$3000,$A419,Permissions!$P$2:$P$3000,"Yes")</f>
        <v>0</v>
      </c>
      <c r="AT419" s="26" t="n">
        <f aca="false">SUMIFS(Permissions!$AK$2:$AK$3000,Permissions!$B$2:$B$3000,$A419,Permissions!$P$2:$P$3000,"Yes")</f>
        <v>0</v>
      </c>
      <c r="AU419" s="26" t="n">
        <f aca="false">SUMIFS(Permissions!$AL$2:$AL$3000,Permissions!$B$2:$B$3000,$A419,Permissions!$P$2:$P$3000,"Yes")</f>
        <v>0</v>
      </c>
      <c r="AV419" s="26" t="n">
        <f aca="false">SUMIFS(Permissions!$AM$2:$AM$3000,Permissions!$B$2:$B$3000,$A419,Permissions!$P$2:$P$3000,"Yes")</f>
        <v>0</v>
      </c>
      <c r="AW419" s="24" t="n">
        <f aca="false">COUNTIFS(Permissions!$B$2:$B$3000,$A419,Permissions!$P$2:$P$3000,"Yes")</f>
        <v>0</v>
      </c>
      <c r="AX419" s="24" t="n">
        <f aca="false">SUMIFS(Permissions!$L$2:$L$3000,Permissions!$B$2:$B$3000,$A419,Permissions!$P$2:$P$3000,"Yes")</f>
        <v>0</v>
      </c>
      <c r="AY419" s="27" t="str">
        <f aca="false">IF(AND(AK419&gt;0,AG419&gt;=AK419,AN419=0),"Built out",IF(AG419&gt;0,"Partly built",IF(AK419&gt;0,"Consented – not built","No consent")))</f>
        <v>No consent</v>
      </c>
      <c r="AZ419" s="28" t="str">
        <f aca="false">IF(AND(R419&lt;&gt;"",AK419&gt;1.1*R419),"Consented above capacity",IF(AND(LEFT(B419,8)="Planning",AW419=0),"Consent parcel with no permission",IF(COUNTIF($A$2:$A$3000,$A419)&gt;1,"Duplicate parcel_id","")))</f>
        <v/>
      </c>
    </row>
    <row r="420" customFormat="false" ht="15" hidden="false" customHeight="false" outlineLevel="0" collapsed="false">
      <c r="A420" s="15" t="s">
        <v>868</v>
      </c>
      <c r="B420" s="15" t="s">
        <v>13</v>
      </c>
      <c r="C420" s="15" t="s">
        <v>17</v>
      </c>
      <c r="D420" s="15" t="s">
        <v>64</v>
      </c>
      <c r="E420" s="15" t="s">
        <v>20</v>
      </c>
      <c r="F420" s="15" t="n">
        <v>0.74</v>
      </c>
      <c r="G420" s="15" t="s">
        <v>154</v>
      </c>
      <c r="H420" s="15"/>
      <c r="I420" s="15" t="s">
        <v>17</v>
      </c>
      <c r="J420" s="15" t="s">
        <v>568</v>
      </c>
      <c r="K420" s="15" t="s">
        <v>855</v>
      </c>
      <c r="L420" s="15"/>
      <c r="M420" s="15" t="s">
        <v>733</v>
      </c>
      <c r="N420" s="15"/>
      <c r="O420" s="15"/>
      <c r="P420" s="15" t="n">
        <v>8.31</v>
      </c>
      <c r="Q420" s="15" t="n">
        <v>9.132</v>
      </c>
      <c r="R420" s="15" t="n">
        <v>208</v>
      </c>
      <c r="S420" s="15" t="s">
        <v>734</v>
      </c>
      <c r="T420" s="15" t="s">
        <v>856</v>
      </c>
      <c r="U420" s="15" t="s">
        <v>736</v>
      </c>
      <c r="V420" s="15"/>
      <c r="W420" s="15" t="s">
        <v>746</v>
      </c>
      <c r="X420" s="15" t="n">
        <v>25</v>
      </c>
      <c r="Y420" s="15" t="s">
        <v>747</v>
      </c>
      <c r="Z420" s="15" t="n">
        <v>0</v>
      </c>
      <c r="AA420" s="15" t="n">
        <v>0</v>
      </c>
      <c r="AB420" s="15" t="n">
        <v>0</v>
      </c>
      <c r="AC420" s="15"/>
      <c r="AD420" s="15"/>
      <c r="AE420" s="15" t="s">
        <v>163</v>
      </c>
      <c r="AF420" s="15"/>
      <c r="AG420" s="24" t="n">
        <f aca="false">SUMIFS(Permissions!$G$2:$G$3000,Permissions!$B$2:$B$3000,$A420,Permissions!$I$2:$I$3000,"Complete",Permissions!$P$2:$P$3000,"Yes")</f>
        <v>0</v>
      </c>
      <c r="AH420" s="24" t="n">
        <f aca="false">SUMIFS(Permissions!$G$2:$G$3000,Permissions!$B$2:$B$3000,$A420,Permissions!$I$2:$I$3000,"Under construction",Permissions!$P$2:$P$3000,"Yes")</f>
        <v>0</v>
      </c>
      <c r="AI420" s="24" t="n">
        <f aca="false">SUMIFS(Permissions!$G$2:$G$3000,Permissions!$B$2:$B$3000,$A420,Permissions!$I$2:$I$3000,"Permitted – not started",Permissions!$P$2:$P$3000,"Yes")</f>
        <v>0</v>
      </c>
      <c r="AJ420" s="24" t="n">
        <f aca="false">SUMIFS(Permissions!$G$2:$G$3000,Permissions!$B$2:$B$3000,$A420,Permissions!$I$2:$I$3000,"Stalled",Permissions!$P$2:$P$3000,"Yes")</f>
        <v>0</v>
      </c>
      <c r="AK420" s="24" t="n">
        <f aca="false">AG420+AH420+AI420+AJ420</f>
        <v>0</v>
      </c>
      <c r="AL420" s="24" t="n">
        <f aca="false">SUMIFS(Permissions!$G$2:$G$3000,Permissions!$B$2:$B$3000,$A420,Permissions!$I$2:$I$3000,"Expired – not started",Permissions!$P$2:$P$3000,"Yes")</f>
        <v>0</v>
      </c>
      <c r="AM420" s="24" t="n">
        <f aca="false">SUMIFS(Permissions!$G$2:$G$3000,Permissions!$B$2:$B$3000,$A420,Permissions!$I$2:$I$3000,"In planning",Permissions!$P$2:$P$3000,"Yes")</f>
        <v>0</v>
      </c>
      <c r="AN420" s="24" t="n">
        <f aca="false">IF(R420="",0,MAX(R420-AK420,0))</f>
        <v>208</v>
      </c>
      <c r="AO420" s="25" t="n">
        <f aca="false">AK420+AN420</f>
        <v>208</v>
      </c>
      <c r="AP420" s="24" t="n">
        <f aca="false">AO420-AG420</f>
        <v>208</v>
      </c>
      <c r="AQ420" s="26" t="n">
        <f aca="false">SUMIFS(Permissions!$AH$2:$AH$3000,Permissions!$B$2:$B$3000,$A420,Permissions!$P$2:$P$3000,"Yes")</f>
        <v>0</v>
      </c>
      <c r="AR420" s="26" t="n">
        <f aca="false">SUMIFS(Permissions!$AI$2:$AI$3000,Permissions!$B$2:$B$3000,$A420,Permissions!$P$2:$P$3000,"Yes")</f>
        <v>0</v>
      </c>
      <c r="AS420" s="26" t="n">
        <f aca="false">SUMIFS(Permissions!$AJ$2:$AJ$3000,Permissions!$B$2:$B$3000,$A420,Permissions!$P$2:$P$3000,"Yes")</f>
        <v>0</v>
      </c>
      <c r="AT420" s="26" t="n">
        <f aca="false">SUMIFS(Permissions!$AK$2:$AK$3000,Permissions!$B$2:$B$3000,$A420,Permissions!$P$2:$P$3000,"Yes")</f>
        <v>0</v>
      </c>
      <c r="AU420" s="26" t="n">
        <f aca="false">SUMIFS(Permissions!$AL$2:$AL$3000,Permissions!$B$2:$B$3000,$A420,Permissions!$P$2:$P$3000,"Yes")</f>
        <v>0</v>
      </c>
      <c r="AV420" s="26" t="n">
        <f aca="false">SUMIFS(Permissions!$AM$2:$AM$3000,Permissions!$B$2:$B$3000,$A420,Permissions!$P$2:$P$3000,"Yes")</f>
        <v>0</v>
      </c>
      <c r="AW420" s="24" t="n">
        <f aca="false">COUNTIFS(Permissions!$B$2:$B$3000,$A420,Permissions!$P$2:$P$3000,"Yes")</f>
        <v>0</v>
      </c>
      <c r="AX420" s="24" t="n">
        <f aca="false">SUMIFS(Permissions!$L$2:$L$3000,Permissions!$B$2:$B$3000,$A420,Permissions!$P$2:$P$3000,"Yes")</f>
        <v>0</v>
      </c>
      <c r="AY420" s="27" t="str">
        <f aca="false">IF(AND(AK420&gt;0,AG420&gt;=AK420,AN420=0),"Built out",IF(AG420&gt;0,"Partly built",IF(AK420&gt;0,"Consented – not built","No consent")))</f>
        <v>No consent</v>
      </c>
      <c r="AZ420" s="28" t="str">
        <f aca="false">IF(AND(R420&lt;&gt;"",AK420&gt;1.1*R420),"Consented above capacity",IF(AND(LEFT(B420,8)="Planning",AW420=0),"Consent parcel with no permission",IF(COUNTIF($A$2:$A$3000,$A420)&gt;1,"Duplicate parcel_id","")))</f>
        <v/>
      </c>
    </row>
    <row r="421" customFormat="false" ht="15" hidden="false" customHeight="false" outlineLevel="0" collapsed="false">
      <c r="A421" s="15" t="s">
        <v>869</v>
      </c>
      <c r="B421" s="15" t="s">
        <v>13</v>
      </c>
      <c r="C421" s="15" t="s">
        <v>17</v>
      </c>
      <c r="D421" s="15" t="s">
        <v>64</v>
      </c>
      <c r="E421" s="15" t="s">
        <v>20</v>
      </c>
      <c r="F421" s="15" t="n">
        <v>1</v>
      </c>
      <c r="G421" s="15" t="s">
        <v>154</v>
      </c>
      <c r="H421" s="15"/>
      <c r="I421" s="15" t="s">
        <v>17</v>
      </c>
      <c r="J421" s="15" t="s">
        <v>568</v>
      </c>
      <c r="K421" s="15" t="s">
        <v>855</v>
      </c>
      <c r="L421" s="15"/>
      <c r="M421" s="15" t="s">
        <v>733</v>
      </c>
      <c r="N421" s="15"/>
      <c r="O421" s="15"/>
      <c r="P421" s="15" t="n">
        <v>0.105</v>
      </c>
      <c r="Q421" s="15" t="n">
        <v>0.115</v>
      </c>
      <c r="R421" s="15" t="n">
        <v>3</v>
      </c>
      <c r="S421" s="15" t="s">
        <v>734</v>
      </c>
      <c r="T421" s="15" t="s">
        <v>856</v>
      </c>
      <c r="U421" s="15" t="s">
        <v>736</v>
      </c>
      <c r="V421" s="15"/>
      <c r="W421" s="15" t="s">
        <v>746</v>
      </c>
      <c r="X421" s="15" t="n">
        <v>25</v>
      </c>
      <c r="Y421" s="15" t="s">
        <v>747</v>
      </c>
      <c r="Z421" s="15" t="n">
        <v>0</v>
      </c>
      <c r="AA421" s="15" t="n">
        <v>0</v>
      </c>
      <c r="AB421" s="15" t="n">
        <v>0</v>
      </c>
      <c r="AC421" s="15"/>
      <c r="AD421" s="15"/>
      <c r="AE421" s="15" t="s">
        <v>163</v>
      </c>
      <c r="AF421" s="15"/>
      <c r="AG421" s="24" t="n">
        <f aca="false">SUMIFS(Permissions!$G$2:$G$3000,Permissions!$B$2:$B$3000,$A421,Permissions!$I$2:$I$3000,"Complete",Permissions!$P$2:$P$3000,"Yes")</f>
        <v>0</v>
      </c>
      <c r="AH421" s="24" t="n">
        <f aca="false">SUMIFS(Permissions!$G$2:$G$3000,Permissions!$B$2:$B$3000,$A421,Permissions!$I$2:$I$3000,"Under construction",Permissions!$P$2:$P$3000,"Yes")</f>
        <v>0</v>
      </c>
      <c r="AI421" s="24" t="n">
        <f aca="false">SUMIFS(Permissions!$G$2:$G$3000,Permissions!$B$2:$B$3000,$A421,Permissions!$I$2:$I$3000,"Permitted – not started",Permissions!$P$2:$P$3000,"Yes")</f>
        <v>0</v>
      </c>
      <c r="AJ421" s="24" t="n">
        <f aca="false">SUMIFS(Permissions!$G$2:$G$3000,Permissions!$B$2:$B$3000,$A421,Permissions!$I$2:$I$3000,"Stalled",Permissions!$P$2:$P$3000,"Yes")</f>
        <v>0</v>
      </c>
      <c r="AK421" s="24" t="n">
        <f aca="false">AG421+AH421+AI421+AJ421</f>
        <v>0</v>
      </c>
      <c r="AL421" s="24" t="n">
        <f aca="false">SUMIFS(Permissions!$G$2:$G$3000,Permissions!$B$2:$B$3000,$A421,Permissions!$I$2:$I$3000,"Expired – not started",Permissions!$P$2:$P$3000,"Yes")</f>
        <v>0</v>
      </c>
      <c r="AM421" s="24" t="n">
        <f aca="false">SUMIFS(Permissions!$G$2:$G$3000,Permissions!$B$2:$B$3000,$A421,Permissions!$I$2:$I$3000,"In planning",Permissions!$P$2:$P$3000,"Yes")</f>
        <v>0</v>
      </c>
      <c r="AN421" s="24" t="n">
        <f aca="false">IF(R421="",0,MAX(R421-AK421,0))</f>
        <v>3</v>
      </c>
      <c r="AO421" s="25" t="n">
        <f aca="false">AK421+AN421</f>
        <v>3</v>
      </c>
      <c r="AP421" s="24" t="n">
        <f aca="false">AO421-AG421</f>
        <v>3</v>
      </c>
      <c r="AQ421" s="26" t="n">
        <f aca="false">SUMIFS(Permissions!$AH$2:$AH$3000,Permissions!$B$2:$B$3000,$A421,Permissions!$P$2:$P$3000,"Yes")</f>
        <v>0</v>
      </c>
      <c r="AR421" s="26" t="n">
        <f aca="false">SUMIFS(Permissions!$AI$2:$AI$3000,Permissions!$B$2:$B$3000,$A421,Permissions!$P$2:$P$3000,"Yes")</f>
        <v>0</v>
      </c>
      <c r="AS421" s="26" t="n">
        <f aca="false">SUMIFS(Permissions!$AJ$2:$AJ$3000,Permissions!$B$2:$B$3000,$A421,Permissions!$P$2:$P$3000,"Yes")</f>
        <v>0</v>
      </c>
      <c r="AT421" s="26" t="n">
        <f aca="false">SUMIFS(Permissions!$AK$2:$AK$3000,Permissions!$B$2:$B$3000,$A421,Permissions!$P$2:$P$3000,"Yes")</f>
        <v>0</v>
      </c>
      <c r="AU421" s="26" t="n">
        <f aca="false">SUMIFS(Permissions!$AL$2:$AL$3000,Permissions!$B$2:$B$3000,$A421,Permissions!$P$2:$P$3000,"Yes")</f>
        <v>0</v>
      </c>
      <c r="AV421" s="26" t="n">
        <f aca="false">SUMIFS(Permissions!$AM$2:$AM$3000,Permissions!$B$2:$B$3000,$A421,Permissions!$P$2:$P$3000,"Yes")</f>
        <v>0</v>
      </c>
      <c r="AW421" s="24" t="n">
        <f aca="false">COUNTIFS(Permissions!$B$2:$B$3000,$A421,Permissions!$P$2:$P$3000,"Yes")</f>
        <v>0</v>
      </c>
      <c r="AX421" s="24" t="n">
        <f aca="false">SUMIFS(Permissions!$L$2:$L$3000,Permissions!$B$2:$B$3000,$A421,Permissions!$P$2:$P$3000,"Yes")</f>
        <v>0</v>
      </c>
      <c r="AY421" s="27" t="str">
        <f aca="false">IF(AND(AK421&gt;0,AG421&gt;=AK421,AN421=0),"Built out",IF(AG421&gt;0,"Partly built",IF(AK421&gt;0,"Consented – not built","No consent")))</f>
        <v>No consent</v>
      </c>
      <c r="AZ421" s="28" t="str">
        <f aca="false">IF(AND(R421&lt;&gt;"",AK421&gt;1.1*R421),"Consented above capacity",IF(AND(LEFT(B421,8)="Planning",AW421=0),"Consent parcel with no permission",IF(COUNTIF($A$2:$A$3000,$A421)&gt;1,"Duplicate parcel_id","")))</f>
        <v/>
      </c>
    </row>
    <row r="422" customFormat="false" ht="15" hidden="false" customHeight="false" outlineLevel="0" collapsed="false">
      <c r="A422" s="15" t="s">
        <v>870</v>
      </c>
      <c r="B422" s="15" t="s">
        <v>13</v>
      </c>
      <c r="C422" s="15" t="s">
        <v>17</v>
      </c>
      <c r="D422" s="15" t="s">
        <v>64</v>
      </c>
      <c r="E422" s="15" t="s">
        <v>20</v>
      </c>
      <c r="F422" s="15" t="n">
        <v>0</v>
      </c>
      <c r="G422" s="15" t="s">
        <v>858</v>
      </c>
      <c r="H422" s="15"/>
      <c r="I422" s="15" t="s">
        <v>17</v>
      </c>
      <c r="J422" s="15" t="s">
        <v>568</v>
      </c>
      <c r="K422" s="15" t="s">
        <v>855</v>
      </c>
      <c r="L422" s="15"/>
      <c r="M422" s="15" t="s">
        <v>733</v>
      </c>
      <c r="N422" s="15"/>
      <c r="O422" s="15"/>
      <c r="P422" s="15" t="n">
        <v>8.631</v>
      </c>
      <c r="Q422" s="15" t="n">
        <v>9.484</v>
      </c>
      <c r="R422" s="15" t="n">
        <v>216</v>
      </c>
      <c r="S422" s="15" t="s">
        <v>734</v>
      </c>
      <c r="T422" s="15" t="s">
        <v>856</v>
      </c>
      <c r="U422" s="15" t="s">
        <v>736</v>
      </c>
      <c r="V422" s="15"/>
      <c r="W422" s="15" t="s">
        <v>746</v>
      </c>
      <c r="X422" s="15" t="n">
        <v>25</v>
      </c>
      <c r="Y422" s="15" t="s">
        <v>747</v>
      </c>
      <c r="Z422" s="15" t="n">
        <v>0</v>
      </c>
      <c r="AA422" s="15" t="n">
        <v>0</v>
      </c>
      <c r="AB422" s="15" t="n">
        <v>0</v>
      </c>
      <c r="AC422" s="15"/>
      <c r="AD422" s="15"/>
      <c r="AE422" s="15" t="s">
        <v>163</v>
      </c>
      <c r="AF422" s="15"/>
      <c r="AG422" s="24" t="n">
        <f aca="false">SUMIFS(Permissions!$G$2:$G$3000,Permissions!$B$2:$B$3000,$A422,Permissions!$I$2:$I$3000,"Complete",Permissions!$P$2:$P$3000,"Yes")</f>
        <v>0</v>
      </c>
      <c r="AH422" s="24" t="n">
        <f aca="false">SUMIFS(Permissions!$G$2:$G$3000,Permissions!$B$2:$B$3000,$A422,Permissions!$I$2:$I$3000,"Under construction",Permissions!$P$2:$P$3000,"Yes")</f>
        <v>0</v>
      </c>
      <c r="AI422" s="24" t="n">
        <f aca="false">SUMIFS(Permissions!$G$2:$G$3000,Permissions!$B$2:$B$3000,$A422,Permissions!$I$2:$I$3000,"Permitted – not started",Permissions!$P$2:$P$3000,"Yes")</f>
        <v>0</v>
      </c>
      <c r="AJ422" s="24" t="n">
        <f aca="false">SUMIFS(Permissions!$G$2:$G$3000,Permissions!$B$2:$B$3000,$A422,Permissions!$I$2:$I$3000,"Stalled",Permissions!$P$2:$P$3000,"Yes")</f>
        <v>0</v>
      </c>
      <c r="AK422" s="24" t="n">
        <f aca="false">AG422+AH422+AI422+AJ422</f>
        <v>0</v>
      </c>
      <c r="AL422" s="24" t="n">
        <f aca="false">SUMIFS(Permissions!$G$2:$G$3000,Permissions!$B$2:$B$3000,$A422,Permissions!$I$2:$I$3000,"Expired – not started",Permissions!$P$2:$P$3000,"Yes")</f>
        <v>0</v>
      </c>
      <c r="AM422" s="24" t="n">
        <f aca="false">SUMIFS(Permissions!$G$2:$G$3000,Permissions!$B$2:$B$3000,$A422,Permissions!$I$2:$I$3000,"In planning",Permissions!$P$2:$P$3000,"Yes")</f>
        <v>0</v>
      </c>
      <c r="AN422" s="24" t="n">
        <f aca="false">IF(R422="",0,MAX(R422-AK422,0))</f>
        <v>216</v>
      </c>
      <c r="AO422" s="25" t="n">
        <f aca="false">AK422+AN422</f>
        <v>216</v>
      </c>
      <c r="AP422" s="24" t="n">
        <f aca="false">AO422-AG422</f>
        <v>216</v>
      </c>
      <c r="AQ422" s="26" t="n">
        <f aca="false">SUMIFS(Permissions!$AH$2:$AH$3000,Permissions!$B$2:$B$3000,$A422,Permissions!$P$2:$P$3000,"Yes")</f>
        <v>0</v>
      </c>
      <c r="AR422" s="26" t="n">
        <f aca="false">SUMIFS(Permissions!$AI$2:$AI$3000,Permissions!$B$2:$B$3000,$A422,Permissions!$P$2:$P$3000,"Yes")</f>
        <v>0</v>
      </c>
      <c r="AS422" s="26" t="n">
        <f aca="false">SUMIFS(Permissions!$AJ$2:$AJ$3000,Permissions!$B$2:$B$3000,$A422,Permissions!$P$2:$P$3000,"Yes")</f>
        <v>0</v>
      </c>
      <c r="AT422" s="26" t="n">
        <f aca="false">SUMIFS(Permissions!$AK$2:$AK$3000,Permissions!$B$2:$B$3000,$A422,Permissions!$P$2:$P$3000,"Yes")</f>
        <v>0</v>
      </c>
      <c r="AU422" s="26" t="n">
        <f aca="false">SUMIFS(Permissions!$AL$2:$AL$3000,Permissions!$B$2:$B$3000,$A422,Permissions!$P$2:$P$3000,"Yes")</f>
        <v>0</v>
      </c>
      <c r="AV422" s="26" t="n">
        <f aca="false">SUMIFS(Permissions!$AM$2:$AM$3000,Permissions!$B$2:$B$3000,$A422,Permissions!$P$2:$P$3000,"Yes")</f>
        <v>0</v>
      </c>
      <c r="AW422" s="24" t="n">
        <f aca="false">COUNTIFS(Permissions!$B$2:$B$3000,$A422,Permissions!$P$2:$P$3000,"Yes")</f>
        <v>0</v>
      </c>
      <c r="AX422" s="24" t="n">
        <f aca="false">SUMIFS(Permissions!$L$2:$L$3000,Permissions!$B$2:$B$3000,$A422,Permissions!$P$2:$P$3000,"Yes")</f>
        <v>0</v>
      </c>
      <c r="AY422" s="27" t="str">
        <f aca="false">IF(AND(AK422&gt;0,AG422&gt;=AK422,AN422=0),"Built out",IF(AG422&gt;0,"Partly built",IF(AK422&gt;0,"Consented – not built","No consent")))</f>
        <v>No consent</v>
      </c>
      <c r="AZ422" s="28" t="str">
        <f aca="false">IF(AND(R422&lt;&gt;"",AK422&gt;1.1*R422),"Consented above capacity",IF(AND(LEFT(B422,8)="Planning",AW422=0),"Consent parcel with no permission",IF(COUNTIF($A$2:$A$3000,$A422)&gt;1,"Duplicate parcel_id","")))</f>
        <v/>
      </c>
    </row>
    <row r="423" customFormat="false" ht="15" hidden="false" customHeight="false" outlineLevel="0" collapsed="false">
      <c r="A423" s="15" t="s">
        <v>871</v>
      </c>
      <c r="B423" s="15" t="s">
        <v>13</v>
      </c>
      <c r="C423" s="15" t="s">
        <v>17</v>
      </c>
      <c r="D423" s="15" t="s">
        <v>64</v>
      </c>
      <c r="E423" s="15" t="s">
        <v>20</v>
      </c>
      <c r="F423" s="15" t="n">
        <v>0</v>
      </c>
      <c r="G423" s="15" t="s">
        <v>858</v>
      </c>
      <c r="H423" s="15"/>
      <c r="I423" s="15" t="s">
        <v>17</v>
      </c>
      <c r="J423" s="15" t="s">
        <v>568</v>
      </c>
      <c r="K423" s="15" t="s">
        <v>855</v>
      </c>
      <c r="L423" s="15"/>
      <c r="M423" s="15" t="s">
        <v>733</v>
      </c>
      <c r="N423" s="15"/>
      <c r="O423" s="15"/>
      <c r="P423" s="15" t="n">
        <v>2.952</v>
      </c>
      <c r="Q423" s="15" t="n">
        <v>3.244</v>
      </c>
      <c r="R423" s="15" t="n">
        <v>74</v>
      </c>
      <c r="S423" s="15" t="s">
        <v>734</v>
      </c>
      <c r="T423" s="15" t="s">
        <v>856</v>
      </c>
      <c r="U423" s="15" t="s">
        <v>736</v>
      </c>
      <c r="V423" s="15"/>
      <c r="W423" s="15" t="s">
        <v>746</v>
      </c>
      <c r="X423" s="15" t="n">
        <v>25</v>
      </c>
      <c r="Y423" s="15" t="s">
        <v>747</v>
      </c>
      <c r="Z423" s="15" t="n">
        <v>0</v>
      </c>
      <c r="AA423" s="15" t="n">
        <v>0</v>
      </c>
      <c r="AB423" s="15" t="n">
        <v>0</v>
      </c>
      <c r="AC423" s="15"/>
      <c r="AD423" s="15"/>
      <c r="AE423" s="15" t="s">
        <v>163</v>
      </c>
      <c r="AF423" s="15"/>
      <c r="AG423" s="24" t="n">
        <f aca="false">SUMIFS(Permissions!$G$2:$G$3000,Permissions!$B$2:$B$3000,$A423,Permissions!$I$2:$I$3000,"Complete",Permissions!$P$2:$P$3000,"Yes")</f>
        <v>0</v>
      </c>
      <c r="AH423" s="24" t="n">
        <f aca="false">SUMIFS(Permissions!$G$2:$G$3000,Permissions!$B$2:$B$3000,$A423,Permissions!$I$2:$I$3000,"Under construction",Permissions!$P$2:$P$3000,"Yes")</f>
        <v>0</v>
      </c>
      <c r="AI423" s="24" t="n">
        <f aca="false">SUMIFS(Permissions!$G$2:$G$3000,Permissions!$B$2:$B$3000,$A423,Permissions!$I$2:$I$3000,"Permitted – not started",Permissions!$P$2:$P$3000,"Yes")</f>
        <v>0</v>
      </c>
      <c r="AJ423" s="24" t="n">
        <f aca="false">SUMIFS(Permissions!$G$2:$G$3000,Permissions!$B$2:$B$3000,$A423,Permissions!$I$2:$I$3000,"Stalled",Permissions!$P$2:$P$3000,"Yes")</f>
        <v>0</v>
      </c>
      <c r="AK423" s="24" t="n">
        <f aca="false">AG423+AH423+AI423+AJ423</f>
        <v>0</v>
      </c>
      <c r="AL423" s="24" t="n">
        <f aca="false">SUMIFS(Permissions!$G$2:$G$3000,Permissions!$B$2:$B$3000,$A423,Permissions!$I$2:$I$3000,"Expired – not started",Permissions!$P$2:$P$3000,"Yes")</f>
        <v>0</v>
      </c>
      <c r="AM423" s="24" t="n">
        <f aca="false">SUMIFS(Permissions!$G$2:$G$3000,Permissions!$B$2:$B$3000,$A423,Permissions!$I$2:$I$3000,"In planning",Permissions!$P$2:$P$3000,"Yes")</f>
        <v>0</v>
      </c>
      <c r="AN423" s="24" t="n">
        <f aca="false">IF(R423="",0,MAX(R423-AK423,0))</f>
        <v>74</v>
      </c>
      <c r="AO423" s="25" t="n">
        <f aca="false">AK423+AN423</f>
        <v>74</v>
      </c>
      <c r="AP423" s="24" t="n">
        <f aca="false">AO423-AG423</f>
        <v>74</v>
      </c>
      <c r="AQ423" s="26" t="n">
        <f aca="false">SUMIFS(Permissions!$AH$2:$AH$3000,Permissions!$B$2:$B$3000,$A423,Permissions!$P$2:$P$3000,"Yes")</f>
        <v>0</v>
      </c>
      <c r="AR423" s="26" t="n">
        <f aca="false">SUMIFS(Permissions!$AI$2:$AI$3000,Permissions!$B$2:$B$3000,$A423,Permissions!$P$2:$P$3000,"Yes")</f>
        <v>0</v>
      </c>
      <c r="AS423" s="26" t="n">
        <f aca="false">SUMIFS(Permissions!$AJ$2:$AJ$3000,Permissions!$B$2:$B$3000,$A423,Permissions!$P$2:$P$3000,"Yes")</f>
        <v>0</v>
      </c>
      <c r="AT423" s="26" t="n">
        <f aca="false">SUMIFS(Permissions!$AK$2:$AK$3000,Permissions!$B$2:$B$3000,$A423,Permissions!$P$2:$P$3000,"Yes")</f>
        <v>0</v>
      </c>
      <c r="AU423" s="26" t="n">
        <f aca="false">SUMIFS(Permissions!$AL$2:$AL$3000,Permissions!$B$2:$B$3000,$A423,Permissions!$P$2:$P$3000,"Yes")</f>
        <v>0</v>
      </c>
      <c r="AV423" s="26" t="n">
        <f aca="false">SUMIFS(Permissions!$AM$2:$AM$3000,Permissions!$B$2:$B$3000,$A423,Permissions!$P$2:$P$3000,"Yes")</f>
        <v>0</v>
      </c>
      <c r="AW423" s="24" t="n">
        <f aca="false">COUNTIFS(Permissions!$B$2:$B$3000,$A423,Permissions!$P$2:$P$3000,"Yes")</f>
        <v>0</v>
      </c>
      <c r="AX423" s="24" t="n">
        <f aca="false">SUMIFS(Permissions!$L$2:$L$3000,Permissions!$B$2:$B$3000,$A423,Permissions!$P$2:$P$3000,"Yes")</f>
        <v>0</v>
      </c>
      <c r="AY423" s="27" t="str">
        <f aca="false">IF(AND(AK423&gt;0,AG423&gt;=AK423,AN423=0),"Built out",IF(AG423&gt;0,"Partly built",IF(AK423&gt;0,"Consented – not built","No consent")))</f>
        <v>No consent</v>
      </c>
      <c r="AZ423" s="28" t="str">
        <f aca="false">IF(AND(R423&lt;&gt;"",AK423&gt;1.1*R423),"Consented above capacity",IF(AND(LEFT(B423,8)="Planning",AW423=0),"Consent parcel with no permission",IF(COUNTIF($A$2:$A$3000,$A423)&gt;1,"Duplicate parcel_id","")))</f>
        <v/>
      </c>
    </row>
    <row r="424" customFormat="false" ht="15" hidden="false" customHeight="false" outlineLevel="0" collapsed="false">
      <c r="A424" s="15" t="s">
        <v>872</v>
      </c>
      <c r="B424" s="15" t="s">
        <v>13</v>
      </c>
      <c r="C424" s="15" t="s">
        <v>17</v>
      </c>
      <c r="D424" s="15" t="s">
        <v>64</v>
      </c>
      <c r="E424" s="15" t="s">
        <v>20</v>
      </c>
      <c r="F424" s="15" t="n">
        <v>1</v>
      </c>
      <c r="G424" s="15" t="s">
        <v>154</v>
      </c>
      <c r="H424" s="15"/>
      <c r="I424" s="15" t="s">
        <v>17</v>
      </c>
      <c r="J424" s="15" t="s">
        <v>568</v>
      </c>
      <c r="K424" s="15" t="s">
        <v>855</v>
      </c>
      <c r="L424" s="15"/>
      <c r="M424" s="15" t="s">
        <v>733</v>
      </c>
      <c r="N424" s="15"/>
      <c r="O424" s="15"/>
      <c r="P424" s="15" t="n">
        <v>0.546</v>
      </c>
      <c r="Q424" s="15" t="n">
        <v>0.6</v>
      </c>
      <c r="R424" s="15" t="n">
        <v>14</v>
      </c>
      <c r="S424" s="15" t="s">
        <v>734</v>
      </c>
      <c r="T424" s="15" t="s">
        <v>856</v>
      </c>
      <c r="U424" s="15" t="s">
        <v>736</v>
      </c>
      <c r="V424" s="15"/>
      <c r="W424" s="15" t="s">
        <v>746</v>
      </c>
      <c r="X424" s="15" t="n">
        <v>25</v>
      </c>
      <c r="Y424" s="15" t="s">
        <v>747</v>
      </c>
      <c r="Z424" s="15" t="n">
        <v>0</v>
      </c>
      <c r="AA424" s="15" t="n">
        <v>0</v>
      </c>
      <c r="AB424" s="15" t="n">
        <v>0</v>
      </c>
      <c r="AC424" s="15"/>
      <c r="AD424" s="15"/>
      <c r="AE424" s="15" t="s">
        <v>163</v>
      </c>
      <c r="AF424" s="15"/>
      <c r="AG424" s="24" t="n">
        <f aca="false">SUMIFS(Permissions!$G$2:$G$3000,Permissions!$B$2:$B$3000,$A424,Permissions!$I$2:$I$3000,"Complete",Permissions!$P$2:$P$3000,"Yes")</f>
        <v>0</v>
      </c>
      <c r="AH424" s="24" t="n">
        <f aca="false">SUMIFS(Permissions!$G$2:$G$3000,Permissions!$B$2:$B$3000,$A424,Permissions!$I$2:$I$3000,"Under construction",Permissions!$P$2:$P$3000,"Yes")</f>
        <v>0</v>
      </c>
      <c r="AI424" s="24" t="n">
        <f aca="false">SUMIFS(Permissions!$G$2:$G$3000,Permissions!$B$2:$B$3000,$A424,Permissions!$I$2:$I$3000,"Permitted – not started",Permissions!$P$2:$P$3000,"Yes")</f>
        <v>0</v>
      </c>
      <c r="AJ424" s="24" t="n">
        <f aca="false">SUMIFS(Permissions!$G$2:$G$3000,Permissions!$B$2:$B$3000,$A424,Permissions!$I$2:$I$3000,"Stalled",Permissions!$P$2:$P$3000,"Yes")</f>
        <v>0</v>
      </c>
      <c r="AK424" s="24" t="n">
        <f aca="false">AG424+AH424+AI424+AJ424</f>
        <v>0</v>
      </c>
      <c r="AL424" s="24" t="n">
        <f aca="false">SUMIFS(Permissions!$G$2:$G$3000,Permissions!$B$2:$B$3000,$A424,Permissions!$I$2:$I$3000,"Expired – not started",Permissions!$P$2:$P$3000,"Yes")</f>
        <v>0</v>
      </c>
      <c r="AM424" s="24" t="n">
        <f aca="false">SUMIFS(Permissions!$G$2:$G$3000,Permissions!$B$2:$B$3000,$A424,Permissions!$I$2:$I$3000,"In planning",Permissions!$P$2:$P$3000,"Yes")</f>
        <v>0</v>
      </c>
      <c r="AN424" s="24" t="n">
        <f aca="false">IF(R424="",0,MAX(R424-AK424,0))</f>
        <v>14</v>
      </c>
      <c r="AO424" s="25" t="n">
        <f aca="false">AK424+AN424</f>
        <v>14</v>
      </c>
      <c r="AP424" s="24" t="n">
        <f aca="false">AO424-AG424</f>
        <v>14</v>
      </c>
      <c r="AQ424" s="26" t="n">
        <f aca="false">SUMIFS(Permissions!$AH$2:$AH$3000,Permissions!$B$2:$B$3000,$A424,Permissions!$P$2:$P$3000,"Yes")</f>
        <v>0</v>
      </c>
      <c r="AR424" s="26" t="n">
        <f aca="false">SUMIFS(Permissions!$AI$2:$AI$3000,Permissions!$B$2:$B$3000,$A424,Permissions!$P$2:$P$3000,"Yes")</f>
        <v>0</v>
      </c>
      <c r="AS424" s="26" t="n">
        <f aca="false">SUMIFS(Permissions!$AJ$2:$AJ$3000,Permissions!$B$2:$B$3000,$A424,Permissions!$P$2:$P$3000,"Yes")</f>
        <v>0</v>
      </c>
      <c r="AT424" s="26" t="n">
        <f aca="false">SUMIFS(Permissions!$AK$2:$AK$3000,Permissions!$B$2:$B$3000,$A424,Permissions!$P$2:$P$3000,"Yes")</f>
        <v>0</v>
      </c>
      <c r="AU424" s="26" t="n">
        <f aca="false">SUMIFS(Permissions!$AL$2:$AL$3000,Permissions!$B$2:$B$3000,$A424,Permissions!$P$2:$P$3000,"Yes")</f>
        <v>0</v>
      </c>
      <c r="AV424" s="26" t="n">
        <f aca="false">SUMIFS(Permissions!$AM$2:$AM$3000,Permissions!$B$2:$B$3000,$A424,Permissions!$P$2:$P$3000,"Yes")</f>
        <v>0</v>
      </c>
      <c r="AW424" s="24" t="n">
        <f aca="false">COUNTIFS(Permissions!$B$2:$B$3000,$A424,Permissions!$P$2:$P$3000,"Yes")</f>
        <v>0</v>
      </c>
      <c r="AX424" s="24" t="n">
        <f aca="false">SUMIFS(Permissions!$L$2:$L$3000,Permissions!$B$2:$B$3000,$A424,Permissions!$P$2:$P$3000,"Yes")</f>
        <v>0</v>
      </c>
      <c r="AY424" s="27" t="str">
        <f aca="false">IF(AND(AK424&gt;0,AG424&gt;=AK424,AN424=0),"Built out",IF(AG424&gt;0,"Partly built",IF(AK424&gt;0,"Consented – not built","No consent")))</f>
        <v>No consent</v>
      </c>
      <c r="AZ424" s="28" t="str">
        <f aca="false">IF(AND(R424&lt;&gt;"",AK424&gt;1.1*R424),"Consented above capacity",IF(AND(LEFT(B424,8)="Planning",AW424=0),"Consent parcel with no permission",IF(COUNTIF($A$2:$A$3000,$A424)&gt;1,"Duplicate parcel_id","")))</f>
        <v/>
      </c>
    </row>
    <row r="425" customFormat="false" ht="15" hidden="false" customHeight="false" outlineLevel="0" collapsed="false">
      <c r="A425" s="15" t="s">
        <v>873</v>
      </c>
      <c r="B425" s="15" t="s">
        <v>13</v>
      </c>
      <c r="C425" s="15" t="s">
        <v>17</v>
      </c>
      <c r="D425" s="15" t="s">
        <v>64</v>
      </c>
      <c r="E425" s="15" t="s">
        <v>20</v>
      </c>
      <c r="F425" s="15" t="n">
        <v>0.06</v>
      </c>
      <c r="G425" s="15" t="s">
        <v>154</v>
      </c>
      <c r="H425" s="15"/>
      <c r="I425" s="15" t="s">
        <v>17</v>
      </c>
      <c r="J425" s="15" t="s">
        <v>568</v>
      </c>
      <c r="K425" s="15" t="s">
        <v>855</v>
      </c>
      <c r="L425" s="15"/>
      <c r="M425" s="15" t="s">
        <v>733</v>
      </c>
      <c r="N425" s="15"/>
      <c r="O425" s="15"/>
      <c r="P425" s="15" t="n">
        <v>1.238</v>
      </c>
      <c r="Q425" s="15" t="n">
        <v>1.361</v>
      </c>
      <c r="R425" s="15" t="n">
        <v>31</v>
      </c>
      <c r="S425" s="15" t="s">
        <v>734</v>
      </c>
      <c r="T425" s="15" t="s">
        <v>856</v>
      </c>
      <c r="U425" s="15" t="s">
        <v>736</v>
      </c>
      <c r="V425" s="15"/>
      <c r="W425" s="15" t="s">
        <v>746</v>
      </c>
      <c r="X425" s="15" t="n">
        <v>25</v>
      </c>
      <c r="Y425" s="15" t="s">
        <v>747</v>
      </c>
      <c r="Z425" s="15" t="n">
        <v>0</v>
      </c>
      <c r="AA425" s="15" t="n">
        <v>0</v>
      </c>
      <c r="AB425" s="15" t="n">
        <v>0</v>
      </c>
      <c r="AC425" s="15"/>
      <c r="AD425" s="15"/>
      <c r="AE425" s="15" t="s">
        <v>163</v>
      </c>
      <c r="AF425" s="15"/>
      <c r="AG425" s="24" t="n">
        <f aca="false">SUMIFS(Permissions!$G$2:$G$3000,Permissions!$B$2:$B$3000,$A425,Permissions!$I$2:$I$3000,"Complete",Permissions!$P$2:$P$3000,"Yes")</f>
        <v>0</v>
      </c>
      <c r="AH425" s="24" t="n">
        <f aca="false">SUMIFS(Permissions!$G$2:$G$3000,Permissions!$B$2:$B$3000,$A425,Permissions!$I$2:$I$3000,"Under construction",Permissions!$P$2:$P$3000,"Yes")</f>
        <v>0</v>
      </c>
      <c r="AI425" s="24" t="n">
        <f aca="false">SUMIFS(Permissions!$G$2:$G$3000,Permissions!$B$2:$B$3000,$A425,Permissions!$I$2:$I$3000,"Permitted – not started",Permissions!$P$2:$P$3000,"Yes")</f>
        <v>0</v>
      </c>
      <c r="AJ425" s="24" t="n">
        <f aca="false">SUMIFS(Permissions!$G$2:$G$3000,Permissions!$B$2:$B$3000,$A425,Permissions!$I$2:$I$3000,"Stalled",Permissions!$P$2:$P$3000,"Yes")</f>
        <v>0</v>
      </c>
      <c r="AK425" s="24" t="n">
        <f aca="false">AG425+AH425+AI425+AJ425</f>
        <v>0</v>
      </c>
      <c r="AL425" s="24" t="n">
        <f aca="false">SUMIFS(Permissions!$G$2:$G$3000,Permissions!$B$2:$B$3000,$A425,Permissions!$I$2:$I$3000,"Expired – not started",Permissions!$P$2:$P$3000,"Yes")</f>
        <v>0</v>
      </c>
      <c r="AM425" s="24" t="n">
        <f aca="false">SUMIFS(Permissions!$G$2:$G$3000,Permissions!$B$2:$B$3000,$A425,Permissions!$I$2:$I$3000,"In planning",Permissions!$P$2:$P$3000,"Yes")</f>
        <v>0</v>
      </c>
      <c r="AN425" s="24" t="n">
        <f aca="false">IF(R425="",0,MAX(R425-AK425,0))</f>
        <v>31</v>
      </c>
      <c r="AO425" s="25" t="n">
        <f aca="false">AK425+AN425</f>
        <v>31</v>
      </c>
      <c r="AP425" s="24" t="n">
        <f aca="false">AO425-AG425</f>
        <v>31</v>
      </c>
      <c r="AQ425" s="26" t="n">
        <f aca="false">SUMIFS(Permissions!$AH$2:$AH$3000,Permissions!$B$2:$B$3000,$A425,Permissions!$P$2:$P$3000,"Yes")</f>
        <v>0</v>
      </c>
      <c r="AR425" s="26" t="n">
        <f aca="false">SUMIFS(Permissions!$AI$2:$AI$3000,Permissions!$B$2:$B$3000,$A425,Permissions!$P$2:$P$3000,"Yes")</f>
        <v>0</v>
      </c>
      <c r="AS425" s="26" t="n">
        <f aca="false">SUMIFS(Permissions!$AJ$2:$AJ$3000,Permissions!$B$2:$B$3000,$A425,Permissions!$P$2:$P$3000,"Yes")</f>
        <v>0</v>
      </c>
      <c r="AT425" s="26" t="n">
        <f aca="false">SUMIFS(Permissions!$AK$2:$AK$3000,Permissions!$B$2:$B$3000,$A425,Permissions!$P$2:$P$3000,"Yes")</f>
        <v>0</v>
      </c>
      <c r="AU425" s="26" t="n">
        <f aca="false">SUMIFS(Permissions!$AL$2:$AL$3000,Permissions!$B$2:$B$3000,$A425,Permissions!$P$2:$P$3000,"Yes")</f>
        <v>0</v>
      </c>
      <c r="AV425" s="26" t="n">
        <f aca="false">SUMIFS(Permissions!$AM$2:$AM$3000,Permissions!$B$2:$B$3000,$A425,Permissions!$P$2:$P$3000,"Yes")</f>
        <v>0</v>
      </c>
      <c r="AW425" s="24" t="n">
        <f aca="false">COUNTIFS(Permissions!$B$2:$B$3000,$A425,Permissions!$P$2:$P$3000,"Yes")</f>
        <v>0</v>
      </c>
      <c r="AX425" s="24" t="n">
        <f aca="false">SUMIFS(Permissions!$L$2:$L$3000,Permissions!$B$2:$B$3000,$A425,Permissions!$P$2:$P$3000,"Yes")</f>
        <v>0</v>
      </c>
      <c r="AY425" s="27" t="str">
        <f aca="false">IF(AND(AK425&gt;0,AG425&gt;=AK425,AN425=0),"Built out",IF(AG425&gt;0,"Partly built",IF(AK425&gt;0,"Consented – not built","No consent")))</f>
        <v>No consent</v>
      </c>
      <c r="AZ425" s="28" t="str">
        <f aca="false">IF(AND(R425&lt;&gt;"",AK425&gt;1.1*R425),"Consented above capacity",IF(AND(LEFT(B425,8)="Planning",AW425=0),"Consent parcel with no permission",IF(COUNTIF($A$2:$A$3000,$A425)&gt;1,"Duplicate parcel_id","")))</f>
        <v/>
      </c>
    </row>
    <row r="426" customFormat="false" ht="15" hidden="false" customHeight="false" outlineLevel="0" collapsed="false">
      <c r="A426" s="15" t="s">
        <v>874</v>
      </c>
      <c r="B426" s="15" t="s">
        <v>13</v>
      </c>
      <c r="C426" s="15" t="s">
        <v>17</v>
      </c>
      <c r="D426" s="15" t="s">
        <v>64</v>
      </c>
      <c r="E426" s="15" t="s">
        <v>20</v>
      </c>
      <c r="F426" s="15" t="n">
        <v>1</v>
      </c>
      <c r="G426" s="15" t="s">
        <v>154</v>
      </c>
      <c r="H426" s="15"/>
      <c r="I426" s="15" t="s">
        <v>17</v>
      </c>
      <c r="J426" s="15" t="s">
        <v>568</v>
      </c>
      <c r="K426" s="15" t="s">
        <v>855</v>
      </c>
      <c r="L426" s="15"/>
      <c r="M426" s="15" t="s">
        <v>733</v>
      </c>
      <c r="N426" s="15"/>
      <c r="O426" s="15"/>
      <c r="P426" s="15" t="n">
        <v>0.238</v>
      </c>
      <c r="Q426" s="15" t="n">
        <v>0.262</v>
      </c>
      <c r="R426" s="15" t="n">
        <v>6</v>
      </c>
      <c r="S426" s="15" t="s">
        <v>734</v>
      </c>
      <c r="T426" s="15" t="s">
        <v>856</v>
      </c>
      <c r="U426" s="15" t="s">
        <v>736</v>
      </c>
      <c r="V426" s="15"/>
      <c r="W426" s="15" t="s">
        <v>746</v>
      </c>
      <c r="X426" s="15" t="n">
        <v>25</v>
      </c>
      <c r="Y426" s="15" t="s">
        <v>747</v>
      </c>
      <c r="Z426" s="15" t="n">
        <v>0</v>
      </c>
      <c r="AA426" s="15" t="n">
        <v>0</v>
      </c>
      <c r="AB426" s="15" t="n">
        <v>0</v>
      </c>
      <c r="AC426" s="15"/>
      <c r="AD426" s="15"/>
      <c r="AE426" s="15" t="s">
        <v>163</v>
      </c>
      <c r="AF426" s="15"/>
      <c r="AG426" s="24" t="n">
        <f aca="false">SUMIFS(Permissions!$G$2:$G$3000,Permissions!$B$2:$B$3000,$A426,Permissions!$I$2:$I$3000,"Complete",Permissions!$P$2:$P$3000,"Yes")</f>
        <v>0</v>
      </c>
      <c r="AH426" s="24" t="n">
        <f aca="false">SUMIFS(Permissions!$G$2:$G$3000,Permissions!$B$2:$B$3000,$A426,Permissions!$I$2:$I$3000,"Under construction",Permissions!$P$2:$P$3000,"Yes")</f>
        <v>0</v>
      </c>
      <c r="AI426" s="24" t="n">
        <f aca="false">SUMIFS(Permissions!$G$2:$G$3000,Permissions!$B$2:$B$3000,$A426,Permissions!$I$2:$I$3000,"Permitted – not started",Permissions!$P$2:$P$3000,"Yes")</f>
        <v>0</v>
      </c>
      <c r="AJ426" s="24" t="n">
        <f aca="false">SUMIFS(Permissions!$G$2:$G$3000,Permissions!$B$2:$B$3000,$A426,Permissions!$I$2:$I$3000,"Stalled",Permissions!$P$2:$P$3000,"Yes")</f>
        <v>0</v>
      </c>
      <c r="AK426" s="24" t="n">
        <f aca="false">AG426+AH426+AI426+AJ426</f>
        <v>0</v>
      </c>
      <c r="AL426" s="24" t="n">
        <f aca="false">SUMIFS(Permissions!$G$2:$G$3000,Permissions!$B$2:$B$3000,$A426,Permissions!$I$2:$I$3000,"Expired – not started",Permissions!$P$2:$P$3000,"Yes")</f>
        <v>0</v>
      </c>
      <c r="AM426" s="24" t="n">
        <f aca="false">SUMIFS(Permissions!$G$2:$G$3000,Permissions!$B$2:$B$3000,$A426,Permissions!$I$2:$I$3000,"In planning",Permissions!$P$2:$P$3000,"Yes")</f>
        <v>0</v>
      </c>
      <c r="AN426" s="24" t="n">
        <f aca="false">IF(R426="",0,MAX(R426-AK426,0))</f>
        <v>6</v>
      </c>
      <c r="AO426" s="25" t="n">
        <f aca="false">AK426+AN426</f>
        <v>6</v>
      </c>
      <c r="AP426" s="24" t="n">
        <f aca="false">AO426-AG426</f>
        <v>6</v>
      </c>
      <c r="AQ426" s="26" t="n">
        <f aca="false">SUMIFS(Permissions!$AH$2:$AH$3000,Permissions!$B$2:$B$3000,$A426,Permissions!$P$2:$P$3000,"Yes")</f>
        <v>0</v>
      </c>
      <c r="AR426" s="26" t="n">
        <f aca="false">SUMIFS(Permissions!$AI$2:$AI$3000,Permissions!$B$2:$B$3000,$A426,Permissions!$P$2:$P$3000,"Yes")</f>
        <v>0</v>
      </c>
      <c r="AS426" s="26" t="n">
        <f aca="false">SUMIFS(Permissions!$AJ$2:$AJ$3000,Permissions!$B$2:$B$3000,$A426,Permissions!$P$2:$P$3000,"Yes")</f>
        <v>0</v>
      </c>
      <c r="AT426" s="26" t="n">
        <f aca="false">SUMIFS(Permissions!$AK$2:$AK$3000,Permissions!$B$2:$B$3000,$A426,Permissions!$P$2:$P$3000,"Yes")</f>
        <v>0</v>
      </c>
      <c r="AU426" s="26" t="n">
        <f aca="false">SUMIFS(Permissions!$AL$2:$AL$3000,Permissions!$B$2:$B$3000,$A426,Permissions!$P$2:$P$3000,"Yes")</f>
        <v>0</v>
      </c>
      <c r="AV426" s="26" t="n">
        <f aca="false">SUMIFS(Permissions!$AM$2:$AM$3000,Permissions!$B$2:$B$3000,$A426,Permissions!$P$2:$P$3000,"Yes")</f>
        <v>0</v>
      </c>
      <c r="AW426" s="24" t="n">
        <f aca="false">COUNTIFS(Permissions!$B$2:$B$3000,$A426,Permissions!$P$2:$P$3000,"Yes")</f>
        <v>0</v>
      </c>
      <c r="AX426" s="24" t="n">
        <f aca="false">SUMIFS(Permissions!$L$2:$L$3000,Permissions!$B$2:$B$3000,$A426,Permissions!$P$2:$P$3000,"Yes")</f>
        <v>0</v>
      </c>
      <c r="AY426" s="27" t="str">
        <f aca="false">IF(AND(AK426&gt;0,AG426&gt;=AK426,AN426=0),"Built out",IF(AG426&gt;0,"Partly built",IF(AK426&gt;0,"Consented – not built","No consent")))</f>
        <v>No consent</v>
      </c>
      <c r="AZ426" s="28" t="str">
        <f aca="false">IF(AND(R426&lt;&gt;"",AK426&gt;1.1*R426),"Consented above capacity",IF(AND(LEFT(B426,8)="Planning",AW426=0),"Consent parcel with no permission",IF(COUNTIF($A$2:$A$3000,$A426)&gt;1,"Duplicate parcel_id","")))</f>
        <v/>
      </c>
    </row>
    <row r="427" customFormat="false" ht="15" hidden="false" customHeight="false" outlineLevel="0" collapsed="false">
      <c r="A427" s="15" t="s">
        <v>875</v>
      </c>
      <c r="B427" s="15" t="s">
        <v>13</v>
      </c>
      <c r="C427" s="15" t="s">
        <v>17</v>
      </c>
      <c r="D427" s="15" t="s">
        <v>64</v>
      </c>
      <c r="E427" s="15" t="s">
        <v>20</v>
      </c>
      <c r="F427" s="15" t="n">
        <v>1</v>
      </c>
      <c r="G427" s="15" t="s">
        <v>154</v>
      </c>
      <c r="H427" s="15"/>
      <c r="I427" s="15" t="s">
        <v>17</v>
      </c>
      <c r="J427" s="15" t="s">
        <v>568</v>
      </c>
      <c r="K427" s="15" t="s">
        <v>855</v>
      </c>
      <c r="L427" s="15"/>
      <c r="M427" s="15" t="s">
        <v>733</v>
      </c>
      <c r="N427" s="15"/>
      <c r="O427" s="15"/>
      <c r="P427" s="15" t="n">
        <v>0.254</v>
      </c>
      <c r="Q427" s="15" t="n">
        <v>0.279</v>
      </c>
      <c r="R427" s="15" t="n">
        <v>6</v>
      </c>
      <c r="S427" s="15" t="s">
        <v>734</v>
      </c>
      <c r="T427" s="15" t="s">
        <v>856</v>
      </c>
      <c r="U427" s="15" t="s">
        <v>736</v>
      </c>
      <c r="V427" s="15"/>
      <c r="W427" s="15" t="s">
        <v>746</v>
      </c>
      <c r="X427" s="15" t="n">
        <v>25</v>
      </c>
      <c r="Y427" s="15" t="s">
        <v>747</v>
      </c>
      <c r="Z427" s="15" t="n">
        <v>0</v>
      </c>
      <c r="AA427" s="15" t="n">
        <v>0</v>
      </c>
      <c r="AB427" s="15" t="n">
        <v>0</v>
      </c>
      <c r="AC427" s="15"/>
      <c r="AD427" s="15"/>
      <c r="AE427" s="15" t="s">
        <v>163</v>
      </c>
      <c r="AF427" s="15"/>
      <c r="AG427" s="24" t="n">
        <f aca="false">SUMIFS(Permissions!$G$2:$G$3000,Permissions!$B$2:$B$3000,$A427,Permissions!$I$2:$I$3000,"Complete",Permissions!$P$2:$P$3000,"Yes")</f>
        <v>0</v>
      </c>
      <c r="AH427" s="24" t="n">
        <f aca="false">SUMIFS(Permissions!$G$2:$G$3000,Permissions!$B$2:$B$3000,$A427,Permissions!$I$2:$I$3000,"Under construction",Permissions!$P$2:$P$3000,"Yes")</f>
        <v>0</v>
      </c>
      <c r="AI427" s="24" t="n">
        <f aca="false">SUMIFS(Permissions!$G$2:$G$3000,Permissions!$B$2:$B$3000,$A427,Permissions!$I$2:$I$3000,"Permitted – not started",Permissions!$P$2:$P$3000,"Yes")</f>
        <v>0</v>
      </c>
      <c r="AJ427" s="24" t="n">
        <f aca="false">SUMIFS(Permissions!$G$2:$G$3000,Permissions!$B$2:$B$3000,$A427,Permissions!$I$2:$I$3000,"Stalled",Permissions!$P$2:$P$3000,"Yes")</f>
        <v>0</v>
      </c>
      <c r="AK427" s="24" t="n">
        <f aca="false">AG427+AH427+AI427+AJ427</f>
        <v>0</v>
      </c>
      <c r="AL427" s="24" t="n">
        <f aca="false">SUMIFS(Permissions!$G$2:$G$3000,Permissions!$B$2:$B$3000,$A427,Permissions!$I$2:$I$3000,"Expired – not started",Permissions!$P$2:$P$3000,"Yes")</f>
        <v>0</v>
      </c>
      <c r="AM427" s="24" t="n">
        <f aca="false">SUMIFS(Permissions!$G$2:$G$3000,Permissions!$B$2:$B$3000,$A427,Permissions!$I$2:$I$3000,"In planning",Permissions!$P$2:$P$3000,"Yes")</f>
        <v>0</v>
      </c>
      <c r="AN427" s="24" t="n">
        <f aca="false">IF(R427="",0,MAX(R427-AK427,0))</f>
        <v>6</v>
      </c>
      <c r="AO427" s="25" t="n">
        <f aca="false">AK427+AN427</f>
        <v>6</v>
      </c>
      <c r="AP427" s="24" t="n">
        <f aca="false">AO427-AG427</f>
        <v>6</v>
      </c>
      <c r="AQ427" s="26" t="n">
        <f aca="false">SUMIFS(Permissions!$AH$2:$AH$3000,Permissions!$B$2:$B$3000,$A427,Permissions!$P$2:$P$3000,"Yes")</f>
        <v>0</v>
      </c>
      <c r="AR427" s="26" t="n">
        <f aca="false">SUMIFS(Permissions!$AI$2:$AI$3000,Permissions!$B$2:$B$3000,$A427,Permissions!$P$2:$P$3000,"Yes")</f>
        <v>0</v>
      </c>
      <c r="AS427" s="26" t="n">
        <f aca="false">SUMIFS(Permissions!$AJ$2:$AJ$3000,Permissions!$B$2:$B$3000,$A427,Permissions!$P$2:$P$3000,"Yes")</f>
        <v>0</v>
      </c>
      <c r="AT427" s="26" t="n">
        <f aca="false">SUMIFS(Permissions!$AK$2:$AK$3000,Permissions!$B$2:$B$3000,$A427,Permissions!$P$2:$P$3000,"Yes")</f>
        <v>0</v>
      </c>
      <c r="AU427" s="26" t="n">
        <f aca="false">SUMIFS(Permissions!$AL$2:$AL$3000,Permissions!$B$2:$B$3000,$A427,Permissions!$P$2:$P$3000,"Yes")</f>
        <v>0</v>
      </c>
      <c r="AV427" s="26" t="n">
        <f aca="false">SUMIFS(Permissions!$AM$2:$AM$3000,Permissions!$B$2:$B$3000,$A427,Permissions!$P$2:$P$3000,"Yes")</f>
        <v>0</v>
      </c>
      <c r="AW427" s="24" t="n">
        <f aca="false">COUNTIFS(Permissions!$B$2:$B$3000,$A427,Permissions!$P$2:$P$3000,"Yes")</f>
        <v>0</v>
      </c>
      <c r="AX427" s="24" t="n">
        <f aca="false">SUMIFS(Permissions!$L$2:$L$3000,Permissions!$B$2:$B$3000,$A427,Permissions!$P$2:$P$3000,"Yes")</f>
        <v>0</v>
      </c>
      <c r="AY427" s="27" t="str">
        <f aca="false">IF(AND(AK427&gt;0,AG427&gt;=AK427,AN427=0),"Built out",IF(AG427&gt;0,"Partly built",IF(AK427&gt;0,"Consented – not built","No consent")))</f>
        <v>No consent</v>
      </c>
      <c r="AZ427" s="28" t="str">
        <f aca="false">IF(AND(R427&lt;&gt;"",AK427&gt;1.1*R427),"Consented above capacity",IF(AND(LEFT(B427,8)="Planning",AW427=0),"Consent parcel with no permission",IF(COUNTIF($A$2:$A$3000,$A427)&gt;1,"Duplicate parcel_id","")))</f>
        <v/>
      </c>
    </row>
    <row r="428" customFormat="false" ht="15" hidden="false" customHeight="false" outlineLevel="0" collapsed="false">
      <c r="A428" s="15" t="s">
        <v>876</v>
      </c>
      <c r="B428" s="15" t="s">
        <v>13</v>
      </c>
      <c r="C428" s="15" t="s">
        <v>17</v>
      </c>
      <c r="D428" s="15" t="s">
        <v>64</v>
      </c>
      <c r="E428" s="15" t="s">
        <v>20</v>
      </c>
      <c r="F428" s="15" t="n">
        <v>1</v>
      </c>
      <c r="G428" s="15" t="s">
        <v>154</v>
      </c>
      <c r="H428" s="15"/>
      <c r="I428" s="15" t="s">
        <v>17</v>
      </c>
      <c r="J428" s="15" t="s">
        <v>568</v>
      </c>
      <c r="K428" s="15" t="s">
        <v>855</v>
      </c>
      <c r="L428" s="15"/>
      <c r="M428" s="15" t="s">
        <v>733</v>
      </c>
      <c r="N428" s="15"/>
      <c r="O428" s="15"/>
      <c r="P428" s="15" t="n">
        <v>0.724</v>
      </c>
      <c r="Q428" s="15" t="n">
        <v>0.796</v>
      </c>
      <c r="R428" s="15" t="n">
        <v>18</v>
      </c>
      <c r="S428" s="15" t="s">
        <v>734</v>
      </c>
      <c r="T428" s="15" t="s">
        <v>856</v>
      </c>
      <c r="U428" s="15" t="s">
        <v>736</v>
      </c>
      <c r="V428" s="15"/>
      <c r="W428" s="15" t="s">
        <v>746</v>
      </c>
      <c r="X428" s="15" t="n">
        <v>25</v>
      </c>
      <c r="Y428" s="15" t="s">
        <v>747</v>
      </c>
      <c r="Z428" s="15" t="n">
        <v>0</v>
      </c>
      <c r="AA428" s="15" t="n">
        <v>0</v>
      </c>
      <c r="AB428" s="15" t="n">
        <v>0</v>
      </c>
      <c r="AC428" s="15"/>
      <c r="AD428" s="15"/>
      <c r="AE428" s="15" t="s">
        <v>163</v>
      </c>
      <c r="AF428" s="15"/>
      <c r="AG428" s="24" t="n">
        <f aca="false">SUMIFS(Permissions!$G$2:$G$3000,Permissions!$B$2:$B$3000,$A428,Permissions!$I$2:$I$3000,"Complete",Permissions!$P$2:$P$3000,"Yes")</f>
        <v>0</v>
      </c>
      <c r="AH428" s="24" t="n">
        <f aca="false">SUMIFS(Permissions!$G$2:$G$3000,Permissions!$B$2:$B$3000,$A428,Permissions!$I$2:$I$3000,"Under construction",Permissions!$P$2:$P$3000,"Yes")</f>
        <v>0</v>
      </c>
      <c r="AI428" s="24" t="n">
        <f aca="false">SUMIFS(Permissions!$G$2:$G$3000,Permissions!$B$2:$B$3000,$A428,Permissions!$I$2:$I$3000,"Permitted – not started",Permissions!$P$2:$P$3000,"Yes")</f>
        <v>0</v>
      </c>
      <c r="AJ428" s="24" t="n">
        <f aca="false">SUMIFS(Permissions!$G$2:$G$3000,Permissions!$B$2:$B$3000,$A428,Permissions!$I$2:$I$3000,"Stalled",Permissions!$P$2:$P$3000,"Yes")</f>
        <v>0</v>
      </c>
      <c r="AK428" s="24" t="n">
        <f aca="false">AG428+AH428+AI428+AJ428</f>
        <v>0</v>
      </c>
      <c r="AL428" s="24" t="n">
        <f aca="false">SUMIFS(Permissions!$G$2:$G$3000,Permissions!$B$2:$B$3000,$A428,Permissions!$I$2:$I$3000,"Expired – not started",Permissions!$P$2:$P$3000,"Yes")</f>
        <v>0</v>
      </c>
      <c r="AM428" s="24" t="n">
        <f aca="false">SUMIFS(Permissions!$G$2:$G$3000,Permissions!$B$2:$B$3000,$A428,Permissions!$I$2:$I$3000,"In planning",Permissions!$P$2:$P$3000,"Yes")</f>
        <v>0</v>
      </c>
      <c r="AN428" s="24" t="n">
        <f aca="false">IF(R428="",0,MAX(R428-AK428,0))</f>
        <v>18</v>
      </c>
      <c r="AO428" s="25" t="n">
        <f aca="false">AK428+AN428</f>
        <v>18</v>
      </c>
      <c r="AP428" s="24" t="n">
        <f aca="false">AO428-AG428</f>
        <v>18</v>
      </c>
      <c r="AQ428" s="26" t="n">
        <f aca="false">SUMIFS(Permissions!$AH$2:$AH$3000,Permissions!$B$2:$B$3000,$A428,Permissions!$P$2:$P$3000,"Yes")</f>
        <v>0</v>
      </c>
      <c r="AR428" s="26" t="n">
        <f aca="false">SUMIFS(Permissions!$AI$2:$AI$3000,Permissions!$B$2:$B$3000,$A428,Permissions!$P$2:$P$3000,"Yes")</f>
        <v>0</v>
      </c>
      <c r="AS428" s="26" t="n">
        <f aca="false">SUMIFS(Permissions!$AJ$2:$AJ$3000,Permissions!$B$2:$B$3000,$A428,Permissions!$P$2:$P$3000,"Yes")</f>
        <v>0</v>
      </c>
      <c r="AT428" s="26" t="n">
        <f aca="false">SUMIFS(Permissions!$AK$2:$AK$3000,Permissions!$B$2:$B$3000,$A428,Permissions!$P$2:$P$3000,"Yes")</f>
        <v>0</v>
      </c>
      <c r="AU428" s="26" t="n">
        <f aca="false">SUMIFS(Permissions!$AL$2:$AL$3000,Permissions!$B$2:$B$3000,$A428,Permissions!$P$2:$P$3000,"Yes")</f>
        <v>0</v>
      </c>
      <c r="AV428" s="26" t="n">
        <f aca="false">SUMIFS(Permissions!$AM$2:$AM$3000,Permissions!$B$2:$B$3000,$A428,Permissions!$P$2:$P$3000,"Yes")</f>
        <v>0</v>
      </c>
      <c r="AW428" s="24" t="n">
        <f aca="false">COUNTIFS(Permissions!$B$2:$B$3000,$A428,Permissions!$P$2:$P$3000,"Yes")</f>
        <v>0</v>
      </c>
      <c r="AX428" s="24" t="n">
        <f aca="false">SUMIFS(Permissions!$L$2:$L$3000,Permissions!$B$2:$B$3000,$A428,Permissions!$P$2:$P$3000,"Yes")</f>
        <v>0</v>
      </c>
      <c r="AY428" s="27" t="str">
        <f aca="false">IF(AND(AK428&gt;0,AG428&gt;=AK428,AN428=0),"Built out",IF(AG428&gt;0,"Partly built",IF(AK428&gt;0,"Consented – not built","No consent")))</f>
        <v>No consent</v>
      </c>
      <c r="AZ428" s="28" t="str">
        <f aca="false">IF(AND(R428&lt;&gt;"",AK428&gt;1.1*R428),"Consented above capacity",IF(AND(LEFT(B428,8)="Planning",AW428=0),"Consent parcel with no permission",IF(COUNTIF($A$2:$A$3000,$A428)&gt;1,"Duplicate parcel_id","")))</f>
        <v/>
      </c>
    </row>
    <row r="429" customFormat="false" ht="15" hidden="false" customHeight="false" outlineLevel="0" collapsed="false">
      <c r="A429" s="15" t="s">
        <v>877</v>
      </c>
      <c r="B429" s="15" t="s">
        <v>13</v>
      </c>
      <c r="C429" s="15" t="s">
        <v>17</v>
      </c>
      <c r="D429" s="15" t="s">
        <v>74</v>
      </c>
      <c r="E429" s="15" t="s">
        <v>21</v>
      </c>
      <c r="F429" s="15" t="n">
        <v>1</v>
      </c>
      <c r="G429" s="15" t="s">
        <v>154</v>
      </c>
      <c r="H429" s="15"/>
      <c r="I429" s="15" t="s">
        <v>17</v>
      </c>
      <c r="J429" s="15" t="s">
        <v>155</v>
      </c>
      <c r="K429" s="15" t="s">
        <v>878</v>
      </c>
      <c r="L429" s="15"/>
      <c r="M429" s="15" t="s">
        <v>879</v>
      </c>
      <c r="N429" s="15"/>
      <c r="O429" s="15"/>
      <c r="P429" s="15" t="n">
        <v>0.192</v>
      </c>
      <c r="Q429" s="15" t="n">
        <v>0.211</v>
      </c>
      <c r="R429" s="15" t="n">
        <v>5</v>
      </c>
      <c r="S429" s="15" t="s">
        <v>734</v>
      </c>
      <c r="T429" s="15" t="s">
        <v>880</v>
      </c>
      <c r="U429" s="15" t="s">
        <v>752</v>
      </c>
      <c r="V429" s="15"/>
      <c r="W429" s="15" t="s">
        <v>746</v>
      </c>
      <c r="X429" s="15" t="n">
        <v>25</v>
      </c>
      <c r="Y429" s="15" t="s">
        <v>747</v>
      </c>
      <c r="Z429" s="15" t="n">
        <v>1</v>
      </c>
      <c r="AA429" s="15" t="n">
        <v>0</v>
      </c>
      <c r="AB429" s="15" t="n">
        <v>0</v>
      </c>
      <c r="AC429" s="15"/>
      <c r="AD429" s="15"/>
      <c r="AE429" s="15" t="s">
        <v>163</v>
      </c>
      <c r="AF429" s="15"/>
      <c r="AG429" s="24" t="n">
        <f aca="false">SUMIFS(Permissions!$G$2:$G$3000,Permissions!$B$2:$B$3000,$A429,Permissions!$I$2:$I$3000,"Complete",Permissions!$P$2:$P$3000,"Yes")</f>
        <v>0</v>
      </c>
      <c r="AH429" s="24" t="n">
        <f aca="false">SUMIFS(Permissions!$G$2:$G$3000,Permissions!$B$2:$B$3000,$A429,Permissions!$I$2:$I$3000,"Under construction",Permissions!$P$2:$P$3000,"Yes")</f>
        <v>0</v>
      </c>
      <c r="AI429" s="24" t="n">
        <f aca="false">SUMIFS(Permissions!$G$2:$G$3000,Permissions!$B$2:$B$3000,$A429,Permissions!$I$2:$I$3000,"Permitted – not started",Permissions!$P$2:$P$3000,"Yes")</f>
        <v>0</v>
      </c>
      <c r="AJ429" s="24" t="n">
        <f aca="false">SUMIFS(Permissions!$G$2:$G$3000,Permissions!$B$2:$B$3000,$A429,Permissions!$I$2:$I$3000,"Stalled",Permissions!$P$2:$P$3000,"Yes")</f>
        <v>0</v>
      </c>
      <c r="AK429" s="24" t="n">
        <f aca="false">AG429+AH429+AI429+AJ429</f>
        <v>0</v>
      </c>
      <c r="AL429" s="24" t="n">
        <f aca="false">SUMIFS(Permissions!$G$2:$G$3000,Permissions!$B$2:$B$3000,$A429,Permissions!$I$2:$I$3000,"Expired – not started",Permissions!$P$2:$P$3000,"Yes")</f>
        <v>0</v>
      </c>
      <c r="AM429" s="24" t="n">
        <f aca="false">SUMIFS(Permissions!$G$2:$G$3000,Permissions!$B$2:$B$3000,$A429,Permissions!$I$2:$I$3000,"In planning",Permissions!$P$2:$P$3000,"Yes")</f>
        <v>0</v>
      </c>
      <c r="AN429" s="24" t="n">
        <f aca="false">IF(R429="",0,MAX(R429-AK429,0))</f>
        <v>5</v>
      </c>
      <c r="AO429" s="25" t="n">
        <f aca="false">AK429+AN429</f>
        <v>5</v>
      </c>
      <c r="AP429" s="24" t="n">
        <f aca="false">AO429-AG429</f>
        <v>5</v>
      </c>
      <c r="AQ429" s="26" t="n">
        <f aca="false">SUMIFS(Permissions!$AH$2:$AH$3000,Permissions!$B$2:$B$3000,$A429,Permissions!$P$2:$P$3000,"Yes")</f>
        <v>0</v>
      </c>
      <c r="AR429" s="26" t="n">
        <f aca="false">SUMIFS(Permissions!$AI$2:$AI$3000,Permissions!$B$2:$B$3000,$A429,Permissions!$P$2:$P$3000,"Yes")</f>
        <v>0</v>
      </c>
      <c r="AS429" s="26" t="n">
        <f aca="false">SUMIFS(Permissions!$AJ$2:$AJ$3000,Permissions!$B$2:$B$3000,$A429,Permissions!$P$2:$P$3000,"Yes")</f>
        <v>0</v>
      </c>
      <c r="AT429" s="26" t="n">
        <f aca="false">SUMIFS(Permissions!$AK$2:$AK$3000,Permissions!$B$2:$B$3000,$A429,Permissions!$P$2:$P$3000,"Yes")</f>
        <v>0</v>
      </c>
      <c r="AU429" s="26" t="n">
        <f aca="false">SUMIFS(Permissions!$AL$2:$AL$3000,Permissions!$B$2:$B$3000,$A429,Permissions!$P$2:$P$3000,"Yes")</f>
        <v>0</v>
      </c>
      <c r="AV429" s="26" t="n">
        <f aca="false">SUMIFS(Permissions!$AM$2:$AM$3000,Permissions!$B$2:$B$3000,$A429,Permissions!$P$2:$P$3000,"Yes")</f>
        <v>0</v>
      </c>
      <c r="AW429" s="24" t="n">
        <f aca="false">COUNTIFS(Permissions!$B$2:$B$3000,$A429,Permissions!$P$2:$P$3000,"Yes")</f>
        <v>0</v>
      </c>
      <c r="AX429" s="24" t="n">
        <f aca="false">SUMIFS(Permissions!$L$2:$L$3000,Permissions!$B$2:$B$3000,$A429,Permissions!$P$2:$P$3000,"Yes")</f>
        <v>0</v>
      </c>
      <c r="AY429" s="27" t="str">
        <f aca="false">IF(AND(AK429&gt;0,AG429&gt;=AK429,AN429=0),"Built out",IF(AG429&gt;0,"Partly built",IF(AK429&gt;0,"Consented – not built","No consent")))</f>
        <v>No consent</v>
      </c>
      <c r="AZ429" s="28" t="str">
        <f aca="false">IF(AND(R429&lt;&gt;"",AK429&gt;1.1*R429),"Consented above capacity",IF(AND(LEFT(B429,8)="Planning",AW429=0),"Consent parcel with no permission",IF(COUNTIF($A$2:$A$3000,$A429)&gt;1,"Duplicate parcel_id","")))</f>
        <v/>
      </c>
    </row>
    <row r="430" customFormat="false" ht="15" hidden="false" customHeight="false" outlineLevel="0" collapsed="false">
      <c r="A430" s="15" t="s">
        <v>881</v>
      </c>
      <c r="B430" s="15" t="s">
        <v>13</v>
      </c>
      <c r="C430" s="15" t="s">
        <v>17</v>
      </c>
      <c r="D430" s="15" t="s">
        <v>74</v>
      </c>
      <c r="E430" s="15" t="s">
        <v>21</v>
      </c>
      <c r="F430" s="15" t="n">
        <v>1</v>
      </c>
      <c r="G430" s="15" t="s">
        <v>154</v>
      </c>
      <c r="H430" s="15"/>
      <c r="I430" s="15" t="s">
        <v>17</v>
      </c>
      <c r="J430" s="15" t="s">
        <v>155</v>
      </c>
      <c r="K430" s="15" t="s">
        <v>878</v>
      </c>
      <c r="L430" s="15"/>
      <c r="M430" s="15" t="s">
        <v>879</v>
      </c>
      <c r="N430" s="15"/>
      <c r="O430" s="15"/>
      <c r="P430" s="15" t="n">
        <v>0.121</v>
      </c>
      <c r="Q430" s="15" t="n">
        <v>0.133</v>
      </c>
      <c r="R430" s="15" t="n">
        <v>3</v>
      </c>
      <c r="S430" s="15" t="s">
        <v>734</v>
      </c>
      <c r="T430" s="15" t="s">
        <v>880</v>
      </c>
      <c r="U430" s="15" t="s">
        <v>752</v>
      </c>
      <c r="V430" s="15"/>
      <c r="W430" s="15" t="s">
        <v>746</v>
      </c>
      <c r="X430" s="15" t="n">
        <v>25</v>
      </c>
      <c r="Y430" s="15" t="s">
        <v>747</v>
      </c>
      <c r="Z430" s="15" t="n">
        <v>1</v>
      </c>
      <c r="AA430" s="15" t="n">
        <v>0</v>
      </c>
      <c r="AB430" s="15" t="n">
        <v>0</v>
      </c>
      <c r="AC430" s="15"/>
      <c r="AD430" s="15"/>
      <c r="AE430" s="15" t="s">
        <v>163</v>
      </c>
      <c r="AF430" s="15"/>
      <c r="AG430" s="24" t="n">
        <f aca="false">SUMIFS(Permissions!$G$2:$G$3000,Permissions!$B$2:$B$3000,$A430,Permissions!$I$2:$I$3000,"Complete",Permissions!$P$2:$P$3000,"Yes")</f>
        <v>0</v>
      </c>
      <c r="AH430" s="24" t="n">
        <f aca="false">SUMIFS(Permissions!$G$2:$G$3000,Permissions!$B$2:$B$3000,$A430,Permissions!$I$2:$I$3000,"Under construction",Permissions!$P$2:$P$3000,"Yes")</f>
        <v>0</v>
      </c>
      <c r="AI430" s="24" t="n">
        <f aca="false">SUMIFS(Permissions!$G$2:$G$3000,Permissions!$B$2:$B$3000,$A430,Permissions!$I$2:$I$3000,"Permitted – not started",Permissions!$P$2:$P$3000,"Yes")</f>
        <v>0</v>
      </c>
      <c r="AJ430" s="24" t="n">
        <f aca="false">SUMIFS(Permissions!$G$2:$G$3000,Permissions!$B$2:$B$3000,$A430,Permissions!$I$2:$I$3000,"Stalled",Permissions!$P$2:$P$3000,"Yes")</f>
        <v>0</v>
      </c>
      <c r="AK430" s="24" t="n">
        <f aca="false">AG430+AH430+AI430+AJ430</f>
        <v>0</v>
      </c>
      <c r="AL430" s="24" t="n">
        <f aca="false">SUMIFS(Permissions!$G$2:$G$3000,Permissions!$B$2:$B$3000,$A430,Permissions!$I$2:$I$3000,"Expired – not started",Permissions!$P$2:$P$3000,"Yes")</f>
        <v>0</v>
      </c>
      <c r="AM430" s="24" t="n">
        <f aca="false">SUMIFS(Permissions!$G$2:$G$3000,Permissions!$B$2:$B$3000,$A430,Permissions!$I$2:$I$3000,"In planning",Permissions!$P$2:$P$3000,"Yes")</f>
        <v>0</v>
      </c>
      <c r="AN430" s="24" t="n">
        <f aca="false">IF(R430="",0,MAX(R430-AK430,0))</f>
        <v>3</v>
      </c>
      <c r="AO430" s="25" t="n">
        <f aca="false">AK430+AN430</f>
        <v>3</v>
      </c>
      <c r="AP430" s="24" t="n">
        <f aca="false">AO430-AG430</f>
        <v>3</v>
      </c>
      <c r="AQ430" s="26" t="n">
        <f aca="false">SUMIFS(Permissions!$AH$2:$AH$3000,Permissions!$B$2:$B$3000,$A430,Permissions!$P$2:$P$3000,"Yes")</f>
        <v>0</v>
      </c>
      <c r="AR430" s="26" t="n">
        <f aca="false">SUMIFS(Permissions!$AI$2:$AI$3000,Permissions!$B$2:$B$3000,$A430,Permissions!$P$2:$P$3000,"Yes")</f>
        <v>0</v>
      </c>
      <c r="AS430" s="26" t="n">
        <f aca="false">SUMIFS(Permissions!$AJ$2:$AJ$3000,Permissions!$B$2:$B$3000,$A430,Permissions!$P$2:$P$3000,"Yes")</f>
        <v>0</v>
      </c>
      <c r="AT430" s="26" t="n">
        <f aca="false">SUMIFS(Permissions!$AK$2:$AK$3000,Permissions!$B$2:$B$3000,$A430,Permissions!$P$2:$P$3000,"Yes")</f>
        <v>0</v>
      </c>
      <c r="AU430" s="26" t="n">
        <f aca="false">SUMIFS(Permissions!$AL$2:$AL$3000,Permissions!$B$2:$B$3000,$A430,Permissions!$P$2:$P$3000,"Yes")</f>
        <v>0</v>
      </c>
      <c r="AV430" s="26" t="n">
        <f aca="false">SUMIFS(Permissions!$AM$2:$AM$3000,Permissions!$B$2:$B$3000,$A430,Permissions!$P$2:$P$3000,"Yes")</f>
        <v>0</v>
      </c>
      <c r="AW430" s="24" t="n">
        <f aca="false">COUNTIFS(Permissions!$B$2:$B$3000,$A430,Permissions!$P$2:$P$3000,"Yes")</f>
        <v>0</v>
      </c>
      <c r="AX430" s="24" t="n">
        <f aca="false">SUMIFS(Permissions!$L$2:$L$3000,Permissions!$B$2:$B$3000,$A430,Permissions!$P$2:$P$3000,"Yes")</f>
        <v>0</v>
      </c>
      <c r="AY430" s="27" t="str">
        <f aca="false">IF(AND(AK430&gt;0,AG430&gt;=AK430,AN430=0),"Built out",IF(AG430&gt;0,"Partly built",IF(AK430&gt;0,"Consented – not built","No consent")))</f>
        <v>No consent</v>
      </c>
      <c r="AZ430" s="28" t="str">
        <f aca="false">IF(AND(R430&lt;&gt;"",AK430&gt;1.1*R430),"Consented above capacity",IF(AND(LEFT(B430,8)="Planning",AW430=0),"Consent parcel with no permission",IF(COUNTIF($A$2:$A$3000,$A430)&gt;1,"Duplicate parcel_id","")))</f>
        <v/>
      </c>
    </row>
    <row r="431" customFormat="false" ht="15" hidden="false" customHeight="false" outlineLevel="0" collapsed="false">
      <c r="A431" s="15" t="s">
        <v>882</v>
      </c>
      <c r="B431" s="15" t="s">
        <v>13</v>
      </c>
      <c r="C431" s="15" t="s">
        <v>17</v>
      </c>
      <c r="D431" s="15" t="s">
        <v>74</v>
      </c>
      <c r="E431" s="15" t="s">
        <v>21</v>
      </c>
      <c r="F431" s="15" t="n">
        <v>0</v>
      </c>
      <c r="G431" s="15" t="s">
        <v>883</v>
      </c>
      <c r="H431" s="15"/>
      <c r="I431" s="15" t="s">
        <v>17</v>
      </c>
      <c r="J431" s="15" t="s">
        <v>155</v>
      </c>
      <c r="K431" s="15" t="s">
        <v>884</v>
      </c>
      <c r="L431" s="15"/>
      <c r="M431" s="15" t="s">
        <v>751</v>
      </c>
      <c r="N431" s="15"/>
      <c r="O431" s="15"/>
      <c r="P431" s="15" t="n">
        <v>0.36</v>
      </c>
      <c r="Q431" s="15" t="n">
        <v>0.395</v>
      </c>
      <c r="R431" s="15" t="n">
        <v>7</v>
      </c>
      <c r="S431" s="15" t="s">
        <v>734</v>
      </c>
      <c r="T431" s="15" t="s">
        <v>880</v>
      </c>
      <c r="U431" s="15" t="s">
        <v>752</v>
      </c>
      <c r="V431" s="15"/>
      <c r="W431" s="15" t="s">
        <v>753</v>
      </c>
      <c r="X431" s="15" t="n">
        <v>19</v>
      </c>
      <c r="Y431" s="15" t="s">
        <v>754</v>
      </c>
      <c r="Z431" s="15" t="n">
        <v>0</v>
      </c>
      <c r="AA431" s="15" t="n">
        <v>0</v>
      </c>
      <c r="AB431" s="15" t="n">
        <v>0</v>
      </c>
      <c r="AC431" s="15"/>
      <c r="AD431" s="15"/>
      <c r="AE431" s="15" t="s">
        <v>163</v>
      </c>
      <c r="AF431" s="15"/>
      <c r="AG431" s="24" t="n">
        <f aca="false">SUMIFS(Permissions!$G$2:$G$3000,Permissions!$B$2:$B$3000,$A431,Permissions!$I$2:$I$3000,"Complete",Permissions!$P$2:$P$3000,"Yes")</f>
        <v>0</v>
      </c>
      <c r="AH431" s="24" t="n">
        <f aca="false">SUMIFS(Permissions!$G$2:$G$3000,Permissions!$B$2:$B$3000,$A431,Permissions!$I$2:$I$3000,"Under construction",Permissions!$P$2:$P$3000,"Yes")</f>
        <v>0</v>
      </c>
      <c r="AI431" s="24" t="n">
        <f aca="false">SUMIFS(Permissions!$G$2:$G$3000,Permissions!$B$2:$B$3000,$A431,Permissions!$I$2:$I$3000,"Permitted – not started",Permissions!$P$2:$P$3000,"Yes")</f>
        <v>0</v>
      </c>
      <c r="AJ431" s="24" t="n">
        <f aca="false">SUMIFS(Permissions!$G$2:$G$3000,Permissions!$B$2:$B$3000,$A431,Permissions!$I$2:$I$3000,"Stalled",Permissions!$P$2:$P$3000,"Yes")</f>
        <v>0</v>
      </c>
      <c r="AK431" s="24" t="n">
        <f aca="false">AG431+AH431+AI431+AJ431</f>
        <v>0</v>
      </c>
      <c r="AL431" s="24" t="n">
        <f aca="false">SUMIFS(Permissions!$G$2:$G$3000,Permissions!$B$2:$B$3000,$A431,Permissions!$I$2:$I$3000,"Expired – not started",Permissions!$P$2:$P$3000,"Yes")</f>
        <v>0</v>
      </c>
      <c r="AM431" s="24" t="n">
        <f aca="false">SUMIFS(Permissions!$G$2:$G$3000,Permissions!$B$2:$B$3000,$A431,Permissions!$I$2:$I$3000,"In planning",Permissions!$P$2:$P$3000,"Yes")</f>
        <v>0</v>
      </c>
      <c r="AN431" s="24" t="n">
        <f aca="false">IF(R431="",0,MAX(R431-AK431,0))</f>
        <v>7</v>
      </c>
      <c r="AO431" s="25" t="n">
        <f aca="false">AK431+AN431</f>
        <v>7</v>
      </c>
      <c r="AP431" s="24" t="n">
        <f aca="false">AO431-AG431</f>
        <v>7</v>
      </c>
      <c r="AQ431" s="26" t="n">
        <f aca="false">SUMIFS(Permissions!$AH$2:$AH$3000,Permissions!$B$2:$B$3000,$A431,Permissions!$P$2:$P$3000,"Yes")</f>
        <v>0</v>
      </c>
      <c r="AR431" s="26" t="n">
        <f aca="false">SUMIFS(Permissions!$AI$2:$AI$3000,Permissions!$B$2:$B$3000,$A431,Permissions!$P$2:$P$3000,"Yes")</f>
        <v>0</v>
      </c>
      <c r="AS431" s="26" t="n">
        <f aca="false">SUMIFS(Permissions!$AJ$2:$AJ$3000,Permissions!$B$2:$B$3000,$A431,Permissions!$P$2:$P$3000,"Yes")</f>
        <v>0</v>
      </c>
      <c r="AT431" s="26" t="n">
        <f aca="false">SUMIFS(Permissions!$AK$2:$AK$3000,Permissions!$B$2:$B$3000,$A431,Permissions!$P$2:$P$3000,"Yes")</f>
        <v>0</v>
      </c>
      <c r="AU431" s="26" t="n">
        <f aca="false">SUMIFS(Permissions!$AL$2:$AL$3000,Permissions!$B$2:$B$3000,$A431,Permissions!$P$2:$P$3000,"Yes")</f>
        <v>0</v>
      </c>
      <c r="AV431" s="26" t="n">
        <f aca="false">SUMIFS(Permissions!$AM$2:$AM$3000,Permissions!$B$2:$B$3000,$A431,Permissions!$P$2:$P$3000,"Yes")</f>
        <v>0</v>
      </c>
      <c r="AW431" s="24" t="n">
        <f aca="false">COUNTIFS(Permissions!$B$2:$B$3000,$A431,Permissions!$P$2:$P$3000,"Yes")</f>
        <v>0</v>
      </c>
      <c r="AX431" s="24" t="n">
        <f aca="false">SUMIFS(Permissions!$L$2:$L$3000,Permissions!$B$2:$B$3000,$A431,Permissions!$P$2:$P$3000,"Yes")</f>
        <v>0</v>
      </c>
      <c r="AY431" s="27" t="str">
        <f aca="false">IF(AND(AK431&gt;0,AG431&gt;=AK431,AN431=0),"Built out",IF(AG431&gt;0,"Partly built",IF(AK431&gt;0,"Consented – not built","No consent")))</f>
        <v>No consent</v>
      </c>
      <c r="AZ431" s="28" t="str">
        <f aca="false">IF(AND(R431&lt;&gt;"",AK431&gt;1.1*R431),"Consented above capacity",IF(AND(LEFT(B431,8)="Planning",AW431=0),"Consent parcel with no permission",IF(COUNTIF($A$2:$A$3000,$A431)&gt;1,"Duplicate parcel_id","")))</f>
        <v/>
      </c>
    </row>
    <row r="432" customFormat="false" ht="15" hidden="false" customHeight="false" outlineLevel="0" collapsed="false">
      <c r="A432" s="15" t="s">
        <v>885</v>
      </c>
      <c r="B432" s="15" t="s">
        <v>13</v>
      </c>
      <c r="C432" s="15" t="s">
        <v>17</v>
      </c>
      <c r="D432" s="15" t="s">
        <v>74</v>
      </c>
      <c r="E432" s="15" t="s">
        <v>21</v>
      </c>
      <c r="F432" s="15" t="n">
        <v>1</v>
      </c>
      <c r="G432" s="15" t="s">
        <v>154</v>
      </c>
      <c r="H432" s="15"/>
      <c r="I432" s="15" t="s">
        <v>17</v>
      </c>
      <c r="J432" s="15" t="s">
        <v>155</v>
      </c>
      <c r="K432" s="15" t="s">
        <v>878</v>
      </c>
      <c r="L432" s="15"/>
      <c r="M432" s="15" t="s">
        <v>879</v>
      </c>
      <c r="N432" s="15"/>
      <c r="O432" s="15"/>
      <c r="P432" s="15" t="n">
        <v>0.35</v>
      </c>
      <c r="Q432" s="15" t="n">
        <v>0.384</v>
      </c>
      <c r="R432" s="15" t="n">
        <v>9</v>
      </c>
      <c r="S432" s="15" t="s">
        <v>734</v>
      </c>
      <c r="T432" s="15" t="s">
        <v>880</v>
      </c>
      <c r="U432" s="15" t="s">
        <v>752</v>
      </c>
      <c r="V432" s="15"/>
      <c r="W432" s="15" t="s">
        <v>746</v>
      </c>
      <c r="X432" s="15" t="n">
        <v>25</v>
      </c>
      <c r="Y432" s="15" t="s">
        <v>747</v>
      </c>
      <c r="Z432" s="15" t="n">
        <v>1</v>
      </c>
      <c r="AA432" s="15" t="n">
        <v>0</v>
      </c>
      <c r="AB432" s="15" t="n">
        <v>0</v>
      </c>
      <c r="AC432" s="15"/>
      <c r="AD432" s="15"/>
      <c r="AE432" s="15" t="s">
        <v>163</v>
      </c>
      <c r="AF432" s="15"/>
      <c r="AG432" s="24" t="n">
        <f aca="false">SUMIFS(Permissions!$G$2:$G$3000,Permissions!$B$2:$B$3000,$A432,Permissions!$I$2:$I$3000,"Complete",Permissions!$P$2:$P$3000,"Yes")</f>
        <v>0</v>
      </c>
      <c r="AH432" s="24" t="n">
        <f aca="false">SUMIFS(Permissions!$G$2:$G$3000,Permissions!$B$2:$B$3000,$A432,Permissions!$I$2:$I$3000,"Under construction",Permissions!$P$2:$P$3000,"Yes")</f>
        <v>0</v>
      </c>
      <c r="AI432" s="24" t="n">
        <f aca="false">SUMIFS(Permissions!$G$2:$G$3000,Permissions!$B$2:$B$3000,$A432,Permissions!$I$2:$I$3000,"Permitted – not started",Permissions!$P$2:$P$3000,"Yes")</f>
        <v>0</v>
      </c>
      <c r="AJ432" s="24" t="n">
        <f aca="false">SUMIFS(Permissions!$G$2:$G$3000,Permissions!$B$2:$B$3000,$A432,Permissions!$I$2:$I$3000,"Stalled",Permissions!$P$2:$P$3000,"Yes")</f>
        <v>0</v>
      </c>
      <c r="AK432" s="24" t="n">
        <f aca="false">AG432+AH432+AI432+AJ432</f>
        <v>0</v>
      </c>
      <c r="AL432" s="24" t="n">
        <f aca="false">SUMIFS(Permissions!$G$2:$G$3000,Permissions!$B$2:$B$3000,$A432,Permissions!$I$2:$I$3000,"Expired – not started",Permissions!$P$2:$P$3000,"Yes")</f>
        <v>0</v>
      </c>
      <c r="AM432" s="24" t="n">
        <f aca="false">SUMIFS(Permissions!$G$2:$G$3000,Permissions!$B$2:$B$3000,$A432,Permissions!$I$2:$I$3000,"In planning",Permissions!$P$2:$P$3000,"Yes")</f>
        <v>0</v>
      </c>
      <c r="AN432" s="24" t="n">
        <f aca="false">IF(R432="",0,MAX(R432-AK432,0))</f>
        <v>9</v>
      </c>
      <c r="AO432" s="25" t="n">
        <f aca="false">AK432+AN432</f>
        <v>9</v>
      </c>
      <c r="AP432" s="24" t="n">
        <f aca="false">AO432-AG432</f>
        <v>9</v>
      </c>
      <c r="AQ432" s="26" t="n">
        <f aca="false">SUMIFS(Permissions!$AH$2:$AH$3000,Permissions!$B$2:$B$3000,$A432,Permissions!$P$2:$P$3000,"Yes")</f>
        <v>0</v>
      </c>
      <c r="AR432" s="26" t="n">
        <f aca="false">SUMIFS(Permissions!$AI$2:$AI$3000,Permissions!$B$2:$B$3000,$A432,Permissions!$P$2:$P$3000,"Yes")</f>
        <v>0</v>
      </c>
      <c r="AS432" s="26" t="n">
        <f aca="false">SUMIFS(Permissions!$AJ$2:$AJ$3000,Permissions!$B$2:$B$3000,$A432,Permissions!$P$2:$P$3000,"Yes")</f>
        <v>0</v>
      </c>
      <c r="AT432" s="26" t="n">
        <f aca="false">SUMIFS(Permissions!$AK$2:$AK$3000,Permissions!$B$2:$B$3000,$A432,Permissions!$P$2:$P$3000,"Yes")</f>
        <v>0</v>
      </c>
      <c r="AU432" s="26" t="n">
        <f aca="false">SUMIFS(Permissions!$AL$2:$AL$3000,Permissions!$B$2:$B$3000,$A432,Permissions!$P$2:$P$3000,"Yes")</f>
        <v>0</v>
      </c>
      <c r="AV432" s="26" t="n">
        <f aca="false">SUMIFS(Permissions!$AM$2:$AM$3000,Permissions!$B$2:$B$3000,$A432,Permissions!$P$2:$P$3000,"Yes")</f>
        <v>0</v>
      </c>
      <c r="AW432" s="24" t="n">
        <f aca="false">COUNTIFS(Permissions!$B$2:$B$3000,$A432,Permissions!$P$2:$P$3000,"Yes")</f>
        <v>0</v>
      </c>
      <c r="AX432" s="24" t="n">
        <f aca="false">SUMIFS(Permissions!$L$2:$L$3000,Permissions!$B$2:$B$3000,$A432,Permissions!$P$2:$P$3000,"Yes")</f>
        <v>0</v>
      </c>
      <c r="AY432" s="27" t="str">
        <f aca="false">IF(AND(AK432&gt;0,AG432&gt;=AK432,AN432=0),"Built out",IF(AG432&gt;0,"Partly built",IF(AK432&gt;0,"Consented – not built","No consent")))</f>
        <v>No consent</v>
      </c>
      <c r="AZ432" s="28" t="str">
        <f aca="false">IF(AND(R432&lt;&gt;"",AK432&gt;1.1*R432),"Consented above capacity",IF(AND(LEFT(B432,8)="Planning",AW432=0),"Consent parcel with no permission",IF(COUNTIF($A$2:$A$3000,$A432)&gt;1,"Duplicate parcel_id","")))</f>
        <v/>
      </c>
    </row>
    <row r="433" customFormat="false" ht="15" hidden="false" customHeight="false" outlineLevel="0" collapsed="false">
      <c r="A433" s="15" t="s">
        <v>886</v>
      </c>
      <c r="B433" s="15" t="s">
        <v>13</v>
      </c>
      <c r="C433" s="15" t="s">
        <v>17</v>
      </c>
      <c r="D433" s="15" t="s">
        <v>74</v>
      </c>
      <c r="E433" s="15" t="s">
        <v>21</v>
      </c>
      <c r="F433" s="15" t="n">
        <v>0.25</v>
      </c>
      <c r="G433" s="15" t="s">
        <v>154</v>
      </c>
      <c r="H433" s="15"/>
      <c r="I433" s="15" t="s">
        <v>17</v>
      </c>
      <c r="J433" s="15" t="s">
        <v>155</v>
      </c>
      <c r="K433" s="15" t="s">
        <v>887</v>
      </c>
      <c r="L433" s="15"/>
      <c r="M433" s="15" t="s">
        <v>888</v>
      </c>
      <c r="N433" s="15"/>
      <c r="O433" s="15"/>
      <c r="P433" s="15" t="n">
        <v>0.343</v>
      </c>
      <c r="Q433" s="15" t="n">
        <v>0.377</v>
      </c>
      <c r="R433" s="15" t="n">
        <v>9</v>
      </c>
      <c r="S433" s="15" t="s">
        <v>734</v>
      </c>
      <c r="T433" s="15" t="s">
        <v>880</v>
      </c>
      <c r="U433" s="15" t="s">
        <v>752</v>
      </c>
      <c r="V433" s="15" t="s">
        <v>889</v>
      </c>
      <c r="W433" s="15" t="s">
        <v>746</v>
      </c>
      <c r="X433" s="15" t="n">
        <v>25</v>
      </c>
      <c r="Y433" s="15" t="s">
        <v>747</v>
      </c>
      <c r="Z433" s="15" t="n">
        <v>0</v>
      </c>
      <c r="AA433" s="15" t="n">
        <v>0</v>
      </c>
      <c r="AB433" s="15" t="n">
        <v>0</v>
      </c>
      <c r="AC433" s="15"/>
      <c r="AD433" s="15" t="s">
        <v>890</v>
      </c>
      <c r="AE433" s="15" t="s">
        <v>163</v>
      </c>
      <c r="AF433" s="15"/>
      <c r="AG433" s="24" t="n">
        <f aca="false">SUMIFS(Permissions!$G$2:$G$3000,Permissions!$B$2:$B$3000,$A433,Permissions!$I$2:$I$3000,"Complete",Permissions!$P$2:$P$3000,"Yes")</f>
        <v>0</v>
      </c>
      <c r="AH433" s="24" t="n">
        <f aca="false">SUMIFS(Permissions!$G$2:$G$3000,Permissions!$B$2:$B$3000,$A433,Permissions!$I$2:$I$3000,"Under construction",Permissions!$P$2:$P$3000,"Yes")</f>
        <v>0</v>
      </c>
      <c r="AI433" s="24" t="n">
        <f aca="false">SUMIFS(Permissions!$G$2:$G$3000,Permissions!$B$2:$B$3000,$A433,Permissions!$I$2:$I$3000,"Permitted – not started",Permissions!$P$2:$P$3000,"Yes")</f>
        <v>0</v>
      </c>
      <c r="AJ433" s="24" t="n">
        <f aca="false">SUMIFS(Permissions!$G$2:$G$3000,Permissions!$B$2:$B$3000,$A433,Permissions!$I$2:$I$3000,"Stalled",Permissions!$P$2:$P$3000,"Yes")</f>
        <v>0</v>
      </c>
      <c r="AK433" s="24" t="n">
        <f aca="false">AG433+AH433+AI433+AJ433</f>
        <v>0</v>
      </c>
      <c r="AL433" s="24" t="n">
        <f aca="false">SUMIFS(Permissions!$G$2:$G$3000,Permissions!$B$2:$B$3000,$A433,Permissions!$I$2:$I$3000,"Expired – not started",Permissions!$P$2:$P$3000,"Yes")</f>
        <v>0</v>
      </c>
      <c r="AM433" s="24" t="n">
        <f aca="false">SUMIFS(Permissions!$G$2:$G$3000,Permissions!$B$2:$B$3000,$A433,Permissions!$I$2:$I$3000,"In planning",Permissions!$P$2:$P$3000,"Yes")</f>
        <v>0</v>
      </c>
      <c r="AN433" s="24" t="n">
        <f aca="false">IF(R433="",0,MAX(R433-AK433,0))</f>
        <v>9</v>
      </c>
      <c r="AO433" s="25" t="n">
        <f aca="false">AK433+AN433</f>
        <v>9</v>
      </c>
      <c r="AP433" s="24" t="n">
        <f aca="false">AO433-AG433</f>
        <v>9</v>
      </c>
      <c r="AQ433" s="26" t="n">
        <f aca="false">SUMIFS(Permissions!$AH$2:$AH$3000,Permissions!$B$2:$B$3000,$A433,Permissions!$P$2:$P$3000,"Yes")</f>
        <v>0</v>
      </c>
      <c r="AR433" s="26" t="n">
        <f aca="false">SUMIFS(Permissions!$AI$2:$AI$3000,Permissions!$B$2:$B$3000,$A433,Permissions!$P$2:$P$3000,"Yes")</f>
        <v>0</v>
      </c>
      <c r="AS433" s="26" t="n">
        <f aca="false">SUMIFS(Permissions!$AJ$2:$AJ$3000,Permissions!$B$2:$B$3000,$A433,Permissions!$P$2:$P$3000,"Yes")</f>
        <v>0</v>
      </c>
      <c r="AT433" s="26" t="n">
        <f aca="false">SUMIFS(Permissions!$AK$2:$AK$3000,Permissions!$B$2:$B$3000,$A433,Permissions!$P$2:$P$3000,"Yes")</f>
        <v>0</v>
      </c>
      <c r="AU433" s="26" t="n">
        <f aca="false">SUMIFS(Permissions!$AL$2:$AL$3000,Permissions!$B$2:$B$3000,$A433,Permissions!$P$2:$P$3000,"Yes")</f>
        <v>0</v>
      </c>
      <c r="AV433" s="26" t="n">
        <f aca="false">SUMIFS(Permissions!$AM$2:$AM$3000,Permissions!$B$2:$B$3000,$A433,Permissions!$P$2:$P$3000,"Yes")</f>
        <v>0</v>
      </c>
      <c r="AW433" s="24" t="n">
        <f aca="false">COUNTIFS(Permissions!$B$2:$B$3000,$A433,Permissions!$P$2:$P$3000,"Yes")</f>
        <v>0</v>
      </c>
      <c r="AX433" s="24" t="n">
        <f aca="false">SUMIFS(Permissions!$L$2:$L$3000,Permissions!$B$2:$B$3000,$A433,Permissions!$P$2:$P$3000,"Yes")</f>
        <v>0</v>
      </c>
      <c r="AY433" s="27" t="str">
        <f aca="false">IF(AND(AK433&gt;0,AG433&gt;=AK433,AN433=0),"Built out",IF(AG433&gt;0,"Partly built",IF(AK433&gt;0,"Consented – not built","No consent")))</f>
        <v>No consent</v>
      </c>
      <c r="AZ433" s="28" t="str">
        <f aca="false">IF(AND(R433&lt;&gt;"",AK433&gt;1.1*R433),"Consented above capacity",IF(AND(LEFT(B433,8)="Planning",AW433=0),"Consent parcel with no permission",IF(COUNTIF($A$2:$A$3000,$A433)&gt;1,"Duplicate parcel_id","")))</f>
        <v/>
      </c>
    </row>
    <row r="434" customFormat="false" ht="15" hidden="false" customHeight="false" outlineLevel="0" collapsed="false">
      <c r="A434" s="15" t="s">
        <v>891</v>
      </c>
      <c r="B434" s="15" t="s">
        <v>13</v>
      </c>
      <c r="C434" s="15" t="s">
        <v>17</v>
      </c>
      <c r="D434" s="15" t="s">
        <v>74</v>
      </c>
      <c r="E434" s="15" t="s">
        <v>21</v>
      </c>
      <c r="F434" s="15" t="n">
        <v>0</v>
      </c>
      <c r="G434" s="15" t="s">
        <v>883</v>
      </c>
      <c r="H434" s="15"/>
      <c r="I434" s="15" t="s">
        <v>17</v>
      </c>
      <c r="J434" s="15" t="s">
        <v>155</v>
      </c>
      <c r="K434" s="15" t="s">
        <v>887</v>
      </c>
      <c r="L434" s="15"/>
      <c r="M434" s="15" t="s">
        <v>888</v>
      </c>
      <c r="N434" s="15"/>
      <c r="O434" s="15"/>
      <c r="P434" s="15" t="n">
        <v>0.167</v>
      </c>
      <c r="Q434" s="15" t="n">
        <v>0.184</v>
      </c>
      <c r="R434" s="15" t="n">
        <v>4</v>
      </c>
      <c r="S434" s="15" t="s">
        <v>734</v>
      </c>
      <c r="T434" s="15" t="s">
        <v>880</v>
      </c>
      <c r="U434" s="15" t="s">
        <v>752</v>
      </c>
      <c r="V434" s="15" t="s">
        <v>889</v>
      </c>
      <c r="W434" s="15" t="s">
        <v>746</v>
      </c>
      <c r="X434" s="15" t="n">
        <v>25</v>
      </c>
      <c r="Y434" s="15" t="s">
        <v>747</v>
      </c>
      <c r="Z434" s="15" t="n">
        <v>0</v>
      </c>
      <c r="AA434" s="15" t="n">
        <v>0</v>
      </c>
      <c r="AB434" s="15" t="n">
        <v>0</v>
      </c>
      <c r="AC434" s="15"/>
      <c r="AD434" s="15" t="s">
        <v>890</v>
      </c>
      <c r="AE434" s="15" t="s">
        <v>163</v>
      </c>
      <c r="AF434" s="15"/>
      <c r="AG434" s="24" t="n">
        <f aca="false">SUMIFS(Permissions!$G$2:$G$3000,Permissions!$B$2:$B$3000,$A434,Permissions!$I$2:$I$3000,"Complete",Permissions!$P$2:$P$3000,"Yes")</f>
        <v>0</v>
      </c>
      <c r="AH434" s="24" t="n">
        <f aca="false">SUMIFS(Permissions!$G$2:$G$3000,Permissions!$B$2:$B$3000,$A434,Permissions!$I$2:$I$3000,"Under construction",Permissions!$P$2:$P$3000,"Yes")</f>
        <v>0</v>
      </c>
      <c r="AI434" s="24" t="n">
        <f aca="false">SUMIFS(Permissions!$G$2:$G$3000,Permissions!$B$2:$B$3000,$A434,Permissions!$I$2:$I$3000,"Permitted – not started",Permissions!$P$2:$P$3000,"Yes")</f>
        <v>0</v>
      </c>
      <c r="AJ434" s="24" t="n">
        <f aca="false">SUMIFS(Permissions!$G$2:$G$3000,Permissions!$B$2:$B$3000,$A434,Permissions!$I$2:$I$3000,"Stalled",Permissions!$P$2:$P$3000,"Yes")</f>
        <v>0</v>
      </c>
      <c r="AK434" s="24" t="n">
        <f aca="false">AG434+AH434+AI434+AJ434</f>
        <v>0</v>
      </c>
      <c r="AL434" s="24" t="n">
        <f aca="false">SUMIFS(Permissions!$G$2:$G$3000,Permissions!$B$2:$B$3000,$A434,Permissions!$I$2:$I$3000,"Expired – not started",Permissions!$P$2:$P$3000,"Yes")</f>
        <v>0</v>
      </c>
      <c r="AM434" s="24" t="n">
        <f aca="false">SUMIFS(Permissions!$G$2:$G$3000,Permissions!$B$2:$B$3000,$A434,Permissions!$I$2:$I$3000,"In planning",Permissions!$P$2:$P$3000,"Yes")</f>
        <v>0</v>
      </c>
      <c r="AN434" s="24" t="n">
        <f aca="false">IF(R434="",0,MAX(R434-AK434,0))</f>
        <v>4</v>
      </c>
      <c r="AO434" s="25" t="n">
        <f aca="false">AK434+AN434</f>
        <v>4</v>
      </c>
      <c r="AP434" s="24" t="n">
        <f aca="false">AO434-AG434</f>
        <v>4</v>
      </c>
      <c r="AQ434" s="26" t="n">
        <f aca="false">SUMIFS(Permissions!$AH$2:$AH$3000,Permissions!$B$2:$B$3000,$A434,Permissions!$P$2:$P$3000,"Yes")</f>
        <v>0</v>
      </c>
      <c r="AR434" s="26" t="n">
        <f aca="false">SUMIFS(Permissions!$AI$2:$AI$3000,Permissions!$B$2:$B$3000,$A434,Permissions!$P$2:$P$3000,"Yes")</f>
        <v>0</v>
      </c>
      <c r="AS434" s="26" t="n">
        <f aca="false">SUMIFS(Permissions!$AJ$2:$AJ$3000,Permissions!$B$2:$B$3000,$A434,Permissions!$P$2:$P$3000,"Yes")</f>
        <v>0</v>
      </c>
      <c r="AT434" s="26" t="n">
        <f aca="false">SUMIFS(Permissions!$AK$2:$AK$3000,Permissions!$B$2:$B$3000,$A434,Permissions!$P$2:$P$3000,"Yes")</f>
        <v>0</v>
      </c>
      <c r="AU434" s="26" t="n">
        <f aca="false">SUMIFS(Permissions!$AL$2:$AL$3000,Permissions!$B$2:$B$3000,$A434,Permissions!$P$2:$P$3000,"Yes")</f>
        <v>0</v>
      </c>
      <c r="AV434" s="26" t="n">
        <f aca="false">SUMIFS(Permissions!$AM$2:$AM$3000,Permissions!$B$2:$B$3000,$A434,Permissions!$P$2:$P$3000,"Yes")</f>
        <v>0</v>
      </c>
      <c r="AW434" s="24" t="n">
        <f aca="false">COUNTIFS(Permissions!$B$2:$B$3000,$A434,Permissions!$P$2:$P$3000,"Yes")</f>
        <v>0</v>
      </c>
      <c r="AX434" s="24" t="n">
        <f aca="false">SUMIFS(Permissions!$L$2:$L$3000,Permissions!$B$2:$B$3000,$A434,Permissions!$P$2:$P$3000,"Yes")</f>
        <v>0</v>
      </c>
      <c r="AY434" s="27" t="str">
        <f aca="false">IF(AND(AK434&gt;0,AG434&gt;=AK434,AN434=0),"Built out",IF(AG434&gt;0,"Partly built",IF(AK434&gt;0,"Consented – not built","No consent")))</f>
        <v>No consent</v>
      </c>
      <c r="AZ434" s="28" t="str">
        <f aca="false">IF(AND(R434&lt;&gt;"",AK434&gt;1.1*R434),"Consented above capacity",IF(AND(LEFT(B434,8)="Planning",AW434=0),"Consent parcel with no permission",IF(COUNTIF($A$2:$A$3000,$A434)&gt;1,"Duplicate parcel_id","")))</f>
        <v/>
      </c>
    </row>
    <row r="435" customFormat="false" ht="15" hidden="false" customHeight="false" outlineLevel="0" collapsed="false">
      <c r="A435" s="15" t="s">
        <v>892</v>
      </c>
      <c r="B435" s="15" t="s">
        <v>13</v>
      </c>
      <c r="C435" s="15" t="s">
        <v>17</v>
      </c>
      <c r="D435" s="15" t="s">
        <v>74</v>
      </c>
      <c r="E435" s="15" t="s">
        <v>21</v>
      </c>
      <c r="F435" s="15" t="n">
        <v>0</v>
      </c>
      <c r="G435" s="15" t="s">
        <v>883</v>
      </c>
      <c r="H435" s="15"/>
      <c r="I435" s="15" t="s">
        <v>17</v>
      </c>
      <c r="J435" s="15" t="s">
        <v>155</v>
      </c>
      <c r="K435" s="15" t="s">
        <v>887</v>
      </c>
      <c r="L435" s="15"/>
      <c r="M435" s="15" t="s">
        <v>888</v>
      </c>
      <c r="N435" s="15"/>
      <c r="O435" s="15"/>
      <c r="P435" s="15" t="n">
        <v>0.496</v>
      </c>
      <c r="Q435" s="15" t="n">
        <v>0.545</v>
      </c>
      <c r="R435" s="15" t="n">
        <v>12</v>
      </c>
      <c r="S435" s="15" t="s">
        <v>734</v>
      </c>
      <c r="T435" s="15" t="s">
        <v>880</v>
      </c>
      <c r="U435" s="15" t="s">
        <v>752</v>
      </c>
      <c r="V435" s="15" t="s">
        <v>889</v>
      </c>
      <c r="W435" s="15" t="s">
        <v>746</v>
      </c>
      <c r="X435" s="15" t="n">
        <v>25</v>
      </c>
      <c r="Y435" s="15" t="s">
        <v>747</v>
      </c>
      <c r="Z435" s="15" t="n">
        <v>0</v>
      </c>
      <c r="AA435" s="15" t="n">
        <v>0</v>
      </c>
      <c r="AB435" s="15" t="n">
        <v>0</v>
      </c>
      <c r="AC435" s="15"/>
      <c r="AD435" s="15" t="s">
        <v>890</v>
      </c>
      <c r="AE435" s="15" t="s">
        <v>163</v>
      </c>
      <c r="AF435" s="15"/>
      <c r="AG435" s="24" t="n">
        <f aca="false">SUMIFS(Permissions!$G$2:$G$3000,Permissions!$B$2:$B$3000,$A435,Permissions!$I$2:$I$3000,"Complete",Permissions!$P$2:$P$3000,"Yes")</f>
        <v>0</v>
      </c>
      <c r="AH435" s="24" t="n">
        <f aca="false">SUMIFS(Permissions!$G$2:$G$3000,Permissions!$B$2:$B$3000,$A435,Permissions!$I$2:$I$3000,"Under construction",Permissions!$P$2:$P$3000,"Yes")</f>
        <v>0</v>
      </c>
      <c r="AI435" s="24" t="n">
        <f aca="false">SUMIFS(Permissions!$G$2:$G$3000,Permissions!$B$2:$B$3000,$A435,Permissions!$I$2:$I$3000,"Permitted – not started",Permissions!$P$2:$P$3000,"Yes")</f>
        <v>0</v>
      </c>
      <c r="AJ435" s="24" t="n">
        <f aca="false">SUMIFS(Permissions!$G$2:$G$3000,Permissions!$B$2:$B$3000,$A435,Permissions!$I$2:$I$3000,"Stalled",Permissions!$P$2:$P$3000,"Yes")</f>
        <v>0</v>
      </c>
      <c r="AK435" s="24" t="n">
        <f aca="false">AG435+AH435+AI435+AJ435</f>
        <v>0</v>
      </c>
      <c r="AL435" s="24" t="n">
        <f aca="false">SUMIFS(Permissions!$G$2:$G$3000,Permissions!$B$2:$B$3000,$A435,Permissions!$I$2:$I$3000,"Expired – not started",Permissions!$P$2:$P$3000,"Yes")</f>
        <v>0</v>
      </c>
      <c r="AM435" s="24" t="n">
        <f aca="false">SUMIFS(Permissions!$G$2:$G$3000,Permissions!$B$2:$B$3000,$A435,Permissions!$I$2:$I$3000,"In planning",Permissions!$P$2:$P$3000,"Yes")</f>
        <v>0</v>
      </c>
      <c r="AN435" s="24" t="n">
        <f aca="false">IF(R435="",0,MAX(R435-AK435,0))</f>
        <v>12</v>
      </c>
      <c r="AO435" s="25" t="n">
        <f aca="false">AK435+AN435</f>
        <v>12</v>
      </c>
      <c r="AP435" s="24" t="n">
        <f aca="false">AO435-AG435</f>
        <v>12</v>
      </c>
      <c r="AQ435" s="26" t="n">
        <f aca="false">SUMIFS(Permissions!$AH$2:$AH$3000,Permissions!$B$2:$B$3000,$A435,Permissions!$P$2:$P$3000,"Yes")</f>
        <v>0</v>
      </c>
      <c r="AR435" s="26" t="n">
        <f aca="false">SUMIFS(Permissions!$AI$2:$AI$3000,Permissions!$B$2:$B$3000,$A435,Permissions!$P$2:$P$3000,"Yes")</f>
        <v>0</v>
      </c>
      <c r="AS435" s="26" t="n">
        <f aca="false">SUMIFS(Permissions!$AJ$2:$AJ$3000,Permissions!$B$2:$B$3000,$A435,Permissions!$P$2:$P$3000,"Yes")</f>
        <v>0</v>
      </c>
      <c r="AT435" s="26" t="n">
        <f aca="false">SUMIFS(Permissions!$AK$2:$AK$3000,Permissions!$B$2:$B$3000,$A435,Permissions!$P$2:$P$3000,"Yes")</f>
        <v>0</v>
      </c>
      <c r="AU435" s="26" t="n">
        <f aca="false">SUMIFS(Permissions!$AL$2:$AL$3000,Permissions!$B$2:$B$3000,$A435,Permissions!$P$2:$P$3000,"Yes")</f>
        <v>0</v>
      </c>
      <c r="AV435" s="26" t="n">
        <f aca="false">SUMIFS(Permissions!$AM$2:$AM$3000,Permissions!$B$2:$B$3000,$A435,Permissions!$P$2:$P$3000,"Yes")</f>
        <v>0</v>
      </c>
      <c r="AW435" s="24" t="n">
        <f aca="false">COUNTIFS(Permissions!$B$2:$B$3000,$A435,Permissions!$P$2:$P$3000,"Yes")</f>
        <v>0</v>
      </c>
      <c r="AX435" s="24" t="n">
        <f aca="false">SUMIFS(Permissions!$L$2:$L$3000,Permissions!$B$2:$B$3000,$A435,Permissions!$P$2:$P$3000,"Yes")</f>
        <v>0</v>
      </c>
      <c r="AY435" s="27" t="str">
        <f aca="false">IF(AND(AK435&gt;0,AG435&gt;=AK435,AN435=0),"Built out",IF(AG435&gt;0,"Partly built",IF(AK435&gt;0,"Consented – not built","No consent")))</f>
        <v>No consent</v>
      </c>
      <c r="AZ435" s="28" t="str">
        <f aca="false">IF(AND(R435&lt;&gt;"",AK435&gt;1.1*R435),"Consented above capacity",IF(AND(LEFT(B435,8)="Planning",AW435=0),"Consent parcel with no permission",IF(COUNTIF($A$2:$A$3000,$A435)&gt;1,"Duplicate parcel_id","")))</f>
        <v/>
      </c>
    </row>
    <row r="436" customFormat="false" ht="15" hidden="false" customHeight="false" outlineLevel="0" collapsed="false">
      <c r="A436" s="15" t="s">
        <v>893</v>
      </c>
      <c r="B436" s="15" t="s">
        <v>13</v>
      </c>
      <c r="C436" s="15" t="s">
        <v>17</v>
      </c>
      <c r="D436" s="15" t="s">
        <v>74</v>
      </c>
      <c r="E436" s="15" t="s">
        <v>21</v>
      </c>
      <c r="F436" s="15" t="n">
        <v>0</v>
      </c>
      <c r="G436" s="15" t="s">
        <v>883</v>
      </c>
      <c r="H436" s="15"/>
      <c r="I436" s="15" t="s">
        <v>17</v>
      </c>
      <c r="J436" s="15" t="s">
        <v>155</v>
      </c>
      <c r="K436" s="15" t="s">
        <v>887</v>
      </c>
      <c r="L436" s="15"/>
      <c r="M436" s="15" t="s">
        <v>888</v>
      </c>
      <c r="N436" s="15"/>
      <c r="O436" s="15"/>
      <c r="P436" s="15" t="n">
        <v>0.383</v>
      </c>
      <c r="Q436" s="15" t="n">
        <v>0.421</v>
      </c>
      <c r="R436" s="15" t="n">
        <v>10</v>
      </c>
      <c r="S436" s="15" t="s">
        <v>734</v>
      </c>
      <c r="T436" s="15" t="s">
        <v>880</v>
      </c>
      <c r="U436" s="15" t="s">
        <v>752</v>
      </c>
      <c r="V436" s="15" t="s">
        <v>889</v>
      </c>
      <c r="W436" s="15" t="s">
        <v>746</v>
      </c>
      <c r="X436" s="15" t="n">
        <v>25</v>
      </c>
      <c r="Y436" s="15" t="s">
        <v>747</v>
      </c>
      <c r="Z436" s="15" t="n">
        <v>0</v>
      </c>
      <c r="AA436" s="15" t="n">
        <v>0</v>
      </c>
      <c r="AB436" s="15" t="n">
        <v>0</v>
      </c>
      <c r="AC436" s="15"/>
      <c r="AD436" s="15" t="s">
        <v>890</v>
      </c>
      <c r="AE436" s="15" t="s">
        <v>163</v>
      </c>
      <c r="AF436" s="15"/>
      <c r="AG436" s="24" t="n">
        <f aca="false">SUMIFS(Permissions!$G$2:$G$3000,Permissions!$B$2:$B$3000,$A436,Permissions!$I$2:$I$3000,"Complete",Permissions!$P$2:$P$3000,"Yes")</f>
        <v>0</v>
      </c>
      <c r="AH436" s="24" t="n">
        <f aca="false">SUMIFS(Permissions!$G$2:$G$3000,Permissions!$B$2:$B$3000,$A436,Permissions!$I$2:$I$3000,"Under construction",Permissions!$P$2:$P$3000,"Yes")</f>
        <v>0</v>
      </c>
      <c r="AI436" s="24" t="n">
        <f aca="false">SUMIFS(Permissions!$G$2:$G$3000,Permissions!$B$2:$B$3000,$A436,Permissions!$I$2:$I$3000,"Permitted – not started",Permissions!$P$2:$P$3000,"Yes")</f>
        <v>0</v>
      </c>
      <c r="AJ436" s="24" t="n">
        <f aca="false">SUMIFS(Permissions!$G$2:$G$3000,Permissions!$B$2:$B$3000,$A436,Permissions!$I$2:$I$3000,"Stalled",Permissions!$P$2:$P$3000,"Yes")</f>
        <v>0</v>
      </c>
      <c r="AK436" s="24" t="n">
        <f aca="false">AG436+AH436+AI436+AJ436</f>
        <v>0</v>
      </c>
      <c r="AL436" s="24" t="n">
        <f aca="false">SUMIFS(Permissions!$G$2:$G$3000,Permissions!$B$2:$B$3000,$A436,Permissions!$I$2:$I$3000,"Expired – not started",Permissions!$P$2:$P$3000,"Yes")</f>
        <v>0</v>
      </c>
      <c r="AM436" s="24" t="n">
        <f aca="false">SUMIFS(Permissions!$G$2:$G$3000,Permissions!$B$2:$B$3000,$A436,Permissions!$I$2:$I$3000,"In planning",Permissions!$P$2:$P$3000,"Yes")</f>
        <v>0</v>
      </c>
      <c r="AN436" s="24" t="n">
        <f aca="false">IF(R436="",0,MAX(R436-AK436,0))</f>
        <v>10</v>
      </c>
      <c r="AO436" s="25" t="n">
        <f aca="false">AK436+AN436</f>
        <v>10</v>
      </c>
      <c r="AP436" s="24" t="n">
        <f aca="false">AO436-AG436</f>
        <v>10</v>
      </c>
      <c r="AQ436" s="26" t="n">
        <f aca="false">SUMIFS(Permissions!$AH$2:$AH$3000,Permissions!$B$2:$B$3000,$A436,Permissions!$P$2:$P$3000,"Yes")</f>
        <v>0</v>
      </c>
      <c r="AR436" s="26" t="n">
        <f aca="false">SUMIFS(Permissions!$AI$2:$AI$3000,Permissions!$B$2:$B$3000,$A436,Permissions!$P$2:$P$3000,"Yes")</f>
        <v>0</v>
      </c>
      <c r="AS436" s="26" t="n">
        <f aca="false">SUMIFS(Permissions!$AJ$2:$AJ$3000,Permissions!$B$2:$B$3000,$A436,Permissions!$P$2:$P$3000,"Yes")</f>
        <v>0</v>
      </c>
      <c r="AT436" s="26" t="n">
        <f aca="false">SUMIFS(Permissions!$AK$2:$AK$3000,Permissions!$B$2:$B$3000,$A436,Permissions!$P$2:$P$3000,"Yes")</f>
        <v>0</v>
      </c>
      <c r="AU436" s="26" t="n">
        <f aca="false">SUMIFS(Permissions!$AL$2:$AL$3000,Permissions!$B$2:$B$3000,$A436,Permissions!$P$2:$P$3000,"Yes")</f>
        <v>0</v>
      </c>
      <c r="AV436" s="26" t="n">
        <f aca="false">SUMIFS(Permissions!$AM$2:$AM$3000,Permissions!$B$2:$B$3000,$A436,Permissions!$P$2:$P$3000,"Yes")</f>
        <v>0</v>
      </c>
      <c r="AW436" s="24" t="n">
        <f aca="false">COUNTIFS(Permissions!$B$2:$B$3000,$A436,Permissions!$P$2:$P$3000,"Yes")</f>
        <v>0</v>
      </c>
      <c r="AX436" s="24" t="n">
        <f aca="false">SUMIFS(Permissions!$L$2:$L$3000,Permissions!$B$2:$B$3000,$A436,Permissions!$P$2:$P$3000,"Yes")</f>
        <v>0</v>
      </c>
      <c r="AY436" s="27" t="str">
        <f aca="false">IF(AND(AK436&gt;0,AG436&gt;=AK436,AN436=0),"Built out",IF(AG436&gt;0,"Partly built",IF(AK436&gt;0,"Consented – not built","No consent")))</f>
        <v>No consent</v>
      </c>
      <c r="AZ436" s="28" t="str">
        <f aca="false">IF(AND(R436&lt;&gt;"",AK436&gt;1.1*R436),"Consented above capacity",IF(AND(LEFT(B436,8)="Planning",AW436=0),"Consent parcel with no permission",IF(COUNTIF($A$2:$A$3000,$A436)&gt;1,"Duplicate parcel_id","")))</f>
        <v/>
      </c>
    </row>
    <row r="437" customFormat="false" ht="15" hidden="false" customHeight="false" outlineLevel="0" collapsed="false">
      <c r="A437" s="15" t="s">
        <v>894</v>
      </c>
      <c r="B437" s="15" t="s">
        <v>13</v>
      </c>
      <c r="C437" s="15" t="s">
        <v>17</v>
      </c>
      <c r="D437" s="15" t="s">
        <v>74</v>
      </c>
      <c r="E437" s="15" t="s">
        <v>21</v>
      </c>
      <c r="F437" s="15" t="n">
        <v>1</v>
      </c>
      <c r="G437" s="15" t="s">
        <v>154</v>
      </c>
      <c r="H437" s="15"/>
      <c r="I437" s="15" t="s">
        <v>17</v>
      </c>
      <c r="J437" s="15" t="s">
        <v>155</v>
      </c>
      <c r="K437" s="15" t="s">
        <v>878</v>
      </c>
      <c r="L437" s="15"/>
      <c r="M437" s="15" t="s">
        <v>879</v>
      </c>
      <c r="N437" s="15"/>
      <c r="O437" s="15"/>
      <c r="P437" s="15" t="n">
        <v>0.764</v>
      </c>
      <c r="Q437" s="15" t="n">
        <v>0.84</v>
      </c>
      <c r="R437" s="15" t="n">
        <v>19</v>
      </c>
      <c r="S437" s="15" t="s">
        <v>734</v>
      </c>
      <c r="T437" s="15" t="s">
        <v>880</v>
      </c>
      <c r="U437" s="15" t="s">
        <v>752</v>
      </c>
      <c r="V437" s="15"/>
      <c r="W437" s="15" t="s">
        <v>746</v>
      </c>
      <c r="X437" s="15" t="n">
        <v>25</v>
      </c>
      <c r="Y437" s="15" t="s">
        <v>747</v>
      </c>
      <c r="Z437" s="15" t="n">
        <v>1</v>
      </c>
      <c r="AA437" s="15" t="n">
        <v>0</v>
      </c>
      <c r="AB437" s="15" t="n">
        <v>0</v>
      </c>
      <c r="AC437" s="15"/>
      <c r="AD437" s="15"/>
      <c r="AE437" s="15" t="s">
        <v>163</v>
      </c>
      <c r="AF437" s="15"/>
      <c r="AG437" s="24" t="n">
        <f aca="false">SUMIFS(Permissions!$G$2:$G$3000,Permissions!$B$2:$B$3000,$A437,Permissions!$I$2:$I$3000,"Complete",Permissions!$P$2:$P$3000,"Yes")</f>
        <v>0</v>
      </c>
      <c r="AH437" s="24" t="n">
        <f aca="false">SUMIFS(Permissions!$G$2:$G$3000,Permissions!$B$2:$B$3000,$A437,Permissions!$I$2:$I$3000,"Under construction",Permissions!$P$2:$P$3000,"Yes")</f>
        <v>0</v>
      </c>
      <c r="AI437" s="24" t="n">
        <f aca="false">SUMIFS(Permissions!$G$2:$G$3000,Permissions!$B$2:$B$3000,$A437,Permissions!$I$2:$I$3000,"Permitted – not started",Permissions!$P$2:$P$3000,"Yes")</f>
        <v>0</v>
      </c>
      <c r="AJ437" s="24" t="n">
        <f aca="false">SUMIFS(Permissions!$G$2:$G$3000,Permissions!$B$2:$B$3000,$A437,Permissions!$I$2:$I$3000,"Stalled",Permissions!$P$2:$P$3000,"Yes")</f>
        <v>0</v>
      </c>
      <c r="AK437" s="24" t="n">
        <f aca="false">AG437+AH437+AI437+AJ437</f>
        <v>0</v>
      </c>
      <c r="AL437" s="24" t="n">
        <f aca="false">SUMIFS(Permissions!$G$2:$G$3000,Permissions!$B$2:$B$3000,$A437,Permissions!$I$2:$I$3000,"Expired – not started",Permissions!$P$2:$P$3000,"Yes")</f>
        <v>0</v>
      </c>
      <c r="AM437" s="24" t="n">
        <f aca="false">SUMIFS(Permissions!$G$2:$G$3000,Permissions!$B$2:$B$3000,$A437,Permissions!$I$2:$I$3000,"In planning",Permissions!$P$2:$P$3000,"Yes")</f>
        <v>0</v>
      </c>
      <c r="AN437" s="24" t="n">
        <f aca="false">IF(R437="",0,MAX(R437-AK437,0))</f>
        <v>19</v>
      </c>
      <c r="AO437" s="25" t="n">
        <f aca="false">AK437+AN437</f>
        <v>19</v>
      </c>
      <c r="AP437" s="24" t="n">
        <f aca="false">AO437-AG437</f>
        <v>19</v>
      </c>
      <c r="AQ437" s="26" t="n">
        <f aca="false">SUMIFS(Permissions!$AH$2:$AH$3000,Permissions!$B$2:$B$3000,$A437,Permissions!$P$2:$P$3000,"Yes")</f>
        <v>0</v>
      </c>
      <c r="AR437" s="26" t="n">
        <f aca="false">SUMIFS(Permissions!$AI$2:$AI$3000,Permissions!$B$2:$B$3000,$A437,Permissions!$P$2:$P$3000,"Yes")</f>
        <v>0</v>
      </c>
      <c r="AS437" s="26" t="n">
        <f aca="false">SUMIFS(Permissions!$AJ$2:$AJ$3000,Permissions!$B$2:$B$3000,$A437,Permissions!$P$2:$P$3000,"Yes")</f>
        <v>0</v>
      </c>
      <c r="AT437" s="26" t="n">
        <f aca="false">SUMIFS(Permissions!$AK$2:$AK$3000,Permissions!$B$2:$B$3000,$A437,Permissions!$P$2:$P$3000,"Yes")</f>
        <v>0</v>
      </c>
      <c r="AU437" s="26" t="n">
        <f aca="false">SUMIFS(Permissions!$AL$2:$AL$3000,Permissions!$B$2:$B$3000,$A437,Permissions!$P$2:$P$3000,"Yes")</f>
        <v>0</v>
      </c>
      <c r="AV437" s="26" t="n">
        <f aca="false">SUMIFS(Permissions!$AM$2:$AM$3000,Permissions!$B$2:$B$3000,$A437,Permissions!$P$2:$P$3000,"Yes")</f>
        <v>0</v>
      </c>
      <c r="AW437" s="24" t="n">
        <f aca="false">COUNTIFS(Permissions!$B$2:$B$3000,$A437,Permissions!$P$2:$P$3000,"Yes")</f>
        <v>0</v>
      </c>
      <c r="AX437" s="24" t="n">
        <f aca="false">SUMIFS(Permissions!$L$2:$L$3000,Permissions!$B$2:$B$3000,$A437,Permissions!$P$2:$P$3000,"Yes")</f>
        <v>0</v>
      </c>
      <c r="AY437" s="27" t="str">
        <f aca="false">IF(AND(AK437&gt;0,AG437&gt;=AK437,AN437=0),"Built out",IF(AG437&gt;0,"Partly built",IF(AK437&gt;0,"Consented – not built","No consent")))</f>
        <v>No consent</v>
      </c>
      <c r="AZ437" s="28" t="str">
        <f aca="false">IF(AND(R437&lt;&gt;"",AK437&gt;1.1*R437),"Consented above capacity",IF(AND(LEFT(B437,8)="Planning",AW437=0),"Consent parcel with no permission",IF(COUNTIF($A$2:$A$3000,$A437)&gt;1,"Duplicate parcel_id","")))</f>
        <v/>
      </c>
    </row>
    <row r="438" customFormat="false" ht="15" hidden="false" customHeight="false" outlineLevel="0" collapsed="false">
      <c r="A438" s="15" t="s">
        <v>895</v>
      </c>
      <c r="B438" s="15" t="s">
        <v>13</v>
      </c>
      <c r="C438" s="15" t="s">
        <v>17</v>
      </c>
      <c r="D438" s="15" t="s">
        <v>65</v>
      </c>
      <c r="E438" s="15" t="s">
        <v>20</v>
      </c>
      <c r="F438" s="15" t="n">
        <v>1</v>
      </c>
      <c r="G438" s="15" t="s">
        <v>154</v>
      </c>
      <c r="H438" s="15"/>
      <c r="I438" s="15" t="s">
        <v>17</v>
      </c>
      <c r="J438" s="15" t="s">
        <v>583</v>
      </c>
      <c r="K438" s="15" t="s">
        <v>896</v>
      </c>
      <c r="L438" s="15"/>
      <c r="M438" s="15" t="s">
        <v>733</v>
      </c>
      <c r="N438" s="15"/>
      <c r="O438" s="15"/>
      <c r="P438" s="15" t="n">
        <v>1.319</v>
      </c>
      <c r="Q438" s="15" t="n">
        <v>1.449</v>
      </c>
      <c r="R438" s="15" t="n">
        <v>33</v>
      </c>
      <c r="S438" s="15" t="s">
        <v>734</v>
      </c>
      <c r="T438" s="15" t="s">
        <v>897</v>
      </c>
      <c r="U438" s="15" t="s">
        <v>736</v>
      </c>
      <c r="V438" s="15"/>
      <c r="W438" s="15" t="s">
        <v>746</v>
      </c>
      <c r="X438" s="15" t="n">
        <v>25</v>
      </c>
      <c r="Y438" s="15" t="s">
        <v>747</v>
      </c>
      <c r="Z438" s="15" t="n">
        <v>1</v>
      </c>
      <c r="AA438" s="15" t="n">
        <v>0</v>
      </c>
      <c r="AB438" s="15" t="n">
        <v>0</v>
      </c>
      <c r="AC438" s="15"/>
      <c r="AD438" s="15"/>
      <c r="AE438" s="15" t="s">
        <v>163</v>
      </c>
      <c r="AF438" s="15"/>
      <c r="AG438" s="24" t="n">
        <f aca="false">SUMIFS(Permissions!$G$2:$G$3000,Permissions!$B$2:$B$3000,$A438,Permissions!$I$2:$I$3000,"Complete",Permissions!$P$2:$P$3000,"Yes")</f>
        <v>0</v>
      </c>
      <c r="AH438" s="24" t="n">
        <f aca="false">SUMIFS(Permissions!$G$2:$G$3000,Permissions!$B$2:$B$3000,$A438,Permissions!$I$2:$I$3000,"Under construction",Permissions!$P$2:$P$3000,"Yes")</f>
        <v>0</v>
      </c>
      <c r="AI438" s="24" t="n">
        <f aca="false">SUMIFS(Permissions!$G$2:$G$3000,Permissions!$B$2:$B$3000,$A438,Permissions!$I$2:$I$3000,"Permitted – not started",Permissions!$P$2:$P$3000,"Yes")</f>
        <v>0</v>
      </c>
      <c r="AJ438" s="24" t="n">
        <f aca="false">SUMIFS(Permissions!$G$2:$G$3000,Permissions!$B$2:$B$3000,$A438,Permissions!$I$2:$I$3000,"Stalled",Permissions!$P$2:$P$3000,"Yes")</f>
        <v>0</v>
      </c>
      <c r="AK438" s="24" t="n">
        <f aca="false">AG438+AH438+AI438+AJ438</f>
        <v>0</v>
      </c>
      <c r="AL438" s="24" t="n">
        <f aca="false">SUMIFS(Permissions!$G$2:$G$3000,Permissions!$B$2:$B$3000,$A438,Permissions!$I$2:$I$3000,"Expired – not started",Permissions!$P$2:$P$3000,"Yes")</f>
        <v>0</v>
      </c>
      <c r="AM438" s="24" t="n">
        <f aca="false">SUMIFS(Permissions!$G$2:$G$3000,Permissions!$B$2:$B$3000,$A438,Permissions!$I$2:$I$3000,"In planning",Permissions!$P$2:$P$3000,"Yes")</f>
        <v>0</v>
      </c>
      <c r="AN438" s="24" t="n">
        <f aca="false">IF(R438="",0,MAX(R438-AK438,0))</f>
        <v>33</v>
      </c>
      <c r="AO438" s="25" t="n">
        <f aca="false">AK438+AN438</f>
        <v>33</v>
      </c>
      <c r="AP438" s="24" t="n">
        <f aca="false">AO438-AG438</f>
        <v>33</v>
      </c>
      <c r="AQ438" s="26" t="n">
        <f aca="false">SUMIFS(Permissions!$AH$2:$AH$3000,Permissions!$B$2:$B$3000,$A438,Permissions!$P$2:$P$3000,"Yes")</f>
        <v>0</v>
      </c>
      <c r="AR438" s="26" t="n">
        <f aca="false">SUMIFS(Permissions!$AI$2:$AI$3000,Permissions!$B$2:$B$3000,$A438,Permissions!$P$2:$P$3000,"Yes")</f>
        <v>0</v>
      </c>
      <c r="AS438" s="26" t="n">
        <f aca="false">SUMIFS(Permissions!$AJ$2:$AJ$3000,Permissions!$B$2:$B$3000,$A438,Permissions!$P$2:$P$3000,"Yes")</f>
        <v>0</v>
      </c>
      <c r="AT438" s="26" t="n">
        <f aca="false">SUMIFS(Permissions!$AK$2:$AK$3000,Permissions!$B$2:$B$3000,$A438,Permissions!$P$2:$P$3000,"Yes")</f>
        <v>0</v>
      </c>
      <c r="AU438" s="26" t="n">
        <f aca="false">SUMIFS(Permissions!$AL$2:$AL$3000,Permissions!$B$2:$B$3000,$A438,Permissions!$P$2:$P$3000,"Yes")</f>
        <v>0</v>
      </c>
      <c r="AV438" s="26" t="n">
        <f aca="false">SUMIFS(Permissions!$AM$2:$AM$3000,Permissions!$B$2:$B$3000,$A438,Permissions!$P$2:$P$3000,"Yes")</f>
        <v>0</v>
      </c>
      <c r="AW438" s="24" t="n">
        <f aca="false">COUNTIFS(Permissions!$B$2:$B$3000,$A438,Permissions!$P$2:$P$3000,"Yes")</f>
        <v>0</v>
      </c>
      <c r="AX438" s="24" t="n">
        <f aca="false">SUMIFS(Permissions!$L$2:$L$3000,Permissions!$B$2:$B$3000,$A438,Permissions!$P$2:$P$3000,"Yes")</f>
        <v>0</v>
      </c>
      <c r="AY438" s="27" t="str">
        <f aca="false">IF(AND(AK438&gt;0,AG438&gt;=AK438,AN438=0),"Built out",IF(AG438&gt;0,"Partly built",IF(AK438&gt;0,"Consented – not built","No consent")))</f>
        <v>No consent</v>
      </c>
      <c r="AZ438" s="28" t="str">
        <f aca="false">IF(AND(R438&lt;&gt;"",AK438&gt;1.1*R438),"Consented above capacity",IF(AND(LEFT(B438,8)="Planning",AW438=0),"Consent parcel with no permission",IF(COUNTIF($A$2:$A$3000,$A438)&gt;1,"Duplicate parcel_id","")))</f>
        <v/>
      </c>
    </row>
    <row r="439" customFormat="false" ht="15" hidden="false" customHeight="false" outlineLevel="0" collapsed="false">
      <c r="A439" s="15" t="s">
        <v>898</v>
      </c>
      <c r="B439" s="15" t="s">
        <v>13</v>
      </c>
      <c r="C439" s="15" t="s">
        <v>17</v>
      </c>
      <c r="D439" s="15" t="s">
        <v>65</v>
      </c>
      <c r="E439" s="15" t="s">
        <v>20</v>
      </c>
      <c r="F439" s="15" t="n">
        <v>1</v>
      </c>
      <c r="G439" s="15" t="s">
        <v>154</v>
      </c>
      <c r="H439" s="15"/>
      <c r="I439" s="15" t="s">
        <v>17</v>
      </c>
      <c r="J439" s="15" t="s">
        <v>583</v>
      </c>
      <c r="K439" s="15" t="s">
        <v>896</v>
      </c>
      <c r="L439" s="15"/>
      <c r="M439" s="15" t="s">
        <v>733</v>
      </c>
      <c r="N439" s="15"/>
      <c r="O439" s="15"/>
      <c r="P439" s="15" t="n">
        <v>0.397</v>
      </c>
      <c r="Q439" s="15" t="n">
        <v>0.436</v>
      </c>
      <c r="R439" s="15" t="n">
        <v>10</v>
      </c>
      <c r="S439" s="15" t="s">
        <v>734</v>
      </c>
      <c r="T439" s="15" t="s">
        <v>897</v>
      </c>
      <c r="U439" s="15" t="s">
        <v>736</v>
      </c>
      <c r="V439" s="15"/>
      <c r="W439" s="15" t="s">
        <v>746</v>
      </c>
      <c r="X439" s="15" t="n">
        <v>25</v>
      </c>
      <c r="Y439" s="15" t="s">
        <v>747</v>
      </c>
      <c r="Z439" s="15" t="n">
        <v>0</v>
      </c>
      <c r="AA439" s="15" t="n">
        <v>0</v>
      </c>
      <c r="AB439" s="15" t="n">
        <v>0</v>
      </c>
      <c r="AC439" s="15"/>
      <c r="AD439" s="15"/>
      <c r="AE439" s="15" t="s">
        <v>163</v>
      </c>
      <c r="AF439" s="15"/>
      <c r="AG439" s="24" t="n">
        <f aca="false">SUMIFS(Permissions!$G$2:$G$3000,Permissions!$B$2:$B$3000,$A439,Permissions!$I$2:$I$3000,"Complete",Permissions!$P$2:$P$3000,"Yes")</f>
        <v>0</v>
      </c>
      <c r="AH439" s="24" t="n">
        <f aca="false">SUMIFS(Permissions!$G$2:$G$3000,Permissions!$B$2:$B$3000,$A439,Permissions!$I$2:$I$3000,"Under construction",Permissions!$P$2:$P$3000,"Yes")</f>
        <v>0</v>
      </c>
      <c r="AI439" s="24" t="n">
        <f aca="false">SUMIFS(Permissions!$G$2:$G$3000,Permissions!$B$2:$B$3000,$A439,Permissions!$I$2:$I$3000,"Permitted – not started",Permissions!$P$2:$P$3000,"Yes")</f>
        <v>0</v>
      </c>
      <c r="AJ439" s="24" t="n">
        <f aca="false">SUMIFS(Permissions!$G$2:$G$3000,Permissions!$B$2:$B$3000,$A439,Permissions!$I$2:$I$3000,"Stalled",Permissions!$P$2:$P$3000,"Yes")</f>
        <v>0</v>
      </c>
      <c r="AK439" s="24" t="n">
        <f aca="false">AG439+AH439+AI439+AJ439</f>
        <v>0</v>
      </c>
      <c r="AL439" s="24" t="n">
        <f aca="false">SUMIFS(Permissions!$G$2:$G$3000,Permissions!$B$2:$B$3000,$A439,Permissions!$I$2:$I$3000,"Expired – not started",Permissions!$P$2:$P$3000,"Yes")</f>
        <v>0</v>
      </c>
      <c r="AM439" s="24" t="n">
        <f aca="false">SUMIFS(Permissions!$G$2:$G$3000,Permissions!$B$2:$B$3000,$A439,Permissions!$I$2:$I$3000,"In planning",Permissions!$P$2:$P$3000,"Yes")</f>
        <v>0</v>
      </c>
      <c r="AN439" s="24" t="n">
        <f aca="false">IF(R439="",0,MAX(R439-AK439,0))</f>
        <v>10</v>
      </c>
      <c r="AO439" s="25" t="n">
        <f aca="false">AK439+AN439</f>
        <v>10</v>
      </c>
      <c r="AP439" s="24" t="n">
        <f aca="false">AO439-AG439</f>
        <v>10</v>
      </c>
      <c r="AQ439" s="26" t="n">
        <f aca="false">SUMIFS(Permissions!$AH$2:$AH$3000,Permissions!$B$2:$B$3000,$A439,Permissions!$P$2:$P$3000,"Yes")</f>
        <v>0</v>
      </c>
      <c r="AR439" s="26" t="n">
        <f aca="false">SUMIFS(Permissions!$AI$2:$AI$3000,Permissions!$B$2:$B$3000,$A439,Permissions!$P$2:$P$3000,"Yes")</f>
        <v>0</v>
      </c>
      <c r="AS439" s="26" t="n">
        <f aca="false">SUMIFS(Permissions!$AJ$2:$AJ$3000,Permissions!$B$2:$B$3000,$A439,Permissions!$P$2:$P$3000,"Yes")</f>
        <v>0</v>
      </c>
      <c r="AT439" s="26" t="n">
        <f aca="false">SUMIFS(Permissions!$AK$2:$AK$3000,Permissions!$B$2:$B$3000,$A439,Permissions!$P$2:$P$3000,"Yes")</f>
        <v>0</v>
      </c>
      <c r="AU439" s="26" t="n">
        <f aca="false">SUMIFS(Permissions!$AL$2:$AL$3000,Permissions!$B$2:$B$3000,$A439,Permissions!$P$2:$P$3000,"Yes")</f>
        <v>0</v>
      </c>
      <c r="AV439" s="26" t="n">
        <f aca="false">SUMIFS(Permissions!$AM$2:$AM$3000,Permissions!$B$2:$B$3000,$A439,Permissions!$P$2:$P$3000,"Yes")</f>
        <v>0</v>
      </c>
      <c r="AW439" s="24" t="n">
        <f aca="false">COUNTIFS(Permissions!$B$2:$B$3000,$A439,Permissions!$P$2:$P$3000,"Yes")</f>
        <v>0</v>
      </c>
      <c r="AX439" s="24" t="n">
        <f aca="false">SUMIFS(Permissions!$L$2:$L$3000,Permissions!$B$2:$B$3000,$A439,Permissions!$P$2:$P$3000,"Yes")</f>
        <v>0</v>
      </c>
      <c r="AY439" s="27" t="str">
        <f aca="false">IF(AND(AK439&gt;0,AG439&gt;=AK439,AN439=0),"Built out",IF(AG439&gt;0,"Partly built",IF(AK439&gt;0,"Consented – not built","No consent")))</f>
        <v>No consent</v>
      </c>
      <c r="AZ439" s="28" t="str">
        <f aca="false">IF(AND(R439&lt;&gt;"",AK439&gt;1.1*R439),"Consented above capacity",IF(AND(LEFT(B439,8)="Planning",AW439=0),"Consent parcel with no permission",IF(COUNTIF($A$2:$A$3000,$A439)&gt;1,"Duplicate parcel_id","")))</f>
        <v/>
      </c>
    </row>
    <row r="440" customFormat="false" ht="15" hidden="false" customHeight="false" outlineLevel="0" collapsed="false">
      <c r="A440" s="15" t="s">
        <v>899</v>
      </c>
      <c r="B440" s="15" t="s">
        <v>13</v>
      </c>
      <c r="C440" s="15" t="s">
        <v>17</v>
      </c>
      <c r="D440" s="15" t="s">
        <v>65</v>
      </c>
      <c r="E440" s="15" t="s">
        <v>20</v>
      </c>
      <c r="F440" s="15" t="n">
        <v>1</v>
      </c>
      <c r="G440" s="15" t="s">
        <v>154</v>
      </c>
      <c r="H440" s="15"/>
      <c r="I440" s="15" t="s">
        <v>17</v>
      </c>
      <c r="J440" s="15" t="s">
        <v>583</v>
      </c>
      <c r="K440" s="15" t="s">
        <v>896</v>
      </c>
      <c r="L440" s="15"/>
      <c r="M440" s="15" t="s">
        <v>733</v>
      </c>
      <c r="N440" s="15"/>
      <c r="O440" s="15"/>
      <c r="P440" s="15" t="n">
        <v>0.335</v>
      </c>
      <c r="Q440" s="15" t="n">
        <v>0.369</v>
      </c>
      <c r="R440" s="15" t="n">
        <v>8</v>
      </c>
      <c r="S440" s="15" t="s">
        <v>734</v>
      </c>
      <c r="T440" s="15" t="s">
        <v>897</v>
      </c>
      <c r="U440" s="15" t="s">
        <v>736</v>
      </c>
      <c r="V440" s="15"/>
      <c r="W440" s="15" t="s">
        <v>746</v>
      </c>
      <c r="X440" s="15" t="n">
        <v>25</v>
      </c>
      <c r="Y440" s="15" t="s">
        <v>747</v>
      </c>
      <c r="Z440" s="15" t="n">
        <v>1</v>
      </c>
      <c r="AA440" s="15" t="n">
        <v>0</v>
      </c>
      <c r="AB440" s="15" t="n">
        <v>0</v>
      </c>
      <c r="AC440" s="15"/>
      <c r="AD440" s="15"/>
      <c r="AE440" s="15" t="s">
        <v>163</v>
      </c>
      <c r="AF440" s="15"/>
      <c r="AG440" s="24" t="n">
        <f aca="false">SUMIFS(Permissions!$G$2:$G$3000,Permissions!$B$2:$B$3000,$A440,Permissions!$I$2:$I$3000,"Complete",Permissions!$P$2:$P$3000,"Yes")</f>
        <v>0</v>
      </c>
      <c r="AH440" s="24" t="n">
        <f aca="false">SUMIFS(Permissions!$G$2:$G$3000,Permissions!$B$2:$B$3000,$A440,Permissions!$I$2:$I$3000,"Under construction",Permissions!$P$2:$P$3000,"Yes")</f>
        <v>0</v>
      </c>
      <c r="AI440" s="24" t="n">
        <f aca="false">SUMIFS(Permissions!$G$2:$G$3000,Permissions!$B$2:$B$3000,$A440,Permissions!$I$2:$I$3000,"Permitted – not started",Permissions!$P$2:$P$3000,"Yes")</f>
        <v>0</v>
      </c>
      <c r="AJ440" s="24" t="n">
        <f aca="false">SUMIFS(Permissions!$G$2:$G$3000,Permissions!$B$2:$B$3000,$A440,Permissions!$I$2:$I$3000,"Stalled",Permissions!$P$2:$P$3000,"Yes")</f>
        <v>0</v>
      </c>
      <c r="AK440" s="24" t="n">
        <f aca="false">AG440+AH440+AI440+AJ440</f>
        <v>0</v>
      </c>
      <c r="AL440" s="24" t="n">
        <f aca="false">SUMIFS(Permissions!$G$2:$G$3000,Permissions!$B$2:$B$3000,$A440,Permissions!$I$2:$I$3000,"Expired – not started",Permissions!$P$2:$P$3000,"Yes")</f>
        <v>0</v>
      </c>
      <c r="AM440" s="24" t="n">
        <f aca="false">SUMIFS(Permissions!$G$2:$G$3000,Permissions!$B$2:$B$3000,$A440,Permissions!$I$2:$I$3000,"In planning",Permissions!$P$2:$P$3000,"Yes")</f>
        <v>0</v>
      </c>
      <c r="AN440" s="24" t="n">
        <f aca="false">IF(R440="",0,MAX(R440-AK440,0))</f>
        <v>8</v>
      </c>
      <c r="AO440" s="25" t="n">
        <f aca="false">AK440+AN440</f>
        <v>8</v>
      </c>
      <c r="AP440" s="24" t="n">
        <f aca="false">AO440-AG440</f>
        <v>8</v>
      </c>
      <c r="AQ440" s="26" t="n">
        <f aca="false">SUMIFS(Permissions!$AH$2:$AH$3000,Permissions!$B$2:$B$3000,$A440,Permissions!$P$2:$P$3000,"Yes")</f>
        <v>0</v>
      </c>
      <c r="AR440" s="26" t="n">
        <f aca="false">SUMIFS(Permissions!$AI$2:$AI$3000,Permissions!$B$2:$B$3000,$A440,Permissions!$P$2:$P$3000,"Yes")</f>
        <v>0</v>
      </c>
      <c r="AS440" s="26" t="n">
        <f aca="false">SUMIFS(Permissions!$AJ$2:$AJ$3000,Permissions!$B$2:$B$3000,$A440,Permissions!$P$2:$P$3000,"Yes")</f>
        <v>0</v>
      </c>
      <c r="AT440" s="26" t="n">
        <f aca="false">SUMIFS(Permissions!$AK$2:$AK$3000,Permissions!$B$2:$B$3000,$A440,Permissions!$P$2:$P$3000,"Yes")</f>
        <v>0</v>
      </c>
      <c r="AU440" s="26" t="n">
        <f aca="false">SUMIFS(Permissions!$AL$2:$AL$3000,Permissions!$B$2:$B$3000,$A440,Permissions!$P$2:$P$3000,"Yes")</f>
        <v>0</v>
      </c>
      <c r="AV440" s="26" t="n">
        <f aca="false">SUMIFS(Permissions!$AM$2:$AM$3000,Permissions!$B$2:$B$3000,$A440,Permissions!$P$2:$P$3000,"Yes")</f>
        <v>0</v>
      </c>
      <c r="AW440" s="24" t="n">
        <f aca="false">COUNTIFS(Permissions!$B$2:$B$3000,$A440,Permissions!$P$2:$P$3000,"Yes")</f>
        <v>0</v>
      </c>
      <c r="AX440" s="24" t="n">
        <f aca="false">SUMIFS(Permissions!$L$2:$L$3000,Permissions!$B$2:$B$3000,$A440,Permissions!$P$2:$P$3000,"Yes")</f>
        <v>0</v>
      </c>
      <c r="AY440" s="27" t="str">
        <f aca="false">IF(AND(AK440&gt;0,AG440&gt;=AK440,AN440=0),"Built out",IF(AG440&gt;0,"Partly built",IF(AK440&gt;0,"Consented – not built","No consent")))</f>
        <v>No consent</v>
      </c>
      <c r="AZ440" s="28" t="str">
        <f aca="false">IF(AND(R440&lt;&gt;"",AK440&gt;1.1*R440),"Consented above capacity",IF(AND(LEFT(B440,8)="Planning",AW440=0),"Consent parcel with no permission",IF(COUNTIF($A$2:$A$3000,$A440)&gt;1,"Duplicate parcel_id","")))</f>
        <v/>
      </c>
    </row>
    <row r="441" customFormat="false" ht="15" hidden="false" customHeight="false" outlineLevel="0" collapsed="false">
      <c r="A441" s="15" t="s">
        <v>900</v>
      </c>
      <c r="B441" s="15" t="s">
        <v>13</v>
      </c>
      <c r="C441" s="15" t="s">
        <v>17</v>
      </c>
      <c r="D441" s="15" t="s">
        <v>65</v>
      </c>
      <c r="E441" s="15" t="s">
        <v>20</v>
      </c>
      <c r="F441" s="15" t="n">
        <v>0.99</v>
      </c>
      <c r="G441" s="15" t="s">
        <v>154</v>
      </c>
      <c r="H441" s="15"/>
      <c r="I441" s="15" t="s">
        <v>17</v>
      </c>
      <c r="J441" s="15" t="s">
        <v>583</v>
      </c>
      <c r="K441" s="15" t="s">
        <v>896</v>
      </c>
      <c r="L441" s="15"/>
      <c r="M441" s="15" t="s">
        <v>733</v>
      </c>
      <c r="N441" s="15"/>
      <c r="O441" s="15"/>
      <c r="P441" s="15" t="n">
        <v>1.269</v>
      </c>
      <c r="Q441" s="15" t="n">
        <v>1.395</v>
      </c>
      <c r="R441" s="15" t="n">
        <v>32</v>
      </c>
      <c r="S441" s="15" t="s">
        <v>734</v>
      </c>
      <c r="T441" s="15" t="s">
        <v>897</v>
      </c>
      <c r="U441" s="15" t="s">
        <v>736</v>
      </c>
      <c r="V441" s="15"/>
      <c r="W441" s="15" t="s">
        <v>746</v>
      </c>
      <c r="X441" s="15" t="n">
        <v>25</v>
      </c>
      <c r="Y441" s="15" t="s">
        <v>747</v>
      </c>
      <c r="Z441" s="15" t="n">
        <v>0</v>
      </c>
      <c r="AA441" s="15" t="n">
        <v>0</v>
      </c>
      <c r="AB441" s="15" t="n">
        <v>0</v>
      </c>
      <c r="AC441" s="15"/>
      <c r="AD441" s="15"/>
      <c r="AE441" s="15" t="s">
        <v>163</v>
      </c>
      <c r="AF441" s="15"/>
      <c r="AG441" s="24" t="n">
        <f aca="false">SUMIFS(Permissions!$G$2:$G$3000,Permissions!$B$2:$B$3000,$A441,Permissions!$I$2:$I$3000,"Complete",Permissions!$P$2:$P$3000,"Yes")</f>
        <v>0</v>
      </c>
      <c r="AH441" s="24" t="n">
        <f aca="false">SUMIFS(Permissions!$G$2:$G$3000,Permissions!$B$2:$B$3000,$A441,Permissions!$I$2:$I$3000,"Under construction",Permissions!$P$2:$P$3000,"Yes")</f>
        <v>0</v>
      </c>
      <c r="AI441" s="24" t="n">
        <f aca="false">SUMIFS(Permissions!$G$2:$G$3000,Permissions!$B$2:$B$3000,$A441,Permissions!$I$2:$I$3000,"Permitted – not started",Permissions!$P$2:$P$3000,"Yes")</f>
        <v>0</v>
      </c>
      <c r="AJ441" s="24" t="n">
        <f aca="false">SUMIFS(Permissions!$G$2:$G$3000,Permissions!$B$2:$B$3000,$A441,Permissions!$I$2:$I$3000,"Stalled",Permissions!$P$2:$P$3000,"Yes")</f>
        <v>0</v>
      </c>
      <c r="AK441" s="24" t="n">
        <f aca="false">AG441+AH441+AI441+AJ441</f>
        <v>0</v>
      </c>
      <c r="AL441" s="24" t="n">
        <f aca="false">SUMIFS(Permissions!$G$2:$G$3000,Permissions!$B$2:$B$3000,$A441,Permissions!$I$2:$I$3000,"Expired – not started",Permissions!$P$2:$P$3000,"Yes")</f>
        <v>0</v>
      </c>
      <c r="AM441" s="24" t="n">
        <f aca="false">SUMIFS(Permissions!$G$2:$G$3000,Permissions!$B$2:$B$3000,$A441,Permissions!$I$2:$I$3000,"In planning",Permissions!$P$2:$P$3000,"Yes")</f>
        <v>0</v>
      </c>
      <c r="AN441" s="24" t="n">
        <f aca="false">IF(R441="",0,MAX(R441-AK441,0))</f>
        <v>32</v>
      </c>
      <c r="AO441" s="25" t="n">
        <f aca="false">AK441+AN441</f>
        <v>32</v>
      </c>
      <c r="AP441" s="24" t="n">
        <f aca="false">AO441-AG441</f>
        <v>32</v>
      </c>
      <c r="AQ441" s="26" t="n">
        <f aca="false">SUMIFS(Permissions!$AH$2:$AH$3000,Permissions!$B$2:$B$3000,$A441,Permissions!$P$2:$P$3000,"Yes")</f>
        <v>0</v>
      </c>
      <c r="AR441" s="26" t="n">
        <f aca="false">SUMIFS(Permissions!$AI$2:$AI$3000,Permissions!$B$2:$B$3000,$A441,Permissions!$P$2:$P$3000,"Yes")</f>
        <v>0</v>
      </c>
      <c r="AS441" s="26" t="n">
        <f aca="false">SUMIFS(Permissions!$AJ$2:$AJ$3000,Permissions!$B$2:$B$3000,$A441,Permissions!$P$2:$P$3000,"Yes")</f>
        <v>0</v>
      </c>
      <c r="AT441" s="26" t="n">
        <f aca="false">SUMIFS(Permissions!$AK$2:$AK$3000,Permissions!$B$2:$B$3000,$A441,Permissions!$P$2:$P$3000,"Yes")</f>
        <v>0</v>
      </c>
      <c r="AU441" s="26" t="n">
        <f aca="false">SUMIFS(Permissions!$AL$2:$AL$3000,Permissions!$B$2:$B$3000,$A441,Permissions!$P$2:$P$3000,"Yes")</f>
        <v>0</v>
      </c>
      <c r="AV441" s="26" t="n">
        <f aca="false">SUMIFS(Permissions!$AM$2:$AM$3000,Permissions!$B$2:$B$3000,$A441,Permissions!$P$2:$P$3000,"Yes")</f>
        <v>0</v>
      </c>
      <c r="AW441" s="24" t="n">
        <f aca="false">COUNTIFS(Permissions!$B$2:$B$3000,$A441,Permissions!$P$2:$P$3000,"Yes")</f>
        <v>0</v>
      </c>
      <c r="AX441" s="24" t="n">
        <f aca="false">SUMIFS(Permissions!$L$2:$L$3000,Permissions!$B$2:$B$3000,$A441,Permissions!$P$2:$P$3000,"Yes")</f>
        <v>0</v>
      </c>
      <c r="AY441" s="27" t="str">
        <f aca="false">IF(AND(AK441&gt;0,AG441&gt;=AK441,AN441=0),"Built out",IF(AG441&gt;0,"Partly built",IF(AK441&gt;0,"Consented – not built","No consent")))</f>
        <v>No consent</v>
      </c>
      <c r="AZ441" s="28" t="str">
        <f aca="false">IF(AND(R441&lt;&gt;"",AK441&gt;1.1*R441),"Consented above capacity",IF(AND(LEFT(B441,8)="Planning",AW441=0),"Consent parcel with no permission",IF(COUNTIF($A$2:$A$3000,$A441)&gt;1,"Duplicate parcel_id","")))</f>
        <v/>
      </c>
    </row>
    <row r="442" customFormat="false" ht="15" hidden="false" customHeight="false" outlineLevel="0" collapsed="false">
      <c r="A442" s="15" t="s">
        <v>901</v>
      </c>
      <c r="B442" s="15" t="s">
        <v>13</v>
      </c>
      <c r="C442" s="15" t="s">
        <v>17</v>
      </c>
      <c r="D442" s="15" t="s">
        <v>65</v>
      </c>
      <c r="E442" s="15" t="s">
        <v>20</v>
      </c>
      <c r="F442" s="15" t="n">
        <v>1</v>
      </c>
      <c r="G442" s="15" t="s">
        <v>154</v>
      </c>
      <c r="H442" s="15"/>
      <c r="I442" s="15" t="s">
        <v>17</v>
      </c>
      <c r="J442" s="15" t="s">
        <v>583</v>
      </c>
      <c r="K442" s="15" t="s">
        <v>896</v>
      </c>
      <c r="L442" s="15"/>
      <c r="M442" s="15" t="s">
        <v>733</v>
      </c>
      <c r="N442" s="15"/>
      <c r="O442" s="15"/>
      <c r="P442" s="15" t="n">
        <v>0.276</v>
      </c>
      <c r="Q442" s="15" t="n">
        <v>0.304</v>
      </c>
      <c r="R442" s="15" t="n">
        <v>7</v>
      </c>
      <c r="S442" s="15" t="s">
        <v>734</v>
      </c>
      <c r="T442" s="15" t="s">
        <v>897</v>
      </c>
      <c r="U442" s="15" t="s">
        <v>736</v>
      </c>
      <c r="V442" s="15"/>
      <c r="W442" s="15" t="s">
        <v>746</v>
      </c>
      <c r="X442" s="15" t="n">
        <v>25</v>
      </c>
      <c r="Y442" s="15" t="s">
        <v>747</v>
      </c>
      <c r="Z442" s="15" t="n">
        <v>1</v>
      </c>
      <c r="AA442" s="15" t="n">
        <v>0</v>
      </c>
      <c r="AB442" s="15" t="n">
        <v>0</v>
      </c>
      <c r="AC442" s="15"/>
      <c r="AD442" s="15"/>
      <c r="AE442" s="15" t="s">
        <v>163</v>
      </c>
      <c r="AF442" s="15"/>
      <c r="AG442" s="24" t="n">
        <f aca="false">SUMIFS(Permissions!$G$2:$G$3000,Permissions!$B$2:$B$3000,$A442,Permissions!$I$2:$I$3000,"Complete",Permissions!$P$2:$P$3000,"Yes")</f>
        <v>0</v>
      </c>
      <c r="AH442" s="24" t="n">
        <f aca="false">SUMIFS(Permissions!$G$2:$G$3000,Permissions!$B$2:$B$3000,$A442,Permissions!$I$2:$I$3000,"Under construction",Permissions!$P$2:$P$3000,"Yes")</f>
        <v>0</v>
      </c>
      <c r="AI442" s="24" t="n">
        <f aca="false">SUMIFS(Permissions!$G$2:$G$3000,Permissions!$B$2:$B$3000,$A442,Permissions!$I$2:$I$3000,"Permitted – not started",Permissions!$P$2:$P$3000,"Yes")</f>
        <v>0</v>
      </c>
      <c r="AJ442" s="24" t="n">
        <f aca="false">SUMIFS(Permissions!$G$2:$G$3000,Permissions!$B$2:$B$3000,$A442,Permissions!$I$2:$I$3000,"Stalled",Permissions!$P$2:$P$3000,"Yes")</f>
        <v>0</v>
      </c>
      <c r="AK442" s="24" t="n">
        <f aca="false">AG442+AH442+AI442+AJ442</f>
        <v>0</v>
      </c>
      <c r="AL442" s="24" t="n">
        <f aca="false">SUMIFS(Permissions!$G$2:$G$3000,Permissions!$B$2:$B$3000,$A442,Permissions!$I$2:$I$3000,"Expired – not started",Permissions!$P$2:$P$3000,"Yes")</f>
        <v>0</v>
      </c>
      <c r="AM442" s="24" t="n">
        <f aca="false">SUMIFS(Permissions!$G$2:$G$3000,Permissions!$B$2:$B$3000,$A442,Permissions!$I$2:$I$3000,"In planning",Permissions!$P$2:$P$3000,"Yes")</f>
        <v>0</v>
      </c>
      <c r="AN442" s="24" t="n">
        <f aca="false">IF(R442="",0,MAX(R442-AK442,0))</f>
        <v>7</v>
      </c>
      <c r="AO442" s="25" t="n">
        <f aca="false">AK442+AN442</f>
        <v>7</v>
      </c>
      <c r="AP442" s="24" t="n">
        <f aca="false">AO442-AG442</f>
        <v>7</v>
      </c>
      <c r="AQ442" s="26" t="n">
        <f aca="false">SUMIFS(Permissions!$AH$2:$AH$3000,Permissions!$B$2:$B$3000,$A442,Permissions!$P$2:$P$3000,"Yes")</f>
        <v>0</v>
      </c>
      <c r="AR442" s="26" t="n">
        <f aca="false">SUMIFS(Permissions!$AI$2:$AI$3000,Permissions!$B$2:$B$3000,$A442,Permissions!$P$2:$P$3000,"Yes")</f>
        <v>0</v>
      </c>
      <c r="AS442" s="26" t="n">
        <f aca="false">SUMIFS(Permissions!$AJ$2:$AJ$3000,Permissions!$B$2:$B$3000,$A442,Permissions!$P$2:$P$3000,"Yes")</f>
        <v>0</v>
      </c>
      <c r="AT442" s="26" t="n">
        <f aca="false">SUMIFS(Permissions!$AK$2:$AK$3000,Permissions!$B$2:$B$3000,$A442,Permissions!$P$2:$P$3000,"Yes")</f>
        <v>0</v>
      </c>
      <c r="AU442" s="26" t="n">
        <f aca="false">SUMIFS(Permissions!$AL$2:$AL$3000,Permissions!$B$2:$B$3000,$A442,Permissions!$P$2:$P$3000,"Yes")</f>
        <v>0</v>
      </c>
      <c r="AV442" s="26" t="n">
        <f aca="false">SUMIFS(Permissions!$AM$2:$AM$3000,Permissions!$B$2:$B$3000,$A442,Permissions!$P$2:$P$3000,"Yes")</f>
        <v>0</v>
      </c>
      <c r="AW442" s="24" t="n">
        <f aca="false">COUNTIFS(Permissions!$B$2:$B$3000,$A442,Permissions!$P$2:$P$3000,"Yes")</f>
        <v>0</v>
      </c>
      <c r="AX442" s="24" t="n">
        <f aca="false">SUMIFS(Permissions!$L$2:$L$3000,Permissions!$B$2:$B$3000,$A442,Permissions!$P$2:$P$3000,"Yes")</f>
        <v>0</v>
      </c>
      <c r="AY442" s="27" t="str">
        <f aca="false">IF(AND(AK442&gt;0,AG442&gt;=AK442,AN442=0),"Built out",IF(AG442&gt;0,"Partly built",IF(AK442&gt;0,"Consented – not built","No consent")))</f>
        <v>No consent</v>
      </c>
      <c r="AZ442" s="28" t="str">
        <f aca="false">IF(AND(R442&lt;&gt;"",AK442&gt;1.1*R442),"Consented above capacity",IF(AND(LEFT(B442,8)="Planning",AW442=0),"Consent parcel with no permission",IF(COUNTIF($A$2:$A$3000,$A442)&gt;1,"Duplicate parcel_id","")))</f>
        <v/>
      </c>
    </row>
    <row r="443" customFormat="false" ht="15" hidden="false" customHeight="false" outlineLevel="0" collapsed="false">
      <c r="A443" s="15" t="s">
        <v>902</v>
      </c>
      <c r="B443" s="15" t="s">
        <v>13</v>
      </c>
      <c r="C443" s="15" t="s">
        <v>17</v>
      </c>
      <c r="D443" s="15" t="s">
        <v>65</v>
      </c>
      <c r="E443" s="15" t="s">
        <v>20</v>
      </c>
      <c r="F443" s="15" t="n">
        <v>1</v>
      </c>
      <c r="G443" s="15" t="s">
        <v>154</v>
      </c>
      <c r="H443" s="15"/>
      <c r="I443" s="15" t="s">
        <v>17</v>
      </c>
      <c r="J443" s="15" t="s">
        <v>583</v>
      </c>
      <c r="K443" s="15" t="s">
        <v>896</v>
      </c>
      <c r="L443" s="15"/>
      <c r="M443" s="15" t="s">
        <v>733</v>
      </c>
      <c r="N443" s="15"/>
      <c r="O443" s="15"/>
      <c r="P443" s="15" t="n">
        <v>1.004</v>
      </c>
      <c r="Q443" s="15" t="n">
        <v>1.104</v>
      </c>
      <c r="R443" s="15" t="n">
        <v>25</v>
      </c>
      <c r="S443" s="15" t="s">
        <v>734</v>
      </c>
      <c r="T443" s="15" t="s">
        <v>897</v>
      </c>
      <c r="U443" s="15" t="s">
        <v>736</v>
      </c>
      <c r="V443" s="15"/>
      <c r="W443" s="15" t="s">
        <v>746</v>
      </c>
      <c r="X443" s="15" t="n">
        <v>25</v>
      </c>
      <c r="Y443" s="15" t="s">
        <v>747</v>
      </c>
      <c r="Z443" s="15" t="n">
        <v>1</v>
      </c>
      <c r="AA443" s="15" t="n">
        <v>0</v>
      </c>
      <c r="AB443" s="15" t="n">
        <v>0</v>
      </c>
      <c r="AC443" s="15"/>
      <c r="AD443" s="15"/>
      <c r="AE443" s="15" t="s">
        <v>163</v>
      </c>
      <c r="AF443" s="15"/>
      <c r="AG443" s="24" t="n">
        <f aca="false">SUMIFS(Permissions!$G$2:$G$3000,Permissions!$B$2:$B$3000,$A443,Permissions!$I$2:$I$3000,"Complete",Permissions!$P$2:$P$3000,"Yes")</f>
        <v>0</v>
      </c>
      <c r="AH443" s="24" t="n">
        <f aca="false">SUMIFS(Permissions!$G$2:$G$3000,Permissions!$B$2:$B$3000,$A443,Permissions!$I$2:$I$3000,"Under construction",Permissions!$P$2:$P$3000,"Yes")</f>
        <v>0</v>
      </c>
      <c r="AI443" s="24" t="n">
        <f aca="false">SUMIFS(Permissions!$G$2:$G$3000,Permissions!$B$2:$B$3000,$A443,Permissions!$I$2:$I$3000,"Permitted – not started",Permissions!$P$2:$P$3000,"Yes")</f>
        <v>0</v>
      </c>
      <c r="AJ443" s="24" t="n">
        <f aca="false">SUMIFS(Permissions!$G$2:$G$3000,Permissions!$B$2:$B$3000,$A443,Permissions!$I$2:$I$3000,"Stalled",Permissions!$P$2:$P$3000,"Yes")</f>
        <v>0</v>
      </c>
      <c r="AK443" s="24" t="n">
        <f aca="false">AG443+AH443+AI443+AJ443</f>
        <v>0</v>
      </c>
      <c r="AL443" s="24" t="n">
        <f aca="false">SUMIFS(Permissions!$G$2:$G$3000,Permissions!$B$2:$B$3000,$A443,Permissions!$I$2:$I$3000,"Expired – not started",Permissions!$P$2:$P$3000,"Yes")</f>
        <v>0</v>
      </c>
      <c r="AM443" s="24" t="n">
        <f aca="false">SUMIFS(Permissions!$G$2:$G$3000,Permissions!$B$2:$B$3000,$A443,Permissions!$I$2:$I$3000,"In planning",Permissions!$P$2:$P$3000,"Yes")</f>
        <v>0</v>
      </c>
      <c r="AN443" s="24" t="n">
        <f aca="false">IF(R443="",0,MAX(R443-AK443,0))</f>
        <v>25</v>
      </c>
      <c r="AO443" s="25" t="n">
        <f aca="false">AK443+AN443</f>
        <v>25</v>
      </c>
      <c r="AP443" s="24" t="n">
        <f aca="false">AO443-AG443</f>
        <v>25</v>
      </c>
      <c r="AQ443" s="26" t="n">
        <f aca="false">SUMIFS(Permissions!$AH$2:$AH$3000,Permissions!$B$2:$B$3000,$A443,Permissions!$P$2:$P$3000,"Yes")</f>
        <v>0</v>
      </c>
      <c r="AR443" s="26" t="n">
        <f aca="false">SUMIFS(Permissions!$AI$2:$AI$3000,Permissions!$B$2:$B$3000,$A443,Permissions!$P$2:$P$3000,"Yes")</f>
        <v>0</v>
      </c>
      <c r="AS443" s="26" t="n">
        <f aca="false">SUMIFS(Permissions!$AJ$2:$AJ$3000,Permissions!$B$2:$B$3000,$A443,Permissions!$P$2:$P$3000,"Yes")</f>
        <v>0</v>
      </c>
      <c r="AT443" s="26" t="n">
        <f aca="false">SUMIFS(Permissions!$AK$2:$AK$3000,Permissions!$B$2:$B$3000,$A443,Permissions!$P$2:$P$3000,"Yes")</f>
        <v>0</v>
      </c>
      <c r="AU443" s="26" t="n">
        <f aca="false">SUMIFS(Permissions!$AL$2:$AL$3000,Permissions!$B$2:$B$3000,$A443,Permissions!$P$2:$P$3000,"Yes")</f>
        <v>0</v>
      </c>
      <c r="AV443" s="26" t="n">
        <f aca="false">SUMIFS(Permissions!$AM$2:$AM$3000,Permissions!$B$2:$B$3000,$A443,Permissions!$P$2:$P$3000,"Yes")</f>
        <v>0</v>
      </c>
      <c r="AW443" s="24" t="n">
        <f aca="false">COUNTIFS(Permissions!$B$2:$B$3000,$A443,Permissions!$P$2:$P$3000,"Yes")</f>
        <v>0</v>
      </c>
      <c r="AX443" s="24" t="n">
        <f aca="false">SUMIFS(Permissions!$L$2:$L$3000,Permissions!$B$2:$B$3000,$A443,Permissions!$P$2:$P$3000,"Yes")</f>
        <v>0</v>
      </c>
      <c r="AY443" s="27" t="str">
        <f aca="false">IF(AND(AK443&gt;0,AG443&gt;=AK443,AN443=0),"Built out",IF(AG443&gt;0,"Partly built",IF(AK443&gt;0,"Consented – not built","No consent")))</f>
        <v>No consent</v>
      </c>
      <c r="AZ443" s="28" t="str">
        <f aca="false">IF(AND(R443&lt;&gt;"",AK443&gt;1.1*R443),"Consented above capacity",IF(AND(LEFT(B443,8)="Planning",AW443=0),"Consent parcel with no permission",IF(COUNTIF($A$2:$A$3000,$A443)&gt;1,"Duplicate parcel_id","")))</f>
        <v/>
      </c>
    </row>
    <row r="444" customFormat="false" ht="15" hidden="false" customHeight="false" outlineLevel="0" collapsed="false">
      <c r="A444" s="15" t="s">
        <v>903</v>
      </c>
      <c r="B444" s="15" t="s">
        <v>13</v>
      </c>
      <c r="C444" s="15" t="s">
        <v>17</v>
      </c>
      <c r="D444" s="15" t="s">
        <v>65</v>
      </c>
      <c r="E444" s="15" t="s">
        <v>20</v>
      </c>
      <c r="F444" s="15" t="n">
        <v>0</v>
      </c>
      <c r="G444" s="15" t="s">
        <v>904</v>
      </c>
      <c r="H444" s="15"/>
      <c r="I444" s="15" t="s">
        <v>17</v>
      </c>
      <c r="J444" s="15" t="s">
        <v>583</v>
      </c>
      <c r="K444" s="15" t="s">
        <v>905</v>
      </c>
      <c r="L444" s="15"/>
      <c r="M444" s="15" t="s">
        <v>751</v>
      </c>
      <c r="N444" s="15"/>
      <c r="O444" s="15"/>
      <c r="P444" s="15" t="n">
        <v>1.622</v>
      </c>
      <c r="Q444" s="15" t="n">
        <v>1.783</v>
      </c>
      <c r="R444" s="15" t="n">
        <v>31</v>
      </c>
      <c r="S444" s="15" t="s">
        <v>734</v>
      </c>
      <c r="T444" s="15" t="s">
        <v>897</v>
      </c>
      <c r="U444" s="15" t="s">
        <v>752</v>
      </c>
      <c r="V444" s="15"/>
      <c r="W444" s="15" t="s">
        <v>753</v>
      </c>
      <c r="X444" s="15" t="n">
        <v>19</v>
      </c>
      <c r="Y444" s="15" t="s">
        <v>754</v>
      </c>
      <c r="Z444" s="15" t="n">
        <v>1</v>
      </c>
      <c r="AA444" s="15" t="n">
        <v>0</v>
      </c>
      <c r="AB444" s="15" t="n">
        <v>0</v>
      </c>
      <c r="AC444" s="15"/>
      <c r="AD444" s="15"/>
      <c r="AE444" s="15" t="s">
        <v>163</v>
      </c>
      <c r="AF444" s="15"/>
      <c r="AG444" s="24" t="n">
        <f aca="false">SUMIFS(Permissions!$G$2:$G$3000,Permissions!$B$2:$B$3000,$A444,Permissions!$I$2:$I$3000,"Complete",Permissions!$P$2:$P$3000,"Yes")</f>
        <v>0</v>
      </c>
      <c r="AH444" s="24" t="n">
        <f aca="false">SUMIFS(Permissions!$G$2:$G$3000,Permissions!$B$2:$B$3000,$A444,Permissions!$I$2:$I$3000,"Under construction",Permissions!$P$2:$P$3000,"Yes")</f>
        <v>0</v>
      </c>
      <c r="AI444" s="24" t="n">
        <f aca="false">SUMIFS(Permissions!$G$2:$G$3000,Permissions!$B$2:$B$3000,$A444,Permissions!$I$2:$I$3000,"Permitted – not started",Permissions!$P$2:$P$3000,"Yes")</f>
        <v>0</v>
      </c>
      <c r="AJ444" s="24" t="n">
        <f aca="false">SUMIFS(Permissions!$G$2:$G$3000,Permissions!$B$2:$B$3000,$A444,Permissions!$I$2:$I$3000,"Stalled",Permissions!$P$2:$P$3000,"Yes")</f>
        <v>0</v>
      </c>
      <c r="AK444" s="24" t="n">
        <f aca="false">AG444+AH444+AI444+AJ444</f>
        <v>0</v>
      </c>
      <c r="AL444" s="24" t="n">
        <f aca="false">SUMIFS(Permissions!$G$2:$G$3000,Permissions!$B$2:$B$3000,$A444,Permissions!$I$2:$I$3000,"Expired – not started",Permissions!$P$2:$P$3000,"Yes")</f>
        <v>0</v>
      </c>
      <c r="AM444" s="24" t="n">
        <f aca="false">SUMIFS(Permissions!$G$2:$G$3000,Permissions!$B$2:$B$3000,$A444,Permissions!$I$2:$I$3000,"In planning",Permissions!$P$2:$P$3000,"Yes")</f>
        <v>0</v>
      </c>
      <c r="AN444" s="24" t="n">
        <f aca="false">IF(R444="",0,MAX(R444-AK444,0))</f>
        <v>31</v>
      </c>
      <c r="AO444" s="25" t="n">
        <f aca="false">AK444+AN444</f>
        <v>31</v>
      </c>
      <c r="AP444" s="24" t="n">
        <f aca="false">AO444-AG444</f>
        <v>31</v>
      </c>
      <c r="AQ444" s="26" t="n">
        <f aca="false">SUMIFS(Permissions!$AH$2:$AH$3000,Permissions!$B$2:$B$3000,$A444,Permissions!$P$2:$P$3000,"Yes")</f>
        <v>0</v>
      </c>
      <c r="AR444" s="26" t="n">
        <f aca="false">SUMIFS(Permissions!$AI$2:$AI$3000,Permissions!$B$2:$B$3000,$A444,Permissions!$P$2:$P$3000,"Yes")</f>
        <v>0</v>
      </c>
      <c r="AS444" s="26" t="n">
        <f aca="false">SUMIFS(Permissions!$AJ$2:$AJ$3000,Permissions!$B$2:$B$3000,$A444,Permissions!$P$2:$P$3000,"Yes")</f>
        <v>0</v>
      </c>
      <c r="AT444" s="26" t="n">
        <f aca="false">SUMIFS(Permissions!$AK$2:$AK$3000,Permissions!$B$2:$B$3000,$A444,Permissions!$P$2:$P$3000,"Yes")</f>
        <v>0</v>
      </c>
      <c r="AU444" s="26" t="n">
        <f aca="false">SUMIFS(Permissions!$AL$2:$AL$3000,Permissions!$B$2:$B$3000,$A444,Permissions!$P$2:$P$3000,"Yes")</f>
        <v>0</v>
      </c>
      <c r="AV444" s="26" t="n">
        <f aca="false">SUMIFS(Permissions!$AM$2:$AM$3000,Permissions!$B$2:$B$3000,$A444,Permissions!$P$2:$P$3000,"Yes")</f>
        <v>0</v>
      </c>
      <c r="AW444" s="24" t="n">
        <f aca="false">COUNTIFS(Permissions!$B$2:$B$3000,$A444,Permissions!$P$2:$P$3000,"Yes")</f>
        <v>0</v>
      </c>
      <c r="AX444" s="24" t="n">
        <f aca="false">SUMIFS(Permissions!$L$2:$L$3000,Permissions!$B$2:$B$3000,$A444,Permissions!$P$2:$P$3000,"Yes")</f>
        <v>0</v>
      </c>
      <c r="AY444" s="27" t="str">
        <f aca="false">IF(AND(AK444&gt;0,AG444&gt;=AK444,AN444=0),"Built out",IF(AG444&gt;0,"Partly built",IF(AK444&gt;0,"Consented – not built","No consent")))</f>
        <v>No consent</v>
      </c>
      <c r="AZ444" s="28" t="str">
        <f aca="false">IF(AND(R444&lt;&gt;"",AK444&gt;1.1*R444),"Consented above capacity",IF(AND(LEFT(B444,8)="Planning",AW444=0),"Consent parcel with no permission",IF(COUNTIF($A$2:$A$3000,$A444)&gt;1,"Duplicate parcel_id","")))</f>
        <v/>
      </c>
    </row>
    <row r="445" customFormat="false" ht="15" hidden="false" customHeight="false" outlineLevel="0" collapsed="false">
      <c r="A445" s="15" t="s">
        <v>906</v>
      </c>
      <c r="B445" s="15" t="s">
        <v>13</v>
      </c>
      <c r="C445" s="15" t="s">
        <v>17</v>
      </c>
      <c r="D445" s="15" t="s">
        <v>65</v>
      </c>
      <c r="E445" s="15" t="s">
        <v>20</v>
      </c>
      <c r="F445" s="15" t="n">
        <v>1</v>
      </c>
      <c r="G445" s="15" t="s">
        <v>154</v>
      </c>
      <c r="H445" s="15"/>
      <c r="I445" s="15" t="s">
        <v>17</v>
      </c>
      <c r="J445" s="15" t="s">
        <v>583</v>
      </c>
      <c r="K445" s="15" t="s">
        <v>896</v>
      </c>
      <c r="L445" s="15"/>
      <c r="M445" s="15" t="s">
        <v>733</v>
      </c>
      <c r="N445" s="15"/>
      <c r="O445" s="15"/>
      <c r="P445" s="15" t="n">
        <v>0.547</v>
      </c>
      <c r="Q445" s="15" t="n">
        <v>0.601</v>
      </c>
      <c r="R445" s="15" t="n">
        <v>14</v>
      </c>
      <c r="S445" s="15" t="s">
        <v>734</v>
      </c>
      <c r="T445" s="15" t="s">
        <v>897</v>
      </c>
      <c r="U445" s="15" t="s">
        <v>736</v>
      </c>
      <c r="V445" s="15"/>
      <c r="W445" s="15" t="s">
        <v>746</v>
      </c>
      <c r="X445" s="15" t="n">
        <v>25</v>
      </c>
      <c r="Y445" s="15" t="s">
        <v>747</v>
      </c>
      <c r="Z445" s="15" t="n">
        <v>1</v>
      </c>
      <c r="AA445" s="15" t="n">
        <v>0</v>
      </c>
      <c r="AB445" s="15" t="n">
        <v>0</v>
      </c>
      <c r="AC445" s="15"/>
      <c r="AD445" s="15"/>
      <c r="AE445" s="15" t="s">
        <v>163</v>
      </c>
      <c r="AF445" s="15"/>
      <c r="AG445" s="24" t="n">
        <f aca="false">SUMIFS(Permissions!$G$2:$G$3000,Permissions!$B$2:$B$3000,$A445,Permissions!$I$2:$I$3000,"Complete",Permissions!$P$2:$P$3000,"Yes")</f>
        <v>0</v>
      </c>
      <c r="AH445" s="24" t="n">
        <f aca="false">SUMIFS(Permissions!$G$2:$G$3000,Permissions!$B$2:$B$3000,$A445,Permissions!$I$2:$I$3000,"Under construction",Permissions!$P$2:$P$3000,"Yes")</f>
        <v>0</v>
      </c>
      <c r="AI445" s="24" t="n">
        <f aca="false">SUMIFS(Permissions!$G$2:$G$3000,Permissions!$B$2:$B$3000,$A445,Permissions!$I$2:$I$3000,"Permitted – not started",Permissions!$P$2:$P$3000,"Yes")</f>
        <v>0</v>
      </c>
      <c r="AJ445" s="24" t="n">
        <f aca="false">SUMIFS(Permissions!$G$2:$G$3000,Permissions!$B$2:$B$3000,$A445,Permissions!$I$2:$I$3000,"Stalled",Permissions!$P$2:$P$3000,"Yes")</f>
        <v>0</v>
      </c>
      <c r="AK445" s="24" t="n">
        <f aca="false">AG445+AH445+AI445+AJ445</f>
        <v>0</v>
      </c>
      <c r="AL445" s="24" t="n">
        <f aca="false">SUMIFS(Permissions!$G$2:$G$3000,Permissions!$B$2:$B$3000,$A445,Permissions!$I$2:$I$3000,"Expired – not started",Permissions!$P$2:$P$3000,"Yes")</f>
        <v>0</v>
      </c>
      <c r="AM445" s="24" t="n">
        <f aca="false">SUMIFS(Permissions!$G$2:$G$3000,Permissions!$B$2:$B$3000,$A445,Permissions!$I$2:$I$3000,"In planning",Permissions!$P$2:$P$3000,"Yes")</f>
        <v>0</v>
      </c>
      <c r="AN445" s="24" t="n">
        <f aca="false">IF(R445="",0,MAX(R445-AK445,0))</f>
        <v>14</v>
      </c>
      <c r="AO445" s="25" t="n">
        <f aca="false">AK445+AN445</f>
        <v>14</v>
      </c>
      <c r="AP445" s="24" t="n">
        <f aca="false">AO445-AG445</f>
        <v>14</v>
      </c>
      <c r="AQ445" s="26" t="n">
        <f aca="false">SUMIFS(Permissions!$AH$2:$AH$3000,Permissions!$B$2:$B$3000,$A445,Permissions!$P$2:$P$3000,"Yes")</f>
        <v>0</v>
      </c>
      <c r="AR445" s="26" t="n">
        <f aca="false">SUMIFS(Permissions!$AI$2:$AI$3000,Permissions!$B$2:$B$3000,$A445,Permissions!$P$2:$P$3000,"Yes")</f>
        <v>0</v>
      </c>
      <c r="AS445" s="26" t="n">
        <f aca="false">SUMIFS(Permissions!$AJ$2:$AJ$3000,Permissions!$B$2:$B$3000,$A445,Permissions!$P$2:$P$3000,"Yes")</f>
        <v>0</v>
      </c>
      <c r="AT445" s="26" t="n">
        <f aca="false">SUMIFS(Permissions!$AK$2:$AK$3000,Permissions!$B$2:$B$3000,$A445,Permissions!$P$2:$P$3000,"Yes")</f>
        <v>0</v>
      </c>
      <c r="AU445" s="26" t="n">
        <f aca="false">SUMIFS(Permissions!$AL$2:$AL$3000,Permissions!$B$2:$B$3000,$A445,Permissions!$P$2:$P$3000,"Yes")</f>
        <v>0</v>
      </c>
      <c r="AV445" s="26" t="n">
        <f aca="false">SUMIFS(Permissions!$AM$2:$AM$3000,Permissions!$B$2:$B$3000,$A445,Permissions!$P$2:$P$3000,"Yes")</f>
        <v>0</v>
      </c>
      <c r="AW445" s="24" t="n">
        <f aca="false">COUNTIFS(Permissions!$B$2:$B$3000,$A445,Permissions!$P$2:$P$3000,"Yes")</f>
        <v>0</v>
      </c>
      <c r="AX445" s="24" t="n">
        <f aca="false">SUMIFS(Permissions!$L$2:$L$3000,Permissions!$B$2:$B$3000,$A445,Permissions!$P$2:$P$3000,"Yes")</f>
        <v>0</v>
      </c>
      <c r="AY445" s="27" t="str">
        <f aca="false">IF(AND(AK445&gt;0,AG445&gt;=AK445,AN445=0),"Built out",IF(AG445&gt;0,"Partly built",IF(AK445&gt;0,"Consented – not built","No consent")))</f>
        <v>No consent</v>
      </c>
      <c r="AZ445" s="28" t="str">
        <f aca="false">IF(AND(R445&lt;&gt;"",AK445&gt;1.1*R445),"Consented above capacity",IF(AND(LEFT(B445,8)="Planning",AW445=0),"Consent parcel with no permission",IF(COUNTIF($A$2:$A$3000,$A445)&gt;1,"Duplicate parcel_id","")))</f>
        <v/>
      </c>
    </row>
    <row r="446" customFormat="false" ht="15" hidden="false" customHeight="false" outlineLevel="0" collapsed="false">
      <c r="A446" s="15" t="s">
        <v>907</v>
      </c>
      <c r="B446" s="15" t="s">
        <v>13</v>
      </c>
      <c r="C446" s="15" t="s">
        <v>17</v>
      </c>
      <c r="D446" s="15" t="s">
        <v>65</v>
      </c>
      <c r="E446" s="15" t="s">
        <v>20</v>
      </c>
      <c r="F446" s="15" t="n">
        <v>0</v>
      </c>
      <c r="G446" s="15" t="s">
        <v>904</v>
      </c>
      <c r="H446" s="15"/>
      <c r="I446" s="15" t="s">
        <v>17</v>
      </c>
      <c r="J446" s="15" t="s">
        <v>583</v>
      </c>
      <c r="K446" s="15" t="s">
        <v>905</v>
      </c>
      <c r="L446" s="15"/>
      <c r="M446" s="15" t="s">
        <v>751</v>
      </c>
      <c r="N446" s="15"/>
      <c r="O446" s="15"/>
      <c r="P446" s="15" t="n">
        <v>0.389</v>
      </c>
      <c r="Q446" s="15" t="n">
        <v>0.428</v>
      </c>
      <c r="R446" s="15" t="n">
        <v>7</v>
      </c>
      <c r="S446" s="15" t="s">
        <v>734</v>
      </c>
      <c r="T446" s="15" t="s">
        <v>897</v>
      </c>
      <c r="U446" s="15" t="s">
        <v>752</v>
      </c>
      <c r="V446" s="15"/>
      <c r="W446" s="15" t="s">
        <v>753</v>
      </c>
      <c r="X446" s="15" t="n">
        <v>19</v>
      </c>
      <c r="Y446" s="15" t="s">
        <v>754</v>
      </c>
      <c r="Z446" s="15" t="n">
        <v>1</v>
      </c>
      <c r="AA446" s="15" t="n">
        <v>0</v>
      </c>
      <c r="AB446" s="15" t="n">
        <v>0</v>
      </c>
      <c r="AC446" s="15"/>
      <c r="AD446" s="15"/>
      <c r="AE446" s="15" t="s">
        <v>163</v>
      </c>
      <c r="AF446" s="15"/>
      <c r="AG446" s="24" t="n">
        <f aca="false">SUMIFS(Permissions!$G$2:$G$3000,Permissions!$B$2:$B$3000,$A446,Permissions!$I$2:$I$3000,"Complete",Permissions!$P$2:$P$3000,"Yes")</f>
        <v>0</v>
      </c>
      <c r="AH446" s="24" t="n">
        <f aca="false">SUMIFS(Permissions!$G$2:$G$3000,Permissions!$B$2:$B$3000,$A446,Permissions!$I$2:$I$3000,"Under construction",Permissions!$P$2:$P$3000,"Yes")</f>
        <v>0</v>
      </c>
      <c r="AI446" s="24" t="n">
        <f aca="false">SUMIFS(Permissions!$G$2:$G$3000,Permissions!$B$2:$B$3000,$A446,Permissions!$I$2:$I$3000,"Permitted – not started",Permissions!$P$2:$P$3000,"Yes")</f>
        <v>0</v>
      </c>
      <c r="AJ446" s="24" t="n">
        <f aca="false">SUMIFS(Permissions!$G$2:$G$3000,Permissions!$B$2:$B$3000,$A446,Permissions!$I$2:$I$3000,"Stalled",Permissions!$P$2:$P$3000,"Yes")</f>
        <v>0</v>
      </c>
      <c r="AK446" s="24" t="n">
        <f aca="false">AG446+AH446+AI446+AJ446</f>
        <v>0</v>
      </c>
      <c r="AL446" s="24" t="n">
        <f aca="false">SUMIFS(Permissions!$G$2:$G$3000,Permissions!$B$2:$B$3000,$A446,Permissions!$I$2:$I$3000,"Expired – not started",Permissions!$P$2:$P$3000,"Yes")</f>
        <v>0</v>
      </c>
      <c r="AM446" s="24" t="n">
        <f aca="false">SUMIFS(Permissions!$G$2:$G$3000,Permissions!$B$2:$B$3000,$A446,Permissions!$I$2:$I$3000,"In planning",Permissions!$P$2:$P$3000,"Yes")</f>
        <v>0</v>
      </c>
      <c r="AN446" s="24" t="n">
        <f aca="false">IF(R446="",0,MAX(R446-AK446,0))</f>
        <v>7</v>
      </c>
      <c r="AO446" s="25" t="n">
        <f aca="false">AK446+AN446</f>
        <v>7</v>
      </c>
      <c r="AP446" s="24" t="n">
        <f aca="false">AO446-AG446</f>
        <v>7</v>
      </c>
      <c r="AQ446" s="26" t="n">
        <f aca="false">SUMIFS(Permissions!$AH$2:$AH$3000,Permissions!$B$2:$B$3000,$A446,Permissions!$P$2:$P$3000,"Yes")</f>
        <v>0</v>
      </c>
      <c r="AR446" s="26" t="n">
        <f aca="false">SUMIFS(Permissions!$AI$2:$AI$3000,Permissions!$B$2:$B$3000,$A446,Permissions!$P$2:$P$3000,"Yes")</f>
        <v>0</v>
      </c>
      <c r="AS446" s="26" t="n">
        <f aca="false">SUMIFS(Permissions!$AJ$2:$AJ$3000,Permissions!$B$2:$B$3000,$A446,Permissions!$P$2:$P$3000,"Yes")</f>
        <v>0</v>
      </c>
      <c r="AT446" s="26" t="n">
        <f aca="false">SUMIFS(Permissions!$AK$2:$AK$3000,Permissions!$B$2:$B$3000,$A446,Permissions!$P$2:$P$3000,"Yes")</f>
        <v>0</v>
      </c>
      <c r="AU446" s="26" t="n">
        <f aca="false">SUMIFS(Permissions!$AL$2:$AL$3000,Permissions!$B$2:$B$3000,$A446,Permissions!$P$2:$P$3000,"Yes")</f>
        <v>0</v>
      </c>
      <c r="AV446" s="26" t="n">
        <f aca="false">SUMIFS(Permissions!$AM$2:$AM$3000,Permissions!$B$2:$B$3000,$A446,Permissions!$P$2:$P$3000,"Yes")</f>
        <v>0</v>
      </c>
      <c r="AW446" s="24" t="n">
        <f aca="false">COUNTIFS(Permissions!$B$2:$B$3000,$A446,Permissions!$P$2:$P$3000,"Yes")</f>
        <v>0</v>
      </c>
      <c r="AX446" s="24" t="n">
        <f aca="false">SUMIFS(Permissions!$L$2:$L$3000,Permissions!$B$2:$B$3000,$A446,Permissions!$P$2:$P$3000,"Yes")</f>
        <v>0</v>
      </c>
      <c r="AY446" s="27" t="str">
        <f aca="false">IF(AND(AK446&gt;0,AG446&gt;=AK446,AN446=0),"Built out",IF(AG446&gt;0,"Partly built",IF(AK446&gt;0,"Consented – not built","No consent")))</f>
        <v>No consent</v>
      </c>
      <c r="AZ446" s="28" t="str">
        <f aca="false">IF(AND(R446&lt;&gt;"",AK446&gt;1.1*R446),"Consented above capacity",IF(AND(LEFT(B446,8)="Planning",AW446=0),"Consent parcel with no permission",IF(COUNTIF($A$2:$A$3000,$A446)&gt;1,"Duplicate parcel_id","")))</f>
        <v/>
      </c>
    </row>
    <row r="447" customFormat="false" ht="15" hidden="false" customHeight="false" outlineLevel="0" collapsed="false">
      <c r="A447" s="15" t="s">
        <v>908</v>
      </c>
      <c r="B447" s="15" t="s">
        <v>13</v>
      </c>
      <c r="C447" s="15" t="s">
        <v>17</v>
      </c>
      <c r="D447" s="15" t="s">
        <v>65</v>
      </c>
      <c r="E447" s="15" t="s">
        <v>20</v>
      </c>
      <c r="F447" s="15" t="n">
        <v>1</v>
      </c>
      <c r="G447" s="15" t="s">
        <v>154</v>
      </c>
      <c r="H447" s="15"/>
      <c r="I447" s="15" t="s">
        <v>17</v>
      </c>
      <c r="J447" s="15" t="s">
        <v>583</v>
      </c>
      <c r="K447" s="15" t="s">
        <v>896</v>
      </c>
      <c r="L447" s="15"/>
      <c r="M447" s="15" t="s">
        <v>733</v>
      </c>
      <c r="N447" s="15"/>
      <c r="O447" s="15"/>
      <c r="P447" s="15" t="n">
        <v>0.889</v>
      </c>
      <c r="Q447" s="15" t="n">
        <v>0.977</v>
      </c>
      <c r="R447" s="15" t="n">
        <v>22</v>
      </c>
      <c r="S447" s="15" t="s">
        <v>734</v>
      </c>
      <c r="T447" s="15" t="s">
        <v>897</v>
      </c>
      <c r="U447" s="15" t="s">
        <v>736</v>
      </c>
      <c r="V447" s="15"/>
      <c r="W447" s="15" t="s">
        <v>746</v>
      </c>
      <c r="X447" s="15" t="n">
        <v>25</v>
      </c>
      <c r="Y447" s="15" t="s">
        <v>747</v>
      </c>
      <c r="Z447" s="15" t="n">
        <v>0.03</v>
      </c>
      <c r="AA447" s="15" t="n">
        <v>0</v>
      </c>
      <c r="AB447" s="15" t="n">
        <v>0</v>
      </c>
      <c r="AC447" s="15"/>
      <c r="AD447" s="15"/>
      <c r="AE447" s="15" t="s">
        <v>163</v>
      </c>
      <c r="AF447" s="15"/>
      <c r="AG447" s="24" t="n">
        <f aca="false">SUMIFS(Permissions!$G$2:$G$3000,Permissions!$B$2:$B$3000,$A447,Permissions!$I$2:$I$3000,"Complete",Permissions!$P$2:$P$3000,"Yes")</f>
        <v>0</v>
      </c>
      <c r="AH447" s="24" t="n">
        <f aca="false">SUMIFS(Permissions!$G$2:$G$3000,Permissions!$B$2:$B$3000,$A447,Permissions!$I$2:$I$3000,"Under construction",Permissions!$P$2:$P$3000,"Yes")</f>
        <v>0</v>
      </c>
      <c r="AI447" s="24" t="n">
        <f aca="false">SUMIFS(Permissions!$G$2:$G$3000,Permissions!$B$2:$B$3000,$A447,Permissions!$I$2:$I$3000,"Permitted – not started",Permissions!$P$2:$P$3000,"Yes")</f>
        <v>0</v>
      </c>
      <c r="AJ447" s="24" t="n">
        <f aca="false">SUMIFS(Permissions!$G$2:$G$3000,Permissions!$B$2:$B$3000,$A447,Permissions!$I$2:$I$3000,"Stalled",Permissions!$P$2:$P$3000,"Yes")</f>
        <v>0</v>
      </c>
      <c r="AK447" s="24" t="n">
        <f aca="false">AG447+AH447+AI447+AJ447</f>
        <v>0</v>
      </c>
      <c r="AL447" s="24" t="n">
        <f aca="false">SUMIFS(Permissions!$G$2:$G$3000,Permissions!$B$2:$B$3000,$A447,Permissions!$I$2:$I$3000,"Expired – not started",Permissions!$P$2:$P$3000,"Yes")</f>
        <v>0</v>
      </c>
      <c r="AM447" s="24" t="n">
        <f aca="false">SUMIFS(Permissions!$G$2:$G$3000,Permissions!$B$2:$B$3000,$A447,Permissions!$I$2:$I$3000,"In planning",Permissions!$P$2:$P$3000,"Yes")</f>
        <v>0</v>
      </c>
      <c r="AN447" s="24" t="n">
        <f aca="false">IF(R447="",0,MAX(R447-AK447,0))</f>
        <v>22</v>
      </c>
      <c r="AO447" s="25" t="n">
        <f aca="false">AK447+AN447</f>
        <v>22</v>
      </c>
      <c r="AP447" s="24" t="n">
        <f aca="false">AO447-AG447</f>
        <v>22</v>
      </c>
      <c r="AQ447" s="26" t="n">
        <f aca="false">SUMIFS(Permissions!$AH$2:$AH$3000,Permissions!$B$2:$B$3000,$A447,Permissions!$P$2:$P$3000,"Yes")</f>
        <v>0</v>
      </c>
      <c r="AR447" s="26" t="n">
        <f aca="false">SUMIFS(Permissions!$AI$2:$AI$3000,Permissions!$B$2:$B$3000,$A447,Permissions!$P$2:$P$3000,"Yes")</f>
        <v>0</v>
      </c>
      <c r="AS447" s="26" t="n">
        <f aca="false">SUMIFS(Permissions!$AJ$2:$AJ$3000,Permissions!$B$2:$B$3000,$A447,Permissions!$P$2:$P$3000,"Yes")</f>
        <v>0</v>
      </c>
      <c r="AT447" s="26" t="n">
        <f aca="false">SUMIFS(Permissions!$AK$2:$AK$3000,Permissions!$B$2:$B$3000,$A447,Permissions!$P$2:$P$3000,"Yes")</f>
        <v>0</v>
      </c>
      <c r="AU447" s="26" t="n">
        <f aca="false">SUMIFS(Permissions!$AL$2:$AL$3000,Permissions!$B$2:$B$3000,$A447,Permissions!$P$2:$P$3000,"Yes")</f>
        <v>0</v>
      </c>
      <c r="AV447" s="26" t="n">
        <f aca="false">SUMIFS(Permissions!$AM$2:$AM$3000,Permissions!$B$2:$B$3000,$A447,Permissions!$P$2:$P$3000,"Yes")</f>
        <v>0</v>
      </c>
      <c r="AW447" s="24" t="n">
        <f aca="false">COUNTIFS(Permissions!$B$2:$B$3000,$A447,Permissions!$P$2:$P$3000,"Yes")</f>
        <v>0</v>
      </c>
      <c r="AX447" s="24" t="n">
        <f aca="false">SUMIFS(Permissions!$L$2:$L$3000,Permissions!$B$2:$B$3000,$A447,Permissions!$P$2:$P$3000,"Yes")</f>
        <v>0</v>
      </c>
      <c r="AY447" s="27" t="str">
        <f aca="false">IF(AND(AK447&gt;0,AG447&gt;=AK447,AN447=0),"Built out",IF(AG447&gt;0,"Partly built",IF(AK447&gt;0,"Consented – not built","No consent")))</f>
        <v>No consent</v>
      </c>
      <c r="AZ447" s="28" t="str">
        <f aca="false">IF(AND(R447&lt;&gt;"",AK447&gt;1.1*R447),"Consented above capacity",IF(AND(LEFT(B447,8)="Planning",AW447=0),"Consent parcel with no permission",IF(COUNTIF($A$2:$A$3000,$A447)&gt;1,"Duplicate parcel_id","")))</f>
        <v/>
      </c>
    </row>
  </sheetData>
  <autoFilter ref="A1:AZ447"/>
  <conditionalFormatting sqref="AZ2:AZ3000">
    <cfRule type="expression" priority="2" aboveAverage="0" equalAverage="0" bottom="0" percent="0" rank="0" text="" dxfId="0">
      <formula>LEN(AZ2)&gt;0</formula>
    </cfRule>
  </conditionalFormatting>
  <dataValidations count="2">
    <dataValidation allowBlank="true" error="Pick a value from the list." errorStyle="stop" errorTitle="Not in list" operator="between" showDropDown="false" showErrorMessage="true" showInputMessage="false" sqref="B2:B1447" type="list">
      <formula1>Lists!$C$2:$C$6</formula1>
      <formula2>0</formula2>
    </dataValidation>
    <dataValidation allowBlank="true" error="Pick a value from the list." errorStyle="stop" errorTitle="Not in list" operator="between" showDropDown="false" showErrorMessage="true" showInputMessage="false" sqref="C2:C1447"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3" min="12" style="0" width="11"/>
    <col collapsed="false" customWidth="true" hidden="false" outlineLevel="0" max="14" min="14" style="0" width="26"/>
    <col collapsed="false" customWidth="true" hidden="false" outlineLevel="0" max="15" min="15" style="0" width="11"/>
    <col collapsed="false" customWidth="true" hidden="false" outlineLevel="0" max="16" min="16" style="0" width="9"/>
    <col collapsed="false" customWidth="true" hidden="false" outlineLevel="0" max="23" min="17" style="0" width="11"/>
    <col collapsed="false" customWidth="true" hidden="false" outlineLevel="0" max="24" min="24" style="0" width="22"/>
    <col collapsed="false" customWidth="true" hidden="false" outlineLevel="0" max="26" min="25" style="0" width="18"/>
    <col collapsed="false" customWidth="true" hidden="false" outlineLevel="0" max="27" min="27" style="0" width="20"/>
    <col collapsed="false" customWidth="true" hidden="false" outlineLevel="0" max="40" min="28" style="0" width="11"/>
    <col collapsed="false" customWidth="true" hidden="false" outlineLevel="0" max="41" min="41" style="0" width="18"/>
    <col collapsed="false" customWidth="true" hidden="false" outlineLevel="0" max="42" min="42" style="0" width="11"/>
    <col collapsed="false" customWidth="true" hidden="false" outlineLevel="0" max="43" min="43" style="0" width="30"/>
    <col collapsed="false" customWidth="true" hidden="false" outlineLevel="0" max="44" min="44" style="0" width="22"/>
  </cols>
  <sheetData>
    <row r="1" customFormat="false" ht="42" hidden="false" customHeight="true" outlineLevel="0" collapsed="false">
      <c r="A1" s="14" t="s">
        <v>909</v>
      </c>
      <c r="B1" s="14" t="s">
        <v>101</v>
      </c>
      <c r="C1" s="14" t="s">
        <v>104</v>
      </c>
      <c r="D1" s="14" t="s">
        <v>910</v>
      </c>
      <c r="E1" s="14" t="s">
        <v>911</v>
      </c>
      <c r="F1" s="14" t="s">
        <v>912</v>
      </c>
      <c r="G1" s="14" t="s">
        <v>913</v>
      </c>
      <c r="H1" s="14" t="s">
        <v>914</v>
      </c>
      <c r="I1" s="14" t="s">
        <v>915</v>
      </c>
      <c r="J1" s="14" t="s">
        <v>916</v>
      </c>
      <c r="K1" s="14" t="s">
        <v>917</v>
      </c>
      <c r="L1" s="14" t="s">
        <v>150</v>
      </c>
      <c r="M1" s="14" t="s">
        <v>918</v>
      </c>
      <c r="N1" s="14" t="s">
        <v>919</v>
      </c>
      <c r="O1" s="14" t="s">
        <v>920</v>
      </c>
      <c r="P1" s="14" t="s">
        <v>921</v>
      </c>
      <c r="Q1" s="14" t="s">
        <v>922</v>
      </c>
      <c r="R1" s="14" t="s">
        <v>923</v>
      </c>
      <c r="S1" s="14" t="s">
        <v>924</v>
      </c>
      <c r="T1" s="14" t="s">
        <v>925</v>
      </c>
      <c r="U1" s="14" t="s">
        <v>926</v>
      </c>
      <c r="V1" s="14" t="s">
        <v>927</v>
      </c>
      <c r="W1" s="14" t="s">
        <v>928</v>
      </c>
      <c r="X1" s="14" t="s">
        <v>929</v>
      </c>
      <c r="Y1" s="14" t="s">
        <v>930</v>
      </c>
      <c r="Z1" s="14" t="s">
        <v>931</v>
      </c>
      <c r="AA1" s="14" t="s">
        <v>932</v>
      </c>
      <c r="AB1" s="14" t="s">
        <v>933</v>
      </c>
      <c r="AC1" s="14" t="s">
        <v>934</v>
      </c>
      <c r="AD1" s="14" t="s">
        <v>935</v>
      </c>
      <c r="AE1" s="14" t="s">
        <v>936</v>
      </c>
      <c r="AF1" s="14" t="s">
        <v>937</v>
      </c>
      <c r="AG1" s="14" t="s">
        <v>938</v>
      </c>
      <c r="AH1" s="14" t="s">
        <v>143</v>
      </c>
      <c r="AI1" s="14" t="s">
        <v>144</v>
      </c>
      <c r="AJ1" s="14" t="s">
        <v>145</v>
      </c>
      <c r="AK1" s="14" t="s">
        <v>146</v>
      </c>
      <c r="AL1" s="14" t="s">
        <v>147</v>
      </c>
      <c r="AM1" s="14" t="s">
        <v>148</v>
      </c>
      <c r="AN1" s="14" t="s">
        <v>939</v>
      </c>
      <c r="AO1" s="14" t="s">
        <v>940</v>
      </c>
      <c r="AP1" s="14" t="s">
        <v>941</v>
      </c>
      <c r="AQ1" s="14" t="s">
        <v>130</v>
      </c>
      <c r="AR1" s="23" t="s">
        <v>942</v>
      </c>
    </row>
    <row r="2" customFormat="false" ht="15" hidden="false" customHeight="false" outlineLevel="0" collapsed="false">
      <c r="A2" s="15" t="s">
        <v>943</v>
      </c>
      <c r="B2" s="15" t="s">
        <v>175</v>
      </c>
      <c r="C2" s="15" t="s">
        <v>51</v>
      </c>
      <c r="D2" s="15" t="s">
        <v>944</v>
      </c>
      <c r="E2" s="15" t="s">
        <v>944</v>
      </c>
      <c r="F2" s="15" t="s">
        <v>945</v>
      </c>
      <c r="G2" s="15" t="n">
        <v>165</v>
      </c>
      <c r="H2" s="15"/>
      <c r="I2" s="15" t="s">
        <v>946</v>
      </c>
      <c r="J2" s="15" t="s">
        <v>947</v>
      </c>
      <c r="K2" s="15" t="s">
        <v>946</v>
      </c>
      <c r="L2" s="15" t="n">
        <v>0</v>
      </c>
      <c r="M2" s="15" t="n">
        <v>0</v>
      </c>
      <c r="N2" s="15"/>
      <c r="O2" s="15" t="s">
        <v>948</v>
      </c>
      <c r="P2" s="15" t="s">
        <v>949</v>
      </c>
      <c r="Q2" s="15" t="s">
        <v>950</v>
      </c>
      <c r="R2" s="15" t="n">
        <v>0</v>
      </c>
      <c r="S2" s="15" t="n">
        <v>25</v>
      </c>
      <c r="T2" s="15" t="n">
        <v>83</v>
      </c>
      <c r="U2" s="15" t="n">
        <v>57</v>
      </c>
      <c r="V2" s="15" t="n">
        <v>0</v>
      </c>
      <c r="W2" s="15" t="n">
        <v>0</v>
      </c>
      <c r="X2" s="15" t="s">
        <v>951</v>
      </c>
      <c r="Y2" s="15" t="s">
        <v>952</v>
      </c>
      <c r="Z2" s="15" t="s">
        <v>170</v>
      </c>
      <c r="AA2" s="15" t="s">
        <v>953</v>
      </c>
      <c r="AB2" s="15" t="s">
        <v>954</v>
      </c>
      <c r="AC2" s="15" t="s">
        <v>955</v>
      </c>
      <c r="AD2" s="15"/>
      <c r="AE2" s="15" t="s">
        <v>956</v>
      </c>
      <c r="AF2" s="15" t="s">
        <v>957</v>
      </c>
      <c r="AG2" s="15" t="s">
        <v>958</v>
      </c>
      <c r="AH2" s="15" t="n">
        <v>0</v>
      </c>
      <c r="AI2" s="15" t="n">
        <v>0</v>
      </c>
      <c r="AJ2" s="15" t="n">
        <v>34.9</v>
      </c>
      <c r="AK2" s="15" t="n">
        <v>72.3</v>
      </c>
      <c r="AL2" s="15" t="n">
        <v>57.8</v>
      </c>
      <c r="AM2" s="15" t="n">
        <v>0</v>
      </c>
      <c r="AN2" s="15" t="s">
        <v>959</v>
      </c>
      <c r="AO2" s="15" t="s">
        <v>960</v>
      </c>
      <c r="AP2" s="15" t="s">
        <v>163</v>
      </c>
      <c r="AQ2" s="15"/>
      <c r="AR2" s="29" t="str">
        <f aca="false">IF(A2="","",IF(COUNTIF(Parcels!$A$2:$A$3000,B2)=0,"Parcel not found",IF(COUNTIF($A$2:$A$3000,A2)&gt;1,"Duplicate perm_id",IF(AND(P2="Yes",D2&lt;&gt;"",COUNTIFS($C$2:$C$3000,D2,$P$2:$P$3000,"Yes")&gt;1),"Reference counted twice",IF(COUNTIF(Lists!$A$2:$A$7,I2)=0,"Unknown status","")))))</f>
        <v/>
      </c>
    </row>
    <row r="3" customFormat="false" ht="15" hidden="false" customHeight="false" outlineLevel="0" collapsed="false">
      <c r="A3" s="15" t="s">
        <v>961</v>
      </c>
      <c r="B3" s="15" t="s">
        <v>227</v>
      </c>
      <c r="C3" s="15" t="s">
        <v>53</v>
      </c>
      <c r="D3" s="15" t="s">
        <v>962</v>
      </c>
      <c r="E3" s="15" t="s">
        <v>962</v>
      </c>
      <c r="F3" s="15" t="s">
        <v>963</v>
      </c>
      <c r="G3" s="15" t="n">
        <v>8</v>
      </c>
      <c r="H3" s="15"/>
      <c r="I3" s="15" t="s">
        <v>964</v>
      </c>
      <c r="J3" s="15" t="s">
        <v>947</v>
      </c>
      <c r="K3" s="15" t="s">
        <v>964</v>
      </c>
      <c r="L3" s="15" t="n">
        <v>0</v>
      </c>
      <c r="M3" s="15" t="n">
        <v>0</v>
      </c>
      <c r="N3" s="15"/>
      <c r="O3" s="15" t="s">
        <v>948</v>
      </c>
      <c r="P3" s="15" t="s">
        <v>949</v>
      </c>
      <c r="Q3" s="15" t="s">
        <v>965</v>
      </c>
      <c r="R3" s="15"/>
      <c r="S3" s="15"/>
      <c r="T3" s="15"/>
      <c r="U3" s="15"/>
      <c r="V3" s="15"/>
      <c r="W3" s="15"/>
      <c r="X3" s="15" t="s">
        <v>951</v>
      </c>
      <c r="Y3" s="15" t="s">
        <v>952</v>
      </c>
      <c r="Z3" s="15" t="s">
        <v>170</v>
      </c>
      <c r="AA3" s="15" t="s">
        <v>966</v>
      </c>
      <c r="AB3" s="15" t="s">
        <v>967</v>
      </c>
      <c r="AC3" s="15" t="s">
        <v>968</v>
      </c>
      <c r="AD3" s="15"/>
      <c r="AE3" s="15"/>
      <c r="AF3" s="15"/>
      <c r="AG3" s="15" t="s">
        <v>969</v>
      </c>
      <c r="AH3" s="15" t="n">
        <v>0</v>
      </c>
      <c r="AI3" s="15" t="n">
        <v>0</v>
      </c>
      <c r="AJ3" s="15" t="n">
        <v>0</v>
      </c>
      <c r="AK3" s="15" t="n">
        <v>0</v>
      </c>
      <c r="AL3" s="15" t="n">
        <v>0</v>
      </c>
      <c r="AM3" s="15" t="n">
        <v>0</v>
      </c>
      <c r="AN3" s="15" t="s">
        <v>959</v>
      </c>
      <c r="AO3" s="15" t="s">
        <v>960</v>
      </c>
      <c r="AP3" s="15" t="s">
        <v>163</v>
      </c>
      <c r="AQ3" s="15"/>
      <c r="AR3" s="29" t="str">
        <f aca="false">IF(A3="","",IF(COUNTIF(Parcels!$A$2:$A$3000,B3)=0,"Parcel not found",IF(COUNTIF($A$2:$A$3000,A3)&gt;1,"Duplicate perm_id",IF(AND(P3="Yes",D3&lt;&gt;"",COUNTIFS($C$2:$C$3000,D3,$P$2:$P$3000,"Yes")&gt;1),"Reference counted twice",IF(COUNTIF(Lists!$A$2:$A$7,I3)=0,"Unknown status","")))))</f>
        <v/>
      </c>
    </row>
    <row r="4" customFormat="false" ht="15" hidden="false" customHeight="false" outlineLevel="0" collapsed="false">
      <c r="A4" s="15" t="s">
        <v>970</v>
      </c>
      <c r="B4" s="15" t="s">
        <v>236</v>
      </c>
      <c r="C4" s="15" t="s">
        <v>53</v>
      </c>
      <c r="D4" s="15" t="s">
        <v>971</v>
      </c>
      <c r="E4" s="15" t="s">
        <v>971</v>
      </c>
      <c r="F4" s="15" t="s">
        <v>972</v>
      </c>
      <c r="G4" s="15" t="n">
        <v>36</v>
      </c>
      <c r="H4" s="15"/>
      <c r="I4" s="15" t="s">
        <v>48</v>
      </c>
      <c r="J4" s="15" t="s">
        <v>947</v>
      </c>
      <c r="K4" s="15" t="s">
        <v>48</v>
      </c>
      <c r="L4" s="15" t="n">
        <v>0</v>
      </c>
      <c r="M4" s="15" t="n">
        <v>0</v>
      </c>
      <c r="N4" s="15"/>
      <c r="O4" s="15" t="s">
        <v>948</v>
      </c>
      <c r="P4" s="15" t="s">
        <v>949</v>
      </c>
      <c r="Q4" s="15" t="s">
        <v>950</v>
      </c>
      <c r="R4" s="15" t="n">
        <v>0</v>
      </c>
      <c r="S4" s="15" t="n">
        <v>11</v>
      </c>
      <c r="T4" s="15" t="n">
        <v>25</v>
      </c>
      <c r="U4" s="15" t="n">
        <v>0</v>
      </c>
      <c r="V4" s="15" t="n">
        <v>0</v>
      </c>
      <c r="W4" s="15" t="n">
        <v>0</v>
      </c>
      <c r="X4" s="15" t="s">
        <v>973</v>
      </c>
      <c r="Y4" s="15" t="s">
        <v>974</v>
      </c>
      <c r="Z4" s="15" t="s">
        <v>975</v>
      </c>
      <c r="AA4" s="15" t="s">
        <v>976</v>
      </c>
      <c r="AB4" s="15" t="s">
        <v>977</v>
      </c>
      <c r="AC4" s="15"/>
      <c r="AD4" s="15" t="s">
        <v>978</v>
      </c>
      <c r="AE4" s="15" t="s">
        <v>979</v>
      </c>
      <c r="AF4" s="15" t="s">
        <v>980</v>
      </c>
      <c r="AG4" s="15" t="s">
        <v>981</v>
      </c>
      <c r="AH4" s="15" t="n">
        <v>8.4</v>
      </c>
      <c r="AI4" s="15" t="n">
        <v>27.6</v>
      </c>
      <c r="AJ4" s="15" t="n">
        <v>0</v>
      </c>
      <c r="AK4" s="15" t="n">
        <v>0</v>
      </c>
      <c r="AL4" s="15" t="n">
        <v>0</v>
      </c>
      <c r="AM4" s="15" t="n">
        <v>0</v>
      </c>
      <c r="AN4" s="15" t="s">
        <v>959</v>
      </c>
      <c r="AO4" s="15" t="s">
        <v>960</v>
      </c>
      <c r="AP4" s="15" t="s">
        <v>163</v>
      </c>
      <c r="AQ4" s="15"/>
      <c r="AR4" s="29" t="str">
        <f aca="false">IF(A4="","",IF(COUNTIF(Parcels!$A$2:$A$3000,B4)=0,"Parcel not found",IF(COUNTIF($A$2:$A$3000,A4)&gt;1,"Duplicate perm_id",IF(AND(P4="Yes",D4&lt;&gt;"",COUNTIFS($C$2:$C$3000,D4,$P$2:$P$3000,"Yes")&gt;1),"Reference counted twice",IF(COUNTIF(Lists!$A$2:$A$7,I4)=0,"Unknown status","")))))</f>
        <v/>
      </c>
    </row>
    <row r="5" customFormat="false" ht="15" hidden="false" customHeight="false" outlineLevel="0" collapsed="false">
      <c r="A5" s="15" t="s">
        <v>982</v>
      </c>
      <c r="B5" s="15" t="s">
        <v>237</v>
      </c>
      <c r="C5" s="15" t="s">
        <v>53</v>
      </c>
      <c r="D5" s="15" t="s">
        <v>983</v>
      </c>
      <c r="E5" s="15" t="s">
        <v>983</v>
      </c>
      <c r="F5" s="15" t="s">
        <v>984</v>
      </c>
      <c r="G5" s="15" t="n">
        <v>4</v>
      </c>
      <c r="H5" s="15"/>
      <c r="I5" s="15" t="s">
        <v>985</v>
      </c>
      <c r="J5" s="15" t="s">
        <v>947</v>
      </c>
      <c r="K5" s="15" t="s">
        <v>985</v>
      </c>
      <c r="L5" s="15" t="n">
        <v>0</v>
      </c>
      <c r="M5" s="15" t="n">
        <v>0</v>
      </c>
      <c r="N5" s="15"/>
      <c r="O5" s="15" t="s">
        <v>948</v>
      </c>
      <c r="P5" s="15" t="s">
        <v>949</v>
      </c>
      <c r="Q5" s="15" t="s">
        <v>965</v>
      </c>
      <c r="R5" s="15"/>
      <c r="S5" s="15"/>
      <c r="T5" s="15"/>
      <c r="U5" s="15"/>
      <c r="V5" s="15"/>
      <c r="W5" s="15"/>
      <c r="X5" s="15" t="s">
        <v>951</v>
      </c>
      <c r="Y5" s="15" t="s">
        <v>952</v>
      </c>
      <c r="Z5" s="15" t="s">
        <v>170</v>
      </c>
      <c r="AA5" s="15" t="s">
        <v>966</v>
      </c>
      <c r="AB5" s="15"/>
      <c r="AC5" s="15"/>
      <c r="AD5" s="15"/>
      <c r="AE5" s="15"/>
      <c r="AF5" s="15"/>
      <c r="AG5" s="15" t="s">
        <v>969</v>
      </c>
      <c r="AH5" s="15" t="n">
        <v>0</v>
      </c>
      <c r="AI5" s="15" t="n">
        <v>0</v>
      </c>
      <c r="AJ5" s="15" t="n">
        <v>0</v>
      </c>
      <c r="AK5" s="15" t="n">
        <v>0</v>
      </c>
      <c r="AL5" s="15" t="n">
        <v>0</v>
      </c>
      <c r="AM5" s="15" t="n">
        <v>0</v>
      </c>
      <c r="AN5" s="15" t="s">
        <v>959</v>
      </c>
      <c r="AO5" s="15" t="s">
        <v>960</v>
      </c>
      <c r="AP5" s="15" t="s">
        <v>163</v>
      </c>
      <c r="AQ5" s="15"/>
      <c r="AR5" s="29" t="str">
        <f aca="false">IF(A5="","",IF(COUNTIF(Parcels!$A$2:$A$3000,B5)=0,"Parcel not found",IF(COUNTIF($A$2:$A$3000,A5)&gt;1,"Duplicate perm_id",IF(AND(P5="Yes",D5&lt;&gt;"",COUNTIFS($C$2:$C$3000,D5,$P$2:$P$3000,"Yes")&gt;1),"Reference counted twice",IF(COUNTIF(Lists!$A$2:$A$7,I5)=0,"Unknown status","")))))</f>
        <v/>
      </c>
    </row>
    <row r="6" customFormat="false" ht="15" hidden="false" customHeight="false" outlineLevel="0" collapsed="false">
      <c r="A6" s="15" t="s">
        <v>986</v>
      </c>
      <c r="B6" s="15" t="s">
        <v>237</v>
      </c>
      <c r="C6" s="15" t="s">
        <v>53</v>
      </c>
      <c r="D6" s="15" t="s">
        <v>987</v>
      </c>
      <c r="E6" s="15" t="s">
        <v>987</v>
      </c>
      <c r="F6" s="15" t="s">
        <v>988</v>
      </c>
      <c r="G6" s="15" t="n">
        <v>11</v>
      </c>
      <c r="H6" s="15"/>
      <c r="I6" s="15" t="s">
        <v>47</v>
      </c>
      <c r="J6" s="15" t="s">
        <v>947</v>
      </c>
      <c r="K6" s="15" t="s">
        <v>47</v>
      </c>
      <c r="L6" s="15" t="n">
        <v>11</v>
      </c>
      <c r="M6" s="15" t="n">
        <v>0</v>
      </c>
      <c r="N6" s="15"/>
      <c r="O6" s="15" t="s">
        <v>948</v>
      </c>
      <c r="P6" s="15" t="s">
        <v>949</v>
      </c>
      <c r="Q6" s="15" t="s">
        <v>989</v>
      </c>
      <c r="R6" s="15" t="n">
        <v>0</v>
      </c>
      <c r="S6" s="15" t="n">
        <v>1</v>
      </c>
      <c r="T6" s="15" t="n">
        <v>4</v>
      </c>
      <c r="U6" s="15" t="n">
        <v>6</v>
      </c>
      <c r="V6" s="15" t="n">
        <v>0</v>
      </c>
      <c r="W6" s="15" t="n">
        <v>0</v>
      </c>
      <c r="X6" s="15" t="s">
        <v>951</v>
      </c>
      <c r="Y6" s="15" t="s">
        <v>974</v>
      </c>
      <c r="Z6" s="15" t="s">
        <v>975</v>
      </c>
      <c r="AA6" s="15" t="s">
        <v>976</v>
      </c>
      <c r="AB6" s="15" t="s">
        <v>990</v>
      </c>
      <c r="AC6" s="15"/>
      <c r="AD6" s="15" t="s">
        <v>991</v>
      </c>
      <c r="AE6" s="15"/>
      <c r="AF6" s="15"/>
      <c r="AG6" s="15" t="s">
        <v>992</v>
      </c>
      <c r="AH6" s="15" t="n">
        <v>0</v>
      </c>
      <c r="AI6" s="15" t="n">
        <v>0</v>
      </c>
      <c r="AJ6" s="15" t="n">
        <v>0</v>
      </c>
      <c r="AK6" s="15" t="n">
        <v>0</v>
      </c>
      <c r="AL6" s="15" t="n">
        <v>0</v>
      </c>
      <c r="AM6" s="15" t="n">
        <v>0</v>
      </c>
      <c r="AN6" s="15" t="s">
        <v>959</v>
      </c>
      <c r="AO6" s="15" t="s">
        <v>960</v>
      </c>
      <c r="AP6" s="15" t="s">
        <v>163</v>
      </c>
      <c r="AQ6" s="15"/>
      <c r="AR6" s="29" t="str">
        <f aca="false">IF(A6="","",IF(COUNTIF(Parcels!$A$2:$A$3000,B6)=0,"Parcel not found",IF(COUNTIF($A$2:$A$3000,A6)&gt;1,"Duplicate perm_id",IF(AND(P6="Yes",D6&lt;&gt;"",COUNTIFS($C$2:$C$3000,D6,$P$2:$P$3000,"Yes")&gt;1),"Reference counted twice",IF(COUNTIF(Lists!$A$2:$A$7,I6)=0,"Unknown status","")))))</f>
        <v/>
      </c>
    </row>
    <row r="7" customFormat="false" ht="15" hidden="false" customHeight="false" outlineLevel="0" collapsed="false">
      <c r="A7" s="15" t="s">
        <v>993</v>
      </c>
      <c r="B7" s="15" t="s">
        <v>319</v>
      </c>
      <c r="C7" s="15" t="s">
        <v>58</v>
      </c>
      <c r="D7" s="15" t="s">
        <v>994</v>
      </c>
      <c r="E7" s="15" t="s">
        <v>994</v>
      </c>
      <c r="F7" s="15" t="s">
        <v>995</v>
      </c>
      <c r="G7" s="15" t="n">
        <v>10</v>
      </c>
      <c r="H7" s="15"/>
      <c r="I7" s="15" t="s">
        <v>946</v>
      </c>
      <c r="J7" s="15" t="s">
        <v>947</v>
      </c>
      <c r="K7" s="15" t="s">
        <v>946</v>
      </c>
      <c r="L7" s="15" t="n">
        <v>0</v>
      </c>
      <c r="M7" s="15" t="n">
        <v>0</v>
      </c>
      <c r="N7" s="15"/>
      <c r="O7" s="15" t="s">
        <v>948</v>
      </c>
      <c r="P7" s="15" t="s">
        <v>949</v>
      </c>
      <c r="Q7" s="15" t="s">
        <v>965</v>
      </c>
      <c r="R7" s="15"/>
      <c r="S7" s="15"/>
      <c r="T7" s="15"/>
      <c r="U7" s="15"/>
      <c r="V7" s="15"/>
      <c r="W7" s="15"/>
      <c r="X7" s="15" t="s">
        <v>951</v>
      </c>
      <c r="Y7" s="15" t="s">
        <v>952</v>
      </c>
      <c r="Z7" s="15" t="s">
        <v>170</v>
      </c>
      <c r="AA7" s="15" t="s">
        <v>966</v>
      </c>
      <c r="AB7" s="15" t="s">
        <v>996</v>
      </c>
      <c r="AC7" s="15" t="s">
        <v>997</v>
      </c>
      <c r="AD7" s="15"/>
      <c r="AE7" s="15" t="s">
        <v>998</v>
      </c>
      <c r="AF7" s="15" t="s">
        <v>999</v>
      </c>
      <c r="AG7" s="15" t="s">
        <v>1000</v>
      </c>
      <c r="AH7" s="15" t="n">
        <v>0</v>
      </c>
      <c r="AI7" s="15" t="n">
        <v>0</v>
      </c>
      <c r="AJ7" s="15" t="n">
        <v>8.4</v>
      </c>
      <c r="AK7" s="15" t="n">
        <v>1.6</v>
      </c>
      <c r="AL7" s="15" t="n">
        <v>0</v>
      </c>
      <c r="AM7" s="15" t="n">
        <v>0</v>
      </c>
      <c r="AN7" s="15" t="s">
        <v>959</v>
      </c>
      <c r="AO7" s="15" t="s">
        <v>960</v>
      </c>
      <c r="AP7" s="15" t="s">
        <v>163</v>
      </c>
      <c r="AQ7" s="15"/>
      <c r="AR7" s="29" t="str">
        <f aca="false">IF(A7="","",IF(COUNTIF(Parcels!$A$2:$A$3000,B7)=0,"Parcel not found",IF(COUNTIF($A$2:$A$3000,A7)&gt;1,"Duplicate perm_id",IF(AND(P7="Yes",D7&lt;&gt;"",COUNTIFS($C$2:$C$3000,D7,$P$2:$P$3000,"Yes")&gt;1),"Reference counted twice",IF(COUNTIF(Lists!$A$2:$A$7,I7)=0,"Unknown status","")))))</f>
        <v/>
      </c>
    </row>
    <row r="8" customFormat="false" ht="15" hidden="false" customHeight="false" outlineLevel="0" collapsed="false">
      <c r="A8" s="15" t="s">
        <v>1001</v>
      </c>
      <c r="B8" s="15" t="s">
        <v>182</v>
      </c>
      <c r="C8" s="15" t="s">
        <v>51</v>
      </c>
      <c r="D8" s="15" t="s">
        <v>1002</v>
      </c>
      <c r="E8" s="15" t="s">
        <v>1002</v>
      </c>
      <c r="F8" s="15" t="s">
        <v>1003</v>
      </c>
      <c r="G8" s="15" t="n">
        <v>115</v>
      </c>
      <c r="H8" s="15"/>
      <c r="I8" s="15" t="s">
        <v>48</v>
      </c>
      <c r="J8" s="15" t="s">
        <v>947</v>
      </c>
      <c r="K8" s="15" t="s">
        <v>48</v>
      </c>
      <c r="L8" s="15" t="n">
        <v>0</v>
      </c>
      <c r="M8" s="15" t="n">
        <v>0</v>
      </c>
      <c r="N8" s="15"/>
      <c r="O8" s="15" t="s">
        <v>948</v>
      </c>
      <c r="P8" s="15" t="s">
        <v>949</v>
      </c>
      <c r="Q8" s="15" t="s">
        <v>950</v>
      </c>
      <c r="R8" s="15" t="n">
        <v>0</v>
      </c>
      <c r="S8" s="15" t="n">
        <v>0</v>
      </c>
      <c r="T8" s="15" t="n">
        <v>42</v>
      </c>
      <c r="U8" s="15" t="n">
        <v>61</v>
      </c>
      <c r="V8" s="15" t="n">
        <v>12</v>
      </c>
      <c r="W8" s="15" t="n">
        <v>0</v>
      </c>
      <c r="X8" s="15" t="s">
        <v>951</v>
      </c>
      <c r="Y8" s="15" t="s">
        <v>974</v>
      </c>
      <c r="Z8" s="15" t="s">
        <v>1004</v>
      </c>
      <c r="AA8" s="15" t="s">
        <v>966</v>
      </c>
      <c r="AB8" s="15" t="s">
        <v>1005</v>
      </c>
      <c r="AC8" s="15" t="s">
        <v>1006</v>
      </c>
      <c r="AD8" s="15" t="s">
        <v>1007</v>
      </c>
      <c r="AE8" s="15" t="s">
        <v>1008</v>
      </c>
      <c r="AF8" s="15" t="s">
        <v>1009</v>
      </c>
      <c r="AG8" s="15" t="s">
        <v>981</v>
      </c>
      <c r="AH8" s="15" t="n">
        <v>0</v>
      </c>
      <c r="AI8" s="15" t="n">
        <v>51.6</v>
      </c>
      <c r="AJ8" s="15" t="n">
        <v>63.4</v>
      </c>
      <c r="AK8" s="15" t="n">
        <v>0</v>
      </c>
      <c r="AL8" s="15" t="n">
        <v>0</v>
      </c>
      <c r="AM8" s="15" t="n">
        <v>0</v>
      </c>
      <c r="AN8" s="15" t="s">
        <v>959</v>
      </c>
      <c r="AO8" s="15" t="s">
        <v>960</v>
      </c>
      <c r="AP8" s="15" t="s">
        <v>163</v>
      </c>
      <c r="AQ8" s="15"/>
      <c r="AR8" s="29" t="str">
        <f aca="false">IF(A8="","",IF(COUNTIF(Parcels!$A$2:$A$3000,B8)=0,"Parcel not found",IF(COUNTIF($A$2:$A$3000,A8)&gt;1,"Duplicate perm_id",IF(AND(P8="Yes",D8&lt;&gt;"",COUNTIFS($C$2:$C$3000,D8,$P$2:$P$3000,"Yes")&gt;1),"Reference counted twice",IF(COUNTIF(Lists!$A$2:$A$7,I8)=0,"Unknown status","")))))</f>
        <v/>
      </c>
    </row>
    <row r="9" customFormat="false" ht="15" hidden="false" customHeight="false" outlineLevel="0" collapsed="false">
      <c r="A9" s="15" t="s">
        <v>1010</v>
      </c>
      <c r="B9" s="15" t="s">
        <v>334</v>
      </c>
      <c r="C9" s="15" t="s">
        <v>58</v>
      </c>
      <c r="D9" s="15" t="s">
        <v>1011</v>
      </c>
      <c r="E9" s="15" t="s">
        <v>1011</v>
      </c>
      <c r="F9" s="15" t="s">
        <v>1012</v>
      </c>
      <c r="G9" s="15" t="n">
        <v>57</v>
      </c>
      <c r="H9" s="15"/>
      <c r="I9" s="15" t="s">
        <v>985</v>
      </c>
      <c r="J9" s="15" t="s">
        <v>947</v>
      </c>
      <c r="K9" s="15" t="s">
        <v>985</v>
      </c>
      <c r="L9" s="15" t="n">
        <v>0</v>
      </c>
      <c r="M9" s="15" t="n">
        <v>0</v>
      </c>
      <c r="N9" s="15"/>
      <c r="O9" s="15" t="s">
        <v>948</v>
      </c>
      <c r="P9" s="15" t="s">
        <v>949</v>
      </c>
      <c r="Q9" s="15" t="s">
        <v>950</v>
      </c>
      <c r="R9" s="15" t="n">
        <v>0</v>
      </c>
      <c r="S9" s="15" t="n">
        <v>18</v>
      </c>
      <c r="T9" s="15" t="n">
        <v>19</v>
      </c>
      <c r="U9" s="15" t="n">
        <v>16</v>
      </c>
      <c r="V9" s="15" t="n">
        <v>4</v>
      </c>
      <c r="W9" s="15" t="n">
        <v>0</v>
      </c>
      <c r="X9" s="15" t="s">
        <v>951</v>
      </c>
      <c r="Y9" s="15" t="s">
        <v>974</v>
      </c>
      <c r="Z9" s="15" t="s">
        <v>975</v>
      </c>
      <c r="AA9" s="15" t="s">
        <v>976</v>
      </c>
      <c r="AB9" s="15"/>
      <c r="AC9" s="15"/>
      <c r="AD9" s="15"/>
      <c r="AE9" s="15"/>
      <c r="AF9" s="15"/>
      <c r="AG9" s="15" t="s">
        <v>969</v>
      </c>
      <c r="AH9" s="15" t="n">
        <v>0</v>
      </c>
      <c r="AI9" s="15" t="n">
        <v>0</v>
      </c>
      <c r="AJ9" s="15" t="n">
        <v>0</v>
      </c>
      <c r="AK9" s="15" t="n">
        <v>0</v>
      </c>
      <c r="AL9" s="15" t="n">
        <v>0</v>
      </c>
      <c r="AM9" s="15" t="n">
        <v>0</v>
      </c>
      <c r="AN9" s="15" t="s">
        <v>959</v>
      </c>
      <c r="AO9" s="15" t="s">
        <v>960</v>
      </c>
      <c r="AP9" s="15" t="s">
        <v>163</v>
      </c>
      <c r="AQ9" s="15"/>
      <c r="AR9" s="29" t="str">
        <f aca="false">IF(A9="","",IF(COUNTIF(Parcels!$A$2:$A$3000,B9)=0,"Parcel not found",IF(COUNTIF($A$2:$A$3000,A9)&gt;1,"Duplicate perm_id",IF(AND(P9="Yes",D9&lt;&gt;"",COUNTIFS($C$2:$C$3000,D9,$P$2:$P$3000,"Yes")&gt;1),"Reference counted twice",IF(COUNTIF(Lists!$A$2:$A$7,I9)=0,"Unknown status","")))))</f>
        <v/>
      </c>
    </row>
    <row r="10" customFormat="false" ht="15" hidden="false" customHeight="false" outlineLevel="0" collapsed="false">
      <c r="A10" s="15" t="s">
        <v>1013</v>
      </c>
      <c r="B10" s="15" t="s">
        <v>171</v>
      </c>
      <c r="C10" s="15" t="s">
        <v>50</v>
      </c>
      <c r="D10" s="15" t="s">
        <v>1014</v>
      </c>
      <c r="E10" s="15" t="s">
        <v>1014</v>
      </c>
      <c r="F10" s="15" t="s">
        <v>1015</v>
      </c>
      <c r="G10" s="15" t="n">
        <v>371</v>
      </c>
      <c r="H10" s="15"/>
      <c r="I10" s="15" t="s">
        <v>48</v>
      </c>
      <c r="J10" s="15" t="s">
        <v>947</v>
      </c>
      <c r="K10" s="15" t="s">
        <v>48</v>
      </c>
      <c r="L10" s="15" t="n">
        <v>121</v>
      </c>
      <c r="M10" s="15" t="n">
        <v>189</v>
      </c>
      <c r="N10" s="15"/>
      <c r="O10" s="15" t="s">
        <v>948</v>
      </c>
      <c r="P10" s="15" t="s">
        <v>949</v>
      </c>
      <c r="Q10" s="15" t="s">
        <v>950</v>
      </c>
      <c r="R10" s="15" t="n">
        <v>0</v>
      </c>
      <c r="S10" s="15" t="n">
        <v>70</v>
      </c>
      <c r="T10" s="15" t="n">
        <v>153</v>
      </c>
      <c r="U10" s="15" t="n">
        <v>124</v>
      </c>
      <c r="V10" s="15" t="n">
        <v>24</v>
      </c>
      <c r="W10" s="15" t="n">
        <v>0</v>
      </c>
      <c r="X10" s="15" t="s">
        <v>951</v>
      </c>
      <c r="Y10" s="15" t="s">
        <v>952</v>
      </c>
      <c r="Z10" s="15" t="s">
        <v>170</v>
      </c>
      <c r="AA10" s="15" t="s">
        <v>953</v>
      </c>
      <c r="AB10" s="15" t="s">
        <v>1016</v>
      </c>
      <c r="AC10" s="15" t="s">
        <v>1017</v>
      </c>
      <c r="AD10" s="15" t="s">
        <v>1018</v>
      </c>
      <c r="AE10" s="15" t="s">
        <v>1019</v>
      </c>
      <c r="AF10" s="15" t="s">
        <v>957</v>
      </c>
      <c r="AG10" s="15" t="s">
        <v>981</v>
      </c>
      <c r="AH10" s="15" t="n">
        <v>20.6</v>
      </c>
      <c r="AI10" s="15" t="n">
        <v>88.5</v>
      </c>
      <c r="AJ10" s="15" t="n">
        <v>88.5</v>
      </c>
      <c r="AK10" s="15" t="n">
        <v>88.5</v>
      </c>
      <c r="AL10" s="15" t="n">
        <v>84.9</v>
      </c>
      <c r="AM10" s="15" t="n">
        <v>0</v>
      </c>
      <c r="AN10" s="15" t="s">
        <v>959</v>
      </c>
      <c r="AO10" s="15" t="s">
        <v>960</v>
      </c>
      <c r="AP10" s="15" t="s">
        <v>163</v>
      </c>
      <c r="AQ10" s="15"/>
      <c r="AR10" s="29" t="str">
        <f aca="false">IF(A10="","",IF(COUNTIF(Parcels!$A$2:$A$3000,B10)=0,"Parcel not found",IF(COUNTIF($A$2:$A$3000,A10)&gt;1,"Duplicate perm_id",IF(AND(P10="Yes",D10&lt;&gt;"",COUNTIFS($C$2:$C$3000,D10,$P$2:$P$3000,"Yes")&gt;1),"Reference counted twice",IF(COUNTIF(Lists!$A$2:$A$7,I10)=0,"Unknown status","")))))</f>
        <v/>
      </c>
    </row>
    <row r="11" customFormat="false" ht="15" hidden="false" customHeight="false" outlineLevel="0" collapsed="false">
      <c r="A11" s="15" t="s">
        <v>1020</v>
      </c>
      <c r="B11" s="15" t="s">
        <v>270</v>
      </c>
      <c r="C11" s="15" t="s">
        <v>55</v>
      </c>
      <c r="D11" s="15" t="s">
        <v>1021</v>
      </c>
      <c r="E11" s="15" t="s">
        <v>1021</v>
      </c>
      <c r="F11" s="15" t="s">
        <v>1022</v>
      </c>
      <c r="G11" s="15" t="n">
        <v>384</v>
      </c>
      <c r="H11" s="15"/>
      <c r="I11" s="15" t="s">
        <v>48</v>
      </c>
      <c r="J11" s="15" t="s">
        <v>947</v>
      </c>
      <c r="K11" s="15" t="s">
        <v>48</v>
      </c>
      <c r="L11" s="15" t="n">
        <v>0</v>
      </c>
      <c r="M11" s="15" t="n">
        <v>0</v>
      </c>
      <c r="N11" s="15"/>
      <c r="O11" s="15" t="s">
        <v>948</v>
      </c>
      <c r="P11" s="15" t="s">
        <v>949</v>
      </c>
      <c r="Q11" s="15" t="s">
        <v>950</v>
      </c>
      <c r="R11" s="15" t="n">
        <v>0</v>
      </c>
      <c r="S11" s="15" t="n">
        <v>46</v>
      </c>
      <c r="T11" s="15" t="n">
        <v>118</v>
      </c>
      <c r="U11" s="15" t="n">
        <v>184</v>
      </c>
      <c r="V11" s="15" t="n">
        <v>36</v>
      </c>
      <c r="W11" s="15" t="n">
        <v>0</v>
      </c>
      <c r="X11" s="15" t="s">
        <v>951</v>
      </c>
      <c r="Y11" s="15" t="s">
        <v>952</v>
      </c>
      <c r="Z11" s="15" t="s">
        <v>170</v>
      </c>
      <c r="AA11" s="15" t="s">
        <v>953</v>
      </c>
      <c r="AB11" s="15" t="s">
        <v>1023</v>
      </c>
      <c r="AC11" s="15" t="s">
        <v>1024</v>
      </c>
      <c r="AD11" s="15" t="s">
        <v>1025</v>
      </c>
      <c r="AE11" s="15" t="s">
        <v>1026</v>
      </c>
      <c r="AF11" s="15" t="s">
        <v>1027</v>
      </c>
      <c r="AG11" s="15" t="s">
        <v>981</v>
      </c>
      <c r="AH11" s="15" t="n">
        <v>17.2</v>
      </c>
      <c r="AI11" s="15" t="n">
        <v>74.1</v>
      </c>
      <c r="AJ11" s="15" t="n">
        <v>74.1</v>
      </c>
      <c r="AK11" s="15" t="n">
        <v>74.1</v>
      </c>
      <c r="AL11" s="15" t="n">
        <v>74.1</v>
      </c>
      <c r="AM11" s="15" t="n">
        <v>70.4</v>
      </c>
      <c r="AN11" s="15" t="s">
        <v>959</v>
      </c>
      <c r="AO11" s="15" t="s">
        <v>960</v>
      </c>
      <c r="AP11" s="15" t="s">
        <v>163</v>
      </c>
      <c r="AQ11" s="15"/>
      <c r="AR11" s="29" t="str">
        <f aca="false">IF(A11="","",IF(COUNTIF(Parcels!$A$2:$A$3000,B11)=0,"Parcel not found",IF(COUNTIF($A$2:$A$3000,A11)&gt;1,"Duplicate perm_id",IF(AND(P11="Yes",D11&lt;&gt;"",COUNTIFS($C$2:$C$3000,D11,$P$2:$P$3000,"Yes")&gt;1),"Reference counted twice",IF(COUNTIF(Lists!$A$2:$A$7,I11)=0,"Unknown status","")))))</f>
        <v/>
      </c>
    </row>
    <row r="12" customFormat="false" ht="15" hidden="false" customHeight="false" outlineLevel="0" collapsed="false">
      <c r="A12" s="15" t="s">
        <v>1028</v>
      </c>
      <c r="B12" s="15" t="s">
        <v>275</v>
      </c>
      <c r="C12" s="15" t="s">
        <v>55</v>
      </c>
      <c r="D12" s="15" t="s">
        <v>1029</v>
      </c>
      <c r="E12" s="15" t="s">
        <v>1029</v>
      </c>
      <c r="F12" s="15" t="s">
        <v>1030</v>
      </c>
      <c r="G12" s="15" t="n">
        <v>139</v>
      </c>
      <c r="H12" s="15"/>
      <c r="I12" s="15" t="s">
        <v>946</v>
      </c>
      <c r="J12" s="15" t="s">
        <v>947</v>
      </c>
      <c r="K12" s="15" t="s">
        <v>946</v>
      </c>
      <c r="L12" s="15" t="n">
        <v>0</v>
      </c>
      <c r="M12" s="15" t="n">
        <v>0</v>
      </c>
      <c r="N12" s="15"/>
      <c r="O12" s="15" t="s">
        <v>948</v>
      </c>
      <c r="P12" s="15" t="s">
        <v>949</v>
      </c>
      <c r="Q12" s="15" t="s">
        <v>950</v>
      </c>
      <c r="R12" s="15" t="n">
        <v>0</v>
      </c>
      <c r="S12" s="15" t="n">
        <v>0</v>
      </c>
      <c r="T12" s="15" t="n">
        <v>0</v>
      </c>
      <c r="U12" s="15" t="n">
        <v>60</v>
      </c>
      <c r="V12" s="15" t="n">
        <v>19</v>
      </c>
      <c r="W12" s="15" t="n">
        <v>0</v>
      </c>
      <c r="X12" s="15" t="s">
        <v>951</v>
      </c>
      <c r="Y12" s="15" t="s">
        <v>952</v>
      </c>
      <c r="Z12" s="15" t="s">
        <v>170</v>
      </c>
      <c r="AA12" s="15" t="s">
        <v>1031</v>
      </c>
      <c r="AB12" s="15" t="s">
        <v>1032</v>
      </c>
      <c r="AC12" s="15" t="s">
        <v>1033</v>
      </c>
      <c r="AD12" s="15"/>
      <c r="AE12" s="15" t="s">
        <v>998</v>
      </c>
      <c r="AF12" s="15" t="s">
        <v>1034</v>
      </c>
      <c r="AG12" s="15" t="s">
        <v>1000</v>
      </c>
      <c r="AH12" s="15" t="n">
        <v>0</v>
      </c>
      <c r="AI12" s="15" t="n">
        <v>0</v>
      </c>
      <c r="AJ12" s="15" t="n">
        <v>43.2</v>
      </c>
      <c r="AK12" s="15" t="n">
        <v>78.7</v>
      </c>
      <c r="AL12" s="15" t="n">
        <v>17</v>
      </c>
      <c r="AM12" s="15" t="n">
        <v>0.1</v>
      </c>
      <c r="AN12" s="15" t="s">
        <v>959</v>
      </c>
      <c r="AO12" s="15" t="s">
        <v>960</v>
      </c>
      <c r="AP12" s="15" t="s">
        <v>163</v>
      </c>
      <c r="AQ12" s="15"/>
      <c r="AR12" s="29" t="str">
        <f aca="false">IF(A12="","",IF(COUNTIF(Parcels!$A$2:$A$3000,B12)=0,"Parcel not found",IF(COUNTIF($A$2:$A$3000,A12)&gt;1,"Duplicate perm_id",IF(AND(P12="Yes",D12&lt;&gt;"",COUNTIFS($C$2:$C$3000,D12,$P$2:$P$3000,"Yes")&gt;1),"Reference counted twice",IF(COUNTIF(Lists!$A$2:$A$7,I12)=0,"Unknown status","")))))</f>
        <v/>
      </c>
    </row>
    <row r="13" customFormat="false" ht="15" hidden="false" customHeight="false" outlineLevel="0" collapsed="false">
      <c r="A13" s="15" t="s">
        <v>1035</v>
      </c>
      <c r="B13" s="15" t="s">
        <v>276</v>
      </c>
      <c r="C13" s="15" t="s">
        <v>55</v>
      </c>
      <c r="D13" s="15" t="s">
        <v>1036</v>
      </c>
      <c r="E13" s="15" t="s">
        <v>1036</v>
      </c>
      <c r="F13" s="15" t="s">
        <v>1037</v>
      </c>
      <c r="G13" s="15" t="n">
        <v>169</v>
      </c>
      <c r="H13" s="15"/>
      <c r="I13" s="15" t="s">
        <v>946</v>
      </c>
      <c r="J13" s="15" t="s">
        <v>947</v>
      </c>
      <c r="K13" s="15" t="s">
        <v>946</v>
      </c>
      <c r="L13" s="15" t="n">
        <v>0</v>
      </c>
      <c r="M13" s="15" t="n">
        <v>0</v>
      </c>
      <c r="N13" s="15"/>
      <c r="O13" s="15" t="s">
        <v>948</v>
      </c>
      <c r="P13" s="15" t="s">
        <v>949</v>
      </c>
      <c r="Q13" s="15" t="s">
        <v>950</v>
      </c>
      <c r="R13" s="15" t="n">
        <v>0</v>
      </c>
      <c r="S13" s="15" t="n">
        <v>12</v>
      </c>
      <c r="T13" s="15" t="n">
        <v>71</v>
      </c>
      <c r="U13" s="15" t="n">
        <v>78</v>
      </c>
      <c r="V13" s="15" t="n">
        <v>8</v>
      </c>
      <c r="W13" s="15" t="n">
        <v>0</v>
      </c>
      <c r="X13" s="15" t="s">
        <v>973</v>
      </c>
      <c r="Y13" s="15" t="s">
        <v>952</v>
      </c>
      <c r="Z13" s="15" t="s">
        <v>170</v>
      </c>
      <c r="AA13" s="15" t="s">
        <v>1031</v>
      </c>
      <c r="AB13" s="15" t="s">
        <v>1038</v>
      </c>
      <c r="AC13" s="15" t="s">
        <v>1039</v>
      </c>
      <c r="AD13" s="15"/>
      <c r="AE13" s="15" t="s">
        <v>1040</v>
      </c>
      <c r="AF13" s="15" t="s">
        <v>1041</v>
      </c>
      <c r="AG13" s="15" t="s">
        <v>1000</v>
      </c>
      <c r="AH13" s="15" t="n">
        <v>0</v>
      </c>
      <c r="AI13" s="15" t="n">
        <v>0</v>
      </c>
      <c r="AJ13" s="15" t="n">
        <v>0</v>
      </c>
      <c r="AK13" s="15" t="n">
        <v>50.3</v>
      </c>
      <c r="AL13" s="15" t="n">
        <v>71.5</v>
      </c>
      <c r="AM13" s="15" t="n">
        <v>47.2</v>
      </c>
      <c r="AN13" s="15" t="s">
        <v>959</v>
      </c>
      <c r="AO13" s="15" t="s">
        <v>960</v>
      </c>
      <c r="AP13" s="15" t="s">
        <v>163</v>
      </c>
      <c r="AQ13" s="15"/>
      <c r="AR13" s="29" t="str">
        <f aca="false">IF(A13="","",IF(COUNTIF(Parcels!$A$2:$A$3000,B13)=0,"Parcel not found",IF(COUNTIF($A$2:$A$3000,A13)&gt;1,"Duplicate perm_id",IF(AND(P13="Yes",D13&lt;&gt;"",COUNTIFS($C$2:$C$3000,D13,$P$2:$P$3000,"Yes")&gt;1),"Reference counted twice",IF(COUNTIF(Lists!$A$2:$A$7,I13)=0,"Unknown status","")))))</f>
        <v/>
      </c>
    </row>
    <row r="14" customFormat="false" ht="15" hidden="false" customHeight="false" outlineLevel="0" collapsed="false">
      <c r="A14" s="15" t="s">
        <v>1042</v>
      </c>
      <c r="B14" s="15" t="s">
        <v>276</v>
      </c>
      <c r="C14" s="15" t="s">
        <v>55</v>
      </c>
      <c r="D14" s="15" t="s">
        <v>1043</v>
      </c>
      <c r="E14" s="15" t="s">
        <v>1043</v>
      </c>
      <c r="F14" s="15" t="s">
        <v>1044</v>
      </c>
      <c r="G14" s="15" t="n">
        <v>182</v>
      </c>
      <c r="H14" s="15"/>
      <c r="I14" s="15" t="s">
        <v>946</v>
      </c>
      <c r="J14" s="15" t="s">
        <v>947</v>
      </c>
      <c r="K14" s="15" t="s">
        <v>946</v>
      </c>
      <c r="L14" s="15" t="n">
        <v>0</v>
      </c>
      <c r="M14" s="15" t="n">
        <v>0</v>
      </c>
      <c r="N14" s="15"/>
      <c r="O14" s="15" t="s">
        <v>948</v>
      </c>
      <c r="P14" s="15" t="s">
        <v>949</v>
      </c>
      <c r="Q14" s="15" t="s">
        <v>989</v>
      </c>
      <c r="R14" s="15" t="n">
        <v>0</v>
      </c>
      <c r="S14" s="15" t="n">
        <v>26</v>
      </c>
      <c r="T14" s="15" t="n">
        <v>36</v>
      </c>
      <c r="U14" s="15" t="n">
        <v>96</v>
      </c>
      <c r="V14" s="15" t="n">
        <v>24</v>
      </c>
      <c r="W14" s="15" t="n">
        <v>0</v>
      </c>
      <c r="X14" s="15" t="s">
        <v>951</v>
      </c>
      <c r="Y14" s="15" t="s">
        <v>952</v>
      </c>
      <c r="Z14" s="15" t="s">
        <v>170</v>
      </c>
      <c r="AA14" s="15" t="s">
        <v>1031</v>
      </c>
      <c r="AB14" s="15" t="s">
        <v>1045</v>
      </c>
      <c r="AC14" s="15" t="s">
        <v>1046</v>
      </c>
      <c r="AD14" s="15"/>
      <c r="AE14" s="15" t="s">
        <v>1040</v>
      </c>
      <c r="AF14" s="15" t="s">
        <v>1047</v>
      </c>
      <c r="AG14" s="15" t="s">
        <v>1000</v>
      </c>
      <c r="AH14" s="15" t="n">
        <v>0</v>
      </c>
      <c r="AI14" s="15" t="n">
        <v>0</v>
      </c>
      <c r="AJ14" s="15" t="n">
        <v>0</v>
      </c>
      <c r="AK14" s="15" t="n">
        <v>39.8</v>
      </c>
      <c r="AL14" s="15" t="n">
        <v>69.4</v>
      </c>
      <c r="AM14" s="15" t="n">
        <v>72.8</v>
      </c>
      <c r="AN14" s="15" t="s">
        <v>959</v>
      </c>
      <c r="AO14" s="15" t="s">
        <v>960</v>
      </c>
      <c r="AP14" s="15" t="s">
        <v>163</v>
      </c>
      <c r="AQ14" s="15"/>
      <c r="AR14" s="29" t="str">
        <f aca="false">IF(A14="","",IF(COUNTIF(Parcels!$A$2:$A$3000,B14)=0,"Parcel not found",IF(COUNTIF($A$2:$A$3000,A14)&gt;1,"Duplicate perm_id",IF(AND(P14="Yes",D14&lt;&gt;"",COUNTIFS($C$2:$C$3000,D14,$P$2:$P$3000,"Yes")&gt;1),"Reference counted twice",IF(COUNTIF(Lists!$A$2:$A$7,I14)=0,"Unknown status","")))))</f>
        <v/>
      </c>
    </row>
    <row r="15" customFormat="false" ht="15" hidden="false" customHeight="false" outlineLevel="0" collapsed="false">
      <c r="A15" s="15" t="s">
        <v>1048</v>
      </c>
      <c r="B15" s="15" t="s">
        <v>281</v>
      </c>
      <c r="C15" s="15" t="s">
        <v>55</v>
      </c>
      <c r="D15" s="15" t="s">
        <v>1049</v>
      </c>
      <c r="E15" s="15" t="s">
        <v>1049</v>
      </c>
      <c r="F15" s="15" t="s">
        <v>1050</v>
      </c>
      <c r="G15" s="15" t="n">
        <v>250</v>
      </c>
      <c r="H15" s="15"/>
      <c r="I15" s="15" t="s">
        <v>48</v>
      </c>
      <c r="J15" s="15" t="s">
        <v>947</v>
      </c>
      <c r="K15" s="15" t="s">
        <v>48</v>
      </c>
      <c r="L15" s="15" t="n">
        <v>0</v>
      </c>
      <c r="M15" s="15" t="n">
        <v>0</v>
      </c>
      <c r="N15" s="15"/>
      <c r="O15" s="15" t="s">
        <v>948</v>
      </c>
      <c r="P15" s="15" t="s">
        <v>949</v>
      </c>
      <c r="Q15" s="15" t="s">
        <v>989</v>
      </c>
      <c r="R15" s="15" t="n">
        <v>0</v>
      </c>
      <c r="S15" s="15" t="n">
        <v>42</v>
      </c>
      <c r="T15" s="15" t="n">
        <v>73</v>
      </c>
      <c r="U15" s="15" t="n">
        <v>110</v>
      </c>
      <c r="V15" s="15" t="n">
        <v>26</v>
      </c>
      <c r="W15" s="15" t="n">
        <v>2</v>
      </c>
      <c r="X15" s="15" t="s">
        <v>951</v>
      </c>
      <c r="Y15" s="15" t="s">
        <v>974</v>
      </c>
      <c r="Z15" s="15" t="s">
        <v>975</v>
      </c>
      <c r="AA15" s="15" t="s">
        <v>976</v>
      </c>
      <c r="AB15" s="15" t="s">
        <v>1051</v>
      </c>
      <c r="AC15" s="15"/>
      <c r="AD15" s="15" t="s">
        <v>1052</v>
      </c>
      <c r="AE15" s="15" t="s">
        <v>1053</v>
      </c>
      <c r="AF15" s="15" t="s">
        <v>1041</v>
      </c>
      <c r="AG15" s="15" t="s">
        <v>981</v>
      </c>
      <c r="AH15" s="15" t="n">
        <v>0</v>
      </c>
      <c r="AI15" s="15" t="n">
        <v>26.9</v>
      </c>
      <c r="AJ15" s="15" t="n">
        <v>62.9</v>
      </c>
      <c r="AK15" s="15" t="n">
        <v>62.9</v>
      </c>
      <c r="AL15" s="15" t="n">
        <v>62.9</v>
      </c>
      <c r="AM15" s="15" t="n">
        <v>34.4</v>
      </c>
      <c r="AN15" s="15" t="s">
        <v>959</v>
      </c>
      <c r="AO15" s="15" t="s">
        <v>960</v>
      </c>
      <c r="AP15" s="15" t="s">
        <v>163</v>
      </c>
      <c r="AQ15" s="15"/>
      <c r="AR15" s="29" t="str">
        <f aca="false">IF(A15="","",IF(COUNTIF(Parcels!$A$2:$A$3000,B15)=0,"Parcel not found",IF(COUNTIF($A$2:$A$3000,A15)&gt;1,"Duplicate perm_id",IF(AND(P15="Yes",D15&lt;&gt;"",COUNTIFS($C$2:$C$3000,D15,$P$2:$P$3000,"Yes")&gt;1),"Reference counted twice",IF(COUNTIF(Lists!$A$2:$A$7,I15)=0,"Unknown status","")))))</f>
        <v/>
      </c>
    </row>
    <row r="16" customFormat="false" ht="15" hidden="false" customHeight="false" outlineLevel="0" collapsed="false">
      <c r="A16" s="15" t="s">
        <v>1054</v>
      </c>
      <c r="B16" s="15" t="s">
        <v>194</v>
      </c>
      <c r="C16" s="15" t="s">
        <v>51</v>
      </c>
      <c r="D16" s="15" t="s">
        <v>1055</v>
      </c>
      <c r="E16" s="15" t="s">
        <v>1055</v>
      </c>
      <c r="F16" s="15" t="s">
        <v>1056</v>
      </c>
      <c r="G16" s="15" t="n">
        <v>31</v>
      </c>
      <c r="H16" s="15"/>
      <c r="I16" s="15" t="s">
        <v>1057</v>
      </c>
      <c r="J16" s="15" t="s">
        <v>947</v>
      </c>
      <c r="K16" s="15" t="s">
        <v>1057</v>
      </c>
      <c r="L16" s="15" t="n">
        <v>0</v>
      </c>
      <c r="M16" s="15" t="n">
        <v>0</v>
      </c>
      <c r="N16" s="15"/>
      <c r="O16" s="15" t="s">
        <v>948</v>
      </c>
      <c r="P16" s="15" t="s">
        <v>949</v>
      </c>
      <c r="Q16" s="15" t="s">
        <v>965</v>
      </c>
      <c r="R16" s="15"/>
      <c r="S16" s="15"/>
      <c r="T16" s="15"/>
      <c r="U16" s="15"/>
      <c r="V16" s="15"/>
      <c r="W16" s="15"/>
      <c r="X16" s="15" t="s">
        <v>951</v>
      </c>
      <c r="Y16" s="15" t="s">
        <v>1058</v>
      </c>
      <c r="Z16" s="15" t="s">
        <v>170</v>
      </c>
      <c r="AA16" s="15" t="s">
        <v>966</v>
      </c>
      <c r="AB16" s="15" t="s">
        <v>1059</v>
      </c>
      <c r="AC16" s="15" t="s">
        <v>1060</v>
      </c>
      <c r="AD16" s="15"/>
      <c r="AE16" s="15"/>
      <c r="AF16" s="15"/>
      <c r="AG16" s="15" t="s">
        <v>969</v>
      </c>
      <c r="AH16" s="15" t="n">
        <v>0</v>
      </c>
      <c r="AI16" s="15" t="n">
        <v>0</v>
      </c>
      <c r="AJ16" s="15" t="n">
        <v>0</v>
      </c>
      <c r="AK16" s="15" t="n">
        <v>0</v>
      </c>
      <c r="AL16" s="15" t="n">
        <v>0</v>
      </c>
      <c r="AM16" s="15" t="n">
        <v>0</v>
      </c>
      <c r="AN16" s="15" t="s">
        <v>959</v>
      </c>
      <c r="AO16" s="15" t="s">
        <v>960</v>
      </c>
      <c r="AP16" s="15" t="s">
        <v>163</v>
      </c>
      <c r="AQ16" s="15"/>
      <c r="AR16" s="29" t="str">
        <f aca="false">IF(A16="","",IF(COUNTIF(Parcels!$A$2:$A$3000,B16)=0,"Parcel not found",IF(COUNTIF($A$2:$A$3000,A16)&gt;1,"Duplicate perm_id",IF(AND(P16="Yes",D16&lt;&gt;"",COUNTIFS($C$2:$C$3000,D16,$P$2:$P$3000,"Yes")&gt;1),"Reference counted twice",IF(COUNTIF(Lists!$A$2:$A$7,I16)=0,"Unknown status","")))))</f>
        <v/>
      </c>
    </row>
    <row r="17" customFormat="false" ht="15" hidden="false" customHeight="false" outlineLevel="0" collapsed="false">
      <c r="A17" s="15" t="s">
        <v>1061</v>
      </c>
      <c r="B17" s="15" t="s">
        <v>195</v>
      </c>
      <c r="C17" s="15" t="s">
        <v>51</v>
      </c>
      <c r="D17" s="15" t="s">
        <v>1062</v>
      </c>
      <c r="E17" s="15" t="s">
        <v>1062</v>
      </c>
      <c r="F17" s="15" t="s">
        <v>1063</v>
      </c>
      <c r="G17" s="15" t="n">
        <v>46</v>
      </c>
      <c r="H17" s="15"/>
      <c r="I17" s="15" t="s">
        <v>946</v>
      </c>
      <c r="J17" s="15" t="s">
        <v>947</v>
      </c>
      <c r="K17" s="15" t="s">
        <v>946</v>
      </c>
      <c r="L17" s="15" t="n">
        <v>0</v>
      </c>
      <c r="M17" s="15" t="n">
        <v>0</v>
      </c>
      <c r="N17" s="15"/>
      <c r="O17" s="15" t="s">
        <v>948</v>
      </c>
      <c r="P17" s="15" t="s">
        <v>949</v>
      </c>
      <c r="Q17" s="15" t="s">
        <v>950</v>
      </c>
      <c r="R17" s="15" t="n">
        <v>0</v>
      </c>
      <c r="S17" s="15" t="n">
        <v>23</v>
      </c>
      <c r="T17" s="15" t="n">
        <v>23</v>
      </c>
      <c r="U17" s="15" t="n">
        <v>0</v>
      </c>
      <c r="V17" s="15" t="n">
        <v>0</v>
      </c>
      <c r="W17" s="15" t="n">
        <v>0</v>
      </c>
      <c r="X17" s="15" t="s">
        <v>951</v>
      </c>
      <c r="Y17" s="15" t="s">
        <v>952</v>
      </c>
      <c r="Z17" s="15" t="s">
        <v>170</v>
      </c>
      <c r="AA17" s="15" t="s">
        <v>966</v>
      </c>
      <c r="AB17" s="15" t="s">
        <v>1064</v>
      </c>
      <c r="AC17" s="15" t="s">
        <v>1065</v>
      </c>
      <c r="AD17" s="15"/>
      <c r="AE17" s="15" t="s">
        <v>956</v>
      </c>
      <c r="AF17" s="15" t="s">
        <v>1066</v>
      </c>
      <c r="AG17" s="15" t="s">
        <v>958</v>
      </c>
      <c r="AH17" s="15" t="n">
        <v>0</v>
      </c>
      <c r="AI17" s="15" t="n">
        <v>0</v>
      </c>
      <c r="AJ17" s="15" t="n">
        <v>19.4</v>
      </c>
      <c r="AK17" s="15" t="n">
        <v>26.6</v>
      </c>
      <c r="AL17" s="15" t="n">
        <v>0</v>
      </c>
      <c r="AM17" s="15" t="n">
        <v>0</v>
      </c>
      <c r="AN17" s="15" t="s">
        <v>959</v>
      </c>
      <c r="AO17" s="15" t="s">
        <v>960</v>
      </c>
      <c r="AP17" s="15" t="s">
        <v>163</v>
      </c>
      <c r="AQ17" s="15"/>
      <c r="AR17" s="29" t="str">
        <f aca="false">IF(A17="","",IF(COUNTIF(Parcels!$A$2:$A$3000,B17)=0,"Parcel not found",IF(COUNTIF($A$2:$A$3000,A17)&gt;1,"Duplicate perm_id",IF(AND(P17="Yes",D17&lt;&gt;"",COUNTIFS($C$2:$C$3000,D17,$P$2:$P$3000,"Yes")&gt;1),"Reference counted twice",IF(COUNTIF(Lists!$A$2:$A$7,I17)=0,"Unknown status","")))))</f>
        <v/>
      </c>
    </row>
    <row r="18" customFormat="false" ht="15" hidden="false" customHeight="false" outlineLevel="0" collapsed="false">
      <c r="A18" s="15" t="s">
        <v>1067</v>
      </c>
      <c r="B18" s="15" t="s">
        <v>196</v>
      </c>
      <c r="C18" s="15" t="s">
        <v>51</v>
      </c>
      <c r="D18" s="15" t="s">
        <v>1068</v>
      </c>
      <c r="E18" s="15" t="s">
        <v>1068</v>
      </c>
      <c r="F18" s="15" t="s">
        <v>1069</v>
      </c>
      <c r="G18" s="15" t="n">
        <v>6</v>
      </c>
      <c r="H18" s="15"/>
      <c r="I18" s="15" t="s">
        <v>985</v>
      </c>
      <c r="J18" s="15" t="s">
        <v>947</v>
      </c>
      <c r="K18" s="15" t="s">
        <v>985</v>
      </c>
      <c r="L18" s="15" t="n">
        <v>0</v>
      </c>
      <c r="M18" s="15" t="n">
        <v>0</v>
      </c>
      <c r="N18" s="15"/>
      <c r="O18" s="15" t="s">
        <v>948</v>
      </c>
      <c r="P18" s="15" t="s">
        <v>949</v>
      </c>
      <c r="Q18" s="15" t="s">
        <v>1070</v>
      </c>
      <c r="R18" s="15"/>
      <c r="S18" s="15"/>
      <c r="T18" s="15"/>
      <c r="U18" s="15"/>
      <c r="V18" s="15"/>
      <c r="W18" s="15"/>
      <c r="X18" s="15" t="s">
        <v>973</v>
      </c>
      <c r="Y18" s="15" t="s">
        <v>974</v>
      </c>
      <c r="Z18" s="15" t="s">
        <v>975</v>
      </c>
      <c r="AA18" s="15" t="s">
        <v>976</v>
      </c>
      <c r="AB18" s="15"/>
      <c r="AC18" s="15"/>
      <c r="AD18" s="15"/>
      <c r="AE18" s="15"/>
      <c r="AF18" s="15"/>
      <c r="AG18" s="15" t="s">
        <v>969</v>
      </c>
      <c r="AH18" s="15" t="n">
        <v>0</v>
      </c>
      <c r="AI18" s="15" t="n">
        <v>0</v>
      </c>
      <c r="AJ18" s="15" t="n">
        <v>0</v>
      </c>
      <c r="AK18" s="15" t="n">
        <v>0</v>
      </c>
      <c r="AL18" s="15" t="n">
        <v>0</v>
      </c>
      <c r="AM18" s="15" t="n">
        <v>0</v>
      </c>
      <c r="AN18" s="15" t="s">
        <v>959</v>
      </c>
      <c r="AO18" s="15" t="s">
        <v>960</v>
      </c>
      <c r="AP18" s="15" t="s">
        <v>163</v>
      </c>
      <c r="AQ18" s="15"/>
      <c r="AR18" s="29" t="str">
        <f aca="false">IF(A18="","",IF(COUNTIF(Parcels!$A$2:$A$3000,B18)=0,"Parcel not found",IF(COUNTIF($A$2:$A$3000,A18)&gt;1,"Duplicate perm_id",IF(AND(P18="Yes",D18&lt;&gt;"",COUNTIFS($C$2:$C$3000,D18,$P$2:$P$3000,"Yes")&gt;1),"Reference counted twice",IF(COUNTIF(Lists!$A$2:$A$7,I18)=0,"Unknown status","")))))</f>
        <v/>
      </c>
    </row>
    <row r="19" customFormat="false" ht="15" hidden="false" customHeight="false" outlineLevel="0" collapsed="false">
      <c r="A19" s="15" t="s">
        <v>1071</v>
      </c>
      <c r="B19" s="15" t="s">
        <v>197</v>
      </c>
      <c r="C19" s="15" t="s">
        <v>51</v>
      </c>
      <c r="D19" s="15" t="s">
        <v>1072</v>
      </c>
      <c r="E19" s="15" t="s">
        <v>1072</v>
      </c>
      <c r="F19" s="15" t="s">
        <v>1073</v>
      </c>
      <c r="G19" s="15" t="n">
        <v>65</v>
      </c>
      <c r="H19" s="15"/>
      <c r="I19" s="15" t="s">
        <v>47</v>
      </c>
      <c r="J19" s="15" t="s">
        <v>947</v>
      </c>
      <c r="K19" s="15" t="s">
        <v>47</v>
      </c>
      <c r="L19" s="15" t="n">
        <v>0</v>
      </c>
      <c r="M19" s="15" t="n">
        <v>65</v>
      </c>
      <c r="N19" s="15" t="s">
        <v>1074</v>
      </c>
      <c r="O19" s="15" t="s">
        <v>948</v>
      </c>
      <c r="P19" s="15" t="s">
        <v>949</v>
      </c>
      <c r="Q19" s="15" t="s">
        <v>950</v>
      </c>
      <c r="R19" s="15" t="n">
        <v>0</v>
      </c>
      <c r="S19" s="15" t="n">
        <v>21</v>
      </c>
      <c r="T19" s="15" t="n">
        <v>44</v>
      </c>
      <c r="U19" s="15" t="n">
        <v>0</v>
      </c>
      <c r="V19" s="15" t="n">
        <v>0</v>
      </c>
      <c r="W19" s="15" t="n">
        <v>0</v>
      </c>
      <c r="X19" s="15" t="s">
        <v>1075</v>
      </c>
      <c r="Y19" s="15" t="s">
        <v>952</v>
      </c>
      <c r="Z19" s="15" t="s">
        <v>170</v>
      </c>
      <c r="AA19" s="15" t="s">
        <v>966</v>
      </c>
      <c r="AB19" s="15" t="s">
        <v>1076</v>
      </c>
      <c r="AC19" s="15" t="s">
        <v>1077</v>
      </c>
      <c r="AD19" s="15" t="s">
        <v>1078</v>
      </c>
      <c r="AE19" s="15"/>
      <c r="AF19" s="15"/>
      <c r="AG19" s="15" t="s">
        <v>992</v>
      </c>
      <c r="AH19" s="15" t="n">
        <v>0</v>
      </c>
      <c r="AI19" s="15" t="n">
        <v>0</v>
      </c>
      <c r="AJ19" s="15" t="n">
        <v>0</v>
      </c>
      <c r="AK19" s="15" t="n">
        <v>0</v>
      </c>
      <c r="AL19" s="15" t="n">
        <v>0</v>
      </c>
      <c r="AM19" s="15" t="n">
        <v>0</v>
      </c>
      <c r="AN19" s="15" t="s">
        <v>959</v>
      </c>
      <c r="AO19" s="15" t="s">
        <v>960</v>
      </c>
      <c r="AP19" s="15" t="s">
        <v>163</v>
      </c>
      <c r="AQ19" s="15"/>
      <c r="AR19" s="29" t="str">
        <f aca="false">IF(A19="","",IF(COUNTIF(Parcels!$A$2:$A$3000,B19)=0,"Parcel not found",IF(COUNTIF($A$2:$A$3000,A19)&gt;1,"Duplicate perm_id",IF(AND(P19="Yes",D19&lt;&gt;"",COUNTIFS($C$2:$C$3000,D19,$P$2:$P$3000,"Yes")&gt;1),"Reference counted twice",IF(COUNTIF(Lists!$A$2:$A$7,I19)=0,"Unknown status","")))))</f>
        <v/>
      </c>
    </row>
    <row r="20" customFormat="false" ht="15" hidden="false" customHeight="false" outlineLevel="0" collapsed="false">
      <c r="A20" s="15" t="s">
        <v>1079</v>
      </c>
      <c r="B20" s="15" t="s">
        <v>197</v>
      </c>
      <c r="C20" s="15" t="s">
        <v>51</v>
      </c>
      <c r="D20" s="15" t="s">
        <v>1080</v>
      </c>
      <c r="E20" s="15" t="s">
        <v>1080</v>
      </c>
      <c r="F20" s="15" t="s">
        <v>1081</v>
      </c>
      <c r="G20" s="15" t="n">
        <v>167</v>
      </c>
      <c r="H20" s="15"/>
      <c r="I20" s="15" t="s">
        <v>48</v>
      </c>
      <c r="J20" s="15" t="s">
        <v>947</v>
      </c>
      <c r="K20" s="15" t="s">
        <v>48</v>
      </c>
      <c r="L20" s="15" t="n">
        <v>0</v>
      </c>
      <c r="M20" s="15" t="n">
        <v>30</v>
      </c>
      <c r="N20" s="15"/>
      <c r="O20" s="15" t="s">
        <v>948</v>
      </c>
      <c r="P20" s="15" t="s">
        <v>949</v>
      </c>
      <c r="Q20" s="15" t="s">
        <v>950</v>
      </c>
      <c r="R20" s="15" t="n">
        <v>0</v>
      </c>
      <c r="S20" s="15" t="n">
        <v>82</v>
      </c>
      <c r="T20" s="15" t="n">
        <v>83</v>
      </c>
      <c r="U20" s="15" t="n">
        <v>2</v>
      </c>
      <c r="V20" s="15" t="n">
        <v>0</v>
      </c>
      <c r="W20" s="15" t="n">
        <v>0</v>
      </c>
      <c r="X20" s="15" t="s">
        <v>1082</v>
      </c>
      <c r="Y20" s="15" t="s">
        <v>952</v>
      </c>
      <c r="Z20" s="15" t="s">
        <v>170</v>
      </c>
      <c r="AA20" s="15" t="s">
        <v>1031</v>
      </c>
      <c r="AB20" s="15" t="s">
        <v>1083</v>
      </c>
      <c r="AC20" s="15" t="s">
        <v>1084</v>
      </c>
      <c r="AD20" s="15" t="s">
        <v>1085</v>
      </c>
      <c r="AE20" s="15" t="s">
        <v>1086</v>
      </c>
      <c r="AF20" s="15" t="s">
        <v>999</v>
      </c>
      <c r="AG20" s="15" t="s">
        <v>981</v>
      </c>
      <c r="AH20" s="15" t="n">
        <v>17.4</v>
      </c>
      <c r="AI20" s="15" t="n">
        <v>74.9</v>
      </c>
      <c r="AJ20" s="15" t="n">
        <v>74.6</v>
      </c>
      <c r="AK20" s="15" t="n">
        <v>0</v>
      </c>
      <c r="AL20" s="15" t="n">
        <v>0</v>
      </c>
      <c r="AM20" s="15" t="n">
        <v>0.1</v>
      </c>
      <c r="AN20" s="15" t="s">
        <v>959</v>
      </c>
      <c r="AO20" s="15" t="s">
        <v>960</v>
      </c>
      <c r="AP20" s="15" t="s">
        <v>163</v>
      </c>
      <c r="AQ20" s="15"/>
      <c r="AR20" s="29" t="str">
        <f aca="false">IF(A20="","",IF(COUNTIF(Parcels!$A$2:$A$3000,B20)=0,"Parcel not found",IF(COUNTIF($A$2:$A$3000,A20)&gt;1,"Duplicate perm_id",IF(AND(P20="Yes",D20&lt;&gt;"",COUNTIFS($C$2:$C$3000,D20,$P$2:$P$3000,"Yes")&gt;1),"Reference counted twice",IF(COUNTIF(Lists!$A$2:$A$7,I20)=0,"Unknown status","")))))</f>
        <v/>
      </c>
    </row>
    <row r="21" customFormat="false" ht="15" hidden="false" customHeight="false" outlineLevel="0" collapsed="false">
      <c r="A21" s="15" t="s">
        <v>1087</v>
      </c>
      <c r="B21" s="15" t="s">
        <v>260</v>
      </c>
      <c r="C21" s="15" t="s">
        <v>54</v>
      </c>
      <c r="D21" s="15" t="s">
        <v>1088</v>
      </c>
      <c r="E21" s="15" t="s">
        <v>1088</v>
      </c>
      <c r="F21" s="15" t="s">
        <v>1089</v>
      </c>
      <c r="G21" s="15" t="n">
        <v>25</v>
      </c>
      <c r="H21" s="15"/>
      <c r="I21" s="15" t="s">
        <v>946</v>
      </c>
      <c r="J21" s="15" t="s">
        <v>947</v>
      </c>
      <c r="K21" s="15" t="s">
        <v>946</v>
      </c>
      <c r="L21" s="15" t="n">
        <v>0</v>
      </c>
      <c r="M21" s="15" t="n">
        <v>0</v>
      </c>
      <c r="N21" s="15"/>
      <c r="O21" s="15" t="s">
        <v>948</v>
      </c>
      <c r="P21" s="15" t="s">
        <v>949</v>
      </c>
      <c r="Q21" s="15" t="s">
        <v>950</v>
      </c>
      <c r="R21" s="15" t="n">
        <v>0</v>
      </c>
      <c r="S21" s="15" t="n">
        <v>8</v>
      </c>
      <c r="T21" s="15" t="n">
        <v>8</v>
      </c>
      <c r="U21" s="15" t="n">
        <v>9</v>
      </c>
      <c r="V21" s="15" t="n">
        <v>0</v>
      </c>
      <c r="W21" s="15" t="n">
        <v>0</v>
      </c>
      <c r="X21" s="15" t="s">
        <v>951</v>
      </c>
      <c r="Y21" s="15" t="s">
        <v>952</v>
      </c>
      <c r="Z21" s="15" t="s">
        <v>170</v>
      </c>
      <c r="AA21" s="15" t="s">
        <v>966</v>
      </c>
      <c r="AB21" s="15" t="s">
        <v>1090</v>
      </c>
      <c r="AC21" s="15" t="s">
        <v>1091</v>
      </c>
      <c r="AD21" s="15"/>
      <c r="AE21" s="15" t="s">
        <v>980</v>
      </c>
      <c r="AF21" s="15" t="s">
        <v>1066</v>
      </c>
      <c r="AG21" s="15" t="s">
        <v>1000</v>
      </c>
      <c r="AH21" s="15" t="n">
        <v>0</v>
      </c>
      <c r="AI21" s="15" t="n">
        <v>0</v>
      </c>
      <c r="AJ21" s="15" t="n">
        <v>8.5</v>
      </c>
      <c r="AK21" s="15" t="n">
        <v>16.5</v>
      </c>
      <c r="AL21" s="15" t="n">
        <v>0</v>
      </c>
      <c r="AM21" s="15" t="n">
        <v>0</v>
      </c>
      <c r="AN21" s="15" t="s">
        <v>959</v>
      </c>
      <c r="AO21" s="15" t="s">
        <v>960</v>
      </c>
      <c r="AP21" s="15" t="s">
        <v>163</v>
      </c>
      <c r="AQ21" s="15"/>
      <c r="AR21" s="29" t="str">
        <f aca="false">IF(A21="","",IF(COUNTIF(Parcels!$A$2:$A$3000,B21)=0,"Parcel not found",IF(COUNTIF($A$2:$A$3000,A21)&gt;1,"Duplicate perm_id",IF(AND(P21="Yes",D21&lt;&gt;"",COUNTIFS($C$2:$C$3000,D21,$P$2:$P$3000,"Yes")&gt;1),"Reference counted twice",IF(COUNTIF(Lists!$A$2:$A$7,I21)=0,"Unknown status","")))))</f>
        <v/>
      </c>
    </row>
    <row r="22" customFormat="false" ht="15" hidden="false" customHeight="false" outlineLevel="0" collapsed="false">
      <c r="A22" s="15" t="s">
        <v>1092</v>
      </c>
      <c r="B22" s="15" t="s">
        <v>261</v>
      </c>
      <c r="C22" s="15" t="s">
        <v>54</v>
      </c>
      <c r="D22" s="15" t="s">
        <v>1093</v>
      </c>
      <c r="E22" s="15" t="s">
        <v>1093</v>
      </c>
      <c r="F22" s="15" t="s">
        <v>1094</v>
      </c>
      <c r="G22" s="15" t="n">
        <v>26</v>
      </c>
      <c r="H22" s="15"/>
      <c r="I22" s="15" t="s">
        <v>48</v>
      </c>
      <c r="J22" s="15" t="s">
        <v>947</v>
      </c>
      <c r="K22" s="15" t="s">
        <v>48</v>
      </c>
      <c r="L22" s="15" t="n">
        <v>0</v>
      </c>
      <c r="M22" s="15" t="n">
        <v>0</v>
      </c>
      <c r="N22" s="15"/>
      <c r="O22" s="15" t="s">
        <v>948</v>
      </c>
      <c r="P22" s="15" t="s">
        <v>949</v>
      </c>
      <c r="Q22" s="15" t="s">
        <v>950</v>
      </c>
      <c r="R22" s="15" t="n">
        <v>0</v>
      </c>
      <c r="S22" s="15" t="n">
        <v>0</v>
      </c>
      <c r="T22" s="15" t="n">
        <v>0</v>
      </c>
      <c r="U22" s="15" t="n">
        <v>0</v>
      </c>
      <c r="V22" s="15" t="n">
        <v>24</v>
      </c>
      <c r="W22" s="15" t="n">
        <v>0</v>
      </c>
      <c r="X22" s="15" t="s">
        <v>951</v>
      </c>
      <c r="Y22" s="15" t="s">
        <v>952</v>
      </c>
      <c r="Z22" s="15" t="s">
        <v>170</v>
      </c>
      <c r="AA22" s="15" t="s">
        <v>966</v>
      </c>
      <c r="AB22" s="15" t="s">
        <v>1095</v>
      </c>
      <c r="AC22" s="15" t="s">
        <v>1096</v>
      </c>
      <c r="AD22" s="15" t="s">
        <v>1097</v>
      </c>
      <c r="AE22" s="15" t="s">
        <v>979</v>
      </c>
      <c r="AF22" s="15" t="s">
        <v>980</v>
      </c>
      <c r="AG22" s="15" t="s">
        <v>981</v>
      </c>
      <c r="AH22" s="15" t="n">
        <v>6.1</v>
      </c>
      <c r="AI22" s="15" t="n">
        <v>19.9</v>
      </c>
      <c r="AJ22" s="15" t="n">
        <v>0</v>
      </c>
      <c r="AK22" s="15" t="n">
        <v>0</v>
      </c>
      <c r="AL22" s="15" t="n">
        <v>0</v>
      </c>
      <c r="AM22" s="15" t="n">
        <v>0</v>
      </c>
      <c r="AN22" s="15" t="s">
        <v>959</v>
      </c>
      <c r="AO22" s="15" t="s">
        <v>960</v>
      </c>
      <c r="AP22" s="15" t="s">
        <v>163</v>
      </c>
      <c r="AQ22" s="15"/>
      <c r="AR22" s="29" t="str">
        <f aca="false">IF(A22="","",IF(COUNTIF(Parcels!$A$2:$A$3000,B22)=0,"Parcel not found",IF(COUNTIF($A$2:$A$3000,A22)&gt;1,"Duplicate perm_id",IF(AND(P22="Yes",D22&lt;&gt;"",COUNTIFS($C$2:$C$3000,D22,$P$2:$P$3000,"Yes")&gt;1),"Reference counted twice",IF(COUNTIF(Lists!$A$2:$A$7,I22)=0,"Unknown status","")))))</f>
        <v/>
      </c>
    </row>
    <row r="23" customFormat="false" ht="15" hidden="false" customHeight="false" outlineLevel="0" collapsed="false">
      <c r="A23" s="15" t="s">
        <v>1098</v>
      </c>
      <c r="B23" s="15" t="s">
        <v>340</v>
      </c>
      <c r="C23" s="15" t="s">
        <v>56</v>
      </c>
      <c r="D23" s="15" t="s">
        <v>1099</v>
      </c>
      <c r="E23" s="15" t="s">
        <v>1099</v>
      </c>
      <c r="F23" s="15" t="s">
        <v>1100</v>
      </c>
      <c r="G23" s="15" t="n">
        <v>27</v>
      </c>
      <c r="H23" s="15"/>
      <c r="I23" s="15" t="s">
        <v>946</v>
      </c>
      <c r="J23" s="15" t="s">
        <v>947</v>
      </c>
      <c r="K23" s="15" t="s">
        <v>946</v>
      </c>
      <c r="L23" s="15" t="n">
        <v>0</v>
      </c>
      <c r="M23" s="15" t="n">
        <v>0</v>
      </c>
      <c r="N23" s="15"/>
      <c r="O23" s="15" t="s">
        <v>948</v>
      </c>
      <c r="P23" s="15" t="s">
        <v>949</v>
      </c>
      <c r="Q23" s="15" t="s">
        <v>989</v>
      </c>
      <c r="R23" s="15" t="n">
        <v>0</v>
      </c>
      <c r="S23" s="15" t="n">
        <v>9</v>
      </c>
      <c r="T23" s="15" t="n">
        <v>18</v>
      </c>
      <c r="U23" s="15" t="n">
        <v>0</v>
      </c>
      <c r="V23" s="15" t="n">
        <v>0</v>
      </c>
      <c r="W23" s="15" t="n">
        <v>0</v>
      </c>
      <c r="X23" s="15" t="s">
        <v>973</v>
      </c>
      <c r="Y23" s="15" t="s">
        <v>974</v>
      </c>
      <c r="Z23" s="15" t="s">
        <v>975</v>
      </c>
      <c r="AA23" s="15" t="s">
        <v>976</v>
      </c>
      <c r="AB23" s="15" t="s">
        <v>1101</v>
      </c>
      <c r="AC23" s="15"/>
      <c r="AD23" s="15"/>
      <c r="AE23" s="15" t="s">
        <v>956</v>
      </c>
      <c r="AF23" s="15" t="s">
        <v>999</v>
      </c>
      <c r="AG23" s="15" t="s">
        <v>958</v>
      </c>
      <c r="AH23" s="15" t="n">
        <v>0</v>
      </c>
      <c r="AI23" s="15" t="n">
        <v>0</v>
      </c>
      <c r="AJ23" s="15" t="n">
        <v>20.5</v>
      </c>
      <c r="AK23" s="15" t="n">
        <v>6.5</v>
      </c>
      <c r="AL23" s="15" t="n">
        <v>0</v>
      </c>
      <c r="AM23" s="15" t="n">
        <v>0</v>
      </c>
      <c r="AN23" s="15" t="s">
        <v>959</v>
      </c>
      <c r="AO23" s="15" t="s">
        <v>960</v>
      </c>
      <c r="AP23" s="15" t="s">
        <v>163</v>
      </c>
      <c r="AQ23" s="15"/>
      <c r="AR23" s="29" t="str">
        <f aca="false">IF(A23="","",IF(COUNTIF(Parcels!$A$2:$A$3000,B23)=0,"Parcel not found",IF(COUNTIF($A$2:$A$3000,A23)&gt;1,"Duplicate perm_id",IF(AND(P23="Yes",D23&lt;&gt;"",COUNTIFS($C$2:$C$3000,D23,$P$2:$P$3000,"Yes")&gt;1),"Reference counted twice",IF(COUNTIF(Lists!$A$2:$A$7,I23)=0,"Unknown status","")))))</f>
        <v/>
      </c>
    </row>
    <row r="24" customFormat="false" ht="15" hidden="false" customHeight="false" outlineLevel="0" collapsed="false">
      <c r="A24" s="15" t="s">
        <v>1102</v>
      </c>
      <c r="B24" s="15" t="s">
        <v>293</v>
      </c>
      <c r="C24" s="15" t="s">
        <v>56</v>
      </c>
      <c r="D24" s="15" t="s">
        <v>1103</v>
      </c>
      <c r="E24" s="15" t="s">
        <v>1103</v>
      </c>
      <c r="F24" s="15" t="s">
        <v>1104</v>
      </c>
      <c r="G24" s="15" t="n">
        <v>30</v>
      </c>
      <c r="H24" s="15"/>
      <c r="I24" s="15" t="s">
        <v>985</v>
      </c>
      <c r="J24" s="15" t="s">
        <v>947</v>
      </c>
      <c r="K24" s="15" t="s">
        <v>985</v>
      </c>
      <c r="L24" s="15" t="n">
        <v>0</v>
      </c>
      <c r="M24" s="15" t="n">
        <v>0</v>
      </c>
      <c r="N24" s="15"/>
      <c r="O24" s="15" t="s">
        <v>948</v>
      </c>
      <c r="P24" s="15" t="s">
        <v>949</v>
      </c>
      <c r="Q24" s="15" t="s">
        <v>950</v>
      </c>
      <c r="R24" s="15" t="n">
        <v>0</v>
      </c>
      <c r="S24" s="15" t="n">
        <v>16</v>
      </c>
      <c r="T24" s="15" t="n">
        <v>10</v>
      </c>
      <c r="U24" s="15" t="n">
        <v>4</v>
      </c>
      <c r="V24" s="15" t="n">
        <v>0</v>
      </c>
      <c r="W24" s="15" t="n">
        <v>0</v>
      </c>
      <c r="X24" s="15" t="s">
        <v>973</v>
      </c>
      <c r="Y24" s="15" t="s">
        <v>974</v>
      </c>
      <c r="Z24" s="15" t="s">
        <v>975</v>
      </c>
      <c r="AA24" s="15" t="s">
        <v>976</v>
      </c>
      <c r="AB24" s="15"/>
      <c r="AC24" s="15"/>
      <c r="AD24" s="15"/>
      <c r="AE24" s="15"/>
      <c r="AF24" s="15"/>
      <c r="AG24" s="15" t="s">
        <v>969</v>
      </c>
      <c r="AH24" s="15" t="n">
        <v>0</v>
      </c>
      <c r="AI24" s="15" t="n">
        <v>0</v>
      </c>
      <c r="AJ24" s="15" t="n">
        <v>0</v>
      </c>
      <c r="AK24" s="15" t="n">
        <v>0</v>
      </c>
      <c r="AL24" s="15" t="n">
        <v>0</v>
      </c>
      <c r="AM24" s="15" t="n">
        <v>0</v>
      </c>
      <c r="AN24" s="15" t="s">
        <v>959</v>
      </c>
      <c r="AO24" s="15" t="s">
        <v>960</v>
      </c>
      <c r="AP24" s="15" t="s">
        <v>163</v>
      </c>
      <c r="AQ24" s="15"/>
      <c r="AR24" s="29" t="str">
        <f aca="false">IF(A24="","",IF(COUNTIF(Parcels!$A$2:$A$3000,B24)=0,"Parcel not found",IF(COUNTIF($A$2:$A$3000,A24)&gt;1,"Duplicate perm_id",IF(AND(P24="Yes",D24&lt;&gt;"",COUNTIFS($C$2:$C$3000,D24,$P$2:$P$3000,"Yes")&gt;1),"Reference counted twice",IF(COUNTIF(Lists!$A$2:$A$7,I24)=0,"Unknown status","")))))</f>
        <v/>
      </c>
    </row>
    <row r="25" customFormat="false" ht="15" hidden="false" customHeight="false" outlineLevel="0" collapsed="false">
      <c r="A25" s="15" t="s">
        <v>1105</v>
      </c>
      <c r="B25" s="15" t="s">
        <v>303</v>
      </c>
      <c r="C25" s="15" t="s">
        <v>57</v>
      </c>
      <c r="D25" s="15" t="s">
        <v>1106</v>
      </c>
      <c r="E25" s="15" t="s">
        <v>1106</v>
      </c>
      <c r="F25" s="15" t="s">
        <v>1107</v>
      </c>
      <c r="G25" s="15" t="n">
        <v>25</v>
      </c>
      <c r="H25" s="15"/>
      <c r="I25" s="15" t="s">
        <v>946</v>
      </c>
      <c r="J25" s="15" t="s">
        <v>947</v>
      </c>
      <c r="K25" s="15" t="s">
        <v>946</v>
      </c>
      <c r="L25" s="15" t="n">
        <v>0</v>
      </c>
      <c r="M25" s="15" t="n">
        <v>0</v>
      </c>
      <c r="N25" s="15"/>
      <c r="O25" s="15" t="s">
        <v>948</v>
      </c>
      <c r="P25" s="15" t="s">
        <v>949</v>
      </c>
      <c r="Q25" s="15" t="s">
        <v>950</v>
      </c>
      <c r="R25" s="15" t="n">
        <v>0</v>
      </c>
      <c r="S25" s="15" t="n">
        <v>10</v>
      </c>
      <c r="T25" s="15" t="n">
        <v>15</v>
      </c>
      <c r="U25" s="15" t="n">
        <v>0</v>
      </c>
      <c r="V25" s="15" t="n">
        <v>0</v>
      </c>
      <c r="W25" s="15" t="n">
        <v>0</v>
      </c>
      <c r="X25" s="15" t="s">
        <v>951</v>
      </c>
      <c r="Y25" s="15" t="s">
        <v>952</v>
      </c>
      <c r="Z25" s="15" t="s">
        <v>170</v>
      </c>
      <c r="AA25" s="15" t="s">
        <v>966</v>
      </c>
      <c r="AB25" s="15" t="s">
        <v>1108</v>
      </c>
      <c r="AC25" s="15" t="s">
        <v>1109</v>
      </c>
      <c r="AD25" s="15"/>
      <c r="AE25" s="15" t="s">
        <v>998</v>
      </c>
      <c r="AF25" s="15" t="s">
        <v>999</v>
      </c>
      <c r="AG25" s="15" t="s">
        <v>1000</v>
      </c>
      <c r="AH25" s="15" t="n">
        <v>0</v>
      </c>
      <c r="AI25" s="15" t="n">
        <v>0</v>
      </c>
      <c r="AJ25" s="15" t="n">
        <v>20.8</v>
      </c>
      <c r="AK25" s="15" t="n">
        <v>4.2</v>
      </c>
      <c r="AL25" s="15" t="n">
        <v>0</v>
      </c>
      <c r="AM25" s="15" t="n">
        <v>0</v>
      </c>
      <c r="AN25" s="15" t="s">
        <v>959</v>
      </c>
      <c r="AO25" s="15" t="s">
        <v>960</v>
      </c>
      <c r="AP25" s="15" t="s">
        <v>163</v>
      </c>
      <c r="AQ25" s="15"/>
      <c r="AR25" s="29" t="str">
        <f aca="false">IF(A25="","",IF(COUNTIF(Parcels!$A$2:$A$3000,B25)=0,"Parcel not found",IF(COUNTIF($A$2:$A$3000,A25)&gt;1,"Duplicate perm_id",IF(AND(P25="Yes",D25&lt;&gt;"",COUNTIFS($C$2:$C$3000,D25,$P$2:$P$3000,"Yes")&gt;1),"Reference counted twice",IF(COUNTIF(Lists!$A$2:$A$7,I25)=0,"Unknown status","")))))</f>
        <v/>
      </c>
    </row>
    <row r="26" customFormat="false" ht="15" hidden="false" customHeight="false" outlineLevel="0" collapsed="false">
      <c r="A26" s="15" t="s">
        <v>1110</v>
      </c>
      <c r="B26" s="15" t="s">
        <v>198</v>
      </c>
      <c r="C26" s="15" t="s">
        <v>51</v>
      </c>
      <c r="D26" s="15" t="s">
        <v>1111</v>
      </c>
      <c r="E26" s="15" t="s">
        <v>1111</v>
      </c>
      <c r="F26" s="15" t="s">
        <v>1112</v>
      </c>
      <c r="G26" s="15" t="n">
        <v>99</v>
      </c>
      <c r="H26" s="15"/>
      <c r="I26" s="15" t="s">
        <v>48</v>
      </c>
      <c r="J26" s="15" t="s">
        <v>947</v>
      </c>
      <c r="K26" s="15" t="s">
        <v>48</v>
      </c>
      <c r="L26" s="15" t="n">
        <v>0</v>
      </c>
      <c r="M26" s="15" t="n">
        <v>0</v>
      </c>
      <c r="N26" s="15"/>
      <c r="O26" s="15" t="s">
        <v>948</v>
      </c>
      <c r="P26" s="15" t="s">
        <v>949</v>
      </c>
      <c r="Q26" s="15" t="s">
        <v>950</v>
      </c>
      <c r="R26" s="15" t="n">
        <v>0</v>
      </c>
      <c r="S26" s="15" t="n">
        <v>8</v>
      </c>
      <c r="T26" s="15" t="n">
        <v>8</v>
      </c>
      <c r="U26" s="15" t="n">
        <v>43</v>
      </c>
      <c r="V26" s="15" t="n">
        <v>40</v>
      </c>
      <c r="W26" s="15" t="n">
        <v>0</v>
      </c>
      <c r="X26" s="15" t="s">
        <v>973</v>
      </c>
      <c r="Y26" s="15" t="s">
        <v>952</v>
      </c>
      <c r="Z26" s="15" t="s">
        <v>170</v>
      </c>
      <c r="AA26" s="15" t="s">
        <v>966</v>
      </c>
      <c r="AB26" s="15" t="s">
        <v>1113</v>
      </c>
      <c r="AC26" s="15" t="s">
        <v>1114</v>
      </c>
      <c r="AD26" s="15" t="s">
        <v>1115</v>
      </c>
      <c r="AE26" s="15" t="s">
        <v>1086</v>
      </c>
      <c r="AF26" s="15" t="s">
        <v>1009</v>
      </c>
      <c r="AG26" s="15" t="s">
        <v>981</v>
      </c>
      <c r="AH26" s="15" t="n">
        <v>13</v>
      </c>
      <c r="AI26" s="15" t="n">
        <v>55.8</v>
      </c>
      <c r="AJ26" s="15" t="n">
        <v>30.2</v>
      </c>
      <c r="AK26" s="15" t="n">
        <v>0</v>
      </c>
      <c r="AL26" s="15" t="n">
        <v>0</v>
      </c>
      <c r="AM26" s="15" t="n">
        <v>0</v>
      </c>
      <c r="AN26" s="15" t="s">
        <v>959</v>
      </c>
      <c r="AO26" s="15" t="s">
        <v>960</v>
      </c>
      <c r="AP26" s="15" t="s">
        <v>163</v>
      </c>
      <c r="AQ26" s="15"/>
      <c r="AR26" s="29" t="str">
        <f aca="false">IF(A26="","",IF(COUNTIF(Parcels!$A$2:$A$3000,B26)=0,"Parcel not found",IF(COUNTIF($A$2:$A$3000,A26)&gt;1,"Duplicate perm_id",IF(AND(P26="Yes",D26&lt;&gt;"",COUNTIFS($C$2:$C$3000,D26,$P$2:$P$3000,"Yes")&gt;1),"Reference counted twice",IF(COUNTIF(Lists!$A$2:$A$7,I26)=0,"Unknown status","")))))</f>
        <v/>
      </c>
    </row>
    <row r="27" customFormat="false" ht="15" hidden="false" customHeight="false" outlineLevel="0" collapsed="false">
      <c r="A27" s="15" t="s">
        <v>1116</v>
      </c>
      <c r="B27" s="15" t="s">
        <v>304</v>
      </c>
      <c r="C27" s="15" t="s">
        <v>57</v>
      </c>
      <c r="D27" s="15" t="s">
        <v>1117</v>
      </c>
      <c r="E27" s="15" t="s">
        <v>1117</v>
      </c>
      <c r="F27" s="15" t="s">
        <v>1118</v>
      </c>
      <c r="G27" s="15" t="n">
        <v>4</v>
      </c>
      <c r="H27" s="15"/>
      <c r="I27" s="15" t="s">
        <v>964</v>
      </c>
      <c r="J27" s="15" t="s">
        <v>947</v>
      </c>
      <c r="K27" s="15" t="s">
        <v>964</v>
      </c>
      <c r="L27" s="15" t="n">
        <v>0</v>
      </c>
      <c r="M27" s="15" t="n">
        <v>0</v>
      </c>
      <c r="N27" s="15"/>
      <c r="O27" s="15" t="s">
        <v>948</v>
      </c>
      <c r="P27" s="15" t="s">
        <v>949</v>
      </c>
      <c r="Q27" s="15" t="s">
        <v>965</v>
      </c>
      <c r="R27" s="15"/>
      <c r="S27" s="15"/>
      <c r="T27" s="15"/>
      <c r="U27" s="15"/>
      <c r="V27" s="15"/>
      <c r="W27" s="15"/>
      <c r="X27" s="15" t="s">
        <v>951</v>
      </c>
      <c r="Y27" s="15" t="s">
        <v>952</v>
      </c>
      <c r="Z27" s="15" t="s">
        <v>170</v>
      </c>
      <c r="AA27" s="15" t="s">
        <v>966</v>
      </c>
      <c r="AB27" s="15" t="s">
        <v>1119</v>
      </c>
      <c r="AC27" s="15" t="s">
        <v>1120</v>
      </c>
      <c r="AD27" s="15"/>
      <c r="AE27" s="15"/>
      <c r="AF27" s="15"/>
      <c r="AG27" s="15" t="s">
        <v>969</v>
      </c>
      <c r="AH27" s="15" t="n">
        <v>0</v>
      </c>
      <c r="AI27" s="15" t="n">
        <v>0</v>
      </c>
      <c r="AJ27" s="15" t="n">
        <v>0</v>
      </c>
      <c r="AK27" s="15" t="n">
        <v>0</v>
      </c>
      <c r="AL27" s="15" t="n">
        <v>0</v>
      </c>
      <c r="AM27" s="15" t="n">
        <v>0</v>
      </c>
      <c r="AN27" s="15" t="s">
        <v>959</v>
      </c>
      <c r="AO27" s="15" t="s">
        <v>960</v>
      </c>
      <c r="AP27" s="15" t="s">
        <v>163</v>
      </c>
      <c r="AQ27" s="15"/>
      <c r="AR27" s="29" t="str">
        <f aca="false">IF(A27="","",IF(COUNTIF(Parcels!$A$2:$A$3000,B27)=0,"Parcel not found",IF(COUNTIF($A$2:$A$3000,A27)&gt;1,"Duplicate perm_id",IF(AND(P27="Yes",D27&lt;&gt;"",COUNTIFS($C$2:$C$3000,D27,$P$2:$P$3000,"Yes")&gt;1),"Reference counted twice",IF(COUNTIF(Lists!$A$2:$A$7,I27)=0,"Unknown status","")))))</f>
        <v/>
      </c>
    </row>
    <row r="28" customFormat="false" ht="15" hidden="false" customHeight="false" outlineLevel="0" collapsed="false">
      <c r="A28" s="15" t="s">
        <v>1121</v>
      </c>
      <c r="B28" s="15" t="s">
        <v>306</v>
      </c>
      <c r="C28" s="15" t="s">
        <v>57</v>
      </c>
      <c r="D28" s="15" t="s">
        <v>1122</v>
      </c>
      <c r="E28" s="15" t="s">
        <v>1122</v>
      </c>
      <c r="F28" s="15" t="s">
        <v>1123</v>
      </c>
      <c r="G28" s="15" t="n">
        <v>26</v>
      </c>
      <c r="H28" s="15" t="n">
        <v>202</v>
      </c>
      <c r="I28" s="15" t="s">
        <v>48</v>
      </c>
      <c r="J28" s="15" t="s">
        <v>947</v>
      </c>
      <c r="K28" s="15" t="s">
        <v>48</v>
      </c>
      <c r="L28" s="15" t="n">
        <v>0</v>
      </c>
      <c r="M28" s="15" t="n">
        <v>0</v>
      </c>
      <c r="N28" s="15"/>
      <c r="O28" s="15" t="s">
        <v>948</v>
      </c>
      <c r="P28" s="15" t="s">
        <v>949</v>
      </c>
      <c r="Q28" s="15" t="s">
        <v>965</v>
      </c>
      <c r="R28" s="15"/>
      <c r="S28" s="15"/>
      <c r="T28" s="15"/>
      <c r="U28" s="15"/>
      <c r="V28" s="15"/>
      <c r="W28" s="15"/>
      <c r="X28" s="15" t="s">
        <v>951</v>
      </c>
      <c r="Y28" s="15" t="s">
        <v>1058</v>
      </c>
      <c r="Z28" s="15" t="s">
        <v>170</v>
      </c>
      <c r="AA28" s="15" t="s">
        <v>1031</v>
      </c>
      <c r="AB28" s="15" t="s">
        <v>1124</v>
      </c>
      <c r="AC28" s="15" t="s">
        <v>1125</v>
      </c>
      <c r="AD28" s="15" t="s">
        <v>1126</v>
      </c>
      <c r="AE28" s="15" t="s">
        <v>1127</v>
      </c>
      <c r="AF28" s="15" t="s">
        <v>998</v>
      </c>
      <c r="AG28" s="15" t="s">
        <v>981</v>
      </c>
      <c r="AH28" s="15" t="n">
        <v>0</v>
      </c>
      <c r="AI28" s="15" t="n">
        <v>26</v>
      </c>
      <c r="AJ28" s="15" t="n">
        <v>0</v>
      </c>
      <c r="AK28" s="15" t="n">
        <v>0</v>
      </c>
      <c r="AL28" s="15" t="n">
        <v>0</v>
      </c>
      <c r="AM28" s="15" t="n">
        <v>0</v>
      </c>
      <c r="AN28" s="15" t="s">
        <v>959</v>
      </c>
      <c r="AO28" s="15" t="s">
        <v>960</v>
      </c>
      <c r="AP28" s="15" t="s">
        <v>163</v>
      </c>
      <c r="AQ28" s="15"/>
      <c r="AR28" s="29" t="str">
        <f aca="false">IF(A28="","",IF(COUNTIF(Parcels!$A$2:$A$3000,B28)=0,"Parcel not found",IF(COUNTIF($A$2:$A$3000,A28)&gt;1,"Duplicate perm_id",IF(AND(P28="Yes",D28&lt;&gt;"",COUNTIFS($C$2:$C$3000,D28,$P$2:$P$3000,"Yes")&gt;1),"Reference counted twice",IF(COUNTIF(Lists!$A$2:$A$7,I28)=0,"Unknown status","")))))</f>
        <v/>
      </c>
    </row>
    <row r="29" customFormat="false" ht="15" hidden="false" customHeight="false" outlineLevel="0" collapsed="false">
      <c r="A29" s="15" t="s">
        <v>1128</v>
      </c>
      <c r="B29" s="15" t="s">
        <v>208</v>
      </c>
      <c r="C29" s="15" t="s">
        <v>52</v>
      </c>
      <c r="D29" s="15" t="s">
        <v>1129</v>
      </c>
      <c r="E29" s="15" t="s">
        <v>1129</v>
      </c>
      <c r="F29" s="15" t="s">
        <v>1130</v>
      </c>
      <c r="G29" s="15" t="n">
        <v>196</v>
      </c>
      <c r="H29" s="15" t="n">
        <v>1400</v>
      </c>
      <c r="I29" s="15" t="s">
        <v>946</v>
      </c>
      <c r="J29" s="15" t="s">
        <v>947</v>
      </c>
      <c r="K29" s="15" t="s">
        <v>946</v>
      </c>
      <c r="L29" s="15" t="n">
        <v>0</v>
      </c>
      <c r="M29" s="15" t="n">
        <v>0</v>
      </c>
      <c r="N29" s="15"/>
      <c r="O29" s="15" t="s">
        <v>948</v>
      </c>
      <c r="P29" s="15" t="s">
        <v>949</v>
      </c>
      <c r="Q29" s="15" t="s">
        <v>950</v>
      </c>
      <c r="R29" s="15" t="n">
        <v>0</v>
      </c>
      <c r="S29" s="15" t="n">
        <v>0</v>
      </c>
      <c r="T29" s="15" t="n">
        <v>0</v>
      </c>
      <c r="U29" s="15" t="n">
        <v>0</v>
      </c>
      <c r="V29" s="15" t="n">
        <v>32</v>
      </c>
      <c r="W29" s="15" t="n">
        <v>164</v>
      </c>
      <c r="X29" s="15" t="s">
        <v>951</v>
      </c>
      <c r="Y29" s="15" t="s">
        <v>1058</v>
      </c>
      <c r="Z29" s="15" t="s">
        <v>170</v>
      </c>
      <c r="AA29" s="15" t="s">
        <v>1031</v>
      </c>
      <c r="AB29" s="15" t="s">
        <v>1131</v>
      </c>
      <c r="AC29" s="15" t="s">
        <v>1132</v>
      </c>
      <c r="AD29" s="15"/>
      <c r="AE29" s="15" t="s">
        <v>998</v>
      </c>
      <c r="AF29" s="15" t="s">
        <v>1133</v>
      </c>
      <c r="AG29" s="15" t="s">
        <v>1000</v>
      </c>
      <c r="AH29" s="15" t="n">
        <v>0</v>
      </c>
      <c r="AI29" s="15" t="n">
        <v>0</v>
      </c>
      <c r="AJ29" s="15" t="n">
        <v>0</v>
      </c>
      <c r="AK29" s="15" t="n">
        <v>196</v>
      </c>
      <c r="AL29" s="15" t="n">
        <v>0</v>
      </c>
      <c r="AM29" s="15" t="n">
        <v>0</v>
      </c>
      <c r="AN29" s="15" t="s">
        <v>959</v>
      </c>
      <c r="AO29" s="15" t="s">
        <v>960</v>
      </c>
      <c r="AP29" s="15" t="s">
        <v>163</v>
      </c>
      <c r="AQ29" s="15"/>
      <c r="AR29" s="29" t="str">
        <f aca="false">IF(A29="","",IF(COUNTIF(Parcels!$A$2:$A$3000,B29)=0,"Parcel not found",IF(COUNTIF($A$2:$A$3000,A29)&gt;1,"Duplicate perm_id",IF(AND(P29="Yes",D29&lt;&gt;"",COUNTIFS($C$2:$C$3000,D29,$P$2:$P$3000,"Yes")&gt;1),"Reference counted twice",IF(COUNTIF(Lists!$A$2:$A$7,I29)=0,"Unknown status","")))))</f>
        <v/>
      </c>
    </row>
    <row r="30" customFormat="false" ht="15" hidden="false" customHeight="false" outlineLevel="0" collapsed="false">
      <c r="A30" s="15" t="s">
        <v>1134</v>
      </c>
      <c r="B30" s="15" t="s">
        <v>210</v>
      </c>
      <c r="C30" s="15" t="s">
        <v>52</v>
      </c>
      <c r="D30" s="15" t="s">
        <v>1135</v>
      </c>
      <c r="E30" s="15" t="s">
        <v>1135</v>
      </c>
      <c r="F30" s="15" t="s">
        <v>1136</v>
      </c>
      <c r="G30" s="15" t="n">
        <v>114</v>
      </c>
      <c r="H30" s="15"/>
      <c r="I30" s="15" t="s">
        <v>946</v>
      </c>
      <c r="J30" s="15" t="s">
        <v>947</v>
      </c>
      <c r="K30" s="15" t="s">
        <v>946</v>
      </c>
      <c r="L30" s="15" t="n">
        <v>0</v>
      </c>
      <c r="M30" s="15" t="n">
        <v>0</v>
      </c>
      <c r="N30" s="15"/>
      <c r="O30" s="15" t="s">
        <v>948</v>
      </c>
      <c r="P30" s="15" t="s">
        <v>949</v>
      </c>
      <c r="Q30" s="15" t="s">
        <v>950</v>
      </c>
      <c r="R30" s="15" t="n">
        <v>0</v>
      </c>
      <c r="S30" s="15" t="n">
        <v>0</v>
      </c>
      <c r="T30" s="15" t="n">
        <v>35</v>
      </c>
      <c r="U30" s="15" t="n">
        <v>63</v>
      </c>
      <c r="V30" s="15" t="n">
        <v>16</v>
      </c>
      <c r="W30" s="15" t="n">
        <v>0</v>
      </c>
      <c r="X30" s="15" t="s">
        <v>973</v>
      </c>
      <c r="Y30" s="15" t="s">
        <v>952</v>
      </c>
      <c r="Z30" s="15" t="s">
        <v>170</v>
      </c>
      <c r="AA30" s="15" t="s">
        <v>1031</v>
      </c>
      <c r="AB30" s="15" t="s">
        <v>1137</v>
      </c>
      <c r="AC30" s="15" t="s">
        <v>1138</v>
      </c>
      <c r="AD30" s="15"/>
      <c r="AE30" s="15" t="s">
        <v>1139</v>
      </c>
      <c r="AF30" s="15" t="s">
        <v>1140</v>
      </c>
      <c r="AG30" s="15" t="s">
        <v>1000</v>
      </c>
      <c r="AH30" s="15" t="n">
        <v>0</v>
      </c>
      <c r="AI30" s="15" t="n">
        <v>0</v>
      </c>
      <c r="AJ30" s="15" t="n">
        <v>0</v>
      </c>
      <c r="AK30" s="15" t="n">
        <v>89.3</v>
      </c>
      <c r="AL30" s="15" t="n">
        <v>24.7</v>
      </c>
      <c r="AM30" s="15" t="n">
        <v>0</v>
      </c>
      <c r="AN30" s="15" t="s">
        <v>959</v>
      </c>
      <c r="AO30" s="15" t="s">
        <v>960</v>
      </c>
      <c r="AP30" s="15" t="s">
        <v>163</v>
      </c>
      <c r="AQ30" s="15"/>
      <c r="AR30" s="29" t="str">
        <f aca="false">IF(A30="","",IF(COUNTIF(Parcels!$A$2:$A$3000,B30)=0,"Parcel not found",IF(COUNTIF($A$2:$A$3000,A30)&gt;1,"Duplicate perm_id",IF(AND(P30="Yes",D30&lt;&gt;"",COUNTIFS($C$2:$C$3000,D30,$P$2:$P$3000,"Yes")&gt;1),"Reference counted twice",IF(COUNTIF(Lists!$A$2:$A$7,I30)=0,"Unknown status","")))))</f>
        <v/>
      </c>
    </row>
    <row r="31" customFormat="false" ht="15" hidden="false" customHeight="false" outlineLevel="0" collapsed="false">
      <c r="A31" s="15" t="s">
        <v>1141</v>
      </c>
      <c r="B31" s="15" t="s">
        <v>210</v>
      </c>
      <c r="C31" s="15" t="s">
        <v>52</v>
      </c>
      <c r="D31" s="15" t="s">
        <v>1142</v>
      </c>
      <c r="E31" s="15" t="s">
        <v>1142</v>
      </c>
      <c r="F31" s="15" t="s">
        <v>1143</v>
      </c>
      <c r="G31" s="15" t="n">
        <v>32</v>
      </c>
      <c r="H31" s="15"/>
      <c r="I31" s="15" t="s">
        <v>48</v>
      </c>
      <c r="J31" s="15" t="s">
        <v>947</v>
      </c>
      <c r="K31" s="15" t="s">
        <v>48</v>
      </c>
      <c r="L31" s="15" t="n">
        <v>30</v>
      </c>
      <c r="M31" s="15" t="n">
        <v>0</v>
      </c>
      <c r="N31" s="15"/>
      <c r="O31" s="15" t="s">
        <v>948</v>
      </c>
      <c r="P31" s="15" t="s">
        <v>949</v>
      </c>
      <c r="Q31" s="15" t="s">
        <v>965</v>
      </c>
      <c r="R31" s="15"/>
      <c r="S31" s="15"/>
      <c r="T31" s="15"/>
      <c r="U31" s="15"/>
      <c r="V31" s="15"/>
      <c r="W31" s="15"/>
      <c r="X31" s="15" t="s">
        <v>951</v>
      </c>
      <c r="Y31" s="15" t="s">
        <v>952</v>
      </c>
      <c r="Z31" s="15" t="s">
        <v>170</v>
      </c>
      <c r="AA31" s="15" t="s">
        <v>966</v>
      </c>
      <c r="AB31" s="15" t="s">
        <v>1144</v>
      </c>
      <c r="AC31" s="15" t="s">
        <v>1145</v>
      </c>
      <c r="AD31" s="15" t="s">
        <v>1146</v>
      </c>
      <c r="AE31" s="15" t="s">
        <v>1147</v>
      </c>
      <c r="AF31" s="15" t="s">
        <v>980</v>
      </c>
      <c r="AG31" s="15" t="s">
        <v>981</v>
      </c>
      <c r="AH31" s="15" t="n">
        <v>7.5</v>
      </c>
      <c r="AI31" s="15" t="n">
        <v>24.5</v>
      </c>
      <c r="AJ31" s="15" t="n">
        <v>0</v>
      </c>
      <c r="AK31" s="15" t="n">
        <v>0</v>
      </c>
      <c r="AL31" s="15" t="n">
        <v>0</v>
      </c>
      <c r="AM31" s="15" t="n">
        <v>0</v>
      </c>
      <c r="AN31" s="15" t="s">
        <v>959</v>
      </c>
      <c r="AO31" s="15" t="s">
        <v>960</v>
      </c>
      <c r="AP31" s="15" t="s">
        <v>163</v>
      </c>
      <c r="AQ31" s="15"/>
      <c r="AR31" s="29" t="str">
        <f aca="false">IF(A31="","",IF(COUNTIF(Parcels!$A$2:$A$3000,B31)=0,"Parcel not found",IF(COUNTIF($A$2:$A$3000,A31)&gt;1,"Duplicate perm_id",IF(AND(P31="Yes",D31&lt;&gt;"",COUNTIFS($C$2:$C$3000,D31,$P$2:$P$3000,"Yes")&gt;1),"Reference counted twice",IF(COUNTIF(Lists!$A$2:$A$7,I31)=0,"Unknown status","")))))</f>
        <v/>
      </c>
    </row>
    <row r="32" customFormat="false" ht="15" hidden="false" customHeight="false" outlineLevel="0" collapsed="false">
      <c r="A32" s="15" t="s">
        <v>1148</v>
      </c>
      <c r="B32" s="15" t="s">
        <v>211</v>
      </c>
      <c r="C32" s="15" t="s">
        <v>52</v>
      </c>
      <c r="D32" s="15" t="s">
        <v>1149</v>
      </c>
      <c r="E32" s="15" t="s">
        <v>1149</v>
      </c>
      <c r="F32" s="15" t="s">
        <v>1150</v>
      </c>
      <c r="G32" s="15" t="n">
        <v>523</v>
      </c>
      <c r="H32" s="15"/>
      <c r="I32" s="15" t="s">
        <v>946</v>
      </c>
      <c r="J32" s="15" t="s">
        <v>947</v>
      </c>
      <c r="K32" s="15" t="s">
        <v>946</v>
      </c>
      <c r="L32" s="15" t="n">
        <v>0</v>
      </c>
      <c r="M32" s="15" t="n">
        <v>0</v>
      </c>
      <c r="N32" s="15"/>
      <c r="O32" s="15" t="s">
        <v>948</v>
      </c>
      <c r="P32" s="15" t="s">
        <v>949</v>
      </c>
      <c r="Q32" s="15" t="s">
        <v>989</v>
      </c>
      <c r="R32" s="15" t="n">
        <v>0</v>
      </c>
      <c r="S32" s="15" t="n">
        <v>159</v>
      </c>
      <c r="T32" s="15" t="n">
        <v>151</v>
      </c>
      <c r="U32" s="15" t="n">
        <v>213</v>
      </c>
      <c r="V32" s="15" t="n">
        <v>0</v>
      </c>
      <c r="W32" s="15" t="n">
        <v>0</v>
      </c>
      <c r="X32" s="15" t="s">
        <v>951</v>
      </c>
      <c r="Y32" s="15" t="s">
        <v>952</v>
      </c>
      <c r="Z32" s="15" t="s">
        <v>170</v>
      </c>
      <c r="AA32" s="15" t="s">
        <v>1031</v>
      </c>
      <c r="AB32" s="15" t="s">
        <v>1151</v>
      </c>
      <c r="AC32" s="15" t="s">
        <v>1152</v>
      </c>
      <c r="AD32" s="15"/>
      <c r="AE32" s="15" t="s">
        <v>1139</v>
      </c>
      <c r="AF32" s="15" t="s">
        <v>1153</v>
      </c>
      <c r="AG32" s="15" t="s">
        <v>1000</v>
      </c>
      <c r="AH32" s="15" t="n">
        <v>0</v>
      </c>
      <c r="AI32" s="15" t="n">
        <v>0</v>
      </c>
      <c r="AJ32" s="15" t="n">
        <v>0</v>
      </c>
      <c r="AK32" s="15" t="n">
        <v>53.2</v>
      </c>
      <c r="AL32" s="15" t="n">
        <v>55.6</v>
      </c>
      <c r="AM32" s="15" t="n">
        <v>414.2</v>
      </c>
      <c r="AN32" s="15" t="s">
        <v>959</v>
      </c>
      <c r="AO32" s="15" t="s">
        <v>960</v>
      </c>
      <c r="AP32" s="15" t="s">
        <v>163</v>
      </c>
      <c r="AQ32" s="15"/>
      <c r="AR32" s="29" t="str">
        <f aca="false">IF(A32="","",IF(COUNTIF(Parcels!$A$2:$A$3000,B32)=0,"Parcel not found",IF(COUNTIF($A$2:$A$3000,A32)&gt;1,"Duplicate perm_id",IF(AND(P32="Yes",D32&lt;&gt;"",COUNTIFS($C$2:$C$3000,D32,$P$2:$P$3000,"Yes")&gt;1),"Reference counted twice",IF(COUNTIF(Lists!$A$2:$A$7,I32)=0,"Unknown status","")))))</f>
        <v/>
      </c>
    </row>
    <row r="33" customFormat="false" ht="15" hidden="false" customHeight="false" outlineLevel="0" collapsed="false">
      <c r="A33" s="15" t="s">
        <v>1154</v>
      </c>
      <c r="B33" s="15" t="s">
        <v>199</v>
      </c>
      <c r="C33" s="15" t="s">
        <v>51</v>
      </c>
      <c r="D33" s="15" t="s">
        <v>1155</v>
      </c>
      <c r="E33" s="15" t="s">
        <v>1155</v>
      </c>
      <c r="F33" s="15" t="s">
        <v>1156</v>
      </c>
      <c r="G33" s="15" t="n">
        <v>12</v>
      </c>
      <c r="H33" s="15"/>
      <c r="I33" s="15" t="s">
        <v>946</v>
      </c>
      <c r="J33" s="15" t="s">
        <v>947</v>
      </c>
      <c r="K33" s="15" t="s">
        <v>946</v>
      </c>
      <c r="L33" s="15" t="n">
        <v>0</v>
      </c>
      <c r="M33" s="15" t="n">
        <v>0</v>
      </c>
      <c r="N33" s="15"/>
      <c r="O33" s="15" t="s">
        <v>948</v>
      </c>
      <c r="P33" s="15" t="s">
        <v>949</v>
      </c>
      <c r="Q33" s="15" t="s">
        <v>950</v>
      </c>
      <c r="R33" s="15" t="n">
        <v>0</v>
      </c>
      <c r="S33" s="15" t="n">
        <v>0</v>
      </c>
      <c r="T33" s="15" t="n">
        <v>4</v>
      </c>
      <c r="U33" s="15" t="n">
        <v>6</v>
      </c>
      <c r="V33" s="15" t="n">
        <v>2</v>
      </c>
      <c r="W33" s="15" t="n">
        <v>0</v>
      </c>
      <c r="X33" s="15" t="s">
        <v>973</v>
      </c>
      <c r="Y33" s="15" t="s">
        <v>952</v>
      </c>
      <c r="Z33" s="15" t="s">
        <v>170</v>
      </c>
      <c r="AA33" s="15" t="s">
        <v>966</v>
      </c>
      <c r="AB33" s="15" t="s">
        <v>1157</v>
      </c>
      <c r="AC33" s="15" t="s">
        <v>1158</v>
      </c>
      <c r="AD33" s="15"/>
      <c r="AE33" s="15" t="s">
        <v>956</v>
      </c>
      <c r="AF33" s="15" t="s">
        <v>1133</v>
      </c>
      <c r="AG33" s="15" t="s">
        <v>958</v>
      </c>
      <c r="AH33" s="15" t="n">
        <v>0</v>
      </c>
      <c r="AI33" s="15" t="n">
        <v>0</v>
      </c>
      <c r="AJ33" s="15" t="n">
        <v>7</v>
      </c>
      <c r="AK33" s="15" t="n">
        <v>5</v>
      </c>
      <c r="AL33" s="15" t="n">
        <v>0</v>
      </c>
      <c r="AM33" s="15" t="n">
        <v>0</v>
      </c>
      <c r="AN33" s="15" t="s">
        <v>959</v>
      </c>
      <c r="AO33" s="15" t="s">
        <v>960</v>
      </c>
      <c r="AP33" s="15" t="s">
        <v>163</v>
      </c>
      <c r="AQ33" s="15"/>
      <c r="AR33" s="29" t="str">
        <f aca="false">IF(A33="","",IF(COUNTIF(Parcels!$A$2:$A$3000,B33)=0,"Parcel not found",IF(COUNTIF($A$2:$A$3000,A33)&gt;1,"Duplicate perm_id",IF(AND(P33="Yes",D33&lt;&gt;"",COUNTIFS($C$2:$C$3000,D33,$P$2:$P$3000,"Yes")&gt;1),"Reference counted twice",IF(COUNTIF(Lists!$A$2:$A$7,I33)=0,"Unknown status","")))))</f>
        <v/>
      </c>
    </row>
    <row r="34" customFormat="false" ht="15" hidden="false" customHeight="false" outlineLevel="0" collapsed="false">
      <c r="A34" s="15" t="s">
        <v>1159</v>
      </c>
      <c r="B34" s="15" t="s">
        <v>214</v>
      </c>
      <c r="C34" s="15" t="s">
        <v>52</v>
      </c>
      <c r="D34" s="15" t="s">
        <v>1160</v>
      </c>
      <c r="E34" s="15" t="s">
        <v>1160</v>
      </c>
      <c r="F34" s="15" t="s">
        <v>1161</v>
      </c>
      <c r="G34" s="15" t="n">
        <v>137</v>
      </c>
      <c r="H34" s="15"/>
      <c r="I34" s="15" t="s">
        <v>964</v>
      </c>
      <c r="J34" s="15" t="s">
        <v>947</v>
      </c>
      <c r="K34" s="15" t="s">
        <v>964</v>
      </c>
      <c r="L34" s="15" t="n">
        <v>0</v>
      </c>
      <c r="M34" s="15" t="n">
        <v>0</v>
      </c>
      <c r="N34" s="15"/>
      <c r="O34" s="15" t="s">
        <v>948</v>
      </c>
      <c r="P34" s="15" t="s">
        <v>949</v>
      </c>
      <c r="Q34" s="15" t="s">
        <v>950</v>
      </c>
      <c r="R34" s="15" t="n">
        <v>0</v>
      </c>
      <c r="S34" s="15" t="n">
        <v>9</v>
      </c>
      <c r="T34" s="15" t="n">
        <v>77</v>
      </c>
      <c r="U34" s="15" t="n">
        <v>44</v>
      </c>
      <c r="V34" s="15" t="n">
        <v>7</v>
      </c>
      <c r="W34" s="15" t="n">
        <v>0</v>
      </c>
      <c r="X34" s="15" t="s">
        <v>951</v>
      </c>
      <c r="Y34" s="15" t="s">
        <v>952</v>
      </c>
      <c r="Z34" s="15" t="s">
        <v>170</v>
      </c>
      <c r="AA34" s="15" t="s">
        <v>953</v>
      </c>
      <c r="AB34" s="15" t="s">
        <v>1162</v>
      </c>
      <c r="AC34" s="15" t="s">
        <v>1163</v>
      </c>
      <c r="AD34" s="15"/>
      <c r="AE34" s="15"/>
      <c r="AF34" s="15"/>
      <c r="AG34" s="15" t="s">
        <v>969</v>
      </c>
      <c r="AH34" s="15" t="n">
        <v>0</v>
      </c>
      <c r="AI34" s="15" t="n">
        <v>0</v>
      </c>
      <c r="AJ34" s="15" t="n">
        <v>0</v>
      </c>
      <c r="AK34" s="15" t="n">
        <v>0</v>
      </c>
      <c r="AL34" s="15" t="n">
        <v>0</v>
      </c>
      <c r="AM34" s="15" t="n">
        <v>0</v>
      </c>
      <c r="AN34" s="15" t="s">
        <v>959</v>
      </c>
      <c r="AO34" s="15" t="s">
        <v>960</v>
      </c>
      <c r="AP34" s="15" t="s">
        <v>163</v>
      </c>
      <c r="AQ34" s="15"/>
      <c r="AR34" s="29" t="str">
        <f aca="false">IF(A34="","",IF(COUNTIF(Parcels!$A$2:$A$3000,B34)=0,"Parcel not found",IF(COUNTIF($A$2:$A$3000,A34)&gt;1,"Duplicate perm_id",IF(AND(P34="Yes",D34&lt;&gt;"",COUNTIFS($C$2:$C$3000,D34,$P$2:$P$3000,"Yes")&gt;1),"Reference counted twice",IF(COUNTIF(Lists!$A$2:$A$7,I34)=0,"Unknown status","")))))</f>
        <v/>
      </c>
    </row>
    <row r="35" customFormat="false" ht="15" hidden="false" customHeight="false" outlineLevel="0" collapsed="false">
      <c r="A35" s="15" t="s">
        <v>1164</v>
      </c>
      <c r="B35" s="15" t="s">
        <v>215</v>
      </c>
      <c r="C35" s="15" t="s">
        <v>52</v>
      </c>
      <c r="D35" s="15" t="s">
        <v>1165</v>
      </c>
      <c r="E35" s="15" t="s">
        <v>1165</v>
      </c>
      <c r="F35" s="15" t="s">
        <v>1166</v>
      </c>
      <c r="G35" s="15" t="n">
        <v>76</v>
      </c>
      <c r="H35" s="15"/>
      <c r="I35" s="15" t="s">
        <v>946</v>
      </c>
      <c r="J35" s="15" t="s">
        <v>947</v>
      </c>
      <c r="K35" s="15" t="s">
        <v>946</v>
      </c>
      <c r="L35" s="15" t="n">
        <v>0</v>
      </c>
      <c r="M35" s="15" t="n">
        <v>0</v>
      </c>
      <c r="N35" s="15"/>
      <c r="O35" s="15" t="s">
        <v>948</v>
      </c>
      <c r="P35" s="15" t="s">
        <v>949</v>
      </c>
      <c r="Q35" s="15" t="s">
        <v>950</v>
      </c>
      <c r="R35" s="15" t="n">
        <v>0</v>
      </c>
      <c r="S35" s="15" t="n">
        <v>14</v>
      </c>
      <c r="T35" s="15" t="n">
        <v>16</v>
      </c>
      <c r="U35" s="15" t="n">
        <v>33</v>
      </c>
      <c r="V35" s="15" t="n">
        <v>12</v>
      </c>
      <c r="W35" s="15" t="n">
        <v>1</v>
      </c>
      <c r="X35" s="15" t="s">
        <v>951</v>
      </c>
      <c r="Y35" s="15" t="s">
        <v>952</v>
      </c>
      <c r="Z35" s="15" t="s">
        <v>170</v>
      </c>
      <c r="AA35" s="15" t="s">
        <v>966</v>
      </c>
      <c r="AB35" s="15" t="s">
        <v>1167</v>
      </c>
      <c r="AC35" s="15" t="s">
        <v>1168</v>
      </c>
      <c r="AD35" s="15"/>
      <c r="AE35" s="15" t="s">
        <v>956</v>
      </c>
      <c r="AF35" s="15" t="s">
        <v>1169</v>
      </c>
      <c r="AG35" s="15" t="s">
        <v>1000</v>
      </c>
      <c r="AH35" s="15" t="n">
        <v>0</v>
      </c>
      <c r="AI35" s="15" t="n">
        <v>0</v>
      </c>
      <c r="AJ35" s="15" t="n">
        <v>20.9</v>
      </c>
      <c r="AK35" s="15" t="n">
        <v>55.1</v>
      </c>
      <c r="AL35" s="15" t="n">
        <v>0</v>
      </c>
      <c r="AM35" s="15" t="n">
        <v>0</v>
      </c>
      <c r="AN35" s="15" t="s">
        <v>959</v>
      </c>
      <c r="AO35" s="15" t="s">
        <v>960</v>
      </c>
      <c r="AP35" s="15" t="s">
        <v>163</v>
      </c>
      <c r="AQ35" s="15"/>
      <c r="AR35" s="29" t="str">
        <f aca="false">IF(A35="","",IF(COUNTIF(Parcels!$A$2:$A$3000,B35)=0,"Parcel not found",IF(COUNTIF($A$2:$A$3000,A35)&gt;1,"Duplicate perm_id",IF(AND(P35="Yes",D35&lt;&gt;"",COUNTIFS($C$2:$C$3000,D35,$P$2:$P$3000,"Yes")&gt;1),"Reference counted twice",IF(COUNTIF(Lists!$A$2:$A$7,I35)=0,"Unknown status","")))))</f>
        <v/>
      </c>
    </row>
    <row r="36" customFormat="false" ht="15" hidden="false" customHeight="false" outlineLevel="0" collapsed="false">
      <c r="A36" s="15" t="s">
        <v>1170</v>
      </c>
      <c r="B36" s="15" t="s">
        <v>201</v>
      </c>
      <c r="C36" s="15" t="s">
        <v>51</v>
      </c>
      <c r="D36" s="15" t="s">
        <v>1171</v>
      </c>
      <c r="E36" s="15" t="s">
        <v>1171</v>
      </c>
      <c r="F36" s="15" t="s">
        <v>1172</v>
      </c>
      <c r="G36" s="15" t="n">
        <v>99</v>
      </c>
      <c r="H36" s="15"/>
      <c r="I36" s="15" t="s">
        <v>946</v>
      </c>
      <c r="J36" s="15" t="s">
        <v>947</v>
      </c>
      <c r="K36" s="15" t="s">
        <v>946</v>
      </c>
      <c r="L36" s="15" t="n">
        <v>0</v>
      </c>
      <c r="M36" s="15" t="n">
        <v>0</v>
      </c>
      <c r="N36" s="15"/>
      <c r="O36" s="15" t="s">
        <v>948</v>
      </c>
      <c r="P36" s="15" t="s">
        <v>949</v>
      </c>
      <c r="Q36" s="15" t="s">
        <v>950</v>
      </c>
      <c r="R36" s="15" t="n">
        <v>0</v>
      </c>
      <c r="S36" s="15" t="n">
        <v>6</v>
      </c>
      <c r="T36" s="15" t="n">
        <v>19</v>
      </c>
      <c r="U36" s="15" t="n">
        <v>46</v>
      </c>
      <c r="V36" s="15" t="n">
        <v>28</v>
      </c>
      <c r="W36" s="15" t="n">
        <v>0</v>
      </c>
      <c r="X36" s="15" t="s">
        <v>951</v>
      </c>
      <c r="Y36" s="15" t="s">
        <v>952</v>
      </c>
      <c r="Z36" s="15" t="s">
        <v>170</v>
      </c>
      <c r="AA36" s="15" t="s">
        <v>966</v>
      </c>
      <c r="AB36" s="15" t="s">
        <v>1173</v>
      </c>
      <c r="AC36" s="15" t="s">
        <v>1174</v>
      </c>
      <c r="AD36" s="15"/>
      <c r="AE36" s="15" t="s">
        <v>956</v>
      </c>
      <c r="AF36" s="15" t="s">
        <v>1140</v>
      </c>
      <c r="AG36" s="15" t="s">
        <v>958</v>
      </c>
      <c r="AH36" s="15" t="n">
        <v>0</v>
      </c>
      <c r="AI36" s="15" t="n">
        <v>0</v>
      </c>
      <c r="AJ36" s="15" t="n">
        <v>25.1</v>
      </c>
      <c r="AK36" s="15" t="n">
        <v>51.9</v>
      </c>
      <c r="AL36" s="15" t="n">
        <v>22</v>
      </c>
      <c r="AM36" s="15" t="n">
        <v>0</v>
      </c>
      <c r="AN36" s="15" t="s">
        <v>959</v>
      </c>
      <c r="AO36" s="15" t="s">
        <v>960</v>
      </c>
      <c r="AP36" s="15" t="s">
        <v>163</v>
      </c>
      <c r="AQ36" s="15"/>
      <c r="AR36" s="29" t="str">
        <f aca="false">IF(A36="","",IF(COUNTIF(Parcels!$A$2:$A$3000,B36)=0,"Parcel not found",IF(COUNTIF($A$2:$A$3000,A36)&gt;1,"Duplicate perm_id",IF(AND(P36="Yes",D36&lt;&gt;"",COUNTIFS($C$2:$C$3000,D36,$P$2:$P$3000,"Yes")&gt;1),"Reference counted twice",IF(COUNTIF(Lists!$A$2:$A$7,I36)=0,"Unknown status","")))))</f>
        <v/>
      </c>
    </row>
    <row r="37" customFormat="false" ht="15" hidden="false" customHeight="false" outlineLevel="0" collapsed="false">
      <c r="A37" s="15" t="s">
        <v>1175</v>
      </c>
      <c r="B37" s="15" t="s">
        <v>201</v>
      </c>
      <c r="C37" s="15" t="s">
        <v>51</v>
      </c>
      <c r="D37" s="15" t="s">
        <v>1176</v>
      </c>
      <c r="E37" s="15" t="s">
        <v>1176</v>
      </c>
      <c r="F37" s="15" t="s">
        <v>1177</v>
      </c>
      <c r="G37" s="15" t="n">
        <v>98</v>
      </c>
      <c r="H37" s="15"/>
      <c r="I37" s="15" t="s">
        <v>946</v>
      </c>
      <c r="J37" s="15" t="s">
        <v>947</v>
      </c>
      <c r="K37" s="15" t="s">
        <v>946</v>
      </c>
      <c r="L37" s="15" t="n">
        <v>0</v>
      </c>
      <c r="M37" s="15" t="n">
        <v>0</v>
      </c>
      <c r="N37" s="15"/>
      <c r="O37" s="15" t="s">
        <v>948</v>
      </c>
      <c r="P37" s="15" t="s">
        <v>949</v>
      </c>
      <c r="Q37" s="15" t="s">
        <v>950</v>
      </c>
      <c r="R37" s="15" t="n">
        <v>0</v>
      </c>
      <c r="S37" s="15" t="n">
        <v>0</v>
      </c>
      <c r="T37" s="15" t="n">
        <v>10</v>
      </c>
      <c r="U37" s="15" t="n">
        <v>44</v>
      </c>
      <c r="V37" s="15" t="n">
        <v>44</v>
      </c>
      <c r="W37" s="15" t="n">
        <v>0</v>
      </c>
      <c r="X37" s="15" t="s">
        <v>973</v>
      </c>
      <c r="Y37" s="15" t="s">
        <v>952</v>
      </c>
      <c r="Z37" s="15" t="s">
        <v>170</v>
      </c>
      <c r="AA37" s="15" t="s">
        <v>966</v>
      </c>
      <c r="AB37" s="15" t="s">
        <v>1178</v>
      </c>
      <c r="AC37" s="15" t="s">
        <v>1179</v>
      </c>
      <c r="AD37" s="15"/>
      <c r="AE37" s="15" t="s">
        <v>956</v>
      </c>
      <c r="AF37" s="15" t="s">
        <v>1140</v>
      </c>
      <c r="AG37" s="15" t="s">
        <v>958</v>
      </c>
      <c r="AH37" s="15" t="n">
        <v>0</v>
      </c>
      <c r="AI37" s="15" t="n">
        <v>0</v>
      </c>
      <c r="AJ37" s="15" t="n">
        <v>25.2</v>
      </c>
      <c r="AK37" s="15" t="n">
        <v>52.2</v>
      </c>
      <c r="AL37" s="15" t="n">
        <v>20.6</v>
      </c>
      <c r="AM37" s="15" t="n">
        <v>0</v>
      </c>
      <c r="AN37" s="15" t="s">
        <v>959</v>
      </c>
      <c r="AO37" s="15" t="s">
        <v>960</v>
      </c>
      <c r="AP37" s="15" t="s">
        <v>163</v>
      </c>
      <c r="AQ37" s="15"/>
      <c r="AR37" s="29" t="str">
        <f aca="false">IF(A37="","",IF(COUNTIF(Parcels!$A$2:$A$3000,B37)=0,"Parcel not found",IF(COUNTIF($A$2:$A$3000,A37)&gt;1,"Duplicate perm_id",IF(AND(P37="Yes",D37&lt;&gt;"",COUNTIFS($C$2:$C$3000,D37,$P$2:$P$3000,"Yes")&gt;1),"Reference counted twice",IF(COUNTIF(Lists!$A$2:$A$7,I37)=0,"Unknown status","")))))</f>
        <v/>
      </c>
    </row>
    <row r="38" customFormat="false" ht="15" hidden="false" customHeight="false" outlineLevel="0" collapsed="false">
      <c r="A38" s="15" t="s">
        <v>1180</v>
      </c>
      <c r="B38" s="15" t="s">
        <v>201</v>
      </c>
      <c r="C38" s="15" t="s">
        <v>51</v>
      </c>
      <c r="D38" s="15" t="s">
        <v>1181</v>
      </c>
      <c r="E38" s="15" t="s">
        <v>1181</v>
      </c>
      <c r="F38" s="15" t="s">
        <v>1182</v>
      </c>
      <c r="G38" s="15" t="n">
        <v>54</v>
      </c>
      <c r="H38" s="15"/>
      <c r="I38" s="15" t="s">
        <v>946</v>
      </c>
      <c r="J38" s="15" t="s">
        <v>947</v>
      </c>
      <c r="K38" s="15" t="s">
        <v>946</v>
      </c>
      <c r="L38" s="15" t="n">
        <v>0</v>
      </c>
      <c r="M38" s="15" t="n">
        <v>0</v>
      </c>
      <c r="N38" s="15"/>
      <c r="O38" s="15" t="s">
        <v>948</v>
      </c>
      <c r="P38" s="15" t="s">
        <v>949</v>
      </c>
      <c r="Q38" s="15" t="s">
        <v>950</v>
      </c>
      <c r="R38" s="15" t="n">
        <v>0</v>
      </c>
      <c r="S38" s="15" t="n">
        <v>0</v>
      </c>
      <c r="T38" s="15" t="n">
        <v>8</v>
      </c>
      <c r="U38" s="15" t="n">
        <v>14</v>
      </c>
      <c r="V38" s="15" t="n">
        <v>2</v>
      </c>
      <c r="W38" s="15" t="n">
        <v>30</v>
      </c>
      <c r="X38" s="15" t="s">
        <v>973</v>
      </c>
      <c r="Y38" s="15" t="s">
        <v>952</v>
      </c>
      <c r="Z38" s="15" t="s">
        <v>170</v>
      </c>
      <c r="AA38" s="15" t="s">
        <v>966</v>
      </c>
      <c r="AB38" s="15" t="s">
        <v>1183</v>
      </c>
      <c r="AC38" s="15" t="s">
        <v>1184</v>
      </c>
      <c r="AD38" s="15"/>
      <c r="AE38" s="15" t="s">
        <v>956</v>
      </c>
      <c r="AF38" s="15" t="s">
        <v>1169</v>
      </c>
      <c r="AG38" s="15" t="s">
        <v>958</v>
      </c>
      <c r="AH38" s="15" t="n">
        <v>0</v>
      </c>
      <c r="AI38" s="15" t="n">
        <v>0</v>
      </c>
      <c r="AJ38" s="15" t="n">
        <v>20.7</v>
      </c>
      <c r="AK38" s="15" t="n">
        <v>33.3</v>
      </c>
      <c r="AL38" s="15" t="n">
        <v>0</v>
      </c>
      <c r="AM38" s="15" t="n">
        <v>0</v>
      </c>
      <c r="AN38" s="15" t="s">
        <v>959</v>
      </c>
      <c r="AO38" s="15" t="s">
        <v>960</v>
      </c>
      <c r="AP38" s="15" t="s">
        <v>163</v>
      </c>
      <c r="AQ38" s="15"/>
      <c r="AR38" s="29" t="str">
        <f aca="false">IF(A38="","",IF(COUNTIF(Parcels!$A$2:$A$3000,B38)=0,"Parcel not found",IF(COUNTIF($A$2:$A$3000,A38)&gt;1,"Duplicate perm_id",IF(AND(P38="Yes",D38&lt;&gt;"",COUNTIFS($C$2:$C$3000,D38,$P$2:$P$3000,"Yes")&gt;1),"Reference counted twice",IF(COUNTIF(Lists!$A$2:$A$7,I38)=0,"Unknown status","")))))</f>
        <v/>
      </c>
    </row>
    <row r="39" customFormat="false" ht="15" hidden="false" customHeight="false" outlineLevel="0" collapsed="false">
      <c r="A39" s="15" t="s">
        <v>1185</v>
      </c>
      <c r="B39" s="15" t="s">
        <v>224</v>
      </c>
      <c r="C39" s="15" t="s">
        <v>52</v>
      </c>
      <c r="D39" s="15" t="s">
        <v>1186</v>
      </c>
      <c r="E39" s="15" t="s">
        <v>1186</v>
      </c>
      <c r="F39" s="15" t="s">
        <v>1187</v>
      </c>
      <c r="G39" s="15" t="n">
        <v>465</v>
      </c>
      <c r="H39" s="15" t="n">
        <v>309</v>
      </c>
      <c r="I39" s="15" t="s">
        <v>946</v>
      </c>
      <c r="J39" s="15" t="s">
        <v>947</v>
      </c>
      <c r="K39" s="15" t="s">
        <v>946</v>
      </c>
      <c r="L39" s="15" t="n">
        <v>0</v>
      </c>
      <c r="M39" s="15" t="n">
        <v>0</v>
      </c>
      <c r="N39" s="15"/>
      <c r="O39" s="15" t="s">
        <v>948</v>
      </c>
      <c r="P39" s="15" t="s">
        <v>949</v>
      </c>
      <c r="Q39" s="15" t="s">
        <v>950</v>
      </c>
      <c r="R39" s="15" t="n">
        <v>0</v>
      </c>
      <c r="S39" s="15" t="n">
        <v>18</v>
      </c>
      <c r="T39" s="15" t="n">
        <v>74</v>
      </c>
      <c r="U39" s="15" t="n">
        <v>17</v>
      </c>
      <c r="V39" s="15" t="n">
        <v>8</v>
      </c>
      <c r="W39" s="15" t="n">
        <v>0</v>
      </c>
      <c r="X39" s="15" t="s">
        <v>951</v>
      </c>
      <c r="Y39" s="15" t="s">
        <v>1058</v>
      </c>
      <c r="Z39" s="15" t="s">
        <v>170</v>
      </c>
      <c r="AA39" s="15" t="s">
        <v>1031</v>
      </c>
      <c r="AB39" s="15" t="s">
        <v>1188</v>
      </c>
      <c r="AC39" s="15" t="s">
        <v>1189</v>
      </c>
      <c r="AD39" s="15"/>
      <c r="AE39" s="15" t="s">
        <v>1040</v>
      </c>
      <c r="AF39" s="15" t="s">
        <v>1190</v>
      </c>
      <c r="AG39" s="15" t="s">
        <v>1000</v>
      </c>
      <c r="AH39" s="15" t="n">
        <v>0</v>
      </c>
      <c r="AI39" s="15" t="n">
        <v>0</v>
      </c>
      <c r="AJ39" s="15" t="n">
        <v>0</v>
      </c>
      <c r="AK39" s="15" t="n">
        <v>40.8</v>
      </c>
      <c r="AL39" s="15" t="n">
        <v>56.4</v>
      </c>
      <c r="AM39" s="15" t="n">
        <v>367.8</v>
      </c>
      <c r="AN39" s="15" t="s">
        <v>959</v>
      </c>
      <c r="AO39" s="15" t="s">
        <v>960</v>
      </c>
      <c r="AP39" s="15" t="s">
        <v>163</v>
      </c>
      <c r="AQ39" s="15"/>
      <c r="AR39" s="29" t="str">
        <f aca="false">IF(A39="","",IF(COUNTIF(Parcels!$A$2:$A$3000,B39)=0,"Parcel not found",IF(COUNTIF($A$2:$A$3000,A39)&gt;1,"Duplicate perm_id",IF(AND(P39="Yes",D39&lt;&gt;"",COUNTIFS($C$2:$C$3000,D39,$P$2:$P$3000,"Yes")&gt;1),"Reference counted twice",IF(COUNTIF(Lists!$A$2:$A$7,I39)=0,"Unknown status","")))))</f>
        <v/>
      </c>
    </row>
    <row r="40" customFormat="false" ht="15" hidden="false" customHeight="false" outlineLevel="0" collapsed="false">
      <c r="A40" s="15" t="s">
        <v>1191</v>
      </c>
      <c r="B40" s="15" t="s">
        <v>226</v>
      </c>
      <c r="C40" s="15" t="s">
        <v>52</v>
      </c>
      <c r="D40" s="15" t="s">
        <v>1192</v>
      </c>
      <c r="E40" s="15" t="s">
        <v>1192</v>
      </c>
      <c r="F40" s="15" t="s">
        <v>1193</v>
      </c>
      <c r="G40" s="15" t="n">
        <v>48</v>
      </c>
      <c r="H40" s="15"/>
      <c r="I40" s="15" t="s">
        <v>48</v>
      </c>
      <c r="J40" s="15" t="s">
        <v>947</v>
      </c>
      <c r="K40" s="15" t="s">
        <v>48</v>
      </c>
      <c r="L40" s="15" t="n">
        <v>0</v>
      </c>
      <c r="M40" s="15" t="n">
        <v>0</v>
      </c>
      <c r="N40" s="15"/>
      <c r="O40" s="15" t="s">
        <v>948</v>
      </c>
      <c r="P40" s="15" t="s">
        <v>949</v>
      </c>
      <c r="Q40" s="15" t="s">
        <v>950</v>
      </c>
      <c r="R40" s="15" t="n">
        <v>0</v>
      </c>
      <c r="S40" s="15" t="n">
        <v>18</v>
      </c>
      <c r="T40" s="15" t="n">
        <v>28</v>
      </c>
      <c r="U40" s="15" t="n">
        <v>2</v>
      </c>
      <c r="V40" s="15" t="n">
        <v>0</v>
      </c>
      <c r="W40" s="15" t="n">
        <v>0</v>
      </c>
      <c r="X40" s="15" t="s">
        <v>951</v>
      </c>
      <c r="Y40" s="15" t="s">
        <v>952</v>
      </c>
      <c r="Z40" s="15" t="s">
        <v>170</v>
      </c>
      <c r="AA40" s="15" t="s">
        <v>966</v>
      </c>
      <c r="AB40" s="15" t="s">
        <v>1194</v>
      </c>
      <c r="AC40" s="15" t="s">
        <v>1195</v>
      </c>
      <c r="AD40" s="15" t="s">
        <v>1196</v>
      </c>
      <c r="AE40" s="15" t="s">
        <v>979</v>
      </c>
      <c r="AF40" s="15" t="s">
        <v>980</v>
      </c>
      <c r="AG40" s="15" t="s">
        <v>981</v>
      </c>
      <c r="AH40" s="15" t="n">
        <v>11.2</v>
      </c>
      <c r="AI40" s="15" t="n">
        <v>36.8</v>
      </c>
      <c r="AJ40" s="15" t="n">
        <v>0</v>
      </c>
      <c r="AK40" s="15" t="n">
        <v>0</v>
      </c>
      <c r="AL40" s="15" t="n">
        <v>0</v>
      </c>
      <c r="AM40" s="15" t="n">
        <v>0</v>
      </c>
      <c r="AN40" s="15" t="s">
        <v>959</v>
      </c>
      <c r="AO40" s="15" t="s">
        <v>960</v>
      </c>
      <c r="AP40" s="15" t="s">
        <v>163</v>
      </c>
      <c r="AQ40" s="15"/>
      <c r="AR40" s="29" t="str">
        <f aca="false">IF(A40="","",IF(COUNTIF(Parcels!$A$2:$A$3000,B40)=0,"Parcel not found",IF(COUNTIF($A$2:$A$3000,A40)&gt;1,"Duplicate perm_id",IF(AND(P40="Yes",D40&lt;&gt;"",COUNTIFS($C$2:$C$3000,D40,$P$2:$P$3000,"Yes")&gt;1),"Reference counted twice",IF(COUNTIF(Lists!$A$2:$A$7,I40)=0,"Unknown status","")))))</f>
        <v/>
      </c>
    </row>
    <row r="41" customFormat="false" ht="15" hidden="false" customHeight="false" outlineLevel="0" collapsed="false">
      <c r="A41" s="15" t="s">
        <v>1197</v>
      </c>
      <c r="B41" s="15" t="s">
        <v>226</v>
      </c>
      <c r="C41" s="15" t="s">
        <v>52</v>
      </c>
      <c r="D41" s="15" t="s">
        <v>1198</v>
      </c>
      <c r="E41" s="15" t="s">
        <v>1198</v>
      </c>
      <c r="F41" s="15" t="s">
        <v>1199</v>
      </c>
      <c r="G41" s="15" t="n">
        <v>212</v>
      </c>
      <c r="H41" s="15"/>
      <c r="I41" s="15" t="s">
        <v>946</v>
      </c>
      <c r="J41" s="15" t="s">
        <v>947</v>
      </c>
      <c r="K41" s="15" t="s">
        <v>946</v>
      </c>
      <c r="L41" s="15" t="n">
        <v>0</v>
      </c>
      <c r="M41" s="15" t="n">
        <v>0</v>
      </c>
      <c r="N41" s="15"/>
      <c r="O41" s="15" t="s">
        <v>948</v>
      </c>
      <c r="P41" s="15" t="s">
        <v>949</v>
      </c>
      <c r="Q41" s="15" t="s">
        <v>950</v>
      </c>
      <c r="R41" s="15" t="n">
        <v>0</v>
      </c>
      <c r="S41" s="15" t="n">
        <v>49</v>
      </c>
      <c r="T41" s="15" t="n">
        <v>64</v>
      </c>
      <c r="U41" s="15" t="n">
        <v>65</v>
      </c>
      <c r="V41" s="15" t="n">
        <v>34</v>
      </c>
      <c r="W41" s="15" t="n">
        <v>0</v>
      </c>
      <c r="X41" s="15" t="s">
        <v>951</v>
      </c>
      <c r="Y41" s="15" t="s">
        <v>952</v>
      </c>
      <c r="Z41" s="15" t="s">
        <v>170</v>
      </c>
      <c r="AA41" s="15" t="s">
        <v>1031</v>
      </c>
      <c r="AB41" s="15" t="s">
        <v>1200</v>
      </c>
      <c r="AC41" s="15" t="s">
        <v>1201</v>
      </c>
      <c r="AD41" s="15"/>
      <c r="AE41" s="15" t="s">
        <v>1040</v>
      </c>
      <c r="AF41" s="15" t="s">
        <v>1202</v>
      </c>
      <c r="AG41" s="15" t="s">
        <v>1000</v>
      </c>
      <c r="AH41" s="15" t="n">
        <v>0</v>
      </c>
      <c r="AI41" s="15" t="n">
        <v>0</v>
      </c>
      <c r="AJ41" s="15" t="n">
        <v>0</v>
      </c>
      <c r="AK41" s="15" t="n">
        <v>36.4</v>
      </c>
      <c r="AL41" s="15" t="n">
        <v>65.9</v>
      </c>
      <c r="AM41" s="15" t="n">
        <v>109.7</v>
      </c>
      <c r="AN41" s="15" t="s">
        <v>959</v>
      </c>
      <c r="AO41" s="15" t="s">
        <v>960</v>
      </c>
      <c r="AP41" s="15" t="s">
        <v>163</v>
      </c>
      <c r="AQ41" s="15"/>
      <c r="AR41" s="29" t="str">
        <f aca="false">IF(A41="","",IF(COUNTIF(Parcels!$A$2:$A$3000,B41)=0,"Parcel not found",IF(COUNTIF($A$2:$A$3000,A41)&gt;1,"Duplicate perm_id",IF(AND(P41="Yes",D41&lt;&gt;"",COUNTIFS($C$2:$C$3000,D41,$P$2:$P$3000,"Yes")&gt;1),"Reference counted twice",IF(COUNTIF(Lists!$A$2:$A$7,I41)=0,"Unknown status","")))))</f>
        <v/>
      </c>
    </row>
    <row r="42" customFormat="false" ht="15" hidden="false" customHeight="false" outlineLevel="0" collapsed="false">
      <c r="A42" s="15" t="s">
        <v>1203</v>
      </c>
      <c r="B42" s="15" t="s">
        <v>336</v>
      </c>
      <c r="C42" s="15" t="s">
        <v>58</v>
      </c>
      <c r="D42" s="15" t="s">
        <v>1204</v>
      </c>
      <c r="E42" s="15" t="s">
        <v>1204</v>
      </c>
      <c r="F42" s="15" t="s">
        <v>1205</v>
      </c>
      <c r="G42" s="15" t="n">
        <v>31</v>
      </c>
      <c r="H42" s="15"/>
      <c r="I42" s="15" t="s">
        <v>48</v>
      </c>
      <c r="J42" s="15" t="s">
        <v>947</v>
      </c>
      <c r="K42" s="15" t="s">
        <v>48</v>
      </c>
      <c r="L42" s="15" t="n">
        <v>0</v>
      </c>
      <c r="M42" s="15" t="n">
        <v>0</v>
      </c>
      <c r="N42" s="15"/>
      <c r="O42" s="15" t="s">
        <v>948</v>
      </c>
      <c r="P42" s="15" t="s">
        <v>949</v>
      </c>
      <c r="Q42" s="15" t="s">
        <v>950</v>
      </c>
      <c r="R42" s="15" t="n">
        <v>0</v>
      </c>
      <c r="S42" s="15" t="n">
        <v>0</v>
      </c>
      <c r="T42" s="15" t="n">
        <v>7</v>
      </c>
      <c r="U42" s="15" t="n">
        <v>24</v>
      </c>
      <c r="V42" s="15" t="n">
        <v>0</v>
      </c>
      <c r="W42" s="15" t="n">
        <v>0</v>
      </c>
      <c r="X42" s="15" t="s">
        <v>951</v>
      </c>
      <c r="Y42" s="15" t="s">
        <v>952</v>
      </c>
      <c r="Z42" s="15" t="s">
        <v>170</v>
      </c>
      <c r="AA42" s="15" t="s">
        <v>966</v>
      </c>
      <c r="AB42" s="15" t="s">
        <v>1206</v>
      </c>
      <c r="AC42" s="15" t="s">
        <v>1207</v>
      </c>
      <c r="AD42" s="15" t="s">
        <v>1208</v>
      </c>
      <c r="AE42" s="15" t="s">
        <v>1008</v>
      </c>
      <c r="AF42" s="15" t="s">
        <v>1139</v>
      </c>
      <c r="AG42" s="15" t="s">
        <v>981</v>
      </c>
      <c r="AH42" s="15" t="n">
        <v>0</v>
      </c>
      <c r="AI42" s="15" t="n">
        <v>28.5</v>
      </c>
      <c r="AJ42" s="15" t="n">
        <v>2.5</v>
      </c>
      <c r="AK42" s="15" t="n">
        <v>0</v>
      </c>
      <c r="AL42" s="15" t="n">
        <v>0</v>
      </c>
      <c r="AM42" s="15" t="n">
        <v>0</v>
      </c>
      <c r="AN42" s="15" t="s">
        <v>959</v>
      </c>
      <c r="AO42" s="15" t="s">
        <v>960</v>
      </c>
      <c r="AP42" s="15" t="s">
        <v>163</v>
      </c>
      <c r="AQ42" s="15"/>
      <c r="AR42" s="29" t="str">
        <f aca="false">IF(A42="","",IF(COUNTIF(Parcels!$A$2:$A$3000,B42)=0,"Parcel not found",IF(COUNTIF($A$2:$A$3000,A42)&gt;1,"Duplicate perm_id",IF(AND(P42="Yes",D42&lt;&gt;"",COUNTIFS($C$2:$C$3000,D42,$P$2:$P$3000,"Yes")&gt;1),"Reference counted twice",IF(COUNTIF(Lists!$A$2:$A$7,I42)=0,"Unknown status","")))))</f>
        <v/>
      </c>
    </row>
    <row r="43" customFormat="false" ht="15" hidden="false" customHeight="false" outlineLevel="0" collapsed="false">
      <c r="A43" s="15" t="s">
        <v>1209</v>
      </c>
      <c r="B43" s="15" t="s">
        <v>337</v>
      </c>
      <c r="C43" s="15" t="s">
        <v>58</v>
      </c>
      <c r="D43" s="15" t="s">
        <v>1210</v>
      </c>
      <c r="E43" s="15" t="s">
        <v>1210</v>
      </c>
      <c r="F43" s="15" t="s">
        <v>1211</v>
      </c>
      <c r="G43" s="15" t="n">
        <v>403</v>
      </c>
      <c r="H43" s="15"/>
      <c r="I43" s="15" t="s">
        <v>946</v>
      </c>
      <c r="J43" s="15" t="s">
        <v>947</v>
      </c>
      <c r="K43" s="15" t="s">
        <v>946</v>
      </c>
      <c r="L43" s="15" t="n">
        <v>0</v>
      </c>
      <c r="M43" s="15" t="n">
        <v>0</v>
      </c>
      <c r="N43" s="15"/>
      <c r="O43" s="15" t="s">
        <v>948</v>
      </c>
      <c r="P43" s="15" t="s">
        <v>949</v>
      </c>
      <c r="Q43" s="15" t="s">
        <v>989</v>
      </c>
      <c r="R43" s="15" t="n">
        <v>0</v>
      </c>
      <c r="S43" s="15" t="n">
        <v>246</v>
      </c>
      <c r="T43" s="15" t="n">
        <v>157</v>
      </c>
      <c r="U43" s="15" t="n">
        <v>0</v>
      </c>
      <c r="V43" s="15" t="n">
        <v>0</v>
      </c>
      <c r="W43" s="15" t="n">
        <v>0</v>
      </c>
      <c r="X43" s="15" t="s">
        <v>951</v>
      </c>
      <c r="Y43" s="15" t="s">
        <v>952</v>
      </c>
      <c r="Z43" s="15" t="s">
        <v>170</v>
      </c>
      <c r="AA43" s="15" t="s">
        <v>1031</v>
      </c>
      <c r="AB43" s="15" t="s">
        <v>1188</v>
      </c>
      <c r="AC43" s="15" t="s">
        <v>1212</v>
      </c>
      <c r="AD43" s="15"/>
      <c r="AE43" s="15" t="s">
        <v>1040</v>
      </c>
      <c r="AF43" s="15" t="s">
        <v>1213</v>
      </c>
      <c r="AG43" s="15" t="s">
        <v>1000</v>
      </c>
      <c r="AH43" s="15" t="n">
        <v>0</v>
      </c>
      <c r="AI43" s="15" t="n">
        <v>0</v>
      </c>
      <c r="AJ43" s="15" t="n">
        <v>0</v>
      </c>
      <c r="AK43" s="15" t="n">
        <v>41.6</v>
      </c>
      <c r="AL43" s="15" t="n">
        <v>57.4</v>
      </c>
      <c r="AM43" s="15" t="n">
        <v>304</v>
      </c>
      <c r="AN43" s="15" t="s">
        <v>959</v>
      </c>
      <c r="AO43" s="15" t="s">
        <v>960</v>
      </c>
      <c r="AP43" s="15" t="s">
        <v>163</v>
      </c>
      <c r="AQ43" s="15"/>
      <c r="AR43" s="29" t="str">
        <f aca="false">IF(A43="","",IF(COUNTIF(Parcels!$A$2:$A$3000,B43)=0,"Parcel not found",IF(COUNTIF($A$2:$A$3000,A43)&gt;1,"Duplicate perm_id",IF(AND(P43="Yes",D43&lt;&gt;"",COUNTIFS($C$2:$C$3000,D43,$P$2:$P$3000,"Yes")&gt;1),"Reference counted twice",IF(COUNTIF(Lists!$A$2:$A$7,I43)=0,"Unknown status","")))))</f>
        <v/>
      </c>
    </row>
    <row r="44" customFormat="false" ht="15" hidden="false" customHeight="false" outlineLevel="0" collapsed="false">
      <c r="A44" s="15" t="s">
        <v>1214</v>
      </c>
      <c r="B44" s="15" t="s">
        <v>311</v>
      </c>
      <c r="C44" s="15" t="s">
        <v>57</v>
      </c>
      <c r="D44" s="15" t="s">
        <v>1215</v>
      </c>
      <c r="E44" s="15" t="s">
        <v>1215</v>
      </c>
      <c r="F44" s="15" t="s">
        <v>1216</v>
      </c>
      <c r="G44" s="15" t="n">
        <v>55</v>
      </c>
      <c r="H44" s="15"/>
      <c r="I44" s="15" t="s">
        <v>946</v>
      </c>
      <c r="J44" s="15" t="s">
        <v>947</v>
      </c>
      <c r="K44" s="15" t="s">
        <v>946</v>
      </c>
      <c r="L44" s="15" t="n">
        <v>0</v>
      </c>
      <c r="M44" s="15" t="n">
        <v>0</v>
      </c>
      <c r="N44" s="15"/>
      <c r="O44" s="15" t="s">
        <v>948</v>
      </c>
      <c r="P44" s="15" t="s">
        <v>949</v>
      </c>
      <c r="Q44" s="15" t="s">
        <v>950</v>
      </c>
      <c r="R44" s="15" t="n">
        <v>0</v>
      </c>
      <c r="S44" s="15" t="n">
        <v>9</v>
      </c>
      <c r="T44" s="15" t="n">
        <v>16</v>
      </c>
      <c r="U44" s="15" t="n">
        <v>30</v>
      </c>
      <c r="V44" s="15" t="n">
        <v>0</v>
      </c>
      <c r="W44" s="15" t="n">
        <v>0</v>
      </c>
      <c r="X44" s="15" t="s">
        <v>951</v>
      </c>
      <c r="Y44" s="15" t="s">
        <v>952</v>
      </c>
      <c r="Z44" s="15" t="s">
        <v>170</v>
      </c>
      <c r="AA44" s="15" t="s">
        <v>966</v>
      </c>
      <c r="AB44" s="15" t="s">
        <v>1217</v>
      </c>
      <c r="AC44" s="15" t="s">
        <v>1218</v>
      </c>
      <c r="AD44" s="15"/>
      <c r="AE44" s="15" t="s">
        <v>1219</v>
      </c>
      <c r="AF44" s="15" t="s">
        <v>1133</v>
      </c>
      <c r="AG44" s="15" t="s">
        <v>1000</v>
      </c>
      <c r="AH44" s="15" t="n">
        <v>0</v>
      </c>
      <c r="AI44" s="15" t="n">
        <v>0</v>
      </c>
      <c r="AJ44" s="15" t="n">
        <v>42.9</v>
      </c>
      <c r="AK44" s="15" t="n">
        <v>12.1</v>
      </c>
      <c r="AL44" s="15" t="n">
        <v>0</v>
      </c>
      <c r="AM44" s="15" t="n">
        <v>0</v>
      </c>
      <c r="AN44" s="15" t="s">
        <v>959</v>
      </c>
      <c r="AO44" s="15" t="s">
        <v>960</v>
      </c>
      <c r="AP44" s="15" t="s">
        <v>163</v>
      </c>
      <c r="AQ44" s="15"/>
      <c r="AR44" s="29" t="str">
        <f aca="false">IF(A44="","",IF(COUNTIF(Parcels!$A$2:$A$3000,B44)=0,"Parcel not found",IF(COUNTIF($A$2:$A$3000,A44)&gt;1,"Duplicate perm_id",IF(AND(P44="Yes",D44&lt;&gt;"",COUNTIFS($C$2:$C$3000,D44,$P$2:$P$3000,"Yes")&gt;1),"Reference counted twice",IF(COUNTIF(Lists!$A$2:$A$7,I44)=0,"Unknown status","")))))</f>
        <v/>
      </c>
    </row>
    <row r="45" customFormat="false" ht="15" hidden="false" customHeight="false" outlineLevel="0" collapsed="false">
      <c r="A45" s="15" t="s">
        <v>1220</v>
      </c>
      <c r="B45" s="15" t="s">
        <v>202</v>
      </c>
      <c r="C45" s="15" t="s">
        <v>51</v>
      </c>
      <c r="D45" s="15" t="s">
        <v>1221</v>
      </c>
      <c r="E45" s="15" t="s">
        <v>1221</v>
      </c>
      <c r="F45" s="15" t="s">
        <v>1222</v>
      </c>
      <c r="G45" s="15" t="n">
        <v>86</v>
      </c>
      <c r="H45" s="15"/>
      <c r="I45" s="15" t="s">
        <v>946</v>
      </c>
      <c r="J45" s="15" t="s">
        <v>947</v>
      </c>
      <c r="K45" s="15" t="s">
        <v>946</v>
      </c>
      <c r="L45" s="15" t="n">
        <v>0</v>
      </c>
      <c r="M45" s="15" t="n">
        <v>0</v>
      </c>
      <c r="N45" s="15"/>
      <c r="O45" s="15" t="s">
        <v>948</v>
      </c>
      <c r="P45" s="15" t="s">
        <v>949</v>
      </c>
      <c r="Q45" s="15" t="s">
        <v>950</v>
      </c>
      <c r="R45" s="15" t="n">
        <v>0</v>
      </c>
      <c r="S45" s="15" t="n">
        <v>20</v>
      </c>
      <c r="T45" s="15" t="n">
        <v>66</v>
      </c>
      <c r="U45" s="15" t="n">
        <v>0</v>
      </c>
      <c r="V45" s="15" t="n">
        <v>0</v>
      </c>
      <c r="W45" s="15" t="n">
        <v>0</v>
      </c>
      <c r="X45" s="15" t="s">
        <v>951</v>
      </c>
      <c r="Y45" s="15" t="s">
        <v>952</v>
      </c>
      <c r="Z45" s="15" t="s">
        <v>170</v>
      </c>
      <c r="AA45" s="15" t="s">
        <v>966</v>
      </c>
      <c r="AB45" s="15" t="s">
        <v>1223</v>
      </c>
      <c r="AC45" s="15" t="s">
        <v>1224</v>
      </c>
      <c r="AD45" s="15"/>
      <c r="AE45" s="15" t="s">
        <v>956</v>
      </c>
      <c r="AF45" s="15" t="s">
        <v>1034</v>
      </c>
      <c r="AG45" s="15" t="s">
        <v>958</v>
      </c>
      <c r="AH45" s="15" t="n">
        <v>0</v>
      </c>
      <c r="AI45" s="15" t="n">
        <v>0</v>
      </c>
      <c r="AJ45" s="15" t="n">
        <v>27.2</v>
      </c>
      <c r="AK45" s="15" t="n">
        <v>56.4</v>
      </c>
      <c r="AL45" s="15" t="n">
        <v>2.4</v>
      </c>
      <c r="AM45" s="15" t="n">
        <v>0</v>
      </c>
      <c r="AN45" s="15" t="s">
        <v>959</v>
      </c>
      <c r="AO45" s="15" t="s">
        <v>960</v>
      </c>
      <c r="AP45" s="15" t="s">
        <v>163</v>
      </c>
      <c r="AQ45" s="15"/>
      <c r="AR45" s="29" t="str">
        <f aca="false">IF(A45="","",IF(COUNTIF(Parcels!$A$2:$A$3000,B45)=0,"Parcel not found",IF(COUNTIF($A$2:$A$3000,A45)&gt;1,"Duplicate perm_id",IF(AND(P45="Yes",D45&lt;&gt;"",COUNTIFS($C$2:$C$3000,D45,$P$2:$P$3000,"Yes")&gt;1),"Reference counted twice",IF(COUNTIF(Lists!$A$2:$A$7,I45)=0,"Unknown status","")))))</f>
        <v/>
      </c>
    </row>
    <row r="46" customFormat="false" ht="15" hidden="false" customHeight="false" outlineLevel="0" collapsed="false">
      <c r="A46" s="15" t="s">
        <v>1225</v>
      </c>
      <c r="B46" s="15" t="s">
        <v>313</v>
      </c>
      <c r="C46" s="15" t="s">
        <v>57</v>
      </c>
      <c r="D46" s="15" t="s">
        <v>1226</v>
      </c>
      <c r="E46" s="15" t="s">
        <v>1226</v>
      </c>
      <c r="F46" s="15" t="s">
        <v>1227</v>
      </c>
      <c r="G46" s="15" t="n">
        <v>20</v>
      </c>
      <c r="H46" s="15"/>
      <c r="I46" s="15" t="s">
        <v>48</v>
      </c>
      <c r="J46" s="15" t="s">
        <v>947</v>
      </c>
      <c r="K46" s="15" t="s">
        <v>48</v>
      </c>
      <c r="L46" s="15" t="n">
        <v>0</v>
      </c>
      <c r="M46" s="15" t="n">
        <v>0</v>
      </c>
      <c r="N46" s="15"/>
      <c r="O46" s="15" t="s">
        <v>948</v>
      </c>
      <c r="P46" s="15" t="s">
        <v>949</v>
      </c>
      <c r="Q46" s="15" t="s">
        <v>950</v>
      </c>
      <c r="R46" s="15" t="n">
        <v>0</v>
      </c>
      <c r="S46" s="15" t="n">
        <v>10</v>
      </c>
      <c r="T46" s="15" t="n">
        <v>10</v>
      </c>
      <c r="U46" s="15" t="n">
        <v>0</v>
      </c>
      <c r="V46" s="15" t="n">
        <v>0</v>
      </c>
      <c r="W46" s="15" t="n">
        <v>0</v>
      </c>
      <c r="X46" s="15" t="s">
        <v>951</v>
      </c>
      <c r="Y46" s="15" t="s">
        <v>952</v>
      </c>
      <c r="Z46" s="15" t="s">
        <v>170</v>
      </c>
      <c r="AA46" s="15" t="s">
        <v>966</v>
      </c>
      <c r="AB46" s="15" t="s">
        <v>1228</v>
      </c>
      <c r="AC46" s="15" t="s">
        <v>1229</v>
      </c>
      <c r="AD46" s="15" t="s">
        <v>1230</v>
      </c>
      <c r="AE46" s="15" t="s">
        <v>1231</v>
      </c>
      <c r="AF46" s="15" t="s">
        <v>980</v>
      </c>
      <c r="AG46" s="15" t="s">
        <v>981</v>
      </c>
      <c r="AH46" s="15" t="n">
        <v>4.7</v>
      </c>
      <c r="AI46" s="15" t="n">
        <v>15.3</v>
      </c>
      <c r="AJ46" s="15" t="n">
        <v>0</v>
      </c>
      <c r="AK46" s="15" t="n">
        <v>0</v>
      </c>
      <c r="AL46" s="15" t="n">
        <v>0</v>
      </c>
      <c r="AM46" s="15" t="n">
        <v>0</v>
      </c>
      <c r="AN46" s="15" t="s">
        <v>959</v>
      </c>
      <c r="AO46" s="15" t="s">
        <v>960</v>
      </c>
      <c r="AP46" s="15" t="s">
        <v>163</v>
      </c>
      <c r="AQ46" s="15"/>
      <c r="AR46" s="29" t="str">
        <f aca="false">IF(A46="","",IF(COUNTIF(Parcels!$A$2:$A$3000,B46)=0,"Parcel not found",IF(COUNTIF($A$2:$A$3000,A46)&gt;1,"Duplicate perm_id",IF(AND(P46="Yes",D46&lt;&gt;"",COUNTIFS($C$2:$C$3000,D46,$P$2:$P$3000,"Yes")&gt;1),"Reference counted twice",IF(COUNTIF(Lists!$A$2:$A$7,I46)=0,"Unknown status","")))))</f>
        <v/>
      </c>
    </row>
    <row r="47" customFormat="false" ht="15" hidden="false" customHeight="false" outlineLevel="0" collapsed="false">
      <c r="A47" s="15" t="s">
        <v>1232</v>
      </c>
      <c r="B47" s="15" t="s">
        <v>315</v>
      </c>
      <c r="C47" s="15" t="s">
        <v>57</v>
      </c>
      <c r="D47" s="15" t="s">
        <v>1233</v>
      </c>
      <c r="E47" s="15" t="s">
        <v>1233</v>
      </c>
      <c r="F47" s="15" t="s">
        <v>1234</v>
      </c>
      <c r="G47" s="15" t="n">
        <v>14</v>
      </c>
      <c r="H47" s="15"/>
      <c r="I47" s="15" t="s">
        <v>946</v>
      </c>
      <c r="J47" s="15" t="s">
        <v>947</v>
      </c>
      <c r="K47" s="15" t="s">
        <v>946</v>
      </c>
      <c r="L47" s="15" t="n">
        <v>0</v>
      </c>
      <c r="M47" s="15" t="n">
        <v>0</v>
      </c>
      <c r="N47" s="15"/>
      <c r="O47" s="15" t="s">
        <v>948</v>
      </c>
      <c r="P47" s="15" t="s">
        <v>949</v>
      </c>
      <c r="Q47" s="15" t="s">
        <v>950</v>
      </c>
      <c r="R47" s="15" t="n">
        <v>0</v>
      </c>
      <c r="S47" s="15" t="n">
        <v>5</v>
      </c>
      <c r="T47" s="15" t="n">
        <v>8</v>
      </c>
      <c r="U47" s="15" t="n">
        <v>1</v>
      </c>
      <c r="V47" s="15" t="n">
        <v>0</v>
      </c>
      <c r="W47" s="15" t="n">
        <v>0</v>
      </c>
      <c r="X47" s="15" t="s">
        <v>951</v>
      </c>
      <c r="Y47" s="15" t="s">
        <v>952</v>
      </c>
      <c r="Z47" s="15" t="s">
        <v>170</v>
      </c>
      <c r="AA47" s="15" t="s">
        <v>966</v>
      </c>
      <c r="AB47" s="15" t="s">
        <v>1235</v>
      </c>
      <c r="AC47" s="15" t="s">
        <v>1236</v>
      </c>
      <c r="AD47" s="15"/>
      <c r="AE47" s="15" t="s">
        <v>956</v>
      </c>
      <c r="AF47" s="15" t="s">
        <v>1133</v>
      </c>
      <c r="AG47" s="15" t="s">
        <v>958</v>
      </c>
      <c r="AH47" s="15" t="n">
        <v>0</v>
      </c>
      <c r="AI47" s="15" t="n">
        <v>0</v>
      </c>
      <c r="AJ47" s="15" t="n">
        <v>8.2</v>
      </c>
      <c r="AK47" s="15" t="n">
        <v>5.8</v>
      </c>
      <c r="AL47" s="15" t="n">
        <v>0</v>
      </c>
      <c r="AM47" s="15" t="n">
        <v>0</v>
      </c>
      <c r="AN47" s="15" t="s">
        <v>959</v>
      </c>
      <c r="AO47" s="15" t="s">
        <v>960</v>
      </c>
      <c r="AP47" s="15" t="s">
        <v>163</v>
      </c>
      <c r="AQ47" s="15"/>
      <c r="AR47" s="29" t="str">
        <f aca="false">IF(A47="","",IF(COUNTIF(Parcels!$A$2:$A$3000,B47)=0,"Parcel not found",IF(COUNTIF($A$2:$A$3000,A47)&gt;1,"Duplicate perm_id",IF(AND(P47="Yes",D47&lt;&gt;"",COUNTIFS($C$2:$C$3000,D47,$P$2:$P$3000,"Yes")&gt;1),"Reference counted twice",IF(COUNTIF(Lists!$A$2:$A$7,I47)=0,"Unknown status","")))))</f>
        <v/>
      </c>
    </row>
    <row r="48" customFormat="false" ht="15" hidden="false" customHeight="false" outlineLevel="0" collapsed="false">
      <c r="A48" s="15" t="s">
        <v>1237</v>
      </c>
      <c r="B48" s="15" t="s">
        <v>315</v>
      </c>
      <c r="C48" s="15" t="s">
        <v>57</v>
      </c>
      <c r="D48" s="15" t="s">
        <v>1238</v>
      </c>
      <c r="E48" s="15" t="s">
        <v>1238</v>
      </c>
      <c r="F48" s="15" t="s">
        <v>1239</v>
      </c>
      <c r="G48" s="15" t="n">
        <v>30</v>
      </c>
      <c r="H48" s="15"/>
      <c r="I48" s="15" t="s">
        <v>946</v>
      </c>
      <c r="J48" s="15" t="s">
        <v>947</v>
      </c>
      <c r="K48" s="15" t="s">
        <v>946</v>
      </c>
      <c r="L48" s="15" t="n">
        <v>0</v>
      </c>
      <c r="M48" s="15" t="n">
        <v>0</v>
      </c>
      <c r="N48" s="15"/>
      <c r="O48" s="15" t="s">
        <v>948</v>
      </c>
      <c r="P48" s="15" t="s">
        <v>949</v>
      </c>
      <c r="Q48" s="15" t="s">
        <v>950</v>
      </c>
      <c r="R48" s="15" t="n">
        <v>0</v>
      </c>
      <c r="S48" s="15" t="n">
        <v>22</v>
      </c>
      <c r="T48" s="15" t="n">
        <v>8</v>
      </c>
      <c r="U48" s="15" t="n">
        <v>0</v>
      </c>
      <c r="V48" s="15" t="n">
        <v>0</v>
      </c>
      <c r="W48" s="15" t="n">
        <v>0</v>
      </c>
      <c r="X48" s="15" t="s">
        <v>973</v>
      </c>
      <c r="Y48" s="15" t="s">
        <v>952</v>
      </c>
      <c r="Z48" s="15" t="s">
        <v>170</v>
      </c>
      <c r="AA48" s="15" t="s">
        <v>966</v>
      </c>
      <c r="AB48" s="15" t="s">
        <v>1240</v>
      </c>
      <c r="AC48" s="15" t="s">
        <v>1241</v>
      </c>
      <c r="AD48" s="15"/>
      <c r="AE48" s="15" t="s">
        <v>1219</v>
      </c>
      <c r="AF48" s="15" t="s">
        <v>1242</v>
      </c>
      <c r="AG48" s="15" t="s">
        <v>1000</v>
      </c>
      <c r="AH48" s="15" t="n">
        <v>0</v>
      </c>
      <c r="AI48" s="15" t="n">
        <v>1.4</v>
      </c>
      <c r="AJ48" s="15" t="n">
        <v>28.6</v>
      </c>
      <c r="AK48" s="15" t="n">
        <v>0</v>
      </c>
      <c r="AL48" s="15" t="n">
        <v>0</v>
      </c>
      <c r="AM48" s="15" t="n">
        <v>0</v>
      </c>
      <c r="AN48" s="15" t="s">
        <v>959</v>
      </c>
      <c r="AO48" s="15" t="s">
        <v>960</v>
      </c>
      <c r="AP48" s="15" t="s">
        <v>163</v>
      </c>
      <c r="AQ48" s="15"/>
      <c r="AR48" s="29" t="str">
        <f aca="false">IF(A48="","",IF(COUNTIF(Parcels!$A$2:$A$3000,B48)=0,"Parcel not found",IF(COUNTIF($A$2:$A$3000,A48)&gt;1,"Duplicate perm_id",IF(AND(P48="Yes",D48&lt;&gt;"",COUNTIFS($C$2:$C$3000,D48,$P$2:$P$3000,"Yes")&gt;1),"Reference counted twice",IF(COUNTIF(Lists!$A$2:$A$7,I48)=0,"Unknown status","")))))</f>
        <v/>
      </c>
    </row>
    <row r="49" customFormat="false" ht="15" hidden="false" customHeight="false" outlineLevel="0" collapsed="false">
      <c r="A49" s="15" t="s">
        <v>1243</v>
      </c>
      <c r="B49" s="15" t="s">
        <v>316</v>
      </c>
      <c r="C49" s="15" t="s">
        <v>57</v>
      </c>
      <c r="D49" s="15" t="s">
        <v>1244</v>
      </c>
      <c r="E49" s="15" t="s">
        <v>1244</v>
      </c>
      <c r="F49" s="15" t="s">
        <v>1245</v>
      </c>
      <c r="G49" s="15" t="n">
        <v>30</v>
      </c>
      <c r="H49" s="15"/>
      <c r="I49" s="15" t="s">
        <v>48</v>
      </c>
      <c r="J49" s="15" t="s">
        <v>947</v>
      </c>
      <c r="K49" s="15" t="s">
        <v>48</v>
      </c>
      <c r="L49" s="15" t="n">
        <v>0</v>
      </c>
      <c r="M49" s="15" t="n">
        <v>0</v>
      </c>
      <c r="N49" s="15"/>
      <c r="O49" s="15" t="s">
        <v>948</v>
      </c>
      <c r="P49" s="15" t="s">
        <v>949</v>
      </c>
      <c r="Q49" s="15" t="s">
        <v>950</v>
      </c>
      <c r="R49" s="15" t="n">
        <v>0</v>
      </c>
      <c r="S49" s="15" t="n">
        <v>30</v>
      </c>
      <c r="T49" s="15" t="n">
        <v>0</v>
      </c>
      <c r="U49" s="15" t="n">
        <v>0</v>
      </c>
      <c r="V49" s="15" t="n">
        <v>0</v>
      </c>
      <c r="W49" s="15" t="n">
        <v>0</v>
      </c>
      <c r="X49" s="15" t="s">
        <v>951</v>
      </c>
      <c r="Y49" s="15" t="s">
        <v>974</v>
      </c>
      <c r="Z49" s="15" t="s">
        <v>1004</v>
      </c>
      <c r="AA49" s="15" t="s">
        <v>966</v>
      </c>
      <c r="AB49" s="15" t="s">
        <v>1246</v>
      </c>
      <c r="AC49" s="15" t="s">
        <v>1247</v>
      </c>
      <c r="AD49" s="15" t="s">
        <v>1248</v>
      </c>
      <c r="AE49" s="15" t="s">
        <v>979</v>
      </c>
      <c r="AF49" s="15" t="s">
        <v>980</v>
      </c>
      <c r="AG49" s="15" t="s">
        <v>981</v>
      </c>
      <c r="AH49" s="15" t="n">
        <v>7</v>
      </c>
      <c r="AI49" s="15" t="n">
        <v>23</v>
      </c>
      <c r="AJ49" s="15" t="n">
        <v>0</v>
      </c>
      <c r="AK49" s="15" t="n">
        <v>0</v>
      </c>
      <c r="AL49" s="15" t="n">
        <v>0</v>
      </c>
      <c r="AM49" s="15" t="n">
        <v>0</v>
      </c>
      <c r="AN49" s="15" t="s">
        <v>959</v>
      </c>
      <c r="AO49" s="15" t="s">
        <v>960</v>
      </c>
      <c r="AP49" s="15" t="s">
        <v>163</v>
      </c>
      <c r="AQ49" s="15"/>
      <c r="AR49" s="29" t="str">
        <f aca="false">IF(A49="","",IF(COUNTIF(Parcels!$A$2:$A$3000,B49)=0,"Parcel not found",IF(COUNTIF($A$2:$A$3000,A49)&gt;1,"Duplicate perm_id",IF(AND(P49="Yes",D49&lt;&gt;"",COUNTIFS($C$2:$C$3000,D49,$P$2:$P$3000,"Yes")&gt;1),"Reference counted twice",IF(COUNTIF(Lists!$A$2:$A$7,I49)=0,"Unknown status","")))))</f>
        <v/>
      </c>
    </row>
    <row r="50" customFormat="false" ht="15" hidden="false" customHeight="false" outlineLevel="0" collapsed="false">
      <c r="A50" s="15" t="s">
        <v>1249</v>
      </c>
      <c r="B50" s="15" t="s">
        <v>247</v>
      </c>
      <c r="C50" s="15" t="s">
        <v>53</v>
      </c>
      <c r="D50" s="15" t="s">
        <v>1250</v>
      </c>
      <c r="E50" s="15" t="s">
        <v>1250</v>
      </c>
      <c r="F50" s="15" t="s">
        <v>1251</v>
      </c>
      <c r="G50" s="15" t="n">
        <v>285</v>
      </c>
      <c r="H50" s="15"/>
      <c r="I50" s="15" t="s">
        <v>946</v>
      </c>
      <c r="J50" s="15" t="s">
        <v>947</v>
      </c>
      <c r="K50" s="15" t="s">
        <v>946</v>
      </c>
      <c r="L50" s="15" t="n">
        <v>0</v>
      </c>
      <c r="M50" s="15" t="n">
        <v>0</v>
      </c>
      <c r="N50" s="15"/>
      <c r="O50" s="15" t="s">
        <v>948</v>
      </c>
      <c r="P50" s="15" t="s">
        <v>949</v>
      </c>
      <c r="Q50" s="15" t="s">
        <v>950</v>
      </c>
      <c r="R50" s="15" t="n">
        <v>0</v>
      </c>
      <c r="S50" s="15" t="n">
        <v>142</v>
      </c>
      <c r="T50" s="15" t="n">
        <v>127</v>
      </c>
      <c r="U50" s="15" t="n">
        <v>16</v>
      </c>
      <c r="V50" s="15" t="n">
        <v>0</v>
      </c>
      <c r="W50" s="15" t="n">
        <v>0</v>
      </c>
      <c r="X50" s="15" t="s">
        <v>951</v>
      </c>
      <c r="Y50" s="15" t="s">
        <v>1252</v>
      </c>
      <c r="Z50" s="15" t="s">
        <v>1253</v>
      </c>
      <c r="AA50" s="15" t="s">
        <v>1031</v>
      </c>
      <c r="AB50" s="15" t="s">
        <v>1254</v>
      </c>
      <c r="AC50" s="15" t="s">
        <v>1255</v>
      </c>
      <c r="AD50" s="15"/>
      <c r="AE50" s="15" t="s">
        <v>980</v>
      </c>
      <c r="AF50" s="15" t="s">
        <v>1256</v>
      </c>
      <c r="AG50" s="15" t="s">
        <v>1000</v>
      </c>
      <c r="AH50" s="15" t="n">
        <v>0</v>
      </c>
      <c r="AI50" s="15" t="n">
        <v>0</v>
      </c>
      <c r="AJ50" s="15" t="n">
        <v>10.1</v>
      </c>
      <c r="AK50" s="15" t="n">
        <v>61</v>
      </c>
      <c r="AL50" s="15" t="n">
        <v>61</v>
      </c>
      <c r="AM50" s="15" t="n">
        <v>152.9</v>
      </c>
      <c r="AN50" s="15" t="s">
        <v>959</v>
      </c>
      <c r="AO50" s="15" t="s">
        <v>960</v>
      </c>
      <c r="AP50" s="15" t="s">
        <v>163</v>
      </c>
      <c r="AQ50" s="15"/>
      <c r="AR50" s="29" t="str">
        <f aca="false">IF(A50="","",IF(COUNTIF(Parcels!$A$2:$A$3000,B50)=0,"Parcel not found",IF(COUNTIF($A$2:$A$3000,A50)&gt;1,"Duplicate perm_id",IF(AND(P50="Yes",D50&lt;&gt;"",COUNTIFS($C$2:$C$3000,D50,$P$2:$P$3000,"Yes")&gt;1),"Reference counted twice",IF(COUNTIF(Lists!$A$2:$A$7,I50)=0,"Unknown status","")))))</f>
        <v/>
      </c>
    </row>
    <row r="51" customFormat="false" ht="15" hidden="false" customHeight="false" outlineLevel="0" collapsed="false">
      <c r="A51" s="15" t="s">
        <v>1257</v>
      </c>
      <c r="B51" s="15" t="s">
        <v>557</v>
      </c>
      <c r="C51" s="15" t="s">
        <v>22</v>
      </c>
      <c r="D51" s="15" t="s">
        <v>1258</v>
      </c>
      <c r="E51" s="15" t="s">
        <v>1258</v>
      </c>
      <c r="F51" s="15" t="s">
        <v>1259</v>
      </c>
      <c r="G51" s="15" t="n">
        <v>3</v>
      </c>
      <c r="H51" s="15"/>
      <c r="I51" s="15" t="s">
        <v>47</v>
      </c>
      <c r="J51" s="15" t="s">
        <v>947</v>
      </c>
      <c r="K51" s="15" t="s">
        <v>47</v>
      </c>
      <c r="L51" s="15" t="n">
        <v>0</v>
      </c>
      <c r="M51" s="15" t="n">
        <v>0</v>
      </c>
      <c r="N51" s="15" t="s">
        <v>1260</v>
      </c>
      <c r="O51" s="15" t="s">
        <v>948</v>
      </c>
      <c r="P51" s="15" t="s">
        <v>949</v>
      </c>
      <c r="Q51" s="15" t="s">
        <v>965</v>
      </c>
      <c r="R51" s="15"/>
      <c r="S51" s="15"/>
      <c r="T51" s="15"/>
      <c r="U51" s="15"/>
      <c r="V51" s="15"/>
      <c r="W51" s="15"/>
      <c r="X51" s="15" t="s">
        <v>973</v>
      </c>
      <c r="Y51" s="15" t="s">
        <v>952</v>
      </c>
      <c r="Z51" s="15" t="s">
        <v>170</v>
      </c>
      <c r="AA51" s="15" t="s">
        <v>966</v>
      </c>
      <c r="AB51" s="15" t="s">
        <v>1261</v>
      </c>
      <c r="AC51" s="15" t="s">
        <v>1262</v>
      </c>
      <c r="AD51" s="15" t="s">
        <v>1263</v>
      </c>
      <c r="AE51" s="15"/>
      <c r="AF51" s="15"/>
      <c r="AG51" s="15" t="s">
        <v>992</v>
      </c>
      <c r="AH51" s="15" t="n">
        <v>0</v>
      </c>
      <c r="AI51" s="15" t="n">
        <v>0</v>
      </c>
      <c r="AJ51" s="15" t="n">
        <v>0</v>
      </c>
      <c r="AK51" s="15" t="n">
        <v>0</v>
      </c>
      <c r="AL51" s="15" t="n">
        <v>0</v>
      </c>
      <c r="AM51" s="15" t="n">
        <v>0</v>
      </c>
      <c r="AN51" s="15" t="s">
        <v>1264</v>
      </c>
      <c r="AO51" s="15" t="s">
        <v>960</v>
      </c>
      <c r="AP51" s="15" t="s">
        <v>163</v>
      </c>
      <c r="AQ51" s="15"/>
      <c r="AR51" s="29" t="str">
        <f aca="false">IF(A51="","",IF(COUNTIF(Parcels!$A$2:$A$3000,B51)=0,"Parcel not found",IF(COUNTIF($A$2:$A$3000,A51)&gt;1,"Duplicate perm_id",IF(AND(P51="Yes",D51&lt;&gt;"",COUNTIFS($C$2:$C$3000,D51,$P$2:$P$3000,"Yes")&gt;1),"Reference counted twice",IF(COUNTIF(Lists!$A$2:$A$7,I51)=0,"Unknown status","")))))</f>
        <v/>
      </c>
    </row>
    <row r="52" customFormat="false" ht="15" hidden="false" customHeight="false" outlineLevel="0" collapsed="false">
      <c r="A52" s="15" t="s">
        <v>1265</v>
      </c>
      <c r="B52" s="15" t="s">
        <v>557</v>
      </c>
      <c r="C52" s="15" t="s">
        <v>22</v>
      </c>
      <c r="D52" s="15" t="s">
        <v>1266</v>
      </c>
      <c r="E52" s="15" t="s">
        <v>1266</v>
      </c>
      <c r="F52" s="15" t="s">
        <v>560</v>
      </c>
      <c r="G52" s="15" t="n">
        <v>3</v>
      </c>
      <c r="H52" s="15"/>
      <c r="I52" s="15" t="s">
        <v>47</v>
      </c>
      <c r="J52" s="15" t="s">
        <v>1267</v>
      </c>
      <c r="K52" s="15" t="s">
        <v>946</v>
      </c>
      <c r="L52" s="15" t="n">
        <v>3</v>
      </c>
      <c r="M52" s="15" t="n">
        <v>0</v>
      </c>
      <c r="N52" s="15" t="s">
        <v>1268</v>
      </c>
      <c r="O52" s="15" t="s">
        <v>948</v>
      </c>
      <c r="P52" s="15" t="s">
        <v>949</v>
      </c>
      <c r="Q52" s="15" t="s">
        <v>1070</v>
      </c>
      <c r="R52" s="15"/>
      <c r="S52" s="15"/>
      <c r="T52" s="15"/>
      <c r="U52" s="15"/>
      <c r="V52" s="15"/>
      <c r="W52" s="15"/>
      <c r="X52" s="15" t="s">
        <v>951</v>
      </c>
      <c r="Y52" s="15" t="s">
        <v>974</v>
      </c>
      <c r="Z52" s="15" t="s">
        <v>975</v>
      </c>
      <c r="AA52" s="15" t="s">
        <v>976</v>
      </c>
      <c r="AB52" s="15" t="s">
        <v>1269</v>
      </c>
      <c r="AC52" s="15"/>
      <c r="AD52" s="15"/>
      <c r="AE52" s="15" t="s">
        <v>998</v>
      </c>
      <c r="AF52" s="15" t="s">
        <v>999</v>
      </c>
      <c r="AG52" s="15" t="s">
        <v>1000</v>
      </c>
      <c r="AH52" s="15" t="n">
        <v>0</v>
      </c>
      <c r="AI52" s="15" t="n">
        <v>0</v>
      </c>
      <c r="AJ52" s="15" t="n">
        <v>0</v>
      </c>
      <c r="AK52" s="15" t="n">
        <v>0</v>
      </c>
      <c r="AL52" s="15" t="n">
        <v>0</v>
      </c>
      <c r="AM52" s="15" t="n">
        <v>0</v>
      </c>
      <c r="AN52" s="15" t="s">
        <v>1264</v>
      </c>
      <c r="AO52" s="15" t="s">
        <v>960</v>
      </c>
      <c r="AP52" s="15" t="s">
        <v>163</v>
      </c>
      <c r="AQ52" s="15"/>
      <c r="AR52" s="29" t="str">
        <f aca="false">IF(A52="","",IF(COUNTIF(Parcels!$A$2:$A$3000,B52)=0,"Parcel not found",IF(COUNTIF($A$2:$A$3000,A52)&gt;1,"Duplicate perm_id",IF(AND(P52="Yes",D52&lt;&gt;"",COUNTIFS($C$2:$C$3000,D52,$P$2:$P$3000,"Yes")&gt;1),"Reference counted twice",IF(COUNTIF(Lists!$A$2:$A$7,I52)=0,"Unknown status","")))))</f>
        <v/>
      </c>
    </row>
    <row r="53" customFormat="false" ht="15" hidden="false" customHeight="false" outlineLevel="0" collapsed="false">
      <c r="A53" s="15" t="s">
        <v>1270</v>
      </c>
      <c r="B53" s="15" t="s">
        <v>521</v>
      </c>
      <c r="C53" s="15" t="s">
        <v>57</v>
      </c>
      <c r="D53" s="15" t="s">
        <v>1271</v>
      </c>
      <c r="E53" s="15" t="s">
        <v>1271</v>
      </c>
      <c r="F53" s="15" t="s">
        <v>522</v>
      </c>
      <c r="G53" s="15" t="n">
        <v>7</v>
      </c>
      <c r="H53" s="15"/>
      <c r="I53" s="15" t="s">
        <v>47</v>
      </c>
      <c r="J53" s="15" t="s">
        <v>1267</v>
      </c>
      <c r="K53" s="15" t="s">
        <v>48</v>
      </c>
      <c r="L53" s="15" t="n">
        <v>7</v>
      </c>
      <c r="M53" s="15" t="n">
        <v>0</v>
      </c>
      <c r="N53" s="15" t="s">
        <v>1268</v>
      </c>
      <c r="O53" s="15" t="s">
        <v>948</v>
      </c>
      <c r="P53" s="15" t="s">
        <v>949</v>
      </c>
      <c r="Q53" s="15" t="s">
        <v>1272</v>
      </c>
      <c r="R53" s="15"/>
      <c r="S53" s="15"/>
      <c r="T53" s="15"/>
      <c r="U53" s="15"/>
      <c r="V53" s="15"/>
      <c r="W53" s="15"/>
      <c r="X53" s="15" t="s">
        <v>951</v>
      </c>
      <c r="Y53" s="15" t="s">
        <v>974</v>
      </c>
      <c r="Z53" s="15" t="s">
        <v>975</v>
      </c>
      <c r="AA53" s="15" t="s">
        <v>976</v>
      </c>
      <c r="AB53" s="15"/>
      <c r="AC53" s="15"/>
      <c r="AD53" s="15" t="s">
        <v>1273</v>
      </c>
      <c r="AE53" s="15" t="s">
        <v>1147</v>
      </c>
      <c r="AF53" s="15" t="s">
        <v>980</v>
      </c>
      <c r="AG53" s="15" t="s">
        <v>981</v>
      </c>
      <c r="AH53" s="15" t="n">
        <v>0</v>
      </c>
      <c r="AI53" s="15" t="n">
        <v>0</v>
      </c>
      <c r="AJ53" s="15" t="n">
        <v>0</v>
      </c>
      <c r="AK53" s="15" t="n">
        <v>0</v>
      </c>
      <c r="AL53" s="15" t="n">
        <v>0</v>
      </c>
      <c r="AM53" s="15" t="n">
        <v>0</v>
      </c>
      <c r="AN53" s="15" t="s">
        <v>1264</v>
      </c>
      <c r="AO53" s="15" t="s">
        <v>1274</v>
      </c>
      <c r="AP53" s="15" t="s">
        <v>163</v>
      </c>
      <c r="AQ53" s="15"/>
      <c r="AR53" s="29" t="str">
        <f aca="false">IF(A53="","",IF(COUNTIF(Parcels!$A$2:$A$3000,B53)=0,"Parcel not found",IF(COUNTIF($A$2:$A$3000,A53)&gt;1,"Duplicate perm_id",IF(AND(P53="Yes",D53&lt;&gt;"",COUNTIFS($C$2:$C$3000,D53,$P$2:$P$3000,"Yes")&gt;1),"Reference counted twice",IF(COUNTIF(Lists!$A$2:$A$7,I53)=0,"Unknown status","")))))</f>
        <v/>
      </c>
    </row>
    <row r="54" customFormat="false" ht="15" hidden="false" customHeight="false" outlineLevel="0" collapsed="false">
      <c r="A54" s="15" t="s">
        <v>1275</v>
      </c>
      <c r="B54" s="15" t="s">
        <v>523</v>
      </c>
      <c r="C54" s="15" t="s">
        <v>57</v>
      </c>
      <c r="D54" s="15" t="s">
        <v>1276</v>
      </c>
      <c r="E54" s="15" t="s">
        <v>1276</v>
      </c>
      <c r="F54" s="15" t="s">
        <v>524</v>
      </c>
      <c r="G54" s="15" t="n">
        <v>7</v>
      </c>
      <c r="H54" s="15"/>
      <c r="I54" s="15" t="s">
        <v>47</v>
      </c>
      <c r="J54" s="15" t="s">
        <v>947</v>
      </c>
      <c r="K54" s="15" t="s">
        <v>47</v>
      </c>
      <c r="L54" s="15" t="n">
        <v>3</v>
      </c>
      <c r="M54" s="15" t="n">
        <v>4</v>
      </c>
      <c r="N54" s="15" t="s">
        <v>1074</v>
      </c>
      <c r="O54" s="15" t="s">
        <v>948</v>
      </c>
      <c r="P54" s="15" t="s">
        <v>949</v>
      </c>
      <c r="Q54" s="15" t="s">
        <v>1272</v>
      </c>
      <c r="R54" s="15"/>
      <c r="S54" s="15"/>
      <c r="T54" s="15"/>
      <c r="U54" s="15"/>
      <c r="V54" s="15"/>
      <c r="W54" s="15"/>
      <c r="X54" s="15" t="s">
        <v>951</v>
      </c>
      <c r="Y54" s="15" t="s">
        <v>974</v>
      </c>
      <c r="Z54" s="15" t="s">
        <v>975</v>
      </c>
      <c r="AA54" s="15" t="s">
        <v>976</v>
      </c>
      <c r="AB54" s="15"/>
      <c r="AC54" s="15"/>
      <c r="AD54" s="15" t="s">
        <v>1230</v>
      </c>
      <c r="AE54" s="15"/>
      <c r="AF54" s="15"/>
      <c r="AG54" s="15" t="s">
        <v>992</v>
      </c>
      <c r="AH54" s="15" t="n">
        <v>0</v>
      </c>
      <c r="AI54" s="15" t="n">
        <v>0</v>
      </c>
      <c r="AJ54" s="15" t="n">
        <v>0</v>
      </c>
      <c r="AK54" s="15" t="n">
        <v>0</v>
      </c>
      <c r="AL54" s="15" t="n">
        <v>0</v>
      </c>
      <c r="AM54" s="15" t="n">
        <v>0</v>
      </c>
      <c r="AN54" s="15" t="s">
        <v>1264</v>
      </c>
      <c r="AO54" s="15" t="s">
        <v>1274</v>
      </c>
      <c r="AP54" s="15" t="s">
        <v>163</v>
      </c>
      <c r="AQ54" s="15"/>
      <c r="AR54" s="29" t="str">
        <f aca="false">IF(A54="","",IF(COUNTIF(Parcels!$A$2:$A$3000,B54)=0,"Parcel not found",IF(COUNTIF($A$2:$A$3000,A54)&gt;1,"Duplicate perm_id",IF(AND(P54="Yes",D54&lt;&gt;"",COUNTIFS($C$2:$C$3000,D54,$P$2:$P$3000,"Yes")&gt;1),"Reference counted twice",IF(COUNTIF(Lists!$A$2:$A$7,I54)=0,"Unknown status","")))))</f>
        <v/>
      </c>
    </row>
    <row r="55" customFormat="false" ht="15" hidden="false" customHeight="false" outlineLevel="0" collapsed="false">
      <c r="A55" s="15" t="s">
        <v>1277</v>
      </c>
      <c r="B55" s="15" t="s">
        <v>561</v>
      </c>
      <c r="C55" s="15" t="s">
        <v>74</v>
      </c>
      <c r="D55" s="15" t="s">
        <v>1278</v>
      </c>
      <c r="E55" s="15" t="s">
        <v>1278</v>
      </c>
      <c r="F55" s="15" t="s">
        <v>562</v>
      </c>
      <c r="G55" s="15" t="n">
        <v>16</v>
      </c>
      <c r="H55" s="15"/>
      <c r="I55" s="15" t="s">
        <v>47</v>
      </c>
      <c r="J55" s="15" t="s">
        <v>1267</v>
      </c>
      <c r="K55" s="15" t="s">
        <v>48</v>
      </c>
      <c r="L55" s="15" t="n">
        <v>16</v>
      </c>
      <c r="M55" s="15" t="n">
        <v>0</v>
      </c>
      <c r="N55" s="15" t="s">
        <v>1268</v>
      </c>
      <c r="O55" s="15" t="s">
        <v>948</v>
      </c>
      <c r="P55" s="15" t="s">
        <v>949</v>
      </c>
      <c r="Q55" s="15" t="s">
        <v>1272</v>
      </c>
      <c r="R55" s="15"/>
      <c r="S55" s="15"/>
      <c r="T55" s="15"/>
      <c r="U55" s="15"/>
      <c r="V55" s="15"/>
      <c r="W55" s="15"/>
      <c r="X55" s="15" t="s">
        <v>951</v>
      </c>
      <c r="Y55" s="15" t="s">
        <v>974</v>
      </c>
      <c r="Z55" s="15" t="s">
        <v>975</v>
      </c>
      <c r="AA55" s="15" t="s">
        <v>976</v>
      </c>
      <c r="AB55" s="15" t="s">
        <v>1279</v>
      </c>
      <c r="AC55" s="15"/>
      <c r="AD55" s="15" t="s">
        <v>1280</v>
      </c>
      <c r="AE55" s="15" t="s">
        <v>1281</v>
      </c>
      <c r="AF55" s="15" t="s">
        <v>980</v>
      </c>
      <c r="AG55" s="15" t="s">
        <v>981</v>
      </c>
      <c r="AH55" s="15" t="n">
        <v>0</v>
      </c>
      <c r="AI55" s="15" t="n">
        <v>0</v>
      </c>
      <c r="AJ55" s="15" t="n">
        <v>0</v>
      </c>
      <c r="AK55" s="15" t="n">
        <v>0</v>
      </c>
      <c r="AL55" s="15" t="n">
        <v>0</v>
      </c>
      <c r="AM55" s="15" t="n">
        <v>0</v>
      </c>
      <c r="AN55" s="15" t="s">
        <v>1264</v>
      </c>
      <c r="AO55" s="15" t="s">
        <v>1274</v>
      </c>
      <c r="AP55" s="15" t="s">
        <v>163</v>
      </c>
      <c r="AQ55" s="15"/>
      <c r="AR55" s="29" t="str">
        <f aca="false">IF(A55="","",IF(COUNTIF(Parcels!$A$2:$A$3000,B55)=0,"Parcel not found",IF(COUNTIF($A$2:$A$3000,A55)&gt;1,"Duplicate perm_id",IF(AND(P55="Yes",D55&lt;&gt;"",COUNTIFS($C$2:$C$3000,D55,$P$2:$P$3000,"Yes")&gt;1),"Reference counted twice",IF(COUNTIF(Lists!$A$2:$A$7,I55)=0,"Unknown status","")))))</f>
        <v/>
      </c>
    </row>
    <row r="56" customFormat="false" ht="15" hidden="false" customHeight="false" outlineLevel="0" collapsed="false">
      <c r="A56" s="15" t="s">
        <v>1282</v>
      </c>
      <c r="B56" s="15" t="s">
        <v>535</v>
      </c>
      <c r="C56" s="15" t="s">
        <v>58</v>
      </c>
      <c r="D56" s="15" t="s">
        <v>1283</v>
      </c>
      <c r="E56" s="15" t="s">
        <v>1283</v>
      </c>
      <c r="F56" s="15" t="s">
        <v>536</v>
      </c>
      <c r="G56" s="15" t="n">
        <v>5</v>
      </c>
      <c r="H56" s="15"/>
      <c r="I56" s="15" t="s">
        <v>47</v>
      </c>
      <c r="J56" s="15" t="s">
        <v>1267</v>
      </c>
      <c r="K56" s="15" t="s">
        <v>48</v>
      </c>
      <c r="L56" s="15" t="n">
        <v>5</v>
      </c>
      <c r="M56" s="15" t="n">
        <v>0</v>
      </c>
      <c r="N56" s="15" t="s">
        <v>1268</v>
      </c>
      <c r="O56" s="15" t="s">
        <v>948</v>
      </c>
      <c r="P56" s="15" t="s">
        <v>949</v>
      </c>
      <c r="Q56" s="15" t="s">
        <v>1272</v>
      </c>
      <c r="R56" s="15"/>
      <c r="S56" s="15"/>
      <c r="T56" s="15"/>
      <c r="U56" s="15"/>
      <c r="V56" s="15"/>
      <c r="W56" s="15"/>
      <c r="X56" s="15" t="s">
        <v>951</v>
      </c>
      <c r="Y56" s="15" t="s">
        <v>974</v>
      </c>
      <c r="Z56" s="15" t="s">
        <v>975</v>
      </c>
      <c r="AA56" s="15" t="s">
        <v>976</v>
      </c>
      <c r="AB56" s="15"/>
      <c r="AC56" s="15"/>
      <c r="AD56" s="15" t="s">
        <v>1284</v>
      </c>
      <c r="AE56" s="15" t="s">
        <v>1285</v>
      </c>
      <c r="AF56" s="15" t="s">
        <v>980</v>
      </c>
      <c r="AG56" s="15" t="s">
        <v>981</v>
      </c>
      <c r="AH56" s="15" t="n">
        <v>0</v>
      </c>
      <c r="AI56" s="15" t="n">
        <v>0</v>
      </c>
      <c r="AJ56" s="15" t="n">
        <v>0</v>
      </c>
      <c r="AK56" s="15" t="n">
        <v>0</v>
      </c>
      <c r="AL56" s="15" t="n">
        <v>0</v>
      </c>
      <c r="AM56" s="15" t="n">
        <v>0</v>
      </c>
      <c r="AN56" s="15" t="s">
        <v>1264</v>
      </c>
      <c r="AO56" s="15" t="s">
        <v>1274</v>
      </c>
      <c r="AP56" s="15" t="s">
        <v>163</v>
      </c>
      <c r="AQ56" s="15"/>
      <c r="AR56" s="29" t="str">
        <f aca="false">IF(A56="","",IF(COUNTIF(Parcels!$A$2:$A$3000,B56)=0,"Parcel not found",IF(COUNTIF($A$2:$A$3000,A56)&gt;1,"Duplicate perm_id",IF(AND(P56="Yes",D56&lt;&gt;"",COUNTIFS($C$2:$C$3000,D56,$P$2:$P$3000,"Yes")&gt;1),"Reference counted twice",IF(COUNTIF(Lists!$A$2:$A$7,I56)=0,"Unknown status","")))))</f>
        <v/>
      </c>
    </row>
    <row r="57" customFormat="false" ht="15" hidden="false" customHeight="false" outlineLevel="0" collapsed="false">
      <c r="A57" s="15" t="s">
        <v>1286</v>
      </c>
      <c r="B57" s="15" t="s">
        <v>414</v>
      </c>
      <c r="C57" s="15" t="s">
        <v>53</v>
      </c>
      <c r="D57" s="15" t="s">
        <v>1287</v>
      </c>
      <c r="E57" s="15" t="s">
        <v>1287</v>
      </c>
      <c r="F57" s="15" t="s">
        <v>415</v>
      </c>
      <c r="G57" s="15" t="n">
        <v>13</v>
      </c>
      <c r="H57" s="15"/>
      <c r="I57" s="15" t="s">
        <v>47</v>
      </c>
      <c r="J57" s="15" t="s">
        <v>1267</v>
      </c>
      <c r="K57" s="15" t="s">
        <v>48</v>
      </c>
      <c r="L57" s="15" t="n">
        <v>13</v>
      </c>
      <c r="M57" s="15" t="n">
        <v>0</v>
      </c>
      <c r="N57" s="15" t="s">
        <v>1268</v>
      </c>
      <c r="O57" s="15" t="s">
        <v>948</v>
      </c>
      <c r="P57" s="15" t="s">
        <v>949</v>
      </c>
      <c r="Q57" s="15" t="s">
        <v>1272</v>
      </c>
      <c r="R57" s="15"/>
      <c r="S57" s="15"/>
      <c r="T57" s="15"/>
      <c r="U57" s="15"/>
      <c r="V57" s="15"/>
      <c r="W57" s="15"/>
      <c r="X57" s="15" t="s">
        <v>951</v>
      </c>
      <c r="Y57" s="15" t="s">
        <v>974</v>
      </c>
      <c r="Z57" s="15" t="s">
        <v>975</v>
      </c>
      <c r="AA57" s="15" t="s">
        <v>976</v>
      </c>
      <c r="AB57" s="15"/>
      <c r="AC57" s="15"/>
      <c r="AD57" s="15" t="s">
        <v>1288</v>
      </c>
      <c r="AE57" s="15" t="s">
        <v>1281</v>
      </c>
      <c r="AF57" s="15" t="s">
        <v>980</v>
      </c>
      <c r="AG57" s="15" t="s">
        <v>981</v>
      </c>
      <c r="AH57" s="15" t="n">
        <v>0</v>
      </c>
      <c r="AI57" s="15" t="n">
        <v>0</v>
      </c>
      <c r="AJ57" s="15" t="n">
        <v>0</v>
      </c>
      <c r="AK57" s="15" t="n">
        <v>0</v>
      </c>
      <c r="AL57" s="15" t="n">
        <v>0</v>
      </c>
      <c r="AM57" s="15" t="n">
        <v>0</v>
      </c>
      <c r="AN57" s="15" t="s">
        <v>1264</v>
      </c>
      <c r="AO57" s="15" t="s">
        <v>1274</v>
      </c>
      <c r="AP57" s="15" t="s">
        <v>163</v>
      </c>
      <c r="AQ57" s="15"/>
      <c r="AR57" s="29" t="str">
        <f aca="false">IF(A57="","",IF(COUNTIF(Parcels!$A$2:$A$3000,B57)=0,"Parcel not found",IF(COUNTIF($A$2:$A$3000,A57)&gt;1,"Duplicate perm_id",IF(AND(P57="Yes",D57&lt;&gt;"",COUNTIFS($C$2:$C$3000,D57,$P$2:$P$3000,"Yes")&gt;1),"Reference counted twice",IF(COUNTIF(Lists!$A$2:$A$7,I57)=0,"Unknown status","")))))</f>
        <v/>
      </c>
    </row>
    <row r="58" customFormat="false" ht="15" hidden="false" customHeight="false" outlineLevel="0" collapsed="false">
      <c r="A58" s="15" t="s">
        <v>1289</v>
      </c>
      <c r="B58" s="15" t="s">
        <v>384</v>
      </c>
      <c r="C58" s="15" t="s">
        <v>52</v>
      </c>
      <c r="D58" s="15" t="s">
        <v>1290</v>
      </c>
      <c r="E58" s="15" t="s">
        <v>1290</v>
      </c>
      <c r="F58" s="15" t="s">
        <v>385</v>
      </c>
      <c r="G58" s="15" t="n">
        <v>99</v>
      </c>
      <c r="H58" s="15"/>
      <c r="I58" s="15" t="s">
        <v>48</v>
      </c>
      <c r="J58" s="15" t="s">
        <v>947</v>
      </c>
      <c r="K58" s="15" t="s">
        <v>48</v>
      </c>
      <c r="L58" s="15" t="n">
        <v>68</v>
      </c>
      <c r="M58" s="15" t="n">
        <v>0</v>
      </c>
      <c r="N58" s="15"/>
      <c r="O58" s="15" t="s">
        <v>948</v>
      </c>
      <c r="P58" s="15" t="s">
        <v>949</v>
      </c>
      <c r="Q58" s="15" t="s">
        <v>1291</v>
      </c>
      <c r="R58" s="15"/>
      <c r="S58" s="15"/>
      <c r="T58" s="15"/>
      <c r="U58" s="15"/>
      <c r="V58" s="15"/>
      <c r="W58" s="15"/>
      <c r="X58" s="15" t="s">
        <v>973</v>
      </c>
      <c r="Y58" s="15" t="s">
        <v>952</v>
      </c>
      <c r="Z58" s="15" t="s">
        <v>170</v>
      </c>
      <c r="AA58" s="15" t="s">
        <v>966</v>
      </c>
      <c r="AB58" s="15" t="s">
        <v>1292</v>
      </c>
      <c r="AC58" s="15" t="s">
        <v>1293</v>
      </c>
      <c r="AD58" s="15" t="s">
        <v>1294</v>
      </c>
      <c r="AE58" s="15" t="s">
        <v>1019</v>
      </c>
      <c r="AF58" s="15" t="s">
        <v>980</v>
      </c>
      <c r="AG58" s="15" t="s">
        <v>981</v>
      </c>
      <c r="AH58" s="15" t="n">
        <v>23.1</v>
      </c>
      <c r="AI58" s="15" t="n">
        <v>75.9</v>
      </c>
      <c r="AJ58" s="15" t="n">
        <v>0</v>
      </c>
      <c r="AK58" s="15" t="n">
        <v>0</v>
      </c>
      <c r="AL58" s="15" t="n">
        <v>0</v>
      </c>
      <c r="AM58" s="15" t="n">
        <v>0</v>
      </c>
      <c r="AN58" s="15" t="s">
        <v>1264</v>
      </c>
      <c r="AO58" s="15" t="s">
        <v>960</v>
      </c>
      <c r="AP58" s="15" t="s">
        <v>163</v>
      </c>
      <c r="AQ58" s="15"/>
      <c r="AR58" s="29" t="str">
        <f aca="false">IF(A58="","",IF(COUNTIF(Parcels!$A$2:$A$3000,B58)=0,"Parcel not found",IF(COUNTIF($A$2:$A$3000,A58)&gt;1,"Duplicate perm_id",IF(AND(P58="Yes",D58&lt;&gt;"",COUNTIFS($C$2:$C$3000,D58,$P$2:$P$3000,"Yes")&gt;1),"Reference counted twice",IF(COUNTIF(Lists!$A$2:$A$7,I58)=0,"Unknown status","")))))</f>
        <v/>
      </c>
    </row>
    <row r="59" customFormat="false" ht="15" hidden="false" customHeight="false" outlineLevel="0" collapsed="false">
      <c r="A59" s="15" t="s">
        <v>1295</v>
      </c>
      <c r="B59" s="15" t="s">
        <v>384</v>
      </c>
      <c r="C59" s="15" t="s">
        <v>52</v>
      </c>
      <c r="D59" s="15" t="s">
        <v>1296</v>
      </c>
      <c r="E59" s="15" t="s">
        <v>1296</v>
      </c>
      <c r="F59" s="15" t="s">
        <v>1297</v>
      </c>
      <c r="G59" s="15" t="n">
        <v>23</v>
      </c>
      <c r="H59" s="15"/>
      <c r="I59" s="15" t="s">
        <v>48</v>
      </c>
      <c r="J59" s="15" t="s">
        <v>947</v>
      </c>
      <c r="K59" s="15" t="s">
        <v>48</v>
      </c>
      <c r="L59" s="15" t="n">
        <v>0</v>
      </c>
      <c r="M59" s="15" t="n">
        <v>23</v>
      </c>
      <c r="N59" s="15"/>
      <c r="O59" s="15" t="s">
        <v>948</v>
      </c>
      <c r="P59" s="15" t="s">
        <v>949</v>
      </c>
      <c r="Q59" s="15" t="s">
        <v>965</v>
      </c>
      <c r="R59" s="15"/>
      <c r="S59" s="15"/>
      <c r="T59" s="15"/>
      <c r="U59" s="15"/>
      <c r="V59" s="15"/>
      <c r="W59" s="15"/>
      <c r="X59" s="15" t="s">
        <v>973</v>
      </c>
      <c r="Y59" s="15" t="s">
        <v>952</v>
      </c>
      <c r="Z59" s="15" t="s">
        <v>170</v>
      </c>
      <c r="AA59" s="15" t="s">
        <v>966</v>
      </c>
      <c r="AB59" s="15" t="s">
        <v>1298</v>
      </c>
      <c r="AC59" s="15" t="s">
        <v>1299</v>
      </c>
      <c r="AD59" s="15" t="s">
        <v>1300</v>
      </c>
      <c r="AE59" s="15" t="s">
        <v>1019</v>
      </c>
      <c r="AF59" s="15" t="s">
        <v>980</v>
      </c>
      <c r="AG59" s="15" t="s">
        <v>981</v>
      </c>
      <c r="AH59" s="15" t="n">
        <v>5.4</v>
      </c>
      <c r="AI59" s="15" t="n">
        <v>17.6</v>
      </c>
      <c r="AJ59" s="15" t="n">
        <v>0</v>
      </c>
      <c r="AK59" s="15" t="n">
        <v>0</v>
      </c>
      <c r="AL59" s="15" t="n">
        <v>0</v>
      </c>
      <c r="AM59" s="15" t="n">
        <v>0</v>
      </c>
      <c r="AN59" s="15" t="s">
        <v>1264</v>
      </c>
      <c r="AO59" s="15" t="s">
        <v>960</v>
      </c>
      <c r="AP59" s="15" t="s">
        <v>163</v>
      </c>
      <c r="AQ59" s="15"/>
      <c r="AR59" s="29" t="str">
        <f aca="false">IF(A59="","",IF(COUNTIF(Parcels!$A$2:$A$3000,B59)=0,"Parcel not found",IF(COUNTIF($A$2:$A$3000,A59)&gt;1,"Duplicate perm_id",IF(AND(P59="Yes",D59&lt;&gt;"",COUNTIFS($C$2:$C$3000,D59,$P$2:$P$3000,"Yes")&gt;1),"Reference counted twice",IF(COUNTIF(Lists!$A$2:$A$7,I59)=0,"Unknown status","")))))</f>
        <v/>
      </c>
    </row>
    <row r="60" customFormat="false" ht="15" hidden="false" customHeight="false" outlineLevel="0" collapsed="false">
      <c r="A60" s="15" t="s">
        <v>1301</v>
      </c>
      <c r="B60" s="15" t="s">
        <v>563</v>
      </c>
      <c r="C60" s="15" t="s">
        <v>74</v>
      </c>
      <c r="D60" s="15" t="s">
        <v>1302</v>
      </c>
      <c r="E60" s="15" t="s">
        <v>1302</v>
      </c>
      <c r="F60" s="15" t="s">
        <v>564</v>
      </c>
      <c r="G60" s="15" t="n">
        <v>58</v>
      </c>
      <c r="H60" s="15"/>
      <c r="I60" s="15" t="s">
        <v>48</v>
      </c>
      <c r="J60" s="15" t="s">
        <v>947</v>
      </c>
      <c r="K60" s="15" t="s">
        <v>48</v>
      </c>
      <c r="L60" s="15" t="n">
        <v>16</v>
      </c>
      <c r="M60" s="15" t="n">
        <v>8</v>
      </c>
      <c r="N60" s="15"/>
      <c r="O60" s="15" t="s">
        <v>948</v>
      </c>
      <c r="P60" s="15" t="s">
        <v>949</v>
      </c>
      <c r="Q60" s="15" t="s">
        <v>1303</v>
      </c>
      <c r="R60" s="15" t="n">
        <v>0</v>
      </c>
      <c r="S60" s="15" t="n">
        <v>0</v>
      </c>
      <c r="T60" s="15" t="n">
        <v>10</v>
      </c>
      <c r="U60" s="15" t="n">
        <v>39</v>
      </c>
      <c r="V60" s="15" t="n">
        <v>0</v>
      </c>
      <c r="W60" s="15" t="n">
        <v>0</v>
      </c>
      <c r="X60" s="15" t="s">
        <v>973</v>
      </c>
      <c r="Y60" s="15" t="s">
        <v>952</v>
      </c>
      <c r="Z60" s="15" t="s">
        <v>170</v>
      </c>
      <c r="AA60" s="15" t="s">
        <v>966</v>
      </c>
      <c r="AB60" s="15" t="s">
        <v>1304</v>
      </c>
      <c r="AC60" s="15" t="s">
        <v>1305</v>
      </c>
      <c r="AD60" s="15" t="s">
        <v>1025</v>
      </c>
      <c r="AE60" s="15" t="s">
        <v>1026</v>
      </c>
      <c r="AF60" s="15" t="s">
        <v>980</v>
      </c>
      <c r="AG60" s="15" t="s">
        <v>981</v>
      </c>
      <c r="AH60" s="15" t="n">
        <v>13.5</v>
      </c>
      <c r="AI60" s="15" t="n">
        <v>44.5</v>
      </c>
      <c r="AJ60" s="15" t="n">
        <v>0</v>
      </c>
      <c r="AK60" s="15" t="n">
        <v>0</v>
      </c>
      <c r="AL60" s="15" t="n">
        <v>0</v>
      </c>
      <c r="AM60" s="15" t="n">
        <v>0</v>
      </c>
      <c r="AN60" s="15" t="s">
        <v>1264</v>
      </c>
      <c r="AO60" s="15" t="s">
        <v>960</v>
      </c>
      <c r="AP60" s="15" t="s">
        <v>163</v>
      </c>
      <c r="AQ60" s="15"/>
      <c r="AR60" s="29" t="str">
        <f aca="false">IF(A60="","",IF(COUNTIF(Parcels!$A$2:$A$3000,B60)=0,"Parcel not found",IF(COUNTIF($A$2:$A$3000,A60)&gt;1,"Duplicate perm_id",IF(AND(P60="Yes",D60&lt;&gt;"",COUNTIFS($C$2:$C$3000,D60,$P$2:$P$3000,"Yes")&gt;1),"Reference counted twice",IF(COUNTIF(Lists!$A$2:$A$7,I60)=0,"Unknown status","")))))</f>
        <v/>
      </c>
    </row>
    <row r="61" customFormat="false" ht="15" hidden="false" customHeight="false" outlineLevel="0" collapsed="false">
      <c r="A61" s="15" t="s">
        <v>1306</v>
      </c>
      <c r="B61" s="15" t="s">
        <v>563</v>
      </c>
      <c r="C61" s="15" t="s">
        <v>74</v>
      </c>
      <c r="D61" s="15" t="s">
        <v>1307</v>
      </c>
      <c r="E61" s="15" t="s">
        <v>1307</v>
      </c>
      <c r="F61" s="15" t="s">
        <v>1308</v>
      </c>
      <c r="G61" s="15" t="n">
        <v>5</v>
      </c>
      <c r="H61" s="15"/>
      <c r="I61" s="15" t="s">
        <v>47</v>
      </c>
      <c r="J61" s="15" t="s">
        <v>1267</v>
      </c>
      <c r="K61" s="15" t="s">
        <v>48</v>
      </c>
      <c r="L61" s="15" t="n">
        <v>5</v>
      </c>
      <c r="M61" s="15" t="n">
        <v>0</v>
      </c>
      <c r="N61" s="15" t="s">
        <v>1268</v>
      </c>
      <c r="O61" s="15" t="s">
        <v>948</v>
      </c>
      <c r="P61" s="15" t="s">
        <v>949</v>
      </c>
      <c r="Q61" s="15" t="s">
        <v>965</v>
      </c>
      <c r="R61" s="15"/>
      <c r="S61" s="15"/>
      <c r="T61" s="15"/>
      <c r="U61" s="15"/>
      <c r="V61" s="15"/>
      <c r="W61" s="15"/>
      <c r="X61" s="15" t="s">
        <v>973</v>
      </c>
      <c r="Y61" s="15" t="s">
        <v>952</v>
      </c>
      <c r="Z61" s="15" t="s">
        <v>170</v>
      </c>
      <c r="AA61" s="15" t="s">
        <v>966</v>
      </c>
      <c r="AB61" s="15" t="s">
        <v>1309</v>
      </c>
      <c r="AC61" s="15" t="s">
        <v>1310</v>
      </c>
      <c r="AD61" s="15" t="s">
        <v>1025</v>
      </c>
      <c r="AE61" s="15" t="s">
        <v>1026</v>
      </c>
      <c r="AF61" s="15" t="s">
        <v>980</v>
      </c>
      <c r="AG61" s="15" t="s">
        <v>981</v>
      </c>
      <c r="AH61" s="15" t="n">
        <v>0</v>
      </c>
      <c r="AI61" s="15" t="n">
        <v>0</v>
      </c>
      <c r="AJ61" s="15" t="n">
        <v>0</v>
      </c>
      <c r="AK61" s="15" t="n">
        <v>0</v>
      </c>
      <c r="AL61" s="15" t="n">
        <v>0</v>
      </c>
      <c r="AM61" s="15" t="n">
        <v>0</v>
      </c>
      <c r="AN61" s="15" t="s">
        <v>1264</v>
      </c>
      <c r="AO61" s="15" t="s">
        <v>960</v>
      </c>
      <c r="AP61" s="15" t="s">
        <v>163</v>
      </c>
      <c r="AQ61" s="15"/>
      <c r="AR61" s="29" t="str">
        <f aca="false">IF(A61="","",IF(COUNTIF(Parcels!$A$2:$A$3000,B61)=0,"Parcel not found",IF(COUNTIF($A$2:$A$3000,A61)&gt;1,"Duplicate perm_id",IF(AND(P61="Yes",D61&lt;&gt;"",COUNTIFS($C$2:$C$3000,D61,$P$2:$P$3000,"Yes")&gt;1),"Reference counted twice",IF(COUNTIF(Lists!$A$2:$A$7,I61)=0,"Unknown status","")))))</f>
        <v/>
      </c>
    </row>
    <row r="62" customFormat="false" ht="15" hidden="false" customHeight="false" outlineLevel="0" collapsed="false">
      <c r="A62" s="15" t="s">
        <v>1311</v>
      </c>
      <c r="B62" s="15" t="s">
        <v>563</v>
      </c>
      <c r="C62" s="15" t="s">
        <v>74</v>
      </c>
      <c r="D62" s="15" t="s">
        <v>1312</v>
      </c>
      <c r="E62" s="15" t="s">
        <v>1312</v>
      </c>
      <c r="F62" s="15" t="s">
        <v>1313</v>
      </c>
      <c r="G62" s="15" t="n">
        <v>49</v>
      </c>
      <c r="H62" s="15"/>
      <c r="I62" s="15" t="s">
        <v>47</v>
      </c>
      <c r="J62" s="15" t="s">
        <v>1267</v>
      </c>
      <c r="K62" s="15" t="s">
        <v>48</v>
      </c>
      <c r="L62" s="15" t="n">
        <v>48</v>
      </c>
      <c r="M62" s="15" t="n">
        <v>0</v>
      </c>
      <c r="N62" s="15" t="s">
        <v>1268</v>
      </c>
      <c r="O62" s="15" t="s">
        <v>948</v>
      </c>
      <c r="P62" s="15" t="s">
        <v>949</v>
      </c>
      <c r="Q62" s="15" t="s">
        <v>965</v>
      </c>
      <c r="R62" s="15"/>
      <c r="S62" s="15"/>
      <c r="T62" s="15"/>
      <c r="U62" s="15"/>
      <c r="V62" s="15"/>
      <c r="W62" s="15"/>
      <c r="X62" s="15" t="s">
        <v>951</v>
      </c>
      <c r="Y62" s="15" t="s">
        <v>952</v>
      </c>
      <c r="Z62" s="15" t="s">
        <v>170</v>
      </c>
      <c r="AA62" s="15" t="s">
        <v>966</v>
      </c>
      <c r="AB62" s="15" t="s">
        <v>1314</v>
      </c>
      <c r="AC62" s="15" t="s">
        <v>1315</v>
      </c>
      <c r="AD62" s="15" t="s">
        <v>1316</v>
      </c>
      <c r="AE62" s="15" t="s">
        <v>1317</v>
      </c>
      <c r="AF62" s="15" t="s">
        <v>980</v>
      </c>
      <c r="AG62" s="15" t="s">
        <v>981</v>
      </c>
      <c r="AH62" s="15" t="n">
        <v>0</v>
      </c>
      <c r="AI62" s="15" t="n">
        <v>0</v>
      </c>
      <c r="AJ62" s="15" t="n">
        <v>0</v>
      </c>
      <c r="AK62" s="15" t="n">
        <v>0</v>
      </c>
      <c r="AL62" s="15" t="n">
        <v>0</v>
      </c>
      <c r="AM62" s="15" t="n">
        <v>0</v>
      </c>
      <c r="AN62" s="15" t="s">
        <v>1264</v>
      </c>
      <c r="AO62" s="15" t="s">
        <v>960</v>
      </c>
      <c r="AP62" s="15" t="s">
        <v>163</v>
      </c>
      <c r="AQ62" s="15"/>
      <c r="AR62" s="29" t="str">
        <f aca="false">IF(A62="","",IF(COUNTIF(Parcels!$A$2:$A$3000,B62)=0,"Parcel not found",IF(COUNTIF($A$2:$A$3000,A62)&gt;1,"Duplicate perm_id",IF(AND(P62="Yes",D62&lt;&gt;"",COUNTIFS($C$2:$C$3000,D62,$P$2:$P$3000,"Yes")&gt;1),"Reference counted twice",IF(COUNTIF(Lists!$A$2:$A$7,I62)=0,"Unknown status","")))))</f>
        <v/>
      </c>
    </row>
    <row r="63" customFormat="false" ht="15" hidden="false" customHeight="false" outlineLevel="0" collapsed="false">
      <c r="A63" s="15" t="s">
        <v>1318</v>
      </c>
      <c r="B63" s="15" t="s">
        <v>537</v>
      </c>
      <c r="C63" s="15" t="s">
        <v>58</v>
      </c>
      <c r="D63" s="15" t="s">
        <v>1319</v>
      </c>
      <c r="E63" s="15" t="s">
        <v>1319</v>
      </c>
      <c r="F63" s="15" t="s">
        <v>538</v>
      </c>
      <c r="G63" s="15" t="n">
        <v>53</v>
      </c>
      <c r="H63" s="15"/>
      <c r="I63" s="15" t="s">
        <v>47</v>
      </c>
      <c r="J63" s="15" t="s">
        <v>947</v>
      </c>
      <c r="K63" s="15" t="s">
        <v>47</v>
      </c>
      <c r="L63" s="15" t="n">
        <v>53</v>
      </c>
      <c r="M63" s="15" t="n">
        <v>0</v>
      </c>
      <c r="N63" s="15"/>
      <c r="O63" s="15" t="s">
        <v>948</v>
      </c>
      <c r="P63" s="15" t="s">
        <v>949</v>
      </c>
      <c r="Q63" s="15" t="s">
        <v>965</v>
      </c>
      <c r="R63" s="15"/>
      <c r="S63" s="15"/>
      <c r="T63" s="15"/>
      <c r="U63" s="15"/>
      <c r="V63" s="15"/>
      <c r="W63" s="15"/>
      <c r="X63" s="15" t="s">
        <v>973</v>
      </c>
      <c r="Y63" s="15" t="s">
        <v>952</v>
      </c>
      <c r="Z63" s="15" t="s">
        <v>170</v>
      </c>
      <c r="AA63" s="15" t="s">
        <v>966</v>
      </c>
      <c r="AB63" s="15" t="s">
        <v>1320</v>
      </c>
      <c r="AC63" s="15" t="s">
        <v>1321</v>
      </c>
      <c r="AD63" s="15" t="s">
        <v>1322</v>
      </c>
      <c r="AE63" s="15"/>
      <c r="AF63" s="15"/>
      <c r="AG63" s="15" t="s">
        <v>992</v>
      </c>
      <c r="AH63" s="15" t="n">
        <v>0</v>
      </c>
      <c r="AI63" s="15" t="n">
        <v>0</v>
      </c>
      <c r="AJ63" s="15" t="n">
        <v>0</v>
      </c>
      <c r="AK63" s="15" t="n">
        <v>0</v>
      </c>
      <c r="AL63" s="15" t="n">
        <v>0</v>
      </c>
      <c r="AM63" s="15" t="n">
        <v>0</v>
      </c>
      <c r="AN63" s="15" t="s">
        <v>1264</v>
      </c>
      <c r="AO63" s="15" t="s">
        <v>960</v>
      </c>
      <c r="AP63" s="15" t="s">
        <v>163</v>
      </c>
      <c r="AQ63" s="15"/>
      <c r="AR63" s="29" t="str">
        <f aca="false">IF(A63="","",IF(COUNTIF(Parcels!$A$2:$A$3000,B63)=0,"Parcel not found",IF(COUNTIF($A$2:$A$3000,A63)&gt;1,"Duplicate perm_id",IF(AND(P63="Yes",D63&lt;&gt;"",COUNTIFS($C$2:$C$3000,D63,$P$2:$P$3000,"Yes")&gt;1),"Reference counted twice",IF(COUNTIF(Lists!$A$2:$A$7,I63)=0,"Unknown status","")))))</f>
        <v/>
      </c>
    </row>
    <row r="64" customFormat="false" ht="15" hidden="false" customHeight="false" outlineLevel="0" collapsed="false">
      <c r="A64" s="15" t="s">
        <v>1323</v>
      </c>
      <c r="B64" s="15" t="s">
        <v>416</v>
      </c>
      <c r="C64" s="15" t="s">
        <v>53</v>
      </c>
      <c r="D64" s="15" t="s">
        <v>1324</v>
      </c>
      <c r="E64" s="15" t="s">
        <v>1324</v>
      </c>
      <c r="F64" s="15" t="s">
        <v>417</v>
      </c>
      <c r="G64" s="15" t="n">
        <v>14</v>
      </c>
      <c r="H64" s="15"/>
      <c r="I64" s="15" t="s">
        <v>47</v>
      </c>
      <c r="J64" s="15" t="s">
        <v>947</v>
      </c>
      <c r="K64" s="15" t="s">
        <v>47</v>
      </c>
      <c r="L64" s="15" t="n">
        <v>0</v>
      </c>
      <c r="M64" s="15" t="n">
        <v>0</v>
      </c>
      <c r="N64" s="15" t="s">
        <v>1260</v>
      </c>
      <c r="O64" s="15" t="s">
        <v>948</v>
      </c>
      <c r="P64" s="15" t="s">
        <v>949</v>
      </c>
      <c r="Q64" s="15" t="s">
        <v>989</v>
      </c>
      <c r="R64" s="15" t="n">
        <v>14</v>
      </c>
      <c r="S64" s="15" t="n">
        <v>0</v>
      </c>
      <c r="T64" s="15" t="n">
        <v>0</v>
      </c>
      <c r="U64" s="15" t="n">
        <v>0</v>
      </c>
      <c r="V64" s="15" t="n">
        <v>0</v>
      </c>
      <c r="W64" s="15" t="n">
        <v>0</v>
      </c>
      <c r="X64" s="15" t="s">
        <v>951</v>
      </c>
      <c r="Y64" s="15" t="s">
        <v>952</v>
      </c>
      <c r="Z64" s="15" t="s">
        <v>170</v>
      </c>
      <c r="AA64" s="15" t="s">
        <v>966</v>
      </c>
      <c r="AB64" s="15" t="s">
        <v>1325</v>
      </c>
      <c r="AC64" s="15" t="s">
        <v>1326</v>
      </c>
      <c r="AD64" s="15" t="s">
        <v>1304</v>
      </c>
      <c r="AE64" s="15"/>
      <c r="AF64" s="15"/>
      <c r="AG64" s="15" t="s">
        <v>992</v>
      </c>
      <c r="AH64" s="15" t="n">
        <v>0</v>
      </c>
      <c r="AI64" s="15" t="n">
        <v>0</v>
      </c>
      <c r="AJ64" s="15" t="n">
        <v>0</v>
      </c>
      <c r="AK64" s="15" t="n">
        <v>0</v>
      </c>
      <c r="AL64" s="15" t="n">
        <v>0</v>
      </c>
      <c r="AM64" s="15" t="n">
        <v>0</v>
      </c>
      <c r="AN64" s="15" t="s">
        <v>1264</v>
      </c>
      <c r="AO64" s="15" t="s">
        <v>960</v>
      </c>
      <c r="AP64" s="15" t="s">
        <v>163</v>
      </c>
      <c r="AQ64" s="15"/>
      <c r="AR64" s="29" t="str">
        <f aca="false">IF(A64="","",IF(COUNTIF(Parcels!$A$2:$A$3000,B64)=0,"Parcel not found",IF(COUNTIF($A$2:$A$3000,A64)&gt;1,"Duplicate perm_id",IF(AND(P64="Yes",D64&lt;&gt;"",COUNTIFS($C$2:$C$3000,D64,$P$2:$P$3000,"Yes")&gt;1),"Reference counted twice",IF(COUNTIF(Lists!$A$2:$A$7,I64)=0,"Unknown status","")))))</f>
        <v/>
      </c>
    </row>
    <row r="65" customFormat="false" ht="15" hidden="false" customHeight="false" outlineLevel="0" collapsed="false">
      <c r="A65" s="15" t="s">
        <v>1327</v>
      </c>
      <c r="B65" s="15" t="s">
        <v>539</v>
      </c>
      <c r="C65" s="15" t="s">
        <v>58</v>
      </c>
      <c r="D65" s="15" t="s">
        <v>1328</v>
      </c>
      <c r="E65" s="15" t="s">
        <v>1328</v>
      </c>
      <c r="F65" s="15" t="s">
        <v>1329</v>
      </c>
      <c r="G65" s="15" t="n">
        <v>37</v>
      </c>
      <c r="H65" s="15"/>
      <c r="I65" s="15" t="s">
        <v>47</v>
      </c>
      <c r="J65" s="15" t="s">
        <v>947</v>
      </c>
      <c r="K65" s="15" t="s">
        <v>47</v>
      </c>
      <c r="L65" s="15" t="n">
        <v>33</v>
      </c>
      <c r="M65" s="15" t="n">
        <v>0</v>
      </c>
      <c r="N65" s="15" t="s">
        <v>1074</v>
      </c>
      <c r="O65" s="15" t="s">
        <v>948</v>
      </c>
      <c r="P65" s="15" t="s">
        <v>949</v>
      </c>
      <c r="Q65" s="15" t="s">
        <v>989</v>
      </c>
      <c r="R65" s="15" t="n">
        <v>0</v>
      </c>
      <c r="S65" s="15" t="n">
        <v>0</v>
      </c>
      <c r="T65" s="15" t="n">
        <v>2</v>
      </c>
      <c r="U65" s="15" t="n">
        <v>32</v>
      </c>
      <c r="V65" s="15" t="n">
        <v>1</v>
      </c>
      <c r="W65" s="15" t="n">
        <v>0</v>
      </c>
      <c r="X65" s="15" t="s">
        <v>973</v>
      </c>
      <c r="Y65" s="15" t="s">
        <v>974</v>
      </c>
      <c r="Z65" s="15" t="s">
        <v>1004</v>
      </c>
      <c r="AA65" s="15" t="s">
        <v>966</v>
      </c>
      <c r="AB65" s="15" t="s">
        <v>1330</v>
      </c>
      <c r="AC65" s="15" t="s">
        <v>1331</v>
      </c>
      <c r="AD65" s="15" t="s">
        <v>1332</v>
      </c>
      <c r="AE65" s="15"/>
      <c r="AF65" s="15"/>
      <c r="AG65" s="15" t="s">
        <v>992</v>
      </c>
      <c r="AH65" s="15" t="n">
        <v>0</v>
      </c>
      <c r="AI65" s="15" t="n">
        <v>0</v>
      </c>
      <c r="AJ65" s="15" t="n">
        <v>0</v>
      </c>
      <c r="AK65" s="15" t="n">
        <v>0</v>
      </c>
      <c r="AL65" s="15" t="n">
        <v>0</v>
      </c>
      <c r="AM65" s="15" t="n">
        <v>0</v>
      </c>
      <c r="AN65" s="15" t="s">
        <v>1264</v>
      </c>
      <c r="AO65" s="15" t="s">
        <v>960</v>
      </c>
      <c r="AP65" s="15" t="s">
        <v>163</v>
      </c>
      <c r="AQ65" s="15"/>
      <c r="AR65" s="29" t="str">
        <f aca="false">IF(A65="","",IF(COUNTIF(Parcels!$A$2:$A$3000,B65)=0,"Parcel not found",IF(COUNTIF($A$2:$A$3000,A65)&gt;1,"Duplicate perm_id",IF(AND(P65="Yes",D65&lt;&gt;"",COUNTIFS($C$2:$C$3000,D65,$P$2:$P$3000,"Yes")&gt;1),"Reference counted twice",IF(COUNTIF(Lists!$A$2:$A$7,I65)=0,"Unknown status","")))))</f>
        <v/>
      </c>
    </row>
    <row r="66" customFormat="false" ht="15" hidden="false" customHeight="false" outlineLevel="0" collapsed="false">
      <c r="A66" s="15" t="s">
        <v>1333</v>
      </c>
      <c r="B66" s="15" t="s">
        <v>539</v>
      </c>
      <c r="C66" s="15" t="s">
        <v>58</v>
      </c>
      <c r="D66" s="15" t="s">
        <v>1334</v>
      </c>
      <c r="E66" s="15" t="s">
        <v>1334</v>
      </c>
      <c r="F66" s="15" t="s">
        <v>540</v>
      </c>
      <c r="G66" s="15" t="n">
        <v>133</v>
      </c>
      <c r="H66" s="15"/>
      <c r="I66" s="15" t="s">
        <v>47</v>
      </c>
      <c r="J66" s="15" t="s">
        <v>947</v>
      </c>
      <c r="K66" s="15" t="s">
        <v>47</v>
      </c>
      <c r="L66" s="15" t="n">
        <v>102</v>
      </c>
      <c r="M66" s="15" t="n">
        <v>0</v>
      </c>
      <c r="N66" s="15" t="s">
        <v>1074</v>
      </c>
      <c r="O66" s="15" t="s">
        <v>948</v>
      </c>
      <c r="P66" s="15" t="s">
        <v>949</v>
      </c>
      <c r="Q66" s="15" t="s">
        <v>989</v>
      </c>
      <c r="R66" s="15" t="n">
        <v>0</v>
      </c>
      <c r="S66" s="15" t="n">
        <v>0</v>
      </c>
      <c r="T66" s="15" t="n">
        <v>43</v>
      </c>
      <c r="U66" s="15" t="n">
        <v>55</v>
      </c>
      <c r="V66" s="15" t="n">
        <v>1</v>
      </c>
      <c r="W66" s="15" t="n">
        <v>0</v>
      </c>
      <c r="X66" s="15" t="s">
        <v>951</v>
      </c>
      <c r="Y66" s="15" t="s">
        <v>952</v>
      </c>
      <c r="Z66" s="15" t="s">
        <v>170</v>
      </c>
      <c r="AA66" s="15" t="s">
        <v>966</v>
      </c>
      <c r="AB66" s="15" t="s">
        <v>1335</v>
      </c>
      <c r="AC66" s="15" t="s">
        <v>1336</v>
      </c>
      <c r="AD66" s="15" t="s">
        <v>1337</v>
      </c>
      <c r="AE66" s="15"/>
      <c r="AF66" s="15"/>
      <c r="AG66" s="15" t="s">
        <v>992</v>
      </c>
      <c r="AH66" s="15" t="n">
        <v>0</v>
      </c>
      <c r="AI66" s="15" t="n">
        <v>0</v>
      </c>
      <c r="AJ66" s="15" t="n">
        <v>0</v>
      </c>
      <c r="AK66" s="15" t="n">
        <v>0</v>
      </c>
      <c r="AL66" s="15" t="n">
        <v>0</v>
      </c>
      <c r="AM66" s="15" t="n">
        <v>0</v>
      </c>
      <c r="AN66" s="15" t="s">
        <v>1264</v>
      </c>
      <c r="AO66" s="15" t="s">
        <v>960</v>
      </c>
      <c r="AP66" s="15" t="s">
        <v>163</v>
      </c>
      <c r="AQ66" s="15"/>
      <c r="AR66" s="29" t="str">
        <f aca="false">IF(A66="","",IF(COUNTIF(Parcels!$A$2:$A$3000,B66)=0,"Parcel not found",IF(COUNTIF($A$2:$A$3000,A66)&gt;1,"Duplicate perm_id",IF(AND(P66="Yes",D66&lt;&gt;"",COUNTIFS($C$2:$C$3000,D66,$P$2:$P$3000,"Yes")&gt;1),"Reference counted twice",IF(COUNTIF(Lists!$A$2:$A$7,I66)=0,"Unknown status","")))))</f>
        <v/>
      </c>
    </row>
    <row r="67" customFormat="false" ht="15" hidden="false" customHeight="false" outlineLevel="0" collapsed="false">
      <c r="A67" s="15" t="s">
        <v>1338</v>
      </c>
      <c r="B67" s="15" t="s">
        <v>386</v>
      </c>
      <c r="C67" s="15" t="s">
        <v>52</v>
      </c>
      <c r="D67" s="15" t="s">
        <v>1339</v>
      </c>
      <c r="E67" s="15" t="s">
        <v>1339</v>
      </c>
      <c r="F67" s="15" t="s">
        <v>387</v>
      </c>
      <c r="G67" s="15" t="n">
        <v>12</v>
      </c>
      <c r="H67" s="15"/>
      <c r="I67" s="15" t="s">
        <v>47</v>
      </c>
      <c r="J67" s="15" t="s">
        <v>947</v>
      </c>
      <c r="K67" s="15" t="s">
        <v>47</v>
      </c>
      <c r="L67" s="15" t="n">
        <v>12</v>
      </c>
      <c r="M67" s="15" t="n">
        <v>0</v>
      </c>
      <c r="N67" s="15"/>
      <c r="O67" s="15" t="s">
        <v>948</v>
      </c>
      <c r="P67" s="15" t="s">
        <v>949</v>
      </c>
      <c r="Q67" s="15" t="s">
        <v>965</v>
      </c>
      <c r="R67" s="15"/>
      <c r="S67" s="15"/>
      <c r="T67" s="15"/>
      <c r="U67" s="15"/>
      <c r="V67" s="15"/>
      <c r="W67" s="15"/>
      <c r="X67" s="15" t="s">
        <v>951</v>
      </c>
      <c r="Y67" s="15" t="s">
        <v>952</v>
      </c>
      <c r="Z67" s="15" t="s">
        <v>170</v>
      </c>
      <c r="AA67" s="15" t="s">
        <v>966</v>
      </c>
      <c r="AB67" s="15" t="s">
        <v>1340</v>
      </c>
      <c r="AC67" s="15" t="s">
        <v>1341</v>
      </c>
      <c r="AD67" s="15" t="s">
        <v>1342</v>
      </c>
      <c r="AE67" s="15"/>
      <c r="AF67" s="15"/>
      <c r="AG67" s="15" t="s">
        <v>992</v>
      </c>
      <c r="AH67" s="15" t="n">
        <v>0</v>
      </c>
      <c r="AI67" s="15" t="n">
        <v>0</v>
      </c>
      <c r="AJ67" s="15" t="n">
        <v>0</v>
      </c>
      <c r="AK67" s="15" t="n">
        <v>0</v>
      </c>
      <c r="AL67" s="15" t="n">
        <v>0</v>
      </c>
      <c r="AM67" s="15" t="n">
        <v>0</v>
      </c>
      <c r="AN67" s="15" t="s">
        <v>1264</v>
      </c>
      <c r="AO67" s="15" t="s">
        <v>960</v>
      </c>
      <c r="AP67" s="15" t="s">
        <v>163</v>
      </c>
      <c r="AQ67" s="15"/>
      <c r="AR67" s="29" t="str">
        <f aca="false">IF(A67="","",IF(COUNTIF(Parcels!$A$2:$A$3000,B67)=0,"Parcel not found",IF(COUNTIF($A$2:$A$3000,A67)&gt;1,"Duplicate perm_id",IF(AND(P67="Yes",D67&lt;&gt;"",COUNTIFS($C$2:$C$3000,D67,$P$2:$P$3000,"Yes")&gt;1),"Reference counted twice",IF(COUNTIF(Lists!$A$2:$A$7,I67)=0,"Unknown status","")))))</f>
        <v/>
      </c>
    </row>
    <row r="68" customFormat="false" ht="15" hidden="false" customHeight="false" outlineLevel="0" collapsed="false">
      <c r="A68" s="15" t="s">
        <v>1343</v>
      </c>
      <c r="B68" s="15" t="s">
        <v>541</v>
      </c>
      <c r="C68" s="15" t="s">
        <v>58</v>
      </c>
      <c r="D68" s="15" t="s">
        <v>1344</v>
      </c>
      <c r="E68" s="15" t="s">
        <v>1344</v>
      </c>
      <c r="F68" s="15" t="s">
        <v>542</v>
      </c>
      <c r="G68" s="15" t="n">
        <v>4</v>
      </c>
      <c r="H68" s="15"/>
      <c r="I68" s="15" t="s">
        <v>48</v>
      </c>
      <c r="J68" s="15" t="s">
        <v>947</v>
      </c>
      <c r="K68" s="15" t="s">
        <v>48</v>
      </c>
      <c r="L68" s="15" t="n">
        <v>3</v>
      </c>
      <c r="M68" s="15" t="n">
        <v>0</v>
      </c>
      <c r="N68" s="15"/>
      <c r="O68" s="15" t="s">
        <v>948</v>
      </c>
      <c r="P68" s="15" t="s">
        <v>949</v>
      </c>
      <c r="Q68" s="15" t="s">
        <v>965</v>
      </c>
      <c r="R68" s="15"/>
      <c r="S68" s="15"/>
      <c r="T68" s="15"/>
      <c r="U68" s="15"/>
      <c r="V68" s="15"/>
      <c r="W68" s="15"/>
      <c r="X68" s="15" t="s">
        <v>951</v>
      </c>
      <c r="Y68" s="15" t="s">
        <v>952</v>
      </c>
      <c r="Z68" s="15" t="s">
        <v>170</v>
      </c>
      <c r="AA68" s="15" t="s">
        <v>966</v>
      </c>
      <c r="AB68" s="15" t="s">
        <v>1345</v>
      </c>
      <c r="AC68" s="15" t="s">
        <v>1346</v>
      </c>
      <c r="AD68" s="15" t="s">
        <v>1347</v>
      </c>
      <c r="AE68" s="15" t="s">
        <v>1348</v>
      </c>
      <c r="AF68" s="15" t="s">
        <v>980</v>
      </c>
      <c r="AG68" s="15" t="s">
        <v>981</v>
      </c>
      <c r="AH68" s="15" t="n">
        <v>0.9</v>
      </c>
      <c r="AI68" s="15" t="n">
        <v>3.1</v>
      </c>
      <c r="AJ68" s="15" t="n">
        <v>0</v>
      </c>
      <c r="AK68" s="15" t="n">
        <v>0</v>
      </c>
      <c r="AL68" s="15" t="n">
        <v>0</v>
      </c>
      <c r="AM68" s="15" t="n">
        <v>0</v>
      </c>
      <c r="AN68" s="15" t="s">
        <v>1264</v>
      </c>
      <c r="AO68" s="15" t="s">
        <v>960</v>
      </c>
      <c r="AP68" s="15" t="s">
        <v>163</v>
      </c>
      <c r="AQ68" s="15"/>
      <c r="AR68" s="29" t="str">
        <f aca="false">IF(A68="","",IF(COUNTIF(Parcels!$A$2:$A$3000,B68)=0,"Parcel not found",IF(COUNTIF($A$2:$A$3000,A68)&gt;1,"Duplicate perm_id",IF(AND(P68="Yes",D68&lt;&gt;"",COUNTIFS($C$2:$C$3000,D68,$P$2:$P$3000,"Yes")&gt;1),"Reference counted twice",IF(COUNTIF(Lists!$A$2:$A$7,I68)=0,"Unknown status","")))))</f>
        <v/>
      </c>
    </row>
    <row r="69" customFormat="false" ht="15" hidden="false" customHeight="false" outlineLevel="0" collapsed="false">
      <c r="A69" s="15" t="s">
        <v>1349</v>
      </c>
      <c r="B69" s="15" t="s">
        <v>388</v>
      </c>
      <c r="C69" s="15" t="s">
        <v>52</v>
      </c>
      <c r="D69" s="15" t="s">
        <v>1350</v>
      </c>
      <c r="E69" s="15" t="s">
        <v>1350</v>
      </c>
      <c r="F69" s="15" t="s">
        <v>389</v>
      </c>
      <c r="G69" s="15" t="n">
        <v>6</v>
      </c>
      <c r="H69" s="15"/>
      <c r="I69" s="15" t="s">
        <v>47</v>
      </c>
      <c r="J69" s="15" t="s">
        <v>947</v>
      </c>
      <c r="K69" s="15" t="s">
        <v>47</v>
      </c>
      <c r="L69" s="15" t="n">
        <v>6</v>
      </c>
      <c r="M69" s="15" t="n">
        <v>0</v>
      </c>
      <c r="N69" s="15"/>
      <c r="O69" s="15" t="s">
        <v>948</v>
      </c>
      <c r="P69" s="15" t="s">
        <v>949</v>
      </c>
      <c r="Q69" s="15" t="s">
        <v>965</v>
      </c>
      <c r="R69" s="15"/>
      <c r="S69" s="15"/>
      <c r="T69" s="15"/>
      <c r="U69" s="15"/>
      <c r="V69" s="15"/>
      <c r="W69" s="15"/>
      <c r="X69" s="15" t="s">
        <v>1075</v>
      </c>
      <c r="Y69" s="15" t="s">
        <v>952</v>
      </c>
      <c r="Z69" s="15" t="s">
        <v>170</v>
      </c>
      <c r="AA69" s="15" t="s">
        <v>966</v>
      </c>
      <c r="AB69" s="15" t="s">
        <v>1146</v>
      </c>
      <c r="AC69" s="15" t="s">
        <v>1351</v>
      </c>
      <c r="AD69" s="15" t="s">
        <v>1352</v>
      </c>
      <c r="AE69" s="15"/>
      <c r="AF69" s="15"/>
      <c r="AG69" s="15" t="s">
        <v>992</v>
      </c>
      <c r="AH69" s="15" t="n">
        <v>0</v>
      </c>
      <c r="AI69" s="15" t="n">
        <v>0</v>
      </c>
      <c r="AJ69" s="15" t="n">
        <v>0</v>
      </c>
      <c r="AK69" s="15" t="n">
        <v>0</v>
      </c>
      <c r="AL69" s="15" t="n">
        <v>0</v>
      </c>
      <c r="AM69" s="15" t="n">
        <v>0</v>
      </c>
      <c r="AN69" s="15" t="s">
        <v>1264</v>
      </c>
      <c r="AO69" s="15" t="s">
        <v>960</v>
      </c>
      <c r="AP69" s="15" t="s">
        <v>163</v>
      </c>
      <c r="AQ69" s="15"/>
      <c r="AR69" s="29" t="str">
        <f aca="false">IF(A69="","",IF(COUNTIF(Parcels!$A$2:$A$3000,B69)=0,"Parcel not found",IF(COUNTIF($A$2:$A$3000,A69)&gt;1,"Duplicate perm_id",IF(AND(P69="Yes",D69&lt;&gt;"",COUNTIFS($C$2:$C$3000,D69,$P$2:$P$3000,"Yes")&gt;1),"Reference counted twice",IF(COUNTIF(Lists!$A$2:$A$7,I69)=0,"Unknown status","")))))</f>
        <v/>
      </c>
    </row>
    <row r="70" customFormat="false" ht="15" hidden="false" customHeight="false" outlineLevel="0" collapsed="false">
      <c r="A70" s="15" t="s">
        <v>1353</v>
      </c>
      <c r="B70" s="15" t="s">
        <v>484</v>
      </c>
      <c r="C70" s="15" t="s">
        <v>54</v>
      </c>
      <c r="D70" s="15" t="s">
        <v>1354</v>
      </c>
      <c r="E70" s="15" t="s">
        <v>1354</v>
      </c>
      <c r="F70" s="15" t="s">
        <v>485</v>
      </c>
      <c r="G70" s="15" t="n">
        <v>24</v>
      </c>
      <c r="H70" s="15"/>
      <c r="I70" s="15" t="s">
        <v>47</v>
      </c>
      <c r="J70" s="15" t="s">
        <v>947</v>
      </c>
      <c r="K70" s="15" t="s">
        <v>47</v>
      </c>
      <c r="L70" s="15" t="n">
        <v>24</v>
      </c>
      <c r="M70" s="15" t="n">
        <v>0</v>
      </c>
      <c r="N70" s="15"/>
      <c r="O70" s="15" t="s">
        <v>948</v>
      </c>
      <c r="P70" s="15" t="s">
        <v>949</v>
      </c>
      <c r="Q70" s="15" t="s">
        <v>965</v>
      </c>
      <c r="R70" s="15"/>
      <c r="S70" s="15"/>
      <c r="T70" s="15"/>
      <c r="U70" s="15"/>
      <c r="V70" s="15"/>
      <c r="W70" s="15"/>
      <c r="X70" s="15" t="s">
        <v>1075</v>
      </c>
      <c r="Y70" s="15" t="s">
        <v>952</v>
      </c>
      <c r="Z70" s="15" t="s">
        <v>170</v>
      </c>
      <c r="AA70" s="15" t="s">
        <v>966</v>
      </c>
      <c r="AB70" s="15" t="s">
        <v>1355</v>
      </c>
      <c r="AC70" s="15" t="s">
        <v>1356</v>
      </c>
      <c r="AD70" s="15" t="s">
        <v>1357</v>
      </c>
      <c r="AE70" s="15"/>
      <c r="AF70" s="15"/>
      <c r="AG70" s="15" t="s">
        <v>992</v>
      </c>
      <c r="AH70" s="15" t="n">
        <v>0</v>
      </c>
      <c r="AI70" s="15" t="n">
        <v>0</v>
      </c>
      <c r="AJ70" s="15" t="n">
        <v>0</v>
      </c>
      <c r="AK70" s="15" t="n">
        <v>0</v>
      </c>
      <c r="AL70" s="15" t="n">
        <v>0</v>
      </c>
      <c r="AM70" s="15" t="n">
        <v>0</v>
      </c>
      <c r="AN70" s="15" t="s">
        <v>1264</v>
      </c>
      <c r="AO70" s="15" t="s">
        <v>960</v>
      </c>
      <c r="AP70" s="15" t="s">
        <v>163</v>
      </c>
      <c r="AQ70" s="15"/>
      <c r="AR70" s="29" t="str">
        <f aca="false">IF(A70="","",IF(COUNTIF(Parcels!$A$2:$A$3000,B70)=0,"Parcel not found",IF(COUNTIF($A$2:$A$3000,A70)&gt;1,"Duplicate perm_id",IF(AND(P70="Yes",D70&lt;&gt;"",COUNTIFS($C$2:$C$3000,D70,$P$2:$P$3000,"Yes")&gt;1),"Reference counted twice",IF(COUNTIF(Lists!$A$2:$A$7,I70)=0,"Unknown status","")))))</f>
        <v/>
      </c>
    </row>
    <row r="71" customFormat="false" ht="15" hidden="false" customHeight="false" outlineLevel="0" collapsed="false">
      <c r="A71" s="15" t="s">
        <v>1358</v>
      </c>
      <c r="B71" s="15" t="s">
        <v>525</v>
      </c>
      <c r="C71" s="15" t="s">
        <v>57</v>
      </c>
      <c r="D71" s="15" t="s">
        <v>1359</v>
      </c>
      <c r="E71" s="15" t="s">
        <v>1359</v>
      </c>
      <c r="F71" s="15" t="s">
        <v>526</v>
      </c>
      <c r="G71" s="15" t="n">
        <v>26</v>
      </c>
      <c r="H71" s="15"/>
      <c r="I71" s="15" t="s">
        <v>48</v>
      </c>
      <c r="J71" s="15" t="s">
        <v>947</v>
      </c>
      <c r="K71" s="15" t="s">
        <v>48</v>
      </c>
      <c r="L71" s="15" t="n">
        <v>23</v>
      </c>
      <c r="M71" s="15" t="n">
        <v>0</v>
      </c>
      <c r="N71" s="15"/>
      <c r="O71" s="15" t="s">
        <v>948</v>
      </c>
      <c r="P71" s="15" t="s">
        <v>949</v>
      </c>
      <c r="Q71" s="15" t="s">
        <v>965</v>
      </c>
      <c r="R71" s="15"/>
      <c r="S71" s="15"/>
      <c r="T71" s="15"/>
      <c r="U71" s="15"/>
      <c r="V71" s="15"/>
      <c r="W71" s="15"/>
      <c r="X71" s="15" t="s">
        <v>1075</v>
      </c>
      <c r="Y71" s="15" t="s">
        <v>952</v>
      </c>
      <c r="Z71" s="15" t="s">
        <v>170</v>
      </c>
      <c r="AA71" s="15" t="s">
        <v>966</v>
      </c>
      <c r="AB71" s="15" t="s">
        <v>1360</v>
      </c>
      <c r="AC71" s="15" t="s">
        <v>1361</v>
      </c>
      <c r="AD71" s="15" t="s">
        <v>1362</v>
      </c>
      <c r="AE71" s="15" t="s">
        <v>1363</v>
      </c>
      <c r="AF71" s="15" t="s">
        <v>980</v>
      </c>
      <c r="AG71" s="15" t="s">
        <v>981</v>
      </c>
      <c r="AH71" s="15" t="n">
        <v>6.1</v>
      </c>
      <c r="AI71" s="15" t="n">
        <v>19.9</v>
      </c>
      <c r="AJ71" s="15" t="n">
        <v>0</v>
      </c>
      <c r="AK71" s="15" t="n">
        <v>0</v>
      </c>
      <c r="AL71" s="15" t="n">
        <v>0</v>
      </c>
      <c r="AM71" s="15" t="n">
        <v>0</v>
      </c>
      <c r="AN71" s="15" t="s">
        <v>1264</v>
      </c>
      <c r="AO71" s="15" t="s">
        <v>960</v>
      </c>
      <c r="AP71" s="15" t="s">
        <v>163</v>
      </c>
      <c r="AQ71" s="15"/>
      <c r="AR71" s="29" t="str">
        <f aca="false">IF(A71="","",IF(COUNTIF(Parcels!$A$2:$A$3000,B71)=0,"Parcel not found",IF(COUNTIF($A$2:$A$3000,A71)&gt;1,"Duplicate perm_id",IF(AND(P71="Yes",D71&lt;&gt;"",COUNTIFS($C$2:$C$3000,D71,$P$2:$P$3000,"Yes")&gt;1),"Reference counted twice",IF(COUNTIF(Lists!$A$2:$A$7,I71)=0,"Unknown status","")))))</f>
        <v/>
      </c>
    </row>
    <row r="72" customFormat="false" ht="15" hidden="false" customHeight="false" outlineLevel="0" collapsed="false">
      <c r="A72" s="15" t="s">
        <v>1364</v>
      </c>
      <c r="B72" s="15" t="s">
        <v>543</v>
      </c>
      <c r="C72" s="15" t="s">
        <v>58</v>
      </c>
      <c r="D72" s="15" t="s">
        <v>1365</v>
      </c>
      <c r="E72" s="15" t="s">
        <v>1365</v>
      </c>
      <c r="F72" s="15" t="s">
        <v>544</v>
      </c>
      <c r="G72" s="15" t="n">
        <v>4</v>
      </c>
      <c r="H72" s="15"/>
      <c r="I72" s="15" t="s">
        <v>47</v>
      </c>
      <c r="J72" s="15" t="s">
        <v>947</v>
      </c>
      <c r="K72" s="15" t="s">
        <v>47</v>
      </c>
      <c r="L72" s="15" t="n">
        <v>4</v>
      </c>
      <c r="M72" s="15" t="n">
        <v>0</v>
      </c>
      <c r="N72" s="15"/>
      <c r="O72" s="15" t="s">
        <v>948</v>
      </c>
      <c r="P72" s="15" t="s">
        <v>949</v>
      </c>
      <c r="Q72" s="15" t="s">
        <v>965</v>
      </c>
      <c r="R72" s="15"/>
      <c r="S72" s="15"/>
      <c r="T72" s="15"/>
      <c r="U72" s="15"/>
      <c r="V72" s="15"/>
      <c r="W72" s="15"/>
      <c r="X72" s="15" t="s">
        <v>951</v>
      </c>
      <c r="Y72" s="15" t="s">
        <v>952</v>
      </c>
      <c r="Z72" s="15" t="s">
        <v>170</v>
      </c>
      <c r="AA72" s="15" t="s">
        <v>966</v>
      </c>
      <c r="AB72" s="15" t="s">
        <v>1366</v>
      </c>
      <c r="AC72" s="15" t="s">
        <v>1367</v>
      </c>
      <c r="AD72" s="15" t="s">
        <v>1368</v>
      </c>
      <c r="AE72" s="15"/>
      <c r="AF72" s="15"/>
      <c r="AG72" s="15" t="s">
        <v>992</v>
      </c>
      <c r="AH72" s="15" t="n">
        <v>0</v>
      </c>
      <c r="AI72" s="15" t="n">
        <v>0</v>
      </c>
      <c r="AJ72" s="15" t="n">
        <v>0</v>
      </c>
      <c r="AK72" s="15" t="n">
        <v>0</v>
      </c>
      <c r="AL72" s="15" t="n">
        <v>0</v>
      </c>
      <c r="AM72" s="15" t="n">
        <v>0</v>
      </c>
      <c r="AN72" s="15" t="s">
        <v>1264</v>
      </c>
      <c r="AO72" s="15" t="s">
        <v>960</v>
      </c>
      <c r="AP72" s="15" t="s">
        <v>163</v>
      </c>
      <c r="AQ72" s="15"/>
      <c r="AR72" s="29" t="str">
        <f aca="false">IF(A72="","",IF(COUNTIF(Parcels!$A$2:$A$3000,B72)=0,"Parcel not found",IF(COUNTIF($A$2:$A$3000,A72)&gt;1,"Duplicate perm_id",IF(AND(P72="Yes",D72&lt;&gt;"",COUNTIFS($C$2:$C$3000,D72,$P$2:$P$3000,"Yes")&gt;1),"Reference counted twice",IF(COUNTIF(Lists!$A$2:$A$7,I72)=0,"Unknown status","")))))</f>
        <v/>
      </c>
    </row>
    <row r="73" customFormat="false" ht="15" hidden="false" customHeight="false" outlineLevel="0" collapsed="false">
      <c r="A73" s="15" t="s">
        <v>1369</v>
      </c>
      <c r="B73" s="15" t="s">
        <v>418</v>
      </c>
      <c r="C73" s="15" t="s">
        <v>53</v>
      </c>
      <c r="D73" s="15" t="s">
        <v>1370</v>
      </c>
      <c r="E73" s="15" t="s">
        <v>1370</v>
      </c>
      <c r="F73" s="15" t="s">
        <v>419</v>
      </c>
      <c r="G73" s="15" t="n">
        <v>14</v>
      </c>
      <c r="H73" s="15"/>
      <c r="I73" s="15" t="s">
        <v>47</v>
      </c>
      <c r="J73" s="15" t="s">
        <v>947</v>
      </c>
      <c r="K73" s="15" t="s">
        <v>47</v>
      </c>
      <c r="L73" s="15" t="n">
        <v>14</v>
      </c>
      <c r="M73" s="15" t="n">
        <v>0</v>
      </c>
      <c r="N73" s="15"/>
      <c r="O73" s="15" t="s">
        <v>948</v>
      </c>
      <c r="P73" s="15" t="s">
        <v>949</v>
      </c>
      <c r="Q73" s="15" t="s">
        <v>989</v>
      </c>
      <c r="R73" s="15" t="n">
        <v>0</v>
      </c>
      <c r="S73" s="15" t="n">
        <v>0</v>
      </c>
      <c r="T73" s="15" t="n">
        <v>14</v>
      </c>
      <c r="U73" s="15" t="n">
        <v>0</v>
      </c>
      <c r="V73" s="15" t="n">
        <v>0</v>
      </c>
      <c r="W73" s="15" t="n">
        <v>0</v>
      </c>
      <c r="X73" s="15" t="s">
        <v>951</v>
      </c>
      <c r="Y73" s="15" t="s">
        <v>974</v>
      </c>
      <c r="Z73" s="15" t="s">
        <v>975</v>
      </c>
      <c r="AA73" s="15" t="s">
        <v>976</v>
      </c>
      <c r="AB73" s="15" t="s">
        <v>1371</v>
      </c>
      <c r="AC73" s="15"/>
      <c r="AD73" s="15" t="s">
        <v>1372</v>
      </c>
      <c r="AE73" s="15"/>
      <c r="AF73" s="15"/>
      <c r="AG73" s="15" t="s">
        <v>992</v>
      </c>
      <c r="AH73" s="15" t="n">
        <v>0</v>
      </c>
      <c r="AI73" s="15" t="n">
        <v>0</v>
      </c>
      <c r="AJ73" s="15" t="n">
        <v>0</v>
      </c>
      <c r="AK73" s="15" t="n">
        <v>0</v>
      </c>
      <c r="AL73" s="15" t="n">
        <v>0</v>
      </c>
      <c r="AM73" s="15" t="n">
        <v>0</v>
      </c>
      <c r="AN73" s="15" t="s">
        <v>1264</v>
      </c>
      <c r="AO73" s="15" t="s">
        <v>960</v>
      </c>
      <c r="AP73" s="15" t="s">
        <v>163</v>
      </c>
      <c r="AQ73" s="15"/>
      <c r="AR73" s="29" t="str">
        <f aca="false">IF(A73="","",IF(COUNTIF(Parcels!$A$2:$A$3000,B73)=0,"Parcel not found",IF(COUNTIF($A$2:$A$3000,A73)&gt;1,"Duplicate perm_id",IF(AND(P73="Yes",D73&lt;&gt;"",COUNTIFS($C$2:$C$3000,D73,$P$2:$P$3000,"Yes")&gt;1),"Reference counted twice",IF(COUNTIF(Lists!$A$2:$A$7,I73)=0,"Unknown status","")))))</f>
        <v/>
      </c>
    </row>
    <row r="74" customFormat="false" ht="15" hidden="false" customHeight="false" outlineLevel="0" collapsed="false">
      <c r="A74" s="15" t="s">
        <v>1373</v>
      </c>
      <c r="B74" s="15" t="s">
        <v>565</v>
      </c>
      <c r="C74" s="15" t="s">
        <v>71</v>
      </c>
      <c r="D74" s="15" t="s">
        <v>1374</v>
      </c>
      <c r="E74" s="15" t="s">
        <v>1374</v>
      </c>
      <c r="F74" s="15" t="s">
        <v>566</v>
      </c>
      <c r="G74" s="15" t="n">
        <v>20</v>
      </c>
      <c r="H74" s="15"/>
      <c r="I74" s="15" t="s">
        <v>47</v>
      </c>
      <c r="J74" s="15" t="s">
        <v>947</v>
      </c>
      <c r="K74" s="15" t="s">
        <v>47</v>
      </c>
      <c r="L74" s="15" t="n">
        <v>20</v>
      </c>
      <c r="M74" s="15" t="n">
        <v>0</v>
      </c>
      <c r="N74" s="15"/>
      <c r="O74" s="15" t="s">
        <v>948</v>
      </c>
      <c r="P74" s="15" t="s">
        <v>949</v>
      </c>
      <c r="Q74" s="15" t="s">
        <v>989</v>
      </c>
      <c r="R74" s="15" t="n">
        <v>0</v>
      </c>
      <c r="S74" s="15" t="n">
        <v>0</v>
      </c>
      <c r="T74" s="15" t="n">
        <v>12</v>
      </c>
      <c r="U74" s="15" t="n">
        <v>7</v>
      </c>
      <c r="V74" s="15" t="n">
        <v>1</v>
      </c>
      <c r="W74" s="15" t="n">
        <v>0</v>
      </c>
      <c r="X74" s="15" t="s">
        <v>951</v>
      </c>
      <c r="Y74" s="15" t="s">
        <v>974</v>
      </c>
      <c r="Z74" s="15" t="s">
        <v>975</v>
      </c>
      <c r="AA74" s="15" t="s">
        <v>976</v>
      </c>
      <c r="AB74" s="15" t="s">
        <v>1375</v>
      </c>
      <c r="AC74" s="15"/>
      <c r="AD74" s="15" t="s">
        <v>1376</v>
      </c>
      <c r="AE74" s="15"/>
      <c r="AF74" s="15"/>
      <c r="AG74" s="15" t="s">
        <v>992</v>
      </c>
      <c r="AH74" s="15" t="n">
        <v>0</v>
      </c>
      <c r="AI74" s="15" t="n">
        <v>0</v>
      </c>
      <c r="AJ74" s="15" t="n">
        <v>0</v>
      </c>
      <c r="AK74" s="15" t="n">
        <v>0</v>
      </c>
      <c r="AL74" s="15" t="n">
        <v>0</v>
      </c>
      <c r="AM74" s="15" t="n">
        <v>0</v>
      </c>
      <c r="AN74" s="15" t="s">
        <v>1264</v>
      </c>
      <c r="AO74" s="15" t="s">
        <v>960</v>
      </c>
      <c r="AP74" s="15" t="s">
        <v>163</v>
      </c>
      <c r="AQ74" s="15"/>
      <c r="AR74" s="29" t="str">
        <f aca="false">IF(A74="","",IF(COUNTIF(Parcels!$A$2:$A$3000,B74)=0,"Parcel not found",IF(COUNTIF($A$2:$A$3000,A74)&gt;1,"Duplicate perm_id",IF(AND(P74="Yes",D74&lt;&gt;"",COUNTIFS($C$2:$C$3000,D74,$P$2:$P$3000,"Yes")&gt;1),"Reference counted twice",IF(COUNTIF(Lists!$A$2:$A$7,I74)=0,"Unknown status","")))))</f>
        <v/>
      </c>
    </row>
    <row r="75" customFormat="false" ht="15" hidden="false" customHeight="false" outlineLevel="0" collapsed="false">
      <c r="A75" s="15" t="s">
        <v>1377</v>
      </c>
      <c r="B75" s="15" t="s">
        <v>351</v>
      </c>
      <c r="C75" s="15" t="s">
        <v>51</v>
      </c>
      <c r="D75" s="15" t="s">
        <v>1378</v>
      </c>
      <c r="E75" s="15" t="s">
        <v>1378</v>
      </c>
      <c r="F75" s="15" t="s">
        <v>352</v>
      </c>
      <c r="G75" s="15" t="n">
        <v>5</v>
      </c>
      <c r="H75" s="15"/>
      <c r="I75" s="15" t="s">
        <v>946</v>
      </c>
      <c r="J75" s="15" t="s">
        <v>947</v>
      </c>
      <c r="K75" s="15" t="s">
        <v>946</v>
      </c>
      <c r="L75" s="15" t="n">
        <v>0</v>
      </c>
      <c r="M75" s="15" t="n">
        <v>0</v>
      </c>
      <c r="N75" s="15"/>
      <c r="O75" s="15" t="s">
        <v>948</v>
      </c>
      <c r="P75" s="15" t="s">
        <v>949</v>
      </c>
      <c r="Q75" s="15" t="s">
        <v>1272</v>
      </c>
      <c r="R75" s="15"/>
      <c r="S75" s="15"/>
      <c r="T75" s="15"/>
      <c r="U75" s="15"/>
      <c r="V75" s="15"/>
      <c r="W75" s="15"/>
      <c r="X75" s="15" t="s">
        <v>951</v>
      </c>
      <c r="Y75" s="15" t="s">
        <v>974</v>
      </c>
      <c r="Z75" s="15" t="s">
        <v>975</v>
      </c>
      <c r="AA75" s="15" t="s">
        <v>976</v>
      </c>
      <c r="AB75" s="15" t="s">
        <v>1379</v>
      </c>
      <c r="AC75" s="15"/>
      <c r="AD75" s="15"/>
      <c r="AE75" s="15" t="s">
        <v>956</v>
      </c>
      <c r="AF75" s="15" t="s">
        <v>1133</v>
      </c>
      <c r="AG75" s="15" t="s">
        <v>958</v>
      </c>
      <c r="AH75" s="15" t="n">
        <v>0</v>
      </c>
      <c r="AI75" s="15" t="n">
        <v>0</v>
      </c>
      <c r="AJ75" s="15" t="n">
        <v>3.2</v>
      </c>
      <c r="AK75" s="15" t="n">
        <v>1.8</v>
      </c>
      <c r="AL75" s="15" t="n">
        <v>0</v>
      </c>
      <c r="AM75" s="15" t="n">
        <v>0</v>
      </c>
      <c r="AN75" s="15" t="s">
        <v>1264</v>
      </c>
      <c r="AO75" s="15" t="s">
        <v>1274</v>
      </c>
      <c r="AP75" s="15" t="s">
        <v>163</v>
      </c>
      <c r="AQ75" s="15"/>
      <c r="AR75" s="29" t="str">
        <f aca="false">IF(A75="","",IF(COUNTIF(Parcels!$A$2:$A$3000,B75)=0,"Parcel not found",IF(COUNTIF($A$2:$A$3000,A75)&gt;1,"Duplicate perm_id",IF(AND(P75="Yes",D75&lt;&gt;"",COUNTIFS($C$2:$C$3000,D75,$P$2:$P$3000,"Yes")&gt;1),"Reference counted twice",IF(COUNTIF(Lists!$A$2:$A$7,I75)=0,"Unknown status","")))))</f>
        <v/>
      </c>
    </row>
    <row r="76" customFormat="false" ht="15" hidden="false" customHeight="false" outlineLevel="0" collapsed="false">
      <c r="A76" s="15" t="s">
        <v>1380</v>
      </c>
      <c r="B76" s="15" t="s">
        <v>545</v>
      </c>
      <c r="C76" s="15" t="s">
        <v>58</v>
      </c>
      <c r="D76" s="15" t="s">
        <v>1381</v>
      </c>
      <c r="E76" s="15" t="s">
        <v>1381</v>
      </c>
      <c r="F76" s="15" t="s">
        <v>546</v>
      </c>
      <c r="G76" s="15" t="n">
        <v>43</v>
      </c>
      <c r="H76" s="15"/>
      <c r="I76" s="15" t="s">
        <v>47</v>
      </c>
      <c r="J76" s="15" t="s">
        <v>947</v>
      </c>
      <c r="K76" s="15" t="s">
        <v>47</v>
      </c>
      <c r="L76" s="15" t="n">
        <v>43</v>
      </c>
      <c r="M76" s="15" t="n">
        <v>0</v>
      </c>
      <c r="N76" s="15"/>
      <c r="O76" s="15" t="s">
        <v>948</v>
      </c>
      <c r="P76" s="15" t="s">
        <v>949</v>
      </c>
      <c r="Q76" s="15" t="s">
        <v>989</v>
      </c>
      <c r="R76" s="15" t="n">
        <v>0</v>
      </c>
      <c r="S76" s="15" t="n">
        <v>0</v>
      </c>
      <c r="T76" s="15" t="n">
        <v>20</v>
      </c>
      <c r="U76" s="15" t="n">
        <v>23</v>
      </c>
      <c r="V76" s="15" t="n">
        <v>0</v>
      </c>
      <c r="W76" s="15" t="n">
        <v>0</v>
      </c>
      <c r="X76" s="15" t="s">
        <v>951</v>
      </c>
      <c r="Y76" s="15" t="s">
        <v>974</v>
      </c>
      <c r="Z76" s="15" t="s">
        <v>975</v>
      </c>
      <c r="AA76" s="15" t="s">
        <v>976</v>
      </c>
      <c r="AB76" s="15" t="s">
        <v>1382</v>
      </c>
      <c r="AC76" s="15"/>
      <c r="AD76" s="15" t="s">
        <v>1383</v>
      </c>
      <c r="AE76" s="15"/>
      <c r="AF76" s="15"/>
      <c r="AG76" s="15" t="s">
        <v>992</v>
      </c>
      <c r="AH76" s="15" t="n">
        <v>0</v>
      </c>
      <c r="AI76" s="15" t="n">
        <v>0</v>
      </c>
      <c r="AJ76" s="15" t="n">
        <v>0</v>
      </c>
      <c r="AK76" s="15" t="n">
        <v>0</v>
      </c>
      <c r="AL76" s="15" t="n">
        <v>0</v>
      </c>
      <c r="AM76" s="15" t="n">
        <v>0</v>
      </c>
      <c r="AN76" s="15" t="s">
        <v>1264</v>
      </c>
      <c r="AO76" s="15" t="s">
        <v>960</v>
      </c>
      <c r="AP76" s="15" t="s">
        <v>163</v>
      </c>
      <c r="AQ76" s="15"/>
      <c r="AR76" s="29" t="str">
        <f aca="false">IF(A76="","",IF(COUNTIF(Parcels!$A$2:$A$3000,B76)=0,"Parcel not found",IF(COUNTIF($A$2:$A$3000,A76)&gt;1,"Duplicate perm_id",IF(AND(P76="Yes",D76&lt;&gt;"",COUNTIFS($C$2:$C$3000,D76,$P$2:$P$3000,"Yes")&gt;1),"Reference counted twice",IF(COUNTIF(Lists!$A$2:$A$7,I76)=0,"Unknown status","")))))</f>
        <v/>
      </c>
    </row>
    <row r="77" customFormat="false" ht="15" hidden="false" customHeight="false" outlineLevel="0" collapsed="false">
      <c r="A77" s="15" t="s">
        <v>1384</v>
      </c>
      <c r="B77" s="15" t="s">
        <v>353</v>
      </c>
      <c r="C77" s="15" t="s">
        <v>51</v>
      </c>
      <c r="D77" s="15" t="s">
        <v>1385</v>
      </c>
      <c r="E77" s="15" t="s">
        <v>1385</v>
      </c>
      <c r="F77" s="15" t="s">
        <v>354</v>
      </c>
      <c r="G77" s="15" t="n">
        <v>43</v>
      </c>
      <c r="H77" s="15"/>
      <c r="I77" s="15" t="s">
        <v>47</v>
      </c>
      <c r="J77" s="15" t="s">
        <v>947</v>
      </c>
      <c r="K77" s="15" t="s">
        <v>47</v>
      </c>
      <c r="L77" s="15" t="n">
        <v>43</v>
      </c>
      <c r="M77" s="15" t="n">
        <v>0</v>
      </c>
      <c r="N77" s="15"/>
      <c r="O77" s="15" t="s">
        <v>948</v>
      </c>
      <c r="P77" s="15" t="s">
        <v>949</v>
      </c>
      <c r="Q77" s="15" t="s">
        <v>989</v>
      </c>
      <c r="R77" s="15" t="n">
        <v>0</v>
      </c>
      <c r="S77" s="15" t="n">
        <v>3</v>
      </c>
      <c r="T77" s="15" t="n">
        <v>19</v>
      </c>
      <c r="U77" s="15" t="n">
        <v>17</v>
      </c>
      <c r="V77" s="15" t="n">
        <v>4</v>
      </c>
      <c r="W77" s="15" t="n">
        <v>0</v>
      </c>
      <c r="X77" s="15" t="s">
        <v>951</v>
      </c>
      <c r="Y77" s="15" t="s">
        <v>974</v>
      </c>
      <c r="Z77" s="15" t="s">
        <v>975</v>
      </c>
      <c r="AA77" s="15" t="s">
        <v>976</v>
      </c>
      <c r="AB77" s="15" t="s">
        <v>1382</v>
      </c>
      <c r="AC77" s="15"/>
      <c r="AD77" s="15" t="s">
        <v>1386</v>
      </c>
      <c r="AE77" s="15"/>
      <c r="AF77" s="15"/>
      <c r="AG77" s="15" t="s">
        <v>992</v>
      </c>
      <c r="AH77" s="15" t="n">
        <v>0</v>
      </c>
      <c r="AI77" s="15" t="n">
        <v>0</v>
      </c>
      <c r="AJ77" s="15" t="n">
        <v>0</v>
      </c>
      <c r="AK77" s="15" t="n">
        <v>0</v>
      </c>
      <c r="AL77" s="15" t="n">
        <v>0</v>
      </c>
      <c r="AM77" s="15" t="n">
        <v>0</v>
      </c>
      <c r="AN77" s="15" t="s">
        <v>1264</v>
      </c>
      <c r="AO77" s="15" t="s">
        <v>960</v>
      </c>
      <c r="AP77" s="15" t="s">
        <v>163</v>
      </c>
      <c r="AQ77" s="15"/>
      <c r="AR77" s="29" t="str">
        <f aca="false">IF(A77="","",IF(COUNTIF(Parcels!$A$2:$A$3000,B77)=0,"Parcel not found",IF(COUNTIF($A$2:$A$3000,A77)&gt;1,"Duplicate perm_id",IF(AND(P77="Yes",D77&lt;&gt;"",COUNTIFS($C$2:$C$3000,D77,$P$2:$P$3000,"Yes")&gt;1),"Reference counted twice",IF(COUNTIF(Lists!$A$2:$A$7,I77)=0,"Unknown status","")))))</f>
        <v/>
      </c>
    </row>
    <row r="78" customFormat="false" ht="15" hidden="false" customHeight="false" outlineLevel="0" collapsed="false">
      <c r="A78" s="15" t="s">
        <v>1387</v>
      </c>
      <c r="B78" s="15" t="s">
        <v>355</v>
      </c>
      <c r="C78" s="15" t="s">
        <v>51</v>
      </c>
      <c r="D78" s="15" t="s">
        <v>1388</v>
      </c>
      <c r="E78" s="15" t="s">
        <v>1388</v>
      </c>
      <c r="F78" s="15" t="s">
        <v>356</v>
      </c>
      <c r="G78" s="15" t="n">
        <v>5</v>
      </c>
      <c r="H78" s="15"/>
      <c r="I78" s="15" t="s">
        <v>47</v>
      </c>
      <c r="J78" s="15" t="s">
        <v>947</v>
      </c>
      <c r="K78" s="15" t="s">
        <v>47</v>
      </c>
      <c r="L78" s="15" t="n">
        <v>5</v>
      </c>
      <c r="M78" s="15" t="n">
        <v>0</v>
      </c>
      <c r="N78" s="15"/>
      <c r="O78" s="15" t="s">
        <v>948</v>
      </c>
      <c r="P78" s="15" t="s">
        <v>949</v>
      </c>
      <c r="Q78" s="15" t="s">
        <v>989</v>
      </c>
      <c r="R78" s="15" t="n">
        <v>0</v>
      </c>
      <c r="S78" s="15" t="n">
        <v>0</v>
      </c>
      <c r="T78" s="15" t="n">
        <v>2</v>
      </c>
      <c r="U78" s="15" t="n">
        <v>2</v>
      </c>
      <c r="V78" s="15" t="n">
        <v>1</v>
      </c>
      <c r="W78" s="15" t="n">
        <v>0</v>
      </c>
      <c r="X78" s="15" t="s">
        <v>951</v>
      </c>
      <c r="Y78" s="15" t="s">
        <v>974</v>
      </c>
      <c r="Z78" s="15" t="s">
        <v>975</v>
      </c>
      <c r="AA78" s="15" t="s">
        <v>976</v>
      </c>
      <c r="AB78" s="15" t="s">
        <v>990</v>
      </c>
      <c r="AC78" s="15"/>
      <c r="AD78" s="15" t="s">
        <v>1389</v>
      </c>
      <c r="AE78" s="15"/>
      <c r="AF78" s="15"/>
      <c r="AG78" s="15" t="s">
        <v>992</v>
      </c>
      <c r="AH78" s="15" t="n">
        <v>0</v>
      </c>
      <c r="AI78" s="15" t="n">
        <v>0</v>
      </c>
      <c r="AJ78" s="15" t="n">
        <v>0</v>
      </c>
      <c r="AK78" s="15" t="n">
        <v>0</v>
      </c>
      <c r="AL78" s="15" t="n">
        <v>0</v>
      </c>
      <c r="AM78" s="15" t="n">
        <v>0</v>
      </c>
      <c r="AN78" s="15" t="s">
        <v>1264</v>
      </c>
      <c r="AO78" s="15" t="s">
        <v>960</v>
      </c>
      <c r="AP78" s="15" t="s">
        <v>163</v>
      </c>
      <c r="AQ78" s="15"/>
      <c r="AR78" s="29" t="str">
        <f aca="false">IF(A78="","",IF(COUNTIF(Parcels!$A$2:$A$3000,B78)=0,"Parcel not found",IF(COUNTIF($A$2:$A$3000,A78)&gt;1,"Duplicate perm_id",IF(AND(P78="Yes",D78&lt;&gt;"",COUNTIFS($C$2:$C$3000,D78,$P$2:$P$3000,"Yes")&gt;1),"Reference counted twice",IF(COUNTIF(Lists!$A$2:$A$7,I78)=0,"Unknown status","")))))</f>
        <v/>
      </c>
    </row>
    <row r="79" customFormat="false" ht="15" hidden="false" customHeight="false" outlineLevel="0" collapsed="false">
      <c r="A79" s="15" t="s">
        <v>1390</v>
      </c>
      <c r="B79" s="15" t="s">
        <v>567</v>
      </c>
      <c r="C79" s="15" t="s">
        <v>60</v>
      </c>
      <c r="D79" s="15" t="s">
        <v>1391</v>
      </c>
      <c r="E79" s="15" t="s">
        <v>1391</v>
      </c>
      <c r="F79" s="15" t="s">
        <v>569</v>
      </c>
      <c r="G79" s="15" t="n">
        <v>7</v>
      </c>
      <c r="H79" s="15"/>
      <c r="I79" s="15" t="s">
        <v>946</v>
      </c>
      <c r="J79" s="15" t="s">
        <v>947</v>
      </c>
      <c r="K79" s="15" t="s">
        <v>946</v>
      </c>
      <c r="L79" s="15" t="n">
        <v>0</v>
      </c>
      <c r="M79" s="15" t="n">
        <v>0</v>
      </c>
      <c r="N79" s="15"/>
      <c r="O79" s="15" t="s">
        <v>948</v>
      </c>
      <c r="P79" s="15" t="s">
        <v>949</v>
      </c>
      <c r="Q79" s="15" t="s">
        <v>989</v>
      </c>
      <c r="R79" s="15" t="n">
        <v>0</v>
      </c>
      <c r="S79" s="15" t="n">
        <v>0</v>
      </c>
      <c r="T79" s="15" t="n">
        <v>7</v>
      </c>
      <c r="U79" s="15" t="n">
        <v>0</v>
      </c>
      <c r="V79" s="15" t="n">
        <v>0</v>
      </c>
      <c r="W79" s="15" t="n">
        <v>0</v>
      </c>
      <c r="X79" s="15" t="s">
        <v>951</v>
      </c>
      <c r="Y79" s="15" t="s">
        <v>974</v>
      </c>
      <c r="Z79" s="15" t="s">
        <v>975</v>
      </c>
      <c r="AA79" s="15" t="s">
        <v>976</v>
      </c>
      <c r="AB79" s="15" t="s">
        <v>1392</v>
      </c>
      <c r="AC79" s="15"/>
      <c r="AD79" s="15"/>
      <c r="AE79" s="15" t="s">
        <v>956</v>
      </c>
      <c r="AF79" s="15" t="s">
        <v>1133</v>
      </c>
      <c r="AG79" s="15" t="s">
        <v>958</v>
      </c>
      <c r="AH79" s="15" t="n">
        <v>0</v>
      </c>
      <c r="AI79" s="15" t="n">
        <v>0</v>
      </c>
      <c r="AJ79" s="15" t="n">
        <v>4.4</v>
      </c>
      <c r="AK79" s="15" t="n">
        <v>2.6</v>
      </c>
      <c r="AL79" s="15" t="n">
        <v>0</v>
      </c>
      <c r="AM79" s="15" t="n">
        <v>0</v>
      </c>
      <c r="AN79" s="15" t="s">
        <v>1264</v>
      </c>
      <c r="AO79" s="15" t="s">
        <v>960</v>
      </c>
      <c r="AP79" s="15" t="s">
        <v>163</v>
      </c>
      <c r="AQ79" s="15"/>
      <c r="AR79" s="29" t="str">
        <f aca="false">IF(A79="","",IF(COUNTIF(Parcels!$A$2:$A$3000,B79)=0,"Parcel not found",IF(COUNTIF($A$2:$A$3000,A79)&gt;1,"Duplicate perm_id",IF(AND(P79="Yes",D79&lt;&gt;"",COUNTIFS($C$2:$C$3000,D79,$P$2:$P$3000,"Yes")&gt;1),"Reference counted twice",IF(COUNTIF(Lists!$A$2:$A$7,I79)=0,"Unknown status","")))))</f>
        <v/>
      </c>
    </row>
    <row r="80" customFormat="false" ht="15" hidden="false" customHeight="false" outlineLevel="0" collapsed="false">
      <c r="A80" s="15" t="s">
        <v>1393</v>
      </c>
      <c r="B80" s="15" t="s">
        <v>344</v>
      </c>
      <c r="C80" s="15" t="s">
        <v>50</v>
      </c>
      <c r="D80" s="15" t="s">
        <v>1394</v>
      </c>
      <c r="E80" s="15" t="s">
        <v>1394</v>
      </c>
      <c r="F80" s="15" t="s">
        <v>345</v>
      </c>
      <c r="G80" s="15" t="n">
        <v>17</v>
      </c>
      <c r="H80" s="15"/>
      <c r="I80" s="15" t="s">
        <v>47</v>
      </c>
      <c r="J80" s="15" t="s">
        <v>947</v>
      </c>
      <c r="K80" s="15" t="s">
        <v>47</v>
      </c>
      <c r="L80" s="15" t="n">
        <v>17</v>
      </c>
      <c r="M80" s="15" t="n">
        <v>0</v>
      </c>
      <c r="N80" s="15"/>
      <c r="O80" s="15" t="s">
        <v>948</v>
      </c>
      <c r="P80" s="15" t="s">
        <v>949</v>
      </c>
      <c r="Q80" s="15" t="s">
        <v>989</v>
      </c>
      <c r="R80" s="15" t="n">
        <v>0</v>
      </c>
      <c r="S80" s="15" t="n">
        <v>2</v>
      </c>
      <c r="T80" s="15" t="n">
        <v>4</v>
      </c>
      <c r="U80" s="15" t="n">
        <v>11</v>
      </c>
      <c r="V80" s="15" t="n">
        <v>0</v>
      </c>
      <c r="W80" s="15" t="n">
        <v>0</v>
      </c>
      <c r="X80" s="15" t="s">
        <v>951</v>
      </c>
      <c r="Y80" s="15" t="s">
        <v>974</v>
      </c>
      <c r="Z80" s="15" t="s">
        <v>975</v>
      </c>
      <c r="AA80" s="15" t="s">
        <v>976</v>
      </c>
      <c r="AB80" s="15" t="s">
        <v>1314</v>
      </c>
      <c r="AC80" s="15"/>
      <c r="AD80" s="15" t="s">
        <v>1395</v>
      </c>
      <c r="AE80" s="15"/>
      <c r="AF80" s="15"/>
      <c r="AG80" s="15" t="s">
        <v>992</v>
      </c>
      <c r="AH80" s="15" t="n">
        <v>0</v>
      </c>
      <c r="AI80" s="15" t="n">
        <v>0</v>
      </c>
      <c r="AJ80" s="15" t="n">
        <v>0</v>
      </c>
      <c r="AK80" s="15" t="n">
        <v>0</v>
      </c>
      <c r="AL80" s="15" t="n">
        <v>0</v>
      </c>
      <c r="AM80" s="15" t="n">
        <v>0</v>
      </c>
      <c r="AN80" s="15" t="s">
        <v>1264</v>
      </c>
      <c r="AO80" s="15" t="s">
        <v>960</v>
      </c>
      <c r="AP80" s="15" t="s">
        <v>163</v>
      </c>
      <c r="AQ80" s="15"/>
      <c r="AR80" s="29" t="str">
        <f aca="false">IF(A80="","",IF(COUNTIF(Parcels!$A$2:$A$3000,B80)=0,"Parcel not found",IF(COUNTIF($A$2:$A$3000,A80)&gt;1,"Duplicate perm_id",IF(AND(P80="Yes",D80&lt;&gt;"",COUNTIFS($C$2:$C$3000,D80,$P$2:$P$3000,"Yes")&gt;1),"Reference counted twice",IF(COUNTIF(Lists!$A$2:$A$7,I80)=0,"Unknown status","")))))</f>
        <v/>
      </c>
    </row>
    <row r="81" customFormat="false" ht="15" hidden="false" customHeight="false" outlineLevel="0" collapsed="false">
      <c r="A81" s="15" t="s">
        <v>1396</v>
      </c>
      <c r="B81" s="15" t="s">
        <v>347</v>
      </c>
      <c r="C81" s="15" t="s">
        <v>50</v>
      </c>
      <c r="D81" s="15" t="s">
        <v>1397</v>
      </c>
      <c r="E81" s="15" t="s">
        <v>1397</v>
      </c>
      <c r="F81" s="15" t="s">
        <v>348</v>
      </c>
      <c r="G81" s="15" t="n">
        <v>6</v>
      </c>
      <c r="H81" s="15"/>
      <c r="I81" s="15" t="s">
        <v>48</v>
      </c>
      <c r="J81" s="15" t="s">
        <v>947</v>
      </c>
      <c r="K81" s="15" t="s">
        <v>48</v>
      </c>
      <c r="L81" s="15" t="n">
        <v>0</v>
      </c>
      <c r="M81" s="15" t="n">
        <v>0</v>
      </c>
      <c r="N81" s="15"/>
      <c r="O81" s="15" t="s">
        <v>948</v>
      </c>
      <c r="P81" s="15" t="s">
        <v>949</v>
      </c>
      <c r="Q81" s="15" t="s">
        <v>989</v>
      </c>
      <c r="R81" s="15" t="n">
        <v>0</v>
      </c>
      <c r="S81" s="15" t="n">
        <v>6</v>
      </c>
      <c r="T81" s="15" t="n">
        <v>0</v>
      </c>
      <c r="U81" s="15" t="n">
        <v>0</v>
      </c>
      <c r="V81" s="15" t="n">
        <v>0</v>
      </c>
      <c r="W81" s="15" t="n">
        <v>0</v>
      </c>
      <c r="X81" s="15" t="s">
        <v>951</v>
      </c>
      <c r="Y81" s="15" t="s">
        <v>952</v>
      </c>
      <c r="Z81" s="15" t="s">
        <v>170</v>
      </c>
      <c r="AA81" s="15" t="s">
        <v>966</v>
      </c>
      <c r="AB81" s="15" t="s">
        <v>1398</v>
      </c>
      <c r="AC81" s="15" t="s">
        <v>1399</v>
      </c>
      <c r="AD81" s="15" t="s">
        <v>1400</v>
      </c>
      <c r="AE81" s="15" t="s">
        <v>1348</v>
      </c>
      <c r="AF81" s="15" t="s">
        <v>980</v>
      </c>
      <c r="AG81" s="15" t="s">
        <v>981</v>
      </c>
      <c r="AH81" s="15" t="n">
        <v>1.4</v>
      </c>
      <c r="AI81" s="15" t="n">
        <v>4.6</v>
      </c>
      <c r="AJ81" s="15" t="n">
        <v>0</v>
      </c>
      <c r="AK81" s="15" t="n">
        <v>0</v>
      </c>
      <c r="AL81" s="15" t="n">
        <v>0</v>
      </c>
      <c r="AM81" s="15" t="n">
        <v>0</v>
      </c>
      <c r="AN81" s="15" t="s">
        <v>1264</v>
      </c>
      <c r="AO81" s="15" t="s">
        <v>960</v>
      </c>
      <c r="AP81" s="15" t="s">
        <v>163</v>
      </c>
      <c r="AQ81" s="15"/>
      <c r="AR81" s="29" t="str">
        <f aca="false">IF(A81="","",IF(COUNTIF(Parcels!$A$2:$A$3000,B81)=0,"Parcel not found",IF(COUNTIF($A$2:$A$3000,A81)&gt;1,"Duplicate perm_id",IF(AND(P81="Yes",D81&lt;&gt;"",COUNTIFS($C$2:$C$3000,D81,$P$2:$P$3000,"Yes")&gt;1),"Reference counted twice",IF(COUNTIF(Lists!$A$2:$A$7,I81)=0,"Unknown status","")))))</f>
        <v/>
      </c>
    </row>
    <row r="82" customFormat="false" ht="15" hidden="false" customHeight="false" outlineLevel="0" collapsed="false">
      <c r="A82" s="15" t="s">
        <v>1401</v>
      </c>
      <c r="B82" s="15" t="s">
        <v>570</v>
      </c>
      <c r="C82" s="15" t="s">
        <v>64</v>
      </c>
      <c r="D82" s="15" t="s">
        <v>1402</v>
      </c>
      <c r="E82" s="15" t="s">
        <v>1402</v>
      </c>
      <c r="F82" s="15" t="s">
        <v>571</v>
      </c>
      <c r="G82" s="15" t="n">
        <v>6</v>
      </c>
      <c r="H82" s="15"/>
      <c r="I82" s="15" t="s">
        <v>47</v>
      </c>
      <c r="J82" s="15" t="s">
        <v>947</v>
      </c>
      <c r="K82" s="15" t="s">
        <v>47</v>
      </c>
      <c r="L82" s="15" t="n">
        <v>6</v>
      </c>
      <c r="M82" s="15" t="n">
        <v>0</v>
      </c>
      <c r="N82" s="15"/>
      <c r="O82" s="15" t="s">
        <v>948</v>
      </c>
      <c r="P82" s="15" t="s">
        <v>949</v>
      </c>
      <c r="Q82" s="15" t="s">
        <v>965</v>
      </c>
      <c r="R82" s="15"/>
      <c r="S82" s="15"/>
      <c r="T82" s="15"/>
      <c r="U82" s="15"/>
      <c r="V82" s="15"/>
      <c r="W82" s="15"/>
      <c r="X82" s="15" t="s">
        <v>951</v>
      </c>
      <c r="Y82" s="15" t="s">
        <v>952</v>
      </c>
      <c r="Z82" s="15" t="s">
        <v>170</v>
      </c>
      <c r="AA82" s="15" t="s">
        <v>966</v>
      </c>
      <c r="AB82" s="15" t="s">
        <v>1403</v>
      </c>
      <c r="AC82" s="15" t="s">
        <v>1404</v>
      </c>
      <c r="AD82" s="15" t="s">
        <v>1405</v>
      </c>
      <c r="AE82" s="15"/>
      <c r="AF82" s="15"/>
      <c r="AG82" s="15" t="s">
        <v>992</v>
      </c>
      <c r="AH82" s="15" t="n">
        <v>0</v>
      </c>
      <c r="AI82" s="15" t="n">
        <v>0</v>
      </c>
      <c r="AJ82" s="15" t="n">
        <v>0</v>
      </c>
      <c r="AK82" s="15" t="n">
        <v>0</v>
      </c>
      <c r="AL82" s="15" t="n">
        <v>0</v>
      </c>
      <c r="AM82" s="15" t="n">
        <v>0</v>
      </c>
      <c r="AN82" s="15" t="s">
        <v>1264</v>
      </c>
      <c r="AO82" s="15" t="s">
        <v>960</v>
      </c>
      <c r="AP82" s="15" t="s">
        <v>163</v>
      </c>
      <c r="AQ82" s="15"/>
      <c r="AR82" s="29" t="str">
        <f aca="false">IF(A82="","",IF(COUNTIF(Parcels!$A$2:$A$3000,B82)=0,"Parcel not found",IF(COUNTIF($A$2:$A$3000,A82)&gt;1,"Duplicate perm_id",IF(AND(P82="Yes",D82&lt;&gt;"",COUNTIFS($C$2:$C$3000,D82,$P$2:$P$3000,"Yes")&gt;1),"Reference counted twice",IF(COUNTIF(Lists!$A$2:$A$7,I82)=0,"Unknown status","")))))</f>
        <v/>
      </c>
    </row>
    <row r="83" customFormat="false" ht="15" hidden="false" customHeight="false" outlineLevel="0" collapsed="false">
      <c r="A83" s="15" t="s">
        <v>1406</v>
      </c>
      <c r="B83" s="15" t="s">
        <v>390</v>
      </c>
      <c r="C83" s="15" t="s">
        <v>52</v>
      </c>
      <c r="D83" s="15" t="s">
        <v>1407</v>
      </c>
      <c r="E83" s="15" t="s">
        <v>1407</v>
      </c>
      <c r="F83" s="15" t="s">
        <v>391</v>
      </c>
      <c r="G83" s="15" t="n">
        <v>8</v>
      </c>
      <c r="H83" s="15"/>
      <c r="I83" s="15" t="s">
        <v>48</v>
      </c>
      <c r="J83" s="15" t="s">
        <v>947</v>
      </c>
      <c r="K83" s="15" t="s">
        <v>48</v>
      </c>
      <c r="L83" s="15" t="n">
        <v>0</v>
      </c>
      <c r="M83" s="15" t="n">
        <v>0</v>
      </c>
      <c r="N83" s="15"/>
      <c r="O83" s="15" t="s">
        <v>948</v>
      </c>
      <c r="P83" s="15" t="s">
        <v>949</v>
      </c>
      <c r="Q83" s="15" t="s">
        <v>965</v>
      </c>
      <c r="R83" s="15"/>
      <c r="S83" s="15"/>
      <c r="T83" s="15"/>
      <c r="U83" s="15"/>
      <c r="V83" s="15"/>
      <c r="W83" s="15"/>
      <c r="X83" s="15" t="s">
        <v>951</v>
      </c>
      <c r="Y83" s="15" t="s">
        <v>952</v>
      </c>
      <c r="Z83" s="15" t="s">
        <v>170</v>
      </c>
      <c r="AA83" s="15" t="s">
        <v>966</v>
      </c>
      <c r="AB83" s="15" t="s">
        <v>1408</v>
      </c>
      <c r="AC83" s="15" t="s">
        <v>1409</v>
      </c>
      <c r="AD83" s="15" t="s">
        <v>1410</v>
      </c>
      <c r="AE83" s="15" t="s">
        <v>1026</v>
      </c>
      <c r="AF83" s="15" t="s">
        <v>980</v>
      </c>
      <c r="AG83" s="15" t="s">
        <v>981</v>
      </c>
      <c r="AH83" s="15" t="n">
        <v>1.9</v>
      </c>
      <c r="AI83" s="15" t="n">
        <v>6.1</v>
      </c>
      <c r="AJ83" s="15" t="n">
        <v>0</v>
      </c>
      <c r="AK83" s="15" t="n">
        <v>0</v>
      </c>
      <c r="AL83" s="15" t="n">
        <v>0</v>
      </c>
      <c r="AM83" s="15" t="n">
        <v>0</v>
      </c>
      <c r="AN83" s="15" t="s">
        <v>1264</v>
      </c>
      <c r="AO83" s="15" t="s">
        <v>960</v>
      </c>
      <c r="AP83" s="15" t="s">
        <v>163</v>
      </c>
      <c r="AQ83" s="15"/>
      <c r="AR83" s="29" t="str">
        <f aca="false">IF(A83="","",IF(COUNTIF(Parcels!$A$2:$A$3000,B83)=0,"Parcel not found",IF(COUNTIF($A$2:$A$3000,A83)&gt;1,"Duplicate perm_id",IF(AND(P83="Yes",D83&lt;&gt;"",COUNTIFS($C$2:$C$3000,D83,$P$2:$P$3000,"Yes")&gt;1),"Reference counted twice",IF(COUNTIF(Lists!$A$2:$A$7,I83)=0,"Unknown status","")))))</f>
        <v/>
      </c>
    </row>
    <row r="84" customFormat="false" ht="15" hidden="false" customHeight="false" outlineLevel="0" collapsed="false">
      <c r="A84" s="15" t="s">
        <v>1411</v>
      </c>
      <c r="B84" s="15" t="s">
        <v>420</v>
      </c>
      <c r="C84" s="15" t="s">
        <v>53</v>
      </c>
      <c r="D84" s="15" t="s">
        <v>1412</v>
      </c>
      <c r="E84" s="15" t="s">
        <v>1412</v>
      </c>
      <c r="F84" s="15" t="s">
        <v>421</v>
      </c>
      <c r="G84" s="15" t="n">
        <v>35</v>
      </c>
      <c r="H84" s="15"/>
      <c r="I84" s="15" t="s">
        <v>47</v>
      </c>
      <c r="J84" s="15" t="s">
        <v>947</v>
      </c>
      <c r="K84" s="15" t="s">
        <v>47</v>
      </c>
      <c r="L84" s="15" t="n">
        <v>0</v>
      </c>
      <c r="M84" s="15" t="n">
        <v>0</v>
      </c>
      <c r="N84" s="15" t="s">
        <v>1260</v>
      </c>
      <c r="O84" s="15" t="s">
        <v>948</v>
      </c>
      <c r="P84" s="15" t="s">
        <v>949</v>
      </c>
      <c r="Q84" s="15" t="s">
        <v>965</v>
      </c>
      <c r="R84" s="15"/>
      <c r="S84" s="15"/>
      <c r="T84" s="15"/>
      <c r="U84" s="15"/>
      <c r="V84" s="15"/>
      <c r="W84" s="15"/>
      <c r="X84" s="15" t="s">
        <v>951</v>
      </c>
      <c r="Y84" s="15" t="s">
        <v>952</v>
      </c>
      <c r="Z84" s="15" t="s">
        <v>170</v>
      </c>
      <c r="AA84" s="15" t="s">
        <v>966</v>
      </c>
      <c r="AB84" s="15" t="s">
        <v>1413</v>
      </c>
      <c r="AC84" s="15" t="s">
        <v>1414</v>
      </c>
      <c r="AD84" s="15" t="s">
        <v>1415</v>
      </c>
      <c r="AE84" s="15"/>
      <c r="AF84" s="15"/>
      <c r="AG84" s="15" t="s">
        <v>992</v>
      </c>
      <c r="AH84" s="15" t="n">
        <v>0</v>
      </c>
      <c r="AI84" s="15" t="n">
        <v>0</v>
      </c>
      <c r="AJ84" s="15" t="n">
        <v>0</v>
      </c>
      <c r="AK84" s="15" t="n">
        <v>0</v>
      </c>
      <c r="AL84" s="15" t="n">
        <v>0</v>
      </c>
      <c r="AM84" s="15" t="n">
        <v>0</v>
      </c>
      <c r="AN84" s="15" t="s">
        <v>1264</v>
      </c>
      <c r="AO84" s="15" t="s">
        <v>960</v>
      </c>
      <c r="AP84" s="15" t="s">
        <v>163</v>
      </c>
      <c r="AQ84" s="15"/>
      <c r="AR84" s="29" t="str">
        <f aca="false">IF(A84="","",IF(COUNTIF(Parcels!$A$2:$A$3000,B84)=0,"Parcel not found",IF(COUNTIF($A$2:$A$3000,A84)&gt;1,"Duplicate perm_id",IF(AND(P84="Yes",D84&lt;&gt;"",COUNTIFS($C$2:$C$3000,D84,$P$2:$P$3000,"Yes")&gt;1),"Reference counted twice",IF(COUNTIF(Lists!$A$2:$A$7,I84)=0,"Unknown status","")))))</f>
        <v/>
      </c>
    </row>
    <row r="85" customFormat="false" ht="15" hidden="false" customHeight="false" outlineLevel="0" collapsed="false">
      <c r="A85" s="15" t="s">
        <v>1416</v>
      </c>
      <c r="B85" s="15" t="s">
        <v>572</v>
      </c>
      <c r="C85" s="15" t="s">
        <v>68</v>
      </c>
      <c r="D85" s="15" t="s">
        <v>1417</v>
      </c>
      <c r="E85" s="15" t="s">
        <v>1417</v>
      </c>
      <c r="F85" s="15" t="s">
        <v>573</v>
      </c>
      <c r="G85" s="15" t="n">
        <v>2</v>
      </c>
      <c r="H85" s="15"/>
      <c r="I85" s="15" t="s">
        <v>47</v>
      </c>
      <c r="J85" s="15" t="s">
        <v>947</v>
      </c>
      <c r="K85" s="15" t="s">
        <v>47</v>
      </c>
      <c r="L85" s="15" t="n">
        <v>2</v>
      </c>
      <c r="M85" s="15" t="n">
        <v>0</v>
      </c>
      <c r="N85" s="15"/>
      <c r="O85" s="15" t="s">
        <v>948</v>
      </c>
      <c r="P85" s="15" t="s">
        <v>949</v>
      </c>
      <c r="Q85" s="15" t="s">
        <v>965</v>
      </c>
      <c r="R85" s="15"/>
      <c r="S85" s="15"/>
      <c r="T85" s="15"/>
      <c r="U85" s="15"/>
      <c r="V85" s="15"/>
      <c r="W85" s="15"/>
      <c r="X85" s="15" t="s">
        <v>951</v>
      </c>
      <c r="Y85" s="15" t="s">
        <v>952</v>
      </c>
      <c r="Z85" s="15" t="s">
        <v>170</v>
      </c>
      <c r="AA85" s="15" t="s">
        <v>966</v>
      </c>
      <c r="AB85" s="15" t="s">
        <v>1376</v>
      </c>
      <c r="AC85" s="15" t="s">
        <v>1418</v>
      </c>
      <c r="AD85" s="15" t="s">
        <v>1419</v>
      </c>
      <c r="AE85" s="15"/>
      <c r="AF85" s="15"/>
      <c r="AG85" s="15" t="s">
        <v>992</v>
      </c>
      <c r="AH85" s="15" t="n">
        <v>0</v>
      </c>
      <c r="AI85" s="15" t="n">
        <v>0</v>
      </c>
      <c r="AJ85" s="15" t="n">
        <v>0</v>
      </c>
      <c r="AK85" s="15" t="n">
        <v>0</v>
      </c>
      <c r="AL85" s="15" t="n">
        <v>0</v>
      </c>
      <c r="AM85" s="15" t="n">
        <v>0</v>
      </c>
      <c r="AN85" s="15" t="s">
        <v>1264</v>
      </c>
      <c r="AO85" s="15" t="s">
        <v>960</v>
      </c>
      <c r="AP85" s="15" t="s">
        <v>163</v>
      </c>
      <c r="AQ85" s="15"/>
      <c r="AR85" s="29" t="str">
        <f aca="false">IF(A85="","",IF(COUNTIF(Parcels!$A$2:$A$3000,B85)=0,"Parcel not found",IF(COUNTIF($A$2:$A$3000,A85)&gt;1,"Duplicate perm_id",IF(AND(P85="Yes",D85&lt;&gt;"",COUNTIFS($C$2:$C$3000,D85,$P$2:$P$3000,"Yes")&gt;1),"Reference counted twice",IF(COUNTIF(Lists!$A$2:$A$7,I85)=0,"Unknown status","")))))</f>
        <v/>
      </c>
    </row>
    <row r="86" customFormat="false" ht="15" hidden="false" customHeight="false" outlineLevel="0" collapsed="false">
      <c r="A86" s="15" t="s">
        <v>1420</v>
      </c>
      <c r="B86" s="15" t="s">
        <v>574</v>
      </c>
      <c r="C86" s="15" t="s">
        <v>73</v>
      </c>
      <c r="D86" s="15" t="s">
        <v>1421</v>
      </c>
      <c r="E86" s="15" t="s">
        <v>1421</v>
      </c>
      <c r="F86" s="15" t="s">
        <v>575</v>
      </c>
      <c r="G86" s="15" t="n">
        <v>32</v>
      </c>
      <c r="H86" s="15"/>
      <c r="I86" s="15" t="s">
        <v>1057</v>
      </c>
      <c r="J86" s="15" t="s">
        <v>947</v>
      </c>
      <c r="K86" s="15" t="s">
        <v>1057</v>
      </c>
      <c r="L86" s="15" t="n">
        <v>0</v>
      </c>
      <c r="M86" s="15" t="n">
        <v>0</v>
      </c>
      <c r="N86" s="15"/>
      <c r="O86" s="15" t="s">
        <v>948</v>
      </c>
      <c r="P86" s="15" t="s">
        <v>949</v>
      </c>
      <c r="Q86" s="15" t="s">
        <v>989</v>
      </c>
      <c r="R86" s="15" t="n">
        <v>0</v>
      </c>
      <c r="S86" s="15" t="n">
        <v>0</v>
      </c>
      <c r="T86" s="15" t="n">
        <v>17</v>
      </c>
      <c r="U86" s="15" t="n">
        <v>10</v>
      </c>
      <c r="V86" s="15" t="n">
        <v>0</v>
      </c>
      <c r="W86" s="15" t="n">
        <v>0</v>
      </c>
      <c r="X86" s="15" t="s">
        <v>951</v>
      </c>
      <c r="Y86" s="15" t="s">
        <v>952</v>
      </c>
      <c r="Z86" s="15" t="s">
        <v>170</v>
      </c>
      <c r="AA86" s="15" t="s">
        <v>966</v>
      </c>
      <c r="AB86" s="15" t="s">
        <v>1422</v>
      </c>
      <c r="AC86" s="15" t="s">
        <v>1423</v>
      </c>
      <c r="AD86" s="15"/>
      <c r="AE86" s="15"/>
      <c r="AF86" s="15"/>
      <c r="AG86" s="15" t="s">
        <v>969</v>
      </c>
      <c r="AH86" s="15" t="n">
        <v>0</v>
      </c>
      <c r="AI86" s="15" t="n">
        <v>0</v>
      </c>
      <c r="AJ86" s="15" t="n">
        <v>0</v>
      </c>
      <c r="AK86" s="15" t="n">
        <v>0</v>
      </c>
      <c r="AL86" s="15" t="n">
        <v>0</v>
      </c>
      <c r="AM86" s="15" t="n">
        <v>0</v>
      </c>
      <c r="AN86" s="15" t="s">
        <v>1264</v>
      </c>
      <c r="AO86" s="15" t="s">
        <v>960</v>
      </c>
      <c r="AP86" s="15" t="s">
        <v>163</v>
      </c>
      <c r="AQ86" s="15"/>
      <c r="AR86" s="29" t="str">
        <f aca="false">IF(A86="","",IF(COUNTIF(Parcels!$A$2:$A$3000,B86)=0,"Parcel not found",IF(COUNTIF($A$2:$A$3000,A86)&gt;1,"Duplicate perm_id",IF(AND(P86="Yes",D86&lt;&gt;"",COUNTIFS($C$2:$C$3000,D86,$P$2:$P$3000,"Yes")&gt;1),"Reference counted twice",IF(COUNTIF(Lists!$A$2:$A$7,I86)=0,"Unknown status","")))))</f>
        <v/>
      </c>
    </row>
    <row r="87" customFormat="false" ht="15" hidden="false" customHeight="false" outlineLevel="0" collapsed="false">
      <c r="A87" s="15" t="s">
        <v>1424</v>
      </c>
      <c r="B87" s="15" t="s">
        <v>576</v>
      </c>
      <c r="C87" s="15" t="s">
        <v>22</v>
      </c>
      <c r="D87" s="15" t="s">
        <v>1425</v>
      </c>
      <c r="E87" s="15" t="s">
        <v>1425</v>
      </c>
      <c r="F87" s="15" t="s">
        <v>577</v>
      </c>
      <c r="G87" s="15" t="n">
        <v>21</v>
      </c>
      <c r="H87" s="15"/>
      <c r="I87" s="15" t="s">
        <v>964</v>
      </c>
      <c r="J87" s="15" t="s">
        <v>947</v>
      </c>
      <c r="K87" s="15" t="s">
        <v>964</v>
      </c>
      <c r="L87" s="15" t="n">
        <v>0</v>
      </c>
      <c r="M87" s="15" t="n">
        <v>0</v>
      </c>
      <c r="N87" s="15"/>
      <c r="O87" s="15" t="s">
        <v>948</v>
      </c>
      <c r="P87" s="15" t="s">
        <v>949</v>
      </c>
      <c r="Q87" s="15" t="s">
        <v>965</v>
      </c>
      <c r="R87" s="15"/>
      <c r="S87" s="15"/>
      <c r="T87" s="15"/>
      <c r="U87" s="15"/>
      <c r="V87" s="15"/>
      <c r="W87" s="15"/>
      <c r="X87" s="15" t="s">
        <v>951</v>
      </c>
      <c r="Y87" s="15" t="s">
        <v>974</v>
      </c>
      <c r="Z87" s="15" t="s">
        <v>1004</v>
      </c>
      <c r="AA87" s="15" t="s">
        <v>966</v>
      </c>
      <c r="AB87" s="15" t="s">
        <v>1426</v>
      </c>
      <c r="AC87" s="15" t="s">
        <v>1427</v>
      </c>
      <c r="AD87" s="15"/>
      <c r="AE87" s="15"/>
      <c r="AF87" s="15"/>
      <c r="AG87" s="15" t="s">
        <v>969</v>
      </c>
      <c r="AH87" s="15" t="n">
        <v>0</v>
      </c>
      <c r="AI87" s="15" t="n">
        <v>0</v>
      </c>
      <c r="AJ87" s="15" t="n">
        <v>0</v>
      </c>
      <c r="AK87" s="15" t="n">
        <v>0</v>
      </c>
      <c r="AL87" s="15" t="n">
        <v>0</v>
      </c>
      <c r="AM87" s="15" t="n">
        <v>0</v>
      </c>
      <c r="AN87" s="15" t="s">
        <v>1264</v>
      </c>
      <c r="AO87" s="15" t="s">
        <v>960</v>
      </c>
      <c r="AP87" s="15" t="s">
        <v>163</v>
      </c>
      <c r="AQ87" s="15"/>
      <c r="AR87" s="29" t="str">
        <f aca="false">IF(A87="","",IF(COUNTIF(Parcels!$A$2:$A$3000,B87)=0,"Parcel not found",IF(COUNTIF($A$2:$A$3000,A87)&gt;1,"Duplicate perm_id",IF(AND(P87="Yes",D87&lt;&gt;"",COUNTIFS($C$2:$C$3000,D87,$P$2:$P$3000,"Yes")&gt;1),"Reference counted twice",IF(COUNTIF(Lists!$A$2:$A$7,I87)=0,"Unknown status","")))))</f>
        <v/>
      </c>
    </row>
    <row r="88" customFormat="false" ht="15" hidden="false" customHeight="false" outlineLevel="0" collapsed="false">
      <c r="A88" s="15" t="s">
        <v>1428</v>
      </c>
      <c r="B88" s="15" t="s">
        <v>578</v>
      </c>
      <c r="C88" s="15" t="s">
        <v>63</v>
      </c>
      <c r="D88" s="15" t="s">
        <v>1429</v>
      </c>
      <c r="E88" s="15" t="s">
        <v>1429</v>
      </c>
      <c r="F88" s="15" t="s">
        <v>579</v>
      </c>
      <c r="G88" s="15" t="n">
        <v>5</v>
      </c>
      <c r="H88" s="15"/>
      <c r="I88" s="15" t="s">
        <v>47</v>
      </c>
      <c r="J88" s="15" t="s">
        <v>947</v>
      </c>
      <c r="K88" s="15" t="s">
        <v>47</v>
      </c>
      <c r="L88" s="15" t="n">
        <v>0</v>
      </c>
      <c r="M88" s="15" t="n">
        <v>5</v>
      </c>
      <c r="N88" s="15" t="s">
        <v>1074</v>
      </c>
      <c r="O88" s="15" t="s">
        <v>948</v>
      </c>
      <c r="P88" s="15" t="s">
        <v>949</v>
      </c>
      <c r="Q88" s="15" t="s">
        <v>989</v>
      </c>
      <c r="R88" s="15" t="n">
        <v>0</v>
      </c>
      <c r="S88" s="15" t="n">
        <v>0</v>
      </c>
      <c r="T88" s="15" t="n">
        <v>0</v>
      </c>
      <c r="U88" s="15" t="n">
        <v>5</v>
      </c>
      <c r="V88" s="15" t="n">
        <v>0</v>
      </c>
      <c r="W88" s="15" t="n">
        <v>0</v>
      </c>
      <c r="X88" s="15" t="s">
        <v>951</v>
      </c>
      <c r="Y88" s="15" t="s">
        <v>952</v>
      </c>
      <c r="Z88" s="15" t="s">
        <v>170</v>
      </c>
      <c r="AA88" s="15" t="s">
        <v>966</v>
      </c>
      <c r="AB88" s="15" t="s">
        <v>1430</v>
      </c>
      <c r="AC88" s="15" t="s">
        <v>1431</v>
      </c>
      <c r="AD88" s="15" t="s">
        <v>1432</v>
      </c>
      <c r="AE88" s="15"/>
      <c r="AF88" s="15"/>
      <c r="AG88" s="15" t="s">
        <v>992</v>
      </c>
      <c r="AH88" s="15" t="n">
        <v>0</v>
      </c>
      <c r="AI88" s="15" t="n">
        <v>0</v>
      </c>
      <c r="AJ88" s="15" t="n">
        <v>0</v>
      </c>
      <c r="AK88" s="15" t="n">
        <v>0</v>
      </c>
      <c r="AL88" s="15" t="n">
        <v>0</v>
      </c>
      <c r="AM88" s="15" t="n">
        <v>0</v>
      </c>
      <c r="AN88" s="15" t="s">
        <v>1264</v>
      </c>
      <c r="AO88" s="15" t="s">
        <v>960</v>
      </c>
      <c r="AP88" s="15" t="s">
        <v>163</v>
      </c>
      <c r="AQ88" s="15"/>
      <c r="AR88" s="29" t="str">
        <f aca="false">IF(A88="","",IF(COUNTIF(Parcels!$A$2:$A$3000,B88)=0,"Parcel not found",IF(COUNTIF($A$2:$A$3000,A88)&gt;1,"Duplicate perm_id",IF(AND(P88="Yes",D88&lt;&gt;"",COUNTIFS($C$2:$C$3000,D88,$P$2:$P$3000,"Yes")&gt;1),"Reference counted twice",IF(COUNTIF(Lists!$A$2:$A$7,I88)=0,"Unknown status","")))))</f>
        <v/>
      </c>
    </row>
    <row r="89" customFormat="false" ht="15" hidden="false" customHeight="false" outlineLevel="0" collapsed="false">
      <c r="A89" s="15" t="s">
        <v>1433</v>
      </c>
      <c r="B89" s="15" t="s">
        <v>357</v>
      </c>
      <c r="C89" s="15" t="s">
        <v>51</v>
      </c>
      <c r="D89" s="15" t="s">
        <v>1434</v>
      </c>
      <c r="E89" s="15" t="s">
        <v>1434</v>
      </c>
      <c r="F89" s="15" t="s">
        <v>358</v>
      </c>
      <c r="G89" s="15" t="n">
        <v>12</v>
      </c>
      <c r="H89" s="15"/>
      <c r="I89" s="15" t="s">
        <v>964</v>
      </c>
      <c r="J89" s="15" t="s">
        <v>947</v>
      </c>
      <c r="K89" s="15" t="s">
        <v>964</v>
      </c>
      <c r="L89" s="15" t="n">
        <v>0</v>
      </c>
      <c r="M89" s="15" t="n">
        <v>0</v>
      </c>
      <c r="N89" s="15"/>
      <c r="O89" s="15" t="s">
        <v>948</v>
      </c>
      <c r="P89" s="15" t="s">
        <v>949</v>
      </c>
      <c r="Q89" s="15" t="s">
        <v>989</v>
      </c>
      <c r="R89" s="15" t="n">
        <v>0</v>
      </c>
      <c r="S89" s="15" t="n">
        <v>5</v>
      </c>
      <c r="T89" s="15" t="n">
        <v>2</v>
      </c>
      <c r="U89" s="15" t="n">
        <v>0</v>
      </c>
      <c r="V89" s="15" t="n">
        <v>0</v>
      </c>
      <c r="W89" s="15" t="n">
        <v>0</v>
      </c>
      <c r="X89" s="15" t="s">
        <v>951</v>
      </c>
      <c r="Y89" s="15" t="s">
        <v>974</v>
      </c>
      <c r="Z89" s="15" t="s">
        <v>1004</v>
      </c>
      <c r="AA89" s="15" t="s">
        <v>966</v>
      </c>
      <c r="AB89" s="15" t="s">
        <v>1435</v>
      </c>
      <c r="AC89" s="15" t="s">
        <v>1436</v>
      </c>
      <c r="AD89" s="15"/>
      <c r="AE89" s="15"/>
      <c r="AF89" s="15"/>
      <c r="AG89" s="15" t="s">
        <v>969</v>
      </c>
      <c r="AH89" s="15" t="n">
        <v>0</v>
      </c>
      <c r="AI89" s="15" t="n">
        <v>0</v>
      </c>
      <c r="AJ89" s="15" t="n">
        <v>0</v>
      </c>
      <c r="AK89" s="15" t="n">
        <v>0</v>
      </c>
      <c r="AL89" s="15" t="n">
        <v>0</v>
      </c>
      <c r="AM89" s="15" t="n">
        <v>0</v>
      </c>
      <c r="AN89" s="15" t="s">
        <v>1264</v>
      </c>
      <c r="AO89" s="15" t="s">
        <v>960</v>
      </c>
      <c r="AP89" s="15" t="s">
        <v>163</v>
      </c>
      <c r="AQ89" s="15"/>
      <c r="AR89" s="29" t="str">
        <f aca="false">IF(A89="","",IF(COUNTIF(Parcels!$A$2:$A$3000,B89)=0,"Parcel not found",IF(COUNTIF($A$2:$A$3000,A89)&gt;1,"Duplicate perm_id",IF(AND(P89="Yes",D89&lt;&gt;"",COUNTIFS($C$2:$C$3000,D89,$P$2:$P$3000,"Yes")&gt;1),"Reference counted twice",IF(COUNTIF(Lists!$A$2:$A$7,I89)=0,"Unknown status","")))))</f>
        <v/>
      </c>
    </row>
    <row r="90" customFormat="false" ht="15" hidden="false" customHeight="false" outlineLevel="0" collapsed="false">
      <c r="A90" s="15" t="s">
        <v>1437</v>
      </c>
      <c r="B90" s="15" t="s">
        <v>580</v>
      </c>
      <c r="C90" s="15" t="s">
        <v>62</v>
      </c>
      <c r="D90" s="15" t="s">
        <v>1438</v>
      </c>
      <c r="E90" s="15" t="s">
        <v>1438</v>
      </c>
      <c r="F90" s="15" t="s">
        <v>581</v>
      </c>
      <c r="G90" s="15" t="n">
        <v>51</v>
      </c>
      <c r="H90" s="15"/>
      <c r="I90" s="15" t="s">
        <v>47</v>
      </c>
      <c r="J90" s="15" t="s">
        <v>1267</v>
      </c>
      <c r="K90" s="15" t="s">
        <v>48</v>
      </c>
      <c r="L90" s="15" t="n">
        <v>51</v>
      </c>
      <c r="M90" s="15" t="n">
        <v>0</v>
      </c>
      <c r="N90" s="15" t="s">
        <v>1268</v>
      </c>
      <c r="O90" s="15" t="s">
        <v>948</v>
      </c>
      <c r="P90" s="15" t="s">
        <v>949</v>
      </c>
      <c r="Q90" s="15" t="s">
        <v>989</v>
      </c>
      <c r="R90" s="15" t="n">
        <v>0</v>
      </c>
      <c r="S90" s="15" t="n">
        <v>0</v>
      </c>
      <c r="T90" s="15" t="n">
        <v>0</v>
      </c>
      <c r="U90" s="15" t="n">
        <v>20</v>
      </c>
      <c r="V90" s="15" t="n">
        <v>32</v>
      </c>
      <c r="W90" s="15" t="n">
        <v>0</v>
      </c>
      <c r="X90" s="15" t="s">
        <v>951</v>
      </c>
      <c r="Y90" s="15" t="s">
        <v>952</v>
      </c>
      <c r="Z90" s="15" t="s">
        <v>170</v>
      </c>
      <c r="AA90" s="15" t="s">
        <v>966</v>
      </c>
      <c r="AB90" s="15" t="s">
        <v>1439</v>
      </c>
      <c r="AC90" s="15" t="s">
        <v>1440</v>
      </c>
      <c r="AD90" s="15" t="s">
        <v>1441</v>
      </c>
      <c r="AE90" s="15" t="s">
        <v>1442</v>
      </c>
      <c r="AF90" s="15" t="s">
        <v>980</v>
      </c>
      <c r="AG90" s="15" t="s">
        <v>981</v>
      </c>
      <c r="AH90" s="15" t="n">
        <v>0</v>
      </c>
      <c r="AI90" s="15" t="n">
        <v>0</v>
      </c>
      <c r="AJ90" s="15" t="n">
        <v>0</v>
      </c>
      <c r="AK90" s="15" t="n">
        <v>0</v>
      </c>
      <c r="AL90" s="15" t="n">
        <v>0</v>
      </c>
      <c r="AM90" s="15" t="n">
        <v>0</v>
      </c>
      <c r="AN90" s="15" t="s">
        <v>1264</v>
      </c>
      <c r="AO90" s="15" t="s">
        <v>960</v>
      </c>
      <c r="AP90" s="15" t="s">
        <v>163</v>
      </c>
      <c r="AQ90" s="15"/>
      <c r="AR90" s="29" t="str">
        <f aca="false">IF(A90="","",IF(COUNTIF(Parcels!$A$2:$A$3000,B90)=0,"Parcel not found",IF(COUNTIF($A$2:$A$3000,A90)&gt;1,"Duplicate perm_id",IF(AND(P90="Yes",D90&lt;&gt;"",COUNTIFS($C$2:$C$3000,D90,$P$2:$P$3000,"Yes")&gt;1),"Reference counted twice",IF(COUNTIF(Lists!$A$2:$A$7,I90)=0,"Unknown status","")))))</f>
        <v/>
      </c>
    </row>
    <row r="91" customFormat="false" ht="15" hidden="false" customHeight="false" outlineLevel="0" collapsed="false">
      <c r="A91" s="15" t="s">
        <v>1443</v>
      </c>
      <c r="B91" s="15" t="s">
        <v>580</v>
      </c>
      <c r="C91" s="15" t="s">
        <v>62</v>
      </c>
      <c r="D91" s="15" t="s">
        <v>1444</v>
      </c>
      <c r="E91" s="15" t="s">
        <v>1444</v>
      </c>
      <c r="F91" s="15" t="s">
        <v>1445</v>
      </c>
      <c r="G91" s="15" t="n">
        <v>14</v>
      </c>
      <c r="H91" s="15"/>
      <c r="I91" s="15" t="s">
        <v>946</v>
      </c>
      <c r="J91" s="15" t="s">
        <v>947</v>
      </c>
      <c r="K91" s="15" t="s">
        <v>946</v>
      </c>
      <c r="L91" s="15" t="n">
        <v>0</v>
      </c>
      <c r="M91" s="15" t="n">
        <v>0</v>
      </c>
      <c r="N91" s="15"/>
      <c r="O91" s="15" t="s">
        <v>948</v>
      </c>
      <c r="P91" s="15" t="s">
        <v>949</v>
      </c>
      <c r="Q91" s="15" t="s">
        <v>989</v>
      </c>
      <c r="R91" s="15" t="n">
        <v>0</v>
      </c>
      <c r="S91" s="15" t="n">
        <v>0</v>
      </c>
      <c r="T91" s="15" t="n">
        <v>14</v>
      </c>
      <c r="U91" s="15" t="n">
        <v>0</v>
      </c>
      <c r="V91" s="15" t="n">
        <v>0</v>
      </c>
      <c r="W91" s="15" t="n">
        <v>0</v>
      </c>
      <c r="X91" s="15" t="s">
        <v>973</v>
      </c>
      <c r="Y91" s="15" t="s">
        <v>952</v>
      </c>
      <c r="Z91" s="15" t="s">
        <v>170</v>
      </c>
      <c r="AA91" s="15" t="s">
        <v>966</v>
      </c>
      <c r="AB91" s="15" t="s">
        <v>1446</v>
      </c>
      <c r="AC91" s="15" t="s">
        <v>1447</v>
      </c>
      <c r="AD91" s="15"/>
      <c r="AE91" s="15" t="s">
        <v>956</v>
      </c>
      <c r="AF91" s="15" t="s">
        <v>1133</v>
      </c>
      <c r="AG91" s="15" t="s">
        <v>958</v>
      </c>
      <c r="AH91" s="15" t="n">
        <v>0</v>
      </c>
      <c r="AI91" s="15" t="n">
        <v>0</v>
      </c>
      <c r="AJ91" s="15" t="n">
        <v>8.2</v>
      </c>
      <c r="AK91" s="15" t="n">
        <v>5.8</v>
      </c>
      <c r="AL91" s="15" t="n">
        <v>0</v>
      </c>
      <c r="AM91" s="15" t="n">
        <v>0</v>
      </c>
      <c r="AN91" s="15" t="s">
        <v>1264</v>
      </c>
      <c r="AO91" s="15" t="s">
        <v>960</v>
      </c>
      <c r="AP91" s="15" t="s">
        <v>163</v>
      </c>
      <c r="AQ91" s="15"/>
      <c r="AR91" s="29" t="str">
        <f aca="false">IF(A91="","",IF(COUNTIF(Parcels!$A$2:$A$3000,B91)=0,"Parcel not found",IF(COUNTIF($A$2:$A$3000,A91)&gt;1,"Duplicate perm_id",IF(AND(P91="Yes",D91&lt;&gt;"",COUNTIFS($C$2:$C$3000,D91,$P$2:$P$3000,"Yes")&gt;1),"Reference counted twice",IF(COUNTIF(Lists!$A$2:$A$7,I91)=0,"Unknown status","")))))</f>
        <v/>
      </c>
    </row>
    <row r="92" customFormat="false" ht="15" hidden="false" customHeight="false" outlineLevel="0" collapsed="false">
      <c r="A92" s="15" t="s">
        <v>1448</v>
      </c>
      <c r="B92" s="15" t="s">
        <v>582</v>
      </c>
      <c r="C92" s="15" t="s">
        <v>70</v>
      </c>
      <c r="D92" s="15" t="s">
        <v>1449</v>
      </c>
      <c r="E92" s="15" t="s">
        <v>1449</v>
      </c>
      <c r="F92" s="15" t="s">
        <v>417</v>
      </c>
      <c r="G92" s="15" t="n">
        <v>14</v>
      </c>
      <c r="H92" s="15"/>
      <c r="I92" s="15" t="s">
        <v>946</v>
      </c>
      <c r="J92" s="15" t="s">
        <v>947</v>
      </c>
      <c r="K92" s="15" t="s">
        <v>946</v>
      </c>
      <c r="L92" s="15" t="n">
        <v>0</v>
      </c>
      <c r="M92" s="15" t="n">
        <v>0</v>
      </c>
      <c r="N92" s="15"/>
      <c r="O92" s="15" t="s">
        <v>948</v>
      </c>
      <c r="P92" s="15" t="s">
        <v>949</v>
      </c>
      <c r="Q92" s="15" t="s">
        <v>1291</v>
      </c>
      <c r="R92" s="15"/>
      <c r="S92" s="15"/>
      <c r="T92" s="15"/>
      <c r="U92" s="15"/>
      <c r="V92" s="15"/>
      <c r="W92" s="15"/>
      <c r="X92" s="15" t="s">
        <v>951</v>
      </c>
      <c r="Y92" s="15" t="s">
        <v>952</v>
      </c>
      <c r="Z92" s="15" t="s">
        <v>170</v>
      </c>
      <c r="AA92" s="15" t="s">
        <v>966</v>
      </c>
      <c r="AB92" s="15" t="s">
        <v>1450</v>
      </c>
      <c r="AC92" s="15" t="s">
        <v>1451</v>
      </c>
      <c r="AD92" s="15"/>
      <c r="AE92" s="15" t="s">
        <v>956</v>
      </c>
      <c r="AF92" s="15" t="s">
        <v>1133</v>
      </c>
      <c r="AG92" s="15" t="s">
        <v>958</v>
      </c>
      <c r="AH92" s="15" t="n">
        <v>0</v>
      </c>
      <c r="AI92" s="15" t="n">
        <v>0</v>
      </c>
      <c r="AJ92" s="15" t="n">
        <v>8.2</v>
      </c>
      <c r="AK92" s="15" t="n">
        <v>5.8</v>
      </c>
      <c r="AL92" s="15" t="n">
        <v>0</v>
      </c>
      <c r="AM92" s="15" t="n">
        <v>0</v>
      </c>
      <c r="AN92" s="15" t="s">
        <v>1264</v>
      </c>
      <c r="AO92" s="15" t="s">
        <v>960</v>
      </c>
      <c r="AP92" s="15" t="s">
        <v>163</v>
      </c>
      <c r="AQ92" s="15"/>
      <c r="AR92" s="29" t="str">
        <f aca="false">IF(A92="","",IF(COUNTIF(Parcels!$A$2:$A$3000,B92)=0,"Parcel not found",IF(COUNTIF($A$2:$A$3000,A92)&gt;1,"Duplicate perm_id",IF(AND(P92="Yes",D92&lt;&gt;"",COUNTIFS($C$2:$C$3000,D92,$P$2:$P$3000,"Yes")&gt;1),"Reference counted twice",IF(COUNTIF(Lists!$A$2:$A$7,I92)=0,"Unknown status","")))))</f>
        <v/>
      </c>
    </row>
    <row r="93" customFormat="false" ht="15" hidden="false" customHeight="false" outlineLevel="0" collapsed="false">
      <c r="A93" s="15" t="s">
        <v>1452</v>
      </c>
      <c r="B93" s="15" t="s">
        <v>584</v>
      </c>
      <c r="C93" s="15" t="s">
        <v>74</v>
      </c>
      <c r="D93" s="15" t="s">
        <v>1453</v>
      </c>
      <c r="E93" s="15" t="s">
        <v>1453</v>
      </c>
      <c r="F93" s="15" t="s">
        <v>585</v>
      </c>
      <c r="G93" s="15" t="n">
        <v>9</v>
      </c>
      <c r="H93" s="15"/>
      <c r="I93" s="15" t="s">
        <v>48</v>
      </c>
      <c r="J93" s="15" t="s">
        <v>947</v>
      </c>
      <c r="K93" s="15" t="s">
        <v>48</v>
      </c>
      <c r="L93" s="15" t="n">
        <v>8</v>
      </c>
      <c r="M93" s="15" t="n">
        <v>1</v>
      </c>
      <c r="N93" s="15"/>
      <c r="O93" s="15" t="s">
        <v>948</v>
      </c>
      <c r="P93" s="15" t="s">
        <v>949</v>
      </c>
      <c r="Q93" s="15" t="s">
        <v>965</v>
      </c>
      <c r="R93" s="15"/>
      <c r="S93" s="15"/>
      <c r="T93" s="15"/>
      <c r="U93" s="15"/>
      <c r="V93" s="15"/>
      <c r="W93" s="15"/>
      <c r="X93" s="15" t="s">
        <v>973</v>
      </c>
      <c r="Y93" s="15" t="s">
        <v>952</v>
      </c>
      <c r="Z93" s="15" t="s">
        <v>170</v>
      </c>
      <c r="AA93" s="15" t="s">
        <v>966</v>
      </c>
      <c r="AB93" s="15" t="s">
        <v>1454</v>
      </c>
      <c r="AC93" s="15" t="s">
        <v>1455</v>
      </c>
      <c r="AD93" s="15" t="s">
        <v>1456</v>
      </c>
      <c r="AE93" s="15" t="s">
        <v>1457</v>
      </c>
      <c r="AF93" s="15" t="s">
        <v>980</v>
      </c>
      <c r="AG93" s="15" t="s">
        <v>981</v>
      </c>
      <c r="AH93" s="15" t="n">
        <v>2.1</v>
      </c>
      <c r="AI93" s="15" t="n">
        <v>6.9</v>
      </c>
      <c r="AJ93" s="15" t="n">
        <v>0</v>
      </c>
      <c r="AK93" s="15" t="n">
        <v>0</v>
      </c>
      <c r="AL93" s="15" t="n">
        <v>0</v>
      </c>
      <c r="AM93" s="15" t="n">
        <v>0</v>
      </c>
      <c r="AN93" s="15" t="s">
        <v>1264</v>
      </c>
      <c r="AO93" s="15" t="s">
        <v>960</v>
      </c>
      <c r="AP93" s="15" t="s">
        <v>163</v>
      </c>
      <c r="AQ93" s="15"/>
      <c r="AR93" s="29" t="str">
        <f aca="false">IF(A93="","",IF(COUNTIF(Parcels!$A$2:$A$3000,B93)=0,"Parcel not found",IF(COUNTIF($A$2:$A$3000,A93)&gt;1,"Duplicate perm_id",IF(AND(P93="Yes",D93&lt;&gt;"",COUNTIFS($C$2:$C$3000,D93,$P$2:$P$3000,"Yes")&gt;1),"Reference counted twice",IF(COUNTIF(Lists!$A$2:$A$7,I93)=0,"Unknown status","")))))</f>
        <v/>
      </c>
    </row>
    <row r="94" customFormat="false" ht="15" hidden="false" customHeight="false" outlineLevel="0" collapsed="false">
      <c r="A94" s="15" t="s">
        <v>1458</v>
      </c>
      <c r="B94" s="15" t="s">
        <v>586</v>
      </c>
      <c r="C94" s="15" t="s">
        <v>22</v>
      </c>
      <c r="D94" s="15" t="s">
        <v>1459</v>
      </c>
      <c r="E94" s="15" t="s">
        <v>1459</v>
      </c>
      <c r="F94" s="15" t="s">
        <v>587</v>
      </c>
      <c r="G94" s="15" t="n">
        <v>4</v>
      </c>
      <c r="H94" s="15"/>
      <c r="I94" s="15" t="s">
        <v>47</v>
      </c>
      <c r="J94" s="15" t="s">
        <v>1267</v>
      </c>
      <c r="K94" s="15" t="s">
        <v>48</v>
      </c>
      <c r="L94" s="15" t="n">
        <v>4</v>
      </c>
      <c r="M94" s="15" t="n">
        <v>0</v>
      </c>
      <c r="N94" s="15" t="s">
        <v>1268</v>
      </c>
      <c r="O94" s="15" t="s">
        <v>948</v>
      </c>
      <c r="P94" s="15" t="s">
        <v>949</v>
      </c>
      <c r="Q94" s="15" t="s">
        <v>965</v>
      </c>
      <c r="R94" s="15"/>
      <c r="S94" s="15"/>
      <c r="T94" s="15"/>
      <c r="U94" s="15"/>
      <c r="V94" s="15"/>
      <c r="W94" s="15"/>
      <c r="X94" s="15" t="s">
        <v>1075</v>
      </c>
      <c r="Y94" s="15" t="s">
        <v>952</v>
      </c>
      <c r="Z94" s="15" t="s">
        <v>170</v>
      </c>
      <c r="AA94" s="15" t="s">
        <v>966</v>
      </c>
      <c r="AB94" s="15" t="s">
        <v>1460</v>
      </c>
      <c r="AC94" s="15" t="s">
        <v>1461</v>
      </c>
      <c r="AD94" s="15" t="s">
        <v>1462</v>
      </c>
      <c r="AE94" s="15" t="s">
        <v>1463</v>
      </c>
      <c r="AF94" s="15" t="s">
        <v>980</v>
      </c>
      <c r="AG94" s="15" t="s">
        <v>981</v>
      </c>
      <c r="AH94" s="15" t="n">
        <v>0</v>
      </c>
      <c r="AI94" s="15" t="n">
        <v>0</v>
      </c>
      <c r="AJ94" s="15" t="n">
        <v>0</v>
      </c>
      <c r="AK94" s="15" t="n">
        <v>0</v>
      </c>
      <c r="AL94" s="15" t="n">
        <v>0</v>
      </c>
      <c r="AM94" s="15" t="n">
        <v>0</v>
      </c>
      <c r="AN94" s="15" t="s">
        <v>1264</v>
      </c>
      <c r="AO94" s="15" t="s">
        <v>960</v>
      </c>
      <c r="AP94" s="15" t="s">
        <v>163</v>
      </c>
      <c r="AQ94" s="15"/>
      <c r="AR94" s="29" t="str">
        <f aca="false">IF(A94="","",IF(COUNTIF(Parcels!$A$2:$A$3000,B94)=0,"Parcel not found",IF(COUNTIF($A$2:$A$3000,A94)&gt;1,"Duplicate perm_id",IF(AND(P94="Yes",D94&lt;&gt;"",COUNTIFS($C$2:$C$3000,D94,$P$2:$P$3000,"Yes")&gt;1),"Reference counted twice",IF(COUNTIF(Lists!$A$2:$A$7,I94)=0,"Unknown status","")))))</f>
        <v/>
      </c>
    </row>
    <row r="95" customFormat="false" ht="15" hidden="false" customHeight="false" outlineLevel="0" collapsed="false">
      <c r="A95" s="15" t="s">
        <v>1464</v>
      </c>
      <c r="B95" s="15" t="s">
        <v>392</v>
      </c>
      <c r="C95" s="15" t="s">
        <v>52</v>
      </c>
      <c r="D95" s="15" t="s">
        <v>1465</v>
      </c>
      <c r="E95" s="15" t="s">
        <v>1465</v>
      </c>
      <c r="F95" s="15" t="s">
        <v>393</v>
      </c>
      <c r="G95" s="15" t="n">
        <v>12</v>
      </c>
      <c r="H95" s="15"/>
      <c r="I95" s="15" t="s">
        <v>964</v>
      </c>
      <c r="J95" s="15" t="s">
        <v>947</v>
      </c>
      <c r="K95" s="15" t="s">
        <v>964</v>
      </c>
      <c r="L95" s="15" t="n">
        <v>0</v>
      </c>
      <c r="M95" s="15" t="n">
        <v>0</v>
      </c>
      <c r="N95" s="15"/>
      <c r="O95" s="15" t="s">
        <v>948</v>
      </c>
      <c r="P95" s="15" t="s">
        <v>949</v>
      </c>
      <c r="Q95" s="15" t="s">
        <v>965</v>
      </c>
      <c r="R95" s="15"/>
      <c r="S95" s="15"/>
      <c r="T95" s="15"/>
      <c r="U95" s="15"/>
      <c r="V95" s="15"/>
      <c r="W95" s="15"/>
      <c r="X95" s="15" t="s">
        <v>1075</v>
      </c>
      <c r="Y95" s="15" t="s">
        <v>952</v>
      </c>
      <c r="Z95" s="15" t="s">
        <v>170</v>
      </c>
      <c r="AA95" s="15" t="s">
        <v>966</v>
      </c>
      <c r="AB95" s="15" t="s">
        <v>1466</v>
      </c>
      <c r="AC95" s="15" t="s">
        <v>1467</v>
      </c>
      <c r="AD95" s="15"/>
      <c r="AE95" s="15"/>
      <c r="AF95" s="15"/>
      <c r="AG95" s="15" t="s">
        <v>969</v>
      </c>
      <c r="AH95" s="15" t="n">
        <v>0</v>
      </c>
      <c r="AI95" s="15" t="n">
        <v>0</v>
      </c>
      <c r="AJ95" s="15" t="n">
        <v>0</v>
      </c>
      <c r="AK95" s="15" t="n">
        <v>0</v>
      </c>
      <c r="AL95" s="15" t="n">
        <v>0</v>
      </c>
      <c r="AM95" s="15" t="n">
        <v>0</v>
      </c>
      <c r="AN95" s="15" t="s">
        <v>1264</v>
      </c>
      <c r="AO95" s="15" t="s">
        <v>960</v>
      </c>
      <c r="AP95" s="15" t="s">
        <v>163</v>
      </c>
      <c r="AQ95" s="15"/>
      <c r="AR95" s="29" t="str">
        <f aca="false">IF(A95="","",IF(COUNTIF(Parcels!$A$2:$A$3000,B95)=0,"Parcel not found",IF(COUNTIF($A$2:$A$3000,A95)&gt;1,"Duplicate perm_id",IF(AND(P95="Yes",D95&lt;&gt;"",COUNTIFS($C$2:$C$3000,D95,$P$2:$P$3000,"Yes")&gt;1),"Reference counted twice",IF(COUNTIF(Lists!$A$2:$A$7,I95)=0,"Unknown status","")))))</f>
        <v/>
      </c>
    </row>
    <row r="96" customFormat="false" ht="15" hidden="false" customHeight="false" outlineLevel="0" collapsed="false">
      <c r="A96" s="15" t="s">
        <v>1468</v>
      </c>
      <c r="B96" s="15" t="s">
        <v>422</v>
      </c>
      <c r="C96" s="15" t="s">
        <v>53</v>
      </c>
      <c r="D96" s="15" t="s">
        <v>1469</v>
      </c>
      <c r="E96" s="15" t="s">
        <v>1469</v>
      </c>
      <c r="F96" s="15" t="s">
        <v>423</v>
      </c>
      <c r="G96" s="15" t="n">
        <v>5</v>
      </c>
      <c r="H96" s="15"/>
      <c r="I96" s="15" t="s">
        <v>48</v>
      </c>
      <c r="J96" s="15" t="s">
        <v>947</v>
      </c>
      <c r="K96" s="15" t="s">
        <v>48</v>
      </c>
      <c r="L96" s="15" t="n">
        <v>0</v>
      </c>
      <c r="M96" s="15" t="n">
        <v>0</v>
      </c>
      <c r="N96" s="15"/>
      <c r="O96" s="15" t="s">
        <v>948</v>
      </c>
      <c r="P96" s="15" t="s">
        <v>949</v>
      </c>
      <c r="Q96" s="15" t="s">
        <v>965</v>
      </c>
      <c r="R96" s="15"/>
      <c r="S96" s="15"/>
      <c r="T96" s="15"/>
      <c r="U96" s="15"/>
      <c r="V96" s="15"/>
      <c r="W96" s="15"/>
      <c r="X96" s="15" t="s">
        <v>951</v>
      </c>
      <c r="Y96" s="15" t="s">
        <v>974</v>
      </c>
      <c r="Z96" s="15" t="s">
        <v>1004</v>
      </c>
      <c r="AA96" s="15" t="s">
        <v>966</v>
      </c>
      <c r="AB96" s="15" t="s">
        <v>1470</v>
      </c>
      <c r="AC96" s="15" t="s">
        <v>1471</v>
      </c>
      <c r="AD96" s="15" t="s">
        <v>1472</v>
      </c>
      <c r="AE96" s="15" t="s">
        <v>1473</v>
      </c>
      <c r="AF96" s="15" t="s">
        <v>980</v>
      </c>
      <c r="AG96" s="15" t="s">
        <v>981</v>
      </c>
      <c r="AH96" s="15" t="n">
        <v>1.2</v>
      </c>
      <c r="AI96" s="15" t="n">
        <v>3.8</v>
      </c>
      <c r="AJ96" s="15" t="n">
        <v>0</v>
      </c>
      <c r="AK96" s="15" t="n">
        <v>0</v>
      </c>
      <c r="AL96" s="15" t="n">
        <v>0</v>
      </c>
      <c r="AM96" s="15" t="n">
        <v>0</v>
      </c>
      <c r="AN96" s="15" t="s">
        <v>1264</v>
      </c>
      <c r="AO96" s="15" t="s">
        <v>960</v>
      </c>
      <c r="AP96" s="15" t="s">
        <v>163</v>
      </c>
      <c r="AQ96" s="15"/>
      <c r="AR96" s="29" t="str">
        <f aca="false">IF(A96="","",IF(COUNTIF(Parcels!$A$2:$A$3000,B96)=0,"Parcel not found",IF(COUNTIF($A$2:$A$3000,A96)&gt;1,"Duplicate perm_id",IF(AND(P96="Yes",D96&lt;&gt;"",COUNTIFS($C$2:$C$3000,D96,$P$2:$P$3000,"Yes")&gt;1),"Reference counted twice",IF(COUNTIF(Lists!$A$2:$A$7,I96)=0,"Unknown status","")))))</f>
        <v/>
      </c>
    </row>
    <row r="97" customFormat="false" ht="15" hidden="false" customHeight="false" outlineLevel="0" collapsed="false">
      <c r="A97" s="15" t="s">
        <v>1474</v>
      </c>
      <c r="B97" s="15" t="s">
        <v>360</v>
      </c>
      <c r="C97" s="15" t="s">
        <v>51</v>
      </c>
      <c r="D97" s="15" t="s">
        <v>1475</v>
      </c>
      <c r="E97" s="15" t="s">
        <v>1475</v>
      </c>
      <c r="F97" s="15" t="s">
        <v>361</v>
      </c>
      <c r="G97" s="15" t="n">
        <v>27</v>
      </c>
      <c r="H97" s="15"/>
      <c r="I97" s="15" t="s">
        <v>47</v>
      </c>
      <c r="J97" s="15" t="s">
        <v>1267</v>
      </c>
      <c r="K97" s="15" t="s">
        <v>48</v>
      </c>
      <c r="L97" s="15" t="n">
        <v>27</v>
      </c>
      <c r="M97" s="15" t="n">
        <v>0</v>
      </c>
      <c r="N97" s="15" t="s">
        <v>1268</v>
      </c>
      <c r="O97" s="15" t="s">
        <v>948</v>
      </c>
      <c r="P97" s="15" t="s">
        <v>949</v>
      </c>
      <c r="Q97" s="15" t="s">
        <v>989</v>
      </c>
      <c r="R97" s="15" t="n">
        <v>0</v>
      </c>
      <c r="S97" s="15" t="n">
        <v>0</v>
      </c>
      <c r="T97" s="15" t="n">
        <v>11</v>
      </c>
      <c r="U97" s="15" t="n">
        <v>13</v>
      </c>
      <c r="V97" s="15" t="n">
        <v>3</v>
      </c>
      <c r="W97" s="15" t="n">
        <v>0</v>
      </c>
      <c r="X97" s="15" t="s">
        <v>951</v>
      </c>
      <c r="Y97" s="15" t="s">
        <v>974</v>
      </c>
      <c r="Z97" s="15" t="s">
        <v>975</v>
      </c>
      <c r="AA97" s="15" t="s">
        <v>976</v>
      </c>
      <c r="AB97" s="15" t="s">
        <v>1476</v>
      </c>
      <c r="AC97" s="15"/>
      <c r="AD97" s="15" t="s">
        <v>1477</v>
      </c>
      <c r="AE97" s="15" t="s">
        <v>1478</v>
      </c>
      <c r="AF97" s="15" t="s">
        <v>980</v>
      </c>
      <c r="AG97" s="15" t="s">
        <v>981</v>
      </c>
      <c r="AH97" s="15" t="n">
        <v>0</v>
      </c>
      <c r="AI97" s="15" t="n">
        <v>0</v>
      </c>
      <c r="AJ97" s="15" t="n">
        <v>0</v>
      </c>
      <c r="AK97" s="15" t="n">
        <v>0</v>
      </c>
      <c r="AL97" s="15" t="n">
        <v>0</v>
      </c>
      <c r="AM97" s="15" t="n">
        <v>0</v>
      </c>
      <c r="AN97" s="15" t="s">
        <v>1264</v>
      </c>
      <c r="AO97" s="15" t="s">
        <v>960</v>
      </c>
      <c r="AP97" s="15" t="s">
        <v>163</v>
      </c>
      <c r="AQ97" s="15"/>
      <c r="AR97" s="29" t="str">
        <f aca="false">IF(A97="","",IF(COUNTIF(Parcels!$A$2:$A$3000,B97)=0,"Parcel not found",IF(COUNTIF($A$2:$A$3000,A97)&gt;1,"Duplicate perm_id",IF(AND(P97="Yes",D97&lt;&gt;"",COUNTIFS($C$2:$C$3000,D97,$P$2:$P$3000,"Yes")&gt;1),"Reference counted twice",IF(COUNTIF(Lists!$A$2:$A$7,I97)=0,"Unknown status","")))))</f>
        <v/>
      </c>
    </row>
    <row r="98" customFormat="false" ht="15" hidden="false" customHeight="false" outlineLevel="0" collapsed="false">
      <c r="A98" s="15" t="s">
        <v>1479</v>
      </c>
      <c r="B98" s="15" t="s">
        <v>588</v>
      </c>
      <c r="C98" s="15" t="s">
        <v>70</v>
      </c>
      <c r="D98" s="15" t="s">
        <v>1480</v>
      </c>
      <c r="E98" s="15" t="s">
        <v>1480</v>
      </c>
      <c r="F98" s="15" t="s">
        <v>589</v>
      </c>
      <c r="G98" s="15" t="n">
        <v>16</v>
      </c>
      <c r="H98" s="15"/>
      <c r="I98" s="15" t="s">
        <v>47</v>
      </c>
      <c r="J98" s="15" t="s">
        <v>947</v>
      </c>
      <c r="K98" s="15" t="s">
        <v>47</v>
      </c>
      <c r="L98" s="15" t="n">
        <v>16</v>
      </c>
      <c r="M98" s="15" t="n">
        <v>0</v>
      </c>
      <c r="N98" s="15"/>
      <c r="O98" s="15" t="s">
        <v>948</v>
      </c>
      <c r="P98" s="15" t="s">
        <v>949</v>
      </c>
      <c r="Q98" s="15" t="s">
        <v>989</v>
      </c>
      <c r="R98" s="15" t="n">
        <v>0</v>
      </c>
      <c r="S98" s="15" t="n">
        <v>2</v>
      </c>
      <c r="T98" s="15" t="n">
        <v>12</v>
      </c>
      <c r="U98" s="15" t="n">
        <v>2</v>
      </c>
      <c r="V98" s="15" t="n">
        <v>0</v>
      </c>
      <c r="W98" s="15" t="n">
        <v>0</v>
      </c>
      <c r="X98" s="15" t="s">
        <v>951</v>
      </c>
      <c r="Y98" s="15" t="s">
        <v>974</v>
      </c>
      <c r="Z98" s="15" t="s">
        <v>1004</v>
      </c>
      <c r="AA98" s="15" t="s">
        <v>976</v>
      </c>
      <c r="AB98" s="15" t="s">
        <v>1481</v>
      </c>
      <c r="AC98" s="15"/>
      <c r="AD98" s="15" t="s">
        <v>1482</v>
      </c>
      <c r="AE98" s="15"/>
      <c r="AF98" s="15"/>
      <c r="AG98" s="15" t="s">
        <v>992</v>
      </c>
      <c r="AH98" s="15" t="n">
        <v>0</v>
      </c>
      <c r="AI98" s="15" t="n">
        <v>0</v>
      </c>
      <c r="AJ98" s="15" t="n">
        <v>0</v>
      </c>
      <c r="AK98" s="15" t="n">
        <v>0</v>
      </c>
      <c r="AL98" s="15" t="n">
        <v>0</v>
      </c>
      <c r="AM98" s="15" t="n">
        <v>0</v>
      </c>
      <c r="AN98" s="15" t="s">
        <v>1264</v>
      </c>
      <c r="AO98" s="15" t="s">
        <v>960</v>
      </c>
      <c r="AP98" s="15" t="s">
        <v>163</v>
      </c>
      <c r="AQ98" s="15"/>
      <c r="AR98" s="29" t="str">
        <f aca="false">IF(A98="","",IF(COUNTIF(Parcels!$A$2:$A$3000,B98)=0,"Parcel not found",IF(COUNTIF($A$2:$A$3000,A98)&gt;1,"Duplicate perm_id",IF(AND(P98="Yes",D98&lt;&gt;"",COUNTIFS($C$2:$C$3000,D98,$P$2:$P$3000,"Yes")&gt;1),"Reference counted twice",IF(COUNTIF(Lists!$A$2:$A$7,I98)=0,"Unknown status","")))))</f>
        <v/>
      </c>
    </row>
    <row r="99" customFormat="false" ht="15" hidden="false" customHeight="false" outlineLevel="0" collapsed="false">
      <c r="A99" s="15" t="s">
        <v>1483</v>
      </c>
      <c r="B99" s="15" t="s">
        <v>590</v>
      </c>
      <c r="C99" s="15" t="s">
        <v>22</v>
      </c>
      <c r="D99" s="15" t="s">
        <v>1484</v>
      </c>
      <c r="E99" s="15" t="s">
        <v>1484</v>
      </c>
      <c r="F99" s="15" t="s">
        <v>365</v>
      </c>
      <c r="G99" s="15" t="n">
        <v>12</v>
      </c>
      <c r="H99" s="15"/>
      <c r="I99" s="15" t="s">
        <v>47</v>
      </c>
      <c r="J99" s="15" t="s">
        <v>947</v>
      </c>
      <c r="K99" s="15" t="s">
        <v>47</v>
      </c>
      <c r="L99" s="15" t="n">
        <v>12</v>
      </c>
      <c r="M99" s="15" t="n">
        <v>0</v>
      </c>
      <c r="N99" s="15"/>
      <c r="O99" s="15" t="s">
        <v>948</v>
      </c>
      <c r="P99" s="15" t="s">
        <v>949</v>
      </c>
      <c r="Q99" s="15" t="s">
        <v>989</v>
      </c>
      <c r="R99" s="15" t="n">
        <v>0</v>
      </c>
      <c r="S99" s="15" t="n">
        <v>0</v>
      </c>
      <c r="T99" s="15" t="n">
        <v>5</v>
      </c>
      <c r="U99" s="15" t="n">
        <v>7</v>
      </c>
      <c r="V99" s="15" t="n">
        <v>0</v>
      </c>
      <c r="W99" s="15" t="n">
        <v>0</v>
      </c>
      <c r="X99" s="15" t="s">
        <v>951</v>
      </c>
      <c r="Y99" s="15" t="s">
        <v>974</v>
      </c>
      <c r="Z99" s="15" t="s">
        <v>975</v>
      </c>
      <c r="AA99" s="15" t="s">
        <v>976</v>
      </c>
      <c r="AB99" s="15" t="s">
        <v>1485</v>
      </c>
      <c r="AC99" s="15"/>
      <c r="AD99" s="15" t="s">
        <v>1486</v>
      </c>
      <c r="AE99" s="15"/>
      <c r="AF99" s="15"/>
      <c r="AG99" s="15" t="s">
        <v>992</v>
      </c>
      <c r="AH99" s="15" t="n">
        <v>0</v>
      </c>
      <c r="AI99" s="15" t="n">
        <v>0</v>
      </c>
      <c r="AJ99" s="15" t="n">
        <v>0</v>
      </c>
      <c r="AK99" s="15" t="n">
        <v>0</v>
      </c>
      <c r="AL99" s="15" t="n">
        <v>0</v>
      </c>
      <c r="AM99" s="15" t="n">
        <v>0</v>
      </c>
      <c r="AN99" s="15" t="s">
        <v>1264</v>
      </c>
      <c r="AO99" s="15" t="s">
        <v>960</v>
      </c>
      <c r="AP99" s="15" t="s">
        <v>163</v>
      </c>
      <c r="AQ99" s="15"/>
      <c r="AR99" s="29" t="str">
        <f aca="false">IF(A99="","",IF(COUNTIF(Parcels!$A$2:$A$3000,B99)=0,"Parcel not found",IF(COUNTIF($A$2:$A$3000,A99)&gt;1,"Duplicate perm_id",IF(AND(P99="Yes",D99&lt;&gt;"",COUNTIFS($C$2:$C$3000,D99,$P$2:$P$3000,"Yes")&gt;1),"Reference counted twice",IF(COUNTIF(Lists!$A$2:$A$7,I99)=0,"Unknown status","")))))</f>
        <v/>
      </c>
    </row>
    <row r="100" customFormat="false" ht="15" hidden="false" customHeight="false" outlineLevel="0" collapsed="false">
      <c r="A100" s="15" t="s">
        <v>1487</v>
      </c>
      <c r="B100" s="15" t="s">
        <v>590</v>
      </c>
      <c r="C100" s="15" t="s">
        <v>22</v>
      </c>
      <c r="D100" s="15" t="s">
        <v>1488</v>
      </c>
      <c r="E100" s="15" t="s">
        <v>1488</v>
      </c>
      <c r="F100" s="15" t="s">
        <v>1489</v>
      </c>
      <c r="G100" s="15" t="n">
        <v>5</v>
      </c>
      <c r="H100" s="15"/>
      <c r="I100" s="15" t="s">
        <v>47</v>
      </c>
      <c r="J100" s="15" t="s">
        <v>1267</v>
      </c>
      <c r="K100" s="15" t="s">
        <v>48</v>
      </c>
      <c r="L100" s="15" t="n">
        <v>5</v>
      </c>
      <c r="M100" s="15" t="n">
        <v>0</v>
      </c>
      <c r="N100" s="15" t="s">
        <v>1268</v>
      </c>
      <c r="O100" s="15" t="s">
        <v>948</v>
      </c>
      <c r="P100" s="15" t="s">
        <v>949</v>
      </c>
      <c r="Q100" s="15" t="s">
        <v>965</v>
      </c>
      <c r="R100" s="15"/>
      <c r="S100" s="15"/>
      <c r="T100" s="15"/>
      <c r="U100" s="15"/>
      <c r="V100" s="15"/>
      <c r="W100" s="15"/>
      <c r="X100" s="15" t="s">
        <v>973</v>
      </c>
      <c r="Y100" s="15" t="s">
        <v>952</v>
      </c>
      <c r="Z100" s="15" t="s">
        <v>170</v>
      </c>
      <c r="AA100" s="15" t="s">
        <v>966</v>
      </c>
      <c r="AB100" s="15" t="s">
        <v>1490</v>
      </c>
      <c r="AC100" s="15" t="s">
        <v>1491</v>
      </c>
      <c r="AD100" s="15" t="s">
        <v>1492</v>
      </c>
      <c r="AE100" s="15" t="s">
        <v>1493</v>
      </c>
      <c r="AF100" s="15" t="s">
        <v>980</v>
      </c>
      <c r="AG100" s="15" t="s">
        <v>981</v>
      </c>
      <c r="AH100" s="15" t="n">
        <v>0</v>
      </c>
      <c r="AI100" s="15" t="n">
        <v>0</v>
      </c>
      <c r="AJ100" s="15" t="n">
        <v>0</v>
      </c>
      <c r="AK100" s="15" t="n">
        <v>0</v>
      </c>
      <c r="AL100" s="15" t="n">
        <v>0</v>
      </c>
      <c r="AM100" s="15" t="n">
        <v>0</v>
      </c>
      <c r="AN100" s="15" t="s">
        <v>1264</v>
      </c>
      <c r="AO100" s="15" t="s">
        <v>960</v>
      </c>
      <c r="AP100" s="15" t="s">
        <v>163</v>
      </c>
      <c r="AQ100" s="15"/>
      <c r="AR100" s="29" t="str">
        <f aca="false">IF(A100="","",IF(COUNTIF(Parcels!$A$2:$A$3000,B100)=0,"Parcel not found",IF(COUNTIF($A$2:$A$3000,A100)&gt;1,"Duplicate perm_id",IF(AND(P100="Yes",D100&lt;&gt;"",COUNTIFS($C$2:$C$3000,D100,$P$2:$P$3000,"Yes")&gt;1),"Reference counted twice",IF(COUNTIF(Lists!$A$2:$A$7,I100)=0,"Unknown status","")))))</f>
        <v/>
      </c>
    </row>
    <row r="101" customFormat="false" ht="15" hidden="false" customHeight="false" outlineLevel="0" collapsed="false">
      <c r="A101" s="15" t="s">
        <v>1494</v>
      </c>
      <c r="B101" s="15" t="s">
        <v>424</v>
      </c>
      <c r="C101" s="15" t="s">
        <v>53</v>
      </c>
      <c r="D101" s="15" t="s">
        <v>1495</v>
      </c>
      <c r="E101" s="15" t="s">
        <v>1495</v>
      </c>
      <c r="F101" s="15" t="s">
        <v>425</v>
      </c>
      <c r="G101" s="15" t="n">
        <v>3</v>
      </c>
      <c r="H101" s="15"/>
      <c r="I101" s="15" t="s">
        <v>47</v>
      </c>
      <c r="J101" s="15" t="s">
        <v>1267</v>
      </c>
      <c r="K101" s="15" t="s">
        <v>48</v>
      </c>
      <c r="L101" s="15" t="n">
        <v>3</v>
      </c>
      <c r="M101" s="15" t="n">
        <v>0</v>
      </c>
      <c r="N101" s="15" t="s">
        <v>1268</v>
      </c>
      <c r="O101" s="15" t="s">
        <v>948</v>
      </c>
      <c r="P101" s="15" t="s">
        <v>949</v>
      </c>
      <c r="Q101" s="15" t="s">
        <v>1272</v>
      </c>
      <c r="R101" s="15"/>
      <c r="S101" s="15"/>
      <c r="T101" s="15"/>
      <c r="U101" s="15"/>
      <c r="V101" s="15"/>
      <c r="W101" s="15"/>
      <c r="X101" s="15" t="s">
        <v>951</v>
      </c>
      <c r="Y101" s="15" t="s">
        <v>974</v>
      </c>
      <c r="Z101" s="15" t="s">
        <v>975</v>
      </c>
      <c r="AA101" s="15" t="s">
        <v>976</v>
      </c>
      <c r="AB101" s="15" t="s">
        <v>1496</v>
      </c>
      <c r="AC101" s="15"/>
      <c r="AD101" s="15" t="s">
        <v>1497</v>
      </c>
      <c r="AE101" s="15" t="s">
        <v>1498</v>
      </c>
      <c r="AF101" s="15" t="s">
        <v>980</v>
      </c>
      <c r="AG101" s="15" t="s">
        <v>981</v>
      </c>
      <c r="AH101" s="15" t="n">
        <v>0</v>
      </c>
      <c r="AI101" s="15" t="n">
        <v>0</v>
      </c>
      <c r="AJ101" s="15" t="n">
        <v>0</v>
      </c>
      <c r="AK101" s="15" t="n">
        <v>0</v>
      </c>
      <c r="AL101" s="15" t="n">
        <v>0</v>
      </c>
      <c r="AM101" s="15" t="n">
        <v>0</v>
      </c>
      <c r="AN101" s="15" t="s">
        <v>1264</v>
      </c>
      <c r="AO101" s="15" t="s">
        <v>1274</v>
      </c>
      <c r="AP101" s="15" t="s">
        <v>163</v>
      </c>
      <c r="AQ101" s="15"/>
      <c r="AR101" s="29" t="str">
        <f aca="false">IF(A101="","",IF(COUNTIF(Parcels!$A$2:$A$3000,B101)=0,"Parcel not found",IF(COUNTIF($A$2:$A$3000,A101)&gt;1,"Duplicate perm_id",IF(AND(P101="Yes",D101&lt;&gt;"",COUNTIFS($C$2:$C$3000,D101,$P$2:$P$3000,"Yes")&gt;1),"Reference counted twice",IF(COUNTIF(Lists!$A$2:$A$7,I101)=0,"Unknown status","")))))</f>
        <v/>
      </c>
    </row>
    <row r="102" customFormat="false" ht="15" hidden="false" customHeight="false" outlineLevel="0" collapsed="false">
      <c r="A102" s="15" t="s">
        <v>1499</v>
      </c>
      <c r="B102" s="15" t="s">
        <v>591</v>
      </c>
      <c r="C102" s="15" t="s">
        <v>22</v>
      </c>
      <c r="D102" s="15" t="s">
        <v>1500</v>
      </c>
      <c r="E102" s="15" t="s">
        <v>1500</v>
      </c>
      <c r="F102" s="15" t="s">
        <v>592</v>
      </c>
      <c r="G102" s="15" t="n">
        <v>12</v>
      </c>
      <c r="H102" s="15"/>
      <c r="I102" s="15" t="s">
        <v>946</v>
      </c>
      <c r="J102" s="15" t="s">
        <v>947</v>
      </c>
      <c r="K102" s="15" t="s">
        <v>946</v>
      </c>
      <c r="L102" s="15" t="n">
        <v>0</v>
      </c>
      <c r="M102" s="15" t="n">
        <v>0</v>
      </c>
      <c r="N102" s="15"/>
      <c r="O102" s="15" t="s">
        <v>948</v>
      </c>
      <c r="P102" s="15" t="s">
        <v>949</v>
      </c>
      <c r="Q102" s="15" t="s">
        <v>989</v>
      </c>
      <c r="R102" s="15" t="n">
        <v>0</v>
      </c>
      <c r="S102" s="15" t="n">
        <v>0</v>
      </c>
      <c r="T102" s="15" t="n">
        <v>7</v>
      </c>
      <c r="U102" s="15" t="n">
        <v>5</v>
      </c>
      <c r="V102" s="15" t="n">
        <v>0</v>
      </c>
      <c r="W102" s="15" t="n">
        <v>0</v>
      </c>
      <c r="X102" s="15" t="s">
        <v>951</v>
      </c>
      <c r="Y102" s="15" t="s">
        <v>974</v>
      </c>
      <c r="Z102" s="15" t="s">
        <v>975</v>
      </c>
      <c r="AA102" s="15" t="s">
        <v>976</v>
      </c>
      <c r="AB102" s="15" t="s">
        <v>1496</v>
      </c>
      <c r="AC102" s="15"/>
      <c r="AD102" s="15"/>
      <c r="AE102" s="15" t="s">
        <v>956</v>
      </c>
      <c r="AF102" s="15" t="s">
        <v>1133</v>
      </c>
      <c r="AG102" s="15" t="s">
        <v>958</v>
      </c>
      <c r="AH102" s="15" t="n">
        <v>0</v>
      </c>
      <c r="AI102" s="15" t="n">
        <v>0</v>
      </c>
      <c r="AJ102" s="15" t="n">
        <v>7</v>
      </c>
      <c r="AK102" s="15" t="n">
        <v>5</v>
      </c>
      <c r="AL102" s="15" t="n">
        <v>0</v>
      </c>
      <c r="AM102" s="15" t="n">
        <v>0</v>
      </c>
      <c r="AN102" s="15" t="s">
        <v>1264</v>
      </c>
      <c r="AO102" s="15" t="s">
        <v>960</v>
      </c>
      <c r="AP102" s="15" t="s">
        <v>163</v>
      </c>
      <c r="AQ102" s="15"/>
      <c r="AR102" s="29" t="str">
        <f aca="false">IF(A102="","",IF(COUNTIF(Parcels!$A$2:$A$3000,B102)=0,"Parcel not found",IF(COUNTIF($A$2:$A$3000,A102)&gt;1,"Duplicate perm_id",IF(AND(P102="Yes",D102&lt;&gt;"",COUNTIFS($C$2:$C$3000,D102,$P$2:$P$3000,"Yes")&gt;1),"Reference counted twice",IF(COUNTIF(Lists!$A$2:$A$7,I102)=0,"Unknown status","")))))</f>
        <v/>
      </c>
    </row>
    <row r="103" customFormat="false" ht="15" hidden="false" customHeight="false" outlineLevel="0" collapsed="false">
      <c r="A103" s="15" t="s">
        <v>1501</v>
      </c>
      <c r="B103" s="15" t="s">
        <v>593</v>
      </c>
      <c r="C103" s="15" t="s">
        <v>67</v>
      </c>
      <c r="D103" s="15" t="s">
        <v>1502</v>
      </c>
      <c r="E103" s="15" t="s">
        <v>1502</v>
      </c>
      <c r="F103" s="15" t="s">
        <v>594</v>
      </c>
      <c r="G103" s="15" t="n">
        <v>31</v>
      </c>
      <c r="H103" s="15"/>
      <c r="I103" s="15" t="s">
        <v>946</v>
      </c>
      <c r="J103" s="15" t="s">
        <v>947</v>
      </c>
      <c r="K103" s="15" t="s">
        <v>946</v>
      </c>
      <c r="L103" s="15" t="n">
        <v>2</v>
      </c>
      <c r="M103" s="15" t="n">
        <v>0</v>
      </c>
      <c r="N103" s="15" t="s">
        <v>1503</v>
      </c>
      <c r="O103" s="15" t="s">
        <v>948</v>
      </c>
      <c r="P103" s="15" t="s">
        <v>949</v>
      </c>
      <c r="Q103" s="15" t="s">
        <v>1291</v>
      </c>
      <c r="R103" s="15"/>
      <c r="S103" s="15"/>
      <c r="T103" s="15"/>
      <c r="U103" s="15"/>
      <c r="V103" s="15"/>
      <c r="W103" s="15"/>
      <c r="X103" s="15" t="s">
        <v>951</v>
      </c>
      <c r="Y103" s="15" t="s">
        <v>1252</v>
      </c>
      <c r="Z103" s="15" t="s">
        <v>975</v>
      </c>
      <c r="AA103" s="15" t="s">
        <v>976</v>
      </c>
      <c r="AB103" s="15" t="s">
        <v>1504</v>
      </c>
      <c r="AC103" s="15"/>
      <c r="AD103" s="15"/>
      <c r="AE103" s="15" t="s">
        <v>956</v>
      </c>
      <c r="AF103" s="15" t="s">
        <v>999</v>
      </c>
      <c r="AG103" s="15" t="s">
        <v>958</v>
      </c>
      <c r="AH103" s="15" t="n">
        <v>0</v>
      </c>
      <c r="AI103" s="15" t="n">
        <v>0</v>
      </c>
      <c r="AJ103" s="15" t="n">
        <v>23.6</v>
      </c>
      <c r="AK103" s="15" t="n">
        <v>7.4</v>
      </c>
      <c r="AL103" s="15" t="n">
        <v>0</v>
      </c>
      <c r="AM103" s="15" t="n">
        <v>0</v>
      </c>
      <c r="AN103" s="15" t="s">
        <v>1264</v>
      </c>
      <c r="AO103" s="15" t="s">
        <v>960</v>
      </c>
      <c r="AP103" s="15" t="s">
        <v>163</v>
      </c>
      <c r="AQ103" s="15"/>
      <c r="AR103" s="29" t="str">
        <f aca="false">IF(A103="","",IF(COUNTIF(Parcels!$A$2:$A$3000,B103)=0,"Parcel not found",IF(COUNTIF($A$2:$A$3000,A103)&gt;1,"Duplicate perm_id",IF(AND(P103="Yes",D103&lt;&gt;"",COUNTIFS($C$2:$C$3000,D103,$P$2:$P$3000,"Yes")&gt;1),"Reference counted twice",IF(COUNTIF(Lists!$A$2:$A$7,I103)=0,"Unknown status","")))))</f>
        <v/>
      </c>
    </row>
    <row r="104" customFormat="false" ht="15" hidden="false" customHeight="false" outlineLevel="0" collapsed="false">
      <c r="A104" s="15" t="s">
        <v>1505</v>
      </c>
      <c r="B104" s="15" t="s">
        <v>426</v>
      </c>
      <c r="C104" s="15" t="s">
        <v>53</v>
      </c>
      <c r="D104" s="15" t="s">
        <v>1506</v>
      </c>
      <c r="E104" s="15" t="s">
        <v>1506</v>
      </c>
      <c r="F104" s="15" t="s">
        <v>427</v>
      </c>
      <c r="G104" s="15" t="n">
        <v>2</v>
      </c>
      <c r="H104" s="15"/>
      <c r="I104" s="15" t="s">
        <v>48</v>
      </c>
      <c r="J104" s="15" t="s">
        <v>947</v>
      </c>
      <c r="K104" s="15" t="s">
        <v>48</v>
      </c>
      <c r="L104" s="15" t="n">
        <v>0</v>
      </c>
      <c r="M104" s="15" t="n">
        <v>0</v>
      </c>
      <c r="N104" s="15"/>
      <c r="O104" s="15" t="s">
        <v>948</v>
      </c>
      <c r="P104" s="15" t="s">
        <v>949</v>
      </c>
      <c r="Q104" s="15" t="s">
        <v>965</v>
      </c>
      <c r="R104" s="15"/>
      <c r="S104" s="15"/>
      <c r="T104" s="15"/>
      <c r="U104" s="15"/>
      <c r="V104" s="15"/>
      <c r="W104" s="15"/>
      <c r="X104" s="15" t="s">
        <v>951</v>
      </c>
      <c r="Y104" s="15" t="s">
        <v>952</v>
      </c>
      <c r="Z104" s="15" t="s">
        <v>170</v>
      </c>
      <c r="AA104" s="15" t="s">
        <v>966</v>
      </c>
      <c r="AB104" s="15" t="s">
        <v>1507</v>
      </c>
      <c r="AC104" s="15" t="s">
        <v>1508</v>
      </c>
      <c r="AD104" s="15" t="s">
        <v>1194</v>
      </c>
      <c r="AE104" s="15" t="s">
        <v>1019</v>
      </c>
      <c r="AF104" s="15" t="s">
        <v>980</v>
      </c>
      <c r="AG104" s="15" t="s">
        <v>981</v>
      </c>
      <c r="AH104" s="15" t="n">
        <v>0.5</v>
      </c>
      <c r="AI104" s="15" t="n">
        <v>1.5</v>
      </c>
      <c r="AJ104" s="15" t="n">
        <v>0</v>
      </c>
      <c r="AK104" s="15" t="n">
        <v>0</v>
      </c>
      <c r="AL104" s="15" t="n">
        <v>0</v>
      </c>
      <c r="AM104" s="15" t="n">
        <v>0</v>
      </c>
      <c r="AN104" s="15" t="s">
        <v>1264</v>
      </c>
      <c r="AO104" s="15" t="s">
        <v>960</v>
      </c>
      <c r="AP104" s="15" t="s">
        <v>163</v>
      </c>
      <c r="AQ104" s="15"/>
      <c r="AR104" s="29" t="str">
        <f aca="false">IF(A104="","",IF(COUNTIF(Parcels!$A$2:$A$3000,B104)=0,"Parcel not found",IF(COUNTIF($A$2:$A$3000,A104)&gt;1,"Duplicate perm_id",IF(AND(P104="Yes",D104&lt;&gt;"",COUNTIFS($C$2:$C$3000,D104,$P$2:$P$3000,"Yes")&gt;1),"Reference counted twice",IF(COUNTIF(Lists!$A$2:$A$7,I104)=0,"Unknown status","")))))</f>
        <v/>
      </c>
    </row>
    <row r="105" customFormat="false" ht="15" hidden="false" customHeight="false" outlineLevel="0" collapsed="false">
      <c r="A105" s="15" t="s">
        <v>1509</v>
      </c>
      <c r="B105" s="15" t="s">
        <v>595</v>
      </c>
      <c r="C105" s="15" t="s">
        <v>69</v>
      </c>
      <c r="D105" s="15" t="s">
        <v>1510</v>
      </c>
      <c r="E105" s="15" t="s">
        <v>1510</v>
      </c>
      <c r="F105" s="15" t="s">
        <v>596</v>
      </c>
      <c r="G105" s="15" t="n">
        <v>10</v>
      </c>
      <c r="H105" s="15"/>
      <c r="I105" s="15" t="s">
        <v>47</v>
      </c>
      <c r="J105" s="15" t="s">
        <v>1267</v>
      </c>
      <c r="K105" s="15" t="s">
        <v>48</v>
      </c>
      <c r="L105" s="15" t="n">
        <v>10</v>
      </c>
      <c r="M105" s="15" t="n">
        <v>0</v>
      </c>
      <c r="N105" s="15" t="s">
        <v>1268</v>
      </c>
      <c r="O105" s="15" t="s">
        <v>948</v>
      </c>
      <c r="P105" s="15" t="s">
        <v>949</v>
      </c>
      <c r="Q105" s="15" t="s">
        <v>965</v>
      </c>
      <c r="R105" s="15"/>
      <c r="S105" s="15"/>
      <c r="T105" s="15"/>
      <c r="U105" s="15"/>
      <c r="V105" s="15"/>
      <c r="W105" s="15"/>
      <c r="X105" s="15" t="s">
        <v>951</v>
      </c>
      <c r="Y105" s="15" t="s">
        <v>952</v>
      </c>
      <c r="Z105" s="15" t="s">
        <v>170</v>
      </c>
      <c r="AA105" s="15" t="s">
        <v>966</v>
      </c>
      <c r="AB105" s="15" t="s">
        <v>1511</v>
      </c>
      <c r="AC105" s="15" t="s">
        <v>1512</v>
      </c>
      <c r="AD105" s="15" t="s">
        <v>1513</v>
      </c>
      <c r="AE105" s="15" t="s">
        <v>1026</v>
      </c>
      <c r="AF105" s="15" t="s">
        <v>980</v>
      </c>
      <c r="AG105" s="15" t="s">
        <v>981</v>
      </c>
      <c r="AH105" s="15" t="n">
        <v>0</v>
      </c>
      <c r="AI105" s="15" t="n">
        <v>0</v>
      </c>
      <c r="AJ105" s="15" t="n">
        <v>0</v>
      </c>
      <c r="AK105" s="15" t="n">
        <v>0</v>
      </c>
      <c r="AL105" s="15" t="n">
        <v>0</v>
      </c>
      <c r="AM105" s="15" t="n">
        <v>0</v>
      </c>
      <c r="AN105" s="15" t="s">
        <v>1264</v>
      </c>
      <c r="AO105" s="15" t="s">
        <v>960</v>
      </c>
      <c r="AP105" s="15" t="s">
        <v>163</v>
      </c>
      <c r="AQ105" s="15"/>
      <c r="AR105" s="29" t="str">
        <f aca="false">IF(A105="","",IF(COUNTIF(Parcels!$A$2:$A$3000,B105)=0,"Parcel not found",IF(COUNTIF($A$2:$A$3000,A105)&gt;1,"Duplicate perm_id",IF(AND(P105="Yes",D105&lt;&gt;"",COUNTIFS($C$2:$C$3000,D105,$P$2:$P$3000,"Yes")&gt;1),"Reference counted twice",IF(COUNTIF(Lists!$A$2:$A$7,I105)=0,"Unknown status","")))))</f>
        <v/>
      </c>
    </row>
    <row r="106" customFormat="false" ht="15" hidden="false" customHeight="false" outlineLevel="0" collapsed="false">
      <c r="A106" s="15" t="s">
        <v>1514</v>
      </c>
      <c r="B106" s="15" t="s">
        <v>362</v>
      </c>
      <c r="C106" s="15" t="s">
        <v>51</v>
      </c>
      <c r="D106" s="15" t="s">
        <v>1515</v>
      </c>
      <c r="E106" s="15" t="s">
        <v>1515</v>
      </c>
      <c r="F106" s="15" t="s">
        <v>363</v>
      </c>
      <c r="G106" s="15" t="n">
        <v>92</v>
      </c>
      <c r="H106" s="15"/>
      <c r="I106" s="15" t="s">
        <v>48</v>
      </c>
      <c r="J106" s="15" t="s">
        <v>947</v>
      </c>
      <c r="K106" s="15" t="s">
        <v>48</v>
      </c>
      <c r="L106" s="15" t="n">
        <v>48</v>
      </c>
      <c r="M106" s="15" t="n">
        <v>44</v>
      </c>
      <c r="N106" s="15"/>
      <c r="O106" s="15" t="s">
        <v>948</v>
      </c>
      <c r="P106" s="15" t="s">
        <v>949</v>
      </c>
      <c r="Q106" s="15" t="s">
        <v>1303</v>
      </c>
      <c r="R106" s="15" t="n">
        <v>0</v>
      </c>
      <c r="S106" s="15" t="n">
        <v>4</v>
      </c>
      <c r="T106" s="15" t="n">
        <v>48</v>
      </c>
      <c r="U106" s="15" t="n">
        <v>40</v>
      </c>
      <c r="V106" s="15" t="n">
        <v>0</v>
      </c>
      <c r="W106" s="15" t="n">
        <v>0</v>
      </c>
      <c r="X106" s="15" t="s">
        <v>951</v>
      </c>
      <c r="Y106" s="15" t="s">
        <v>952</v>
      </c>
      <c r="Z106" s="15" t="s">
        <v>170</v>
      </c>
      <c r="AA106" s="15" t="s">
        <v>966</v>
      </c>
      <c r="AB106" s="15" t="s">
        <v>1516</v>
      </c>
      <c r="AC106" s="15" t="s">
        <v>1517</v>
      </c>
      <c r="AD106" s="15" t="s">
        <v>1518</v>
      </c>
      <c r="AE106" s="15" t="s">
        <v>1519</v>
      </c>
      <c r="AF106" s="15" t="s">
        <v>980</v>
      </c>
      <c r="AG106" s="15" t="s">
        <v>981</v>
      </c>
      <c r="AH106" s="15" t="n">
        <v>21.4</v>
      </c>
      <c r="AI106" s="15" t="n">
        <v>70.6</v>
      </c>
      <c r="AJ106" s="15" t="n">
        <v>0</v>
      </c>
      <c r="AK106" s="15" t="n">
        <v>0</v>
      </c>
      <c r="AL106" s="15" t="n">
        <v>0</v>
      </c>
      <c r="AM106" s="15" t="n">
        <v>0</v>
      </c>
      <c r="AN106" s="15" t="s">
        <v>1264</v>
      </c>
      <c r="AO106" s="15" t="s">
        <v>960</v>
      </c>
      <c r="AP106" s="15" t="s">
        <v>163</v>
      </c>
      <c r="AQ106" s="15"/>
      <c r="AR106" s="29" t="str">
        <f aca="false">IF(A106="","",IF(COUNTIF(Parcels!$A$2:$A$3000,B106)=0,"Parcel not found",IF(COUNTIF($A$2:$A$3000,A106)&gt;1,"Duplicate perm_id",IF(AND(P106="Yes",D106&lt;&gt;"",COUNTIFS($C$2:$C$3000,D106,$P$2:$P$3000,"Yes")&gt;1),"Reference counted twice",IF(COUNTIF(Lists!$A$2:$A$7,I106)=0,"Unknown status","")))))</f>
        <v/>
      </c>
    </row>
    <row r="107" customFormat="false" ht="15" hidden="false" customHeight="false" outlineLevel="0" collapsed="false">
      <c r="A107" s="15" t="s">
        <v>1520</v>
      </c>
      <c r="B107" s="15" t="s">
        <v>491</v>
      </c>
      <c r="C107" s="15" t="s">
        <v>55</v>
      </c>
      <c r="D107" s="15" t="s">
        <v>1521</v>
      </c>
      <c r="E107" s="15" t="s">
        <v>1521</v>
      </c>
      <c r="F107" s="15" t="s">
        <v>492</v>
      </c>
      <c r="G107" s="15" t="n">
        <v>0</v>
      </c>
      <c r="H107" s="15"/>
      <c r="I107" s="15" t="s">
        <v>47</v>
      </c>
      <c r="J107" s="15" t="s">
        <v>947</v>
      </c>
      <c r="K107" s="15" t="s">
        <v>47</v>
      </c>
      <c r="L107" s="15" t="n">
        <v>9</v>
      </c>
      <c r="M107" s="15" t="n">
        <v>0</v>
      </c>
      <c r="N107" s="15" t="s">
        <v>1074</v>
      </c>
      <c r="O107" s="15" t="s">
        <v>948</v>
      </c>
      <c r="P107" s="15" t="s">
        <v>949</v>
      </c>
      <c r="Q107" s="15" t="s">
        <v>1291</v>
      </c>
      <c r="R107" s="15"/>
      <c r="S107" s="15"/>
      <c r="T107" s="15"/>
      <c r="U107" s="15"/>
      <c r="V107" s="15"/>
      <c r="W107" s="15"/>
      <c r="X107" s="15" t="s">
        <v>951</v>
      </c>
      <c r="Y107" s="15" t="s">
        <v>952</v>
      </c>
      <c r="Z107" s="15" t="s">
        <v>170</v>
      </c>
      <c r="AA107" s="15" t="s">
        <v>966</v>
      </c>
      <c r="AB107" s="15" t="s">
        <v>1522</v>
      </c>
      <c r="AC107" s="15" t="s">
        <v>1523</v>
      </c>
      <c r="AD107" s="15" t="s">
        <v>1524</v>
      </c>
      <c r="AE107" s="15"/>
      <c r="AF107" s="15"/>
      <c r="AG107" s="15" t="s">
        <v>992</v>
      </c>
      <c r="AH107" s="15" t="n">
        <v>0</v>
      </c>
      <c r="AI107" s="15" t="n">
        <v>0</v>
      </c>
      <c r="AJ107" s="15" t="n">
        <v>0</v>
      </c>
      <c r="AK107" s="15" t="n">
        <v>0</v>
      </c>
      <c r="AL107" s="15" t="n">
        <v>0</v>
      </c>
      <c r="AM107" s="15" t="n">
        <v>0</v>
      </c>
      <c r="AN107" s="15" t="s">
        <v>1264</v>
      </c>
      <c r="AO107" s="15" t="s">
        <v>960</v>
      </c>
      <c r="AP107" s="15" t="s">
        <v>163</v>
      </c>
      <c r="AQ107" s="15"/>
      <c r="AR107" s="29" t="str">
        <f aca="false">IF(A107="","",IF(COUNTIF(Parcels!$A$2:$A$3000,B107)=0,"Parcel not found",IF(COUNTIF($A$2:$A$3000,A107)&gt;1,"Duplicate perm_id",IF(AND(P107="Yes",D107&lt;&gt;"",COUNTIFS($C$2:$C$3000,D107,$P$2:$P$3000,"Yes")&gt;1),"Reference counted twice",IF(COUNTIF(Lists!$A$2:$A$7,I107)=0,"Unknown status","")))))</f>
        <v/>
      </c>
    </row>
    <row r="108" customFormat="false" ht="15" hidden="false" customHeight="false" outlineLevel="0" collapsed="false">
      <c r="A108" s="15" t="s">
        <v>1525</v>
      </c>
      <c r="B108" s="15" t="s">
        <v>394</v>
      </c>
      <c r="C108" s="15" t="s">
        <v>52</v>
      </c>
      <c r="D108" s="15" t="s">
        <v>1526</v>
      </c>
      <c r="E108" s="15" t="s">
        <v>1526</v>
      </c>
      <c r="F108" s="15" t="s">
        <v>395</v>
      </c>
      <c r="G108" s="15" t="n">
        <v>62</v>
      </c>
      <c r="H108" s="15"/>
      <c r="I108" s="15" t="s">
        <v>47</v>
      </c>
      <c r="J108" s="15" t="s">
        <v>1267</v>
      </c>
      <c r="K108" s="15" t="s">
        <v>48</v>
      </c>
      <c r="L108" s="15" t="n">
        <v>62</v>
      </c>
      <c r="M108" s="15" t="n">
        <v>0</v>
      </c>
      <c r="N108" s="15" t="s">
        <v>1268</v>
      </c>
      <c r="O108" s="15" t="s">
        <v>948</v>
      </c>
      <c r="P108" s="15" t="s">
        <v>949</v>
      </c>
      <c r="Q108" s="15" t="s">
        <v>1291</v>
      </c>
      <c r="R108" s="15"/>
      <c r="S108" s="15"/>
      <c r="T108" s="15"/>
      <c r="U108" s="15"/>
      <c r="V108" s="15"/>
      <c r="W108" s="15"/>
      <c r="X108" s="15" t="s">
        <v>951</v>
      </c>
      <c r="Y108" s="15" t="s">
        <v>952</v>
      </c>
      <c r="Z108" s="15" t="s">
        <v>170</v>
      </c>
      <c r="AA108" s="15" t="s">
        <v>966</v>
      </c>
      <c r="AB108" s="15" t="s">
        <v>1527</v>
      </c>
      <c r="AC108" s="15" t="s">
        <v>1528</v>
      </c>
      <c r="AD108" s="15" t="s">
        <v>1529</v>
      </c>
      <c r="AE108" s="15" t="s">
        <v>1519</v>
      </c>
      <c r="AF108" s="15" t="s">
        <v>980</v>
      </c>
      <c r="AG108" s="15" t="s">
        <v>981</v>
      </c>
      <c r="AH108" s="15" t="n">
        <v>0</v>
      </c>
      <c r="AI108" s="15" t="n">
        <v>0</v>
      </c>
      <c r="AJ108" s="15" t="n">
        <v>0</v>
      </c>
      <c r="AK108" s="15" t="n">
        <v>0</v>
      </c>
      <c r="AL108" s="15" t="n">
        <v>0</v>
      </c>
      <c r="AM108" s="15" t="n">
        <v>0</v>
      </c>
      <c r="AN108" s="15" t="s">
        <v>1264</v>
      </c>
      <c r="AO108" s="15" t="s">
        <v>960</v>
      </c>
      <c r="AP108" s="15" t="s">
        <v>163</v>
      </c>
      <c r="AQ108" s="15"/>
      <c r="AR108" s="29" t="str">
        <f aca="false">IF(A108="","",IF(COUNTIF(Parcels!$A$2:$A$3000,B108)=0,"Parcel not found",IF(COUNTIF($A$2:$A$3000,A108)&gt;1,"Duplicate perm_id",IF(AND(P108="Yes",D108&lt;&gt;"",COUNTIFS($C$2:$C$3000,D108,$P$2:$P$3000,"Yes")&gt;1),"Reference counted twice",IF(COUNTIF(Lists!$A$2:$A$7,I108)=0,"Unknown status","")))))</f>
        <v/>
      </c>
    </row>
    <row r="109" customFormat="false" ht="15" hidden="false" customHeight="false" outlineLevel="0" collapsed="false">
      <c r="A109" s="15" t="s">
        <v>1530</v>
      </c>
      <c r="B109" s="15" t="s">
        <v>597</v>
      </c>
      <c r="C109" s="15" t="s">
        <v>67</v>
      </c>
      <c r="D109" s="15" t="s">
        <v>1531</v>
      </c>
      <c r="E109" s="15" t="s">
        <v>1531</v>
      </c>
      <c r="F109" s="15" t="s">
        <v>598</v>
      </c>
      <c r="G109" s="15" t="n">
        <v>5</v>
      </c>
      <c r="H109" s="15"/>
      <c r="I109" s="15" t="s">
        <v>48</v>
      </c>
      <c r="J109" s="15" t="s">
        <v>947</v>
      </c>
      <c r="K109" s="15" t="s">
        <v>48</v>
      </c>
      <c r="L109" s="15" t="n">
        <v>0</v>
      </c>
      <c r="M109" s="15" t="n">
        <v>0</v>
      </c>
      <c r="N109" s="15"/>
      <c r="O109" s="15" t="s">
        <v>948</v>
      </c>
      <c r="P109" s="15" t="s">
        <v>949</v>
      </c>
      <c r="Q109" s="15" t="s">
        <v>965</v>
      </c>
      <c r="R109" s="15"/>
      <c r="S109" s="15"/>
      <c r="T109" s="15"/>
      <c r="U109" s="15"/>
      <c r="V109" s="15"/>
      <c r="W109" s="15"/>
      <c r="X109" s="15" t="s">
        <v>951</v>
      </c>
      <c r="Y109" s="15" t="s">
        <v>952</v>
      </c>
      <c r="Z109" s="15" t="s">
        <v>170</v>
      </c>
      <c r="AA109" s="15" t="s">
        <v>966</v>
      </c>
      <c r="AB109" s="15" t="s">
        <v>1532</v>
      </c>
      <c r="AC109" s="15" t="s">
        <v>1533</v>
      </c>
      <c r="AD109" s="15" t="s">
        <v>1534</v>
      </c>
      <c r="AE109" s="15" t="s">
        <v>979</v>
      </c>
      <c r="AF109" s="15" t="s">
        <v>980</v>
      </c>
      <c r="AG109" s="15" t="s">
        <v>981</v>
      </c>
      <c r="AH109" s="15" t="n">
        <v>1.2</v>
      </c>
      <c r="AI109" s="15" t="n">
        <v>3.8</v>
      </c>
      <c r="AJ109" s="15" t="n">
        <v>0</v>
      </c>
      <c r="AK109" s="15" t="n">
        <v>0</v>
      </c>
      <c r="AL109" s="15" t="n">
        <v>0</v>
      </c>
      <c r="AM109" s="15" t="n">
        <v>0</v>
      </c>
      <c r="AN109" s="15" t="s">
        <v>1264</v>
      </c>
      <c r="AO109" s="15" t="s">
        <v>960</v>
      </c>
      <c r="AP109" s="15" t="s">
        <v>163</v>
      </c>
      <c r="AQ109" s="15"/>
      <c r="AR109" s="29" t="str">
        <f aca="false">IF(A109="","",IF(COUNTIF(Parcels!$A$2:$A$3000,B109)=0,"Parcel not found",IF(COUNTIF($A$2:$A$3000,A109)&gt;1,"Duplicate perm_id",IF(AND(P109="Yes",D109&lt;&gt;"",COUNTIFS($C$2:$C$3000,D109,$P$2:$P$3000,"Yes")&gt;1),"Reference counted twice",IF(COUNTIF(Lists!$A$2:$A$7,I109)=0,"Unknown status","")))))</f>
        <v/>
      </c>
    </row>
    <row r="110" customFormat="false" ht="15" hidden="false" customHeight="false" outlineLevel="0" collapsed="false">
      <c r="A110" s="15" t="s">
        <v>1535</v>
      </c>
      <c r="B110" s="15" t="s">
        <v>493</v>
      </c>
      <c r="C110" s="15" t="s">
        <v>55</v>
      </c>
      <c r="D110" s="15" t="s">
        <v>1536</v>
      </c>
      <c r="E110" s="15" t="s">
        <v>1536</v>
      </c>
      <c r="F110" s="15" t="s">
        <v>494</v>
      </c>
      <c r="G110" s="15" t="n">
        <v>96</v>
      </c>
      <c r="H110" s="15"/>
      <c r="I110" s="15" t="s">
        <v>48</v>
      </c>
      <c r="J110" s="15" t="s">
        <v>947</v>
      </c>
      <c r="K110" s="15" t="s">
        <v>48</v>
      </c>
      <c r="L110" s="15" t="n">
        <v>0</v>
      </c>
      <c r="M110" s="15" t="n">
        <v>5</v>
      </c>
      <c r="N110" s="15"/>
      <c r="O110" s="15" t="s">
        <v>948</v>
      </c>
      <c r="P110" s="15" t="s">
        <v>949</v>
      </c>
      <c r="Q110" s="15" t="s">
        <v>989</v>
      </c>
      <c r="R110" s="15" t="n">
        <v>0</v>
      </c>
      <c r="S110" s="15" t="n">
        <v>1</v>
      </c>
      <c r="T110" s="15" t="n">
        <v>70</v>
      </c>
      <c r="U110" s="15" t="n">
        <v>22</v>
      </c>
      <c r="V110" s="15" t="n">
        <v>3</v>
      </c>
      <c r="W110" s="15" t="n">
        <v>0</v>
      </c>
      <c r="X110" s="15" t="s">
        <v>973</v>
      </c>
      <c r="Y110" s="15" t="s">
        <v>952</v>
      </c>
      <c r="Z110" s="15" t="s">
        <v>170</v>
      </c>
      <c r="AA110" s="15" t="s">
        <v>966</v>
      </c>
      <c r="AB110" s="15" t="s">
        <v>1537</v>
      </c>
      <c r="AC110" s="15" t="s">
        <v>1538</v>
      </c>
      <c r="AD110" s="15" t="s">
        <v>1539</v>
      </c>
      <c r="AE110" s="15" t="s">
        <v>1008</v>
      </c>
      <c r="AF110" s="15" t="s">
        <v>999</v>
      </c>
      <c r="AG110" s="15" t="s">
        <v>981</v>
      </c>
      <c r="AH110" s="15" t="n">
        <v>0</v>
      </c>
      <c r="AI110" s="15" t="n">
        <v>38.9</v>
      </c>
      <c r="AJ110" s="15" t="n">
        <v>52.8</v>
      </c>
      <c r="AK110" s="15" t="n">
        <v>4.3</v>
      </c>
      <c r="AL110" s="15" t="n">
        <v>0</v>
      </c>
      <c r="AM110" s="15" t="n">
        <v>0</v>
      </c>
      <c r="AN110" s="15" t="s">
        <v>1264</v>
      </c>
      <c r="AO110" s="15" t="s">
        <v>960</v>
      </c>
      <c r="AP110" s="15" t="s">
        <v>163</v>
      </c>
      <c r="AQ110" s="15"/>
      <c r="AR110" s="29" t="str">
        <f aca="false">IF(A110="","",IF(COUNTIF(Parcels!$A$2:$A$3000,B110)=0,"Parcel not found",IF(COUNTIF($A$2:$A$3000,A110)&gt;1,"Duplicate perm_id",IF(AND(P110="Yes",D110&lt;&gt;"",COUNTIFS($C$2:$C$3000,D110,$P$2:$P$3000,"Yes")&gt;1),"Reference counted twice",IF(COUNTIF(Lists!$A$2:$A$7,I110)=0,"Unknown status","")))))</f>
        <v/>
      </c>
    </row>
    <row r="111" customFormat="false" ht="15" hidden="false" customHeight="false" outlineLevel="0" collapsed="false">
      <c r="A111" s="15" t="s">
        <v>1540</v>
      </c>
      <c r="B111" s="15" t="s">
        <v>493</v>
      </c>
      <c r="C111" s="15" t="s">
        <v>55</v>
      </c>
      <c r="D111" s="15" t="s">
        <v>1541</v>
      </c>
      <c r="E111" s="15" t="s">
        <v>1541</v>
      </c>
      <c r="F111" s="15" t="s">
        <v>1542</v>
      </c>
      <c r="G111" s="15" t="n">
        <v>96</v>
      </c>
      <c r="H111" s="15"/>
      <c r="I111" s="15" t="s">
        <v>48</v>
      </c>
      <c r="J111" s="15" t="s">
        <v>947</v>
      </c>
      <c r="K111" s="15" t="s">
        <v>48</v>
      </c>
      <c r="L111" s="15" t="n">
        <v>90</v>
      </c>
      <c r="M111" s="15" t="n">
        <v>0</v>
      </c>
      <c r="N111" s="15"/>
      <c r="O111" s="15" t="s">
        <v>948</v>
      </c>
      <c r="P111" s="15" t="s">
        <v>949</v>
      </c>
      <c r="Q111" s="15" t="s">
        <v>989</v>
      </c>
      <c r="R111" s="15" t="n">
        <v>0</v>
      </c>
      <c r="S111" s="15" t="n">
        <v>4</v>
      </c>
      <c r="T111" s="15" t="n">
        <v>30</v>
      </c>
      <c r="U111" s="15" t="n">
        <v>40</v>
      </c>
      <c r="V111" s="15" t="n">
        <v>22</v>
      </c>
      <c r="W111" s="15" t="n">
        <v>0</v>
      </c>
      <c r="X111" s="15" t="s">
        <v>973</v>
      </c>
      <c r="Y111" s="15" t="s">
        <v>952</v>
      </c>
      <c r="Z111" s="15" t="s">
        <v>170</v>
      </c>
      <c r="AA111" s="15" t="s">
        <v>966</v>
      </c>
      <c r="AB111" s="15" t="s">
        <v>1537</v>
      </c>
      <c r="AC111" s="15" t="s">
        <v>1543</v>
      </c>
      <c r="AD111" s="15" t="s">
        <v>1544</v>
      </c>
      <c r="AE111" s="15" t="s">
        <v>1442</v>
      </c>
      <c r="AF111" s="15" t="s">
        <v>980</v>
      </c>
      <c r="AG111" s="15" t="s">
        <v>981</v>
      </c>
      <c r="AH111" s="15" t="n">
        <v>22.4</v>
      </c>
      <c r="AI111" s="15" t="n">
        <v>73.6</v>
      </c>
      <c r="AJ111" s="15" t="n">
        <v>0</v>
      </c>
      <c r="AK111" s="15" t="n">
        <v>0</v>
      </c>
      <c r="AL111" s="15" t="n">
        <v>0</v>
      </c>
      <c r="AM111" s="15" t="n">
        <v>0</v>
      </c>
      <c r="AN111" s="15" t="s">
        <v>1264</v>
      </c>
      <c r="AO111" s="15" t="s">
        <v>960</v>
      </c>
      <c r="AP111" s="15" t="s">
        <v>163</v>
      </c>
      <c r="AQ111" s="15"/>
      <c r="AR111" s="29" t="str">
        <f aca="false">IF(A111="","",IF(COUNTIF(Parcels!$A$2:$A$3000,B111)=0,"Parcel not found",IF(COUNTIF($A$2:$A$3000,A111)&gt;1,"Duplicate perm_id",IF(AND(P111="Yes",D111&lt;&gt;"",COUNTIFS($C$2:$C$3000,D111,$P$2:$P$3000,"Yes")&gt;1),"Reference counted twice",IF(COUNTIF(Lists!$A$2:$A$7,I111)=0,"Unknown status","")))))</f>
        <v/>
      </c>
    </row>
    <row r="112" customFormat="false" ht="15" hidden="false" customHeight="false" outlineLevel="0" collapsed="false">
      <c r="A112" s="15" t="s">
        <v>1545</v>
      </c>
      <c r="B112" s="15" t="s">
        <v>428</v>
      </c>
      <c r="C112" s="15" t="s">
        <v>53</v>
      </c>
      <c r="D112" s="15" t="s">
        <v>1546</v>
      </c>
      <c r="E112" s="15" t="s">
        <v>1546</v>
      </c>
      <c r="F112" s="15" t="s">
        <v>429</v>
      </c>
      <c r="G112" s="15" t="n">
        <v>0</v>
      </c>
      <c r="H112" s="15"/>
      <c r="I112" s="15" t="s">
        <v>964</v>
      </c>
      <c r="J112" s="15" t="s">
        <v>947</v>
      </c>
      <c r="K112" s="15" t="s">
        <v>964</v>
      </c>
      <c r="L112" s="15" t="n">
        <v>0</v>
      </c>
      <c r="M112" s="15" t="n">
        <v>0</v>
      </c>
      <c r="N112" s="15"/>
      <c r="O112" s="15" t="s">
        <v>948</v>
      </c>
      <c r="P112" s="15" t="s">
        <v>949</v>
      </c>
      <c r="Q112" s="15" t="s">
        <v>965</v>
      </c>
      <c r="R112" s="15"/>
      <c r="S112" s="15"/>
      <c r="T112" s="15"/>
      <c r="U112" s="15"/>
      <c r="V112" s="15"/>
      <c r="W112" s="15"/>
      <c r="X112" s="15" t="s">
        <v>951</v>
      </c>
      <c r="Y112" s="15" t="s">
        <v>1058</v>
      </c>
      <c r="Z112" s="15" t="s">
        <v>170</v>
      </c>
      <c r="AA112" s="15" t="s">
        <v>966</v>
      </c>
      <c r="AB112" s="15" t="s">
        <v>1547</v>
      </c>
      <c r="AC112" s="15" t="s">
        <v>1548</v>
      </c>
      <c r="AD112" s="15"/>
      <c r="AE112" s="15"/>
      <c r="AF112" s="15"/>
      <c r="AG112" s="15" t="s">
        <v>969</v>
      </c>
      <c r="AH112" s="15" t="n">
        <v>0</v>
      </c>
      <c r="AI112" s="15" t="n">
        <v>0</v>
      </c>
      <c r="AJ112" s="15" t="n">
        <v>0</v>
      </c>
      <c r="AK112" s="15" t="n">
        <v>0</v>
      </c>
      <c r="AL112" s="15" t="n">
        <v>0</v>
      </c>
      <c r="AM112" s="15" t="n">
        <v>0</v>
      </c>
      <c r="AN112" s="15" t="s">
        <v>1264</v>
      </c>
      <c r="AO112" s="15" t="s">
        <v>960</v>
      </c>
      <c r="AP112" s="15" t="s">
        <v>163</v>
      </c>
      <c r="AQ112" s="15"/>
      <c r="AR112" s="29" t="str">
        <f aca="false">IF(A112="","",IF(COUNTIF(Parcels!$A$2:$A$3000,B112)=0,"Parcel not found",IF(COUNTIF($A$2:$A$3000,A112)&gt;1,"Duplicate perm_id",IF(AND(P112="Yes",D112&lt;&gt;"",COUNTIFS($C$2:$C$3000,D112,$P$2:$P$3000,"Yes")&gt;1),"Reference counted twice",IF(COUNTIF(Lists!$A$2:$A$7,I112)=0,"Unknown status","")))))</f>
        <v/>
      </c>
    </row>
    <row r="113" customFormat="false" ht="15" hidden="false" customHeight="false" outlineLevel="0" collapsed="false">
      <c r="A113" s="15" t="s">
        <v>1549</v>
      </c>
      <c r="B113" s="15" t="s">
        <v>495</v>
      </c>
      <c r="C113" s="15" t="s">
        <v>55</v>
      </c>
      <c r="D113" s="15" t="s">
        <v>1550</v>
      </c>
      <c r="E113" s="15" t="s">
        <v>1550</v>
      </c>
      <c r="F113" s="15" t="s">
        <v>496</v>
      </c>
      <c r="G113" s="15" t="n">
        <v>66</v>
      </c>
      <c r="H113" s="15"/>
      <c r="I113" s="15" t="s">
        <v>47</v>
      </c>
      <c r="J113" s="15" t="s">
        <v>947</v>
      </c>
      <c r="K113" s="15" t="s">
        <v>47</v>
      </c>
      <c r="L113" s="15" t="n">
        <v>66</v>
      </c>
      <c r="M113" s="15" t="n">
        <v>0</v>
      </c>
      <c r="N113" s="15"/>
      <c r="O113" s="15" t="s">
        <v>948</v>
      </c>
      <c r="P113" s="15" t="s">
        <v>949</v>
      </c>
      <c r="Q113" s="15" t="s">
        <v>989</v>
      </c>
      <c r="R113" s="15" t="n">
        <v>0</v>
      </c>
      <c r="S113" s="15" t="n">
        <v>18</v>
      </c>
      <c r="T113" s="15" t="n">
        <v>21</v>
      </c>
      <c r="U113" s="15" t="n">
        <v>27</v>
      </c>
      <c r="V113" s="15" t="n">
        <v>0</v>
      </c>
      <c r="W113" s="15" t="n">
        <v>0</v>
      </c>
      <c r="X113" s="15" t="s">
        <v>973</v>
      </c>
      <c r="Y113" s="15" t="s">
        <v>952</v>
      </c>
      <c r="Z113" s="15" t="s">
        <v>170</v>
      </c>
      <c r="AA113" s="15" t="s">
        <v>966</v>
      </c>
      <c r="AB113" s="15" t="s">
        <v>1551</v>
      </c>
      <c r="AC113" s="15" t="s">
        <v>1552</v>
      </c>
      <c r="AD113" s="15" t="s">
        <v>1553</v>
      </c>
      <c r="AE113" s="15"/>
      <c r="AF113" s="15"/>
      <c r="AG113" s="15" t="s">
        <v>992</v>
      </c>
      <c r="AH113" s="15" t="n">
        <v>0</v>
      </c>
      <c r="AI113" s="15" t="n">
        <v>0</v>
      </c>
      <c r="AJ113" s="15" t="n">
        <v>0</v>
      </c>
      <c r="AK113" s="15" t="n">
        <v>0</v>
      </c>
      <c r="AL113" s="15" t="n">
        <v>0</v>
      </c>
      <c r="AM113" s="15" t="n">
        <v>0</v>
      </c>
      <c r="AN113" s="15" t="s">
        <v>1264</v>
      </c>
      <c r="AO113" s="15" t="s">
        <v>960</v>
      </c>
      <c r="AP113" s="15" t="s">
        <v>163</v>
      </c>
      <c r="AQ113" s="15"/>
      <c r="AR113" s="29" t="str">
        <f aca="false">IF(A113="","",IF(COUNTIF(Parcels!$A$2:$A$3000,B113)=0,"Parcel not found",IF(COUNTIF($A$2:$A$3000,A113)&gt;1,"Duplicate perm_id",IF(AND(P113="Yes",D113&lt;&gt;"",COUNTIFS($C$2:$C$3000,D113,$P$2:$P$3000,"Yes")&gt;1),"Reference counted twice",IF(COUNTIF(Lists!$A$2:$A$7,I113)=0,"Unknown status","")))))</f>
        <v/>
      </c>
    </row>
    <row r="114" customFormat="false" ht="15" hidden="false" customHeight="false" outlineLevel="0" collapsed="false">
      <c r="A114" s="15" t="s">
        <v>1554</v>
      </c>
      <c r="B114" s="15" t="s">
        <v>599</v>
      </c>
      <c r="C114" s="15" t="s">
        <v>22</v>
      </c>
      <c r="D114" s="15" t="s">
        <v>1555</v>
      </c>
      <c r="E114" s="15" t="s">
        <v>1555</v>
      </c>
      <c r="F114" s="15" t="s">
        <v>600</v>
      </c>
      <c r="G114" s="15" t="n">
        <v>6</v>
      </c>
      <c r="H114" s="15"/>
      <c r="I114" s="15" t="s">
        <v>48</v>
      </c>
      <c r="J114" s="15" t="s">
        <v>947</v>
      </c>
      <c r="K114" s="15" t="s">
        <v>48</v>
      </c>
      <c r="L114" s="15" t="n">
        <v>0</v>
      </c>
      <c r="M114" s="15" t="n">
        <v>0</v>
      </c>
      <c r="N114" s="15"/>
      <c r="O114" s="15" t="s">
        <v>948</v>
      </c>
      <c r="P114" s="15" t="s">
        <v>949</v>
      </c>
      <c r="Q114" s="15" t="s">
        <v>965</v>
      </c>
      <c r="R114" s="15"/>
      <c r="S114" s="15"/>
      <c r="T114" s="15"/>
      <c r="U114" s="15"/>
      <c r="V114" s="15"/>
      <c r="W114" s="15"/>
      <c r="X114" s="15" t="s">
        <v>951</v>
      </c>
      <c r="Y114" s="15" t="s">
        <v>952</v>
      </c>
      <c r="Z114" s="15" t="s">
        <v>170</v>
      </c>
      <c r="AA114" s="15" t="s">
        <v>966</v>
      </c>
      <c r="AB114" s="15" t="s">
        <v>1556</v>
      </c>
      <c r="AC114" s="15" t="s">
        <v>1557</v>
      </c>
      <c r="AD114" s="15" t="s">
        <v>1558</v>
      </c>
      <c r="AE114" s="15" t="s">
        <v>1559</v>
      </c>
      <c r="AF114" s="15" t="s">
        <v>980</v>
      </c>
      <c r="AG114" s="15" t="s">
        <v>981</v>
      </c>
      <c r="AH114" s="15" t="n">
        <v>1.4</v>
      </c>
      <c r="AI114" s="15" t="n">
        <v>4.6</v>
      </c>
      <c r="AJ114" s="15" t="n">
        <v>0</v>
      </c>
      <c r="AK114" s="15" t="n">
        <v>0</v>
      </c>
      <c r="AL114" s="15" t="n">
        <v>0</v>
      </c>
      <c r="AM114" s="15" t="n">
        <v>0</v>
      </c>
      <c r="AN114" s="15" t="s">
        <v>1264</v>
      </c>
      <c r="AO114" s="15" t="s">
        <v>960</v>
      </c>
      <c r="AP114" s="15" t="s">
        <v>163</v>
      </c>
      <c r="AQ114" s="15"/>
      <c r="AR114" s="29" t="str">
        <f aca="false">IF(A114="","",IF(COUNTIF(Parcels!$A$2:$A$3000,B114)=0,"Parcel not found",IF(COUNTIF($A$2:$A$3000,A114)&gt;1,"Duplicate perm_id",IF(AND(P114="Yes",D114&lt;&gt;"",COUNTIFS($C$2:$C$3000,D114,$P$2:$P$3000,"Yes")&gt;1),"Reference counted twice",IF(COUNTIF(Lists!$A$2:$A$7,I114)=0,"Unknown status","")))))</f>
        <v/>
      </c>
    </row>
    <row r="115" customFormat="false" ht="15" hidden="false" customHeight="false" outlineLevel="0" collapsed="false">
      <c r="A115" s="15" t="s">
        <v>1560</v>
      </c>
      <c r="B115" s="15" t="s">
        <v>601</v>
      </c>
      <c r="C115" s="15" t="s">
        <v>22</v>
      </c>
      <c r="D115" s="15" t="s">
        <v>1561</v>
      </c>
      <c r="E115" s="15" t="s">
        <v>1561</v>
      </c>
      <c r="F115" s="15" t="s">
        <v>602</v>
      </c>
      <c r="G115" s="15" t="n">
        <v>1</v>
      </c>
      <c r="H115" s="15"/>
      <c r="I115" s="15" t="s">
        <v>964</v>
      </c>
      <c r="J115" s="15" t="s">
        <v>947</v>
      </c>
      <c r="K115" s="15" t="s">
        <v>964</v>
      </c>
      <c r="L115" s="15" t="n">
        <v>0</v>
      </c>
      <c r="M115" s="15" t="n">
        <v>0</v>
      </c>
      <c r="N115" s="15"/>
      <c r="O115" s="15" t="s">
        <v>948</v>
      </c>
      <c r="P115" s="15" t="s">
        <v>949</v>
      </c>
      <c r="Q115" s="15" t="s">
        <v>965</v>
      </c>
      <c r="R115" s="15"/>
      <c r="S115" s="15"/>
      <c r="T115" s="15"/>
      <c r="U115" s="15"/>
      <c r="V115" s="15"/>
      <c r="W115" s="15"/>
      <c r="X115" s="15" t="s">
        <v>951</v>
      </c>
      <c r="Y115" s="15" t="s">
        <v>952</v>
      </c>
      <c r="Z115" s="15" t="s">
        <v>170</v>
      </c>
      <c r="AA115" s="15" t="s">
        <v>966</v>
      </c>
      <c r="AB115" s="15" t="s">
        <v>1562</v>
      </c>
      <c r="AC115" s="15" t="s">
        <v>1563</v>
      </c>
      <c r="AD115" s="15"/>
      <c r="AE115" s="15"/>
      <c r="AF115" s="15"/>
      <c r="AG115" s="15" t="s">
        <v>969</v>
      </c>
      <c r="AH115" s="15" t="n">
        <v>0</v>
      </c>
      <c r="AI115" s="15" t="n">
        <v>0</v>
      </c>
      <c r="AJ115" s="15" t="n">
        <v>0</v>
      </c>
      <c r="AK115" s="15" t="n">
        <v>0</v>
      </c>
      <c r="AL115" s="15" t="n">
        <v>0</v>
      </c>
      <c r="AM115" s="15" t="n">
        <v>0</v>
      </c>
      <c r="AN115" s="15" t="s">
        <v>1264</v>
      </c>
      <c r="AO115" s="15" t="s">
        <v>960</v>
      </c>
      <c r="AP115" s="15" t="s">
        <v>163</v>
      </c>
      <c r="AQ115" s="15"/>
      <c r="AR115" s="29" t="str">
        <f aca="false">IF(A115="","",IF(COUNTIF(Parcels!$A$2:$A$3000,B115)=0,"Parcel not found",IF(COUNTIF($A$2:$A$3000,A115)&gt;1,"Duplicate perm_id",IF(AND(P115="Yes",D115&lt;&gt;"",COUNTIFS($C$2:$C$3000,D115,$P$2:$P$3000,"Yes")&gt;1),"Reference counted twice",IF(COUNTIF(Lists!$A$2:$A$7,I115)=0,"Unknown status","")))))</f>
        <v/>
      </c>
    </row>
    <row r="116" customFormat="false" ht="15" hidden="false" customHeight="false" outlineLevel="0" collapsed="false">
      <c r="A116" s="15" t="s">
        <v>1564</v>
      </c>
      <c r="B116" s="15" t="s">
        <v>396</v>
      </c>
      <c r="C116" s="15" t="s">
        <v>52</v>
      </c>
      <c r="D116" s="15" t="s">
        <v>1565</v>
      </c>
      <c r="E116" s="15" t="s">
        <v>1565</v>
      </c>
      <c r="F116" s="15" t="s">
        <v>397</v>
      </c>
      <c r="G116" s="15" t="n">
        <v>3</v>
      </c>
      <c r="H116" s="15"/>
      <c r="I116" s="15" t="s">
        <v>47</v>
      </c>
      <c r="J116" s="15" t="s">
        <v>1267</v>
      </c>
      <c r="K116" s="15" t="s">
        <v>48</v>
      </c>
      <c r="L116" s="15" t="n">
        <v>3</v>
      </c>
      <c r="M116" s="15" t="n">
        <v>0</v>
      </c>
      <c r="N116" s="15" t="s">
        <v>1268</v>
      </c>
      <c r="O116" s="15" t="s">
        <v>948</v>
      </c>
      <c r="P116" s="15" t="s">
        <v>949</v>
      </c>
      <c r="Q116" s="15" t="s">
        <v>965</v>
      </c>
      <c r="R116" s="15"/>
      <c r="S116" s="15"/>
      <c r="T116" s="15"/>
      <c r="U116" s="15"/>
      <c r="V116" s="15"/>
      <c r="W116" s="15"/>
      <c r="X116" s="15" t="s">
        <v>973</v>
      </c>
      <c r="Y116" s="15" t="s">
        <v>952</v>
      </c>
      <c r="Z116" s="15" t="s">
        <v>170</v>
      </c>
      <c r="AA116" s="15" t="s">
        <v>966</v>
      </c>
      <c r="AB116" s="15" t="s">
        <v>1566</v>
      </c>
      <c r="AC116" s="15" t="s">
        <v>1567</v>
      </c>
      <c r="AD116" s="15" t="s">
        <v>1568</v>
      </c>
      <c r="AE116" s="15" t="s">
        <v>1478</v>
      </c>
      <c r="AF116" s="15" t="s">
        <v>980</v>
      </c>
      <c r="AG116" s="15" t="s">
        <v>981</v>
      </c>
      <c r="AH116" s="15" t="n">
        <v>0</v>
      </c>
      <c r="AI116" s="15" t="n">
        <v>0</v>
      </c>
      <c r="AJ116" s="15" t="n">
        <v>0</v>
      </c>
      <c r="AK116" s="15" t="n">
        <v>0</v>
      </c>
      <c r="AL116" s="15" t="n">
        <v>0</v>
      </c>
      <c r="AM116" s="15" t="n">
        <v>0</v>
      </c>
      <c r="AN116" s="15" t="s">
        <v>1264</v>
      </c>
      <c r="AO116" s="15" t="s">
        <v>960</v>
      </c>
      <c r="AP116" s="15" t="s">
        <v>163</v>
      </c>
      <c r="AQ116" s="15"/>
      <c r="AR116" s="29" t="str">
        <f aca="false">IF(A116="","",IF(COUNTIF(Parcels!$A$2:$A$3000,B116)=0,"Parcel not found",IF(COUNTIF($A$2:$A$3000,A116)&gt;1,"Duplicate perm_id",IF(AND(P116="Yes",D116&lt;&gt;"",COUNTIFS($C$2:$C$3000,D116,$P$2:$P$3000,"Yes")&gt;1),"Reference counted twice",IF(COUNTIF(Lists!$A$2:$A$7,I116)=0,"Unknown status","")))))</f>
        <v/>
      </c>
    </row>
    <row r="117" customFormat="false" ht="15" hidden="false" customHeight="false" outlineLevel="0" collapsed="false">
      <c r="A117" s="15" t="s">
        <v>1569</v>
      </c>
      <c r="B117" s="15" t="s">
        <v>497</v>
      </c>
      <c r="C117" s="15" t="s">
        <v>55</v>
      </c>
      <c r="D117" s="15" t="s">
        <v>1570</v>
      </c>
      <c r="E117" s="15" t="s">
        <v>1570</v>
      </c>
      <c r="F117" s="15" t="s">
        <v>498</v>
      </c>
      <c r="G117" s="15" t="n">
        <v>29</v>
      </c>
      <c r="H117" s="15"/>
      <c r="I117" s="15" t="s">
        <v>48</v>
      </c>
      <c r="J117" s="15" t="s">
        <v>947</v>
      </c>
      <c r="K117" s="15" t="s">
        <v>48</v>
      </c>
      <c r="L117" s="15" t="n">
        <v>0</v>
      </c>
      <c r="M117" s="15" t="n">
        <v>0</v>
      </c>
      <c r="N117" s="15"/>
      <c r="O117" s="15" t="s">
        <v>948</v>
      </c>
      <c r="P117" s="15" t="s">
        <v>949</v>
      </c>
      <c r="Q117" s="15" t="s">
        <v>989</v>
      </c>
      <c r="R117" s="15" t="n">
        <v>0</v>
      </c>
      <c r="S117" s="15" t="n">
        <v>0</v>
      </c>
      <c r="T117" s="15" t="n">
        <v>12</v>
      </c>
      <c r="U117" s="15" t="n">
        <v>16</v>
      </c>
      <c r="V117" s="15" t="n">
        <v>1</v>
      </c>
      <c r="W117" s="15" t="n">
        <v>0</v>
      </c>
      <c r="X117" s="15" t="s">
        <v>1082</v>
      </c>
      <c r="Y117" s="15" t="s">
        <v>952</v>
      </c>
      <c r="Z117" s="15" t="s">
        <v>170</v>
      </c>
      <c r="AA117" s="15" t="s">
        <v>966</v>
      </c>
      <c r="AB117" s="15" t="s">
        <v>1571</v>
      </c>
      <c r="AC117" s="15" t="s">
        <v>1572</v>
      </c>
      <c r="AD117" s="15" t="s">
        <v>1573</v>
      </c>
      <c r="AE117" s="15" t="s">
        <v>1559</v>
      </c>
      <c r="AF117" s="15" t="s">
        <v>980</v>
      </c>
      <c r="AG117" s="15" t="s">
        <v>981</v>
      </c>
      <c r="AH117" s="15" t="n">
        <v>6.8</v>
      </c>
      <c r="AI117" s="15" t="n">
        <v>22.2</v>
      </c>
      <c r="AJ117" s="15" t="n">
        <v>0</v>
      </c>
      <c r="AK117" s="15" t="n">
        <v>0</v>
      </c>
      <c r="AL117" s="15" t="n">
        <v>0</v>
      </c>
      <c r="AM117" s="15" t="n">
        <v>0</v>
      </c>
      <c r="AN117" s="15" t="s">
        <v>1264</v>
      </c>
      <c r="AO117" s="15" t="s">
        <v>960</v>
      </c>
      <c r="AP117" s="15" t="s">
        <v>163</v>
      </c>
      <c r="AQ117" s="15"/>
      <c r="AR117" s="29" t="str">
        <f aca="false">IF(A117="","",IF(COUNTIF(Parcels!$A$2:$A$3000,B117)=0,"Parcel not found",IF(COUNTIF($A$2:$A$3000,A117)&gt;1,"Duplicate perm_id",IF(AND(P117="Yes",D117&lt;&gt;"",COUNTIFS($C$2:$C$3000,D117,$P$2:$P$3000,"Yes")&gt;1),"Reference counted twice",IF(COUNTIF(Lists!$A$2:$A$7,I117)=0,"Unknown status","")))))</f>
        <v/>
      </c>
    </row>
    <row r="118" customFormat="false" ht="15" hidden="false" customHeight="false" outlineLevel="0" collapsed="false">
      <c r="A118" s="15" t="s">
        <v>1574</v>
      </c>
      <c r="B118" s="15" t="s">
        <v>497</v>
      </c>
      <c r="C118" s="15" t="s">
        <v>55</v>
      </c>
      <c r="D118" s="15" t="s">
        <v>1575</v>
      </c>
      <c r="E118" s="15" t="s">
        <v>1575</v>
      </c>
      <c r="F118" s="15" t="s">
        <v>1576</v>
      </c>
      <c r="G118" s="15" t="n">
        <v>0</v>
      </c>
      <c r="H118" s="15"/>
      <c r="I118" s="15" t="s">
        <v>946</v>
      </c>
      <c r="J118" s="15" t="s">
        <v>947</v>
      </c>
      <c r="K118" s="15" t="s">
        <v>946</v>
      </c>
      <c r="L118" s="15" t="n">
        <v>54</v>
      </c>
      <c r="M118" s="15" t="n">
        <v>0</v>
      </c>
      <c r="N118" s="15" t="s">
        <v>1503</v>
      </c>
      <c r="O118" s="15" t="s">
        <v>948</v>
      </c>
      <c r="P118" s="15" t="s">
        <v>949</v>
      </c>
      <c r="Q118" s="15" t="s">
        <v>965</v>
      </c>
      <c r="R118" s="15"/>
      <c r="S118" s="15"/>
      <c r="T118" s="15"/>
      <c r="U118" s="15"/>
      <c r="V118" s="15"/>
      <c r="W118" s="15"/>
      <c r="X118" s="15" t="s">
        <v>1075</v>
      </c>
      <c r="Y118" s="15" t="s">
        <v>952</v>
      </c>
      <c r="Z118" s="15" t="s">
        <v>170</v>
      </c>
      <c r="AA118" s="15" t="s">
        <v>966</v>
      </c>
      <c r="AB118" s="15" t="s">
        <v>1577</v>
      </c>
      <c r="AC118" s="15" t="s">
        <v>1572</v>
      </c>
      <c r="AD118" s="15"/>
      <c r="AE118" s="15"/>
      <c r="AF118" s="15"/>
      <c r="AG118" s="15" t="s">
        <v>969</v>
      </c>
      <c r="AH118" s="15" t="n">
        <v>0</v>
      </c>
      <c r="AI118" s="15" t="n">
        <v>0</v>
      </c>
      <c r="AJ118" s="15" t="n">
        <v>0</v>
      </c>
      <c r="AK118" s="15" t="n">
        <v>0</v>
      </c>
      <c r="AL118" s="15" t="n">
        <v>0</v>
      </c>
      <c r="AM118" s="15" t="n">
        <v>0</v>
      </c>
      <c r="AN118" s="15" t="s">
        <v>1264</v>
      </c>
      <c r="AO118" s="15" t="s">
        <v>960</v>
      </c>
      <c r="AP118" s="15" t="s">
        <v>163</v>
      </c>
      <c r="AQ118" s="15"/>
      <c r="AR118" s="29" t="str">
        <f aca="false">IF(A118="","",IF(COUNTIF(Parcels!$A$2:$A$3000,B118)=0,"Parcel not found",IF(COUNTIF($A$2:$A$3000,A118)&gt;1,"Duplicate perm_id",IF(AND(P118="Yes",D118&lt;&gt;"",COUNTIFS($C$2:$C$3000,D118,$P$2:$P$3000,"Yes")&gt;1),"Reference counted twice",IF(COUNTIF(Lists!$A$2:$A$7,I118)=0,"Unknown status","")))))</f>
        <v/>
      </c>
    </row>
    <row r="119" customFormat="false" ht="15" hidden="false" customHeight="false" outlineLevel="0" collapsed="false">
      <c r="A119" s="15" t="s">
        <v>1578</v>
      </c>
      <c r="B119" s="15" t="s">
        <v>497</v>
      </c>
      <c r="C119" s="15" t="s">
        <v>55</v>
      </c>
      <c r="D119" s="15" t="s">
        <v>1579</v>
      </c>
      <c r="E119" s="15" t="s">
        <v>1579</v>
      </c>
      <c r="F119" s="15" t="s">
        <v>1580</v>
      </c>
      <c r="G119" s="15" t="n">
        <v>25</v>
      </c>
      <c r="H119" s="15"/>
      <c r="I119" s="15" t="s">
        <v>47</v>
      </c>
      <c r="J119" s="15" t="s">
        <v>947</v>
      </c>
      <c r="K119" s="15" t="s">
        <v>47</v>
      </c>
      <c r="L119" s="15" t="n">
        <v>0</v>
      </c>
      <c r="M119" s="15" t="n">
        <v>0</v>
      </c>
      <c r="N119" s="15" t="s">
        <v>1260</v>
      </c>
      <c r="O119" s="15" t="s">
        <v>948</v>
      </c>
      <c r="P119" s="15" t="s">
        <v>949</v>
      </c>
      <c r="Q119" s="15" t="s">
        <v>965</v>
      </c>
      <c r="R119" s="15"/>
      <c r="S119" s="15"/>
      <c r="T119" s="15"/>
      <c r="U119" s="15"/>
      <c r="V119" s="15"/>
      <c r="W119" s="15"/>
      <c r="X119" s="15" t="s">
        <v>1082</v>
      </c>
      <c r="Y119" s="15" t="s">
        <v>952</v>
      </c>
      <c r="Z119" s="15" t="s">
        <v>170</v>
      </c>
      <c r="AA119" s="15" t="s">
        <v>966</v>
      </c>
      <c r="AB119" s="15" t="s">
        <v>1581</v>
      </c>
      <c r="AC119" s="15" t="s">
        <v>1582</v>
      </c>
      <c r="AD119" s="15" t="s">
        <v>1583</v>
      </c>
      <c r="AE119" s="15"/>
      <c r="AF119" s="15"/>
      <c r="AG119" s="15" t="s">
        <v>992</v>
      </c>
      <c r="AH119" s="15" t="n">
        <v>0</v>
      </c>
      <c r="AI119" s="15" t="n">
        <v>0</v>
      </c>
      <c r="AJ119" s="15" t="n">
        <v>0</v>
      </c>
      <c r="AK119" s="15" t="n">
        <v>0</v>
      </c>
      <c r="AL119" s="15" t="n">
        <v>0</v>
      </c>
      <c r="AM119" s="15" t="n">
        <v>0</v>
      </c>
      <c r="AN119" s="15" t="s">
        <v>1264</v>
      </c>
      <c r="AO119" s="15" t="s">
        <v>960</v>
      </c>
      <c r="AP119" s="15" t="s">
        <v>163</v>
      </c>
      <c r="AQ119" s="15"/>
      <c r="AR119" s="29" t="str">
        <f aca="false">IF(A119="","",IF(COUNTIF(Parcels!$A$2:$A$3000,B119)=0,"Parcel not found",IF(COUNTIF($A$2:$A$3000,A119)&gt;1,"Duplicate perm_id",IF(AND(P119="Yes",D119&lt;&gt;"",COUNTIFS($C$2:$C$3000,D119,$P$2:$P$3000,"Yes")&gt;1),"Reference counted twice",IF(COUNTIF(Lists!$A$2:$A$7,I119)=0,"Unknown status","")))))</f>
        <v/>
      </c>
    </row>
    <row r="120" customFormat="false" ht="15" hidden="false" customHeight="false" outlineLevel="0" collapsed="false">
      <c r="A120" s="15" t="s">
        <v>1584</v>
      </c>
      <c r="B120" s="15" t="s">
        <v>603</v>
      </c>
      <c r="C120" s="15" t="s">
        <v>70</v>
      </c>
      <c r="D120" s="15" t="s">
        <v>1585</v>
      </c>
      <c r="E120" s="15" t="s">
        <v>1585</v>
      </c>
      <c r="F120" s="15" t="s">
        <v>604</v>
      </c>
      <c r="G120" s="15" t="n">
        <v>14</v>
      </c>
      <c r="H120" s="15"/>
      <c r="I120" s="15" t="s">
        <v>946</v>
      </c>
      <c r="J120" s="15" t="s">
        <v>947</v>
      </c>
      <c r="K120" s="15" t="s">
        <v>946</v>
      </c>
      <c r="L120" s="15" t="n">
        <v>0</v>
      </c>
      <c r="M120" s="15" t="n">
        <v>0</v>
      </c>
      <c r="N120" s="15"/>
      <c r="O120" s="15" t="s">
        <v>948</v>
      </c>
      <c r="P120" s="15" t="s">
        <v>949</v>
      </c>
      <c r="Q120" s="15" t="s">
        <v>1272</v>
      </c>
      <c r="R120" s="15"/>
      <c r="S120" s="15"/>
      <c r="T120" s="15"/>
      <c r="U120" s="15"/>
      <c r="V120" s="15"/>
      <c r="W120" s="15"/>
      <c r="X120" s="15" t="s">
        <v>951</v>
      </c>
      <c r="Y120" s="15" t="s">
        <v>952</v>
      </c>
      <c r="Z120" s="15" t="s">
        <v>170</v>
      </c>
      <c r="AA120" s="15" t="s">
        <v>966</v>
      </c>
      <c r="AB120" s="15" t="s">
        <v>1586</v>
      </c>
      <c r="AC120" s="15" t="s">
        <v>1587</v>
      </c>
      <c r="AD120" s="15"/>
      <c r="AE120" s="15" t="s">
        <v>956</v>
      </c>
      <c r="AF120" s="15" t="s">
        <v>1133</v>
      </c>
      <c r="AG120" s="15" t="s">
        <v>958</v>
      </c>
      <c r="AH120" s="15" t="n">
        <v>0</v>
      </c>
      <c r="AI120" s="15" t="n">
        <v>0</v>
      </c>
      <c r="AJ120" s="15" t="n">
        <v>8.2</v>
      </c>
      <c r="AK120" s="15" t="n">
        <v>5.8</v>
      </c>
      <c r="AL120" s="15" t="n">
        <v>0</v>
      </c>
      <c r="AM120" s="15" t="n">
        <v>0</v>
      </c>
      <c r="AN120" s="15" t="s">
        <v>1264</v>
      </c>
      <c r="AO120" s="15" t="s">
        <v>1588</v>
      </c>
      <c r="AP120" s="15" t="s">
        <v>163</v>
      </c>
      <c r="AQ120" s="15"/>
      <c r="AR120" s="29" t="str">
        <f aca="false">IF(A120="","",IF(COUNTIF(Parcels!$A$2:$A$3000,B120)=0,"Parcel not found",IF(COUNTIF($A$2:$A$3000,A120)&gt;1,"Duplicate perm_id",IF(AND(P120="Yes",D120&lt;&gt;"",COUNTIFS($C$2:$C$3000,D120,$P$2:$P$3000,"Yes")&gt;1),"Reference counted twice",IF(COUNTIF(Lists!$A$2:$A$7,I120)=0,"Unknown status","")))))</f>
        <v/>
      </c>
    </row>
    <row r="121" customFormat="false" ht="15" hidden="false" customHeight="false" outlineLevel="0" collapsed="false">
      <c r="A121" s="15" t="s">
        <v>1589</v>
      </c>
      <c r="B121" s="15" t="s">
        <v>430</v>
      </c>
      <c r="C121" s="15" t="s">
        <v>53</v>
      </c>
      <c r="D121" s="15" t="s">
        <v>1590</v>
      </c>
      <c r="E121" s="15" t="s">
        <v>1590</v>
      </c>
      <c r="F121" s="15" t="s">
        <v>431</v>
      </c>
      <c r="G121" s="15" t="n">
        <v>15</v>
      </c>
      <c r="H121" s="15"/>
      <c r="I121" s="15" t="s">
        <v>964</v>
      </c>
      <c r="J121" s="15" t="s">
        <v>947</v>
      </c>
      <c r="K121" s="15" t="s">
        <v>964</v>
      </c>
      <c r="L121" s="15" t="n">
        <v>0</v>
      </c>
      <c r="M121" s="15" t="n">
        <v>0</v>
      </c>
      <c r="N121" s="15"/>
      <c r="O121" s="15" t="s">
        <v>948</v>
      </c>
      <c r="P121" s="15" t="s">
        <v>949</v>
      </c>
      <c r="Q121" s="15" t="s">
        <v>965</v>
      </c>
      <c r="R121" s="15"/>
      <c r="S121" s="15"/>
      <c r="T121" s="15"/>
      <c r="U121" s="15"/>
      <c r="V121" s="15"/>
      <c r="W121" s="15"/>
      <c r="X121" s="15" t="s">
        <v>951</v>
      </c>
      <c r="Y121" s="15" t="s">
        <v>952</v>
      </c>
      <c r="Z121" s="15" t="s">
        <v>170</v>
      </c>
      <c r="AA121" s="15" t="s">
        <v>966</v>
      </c>
      <c r="AB121" s="15" t="s">
        <v>1591</v>
      </c>
      <c r="AC121" s="15" t="s">
        <v>1592</v>
      </c>
      <c r="AD121" s="15"/>
      <c r="AE121" s="15"/>
      <c r="AF121" s="15"/>
      <c r="AG121" s="15" t="s">
        <v>969</v>
      </c>
      <c r="AH121" s="15" t="n">
        <v>0</v>
      </c>
      <c r="AI121" s="15" t="n">
        <v>0</v>
      </c>
      <c r="AJ121" s="15" t="n">
        <v>0</v>
      </c>
      <c r="AK121" s="15" t="n">
        <v>0</v>
      </c>
      <c r="AL121" s="15" t="n">
        <v>0</v>
      </c>
      <c r="AM121" s="15" t="n">
        <v>0</v>
      </c>
      <c r="AN121" s="15" t="s">
        <v>1264</v>
      </c>
      <c r="AO121" s="15" t="s">
        <v>960</v>
      </c>
      <c r="AP121" s="15" t="s">
        <v>163</v>
      </c>
      <c r="AQ121" s="15"/>
      <c r="AR121" s="29" t="str">
        <f aca="false">IF(A121="","",IF(COUNTIF(Parcels!$A$2:$A$3000,B121)=0,"Parcel not found",IF(COUNTIF($A$2:$A$3000,A121)&gt;1,"Duplicate perm_id",IF(AND(P121="Yes",D121&lt;&gt;"",COUNTIFS($C$2:$C$3000,D121,$P$2:$P$3000,"Yes")&gt;1),"Reference counted twice",IF(COUNTIF(Lists!$A$2:$A$7,I121)=0,"Unknown status","")))))</f>
        <v/>
      </c>
    </row>
    <row r="122" customFormat="false" ht="15" hidden="false" customHeight="false" outlineLevel="0" collapsed="false">
      <c r="A122" s="15" t="s">
        <v>1593</v>
      </c>
      <c r="B122" s="15" t="s">
        <v>605</v>
      </c>
      <c r="C122" s="15" t="s">
        <v>22</v>
      </c>
      <c r="D122" s="15" t="s">
        <v>1594</v>
      </c>
      <c r="E122" s="15" t="s">
        <v>1594</v>
      </c>
      <c r="F122" s="15" t="s">
        <v>606</v>
      </c>
      <c r="G122" s="15" t="n">
        <v>4</v>
      </c>
      <c r="H122" s="15"/>
      <c r="I122" s="15" t="s">
        <v>48</v>
      </c>
      <c r="J122" s="15" t="s">
        <v>947</v>
      </c>
      <c r="K122" s="15" t="s">
        <v>48</v>
      </c>
      <c r="L122" s="15" t="n">
        <v>0</v>
      </c>
      <c r="M122" s="15" t="n">
        <v>1</v>
      </c>
      <c r="N122" s="15"/>
      <c r="O122" s="15" t="s">
        <v>948</v>
      </c>
      <c r="P122" s="15" t="s">
        <v>949</v>
      </c>
      <c r="Q122" s="15" t="s">
        <v>965</v>
      </c>
      <c r="R122" s="15"/>
      <c r="S122" s="15"/>
      <c r="T122" s="15"/>
      <c r="U122" s="15"/>
      <c r="V122" s="15"/>
      <c r="W122" s="15"/>
      <c r="X122" s="15" t="s">
        <v>951</v>
      </c>
      <c r="Y122" s="15" t="s">
        <v>952</v>
      </c>
      <c r="Z122" s="15" t="s">
        <v>170</v>
      </c>
      <c r="AA122" s="15" t="s">
        <v>966</v>
      </c>
      <c r="AB122" s="15" t="s">
        <v>1595</v>
      </c>
      <c r="AC122" s="15" t="s">
        <v>1596</v>
      </c>
      <c r="AD122" s="15" t="s">
        <v>1597</v>
      </c>
      <c r="AE122" s="15" t="s">
        <v>1559</v>
      </c>
      <c r="AF122" s="15" t="s">
        <v>980</v>
      </c>
      <c r="AG122" s="15" t="s">
        <v>981</v>
      </c>
      <c r="AH122" s="15" t="n">
        <v>0.9</v>
      </c>
      <c r="AI122" s="15" t="n">
        <v>3.1</v>
      </c>
      <c r="AJ122" s="15" t="n">
        <v>0</v>
      </c>
      <c r="AK122" s="15" t="n">
        <v>0</v>
      </c>
      <c r="AL122" s="15" t="n">
        <v>0</v>
      </c>
      <c r="AM122" s="15" t="n">
        <v>0</v>
      </c>
      <c r="AN122" s="15" t="s">
        <v>1264</v>
      </c>
      <c r="AO122" s="15" t="s">
        <v>960</v>
      </c>
      <c r="AP122" s="15" t="s">
        <v>163</v>
      </c>
      <c r="AQ122" s="15"/>
      <c r="AR122" s="29" t="str">
        <f aca="false">IF(A122="","",IF(COUNTIF(Parcels!$A$2:$A$3000,B122)=0,"Parcel not found",IF(COUNTIF($A$2:$A$3000,A122)&gt;1,"Duplicate perm_id",IF(AND(P122="Yes",D122&lt;&gt;"",COUNTIFS($C$2:$C$3000,D122,$P$2:$P$3000,"Yes")&gt;1),"Reference counted twice",IF(COUNTIF(Lists!$A$2:$A$7,I122)=0,"Unknown status","")))))</f>
        <v/>
      </c>
    </row>
    <row r="123" customFormat="false" ht="15" hidden="false" customHeight="false" outlineLevel="0" collapsed="false">
      <c r="A123" s="15" t="s">
        <v>1598</v>
      </c>
      <c r="B123" s="15" t="s">
        <v>607</v>
      </c>
      <c r="C123" s="15" t="s">
        <v>22</v>
      </c>
      <c r="D123" s="15" t="s">
        <v>1599</v>
      </c>
      <c r="E123" s="15" t="s">
        <v>1599</v>
      </c>
      <c r="F123" s="15" t="s">
        <v>608</v>
      </c>
      <c r="G123" s="15" t="n">
        <v>2</v>
      </c>
      <c r="H123" s="15"/>
      <c r="I123" s="15" t="s">
        <v>48</v>
      </c>
      <c r="J123" s="15" t="s">
        <v>947</v>
      </c>
      <c r="K123" s="15" t="s">
        <v>48</v>
      </c>
      <c r="L123" s="15" t="n">
        <v>0</v>
      </c>
      <c r="M123" s="15" t="n">
        <v>2</v>
      </c>
      <c r="N123" s="15"/>
      <c r="O123" s="15" t="s">
        <v>948</v>
      </c>
      <c r="P123" s="15" t="s">
        <v>949</v>
      </c>
      <c r="Q123" s="15" t="s">
        <v>965</v>
      </c>
      <c r="R123" s="15"/>
      <c r="S123" s="15"/>
      <c r="T123" s="15"/>
      <c r="U123" s="15"/>
      <c r="V123" s="15"/>
      <c r="W123" s="15"/>
      <c r="X123" s="15" t="s">
        <v>951</v>
      </c>
      <c r="Y123" s="15" t="s">
        <v>952</v>
      </c>
      <c r="Z123" s="15" t="s">
        <v>170</v>
      </c>
      <c r="AA123" s="15" t="s">
        <v>966</v>
      </c>
      <c r="AB123" s="15" t="s">
        <v>1600</v>
      </c>
      <c r="AC123" s="15" t="s">
        <v>1601</v>
      </c>
      <c r="AD123" s="15" t="s">
        <v>1602</v>
      </c>
      <c r="AE123" s="15" t="s">
        <v>1317</v>
      </c>
      <c r="AF123" s="15" t="s">
        <v>980</v>
      </c>
      <c r="AG123" s="15" t="s">
        <v>981</v>
      </c>
      <c r="AH123" s="15" t="n">
        <v>0.5</v>
      </c>
      <c r="AI123" s="15" t="n">
        <v>1.5</v>
      </c>
      <c r="AJ123" s="15" t="n">
        <v>0</v>
      </c>
      <c r="AK123" s="15" t="n">
        <v>0</v>
      </c>
      <c r="AL123" s="15" t="n">
        <v>0</v>
      </c>
      <c r="AM123" s="15" t="n">
        <v>0</v>
      </c>
      <c r="AN123" s="15" t="s">
        <v>1264</v>
      </c>
      <c r="AO123" s="15" t="s">
        <v>960</v>
      </c>
      <c r="AP123" s="15" t="s">
        <v>163</v>
      </c>
      <c r="AQ123" s="15"/>
      <c r="AR123" s="29" t="str">
        <f aca="false">IF(A123="","",IF(COUNTIF(Parcels!$A$2:$A$3000,B123)=0,"Parcel not found",IF(COUNTIF($A$2:$A$3000,A123)&gt;1,"Duplicate perm_id",IF(AND(P123="Yes",D123&lt;&gt;"",COUNTIFS($C$2:$C$3000,D123,$P$2:$P$3000,"Yes")&gt;1),"Reference counted twice",IF(COUNTIF(Lists!$A$2:$A$7,I123)=0,"Unknown status","")))))</f>
        <v/>
      </c>
    </row>
    <row r="124" customFormat="false" ht="15" hidden="false" customHeight="false" outlineLevel="0" collapsed="false">
      <c r="A124" s="15" t="s">
        <v>1603</v>
      </c>
      <c r="B124" s="15" t="s">
        <v>398</v>
      </c>
      <c r="C124" s="15" t="s">
        <v>52</v>
      </c>
      <c r="D124" s="15" t="s">
        <v>1604</v>
      </c>
      <c r="E124" s="15" t="s">
        <v>1604</v>
      </c>
      <c r="F124" s="15" t="s">
        <v>1605</v>
      </c>
      <c r="G124" s="15" t="n">
        <v>90</v>
      </c>
      <c r="H124" s="15"/>
      <c r="I124" s="15" t="s">
        <v>48</v>
      </c>
      <c r="J124" s="15" t="s">
        <v>947</v>
      </c>
      <c r="K124" s="15" t="s">
        <v>48</v>
      </c>
      <c r="L124" s="15" t="n">
        <v>46</v>
      </c>
      <c r="M124" s="15" t="n">
        <v>13</v>
      </c>
      <c r="N124" s="15"/>
      <c r="O124" s="15" t="s">
        <v>948</v>
      </c>
      <c r="P124" s="15" t="s">
        <v>949</v>
      </c>
      <c r="Q124" s="15" t="s">
        <v>965</v>
      </c>
      <c r="R124" s="15"/>
      <c r="S124" s="15"/>
      <c r="T124" s="15"/>
      <c r="U124" s="15"/>
      <c r="V124" s="15"/>
      <c r="W124" s="15"/>
      <c r="X124" s="15" t="s">
        <v>973</v>
      </c>
      <c r="Y124" s="15" t="s">
        <v>952</v>
      </c>
      <c r="Z124" s="15" t="s">
        <v>170</v>
      </c>
      <c r="AA124" s="15" t="s">
        <v>966</v>
      </c>
      <c r="AB124" s="15" t="s">
        <v>1606</v>
      </c>
      <c r="AC124" s="15" t="s">
        <v>1607</v>
      </c>
      <c r="AD124" s="15" t="s">
        <v>954</v>
      </c>
      <c r="AE124" s="15" t="s">
        <v>1608</v>
      </c>
      <c r="AF124" s="15" t="s">
        <v>980</v>
      </c>
      <c r="AG124" s="15" t="s">
        <v>981</v>
      </c>
      <c r="AH124" s="15" t="n">
        <v>21</v>
      </c>
      <c r="AI124" s="15" t="n">
        <v>69</v>
      </c>
      <c r="AJ124" s="15" t="n">
        <v>0</v>
      </c>
      <c r="AK124" s="15" t="n">
        <v>0</v>
      </c>
      <c r="AL124" s="15" t="n">
        <v>0</v>
      </c>
      <c r="AM124" s="15" t="n">
        <v>0</v>
      </c>
      <c r="AN124" s="15" t="s">
        <v>1264</v>
      </c>
      <c r="AO124" s="15" t="s">
        <v>960</v>
      </c>
      <c r="AP124" s="15" t="s">
        <v>163</v>
      </c>
      <c r="AQ124" s="15"/>
      <c r="AR124" s="29" t="str">
        <f aca="false">IF(A124="","",IF(COUNTIF(Parcels!$A$2:$A$3000,B124)=0,"Parcel not found",IF(COUNTIF($A$2:$A$3000,A124)&gt;1,"Duplicate perm_id",IF(AND(P124="Yes",D124&lt;&gt;"",COUNTIFS($C$2:$C$3000,D124,$P$2:$P$3000,"Yes")&gt;1),"Reference counted twice",IF(COUNTIF(Lists!$A$2:$A$7,I124)=0,"Unknown status","")))))</f>
        <v/>
      </c>
    </row>
    <row r="125" customFormat="false" ht="15" hidden="false" customHeight="false" outlineLevel="0" collapsed="false">
      <c r="A125" s="15" t="s">
        <v>1609</v>
      </c>
      <c r="B125" s="15" t="s">
        <v>398</v>
      </c>
      <c r="C125" s="15" t="s">
        <v>52</v>
      </c>
      <c r="D125" s="15" t="s">
        <v>1610</v>
      </c>
      <c r="E125" s="15" t="s">
        <v>1610</v>
      </c>
      <c r="F125" s="15" t="s">
        <v>1611</v>
      </c>
      <c r="G125" s="15" t="n">
        <v>92</v>
      </c>
      <c r="H125" s="15"/>
      <c r="I125" s="15" t="s">
        <v>47</v>
      </c>
      <c r="J125" s="15" t="s">
        <v>947</v>
      </c>
      <c r="K125" s="15" t="s">
        <v>47</v>
      </c>
      <c r="L125" s="15" t="n">
        <v>86</v>
      </c>
      <c r="M125" s="15" t="n">
        <v>0</v>
      </c>
      <c r="N125" s="15" t="s">
        <v>1074</v>
      </c>
      <c r="O125" s="15" t="s">
        <v>948</v>
      </c>
      <c r="P125" s="15" t="s">
        <v>949</v>
      </c>
      <c r="Q125" s="15" t="s">
        <v>965</v>
      </c>
      <c r="R125" s="15"/>
      <c r="S125" s="15"/>
      <c r="T125" s="15"/>
      <c r="U125" s="15"/>
      <c r="V125" s="15"/>
      <c r="W125" s="15"/>
      <c r="X125" s="15" t="s">
        <v>973</v>
      </c>
      <c r="Y125" s="15" t="s">
        <v>952</v>
      </c>
      <c r="Z125" s="15" t="s">
        <v>170</v>
      </c>
      <c r="AA125" s="15" t="s">
        <v>966</v>
      </c>
      <c r="AB125" s="15" t="s">
        <v>1612</v>
      </c>
      <c r="AC125" s="15" t="s">
        <v>1613</v>
      </c>
      <c r="AD125" s="15" t="s">
        <v>1614</v>
      </c>
      <c r="AE125" s="15"/>
      <c r="AF125" s="15"/>
      <c r="AG125" s="15" t="s">
        <v>992</v>
      </c>
      <c r="AH125" s="15" t="n">
        <v>0</v>
      </c>
      <c r="AI125" s="15" t="n">
        <v>0</v>
      </c>
      <c r="AJ125" s="15" t="n">
        <v>0</v>
      </c>
      <c r="AK125" s="15" t="n">
        <v>0</v>
      </c>
      <c r="AL125" s="15" t="n">
        <v>0</v>
      </c>
      <c r="AM125" s="15" t="n">
        <v>0</v>
      </c>
      <c r="AN125" s="15" t="s">
        <v>1264</v>
      </c>
      <c r="AO125" s="15" t="s">
        <v>960</v>
      </c>
      <c r="AP125" s="15" t="s">
        <v>163</v>
      </c>
      <c r="AQ125" s="15"/>
      <c r="AR125" s="29" t="str">
        <f aca="false">IF(A125="","",IF(COUNTIF(Parcels!$A$2:$A$3000,B125)=0,"Parcel not found",IF(COUNTIF($A$2:$A$3000,A125)&gt;1,"Duplicate perm_id",IF(AND(P125="Yes",D125&lt;&gt;"",COUNTIFS($C$2:$C$3000,D125,$P$2:$P$3000,"Yes")&gt;1),"Reference counted twice",IF(COUNTIF(Lists!$A$2:$A$7,I125)=0,"Unknown status","")))))</f>
        <v/>
      </c>
    </row>
    <row r="126" customFormat="false" ht="15" hidden="false" customHeight="false" outlineLevel="0" collapsed="false">
      <c r="A126" s="15" t="s">
        <v>1615</v>
      </c>
      <c r="B126" s="15" t="s">
        <v>398</v>
      </c>
      <c r="C126" s="15" t="s">
        <v>52</v>
      </c>
      <c r="D126" s="15" t="s">
        <v>1616</v>
      </c>
      <c r="E126" s="15" t="s">
        <v>1616</v>
      </c>
      <c r="F126" s="15" t="s">
        <v>399</v>
      </c>
      <c r="G126" s="15" t="n">
        <v>105</v>
      </c>
      <c r="H126" s="15"/>
      <c r="I126" s="15" t="s">
        <v>47</v>
      </c>
      <c r="J126" s="15" t="s">
        <v>947</v>
      </c>
      <c r="K126" s="15" t="s">
        <v>47</v>
      </c>
      <c r="L126" s="15" t="n">
        <v>37</v>
      </c>
      <c r="M126" s="15" t="n">
        <v>29</v>
      </c>
      <c r="N126" s="15" t="s">
        <v>1074</v>
      </c>
      <c r="O126" s="15" t="s">
        <v>948</v>
      </c>
      <c r="P126" s="15" t="s">
        <v>949</v>
      </c>
      <c r="Q126" s="15" t="s">
        <v>950</v>
      </c>
      <c r="R126" s="15" t="n">
        <v>0</v>
      </c>
      <c r="S126" s="15" t="n">
        <v>8</v>
      </c>
      <c r="T126" s="15" t="n">
        <v>24</v>
      </c>
      <c r="U126" s="15" t="n">
        <v>54</v>
      </c>
      <c r="V126" s="15" t="n">
        <v>3</v>
      </c>
      <c r="W126" s="15" t="n">
        <v>0</v>
      </c>
      <c r="X126" s="15" t="s">
        <v>973</v>
      </c>
      <c r="Y126" s="15" t="s">
        <v>952</v>
      </c>
      <c r="Z126" s="15" t="s">
        <v>170</v>
      </c>
      <c r="AA126" s="15" t="s">
        <v>966</v>
      </c>
      <c r="AB126" s="15" t="s">
        <v>1617</v>
      </c>
      <c r="AC126" s="15" t="s">
        <v>1618</v>
      </c>
      <c r="AD126" s="15" t="s">
        <v>1619</v>
      </c>
      <c r="AE126" s="15"/>
      <c r="AF126" s="15"/>
      <c r="AG126" s="15" t="s">
        <v>992</v>
      </c>
      <c r="AH126" s="15" t="n">
        <v>0</v>
      </c>
      <c r="AI126" s="15" t="n">
        <v>0</v>
      </c>
      <c r="AJ126" s="15" t="n">
        <v>0</v>
      </c>
      <c r="AK126" s="15" t="n">
        <v>0</v>
      </c>
      <c r="AL126" s="15" t="n">
        <v>0</v>
      </c>
      <c r="AM126" s="15" t="n">
        <v>0</v>
      </c>
      <c r="AN126" s="15" t="s">
        <v>1264</v>
      </c>
      <c r="AO126" s="15" t="s">
        <v>960</v>
      </c>
      <c r="AP126" s="15" t="s">
        <v>163</v>
      </c>
      <c r="AQ126" s="15"/>
      <c r="AR126" s="29" t="str">
        <f aca="false">IF(A126="","",IF(COUNTIF(Parcels!$A$2:$A$3000,B126)=0,"Parcel not found",IF(COUNTIF($A$2:$A$3000,A126)&gt;1,"Duplicate perm_id",IF(AND(P126="Yes",D126&lt;&gt;"",COUNTIFS($C$2:$C$3000,D126,$P$2:$P$3000,"Yes")&gt;1),"Reference counted twice",IF(COUNTIF(Lists!$A$2:$A$7,I126)=0,"Unknown status","")))))</f>
        <v/>
      </c>
    </row>
    <row r="127" customFormat="false" ht="15" hidden="false" customHeight="false" outlineLevel="0" collapsed="false">
      <c r="A127" s="15" t="s">
        <v>1620</v>
      </c>
      <c r="B127" s="15" t="s">
        <v>398</v>
      </c>
      <c r="C127" s="15" t="s">
        <v>52</v>
      </c>
      <c r="D127" s="15" t="s">
        <v>1621</v>
      </c>
      <c r="E127" s="15" t="s">
        <v>1621</v>
      </c>
      <c r="F127" s="15" t="s">
        <v>1622</v>
      </c>
      <c r="G127" s="15" t="n">
        <v>98</v>
      </c>
      <c r="H127" s="15"/>
      <c r="I127" s="15" t="s">
        <v>48</v>
      </c>
      <c r="J127" s="15" t="s">
        <v>947</v>
      </c>
      <c r="K127" s="15" t="s">
        <v>48</v>
      </c>
      <c r="L127" s="15" t="n">
        <v>0</v>
      </c>
      <c r="M127" s="15" t="n">
        <v>9</v>
      </c>
      <c r="N127" s="15"/>
      <c r="O127" s="15" t="s">
        <v>948</v>
      </c>
      <c r="P127" s="15" t="s">
        <v>949</v>
      </c>
      <c r="Q127" s="15" t="s">
        <v>950</v>
      </c>
      <c r="R127" s="15" t="n">
        <v>0</v>
      </c>
      <c r="S127" s="15" t="n">
        <v>8</v>
      </c>
      <c r="T127" s="15" t="n">
        <v>66</v>
      </c>
      <c r="U127" s="15" t="n">
        <v>18</v>
      </c>
      <c r="V127" s="15" t="n">
        <v>6</v>
      </c>
      <c r="W127" s="15" t="n">
        <v>0</v>
      </c>
      <c r="X127" s="15" t="s">
        <v>973</v>
      </c>
      <c r="Y127" s="15" t="s">
        <v>952</v>
      </c>
      <c r="Z127" s="15" t="s">
        <v>170</v>
      </c>
      <c r="AA127" s="15" t="s">
        <v>966</v>
      </c>
      <c r="AB127" s="15" t="s">
        <v>1623</v>
      </c>
      <c r="AC127" s="15" t="s">
        <v>1624</v>
      </c>
      <c r="AD127" s="15" t="s">
        <v>1625</v>
      </c>
      <c r="AE127" s="15" t="s">
        <v>979</v>
      </c>
      <c r="AF127" s="15" t="s">
        <v>980</v>
      </c>
      <c r="AG127" s="15" t="s">
        <v>981</v>
      </c>
      <c r="AH127" s="15" t="n">
        <v>22.8</v>
      </c>
      <c r="AI127" s="15" t="n">
        <v>75.2</v>
      </c>
      <c r="AJ127" s="15" t="n">
        <v>0</v>
      </c>
      <c r="AK127" s="15" t="n">
        <v>0</v>
      </c>
      <c r="AL127" s="15" t="n">
        <v>0</v>
      </c>
      <c r="AM127" s="15" t="n">
        <v>0</v>
      </c>
      <c r="AN127" s="15" t="s">
        <v>1264</v>
      </c>
      <c r="AO127" s="15" t="s">
        <v>960</v>
      </c>
      <c r="AP127" s="15" t="s">
        <v>163</v>
      </c>
      <c r="AQ127" s="15"/>
      <c r="AR127" s="29" t="str">
        <f aca="false">IF(A127="","",IF(COUNTIF(Parcels!$A$2:$A$3000,B127)=0,"Parcel not found",IF(COUNTIF($A$2:$A$3000,A127)&gt;1,"Duplicate perm_id",IF(AND(P127="Yes",D127&lt;&gt;"",COUNTIFS($C$2:$C$3000,D127,$P$2:$P$3000,"Yes")&gt;1),"Reference counted twice",IF(COUNTIF(Lists!$A$2:$A$7,I127)=0,"Unknown status","")))))</f>
        <v/>
      </c>
    </row>
    <row r="128" customFormat="false" ht="15" hidden="false" customHeight="false" outlineLevel="0" collapsed="false">
      <c r="A128" s="15" t="s">
        <v>1626</v>
      </c>
      <c r="B128" s="15" t="s">
        <v>609</v>
      </c>
      <c r="C128" s="15" t="s">
        <v>72</v>
      </c>
      <c r="D128" s="15" t="s">
        <v>1627</v>
      </c>
      <c r="E128" s="15" t="s">
        <v>1627</v>
      </c>
      <c r="F128" s="15" t="s">
        <v>610</v>
      </c>
      <c r="G128" s="15" t="n">
        <v>14</v>
      </c>
      <c r="H128" s="15"/>
      <c r="I128" s="15" t="s">
        <v>48</v>
      </c>
      <c r="J128" s="15" t="s">
        <v>947</v>
      </c>
      <c r="K128" s="15" t="s">
        <v>48</v>
      </c>
      <c r="L128" s="15" t="n">
        <v>0</v>
      </c>
      <c r="M128" s="15" t="n">
        <v>10</v>
      </c>
      <c r="N128" s="15"/>
      <c r="O128" s="15" t="s">
        <v>948</v>
      </c>
      <c r="P128" s="15" t="s">
        <v>949</v>
      </c>
      <c r="Q128" s="15" t="s">
        <v>965</v>
      </c>
      <c r="R128" s="15"/>
      <c r="S128" s="15"/>
      <c r="T128" s="15"/>
      <c r="U128" s="15"/>
      <c r="V128" s="15"/>
      <c r="W128" s="15"/>
      <c r="X128" s="15" t="s">
        <v>951</v>
      </c>
      <c r="Y128" s="15" t="s">
        <v>974</v>
      </c>
      <c r="Z128" s="15" t="s">
        <v>975</v>
      </c>
      <c r="AA128" s="15" t="s">
        <v>966</v>
      </c>
      <c r="AB128" s="15" t="s">
        <v>1628</v>
      </c>
      <c r="AC128" s="15" t="s">
        <v>1629</v>
      </c>
      <c r="AD128" s="15" t="s">
        <v>1630</v>
      </c>
      <c r="AE128" s="15" t="s">
        <v>1026</v>
      </c>
      <c r="AF128" s="15" t="s">
        <v>980</v>
      </c>
      <c r="AG128" s="15" t="s">
        <v>981</v>
      </c>
      <c r="AH128" s="15" t="n">
        <v>3.3</v>
      </c>
      <c r="AI128" s="15" t="n">
        <v>10.7</v>
      </c>
      <c r="AJ128" s="15" t="n">
        <v>0</v>
      </c>
      <c r="AK128" s="15" t="n">
        <v>0</v>
      </c>
      <c r="AL128" s="15" t="n">
        <v>0</v>
      </c>
      <c r="AM128" s="15" t="n">
        <v>0</v>
      </c>
      <c r="AN128" s="15" t="s">
        <v>1264</v>
      </c>
      <c r="AO128" s="15" t="s">
        <v>960</v>
      </c>
      <c r="AP128" s="15" t="s">
        <v>163</v>
      </c>
      <c r="AQ128" s="15"/>
      <c r="AR128" s="29" t="str">
        <f aca="false">IF(A128="","",IF(COUNTIF(Parcels!$A$2:$A$3000,B128)=0,"Parcel not found",IF(COUNTIF($A$2:$A$3000,A128)&gt;1,"Duplicate perm_id",IF(AND(P128="Yes",D128&lt;&gt;"",COUNTIFS($C$2:$C$3000,D128,$P$2:$P$3000,"Yes")&gt;1),"Reference counted twice",IF(COUNTIF(Lists!$A$2:$A$7,I128)=0,"Unknown status","")))))</f>
        <v/>
      </c>
    </row>
    <row r="129" customFormat="false" ht="15" hidden="false" customHeight="false" outlineLevel="0" collapsed="false">
      <c r="A129" s="15" t="s">
        <v>1631</v>
      </c>
      <c r="B129" s="15" t="s">
        <v>499</v>
      </c>
      <c r="C129" s="15" t="s">
        <v>55</v>
      </c>
      <c r="D129" s="15" t="s">
        <v>1632</v>
      </c>
      <c r="E129" s="15" t="s">
        <v>1632</v>
      </c>
      <c r="F129" s="15" t="s">
        <v>500</v>
      </c>
      <c r="G129" s="15" t="n">
        <v>99</v>
      </c>
      <c r="H129" s="15"/>
      <c r="I129" s="15" t="s">
        <v>48</v>
      </c>
      <c r="J129" s="15" t="s">
        <v>947</v>
      </c>
      <c r="K129" s="15" t="s">
        <v>48</v>
      </c>
      <c r="L129" s="15" t="n">
        <v>0</v>
      </c>
      <c r="M129" s="15" t="n">
        <v>39</v>
      </c>
      <c r="N129" s="15"/>
      <c r="O129" s="15" t="s">
        <v>948</v>
      </c>
      <c r="P129" s="15" t="s">
        <v>949</v>
      </c>
      <c r="Q129" s="15" t="s">
        <v>950</v>
      </c>
      <c r="R129" s="15" t="n">
        <v>0</v>
      </c>
      <c r="S129" s="15" t="n">
        <v>19</v>
      </c>
      <c r="T129" s="15" t="n">
        <v>32</v>
      </c>
      <c r="U129" s="15" t="n">
        <v>44</v>
      </c>
      <c r="V129" s="15" t="n">
        <v>4</v>
      </c>
      <c r="W129" s="15" t="n">
        <v>0</v>
      </c>
      <c r="X129" s="15" t="s">
        <v>973</v>
      </c>
      <c r="Y129" s="15" t="s">
        <v>952</v>
      </c>
      <c r="Z129" s="15" t="s">
        <v>170</v>
      </c>
      <c r="AA129" s="15" t="s">
        <v>966</v>
      </c>
      <c r="AB129" s="15" t="s">
        <v>1633</v>
      </c>
      <c r="AC129" s="15" t="s">
        <v>1634</v>
      </c>
      <c r="AD129" s="15" t="s">
        <v>1635</v>
      </c>
      <c r="AE129" s="15" t="s">
        <v>1026</v>
      </c>
      <c r="AF129" s="15" t="s">
        <v>980</v>
      </c>
      <c r="AG129" s="15" t="s">
        <v>981</v>
      </c>
      <c r="AH129" s="15" t="n">
        <v>23.1</v>
      </c>
      <c r="AI129" s="15" t="n">
        <v>75.9</v>
      </c>
      <c r="AJ129" s="15" t="n">
        <v>0</v>
      </c>
      <c r="AK129" s="15" t="n">
        <v>0</v>
      </c>
      <c r="AL129" s="15" t="n">
        <v>0</v>
      </c>
      <c r="AM129" s="15" t="n">
        <v>0</v>
      </c>
      <c r="AN129" s="15" t="s">
        <v>1264</v>
      </c>
      <c r="AO129" s="15" t="s">
        <v>960</v>
      </c>
      <c r="AP129" s="15" t="s">
        <v>163</v>
      </c>
      <c r="AQ129" s="15"/>
      <c r="AR129" s="29" t="str">
        <f aca="false">IF(A129="","",IF(COUNTIF(Parcels!$A$2:$A$3000,B129)=0,"Parcel not found",IF(COUNTIF($A$2:$A$3000,A129)&gt;1,"Duplicate perm_id",IF(AND(P129="Yes",D129&lt;&gt;"",COUNTIFS($C$2:$C$3000,D129,$P$2:$P$3000,"Yes")&gt;1),"Reference counted twice",IF(COUNTIF(Lists!$A$2:$A$7,I129)=0,"Unknown status","")))))</f>
        <v/>
      </c>
    </row>
    <row r="130" customFormat="false" ht="15" hidden="false" customHeight="false" outlineLevel="0" collapsed="false">
      <c r="A130" s="15" t="s">
        <v>1636</v>
      </c>
      <c r="B130" s="15" t="s">
        <v>501</v>
      </c>
      <c r="C130" s="15" t="s">
        <v>55</v>
      </c>
      <c r="D130" s="15" t="s">
        <v>1637</v>
      </c>
      <c r="E130" s="15" t="s">
        <v>1637</v>
      </c>
      <c r="F130" s="15" t="s">
        <v>502</v>
      </c>
      <c r="G130" s="15" t="n">
        <v>101</v>
      </c>
      <c r="H130" s="15"/>
      <c r="I130" s="15" t="s">
        <v>48</v>
      </c>
      <c r="J130" s="15" t="s">
        <v>947</v>
      </c>
      <c r="K130" s="15" t="s">
        <v>48</v>
      </c>
      <c r="L130" s="15" t="n">
        <v>51</v>
      </c>
      <c r="M130" s="15" t="n">
        <v>50</v>
      </c>
      <c r="N130" s="15"/>
      <c r="O130" s="15" t="s">
        <v>948</v>
      </c>
      <c r="P130" s="15" t="s">
        <v>949</v>
      </c>
      <c r="Q130" s="15" t="s">
        <v>950</v>
      </c>
      <c r="R130" s="15" t="n">
        <v>0</v>
      </c>
      <c r="S130" s="15" t="n">
        <v>19</v>
      </c>
      <c r="T130" s="15" t="n">
        <v>32</v>
      </c>
      <c r="U130" s="15" t="n">
        <v>46</v>
      </c>
      <c r="V130" s="15" t="n">
        <v>4</v>
      </c>
      <c r="W130" s="15" t="n">
        <v>0</v>
      </c>
      <c r="X130" s="15" t="s">
        <v>973</v>
      </c>
      <c r="Y130" s="15" t="s">
        <v>952</v>
      </c>
      <c r="Z130" s="15" t="s">
        <v>170</v>
      </c>
      <c r="AA130" s="15" t="s">
        <v>966</v>
      </c>
      <c r="AB130" s="15" t="s">
        <v>1633</v>
      </c>
      <c r="AC130" s="15" t="s">
        <v>1634</v>
      </c>
      <c r="AD130" s="15" t="s">
        <v>1638</v>
      </c>
      <c r="AE130" s="15" t="s">
        <v>1457</v>
      </c>
      <c r="AF130" s="15" t="s">
        <v>980</v>
      </c>
      <c r="AG130" s="15" t="s">
        <v>981</v>
      </c>
      <c r="AH130" s="15" t="n">
        <v>23.5</v>
      </c>
      <c r="AI130" s="15" t="n">
        <v>77.5</v>
      </c>
      <c r="AJ130" s="15" t="n">
        <v>0</v>
      </c>
      <c r="AK130" s="15" t="n">
        <v>0</v>
      </c>
      <c r="AL130" s="15" t="n">
        <v>0</v>
      </c>
      <c r="AM130" s="15" t="n">
        <v>0</v>
      </c>
      <c r="AN130" s="15" t="s">
        <v>1264</v>
      </c>
      <c r="AO130" s="15" t="s">
        <v>960</v>
      </c>
      <c r="AP130" s="15" t="s">
        <v>163</v>
      </c>
      <c r="AQ130" s="15"/>
      <c r="AR130" s="29" t="str">
        <f aca="false">IF(A130="","",IF(COUNTIF(Parcels!$A$2:$A$3000,B130)=0,"Parcel not found",IF(COUNTIF($A$2:$A$3000,A130)&gt;1,"Duplicate perm_id",IF(AND(P130="Yes",D130&lt;&gt;"",COUNTIFS($C$2:$C$3000,D130,$P$2:$P$3000,"Yes")&gt;1),"Reference counted twice",IF(COUNTIF(Lists!$A$2:$A$7,I130)=0,"Unknown status","")))))</f>
        <v/>
      </c>
    </row>
    <row r="131" customFormat="false" ht="15" hidden="false" customHeight="false" outlineLevel="0" collapsed="false">
      <c r="A131" s="15" t="s">
        <v>1639</v>
      </c>
      <c r="B131" s="15" t="s">
        <v>527</v>
      </c>
      <c r="C131" s="15" t="s">
        <v>57</v>
      </c>
      <c r="D131" s="15" t="s">
        <v>1640</v>
      </c>
      <c r="E131" s="15" t="s">
        <v>1640</v>
      </c>
      <c r="F131" s="15" t="s">
        <v>528</v>
      </c>
      <c r="G131" s="15" t="n">
        <v>15</v>
      </c>
      <c r="H131" s="15"/>
      <c r="I131" s="15" t="s">
        <v>47</v>
      </c>
      <c r="J131" s="15" t="s">
        <v>947</v>
      </c>
      <c r="K131" s="15" t="s">
        <v>47</v>
      </c>
      <c r="L131" s="15" t="n">
        <v>15</v>
      </c>
      <c r="M131" s="15" t="n">
        <v>0</v>
      </c>
      <c r="N131" s="15"/>
      <c r="O131" s="15" t="s">
        <v>948</v>
      </c>
      <c r="P131" s="15" t="s">
        <v>949</v>
      </c>
      <c r="Q131" s="15" t="s">
        <v>950</v>
      </c>
      <c r="R131" s="15" t="n">
        <v>0</v>
      </c>
      <c r="S131" s="15" t="n">
        <v>6</v>
      </c>
      <c r="T131" s="15" t="n">
        <v>9</v>
      </c>
      <c r="U131" s="15" t="n">
        <v>0</v>
      </c>
      <c r="V131" s="15" t="n">
        <v>0</v>
      </c>
      <c r="W131" s="15" t="n">
        <v>0</v>
      </c>
      <c r="X131" s="15" t="s">
        <v>951</v>
      </c>
      <c r="Y131" s="15" t="s">
        <v>974</v>
      </c>
      <c r="Z131" s="15" t="s">
        <v>1004</v>
      </c>
      <c r="AA131" s="15" t="s">
        <v>966</v>
      </c>
      <c r="AB131" s="15" t="s">
        <v>1641</v>
      </c>
      <c r="AC131" s="15" t="s">
        <v>1642</v>
      </c>
      <c r="AD131" s="15" t="s">
        <v>1643</v>
      </c>
      <c r="AE131" s="15"/>
      <c r="AF131" s="15"/>
      <c r="AG131" s="15" t="s">
        <v>992</v>
      </c>
      <c r="AH131" s="15" t="n">
        <v>0</v>
      </c>
      <c r="AI131" s="15" t="n">
        <v>0</v>
      </c>
      <c r="AJ131" s="15" t="n">
        <v>0</v>
      </c>
      <c r="AK131" s="15" t="n">
        <v>0</v>
      </c>
      <c r="AL131" s="15" t="n">
        <v>0</v>
      </c>
      <c r="AM131" s="15" t="n">
        <v>0</v>
      </c>
      <c r="AN131" s="15" t="s">
        <v>1264</v>
      </c>
      <c r="AO131" s="15" t="s">
        <v>960</v>
      </c>
      <c r="AP131" s="15" t="s">
        <v>163</v>
      </c>
      <c r="AQ131" s="15"/>
      <c r="AR131" s="29" t="str">
        <f aca="false">IF(A131="","",IF(COUNTIF(Parcels!$A$2:$A$3000,B131)=0,"Parcel not found",IF(COUNTIF($A$2:$A$3000,A131)&gt;1,"Duplicate perm_id",IF(AND(P131="Yes",D131&lt;&gt;"",COUNTIFS($C$2:$C$3000,D131,$P$2:$P$3000,"Yes")&gt;1),"Reference counted twice",IF(COUNTIF(Lists!$A$2:$A$7,I131)=0,"Unknown status","")))))</f>
        <v/>
      </c>
    </row>
    <row r="132" customFormat="false" ht="15" hidden="false" customHeight="false" outlineLevel="0" collapsed="false">
      <c r="A132" s="15" t="s">
        <v>1644</v>
      </c>
      <c r="B132" s="15" t="s">
        <v>529</v>
      </c>
      <c r="C132" s="15" t="s">
        <v>57</v>
      </c>
      <c r="D132" s="15" t="s">
        <v>1645</v>
      </c>
      <c r="E132" s="15" t="s">
        <v>1645</v>
      </c>
      <c r="F132" s="15" t="s">
        <v>530</v>
      </c>
      <c r="G132" s="15" t="n">
        <v>6</v>
      </c>
      <c r="H132" s="15"/>
      <c r="I132" s="15" t="s">
        <v>48</v>
      </c>
      <c r="J132" s="15" t="s">
        <v>947</v>
      </c>
      <c r="K132" s="15" t="s">
        <v>48</v>
      </c>
      <c r="L132" s="15" t="n">
        <v>0</v>
      </c>
      <c r="M132" s="15" t="n">
        <v>0</v>
      </c>
      <c r="N132" s="15"/>
      <c r="O132" s="15" t="s">
        <v>948</v>
      </c>
      <c r="P132" s="15" t="s">
        <v>949</v>
      </c>
      <c r="Q132" s="15" t="s">
        <v>965</v>
      </c>
      <c r="R132" s="15"/>
      <c r="S132" s="15"/>
      <c r="T132" s="15"/>
      <c r="U132" s="15"/>
      <c r="V132" s="15"/>
      <c r="W132" s="15"/>
      <c r="X132" s="15" t="s">
        <v>951</v>
      </c>
      <c r="Y132" s="15" t="s">
        <v>952</v>
      </c>
      <c r="Z132" s="15" t="s">
        <v>170</v>
      </c>
      <c r="AA132" s="15" t="s">
        <v>966</v>
      </c>
      <c r="AB132" s="15" t="s">
        <v>1646</v>
      </c>
      <c r="AC132" s="15" t="s">
        <v>1647</v>
      </c>
      <c r="AD132" s="15" t="s">
        <v>1648</v>
      </c>
      <c r="AE132" s="15" t="s">
        <v>1649</v>
      </c>
      <c r="AF132" s="15" t="s">
        <v>980</v>
      </c>
      <c r="AG132" s="15" t="s">
        <v>981</v>
      </c>
      <c r="AH132" s="15" t="n">
        <v>0.2</v>
      </c>
      <c r="AI132" s="15" t="n">
        <v>5.8</v>
      </c>
      <c r="AJ132" s="15" t="n">
        <v>0</v>
      </c>
      <c r="AK132" s="15" t="n">
        <v>0</v>
      </c>
      <c r="AL132" s="15" t="n">
        <v>0</v>
      </c>
      <c r="AM132" s="15" t="n">
        <v>0</v>
      </c>
      <c r="AN132" s="15" t="s">
        <v>1264</v>
      </c>
      <c r="AO132" s="15" t="s">
        <v>960</v>
      </c>
      <c r="AP132" s="15" t="s">
        <v>163</v>
      </c>
      <c r="AQ132" s="15"/>
      <c r="AR132" s="29" t="str">
        <f aca="false">IF(A132="","",IF(COUNTIF(Parcels!$A$2:$A$3000,B132)=0,"Parcel not found",IF(COUNTIF($A$2:$A$3000,A132)&gt;1,"Duplicate perm_id",IF(AND(P132="Yes",D132&lt;&gt;"",COUNTIFS($C$2:$C$3000,D132,$P$2:$P$3000,"Yes")&gt;1),"Reference counted twice",IF(COUNTIF(Lists!$A$2:$A$7,I132)=0,"Unknown status","")))))</f>
        <v/>
      </c>
    </row>
    <row r="133" customFormat="false" ht="15" hidden="false" customHeight="false" outlineLevel="0" collapsed="false">
      <c r="A133" s="15" t="s">
        <v>1650</v>
      </c>
      <c r="B133" s="15" t="s">
        <v>432</v>
      </c>
      <c r="C133" s="15" t="s">
        <v>53</v>
      </c>
      <c r="D133" s="15" t="s">
        <v>1651</v>
      </c>
      <c r="E133" s="15" t="s">
        <v>1651</v>
      </c>
      <c r="F133" s="15" t="s">
        <v>433</v>
      </c>
      <c r="G133" s="15" t="n">
        <v>14</v>
      </c>
      <c r="H133" s="15"/>
      <c r="I133" s="15" t="s">
        <v>946</v>
      </c>
      <c r="J133" s="15" t="s">
        <v>947</v>
      </c>
      <c r="K133" s="15" t="s">
        <v>946</v>
      </c>
      <c r="L133" s="15" t="n">
        <v>0</v>
      </c>
      <c r="M133" s="15" t="n">
        <v>0</v>
      </c>
      <c r="N133" s="15"/>
      <c r="O133" s="15" t="s">
        <v>948</v>
      </c>
      <c r="P133" s="15" t="s">
        <v>949</v>
      </c>
      <c r="Q133" s="15" t="s">
        <v>950</v>
      </c>
      <c r="R133" s="15" t="n">
        <v>0</v>
      </c>
      <c r="S133" s="15" t="n">
        <v>4</v>
      </c>
      <c r="T133" s="15" t="n">
        <v>7</v>
      </c>
      <c r="U133" s="15" t="n">
        <v>3</v>
      </c>
      <c r="V133" s="15" t="n">
        <v>0</v>
      </c>
      <c r="W133" s="15" t="n">
        <v>0</v>
      </c>
      <c r="X133" s="15" t="s">
        <v>951</v>
      </c>
      <c r="Y133" s="15" t="s">
        <v>952</v>
      </c>
      <c r="Z133" s="15" t="s">
        <v>170</v>
      </c>
      <c r="AA133" s="15" t="s">
        <v>966</v>
      </c>
      <c r="AB133" s="15" t="s">
        <v>1652</v>
      </c>
      <c r="AC133" s="15" t="s">
        <v>1653</v>
      </c>
      <c r="AD133" s="15"/>
      <c r="AE133" s="15" t="s">
        <v>956</v>
      </c>
      <c r="AF133" s="15" t="s">
        <v>1133</v>
      </c>
      <c r="AG133" s="15" t="s">
        <v>958</v>
      </c>
      <c r="AH133" s="15" t="n">
        <v>0</v>
      </c>
      <c r="AI133" s="15" t="n">
        <v>0</v>
      </c>
      <c r="AJ133" s="15" t="n">
        <v>8.2</v>
      </c>
      <c r="AK133" s="15" t="n">
        <v>5.8</v>
      </c>
      <c r="AL133" s="15" t="n">
        <v>0</v>
      </c>
      <c r="AM133" s="15" t="n">
        <v>0</v>
      </c>
      <c r="AN133" s="15" t="s">
        <v>1264</v>
      </c>
      <c r="AO133" s="15" t="s">
        <v>960</v>
      </c>
      <c r="AP133" s="15" t="s">
        <v>163</v>
      </c>
      <c r="AQ133" s="15"/>
      <c r="AR133" s="29" t="str">
        <f aca="false">IF(A133="","",IF(COUNTIF(Parcels!$A$2:$A$3000,B133)=0,"Parcel not found",IF(COUNTIF($A$2:$A$3000,A133)&gt;1,"Duplicate perm_id",IF(AND(P133="Yes",D133&lt;&gt;"",COUNTIFS($C$2:$C$3000,D133,$P$2:$P$3000,"Yes")&gt;1),"Reference counted twice",IF(COUNTIF(Lists!$A$2:$A$7,I133)=0,"Unknown status","")))))</f>
        <v/>
      </c>
    </row>
    <row r="134" customFormat="false" ht="15" hidden="false" customHeight="false" outlineLevel="0" collapsed="false">
      <c r="A134" s="15" t="s">
        <v>1654</v>
      </c>
      <c r="B134" s="15" t="s">
        <v>364</v>
      </c>
      <c r="C134" s="15" t="s">
        <v>51</v>
      </c>
      <c r="D134" s="15" t="s">
        <v>1655</v>
      </c>
      <c r="E134" s="15" t="s">
        <v>1655</v>
      </c>
      <c r="F134" s="15" t="s">
        <v>365</v>
      </c>
      <c r="G134" s="15" t="n">
        <v>11</v>
      </c>
      <c r="H134" s="15"/>
      <c r="I134" s="15" t="s">
        <v>946</v>
      </c>
      <c r="J134" s="15" t="s">
        <v>947</v>
      </c>
      <c r="K134" s="15" t="s">
        <v>946</v>
      </c>
      <c r="L134" s="15" t="n">
        <v>0</v>
      </c>
      <c r="M134" s="15" t="n">
        <v>0</v>
      </c>
      <c r="N134" s="15"/>
      <c r="O134" s="15" t="s">
        <v>948</v>
      </c>
      <c r="P134" s="15" t="s">
        <v>949</v>
      </c>
      <c r="Q134" s="15" t="s">
        <v>965</v>
      </c>
      <c r="R134" s="15"/>
      <c r="S134" s="15"/>
      <c r="T134" s="15"/>
      <c r="U134" s="15"/>
      <c r="V134" s="15"/>
      <c r="W134" s="15"/>
      <c r="X134" s="15" t="s">
        <v>951</v>
      </c>
      <c r="Y134" s="15" t="s">
        <v>952</v>
      </c>
      <c r="Z134" s="15" t="s">
        <v>170</v>
      </c>
      <c r="AA134" s="15" t="s">
        <v>966</v>
      </c>
      <c r="AB134" s="15" t="s">
        <v>1656</v>
      </c>
      <c r="AC134" s="15" t="s">
        <v>1657</v>
      </c>
      <c r="AD134" s="15"/>
      <c r="AE134" s="15" t="s">
        <v>956</v>
      </c>
      <c r="AF134" s="15" t="s">
        <v>1133</v>
      </c>
      <c r="AG134" s="15" t="s">
        <v>958</v>
      </c>
      <c r="AH134" s="15" t="n">
        <v>0</v>
      </c>
      <c r="AI134" s="15" t="n">
        <v>0</v>
      </c>
      <c r="AJ134" s="15" t="n">
        <v>6.4</v>
      </c>
      <c r="AK134" s="15" t="n">
        <v>4.6</v>
      </c>
      <c r="AL134" s="15" t="n">
        <v>0</v>
      </c>
      <c r="AM134" s="15" t="n">
        <v>0</v>
      </c>
      <c r="AN134" s="15" t="s">
        <v>1264</v>
      </c>
      <c r="AO134" s="15" t="s">
        <v>960</v>
      </c>
      <c r="AP134" s="15" t="s">
        <v>163</v>
      </c>
      <c r="AQ134" s="15"/>
      <c r="AR134" s="29" t="str">
        <f aca="false">IF(A134="","",IF(COUNTIF(Parcels!$A$2:$A$3000,B134)=0,"Parcel not found",IF(COUNTIF($A$2:$A$3000,A134)&gt;1,"Duplicate perm_id",IF(AND(P134="Yes",D134&lt;&gt;"",COUNTIFS($C$2:$C$3000,D134,$P$2:$P$3000,"Yes")&gt;1),"Reference counted twice",IF(COUNTIF(Lists!$A$2:$A$7,I134)=0,"Unknown status","")))))</f>
        <v/>
      </c>
    </row>
    <row r="135" customFormat="false" ht="15" hidden="false" customHeight="false" outlineLevel="0" collapsed="false">
      <c r="A135" s="15" t="s">
        <v>1658</v>
      </c>
      <c r="B135" s="15" t="s">
        <v>611</v>
      </c>
      <c r="C135" s="15" t="s">
        <v>22</v>
      </c>
      <c r="D135" s="15" t="s">
        <v>1659</v>
      </c>
      <c r="E135" s="15" t="s">
        <v>1659</v>
      </c>
      <c r="F135" s="15" t="s">
        <v>612</v>
      </c>
      <c r="G135" s="15" t="n">
        <v>5</v>
      </c>
      <c r="H135" s="15"/>
      <c r="I135" s="15" t="s">
        <v>47</v>
      </c>
      <c r="J135" s="15" t="s">
        <v>947</v>
      </c>
      <c r="K135" s="15" t="s">
        <v>47</v>
      </c>
      <c r="L135" s="15" t="n">
        <v>5</v>
      </c>
      <c r="M135" s="15" t="n">
        <v>0</v>
      </c>
      <c r="N135" s="15"/>
      <c r="O135" s="15" t="s">
        <v>948</v>
      </c>
      <c r="P135" s="15" t="s">
        <v>949</v>
      </c>
      <c r="Q135" s="15" t="s">
        <v>989</v>
      </c>
      <c r="R135" s="15" t="n">
        <v>0</v>
      </c>
      <c r="S135" s="15" t="n">
        <v>3</v>
      </c>
      <c r="T135" s="15" t="n">
        <v>2</v>
      </c>
      <c r="U135" s="15" t="n">
        <v>0</v>
      </c>
      <c r="V135" s="15" t="n">
        <v>0</v>
      </c>
      <c r="W135" s="15" t="n">
        <v>0</v>
      </c>
      <c r="X135" s="15" t="s">
        <v>951</v>
      </c>
      <c r="Y135" s="15" t="s">
        <v>974</v>
      </c>
      <c r="Z135" s="15" t="s">
        <v>975</v>
      </c>
      <c r="AA135" s="15" t="s">
        <v>966</v>
      </c>
      <c r="AB135" s="15" t="s">
        <v>1660</v>
      </c>
      <c r="AC135" s="15" t="s">
        <v>1661</v>
      </c>
      <c r="AD135" s="15" t="s">
        <v>1662</v>
      </c>
      <c r="AE135" s="15"/>
      <c r="AF135" s="15"/>
      <c r="AG135" s="15" t="s">
        <v>992</v>
      </c>
      <c r="AH135" s="15" t="n">
        <v>0</v>
      </c>
      <c r="AI135" s="15" t="n">
        <v>0</v>
      </c>
      <c r="AJ135" s="15" t="n">
        <v>0</v>
      </c>
      <c r="AK135" s="15" t="n">
        <v>0</v>
      </c>
      <c r="AL135" s="15" t="n">
        <v>0</v>
      </c>
      <c r="AM135" s="15" t="n">
        <v>0</v>
      </c>
      <c r="AN135" s="15" t="s">
        <v>1264</v>
      </c>
      <c r="AO135" s="15" t="s">
        <v>960</v>
      </c>
      <c r="AP135" s="15" t="s">
        <v>163</v>
      </c>
      <c r="AQ135" s="15"/>
      <c r="AR135" s="29" t="str">
        <f aca="false">IF(A135="","",IF(COUNTIF(Parcels!$A$2:$A$3000,B135)=0,"Parcel not found",IF(COUNTIF($A$2:$A$3000,A135)&gt;1,"Duplicate perm_id",IF(AND(P135="Yes",D135&lt;&gt;"",COUNTIFS($C$2:$C$3000,D135,$P$2:$P$3000,"Yes")&gt;1),"Reference counted twice",IF(COUNTIF(Lists!$A$2:$A$7,I135)=0,"Unknown status","")))))</f>
        <v/>
      </c>
    </row>
    <row r="136" customFormat="false" ht="15" hidden="false" customHeight="false" outlineLevel="0" collapsed="false">
      <c r="A136" s="15" t="s">
        <v>1663</v>
      </c>
      <c r="B136" s="15" t="s">
        <v>366</v>
      </c>
      <c r="C136" s="15" t="s">
        <v>51</v>
      </c>
      <c r="D136" s="15" t="s">
        <v>1664</v>
      </c>
      <c r="E136" s="15" t="s">
        <v>1664</v>
      </c>
      <c r="F136" s="15" t="s">
        <v>367</v>
      </c>
      <c r="G136" s="15" t="n">
        <v>6</v>
      </c>
      <c r="H136" s="15"/>
      <c r="I136" s="15" t="s">
        <v>47</v>
      </c>
      <c r="J136" s="15" t="s">
        <v>947</v>
      </c>
      <c r="K136" s="15" t="s">
        <v>47</v>
      </c>
      <c r="L136" s="15" t="n">
        <v>5</v>
      </c>
      <c r="M136" s="15" t="n">
        <v>0</v>
      </c>
      <c r="N136" s="15" t="s">
        <v>1074</v>
      </c>
      <c r="O136" s="15" t="s">
        <v>948</v>
      </c>
      <c r="P136" s="15" t="s">
        <v>949</v>
      </c>
      <c r="Q136" s="15" t="s">
        <v>965</v>
      </c>
      <c r="R136" s="15"/>
      <c r="S136" s="15"/>
      <c r="T136" s="15"/>
      <c r="U136" s="15"/>
      <c r="V136" s="15"/>
      <c r="W136" s="15"/>
      <c r="X136" s="15" t="s">
        <v>951</v>
      </c>
      <c r="Y136" s="15" t="s">
        <v>952</v>
      </c>
      <c r="Z136" s="15" t="s">
        <v>170</v>
      </c>
      <c r="AA136" s="15" t="s">
        <v>966</v>
      </c>
      <c r="AB136" s="15" t="s">
        <v>1665</v>
      </c>
      <c r="AC136" s="15" t="s">
        <v>1666</v>
      </c>
      <c r="AD136" s="15" t="s">
        <v>1667</v>
      </c>
      <c r="AE136" s="15"/>
      <c r="AF136" s="15"/>
      <c r="AG136" s="15" t="s">
        <v>992</v>
      </c>
      <c r="AH136" s="15" t="n">
        <v>0</v>
      </c>
      <c r="AI136" s="15" t="n">
        <v>0</v>
      </c>
      <c r="AJ136" s="15" t="n">
        <v>0</v>
      </c>
      <c r="AK136" s="15" t="n">
        <v>0</v>
      </c>
      <c r="AL136" s="15" t="n">
        <v>0</v>
      </c>
      <c r="AM136" s="15" t="n">
        <v>0</v>
      </c>
      <c r="AN136" s="15" t="s">
        <v>1264</v>
      </c>
      <c r="AO136" s="15" t="s">
        <v>960</v>
      </c>
      <c r="AP136" s="15" t="s">
        <v>163</v>
      </c>
      <c r="AQ136" s="15"/>
      <c r="AR136" s="29" t="str">
        <f aca="false">IF(A136="","",IF(COUNTIF(Parcels!$A$2:$A$3000,B136)=0,"Parcel not found",IF(COUNTIF($A$2:$A$3000,A136)&gt;1,"Duplicate perm_id",IF(AND(P136="Yes",D136&lt;&gt;"",COUNTIFS($C$2:$C$3000,D136,$P$2:$P$3000,"Yes")&gt;1),"Reference counted twice",IF(COUNTIF(Lists!$A$2:$A$7,I136)=0,"Unknown status","")))))</f>
        <v/>
      </c>
    </row>
    <row r="137" customFormat="false" ht="15" hidden="false" customHeight="false" outlineLevel="0" collapsed="false">
      <c r="A137" s="15" t="s">
        <v>1668</v>
      </c>
      <c r="B137" s="15" t="s">
        <v>400</v>
      </c>
      <c r="C137" s="15" t="s">
        <v>52</v>
      </c>
      <c r="D137" s="15" t="s">
        <v>1669</v>
      </c>
      <c r="E137" s="15" t="s">
        <v>1669</v>
      </c>
      <c r="F137" s="15" t="s">
        <v>401</v>
      </c>
      <c r="G137" s="15" t="n">
        <v>62</v>
      </c>
      <c r="H137" s="15"/>
      <c r="I137" s="15" t="s">
        <v>48</v>
      </c>
      <c r="J137" s="15" t="s">
        <v>947</v>
      </c>
      <c r="K137" s="15" t="s">
        <v>48</v>
      </c>
      <c r="L137" s="15" t="n">
        <v>23</v>
      </c>
      <c r="M137" s="15" t="n">
        <v>34</v>
      </c>
      <c r="N137" s="15"/>
      <c r="O137" s="15" t="s">
        <v>948</v>
      </c>
      <c r="P137" s="15" t="s">
        <v>949</v>
      </c>
      <c r="Q137" s="15" t="s">
        <v>950</v>
      </c>
      <c r="R137" s="15" t="n">
        <v>0</v>
      </c>
      <c r="S137" s="15" t="n">
        <v>2</v>
      </c>
      <c r="T137" s="15" t="n">
        <v>36</v>
      </c>
      <c r="U137" s="15" t="n">
        <v>20</v>
      </c>
      <c r="V137" s="15" t="n">
        <v>4</v>
      </c>
      <c r="W137" s="15" t="n">
        <v>0</v>
      </c>
      <c r="X137" s="15" t="s">
        <v>1670</v>
      </c>
      <c r="Y137" s="15" t="s">
        <v>952</v>
      </c>
      <c r="Z137" s="15" t="s">
        <v>170</v>
      </c>
      <c r="AA137" s="15" t="s">
        <v>966</v>
      </c>
      <c r="AB137" s="15" t="s">
        <v>1671</v>
      </c>
      <c r="AC137" s="15" t="s">
        <v>1672</v>
      </c>
      <c r="AD137" s="15" t="s">
        <v>1673</v>
      </c>
      <c r="AE137" s="15" t="s">
        <v>1442</v>
      </c>
      <c r="AF137" s="15" t="s">
        <v>980</v>
      </c>
      <c r="AG137" s="15" t="s">
        <v>981</v>
      </c>
      <c r="AH137" s="15" t="n">
        <v>14.4</v>
      </c>
      <c r="AI137" s="15" t="n">
        <v>47.6</v>
      </c>
      <c r="AJ137" s="15" t="n">
        <v>0</v>
      </c>
      <c r="AK137" s="15" t="n">
        <v>0</v>
      </c>
      <c r="AL137" s="15" t="n">
        <v>0</v>
      </c>
      <c r="AM137" s="15" t="n">
        <v>0</v>
      </c>
      <c r="AN137" s="15" t="s">
        <v>1264</v>
      </c>
      <c r="AO137" s="15" t="s">
        <v>960</v>
      </c>
      <c r="AP137" s="15" t="s">
        <v>163</v>
      </c>
      <c r="AQ137" s="15"/>
      <c r="AR137" s="29" t="str">
        <f aca="false">IF(A137="","",IF(COUNTIF(Parcels!$A$2:$A$3000,B137)=0,"Parcel not found",IF(COUNTIF($A$2:$A$3000,A137)&gt;1,"Duplicate perm_id",IF(AND(P137="Yes",D137&lt;&gt;"",COUNTIFS($C$2:$C$3000,D137,$P$2:$P$3000,"Yes")&gt;1),"Reference counted twice",IF(COUNTIF(Lists!$A$2:$A$7,I137)=0,"Unknown status","")))))</f>
        <v/>
      </c>
    </row>
    <row r="138" customFormat="false" ht="15" hidden="false" customHeight="false" outlineLevel="0" collapsed="false">
      <c r="A138" s="15" t="s">
        <v>1674</v>
      </c>
      <c r="B138" s="15" t="s">
        <v>400</v>
      </c>
      <c r="C138" s="15" t="s">
        <v>52</v>
      </c>
      <c r="D138" s="15" t="s">
        <v>1675</v>
      </c>
      <c r="E138" s="15" t="s">
        <v>1675</v>
      </c>
      <c r="F138" s="15" t="s">
        <v>1676</v>
      </c>
      <c r="G138" s="15" t="n">
        <v>38</v>
      </c>
      <c r="H138" s="15"/>
      <c r="I138" s="15" t="s">
        <v>47</v>
      </c>
      <c r="J138" s="15" t="s">
        <v>947</v>
      </c>
      <c r="K138" s="15" t="s">
        <v>47</v>
      </c>
      <c r="L138" s="15" t="n">
        <v>38</v>
      </c>
      <c r="M138" s="15" t="n">
        <v>0</v>
      </c>
      <c r="N138" s="15"/>
      <c r="O138" s="15" t="s">
        <v>948</v>
      </c>
      <c r="P138" s="15" t="s">
        <v>949</v>
      </c>
      <c r="Q138" s="15" t="s">
        <v>965</v>
      </c>
      <c r="R138" s="15"/>
      <c r="S138" s="15"/>
      <c r="T138" s="15"/>
      <c r="U138" s="15"/>
      <c r="V138" s="15"/>
      <c r="W138" s="15"/>
      <c r="X138" s="15" t="s">
        <v>951</v>
      </c>
      <c r="Y138" s="15" t="s">
        <v>952</v>
      </c>
      <c r="Z138" s="15" t="s">
        <v>170</v>
      </c>
      <c r="AA138" s="15" t="s">
        <v>966</v>
      </c>
      <c r="AB138" s="15" t="s">
        <v>1677</v>
      </c>
      <c r="AC138" s="15" t="s">
        <v>1678</v>
      </c>
      <c r="AD138" s="15" t="s">
        <v>1679</v>
      </c>
      <c r="AE138" s="15"/>
      <c r="AF138" s="15"/>
      <c r="AG138" s="15" t="s">
        <v>992</v>
      </c>
      <c r="AH138" s="15" t="n">
        <v>0</v>
      </c>
      <c r="AI138" s="15" t="n">
        <v>0</v>
      </c>
      <c r="AJ138" s="15" t="n">
        <v>0</v>
      </c>
      <c r="AK138" s="15" t="n">
        <v>0</v>
      </c>
      <c r="AL138" s="15" t="n">
        <v>0</v>
      </c>
      <c r="AM138" s="15" t="n">
        <v>0</v>
      </c>
      <c r="AN138" s="15" t="s">
        <v>1264</v>
      </c>
      <c r="AO138" s="15" t="s">
        <v>960</v>
      </c>
      <c r="AP138" s="15" t="s">
        <v>163</v>
      </c>
      <c r="AQ138" s="15"/>
      <c r="AR138" s="29" t="str">
        <f aca="false">IF(A138="","",IF(COUNTIF(Parcels!$A$2:$A$3000,B138)=0,"Parcel not found",IF(COUNTIF($A$2:$A$3000,A138)&gt;1,"Duplicate perm_id",IF(AND(P138="Yes",D138&lt;&gt;"",COUNTIFS($C$2:$C$3000,D138,$P$2:$P$3000,"Yes")&gt;1),"Reference counted twice",IF(COUNTIF(Lists!$A$2:$A$7,I138)=0,"Unknown status","")))))</f>
        <v/>
      </c>
    </row>
    <row r="139" customFormat="false" ht="15" hidden="false" customHeight="false" outlineLevel="0" collapsed="false">
      <c r="A139" s="15" t="s">
        <v>1680</v>
      </c>
      <c r="B139" s="15" t="s">
        <v>503</v>
      </c>
      <c r="C139" s="15" t="s">
        <v>55</v>
      </c>
      <c r="D139" s="15" t="s">
        <v>1681</v>
      </c>
      <c r="E139" s="15" t="s">
        <v>1681</v>
      </c>
      <c r="F139" s="15" t="s">
        <v>504</v>
      </c>
      <c r="G139" s="15" t="n">
        <v>12</v>
      </c>
      <c r="H139" s="15"/>
      <c r="I139" s="15" t="s">
        <v>47</v>
      </c>
      <c r="J139" s="15" t="s">
        <v>1267</v>
      </c>
      <c r="K139" s="15" t="s">
        <v>48</v>
      </c>
      <c r="L139" s="15" t="n">
        <v>12</v>
      </c>
      <c r="M139" s="15" t="n">
        <v>0</v>
      </c>
      <c r="N139" s="15" t="s">
        <v>1268</v>
      </c>
      <c r="O139" s="15" t="s">
        <v>948</v>
      </c>
      <c r="P139" s="15" t="s">
        <v>949</v>
      </c>
      <c r="Q139" s="15" t="s">
        <v>950</v>
      </c>
      <c r="R139" s="15" t="n">
        <v>0</v>
      </c>
      <c r="S139" s="15" t="n">
        <v>0</v>
      </c>
      <c r="T139" s="15" t="n">
        <v>9</v>
      </c>
      <c r="U139" s="15" t="n">
        <v>2</v>
      </c>
      <c r="V139" s="15" t="n">
        <v>1</v>
      </c>
      <c r="W139" s="15" t="n">
        <v>0</v>
      </c>
      <c r="X139" s="15" t="s">
        <v>951</v>
      </c>
      <c r="Y139" s="15" t="s">
        <v>952</v>
      </c>
      <c r="Z139" s="15" t="s">
        <v>170</v>
      </c>
      <c r="AA139" s="15" t="s">
        <v>966</v>
      </c>
      <c r="AB139" s="15" t="s">
        <v>1682</v>
      </c>
      <c r="AC139" s="15" t="s">
        <v>1683</v>
      </c>
      <c r="AD139" s="15" t="s">
        <v>1025</v>
      </c>
      <c r="AE139" s="15" t="s">
        <v>1026</v>
      </c>
      <c r="AF139" s="15" t="s">
        <v>980</v>
      </c>
      <c r="AG139" s="15" t="s">
        <v>981</v>
      </c>
      <c r="AH139" s="15" t="n">
        <v>0</v>
      </c>
      <c r="AI139" s="15" t="n">
        <v>0</v>
      </c>
      <c r="AJ139" s="15" t="n">
        <v>0</v>
      </c>
      <c r="AK139" s="15" t="n">
        <v>0</v>
      </c>
      <c r="AL139" s="15" t="n">
        <v>0</v>
      </c>
      <c r="AM139" s="15" t="n">
        <v>0</v>
      </c>
      <c r="AN139" s="15" t="s">
        <v>1264</v>
      </c>
      <c r="AO139" s="15" t="s">
        <v>960</v>
      </c>
      <c r="AP139" s="15" t="s">
        <v>163</v>
      </c>
      <c r="AQ139" s="15"/>
      <c r="AR139" s="29" t="str">
        <f aca="false">IF(A139="","",IF(COUNTIF(Parcels!$A$2:$A$3000,B139)=0,"Parcel not found",IF(COUNTIF($A$2:$A$3000,A139)&gt;1,"Duplicate perm_id",IF(AND(P139="Yes",D139&lt;&gt;"",COUNTIFS($C$2:$C$3000,D139,$P$2:$P$3000,"Yes")&gt;1),"Reference counted twice",IF(COUNTIF(Lists!$A$2:$A$7,I139)=0,"Unknown status","")))))</f>
        <v/>
      </c>
    </row>
    <row r="140" customFormat="false" ht="15" hidden="false" customHeight="false" outlineLevel="0" collapsed="false">
      <c r="A140" s="15" t="s">
        <v>1684</v>
      </c>
      <c r="B140" s="15" t="s">
        <v>613</v>
      </c>
      <c r="C140" s="15" t="s">
        <v>72</v>
      </c>
      <c r="D140" s="15" t="s">
        <v>1685</v>
      </c>
      <c r="E140" s="15" t="s">
        <v>1685</v>
      </c>
      <c r="F140" s="15" t="s">
        <v>614</v>
      </c>
      <c r="G140" s="15" t="n">
        <v>9</v>
      </c>
      <c r="H140" s="15"/>
      <c r="I140" s="15" t="s">
        <v>47</v>
      </c>
      <c r="J140" s="15" t="s">
        <v>947</v>
      </c>
      <c r="K140" s="15" t="s">
        <v>47</v>
      </c>
      <c r="L140" s="15" t="n">
        <v>0</v>
      </c>
      <c r="M140" s="15" t="n">
        <v>0</v>
      </c>
      <c r="N140" s="15" t="s">
        <v>1260</v>
      </c>
      <c r="O140" s="15" t="s">
        <v>948</v>
      </c>
      <c r="P140" s="15" t="s">
        <v>949</v>
      </c>
      <c r="Q140" s="15" t="s">
        <v>989</v>
      </c>
      <c r="R140" s="15" t="n">
        <v>0</v>
      </c>
      <c r="S140" s="15" t="n">
        <v>8</v>
      </c>
      <c r="T140" s="15" t="n">
        <v>1</v>
      </c>
      <c r="U140" s="15" t="n">
        <v>0</v>
      </c>
      <c r="V140" s="15" t="n">
        <v>0</v>
      </c>
      <c r="W140" s="15" t="n">
        <v>0</v>
      </c>
      <c r="X140" s="15" t="s">
        <v>951</v>
      </c>
      <c r="Y140" s="15" t="s">
        <v>974</v>
      </c>
      <c r="Z140" s="15" t="s">
        <v>1004</v>
      </c>
      <c r="AA140" s="15" t="s">
        <v>966</v>
      </c>
      <c r="AB140" s="15" t="s">
        <v>1686</v>
      </c>
      <c r="AC140" s="15" t="s">
        <v>1687</v>
      </c>
      <c r="AD140" s="15" t="s">
        <v>1688</v>
      </c>
      <c r="AE140" s="15"/>
      <c r="AF140" s="15"/>
      <c r="AG140" s="15" t="s">
        <v>992</v>
      </c>
      <c r="AH140" s="15" t="n">
        <v>0</v>
      </c>
      <c r="AI140" s="15" t="n">
        <v>0</v>
      </c>
      <c r="AJ140" s="15" t="n">
        <v>0</v>
      </c>
      <c r="AK140" s="15" t="n">
        <v>0</v>
      </c>
      <c r="AL140" s="15" t="n">
        <v>0</v>
      </c>
      <c r="AM140" s="15" t="n">
        <v>0</v>
      </c>
      <c r="AN140" s="15" t="s">
        <v>1264</v>
      </c>
      <c r="AO140" s="15" t="s">
        <v>960</v>
      </c>
      <c r="AP140" s="15" t="s">
        <v>163</v>
      </c>
      <c r="AQ140" s="15"/>
      <c r="AR140" s="29" t="str">
        <f aca="false">IF(A140="","",IF(COUNTIF(Parcels!$A$2:$A$3000,B140)=0,"Parcel not found",IF(COUNTIF($A$2:$A$3000,A140)&gt;1,"Duplicate perm_id",IF(AND(P140="Yes",D140&lt;&gt;"",COUNTIFS($C$2:$C$3000,D140,$P$2:$P$3000,"Yes")&gt;1),"Reference counted twice",IF(COUNTIF(Lists!$A$2:$A$7,I140)=0,"Unknown status","")))))</f>
        <v/>
      </c>
    </row>
    <row r="141" customFormat="false" ht="15" hidden="false" customHeight="false" outlineLevel="0" collapsed="false">
      <c r="A141" s="15" t="s">
        <v>1689</v>
      </c>
      <c r="B141" s="15" t="s">
        <v>615</v>
      </c>
      <c r="C141" s="15" t="s">
        <v>64</v>
      </c>
      <c r="D141" s="15" t="s">
        <v>1690</v>
      </c>
      <c r="E141" s="15" t="s">
        <v>1690</v>
      </c>
      <c r="F141" s="15" t="s">
        <v>617</v>
      </c>
      <c r="G141" s="15" t="n">
        <v>61</v>
      </c>
      <c r="H141" s="15"/>
      <c r="I141" s="15" t="s">
        <v>48</v>
      </c>
      <c r="J141" s="15" t="s">
        <v>947</v>
      </c>
      <c r="K141" s="15" t="s">
        <v>48</v>
      </c>
      <c r="L141" s="15" t="n">
        <v>30</v>
      </c>
      <c r="M141" s="15" t="n">
        <v>15</v>
      </c>
      <c r="N141" s="15"/>
      <c r="O141" s="15" t="s">
        <v>948</v>
      </c>
      <c r="P141" s="15" t="s">
        <v>949</v>
      </c>
      <c r="Q141" s="15" t="s">
        <v>965</v>
      </c>
      <c r="R141" s="15"/>
      <c r="S141" s="15"/>
      <c r="T141" s="15"/>
      <c r="U141" s="15"/>
      <c r="V141" s="15"/>
      <c r="W141" s="15"/>
      <c r="X141" s="15" t="s">
        <v>951</v>
      </c>
      <c r="Y141" s="15" t="s">
        <v>952</v>
      </c>
      <c r="Z141" s="15" t="s">
        <v>170</v>
      </c>
      <c r="AA141" s="15" t="s">
        <v>966</v>
      </c>
      <c r="AB141" s="15" t="s">
        <v>1691</v>
      </c>
      <c r="AC141" s="15" t="s">
        <v>1692</v>
      </c>
      <c r="AD141" s="15" t="s">
        <v>1628</v>
      </c>
      <c r="AE141" s="15" t="s">
        <v>1478</v>
      </c>
      <c r="AF141" s="15" t="s">
        <v>980</v>
      </c>
      <c r="AG141" s="15" t="s">
        <v>981</v>
      </c>
      <c r="AH141" s="15" t="n">
        <v>14.2</v>
      </c>
      <c r="AI141" s="15" t="n">
        <v>46.8</v>
      </c>
      <c r="AJ141" s="15" t="n">
        <v>0</v>
      </c>
      <c r="AK141" s="15" t="n">
        <v>0</v>
      </c>
      <c r="AL141" s="15" t="n">
        <v>0</v>
      </c>
      <c r="AM141" s="15" t="n">
        <v>0</v>
      </c>
      <c r="AN141" s="15" t="s">
        <v>1264</v>
      </c>
      <c r="AO141" s="15" t="s">
        <v>960</v>
      </c>
      <c r="AP141" s="15" t="s">
        <v>163</v>
      </c>
      <c r="AQ141" s="15"/>
      <c r="AR141" s="29" t="str">
        <f aca="false">IF(A141="","",IF(COUNTIF(Parcels!$A$2:$A$3000,B141)=0,"Parcel not found",IF(COUNTIF($A$2:$A$3000,A141)&gt;1,"Duplicate perm_id",IF(AND(P141="Yes",D141&lt;&gt;"",COUNTIFS($C$2:$C$3000,D141,$P$2:$P$3000,"Yes")&gt;1),"Reference counted twice",IF(COUNTIF(Lists!$A$2:$A$7,I141)=0,"Unknown status","")))))</f>
        <v/>
      </c>
    </row>
    <row r="142" customFormat="false" ht="15" hidden="false" customHeight="false" outlineLevel="0" collapsed="false">
      <c r="A142" s="15" t="s">
        <v>1693</v>
      </c>
      <c r="B142" s="15" t="s">
        <v>615</v>
      </c>
      <c r="C142" s="15" t="s">
        <v>64</v>
      </c>
      <c r="D142" s="15" t="s">
        <v>1694</v>
      </c>
      <c r="E142" s="15" t="s">
        <v>1694</v>
      </c>
      <c r="F142" s="15" t="s">
        <v>1695</v>
      </c>
      <c r="G142" s="15" t="n">
        <v>12</v>
      </c>
      <c r="H142" s="15"/>
      <c r="I142" s="15" t="s">
        <v>48</v>
      </c>
      <c r="J142" s="15" t="s">
        <v>947</v>
      </c>
      <c r="K142" s="15" t="s">
        <v>48</v>
      </c>
      <c r="L142" s="15" t="n">
        <v>0</v>
      </c>
      <c r="M142" s="15" t="n">
        <v>0</v>
      </c>
      <c r="N142" s="15"/>
      <c r="O142" s="15" t="s">
        <v>948</v>
      </c>
      <c r="P142" s="15" t="s">
        <v>949</v>
      </c>
      <c r="Q142" s="15" t="s">
        <v>965</v>
      </c>
      <c r="R142" s="15"/>
      <c r="S142" s="15"/>
      <c r="T142" s="15"/>
      <c r="U142" s="15"/>
      <c r="V142" s="15"/>
      <c r="W142" s="15"/>
      <c r="X142" s="15" t="s">
        <v>973</v>
      </c>
      <c r="Y142" s="15" t="s">
        <v>952</v>
      </c>
      <c r="Z142" s="15" t="s">
        <v>170</v>
      </c>
      <c r="AA142" s="15" t="s">
        <v>966</v>
      </c>
      <c r="AB142" s="15" t="s">
        <v>1696</v>
      </c>
      <c r="AC142" s="15" t="s">
        <v>1692</v>
      </c>
      <c r="AD142" s="15" t="s">
        <v>1697</v>
      </c>
      <c r="AE142" s="15" t="s">
        <v>1127</v>
      </c>
      <c r="AF142" s="15" t="s">
        <v>980</v>
      </c>
      <c r="AG142" s="15" t="s">
        <v>981</v>
      </c>
      <c r="AH142" s="15" t="n">
        <v>2.8</v>
      </c>
      <c r="AI142" s="15" t="n">
        <v>9.2</v>
      </c>
      <c r="AJ142" s="15" t="n">
        <v>0</v>
      </c>
      <c r="AK142" s="15" t="n">
        <v>0</v>
      </c>
      <c r="AL142" s="15" t="n">
        <v>0</v>
      </c>
      <c r="AM142" s="15" t="n">
        <v>0</v>
      </c>
      <c r="AN142" s="15" t="s">
        <v>1264</v>
      </c>
      <c r="AO142" s="15" t="s">
        <v>960</v>
      </c>
      <c r="AP142" s="15" t="s">
        <v>163</v>
      </c>
      <c r="AQ142" s="15"/>
      <c r="AR142" s="29" t="str">
        <f aca="false">IF(A142="","",IF(COUNTIF(Parcels!$A$2:$A$3000,B142)=0,"Parcel not found",IF(COUNTIF($A$2:$A$3000,A142)&gt;1,"Duplicate perm_id",IF(AND(P142="Yes",D142&lt;&gt;"",COUNTIFS($C$2:$C$3000,D142,$P$2:$P$3000,"Yes")&gt;1),"Reference counted twice",IF(COUNTIF(Lists!$A$2:$A$7,I142)=0,"Unknown status","")))))</f>
        <v/>
      </c>
    </row>
    <row r="143" customFormat="false" ht="15" hidden="false" customHeight="false" outlineLevel="0" collapsed="false">
      <c r="A143" s="15" t="s">
        <v>1698</v>
      </c>
      <c r="B143" s="15" t="s">
        <v>505</v>
      </c>
      <c r="C143" s="15" t="s">
        <v>55</v>
      </c>
      <c r="D143" s="15" t="s">
        <v>1699</v>
      </c>
      <c r="E143" s="15" t="s">
        <v>1699</v>
      </c>
      <c r="F143" s="15" t="s">
        <v>506</v>
      </c>
      <c r="G143" s="15" t="n">
        <v>7</v>
      </c>
      <c r="H143" s="15"/>
      <c r="I143" s="15" t="s">
        <v>47</v>
      </c>
      <c r="J143" s="15" t="s">
        <v>947</v>
      </c>
      <c r="K143" s="15" t="s">
        <v>47</v>
      </c>
      <c r="L143" s="15" t="n">
        <v>7</v>
      </c>
      <c r="M143" s="15" t="n">
        <v>0</v>
      </c>
      <c r="N143" s="15"/>
      <c r="O143" s="15" t="s">
        <v>948</v>
      </c>
      <c r="P143" s="15" t="s">
        <v>949</v>
      </c>
      <c r="Q143" s="15" t="s">
        <v>989</v>
      </c>
      <c r="R143" s="15" t="n">
        <v>0</v>
      </c>
      <c r="S143" s="15" t="n">
        <v>0</v>
      </c>
      <c r="T143" s="15" t="n">
        <v>7</v>
      </c>
      <c r="U143" s="15" t="n">
        <v>0</v>
      </c>
      <c r="V143" s="15" t="n">
        <v>0</v>
      </c>
      <c r="W143" s="15" t="n">
        <v>0</v>
      </c>
      <c r="X143" s="15" t="s">
        <v>973</v>
      </c>
      <c r="Y143" s="15" t="s">
        <v>952</v>
      </c>
      <c r="Z143" s="15" t="s">
        <v>170</v>
      </c>
      <c r="AA143" s="15" t="s">
        <v>966</v>
      </c>
      <c r="AB143" s="15" t="s">
        <v>1700</v>
      </c>
      <c r="AC143" s="15" t="s">
        <v>1701</v>
      </c>
      <c r="AD143" s="15" t="s">
        <v>1016</v>
      </c>
      <c r="AE143" s="15"/>
      <c r="AF143" s="15"/>
      <c r="AG143" s="15" t="s">
        <v>992</v>
      </c>
      <c r="AH143" s="15" t="n">
        <v>0</v>
      </c>
      <c r="AI143" s="15" t="n">
        <v>0</v>
      </c>
      <c r="AJ143" s="15" t="n">
        <v>0</v>
      </c>
      <c r="AK143" s="15" t="n">
        <v>0</v>
      </c>
      <c r="AL143" s="15" t="n">
        <v>0</v>
      </c>
      <c r="AM143" s="15" t="n">
        <v>0</v>
      </c>
      <c r="AN143" s="15" t="s">
        <v>1264</v>
      </c>
      <c r="AO143" s="15" t="s">
        <v>960</v>
      </c>
      <c r="AP143" s="15" t="s">
        <v>163</v>
      </c>
      <c r="AQ143" s="15"/>
      <c r="AR143" s="29" t="str">
        <f aca="false">IF(A143="","",IF(COUNTIF(Parcels!$A$2:$A$3000,B143)=0,"Parcel not found",IF(COUNTIF($A$2:$A$3000,A143)&gt;1,"Duplicate perm_id",IF(AND(P143="Yes",D143&lt;&gt;"",COUNTIFS($C$2:$C$3000,D143,$P$2:$P$3000,"Yes")&gt;1),"Reference counted twice",IF(COUNTIF(Lists!$A$2:$A$7,I143)=0,"Unknown status","")))))</f>
        <v/>
      </c>
    </row>
    <row r="144" customFormat="false" ht="15" hidden="false" customHeight="false" outlineLevel="0" collapsed="false">
      <c r="A144" s="15" t="s">
        <v>1702</v>
      </c>
      <c r="B144" s="15" t="s">
        <v>618</v>
      </c>
      <c r="C144" s="15" t="s">
        <v>61</v>
      </c>
      <c r="D144" s="15" t="s">
        <v>1703</v>
      </c>
      <c r="E144" s="15" t="s">
        <v>1703</v>
      </c>
      <c r="F144" s="15" t="s">
        <v>619</v>
      </c>
      <c r="G144" s="15" t="n">
        <v>9</v>
      </c>
      <c r="H144" s="15"/>
      <c r="I144" s="15" t="s">
        <v>47</v>
      </c>
      <c r="J144" s="15" t="s">
        <v>947</v>
      </c>
      <c r="K144" s="15" t="s">
        <v>47</v>
      </c>
      <c r="L144" s="15" t="n">
        <v>0</v>
      </c>
      <c r="M144" s="15" t="n">
        <v>7</v>
      </c>
      <c r="N144" s="15" t="s">
        <v>1074</v>
      </c>
      <c r="O144" s="15" t="s">
        <v>948</v>
      </c>
      <c r="P144" s="15" t="s">
        <v>949</v>
      </c>
      <c r="Q144" s="15" t="s">
        <v>965</v>
      </c>
      <c r="R144" s="15"/>
      <c r="S144" s="15"/>
      <c r="T144" s="15"/>
      <c r="U144" s="15"/>
      <c r="V144" s="15"/>
      <c r="W144" s="15"/>
      <c r="X144" s="15" t="s">
        <v>951</v>
      </c>
      <c r="Y144" s="15" t="s">
        <v>952</v>
      </c>
      <c r="Z144" s="15" t="s">
        <v>170</v>
      </c>
      <c r="AA144" s="15" t="s">
        <v>966</v>
      </c>
      <c r="AB144" s="15" t="s">
        <v>1704</v>
      </c>
      <c r="AC144" s="15" t="s">
        <v>1705</v>
      </c>
      <c r="AD144" s="15" t="s">
        <v>1619</v>
      </c>
      <c r="AE144" s="15"/>
      <c r="AF144" s="15"/>
      <c r="AG144" s="15" t="s">
        <v>992</v>
      </c>
      <c r="AH144" s="15" t="n">
        <v>0</v>
      </c>
      <c r="AI144" s="15" t="n">
        <v>0</v>
      </c>
      <c r="AJ144" s="15" t="n">
        <v>0</v>
      </c>
      <c r="AK144" s="15" t="n">
        <v>0</v>
      </c>
      <c r="AL144" s="15" t="n">
        <v>0</v>
      </c>
      <c r="AM144" s="15" t="n">
        <v>0</v>
      </c>
      <c r="AN144" s="15" t="s">
        <v>1264</v>
      </c>
      <c r="AO144" s="15" t="s">
        <v>960</v>
      </c>
      <c r="AP144" s="15" t="s">
        <v>163</v>
      </c>
      <c r="AQ144" s="15"/>
      <c r="AR144" s="29" t="str">
        <f aca="false">IF(A144="","",IF(COUNTIF(Parcels!$A$2:$A$3000,B144)=0,"Parcel not found",IF(COUNTIF($A$2:$A$3000,A144)&gt;1,"Duplicate perm_id",IF(AND(P144="Yes",D144&lt;&gt;"",COUNTIFS($C$2:$C$3000,D144,$P$2:$P$3000,"Yes")&gt;1),"Reference counted twice",IF(COUNTIF(Lists!$A$2:$A$7,I144)=0,"Unknown status","")))))</f>
        <v/>
      </c>
    </row>
    <row r="145" customFormat="false" ht="15" hidden="false" customHeight="false" outlineLevel="0" collapsed="false">
      <c r="A145" s="15" t="s">
        <v>1706</v>
      </c>
      <c r="B145" s="15" t="s">
        <v>620</v>
      </c>
      <c r="C145" s="15" t="s">
        <v>60</v>
      </c>
      <c r="D145" s="15" t="s">
        <v>1707</v>
      </c>
      <c r="E145" s="15" t="s">
        <v>1707</v>
      </c>
      <c r="F145" s="15" t="s">
        <v>621</v>
      </c>
      <c r="G145" s="15" t="n">
        <v>68</v>
      </c>
      <c r="H145" s="15"/>
      <c r="I145" s="15" t="s">
        <v>946</v>
      </c>
      <c r="J145" s="15" t="s">
        <v>947</v>
      </c>
      <c r="K145" s="15" t="s">
        <v>946</v>
      </c>
      <c r="L145" s="15" t="n">
        <v>0</v>
      </c>
      <c r="M145" s="15" t="n">
        <v>0</v>
      </c>
      <c r="N145" s="15"/>
      <c r="O145" s="15" t="s">
        <v>948</v>
      </c>
      <c r="P145" s="15" t="s">
        <v>949</v>
      </c>
      <c r="Q145" s="15" t="s">
        <v>989</v>
      </c>
      <c r="R145" s="15" t="n">
        <v>0</v>
      </c>
      <c r="S145" s="15" t="n">
        <v>12</v>
      </c>
      <c r="T145" s="15" t="n">
        <v>23</v>
      </c>
      <c r="U145" s="15" t="n">
        <v>25</v>
      </c>
      <c r="V145" s="15" t="n">
        <v>8</v>
      </c>
      <c r="W145" s="15" t="n">
        <v>0</v>
      </c>
      <c r="X145" s="15" t="s">
        <v>951</v>
      </c>
      <c r="Y145" s="15" t="s">
        <v>952</v>
      </c>
      <c r="Z145" s="15" t="s">
        <v>170</v>
      </c>
      <c r="AA145" s="15" t="s">
        <v>966</v>
      </c>
      <c r="AB145" s="15" t="s">
        <v>1708</v>
      </c>
      <c r="AC145" s="15" t="s">
        <v>1709</v>
      </c>
      <c r="AD145" s="15"/>
      <c r="AE145" s="15" t="s">
        <v>1219</v>
      </c>
      <c r="AF145" s="15" t="s">
        <v>1133</v>
      </c>
      <c r="AG145" s="15" t="s">
        <v>1000</v>
      </c>
      <c r="AH145" s="15" t="n">
        <v>0</v>
      </c>
      <c r="AI145" s="15" t="n">
        <v>0</v>
      </c>
      <c r="AJ145" s="15" t="n">
        <v>53</v>
      </c>
      <c r="AK145" s="15" t="n">
        <v>15</v>
      </c>
      <c r="AL145" s="15" t="n">
        <v>0</v>
      </c>
      <c r="AM145" s="15" t="n">
        <v>0</v>
      </c>
      <c r="AN145" s="15" t="s">
        <v>1264</v>
      </c>
      <c r="AO145" s="15" t="s">
        <v>960</v>
      </c>
      <c r="AP145" s="15" t="s">
        <v>163</v>
      </c>
      <c r="AQ145" s="15"/>
      <c r="AR145" s="29" t="str">
        <f aca="false">IF(A145="","",IF(COUNTIF(Parcels!$A$2:$A$3000,B145)=0,"Parcel not found",IF(COUNTIF($A$2:$A$3000,A145)&gt;1,"Duplicate perm_id",IF(AND(P145="Yes",D145&lt;&gt;"",COUNTIFS($C$2:$C$3000,D145,$P$2:$P$3000,"Yes")&gt;1),"Reference counted twice",IF(COUNTIF(Lists!$A$2:$A$7,I145)=0,"Unknown status","")))))</f>
        <v/>
      </c>
    </row>
    <row r="146" customFormat="false" ht="15" hidden="false" customHeight="false" outlineLevel="0" collapsed="false">
      <c r="A146" s="15" t="s">
        <v>1710</v>
      </c>
      <c r="B146" s="15" t="s">
        <v>620</v>
      </c>
      <c r="C146" s="15" t="s">
        <v>60</v>
      </c>
      <c r="D146" s="15" t="s">
        <v>1711</v>
      </c>
      <c r="E146" s="15" t="s">
        <v>1711</v>
      </c>
      <c r="F146" s="15" t="s">
        <v>1712</v>
      </c>
      <c r="G146" s="15" t="n">
        <v>48</v>
      </c>
      <c r="H146" s="15"/>
      <c r="I146" s="15" t="s">
        <v>985</v>
      </c>
      <c r="J146" s="15" t="s">
        <v>947</v>
      </c>
      <c r="K146" s="15" t="s">
        <v>985</v>
      </c>
      <c r="L146" s="15" t="n">
        <v>0</v>
      </c>
      <c r="M146" s="15" t="n">
        <v>0</v>
      </c>
      <c r="N146" s="15"/>
      <c r="O146" s="15" t="s">
        <v>948</v>
      </c>
      <c r="P146" s="15" t="s">
        <v>949</v>
      </c>
      <c r="Q146" s="15" t="s">
        <v>989</v>
      </c>
      <c r="R146" s="15" t="n">
        <v>0</v>
      </c>
      <c r="S146" s="15" t="n">
        <v>20</v>
      </c>
      <c r="T146" s="15" t="n">
        <v>20</v>
      </c>
      <c r="U146" s="15" t="n">
        <v>6</v>
      </c>
      <c r="V146" s="15" t="n">
        <v>2</v>
      </c>
      <c r="W146" s="15" t="n">
        <v>0</v>
      </c>
      <c r="X146" s="15" t="s">
        <v>973</v>
      </c>
      <c r="Y146" s="15" t="s">
        <v>952</v>
      </c>
      <c r="Z146" s="15" t="s">
        <v>170</v>
      </c>
      <c r="AA146" s="15" t="s">
        <v>966</v>
      </c>
      <c r="AB146" s="15"/>
      <c r="AC146" s="15"/>
      <c r="AD146" s="15"/>
      <c r="AE146" s="15"/>
      <c r="AF146" s="15"/>
      <c r="AG146" s="15" t="s">
        <v>969</v>
      </c>
      <c r="AH146" s="15" t="n">
        <v>0</v>
      </c>
      <c r="AI146" s="15" t="n">
        <v>0</v>
      </c>
      <c r="AJ146" s="15" t="n">
        <v>0</v>
      </c>
      <c r="AK146" s="15" t="n">
        <v>0</v>
      </c>
      <c r="AL146" s="15" t="n">
        <v>0</v>
      </c>
      <c r="AM146" s="15" t="n">
        <v>0</v>
      </c>
      <c r="AN146" s="15" t="s">
        <v>1264</v>
      </c>
      <c r="AO146" s="15" t="s">
        <v>960</v>
      </c>
      <c r="AP146" s="15" t="s">
        <v>163</v>
      </c>
      <c r="AQ146" s="15"/>
      <c r="AR146" s="29" t="str">
        <f aca="false">IF(A146="","",IF(COUNTIF(Parcels!$A$2:$A$3000,B146)=0,"Parcel not found",IF(COUNTIF($A$2:$A$3000,A146)&gt;1,"Duplicate perm_id",IF(AND(P146="Yes",D146&lt;&gt;"",COUNTIFS($C$2:$C$3000,D146,$P$2:$P$3000,"Yes")&gt;1),"Reference counted twice",IF(COUNTIF(Lists!$A$2:$A$7,I146)=0,"Unknown status","")))))</f>
        <v/>
      </c>
    </row>
    <row r="147" customFormat="false" ht="15" hidden="false" customHeight="false" outlineLevel="0" collapsed="false">
      <c r="A147" s="15" t="s">
        <v>1713</v>
      </c>
      <c r="B147" s="15" t="s">
        <v>622</v>
      </c>
      <c r="C147" s="15" t="s">
        <v>70</v>
      </c>
      <c r="D147" s="15" t="s">
        <v>1714</v>
      </c>
      <c r="E147" s="15" t="s">
        <v>1714</v>
      </c>
      <c r="F147" s="15" t="s">
        <v>623</v>
      </c>
      <c r="G147" s="15" t="n">
        <v>51</v>
      </c>
      <c r="H147" s="15"/>
      <c r="I147" s="15" t="s">
        <v>946</v>
      </c>
      <c r="J147" s="15" t="s">
        <v>947</v>
      </c>
      <c r="K147" s="15" t="s">
        <v>946</v>
      </c>
      <c r="L147" s="15" t="n">
        <v>0</v>
      </c>
      <c r="M147" s="15" t="n">
        <v>0</v>
      </c>
      <c r="N147" s="15"/>
      <c r="O147" s="15" t="s">
        <v>948</v>
      </c>
      <c r="P147" s="15" t="s">
        <v>949</v>
      </c>
      <c r="Q147" s="15" t="s">
        <v>965</v>
      </c>
      <c r="R147" s="15"/>
      <c r="S147" s="15"/>
      <c r="T147" s="15"/>
      <c r="U147" s="15"/>
      <c r="V147" s="15"/>
      <c r="W147" s="15"/>
      <c r="X147" s="15" t="s">
        <v>951</v>
      </c>
      <c r="Y147" s="15" t="s">
        <v>952</v>
      </c>
      <c r="Z147" s="15" t="s">
        <v>170</v>
      </c>
      <c r="AA147" s="15" t="s">
        <v>966</v>
      </c>
      <c r="AB147" s="15" t="s">
        <v>1715</v>
      </c>
      <c r="AC147" s="15" t="s">
        <v>1716</v>
      </c>
      <c r="AD147" s="15"/>
      <c r="AE147" s="15" t="s">
        <v>1219</v>
      </c>
      <c r="AF147" s="15" t="s">
        <v>1133</v>
      </c>
      <c r="AG147" s="15" t="s">
        <v>1000</v>
      </c>
      <c r="AH147" s="15" t="n">
        <v>0</v>
      </c>
      <c r="AI147" s="15" t="n">
        <v>0</v>
      </c>
      <c r="AJ147" s="15" t="n">
        <v>39.8</v>
      </c>
      <c r="AK147" s="15" t="n">
        <v>11.2</v>
      </c>
      <c r="AL147" s="15" t="n">
        <v>0</v>
      </c>
      <c r="AM147" s="15" t="n">
        <v>0</v>
      </c>
      <c r="AN147" s="15" t="s">
        <v>1264</v>
      </c>
      <c r="AO147" s="15" t="s">
        <v>960</v>
      </c>
      <c r="AP147" s="15" t="s">
        <v>163</v>
      </c>
      <c r="AQ147" s="15"/>
      <c r="AR147" s="29" t="str">
        <f aca="false">IF(A147="","",IF(COUNTIF(Parcels!$A$2:$A$3000,B147)=0,"Parcel not found",IF(COUNTIF($A$2:$A$3000,A147)&gt;1,"Duplicate perm_id",IF(AND(P147="Yes",D147&lt;&gt;"",COUNTIFS($C$2:$C$3000,D147,$P$2:$P$3000,"Yes")&gt;1),"Reference counted twice",IF(COUNTIF(Lists!$A$2:$A$7,I147)=0,"Unknown status","")))))</f>
        <v/>
      </c>
    </row>
    <row r="148" customFormat="false" ht="15" hidden="false" customHeight="false" outlineLevel="0" collapsed="false">
      <c r="A148" s="15" t="s">
        <v>1717</v>
      </c>
      <c r="B148" s="15" t="s">
        <v>624</v>
      </c>
      <c r="C148" s="15" t="s">
        <v>22</v>
      </c>
      <c r="D148" s="15" t="s">
        <v>1718</v>
      </c>
      <c r="E148" s="15" t="s">
        <v>1719</v>
      </c>
      <c r="F148" s="15" t="s">
        <v>1720</v>
      </c>
      <c r="G148" s="15" t="n">
        <v>18</v>
      </c>
      <c r="H148" s="15"/>
      <c r="I148" s="15" t="s">
        <v>946</v>
      </c>
      <c r="J148" s="15" t="s">
        <v>947</v>
      </c>
      <c r="K148" s="15" t="s">
        <v>946</v>
      </c>
      <c r="L148" s="15" t="n">
        <v>0</v>
      </c>
      <c r="M148" s="15" t="n">
        <v>11</v>
      </c>
      <c r="N148" s="15" t="s">
        <v>1503</v>
      </c>
      <c r="O148" s="15" t="s">
        <v>948</v>
      </c>
      <c r="P148" s="15" t="s">
        <v>949</v>
      </c>
      <c r="Q148" s="15" t="s">
        <v>1070</v>
      </c>
      <c r="R148" s="15"/>
      <c r="S148" s="15"/>
      <c r="T148" s="15"/>
      <c r="U148" s="15"/>
      <c r="V148" s="15"/>
      <c r="W148" s="15"/>
      <c r="X148" s="15" t="s">
        <v>951</v>
      </c>
      <c r="Y148" s="15" t="s">
        <v>974</v>
      </c>
      <c r="Z148" s="15" t="s">
        <v>975</v>
      </c>
      <c r="AA148" s="15" t="s">
        <v>976</v>
      </c>
      <c r="AB148" s="15" t="s">
        <v>1721</v>
      </c>
      <c r="AC148" s="15"/>
      <c r="AD148" s="15"/>
      <c r="AE148" s="15" t="s">
        <v>956</v>
      </c>
      <c r="AF148" s="15" t="s">
        <v>1066</v>
      </c>
      <c r="AG148" s="15" t="s">
        <v>958</v>
      </c>
      <c r="AH148" s="15" t="n">
        <v>0</v>
      </c>
      <c r="AI148" s="15" t="n">
        <v>0</v>
      </c>
      <c r="AJ148" s="15" t="n">
        <v>7.5</v>
      </c>
      <c r="AK148" s="15" t="n">
        <v>10.5</v>
      </c>
      <c r="AL148" s="15" t="n">
        <v>0</v>
      </c>
      <c r="AM148" s="15" t="n">
        <v>0</v>
      </c>
      <c r="AN148" s="15" t="s">
        <v>1264</v>
      </c>
      <c r="AO148" s="15" t="s">
        <v>960</v>
      </c>
      <c r="AP148" s="15" t="s">
        <v>163</v>
      </c>
      <c r="AQ148" s="15"/>
      <c r="AR148" s="29" t="str">
        <f aca="false">IF(A148="","",IF(COUNTIF(Parcels!$A$2:$A$3000,B148)=0,"Parcel not found",IF(COUNTIF($A$2:$A$3000,A148)&gt;1,"Duplicate perm_id",IF(AND(P148="Yes",D148&lt;&gt;"",COUNTIFS($C$2:$C$3000,D148,$P$2:$P$3000,"Yes")&gt;1),"Reference counted twice",IF(COUNTIF(Lists!$A$2:$A$7,I148)=0,"Unknown status","")))))</f>
        <v/>
      </c>
    </row>
    <row r="149" customFormat="false" ht="15" hidden="false" customHeight="false" outlineLevel="0" collapsed="false">
      <c r="A149" s="15" t="s">
        <v>1722</v>
      </c>
      <c r="B149" s="15" t="s">
        <v>624</v>
      </c>
      <c r="C149" s="15" t="s">
        <v>22</v>
      </c>
      <c r="D149" s="15" t="s">
        <v>1723</v>
      </c>
      <c r="E149" s="15" t="s">
        <v>1723</v>
      </c>
      <c r="F149" s="15" t="s">
        <v>625</v>
      </c>
      <c r="G149" s="15" t="n">
        <v>18</v>
      </c>
      <c r="H149" s="15"/>
      <c r="I149" s="15" t="s">
        <v>48</v>
      </c>
      <c r="J149" s="15" t="s">
        <v>947</v>
      </c>
      <c r="K149" s="15" t="s">
        <v>48</v>
      </c>
      <c r="L149" s="15" t="n">
        <v>0</v>
      </c>
      <c r="M149" s="15" t="n">
        <v>0</v>
      </c>
      <c r="N149" s="15"/>
      <c r="O149" s="15" t="s">
        <v>948</v>
      </c>
      <c r="P149" s="15" t="s">
        <v>949</v>
      </c>
      <c r="Q149" s="15" t="s">
        <v>989</v>
      </c>
      <c r="R149" s="15" t="n">
        <v>0</v>
      </c>
      <c r="S149" s="15" t="n">
        <v>7</v>
      </c>
      <c r="T149" s="15" t="n">
        <v>8</v>
      </c>
      <c r="U149" s="15" t="n">
        <v>2</v>
      </c>
      <c r="V149" s="15" t="n">
        <v>1</v>
      </c>
      <c r="W149" s="15" t="n">
        <v>0</v>
      </c>
      <c r="X149" s="15" t="s">
        <v>973</v>
      </c>
      <c r="Y149" s="15" t="s">
        <v>974</v>
      </c>
      <c r="Z149" s="15" t="s">
        <v>975</v>
      </c>
      <c r="AA149" s="15" t="s">
        <v>976</v>
      </c>
      <c r="AB149" s="15" t="s">
        <v>1724</v>
      </c>
      <c r="AC149" s="15"/>
      <c r="AD149" s="15" t="s">
        <v>1725</v>
      </c>
      <c r="AE149" s="15" t="s">
        <v>1726</v>
      </c>
      <c r="AF149" s="15" t="s">
        <v>980</v>
      </c>
      <c r="AG149" s="15" t="s">
        <v>981</v>
      </c>
      <c r="AH149" s="15" t="n">
        <v>4.2</v>
      </c>
      <c r="AI149" s="15" t="n">
        <v>13.8</v>
      </c>
      <c r="AJ149" s="15" t="n">
        <v>0</v>
      </c>
      <c r="AK149" s="15" t="n">
        <v>0</v>
      </c>
      <c r="AL149" s="15" t="n">
        <v>0</v>
      </c>
      <c r="AM149" s="15" t="n">
        <v>0</v>
      </c>
      <c r="AN149" s="15" t="s">
        <v>1264</v>
      </c>
      <c r="AO149" s="15" t="s">
        <v>960</v>
      </c>
      <c r="AP149" s="15" t="s">
        <v>163</v>
      </c>
      <c r="AQ149" s="15"/>
      <c r="AR149" s="29" t="str">
        <f aca="false">IF(A149="","",IF(COUNTIF(Parcels!$A$2:$A$3000,B149)=0,"Parcel not found",IF(COUNTIF($A$2:$A$3000,A149)&gt;1,"Duplicate perm_id",IF(AND(P149="Yes",D149&lt;&gt;"",COUNTIFS($C$2:$C$3000,D149,$P$2:$P$3000,"Yes")&gt;1),"Reference counted twice",IF(COUNTIF(Lists!$A$2:$A$7,I149)=0,"Unknown status","")))))</f>
        <v/>
      </c>
    </row>
    <row r="150" customFormat="false" ht="15" hidden="false" customHeight="false" outlineLevel="0" collapsed="false">
      <c r="A150" s="15" t="s">
        <v>1727</v>
      </c>
      <c r="B150" s="15" t="s">
        <v>626</v>
      </c>
      <c r="C150" s="15" t="s">
        <v>72</v>
      </c>
      <c r="D150" s="15" t="s">
        <v>1728</v>
      </c>
      <c r="E150" s="15" t="s">
        <v>1728</v>
      </c>
      <c r="F150" s="15" t="s">
        <v>627</v>
      </c>
      <c r="G150" s="15" t="n">
        <v>10</v>
      </c>
      <c r="H150" s="15"/>
      <c r="I150" s="15" t="s">
        <v>47</v>
      </c>
      <c r="J150" s="15" t="s">
        <v>947</v>
      </c>
      <c r="K150" s="15" t="s">
        <v>47</v>
      </c>
      <c r="L150" s="15" t="n">
        <v>10</v>
      </c>
      <c r="M150" s="15" t="n">
        <v>0</v>
      </c>
      <c r="N150" s="15"/>
      <c r="O150" s="15" t="s">
        <v>948</v>
      </c>
      <c r="P150" s="15" t="s">
        <v>949</v>
      </c>
      <c r="Q150" s="15" t="s">
        <v>965</v>
      </c>
      <c r="R150" s="15"/>
      <c r="S150" s="15"/>
      <c r="T150" s="15"/>
      <c r="U150" s="15"/>
      <c r="V150" s="15"/>
      <c r="W150" s="15"/>
      <c r="X150" s="15" t="s">
        <v>951</v>
      </c>
      <c r="Y150" s="15" t="s">
        <v>974</v>
      </c>
      <c r="Z150" s="15" t="s">
        <v>975</v>
      </c>
      <c r="AA150" s="15" t="s">
        <v>976</v>
      </c>
      <c r="AB150" s="15" t="s">
        <v>1729</v>
      </c>
      <c r="AC150" s="15"/>
      <c r="AD150" s="15" t="s">
        <v>1730</v>
      </c>
      <c r="AE150" s="15"/>
      <c r="AF150" s="15"/>
      <c r="AG150" s="15" t="s">
        <v>992</v>
      </c>
      <c r="AH150" s="15" t="n">
        <v>0</v>
      </c>
      <c r="AI150" s="15" t="n">
        <v>0</v>
      </c>
      <c r="AJ150" s="15" t="n">
        <v>0</v>
      </c>
      <c r="AK150" s="15" t="n">
        <v>0</v>
      </c>
      <c r="AL150" s="15" t="n">
        <v>0</v>
      </c>
      <c r="AM150" s="15" t="n">
        <v>0</v>
      </c>
      <c r="AN150" s="15" t="s">
        <v>1264</v>
      </c>
      <c r="AO150" s="15" t="s">
        <v>960</v>
      </c>
      <c r="AP150" s="15" t="s">
        <v>163</v>
      </c>
      <c r="AQ150" s="15"/>
      <c r="AR150" s="29" t="str">
        <f aca="false">IF(A150="","",IF(COUNTIF(Parcels!$A$2:$A$3000,B150)=0,"Parcel not found",IF(COUNTIF($A$2:$A$3000,A150)&gt;1,"Duplicate perm_id",IF(AND(P150="Yes",D150&lt;&gt;"",COUNTIFS($C$2:$C$3000,D150,$P$2:$P$3000,"Yes")&gt;1),"Reference counted twice",IF(COUNTIF(Lists!$A$2:$A$7,I150)=0,"Unknown status","")))))</f>
        <v/>
      </c>
    </row>
    <row r="151" customFormat="false" ht="15" hidden="false" customHeight="false" outlineLevel="0" collapsed="false">
      <c r="A151" s="15" t="s">
        <v>1731</v>
      </c>
      <c r="B151" s="15" t="s">
        <v>402</v>
      </c>
      <c r="C151" s="15" t="s">
        <v>52</v>
      </c>
      <c r="D151" s="15" t="s">
        <v>1732</v>
      </c>
      <c r="E151" s="15" t="s">
        <v>1732</v>
      </c>
      <c r="F151" s="15" t="s">
        <v>403</v>
      </c>
      <c r="G151" s="15" t="n">
        <v>2</v>
      </c>
      <c r="H151" s="15"/>
      <c r="I151" s="15" t="s">
        <v>48</v>
      </c>
      <c r="J151" s="15" t="s">
        <v>947</v>
      </c>
      <c r="K151" s="15" t="s">
        <v>48</v>
      </c>
      <c r="L151" s="15" t="n">
        <v>1</v>
      </c>
      <c r="M151" s="15" t="n">
        <v>0</v>
      </c>
      <c r="N151" s="15"/>
      <c r="O151" s="15" t="s">
        <v>948</v>
      </c>
      <c r="P151" s="15" t="s">
        <v>949</v>
      </c>
      <c r="Q151" s="15" t="s">
        <v>965</v>
      </c>
      <c r="R151" s="15"/>
      <c r="S151" s="15"/>
      <c r="T151" s="15"/>
      <c r="U151" s="15"/>
      <c r="V151" s="15"/>
      <c r="W151" s="15"/>
      <c r="X151" s="15" t="s">
        <v>973</v>
      </c>
      <c r="Y151" s="15" t="s">
        <v>952</v>
      </c>
      <c r="Z151" s="15" t="s">
        <v>170</v>
      </c>
      <c r="AA151" s="15" t="s">
        <v>966</v>
      </c>
      <c r="AB151" s="15" t="s">
        <v>1733</v>
      </c>
      <c r="AC151" s="15" t="s">
        <v>1734</v>
      </c>
      <c r="AD151" s="15" t="s">
        <v>1641</v>
      </c>
      <c r="AE151" s="15" t="s">
        <v>1019</v>
      </c>
      <c r="AF151" s="15" t="s">
        <v>980</v>
      </c>
      <c r="AG151" s="15" t="s">
        <v>981</v>
      </c>
      <c r="AH151" s="15" t="n">
        <v>0.5</v>
      </c>
      <c r="AI151" s="15" t="n">
        <v>1.5</v>
      </c>
      <c r="AJ151" s="15" t="n">
        <v>0</v>
      </c>
      <c r="AK151" s="15" t="n">
        <v>0</v>
      </c>
      <c r="AL151" s="15" t="n">
        <v>0</v>
      </c>
      <c r="AM151" s="15" t="n">
        <v>0</v>
      </c>
      <c r="AN151" s="15" t="s">
        <v>1264</v>
      </c>
      <c r="AO151" s="15" t="s">
        <v>960</v>
      </c>
      <c r="AP151" s="15" t="s">
        <v>163</v>
      </c>
      <c r="AQ151" s="15"/>
      <c r="AR151" s="29" t="str">
        <f aca="false">IF(A151="","",IF(COUNTIF(Parcels!$A$2:$A$3000,B151)=0,"Parcel not found",IF(COUNTIF($A$2:$A$3000,A151)&gt;1,"Duplicate perm_id",IF(AND(P151="Yes",D151&lt;&gt;"",COUNTIFS($C$2:$C$3000,D151,$P$2:$P$3000,"Yes")&gt;1),"Reference counted twice",IF(COUNTIF(Lists!$A$2:$A$7,I151)=0,"Unknown status","")))))</f>
        <v/>
      </c>
    </row>
    <row r="152" customFormat="false" ht="15" hidden="false" customHeight="false" outlineLevel="0" collapsed="false">
      <c r="A152" s="15" t="s">
        <v>1735</v>
      </c>
      <c r="B152" s="15" t="s">
        <v>628</v>
      </c>
      <c r="C152" s="15" t="s">
        <v>74</v>
      </c>
      <c r="D152" s="15" t="s">
        <v>1736</v>
      </c>
      <c r="E152" s="15" t="s">
        <v>1736</v>
      </c>
      <c r="F152" s="15" t="s">
        <v>629</v>
      </c>
      <c r="G152" s="15" t="n">
        <v>9</v>
      </c>
      <c r="H152" s="15"/>
      <c r="I152" s="15" t="s">
        <v>47</v>
      </c>
      <c r="J152" s="15" t="s">
        <v>947</v>
      </c>
      <c r="K152" s="15" t="s">
        <v>47</v>
      </c>
      <c r="L152" s="15" t="n">
        <v>0</v>
      </c>
      <c r="M152" s="15" t="n">
        <v>9</v>
      </c>
      <c r="N152" s="15" t="s">
        <v>1074</v>
      </c>
      <c r="O152" s="15" t="s">
        <v>948</v>
      </c>
      <c r="P152" s="15" t="s">
        <v>949</v>
      </c>
      <c r="Q152" s="15" t="s">
        <v>965</v>
      </c>
      <c r="R152" s="15"/>
      <c r="S152" s="15"/>
      <c r="T152" s="15"/>
      <c r="U152" s="15"/>
      <c r="V152" s="15"/>
      <c r="W152" s="15"/>
      <c r="X152" s="15" t="s">
        <v>973</v>
      </c>
      <c r="Y152" s="15" t="s">
        <v>952</v>
      </c>
      <c r="Z152" s="15" t="s">
        <v>170</v>
      </c>
      <c r="AA152" s="15" t="s">
        <v>966</v>
      </c>
      <c r="AB152" s="15" t="s">
        <v>1737</v>
      </c>
      <c r="AC152" s="15" t="s">
        <v>1738</v>
      </c>
      <c r="AD152" s="15" t="s">
        <v>1739</v>
      </c>
      <c r="AE152" s="15"/>
      <c r="AF152" s="15"/>
      <c r="AG152" s="15" t="s">
        <v>992</v>
      </c>
      <c r="AH152" s="15" t="n">
        <v>0</v>
      </c>
      <c r="AI152" s="15" t="n">
        <v>0</v>
      </c>
      <c r="AJ152" s="15" t="n">
        <v>0</v>
      </c>
      <c r="AK152" s="15" t="n">
        <v>0</v>
      </c>
      <c r="AL152" s="15" t="n">
        <v>0</v>
      </c>
      <c r="AM152" s="15" t="n">
        <v>0</v>
      </c>
      <c r="AN152" s="15" t="s">
        <v>1264</v>
      </c>
      <c r="AO152" s="15" t="s">
        <v>960</v>
      </c>
      <c r="AP152" s="15" t="s">
        <v>163</v>
      </c>
      <c r="AQ152" s="15"/>
      <c r="AR152" s="29" t="str">
        <f aca="false">IF(A152="","",IF(COUNTIF(Parcels!$A$2:$A$3000,B152)=0,"Parcel not found",IF(COUNTIF($A$2:$A$3000,A152)&gt;1,"Duplicate perm_id",IF(AND(P152="Yes",D152&lt;&gt;"",COUNTIFS($C$2:$C$3000,D152,$P$2:$P$3000,"Yes")&gt;1),"Reference counted twice",IF(COUNTIF(Lists!$A$2:$A$7,I152)=0,"Unknown status","")))))</f>
        <v/>
      </c>
    </row>
    <row r="153" customFormat="false" ht="15" hidden="false" customHeight="false" outlineLevel="0" collapsed="false">
      <c r="A153" s="15" t="s">
        <v>1740</v>
      </c>
      <c r="B153" s="15" t="s">
        <v>434</v>
      </c>
      <c r="C153" s="15" t="s">
        <v>53</v>
      </c>
      <c r="D153" s="15" t="s">
        <v>1741</v>
      </c>
      <c r="E153" s="15" t="s">
        <v>1741</v>
      </c>
      <c r="F153" s="15" t="s">
        <v>435</v>
      </c>
      <c r="G153" s="15" t="n">
        <v>29</v>
      </c>
      <c r="H153" s="15"/>
      <c r="I153" s="15" t="s">
        <v>946</v>
      </c>
      <c r="J153" s="15" t="s">
        <v>947</v>
      </c>
      <c r="K153" s="15" t="s">
        <v>946</v>
      </c>
      <c r="L153" s="15" t="n">
        <v>0</v>
      </c>
      <c r="M153" s="15" t="n">
        <v>0</v>
      </c>
      <c r="N153" s="15"/>
      <c r="O153" s="15" t="s">
        <v>948</v>
      </c>
      <c r="P153" s="15" t="s">
        <v>949</v>
      </c>
      <c r="Q153" s="15" t="s">
        <v>950</v>
      </c>
      <c r="R153" s="15" t="n">
        <v>0</v>
      </c>
      <c r="S153" s="15" t="n">
        <v>1</v>
      </c>
      <c r="T153" s="15" t="n">
        <v>24</v>
      </c>
      <c r="U153" s="15" t="n">
        <v>4</v>
      </c>
      <c r="V153" s="15" t="n">
        <v>0</v>
      </c>
      <c r="W153" s="15" t="n">
        <v>0</v>
      </c>
      <c r="X153" s="15" t="s">
        <v>973</v>
      </c>
      <c r="Y153" s="15" t="s">
        <v>952</v>
      </c>
      <c r="Z153" s="15" t="s">
        <v>170</v>
      </c>
      <c r="AA153" s="15" t="s">
        <v>966</v>
      </c>
      <c r="AB153" s="15" t="s">
        <v>1405</v>
      </c>
      <c r="AC153" s="15" t="s">
        <v>1742</v>
      </c>
      <c r="AD153" s="15"/>
      <c r="AE153" s="15" t="s">
        <v>956</v>
      </c>
      <c r="AF153" s="15" t="s">
        <v>999</v>
      </c>
      <c r="AG153" s="15" t="s">
        <v>958</v>
      </c>
      <c r="AH153" s="15" t="n">
        <v>0</v>
      </c>
      <c r="AI153" s="15" t="n">
        <v>0</v>
      </c>
      <c r="AJ153" s="15" t="n">
        <v>22</v>
      </c>
      <c r="AK153" s="15" t="n">
        <v>7</v>
      </c>
      <c r="AL153" s="15" t="n">
        <v>0</v>
      </c>
      <c r="AM153" s="15" t="n">
        <v>0</v>
      </c>
      <c r="AN153" s="15" t="s">
        <v>1264</v>
      </c>
      <c r="AO153" s="15" t="s">
        <v>960</v>
      </c>
      <c r="AP153" s="15" t="s">
        <v>163</v>
      </c>
      <c r="AQ153" s="15"/>
      <c r="AR153" s="29" t="str">
        <f aca="false">IF(A153="","",IF(COUNTIF(Parcels!$A$2:$A$3000,B153)=0,"Parcel not found",IF(COUNTIF($A$2:$A$3000,A153)&gt;1,"Duplicate perm_id",IF(AND(P153="Yes",D153&lt;&gt;"",COUNTIFS($C$2:$C$3000,D153,$P$2:$P$3000,"Yes")&gt;1),"Reference counted twice",IF(COUNTIF(Lists!$A$2:$A$7,I153)=0,"Unknown status","")))))</f>
        <v/>
      </c>
    </row>
    <row r="154" customFormat="false" ht="15" hidden="false" customHeight="false" outlineLevel="0" collapsed="false">
      <c r="A154" s="15" t="s">
        <v>1743</v>
      </c>
      <c r="B154" s="15" t="s">
        <v>507</v>
      </c>
      <c r="C154" s="15" t="s">
        <v>55</v>
      </c>
      <c r="D154" s="15" t="s">
        <v>1744</v>
      </c>
      <c r="E154" s="15" t="s">
        <v>1744</v>
      </c>
      <c r="F154" s="15" t="s">
        <v>508</v>
      </c>
      <c r="G154" s="15" t="n">
        <v>30</v>
      </c>
      <c r="H154" s="15"/>
      <c r="I154" s="15" t="s">
        <v>946</v>
      </c>
      <c r="J154" s="15" t="s">
        <v>947</v>
      </c>
      <c r="K154" s="15" t="s">
        <v>946</v>
      </c>
      <c r="L154" s="15" t="n">
        <v>0</v>
      </c>
      <c r="M154" s="15" t="n">
        <v>0</v>
      </c>
      <c r="N154" s="15"/>
      <c r="O154" s="15" t="s">
        <v>948</v>
      </c>
      <c r="P154" s="15" t="s">
        <v>949</v>
      </c>
      <c r="Q154" s="15" t="s">
        <v>950</v>
      </c>
      <c r="R154" s="15" t="n">
        <v>0</v>
      </c>
      <c r="S154" s="15" t="n">
        <v>20</v>
      </c>
      <c r="T154" s="15" t="n">
        <v>10</v>
      </c>
      <c r="U154" s="15" t="n">
        <v>0</v>
      </c>
      <c r="V154" s="15" t="n">
        <v>0</v>
      </c>
      <c r="W154" s="15" t="n">
        <v>0</v>
      </c>
      <c r="X154" s="15" t="s">
        <v>951</v>
      </c>
      <c r="Y154" s="15" t="s">
        <v>952</v>
      </c>
      <c r="Z154" s="15" t="s">
        <v>170</v>
      </c>
      <c r="AA154" s="15" t="s">
        <v>966</v>
      </c>
      <c r="AB154" s="15" t="s">
        <v>1745</v>
      </c>
      <c r="AC154" s="15" t="s">
        <v>1746</v>
      </c>
      <c r="AD154" s="15"/>
      <c r="AE154" s="15" t="s">
        <v>956</v>
      </c>
      <c r="AF154" s="15" t="s">
        <v>999</v>
      </c>
      <c r="AG154" s="15" t="s">
        <v>958</v>
      </c>
      <c r="AH154" s="15" t="n">
        <v>0</v>
      </c>
      <c r="AI154" s="15" t="n">
        <v>0</v>
      </c>
      <c r="AJ154" s="15" t="n">
        <v>22.8</v>
      </c>
      <c r="AK154" s="15" t="n">
        <v>7.2</v>
      </c>
      <c r="AL154" s="15" t="n">
        <v>0</v>
      </c>
      <c r="AM154" s="15" t="n">
        <v>0</v>
      </c>
      <c r="AN154" s="15" t="s">
        <v>1264</v>
      </c>
      <c r="AO154" s="15" t="s">
        <v>960</v>
      </c>
      <c r="AP154" s="15" t="s">
        <v>163</v>
      </c>
      <c r="AQ154" s="15"/>
      <c r="AR154" s="29" t="str">
        <f aca="false">IF(A154="","",IF(COUNTIF(Parcels!$A$2:$A$3000,B154)=0,"Parcel not found",IF(COUNTIF($A$2:$A$3000,A154)&gt;1,"Duplicate perm_id",IF(AND(P154="Yes",D154&lt;&gt;"",COUNTIFS($C$2:$C$3000,D154,$P$2:$P$3000,"Yes")&gt;1),"Reference counted twice",IF(COUNTIF(Lists!$A$2:$A$7,I154)=0,"Unknown status","")))))</f>
        <v/>
      </c>
    </row>
    <row r="155" customFormat="false" ht="15" hidden="false" customHeight="false" outlineLevel="0" collapsed="false">
      <c r="A155" s="15" t="s">
        <v>1747</v>
      </c>
      <c r="B155" s="15" t="s">
        <v>436</v>
      </c>
      <c r="C155" s="15" t="s">
        <v>53</v>
      </c>
      <c r="D155" s="15" t="s">
        <v>1748</v>
      </c>
      <c r="E155" s="15" t="s">
        <v>1748</v>
      </c>
      <c r="F155" s="15" t="s">
        <v>437</v>
      </c>
      <c r="G155" s="15" t="n">
        <v>25</v>
      </c>
      <c r="H155" s="15" t="n">
        <v>116</v>
      </c>
      <c r="I155" s="15" t="s">
        <v>946</v>
      </c>
      <c r="J155" s="15" t="s">
        <v>947</v>
      </c>
      <c r="K155" s="15" t="s">
        <v>946</v>
      </c>
      <c r="L155" s="15" t="n">
        <v>0</v>
      </c>
      <c r="M155" s="15" t="n">
        <v>0</v>
      </c>
      <c r="N155" s="15"/>
      <c r="O155" s="15" t="s">
        <v>948</v>
      </c>
      <c r="P155" s="15" t="s">
        <v>949</v>
      </c>
      <c r="Q155" s="15" t="s">
        <v>950</v>
      </c>
      <c r="R155" s="15" t="n">
        <v>0</v>
      </c>
      <c r="S155" s="15" t="n">
        <v>6</v>
      </c>
      <c r="T155" s="15" t="n">
        <v>0</v>
      </c>
      <c r="U155" s="15" t="n">
        <v>0</v>
      </c>
      <c r="V155" s="15" t="n">
        <v>0</v>
      </c>
      <c r="W155" s="15" t="n">
        <v>19</v>
      </c>
      <c r="X155" s="15" t="s">
        <v>973</v>
      </c>
      <c r="Y155" s="15" t="s">
        <v>1058</v>
      </c>
      <c r="Z155" s="15" t="s">
        <v>170</v>
      </c>
      <c r="AA155" s="15" t="s">
        <v>966</v>
      </c>
      <c r="AB155" s="15" t="s">
        <v>1749</v>
      </c>
      <c r="AC155" s="15" t="s">
        <v>1750</v>
      </c>
      <c r="AD155" s="15"/>
      <c r="AE155" s="15" t="s">
        <v>956</v>
      </c>
      <c r="AF155" s="15" t="s">
        <v>1242</v>
      </c>
      <c r="AG155" s="15" t="s">
        <v>958</v>
      </c>
      <c r="AH155" s="15" t="n">
        <v>0</v>
      </c>
      <c r="AI155" s="15" t="n">
        <v>0</v>
      </c>
      <c r="AJ155" s="15" t="n">
        <v>25</v>
      </c>
      <c r="AK155" s="15" t="n">
        <v>0</v>
      </c>
      <c r="AL155" s="15" t="n">
        <v>0</v>
      </c>
      <c r="AM155" s="15" t="n">
        <v>0</v>
      </c>
      <c r="AN155" s="15" t="s">
        <v>1264</v>
      </c>
      <c r="AO155" s="15" t="s">
        <v>960</v>
      </c>
      <c r="AP155" s="15" t="s">
        <v>163</v>
      </c>
      <c r="AQ155" s="15"/>
      <c r="AR155" s="29" t="str">
        <f aca="false">IF(A155="","",IF(COUNTIF(Parcels!$A$2:$A$3000,B155)=0,"Parcel not found",IF(COUNTIF($A$2:$A$3000,A155)&gt;1,"Duplicate perm_id",IF(AND(P155="Yes",D155&lt;&gt;"",COUNTIFS($C$2:$C$3000,D155,$P$2:$P$3000,"Yes")&gt;1),"Reference counted twice",IF(COUNTIF(Lists!$A$2:$A$7,I155)=0,"Unknown status","")))))</f>
        <v/>
      </c>
    </row>
    <row r="156" customFormat="false" ht="15" hidden="false" customHeight="false" outlineLevel="0" collapsed="false">
      <c r="A156" s="15" t="s">
        <v>1751</v>
      </c>
      <c r="B156" s="15" t="s">
        <v>368</v>
      </c>
      <c r="C156" s="15" t="s">
        <v>51</v>
      </c>
      <c r="D156" s="15" t="s">
        <v>1752</v>
      </c>
      <c r="E156" s="15" t="s">
        <v>1752</v>
      </c>
      <c r="F156" s="15" t="s">
        <v>369</v>
      </c>
      <c r="G156" s="15" t="n">
        <v>28</v>
      </c>
      <c r="H156" s="15"/>
      <c r="I156" s="15" t="s">
        <v>48</v>
      </c>
      <c r="J156" s="15" t="s">
        <v>947</v>
      </c>
      <c r="K156" s="15" t="s">
        <v>48</v>
      </c>
      <c r="L156" s="15" t="n">
        <v>0</v>
      </c>
      <c r="M156" s="15" t="n">
        <v>0</v>
      </c>
      <c r="N156" s="15"/>
      <c r="O156" s="15" t="s">
        <v>948</v>
      </c>
      <c r="P156" s="15" t="s">
        <v>949</v>
      </c>
      <c r="Q156" s="15" t="s">
        <v>965</v>
      </c>
      <c r="R156" s="15"/>
      <c r="S156" s="15"/>
      <c r="T156" s="15"/>
      <c r="U156" s="15"/>
      <c r="V156" s="15"/>
      <c r="W156" s="15"/>
      <c r="X156" s="15" t="s">
        <v>951</v>
      </c>
      <c r="Y156" s="15" t="s">
        <v>952</v>
      </c>
      <c r="Z156" s="15" t="s">
        <v>170</v>
      </c>
      <c r="AA156" s="15" t="s">
        <v>966</v>
      </c>
      <c r="AB156" s="15" t="s">
        <v>1753</v>
      </c>
      <c r="AC156" s="15" t="s">
        <v>1754</v>
      </c>
      <c r="AD156" s="15" t="s">
        <v>1755</v>
      </c>
      <c r="AE156" s="15" t="s">
        <v>1649</v>
      </c>
      <c r="AF156" s="15" t="s">
        <v>980</v>
      </c>
      <c r="AG156" s="15" t="s">
        <v>981</v>
      </c>
      <c r="AH156" s="15" t="n">
        <v>3.9</v>
      </c>
      <c r="AI156" s="15" t="n">
        <v>24.1</v>
      </c>
      <c r="AJ156" s="15" t="n">
        <v>0</v>
      </c>
      <c r="AK156" s="15" t="n">
        <v>0</v>
      </c>
      <c r="AL156" s="15" t="n">
        <v>0</v>
      </c>
      <c r="AM156" s="15" t="n">
        <v>0</v>
      </c>
      <c r="AN156" s="15" t="s">
        <v>1264</v>
      </c>
      <c r="AO156" s="15" t="s">
        <v>960</v>
      </c>
      <c r="AP156" s="15" t="s">
        <v>163</v>
      </c>
      <c r="AQ156" s="15"/>
      <c r="AR156" s="29" t="str">
        <f aca="false">IF(A156="","",IF(COUNTIF(Parcels!$A$2:$A$3000,B156)=0,"Parcel not found",IF(COUNTIF($A$2:$A$3000,A156)&gt;1,"Duplicate perm_id",IF(AND(P156="Yes",D156&lt;&gt;"",COUNTIFS($C$2:$C$3000,D156,$P$2:$P$3000,"Yes")&gt;1),"Reference counted twice",IF(COUNTIF(Lists!$A$2:$A$7,I156)=0,"Unknown status","")))))</f>
        <v/>
      </c>
    </row>
    <row r="157" customFormat="false" ht="15" hidden="false" customHeight="false" outlineLevel="0" collapsed="false">
      <c r="A157" s="15" t="s">
        <v>1756</v>
      </c>
      <c r="B157" s="15" t="s">
        <v>630</v>
      </c>
      <c r="C157" s="15" t="s">
        <v>74</v>
      </c>
      <c r="D157" s="15" t="s">
        <v>1757</v>
      </c>
      <c r="E157" s="15" t="s">
        <v>1757</v>
      </c>
      <c r="F157" s="15" t="s">
        <v>631</v>
      </c>
      <c r="G157" s="15" t="n">
        <v>52</v>
      </c>
      <c r="H157" s="15"/>
      <c r="I157" s="15" t="s">
        <v>48</v>
      </c>
      <c r="J157" s="15" t="s">
        <v>947</v>
      </c>
      <c r="K157" s="15" t="s">
        <v>48</v>
      </c>
      <c r="L157" s="15" t="n">
        <v>0</v>
      </c>
      <c r="M157" s="15" t="n">
        <v>14</v>
      </c>
      <c r="N157" s="15"/>
      <c r="O157" s="15" t="s">
        <v>948</v>
      </c>
      <c r="P157" s="15" t="s">
        <v>949</v>
      </c>
      <c r="Q157" s="15" t="s">
        <v>1303</v>
      </c>
      <c r="R157" s="15" t="n">
        <v>0</v>
      </c>
      <c r="S157" s="15" t="n">
        <v>0</v>
      </c>
      <c r="T157" s="15" t="n">
        <v>6</v>
      </c>
      <c r="U157" s="15" t="n">
        <v>40</v>
      </c>
      <c r="V157" s="15" t="n">
        <v>6</v>
      </c>
      <c r="W157" s="15" t="n">
        <v>0</v>
      </c>
      <c r="X157" s="15" t="s">
        <v>951</v>
      </c>
      <c r="Y157" s="15" t="s">
        <v>952</v>
      </c>
      <c r="Z157" s="15" t="s">
        <v>170</v>
      </c>
      <c r="AA157" s="15" t="s">
        <v>966</v>
      </c>
      <c r="AB157" s="15" t="s">
        <v>1758</v>
      </c>
      <c r="AC157" s="15" t="s">
        <v>1759</v>
      </c>
      <c r="AD157" s="15" t="s">
        <v>1760</v>
      </c>
      <c r="AE157" s="15" t="s">
        <v>1231</v>
      </c>
      <c r="AF157" s="15" t="s">
        <v>980</v>
      </c>
      <c r="AG157" s="15" t="s">
        <v>981</v>
      </c>
      <c r="AH157" s="15" t="n">
        <v>12.1</v>
      </c>
      <c r="AI157" s="15" t="n">
        <v>39.9</v>
      </c>
      <c r="AJ157" s="15" t="n">
        <v>0</v>
      </c>
      <c r="AK157" s="15" t="n">
        <v>0</v>
      </c>
      <c r="AL157" s="15" t="n">
        <v>0</v>
      </c>
      <c r="AM157" s="15" t="n">
        <v>0</v>
      </c>
      <c r="AN157" s="15" t="s">
        <v>1264</v>
      </c>
      <c r="AO157" s="15" t="s">
        <v>960</v>
      </c>
      <c r="AP157" s="15" t="s">
        <v>163</v>
      </c>
      <c r="AQ157" s="15"/>
      <c r="AR157" s="29" t="str">
        <f aca="false">IF(A157="","",IF(COUNTIF(Parcels!$A$2:$A$3000,B157)=0,"Parcel not found",IF(COUNTIF($A$2:$A$3000,A157)&gt;1,"Duplicate perm_id",IF(AND(P157="Yes",D157&lt;&gt;"",COUNTIFS($C$2:$C$3000,D157,$P$2:$P$3000,"Yes")&gt;1),"Reference counted twice",IF(COUNTIF(Lists!$A$2:$A$7,I157)=0,"Unknown status","")))))</f>
        <v/>
      </c>
    </row>
    <row r="158" customFormat="false" ht="15" hidden="false" customHeight="false" outlineLevel="0" collapsed="false">
      <c r="A158" s="15" t="s">
        <v>1761</v>
      </c>
      <c r="B158" s="15" t="s">
        <v>632</v>
      </c>
      <c r="C158" s="15" t="s">
        <v>69</v>
      </c>
      <c r="D158" s="15" t="s">
        <v>1762</v>
      </c>
      <c r="E158" s="15" t="s">
        <v>1762</v>
      </c>
      <c r="F158" s="15" t="s">
        <v>633</v>
      </c>
      <c r="G158" s="15" t="n">
        <v>17</v>
      </c>
      <c r="H158" s="15"/>
      <c r="I158" s="15" t="s">
        <v>47</v>
      </c>
      <c r="J158" s="15" t="s">
        <v>947</v>
      </c>
      <c r="K158" s="15" t="s">
        <v>47</v>
      </c>
      <c r="L158" s="15" t="n">
        <v>0</v>
      </c>
      <c r="M158" s="15" t="n">
        <v>17</v>
      </c>
      <c r="N158" s="15" t="s">
        <v>1074</v>
      </c>
      <c r="O158" s="15" t="s">
        <v>948</v>
      </c>
      <c r="P158" s="15" t="s">
        <v>949</v>
      </c>
      <c r="Q158" s="15" t="s">
        <v>989</v>
      </c>
      <c r="R158" s="15" t="n">
        <v>0</v>
      </c>
      <c r="S158" s="15" t="n">
        <v>0</v>
      </c>
      <c r="T158" s="15" t="n">
        <v>5</v>
      </c>
      <c r="U158" s="15" t="n">
        <v>10</v>
      </c>
      <c r="V158" s="15" t="n">
        <v>2</v>
      </c>
      <c r="W158" s="15" t="n">
        <v>0</v>
      </c>
      <c r="X158" s="15" t="s">
        <v>951</v>
      </c>
      <c r="Y158" s="15" t="s">
        <v>974</v>
      </c>
      <c r="Z158" s="15" t="s">
        <v>1004</v>
      </c>
      <c r="AA158" s="15" t="s">
        <v>966</v>
      </c>
      <c r="AB158" s="15" t="s">
        <v>1763</v>
      </c>
      <c r="AC158" s="15" t="s">
        <v>1764</v>
      </c>
      <c r="AD158" s="15" t="s">
        <v>1765</v>
      </c>
      <c r="AE158" s="15"/>
      <c r="AF158" s="15"/>
      <c r="AG158" s="15" t="s">
        <v>992</v>
      </c>
      <c r="AH158" s="15" t="n">
        <v>0</v>
      </c>
      <c r="AI158" s="15" t="n">
        <v>0</v>
      </c>
      <c r="AJ158" s="15" t="n">
        <v>0</v>
      </c>
      <c r="AK158" s="15" t="n">
        <v>0</v>
      </c>
      <c r="AL158" s="15" t="n">
        <v>0</v>
      </c>
      <c r="AM158" s="15" t="n">
        <v>0</v>
      </c>
      <c r="AN158" s="15" t="s">
        <v>1264</v>
      </c>
      <c r="AO158" s="15" t="s">
        <v>960</v>
      </c>
      <c r="AP158" s="15" t="s">
        <v>163</v>
      </c>
      <c r="AQ158" s="15"/>
      <c r="AR158" s="29" t="str">
        <f aca="false">IF(A158="","",IF(COUNTIF(Parcels!$A$2:$A$3000,B158)=0,"Parcel not found",IF(COUNTIF($A$2:$A$3000,A158)&gt;1,"Duplicate perm_id",IF(AND(P158="Yes",D158&lt;&gt;"",COUNTIFS($C$2:$C$3000,D158,$P$2:$P$3000,"Yes")&gt;1),"Reference counted twice",IF(COUNTIF(Lists!$A$2:$A$7,I158)=0,"Unknown status","")))))</f>
        <v/>
      </c>
    </row>
    <row r="159" customFormat="false" ht="15" hidden="false" customHeight="false" outlineLevel="0" collapsed="false">
      <c r="A159" s="15" t="s">
        <v>1766</v>
      </c>
      <c r="B159" s="15" t="s">
        <v>438</v>
      </c>
      <c r="C159" s="15" t="s">
        <v>53</v>
      </c>
      <c r="D159" s="15" t="s">
        <v>1767</v>
      </c>
      <c r="E159" s="15" t="s">
        <v>1767</v>
      </c>
      <c r="F159" s="15" t="s">
        <v>439</v>
      </c>
      <c r="G159" s="15" t="n">
        <v>24</v>
      </c>
      <c r="H159" s="15"/>
      <c r="I159" s="15" t="s">
        <v>946</v>
      </c>
      <c r="J159" s="15" t="s">
        <v>947</v>
      </c>
      <c r="K159" s="15" t="s">
        <v>946</v>
      </c>
      <c r="L159" s="15" t="n">
        <v>0</v>
      </c>
      <c r="M159" s="15" t="n">
        <v>0</v>
      </c>
      <c r="N159" s="15"/>
      <c r="O159" s="15" t="s">
        <v>948</v>
      </c>
      <c r="P159" s="15" t="s">
        <v>949</v>
      </c>
      <c r="Q159" s="15" t="s">
        <v>950</v>
      </c>
      <c r="R159" s="15" t="n">
        <v>0</v>
      </c>
      <c r="S159" s="15" t="n">
        <v>11</v>
      </c>
      <c r="T159" s="15" t="n">
        <v>12</v>
      </c>
      <c r="U159" s="15" t="n">
        <v>1</v>
      </c>
      <c r="V159" s="15" t="n">
        <v>0</v>
      </c>
      <c r="W159" s="15" t="n">
        <v>0</v>
      </c>
      <c r="X159" s="15" t="s">
        <v>951</v>
      </c>
      <c r="Y159" s="15" t="s">
        <v>952</v>
      </c>
      <c r="Z159" s="15" t="s">
        <v>170</v>
      </c>
      <c r="AA159" s="15" t="s">
        <v>966</v>
      </c>
      <c r="AB159" s="15" t="s">
        <v>1768</v>
      </c>
      <c r="AC159" s="15" t="s">
        <v>1769</v>
      </c>
      <c r="AD159" s="15"/>
      <c r="AE159" s="15" t="s">
        <v>956</v>
      </c>
      <c r="AF159" s="15" t="s">
        <v>1140</v>
      </c>
      <c r="AG159" s="15" t="s">
        <v>958</v>
      </c>
      <c r="AH159" s="15" t="n">
        <v>0</v>
      </c>
      <c r="AI159" s="15" t="n">
        <v>0</v>
      </c>
      <c r="AJ159" s="15" t="n">
        <v>6.2</v>
      </c>
      <c r="AK159" s="15" t="n">
        <v>12.8</v>
      </c>
      <c r="AL159" s="15" t="n">
        <v>5</v>
      </c>
      <c r="AM159" s="15" t="n">
        <v>0</v>
      </c>
      <c r="AN159" s="15" t="s">
        <v>1264</v>
      </c>
      <c r="AO159" s="15" t="s">
        <v>960</v>
      </c>
      <c r="AP159" s="15" t="s">
        <v>163</v>
      </c>
      <c r="AQ159" s="15"/>
      <c r="AR159" s="29" t="str">
        <f aca="false">IF(A159="","",IF(COUNTIF(Parcels!$A$2:$A$3000,B159)=0,"Parcel not found",IF(COUNTIF($A$2:$A$3000,A159)&gt;1,"Duplicate perm_id",IF(AND(P159="Yes",D159&lt;&gt;"",COUNTIFS($C$2:$C$3000,D159,$P$2:$P$3000,"Yes")&gt;1),"Reference counted twice",IF(COUNTIF(Lists!$A$2:$A$7,I159)=0,"Unknown status","")))))</f>
        <v/>
      </c>
    </row>
    <row r="160" customFormat="false" ht="15" hidden="false" customHeight="false" outlineLevel="0" collapsed="false">
      <c r="A160" s="15" t="s">
        <v>1770</v>
      </c>
      <c r="B160" s="15" t="s">
        <v>440</v>
      </c>
      <c r="C160" s="15" t="s">
        <v>53</v>
      </c>
      <c r="D160" s="15" t="s">
        <v>1771</v>
      </c>
      <c r="E160" s="15" t="s">
        <v>1771</v>
      </c>
      <c r="F160" s="15" t="s">
        <v>1772</v>
      </c>
      <c r="G160" s="15" t="n">
        <v>8</v>
      </c>
      <c r="H160" s="15"/>
      <c r="I160" s="15" t="s">
        <v>964</v>
      </c>
      <c r="J160" s="15" t="s">
        <v>947</v>
      </c>
      <c r="K160" s="15" t="s">
        <v>964</v>
      </c>
      <c r="L160" s="15" t="n">
        <v>0</v>
      </c>
      <c r="M160" s="15" t="n">
        <v>0</v>
      </c>
      <c r="N160" s="15"/>
      <c r="O160" s="15" t="s">
        <v>948</v>
      </c>
      <c r="P160" s="15" t="s">
        <v>949</v>
      </c>
      <c r="Q160" s="15" t="s">
        <v>989</v>
      </c>
      <c r="R160" s="15" t="n">
        <v>0</v>
      </c>
      <c r="S160" s="15" t="n">
        <v>3</v>
      </c>
      <c r="T160" s="15" t="n">
        <v>3</v>
      </c>
      <c r="U160" s="15" t="n">
        <v>0</v>
      </c>
      <c r="V160" s="15" t="n">
        <v>0</v>
      </c>
      <c r="W160" s="15" t="n">
        <v>0</v>
      </c>
      <c r="X160" s="15" t="s">
        <v>951</v>
      </c>
      <c r="Y160" s="15" t="s">
        <v>952</v>
      </c>
      <c r="Z160" s="15" t="s">
        <v>170</v>
      </c>
      <c r="AA160" s="15" t="s">
        <v>966</v>
      </c>
      <c r="AB160" s="15" t="s">
        <v>1773</v>
      </c>
      <c r="AC160" s="15" t="s">
        <v>1774</v>
      </c>
      <c r="AD160" s="15"/>
      <c r="AE160" s="15"/>
      <c r="AF160" s="15"/>
      <c r="AG160" s="15" t="s">
        <v>969</v>
      </c>
      <c r="AH160" s="15" t="n">
        <v>0</v>
      </c>
      <c r="AI160" s="15" t="n">
        <v>0</v>
      </c>
      <c r="AJ160" s="15" t="n">
        <v>0</v>
      </c>
      <c r="AK160" s="15" t="n">
        <v>0</v>
      </c>
      <c r="AL160" s="15" t="n">
        <v>0</v>
      </c>
      <c r="AM160" s="15" t="n">
        <v>0</v>
      </c>
      <c r="AN160" s="15" t="s">
        <v>1264</v>
      </c>
      <c r="AO160" s="15" t="s">
        <v>960</v>
      </c>
      <c r="AP160" s="15" t="s">
        <v>163</v>
      </c>
      <c r="AQ160" s="15"/>
      <c r="AR160" s="29" t="str">
        <f aca="false">IF(A160="","",IF(COUNTIF(Parcels!$A$2:$A$3000,B160)=0,"Parcel not found",IF(COUNTIF($A$2:$A$3000,A160)&gt;1,"Duplicate perm_id",IF(AND(P160="Yes",D160&lt;&gt;"",COUNTIFS($C$2:$C$3000,D160,$P$2:$P$3000,"Yes")&gt;1),"Reference counted twice",IF(COUNTIF(Lists!$A$2:$A$7,I160)=0,"Unknown status","")))))</f>
        <v/>
      </c>
    </row>
    <row r="161" customFormat="false" ht="15" hidden="false" customHeight="false" outlineLevel="0" collapsed="false">
      <c r="A161" s="15" t="s">
        <v>1775</v>
      </c>
      <c r="B161" s="15" t="s">
        <v>440</v>
      </c>
      <c r="C161" s="15" t="s">
        <v>53</v>
      </c>
      <c r="D161" s="15" t="s">
        <v>1776</v>
      </c>
      <c r="E161" s="15" t="s">
        <v>1776</v>
      </c>
      <c r="F161" s="15" t="s">
        <v>441</v>
      </c>
      <c r="G161" s="15" t="n">
        <v>9</v>
      </c>
      <c r="H161" s="15"/>
      <c r="I161" s="15" t="s">
        <v>47</v>
      </c>
      <c r="J161" s="15" t="s">
        <v>947</v>
      </c>
      <c r="K161" s="15" t="s">
        <v>47</v>
      </c>
      <c r="L161" s="15" t="n">
        <v>0</v>
      </c>
      <c r="M161" s="15" t="n">
        <v>0</v>
      </c>
      <c r="N161" s="15" t="s">
        <v>1260</v>
      </c>
      <c r="O161" s="15" t="s">
        <v>948</v>
      </c>
      <c r="P161" s="15" t="s">
        <v>949</v>
      </c>
      <c r="Q161" s="15" t="s">
        <v>989</v>
      </c>
      <c r="R161" s="15" t="n">
        <v>0</v>
      </c>
      <c r="S161" s="15" t="n">
        <v>9</v>
      </c>
      <c r="T161" s="15" t="n">
        <v>0</v>
      </c>
      <c r="U161" s="15" t="n">
        <v>0</v>
      </c>
      <c r="V161" s="15" t="n">
        <v>0</v>
      </c>
      <c r="W161" s="15" t="n">
        <v>0</v>
      </c>
      <c r="X161" s="15" t="s">
        <v>973</v>
      </c>
      <c r="Y161" s="15" t="s">
        <v>952</v>
      </c>
      <c r="Z161" s="15" t="s">
        <v>170</v>
      </c>
      <c r="AA161" s="15" t="s">
        <v>966</v>
      </c>
      <c r="AB161" s="15" t="s">
        <v>1777</v>
      </c>
      <c r="AC161" s="15" t="s">
        <v>1778</v>
      </c>
      <c r="AD161" s="15" t="s">
        <v>1779</v>
      </c>
      <c r="AE161" s="15"/>
      <c r="AF161" s="15"/>
      <c r="AG161" s="15" t="s">
        <v>992</v>
      </c>
      <c r="AH161" s="15" t="n">
        <v>0</v>
      </c>
      <c r="AI161" s="15" t="n">
        <v>0</v>
      </c>
      <c r="AJ161" s="15" t="n">
        <v>0</v>
      </c>
      <c r="AK161" s="15" t="n">
        <v>0</v>
      </c>
      <c r="AL161" s="15" t="n">
        <v>0</v>
      </c>
      <c r="AM161" s="15" t="n">
        <v>0</v>
      </c>
      <c r="AN161" s="15" t="s">
        <v>1264</v>
      </c>
      <c r="AO161" s="15" t="s">
        <v>960</v>
      </c>
      <c r="AP161" s="15" t="s">
        <v>163</v>
      </c>
      <c r="AQ161" s="15"/>
      <c r="AR161" s="29" t="str">
        <f aca="false">IF(A161="","",IF(COUNTIF(Parcels!$A$2:$A$3000,B161)=0,"Parcel not found",IF(COUNTIF($A$2:$A$3000,A161)&gt;1,"Duplicate perm_id",IF(AND(P161="Yes",D161&lt;&gt;"",COUNTIFS($C$2:$C$3000,D161,$P$2:$P$3000,"Yes")&gt;1),"Reference counted twice",IF(COUNTIF(Lists!$A$2:$A$7,I161)=0,"Unknown status","")))))</f>
        <v/>
      </c>
    </row>
    <row r="162" customFormat="false" ht="15" hidden="false" customHeight="false" outlineLevel="0" collapsed="false">
      <c r="A162" s="15" t="s">
        <v>1780</v>
      </c>
      <c r="B162" s="15" t="s">
        <v>634</v>
      </c>
      <c r="C162" s="15" t="s">
        <v>62</v>
      </c>
      <c r="D162" s="15" t="s">
        <v>1781</v>
      </c>
      <c r="E162" s="15" t="s">
        <v>1781</v>
      </c>
      <c r="F162" s="15" t="s">
        <v>635</v>
      </c>
      <c r="G162" s="15" t="n">
        <v>13</v>
      </c>
      <c r="H162" s="15"/>
      <c r="I162" s="15" t="s">
        <v>47</v>
      </c>
      <c r="J162" s="15" t="s">
        <v>947</v>
      </c>
      <c r="K162" s="15" t="s">
        <v>47</v>
      </c>
      <c r="L162" s="15" t="n">
        <v>13</v>
      </c>
      <c r="M162" s="15" t="n">
        <v>0</v>
      </c>
      <c r="N162" s="15"/>
      <c r="O162" s="15" t="s">
        <v>948</v>
      </c>
      <c r="P162" s="15" t="s">
        <v>949</v>
      </c>
      <c r="Q162" s="15" t="s">
        <v>965</v>
      </c>
      <c r="R162" s="15"/>
      <c r="S162" s="15"/>
      <c r="T162" s="15"/>
      <c r="U162" s="15"/>
      <c r="V162" s="15"/>
      <c r="W162" s="15"/>
      <c r="X162" s="15" t="s">
        <v>951</v>
      </c>
      <c r="Y162" s="15" t="s">
        <v>952</v>
      </c>
      <c r="Z162" s="15" t="s">
        <v>170</v>
      </c>
      <c r="AA162" s="15" t="s">
        <v>966</v>
      </c>
      <c r="AB162" s="15" t="s">
        <v>1782</v>
      </c>
      <c r="AC162" s="15" t="s">
        <v>1783</v>
      </c>
      <c r="AD162" s="15" t="s">
        <v>1784</v>
      </c>
      <c r="AE162" s="15"/>
      <c r="AF162" s="15"/>
      <c r="AG162" s="15" t="s">
        <v>992</v>
      </c>
      <c r="AH162" s="15" t="n">
        <v>0</v>
      </c>
      <c r="AI162" s="15" t="n">
        <v>0</v>
      </c>
      <c r="AJ162" s="15" t="n">
        <v>0</v>
      </c>
      <c r="AK162" s="15" t="n">
        <v>0</v>
      </c>
      <c r="AL162" s="15" t="n">
        <v>0</v>
      </c>
      <c r="AM162" s="15" t="n">
        <v>0</v>
      </c>
      <c r="AN162" s="15" t="s">
        <v>1264</v>
      </c>
      <c r="AO162" s="15" t="s">
        <v>960</v>
      </c>
      <c r="AP162" s="15" t="s">
        <v>163</v>
      </c>
      <c r="AQ162" s="15"/>
      <c r="AR162" s="29" t="str">
        <f aca="false">IF(A162="","",IF(COUNTIF(Parcels!$A$2:$A$3000,B162)=0,"Parcel not found",IF(COUNTIF($A$2:$A$3000,A162)&gt;1,"Duplicate perm_id",IF(AND(P162="Yes",D162&lt;&gt;"",COUNTIFS($C$2:$C$3000,D162,$P$2:$P$3000,"Yes")&gt;1),"Reference counted twice",IF(COUNTIF(Lists!$A$2:$A$7,I162)=0,"Unknown status","")))))</f>
        <v/>
      </c>
    </row>
    <row r="163" customFormat="false" ht="15" hidden="false" customHeight="false" outlineLevel="0" collapsed="false">
      <c r="A163" s="15" t="s">
        <v>1785</v>
      </c>
      <c r="B163" s="15" t="s">
        <v>636</v>
      </c>
      <c r="C163" s="15" t="s">
        <v>70</v>
      </c>
      <c r="D163" s="15" t="s">
        <v>1786</v>
      </c>
      <c r="E163" s="15" t="s">
        <v>1786</v>
      </c>
      <c r="F163" s="15" t="s">
        <v>637</v>
      </c>
      <c r="G163" s="15" t="n">
        <v>32</v>
      </c>
      <c r="H163" s="15"/>
      <c r="I163" s="15" t="s">
        <v>946</v>
      </c>
      <c r="J163" s="15" t="s">
        <v>947</v>
      </c>
      <c r="K163" s="15" t="s">
        <v>946</v>
      </c>
      <c r="L163" s="15" t="n">
        <v>0</v>
      </c>
      <c r="M163" s="15" t="n">
        <v>0</v>
      </c>
      <c r="N163" s="15"/>
      <c r="O163" s="15" t="s">
        <v>948</v>
      </c>
      <c r="P163" s="15" t="s">
        <v>949</v>
      </c>
      <c r="Q163" s="15" t="s">
        <v>965</v>
      </c>
      <c r="R163" s="15"/>
      <c r="S163" s="15"/>
      <c r="T163" s="15"/>
      <c r="U163" s="15"/>
      <c r="V163" s="15"/>
      <c r="W163" s="15"/>
      <c r="X163" s="15" t="s">
        <v>951</v>
      </c>
      <c r="Y163" s="15" t="s">
        <v>952</v>
      </c>
      <c r="Z163" s="15" t="s">
        <v>170</v>
      </c>
      <c r="AA163" s="15" t="s">
        <v>966</v>
      </c>
      <c r="AB163" s="15" t="s">
        <v>1787</v>
      </c>
      <c r="AC163" s="15" t="s">
        <v>1788</v>
      </c>
      <c r="AD163" s="15"/>
      <c r="AE163" s="15" t="s">
        <v>956</v>
      </c>
      <c r="AF163" s="15" t="s">
        <v>1133</v>
      </c>
      <c r="AG163" s="15" t="s">
        <v>958</v>
      </c>
      <c r="AH163" s="15" t="n">
        <v>0</v>
      </c>
      <c r="AI163" s="15" t="n">
        <v>0</v>
      </c>
      <c r="AJ163" s="15" t="n">
        <v>23.6</v>
      </c>
      <c r="AK163" s="15" t="n">
        <v>8.4</v>
      </c>
      <c r="AL163" s="15" t="n">
        <v>0</v>
      </c>
      <c r="AM163" s="15" t="n">
        <v>0</v>
      </c>
      <c r="AN163" s="15" t="s">
        <v>1264</v>
      </c>
      <c r="AO163" s="15" t="s">
        <v>960</v>
      </c>
      <c r="AP163" s="15" t="s">
        <v>163</v>
      </c>
      <c r="AQ163" s="15"/>
      <c r="AR163" s="29" t="str">
        <f aca="false">IF(A163="","",IF(COUNTIF(Parcels!$A$2:$A$3000,B163)=0,"Parcel not found",IF(COUNTIF($A$2:$A$3000,A163)&gt;1,"Duplicate perm_id",IF(AND(P163="Yes",D163&lt;&gt;"",COUNTIFS($C$2:$C$3000,D163,$P$2:$P$3000,"Yes")&gt;1),"Reference counted twice",IF(COUNTIF(Lists!$A$2:$A$7,I163)=0,"Unknown status","")))))</f>
        <v/>
      </c>
    </row>
    <row r="164" customFormat="false" ht="15" hidden="false" customHeight="false" outlineLevel="0" collapsed="false">
      <c r="A164" s="15" t="s">
        <v>1789</v>
      </c>
      <c r="B164" s="15" t="s">
        <v>509</v>
      </c>
      <c r="C164" s="15" t="s">
        <v>55</v>
      </c>
      <c r="D164" s="15" t="s">
        <v>1790</v>
      </c>
      <c r="E164" s="15" t="s">
        <v>1790</v>
      </c>
      <c r="F164" s="15" t="s">
        <v>510</v>
      </c>
      <c r="G164" s="15" t="n">
        <v>21</v>
      </c>
      <c r="H164" s="15"/>
      <c r="I164" s="15" t="s">
        <v>946</v>
      </c>
      <c r="J164" s="15" t="s">
        <v>947</v>
      </c>
      <c r="K164" s="15" t="s">
        <v>946</v>
      </c>
      <c r="L164" s="15" t="n">
        <v>0</v>
      </c>
      <c r="M164" s="15" t="n">
        <v>0</v>
      </c>
      <c r="N164" s="15"/>
      <c r="O164" s="15" t="s">
        <v>948</v>
      </c>
      <c r="P164" s="15" t="s">
        <v>949</v>
      </c>
      <c r="Q164" s="15" t="s">
        <v>950</v>
      </c>
      <c r="R164" s="15" t="n">
        <v>0</v>
      </c>
      <c r="S164" s="15" t="n">
        <v>0</v>
      </c>
      <c r="T164" s="15" t="n">
        <v>0</v>
      </c>
      <c r="U164" s="15" t="n">
        <v>7</v>
      </c>
      <c r="V164" s="15" t="n">
        <v>14</v>
      </c>
      <c r="W164" s="15" t="n">
        <v>0</v>
      </c>
      <c r="X164" s="15" t="s">
        <v>951</v>
      </c>
      <c r="Y164" s="15" t="s">
        <v>952</v>
      </c>
      <c r="Z164" s="15" t="s">
        <v>170</v>
      </c>
      <c r="AA164" s="15" t="s">
        <v>966</v>
      </c>
      <c r="AB164" s="15" t="s">
        <v>1482</v>
      </c>
      <c r="AC164" s="15" t="s">
        <v>1791</v>
      </c>
      <c r="AD164" s="15"/>
      <c r="AE164" s="15" t="s">
        <v>956</v>
      </c>
      <c r="AF164" s="15" t="s">
        <v>1034</v>
      </c>
      <c r="AG164" s="15" t="s">
        <v>958</v>
      </c>
      <c r="AH164" s="15" t="n">
        <v>0</v>
      </c>
      <c r="AI164" s="15" t="n">
        <v>0</v>
      </c>
      <c r="AJ164" s="15" t="n">
        <v>6.7</v>
      </c>
      <c r="AK164" s="15" t="n">
        <v>13.9</v>
      </c>
      <c r="AL164" s="15" t="n">
        <v>0.5</v>
      </c>
      <c r="AM164" s="15" t="n">
        <v>-0.1</v>
      </c>
      <c r="AN164" s="15" t="s">
        <v>1264</v>
      </c>
      <c r="AO164" s="15" t="s">
        <v>960</v>
      </c>
      <c r="AP164" s="15" t="s">
        <v>163</v>
      </c>
      <c r="AQ164" s="15"/>
      <c r="AR164" s="29" t="str">
        <f aca="false">IF(A164="","",IF(COUNTIF(Parcels!$A$2:$A$3000,B164)=0,"Parcel not found",IF(COUNTIF($A$2:$A$3000,A164)&gt;1,"Duplicate perm_id",IF(AND(P164="Yes",D164&lt;&gt;"",COUNTIFS($C$2:$C$3000,D164,$P$2:$P$3000,"Yes")&gt;1),"Reference counted twice",IF(COUNTIF(Lists!$A$2:$A$7,I164)=0,"Unknown status","")))))</f>
        <v/>
      </c>
    </row>
    <row r="165" customFormat="false" ht="15" hidden="false" customHeight="false" outlineLevel="0" collapsed="false">
      <c r="A165" s="15" t="s">
        <v>1792</v>
      </c>
      <c r="B165" s="15" t="s">
        <v>638</v>
      </c>
      <c r="C165" s="15" t="s">
        <v>22</v>
      </c>
      <c r="D165" s="15" t="s">
        <v>1793</v>
      </c>
      <c r="E165" s="15" t="s">
        <v>1793</v>
      </c>
      <c r="F165" s="15" t="s">
        <v>639</v>
      </c>
      <c r="G165" s="15" t="n">
        <v>9</v>
      </c>
      <c r="H165" s="15"/>
      <c r="I165" s="15" t="s">
        <v>48</v>
      </c>
      <c r="J165" s="15" t="s">
        <v>947</v>
      </c>
      <c r="K165" s="15" t="s">
        <v>48</v>
      </c>
      <c r="L165" s="15" t="n">
        <v>0</v>
      </c>
      <c r="M165" s="15" t="n">
        <v>9</v>
      </c>
      <c r="N165" s="15"/>
      <c r="O165" s="15" t="s">
        <v>948</v>
      </c>
      <c r="P165" s="15" t="s">
        <v>949</v>
      </c>
      <c r="Q165" s="15" t="s">
        <v>965</v>
      </c>
      <c r="R165" s="15"/>
      <c r="S165" s="15"/>
      <c r="T165" s="15"/>
      <c r="U165" s="15"/>
      <c r="V165" s="15"/>
      <c r="W165" s="15"/>
      <c r="X165" s="15" t="s">
        <v>973</v>
      </c>
      <c r="Y165" s="15" t="s">
        <v>974</v>
      </c>
      <c r="Z165" s="15" t="s">
        <v>975</v>
      </c>
      <c r="AA165" s="15" t="s">
        <v>976</v>
      </c>
      <c r="AB165" s="15" t="s">
        <v>1794</v>
      </c>
      <c r="AC165" s="15"/>
      <c r="AD165" s="15" t="s">
        <v>1795</v>
      </c>
      <c r="AE165" s="15" t="s">
        <v>1726</v>
      </c>
      <c r="AF165" s="15" t="s">
        <v>980</v>
      </c>
      <c r="AG165" s="15" t="s">
        <v>981</v>
      </c>
      <c r="AH165" s="15" t="n">
        <v>2.1</v>
      </c>
      <c r="AI165" s="15" t="n">
        <v>6.9</v>
      </c>
      <c r="AJ165" s="15" t="n">
        <v>0</v>
      </c>
      <c r="AK165" s="15" t="n">
        <v>0</v>
      </c>
      <c r="AL165" s="15" t="n">
        <v>0</v>
      </c>
      <c r="AM165" s="15" t="n">
        <v>0</v>
      </c>
      <c r="AN165" s="15" t="s">
        <v>1264</v>
      </c>
      <c r="AO165" s="15" t="s">
        <v>960</v>
      </c>
      <c r="AP165" s="15" t="s">
        <v>163</v>
      </c>
      <c r="AQ165" s="15"/>
      <c r="AR165" s="29" t="str">
        <f aca="false">IF(A165="","",IF(COUNTIF(Parcels!$A$2:$A$3000,B165)=0,"Parcel not found",IF(COUNTIF($A$2:$A$3000,A165)&gt;1,"Duplicate perm_id",IF(AND(P165="Yes",D165&lt;&gt;"",COUNTIFS($C$2:$C$3000,D165,$P$2:$P$3000,"Yes")&gt;1),"Reference counted twice",IF(COUNTIF(Lists!$A$2:$A$7,I165)=0,"Unknown status","")))))</f>
        <v/>
      </c>
    </row>
    <row r="166" customFormat="false" ht="15" hidden="false" customHeight="false" outlineLevel="0" collapsed="false">
      <c r="A166" s="15" t="s">
        <v>1796</v>
      </c>
      <c r="B166" s="15" t="s">
        <v>640</v>
      </c>
      <c r="C166" s="15" t="s">
        <v>22</v>
      </c>
      <c r="D166" s="15" t="s">
        <v>1797</v>
      </c>
      <c r="E166" s="15" t="s">
        <v>1797</v>
      </c>
      <c r="F166" s="15" t="s">
        <v>641</v>
      </c>
      <c r="G166" s="15" t="n">
        <v>10</v>
      </c>
      <c r="H166" s="15"/>
      <c r="I166" s="15" t="s">
        <v>48</v>
      </c>
      <c r="J166" s="15" t="s">
        <v>947</v>
      </c>
      <c r="K166" s="15" t="s">
        <v>48</v>
      </c>
      <c r="L166" s="15" t="n">
        <v>0</v>
      </c>
      <c r="M166" s="15" t="n">
        <v>0</v>
      </c>
      <c r="N166" s="15"/>
      <c r="O166" s="15" t="s">
        <v>948</v>
      </c>
      <c r="P166" s="15" t="s">
        <v>949</v>
      </c>
      <c r="Q166" s="15" t="s">
        <v>965</v>
      </c>
      <c r="R166" s="15"/>
      <c r="S166" s="15"/>
      <c r="T166" s="15"/>
      <c r="U166" s="15"/>
      <c r="V166" s="15"/>
      <c r="W166" s="15"/>
      <c r="X166" s="15" t="s">
        <v>951</v>
      </c>
      <c r="Y166" s="15" t="s">
        <v>974</v>
      </c>
      <c r="Z166" s="15" t="s">
        <v>975</v>
      </c>
      <c r="AA166" s="15" t="s">
        <v>976</v>
      </c>
      <c r="AB166" s="15" t="s">
        <v>1078</v>
      </c>
      <c r="AC166" s="15"/>
      <c r="AD166" s="15" t="s">
        <v>1798</v>
      </c>
      <c r="AE166" s="15" t="s">
        <v>1799</v>
      </c>
      <c r="AF166" s="15" t="s">
        <v>980</v>
      </c>
      <c r="AG166" s="15" t="s">
        <v>981</v>
      </c>
      <c r="AH166" s="15" t="n">
        <v>2.3</v>
      </c>
      <c r="AI166" s="15" t="n">
        <v>7.7</v>
      </c>
      <c r="AJ166" s="15" t="n">
        <v>0</v>
      </c>
      <c r="AK166" s="15" t="n">
        <v>0</v>
      </c>
      <c r="AL166" s="15" t="n">
        <v>0</v>
      </c>
      <c r="AM166" s="15" t="n">
        <v>0</v>
      </c>
      <c r="AN166" s="15" t="s">
        <v>1264</v>
      </c>
      <c r="AO166" s="15" t="s">
        <v>960</v>
      </c>
      <c r="AP166" s="15" t="s">
        <v>163</v>
      </c>
      <c r="AQ166" s="15"/>
      <c r="AR166" s="29" t="str">
        <f aca="false">IF(A166="","",IF(COUNTIF(Parcels!$A$2:$A$3000,B166)=0,"Parcel not found",IF(COUNTIF($A$2:$A$3000,A166)&gt;1,"Duplicate perm_id",IF(AND(P166="Yes",D166&lt;&gt;"",COUNTIFS($C$2:$C$3000,D166,$P$2:$P$3000,"Yes")&gt;1),"Reference counted twice",IF(COUNTIF(Lists!$A$2:$A$7,I166)=0,"Unknown status","")))))</f>
        <v/>
      </c>
    </row>
    <row r="167" customFormat="false" ht="15" hidden="false" customHeight="false" outlineLevel="0" collapsed="false">
      <c r="A167" s="15" t="s">
        <v>1800</v>
      </c>
      <c r="B167" s="15" t="s">
        <v>642</v>
      </c>
      <c r="C167" s="15" t="s">
        <v>74</v>
      </c>
      <c r="D167" s="15" t="s">
        <v>1801</v>
      </c>
      <c r="E167" s="15" t="s">
        <v>1801</v>
      </c>
      <c r="F167" s="15" t="s">
        <v>643</v>
      </c>
      <c r="G167" s="15" t="n">
        <v>24</v>
      </c>
      <c r="H167" s="15"/>
      <c r="I167" s="15" t="s">
        <v>48</v>
      </c>
      <c r="J167" s="15" t="s">
        <v>947</v>
      </c>
      <c r="K167" s="15" t="s">
        <v>48</v>
      </c>
      <c r="L167" s="15" t="n">
        <v>0</v>
      </c>
      <c r="M167" s="15" t="n">
        <v>0</v>
      </c>
      <c r="N167" s="15"/>
      <c r="O167" s="15" t="s">
        <v>948</v>
      </c>
      <c r="P167" s="15" t="s">
        <v>949</v>
      </c>
      <c r="Q167" s="15" t="s">
        <v>989</v>
      </c>
      <c r="R167" s="15" t="n">
        <v>0</v>
      </c>
      <c r="S167" s="15" t="n">
        <v>0</v>
      </c>
      <c r="T167" s="15" t="n">
        <v>8</v>
      </c>
      <c r="U167" s="15" t="n">
        <v>11</v>
      </c>
      <c r="V167" s="15" t="n">
        <v>5</v>
      </c>
      <c r="W167" s="15" t="n">
        <v>0</v>
      </c>
      <c r="X167" s="15" t="s">
        <v>973</v>
      </c>
      <c r="Y167" s="15" t="s">
        <v>974</v>
      </c>
      <c r="Z167" s="15" t="s">
        <v>975</v>
      </c>
      <c r="AA167" s="15" t="s">
        <v>976</v>
      </c>
      <c r="AB167" s="15" t="s">
        <v>1802</v>
      </c>
      <c r="AC167" s="15"/>
      <c r="AD167" s="15" t="s">
        <v>1803</v>
      </c>
      <c r="AE167" s="15" t="s">
        <v>1053</v>
      </c>
      <c r="AF167" s="15" t="s">
        <v>1133</v>
      </c>
      <c r="AG167" s="15" t="s">
        <v>981</v>
      </c>
      <c r="AH167" s="15" t="n">
        <v>0</v>
      </c>
      <c r="AI167" s="15" t="n">
        <v>5.9</v>
      </c>
      <c r="AJ167" s="15" t="n">
        <v>12.8</v>
      </c>
      <c r="AK167" s="15" t="n">
        <v>5.3</v>
      </c>
      <c r="AL167" s="15" t="n">
        <v>0</v>
      </c>
      <c r="AM167" s="15" t="n">
        <v>0</v>
      </c>
      <c r="AN167" s="15" t="s">
        <v>1264</v>
      </c>
      <c r="AO167" s="15" t="s">
        <v>960</v>
      </c>
      <c r="AP167" s="15" t="s">
        <v>163</v>
      </c>
      <c r="AQ167" s="15"/>
      <c r="AR167" s="29" t="str">
        <f aca="false">IF(A167="","",IF(COUNTIF(Parcels!$A$2:$A$3000,B167)=0,"Parcel not found",IF(COUNTIF($A$2:$A$3000,A167)&gt;1,"Duplicate perm_id",IF(AND(P167="Yes",D167&lt;&gt;"",COUNTIFS($C$2:$C$3000,D167,$P$2:$P$3000,"Yes")&gt;1),"Reference counted twice",IF(COUNTIF(Lists!$A$2:$A$7,I167)=0,"Unknown status","")))))</f>
        <v/>
      </c>
    </row>
    <row r="168" customFormat="false" ht="15" hidden="false" customHeight="false" outlineLevel="0" collapsed="false">
      <c r="A168" s="15" t="s">
        <v>1804</v>
      </c>
      <c r="B168" s="15" t="s">
        <v>642</v>
      </c>
      <c r="C168" s="15" t="s">
        <v>74</v>
      </c>
      <c r="D168" s="15" t="s">
        <v>1805</v>
      </c>
      <c r="E168" s="15" t="s">
        <v>1805</v>
      </c>
      <c r="F168" s="15" t="s">
        <v>1806</v>
      </c>
      <c r="G168" s="15" t="n">
        <v>24</v>
      </c>
      <c r="H168" s="15"/>
      <c r="I168" s="15" t="s">
        <v>48</v>
      </c>
      <c r="J168" s="15" t="s">
        <v>947</v>
      </c>
      <c r="K168" s="15" t="s">
        <v>48</v>
      </c>
      <c r="L168" s="15" t="n">
        <v>0</v>
      </c>
      <c r="M168" s="15" t="n">
        <v>0</v>
      </c>
      <c r="N168" s="15"/>
      <c r="O168" s="15" t="s">
        <v>948</v>
      </c>
      <c r="P168" s="15" t="s">
        <v>949</v>
      </c>
      <c r="Q168" s="15" t="s">
        <v>1272</v>
      </c>
      <c r="R168" s="15"/>
      <c r="S168" s="15"/>
      <c r="T168" s="15"/>
      <c r="U168" s="15"/>
      <c r="V168" s="15"/>
      <c r="W168" s="15"/>
      <c r="X168" s="15" t="s">
        <v>951</v>
      </c>
      <c r="Y168" s="15" t="s">
        <v>974</v>
      </c>
      <c r="Z168" s="15" t="s">
        <v>975</v>
      </c>
      <c r="AA168" s="15" t="s">
        <v>976</v>
      </c>
      <c r="AB168" s="15" t="s">
        <v>1807</v>
      </c>
      <c r="AC168" s="15"/>
      <c r="AD168" s="15"/>
      <c r="AE168" s="15" t="s">
        <v>1808</v>
      </c>
      <c r="AF168" s="15" t="s">
        <v>1066</v>
      </c>
      <c r="AG168" s="15" t="s">
        <v>981</v>
      </c>
      <c r="AH168" s="15" t="n">
        <v>0</v>
      </c>
      <c r="AI168" s="15" t="n">
        <v>3</v>
      </c>
      <c r="AJ168" s="15" t="n">
        <v>12.8</v>
      </c>
      <c r="AK168" s="15" t="n">
        <v>8.2</v>
      </c>
      <c r="AL168" s="15" t="n">
        <v>0</v>
      </c>
      <c r="AM168" s="15" t="n">
        <v>0</v>
      </c>
      <c r="AN168" s="15" t="s">
        <v>1264</v>
      </c>
      <c r="AO168" s="15" t="s">
        <v>1274</v>
      </c>
      <c r="AP168" s="15" t="s">
        <v>163</v>
      </c>
      <c r="AQ168" s="15"/>
      <c r="AR168" s="29" t="str">
        <f aca="false">IF(A168="","",IF(COUNTIF(Parcels!$A$2:$A$3000,B168)=0,"Parcel not found",IF(COUNTIF($A$2:$A$3000,A168)&gt;1,"Duplicate perm_id",IF(AND(P168="Yes",D168&lt;&gt;"",COUNTIFS($C$2:$C$3000,D168,$P$2:$P$3000,"Yes")&gt;1),"Reference counted twice",IF(COUNTIF(Lists!$A$2:$A$7,I168)=0,"Unknown status","")))))</f>
        <v/>
      </c>
    </row>
    <row r="169" customFormat="false" ht="15" hidden="false" customHeight="false" outlineLevel="0" collapsed="false">
      <c r="A169" s="15" t="s">
        <v>1809</v>
      </c>
      <c r="B169" s="15" t="s">
        <v>644</v>
      </c>
      <c r="C169" s="15" t="s">
        <v>64</v>
      </c>
      <c r="D169" s="15" t="s">
        <v>1810</v>
      </c>
      <c r="E169" s="15" t="s">
        <v>1810</v>
      </c>
      <c r="F169" s="15" t="s">
        <v>645</v>
      </c>
      <c r="G169" s="15" t="n">
        <v>31</v>
      </c>
      <c r="H169" s="15"/>
      <c r="I169" s="15" t="s">
        <v>946</v>
      </c>
      <c r="J169" s="15" t="s">
        <v>947</v>
      </c>
      <c r="K169" s="15" t="s">
        <v>946</v>
      </c>
      <c r="L169" s="15" t="n">
        <v>0</v>
      </c>
      <c r="M169" s="15" t="n">
        <v>0</v>
      </c>
      <c r="N169" s="15"/>
      <c r="O169" s="15" t="s">
        <v>948</v>
      </c>
      <c r="P169" s="15" t="s">
        <v>949</v>
      </c>
      <c r="Q169" s="15" t="s">
        <v>989</v>
      </c>
      <c r="R169" s="15" t="n">
        <v>0</v>
      </c>
      <c r="S169" s="15" t="n">
        <v>10</v>
      </c>
      <c r="T169" s="15" t="n">
        <v>12</v>
      </c>
      <c r="U169" s="15" t="n">
        <v>6</v>
      </c>
      <c r="V169" s="15" t="n">
        <v>3</v>
      </c>
      <c r="W169" s="15" t="n">
        <v>0</v>
      </c>
      <c r="X169" s="15" t="s">
        <v>951</v>
      </c>
      <c r="Y169" s="15" t="s">
        <v>974</v>
      </c>
      <c r="Z169" s="15" t="s">
        <v>975</v>
      </c>
      <c r="AA169" s="15" t="s">
        <v>976</v>
      </c>
      <c r="AB169" s="15" t="s">
        <v>1811</v>
      </c>
      <c r="AC169" s="15"/>
      <c r="AD169" s="15"/>
      <c r="AE169" s="15" t="s">
        <v>956</v>
      </c>
      <c r="AF169" s="15" t="s">
        <v>999</v>
      </c>
      <c r="AG169" s="15" t="s">
        <v>958</v>
      </c>
      <c r="AH169" s="15" t="n">
        <v>0</v>
      </c>
      <c r="AI169" s="15" t="n">
        <v>0</v>
      </c>
      <c r="AJ169" s="15" t="n">
        <v>23.6</v>
      </c>
      <c r="AK169" s="15" t="n">
        <v>7.4</v>
      </c>
      <c r="AL169" s="15" t="n">
        <v>0</v>
      </c>
      <c r="AM169" s="15" t="n">
        <v>0</v>
      </c>
      <c r="AN169" s="15" t="s">
        <v>1264</v>
      </c>
      <c r="AO169" s="15" t="s">
        <v>960</v>
      </c>
      <c r="AP169" s="15" t="s">
        <v>163</v>
      </c>
      <c r="AQ169" s="15"/>
      <c r="AR169" s="29" t="str">
        <f aca="false">IF(A169="","",IF(COUNTIF(Parcels!$A$2:$A$3000,B169)=0,"Parcel not found",IF(COUNTIF($A$2:$A$3000,A169)&gt;1,"Duplicate perm_id",IF(AND(P169="Yes",D169&lt;&gt;"",COUNTIFS($C$2:$C$3000,D169,$P$2:$P$3000,"Yes")&gt;1),"Reference counted twice",IF(COUNTIF(Lists!$A$2:$A$7,I169)=0,"Unknown status","")))))</f>
        <v/>
      </c>
    </row>
    <row r="170" customFormat="false" ht="15" hidden="false" customHeight="false" outlineLevel="0" collapsed="false">
      <c r="A170" s="15" t="s">
        <v>1812</v>
      </c>
      <c r="B170" s="15" t="s">
        <v>442</v>
      </c>
      <c r="C170" s="15" t="s">
        <v>53</v>
      </c>
      <c r="D170" s="15" t="s">
        <v>1813</v>
      </c>
      <c r="E170" s="15" t="s">
        <v>1813</v>
      </c>
      <c r="F170" s="15" t="s">
        <v>443</v>
      </c>
      <c r="G170" s="15" t="n">
        <v>13</v>
      </c>
      <c r="H170" s="15"/>
      <c r="I170" s="15" t="s">
        <v>48</v>
      </c>
      <c r="J170" s="15" t="s">
        <v>947</v>
      </c>
      <c r="K170" s="15" t="s">
        <v>48</v>
      </c>
      <c r="L170" s="15" t="n">
        <v>0</v>
      </c>
      <c r="M170" s="15" t="n">
        <v>0</v>
      </c>
      <c r="N170" s="15"/>
      <c r="O170" s="15" t="s">
        <v>948</v>
      </c>
      <c r="P170" s="15" t="s">
        <v>949</v>
      </c>
      <c r="Q170" s="15" t="s">
        <v>950</v>
      </c>
      <c r="R170" s="15" t="n">
        <v>0</v>
      </c>
      <c r="S170" s="15" t="n">
        <v>5</v>
      </c>
      <c r="T170" s="15" t="n">
        <v>8</v>
      </c>
      <c r="U170" s="15" t="n">
        <v>0</v>
      </c>
      <c r="V170" s="15" t="n">
        <v>0</v>
      </c>
      <c r="W170" s="15" t="n">
        <v>0</v>
      </c>
      <c r="X170" s="15" t="s">
        <v>951</v>
      </c>
      <c r="Y170" s="15" t="s">
        <v>974</v>
      </c>
      <c r="Z170" s="15" t="s">
        <v>975</v>
      </c>
      <c r="AA170" s="15" t="s">
        <v>976</v>
      </c>
      <c r="AB170" s="15" t="s">
        <v>1667</v>
      </c>
      <c r="AC170" s="15"/>
      <c r="AD170" s="15" t="s">
        <v>1814</v>
      </c>
      <c r="AE170" s="15" t="s">
        <v>1649</v>
      </c>
      <c r="AF170" s="15" t="s">
        <v>1139</v>
      </c>
      <c r="AG170" s="15" t="s">
        <v>981</v>
      </c>
      <c r="AH170" s="15" t="n">
        <v>0</v>
      </c>
      <c r="AI170" s="15" t="n">
        <v>13</v>
      </c>
      <c r="AJ170" s="15" t="n">
        <v>0</v>
      </c>
      <c r="AK170" s="15" t="n">
        <v>0</v>
      </c>
      <c r="AL170" s="15" t="n">
        <v>0</v>
      </c>
      <c r="AM170" s="15" t="n">
        <v>0</v>
      </c>
      <c r="AN170" s="15" t="s">
        <v>1264</v>
      </c>
      <c r="AO170" s="15" t="s">
        <v>960</v>
      </c>
      <c r="AP170" s="15" t="s">
        <v>163</v>
      </c>
      <c r="AQ170" s="15"/>
      <c r="AR170" s="29" t="str">
        <f aca="false">IF(A170="","",IF(COUNTIF(Parcels!$A$2:$A$3000,B170)=0,"Parcel not found",IF(COUNTIF($A$2:$A$3000,A170)&gt;1,"Duplicate perm_id",IF(AND(P170="Yes",D170&lt;&gt;"",COUNTIFS($C$2:$C$3000,D170,$P$2:$P$3000,"Yes")&gt;1),"Reference counted twice",IF(COUNTIF(Lists!$A$2:$A$7,I170)=0,"Unknown status","")))))</f>
        <v/>
      </c>
    </row>
    <row r="171" customFormat="false" ht="15" hidden="false" customHeight="false" outlineLevel="0" collapsed="false">
      <c r="A171" s="15" t="s">
        <v>1815</v>
      </c>
      <c r="B171" s="15" t="s">
        <v>646</v>
      </c>
      <c r="C171" s="15" t="s">
        <v>64</v>
      </c>
      <c r="D171" s="15" t="s">
        <v>1816</v>
      </c>
      <c r="E171" s="15" t="s">
        <v>1816</v>
      </c>
      <c r="F171" s="15" t="s">
        <v>647</v>
      </c>
      <c r="G171" s="15" t="n">
        <v>93</v>
      </c>
      <c r="H171" s="15"/>
      <c r="I171" s="15" t="s">
        <v>48</v>
      </c>
      <c r="J171" s="15" t="s">
        <v>947</v>
      </c>
      <c r="K171" s="15" t="s">
        <v>48</v>
      </c>
      <c r="L171" s="15" t="n">
        <v>0</v>
      </c>
      <c r="M171" s="15" t="n">
        <v>37</v>
      </c>
      <c r="N171" s="15"/>
      <c r="O171" s="15" t="s">
        <v>948</v>
      </c>
      <c r="P171" s="15" t="s">
        <v>949</v>
      </c>
      <c r="Q171" s="15" t="s">
        <v>1303</v>
      </c>
      <c r="R171" s="15" t="n">
        <v>0</v>
      </c>
      <c r="S171" s="15" t="n">
        <v>18</v>
      </c>
      <c r="T171" s="15" t="n">
        <v>18</v>
      </c>
      <c r="U171" s="15" t="n">
        <v>44</v>
      </c>
      <c r="V171" s="15" t="n">
        <v>13</v>
      </c>
      <c r="W171" s="15" t="n">
        <v>0</v>
      </c>
      <c r="X171" s="15" t="s">
        <v>951</v>
      </c>
      <c r="Y171" s="15" t="s">
        <v>952</v>
      </c>
      <c r="Z171" s="15" t="s">
        <v>170</v>
      </c>
      <c r="AA171" s="15" t="s">
        <v>966</v>
      </c>
      <c r="AB171" s="15" t="s">
        <v>1817</v>
      </c>
      <c r="AC171" s="15" t="s">
        <v>1818</v>
      </c>
      <c r="AD171" s="15" t="s">
        <v>1819</v>
      </c>
      <c r="AE171" s="15" t="s">
        <v>1457</v>
      </c>
      <c r="AF171" s="15" t="s">
        <v>980</v>
      </c>
      <c r="AG171" s="15" t="s">
        <v>981</v>
      </c>
      <c r="AH171" s="15" t="n">
        <v>21.7</v>
      </c>
      <c r="AI171" s="15" t="n">
        <v>71.3</v>
      </c>
      <c r="AJ171" s="15" t="n">
        <v>0</v>
      </c>
      <c r="AK171" s="15" t="n">
        <v>0</v>
      </c>
      <c r="AL171" s="15" t="n">
        <v>0</v>
      </c>
      <c r="AM171" s="15" t="n">
        <v>0</v>
      </c>
      <c r="AN171" s="15" t="s">
        <v>1264</v>
      </c>
      <c r="AO171" s="15" t="s">
        <v>960</v>
      </c>
      <c r="AP171" s="15" t="s">
        <v>163</v>
      </c>
      <c r="AQ171" s="15"/>
      <c r="AR171" s="29" t="str">
        <f aca="false">IF(A171="","",IF(COUNTIF(Parcels!$A$2:$A$3000,B171)=0,"Parcel not found",IF(COUNTIF($A$2:$A$3000,A171)&gt;1,"Duplicate perm_id",IF(AND(P171="Yes",D171&lt;&gt;"",COUNTIFS($C$2:$C$3000,D171,$P$2:$P$3000,"Yes")&gt;1),"Reference counted twice",IF(COUNTIF(Lists!$A$2:$A$7,I171)=0,"Unknown status","")))))</f>
        <v/>
      </c>
    </row>
    <row r="172" customFormat="false" ht="15" hidden="false" customHeight="false" outlineLevel="0" collapsed="false">
      <c r="A172" s="15" t="s">
        <v>1820</v>
      </c>
      <c r="B172" s="15" t="s">
        <v>648</v>
      </c>
      <c r="C172" s="15" t="s">
        <v>67</v>
      </c>
      <c r="D172" s="15" t="s">
        <v>1821</v>
      </c>
      <c r="E172" s="15" t="s">
        <v>1821</v>
      </c>
      <c r="F172" s="15" t="s">
        <v>649</v>
      </c>
      <c r="G172" s="15" t="n">
        <v>99</v>
      </c>
      <c r="H172" s="15"/>
      <c r="I172" s="15" t="s">
        <v>946</v>
      </c>
      <c r="J172" s="15" t="s">
        <v>947</v>
      </c>
      <c r="K172" s="15" t="s">
        <v>946</v>
      </c>
      <c r="L172" s="15" t="n">
        <v>0</v>
      </c>
      <c r="M172" s="15" t="n">
        <v>0</v>
      </c>
      <c r="N172" s="15"/>
      <c r="O172" s="15" t="s">
        <v>948</v>
      </c>
      <c r="P172" s="15" t="s">
        <v>949</v>
      </c>
      <c r="Q172" s="15" t="s">
        <v>989</v>
      </c>
      <c r="R172" s="15" t="n">
        <v>0</v>
      </c>
      <c r="S172" s="15" t="n">
        <v>1</v>
      </c>
      <c r="T172" s="15" t="n">
        <v>12</v>
      </c>
      <c r="U172" s="15" t="n">
        <v>35</v>
      </c>
      <c r="V172" s="15" t="n">
        <v>22</v>
      </c>
      <c r="W172" s="15" t="n">
        <v>4</v>
      </c>
      <c r="X172" s="15" t="s">
        <v>973</v>
      </c>
      <c r="Y172" s="15" t="s">
        <v>952</v>
      </c>
      <c r="Z172" s="15" t="s">
        <v>170</v>
      </c>
      <c r="AA172" s="15" t="s">
        <v>966</v>
      </c>
      <c r="AB172" s="15" t="s">
        <v>1822</v>
      </c>
      <c r="AC172" s="15" t="s">
        <v>1823</v>
      </c>
      <c r="AD172" s="15"/>
      <c r="AE172" s="15" t="s">
        <v>956</v>
      </c>
      <c r="AF172" s="15" t="s">
        <v>1140</v>
      </c>
      <c r="AG172" s="15" t="s">
        <v>958</v>
      </c>
      <c r="AH172" s="15" t="n">
        <v>0</v>
      </c>
      <c r="AI172" s="15" t="n">
        <v>0</v>
      </c>
      <c r="AJ172" s="15" t="n">
        <v>25.1</v>
      </c>
      <c r="AK172" s="15" t="n">
        <v>51.9</v>
      </c>
      <c r="AL172" s="15" t="n">
        <v>22</v>
      </c>
      <c r="AM172" s="15" t="n">
        <v>0</v>
      </c>
      <c r="AN172" s="15" t="s">
        <v>1264</v>
      </c>
      <c r="AO172" s="15" t="s">
        <v>960</v>
      </c>
      <c r="AP172" s="15" t="s">
        <v>163</v>
      </c>
      <c r="AQ172" s="15"/>
      <c r="AR172" s="29" t="str">
        <f aca="false">IF(A172="","",IF(COUNTIF(Parcels!$A$2:$A$3000,B172)=0,"Parcel not found",IF(COUNTIF($A$2:$A$3000,A172)&gt;1,"Duplicate perm_id",IF(AND(P172="Yes",D172&lt;&gt;"",COUNTIFS($C$2:$C$3000,D172,$P$2:$P$3000,"Yes")&gt;1),"Reference counted twice",IF(COUNTIF(Lists!$A$2:$A$7,I172)=0,"Unknown status","")))))</f>
        <v/>
      </c>
    </row>
    <row r="173" customFormat="false" ht="15" hidden="false" customHeight="false" outlineLevel="0" collapsed="false">
      <c r="A173" s="15" t="s">
        <v>1824</v>
      </c>
      <c r="B173" s="15" t="s">
        <v>648</v>
      </c>
      <c r="C173" s="15" t="s">
        <v>67</v>
      </c>
      <c r="D173" s="15" t="s">
        <v>1825</v>
      </c>
      <c r="E173" s="15" t="s">
        <v>1825</v>
      </c>
      <c r="F173" s="15" t="s">
        <v>1826</v>
      </c>
      <c r="G173" s="15" t="n">
        <v>28</v>
      </c>
      <c r="H173" s="15"/>
      <c r="I173" s="15" t="s">
        <v>946</v>
      </c>
      <c r="J173" s="15" t="s">
        <v>947</v>
      </c>
      <c r="K173" s="15" t="s">
        <v>946</v>
      </c>
      <c r="L173" s="15" t="n">
        <v>0</v>
      </c>
      <c r="M173" s="15" t="n">
        <v>0</v>
      </c>
      <c r="N173" s="15"/>
      <c r="O173" s="15" t="s">
        <v>948</v>
      </c>
      <c r="P173" s="15" t="s">
        <v>949</v>
      </c>
      <c r="Q173" s="15" t="s">
        <v>989</v>
      </c>
      <c r="R173" s="15" t="n">
        <v>0</v>
      </c>
      <c r="S173" s="15" t="n">
        <v>2</v>
      </c>
      <c r="T173" s="15" t="n">
        <v>6</v>
      </c>
      <c r="U173" s="15" t="n">
        <v>15</v>
      </c>
      <c r="V173" s="15" t="n">
        <v>5</v>
      </c>
      <c r="W173" s="15" t="n">
        <v>0</v>
      </c>
      <c r="X173" s="15" t="s">
        <v>1082</v>
      </c>
      <c r="Y173" s="15" t="s">
        <v>952</v>
      </c>
      <c r="Z173" s="15" t="s">
        <v>170</v>
      </c>
      <c r="AA173" s="15" t="s">
        <v>966</v>
      </c>
      <c r="AB173" s="15" t="s">
        <v>1827</v>
      </c>
      <c r="AC173" s="15" t="s">
        <v>1828</v>
      </c>
      <c r="AD173" s="15"/>
      <c r="AE173" s="15" t="s">
        <v>956</v>
      </c>
      <c r="AF173" s="15" t="s">
        <v>999</v>
      </c>
      <c r="AG173" s="15" t="s">
        <v>958</v>
      </c>
      <c r="AH173" s="15" t="n">
        <v>0</v>
      </c>
      <c r="AI173" s="15" t="n">
        <v>0</v>
      </c>
      <c r="AJ173" s="15" t="n">
        <v>21.3</v>
      </c>
      <c r="AK173" s="15" t="n">
        <v>6.7</v>
      </c>
      <c r="AL173" s="15" t="n">
        <v>0</v>
      </c>
      <c r="AM173" s="15" t="n">
        <v>0</v>
      </c>
      <c r="AN173" s="15" t="s">
        <v>1264</v>
      </c>
      <c r="AO173" s="15" t="s">
        <v>960</v>
      </c>
      <c r="AP173" s="15" t="s">
        <v>163</v>
      </c>
      <c r="AQ173" s="15"/>
      <c r="AR173" s="29" t="str">
        <f aca="false">IF(A173="","",IF(COUNTIF(Parcels!$A$2:$A$3000,B173)=0,"Parcel not found",IF(COUNTIF($A$2:$A$3000,A173)&gt;1,"Duplicate perm_id",IF(AND(P173="Yes",D173&lt;&gt;"",COUNTIFS($C$2:$C$3000,D173,$P$2:$P$3000,"Yes")&gt;1),"Reference counted twice",IF(COUNTIF(Lists!$A$2:$A$7,I173)=0,"Unknown status","")))))</f>
        <v/>
      </c>
    </row>
    <row r="174" customFormat="false" ht="15" hidden="false" customHeight="false" outlineLevel="0" collapsed="false">
      <c r="A174" s="15" t="s">
        <v>1829</v>
      </c>
      <c r="B174" s="15" t="s">
        <v>650</v>
      </c>
      <c r="C174" s="15" t="s">
        <v>63</v>
      </c>
      <c r="D174" s="15" t="s">
        <v>1830</v>
      </c>
      <c r="E174" s="15" t="s">
        <v>1830</v>
      </c>
      <c r="F174" s="15" t="s">
        <v>651</v>
      </c>
      <c r="G174" s="15" t="n">
        <v>28</v>
      </c>
      <c r="H174" s="15"/>
      <c r="I174" s="15" t="s">
        <v>48</v>
      </c>
      <c r="J174" s="15" t="s">
        <v>947</v>
      </c>
      <c r="K174" s="15" t="s">
        <v>48</v>
      </c>
      <c r="L174" s="15" t="n">
        <v>0</v>
      </c>
      <c r="M174" s="15" t="n">
        <v>0</v>
      </c>
      <c r="N174" s="15"/>
      <c r="O174" s="15" t="s">
        <v>948</v>
      </c>
      <c r="P174" s="15" t="s">
        <v>949</v>
      </c>
      <c r="Q174" s="15" t="s">
        <v>965</v>
      </c>
      <c r="R174" s="15"/>
      <c r="S174" s="15"/>
      <c r="T174" s="15"/>
      <c r="U174" s="15"/>
      <c r="V174" s="15"/>
      <c r="W174" s="15"/>
      <c r="X174" s="15" t="s">
        <v>951</v>
      </c>
      <c r="Y174" s="15" t="s">
        <v>952</v>
      </c>
      <c r="Z174" s="15" t="s">
        <v>170</v>
      </c>
      <c r="AA174" s="15" t="s">
        <v>966</v>
      </c>
      <c r="AB174" s="15" t="s">
        <v>1831</v>
      </c>
      <c r="AC174" s="15" t="s">
        <v>1832</v>
      </c>
      <c r="AD174" s="15" t="s">
        <v>1833</v>
      </c>
      <c r="AE174" s="15" t="s">
        <v>1649</v>
      </c>
      <c r="AF174" s="15" t="s">
        <v>980</v>
      </c>
      <c r="AG174" s="15" t="s">
        <v>981</v>
      </c>
      <c r="AH174" s="15" t="n">
        <v>1.2</v>
      </c>
      <c r="AI174" s="15" t="n">
        <v>26.8</v>
      </c>
      <c r="AJ174" s="15" t="n">
        <v>0</v>
      </c>
      <c r="AK174" s="15" t="n">
        <v>0</v>
      </c>
      <c r="AL174" s="15" t="n">
        <v>0</v>
      </c>
      <c r="AM174" s="15" t="n">
        <v>0</v>
      </c>
      <c r="AN174" s="15" t="s">
        <v>1264</v>
      </c>
      <c r="AO174" s="15" t="s">
        <v>960</v>
      </c>
      <c r="AP174" s="15" t="s">
        <v>163</v>
      </c>
      <c r="AQ174" s="15"/>
      <c r="AR174" s="29" t="str">
        <f aca="false">IF(A174="","",IF(COUNTIF(Parcels!$A$2:$A$3000,B174)=0,"Parcel not found",IF(COUNTIF($A$2:$A$3000,A174)&gt;1,"Duplicate perm_id",IF(AND(P174="Yes",D174&lt;&gt;"",COUNTIFS($C$2:$C$3000,D174,$P$2:$P$3000,"Yes")&gt;1),"Reference counted twice",IF(COUNTIF(Lists!$A$2:$A$7,I174)=0,"Unknown status","")))))</f>
        <v/>
      </c>
    </row>
    <row r="175" customFormat="false" ht="15" hidden="false" customHeight="false" outlineLevel="0" collapsed="false">
      <c r="A175" s="15" t="s">
        <v>1834</v>
      </c>
      <c r="B175" s="15" t="s">
        <v>444</v>
      </c>
      <c r="C175" s="15" t="s">
        <v>53</v>
      </c>
      <c r="D175" s="15" t="s">
        <v>1835</v>
      </c>
      <c r="E175" s="15" t="s">
        <v>1835</v>
      </c>
      <c r="F175" s="15" t="s">
        <v>445</v>
      </c>
      <c r="G175" s="15" t="n">
        <v>4</v>
      </c>
      <c r="H175" s="15"/>
      <c r="I175" s="15" t="s">
        <v>946</v>
      </c>
      <c r="J175" s="15" t="s">
        <v>947</v>
      </c>
      <c r="K175" s="15" t="s">
        <v>946</v>
      </c>
      <c r="L175" s="15" t="n">
        <v>0</v>
      </c>
      <c r="M175" s="15" t="n">
        <v>0</v>
      </c>
      <c r="N175" s="15"/>
      <c r="O175" s="15" t="s">
        <v>948</v>
      </c>
      <c r="P175" s="15" t="s">
        <v>949</v>
      </c>
      <c r="Q175" s="15" t="s">
        <v>989</v>
      </c>
      <c r="R175" s="15" t="n">
        <v>0</v>
      </c>
      <c r="S175" s="15" t="n">
        <v>2</v>
      </c>
      <c r="T175" s="15" t="n">
        <v>2</v>
      </c>
      <c r="U175" s="15" t="n">
        <v>0</v>
      </c>
      <c r="V175" s="15" t="n">
        <v>0</v>
      </c>
      <c r="W175" s="15" t="n">
        <v>0</v>
      </c>
      <c r="X175" s="15" t="s">
        <v>951</v>
      </c>
      <c r="Y175" s="15" t="s">
        <v>974</v>
      </c>
      <c r="Z175" s="15" t="s">
        <v>1004</v>
      </c>
      <c r="AA175" s="15" t="s">
        <v>966</v>
      </c>
      <c r="AB175" s="15" t="s">
        <v>1836</v>
      </c>
      <c r="AC175" s="15" t="s">
        <v>1837</v>
      </c>
      <c r="AD175" s="15"/>
      <c r="AE175" s="15" t="s">
        <v>956</v>
      </c>
      <c r="AF175" s="15" t="s">
        <v>1133</v>
      </c>
      <c r="AG175" s="15" t="s">
        <v>958</v>
      </c>
      <c r="AH175" s="15" t="n">
        <v>0</v>
      </c>
      <c r="AI175" s="15" t="n">
        <v>0</v>
      </c>
      <c r="AJ175" s="15" t="n">
        <v>2.5</v>
      </c>
      <c r="AK175" s="15" t="n">
        <v>1.5</v>
      </c>
      <c r="AL175" s="15" t="n">
        <v>0</v>
      </c>
      <c r="AM175" s="15" t="n">
        <v>0</v>
      </c>
      <c r="AN175" s="15" t="s">
        <v>1264</v>
      </c>
      <c r="AO175" s="15" t="s">
        <v>960</v>
      </c>
      <c r="AP175" s="15" t="s">
        <v>163</v>
      </c>
      <c r="AQ175" s="15"/>
      <c r="AR175" s="29" t="str">
        <f aca="false">IF(A175="","",IF(COUNTIF(Parcels!$A$2:$A$3000,B175)=0,"Parcel not found",IF(COUNTIF($A$2:$A$3000,A175)&gt;1,"Duplicate perm_id",IF(AND(P175="Yes",D175&lt;&gt;"",COUNTIFS($C$2:$C$3000,D175,$P$2:$P$3000,"Yes")&gt;1),"Reference counted twice",IF(COUNTIF(Lists!$A$2:$A$7,I175)=0,"Unknown status","")))))</f>
        <v/>
      </c>
    </row>
    <row r="176" customFormat="false" ht="15" hidden="false" customHeight="false" outlineLevel="0" collapsed="false">
      <c r="A176" s="15" t="s">
        <v>1838</v>
      </c>
      <c r="B176" s="15" t="s">
        <v>652</v>
      </c>
      <c r="C176" s="15" t="s">
        <v>69</v>
      </c>
      <c r="D176" s="15" t="s">
        <v>1839</v>
      </c>
      <c r="E176" s="15" t="s">
        <v>1839</v>
      </c>
      <c r="F176" s="15" t="s">
        <v>653</v>
      </c>
      <c r="G176" s="15" t="n">
        <v>22</v>
      </c>
      <c r="H176" s="15"/>
      <c r="I176" s="15" t="s">
        <v>48</v>
      </c>
      <c r="J176" s="15" t="s">
        <v>947</v>
      </c>
      <c r="K176" s="15" t="s">
        <v>48</v>
      </c>
      <c r="L176" s="15" t="n">
        <v>0</v>
      </c>
      <c r="M176" s="15" t="n">
        <v>15</v>
      </c>
      <c r="N176" s="15"/>
      <c r="O176" s="15" t="s">
        <v>948</v>
      </c>
      <c r="P176" s="15" t="s">
        <v>949</v>
      </c>
      <c r="Q176" s="15" t="s">
        <v>989</v>
      </c>
      <c r="R176" s="15" t="n">
        <v>0</v>
      </c>
      <c r="S176" s="15" t="n">
        <v>0</v>
      </c>
      <c r="T176" s="15" t="n">
        <v>4</v>
      </c>
      <c r="U176" s="15" t="n">
        <v>12</v>
      </c>
      <c r="V176" s="15" t="n">
        <v>6</v>
      </c>
      <c r="W176" s="15" t="n">
        <v>0</v>
      </c>
      <c r="X176" s="15" t="s">
        <v>951</v>
      </c>
      <c r="Y176" s="15" t="s">
        <v>952</v>
      </c>
      <c r="Z176" s="15" t="s">
        <v>170</v>
      </c>
      <c r="AA176" s="15" t="s">
        <v>966</v>
      </c>
      <c r="AB176" s="15" t="s">
        <v>1321</v>
      </c>
      <c r="AC176" s="15" t="s">
        <v>1840</v>
      </c>
      <c r="AD176" s="15" t="s">
        <v>1841</v>
      </c>
      <c r="AE176" s="15" t="s">
        <v>1799</v>
      </c>
      <c r="AF176" s="15" t="s">
        <v>1040</v>
      </c>
      <c r="AG176" s="15" t="s">
        <v>981</v>
      </c>
      <c r="AH176" s="15" t="n">
        <v>3.1</v>
      </c>
      <c r="AI176" s="15" t="n">
        <v>13.5</v>
      </c>
      <c r="AJ176" s="15" t="n">
        <v>5.4</v>
      </c>
      <c r="AK176" s="15" t="n">
        <v>0</v>
      </c>
      <c r="AL176" s="15" t="n">
        <v>0</v>
      </c>
      <c r="AM176" s="15" t="n">
        <v>0</v>
      </c>
      <c r="AN176" s="15" t="s">
        <v>1264</v>
      </c>
      <c r="AO176" s="15" t="s">
        <v>960</v>
      </c>
      <c r="AP176" s="15" t="s">
        <v>163</v>
      </c>
      <c r="AQ176" s="15"/>
      <c r="AR176" s="29" t="str">
        <f aca="false">IF(A176="","",IF(COUNTIF(Parcels!$A$2:$A$3000,B176)=0,"Parcel not found",IF(COUNTIF($A$2:$A$3000,A176)&gt;1,"Duplicate perm_id",IF(AND(P176="Yes",D176&lt;&gt;"",COUNTIFS($C$2:$C$3000,D176,$P$2:$P$3000,"Yes")&gt;1),"Reference counted twice",IF(COUNTIF(Lists!$A$2:$A$7,I176)=0,"Unknown status","")))))</f>
        <v/>
      </c>
    </row>
    <row r="177" customFormat="false" ht="15" hidden="false" customHeight="false" outlineLevel="0" collapsed="false">
      <c r="A177" s="15" t="s">
        <v>1842</v>
      </c>
      <c r="B177" s="15" t="s">
        <v>349</v>
      </c>
      <c r="C177" s="15" t="s">
        <v>50</v>
      </c>
      <c r="D177" s="15" t="s">
        <v>1843</v>
      </c>
      <c r="E177" s="15" t="s">
        <v>1843</v>
      </c>
      <c r="F177" s="15" t="s">
        <v>350</v>
      </c>
      <c r="G177" s="15" t="n">
        <v>21</v>
      </c>
      <c r="H177" s="15"/>
      <c r="I177" s="15" t="s">
        <v>48</v>
      </c>
      <c r="J177" s="15" t="s">
        <v>947</v>
      </c>
      <c r="K177" s="15" t="s">
        <v>48</v>
      </c>
      <c r="L177" s="15" t="n">
        <v>0</v>
      </c>
      <c r="M177" s="15" t="n">
        <v>0</v>
      </c>
      <c r="N177" s="15"/>
      <c r="O177" s="15" t="s">
        <v>948</v>
      </c>
      <c r="P177" s="15" t="s">
        <v>949</v>
      </c>
      <c r="Q177" s="15" t="s">
        <v>950</v>
      </c>
      <c r="R177" s="15" t="n">
        <v>0</v>
      </c>
      <c r="S177" s="15" t="n">
        <v>8</v>
      </c>
      <c r="T177" s="15" t="n">
        <v>13</v>
      </c>
      <c r="U177" s="15" t="n">
        <v>0</v>
      </c>
      <c r="V177" s="15" t="n">
        <v>0</v>
      </c>
      <c r="W177" s="15" t="n">
        <v>0</v>
      </c>
      <c r="X177" s="15" t="s">
        <v>951</v>
      </c>
      <c r="Y177" s="15" t="s">
        <v>974</v>
      </c>
      <c r="Z177" s="15" t="s">
        <v>1004</v>
      </c>
      <c r="AA177" s="15" t="s">
        <v>966</v>
      </c>
      <c r="AB177" s="15" t="s">
        <v>1844</v>
      </c>
      <c r="AC177" s="15" t="s">
        <v>1845</v>
      </c>
      <c r="AD177" s="15" t="s">
        <v>1846</v>
      </c>
      <c r="AE177" s="15" t="s">
        <v>1799</v>
      </c>
      <c r="AF177" s="15" t="s">
        <v>1040</v>
      </c>
      <c r="AG177" s="15" t="s">
        <v>981</v>
      </c>
      <c r="AH177" s="15" t="n">
        <v>2.7</v>
      </c>
      <c r="AI177" s="15" t="n">
        <v>13.9</v>
      </c>
      <c r="AJ177" s="15" t="n">
        <v>4.5</v>
      </c>
      <c r="AK177" s="15" t="n">
        <v>0</v>
      </c>
      <c r="AL177" s="15" t="n">
        <v>0</v>
      </c>
      <c r="AM177" s="15" t="n">
        <v>-0.1</v>
      </c>
      <c r="AN177" s="15" t="s">
        <v>1264</v>
      </c>
      <c r="AO177" s="15" t="s">
        <v>960</v>
      </c>
      <c r="AP177" s="15" t="s">
        <v>163</v>
      </c>
      <c r="AQ177" s="15"/>
      <c r="AR177" s="29" t="str">
        <f aca="false">IF(A177="","",IF(COUNTIF(Parcels!$A$2:$A$3000,B177)=0,"Parcel not found",IF(COUNTIF($A$2:$A$3000,A177)&gt;1,"Duplicate perm_id",IF(AND(P177="Yes",D177&lt;&gt;"",COUNTIFS($C$2:$C$3000,D177,$P$2:$P$3000,"Yes")&gt;1),"Reference counted twice",IF(COUNTIF(Lists!$A$2:$A$7,I177)=0,"Unknown status","")))))</f>
        <v/>
      </c>
    </row>
    <row r="178" customFormat="false" ht="15" hidden="false" customHeight="false" outlineLevel="0" collapsed="false">
      <c r="A178" s="15" t="s">
        <v>1847</v>
      </c>
      <c r="B178" s="15" t="s">
        <v>654</v>
      </c>
      <c r="C178" s="15" t="s">
        <v>74</v>
      </c>
      <c r="D178" s="15" t="s">
        <v>1848</v>
      </c>
      <c r="E178" s="15" t="s">
        <v>1848</v>
      </c>
      <c r="F178" s="15" t="s">
        <v>655</v>
      </c>
      <c r="G178" s="15" t="n">
        <v>41</v>
      </c>
      <c r="H178" s="15"/>
      <c r="I178" s="15" t="s">
        <v>946</v>
      </c>
      <c r="J178" s="15" t="s">
        <v>947</v>
      </c>
      <c r="K178" s="15" t="s">
        <v>946</v>
      </c>
      <c r="L178" s="15" t="n">
        <v>0</v>
      </c>
      <c r="M178" s="15" t="n">
        <v>0</v>
      </c>
      <c r="N178" s="15"/>
      <c r="O178" s="15" t="s">
        <v>948</v>
      </c>
      <c r="P178" s="15" t="s">
        <v>949</v>
      </c>
      <c r="Q178" s="15" t="s">
        <v>1303</v>
      </c>
      <c r="R178" s="15" t="n">
        <v>0</v>
      </c>
      <c r="S178" s="15" t="n">
        <v>0</v>
      </c>
      <c r="T178" s="15" t="n">
        <v>0</v>
      </c>
      <c r="U178" s="15" t="n">
        <v>41</v>
      </c>
      <c r="V178" s="15" t="n">
        <v>0</v>
      </c>
      <c r="W178" s="15" t="n">
        <v>0</v>
      </c>
      <c r="X178" s="15" t="s">
        <v>973</v>
      </c>
      <c r="Y178" s="15" t="s">
        <v>952</v>
      </c>
      <c r="Z178" s="15" t="s">
        <v>170</v>
      </c>
      <c r="AA178" s="15" t="s">
        <v>966</v>
      </c>
      <c r="AB178" s="15" t="s">
        <v>1849</v>
      </c>
      <c r="AC178" s="15" t="s">
        <v>1517</v>
      </c>
      <c r="AD178" s="15"/>
      <c r="AE178" s="15" t="s">
        <v>1219</v>
      </c>
      <c r="AF178" s="15" t="s">
        <v>1242</v>
      </c>
      <c r="AG178" s="15" t="s">
        <v>1000</v>
      </c>
      <c r="AH178" s="15" t="n">
        <v>0</v>
      </c>
      <c r="AI178" s="15" t="n">
        <v>1.1</v>
      </c>
      <c r="AJ178" s="15" t="n">
        <v>39.9</v>
      </c>
      <c r="AK178" s="15" t="n">
        <v>0</v>
      </c>
      <c r="AL178" s="15" t="n">
        <v>0</v>
      </c>
      <c r="AM178" s="15" t="n">
        <v>0</v>
      </c>
      <c r="AN178" s="15" t="s">
        <v>1264</v>
      </c>
      <c r="AO178" s="15" t="s">
        <v>960</v>
      </c>
      <c r="AP178" s="15" t="s">
        <v>163</v>
      </c>
      <c r="AQ178" s="15"/>
      <c r="AR178" s="29" t="str">
        <f aca="false">IF(A178="","",IF(COUNTIF(Parcels!$A$2:$A$3000,B178)=0,"Parcel not found",IF(COUNTIF($A$2:$A$3000,A178)&gt;1,"Duplicate perm_id",IF(AND(P178="Yes",D178&lt;&gt;"",COUNTIFS($C$2:$C$3000,D178,$P$2:$P$3000,"Yes")&gt;1),"Reference counted twice",IF(COUNTIF(Lists!$A$2:$A$7,I178)=0,"Unknown status","")))))</f>
        <v/>
      </c>
    </row>
    <row r="179" customFormat="false" ht="15" hidden="false" customHeight="false" outlineLevel="0" collapsed="false">
      <c r="A179" s="15" t="s">
        <v>1850</v>
      </c>
      <c r="B179" s="15" t="s">
        <v>446</v>
      </c>
      <c r="C179" s="15" t="s">
        <v>53</v>
      </c>
      <c r="D179" s="15" t="s">
        <v>1851</v>
      </c>
      <c r="E179" s="15" t="s">
        <v>1851</v>
      </c>
      <c r="F179" s="15" t="s">
        <v>447</v>
      </c>
      <c r="G179" s="15" t="n">
        <v>24</v>
      </c>
      <c r="H179" s="15"/>
      <c r="I179" s="15" t="s">
        <v>48</v>
      </c>
      <c r="J179" s="15" t="s">
        <v>947</v>
      </c>
      <c r="K179" s="15" t="s">
        <v>48</v>
      </c>
      <c r="L179" s="15" t="n">
        <v>0</v>
      </c>
      <c r="M179" s="15" t="n">
        <v>0</v>
      </c>
      <c r="N179" s="15"/>
      <c r="O179" s="15" t="s">
        <v>948</v>
      </c>
      <c r="P179" s="15" t="s">
        <v>949</v>
      </c>
      <c r="Q179" s="15" t="s">
        <v>950</v>
      </c>
      <c r="R179" s="15" t="n">
        <v>0</v>
      </c>
      <c r="S179" s="15" t="n">
        <v>13</v>
      </c>
      <c r="T179" s="15" t="n">
        <v>11</v>
      </c>
      <c r="U179" s="15" t="n">
        <v>0</v>
      </c>
      <c r="V179" s="15" t="n">
        <v>0</v>
      </c>
      <c r="W179" s="15" t="n">
        <v>0</v>
      </c>
      <c r="X179" s="15" t="s">
        <v>951</v>
      </c>
      <c r="Y179" s="15" t="s">
        <v>952</v>
      </c>
      <c r="Z179" s="15" t="s">
        <v>170</v>
      </c>
      <c r="AA179" s="15" t="s">
        <v>966</v>
      </c>
      <c r="AB179" s="15" t="s">
        <v>1852</v>
      </c>
      <c r="AC179" s="15" t="s">
        <v>1853</v>
      </c>
      <c r="AD179" s="15" t="s">
        <v>1854</v>
      </c>
      <c r="AE179" s="15" t="s">
        <v>1799</v>
      </c>
      <c r="AF179" s="15" t="s">
        <v>1242</v>
      </c>
      <c r="AG179" s="15" t="s">
        <v>981</v>
      </c>
      <c r="AH179" s="15" t="n">
        <v>1.1</v>
      </c>
      <c r="AI179" s="15" t="n">
        <v>12.8</v>
      </c>
      <c r="AJ179" s="15" t="n">
        <v>10.1</v>
      </c>
      <c r="AK179" s="15" t="n">
        <v>0</v>
      </c>
      <c r="AL179" s="15" t="n">
        <v>0</v>
      </c>
      <c r="AM179" s="15" t="n">
        <v>0</v>
      </c>
      <c r="AN179" s="15" t="s">
        <v>1264</v>
      </c>
      <c r="AO179" s="15" t="s">
        <v>960</v>
      </c>
      <c r="AP179" s="15" t="s">
        <v>163</v>
      </c>
      <c r="AQ179" s="15"/>
      <c r="AR179" s="29" t="str">
        <f aca="false">IF(A179="","",IF(COUNTIF(Parcels!$A$2:$A$3000,B179)=0,"Parcel not found",IF(COUNTIF($A$2:$A$3000,A179)&gt;1,"Duplicate perm_id",IF(AND(P179="Yes",D179&lt;&gt;"",COUNTIFS($C$2:$C$3000,D179,$P$2:$P$3000,"Yes")&gt;1),"Reference counted twice",IF(COUNTIF(Lists!$A$2:$A$7,I179)=0,"Unknown status","")))))</f>
        <v/>
      </c>
    </row>
    <row r="180" customFormat="false" ht="15" hidden="false" customHeight="false" outlineLevel="0" collapsed="false">
      <c r="A180" s="15" t="s">
        <v>1855</v>
      </c>
      <c r="B180" s="15" t="s">
        <v>656</v>
      </c>
      <c r="C180" s="15" t="s">
        <v>22</v>
      </c>
      <c r="D180" s="15" t="s">
        <v>1856</v>
      </c>
      <c r="E180" s="15" t="s">
        <v>1856</v>
      </c>
      <c r="F180" s="15" t="s">
        <v>657</v>
      </c>
      <c r="G180" s="15" t="n">
        <v>3</v>
      </c>
      <c r="H180" s="15"/>
      <c r="I180" s="15" t="s">
        <v>964</v>
      </c>
      <c r="J180" s="15" t="s">
        <v>947</v>
      </c>
      <c r="K180" s="15" t="s">
        <v>964</v>
      </c>
      <c r="L180" s="15" t="n">
        <v>0</v>
      </c>
      <c r="M180" s="15" t="n">
        <v>0</v>
      </c>
      <c r="N180" s="15"/>
      <c r="O180" s="15" t="s">
        <v>948</v>
      </c>
      <c r="P180" s="15" t="s">
        <v>949</v>
      </c>
      <c r="Q180" s="15" t="s">
        <v>965</v>
      </c>
      <c r="R180" s="15"/>
      <c r="S180" s="15"/>
      <c r="T180" s="15"/>
      <c r="U180" s="15"/>
      <c r="V180" s="15"/>
      <c r="W180" s="15"/>
      <c r="X180" s="15" t="s">
        <v>951</v>
      </c>
      <c r="Y180" s="15" t="s">
        <v>952</v>
      </c>
      <c r="Z180" s="15" t="s">
        <v>170</v>
      </c>
      <c r="AA180" s="15" t="s">
        <v>966</v>
      </c>
      <c r="AB180" s="15" t="s">
        <v>1857</v>
      </c>
      <c r="AC180" s="15" t="s">
        <v>1858</v>
      </c>
      <c r="AD180" s="15"/>
      <c r="AE180" s="15"/>
      <c r="AF180" s="15"/>
      <c r="AG180" s="15" t="s">
        <v>969</v>
      </c>
      <c r="AH180" s="15" t="n">
        <v>0</v>
      </c>
      <c r="AI180" s="15" t="n">
        <v>0</v>
      </c>
      <c r="AJ180" s="15" t="n">
        <v>0</v>
      </c>
      <c r="AK180" s="15" t="n">
        <v>0</v>
      </c>
      <c r="AL180" s="15" t="n">
        <v>0</v>
      </c>
      <c r="AM180" s="15" t="n">
        <v>0</v>
      </c>
      <c r="AN180" s="15" t="s">
        <v>1264</v>
      </c>
      <c r="AO180" s="15" t="s">
        <v>960</v>
      </c>
      <c r="AP180" s="15" t="s">
        <v>163</v>
      </c>
      <c r="AQ180" s="15"/>
      <c r="AR180" s="29" t="str">
        <f aca="false">IF(A180="","",IF(COUNTIF(Parcels!$A$2:$A$3000,B180)=0,"Parcel not found",IF(COUNTIF($A$2:$A$3000,A180)&gt;1,"Duplicate perm_id",IF(AND(P180="Yes",D180&lt;&gt;"",COUNTIFS($C$2:$C$3000,D180,$P$2:$P$3000,"Yes")&gt;1),"Reference counted twice",IF(COUNTIF(Lists!$A$2:$A$7,I180)=0,"Unknown status","")))))</f>
        <v/>
      </c>
    </row>
    <row r="181" customFormat="false" ht="15" hidden="false" customHeight="false" outlineLevel="0" collapsed="false">
      <c r="A181" s="15" t="s">
        <v>1859</v>
      </c>
      <c r="B181" s="15" t="s">
        <v>404</v>
      </c>
      <c r="C181" s="15" t="s">
        <v>52</v>
      </c>
      <c r="D181" s="15" t="s">
        <v>1860</v>
      </c>
      <c r="E181" s="15" t="s">
        <v>1860</v>
      </c>
      <c r="F181" s="15" t="s">
        <v>405</v>
      </c>
      <c r="G181" s="15" t="n">
        <v>14</v>
      </c>
      <c r="H181" s="15"/>
      <c r="I181" s="15" t="s">
        <v>48</v>
      </c>
      <c r="J181" s="15" t="s">
        <v>947</v>
      </c>
      <c r="K181" s="15" t="s">
        <v>48</v>
      </c>
      <c r="L181" s="15" t="n">
        <v>0</v>
      </c>
      <c r="M181" s="15" t="n">
        <v>13</v>
      </c>
      <c r="N181" s="15"/>
      <c r="O181" s="15" t="s">
        <v>948</v>
      </c>
      <c r="P181" s="15" t="s">
        <v>949</v>
      </c>
      <c r="Q181" s="15" t="s">
        <v>950</v>
      </c>
      <c r="R181" s="15" t="n">
        <v>0</v>
      </c>
      <c r="S181" s="15" t="n">
        <v>0</v>
      </c>
      <c r="T181" s="15" t="n">
        <v>14</v>
      </c>
      <c r="U181" s="15" t="n">
        <v>0</v>
      </c>
      <c r="V181" s="15" t="n">
        <v>0</v>
      </c>
      <c r="W181" s="15" t="n">
        <v>0</v>
      </c>
      <c r="X181" s="15" t="s">
        <v>951</v>
      </c>
      <c r="Y181" s="15" t="s">
        <v>952</v>
      </c>
      <c r="Z181" s="15" t="s">
        <v>170</v>
      </c>
      <c r="AA181" s="15" t="s">
        <v>966</v>
      </c>
      <c r="AB181" s="15" t="s">
        <v>1758</v>
      </c>
      <c r="AC181" s="15" t="s">
        <v>1759</v>
      </c>
      <c r="AD181" s="15" t="s">
        <v>1861</v>
      </c>
      <c r="AE181" s="15" t="s">
        <v>1457</v>
      </c>
      <c r="AF181" s="15" t="s">
        <v>980</v>
      </c>
      <c r="AG181" s="15" t="s">
        <v>981</v>
      </c>
      <c r="AH181" s="15" t="n">
        <v>3.3</v>
      </c>
      <c r="AI181" s="15" t="n">
        <v>10.7</v>
      </c>
      <c r="AJ181" s="15" t="n">
        <v>0</v>
      </c>
      <c r="AK181" s="15" t="n">
        <v>0</v>
      </c>
      <c r="AL181" s="15" t="n">
        <v>0</v>
      </c>
      <c r="AM181" s="15" t="n">
        <v>0</v>
      </c>
      <c r="AN181" s="15" t="s">
        <v>1264</v>
      </c>
      <c r="AO181" s="15" t="s">
        <v>960</v>
      </c>
      <c r="AP181" s="15" t="s">
        <v>163</v>
      </c>
      <c r="AQ181" s="15"/>
      <c r="AR181" s="29" t="str">
        <f aca="false">IF(A181="","",IF(COUNTIF(Parcels!$A$2:$A$3000,B181)=0,"Parcel not found",IF(COUNTIF($A$2:$A$3000,A181)&gt;1,"Duplicate perm_id",IF(AND(P181="Yes",D181&lt;&gt;"",COUNTIFS($C$2:$C$3000,D181,$P$2:$P$3000,"Yes")&gt;1),"Reference counted twice",IF(COUNTIF(Lists!$A$2:$A$7,I181)=0,"Unknown status","")))))</f>
        <v/>
      </c>
    </row>
    <row r="182" customFormat="false" ht="15" hidden="false" customHeight="false" outlineLevel="0" collapsed="false">
      <c r="A182" s="15" t="s">
        <v>1862</v>
      </c>
      <c r="B182" s="15" t="s">
        <v>448</v>
      </c>
      <c r="C182" s="15" t="s">
        <v>53</v>
      </c>
      <c r="D182" s="15" t="s">
        <v>1863</v>
      </c>
      <c r="E182" s="15" t="s">
        <v>1863</v>
      </c>
      <c r="F182" s="15" t="s">
        <v>449</v>
      </c>
      <c r="G182" s="15" t="n">
        <v>21</v>
      </c>
      <c r="H182" s="15"/>
      <c r="I182" s="15" t="s">
        <v>946</v>
      </c>
      <c r="J182" s="15" t="s">
        <v>947</v>
      </c>
      <c r="K182" s="15" t="s">
        <v>946</v>
      </c>
      <c r="L182" s="15" t="n">
        <v>0</v>
      </c>
      <c r="M182" s="15" t="n">
        <v>0</v>
      </c>
      <c r="N182" s="15"/>
      <c r="O182" s="15" t="s">
        <v>948</v>
      </c>
      <c r="P182" s="15" t="s">
        <v>949</v>
      </c>
      <c r="Q182" s="15" t="s">
        <v>950</v>
      </c>
      <c r="R182" s="15" t="n">
        <v>0</v>
      </c>
      <c r="S182" s="15" t="n">
        <v>18</v>
      </c>
      <c r="T182" s="15" t="n">
        <v>3</v>
      </c>
      <c r="U182" s="15" t="n">
        <v>0</v>
      </c>
      <c r="V182" s="15" t="n">
        <v>0</v>
      </c>
      <c r="W182" s="15" t="n">
        <v>0</v>
      </c>
      <c r="X182" s="15" t="s">
        <v>973</v>
      </c>
      <c r="Y182" s="15" t="s">
        <v>952</v>
      </c>
      <c r="Z182" s="15" t="s">
        <v>170</v>
      </c>
      <c r="AA182" s="15" t="s">
        <v>966</v>
      </c>
      <c r="AB182" s="15" t="s">
        <v>1864</v>
      </c>
      <c r="AC182" s="15" t="s">
        <v>1865</v>
      </c>
      <c r="AD182" s="15"/>
      <c r="AE182" s="15" t="s">
        <v>956</v>
      </c>
      <c r="AF182" s="15" t="s">
        <v>1034</v>
      </c>
      <c r="AG182" s="15" t="s">
        <v>958</v>
      </c>
      <c r="AH182" s="15" t="n">
        <v>0</v>
      </c>
      <c r="AI182" s="15" t="n">
        <v>0</v>
      </c>
      <c r="AJ182" s="15" t="n">
        <v>6.7</v>
      </c>
      <c r="AK182" s="15" t="n">
        <v>13.9</v>
      </c>
      <c r="AL182" s="15" t="n">
        <v>0.5</v>
      </c>
      <c r="AM182" s="15" t="n">
        <v>-0.1</v>
      </c>
      <c r="AN182" s="15" t="s">
        <v>1264</v>
      </c>
      <c r="AO182" s="15" t="s">
        <v>960</v>
      </c>
      <c r="AP182" s="15" t="s">
        <v>163</v>
      </c>
      <c r="AQ182" s="15"/>
      <c r="AR182" s="29" t="str">
        <f aca="false">IF(A182="","",IF(COUNTIF(Parcels!$A$2:$A$3000,B182)=0,"Parcel not found",IF(COUNTIF($A$2:$A$3000,A182)&gt;1,"Duplicate perm_id",IF(AND(P182="Yes",D182&lt;&gt;"",COUNTIFS($C$2:$C$3000,D182,$P$2:$P$3000,"Yes")&gt;1),"Reference counted twice",IF(COUNTIF(Lists!$A$2:$A$7,I182)=0,"Unknown status","")))))</f>
        <v/>
      </c>
    </row>
    <row r="183" customFormat="false" ht="15" hidden="false" customHeight="false" outlineLevel="0" collapsed="false">
      <c r="A183" s="15" t="s">
        <v>1866</v>
      </c>
      <c r="B183" s="15" t="s">
        <v>658</v>
      </c>
      <c r="C183" s="15" t="s">
        <v>22</v>
      </c>
      <c r="D183" s="15" t="s">
        <v>1867</v>
      </c>
      <c r="E183" s="15" t="s">
        <v>1867</v>
      </c>
      <c r="F183" s="15" t="s">
        <v>659</v>
      </c>
      <c r="G183" s="15" t="n">
        <v>8</v>
      </c>
      <c r="H183" s="15"/>
      <c r="I183" s="15" t="s">
        <v>47</v>
      </c>
      <c r="J183" s="15" t="s">
        <v>947</v>
      </c>
      <c r="K183" s="15" t="s">
        <v>47</v>
      </c>
      <c r="L183" s="15" t="n">
        <v>0</v>
      </c>
      <c r="M183" s="15" t="n">
        <v>8</v>
      </c>
      <c r="N183" s="15" t="s">
        <v>1074</v>
      </c>
      <c r="O183" s="15" t="s">
        <v>948</v>
      </c>
      <c r="P183" s="15" t="s">
        <v>949</v>
      </c>
      <c r="Q183" s="15" t="s">
        <v>989</v>
      </c>
      <c r="R183" s="15" t="n">
        <v>0</v>
      </c>
      <c r="S183" s="15" t="n">
        <v>0</v>
      </c>
      <c r="T183" s="15" t="n">
        <v>0</v>
      </c>
      <c r="U183" s="15" t="n">
        <v>0</v>
      </c>
      <c r="V183" s="15" t="n">
        <v>4</v>
      </c>
      <c r="W183" s="15" t="n">
        <v>0</v>
      </c>
      <c r="X183" s="15" t="s">
        <v>973</v>
      </c>
      <c r="Y183" s="15" t="s">
        <v>952</v>
      </c>
      <c r="Z183" s="15" t="s">
        <v>170</v>
      </c>
      <c r="AA183" s="15" t="s">
        <v>966</v>
      </c>
      <c r="AB183" s="15" t="s">
        <v>1868</v>
      </c>
      <c r="AC183" s="15" t="s">
        <v>1869</v>
      </c>
      <c r="AD183" s="15" t="s">
        <v>1697</v>
      </c>
      <c r="AE183" s="15"/>
      <c r="AF183" s="15"/>
      <c r="AG183" s="15" t="s">
        <v>992</v>
      </c>
      <c r="AH183" s="15" t="n">
        <v>0</v>
      </c>
      <c r="AI183" s="15" t="n">
        <v>0</v>
      </c>
      <c r="AJ183" s="15" t="n">
        <v>0</v>
      </c>
      <c r="AK183" s="15" t="n">
        <v>0</v>
      </c>
      <c r="AL183" s="15" t="n">
        <v>0</v>
      </c>
      <c r="AM183" s="15" t="n">
        <v>0</v>
      </c>
      <c r="AN183" s="15" t="s">
        <v>1264</v>
      </c>
      <c r="AO183" s="15" t="s">
        <v>960</v>
      </c>
      <c r="AP183" s="15" t="s">
        <v>163</v>
      </c>
      <c r="AQ183" s="15"/>
      <c r="AR183" s="29" t="str">
        <f aca="false">IF(A183="","",IF(COUNTIF(Parcels!$A$2:$A$3000,B183)=0,"Parcel not found",IF(COUNTIF($A$2:$A$3000,A183)&gt;1,"Duplicate perm_id",IF(AND(P183="Yes",D183&lt;&gt;"",COUNTIFS($C$2:$C$3000,D183,$P$2:$P$3000,"Yes")&gt;1),"Reference counted twice",IF(COUNTIF(Lists!$A$2:$A$7,I183)=0,"Unknown status","")))))</f>
        <v/>
      </c>
    </row>
    <row r="184" customFormat="false" ht="15" hidden="false" customHeight="false" outlineLevel="0" collapsed="false">
      <c r="A184" s="15" t="s">
        <v>1870</v>
      </c>
      <c r="B184" s="15" t="s">
        <v>660</v>
      </c>
      <c r="C184" s="15" t="s">
        <v>22</v>
      </c>
      <c r="D184" s="15" t="s">
        <v>1871</v>
      </c>
      <c r="E184" s="15" t="s">
        <v>1871</v>
      </c>
      <c r="F184" s="15" t="s">
        <v>661</v>
      </c>
      <c r="G184" s="15" t="n">
        <v>3</v>
      </c>
      <c r="H184" s="15"/>
      <c r="I184" s="15" t="s">
        <v>48</v>
      </c>
      <c r="J184" s="15" t="s">
        <v>947</v>
      </c>
      <c r="K184" s="15" t="s">
        <v>48</v>
      </c>
      <c r="L184" s="15" t="n">
        <v>1</v>
      </c>
      <c r="M184" s="15" t="n">
        <v>2</v>
      </c>
      <c r="N184" s="15"/>
      <c r="O184" s="15" t="s">
        <v>948</v>
      </c>
      <c r="P184" s="15" t="s">
        <v>949</v>
      </c>
      <c r="Q184" s="15" t="s">
        <v>965</v>
      </c>
      <c r="R184" s="15"/>
      <c r="S184" s="15"/>
      <c r="T184" s="15"/>
      <c r="U184" s="15"/>
      <c r="V184" s="15"/>
      <c r="W184" s="15"/>
      <c r="X184" s="15" t="s">
        <v>951</v>
      </c>
      <c r="Y184" s="15" t="s">
        <v>952</v>
      </c>
      <c r="Z184" s="15" t="s">
        <v>170</v>
      </c>
      <c r="AA184" s="15" t="s">
        <v>966</v>
      </c>
      <c r="AB184" s="15" t="s">
        <v>1872</v>
      </c>
      <c r="AC184" s="15" t="s">
        <v>1873</v>
      </c>
      <c r="AD184" s="15" t="s">
        <v>1874</v>
      </c>
      <c r="AE184" s="15" t="s">
        <v>1026</v>
      </c>
      <c r="AF184" s="15" t="s">
        <v>980</v>
      </c>
      <c r="AG184" s="15" t="s">
        <v>981</v>
      </c>
      <c r="AH184" s="15" t="n">
        <v>0.7</v>
      </c>
      <c r="AI184" s="15" t="n">
        <v>2.3</v>
      </c>
      <c r="AJ184" s="15" t="n">
        <v>0</v>
      </c>
      <c r="AK184" s="15" t="n">
        <v>0</v>
      </c>
      <c r="AL184" s="15" t="n">
        <v>0</v>
      </c>
      <c r="AM184" s="15" t="n">
        <v>0</v>
      </c>
      <c r="AN184" s="15" t="s">
        <v>1264</v>
      </c>
      <c r="AO184" s="15" t="s">
        <v>960</v>
      </c>
      <c r="AP184" s="15" t="s">
        <v>163</v>
      </c>
      <c r="AQ184" s="15"/>
      <c r="AR184" s="29" t="str">
        <f aca="false">IF(A184="","",IF(COUNTIF(Parcels!$A$2:$A$3000,B184)=0,"Parcel not found",IF(COUNTIF($A$2:$A$3000,A184)&gt;1,"Duplicate perm_id",IF(AND(P184="Yes",D184&lt;&gt;"",COUNTIFS($C$2:$C$3000,D184,$P$2:$P$3000,"Yes")&gt;1),"Reference counted twice",IF(COUNTIF(Lists!$A$2:$A$7,I184)=0,"Unknown status","")))))</f>
        <v/>
      </c>
    </row>
    <row r="185" customFormat="false" ht="15" hidden="false" customHeight="false" outlineLevel="0" collapsed="false">
      <c r="A185" s="15" t="s">
        <v>1875</v>
      </c>
      <c r="B185" s="15" t="s">
        <v>662</v>
      </c>
      <c r="C185" s="15" t="s">
        <v>22</v>
      </c>
      <c r="D185" s="15" t="s">
        <v>1876</v>
      </c>
      <c r="E185" s="15" t="s">
        <v>1876</v>
      </c>
      <c r="F185" s="15" t="s">
        <v>663</v>
      </c>
      <c r="G185" s="15" t="n">
        <v>4</v>
      </c>
      <c r="H185" s="15"/>
      <c r="I185" s="15" t="s">
        <v>47</v>
      </c>
      <c r="J185" s="15" t="s">
        <v>947</v>
      </c>
      <c r="K185" s="15" t="s">
        <v>47</v>
      </c>
      <c r="L185" s="15" t="n">
        <v>4</v>
      </c>
      <c r="M185" s="15" t="n">
        <v>0</v>
      </c>
      <c r="N185" s="15"/>
      <c r="O185" s="15" t="s">
        <v>948</v>
      </c>
      <c r="P185" s="15" t="s">
        <v>949</v>
      </c>
      <c r="Q185" s="15" t="s">
        <v>965</v>
      </c>
      <c r="R185" s="15"/>
      <c r="S185" s="15"/>
      <c r="T185" s="15"/>
      <c r="U185" s="15"/>
      <c r="V185" s="15"/>
      <c r="W185" s="15"/>
      <c r="X185" s="15" t="s">
        <v>951</v>
      </c>
      <c r="Y185" s="15" t="s">
        <v>952</v>
      </c>
      <c r="Z185" s="15" t="s">
        <v>170</v>
      </c>
      <c r="AA185" s="15" t="s">
        <v>966</v>
      </c>
      <c r="AB185" s="15" t="s">
        <v>1758</v>
      </c>
      <c r="AC185" s="15" t="s">
        <v>1759</v>
      </c>
      <c r="AD185" s="15" t="s">
        <v>1877</v>
      </c>
      <c r="AE185" s="15"/>
      <c r="AF185" s="15"/>
      <c r="AG185" s="15" t="s">
        <v>992</v>
      </c>
      <c r="AH185" s="15" t="n">
        <v>0</v>
      </c>
      <c r="AI185" s="15" t="n">
        <v>0</v>
      </c>
      <c r="AJ185" s="15" t="n">
        <v>0</v>
      </c>
      <c r="AK185" s="15" t="n">
        <v>0</v>
      </c>
      <c r="AL185" s="15" t="n">
        <v>0</v>
      </c>
      <c r="AM185" s="15" t="n">
        <v>0</v>
      </c>
      <c r="AN185" s="15" t="s">
        <v>1264</v>
      </c>
      <c r="AO185" s="15" t="s">
        <v>960</v>
      </c>
      <c r="AP185" s="15" t="s">
        <v>163</v>
      </c>
      <c r="AQ185" s="15"/>
      <c r="AR185" s="29" t="str">
        <f aca="false">IF(A185="","",IF(COUNTIF(Parcels!$A$2:$A$3000,B185)=0,"Parcel not found",IF(COUNTIF($A$2:$A$3000,A185)&gt;1,"Duplicate perm_id",IF(AND(P185="Yes",D185&lt;&gt;"",COUNTIFS($C$2:$C$3000,D185,$P$2:$P$3000,"Yes")&gt;1),"Reference counted twice",IF(COUNTIF(Lists!$A$2:$A$7,I185)=0,"Unknown status","")))))</f>
        <v/>
      </c>
    </row>
    <row r="186" customFormat="false" ht="15" hidden="false" customHeight="false" outlineLevel="0" collapsed="false">
      <c r="A186" s="15" t="s">
        <v>1878</v>
      </c>
      <c r="B186" s="15" t="s">
        <v>511</v>
      </c>
      <c r="C186" s="15" t="s">
        <v>55</v>
      </c>
      <c r="D186" s="15" t="s">
        <v>1879</v>
      </c>
      <c r="E186" s="15" t="s">
        <v>1879</v>
      </c>
      <c r="F186" s="15" t="s">
        <v>512</v>
      </c>
      <c r="G186" s="15" t="n">
        <v>66</v>
      </c>
      <c r="H186" s="15"/>
      <c r="I186" s="15" t="s">
        <v>48</v>
      </c>
      <c r="J186" s="15" t="s">
        <v>947</v>
      </c>
      <c r="K186" s="15" t="s">
        <v>48</v>
      </c>
      <c r="L186" s="15" t="n">
        <v>13</v>
      </c>
      <c r="M186" s="15" t="n">
        <v>47</v>
      </c>
      <c r="N186" s="15"/>
      <c r="O186" s="15" t="s">
        <v>948</v>
      </c>
      <c r="P186" s="15" t="s">
        <v>949</v>
      </c>
      <c r="Q186" s="15" t="s">
        <v>950</v>
      </c>
      <c r="R186" s="15" t="n">
        <v>0</v>
      </c>
      <c r="S186" s="15" t="n">
        <v>12</v>
      </c>
      <c r="T186" s="15" t="n">
        <v>21</v>
      </c>
      <c r="U186" s="15" t="n">
        <v>23</v>
      </c>
      <c r="V186" s="15" t="n">
        <v>10</v>
      </c>
      <c r="W186" s="15" t="n">
        <v>0</v>
      </c>
      <c r="X186" s="15" t="s">
        <v>951</v>
      </c>
      <c r="Y186" s="15" t="s">
        <v>952</v>
      </c>
      <c r="Z186" s="15" t="s">
        <v>170</v>
      </c>
      <c r="AA186" s="15" t="s">
        <v>966</v>
      </c>
      <c r="AB186" s="15" t="s">
        <v>1880</v>
      </c>
      <c r="AC186" s="15" t="s">
        <v>1881</v>
      </c>
      <c r="AD186" s="15" t="s">
        <v>1630</v>
      </c>
      <c r="AE186" s="15" t="s">
        <v>1026</v>
      </c>
      <c r="AF186" s="15" t="s">
        <v>980</v>
      </c>
      <c r="AG186" s="15" t="s">
        <v>981</v>
      </c>
      <c r="AH186" s="15" t="n">
        <v>15.4</v>
      </c>
      <c r="AI186" s="15" t="n">
        <v>50.6</v>
      </c>
      <c r="AJ186" s="15" t="n">
        <v>0</v>
      </c>
      <c r="AK186" s="15" t="n">
        <v>0</v>
      </c>
      <c r="AL186" s="15" t="n">
        <v>0</v>
      </c>
      <c r="AM186" s="15" t="n">
        <v>0</v>
      </c>
      <c r="AN186" s="15" t="s">
        <v>1264</v>
      </c>
      <c r="AO186" s="15" t="s">
        <v>960</v>
      </c>
      <c r="AP186" s="15" t="s">
        <v>163</v>
      </c>
      <c r="AQ186" s="15"/>
      <c r="AR186" s="29" t="str">
        <f aca="false">IF(A186="","",IF(COUNTIF(Parcels!$A$2:$A$3000,B186)=0,"Parcel not found",IF(COUNTIF($A$2:$A$3000,A186)&gt;1,"Duplicate perm_id",IF(AND(P186="Yes",D186&lt;&gt;"",COUNTIFS($C$2:$C$3000,D186,$P$2:$P$3000,"Yes")&gt;1),"Reference counted twice",IF(COUNTIF(Lists!$A$2:$A$7,I186)=0,"Unknown status","")))))</f>
        <v/>
      </c>
    </row>
    <row r="187" customFormat="false" ht="15" hidden="false" customHeight="false" outlineLevel="0" collapsed="false">
      <c r="A187" s="15" t="s">
        <v>1882</v>
      </c>
      <c r="B187" s="15" t="s">
        <v>513</v>
      </c>
      <c r="C187" s="15" t="s">
        <v>55</v>
      </c>
      <c r="D187" s="15" t="s">
        <v>1883</v>
      </c>
      <c r="E187" s="15" t="s">
        <v>1883</v>
      </c>
      <c r="F187" s="15" t="s">
        <v>514</v>
      </c>
      <c r="G187" s="15" t="n">
        <v>104</v>
      </c>
      <c r="H187" s="15"/>
      <c r="I187" s="15" t="s">
        <v>946</v>
      </c>
      <c r="J187" s="15" t="s">
        <v>947</v>
      </c>
      <c r="K187" s="15" t="s">
        <v>946</v>
      </c>
      <c r="L187" s="15" t="n">
        <v>0</v>
      </c>
      <c r="M187" s="15" t="n">
        <v>0</v>
      </c>
      <c r="N187" s="15"/>
      <c r="O187" s="15" t="s">
        <v>948</v>
      </c>
      <c r="P187" s="15" t="s">
        <v>949</v>
      </c>
      <c r="Q187" s="15" t="s">
        <v>950</v>
      </c>
      <c r="R187" s="15" t="n">
        <v>0</v>
      </c>
      <c r="S187" s="15" t="n">
        <v>51</v>
      </c>
      <c r="T187" s="15" t="n">
        <v>49</v>
      </c>
      <c r="U187" s="15" t="n">
        <v>4</v>
      </c>
      <c r="V187" s="15" t="n">
        <v>0</v>
      </c>
      <c r="W187" s="15" t="n">
        <v>0</v>
      </c>
      <c r="X187" s="15" t="s">
        <v>951</v>
      </c>
      <c r="Y187" s="15" t="s">
        <v>952</v>
      </c>
      <c r="Z187" s="15" t="s">
        <v>170</v>
      </c>
      <c r="AA187" s="15" t="s">
        <v>966</v>
      </c>
      <c r="AB187" s="15" t="s">
        <v>1884</v>
      </c>
      <c r="AC187" s="15" t="s">
        <v>1885</v>
      </c>
      <c r="AD187" s="15"/>
      <c r="AE187" s="15" t="s">
        <v>998</v>
      </c>
      <c r="AF187" s="15" t="s">
        <v>1133</v>
      </c>
      <c r="AG187" s="15" t="s">
        <v>1000</v>
      </c>
      <c r="AH187" s="15" t="n">
        <v>0</v>
      </c>
      <c r="AI187" s="15" t="n">
        <v>0</v>
      </c>
      <c r="AJ187" s="15" t="n">
        <v>70</v>
      </c>
      <c r="AK187" s="15" t="n">
        <v>34</v>
      </c>
      <c r="AL187" s="15" t="n">
        <v>0</v>
      </c>
      <c r="AM187" s="15" t="n">
        <v>0</v>
      </c>
      <c r="AN187" s="15" t="s">
        <v>1264</v>
      </c>
      <c r="AO187" s="15" t="s">
        <v>960</v>
      </c>
      <c r="AP187" s="15" t="s">
        <v>163</v>
      </c>
      <c r="AQ187" s="15"/>
      <c r="AR187" s="29" t="str">
        <f aca="false">IF(A187="","",IF(COUNTIF(Parcels!$A$2:$A$3000,B187)=0,"Parcel not found",IF(COUNTIF($A$2:$A$3000,A187)&gt;1,"Duplicate perm_id",IF(AND(P187="Yes",D187&lt;&gt;"",COUNTIFS($C$2:$C$3000,D187,$P$2:$P$3000,"Yes")&gt;1),"Reference counted twice",IF(COUNTIF(Lists!$A$2:$A$7,I187)=0,"Unknown status","")))))</f>
        <v/>
      </c>
    </row>
    <row r="188" customFormat="false" ht="15" hidden="false" customHeight="false" outlineLevel="0" collapsed="false">
      <c r="A188" s="15" t="s">
        <v>1886</v>
      </c>
      <c r="B188" s="15" t="s">
        <v>664</v>
      </c>
      <c r="C188" s="15" t="s">
        <v>64</v>
      </c>
      <c r="D188" s="15" t="s">
        <v>1887</v>
      </c>
      <c r="E188" s="15" t="s">
        <v>1887</v>
      </c>
      <c r="F188" s="15" t="s">
        <v>665</v>
      </c>
      <c r="G188" s="15" t="n">
        <v>53</v>
      </c>
      <c r="H188" s="15"/>
      <c r="I188" s="15" t="s">
        <v>1057</v>
      </c>
      <c r="J188" s="15" t="s">
        <v>947</v>
      </c>
      <c r="K188" s="15" t="s">
        <v>1057</v>
      </c>
      <c r="L188" s="15" t="n">
        <v>0</v>
      </c>
      <c r="M188" s="15" t="n">
        <v>0</v>
      </c>
      <c r="N188" s="15"/>
      <c r="O188" s="15" t="s">
        <v>948</v>
      </c>
      <c r="P188" s="15" t="s">
        <v>949</v>
      </c>
      <c r="Q188" s="15" t="s">
        <v>989</v>
      </c>
      <c r="R188" s="15" t="n">
        <v>0</v>
      </c>
      <c r="S188" s="15" t="n">
        <v>0</v>
      </c>
      <c r="T188" s="15" t="n">
        <v>15</v>
      </c>
      <c r="U188" s="15" t="n">
        <v>38</v>
      </c>
      <c r="V188" s="15" t="n">
        <v>0</v>
      </c>
      <c r="W188" s="15" t="n">
        <v>0</v>
      </c>
      <c r="X188" s="15" t="s">
        <v>951</v>
      </c>
      <c r="Y188" s="15" t="s">
        <v>952</v>
      </c>
      <c r="Z188" s="15" t="s">
        <v>170</v>
      </c>
      <c r="AA188" s="15" t="s">
        <v>966</v>
      </c>
      <c r="AB188" s="15" t="s">
        <v>1864</v>
      </c>
      <c r="AC188" s="15" t="s">
        <v>1865</v>
      </c>
      <c r="AD188" s="15"/>
      <c r="AE188" s="15"/>
      <c r="AF188" s="15"/>
      <c r="AG188" s="15" t="s">
        <v>969</v>
      </c>
      <c r="AH188" s="15" t="n">
        <v>0</v>
      </c>
      <c r="AI188" s="15" t="n">
        <v>0</v>
      </c>
      <c r="AJ188" s="15" t="n">
        <v>0</v>
      </c>
      <c r="AK188" s="15" t="n">
        <v>0</v>
      </c>
      <c r="AL188" s="15" t="n">
        <v>0</v>
      </c>
      <c r="AM188" s="15" t="n">
        <v>0</v>
      </c>
      <c r="AN188" s="15" t="s">
        <v>1264</v>
      </c>
      <c r="AO188" s="15" t="s">
        <v>960</v>
      </c>
      <c r="AP188" s="15" t="s">
        <v>163</v>
      </c>
      <c r="AQ188" s="15"/>
      <c r="AR188" s="29" t="str">
        <f aca="false">IF(A188="","",IF(COUNTIF(Parcels!$A$2:$A$3000,B188)=0,"Parcel not found",IF(COUNTIF($A$2:$A$3000,A188)&gt;1,"Duplicate perm_id",IF(AND(P188="Yes",D188&lt;&gt;"",COUNTIFS($C$2:$C$3000,D188,$P$2:$P$3000,"Yes")&gt;1),"Reference counted twice",IF(COUNTIF(Lists!$A$2:$A$7,I188)=0,"Unknown status","")))))</f>
        <v/>
      </c>
    </row>
    <row r="189" customFormat="false" ht="15" hidden="false" customHeight="false" outlineLevel="0" collapsed="false">
      <c r="A189" s="15" t="s">
        <v>1888</v>
      </c>
      <c r="B189" s="15" t="s">
        <v>531</v>
      </c>
      <c r="C189" s="15" t="s">
        <v>57</v>
      </c>
      <c r="D189" s="15" t="s">
        <v>1889</v>
      </c>
      <c r="E189" s="15" t="s">
        <v>1889</v>
      </c>
      <c r="F189" s="15" t="s">
        <v>532</v>
      </c>
      <c r="G189" s="15" t="n">
        <v>8</v>
      </c>
      <c r="H189" s="15"/>
      <c r="I189" s="15" t="s">
        <v>946</v>
      </c>
      <c r="J189" s="15" t="s">
        <v>947</v>
      </c>
      <c r="K189" s="15" t="s">
        <v>946</v>
      </c>
      <c r="L189" s="15" t="n">
        <v>0</v>
      </c>
      <c r="M189" s="15" t="n">
        <v>0</v>
      </c>
      <c r="N189" s="15"/>
      <c r="O189" s="15" t="s">
        <v>948</v>
      </c>
      <c r="P189" s="15" t="s">
        <v>949</v>
      </c>
      <c r="Q189" s="15" t="s">
        <v>965</v>
      </c>
      <c r="R189" s="15"/>
      <c r="S189" s="15"/>
      <c r="T189" s="15"/>
      <c r="U189" s="15"/>
      <c r="V189" s="15"/>
      <c r="W189" s="15"/>
      <c r="X189" s="15" t="s">
        <v>973</v>
      </c>
      <c r="Y189" s="15" t="s">
        <v>952</v>
      </c>
      <c r="Z189" s="15" t="s">
        <v>170</v>
      </c>
      <c r="AA189" s="15" t="s">
        <v>966</v>
      </c>
      <c r="AB189" s="15" t="s">
        <v>1097</v>
      </c>
      <c r="AC189" s="15" t="s">
        <v>1890</v>
      </c>
      <c r="AD189" s="15"/>
      <c r="AE189" s="15" t="s">
        <v>956</v>
      </c>
      <c r="AF189" s="15" t="s">
        <v>1066</v>
      </c>
      <c r="AG189" s="15" t="s">
        <v>958</v>
      </c>
      <c r="AH189" s="15" t="n">
        <v>0</v>
      </c>
      <c r="AI189" s="15" t="n">
        <v>0</v>
      </c>
      <c r="AJ189" s="15" t="n">
        <v>4</v>
      </c>
      <c r="AK189" s="15" t="n">
        <v>4</v>
      </c>
      <c r="AL189" s="15" t="n">
        <v>0</v>
      </c>
      <c r="AM189" s="15" t="n">
        <v>0</v>
      </c>
      <c r="AN189" s="15" t="s">
        <v>1264</v>
      </c>
      <c r="AO189" s="15" t="s">
        <v>960</v>
      </c>
      <c r="AP189" s="15" t="s">
        <v>163</v>
      </c>
      <c r="AQ189" s="15"/>
      <c r="AR189" s="29" t="str">
        <f aca="false">IF(A189="","",IF(COUNTIF(Parcels!$A$2:$A$3000,B189)=0,"Parcel not found",IF(COUNTIF($A$2:$A$3000,A189)&gt;1,"Duplicate perm_id",IF(AND(P189="Yes",D189&lt;&gt;"",COUNTIFS($C$2:$C$3000,D189,$P$2:$P$3000,"Yes")&gt;1),"Reference counted twice",IF(COUNTIF(Lists!$A$2:$A$7,I189)=0,"Unknown status","")))))</f>
        <v/>
      </c>
    </row>
    <row r="190" customFormat="false" ht="15" hidden="false" customHeight="false" outlineLevel="0" collapsed="false">
      <c r="A190" s="15" t="s">
        <v>1891</v>
      </c>
      <c r="B190" s="15" t="s">
        <v>666</v>
      </c>
      <c r="C190" s="15" t="s">
        <v>68</v>
      </c>
      <c r="D190" s="15" t="s">
        <v>1892</v>
      </c>
      <c r="E190" s="15" t="s">
        <v>1892</v>
      </c>
      <c r="F190" s="15" t="s">
        <v>667</v>
      </c>
      <c r="G190" s="15" t="n">
        <v>74</v>
      </c>
      <c r="H190" s="15"/>
      <c r="I190" s="15" t="s">
        <v>946</v>
      </c>
      <c r="J190" s="15" t="s">
        <v>947</v>
      </c>
      <c r="K190" s="15" t="s">
        <v>946</v>
      </c>
      <c r="L190" s="15" t="n">
        <v>0</v>
      </c>
      <c r="M190" s="15" t="n">
        <v>0</v>
      </c>
      <c r="N190" s="15"/>
      <c r="O190" s="15" t="s">
        <v>948</v>
      </c>
      <c r="P190" s="15" t="s">
        <v>949</v>
      </c>
      <c r="Q190" s="15" t="s">
        <v>989</v>
      </c>
      <c r="R190" s="15" t="n">
        <v>0</v>
      </c>
      <c r="S190" s="15" t="n">
        <v>0</v>
      </c>
      <c r="T190" s="15" t="n">
        <v>6</v>
      </c>
      <c r="U190" s="15" t="n">
        <v>59</v>
      </c>
      <c r="V190" s="15" t="n">
        <v>9</v>
      </c>
      <c r="W190" s="15" t="n">
        <v>0</v>
      </c>
      <c r="X190" s="15" t="s">
        <v>951</v>
      </c>
      <c r="Y190" s="15" t="s">
        <v>952</v>
      </c>
      <c r="Z190" s="15" t="s">
        <v>170</v>
      </c>
      <c r="AA190" s="15" t="s">
        <v>966</v>
      </c>
      <c r="AB190" s="15" t="s">
        <v>1893</v>
      </c>
      <c r="AC190" s="15" t="s">
        <v>1894</v>
      </c>
      <c r="AD190" s="15"/>
      <c r="AE190" s="15" t="s">
        <v>956</v>
      </c>
      <c r="AF190" s="15" t="s">
        <v>1169</v>
      </c>
      <c r="AG190" s="15" t="s">
        <v>958</v>
      </c>
      <c r="AH190" s="15" t="n">
        <v>0</v>
      </c>
      <c r="AI190" s="15" t="n">
        <v>0</v>
      </c>
      <c r="AJ190" s="15" t="n">
        <v>28.4</v>
      </c>
      <c r="AK190" s="15" t="n">
        <v>45.6</v>
      </c>
      <c r="AL190" s="15" t="n">
        <v>0</v>
      </c>
      <c r="AM190" s="15" t="n">
        <v>0</v>
      </c>
      <c r="AN190" s="15" t="s">
        <v>1264</v>
      </c>
      <c r="AO190" s="15" t="s">
        <v>960</v>
      </c>
      <c r="AP190" s="15" t="s">
        <v>163</v>
      </c>
      <c r="AQ190" s="15"/>
      <c r="AR190" s="29" t="str">
        <f aca="false">IF(A190="","",IF(COUNTIF(Parcels!$A$2:$A$3000,B190)=0,"Parcel not found",IF(COUNTIF($A$2:$A$3000,A190)&gt;1,"Duplicate perm_id",IF(AND(P190="Yes",D190&lt;&gt;"",COUNTIFS($C$2:$C$3000,D190,$P$2:$P$3000,"Yes")&gt;1),"Reference counted twice",IF(COUNTIF(Lists!$A$2:$A$7,I190)=0,"Unknown status","")))))</f>
        <v/>
      </c>
    </row>
    <row r="191" customFormat="false" ht="15" hidden="false" customHeight="false" outlineLevel="0" collapsed="false">
      <c r="A191" s="15" t="s">
        <v>1895</v>
      </c>
      <c r="B191" s="15" t="s">
        <v>668</v>
      </c>
      <c r="C191" s="15" t="s">
        <v>22</v>
      </c>
      <c r="D191" s="15" t="s">
        <v>1896</v>
      </c>
      <c r="E191" s="15" t="s">
        <v>1896</v>
      </c>
      <c r="F191" s="15" t="s">
        <v>669</v>
      </c>
      <c r="G191" s="15" t="n">
        <v>6</v>
      </c>
      <c r="H191" s="15"/>
      <c r="I191" s="15" t="s">
        <v>48</v>
      </c>
      <c r="J191" s="15" t="s">
        <v>947</v>
      </c>
      <c r="K191" s="15" t="s">
        <v>48</v>
      </c>
      <c r="L191" s="15" t="n">
        <v>2</v>
      </c>
      <c r="M191" s="15" t="n">
        <v>4</v>
      </c>
      <c r="N191" s="15"/>
      <c r="O191" s="15" t="s">
        <v>948</v>
      </c>
      <c r="P191" s="15" t="s">
        <v>949</v>
      </c>
      <c r="Q191" s="15" t="s">
        <v>989</v>
      </c>
      <c r="R191" s="15" t="n">
        <v>0</v>
      </c>
      <c r="S191" s="15" t="n">
        <v>0</v>
      </c>
      <c r="T191" s="15" t="n">
        <v>6</v>
      </c>
      <c r="U191" s="15" t="n">
        <v>0</v>
      </c>
      <c r="V191" s="15" t="n">
        <v>0</v>
      </c>
      <c r="W191" s="15" t="n">
        <v>0</v>
      </c>
      <c r="X191" s="15" t="s">
        <v>1082</v>
      </c>
      <c r="Y191" s="15" t="s">
        <v>952</v>
      </c>
      <c r="Z191" s="15" t="s">
        <v>170</v>
      </c>
      <c r="AA191" s="15" t="s">
        <v>966</v>
      </c>
      <c r="AB191" s="15" t="s">
        <v>1897</v>
      </c>
      <c r="AC191" s="15" t="s">
        <v>1898</v>
      </c>
      <c r="AD191" s="15" t="s">
        <v>1899</v>
      </c>
      <c r="AE191" s="15" t="s">
        <v>1086</v>
      </c>
      <c r="AF191" s="15" t="s">
        <v>980</v>
      </c>
      <c r="AG191" s="15" t="s">
        <v>981</v>
      </c>
      <c r="AH191" s="15" t="n">
        <v>1.4</v>
      </c>
      <c r="AI191" s="15" t="n">
        <v>4.6</v>
      </c>
      <c r="AJ191" s="15" t="n">
        <v>0</v>
      </c>
      <c r="AK191" s="15" t="n">
        <v>0</v>
      </c>
      <c r="AL191" s="15" t="n">
        <v>0</v>
      </c>
      <c r="AM191" s="15" t="n">
        <v>0</v>
      </c>
      <c r="AN191" s="15" t="s">
        <v>1264</v>
      </c>
      <c r="AO191" s="15" t="s">
        <v>960</v>
      </c>
      <c r="AP191" s="15" t="s">
        <v>163</v>
      </c>
      <c r="AQ191" s="15"/>
      <c r="AR191" s="29" t="str">
        <f aca="false">IF(A191="","",IF(COUNTIF(Parcels!$A$2:$A$3000,B191)=0,"Parcel not found",IF(COUNTIF($A$2:$A$3000,A191)&gt;1,"Duplicate perm_id",IF(AND(P191="Yes",D191&lt;&gt;"",COUNTIFS($C$2:$C$3000,D191,$P$2:$P$3000,"Yes")&gt;1),"Reference counted twice",IF(COUNTIF(Lists!$A$2:$A$7,I191)=0,"Unknown status","")))))</f>
        <v/>
      </c>
    </row>
    <row r="192" customFormat="false" ht="15" hidden="false" customHeight="false" outlineLevel="0" collapsed="false">
      <c r="A192" s="15" t="s">
        <v>1900</v>
      </c>
      <c r="B192" s="15" t="s">
        <v>670</v>
      </c>
      <c r="C192" s="15" t="s">
        <v>64</v>
      </c>
      <c r="D192" s="15" t="s">
        <v>1901</v>
      </c>
      <c r="E192" s="15" t="s">
        <v>1901</v>
      </c>
      <c r="F192" s="15" t="s">
        <v>671</v>
      </c>
      <c r="G192" s="15" t="n">
        <v>14</v>
      </c>
      <c r="H192" s="15"/>
      <c r="I192" s="15" t="s">
        <v>946</v>
      </c>
      <c r="J192" s="15" t="s">
        <v>947</v>
      </c>
      <c r="K192" s="15" t="s">
        <v>946</v>
      </c>
      <c r="L192" s="15" t="n">
        <v>0</v>
      </c>
      <c r="M192" s="15" t="n">
        <v>0</v>
      </c>
      <c r="N192" s="15"/>
      <c r="O192" s="15" t="s">
        <v>948</v>
      </c>
      <c r="P192" s="15" t="s">
        <v>949</v>
      </c>
      <c r="Q192" s="15" t="s">
        <v>965</v>
      </c>
      <c r="R192" s="15"/>
      <c r="S192" s="15"/>
      <c r="T192" s="15"/>
      <c r="U192" s="15"/>
      <c r="V192" s="15"/>
      <c r="W192" s="15"/>
      <c r="X192" s="15" t="s">
        <v>951</v>
      </c>
      <c r="Y192" s="15" t="s">
        <v>952</v>
      </c>
      <c r="Z192" s="15" t="s">
        <v>170</v>
      </c>
      <c r="AA192" s="15" t="s">
        <v>966</v>
      </c>
      <c r="AB192" s="15" t="s">
        <v>1902</v>
      </c>
      <c r="AC192" s="15" t="s">
        <v>1903</v>
      </c>
      <c r="AD192" s="15"/>
      <c r="AE192" s="15" t="s">
        <v>956</v>
      </c>
      <c r="AF192" s="15" t="s">
        <v>1133</v>
      </c>
      <c r="AG192" s="15" t="s">
        <v>958</v>
      </c>
      <c r="AH192" s="15" t="n">
        <v>0</v>
      </c>
      <c r="AI192" s="15" t="n">
        <v>0</v>
      </c>
      <c r="AJ192" s="15" t="n">
        <v>8.2</v>
      </c>
      <c r="AK192" s="15" t="n">
        <v>5.8</v>
      </c>
      <c r="AL192" s="15" t="n">
        <v>0</v>
      </c>
      <c r="AM192" s="15" t="n">
        <v>0</v>
      </c>
      <c r="AN192" s="15" t="s">
        <v>1264</v>
      </c>
      <c r="AO192" s="15" t="s">
        <v>960</v>
      </c>
      <c r="AP192" s="15" t="s">
        <v>163</v>
      </c>
      <c r="AQ192" s="15"/>
      <c r="AR192" s="29" t="str">
        <f aca="false">IF(A192="","",IF(COUNTIF(Parcels!$A$2:$A$3000,B192)=0,"Parcel not found",IF(COUNTIF($A$2:$A$3000,A192)&gt;1,"Duplicate perm_id",IF(AND(P192="Yes",D192&lt;&gt;"",COUNTIFS($C$2:$C$3000,D192,$P$2:$P$3000,"Yes")&gt;1),"Reference counted twice",IF(COUNTIF(Lists!$A$2:$A$7,I192)=0,"Unknown status","")))))</f>
        <v/>
      </c>
    </row>
    <row r="193" customFormat="false" ht="15" hidden="false" customHeight="false" outlineLevel="0" collapsed="false">
      <c r="A193" s="15" t="s">
        <v>1904</v>
      </c>
      <c r="B193" s="15" t="s">
        <v>406</v>
      </c>
      <c r="C193" s="15" t="s">
        <v>52</v>
      </c>
      <c r="D193" s="15" t="s">
        <v>1905</v>
      </c>
      <c r="E193" s="15" t="s">
        <v>1905</v>
      </c>
      <c r="F193" s="15" t="s">
        <v>407</v>
      </c>
      <c r="G193" s="15" t="n">
        <v>122</v>
      </c>
      <c r="H193" s="15"/>
      <c r="I193" s="15" t="s">
        <v>48</v>
      </c>
      <c r="J193" s="15" t="s">
        <v>947</v>
      </c>
      <c r="K193" s="15" t="s">
        <v>48</v>
      </c>
      <c r="L193" s="15" t="n">
        <v>0</v>
      </c>
      <c r="M193" s="15" t="n">
        <v>56</v>
      </c>
      <c r="N193" s="15"/>
      <c r="O193" s="15" t="s">
        <v>948</v>
      </c>
      <c r="P193" s="15" t="s">
        <v>949</v>
      </c>
      <c r="Q193" s="15" t="s">
        <v>950</v>
      </c>
      <c r="R193" s="15" t="n">
        <v>0</v>
      </c>
      <c r="S193" s="15" t="n">
        <v>29</v>
      </c>
      <c r="T193" s="15" t="n">
        <v>26</v>
      </c>
      <c r="U193" s="15" t="n">
        <v>61</v>
      </c>
      <c r="V193" s="15" t="n">
        <v>6</v>
      </c>
      <c r="W193" s="15" t="n">
        <v>0</v>
      </c>
      <c r="X193" s="15" t="s">
        <v>951</v>
      </c>
      <c r="Y193" s="15" t="s">
        <v>952</v>
      </c>
      <c r="Z193" s="15" t="s">
        <v>170</v>
      </c>
      <c r="AA193" s="15" t="s">
        <v>1031</v>
      </c>
      <c r="AB193" s="15" t="s">
        <v>1906</v>
      </c>
      <c r="AC193" s="15" t="s">
        <v>1907</v>
      </c>
      <c r="AD193" s="15" t="s">
        <v>1908</v>
      </c>
      <c r="AE193" s="15" t="s">
        <v>1127</v>
      </c>
      <c r="AF193" s="15" t="s">
        <v>980</v>
      </c>
      <c r="AG193" s="15" t="s">
        <v>981</v>
      </c>
      <c r="AH193" s="15" t="n">
        <v>28.4</v>
      </c>
      <c r="AI193" s="15" t="n">
        <v>93.6</v>
      </c>
      <c r="AJ193" s="15" t="n">
        <v>0</v>
      </c>
      <c r="AK193" s="15" t="n">
        <v>0</v>
      </c>
      <c r="AL193" s="15" t="n">
        <v>0</v>
      </c>
      <c r="AM193" s="15" t="n">
        <v>0</v>
      </c>
      <c r="AN193" s="15" t="s">
        <v>1264</v>
      </c>
      <c r="AO193" s="15" t="s">
        <v>960</v>
      </c>
      <c r="AP193" s="15" t="s">
        <v>163</v>
      </c>
      <c r="AQ193" s="15"/>
      <c r="AR193" s="29" t="str">
        <f aca="false">IF(A193="","",IF(COUNTIF(Parcels!$A$2:$A$3000,B193)=0,"Parcel not found",IF(COUNTIF($A$2:$A$3000,A193)&gt;1,"Duplicate perm_id",IF(AND(P193="Yes",D193&lt;&gt;"",COUNTIFS($C$2:$C$3000,D193,$P$2:$P$3000,"Yes")&gt;1),"Reference counted twice",IF(COUNTIF(Lists!$A$2:$A$7,I193)=0,"Unknown status","")))))</f>
        <v/>
      </c>
    </row>
    <row r="194" customFormat="false" ht="15" hidden="false" customHeight="false" outlineLevel="0" collapsed="false">
      <c r="A194" s="15" t="s">
        <v>1909</v>
      </c>
      <c r="B194" s="15" t="s">
        <v>672</v>
      </c>
      <c r="C194" s="15" t="s">
        <v>62</v>
      </c>
      <c r="D194" s="15" t="s">
        <v>1910</v>
      </c>
      <c r="E194" s="15" t="s">
        <v>1910</v>
      </c>
      <c r="F194" s="15" t="s">
        <v>673</v>
      </c>
      <c r="G194" s="15" t="n">
        <v>74</v>
      </c>
      <c r="H194" s="15"/>
      <c r="I194" s="15" t="s">
        <v>48</v>
      </c>
      <c r="J194" s="15" t="s">
        <v>947</v>
      </c>
      <c r="K194" s="15" t="s">
        <v>48</v>
      </c>
      <c r="L194" s="15" t="n">
        <v>0</v>
      </c>
      <c r="M194" s="15" t="n">
        <v>28</v>
      </c>
      <c r="N194" s="15"/>
      <c r="O194" s="15" t="s">
        <v>948</v>
      </c>
      <c r="P194" s="15" t="s">
        <v>949</v>
      </c>
      <c r="Q194" s="15" t="s">
        <v>989</v>
      </c>
      <c r="R194" s="15" t="n">
        <v>0</v>
      </c>
      <c r="S194" s="15" t="n">
        <v>0</v>
      </c>
      <c r="T194" s="15" t="n">
        <v>12</v>
      </c>
      <c r="U194" s="15" t="n">
        <v>30</v>
      </c>
      <c r="V194" s="15" t="n">
        <v>32</v>
      </c>
      <c r="W194" s="15" t="n">
        <v>0</v>
      </c>
      <c r="X194" s="15" t="s">
        <v>951</v>
      </c>
      <c r="Y194" s="15" t="s">
        <v>952</v>
      </c>
      <c r="Z194" s="15" t="s">
        <v>170</v>
      </c>
      <c r="AA194" s="15" t="s">
        <v>966</v>
      </c>
      <c r="AB194" s="15" t="s">
        <v>1911</v>
      </c>
      <c r="AC194" s="15" t="s">
        <v>1912</v>
      </c>
      <c r="AD194" s="15" t="s">
        <v>1230</v>
      </c>
      <c r="AE194" s="15" t="s">
        <v>1231</v>
      </c>
      <c r="AF194" s="15" t="s">
        <v>980</v>
      </c>
      <c r="AG194" s="15" t="s">
        <v>981</v>
      </c>
      <c r="AH194" s="15" t="n">
        <v>17.2</v>
      </c>
      <c r="AI194" s="15" t="n">
        <v>56.8</v>
      </c>
      <c r="AJ194" s="15" t="n">
        <v>0</v>
      </c>
      <c r="AK194" s="15" t="n">
        <v>0</v>
      </c>
      <c r="AL194" s="15" t="n">
        <v>0</v>
      </c>
      <c r="AM194" s="15" t="n">
        <v>0</v>
      </c>
      <c r="AN194" s="15" t="s">
        <v>1264</v>
      </c>
      <c r="AO194" s="15" t="s">
        <v>960</v>
      </c>
      <c r="AP194" s="15" t="s">
        <v>163</v>
      </c>
      <c r="AQ194" s="15"/>
      <c r="AR194" s="29" t="str">
        <f aca="false">IF(A194="","",IF(COUNTIF(Parcels!$A$2:$A$3000,B194)=0,"Parcel not found",IF(COUNTIF($A$2:$A$3000,A194)&gt;1,"Duplicate perm_id",IF(AND(P194="Yes",D194&lt;&gt;"",COUNTIFS($C$2:$C$3000,D194,$P$2:$P$3000,"Yes")&gt;1),"Reference counted twice",IF(COUNTIF(Lists!$A$2:$A$7,I194)=0,"Unknown status","")))))</f>
        <v/>
      </c>
    </row>
    <row r="195" customFormat="false" ht="15" hidden="false" customHeight="false" outlineLevel="0" collapsed="false">
      <c r="A195" s="15" t="s">
        <v>1913</v>
      </c>
      <c r="B195" s="15" t="s">
        <v>674</v>
      </c>
      <c r="C195" s="15" t="s">
        <v>70</v>
      </c>
      <c r="D195" s="15" t="s">
        <v>1914</v>
      </c>
      <c r="E195" s="15" t="s">
        <v>1914</v>
      </c>
      <c r="F195" s="15" t="s">
        <v>675</v>
      </c>
      <c r="G195" s="15" t="n">
        <v>10</v>
      </c>
      <c r="H195" s="15"/>
      <c r="I195" s="15" t="s">
        <v>946</v>
      </c>
      <c r="J195" s="15" t="s">
        <v>947</v>
      </c>
      <c r="K195" s="15" t="s">
        <v>946</v>
      </c>
      <c r="L195" s="15" t="n">
        <v>0</v>
      </c>
      <c r="M195" s="15" t="n">
        <v>0</v>
      </c>
      <c r="N195" s="15"/>
      <c r="O195" s="15" t="s">
        <v>948</v>
      </c>
      <c r="P195" s="15" t="s">
        <v>949</v>
      </c>
      <c r="Q195" s="15" t="s">
        <v>1272</v>
      </c>
      <c r="R195" s="15"/>
      <c r="S195" s="15"/>
      <c r="T195" s="15"/>
      <c r="U195" s="15"/>
      <c r="V195" s="15"/>
      <c r="W195" s="15"/>
      <c r="X195" s="15" t="s">
        <v>951</v>
      </c>
      <c r="Y195" s="15" t="s">
        <v>952</v>
      </c>
      <c r="Z195" s="15" t="s">
        <v>170</v>
      </c>
      <c r="AA195" s="15" t="s">
        <v>966</v>
      </c>
      <c r="AB195" s="15" t="s">
        <v>1915</v>
      </c>
      <c r="AC195" s="15" t="s">
        <v>1916</v>
      </c>
      <c r="AD195" s="15"/>
      <c r="AE195" s="15" t="s">
        <v>956</v>
      </c>
      <c r="AF195" s="15" t="s">
        <v>1133</v>
      </c>
      <c r="AG195" s="15" t="s">
        <v>958</v>
      </c>
      <c r="AH195" s="15" t="n">
        <v>0</v>
      </c>
      <c r="AI195" s="15" t="n">
        <v>0</v>
      </c>
      <c r="AJ195" s="15" t="n">
        <v>5.9</v>
      </c>
      <c r="AK195" s="15" t="n">
        <v>4.1</v>
      </c>
      <c r="AL195" s="15" t="n">
        <v>0</v>
      </c>
      <c r="AM195" s="15" t="n">
        <v>0</v>
      </c>
      <c r="AN195" s="15" t="s">
        <v>1264</v>
      </c>
      <c r="AO195" s="15" t="s">
        <v>1588</v>
      </c>
      <c r="AP195" s="15" t="s">
        <v>163</v>
      </c>
      <c r="AQ195" s="15"/>
      <c r="AR195" s="29" t="str">
        <f aca="false">IF(A195="","",IF(COUNTIF(Parcels!$A$2:$A$3000,B195)=0,"Parcel not found",IF(COUNTIF($A$2:$A$3000,A195)&gt;1,"Duplicate perm_id",IF(AND(P195="Yes",D195&lt;&gt;"",COUNTIFS($C$2:$C$3000,D195,$P$2:$P$3000,"Yes")&gt;1),"Reference counted twice",IF(COUNTIF(Lists!$A$2:$A$7,I195)=0,"Unknown status","")))))</f>
        <v/>
      </c>
    </row>
    <row r="196" customFormat="false" ht="15" hidden="false" customHeight="false" outlineLevel="0" collapsed="false">
      <c r="A196" s="15" t="s">
        <v>1917</v>
      </c>
      <c r="B196" s="15" t="s">
        <v>676</v>
      </c>
      <c r="C196" s="15" t="s">
        <v>22</v>
      </c>
      <c r="D196" s="15" t="s">
        <v>1918</v>
      </c>
      <c r="E196" s="15" t="s">
        <v>1918</v>
      </c>
      <c r="F196" s="15" t="s">
        <v>677</v>
      </c>
      <c r="G196" s="15" t="n">
        <v>30</v>
      </c>
      <c r="H196" s="15"/>
      <c r="I196" s="15" t="s">
        <v>48</v>
      </c>
      <c r="J196" s="15" t="s">
        <v>947</v>
      </c>
      <c r="K196" s="15" t="s">
        <v>48</v>
      </c>
      <c r="L196" s="15" t="n">
        <v>0</v>
      </c>
      <c r="M196" s="15" t="n">
        <v>0</v>
      </c>
      <c r="N196" s="15"/>
      <c r="O196" s="15" t="s">
        <v>948</v>
      </c>
      <c r="P196" s="15" t="s">
        <v>949</v>
      </c>
      <c r="Q196" s="15" t="s">
        <v>989</v>
      </c>
      <c r="R196" s="15" t="n">
        <v>0</v>
      </c>
      <c r="S196" s="15" t="n">
        <v>0</v>
      </c>
      <c r="T196" s="15" t="n">
        <v>0</v>
      </c>
      <c r="U196" s="15" t="n">
        <v>30</v>
      </c>
      <c r="V196" s="15" t="n">
        <v>0</v>
      </c>
      <c r="W196" s="15" t="n">
        <v>0</v>
      </c>
      <c r="X196" s="15" t="s">
        <v>951</v>
      </c>
      <c r="Y196" s="15" t="s">
        <v>952</v>
      </c>
      <c r="Z196" s="15" t="s">
        <v>170</v>
      </c>
      <c r="AA196" s="15" t="s">
        <v>966</v>
      </c>
      <c r="AB196" s="15" t="s">
        <v>1919</v>
      </c>
      <c r="AC196" s="15" t="s">
        <v>1920</v>
      </c>
      <c r="AD196" s="15" t="s">
        <v>1921</v>
      </c>
      <c r="AE196" s="15" t="s">
        <v>1799</v>
      </c>
      <c r="AF196" s="15" t="s">
        <v>980</v>
      </c>
      <c r="AG196" s="15" t="s">
        <v>981</v>
      </c>
      <c r="AH196" s="15" t="n">
        <v>7</v>
      </c>
      <c r="AI196" s="15" t="n">
        <v>23</v>
      </c>
      <c r="AJ196" s="15" t="n">
        <v>0</v>
      </c>
      <c r="AK196" s="15" t="n">
        <v>0</v>
      </c>
      <c r="AL196" s="15" t="n">
        <v>0</v>
      </c>
      <c r="AM196" s="15" t="n">
        <v>0</v>
      </c>
      <c r="AN196" s="15" t="s">
        <v>1264</v>
      </c>
      <c r="AO196" s="15" t="s">
        <v>960</v>
      </c>
      <c r="AP196" s="15" t="s">
        <v>163</v>
      </c>
      <c r="AQ196" s="15"/>
      <c r="AR196" s="29" t="str">
        <f aca="false">IF(A196="","",IF(COUNTIF(Parcels!$A$2:$A$3000,B196)=0,"Parcel not found",IF(COUNTIF($A$2:$A$3000,A196)&gt;1,"Duplicate perm_id",IF(AND(P196="Yes",D196&lt;&gt;"",COUNTIFS($C$2:$C$3000,D196,$P$2:$P$3000,"Yes")&gt;1),"Reference counted twice",IF(COUNTIF(Lists!$A$2:$A$7,I196)=0,"Unknown status","")))))</f>
        <v/>
      </c>
    </row>
    <row r="197" customFormat="false" ht="15" hidden="false" customHeight="false" outlineLevel="0" collapsed="false">
      <c r="A197" s="15" t="s">
        <v>1922</v>
      </c>
      <c r="B197" s="15" t="s">
        <v>450</v>
      </c>
      <c r="C197" s="15" t="s">
        <v>53</v>
      </c>
      <c r="D197" s="15" t="s">
        <v>1923</v>
      </c>
      <c r="E197" s="15" t="s">
        <v>1923</v>
      </c>
      <c r="F197" s="15" t="s">
        <v>451</v>
      </c>
      <c r="G197" s="15" t="n">
        <v>3</v>
      </c>
      <c r="H197" s="15"/>
      <c r="I197" s="15" t="s">
        <v>48</v>
      </c>
      <c r="J197" s="15" t="s">
        <v>947</v>
      </c>
      <c r="K197" s="15" t="s">
        <v>48</v>
      </c>
      <c r="L197" s="15" t="n">
        <v>0</v>
      </c>
      <c r="M197" s="15" t="n">
        <v>0</v>
      </c>
      <c r="N197" s="15"/>
      <c r="O197" s="15" t="s">
        <v>948</v>
      </c>
      <c r="P197" s="15" t="s">
        <v>949</v>
      </c>
      <c r="Q197" s="15" t="s">
        <v>965</v>
      </c>
      <c r="R197" s="15"/>
      <c r="S197" s="15"/>
      <c r="T197" s="15"/>
      <c r="U197" s="15"/>
      <c r="V197" s="15"/>
      <c r="W197" s="15"/>
      <c r="X197" s="15" t="s">
        <v>951</v>
      </c>
      <c r="Y197" s="15" t="s">
        <v>952</v>
      </c>
      <c r="Z197" s="15" t="s">
        <v>170</v>
      </c>
      <c r="AA197" s="15" t="s">
        <v>966</v>
      </c>
      <c r="AB197" s="15" t="s">
        <v>1005</v>
      </c>
      <c r="AC197" s="15" t="s">
        <v>1006</v>
      </c>
      <c r="AD197" s="15" t="s">
        <v>1924</v>
      </c>
      <c r="AE197" s="15" t="s">
        <v>1127</v>
      </c>
      <c r="AF197" s="15" t="s">
        <v>980</v>
      </c>
      <c r="AG197" s="15" t="s">
        <v>981</v>
      </c>
      <c r="AH197" s="15" t="n">
        <v>0.7</v>
      </c>
      <c r="AI197" s="15" t="n">
        <v>2.3</v>
      </c>
      <c r="AJ197" s="15" t="n">
        <v>0</v>
      </c>
      <c r="AK197" s="15" t="n">
        <v>0</v>
      </c>
      <c r="AL197" s="15" t="n">
        <v>0</v>
      </c>
      <c r="AM197" s="15" t="n">
        <v>0</v>
      </c>
      <c r="AN197" s="15" t="s">
        <v>1264</v>
      </c>
      <c r="AO197" s="15" t="s">
        <v>960</v>
      </c>
      <c r="AP197" s="15" t="s">
        <v>163</v>
      </c>
      <c r="AQ197" s="15"/>
      <c r="AR197" s="29" t="str">
        <f aca="false">IF(A197="","",IF(COUNTIF(Parcels!$A$2:$A$3000,B197)=0,"Parcel not found",IF(COUNTIF($A$2:$A$3000,A197)&gt;1,"Duplicate perm_id",IF(AND(P197="Yes",D197&lt;&gt;"",COUNTIFS($C$2:$C$3000,D197,$P$2:$P$3000,"Yes")&gt;1),"Reference counted twice",IF(COUNTIF(Lists!$A$2:$A$7,I197)=0,"Unknown status","")))))</f>
        <v/>
      </c>
    </row>
    <row r="198" customFormat="false" ht="15" hidden="false" customHeight="false" outlineLevel="0" collapsed="false">
      <c r="A198" s="15" t="s">
        <v>1925</v>
      </c>
      <c r="B198" s="15" t="s">
        <v>452</v>
      </c>
      <c r="C198" s="15" t="s">
        <v>53</v>
      </c>
      <c r="D198" s="15" t="s">
        <v>1926</v>
      </c>
      <c r="E198" s="15" t="s">
        <v>1926</v>
      </c>
      <c r="F198" s="15" t="s">
        <v>453</v>
      </c>
      <c r="G198" s="15" t="n">
        <v>8</v>
      </c>
      <c r="H198" s="15"/>
      <c r="I198" s="15" t="s">
        <v>48</v>
      </c>
      <c r="J198" s="15" t="s">
        <v>947</v>
      </c>
      <c r="K198" s="15" t="s">
        <v>48</v>
      </c>
      <c r="L198" s="15" t="n">
        <v>0</v>
      </c>
      <c r="M198" s="15" t="n">
        <v>0</v>
      </c>
      <c r="N198" s="15"/>
      <c r="O198" s="15" t="s">
        <v>948</v>
      </c>
      <c r="P198" s="15" t="s">
        <v>949</v>
      </c>
      <c r="Q198" s="15" t="s">
        <v>989</v>
      </c>
      <c r="R198" s="15" t="n">
        <v>0</v>
      </c>
      <c r="S198" s="15" t="n">
        <v>7</v>
      </c>
      <c r="T198" s="15" t="n">
        <v>1</v>
      </c>
      <c r="U198" s="15" t="n">
        <v>0</v>
      </c>
      <c r="V198" s="15" t="n">
        <v>0</v>
      </c>
      <c r="W198" s="15" t="n">
        <v>0</v>
      </c>
      <c r="X198" s="15" t="s">
        <v>973</v>
      </c>
      <c r="Y198" s="15" t="s">
        <v>952</v>
      </c>
      <c r="Z198" s="15" t="s">
        <v>170</v>
      </c>
      <c r="AA198" s="15" t="s">
        <v>966</v>
      </c>
      <c r="AB198" s="15" t="s">
        <v>1927</v>
      </c>
      <c r="AC198" s="15" t="s">
        <v>1928</v>
      </c>
      <c r="AD198" s="15" t="s">
        <v>1929</v>
      </c>
      <c r="AE198" s="15" t="s">
        <v>1726</v>
      </c>
      <c r="AF198" s="15" t="s">
        <v>980</v>
      </c>
      <c r="AG198" s="15" t="s">
        <v>981</v>
      </c>
      <c r="AH198" s="15" t="n">
        <v>1.9</v>
      </c>
      <c r="AI198" s="15" t="n">
        <v>6.1</v>
      </c>
      <c r="AJ198" s="15" t="n">
        <v>0</v>
      </c>
      <c r="AK198" s="15" t="n">
        <v>0</v>
      </c>
      <c r="AL198" s="15" t="n">
        <v>0</v>
      </c>
      <c r="AM198" s="15" t="n">
        <v>0</v>
      </c>
      <c r="AN198" s="15" t="s">
        <v>1264</v>
      </c>
      <c r="AO198" s="15" t="s">
        <v>960</v>
      </c>
      <c r="AP198" s="15" t="s">
        <v>163</v>
      </c>
      <c r="AQ198" s="15"/>
      <c r="AR198" s="29" t="str">
        <f aca="false">IF(A198="","",IF(COUNTIF(Parcels!$A$2:$A$3000,B198)=0,"Parcel not found",IF(COUNTIF($A$2:$A$3000,A198)&gt;1,"Duplicate perm_id",IF(AND(P198="Yes",D198&lt;&gt;"",COUNTIFS($C$2:$C$3000,D198,$P$2:$P$3000,"Yes")&gt;1),"Reference counted twice",IF(COUNTIF(Lists!$A$2:$A$7,I198)=0,"Unknown status","")))))</f>
        <v/>
      </c>
    </row>
    <row r="199" customFormat="false" ht="15" hidden="false" customHeight="false" outlineLevel="0" collapsed="false">
      <c r="A199" s="15" t="s">
        <v>1930</v>
      </c>
      <c r="B199" s="15" t="s">
        <v>678</v>
      </c>
      <c r="C199" s="15" t="s">
        <v>22</v>
      </c>
      <c r="D199" s="15" t="s">
        <v>1931</v>
      </c>
      <c r="E199" s="15" t="s">
        <v>1931</v>
      </c>
      <c r="F199" s="15" t="s">
        <v>679</v>
      </c>
      <c r="G199" s="15" t="n">
        <v>10</v>
      </c>
      <c r="H199" s="15"/>
      <c r="I199" s="15" t="s">
        <v>946</v>
      </c>
      <c r="J199" s="15" t="s">
        <v>947</v>
      </c>
      <c r="K199" s="15" t="s">
        <v>946</v>
      </c>
      <c r="L199" s="15" t="n">
        <v>0</v>
      </c>
      <c r="M199" s="15" t="n">
        <v>0</v>
      </c>
      <c r="N199" s="15"/>
      <c r="O199" s="15" t="s">
        <v>948</v>
      </c>
      <c r="P199" s="15" t="s">
        <v>949</v>
      </c>
      <c r="Q199" s="15" t="s">
        <v>965</v>
      </c>
      <c r="R199" s="15"/>
      <c r="S199" s="15"/>
      <c r="T199" s="15"/>
      <c r="U199" s="15"/>
      <c r="V199" s="15"/>
      <c r="W199" s="15"/>
      <c r="X199" s="15" t="s">
        <v>951</v>
      </c>
      <c r="Y199" s="15" t="s">
        <v>974</v>
      </c>
      <c r="Z199" s="15" t="s">
        <v>1004</v>
      </c>
      <c r="AA199" s="15" t="s">
        <v>966</v>
      </c>
      <c r="AB199" s="15" t="s">
        <v>1932</v>
      </c>
      <c r="AC199" s="15" t="s">
        <v>1933</v>
      </c>
      <c r="AD199" s="15"/>
      <c r="AE199" s="15" t="s">
        <v>998</v>
      </c>
      <c r="AF199" s="15" t="s">
        <v>999</v>
      </c>
      <c r="AG199" s="15" t="s">
        <v>1000</v>
      </c>
      <c r="AH199" s="15" t="n">
        <v>0</v>
      </c>
      <c r="AI199" s="15" t="n">
        <v>0</v>
      </c>
      <c r="AJ199" s="15" t="n">
        <v>8.4</v>
      </c>
      <c r="AK199" s="15" t="n">
        <v>1.6</v>
      </c>
      <c r="AL199" s="15" t="n">
        <v>0</v>
      </c>
      <c r="AM199" s="15" t="n">
        <v>0</v>
      </c>
      <c r="AN199" s="15" t="s">
        <v>1264</v>
      </c>
      <c r="AO199" s="15" t="s">
        <v>960</v>
      </c>
      <c r="AP199" s="15" t="s">
        <v>163</v>
      </c>
      <c r="AQ199" s="15"/>
      <c r="AR199" s="29" t="str">
        <f aca="false">IF(A199="","",IF(COUNTIF(Parcels!$A$2:$A$3000,B199)=0,"Parcel not found",IF(COUNTIF($A$2:$A$3000,A199)&gt;1,"Duplicate perm_id",IF(AND(P199="Yes",D199&lt;&gt;"",COUNTIFS($C$2:$C$3000,D199,$P$2:$P$3000,"Yes")&gt;1),"Reference counted twice",IF(COUNTIF(Lists!$A$2:$A$7,I199)=0,"Unknown status","")))))</f>
        <v/>
      </c>
    </row>
    <row r="200" customFormat="false" ht="15" hidden="false" customHeight="false" outlineLevel="0" collapsed="false">
      <c r="A200" s="15" t="s">
        <v>1934</v>
      </c>
      <c r="B200" s="15" t="s">
        <v>680</v>
      </c>
      <c r="C200" s="15" t="s">
        <v>22</v>
      </c>
      <c r="D200" s="15" t="s">
        <v>1935</v>
      </c>
      <c r="E200" s="15" t="s">
        <v>1935</v>
      </c>
      <c r="F200" s="15" t="s">
        <v>681</v>
      </c>
      <c r="G200" s="15" t="n">
        <v>7</v>
      </c>
      <c r="H200" s="15"/>
      <c r="I200" s="15" t="s">
        <v>946</v>
      </c>
      <c r="J200" s="15" t="s">
        <v>947</v>
      </c>
      <c r="K200" s="15" t="s">
        <v>946</v>
      </c>
      <c r="L200" s="15" t="n">
        <v>0</v>
      </c>
      <c r="M200" s="15" t="n">
        <v>0</v>
      </c>
      <c r="N200" s="15"/>
      <c r="O200" s="15" t="s">
        <v>948</v>
      </c>
      <c r="P200" s="15" t="s">
        <v>949</v>
      </c>
      <c r="Q200" s="15" t="s">
        <v>989</v>
      </c>
      <c r="R200" s="15" t="n">
        <v>0</v>
      </c>
      <c r="S200" s="15" t="n">
        <v>3</v>
      </c>
      <c r="T200" s="15" t="n">
        <v>4</v>
      </c>
      <c r="U200" s="15" t="n">
        <v>0</v>
      </c>
      <c r="V200" s="15" t="n">
        <v>0</v>
      </c>
      <c r="W200" s="15" t="n">
        <v>0</v>
      </c>
      <c r="X200" s="15" t="s">
        <v>973</v>
      </c>
      <c r="Y200" s="15" t="s">
        <v>974</v>
      </c>
      <c r="Z200" s="15" t="s">
        <v>1004</v>
      </c>
      <c r="AA200" s="15" t="s">
        <v>966</v>
      </c>
      <c r="AB200" s="15" t="s">
        <v>1936</v>
      </c>
      <c r="AC200" s="15" t="s">
        <v>1937</v>
      </c>
      <c r="AD200" s="15"/>
      <c r="AE200" s="15" t="s">
        <v>998</v>
      </c>
      <c r="AF200" s="15" t="s">
        <v>999</v>
      </c>
      <c r="AG200" s="15" t="s">
        <v>1000</v>
      </c>
      <c r="AH200" s="15" t="n">
        <v>0</v>
      </c>
      <c r="AI200" s="15" t="n">
        <v>0</v>
      </c>
      <c r="AJ200" s="15" t="n">
        <v>6.1</v>
      </c>
      <c r="AK200" s="15" t="n">
        <v>0.9</v>
      </c>
      <c r="AL200" s="15" t="n">
        <v>0</v>
      </c>
      <c r="AM200" s="15" t="n">
        <v>0</v>
      </c>
      <c r="AN200" s="15" t="s">
        <v>1264</v>
      </c>
      <c r="AO200" s="15" t="s">
        <v>960</v>
      </c>
      <c r="AP200" s="15" t="s">
        <v>163</v>
      </c>
      <c r="AQ200" s="15"/>
      <c r="AR200" s="29" t="str">
        <f aca="false">IF(A200="","",IF(COUNTIF(Parcels!$A$2:$A$3000,B200)=0,"Parcel not found",IF(COUNTIF($A$2:$A$3000,A200)&gt;1,"Duplicate perm_id",IF(AND(P200="Yes",D200&lt;&gt;"",COUNTIFS($C$2:$C$3000,D200,$P$2:$P$3000,"Yes")&gt;1),"Reference counted twice",IF(COUNTIF(Lists!$A$2:$A$7,I200)=0,"Unknown status","")))))</f>
        <v/>
      </c>
    </row>
    <row r="201" customFormat="false" ht="15" hidden="false" customHeight="false" outlineLevel="0" collapsed="false">
      <c r="A201" s="15" t="s">
        <v>1938</v>
      </c>
      <c r="B201" s="15" t="s">
        <v>454</v>
      </c>
      <c r="C201" s="15" t="s">
        <v>53</v>
      </c>
      <c r="D201" s="15" t="s">
        <v>1939</v>
      </c>
      <c r="E201" s="15" t="s">
        <v>1939</v>
      </c>
      <c r="F201" s="15" t="s">
        <v>455</v>
      </c>
      <c r="G201" s="15" t="n">
        <v>8</v>
      </c>
      <c r="H201" s="15"/>
      <c r="I201" s="15" t="s">
        <v>946</v>
      </c>
      <c r="J201" s="15" t="s">
        <v>947</v>
      </c>
      <c r="K201" s="15" t="s">
        <v>946</v>
      </c>
      <c r="L201" s="15" t="n">
        <v>0</v>
      </c>
      <c r="M201" s="15" t="n">
        <v>0</v>
      </c>
      <c r="N201" s="15"/>
      <c r="O201" s="15" t="s">
        <v>948</v>
      </c>
      <c r="P201" s="15" t="s">
        <v>949</v>
      </c>
      <c r="Q201" s="15" t="s">
        <v>965</v>
      </c>
      <c r="R201" s="15"/>
      <c r="S201" s="15"/>
      <c r="T201" s="15"/>
      <c r="U201" s="15"/>
      <c r="V201" s="15"/>
      <c r="W201" s="15"/>
      <c r="X201" s="15" t="s">
        <v>973</v>
      </c>
      <c r="Y201" s="15" t="s">
        <v>952</v>
      </c>
      <c r="Z201" s="15" t="s">
        <v>170</v>
      </c>
      <c r="AA201" s="15" t="s">
        <v>966</v>
      </c>
      <c r="AB201" s="15" t="s">
        <v>1097</v>
      </c>
      <c r="AC201" s="15" t="s">
        <v>1890</v>
      </c>
      <c r="AD201" s="15"/>
      <c r="AE201" s="15" t="s">
        <v>956</v>
      </c>
      <c r="AF201" s="15" t="s">
        <v>1066</v>
      </c>
      <c r="AG201" s="15" t="s">
        <v>958</v>
      </c>
      <c r="AH201" s="15" t="n">
        <v>0</v>
      </c>
      <c r="AI201" s="15" t="n">
        <v>0</v>
      </c>
      <c r="AJ201" s="15" t="n">
        <v>4</v>
      </c>
      <c r="AK201" s="15" t="n">
        <v>4</v>
      </c>
      <c r="AL201" s="15" t="n">
        <v>0</v>
      </c>
      <c r="AM201" s="15" t="n">
        <v>0</v>
      </c>
      <c r="AN201" s="15" t="s">
        <v>1264</v>
      </c>
      <c r="AO201" s="15" t="s">
        <v>960</v>
      </c>
      <c r="AP201" s="15" t="s">
        <v>163</v>
      </c>
      <c r="AQ201" s="15"/>
      <c r="AR201" s="29" t="str">
        <f aca="false">IF(A201="","",IF(COUNTIF(Parcels!$A$2:$A$3000,B201)=0,"Parcel not found",IF(COUNTIF($A$2:$A$3000,A201)&gt;1,"Duplicate perm_id",IF(AND(P201="Yes",D201&lt;&gt;"",COUNTIFS($C$2:$C$3000,D201,$P$2:$P$3000,"Yes")&gt;1),"Reference counted twice",IF(COUNTIF(Lists!$A$2:$A$7,I201)=0,"Unknown status","")))))</f>
        <v/>
      </c>
    </row>
    <row r="202" customFormat="false" ht="15" hidden="false" customHeight="false" outlineLevel="0" collapsed="false">
      <c r="A202" s="15" t="s">
        <v>1940</v>
      </c>
      <c r="B202" s="15" t="s">
        <v>456</v>
      </c>
      <c r="C202" s="15" t="s">
        <v>53</v>
      </c>
      <c r="D202" s="15" t="s">
        <v>1941</v>
      </c>
      <c r="E202" s="15" t="s">
        <v>1941</v>
      </c>
      <c r="F202" s="15" t="s">
        <v>457</v>
      </c>
      <c r="G202" s="15" t="n">
        <v>7</v>
      </c>
      <c r="H202" s="15"/>
      <c r="I202" s="15" t="s">
        <v>48</v>
      </c>
      <c r="J202" s="15" t="s">
        <v>947</v>
      </c>
      <c r="K202" s="15" t="s">
        <v>48</v>
      </c>
      <c r="L202" s="15" t="n">
        <v>0</v>
      </c>
      <c r="M202" s="15" t="n">
        <v>0</v>
      </c>
      <c r="N202" s="15"/>
      <c r="O202" s="15" t="s">
        <v>948</v>
      </c>
      <c r="P202" s="15" t="s">
        <v>949</v>
      </c>
      <c r="Q202" s="15" t="s">
        <v>989</v>
      </c>
      <c r="R202" s="15" t="n">
        <v>1</v>
      </c>
      <c r="S202" s="15" t="n">
        <v>3</v>
      </c>
      <c r="T202" s="15" t="n">
        <v>3</v>
      </c>
      <c r="U202" s="15" t="n">
        <v>0</v>
      </c>
      <c r="V202" s="15" t="n">
        <v>0</v>
      </c>
      <c r="W202" s="15" t="n">
        <v>0</v>
      </c>
      <c r="X202" s="15" t="s">
        <v>973</v>
      </c>
      <c r="Y202" s="15" t="s">
        <v>952</v>
      </c>
      <c r="Z202" s="15" t="s">
        <v>170</v>
      </c>
      <c r="AA202" s="15" t="s">
        <v>966</v>
      </c>
      <c r="AB202" s="15" t="s">
        <v>1113</v>
      </c>
      <c r="AC202" s="15" t="s">
        <v>1114</v>
      </c>
      <c r="AD202" s="15" t="s">
        <v>1942</v>
      </c>
      <c r="AE202" s="15" t="s">
        <v>1008</v>
      </c>
      <c r="AF202" s="15" t="s">
        <v>1139</v>
      </c>
      <c r="AG202" s="15" t="s">
        <v>981</v>
      </c>
      <c r="AH202" s="15" t="n">
        <v>0</v>
      </c>
      <c r="AI202" s="15" t="n">
        <v>5.8</v>
      </c>
      <c r="AJ202" s="15" t="n">
        <v>1.2</v>
      </c>
      <c r="AK202" s="15" t="n">
        <v>0</v>
      </c>
      <c r="AL202" s="15" t="n">
        <v>0</v>
      </c>
      <c r="AM202" s="15" t="n">
        <v>0</v>
      </c>
      <c r="AN202" s="15" t="s">
        <v>1264</v>
      </c>
      <c r="AO202" s="15" t="s">
        <v>960</v>
      </c>
      <c r="AP202" s="15" t="s">
        <v>163</v>
      </c>
      <c r="AQ202" s="15"/>
      <c r="AR202" s="29" t="str">
        <f aca="false">IF(A202="","",IF(COUNTIF(Parcels!$A$2:$A$3000,B202)=0,"Parcel not found",IF(COUNTIF($A$2:$A$3000,A202)&gt;1,"Duplicate perm_id",IF(AND(P202="Yes",D202&lt;&gt;"",COUNTIFS($C$2:$C$3000,D202,$P$2:$P$3000,"Yes")&gt;1),"Reference counted twice",IF(COUNTIF(Lists!$A$2:$A$7,I202)=0,"Unknown status","")))))</f>
        <v/>
      </c>
    </row>
    <row r="203" customFormat="false" ht="15" hidden="false" customHeight="false" outlineLevel="0" collapsed="false">
      <c r="A203" s="15" t="s">
        <v>1943</v>
      </c>
      <c r="B203" s="15" t="s">
        <v>682</v>
      </c>
      <c r="C203" s="15" t="s">
        <v>22</v>
      </c>
      <c r="D203" s="15" t="s">
        <v>1944</v>
      </c>
      <c r="E203" s="15" t="s">
        <v>1944</v>
      </c>
      <c r="F203" s="15" t="s">
        <v>683</v>
      </c>
      <c r="G203" s="15" t="n">
        <v>3</v>
      </c>
      <c r="H203" s="15"/>
      <c r="I203" s="15" t="s">
        <v>946</v>
      </c>
      <c r="J203" s="15" t="s">
        <v>947</v>
      </c>
      <c r="K203" s="15" t="s">
        <v>946</v>
      </c>
      <c r="L203" s="15" t="n">
        <v>0</v>
      </c>
      <c r="M203" s="15" t="n">
        <v>0</v>
      </c>
      <c r="N203" s="15"/>
      <c r="O203" s="15" t="s">
        <v>948</v>
      </c>
      <c r="P203" s="15" t="s">
        <v>949</v>
      </c>
      <c r="Q203" s="15" t="s">
        <v>965</v>
      </c>
      <c r="R203" s="15"/>
      <c r="S203" s="15"/>
      <c r="T203" s="15"/>
      <c r="U203" s="15"/>
      <c r="V203" s="15"/>
      <c r="W203" s="15"/>
      <c r="X203" s="15" t="s">
        <v>951</v>
      </c>
      <c r="Y203" s="15" t="s">
        <v>952</v>
      </c>
      <c r="Z203" s="15" t="s">
        <v>170</v>
      </c>
      <c r="AA203" s="15" t="s">
        <v>966</v>
      </c>
      <c r="AB203" s="15" t="s">
        <v>1945</v>
      </c>
      <c r="AC203" s="15" t="s">
        <v>1946</v>
      </c>
      <c r="AD203" s="15"/>
      <c r="AE203" s="15" t="s">
        <v>956</v>
      </c>
      <c r="AF203" s="15" t="s">
        <v>1133</v>
      </c>
      <c r="AG203" s="15" t="s">
        <v>958</v>
      </c>
      <c r="AH203" s="15" t="n">
        <v>0</v>
      </c>
      <c r="AI203" s="15" t="n">
        <v>0</v>
      </c>
      <c r="AJ203" s="15" t="n">
        <v>1.9</v>
      </c>
      <c r="AK203" s="15" t="n">
        <v>1.1</v>
      </c>
      <c r="AL203" s="15" t="n">
        <v>0</v>
      </c>
      <c r="AM203" s="15" t="n">
        <v>0</v>
      </c>
      <c r="AN203" s="15" t="s">
        <v>1264</v>
      </c>
      <c r="AO203" s="15" t="s">
        <v>960</v>
      </c>
      <c r="AP203" s="15" t="s">
        <v>163</v>
      </c>
      <c r="AQ203" s="15"/>
      <c r="AR203" s="29" t="str">
        <f aca="false">IF(A203="","",IF(COUNTIF(Parcels!$A$2:$A$3000,B203)=0,"Parcel not found",IF(COUNTIF($A$2:$A$3000,A203)&gt;1,"Duplicate perm_id",IF(AND(P203="Yes",D203&lt;&gt;"",COUNTIFS($C$2:$C$3000,D203,$P$2:$P$3000,"Yes")&gt;1),"Reference counted twice",IF(COUNTIF(Lists!$A$2:$A$7,I203)=0,"Unknown status","")))))</f>
        <v/>
      </c>
    </row>
    <row r="204" customFormat="false" ht="15" hidden="false" customHeight="false" outlineLevel="0" collapsed="false">
      <c r="A204" s="15" t="s">
        <v>1947</v>
      </c>
      <c r="B204" s="15" t="s">
        <v>684</v>
      </c>
      <c r="C204" s="15" t="s">
        <v>67</v>
      </c>
      <c r="D204" s="15" t="s">
        <v>1948</v>
      </c>
      <c r="E204" s="15" t="s">
        <v>1948</v>
      </c>
      <c r="F204" s="15" t="s">
        <v>685</v>
      </c>
      <c r="G204" s="15" t="n">
        <v>25</v>
      </c>
      <c r="H204" s="15"/>
      <c r="I204" s="15" t="s">
        <v>946</v>
      </c>
      <c r="J204" s="15" t="s">
        <v>947</v>
      </c>
      <c r="K204" s="15" t="s">
        <v>946</v>
      </c>
      <c r="L204" s="15" t="n">
        <v>0</v>
      </c>
      <c r="M204" s="15" t="n">
        <v>0</v>
      </c>
      <c r="N204" s="15"/>
      <c r="O204" s="15" t="s">
        <v>948</v>
      </c>
      <c r="P204" s="15" t="s">
        <v>949</v>
      </c>
      <c r="Q204" s="15" t="s">
        <v>989</v>
      </c>
      <c r="R204" s="15" t="n">
        <v>0</v>
      </c>
      <c r="S204" s="15" t="n">
        <v>0</v>
      </c>
      <c r="T204" s="15" t="n">
        <v>0</v>
      </c>
      <c r="U204" s="15" t="n">
        <v>12</v>
      </c>
      <c r="V204" s="15" t="n">
        <v>13</v>
      </c>
      <c r="W204" s="15" t="n">
        <v>0</v>
      </c>
      <c r="X204" s="15" t="s">
        <v>1082</v>
      </c>
      <c r="Y204" s="15" t="s">
        <v>952</v>
      </c>
      <c r="Z204" s="15" t="s">
        <v>170</v>
      </c>
      <c r="AA204" s="15" t="s">
        <v>966</v>
      </c>
      <c r="AB204" s="15" t="s">
        <v>1827</v>
      </c>
      <c r="AC204" s="15" t="s">
        <v>1828</v>
      </c>
      <c r="AD204" s="15"/>
      <c r="AE204" s="15" t="s">
        <v>956</v>
      </c>
      <c r="AF204" s="15" t="s">
        <v>999</v>
      </c>
      <c r="AG204" s="15" t="s">
        <v>958</v>
      </c>
      <c r="AH204" s="15" t="n">
        <v>0</v>
      </c>
      <c r="AI204" s="15" t="n">
        <v>0</v>
      </c>
      <c r="AJ204" s="15" t="n">
        <v>19</v>
      </c>
      <c r="AK204" s="15" t="n">
        <v>6</v>
      </c>
      <c r="AL204" s="15" t="n">
        <v>0</v>
      </c>
      <c r="AM204" s="15" t="n">
        <v>0</v>
      </c>
      <c r="AN204" s="15" t="s">
        <v>1264</v>
      </c>
      <c r="AO204" s="15" t="s">
        <v>960</v>
      </c>
      <c r="AP204" s="15" t="s">
        <v>163</v>
      </c>
      <c r="AQ204" s="15"/>
      <c r="AR204" s="29" t="str">
        <f aca="false">IF(A204="","",IF(COUNTIF(Parcels!$A$2:$A$3000,B204)=0,"Parcel not found",IF(COUNTIF($A$2:$A$3000,A204)&gt;1,"Duplicate perm_id",IF(AND(P204="Yes",D204&lt;&gt;"",COUNTIFS($C$2:$C$3000,D204,$P$2:$P$3000,"Yes")&gt;1),"Reference counted twice",IF(COUNTIF(Lists!$A$2:$A$7,I204)=0,"Unknown status","")))))</f>
        <v/>
      </c>
    </row>
    <row r="205" customFormat="false" ht="15" hidden="false" customHeight="false" outlineLevel="0" collapsed="false">
      <c r="A205" s="15" t="s">
        <v>1949</v>
      </c>
      <c r="B205" s="15" t="s">
        <v>547</v>
      </c>
      <c r="C205" s="15" t="s">
        <v>58</v>
      </c>
      <c r="D205" s="15" t="s">
        <v>1950</v>
      </c>
      <c r="E205" s="15" t="s">
        <v>1950</v>
      </c>
      <c r="F205" s="15" t="s">
        <v>548</v>
      </c>
      <c r="G205" s="15" t="n">
        <v>12</v>
      </c>
      <c r="H205" s="15"/>
      <c r="I205" s="15" t="s">
        <v>48</v>
      </c>
      <c r="J205" s="15" t="s">
        <v>947</v>
      </c>
      <c r="K205" s="15" t="s">
        <v>48</v>
      </c>
      <c r="L205" s="15" t="n">
        <v>0</v>
      </c>
      <c r="M205" s="15" t="n">
        <v>10</v>
      </c>
      <c r="N205" s="15"/>
      <c r="O205" s="15" t="s">
        <v>948</v>
      </c>
      <c r="P205" s="15" t="s">
        <v>949</v>
      </c>
      <c r="Q205" s="15" t="s">
        <v>950</v>
      </c>
      <c r="R205" s="15" t="n">
        <v>0</v>
      </c>
      <c r="S205" s="15" t="n">
        <v>0</v>
      </c>
      <c r="T205" s="15" t="n">
        <v>0</v>
      </c>
      <c r="U205" s="15" t="n">
        <v>2</v>
      </c>
      <c r="V205" s="15" t="n">
        <v>10</v>
      </c>
      <c r="W205" s="15" t="n">
        <v>0</v>
      </c>
      <c r="X205" s="15" t="s">
        <v>973</v>
      </c>
      <c r="Y205" s="15" t="s">
        <v>952</v>
      </c>
      <c r="Z205" s="15" t="s">
        <v>170</v>
      </c>
      <c r="AA205" s="15" t="s">
        <v>966</v>
      </c>
      <c r="AB205" s="15" t="s">
        <v>1951</v>
      </c>
      <c r="AC205" s="15" t="s">
        <v>1952</v>
      </c>
      <c r="AD205" s="15" t="s">
        <v>1953</v>
      </c>
      <c r="AE205" s="15" t="s">
        <v>1231</v>
      </c>
      <c r="AF205" s="15" t="s">
        <v>980</v>
      </c>
      <c r="AG205" s="15" t="s">
        <v>981</v>
      </c>
      <c r="AH205" s="15" t="n">
        <v>2.8</v>
      </c>
      <c r="AI205" s="15" t="n">
        <v>9.2</v>
      </c>
      <c r="AJ205" s="15" t="n">
        <v>0</v>
      </c>
      <c r="AK205" s="15" t="n">
        <v>0</v>
      </c>
      <c r="AL205" s="15" t="n">
        <v>0</v>
      </c>
      <c r="AM205" s="15" t="n">
        <v>0</v>
      </c>
      <c r="AN205" s="15" t="s">
        <v>1264</v>
      </c>
      <c r="AO205" s="15" t="s">
        <v>960</v>
      </c>
      <c r="AP205" s="15" t="s">
        <v>163</v>
      </c>
      <c r="AQ205" s="15"/>
      <c r="AR205" s="29" t="str">
        <f aca="false">IF(A205="","",IF(COUNTIF(Parcels!$A$2:$A$3000,B205)=0,"Parcel not found",IF(COUNTIF($A$2:$A$3000,A205)&gt;1,"Duplicate perm_id",IF(AND(P205="Yes",D205&lt;&gt;"",COUNTIFS($C$2:$C$3000,D205,$P$2:$P$3000,"Yes")&gt;1),"Reference counted twice",IF(COUNTIF(Lists!$A$2:$A$7,I205)=0,"Unknown status","")))))</f>
        <v/>
      </c>
    </row>
    <row r="206" customFormat="false" ht="15" hidden="false" customHeight="false" outlineLevel="0" collapsed="false">
      <c r="A206" s="15" t="s">
        <v>1954</v>
      </c>
      <c r="B206" s="15" t="s">
        <v>686</v>
      </c>
      <c r="C206" s="15" t="s">
        <v>22</v>
      </c>
      <c r="D206" s="15" t="s">
        <v>1955</v>
      </c>
      <c r="E206" s="15" t="s">
        <v>1955</v>
      </c>
      <c r="F206" s="15" t="s">
        <v>687</v>
      </c>
      <c r="G206" s="15" t="n">
        <v>18</v>
      </c>
      <c r="H206" s="15"/>
      <c r="I206" s="15" t="s">
        <v>48</v>
      </c>
      <c r="J206" s="15" t="s">
        <v>947</v>
      </c>
      <c r="K206" s="15" t="s">
        <v>48</v>
      </c>
      <c r="L206" s="15" t="n">
        <v>0</v>
      </c>
      <c r="M206" s="15" t="n">
        <v>10</v>
      </c>
      <c r="N206" s="15"/>
      <c r="O206" s="15" t="s">
        <v>948</v>
      </c>
      <c r="P206" s="15" t="s">
        <v>949</v>
      </c>
      <c r="Q206" s="15" t="s">
        <v>965</v>
      </c>
      <c r="R206" s="15"/>
      <c r="S206" s="15"/>
      <c r="T206" s="15"/>
      <c r="U206" s="15"/>
      <c r="V206" s="15"/>
      <c r="W206" s="15"/>
      <c r="X206" s="15" t="s">
        <v>951</v>
      </c>
      <c r="Y206" s="15" t="s">
        <v>952</v>
      </c>
      <c r="Z206" s="15" t="s">
        <v>170</v>
      </c>
      <c r="AA206" s="15" t="s">
        <v>966</v>
      </c>
      <c r="AB206" s="15" t="s">
        <v>1956</v>
      </c>
      <c r="AC206" s="15" t="s">
        <v>1957</v>
      </c>
      <c r="AD206" s="15" t="s">
        <v>1841</v>
      </c>
      <c r="AE206" s="15" t="s">
        <v>1799</v>
      </c>
      <c r="AF206" s="15" t="s">
        <v>980</v>
      </c>
      <c r="AG206" s="15" t="s">
        <v>981</v>
      </c>
      <c r="AH206" s="15" t="n">
        <v>3.6</v>
      </c>
      <c r="AI206" s="15" t="n">
        <v>14.4</v>
      </c>
      <c r="AJ206" s="15" t="n">
        <v>0</v>
      </c>
      <c r="AK206" s="15" t="n">
        <v>0</v>
      </c>
      <c r="AL206" s="15" t="n">
        <v>0</v>
      </c>
      <c r="AM206" s="15" t="n">
        <v>0</v>
      </c>
      <c r="AN206" s="15" t="s">
        <v>1264</v>
      </c>
      <c r="AO206" s="15" t="s">
        <v>960</v>
      </c>
      <c r="AP206" s="15" t="s">
        <v>163</v>
      </c>
      <c r="AQ206" s="15"/>
      <c r="AR206" s="29" t="str">
        <f aca="false">IF(A206="","",IF(COUNTIF(Parcels!$A$2:$A$3000,B206)=0,"Parcel not found",IF(COUNTIF($A$2:$A$3000,A206)&gt;1,"Duplicate perm_id",IF(AND(P206="Yes",D206&lt;&gt;"",COUNTIFS($C$2:$C$3000,D206,$P$2:$P$3000,"Yes")&gt;1),"Reference counted twice",IF(COUNTIF(Lists!$A$2:$A$7,I206)=0,"Unknown status","")))))</f>
        <v/>
      </c>
    </row>
    <row r="207" customFormat="false" ht="15" hidden="false" customHeight="false" outlineLevel="0" collapsed="false">
      <c r="A207" s="15" t="s">
        <v>1958</v>
      </c>
      <c r="B207" s="15" t="s">
        <v>458</v>
      </c>
      <c r="C207" s="15" t="s">
        <v>53</v>
      </c>
      <c r="D207" s="15" t="s">
        <v>1959</v>
      </c>
      <c r="E207" s="15" t="s">
        <v>1959</v>
      </c>
      <c r="F207" s="15" t="s">
        <v>459</v>
      </c>
      <c r="G207" s="15" t="n">
        <v>40</v>
      </c>
      <c r="H207" s="15"/>
      <c r="I207" s="15" t="s">
        <v>946</v>
      </c>
      <c r="J207" s="15" t="s">
        <v>947</v>
      </c>
      <c r="K207" s="15" t="s">
        <v>946</v>
      </c>
      <c r="L207" s="15" t="n">
        <v>0</v>
      </c>
      <c r="M207" s="15" t="n">
        <v>0</v>
      </c>
      <c r="N207" s="15"/>
      <c r="O207" s="15" t="s">
        <v>948</v>
      </c>
      <c r="P207" s="15" t="s">
        <v>949</v>
      </c>
      <c r="Q207" s="15" t="s">
        <v>950</v>
      </c>
      <c r="R207" s="15" t="n">
        <v>0</v>
      </c>
      <c r="S207" s="15" t="n">
        <v>24</v>
      </c>
      <c r="T207" s="15" t="n">
        <v>16</v>
      </c>
      <c r="U207" s="15" t="n">
        <v>0</v>
      </c>
      <c r="V207" s="15" t="n">
        <v>0</v>
      </c>
      <c r="W207" s="15" t="n">
        <v>0</v>
      </c>
      <c r="X207" s="15" t="s">
        <v>951</v>
      </c>
      <c r="Y207" s="15" t="s">
        <v>952</v>
      </c>
      <c r="Z207" s="15" t="s">
        <v>170</v>
      </c>
      <c r="AA207" s="15" t="s">
        <v>966</v>
      </c>
      <c r="AB207" s="15" t="s">
        <v>1960</v>
      </c>
      <c r="AC207" s="15" t="s">
        <v>1961</v>
      </c>
      <c r="AD207" s="15"/>
      <c r="AE207" s="15" t="s">
        <v>956</v>
      </c>
      <c r="AF207" s="15" t="s">
        <v>1133</v>
      </c>
      <c r="AG207" s="15" t="s">
        <v>958</v>
      </c>
      <c r="AH207" s="15" t="n">
        <v>0</v>
      </c>
      <c r="AI207" s="15" t="n">
        <v>0</v>
      </c>
      <c r="AJ207" s="15" t="n">
        <v>22</v>
      </c>
      <c r="AK207" s="15" t="n">
        <v>18</v>
      </c>
      <c r="AL207" s="15" t="n">
        <v>0</v>
      </c>
      <c r="AM207" s="15" t="n">
        <v>0</v>
      </c>
      <c r="AN207" s="15" t="s">
        <v>1264</v>
      </c>
      <c r="AO207" s="15" t="s">
        <v>960</v>
      </c>
      <c r="AP207" s="15" t="s">
        <v>163</v>
      </c>
      <c r="AQ207" s="15"/>
      <c r="AR207" s="29" t="str">
        <f aca="false">IF(A207="","",IF(COUNTIF(Parcels!$A$2:$A$3000,B207)=0,"Parcel not found",IF(COUNTIF($A$2:$A$3000,A207)&gt;1,"Duplicate perm_id",IF(AND(P207="Yes",D207&lt;&gt;"",COUNTIFS($C$2:$C$3000,D207,$P$2:$P$3000,"Yes")&gt;1),"Reference counted twice",IF(COUNTIF(Lists!$A$2:$A$7,I207)=0,"Unknown status","")))))</f>
        <v/>
      </c>
    </row>
    <row r="208" customFormat="false" ht="15" hidden="false" customHeight="false" outlineLevel="0" collapsed="false">
      <c r="A208" s="15" t="s">
        <v>1962</v>
      </c>
      <c r="B208" s="15" t="s">
        <v>460</v>
      </c>
      <c r="C208" s="15" t="s">
        <v>53</v>
      </c>
      <c r="D208" s="15" t="s">
        <v>1963</v>
      </c>
      <c r="E208" s="15" t="s">
        <v>1963</v>
      </c>
      <c r="F208" s="15" t="s">
        <v>461</v>
      </c>
      <c r="G208" s="15" t="n">
        <v>15</v>
      </c>
      <c r="H208" s="15"/>
      <c r="I208" s="15" t="s">
        <v>946</v>
      </c>
      <c r="J208" s="15" t="s">
        <v>947</v>
      </c>
      <c r="K208" s="15" t="s">
        <v>946</v>
      </c>
      <c r="L208" s="15" t="n">
        <v>0</v>
      </c>
      <c r="M208" s="15" t="n">
        <v>0</v>
      </c>
      <c r="N208" s="15"/>
      <c r="O208" s="15" t="s">
        <v>948</v>
      </c>
      <c r="P208" s="15" t="s">
        <v>949</v>
      </c>
      <c r="Q208" s="15" t="s">
        <v>950</v>
      </c>
      <c r="R208" s="15" t="n">
        <v>0</v>
      </c>
      <c r="S208" s="15" t="n">
        <v>14</v>
      </c>
      <c r="T208" s="15" t="n">
        <v>1</v>
      </c>
      <c r="U208" s="15" t="n">
        <v>0</v>
      </c>
      <c r="V208" s="15" t="n">
        <v>0</v>
      </c>
      <c r="W208" s="15" t="n">
        <v>0</v>
      </c>
      <c r="X208" s="15" t="s">
        <v>951</v>
      </c>
      <c r="Y208" s="15" t="s">
        <v>952</v>
      </c>
      <c r="Z208" s="15" t="s">
        <v>170</v>
      </c>
      <c r="AA208" s="15" t="s">
        <v>966</v>
      </c>
      <c r="AB208" s="15" t="s">
        <v>1964</v>
      </c>
      <c r="AC208" s="15" t="s">
        <v>1965</v>
      </c>
      <c r="AD208" s="15"/>
      <c r="AE208" s="15" t="s">
        <v>956</v>
      </c>
      <c r="AF208" s="15" t="s">
        <v>1133</v>
      </c>
      <c r="AG208" s="15" t="s">
        <v>958</v>
      </c>
      <c r="AH208" s="15" t="n">
        <v>0</v>
      </c>
      <c r="AI208" s="15" t="n">
        <v>0</v>
      </c>
      <c r="AJ208" s="15" t="n">
        <v>8.8</v>
      </c>
      <c r="AK208" s="15" t="n">
        <v>6.2</v>
      </c>
      <c r="AL208" s="15" t="n">
        <v>0</v>
      </c>
      <c r="AM208" s="15" t="n">
        <v>0</v>
      </c>
      <c r="AN208" s="15" t="s">
        <v>1264</v>
      </c>
      <c r="AO208" s="15" t="s">
        <v>960</v>
      </c>
      <c r="AP208" s="15" t="s">
        <v>163</v>
      </c>
      <c r="AQ208" s="15"/>
      <c r="AR208" s="29" t="str">
        <f aca="false">IF(A208="","",IF(COUNTIF(Parcels!$A$2:$A$3000,B208)=0,"Parcel not found",IF(COUNTIF($A$2:$A$3000,A208)&gt;1,"Duplicate perm_id",IF(AND(P208="Yes",D208&lt;&gt;"",COUNTIFS($C$2:$C$3000,D208,$P$2:$P$3000,"Yes")&gt;1),"Reference counted twice",IF(COUNTIF(Lists!$A$2:$A$7,I208)=0,"Unknown status","")))))</f>
        <v/>
      </c>
    </row>
    <row r="209" customFormat="false" ht="15" hidden="false" customHeight="false" outlineLevel="0" collapsed="false">
      <c r="A209" s="15" t="s">
        <v>1966</v>
      </c>
      <c r="B209" s="15" t="s">
        <v>688</v>
      </c>
      <c r="C209" s="15" t="s">
        <v>63</v>
      </c>
      <c r="D209" s="15" t="s">
        <v>1967</v>
      </c>
      <c r="E209" s="15" t="s">
        <v>1967</v>
      </c>
      <c r="F209" s="15" t="s">
        <v>689</v>
      </c>
      <c r="G209" s="15" t="n">
        <v>42</v>
      </c>
      <c r="H209" s="15"/>
      <c r="I209" s="15" t="s">
        <v>48</v>
      </c>
      <c r="J209" s="15" t="s">
        <v>947</v>
      </c>
      <c r="K209" s="15" t="s">
        <v>48</v>
      </c>
      <c r="L209" s="15" t="n">
        <v>0</v>
      </c>
      <c r="M209" s="15" t="n">
        <v>0</v>
      </c>
      <c r="N209" s="15"/>
      <c r="O209" s="15" t="s">
        <v>948</v>
      </c>
      <c r="P209" s="15" t="s">
        <v>949</v>
      </c>
      <c r="Q209" s="15" t="s">
        <v>1303</v>
      </c>
      <c r="R209" s="15" t="n">
        <v>0</v>
      </c>
      <c r="S209" s="15" t="n">
        <v>4</v>
      </c>
      <c r="T209" s="15" t="n">
        <v>12</v>
      </c>
      <c r="U209" s="15" t="n">
        <v>18</v>
      </c>
      <c r="V209" s="15" t="n">
        <v>8</v>
      </c>
      <c r="W209" s="15" t="n">
        <v>0</v>
      </c>
      <c r="X209" s="15" t="s">
        <v>951</v>
      </c>
      <c r="Y209" s="15" t="s">
        <v>952</v>
      </c>
      <c r="Z209" s="15" t="s">
        <v>170</v>
      </c>
      <c r="AA209" s="15" t="s">
        <v>966</v>
      </c>
      <c r="AB209" s="15" t="s">
        <v>1968</v>
      </c>
      <c r="AC209" s="15" t="s">
        <v>1969</v>
      </c>
      <c r="AD209" s="15" t="s">
        <v>1970</v>
      </c>
      <c r="AE209" s="15" t="s">
        <v>1008</v>
      </c>
      <c r="AF209" s="15" t="s">
        <v>1139</v>
      </c>
      <c r="AG209" s="15" t="s">
        <v>981</v>
      </c>
      <c r="AH209" s="15" t="n">
        <v>0</v>
      </c>
      <c r="AI209" s="15" t="n">
        <v>32</v>
      </c>
      <c r="AJ209" s="15" t="n">
        <v>10</v>
      </c>
      <c r="AK209" s="15" t="n">
        <v>0</v>
      </c>
      <c r="AL209" s="15" t="n">
        <v>0</v>
      </c>
      <c r="AM209" s="15" t="n">
        <v>0</v>
      </c>
      <c r="AN209" s="15" t="s">
        <v>1264</v>
      </c>
      <c r="AO209" s="15" t="s">
        <v>960</v>
      </c>
      <c r="AP209" s="15" t="s">
        <v>163</v>
      </c>
      <c r="AQ209" s="15"/>
      <c r="AR209" s="29" t="str">
        <f aca="false">IF(A209="","",IF(COUNTIF(Parcels!$A$2:$A$3000,B209)=0,"Parcel not found",IF(COUNTIF($A$2:$A$3000,A209)&gt;1,"Duplicate perm_id",IF(AND(P209="Yes",D209&lt;&gt;"",COUNTIFS($C$2:$C$3000,D209,$P$2:$P$3000,"Yes")&gt;1),"Reference counted twice",IF(COUNTIF(Lists!$A$2:$A$7,I209)=0,"Unknown status","")))))</f>
        <v/>
      </c>
    </row>
    <row r="210" customFormat="false" ht="15" hidden="false" customHeight="false" outlineLevel="0" collapsed="false">
      <c r="A210" s="15" t="s">
        <v>1971</v>
      </c>
      <c r="B210" s="15" t="s">
        <v>486</v>
      </c>
      <c r="C210" s="15" t="s">
        <v>54</v>
      </c>
      <c r="D210" s="15" t="s">
        <v>1972</v>
      </c>
      <c r="E210" s="15" t="s">
        <v>1972</v>
      </c>
      <c r="F210" s="15" t="s">
        <v>487</v>
      </c>
      <c r="G210" s="15" t="n">
        <v>15</v>
      </c>
      <c r="H210" s="15"/>
      <c r="I210" s="15" t="s">
        <v>946</v>
      </c>
      <c r="J210" s="15" t="s">
        <v>947</v>
      </c>
      <c r="K210" s="15" t="s">
        <v>946</v>
      </c>
      <c r="L210" s="15" t="n">
        <v>0</v>
      </c>
      <c r="M210" s="15" t="n">
        <v>0</v>
      </c>
      <c r="N210" s="15"/>
      <c r="O210" s="15" t="s">
        <v>948</v>
      </c>
      <c r="P210" s="15" t="s">
        <v>949</v>
      </c>
      <c r="Q210" s="15" t="s">
        <v>950</v>
      </c>
      <c r="R210" s="15" t="n">
        <v>0</v>
      </c>
      <c r="S210" s="15" t="n">
        <v>4</v>
      </c>
      <c r="T210" s="15" t="n">
        <v>1</v>
      </c>
      <c r="U210" s="15" t="n">
        <v>10</v>
      </c>
      <c r="V210" s="15" t="n">
        <v>0</v>
      </c>
      <c r="W210" s="15" t="n">
        <v>0</v>
      </c>
      <c r="X210" s="15" t="s">
        <v>951</v>
      </c>
      <c r="Y210" s="15" t="s">
        <v>952</v>
      </c>
      <c r="Z210" s="15" t="s">
        <v>170</v>
      </c>
      <c r="AA210" s="15" t="s">
        <v>966</v>
      </c>
      <c r="AB210" s="15" t="s">
        <v>1973</v>
      </c>
      <c r="AC210" s="15" t="s">
        <v>1974</v>
      </c>
      <c r="AD210" s="15"/>
      <c r="AE210" s="15" t="s">
        <v>1219</v>
      </c>
      <c r="AF210" s="15" t="s">
        <v>999</v>
      </c>
      <c r="AG210" s="15" t="s">
        <v>1000</v>
      </c>
      <c r="AH210" s="15" t="n">
        <v>0</v>
      </c>
      <c r="AI210" s="15" t="n">
        <v>0</v>
      </c>
      <c r="AJ210" s="15" t="n">
        <v>15</v>
      </c>
      <c r="AK210" s="15" t="n">
        <v>0</v>
      </c>
      <c r="AL210" s="15" t="n">
        <v>0</v>
      </c>
      <c r="AM210" s="15" t="n">
        <v>0</v>
      </c>
      <c r="AN210" s="15" t="s">
        <v>1264</v>
      </c>
      <c r="AO210" s="15" t="s">
        <v>960</v>
      </c>
      <c r="AP210" s="15" t="s">
        <v>163</v>
      </c>
      <c r="AQ210" s="15"/>
      <c r="AR210" s="29" t="str">
        <f aca="false">IF(A210="","",IF(COUNTIF(Parcels!$A$2:$A$3000,B210)=0,"Parcel not found",IF(COUNTIF($A$2:$A$3000,A210)&gt;1,"Duplicate perm_id",IF(AND(P210="Yes",D210&lt;&gt;"",COUNTIFS($C$2:$C$3000,D210,$P$2:$P$3000,"Yes")&gt;1),"Reference counted twice",IF(COUNTIF(Lists!$A$2:$A$7,I210)=0,"Unknown status","")))))</f>
        <v/>
      </c>
    </row>
    <row r="211" customFormat="false" ht="15" hidden="false" customHeight="false" outlineLevel="0" collapsed="false">
      <c r="A211" s="15" t="s">
        <v>1975</v>
      </c>
      <c r="B211" s="15" t="s">
        <v>690</v>
      </c>
      <c r="C211" s="15" t="s">
        <v>69</v>
      </c>
      <c r="D211" s="15" t="s">
        <v>1976</v>
      </c>
      <c r="E211" s="15" t="s">
        <v>1976</v>
      </c>
      <c r="F211" s="15" t="s">
        <v>691</v>
      </c>
      <c r="G211" s="15" t="n">
        <v>7</v>
      </c>
      <c r="H211" s="15"/>
      <c r="I211" s="15" t="s">
        <v>946</v>
      </c>
      <c r="J211" s="15" t="s">
        <v>947</v>
      </c>
      <c r="K211" s="15" t="s">
        <v>946</v>
      </c>
      <c r="L211" s="15" t="n">
        <v>0</v>
      </c>
      <c r="M211" s="15" t="n">
        <v>0</v>
      </c>
      <c r="N211" s="15"/>
      <c r="O211" s="15" t="s">
        <v>948</v>
      </c>
      <c r="P211" s="15" t="s">
        <v>949</v>
      </c>
      <c r="Q211" s="15" t="s">
        <v>965</v>
      </c>
      <c r="R211" s="15"/>
      <c r="S211" s="15"/>
      <c r="T211" s="15"/>
      <c r="U211" s="15"/>
      <c r="V211" s="15"/>
      <c r="W211" s="15"/>
      <c r="X211" s="15" t="s">
        <v>1670</v>
      </c>
      <c r="Y211" s="15" t="s">
        <v>952</v>
      </c>
      <c r="Z211" s="15" t="s">
        <v>170</v>
      </c>
      <c r="AA211" s="15" t="s">
        <v>966</v>
      </c>
      <c r="AB211" s="15" t="s">
        <v>1977</v>
      </c>
      <c r="AC211" s="15" t="s">
        <v>1978</v>
      </c>
      <c r="AD211" s="15"/>
      <c r="AE211" s="15" t="s">
        <v>956</v>
      </c>
      <c r="AF211" s="15" t="s">
        <v>1133</v>
      </c>
      <c r="AG211" s="15" t="s">
        <v>958</v>
      </c>
      <c r="AH211" s="15" t="n">
        <v>0</v>
      </c>
      <c r="AI211" s="15" t="n">
        <v>0</v>
      </c>
      <c r="AJ211" s="15" t="n">
        <v>4.4</v>
      </c>
      <c r="AK211" s="15" t="n">
        <v>2.6</v>
      </c>
      <c r="AL211" s="15" t="n">
        <v>0</v>
      </c>
      <c r="AM211" s="15" t="n">
        <v>0</v>
      </c>
      <c r="AN211" s="15" t="s">
        <v>1264</v>
      </c>
      <c r="AO211" s="15" t="s">
        <v>960</v>
      </c>
      <c r="AP211" s="15" t="s">
        <v>163</v>
      </c>
      <c r="AQ211" s="15"/>
      <c r="AR211" s="29" t="str">
        <f aca="false">IF(A211="","",IF(COUNTIF(Parcels!$A$2:$A$3000,B211)=0,"Parcel not found",IF(COUNTIF($A$2:$A$3000,A211)&gt;1,"Duplicate perm_id",IF(AND(P211="Yes",D211&lt;&gt;"",COUNTIFS($C$2:$C$3000,D211,$P$2:$P$3000,"Yes")&gt;1),"Reference counted twice",IF(COUNTIF(Lists!$A$2:$A$7,I211)=0,"Unknown status","")))))</f>
        <v/>
      </c>
    </row>
    <row r="212" customFormat="false" ht="15" hidden="false" customHeight="false" outlineLevel="0" collapsed="false">
      <c r="A212" s="15" t="s">
        <v>1979</v>
      </c>
      <c r="B212" s="15" t="s">
        <v>692</v>
      </c>
      <c r="C212" s="15" t="s">
        <v>22</v>
      </c>
      <c r="D212" s="15" t="s">
        <v>1980</v>
      </c>
      <c r="E212" s="15" t="s">
        <v>1980</v>
      </c>
      <c r="F212" s="15" t="s">
        <v>693</v>
      </c>
      <c r="G212" s="15" t="n">
        <v>27</v>
      </c>
      <c r="H212" s="15"/>
      <c r="I212" s="15" t="s">
        <v>946</v>
      </c>
      <c r="J212" s="15" t="s">
        <v>947</v>
      </c>
      <c r="K212" s="15" t="s">
        <v>946</v>
      </c>
      <c r="L212" s="15" t="n">
        <v>0</v>
      </c>
      <c r="M212" s="15" t="n">
        <v>0</v>
      </c>
      <c r="N212" s="15"/>
      <c r="O212" s="15" t="s">
        <v>948</v>
      </c>
      <c r="P212" s="15" t="s">
        <v>949</v>
      </c>
      <c r="Q212" s="15" t="s">
        <v>989</v>
      </c>
      <c r="R212" s="15" t="n">
        <v>0</v>
      </c>
      <c r="S212" s="15" t="n">
        <v>0</v>
      </c>
      <c r="T212" s="15" t="n">
        <v>16</v>
      </c>
      <c r="U212" s="15" t="n">
        <v>11</v>
      </c>
      <c r="V212" s="15" t="n">
        <v>0</v>
      </c>
      <c r="W212" s="15" t="n">
        <v>0</v>
      </c>
      <c r="X212" s="15" t="s">
        <v>951</v>
      </c>
      <c r="Y212" s="15" t="s">
        <v>952</v>
      </c>
      <c r="Z212" s="15" t="s">
        <v>170</v>
      </c>
      <c r="AA212" s="15" t="s">
        <v>966</v>
      </c>
      <c r="AB212" s="15" t="s">
        <v>1981</v>
      </c>
      <c r="AC212" s="15" t="s">
        <v>1982</v>
      </c>
      <c r="AD212" s="15"/>
      <c r="AE212" s="15" t="s">
        <v>980</v>
      </c>
      <c r="AF212" s="15" t="s">
        <v>1066</v>
      </c>
      <c r="AG212" s="15" t="s">
        <v>1000</v>
      </c>
      <c r="AH212" s="15" t="n">
        <v>0</v>
      </c>
      <c r="AI212" s="15" t="n">
        <v>0</v>
      </c>
      <c r="AJ212" s="15" t="n">
        <v>11.4</v>
      </c>
      <c r="AK212" s="15" t="n">
        <v>15.6</v>
      </c>
      <c r="AL212" s="15" t="n">
        <v>0</v>
      </c>
      <c r="AM212" s="15" t="n">
        <v>0</v>
      </c>
      <c r="AN212" s="15" t="s">
        <v>1264</v>
      </c>
      <c r="AO212" s="15" t="s">
        <v>960</v>
      </c>
      <c r="AP212" s="15" t="s">
        <v>163</v>
      </c>
      <c r="AQ212" s="15"/>
      <c r="AR212" s="29" t="str">
        <f aca="false">IF(A212="","",IF(COUNTIF(Parcels!$A$2:$A$3000,B212)=0,"Parcel not found",IF(COUNTIF($A$2:$A$3000,A212)&gt;1,"Duplicate perm_id",IF(AND(P212="Yes",D212&lt;&gt;"",COUNTIFS($C$2:$C$3000,D212,$P$2:$P$3000,"Yes")&gt;1),"Reference counted twice",IF(COUNTIF(Lists!$A$2:$A$7,I212)=0,"Unknown status","")))))</f>
        <v/>
      </c>
    </row>
    <row r="213" customFormat="false" ht="15" hidden="false" customHeight="false" outlineLevel="0" collapsed="false">
      <c r="A213" s="15" t="s">
        <v>1983</v>
      </c>
      <c r="B213" s="15" t="s">
        <v>462</v>
      </c>
      <c r="C213" s="15" t="s">
        <v>53</v>
      </c>
      <c r="D213" s="15" t="s">
        <v>1984</v>
      </c>
      <c r="E213" s="15" t="s">
        <v>1984</v>
      </c>
      <c r="F213" s="15" t="s">
        <v>463</v>
      </c>
      <c r="G213" s="15" t="n">
        <v>6</v>
      </c>
      <c r="H213" s="15"/>
      <c r="I213" s="15" t="s">
        <v>48</v>
      </c>
      <c r="J213" s="15" t="s">
        <v>947</v>
      </c>
      <c r="K213" s="15" t="s">
        <v>48</v>
      </c>
      <c r="L213" s="15" t="n">
        <v>0</v>
      </c>
      <c r="M213" s="15" t="n">
        <v>0</v>
      </c>
      <c r="N213" s="15"/>
      <c r="O213" s="15" t="s">
        <v>948</v>
      </c>
      <c r="P213" s="15" t="s">
        <v>949</v>
      </c>
      <c r="Q213" s="15" t="s">
        <v>989</v>
      </c>
      <c r="R213" s="15" t="n">
        <v>0</v>
      </c>
      <c r="S213" s="15" t="n">
        <v>4</v>
      </c>
      <c r="T213" s="15" t="n">
        <v>2</v>
      </c>
      <c r="U213" s="15" t="n">
        <v>0</v>
      </c>
      <c r="V213" s="15" t="n">
        <v>0</v>
      </c>
      <c r="W213" s="15" t="n">
        <v>0</v>
      </c>
      <c r="X213" s="15" t="s">
        <v>951</v>
      </c>
      <c r="Y213" s="15" t="s">
        <v>952</v>
      </c>
      <c r="Z213" s="15" t="s">
        <v>170</v>
      </c>
      <c r="AA213" s="15" t="s">
        <v>966</v>
      </c>
      <c r="AB213" s="15" t="s">
        <v>1985</v>
      </c>
      <c r="AC213" s="15" t="s">
        <v>1986</v>
      </c>
      <c r="AD213" s="15" t="s">
        <v>1987</v>
      </c>
      <c r="AE213" s="15" t="s">
        <v>1649</v>
      </c>
      <c r="AF213" s="15" t="s">
        <v>1139</v>
      </c>
      <c r="AG213" s="15" t="s">
        <v>981</v>
      </c>
      <c r="AH213" s="15" t="n">
        <v>0</v>
      </c>
      <c r="AI213" s="15" t="n">
        <v>6</v>
      </c>
      <c r="AJ213" s="15" t="n">
        <v>0</v>
      </c>
      <c r="AK213" s="15" t="n">
        <v>0</v>
      </c>
      <c r="AL213" s="15" t="n">
        <v>0</v>
      </c>
      <c r="AM213" s="15" t="n">
        <v>0</v>
      </c>
      <c r="AN213" s="15" t="s">
        <v>1264</v>
      </c>
      <c r="AO213" s="15" t="s">
        <v>960</v>
      </c>
      <c r="AP213" s="15" t="s">
        <v>163</v>
      </c>
      <c r="AQ213" s="15"/>
      <c r="AR213" s="29" t="str">
        <f aca="false">IF(A213="","",IF(COUNTIF(Parcels!$A$2:$A$3000,B213)=0,"Parcel not found",IF(COUNTIF($A$2:$A$3000,A213)&gt;1,"Duplicate perm_id",IF(AND(P213="Yes",D213&lt;&gt;"",COUNTIFS($C$2:$C$3000,D213,$P$2:$P$3000,"Yes")&gt;1),"Reference counted twice",IF(COUNTIF(Lists!$A$2:$A$7,I213)=0,"Unknown status","")))))</f>
        <v/>
      </c>
    </row>
    <row r="214" customFormat="false" ht="15" hidden="false" customHeight="false" outlineLevel="0" collapsed="false">
      <c r="A214" s="15" t="s">
        <v>1988</v>
      </c>
      <c r="B214" s="15" t="s">
        <v>408</v>
      </c>
      <c r="C214" s="15" t="s">
        <v>52</v>
      </c>
      <c r="D214" s="15" t="s">
        <v>1989</v>
      </c>
      <c r="E214" s="15" t="s">
        <v>1989</v>
      </c>
      <c r="F214" s="15" t="s">
        <v>409</v>
      </c>
      <c r="G214" s="15" t="n">
        <v>6</v>
      </c>
      <c r="H214" s="15"/>
      <c r="I214" s="15" t="s">
        <v>48</v>
      </c>
      <c r="J214" s="15" t="s">
        <v>947</v>
      </c>
      <c r="K214" s="15" t="s">
        <v>48</v>
      </c>
      <c r="L214" s="15" t="n">
        <v>0</v>
      </c>
      <c r="M214" s="15" t="n">
        <v>0</v>
      </c>
      <c r="N214" s="15"/>
      <c r="O214" s="15" t="s">
        <v>948</v>
      </c>
      <c r="P214" s="15" t="s">
        <v>949</v>
      </c>
      <c r="Q214" s="15" t="s">
        <v>1070</v>
      </c>
      <c r="R214" s="15"/>
      <c r="S214" s="15"/>
      <c r="T214" s="15"/>
      <c r="U214" s="15"/>
      <c r="V214" s="15"/>
      <c r="W214" s="15"/>
      <c r="X214" s="15" t="s">
        <v>951</v>
      </c>
      <c r="Y214" s="15" t="s">
        <v>974</v>
      </c>
      <c r="Z214" s="15" t="s">
        <v>975</v>
      </c>
      <c r="AA214" s="15" t="s">
        <v>976</v>
      </c>
      <c r="AB214" s="15" t="s">
        <v>1990</v>
      </c>
      <c r="AC214" s="15"/>
      <c r="AD214" s="15" t="s">
        <v>1991</v>
      </c>
      <c r="AE214" s="15" t="s">
        <v>1008</v>
      </c>
      <c r="AF214" s="15" t="s">
        <v>1139</v>
      </c>
      <c r="AG214" s="15" t="s">
        <v>981</v>
      </c>
      <c r="AH214" s="15" t="n">
        <v>0</v>
      </c>
      <c r="AI214" s="15" t="n">
        <v>4.7</v>
      </c>
      <c r="AJ214" s="15" t="n">
        <v>1.3</v>
      </c>
      <c r="AK214" s="15" t="n">
        <v>0</v>
      </c>
      <c r="AL214" s="15" t="n">
        <v>0</v>
      </c>
      <c r="AM214" s="15" t="n">
        <v>0</v>
      </c>
      <c r="AN214" s="15" t="s">
        <v>1264</v>
      </c>
      <c r="AO214" s="15" t="s">
        <v>960</v>
      </c>
      <c r="AP214" s="15" t="s">
        <v>163</v>
      </c>
      <c r="AQ214" s="15"/>
      <c r="AR214" s="29" t="str">
        <f aca="false">IF(A214="","",IF(COUNTIF(Parcels!$A$2:$A$3000,B214)=0,"Parcel not found",IF(COUNTIF($A$2:$A$3000,A214)&gt;1,"Duplicate perm_id",IF(AND(P214="Yes",D214&lt;&gt;"",COUNTIFS($C$2:$C$3000,D214,$P$2:$P$3000,"Yes")&gt;1),"Reference counted twice",IF(COUNTIF(Lists!$A$2:$A$7,I214)=0,"Unknown status","")))))</f>
        <v/>
      </c>
    </row>
    <row r="215" customFormat="false" ht="15" hidden="false" customHeight="false" outlineLevel="0" collapsed="false">
      <c r="A215" s="15" t="s">
        <v>1992</v>
      </c>
      <c r="B215" s="15" t="s">
        <v>464</v>
      </c>
      <c r="C215" s="15" t="s">
        <v>53</v>
      </c>
      <c r="D215" s="15" t="s">
        <v>1993</v>
      </c>
      <c r="E215" s="15" t="s">
        <v>1993</v>
      </c>
      <c r="F215" s="15" t="s">
        <v>465</v>
      </c>
      <c r="G215" s="15" t="n">
        <v>7</v>
      </c>
      <c r="H215" s="15"/>
      <c r="I215" s="15" t="s">
        <v>48</v>
      </c>
      <c r="J215" s="15" t="s">
        <v>947</v>
      </c>
      <c r="K215" s="15" t="s">
        <v>48</v>
      </c>
      <c r="L215" s="15" t="n">
        <v>0</v>
      </c>
      <c r="M215" s="15" t="n">
        <v>0</v>
      </c>
      <c r="N215" s="15"/>
      <c r="O215" s="15" t="s">
        <v>948</v>
      </c>
      <c r="P215" s="15" t="s">
        <v>949</v>
      </c>
      <c r="Q215" s="15" t="s">
        <v>965</v>
      </c>
      <c r="R215" s="15"/>
      <c r="S215" s="15"/>
      <c r="T215" s="15"/>
      <c r="U215" s="15"/>
      <c r="V215" s="15"/>
      <c r="W215" s="15"/>
      <c r="X215" s="15" t="s">
        <v>951</v>
      </c>
      <c r="Y215" s="15" t="s">
        <v>952</v>
      </c>
      <c r="Z215" s="15" t="s">
        <v>170</v>
      </c>
      <c r="AA215" s="15" t="s">
        <v>966</v>
      </c>
      <c r="AB215" s="15" t="s">
        <v>1994</v>
      </c>
      <c r="AC215" s="15" t="s">
        <v>1995</v>
      </c>
      <c r="AD215" s="15" t="s">
        <v>1996</v>
      </c>
      <c r="AE215" s="15" t="s">
        <v>1649</v>
      </c>
      <c r="AF215" s="15" t="s">
        <v>1139</v>
      </c>
      <c r="AG215" s="15" t="s">
        <v>981</v>
      </c>
      <c r="AH215" s="15" t="n">
        <v>0</v>
      </c>
      <c r="AI215" s="15" t="n">
        <v>6.6</v>
      </c>
      <c r="AJ215" s="15" t="n">
        <v>0.4</v>
      </c>
      <c r="AK215" s="15" t="n">
        <v>0</v>
      </c>
      <c r="AL215" s="15" t="n">
        <v>0</v>
      </c>
      <c r="AM215" s="15" t="n">
        <v>0</v>
      </c>
      <c r="AN215" s="15" t="s">
        <v>1264</v>
      </c>
      <c r="AO215" s="15" t="s">
        <v>960</v>
      </c>
      <c r="AP215" s="15" t="s">
        <v>163</v>
      </c>
      <c r="AQ215" s="15"/>
      <c r="AR215" s="29" t="str">
        <f aca="false">IF(A215="","",IF(COUNTIF(Parcels!$A$2:$A$3000,B215)=0,"Parcel not found",IF(COUNTIF($A$2:$A$3000,A215)&gt;1,"Duplicate perm_id",IF(AND(P215="Yes",D215&lt;&gt;"",COUNTIFS($C$2:$C$3000,D215,$P$2:$P$3000,"Yes")&gt;1),"Reference counted twice",IF(COUNTIF(Lists!$A$2:$A$7,I215)=0,"Unknown status","")))))</f>
        <v/>
      </c>
    </row>
    <row r="216" customFormat="false" ht="15" hidden="false" customHeight="false" outlineLevel="0" collapsed="false">
      <c r="A216" s="15" t="s">
        <v>1997</v>
      </c>
      <c r="B216" s="15" t="s">
        <v>694</v>
      </c>
      <c r="C216" s="15" t="s">
        <v>74</v>
      </c>
      <c r="D216" s="15" t="s">
        <v>1998</v>
      </c>
      <c r="E216" s="15" t="s">
        <v>1998</v>
      </c>
      <c r="F216" s="15" t="s">
        <v>695</v>
      </c>
      <c r="G216" s="15" t="n">
        <v>63</v>
      </c>
      <c r="H216" s="15"/>
      <c r="I216" s="15" t="s">
        <v>946</v>
      </c>
      <c r="J216" s="15" t="s">
        <v>947</v>
      </c>
      <c r="K216" s="15" t="s">
        <v>946</v>
      </c>
      <c r="L216" s="15" t="n">
        <v>0</v>
      </c>
      <c r="M216" s="15" t="n">
        <v>0</v>
      </c>
      <c r="N216" s="15"/>
      <c r="O216" s="15" t="s">
        <v>948</v>
      </c>
      <c r="P216" s="15" t="s">
        <v>949</v>
      </c>
      <c r="Q216" s="15" t="s">
        <v>1303</v>
      </c>
      <c r="R216" s="15" t="n">
        <v>0</v>
      </c>
      <c r="S216" s="15" t="n">
        <v>0</v>
      </c>
      <c r="T216" s="15" t="n">
        <v>5</v>
      </c>
      <c r="U216" s="15" t="n">
        <v>55</v>
      </c>
      <c r="V216" s="15" t="n">
        <v>3</v>
      </c>
      <c r="W216" s="15" t="n">
        <v>0</v>
      </c>
      <c r="X216" s="15" t="s">
        <v>973</v>
      </c>
      <c r="Y216" s="15" t="s">
        <v>952</v>
      </c>
      <c r="Z216" s="15" t="s">
        <v>170</v>
      </c>
      <c r="AA216" s="15" t="s">
        <v>966</v>
      </c>
      <c r="AB216" s="15" t="s">
        <v>1999</v>
      </c>
      <c r="AC216" s="15" t="s">
        <v>2000</v>
      </c>
      <c r="AD216" s="15"/>
      <c r="AE216" s="15" t="s">
        <v>956</v>
      </c>
      <c r="AF216" s="15" t="s">
        <v>1169</v>
      </c>
      <c r="AG216" s="15" t="s">
        <v>958</v>
      </c>
      <c r="AH216" s="15" t="n">
        <v>0</v>
      </c>
      <c r="AI216" s="15" t="n">
        <v>0</v>
      </c>
      <c r="AJ216" s="15" t="n">
        <v>24.1</v>
      </c>
      <c r="AK216" s="15" t="n">
        <v>38.9</v>
      </c>
      <c r="AL216" s="15" t="n">
        <v>0</v>
      </c>
      <c r="AM216" s="15" t="n">
        <v>0</v>
      </c>
      <c r="AN216" s="15" t="s">
        <v>1264</v>
      </c>
      <c r="AO216" s="15" t="s">
        <v>960</v>
      </c>
      <c r="AP216" s="15" t="s">
        <v>163</v>
      </c>
      <c r="AQ216" s="15"/>
      <c r="AR216" s="29" t="str">
        <f aca="false">IF(A216="","",IF(COUNTIF(Parcels!$A$2:$A$3000,B216)=0,"Parcel not found",IF(COUNTIF($A$2:$A$3000,A216)&gt;1,"Duplicate perm_id",IF(AND(P216="Yes",D216&lt;&gt;"",COUNTIFS($C$2:$C$3000,D216,$P$2:$P$3000,"Yes")&gt;1),"Reference counted twice",IF(COUNTIF(Lists!$A$2:$A$7,I216)=0,"Unknown status","")))))</f>
        <v/>
      </c>
    </row>
    <row r="217" customFormat="false" ht="15" hidden="false" customHeight="false" outlineLevel="0" collapsed="false">
      <c r="A217" s="15" t="s">
        <v>2001</v>
      </c>
      <c r="B217" s="15" t="s">
        <v>694</v>
      </c>
      <c r="C217" s="15" t="s">
        <v>74</v>
      </c>
      <c r="D217" s="15" t="s">
        <v>2002</v>
      </c>
      <c r="E217" s="15" t="s">
        <v>2002</v>
      </c>
      <c r="F217" s="15" t="s">
        <v>2003</v>
      </c>
      <c r="G217" s="15" t="n">
        <v>40</v>
      </c>
      <c r="H217" s="15"/>
      <c r="I217" s="15" t="s">
        <v>1057</v>
      </c>
      <c r="J217" s="15" t="s">
        <v>947</v>
      </c>
      <c r="K217" s="15" t="s">
        <v>1057</v>
      </c>
      <c r="L217" s="15" t="n">
        <v>0</v>
      </c>
      <c r="M217" s="15" t="n">
        <v>0</v>
      </c>
      <c r="N217" s="15"/>
      <c r="O217" s="15" t="s">
        <v>948</v>
      </c>
      <c r="P217" s="15" t="s">
        <v>949</v>
      </c>
      <c r="Q217" s="15" t="s">
        <v>1303</v>
      </c>
      <c r="R217" s="15" t="n">
        <v>0</v>
      </c>
      <c r="S217" s="15" t="n">
        <v>0</v>
      </c>
      <c r="T217" s="15" t="n">
        <v>6</v>
      </c>
      <c r="U217" s="15" t="n">
        <v>34</v>
      </c>
      <c r="V217" s="15" t="n">
        <v>2</v>
      </c>
      <c r="W217" s="15" t="n">
        <v>0</v>
      </c>
      <c r="X217" s="15" t="s">
        <v>973</v>
      </c>
      <c r="Y217" s="15" t="s">
        <v>952</v>
      </c>
      <c r="Z217" s="15" t="s">
        <v>170</v>
      </c>
      <c r="AA217" s="15" t="s">
        <v>966</v>
      </c>
      <c r="AB217" s="15" t="s">
        <v>2004</v>
      </c>
      <c r="AC217" s="15" t="s">
        <v>2005</v>
      </c>
      <c r="AD217" s="15"/>
      <c r="AE217" s="15"/>
      <c r="AF217" s="15"/>
      <c r="AG217" s="15" t="s">
        <v>969</v>
      </c>
      <c r="AH217" s="15" t="n">
        <v>0</v>
      </c>
      <c r="AI217" s="15" t="n">
        <v>0</v>
      </c>
      <c r="AJ217" s="15" t="n">
        <v>0</v>
      </c>
      <c r="AK217" s="15" t="n">
        <v>0</v>
      </c>
      <c r="AL217" s="15" t="n">
        <v>0</v>
      </c>
      <c r="AM217" s="15" t="n">
        <v>0</v>
      </c>
      <c r="AN217" s="15" t="s">
        <v>1264</v>
      </c>
      <c r="AO217" s="15" t="s">
        <v>960</v>
      </c>
      <c r="AP217" s="15" t="s">
        <v>163</v>
      </c>
      <c r="AQ217" s="15"/>
      <c r="AR217" s="29" t="str">
        <f aca="false">IF(A217="","",IF(COUNTIF(Parcels!$A$2:$A$3000,B217)=0,"Parcel not found",IF(COUNTIF($A$2:$A$3000,A217)&gt;1,"Duplicate perm_id",IF(AND(P217="Yes",D217&lt;&gt;"",COUNTIFS($C$2:$C$3000,D217,$P$2:$P$3000,"Yes")&gt;1),"Reference counted twice",IF(COUNTIF(Lists!$A$2:$A$7,I217)=0,"Unknown status","")))))</f>
        <v/>
      </c>
    </row>
    <row r="218" customFormat="false" ht="15" hidden="false" customHeight="false" outlineLevel="0" collapsed="false">
      <c r="A218" s="15" t="s">
        <v>2006</v>
      </c>
      <c r="B218" s="15" t="s">
        <v>694</v>
      </c>
      <c r="C218" s="15" t="s">
        <v>74</v>
      </c>
      <c r="D218" s="15" t="s">
        <v>2007</v>
      </c>
      <c r="E218" s="15" t="s">
        <v>2007</v>
      </c>
      <c r="F218" s="15" t="s">
        <v>2008</v>
      </c>
      <c r="G218" s="15" t="n">
        <v>49</v>
      </c>
      <c r="H218" s="15"/>
      <c r="I218" s="15" t="s">
        <v>964</v>
      </c>
      <c r="J218" s="15" t="s">
        <v>947</v>
      </c>
      <c r="K218" s="15" t="s">
        <v>964</v>
      </c>
      <c r="L218" s="15" t="n">
        <v>0</v>
      </c>
      <c r="M218" s="15" t="n">
        <v>0</v>
      </c>
      <c r="N218" s="15"/>
      <c r="O218" s="15" t="s">
        <v>948</v>
      </c>
      <c r="P218" s="15" t="s">
        <v>949</v>
      </c>
      <c r="Q218" s="15" t="s">
        <v>965</v>
      </c>
      <c r="R218" s="15"/>
      <c r="S218" s="15"/>
      <c r="T218" s="15"/>
      <c r="U218" s="15"/>
      <c r="V218" s="15"/>
      <c r="W218" s="15"/>
      <c r="X218" s="15" t="s">
        <v>951</v>
      </c>
      <c r="Y218" s="15" t="s">
        <v>952</v>
      </c>
      <c r="Z218" s="15" t="s">
        <v>170</v>
      </c>
      <c r="AA218" s="15" t="s">
        <v>966</v>
      </c>
      <c r="AB218" s="15" t="s">
        <v>2009</v>
      </c>
      <c r="AC218" s="15" t="s">
        <v>2010</v>
      </c>
      <c r="AD218" s="15"/>
      <c r="AE218" s="15"/>
      <c r="AF218" s="15"/>
      <c r="AG218" s="15" t="s">
        <v>969</v>
      </c>
      <c r="AH218" s="15" t="n">
        <v>0</v>
      </c>
      <c r="AI218" s="15" t="n">
        <v>0</v>
      </c>
      <c r="AJ218" s="15" t="n">
        <v>0</v>
      </c>
      <c r="AK218" s="15" t="n">
        <v>0</v>
      </c>
      <c r="AL218" s="15" t="n">
        <v>0</v>
      </c>
      <c r="AM218" s="15" t="n">
        <v>0</v>
      </c>
      <c r="AN218" s="15" t="s">
        <v>1264</v>
      </c>
      <c r="AO218" s="15" t="s">
        <v>960</v>
      </c>
      <c r="AP218" s="15" t="s">
        <v>163</v>
      </c>
      <c r="AQ218" s="15"/>
      <c r="AR218" s="29" t="str">
        <f aca="false">IF(A218="","",IF(COUNTIF(Parcels!$A$2:$A$3000,B218)=0,"Parcel not found",IF(COUNTIF($A$2:$A$3000,A218)&gt;1,"Duplicate perm_id",IF(AND(P218="Yes",D218&lt;&gt;"",COUNTIFS($C$2:$C$3000,D218,$P$2:$P$3000,"Yes")&gt;1),"Reference counted twice",IF(COUNTIF(Lists!$A$2:$A$7,I218)=0,"Unknown status","")))))</f>
        <v/>
      </c>
    </row>
    <row r="219" customFormat="false" ht="15" hidden="false" customHeight="false" outlineLevel="0" collapsed="false">
      <c r="A219" s="15" t="s">
        <v>2011</v>
      </c>
      <c r="B219" s="15" t="s">
        <v>696</v>
      </c>
      <c r="C219" s="15" t="s">
        <v>73</v>
      </c>
      <c r="D219" s="15" t="s">
        <v>2012</v>
      </c>
      <c r="E219" s="15" t="s">
        <v>2012</v>
      </c>
      <c r="F219" s="15" t="s">
        <v>697</v>
      </c>
      <c r="G219" s="15" t="n">
        <v>4</v>
      </c>
      <c r="H219" s="15"/>
      <c r="I219" s="15" t="s">
        <v>48</v>
      </c>
      <c r="J219" s="15" t="s">
        <v>947</v>
      </c>
      <c r="K219" s="15" t="s">
        <v>48</v>
      </c>
      <c r="L219" s="15" t="n">
        <v>0</v>
      </c>
      <c r="M219" s="15" t="n">
        <v>0</v>
      </c>
      <c r="N219" s="15"/>
      <c r="O219" s="15" t="s">
        <v>948</v>
      </c>
      <c r="P219" s="15" t="s">
        <v>949</v>
      </c>
      <c r="Q219" s="15" t="s">
        <v>965</v>
      </c>
      <c r="R219" s="15"/>
      <c r="S219" s="15"/>
      <c r="T219" s="15"/>
      <c r="U219" s="15"/>
      <c r="V219" s="15"/>
      <c r="W219" s="15"/>
      <c r="X219" s="15" t="s">
        <v>951</v>
      </c>
      <c r="Y219" s="15" t="s">
        <v>952</v>
      </c>
      <c r="Z219" s="15" t="s">
        <v>170</v>
      </c>
      <c r="AA219" s="15" t="s">
        <v>966</v>
      </c>
      <c r="AB219" s="15" t="s">
        <v>2013</v>
      </c>
      <c r="AC219" s="15" t="s">
        <v>2014</v>
      </c>
      <c r="AD219" s="15" t="s">
        <v>2015</v>
      </c>
      <c r="AE219" s="15" t="s">
        <v>1649</v>
      </c>
      <c r="AF219" s="15" t="s">
        <v>1139</v>
      </c>
      <c r="AG219" s="15" t="s">
        <v>981</v>
      </c>
      <c r="AH219" s="15" t="n">
        <v>0</v>
      </c>
      <c r="AI219" s="15" t="n">
        <v>3.7</v>
      </c>
      <c r="AJ219" s="15" t="n">
        <v>0.3</v>
      </c>
      <c r="AK219" s="15" t="n">
        <v>0</v>
      </c>
      <c r="AL219" s="15" t="n">
        <v>0</v>
      </c>
      <c r="AM219" s="15" t="n">
        <v>0</v>
      </c>
      <c r="AN219" s="15" t="s">
        <v>1264</v>
      </c>
      <c r="AO219" s="15" t="s">
        <v>960</v>
      </c>
      <c r="AP219" s="15" t="s">
        <v>163</v>
      </c>
      <c r="AQ219" s="15"/>
      <c r="AR219" s="29" t="str">
        <f aca="false">IF(A219="","",IF(COUNTIF(Parcels!$A$2:$A$3000,B219)=0,"Parcel not found",IF(COUNTIF($A$2:$A$3000,A219)&gt;1,"Duplicate perm_id",IF(AND(P219="Yes",D219&lt;&gt;"",COUNTIFS($C$2:$C$3000,D219,$P$2:$P$3000,"Yes")&gt;1),"Reference counted twice",IF(COUNTIF(Lists!$A$2:$A$7,I219)=0,"Unknown status","")))))</f>
        <v/>
      </c>
    </row>
    <row r="220" customFormat="false" ht="15" hidden="false" customHeight="false" outlineLevel="0" collapsed="false">
      <c r="A220" s="15" t="s">
        <v>2016</v>
      </c>
      <c r="B220" s="15" t="s">
        <v>466</v>
      </c>
      <c r="C220" s="15" t="s">
        <v>53</v>
      </c>
      <c r="D220" s="15" t="s">
        <v>2017</v>
      </c>
      <c r="E220" s="15" t="s">
        <v>2017</v>
      </c>
      <c r="F220" s="15" t="s">
        <v>467</v>
      </c>
      <c r="G220" s="15" t="n">
        <v>16</v>
      </c>
      <c r="H220" s="15"/>
      <c r="I220" s="15" t="s">
        <v>946</v>
      </c>
      <c r="J220" s="15" t="s">
        <v>947</v>
      </c>
      <c r="K220" s="15" t="s">
        <v>946</v>
      </c>
      <c r="L220" s="15" t="n">
        <v>0</v>
      </c>
      <c r="M220" s="15" t="n">
        <v>0</v>
      </c>
      <c r="N220" s="15"/>
      <c r="O220" s="15" t="s">
        <v>948</v>
      </c>
      <c r="P220" s="15" t="s">
        <v>949</v>
      </c>
      <c r="Q220" s="15" t="s">
        <v>950</v>
      </c>
      <c r="R220" s="15" t="n">
        <v>0</v>
      </c>
      <c r="S220" s="15" t="n">
        <v>14</v>
      </c>
      <c r="T220" s="15" t="n">
        <v>2</v>
      </c>
      <c r="U220" s="15" t="n">
        <v>0</v>
      </c>
      <c r="V220" s="15" t="n">
        <v>0</v>
      </c>
      <c r="W220" s="15" t="n">
        <v>0</v>
      </c>
      <c r="X220" s="15" t="s">
        <v>973</v>
      </c>
      <c r="Y220" s="15" t="s">
        <v>952</v>
      </c>
      <c r="Z220" s="15" t="s">
        <v>170</v>
      </c>
      <c r="AA220" s="15" t="s">
        <v>966</v>
      </c>
      <c r="AB220" s="15" t="s">
        <v>2018</v>
      </c>
      <c r="AC220" s="15" t="s">
        <v>2019</v>
      </c>
      <c r="AD220" s="15"/>
      <c r="AE220" s="15" t="s">
        <v>980</v>
      </c>
      <c r="AF220" s="15" t="s">
        <v>1169</v>
      </c>
      <c r="AG220" s="15" t="s">
        <v>1000</v>
      </c>
      <c r="AH220" s="15" t="n">
        <v>0</v>
      </c>
      <c r="AI220" s="15" t="n">
        <v>0</v>
      </c>
      <c r="AJ220" s="15" t="n">
        <v>3.1</v>
      </c>
      <c r="AK220" s="15" t="n">
        <v>12.9</v>
      </c>
      <c r="AL220" s="15" t="n">
        <v>0</v>
      </c>
      <c r="AM220" s="15" t="n">
        <v>0</v>
      </c>
      <c r="AN220" s="15" t="s">
        <v>1264</v>
      </c>
      <c r="AO220" s="15" t="s">
        <v>960</v>
      </c>
      <c r="AP220" s="15" t="s">
        <v>163</v>
      </c>
      <c r="AQ220" s="15"/>
      <c r="AR220" s="29" t="str">
        <f aca="false">IF(A220="","",IF(COUNTIF(Parcels!$A$2:$A$3000,B220)=0,"Parcel not found",IF(COUNTIF($A$2:$A$3000,A220)&gt;1,"Duplicate perm_id",IF(AND(P220="Yes",D220&lt;&gt;"",COUNTIFS($C$2:$C$3000,D220,$P$2:$P$3000,"Yes")&gt;1),"Reference counted twice",IF(COUNTIF(Lists!$A$2:$A$7,I220)=0,"Unknown status","")))))</f>
        <v/>
      </c>
    </row>
    <row r="221" customFormat="false" ht="15" hidden="false" customHeight="false" outlineLevel="0" collapsed="false">
      <c r="A221" s="15" t="s">
        <v>2020</v>
      </c>
      <c r="B221" s="15" t="s">
        <v>515</v>
      </c>
      <c r="C221" s="15" t="s">
        <v>55</v>
      </c>
      <c r="D221" s="15" t="s">
        <v>2021</v>
      </c>
      <c r="E221" s="15" t="s">
        <v>2021</v>
      </c>
      <c r="F221" s="15" t="s">
        <v>516</v>
      </c>
      <c r="G221" s="15" t="n">
        <v>24</v>
      </c>
      <c r="H221" s="15"/>
      <c r="I221" s="15" t="s">
        <v>946</v>
      </c>
      <c r="J221" s="15" t="s">
        <v>947</v>
      </c>
      <c r="K221" s="15" t="s">
        <v>946</v>
      </c>
      <c r="L221" s="15" t="n">
        <v>0</v>
      </c>
      <c r="M221" s="15" t="n">
        <v>0</v>
      </c>
      <c r="N221" s="15"/>
      <c r="O221" s="15" t="s">
        <v>948</v>
      </c>
      <c r="P221" s="15" t="s">
        <v>949</v>
      </c>
      <c r="Q221" s="15" t="s">
        <v>950</v>
      </c>
      <c r="R221" s="15" t="n">
        <v>0</v>
      </c>
      <c r="S221" s="15" t="n">
        <v>8</v>
      </c>
      <c r="T221" s="15" t="n">
        <v>12</v>
      </c>
      <c r="U221" s="15" t="n">
        <v>4</v>
      </c>
      <c r="V221" s="15" t="n">
        <v>0</v>
      </c>
      <c r="W221" s="15" t="n">
        <v>0</v>
      </c>
      <c r="X221" s="15" t="s">
        <v>973</v>
      </c>
      <c r="Y221" s="15" t="s">
        <v>952</v>
      </c>
      <c r="Z221" s="15" t="s">
        <v>170</v>
      </c>
      <c r="AA221" s="15" t="s">
        <v>966</v>
      </c>
      <c r="AB221" s="15" t="s">
        <v>2022</v>
      </c>
      <c r="AC221" s="15" t="s">
        <v>2023</v>
      </c>
      <c r="AD221" s="15"/>
      <c r="AE221" s="15" t="s">
        <v>956</v>
      </c>
      <c r="AF221" s="15" t="s">
        <v>2024</v>
      </c>
      <c r="AG221" s="15" t="s">
        <v>1000</v>
      </c>
      <c r="AH221" s="15" t="n">
        <v>0</v>
      </c>
      <c r="AI221" s="15" t="n">
        <v>0</v>
      </c>
      <c r="AJ221" s="15" t="n">
        <v>4.2</v>
      </c>
      <c r="AK221" s="15" t="n">
        <v>12.8</v>
      </c>
      <c r="AL221" s="15" t="n">
        <v>7</v>
      </c>
      <c r="AM221" s="15" t="n">
        <v>0</v>
      </c>
      <c r="AN221" s="15" t="s">
        <v>1264</v>
      </c>
      <c r="AO221" s="15" t="s">
        <v>960</v>
      </c>
      <c r="AP221" s="15" t="s">
        <v>163</v>
      </c>
      <c r="AQ221" s="15"/>
      <c r="AR221" s="29" t="str">
        <f aca="false">IF(A221="","",IF(COUNTIF(Parcels!$A$2:$A$3000,B221)=0,"Parcel not found",IF(COUNTIF($A$2:$A$3000,A221)&gt;1,"Duplicate perm_id",IF(AND(P221="Yes",D221&lt;&gt;"",COUNTIFS($C$2:$C$3000,D221,$P$2:$P$3000,"Yes")&gt;1),"Reference counted twice",IF(COUNTIF(Lists!$A$2:$A$7,I221)=0,"Unknown status","")))))</f>
        <v/>
      </c>
    </row>
    <row r="222" customFormat="false" ht="15" hidden="false" customHeight="false" outlineLevel="0" collapsed="false">
      <c r="A222" s="15" t="s">
        <v>2025</v>
      </c>
      <c r="B222" s="15" t="s">
        <v>468</v>
      </c>
      <c r="C222" s="15" t="s">
        <v>53</v>
      </c>
      <c r="D222" s="15" t="s">
        <v>2026</v>
      </c>
      <c r="E222" s="15" t="s">
        <v>2026</v>
      </c>
      <c r="F222" s="15" t="s">
        <v>469</v>
      </c>
      <c r="G222" s="15" t="n">
        <v>48</v>
      </c>
      <c r="H222" s="15"/>
      <c r="I222" s="15" t="s">
        <v>946</v>
      </c>
      <c r="J222" s="15" t="s">
        <v>947</v>
      </c>
      <c r="K222" s="15" t="s">
        <v>946</v>
      </c>
      <c r="L222" s="15" t="n">
        <v>0</v>
      </c>
      <c r="M222" s="15" t="n">
        <v>0</v>
      </c>
      <c r="N222" s="15"/>
      <c r="O222" s="15" t="s">
        <v>948</v>
      </c>
      <c r="P222" s="15" t="s">
        <v>949</v>
      </c>
      <c r="Q222" s="15" t="s">
        <v>950</v>
      </c>
      <c r="R222" s="15" t="n">
        <v>0</v>
      </c>
      <c r="S222" s="15" t="n">
        <v>25</v>
      </c>
      <c r="T222" s="15" t="n">
        <v>23</v>
      </c>
      <c r="U222" s="15" t="n">
        <v>0</v>
      </c>
      <c r="V222" s="15" t="n">
        <v>0</v>
      </c>
      <c r="W222" s="15" t="n">
        <v>0</v>
      </c>
      <c r="X222" s="15" t="s">
        <v>951</v>
      </c>
      <c r="Y222" s="15" t="s">
        <v>952</v>
      </c>
      <c r="Z222" s="15" t="s">
        <v>170</v>
      </c>
      <c r="AA222" s="15" t="s">
        <v>966</v>
      </c>
      <c r="AB222" s="15" t="s">
        <v>2027</v>
      </c>
      <c r="AC222" s="15" t="s">
        <v>2028</v>
      </c>
      <c r="AD222" s="15"/>
      <c r="AE222" s="15" t="s">
        <v>998</v>
      </c>
      <c r="AF222" s="15" t="s">
        <v>1066</v>
      </c>
      <c r="AG222" s="15" t="s">
        <v>1000</v>
      </c>
      <c r="AH222" s="15" t="n">
        <v>0</v>
      </c>
      <c r="AI222" s="15" t="n">
        <v>0</v>
      </c>
      <c r="AJ222" s="15" t="n">
        <v>20.5</v>
      </c>
      <c r="AK222" s="15" t="n">
        <v>27.5</v>
      </c>
      <c r="AL222" s="15" t="n">
        <v>0</v>
      </c>
      <c r="AM222" s="15" t="n">
        <v>0</v>
      </c>
      <c r="AN222" s="15" t="s">
        <v>1264</v>
      </c>
      <c r="AO222" s="15" t="s">
        <v>960</v>
      </c>
      <c r="AP222" s="15" t="s">
        <v>163</v>
      </c>
      <c r="AQ222" s="15"/>
      <c r="AR222" s="29" t="str">
        <f aca="false">IF(A222="","",IF(COUNTIF(Parcels!$A$2:$A$3000,B222)=0,"Parcel not found",IF(COUNTIF($A$2:$A$3000,A222)&gt;1,"Duplicate perm_id",IF(AND(P222="Yes",D222&lt;&gt;"",COUNTIFS($C$2:$C$3000,D222,$P$2:$P$3000,"Yes")&gt;1),"Reference counted twice",IF(COUNTIF(Lists!$A$2:$A$7,I222)=0,"Unknown status","")))))</f>
        <v/>
      </c>
    </row>
    <row r="223" customFormat="false" ht="15" hidden="false" customHeight="false" outlineLevel="0" collapsed="false">
      <c r="A223" s="15" t="s">
        <v>2029</v>
      </c>
      <c r="B223" s="15" t="s">
        <v>470</v>
      </c>
      <c r="C223" s="15" t="s">
        <v>53</v>
      </c>
      <c r="D223" s="15" t="s">
        <v>2030</v>
      </c>
      <c r="E223" s="15" t="s">
        <v>2030</v>
      </c>
      <c r="F223" s="15" t="s">
        <v>2031</v>
      </c>
      <c r="G223" s="15" t="n">
        <v>37</v>
      </c>
      <c r="H223" s="15"/>
      <c r="I223" s="15" t="s">
        <v>946</v>
      </c>
      <c r="J223" s="15" t="s">
        <v>947</v>
      </c>
      <c r="K223" s="15" t="s">
        <v>946</v>
      </c>
      <c r="L223" s="15" t="n">
        <v>0</v>
      </c>
      <c r="M223" s="15" t="n">
        <v>0</v>
      </c>
      <c r="N223" s="15"/>
      <c r="O223" s="15" t="s">
        <v>948</v>
      </c>
      <c r="P223" s="15" t="s">
        <v>949</v>
      </c>
      <c r="Q223" s="15" t="s">
        <v>950</v>
      </c>
      <c r="R223" s="15" t="n">
        <v>0</v>
      </c>
      <c r="S223" s="15" t="n">
        <v>34</v>
      </c>
      <c r="T223" s="15" t="n">
        <v>3</v>
      </c>
      <c r="U223" s="15" t="n">
        <v>0</v>
      </c>
      <c r="V223" s="15" t="n">
        <v>0</v>
      </c>
      <c r="W223" s="15" t="n">
        <v>0</v>
      </c>
      <c r="X223" s="15" t="s">
        <v>951</v>
      </c>
      <c r="Y223" s="15" t="s">
        <v>952</v>
      </c>
      <c r="Z223" s="15" t="s">
        <v>170</v>
      </c>
      <c r="AA223" s="15" t="s">
        <v>966</v>
      </c>
      <c r="AB223" s="15" t="s">
        <v>2032</v>
      </c>
      <c r="AC223" s="15" t="s">
        <v>2033</v>
      </c>
      <c r="AD223" s="15"/>
      <c r="AE223" s="15" t="s">
        <v>956</v>
      </c>
      <c r="AF223" s="15" t="s">
        <v>1133</v>
      </c>
      <c r="AG223" s="15" t="s">
        <v>958</v>
      </c>
      <c r="AH223" s="15" t="n">
        <v>0</v>
      </c>
      <c r="AI223" s="15" t="n">
        <v>0</v>
      </c>
      <c r="AJ223" s="15" t="n">
        <v>23</v>
      </c>
      <c r="AK223" s="15" t="n">
        <v>14</v>
      </c>
      <c r="AL223" s="15" t="n">
        <v>0</v>
      </c>
      <c r="AM223" s="15" t="n">
        <v>0</v>
      </c>
      <c r="AN223" s="15" t="s">
        <v>1264</v>
      </c>
      <c r="AO223" s="15" t="s">
        <v>960</v>
      </c>
      <c r="AP223" s="15" t="s">
        <v>163</v>
      </c>
      <c r="AQ223" s="15"/>
      <c r="AR223" s="29" t="str">
        <f aca="false">IF(A223="","",IF(COUNTIF(Parcels!$A$2:$A$3000,B223)=0,"Parcel not found",IF(COUNTIF($A$2:$A$3000,A223)&gt;1,"Duplicate perm_id",IF(AND(P223="Yes",D223&lt;&gt;"",COUNTIFS($C$2:$C$3000,D223,$P$2:$P$3000,"Yes")&gt;1),"Reference counted twice",IF(COUNTIF(Lists!$A$2:$A$7,I223)=0,"Unknown status","")))))</f>
        <v/>
      </c>
    </row>
    <row r="224" customFormat="false" ht="15" hidden="false" customHeight="false" outlineLevel="0" collapsed="false">
      <c r="A224" s="15" t="s">
        <v>2034</v>
      </c>
      <c r="B224" s="15" t="s">
        <v>470</v>
      </c>
      <c r="C224" s="15" t="s">
        <v>53</v>
      </c>
      <c r="D224" s="15" t="s">
        <v>2035</v>
      </c>
      <c r="E224" s="15" t="s">
        <v>2035</v>
      </c>
      <c r="F224" s="15" t="s">
        <v>471</v>
      </c>
      <c r="G224" s="15" t="n">
        <v>37</v>
      </c>
      <c r="H224" s="15"/>
      <c r="I224" s="15" t="s">
        <v>946</v>
      </c>
      <c r="J224" s="15" t="s">
        <v>947</v>
      </c>
      <c r="K224" s="15" t="s">
        <v>946</v>
      </c>
      <c r="L224" s="15" t="n">
        <v>0</v>
      </c>
      <c r="M224" s="15" t="n">
        <v>0</v>
      </c>
      <c r="N224" s="15"/>
      <c r="O224" s="15" t="s">
        <v>948</v>
      </c>
      <c r="P224" s="15" t="s">
        <v>949</v>
      </c>
      <c r="Q224" s="15" t="s">
        <v>950</v>
      </c>
      <c r="R224" s="15" t="n">
        <v>0</v>
      </c>
      <c r="S224" s="15" t="n">
        <v>26</v>
      </c>
      <c r="T224" s="15" t="n">
        <v>11</v>
      </c>
      <c r="U224" s="15" t="n">
        <v>0</v>
      </c>
      <c r="V224" s="15" t="n">
        <v>0</v>
      </c>
      <c r="W224" s="15" t="n">
        <v>0</v>
      </c>
      <c r="X224" s="15" t="s">
        <v>973</v>
      </c>
      <c r="Y224" s="15" t="s">
        <v>952</v>
      </c>
      <c r="Z224" s="15" t="s">
        <v>170</v>
      </c>
      <c r="AA224" s="15" t="s">
        <v>966</v>
      </c>
      <c r="AB224" s="15" t="s">
        <v>1085</v>
      </c>
      <c r="AC224" s="15" t="s">
        <v>2036</v>
      </c>
      <c r="AD224" s="15"/>
      <c r="AE224" s="15" t="s">
        <v>998</v>
      </c>
      <c r="AF224" s="15" t="s">
        <v>999</v>
      </c>
      <c r="AG224" s="15" t="s">
        <v>1000</v>
      </c>
      <c r="AH224" s="15" t="n">
        <v>0</v>
      </c>
      <c r="AI224" s="15" t="n">
        <v>0</v>
      </c>
      <c r="AJ224" s="15" t="n">
        <v>31.4</v>
      </c>
      <c r="AK224" s="15" t="n">
        <v>5.6</v>
      </c>
      <c r="AL224" s="15" t="n">
        <v>0</v>
      </c>
      <c r="AM224" s="15" t="n">
        <v>0</v>
      </c>
      <c r="AN224" s="15" t="s">
        <v>1264</v>
      </c>
      <c r="AO224" s="15" t="s">
        <v>960</v>
      </c>
      <c r="AP224" s="15" t="s">
        <v>163</v>
      </c>
      <c r="AQ224" s="15"/>
      <c r="AR224" s="29" t="str">
        <f aca="false">IF(A224="","",IF(COUNTIF(Parcels!$A$2:$A$3000,B224)=0,"Parcel not found",IF(COUNTIF($A$2:$A$3000,A224)&gt;1,"Duplicate perm_id",IF(AND(P224="Yes",D224&lt;&gt;"",COUNTIFS($C$2:$C$3000,D224,$P$2:$P$3000,"Yes")&gt;1),"Reference counted twice",IF(COUNTIF(Lists!$A$2:$A$7,I224)=0,"Unknown status","")))))</f>
        <v/>
      </c>
    </row>
    <row r="225" customFormat="false" ht="15" hidden="false" customHeight="false" outlineLevel="0" collapsed="false">
      <c r="A225" s="15" t="s">
        <v>2037</v>
      </c>
      <c r="B225" s="15" t="s">
        <v>472</v>
      </c>
      <c r="C225" s="15" t="s">
        <v>53</v>
      </c>
      <c r="D225" s="15" t="s">
        <v>2038</v>
      </c>
      <c r="E225" s="15" t="s">
        <v>2038</v>
      </c>
      <c r="F225" s="15" t="s">
        <v>473</v>
      </c>
      <c r="G225" s="15" t="n">
        <v>6</v>
      </c>
      <c r="H225" s="15"/>
      <c r="I225" s="15" t="s">
        <v>946</v>
      </c>
      <c r="J225" s="15" t="s">
        <v>947</v>
      </c>
      <c r="K225" s="15" t="s">
        <v>946</v>
      </c>
      <c r="L225" s="15" t="n">
        <v>0</v>
      </c>
      <c r="M225" s="15" t="n">
        <v>0</v>
      </c>
      <c r="N225" s="15"/>
      <c r="O225" s="15" t="s">
        <v>948</v>
      </c>
      <c r="P225" s="15" t="s">
        <v>949</v>
      </c>
      <c r="Q225" s="15" t="s">
        <v>989</v>
      </c>
      <c r="R225" s="15" t="n">
        <v>0</v>
      </c>
      <c r="S225" s="15" t="n">
        <v>6</v>
      </c>
      <c r="T225" s="15" t="n">
        <v>0</v>
      </c>
      <c r="U225" s="15" t="n">
        <v>0</v>
      </c>
      <c r="V225" s="15" t="n">
        <v>0</v>
      </c>
      <c r="W225" s="15" t="n">
        <v>0</v>
      </c>
      <c r="X225" s="15" t="s">
        <v>973</v>
      </c>
      <c r="Y225" s="15" t="s">
        <v>952</v>
      </c>
      <c r="Z225" s="15" t="s">
        <v>170</v>
      </c>
      <c r="AA225" s="15" t="s">
        <v>966</v>
      </c>
      <c r="AB225" s="15" t="s">
        <v>1254</v>
      </c>
      <c r="AC225" s="15" t="s">
        <v>1255</v>
      </c>
      <c r="AD225" s="15"/>
      <c r="AE225" s="15" t="s">
        <v>998</v>
      </c>
      <c r="AF225" s="15" t="s">
        <v>1133</v>
      </c>
      <c r="AG225" s="15" t="s">
        <v>1000</v>
      </c>
      <c r="AH225" s="15" t="n">
        <v>0</v>
      </c>
      <c r="AI225" s="15" t="n">
        <v>0</v>
      </c>
      <c r="AJ225" s="15" t="n">
        <v>4.5</v>
      </c>
      <c r="AK225" s="15" t="n">
        <v>1.5</v>
      </c>
      <c r="AL225" s="15" t="n">
        <v>0</v>
      </c>
      <c r="AM225" s="15" t="n">
        <v>0</v>
      </c>
      <c r="AN225" s="15" t="s">
        <v>1264</v>
      </c>
      <c r="AO225" s="15" t="s">
        <v>960</v>
      </c>
      <c r="AP225" s="15" t="s">
        <v>163</v>
      </c>
      <c r="AQ225" s="15"/>
      <c r="AR225" s="29" t="str">
        <f aca="false">IF(A225="","",IF(COUNTIF(Parcels!$A$2:$A$3000,B225)=0,"Parcel not found",IF(COUNTIF($A$2:$A$3000,A225)&gt;1,"Duplicate perm_id",IF(AND(P225="Yes",D225&lt;&gt;"",COUNTIFS($C$2:$C$3000,D225,$P$2:$P$3000,"Yes")&gt;1),"Reference counted twice",IF(COUNTIF(Lists!$A$2:$A$7,I225)=0,"Unknown status","")))))</f>
        <v/>
      </c>
    </row>
    <row r="226" customFormat="false" ht="15" hidden="false" customHeight="false" outlineLevel="0" collapsed="false">
      <c r="A226" s="15" t="s">
        <v>2039</v>
      </c>
      <c r="B226" s="15" t="s">
        <v>698</v>
      </c>
      <c r="C226" s="15" t="s">
        <v>74</v>
      </c>
      <c r="D226" s="15" t="s">
        <v>2040</v>
      </c>
      <c r="E226" s="15" t="s">
        <v>2040</v>
      </c>
      <c r="F226" s="15" t="s">
        <v>699</v>
      </c>
      <c r="G226" s="15" t="n">
        <v>6</v>
      </c>
      <c r="H226" s="15"/>
      <c r="I226" s="15" t="s">
        <v>946</v>
      </c>
      <c r="J226" s="15" t="s">
        <v>947</v>
      </c>
      <c r="K226" s="15" t="s">
        <v>946</v>
      </c>
      <c r="L226" s="15" t="n">
        <v>0</v>
      </c>
      <c r="M226" s="15" t="n">
        <v>0</v>
      </c>
      <c r="N226" s="15"/>
      <c r="O226" s="15" t="s">
        <v>948</v>
      </c>
      <c r="P226" s="15" t="s">
        <v>949</v>
      </c>
      <c r="Q226" s="15" t="s">
        <v>965</v>
      </c>
      <c r="R226" s="15"/>
      <c r="S226" s="15"/>
      <c r="T226" s="15"/>
      <c r="U226" s="15"/>
      <c r="V226" s="15"/>
      <c r="W226" s="15"/>
      <c r="X226" s="15" t="s">
        <v>973</v>
      </c>
      <c r="Y226" s="15" t="s">
        <v>952</v>
      </c>
      <c r="Z226" s="15" t="s">
        <v>170</v>
      </c>
      <c r="AA226" s="15" t="s">
        <v>966</v>
      </c>
      <c r="AB226" s="15" t="s">
        <v>2041</v>
      </c>
      <c r="AC226" s="15" t="s">
        <v>2042</v>
      </c>
      <c r="AD226" s="15"/>
      <c r="AE226" s="15" t="s">
        <v>956</v>
      </c>
      <c r="AF226" s="15" t="s">
        <v>1133</v>
      </c>
      <c r="AG226" s="15" t="s">
        <v>1000</v>
      </c>
      <c r="AH226" s="15" t="n">
        <v>0</v>
      </c>
      <c r="AI226" s="15" t="n">
        <v>0</v>
      </c>
      <c r="AJ226" s="15" t="n">
        <v>3.7</v>
      </c>
      <c r="AK226" s="15" t="n">
        <v>2.3</v>
      </c>
      <c r="AL226" s="15" t="n">
        <v>0</v>
      </c>
      <c r="AM226" s="15" t="n">
        <v>0</v>
      </c>
      <c r="AN226" s="15" t="s">
        <v>1264</v>
      </c>
      <c r="AO226" s="15" t="s">
        <v>960</v>
      </c>
      <c r="AP226" s="15" t="s">
        <v>163</v>
      </c>
      <c r="AQ226" s="15"/>
      <c r="AR226" s="29" t="str">
        <f aca="false">IF(A226="","",IF(COUNTIF(Parcels!$A$2:$A$3000,B226)=0,"Parcel not found",IF(COUNTIF($A$2:$A$3000,A226)&gt;1,"Duplicate perm_id",IF(AND(P226="Yes",D226&lt;&gt;"",COUNTIFS($C$2:$C$3000,D226,$P$2:$P$3000,"Yes")&gt;1),"Reference counted twice",IF(COUNTIF(Lists!$A$2:$A$7,I226)=0,"Unknown status","")))))</f>
        <v/>
      </c>
    </row>
    <row r="227" customFormat="false" ht="15" hidden="false" customHeight="false" outlineLevel="0" collapsed="false">
      <c r="A227" s="15" t="s">
        <v>2043</v>
      </c>
      <c r="B227" s="15" t="s">
        <v>474</v>
      </c>
      <c r="C227" s="15" t="s">
        <v>53</v>
      </c>
      <c r="D227" s="15" t="s">
        <v>2044</v>
      </c>
      <c r="E227" s="15" t="s">
        <v>2044</v>
      </c>
      <c r="F227" s="15" t="s">
        <v>475</v>
      </c>
      <c r="G227" s="15" t="n">
        <v>22</v>
      </c>
      <c r="H227" s="15"/>
      <c r="I227" s="15" t="s">
        <v>946</v>
      </c>
      <c r="J227" s="15" t="s">
        <v>947</v>
      </c>
      <c r="K227" s="15" t="s">
        <v>946</v>
      </c>
      <c r="L227" s="15" t="n">
        <v>0</v>
      </c>
      <c r="M227" s="15" t="n">
        <v>0</v>
      </c>
      <c r="N227" s="15"/>
      <c r="O227" s="15" t="s">
        <v>948</v>
      </c>
      <c r="P227" s="15" t="s">
        <v>949</v>
      </c>
      <c r="Q227" s="15" t="s">
        <v>950</v>
      </c>
      <c r="R227" s="15" t="n">
        <v>0</v>
      </c>
      <c r="S227" s="15" t="n">
        <v>16</v>
      </c>
      <c r="T227" s="15" t="n">
        <v>6</v>
      </c>
      <c r="U227" s="15" t="n">
        <v>0</v>
      </c>
      <c r="V227" s="15" t="n">
        <v>0</v>
      </c>
      <c r="W227" s="15" t="n">
        <v>0</v>
      </c>
      <c r="X227" s="15" t="s">
        <v>973</v>
      </c>
      <c r="Y227" s="15" t="s">
        <v>952</v>
      </c>
      <c r="Z227" s="15" t="s">
        <v>170</v>
      </c>
      <c r="AA227" s="15" t="s">
        <v>966</v>
      </c>
      <c r="AB227" s="15" t="s">
        <v>2045</v>
      </c>
      <c r="AC227" s="15" t="s">
        <v>2046</v>
      </c>
      <c r="AD227" s="15"/>
      <c r="AE227" s="15" t="s">
        <v>980</v>
      </c>
      <c r="AF227" s="15" t="s">
        <v>1140</v>
      </c>
      <c r="AG227" s="15" t="s">
        <v>1000</v>
      </c>
      <c r="AH227" s="15" t="n">
        <v>0</v>
      </c>
      <c r="AI227" s="15" t="n">
        <v>0</v>
      </c>
      <c r="AJ227" s="15" t="n">
        <v>2.4</v>
      </c>
      <c r="AK227" s="15" t="n">
        <v>13.5</v>
      </c>
      <c r="AL227" s="15" t="n">
        <v>6.2</v>
      </c>
      <c r="AM227" s="15" t="n">
        <v>-0.1</v>
      </c>
      <c r="AN227" s="15" t="s">
        <v>1264</v>
      </c>
      <c r="AO227" s="15" t="s">
        <v>960</v>
      </c>
      <c r="AP227" s="15" t="s">
        <v>163</v>
      </c>
      <c r="AQ227" s="15"/>
      <c r="AR227" s="29" t="str">
        <f aca="false">IF(A227="","",IF(COUNTIF(Parcels!$A$2:$A$3000,B227)=0,"Parcel not found",IF(COUNTIF($A$2:$A$3000,A227)&gt;1,"Duplicate perm_id",IF(AND(P227="Yes",D227&lt;&gt;"",COUNTIFS($C$2:$C$3000,D227,$P$2:$P$3000,"Yes")&gt;1),"Reference counted twice",IF(COUNTIF(Lists!$A$2:$A$7,I227)=0,"Unknown status","")))))</f>
        <v/>
      </c>
    </row>
    <row r="228" customFormat="false" ht="15" hidden="false" customHeight="false" outlineLevel="0" collapsed="false">
      <c r="A228" s="15" t="s">
        <v>2047</v>
      </c>
      <c r="B228" s="15" t="s">
        <v>700</v>
      </c>
      <c r="C228" s="15" t="s">
        <v>68</v>
      </c>
      <c r="D228" s="15" t="s">
        <v>2048</v>
      </c>
      <c r="E228" s="15" t="s">
        <v>2048</v>
      </c>
      <c r="F228" s="15" t="s">
        <v>701</v>
      </c>
      <c r="G228" s="15" t="n">
        <v>8</v>
      </c>
      <c r="H228" s="15"/>
      <c r="I228" s="15" t="s">
        <v>946</v>
      </c>
      <c r="J228" s="15" t="s">
        <v>947</v>
      </c>
      <c r="K228" s="15" t="s">
        <v>946</v>
      </c>
      <c r="L228" s="15" t="n">
        <v>0</v>
      </c>
      <c r="M228" s="15" t="n">
        <v>0</v>
      </c>
      <c r="N228" s="15"/>
      <c r="O228" s="15" t="s">
        <v>948</v>
      </c>
      <c r="P228" s="15" t="s">
        <v>949</v>
      </c>
      <c r="Q228" s="15" t="s">
        <v>965</v>
      </c>
      <c r="R228" s="15"/>
      <c r="S228" s="15"/>
      <c r="T228" s="15"/>
      <c r="U228" s="15"/>
      <c r="V228" s="15"/>
      <c r="W228" s="15"/>
      <c r="X228" s="15" t="s">
        <v>951</v>
      </c>
      <c r="Y228" s="15" t="s">
        <v>952</v>
      </c>
      <c r="Z228" s="15" t="s">
        <v>170</v>
      </c>
      <c r="AA228" s="15" t="s">
        <v>966</v>
      </c>
      <c r="AB228" s="15" t="s">
        <v>2049</v>
      </c>
      <c r="AC228" s="15" t="s">
        <v>2050</v>
      </c>
      <c r="AD228" s="15"/>
      <c r="AE228" s="15" t="s">
        <v>980</v>
      </c>
      <c r="AF228" s="15" t="s">
        <v>1169</v>
      </c>
      <c r="AG228" s="15" t="s">
        <v>1000</v>
      </c>
      <c r="AH228" s="15" t="n">
        <v>0</v>
      </c>
      <c r="AI228" s="15" t="n">
        <v>0</v>
      </c>
      <c r="AJ228" s="15" t="n">
        <v>0.5</v>
      </c>
      <c r="AK228" s="15" t="n">
        <v>7.5</v>
      </c>
      <c r="AL228" s="15" t="n">
        <v>0</v>
      </c>
      <c r="AM228" s="15" t="n">
        <v>0</v>
      </c>
      <c r="AN228" s="15" t="s">
        <v>1264</v>
      </c>
      <c r="AO228" s="15" t="s">
        <v>960</v>
      </c>
      <c r="AP228" s="15" t="s">
        <v>163</v>
      </c>
      <c r="AQ228" s="15"/>
      <c r="AR228" s="29" t="str">
        <f aca="false">IF(A228="","",IF(COUNTIF(Parcels!$A$2:$A$3000,B228)=0,"Parcel not found",IF(COUNTIF($A$2:$A$3000,A228)&gt;1,"Duplicate perm_id",IF(AND(P228="Yes",D228&lt;&gt;"",COUNTIFS($C$2:$C$3000,D228,$P$2:$P$3000,"Yes")&gt;1),"Reference counted twice",IF(COUNTIF(Lists!$A$2:$A$7,I228)=0,"Unknown status","")))))</f>
        <v/>
      </c>
    </row>
    <row r="229" customFormat="false" ht="15" hidden="false" customHeight="false" outlineLevel="0" collapsed="false">
      <c r="A229" s="15" t="s">
        <v>2051</v>
      </c>
      <c r="B229" s="15" t="s">
        <v>702</v>
      </c>
      <c r="C229" s="15" t="s">
        <v>67</v>
      </c>
      <c r="D229" s="15" t="s">
        <v>2052</v>
      </c>
      <c r="E229" s="15" t="s">
        <v>2052</v>
      </c>
      <c r="F229" s="15" t="s">
        <v>703</v>
      </c>
      <c r="G229" s="15" t="n">
        <v>10</v>
      </c>
      <c r="H229" s="15"/>
      <c r="I229" s="15" t="s">
        <v>48</v>
      </c>
      <c r="J229" s="15" t="s">
        <v>947</v>
      </c>
      <c r="K229" s="15" t="s">
        <v>48</v>
      </c>
      <c r="L229" s="15" t="n">
        <v>0</v>
      </c>
      <c r="M229" s="15" t="n">
        <v>0</v>
      </c>
      <c r="N229" s="15"/>
      <c r="O229" s="15" t="s">
        <v>948</v>
      </c>
      <c r="P229" s="15" t="s">
        <v>949</v>
      </c>
      <c r="Q229" s="15" t="s">
        <v>989</v>
      </c>
      <c r="R229" s="15" t="n">
        <v>0</v>
      </c>
      <c r="S229" s="15" t="n">
        <v>0</v>
      </c>
      <c r="T229" s="15" t="n">
        <v>0</v>
      </c>
      <c r="U229" s="15" t="n">
        <v>10</v>
      </c>
      <c r="V229" s="15" t="n">
        <v>0</v>
      </c>
      <c r="W229" s="15" t="n">
        <v>0</v>
      </c>
      <c r="X229" s="15" t="s">
        <v>951</v>
      </c>
      <c r="Y229" s="15" t="s">
        <v>952</v>
      </c>
      <c r="Z229" s="15" t="s">
        <v>170</v>
      </c>
      <c r="AA229" s="15" t="s">
        <v>966</v>
      </c>
      <c r="AB229" s="15" t="s">
        <v>2053</v>
      </c>
      <c r="AC229" s="15" t="s">
        <v>2054</v>
      </c>
      <c r="AD229" s="15" t="s">
        <v>2055</v>
      </c>
      <c r="AE229" s="15" t="s">
        <v>1008</v>
      </c>
      <c r="AF229" s="15" t="s">
        <v>1040</v>
      </c>
      <c r="AG229" s="15" t="s">
        <v>981</v>
      </c>
      <c r="AH229" s="15" t="n">
        <v>0</v>
      </c>
      <c r="AI229" s="15" t="n">
        <v>6.9</v>
      </c>
      <c r="AJ229" s="15" t="n">
        <v>3.1</v>
      </c>
      <c r="AK229" s="15" t="n">
        <v>0</v>
      </c>
      <c r="AL229" s="15" t="n">
        <v>0</v>
      </c>
      <c r="AM229" s="15" t="n">
        <v>0</v>
      </c>
      <c r="AN229" s="15" t="s">
        <v>1264</v>
      </c>
      <c r="AO229" s="15" t="s">
        <v>960</v>
      </c>
      <c r="AP229" s="15" t="s">
        <v>163</v>
      </c>
      <c r="AQ229" s="15"/>
      <c r="AR229" s="29" t="str">
        <f aca="false">IF(A229="","",IF(COUNTIF(Parcels!$A$2:$A$3000,B229)=0,"Parcel not found",IF(COUNTIF($A$2:$A$3000,A229)&gt;1,"Duplicate perm_id",IF(AND(P229="Yes",D229&lt;&gt;"",COUNTIFS($C$2:$C$3000,D229,$P$2:$P$3000,"Yes")&gt;1),"Reference counted twice",IF(COUNTIF(Lists!$A$2:$A$7,I229)=0,"Unknown status","")))))</f>
        <v/>
      </c>
    </row>
    <row r="230" customFormat="false" ht="15" hidden="false" customHeight="false" outlineLevel="0" collapsed="false">
      <c r="A230" s="15" t="s">
        <v>2056</v>
      </c>
      <c r="B230" s="15" t="s">
        <v>704</v>
      </c>
      <c r="C230" s="15" t="s">
        <v>64</v>
      </c>
      <c r="D230" s="15" t="s">
        <v>2057</v>
      </c>
      <c r="E230" s="15" t="s">
        <v>2057</v>
      </c>
      <c r="F230" s="15" t="s">
        <v>705</v>
      </c>
      <c r="G230" s="15" t="n">
        <v>10</v>
      </c>
      <c r="H230" s="15"/>
      <c r="I230" s="15" t="s">
        <v>946</v>
      </c>
      <c r="J230" s="15" t="s">
        <v>947</v>
      </c>
      <c r="K230" s="15" t="s">
        <v>946</v>
      </c>
      <c r="L230" s="15" t="n">
        <v>0</v>
      </c>
      <c r="M230" s="15" t="n">
        <v>0</v>
      </c>
      <c r="N230" s="15"/>
      <c r="O230" s="15" t="s">
        <v>948</v>
      </c>
      <c r="P230" s="15" t="s">
        <v>949</v>
      </c>
      <c r="Q230" s="15" t="s">
        <v>989</v>
      </c>
      <c r="R230" s="15" t="n">
        <v>0</v>
      </c>
      <c r="S230" s="15" t="n">
        <v>3</v>
      </c>
      <c r="T230" s="15" t="n">
        <v>7</v>
      </c>
      <c r="U230" s="15" t="n">
        <v>0</v>
      </c>
      <c r="V230" s="15" t="n">
        <v>0</v>
      </c>
      <c r="W230" s="15" t="n">
        <v>0</v>
      </c>
      <c r="X230" s="15" t="s">
        <v>951</v>
      </c>
      <c r="Y230" s="15" t="s">
        <v>952</v>
      </c>
      <c r="Z230" s="15" t="s">
        <v>170</v>
      </c>
      <c r="AA230" s="15" t="s">
        <v>966</v>
      </c>
      <c r="AB230" s="15" t="s">
        <v>2058</v>
      </c>
      <c r="AC230" s="15" t="s">
        <v>2059</v>
      </c>
      <c r="AD230" s="15"/>
      <c r="AE230" s="15" t="s">
        <v>998</v>
      </c>
      <c r="AF230" s="15" t="s">
        <v>999</v>
      </c>
      <c r="AG230" s="15" t="s">
        <v>1000</v>
      </c>
      <c r="AH230" s="15" t="n">
        <v>0</v>
      </c>
      <c r="AI230" s="15" t="n">
        <v>0</v>
      </c>
      <c r="AJ230" s="15" t="n">
        <v>8.4</v>
      </c>
      <c r="AK230" s="15" t="n">
        <v>1.6</v>
      </c>
      <c r="AL230" s="15" t="n">
        <v>0</v>
      </c>
      <c r="AM230" s="15" t="n">
        <v>0</v>
      </c>
      <c r="AN230" s="15" t="s">
        <v>1264</v>
      </c>
      <c r="AO230" s="15" t="s">
        <v>960</v>
      </c>
      <c r="AP230" s="15" t="s">
        <v>163</v>
      </c>
      <c r="AQ230" s="15"/>
      <c r="AR230" s="29" t="str">
        <f aca="false">IF(A230="","",IF(COUNTIF(Parcels!$A$2:$A$3000,B230)=0,"Parcel not found",IF(COUNTIF($A$2:$A$3000,A230)&gt;1,"Duplicate perm_id",IF(AND(P230="Yes",D230&lt;&gt;"",COUNTIFS($C$2:$C$3000,D230,$P$2:$P$3000,"Yes")&gt;1),"Reference counted twice",IF(COUNTIF(Lists!$A$2:$A$7,I230)=0,"Unknown status","")))))</f>
        <v/>
      </c>
    </row>
    <row r="231" customFormat="false" ht="15" hidden="false" customHeight="false" outlineLevel="0" collapsed="false">
      <c r="A231" s="15" t="s">
        <v>2060</v>
      </c>
      <c r="B231" s="15" t="s">
        <v>706</v>
      </c>
      <c r="C231" s="15" t="s">
        <v>74</v>
      </c>
      <c r="D231" s="15" t="s">
        <v>2061</v>
      </c>
      <c r="E231" s="15" t="s">
        <v>2061</v>
      </c>
      <c r="F231" s="15" t="s">
        <v>2062</v>
      </c>
      <c r="G231" s="15" t="n">
        <v>36</v>
      </c>
      <c r="H231" s="15"/>
      <c r="I231" s="15" t="s">
        <v>48</v>
      </c>
      <c r="J231" s="15" t="s">
        <v>947</v>
      </c>
      <c r="K231" s="15" t="s">
        <v>48</v>
      </c>
      <c r="L231" s="15" t="n">
        <v>0</v>
      </c>
      <c r="M231" s="15" t="n">
        <v>0</v>
      </c>
      <c r="N231" s="15"/>
      <c r="O231" s="15" t="s">
        <v>948</v>
      </c>
      <c r="P231" s="15" t="s">
        <v>949</v>
      </c>
      <c r="Q231" s="15" t="s">
        <v>965</v>
      </c>
      <c r="R231" s="15"/>
      <c r="S231" s="15"/>
      <c r="T231" s="15"/>
      <c r="U231" s="15"/>
      <c r="V231" s="15"/>
      <c r="W231" s="15"/>
      <c r="X231" s="15" t="s">
        <v>973</v>
      </c>
      <c r="Y231" s="15" t="s">
        <v>952</v>
      </c>
      <c r="Z231" s="15" t="s">
        <v>170</v>
      </c>
      <c r="AA231" s="15" t="s">
        <v>966</v>
      </c>
      <c r="AB231" s="15" t="s">
        <v>2063</v>
      </c>
      <c r="AC231" s="15" t="s">
        <v>1854</v>
      </c>
      <c r="AD231" s="15" t="s">
        <v>2064</v>
      </c>
      <c r="AE231" s="15" t="s">
        <v>1519</v>
      </c>
      <c r="AF231" s="15" t="s">
        <v>980</v>
      </c>
      <c r="AG231" s="15" t="s">
        <v>981</v>
      </c>
      <c r="AH231" s="15" t="n">
        <v>8.4</v>
      </c>
      <c r="AI231" s="15" t="n">
        <v>27.6</v>
      </c>
      <c r="AJ231" s="15" t="n">
        <v>0</v>
      </c>
      <c r="AK231" s="15" t="n">
        <v>0</v>
      </c>
      <c r="AL231" s="15" t="n">
        <v>0</v>
      </c>
      <c r="AM231" s="15" t="n">
        <v>0</v>
      </c>
      <c r="AN231" s="15" t="s">
        <v>1264</v>
      </c>
      <c r="AO231" s="15" t="s">
        <v>960</v>
      </c>
      <c r="AP231" s="15" t="s">
        <v>163</v>
      </c>
      <c r="AQ231" s="15"/>
      <c r="AR231" s="29" t="str">
        <f aca="false">IF(A231="","",IF(COUNTIF(Parcels!$A$2:$A$3000,B231)=0,"Parcel not found",IF(COUNTIF($A$2:$A$3000,A231)&gt;1,"Duplicate perm_id",IF(AND(P231="Yes",D231&lt;&gt;"",COUNTIFS($C$2:$C$3000,D231,$P$2:$P$3000,"Yes")&gt;1),"Reference counted twice",IF(COUNTIF(Lists!$A$2:$A$7,I231)=0,"Unknown status","")))))</f>
        <v/>
      </c>
    </row>
    <row r="232" customFormat="false" ht="15" hidden="false" customHeight="false" outlineLevel="0" collapsed="false">
      <c r="A232" s="15" t="s">
        <v>2065</v>
      </c>
      <c r="B232" s="15" t="s">
        <v>706</v>
      </c>
      <c r="C232" s="15" t="s">
        <v>74</v>
      </c>
      <c r="D232" s="15" t="s">
        <v>2066</v>
      </c>
      <c r="E232" s="15" t="s">
        <v>2066</v>
      </c>
      <c r="F232" s="15" t="s">
        <v>707</v>
      </c>
      <c r="G232" s="15" t="n">
        <v>54</v>
      </c>
      <c r="H232" s="15"/>
      <c r="I232" s="15" t="s">
        <v>48</v>
      </c>
      <c r="J232" s="15" t="s">
        <v>947</v>
      </c>
      <c r="K232" s="15" t="s">
        <v>48</v>
      </c>
      <c r="L232" s="15" t="n">
        <v>0</v>
      </c>
      <c r="M232" s="15" t="n">
        <v>0</v>
      </c>
      <c r="N232" s="15"/>
      <c r="O232" s="15" t="s">
        <v>948</v>
      </c>
      <c r="P232" s="15" t="s">
        <v>949</v>
      </c>
      <c r="Q232" s="15" t="s">
        <v>989</v>
      </c>
      <c r="R232" s="15" t="n">
        <v>0</v>
      </c>
      <c r="S232" s="15" t="n">
        <v>0</v>
      </c>
      <c r="T232" s="15" t="n">
        <v>12</v>
      </c>
      <c r="U232" s="15" t="n">
        <v>0</v>
      </c>
      <c r="V232" s="15" t="n">
        <v>43</v>
      </c>
      <c r="W232" s="15" t="n">
        <v>0</v>
      </c>
      <c r="X232" s="15" t="s">
        <v>973</v>
      </c>
      <c r="Y232" s="15" t="s">
        <v>952</v>
      </c>
      <c r="Z232" s="15" t="s">
        <v>170</v>
      </c>
      <c r="AA232" s="15" t="s">
        <v>966</v>
      </c>
      <c r="AB232" s="15" t="s">
        <v>2067</v>
      </c>
      <c r="AC232" s="15" t="s">
        <v>2068</v>
      </c>
      <c r="AD232" s="15" t="s">
        <v>2069</v>
      </c>
      <c r="AE232" s="15" t="s">
        <v>1053</v>
      </c>
      <c r="AF232" s="15" t="s">
        <v>1242</v>
      </c>
      <c r="AG232" s="15" t="s">
        <v>981</v>
      </c>
      <c r="AH232" s="15" t="n">
        <v>0</v>
      </c>
      <c r="AI232" s="15" t="n">
        <v>20.1</v>
      </c>
      <c r="AJ232" s="15" t="n">
        <v>33.9</v>
      </c>
      <c r="AK232" s="15" t="n">
        <v>0</v>
      </c>
      <c r="AL232" s="15" t="n">
        <v>0</v>
      </c>
      <c r="AM232" s="15" t="n">
        <v>0</v>
      </c>
      <c r="AN232" s="15" t="s">
        <v>1264</v>
      </c>
      <c r="AO232" s="15" t="s">
        <v>960</v>
      </c>
      <c r="AP232" s="15" t="s">
        <v>163</v>
      </c>
      <c r="AQ232" s="15"/>
      <c r="AR232" s="29" t="str">
        <f aca="false">IF(A232="","",IF(COUNTIF(Parcels!$A$2:$A$3000,B232)=0,"Parcel not found",IF(COUNTIF($A$2:$A$3000,A232)&gt;1,"Duplicate perm_id",IF(AND(P232="Yes",D232&lt;&gt;"",COUNTIFS($C$2:$C$3000,D232,$P$2:$P$3000,"Yes")&gt;1),"Reference counted twice",IF(COUNTIF(Lists!$A$2:$A$7,I232)=0,"Unknown status","")))))</f>
        <v/>
      </c>
    </row>
    <row r="233" customFormat="false" ht="15" hidden="false" customHeight="false" outlineLevel="0" collapsed="false">
      <c r="A233" s="15" t="s">
        <v>2070</v>
      </c>
      <c r="B233" s="15" t="s">
        <v>533</v>
      </c>
      <c r="C233" s="15" t="s">
        <v>57</v>
      </c>
      <c r="D233" s="15" t="s">
        <v>2071</v>
      </c>
      <c r="E233" s="15" t="s">
        <v>2071</v>
      </c>
      <c r="F233" s="15" t="s">
        <v>534</v>
      </c>
      <c r="G233" s="15" t="n">
        <v>0</v>
      </c>
      <c r="H233" s="15" t="n">
        <v>115</v>
      </c>
      <c r="I233" s="15" t="s">
        <v>946</v>
      </c>
      <c r="J233" s="15" t="s">
        <v>947</v>
      </c>
      <c r="K233" s="15" t="s">
        <v>946</v>
      </c>
      <c r="L233" s="15" t="n">
        <v>0</v>
      </c>
      <c r="M233" s="15" t="n">
        <v>0</v>
      </c>
      <c r="N233" s="15"/>
      <c r="O233" s="15" t="s">
        <v>948</v>
      </c>
      <c r="P233" s="15" t="s">
        <v>949</v>
      </c>
      <c r="Q233" s="15" t="s">
        <v>965</v>
      </c>
      <c r="R233" s="15"/>
      <c r="S233" s="15"/>
      <c r="T233" s="15"/>
      <c r="U233" s="15"/>
      <c r="V233" s="15"/>
      <c r="W233" s="15"/>
      <c r="X233" s="15" t="s">
        <v>951</v>
      </c>
      <c r="Y233" s="15" t="s">
        <v>1058</v>
      </c>
      <c r="Z233" s="15" t="s">
        <v>170</v>
      </c>
      <c r="AA233" s="15" t="s">
        <v>966</v>
      </c>
      <c r="AB233" s="15" t="s">
        <v>2072</v>
      </c>
      <c r="AC233" s="15" t="s">
        <v>2073</v>
      </c>
      <c r="AD233" s="15"/>
      <c r="AE233" s="15" t="s">
        <v>980</v>
      </c>
      <c r="AF233" s="15" t="s">
        <v>1066</v>
      </c>
      <c r="AG233" s="15" t="s">
        <v>1000</v>
      </c>
      <c r="AH233" s="15" t="n">
        <v>0</v>
      </c>
      <c r="AI233" s="15" t="n">
        <v>0</v>
      </c>
      <c r="AJ233" s="15" t="n">
        <v>0</v>
      </c>
      <c r="AK233" s="15" t="n">
        <v>0</v>
      </c>
      <c r="AL233" s="15" t="n">
        <v>0</v>
      </c>
      <c r="AM233" s="15" t="n">
        <v>0</v>
      </c>
      <c r="AN233" s="15" t="s">
        <v>1264</v>
      </c>
      <c r="AO233" s="15" t="s">
        <v>960</v>
      </c>
      <c r="AP233" s="15" t="s">
        <v>163</v>
      </c>
      <c r="AQ233" s="15"/>
      <c r="AR233" s="29" t="str">
        <f aca="false">IF(A233="","",IF(COUNTIF(Parcels!$A$2:$A$3000,B233)=0,"Parcel not found",IF(COUNTIF($A$2:$A$3000,A233)&gt;1,"Duplicate perm_id",IF(AND(P233="Yes",D233&lt;&gt;"",COUNTIFS($C$2:$C$3000,D233,$P$2:$P$3000,"Yes")&gt;1),"Reference counted twice",IF(COUNTIF(Lists!$A$2:$A$7,I233)=0,"Unknown status","")))))</f>
        <v/>
      </c>
    </row>
    <row r="234" customFormat="false" ht="15" hidden="false" customHeight="false" outlineLevel="0" collapsed="false">
      <c r="A234" s="15" t="s">
        <v>2074</v>
      </c>
      <c r="B234" s="15" t="s">
        <v>476</v>
      </c>
      <c r="C234" s="15" t="s">
        <v>53</v>
      </c>
      <c r="D234" s="15" t="s">
        <v>2075</v>
      </c>
      <c r="E234" s="15" t="s">
        <v>2075</v>
      </c>
      <c r="F234" s="15" t="s">
        <v>2076</v>
      </c>
      <c r="G234" s="15" t="n">
        <v>24</v>
      </c>
      <c r="H234" s="15"/>
      <c r="I234" s="15" t="s">
        <v>964</v>
      </c>
      <c r="J234" s="15" t="s">
        <v>947</v>
      </c>
      <c r="K234" s="15" t="s">
        <v>964</v>
      </c>
      <c r="L234" s="15" t="n">
        <v>0</v>
      </c>
      <c r="M234" s="15" t="n">
        <v>0</v>
      </c>
      <c r="N234" s="15"/>
      <c r="O234" s="15" t="s">
        <v>948</v>
      </c>
      <c r="P234" s="15" t="s">
        <v>949</v>
      </c>
      <c r="Q234" s="15" t="s">
        <v>989</v>
      </c>
      <c r="R234" s="15" t="n">
        <v>0</v>
      </c>
      <c r="S234" s="15" t="n">
        <v>9</v>
      </c>
      <c r="T234" s="15" t="n">
        <v>15</v>
      </c>
      <c r="U234" s="15" t="n">
        <v>0</v>
      </c>
      <c r="V234" s="15" t="n">
        <v>0</v>
      </c>
      <c r="W234" s="15" t="n">
        <v>0</v>
      </c>
      <c r="X234" s="15" t="s">
        <v>951</v>
      </c>
      <c r="Y234" s="15" t="s">
        <v>952</v>
      </c>
      <c r="Z234" s="15" t="s">
        <v>170</v>
      </c>
      <c r="AA234" s="15" t="s">
        <v>966</v>
      </c>
      <c r="AB234" s="15" t="s">
        <v>2077</v>
      </c>
      <c r="AC234" s="15" t="s">
        <v>2078</v>
      </c>
      <c r="AD234" s="15"/>
      <c r="AE234" s="15"/>
      <c r="AF234" s="15"/>
      <c r="AG234" s="15" t="s">
        <v>969</v>
      </c>
      <c r="AH234" s="15" t="n">
        <v>0</v>
      </c>
      <c r="AI234" s="15" t="n">
        <v>0</v>
      </c>
      <c r="AJ234" s="15" t="n">
        <v>0</v>
      </c>
      <c r="AK234" s="15" t="n">
        <v>0</v>
      </c>
      <c r="AL234" s="15" t="n">
        <v>0</v>
      </c>
      <c r="AM234" s="15" t="n">
        <v>0</v>
      </c>
      <c r="AN234" s="15" t="s">
        <v>1264</v>
      </c>
      <c r="AO234" s="15" t="s">
        <v>960</v>
      </c>
      <c r="AP234" s="15" t="s">
        <v>163</v>
      </c>
      <c r="AQ234" s="15"/>
      <c r="AR234" s="29" t="str">
        <f aca="false">IF(A234="","",IF(COUNTIF(Parcels!$A$2:$A$3000,B234)=0,"Parcel not found",IF(COUNTIF($A$2:$A$3000,A234)&gt;1,"Duplicate perm_id",IF(AND(P234="Yes",D234&lt;&gt;"",COUNTIFS($C$2:$C$3000,D234,$P$2:$P$3000,"Yes")&gt;1),"Reference counted twice",IF(COUNTIF(Lists!$A$2:$A$7,I234)=0,"Unknown status","")))))</f>
        <v/>
      </c>
    </row>
    <row r="235" customFormat="false" ht="15" hidden="false" customHeight="false" outlineLevel="0" collapsed="false">
      <c r="A235" s="15" t="s">
        <v>2079</v>
      </c>
      <c r="B235" s="15" t="s">
        <v>476</v>
      </c>
      <c r="C235" s="15" t="s">
        <v>53</v>
      </c>
      <c r="D235" s="15" t="s">
        <v>2080</v>
      </c>
      <c r="E235" s="15" t="s">
        <v>2080</v>
      </c>
      <c r="F235" s="15" t="s">
        <v>477</v>
      </c>
      <c r="G235" s="15" t="n">
        <v>76</v>
      </c>
      <c r="H235" s="15"/>
      <c r="I235" s="15" t="s">
        <v>946</v>
      </c>
      <c r="J235" s="15" t="s">
        <v>947</v>
      </c>
      <c r="K235" s="15" t="s">
        <v>946</v>
      </c>
      <c r="L235" s="15" t="n">
        <v>0</v>
      </c>
      <c r="M235" s="15" t="n">
        <v>0</v>
      </c>
      <c r="N235" s="15"/>
      <c r="O235" s="15" t="s">
        <v>948</v>
      </c>
      <c r="P235" s="15" t="s">
        <v>949</v>
      </c>
      <c r="Q235" s="15" t="s">
        <v>950</v>
      </c>
      <c r="R235" s="15" t="n">
        <v>0</v>
      </c>
      <c r="S235" s="15" t="n">
        <v>35</v>
      </c>
      <c r="T235" s="15" t="n">
        <v>41</v>
      </c>
      <c r="U235" s="15" t="n">
        <v>0</v>
      </c>
      <c r="V235" s="15" t="n">
        <v>0</v>
      </c>
      <c r="W235" s="15" t="n">
        <v>0</v>
      </c>
      <c r="X235" s="15" t="s">
        <v>973</v>
      </c>
      <c r="Y235" s="15" t="s">
        <v>952</v>
      </c>
      <c r="Z235" s="15" t="s">
        <v>170</v>
      </c>
      <c r="AA235" s="15" t="s">
        <v>966</v>
      </c>
      <c r="AB235" s="15" t="s">
        <v>2081</v>
      </c>
      <c r="AC235" s="15" t="s">
        <v>2082</v>
      </c>
      <c r="AD235" s="15"/>
      <c r="AE235" s="15" t="s">
        <v>956</v>
      </c>
      <c r="AF235" s="15" t="s">
        <v>1169</v>
      </c>
      <c r="AG235" s="15" t="s">
        <v>1000</v>
      </c>
      <c r="AH235" s="15" t="n">
        <v>0</v>
      </c>
      <c r="AI235" s="15" t="n">
        <v>0</v>
      </c>
      <c r="AJ235" s="15" t="n">
        <v>26.3</v>
      </c>
      <c r="AK235" s="15" t="n">
        <v>49.7</v>
      </c>
      <c r="AL235" s="15" t="n">
        <v>0</v>
      </c>
      <c r="AM235" s="15" t="n">
        <v>0</v>
      </c>
      <c r="AN235" s="15" t="s">
        <v>1264</v>
      </c>
      <c r="AO235" s="15" t="s">
        <v>960</v>
      </c>
      <c r="AP235" s="15" t="s">
        <v>163</v>
      </c>
      <c r="AQ235" s="15"/>
      <c r="AR235" s="29" t="str">
        <f aca="false">IF(A235="","",IF(COUNTIF(Parcels!$A$2:$A$3000,B235)=0,"Parcel not found",IF(COUNTIF($A$2:$A$3000,A235)&gt;1,"Duplicate perm_id",IF(AND(P235="Yes",D235&lt;&gt;"",COUNTIFS($C$2:$C$3000,D235,$P$2:$P$3000,"Yes")&gt;1),"Reference counted twice",IF(COUNTIF(Lists!$A$2:$A$7,I235)=0,"Unknown status","")))))</f>
        <v/>
      </c>
    </row>
    <row r="236" customFormat="false" ht="15" hidden="false" customHeight="false" outlineLevel="0" collapsed="false">
      <c r="A236" s="15" t="s">
        <v>2083</v>
      </c>
      <c r="B236" s="15" t="s">
        <v>410</v>
      </c>
      <c r="C236" s="15" t="s">
        <v>52</v>
      </c>
      <c r="D236" s="15" t="s">
        <v>2084</v>
      </c>
      <c r="E236" s="15" t="s">
        <v>2084</v>
      </c>
      <c r="F236" s="15" t="s">
        <v>411</v>
      </c>
      <c r="G236" s="15" t="n">
        <v>4</v>
      </c>
      <c r="H236" s="15"/>
      <c r="I236" s="15" t="s">
        <v>946</v>
      </c>
      <c r="J236" s="15" t="s">
        <v>947</v>
      </c>
      <c r="K236" s="15" t="s">
        <v>946</v>
      </c>
      <c r="L236" s="15" t="n">
        <v>0</v>
      </c>
      <c r="M236" s="15" t="n">
        <v>0</v>
      </c>
      <c r="N236" s="15"/>
      <c r="O236" s="15" t="s">
        <v>948</v>
      </c>
      <c r="P236" s="15" t="s">
        <v>949</v>
      </c>
      <c r="Q236" s="15" t="s">
        <v>989</v>
      </c>
      <c r="R236" s="15" t="n">
        <v>0</v>
      </c>
      <c r="S236" s="15" t="n">
        <v>2</v>
      </c>
      <c r="T236" s="15" t="n">
        <v>2</v>
      </c>
      <c r="U236" s="15" t="n">
        <v>0</v>
      </c>
      <c r="V236" s="15" t="n">
        <v>0</v>
      </c>
      <c r="W236" s="15" t="n">
        <v>0</v>
      </c>
      <c r="X236" s="15" t="s">
        <v>973</v>
      </c>
      <c r="Y236" s="15" t="s">
        <v>952</v>
      </c>
      <c r="Z236" s="15" t="s">
        <v>170</v>
      </c>
      <c r="AA236" s="15" t="s">
        <v>966</v>
      </c>
      <c r="AB236" s="15" t="s">
        <v>1038</v>
      </c>
      <c r="AC236" s="15" t="s">
        <v>1039</v>
      </c>
      <c r="AD236" s="15"/>
      <c r="AE236" s="15" t="s">
        <v>980</v>
      </c>
      <c r="AF236" s="15" t="s">
        <v>1066</v>
      </c>
      <c r="AG236" s="15" t="s">
        <v>1000</v>
      </c>
      <c r="AH236" s="15" t="n">
        <v>0</v>
      </c>
      <c r="AI236" s="15" t="n">
        <v>0</v>
      </c>
      <c r="AJ236" s="15" t="n">
        <v>1.2</v>
      </c>
      <c r="AK236" s="15" t="n">
        <v>2.8</v>
      </c>
      <c r="AL236" s="15" t="n">
        <v>0</v>
      </c>
      <c r="AM236" s="15" t="n">
        <v>0</v>
      </c>
      <c r="AN236" s="15" t="s">
        <v>1264</v>
      </c>
      <c r="AO236" s="15" t="s">
        <v>960</v>
      </c>
      <c r="AP236" s="15" t="s">
        <v>163</v>
      </c>
      <c r="AQ236" s="15"/>
      <c r="AR236" s="29" t="str">
        <f aca="false">IF(A236="","",IF(COUNTIF(Parcels!$A$2:$A$3000,B236)=0,"Parcel not found",IF(COUNTIF($A$2:$A$3000,A236)&gt;1,"Duplicate perm_id",IF(AND(P236="Yes",D236&lt;&gt;"",COUNTIFS($C$2:$C$3000,D236,$P$2:$P$3000,"Yes")&gt;1),"Reference counted twice",IF(COUNTIF(Lists!$A$2:$A$7,I236)=0,"Unknown status","")))))</f>
        <v/>
      </c>
    </row>
    <row r="237" customFormat="false" ht="15" hidden="false" customHeight="false" outlineLevel="0" collapsed="false">
      <c r="A237" s="15" t="s">
        <v>2085</v>
      </c>
      <c r="B237" s="15" t="s">
        <v>708</v>
      </c>
      <c r="C237" s="15" t="s">
        <v>60</v>
      </c>
      <c r="D237" s="15" t="s">
        <v>2086</v>
      </c>
      <c r="E237" s="15" t="s">
        <v>2086</v>
      </c>
      <c r="F237" s="15" t="s">
        <v>709</v>
      </c>
      <c r="G237" s="15" t="n">
        <v>12</v>
      </c>
      <c r="H237" s="15"/>
      <c r="I237" s="15" t="s">
        <v>946</v>
      </c>
      <c r="J237" s="15" t="s">
        <v>947</v>
      </c>
      <c r="K237" s="15" t="s">
        <v>946</v>
      </c>
      <c r="L237" s="15" t="n">
        <v>0</v>
      </c>
      <c r="M237" s="15" t="n">
        <v>0</v>
      </c>
      <c r="N237" s="15"/>
      <c r="O237" s="15" t="s">
        <v>948</v>
      </c>
      <c r="P237" s="15" t="s">
        <v>949</v>
      </c>
      <c r="Q237" s="15" t="s">
        <v>989</v>
      </c>
      <c r="R237" s="15" t="n">
        <v>0</v>
      </c>
      <c r="S237" s="15" t="n">
        <v>0</v>
      </c>
      <c r="T237" s="15" t="n">
        <v>1</v>
      </c>
      <c r="U237" s="15" t="n">
        <v>11</v>
      </c>
      <c r="V237" s="15" t="n">
        <v>0</v>
      </c>
      <c r="W237" s="15" t="n">
        <v>0</v>
      </c>
      <c r="X237" s="15" t="s">
        <v>951</v>
      </c>
      <c r="Y237" s="15" t="s">
        <v>974</v>
      </c>
      <c r="Z237" s="15" t="s">
        <v>1004</v>
      </c>
      <c r="AA237" s="15" t="s">
        <v>976</v>
      </c>
      <c r="AB237" s="15"/>
      <c r="AC237" s="15"/>
      <c r="AD237" s="15"/>
      <c r="AE237" s="15" t="s">
        <v>1139</v>
      </c>
      <c r="AF237" s="15" t="s">
        <v>1034</v>
      </c>
      <c r="AG237" s="15" t="s">
        <v>1000</v>
      </c>
      <c r="AH237" s="15" t="n">
        <v>0</v>
      </c>
      <c r="AI237" s="15" t="n">
        <v>0</v>
      </c>
      <c r="AJ237" s="15" t="n">
        <v>0</v>
      </c>
      <c r="AK237" s="15" t="n">
        <v>11.3</v>
      </c>
      <c r="AL237" s="15" t="n">
        <v>0.7</v>
      </c>
      <c r="AM237" s="15" t="n">
        <v>0</v>
      </c>
      <c r="AN237" s="15" t="s">
        <v>1264</v>
      </c>
      <c r="AO237" s="15" t="s">
        <v>960</v>
      </c>
      <c r="AP237" s="15" t="s">
        <v>163</v>
      </c>
      <c r="AQ237" s="15"/>
      <c r="AR237" s="29" t="str">
        <f aca="false">IF(A237="","",IF(COUNTIF(Parcels!$A$2:$A$3000,B237)=0,"Parcel not found",IF(COUNTIF($A$2:$A$3000,A237)&gt;1,"Duplicate perm_id",IF(AND(P237="Yes",D237&lt;&gt;"",COUNTIFS($C$2:$C$3000,D237,$P$2:$P$3000,"Yes")&gt;1),"Reference counted twice",IF(COUNTIF(Lists!$A$2:$A$7,I237)=0,"Unknown status","")))))</f>
        <v/>
      </c>
    </row>
    <row r="238" customFormat="false" ht="15" hidden="false" customHeight="false" outlineLevel="0" collapsed="false">
      <c r="A238" s="15" t="s">
        <v>2087</v>
      </c>
      <c r="B238" s="15" t="s">
        <v>710</v>
      </c>
      <c r="C238" s="15" t="s">
        <v>22</v>
      </c>
      <c r="D238" s="15" t="s">
        <v>2088</v>
      </c>
      <c r="E238" s="15" t="s">
        <v>2088</v>
      </c>
      <c r="F238" s="15" t="s">
        <v>711</v>
      </c>
      <c r="G238" s="15" t="n">
        <v>8</v>
      </c>
      <c r="H238" s="15"/>
      <c r="I238" s="15" t="s">
        <v>985</v>
      </c>
      <c r="J238" s="15" t="s">
        <v>947</v>
      </c>
      <c r="K238" s="15" t="s">
        <v>985</v>
      </c>
      <c r="L238" s="15" t="n">
        <v>0</v>
      </c>
      <c r="M238" s="15" t="n">
        <v>0</v>
      </c>
      <c r="N238" s="15"/>
      <c r="O238" s="15" t="s">
        <v>948</v>
      </c>
      <c r="P238" s="15" t="s">
        <v>949</v>
      </c>
      <c r="Q238" s="15" t="s">
        <v>989</v>
      </c>
      <c r="R238" s="15" t="n">
        <v>0</v>
      </c>
      <c r="S238" s="15" t="n">
        <v>1</v>
      </c>
      <c r="T238" s="15" t="n">
        <v>4</v>
      </c>
      <c r="U238" s="15" t="n">
        <v>3</v>
      </c>
      <c r="V238" s="15" t="n">
        <v>0</v>
      </c>
      <c r="W238" s="15" t="n">
        <v>0</v>
      </c>
      <c r="X238" s="15" t="s">
        <v>951</v>
      </c>
      <c r="Y238" s="15" t="s">
        <v>974</v>
      </c>
      <c r="Z238" s="15" t="s">
        <v>1004</v>
      </c>
      <c r="AA238" s="15" t="s">
        <v>966</v>
      </c>
      <c r="AB238" s="15"/>
      <c r="AC238" s="15"/>
      <c r="AD238" s="15"/>
      <c r="AE238" s="15"/>
      <c r="AF238" s="15"/>
      <c r="AG238" s="15" t="s">
        <v>969</v>
      </c>
      <c r="AH238" s="15" t="n">
        <v>0</v>
      </c>
      <c r="AI238" s="15" t="n">
        <v>0</v>
      </c>
      <c r="AJ238" s="15" t="n">
        <v>0</v>
      </c>
      <c r="AK238" s="15" t="n">
        <v>0</v>
      </c>
      <c r="AL238" s="15" t="n">
        <v>0</v>
      </c>
      <c r="AM238" s="15" t="n">
        <v>0</v>
      </c>
      <c r="AN238" s="15" t="s">
        <v>1264</v>
      </c>
      <c r="AO238" s="15" t="s">
        <v>960</v>
      </c>
      <c r="AP238" s="15" t="s">
        <v>163</v>
      </c>
      <c r="AQ238" s="15"/>
      <c r="AR238" s="29" t="str">
        <f aca="false">IF(A238="","",IF(COUNTIF(Parcels!$A$2:$A$3000,B238)=0,"Parcel not found",IF(COUNTIF($A$2:$A$3000,A238)&gt;1,"Duplicate perm_id",IF(AND(P238="Yes",D238&lt;&gt;"",COUNTIFS($C$2:$C$3000,D238,$P$2:$P$3000,"Yes")&gt;1),"Reference counted twice",IF(COUNTIF(Lists!$A$2:$A$7,I238)=0,"Unknown status","")))))</f>
        <v/>
      </c>
    </row>
    <row r="239" customFormat="false" ht="15" hidden="false" customHeight="false" outlineLevel="0" collapsed="false">
      <c r="A239" s="15" t="s">
        <v>2089</v>
      </c>
      <c r="B239" s="15" t="s">
        <v>712</v>
      </c>
      <c r="C239" s="15" t="s">
        <v>64</v>
      </c>
      <c r="D239" s="15" t="s">
        <v>2090</v>
      </c>
      <c r="E239" s="15" t="s">
        <v>2090</v>
      </c>
      <c r="F239" s="15" t="s">
        <v>713</v>
      </c>
      <c r="G239" s="15" t="n">
        <v>30</v>
      </c>
      <c r="H239" s="15"/>
      <c r="I239" s="15" t="s">
        <v>985</v>
      </c>
      <c r="J239" s="15" t="s">
        <v>947</v>
      </c>
      <c r="K239" s="15" t="s">
        <v>985</v>
      </c>
      <c r="L239" s="15" t="n">
        <v>0</v>
      </c>
      <c r="M239" s="15" t="n">
        <v>0</v>
      </c>
      <c r="N239" s="15"/>
      <c r="O239" s="15" t="s">
        <v>948</v>
      </c>
      <c r="P239" s="15" t="s">
        <v>949</v>
      </c>
      <c r="Q239" s="15" t="s">
        <v>989</v>
      </c>
      <c r="R239" s="15" t="n">
        <v>0</v>
      </c>
      <c r="S239" s="15" t="n">
        <v>20</v>
      </c>
      <c r="T239" s="15" t="n">
        <v>10</v>
      </c>
      <c r="U239" s="15" t="n">
        <v>0</v>
      </c>
      <c r="V239" s="15" t="n">
        <v>0</v>
      </c>
      <c r="W239" s="15" t="n">
        <v>0</v>
      </c>
      <c r="X239" s="15" t="s">
        <v>951</v>
      </c>
      <c r="Y239" s="15" t="s">
        <v>952</v>
      </c>
      <c r="Z239" s="15" t="s">
        <v>170</v>
      </c>
      <c r="AA239" s="15" t="s">
        <v>966</v>
      </c>
      <c r="AB239" s="15"/>
      <c r="AC239" s="15"/>
      <c r="AD239" s="15"/>
      <c r="AE239" s="15"/>
      <c r="AF239" s="15"/>
      <c r="AG239" s="15" t="s">
        <v>969</v>
      </c>
      <c r="AH239" s="15" t="n">
        <v>0</v>
      </c>
      <c r="AI239" s="15" t="n">
        <v>0</v>
      </c>
      <c r="AJ239" s="15" t="n">
        <v>0</v>
      </c>
      <c r="AK239" s="15" t="n">
        <v>0</v>
      </c>
      <c r="AL239" s="15" t="n">
        <v>0</v>
      </c>
      <c r="AM239" s="15" t="n">
        <v>0</v>
      </c>
      <c r="AN239" s="15" t="s">
        <v>1264</v>
      </c>
      <c r="AO239" s="15" t="s">
        <v>960</v>
      </c>
      <c r="AP239" s="15" t="s">
        <v>163</v>
      </c>
      <c r="AQ239" s="15"/>
      <c r="AR239" s="29" t="str">
        <f aca="false">IF(A239="","",IF(COUNTIF(Parcels!$A$2:$A$3000,B239)=0,"Parcel not found",IF(COUNTIF($A$2:$A$3000,A239)&gt;1,"Duplicate perm_id",IF(AND(P239="Yes",D239&lt;&gt;"",COUNTIFS($C$2:$C$3000,D239,$P$2:$P$3000,"Yes")&gt;1),"Reference counted twice",IF(COUNTIF(Lists!$A$2:$A$7,I239)=0,"Unknown status","")))))</f>
        <v/>
      </c>
    </row>
    <row r="240" customFormat="false" ht="15" hidden="false" customHeight="false" outlineLevel="0" collapsed="false">
      <c r="A240" s="15" t="s">
        <v>2091</v>
      </c>
      <c r="B240" s="15" t="s">
        <v>714</v>
      </c>
      <c r="C240" s="15" t="s">
        <v>67</v>
      </c>
      <c r="D240" s="15" t="s">
        <v>2092</v>
      </c>
      <c r="E240" s="15" t="s">
        <v>2092</v>
      </c>
      <c r="F240" s="15" t="s">
        <v>716</v>
      </c>
      <c r="G240" s="15" t="n">
        <v>28</v>
      </c>
      <c r="H240" s="15"/>
      <c r="I240" s="15" t="s">
        <v>946</v>
      </c>
      <c r="J240" s="15" t="s">
        <v>947</v>
      </c>
      <c r="K240" s="15" t="s">
        <v>946</v>
      </c>
      <c r="L240" s="15" t="n">
        <v>0</v>
      </c>
      <c r="M240" s="15" t="n">
        <v>0</v>
      </c>
      <c r="N240" s="15"/>
      <c r="O240" s="15" t="s">
        <v>948</v>
      </c>
      <c r="P240" s="15" t="s">
        <v>949</v>
      </c>
      <c r="Q240" s="15" t="s">
        <v>1291</v>
      </c>
      <c r="R240" s="15"/>
      <c r="S240" s="15"/>
      <c r="T240" s="15"/>
      <c r="U240" s="15"/>
      <c r="V240" s="15"/>
      <c r="W240" s="15"/>
      <c r="X240" s="15" t="s">
        <v>951</v>
      </c>
      <c r="Y240" s="15" t="s">
        <v>952</v>
      </c>
      <c r="Z240" s="15" t="s">
        <v>170</v>
      </c>
      <c r="AA240" s="15" t="s">
        <v>966</v>
      </c>
      <c r="AB240" s="15" t="s">
        <v>2049</v>
      </c>
      <c r="AC240" s="15" t="s">
        <v>2050</v>
      </c>
      <c r="AD240" s="15"/>
      <c r="AE240" s="15" t="s">
        <v>1040</v>
      </c>
      <c r="AF240" s="15" t="s">
        <v>1034</v>
      </c>
      <c r="AG240" s="15" t="s">
        <v>1000</v>
      </c>
      <c r="AH240" s="15" t="n">
        <v>0</v>
      </c>
      <c r="AI240" s="15" t="n">
        <v>0</v>
      </c>
      <c r="AJ240" s="15" t="n">
        <v>0</v>
      </c>
      <c r="AK240" s="15" t="n">
        <v>27.8</v>
      </c>
      <c r="AL240" s="15" t="n">
        <v>0.2</v>
      </c>
      <c r="AM240" s="15" t="n">
        <v>0</v>
      </c>
      <c r="AN240" s="15" t="s">
        <v>1264</v>
      </c>
      <c r="AO240" s="15" t="s">
        <v>960</v>
      </c>
      <c r="AP240" s="15" t="s">
        <v>163</v>
      </c>
      <c r="AQ240" s="15"/>
      <c r="AR240" s="29" t="str">
        <f aca="false">IF(A240="","",IF(COUNTIF(Parcels!$A$2:$A$3000,B240)=0,"Parcel not found",IF(COUNTIF($A$2:$A$3000,A240)&gt;1,"Duplicate perm_id",IF(AND(P240="Yes",D240&lt;&gt;"",COUNTIFS($C$2:$C$3000,D240,$P$2:$P$3000,"Yes")&gt;1),"Reference counted twice",IF(COUNTIF(Lists!$A$2:$A$7,I240)=0,"Unknown status","")))))</f>
        <v/>
      </c>
    </row>
    <row r="241" customFormat="false" ht="15" hidden="false" customHeight="false" outlineLevel="0" collapsed="false">
      <c r="A241" s="15" t="s">
        <v>2093</v>
      </c>
      <c r="B241" s="15" t="s">
        <v>370</v>
      </c>
      <c r="C241" s="15" t="s">
        <v>51</v>
      </c>
      <c r="D241" s="15" t="s">
        <v>2094</v>
      </c>
      <c r="E241" s="15" t="s">
        <v>2094</v>
      </c>
      <c r="F241" s="15" t="s">
        <v>371</v>
      </c>
      <c r="G241" s="15" t="n">
        <v>6</v>
      </c>
      <c r="H241" s="15"/>
      <c r="I241" s="15" t="s">
        <v>985</v>
      </c>
      <c r="J241" s="15" t="s">
        <v>947</v>
      </c>
      <c r="K241" s="15" t="s">
        <v>985</v>
      </c>
      <c r="L241" s="15" t="n">
        <v>0</v>
      </c>
      <c r="M241" s="15" t="n">
        <v>0</v>
      </c>
      <c r="N241" s="15"/>
      <c r="O241" s="15" t="s">
        <v>948</v>
      </c>
      <c r="P241" s="15" t="s">
        <v>949</v>
      </c>
      <c r="Q241" s="15" t="s">
        <v>1070</v>
      </c>
      <c r="R241" s="15"/>
      <c r="S241" s="15"/>
      <c r="T241" s="15"/>
      <c r="U241" s="15"/>
      <c r="V241" s="15"/>
      <c r="W241" s="15"/>
      <c r="X241" s="15" t="s">
        <v>951</v>
      </c>
      <c r="Y241" s="15" t="s">
        <v>974</v>
      </c>
      <c r="Z241" s="15" t="s">
        <v>975</v>
      </c>
      <c r="AA241" s="15" t="s">
        <v>976</v>
      </c>
      <c r="AB241" s="15"/>
      <c r="AC241" s="15"/>
      <c r="AD241" s="15"/>
      <c r="AE241" s="15"/>
      <c r="AF241" s="15"/>
      <c r="AG241" s="15" t="s">
        <v>969</v>
      </c>
      <c r="AH241" s="15" t="n">
        <v>0</v>
      </c>
      <c r="AI241" s="15" t="n">
        <v>0</v>
      </c>
      <c r="AJ241" s="15" t="n">
        <v>0</v>
      </c>
      <c r="AK241" s="15" t="n">
        <v>0</v>
      </c>
      <c r="AL241" s="15" t="n">
        <v>0</v>
      </c>
      <c r="AM241" s="15" t="n">
        <v>0</v>
      </c>
      <c r="AN241" s="15" t="s">
        <v>1264</v>
      </c>
      <c r="AO241" s="15" t="s">
        <v>960</v>
      </c>
      <c r="AP241" s="15" t="s">
        <v>163</v>
      </c>
      <c r="AQ241" s="15"/>
      <c r="AR241" s="29" t="str">
        <f aca="false">IF(A241="","",IF(COUNTIF(Parcels!$A$2:$A$3000,B241)=0,"Parcel not found",IF(COUNTIF($A$2:$A$3000,A241)&gt;1,"Duplicate perm_id",IF(AND(P241="Yes",D241&lt;&gt;"",COUNTIFS($C$2:$C$3000,D241,$P$2:$P$3000,"Yes")&gt;1),"Reference counted twice",IF(COUNTIF(Lists!$A$2:$A$7,I241)=0,"Unknown status","")))))</f>
        <v/>
      </c>
    </row>
    <row r="242" customFormat="false" ht="15" hidden="false" customHeight="false" outlineLevel="0" collapsed="false">
      <c r="A242" s="15" t="s">
        <v>2095</v>
      </c>
      <c r="B242" s="15" t="s">
        <v>489</v>
      </c>
      <c r="C242" s="15" t="s">
        <v>54</v>
      </c>
      <c r="D242" s="15" t="s">
        <v>2096</v>
      </c>
      <c r="E242" s="15" t="s">
        <v>2096</v>
      </c>
      <c r="F242" s="15" t="s">
        <v>490</v>
      </c>
      <c r="G242" s="15" t="n">
        <v>6</v>
      </c>
      <c r="H242" s="15"/>
      <c r="I242" s="15" t="s">
        <v>985</v>
      </c>
      <c r="J242" s="15" t="s">
        <v>947</v>
      </c>
      <c r="K242" s="15" t="s">
        <v>985</v>
      </c>
      <c r="L242" s="15" t="n">
        <v>0</v>
      </c>
      <c r="M242" s="15" t="n">
        <v>0</v>
      </c>
      <c r="N242" s="15"/>
      <c r="O242" s="15" t="s">
        <v>948</v>
      </c>
      <c r="P242" s="15" t="s">
        <v>949</v>
      </c>
      <c r="Q242" s="15" t="s">
        <v>1070</v>
      </c>
      <c r="R242" s="15"/>
      <c r="S242" s="15"/>
      <c r="T242" s="15"/>
      <c r="U242" s="15"/>
      <c r="V242" s="15"/>
      <c r="W242" s="15"/>
      <c r="X242" s="15" t="s">
        <v>951</v>
      </c>
      <c r="Y242" s="15" t="s">
        <v>974</v>
      </c>
      <c r="Z242" s="15" t="s">
        <v>975</v>
      </c>
      <c r="AA242" s="15" t="s">
        <v>976</v>
      </c>
      <c r="AB242" s="15"/>
      <c r="AC242" s="15"/>
      <c r="AD242" s="15"/>
      <c r="AE242" s="15"/>
      <c r="AF242" s="15"/>
      <c r="AG242" s="15" t="s">
        <v>969</v>
      </c>
      <c r="AH242" s="15" t="n">
        <v>0</v>
      </c>
      <c r="AI242" s="15" t="n">
        <v>0</v>
      </c>
      <c r="AJ242" s="15" t="n">
        <v>0</v>
      </c>
      <c r="AK242" s="15" t="n">
        <v>0</v>
      </c>
      <c r="AL242" s="15" t="n">
        <v>0</v>
      </c>
      <c r="AM242" s="15" t="n">
        <v>0</v>
      </c>
      <c r="AN242" s="15" t="s">
        <v>1264</v>
      </c>
      <c r="AO242" s="15" t="s">
        <v>960</v>
      </c>
      <c r="AP242" s="15" t="s">
        <v>163</v>
      </c>
      <c r="AQ242" s="15"/>
      <c r="AR242" s="29" t="str">
        <f aca="false">IF(A242="","",IF(COUNTIF(Parcels!$A$2:$A$3000,B242)=0,"Parcel not found",IF(COUNTIF($A$2:$A$3000,A242)&gt;1,"Duplicate perm_id",IF(AND(P242="Yes",D242&lt;&gt;"",COUNTIFS($C$2:$C$3000,D242,$P$2:$P$3000,"Yes")&gt;1),"Reference counted twice",IF(COUNTIF(Lists!$A$2:$A$7,I242)=0,"Unknown status","")))))</f>
        <v/>
      </c>
    </row>
    <row r="243" customFormat="false" ht="15" hidden="false" customHeight="false" outlineLevel="0" collapsed="false">
      <c r="A243" s="15" t="s">
        <v>2097</v>
      </c>
      <c r="B243" s="15" t="s">
        <v>478</v>
      </c>
      <c r="C243" s="15" t="s">
        <v>53</v>
      </c>
      <c r="D243" s="15" t="s">
        <v>2098</v>
      </c>
      <c r="E243" s="15" t="s">
        <v>2098</v>
      </c>
      <c r="F243" s="15" t="s">
        <v>479</v>
      </c>
      <c r="G243" s="15" t="n">
        <v>13</v>
      </c>
      <c r="H243" s="15"/>
      <c r="I243" s="15" t="s">
        <v>985</v>
      </c>
      <c r="J243" s="15" t="s">
        <v>947</v>
      </c>
      <c r="K243" s="15" t="s">
        <v>985</v>
      </c>
      <c r="L243" s="15" t="n">
        <v>0</v>
      </c>
      <c r="M243" s="15" t="n">
        <v>0</v>
      </c>
      <c r="N243" s="15"/>
      <c r="O243" s="15" t="s">
        <v>948</v>
      </c>
      <c r="P243" s="15" t="s">
        <v>949</v>
      </c>
      <c r="Q243" s="15" t="s">
        <v>1070</v>
      </c>
      <c r="R243" s="15"/>
      <c r="S243" s="15"/>
      <c r="T243" s="15"/>
      <c r="U243" s="15"/>
      <c r="V243" s="15"/>
      <c r="W243" s="15"/>
      <c r="X243" s="15" t="s">
        <v>951</v>
      </c>
      <c r="Y243" s="15" t="s">
        <v>974</v>
      </c>
      <c r="Z243" s="15" t="s">
        <v>975</v>
      </c>
      <c r="AA243" s="15" t="s">
        <v>976</v>
      </c>
      <c r="AB243" s="15"/>
      <c r="AC243" s="15"/>
      <c r="AD243" s="15"/>
      <c r="AE243" s="15"/>
      <c r="AF243" s="15"/>
      <c r="AG243" s="15" t="s">
        <v>969</v>
      </c>
      <c r="AH243" s="15" t="n">
        <v>0</v>
      </c>
      <c r="AI243" s="15" t="n">
        <v>0</v>
      </c>
      <c r="AJ243" s="15" t="n">
        <v>0</v>
      </c>
      <c r="AK243" s="15" t="n">
        <v>0</v>
      </c>
      <c r="AL243" s="15" t="n">
        <v>0</v>
      </c>
      <c r="AM243" s="15" t="n">
        <v>0</v>
      </c>
      <c r="AN243" s="15" t="s">
        <v>1264</v>
      </c>
      <c r="AO243" s="15" t="s">
        <v>960</v>
      </c>
      <c r="AP243" s="15" t="s">
        <v>163</v>
      </c>
      <c r="AQ243" s="15"/>
      <c r="AR243" s="29" t="str">
        <f aca="false">IF(A243="","",IF(COUNTIF(Parcels!$A$2:$A$3000,B243)=0,"Parcel not found",IF(COUNTIF($A$2:$A$3000,A243)&gt;1,"Duplicate perm_id",IF(AND(P243="Yes",D243&lt;&gt;"",COUNTIFS($C$2:$C$3000,D243,$P$2:$P$3000,"Yes")&gt;1),"Reference counted twice",IF(COUNTIF(Lists!$A$2:$A$7,I243)=0,"Unknown status","")))))</f>
        <v/>
      </c>
    </row>
    <row r="244" customFormat="false" ht="15" hidden="false" customHeight="false" outlineLevel="0" collapsed="false">
      <c r="A244" s="15" t="s">
        <v>2099</v>
      </c>
      <c r="B244" s="15" t="s">
        <v>412</v>
      </c>
      <c r="C244" s="15" t="s">
        <v>52</v>
      </c>
      <c r="D244" s="15" t="s">
        <v>2100</v>
      </c>
      <c r="E244" s="15" t="s">
        <v>2100</v>
      </c>
      <c r="F244" s="15" t="s">
        <v>2101</v>
      </c>
      <c r="G244" s="15" t="n">
        <v>54</v>
      </c>
      <c r="H244" s="15"/>
      <c r="I244" s="15" t="s">
        <v>47</v>
      </c>
      <c r="J244" s="15" t="s">
        <v>1267</v>
      </c>
      <c r="K244" s="15" t="s">
        <v>48</v>
      </c>
      <c r="L244" s="15" t="n">
        <v>54</v>
      </c>
      <c r="M244" s="15" t="n">
        <v>0</v>
      </c>
      <c r="N244" s="15" t="s">
        <v>1268</v>
      </c>
      <c r="O244" s="15" t="s">
        <v>948</v>
      </c>
      <c r="P244" s="15" t="s">
        <v>949</v>
      </c>
      <c r="Q244" s="15" t="s">
        <v>1291</v>
      </c>
      <c r="R244" s="15"/>
      <c r="S244" s="15"/>
      <c r="T244" s="15"/>
      <c r="U244" s="15"/>
      <c r="V244" s="15"/>
      <c r="W244" s="15"/>
      <c r="X244" s="15" t="s">
        <v>1075</v>
      </c>
      <c r="Y244" s="15" t="s">
        <v>952</v>
      </c>
      <c r="Z244" s="15" t="s">
        <v>170</v>
      </c>
      <c r="AA244" s="15" t="s">
        <v>966</v>
      </c>
      <c r="AB244" s="15" t="s">
        <v>2009</v>
      </c>
      <c r="AC244" s="15" t="s">
        <v>1356</v>
      </c>
      <c r="AD244" s="15" t="s">
        <v>2102</v>
      </c>
      <c r="AE244" s="15" t="s">
        <v>1493</v>
      </c>
      <c r="AF244" s="15" t="s">
        <v>980</v>
      </c>
      <c r="AG244" s="15" t="s">
        <v>981</v>
      </c>
      <c r="AH244" s="15" t="n">
        <v>0</v>
      </c>
      <c r="AI244" s="15" t="n">
        <v>0</v>
      </c>
      <c r="AJ244" s="15" t="n">
        <v>0</v>
      </c>
      <c r="AK244" s="15" t="n">
        <v>0</v>
      </c>
      <c r="AL244" s="15" t="n">
        <v>0</v>
      </c>
      <c r="AM244" s="15" t="n">
        <v>0</v>
      </c>
      <c r="AN244" s="15" t="s">
        <v>1264</v>
      </c>
      <c r="AO244" s="15" t="s">
        <v>960</v>
      </c>
      <c r="AP244" s="15" t="s">
        <v>163</v>
      </c>
      <c r="AQ244" s="15"/>
      <c r="AR244" s="29" t="str">
        <f aca="false">IF(A244="","",IF(COUNTIF(Parcels!$A$2:$A$3000,B244)=0,"Parcel not found",IF(COUNTIF($A$2:$A$3000,A244)&gt;1,"Duplicate perm_id",IF(AND(P244="Yes",D244&lt;&gt;"",COUNTIFS($C$2:$C$3000,D244,$P$2:$P$3000,"Yes")&gt;1),"Reference counted twice",IF(COUNTIF(Lists!$A$2:$A$7,I244)=0,"Unknown status","")))))</f>
        <v/>
      </c>
    </row>
    <row r="245" customFormat="false" ht="15" hidden="false" customHeight="false" outlineLevel="0" collapsed="false">
      <c r="A245" s="15" t="s">
        <v>2103</v>
      </c>
      <c r="B245" s="15" t="s">
        <v>412</v>
      </c>
      <c r="C245" s="15" t="s">
        <v>52</v>
      </c>
      <c r="D245" s="15" t="s">
        <v>2104</v>
      </c>
      <c r="E245" s="15" t="s">
        <v>2104</v>
      </c>
      <c r="F245" s="15" t="s">
        <v>413</v>
      </c>
      <c r="G245" s="15" t="n">
        <v>200</v>
      </c>
      <c r="H245" s="15"/>
      <c r="I245" s="15" t="s">
        <v>47</v>
      </c>
      <c r="J245" s="15" t="s">
        <v>947</v>
      </c>
      <c r="K245" s="15" t="s">
        <v>47</v>
      </c>
      <c r="L245" s="15" t="n">
        <v>199</v>
      </c>
      <c r="M245" s="15" t="n">
        <v>0</v>
      </c>
      <c r="N245" s="15"/>
      <c r="O245" s="15" t="s">
        <v>948</v>
      </c>
      <c r="P245" s="15" t="s">
        <v>949</v>
      </c>
      <c r="Q245" s="15" t="s">
        <v>1303</v>
      </c>
      <c r="R245" s="15" t="n">
        <v>0</v>
      </c>
      <c r="S245" s="15" t="n">
        <v>53</v>
      </c>
      <c r="T245" s="15" t="n">
        <v>69</v>
      </c>
      <c r="U245" s="15" t="n">
        <v>78</v>
      </c>
      <c r="V245" s="15" t="n">
        <v>0</v>
      </c>
      <c r="W245" s="15" t="n">
        <v>0</v>
      </c>
      <c r="X245" s="15" t="s">
        <v>951</v>
      </c>
      <c r="Y245" s="15" t="s">
        <v>952</v>
      </c>
      <c r="Z245" s="15" t="s">
        <v>170</v>
      </c>
      <c r="AA245" s="15" t="s">
        <v>953</v>
      </c>
      <c r="AB245" s="15" t="s">
        <v>2105</v>
      </c>
      <c r="AC245" s="15" t="s">
        <v>2106</v>
      </c>
      <c r="AD245" s="15" t="s">
        <v>2107</v>
      </c>
      <c r="AE245" s="15"/>
      <c r="AF245" s="15"/>
      <c r="AG245" s="15" t="s">
        <v>992</v>
      </c>
      <c r="AH245" s="15" t="n">
        <v>0</v>
      </c>
      <c r="AI245" s="15" t="n">
        <v>0</v>
      </c>
      <c r="AJ245" s="15" t="n">
        <v>0</v>
      </c>
      <c r="AK245" s="15" t="n">
        <v>0</v>
      </c>
      <c r="AL245" s="15" t="n">
        <v>0</v>
      </c>
      <c r="AM245" s="15" t="n">
        <v>0</v>
      </c>
      <c r="AN245" s="15" t="s">
        <v>1264</v>
      </c>
      <c r="AO245" s="15" t="s">
        <v>960</v>
      </c>
      <c r="AP245" s="15" t="s">
        <v>163</v>
      </c>
      <c r="AQ245" s="15"/>
      <c r="AR245" s="29" t="str">
        <f aca="false">IF(A245="","",IF(COUNTIF(Parcels!$A$2:$A$3000,B245)=0,"Parcel not found",IF(COUNTIF($A$2:$A$3000,A245)&gt;1,"Duplicate perm_id",IF(AND(P245="Yes",D245&lt;&gt;"",COUNTIFS($C$2:$C$3000,D245,$P$2:$P$3000,"Yes")&gt;1),"Reference counted twice",IF(COUNTIF(Lists!$A$2:$A$7,I245)=0,"Unknown status","")))))</f>
        <v/>
      </c>
    </row>
    <row r="246" customFormat="false" ht="15" hidden="false" customHeight="false" outlineLevel="0" collapsed="false">
      <c r="A246" s="15" t="s">
        <v>2108</v>
      </c>
      <c r="B246" s="15" t="s">
        <v>412</v>
      </c>
      <c r="C246" s="15" t="s">
        <v>52</v>
      </c>
      <c r="D246" s="15" t="s">
        <v>2109</v>
      </c>
      <c r="E246" s="15" t="s">
        <v>2109</v>
      </c>
      <c r="F246" s="15" t="s">
        <v>2110</v>
      </c>
      <c r="G246" s="15" t="n">
        <v>21</v>
      </c>
      <c r="H246" s="15"/>
      <c r="I246" s="15" t="s">
        <v>47</v>
      </c>
      <c r="J246" s="15" t="s">
        <v>947</v>
      </c>
      <c r="K246" s="15" t="s">
        <v>47</v>
      </c>
      <c r="L246" s="15" t="n">
        <v>21</v>
      </c>
      <c r="M246" s="15" t="n">
        <v>0</v>
      </c>
      <c r="N246" s="15"/>
      <c r="O246" s="15" t="s">
        <v>948</v>
      </c>
      <c r="P246" s="15" t="s">
        <v>949</v>
      </c>
      <c r="Q246" s="15" t="s">
        <v>965</v>
      </c>
      <c r="R246" s="15"/>
      <c r="S246" s="15"/>
      <c r="T246" s="15"/>
      <c r="U246" s="15"/>
      <c r="V246" s="15"/>
      <c r="W246" s="15"/>
      <c r="X246" s="15" t="s">
        <v>973</v>
      </c>
      <c r="Y246" s="15" t="s">
        <v>952</v>
      </c>
      <c r="Z246" s="15" t="s">
        <v>170</v>
      </c>
      <c r="AA246" s="15" t="s">
        <v>966</v>
      </c>
      <c r="AB246" s="15" t="s">
        <v>2111</v>
      </c>
      <c r="AC246" s="15" t="s">
        <v>2112</v>
      </c>
      <c r="AD246" s="15" t="s">
        <v>2113</v>
      </c>
      <c r="AE246" s="15"/>
      <c r="AF246" s="15"/>
      <c r="AG246" s="15" t="s">
        <v>992</v>
      </c>
      <c r="AH246" s="15" t="n">
        <v>0</v>
      </c>
      <c r="AI246" s="15" t="n">
        <v>0</v>
      </c>
      <c r="AJ246" s="15" t="n">
        <v>0</v>
      </c>
      <c r="AK246" s="15" t="n">
        <v>0</v>
      </c>
      <c r="AL246" s="15" t="n">
        <v>0</v>
      </c>
      <c r="AM246" s="15" t="n">
        <v>0</v>
      </c>
      <c r="AN246" s="15" t="s">
        <v>1264</v>
      </c>
      <c r="AO246" s="15" t="s">
        <v>960</v>
      </c>
      <c r="AP246" s="15" t="s">
        <v>163</v>
      </c>
      <c r="AQ246" s="15"/>
      <c r="AR246" s="29" t="str">
        <f aca="false">IF(A246="","",IF(COUNTIF(Parcels!$A$2:$A$3000,B246)=0,"Parcel not found",IF(COUNTIF($A$2:$A$3000,A246)&gt;1,"Duplicate perm_id",IF(AND(P246="Yes",D246&lt;&gt;"",COUNTIFS($C$2:$C$3000,D246,$P$2:$P$3000,"Yes")&gt;1),"Reference counted twice",IF(COUNTIF(Lists!$A$2:$A$7,I246)=0,"Unknown status","")))))</f>
        <v/>
      </c>
    </row>
    <row r="247" customFormat="false" ht="15" hidden="false" customHeight="false" outlineLevel="0" collapsed="false">
      <c r="A247" s="15" t="s">
        <v>2114</v>
      </c>
      <c r="B247" s="15" t="s">
        <v>412</v>
      </c>
      <c r="C247" s="15" t="s">
        <v>52</v>
      </c>
      <c r="D247" s="15" t="s">
        <v>2115</v>
      </c>
      <c r="E247" s="15" t="s">
        <v>2115</v>
      </c>
      <c r="F247" s="15" t="s">
        <v>2116</v>
      </c>
      <c r="G247" s="15" t="n">
        <v>23</v>
      </c>
      <c r="H247" s="15"/>
      <c r="I247" s="15" t="s">
        <v>47</v>
      </c>
      <c r="J247" s="15" t="s">
        <v>1267</v>
      </c>
      <c r="K247" s="15" t="s">
        <v>48</v>
      </c>
      <c r="L247" s="15" t="n">
        <v>23</v>
      </c>
      <c r="M247" s="15" t="n">
        <v>0</v>
      </c>
      <c r="N247" s="15" t="s">
        <v>1268</v>
      </c>
      <c r="O247" s="15" t="s">
        <v>948</v>
      </c>
      <c r="P247" s="15" t="s">
        <v>949</v>
      </c>
      <c r="Q247" s="15" t="s">
        <v>950</v>
      </c>
      <c r="R247" s="15" t="n">
        <v>0</v>
      </c>
      <c r="S247" s="15" t="n">
        <v>0</v>
      </c>
      <c r="T247" s="15" t="n">
        <v>0</v>
      </c>
      <c r="U247" s="15" t="n">
        <v>23</v>
      </c>
      <c r="V247" s="15" t="n">
        <v>0</v>
      </c>
      <c r="W247" s="15" t="n">
        <v>0</v>
      </c>
      <c r="X247" s="15" t="s">
        <v>973</v>
      </c>
      <c r="Y247" s="15" t="s">
        <v>952</v>
      </c>
      <c r="Z247" s="15" t="s">
        <v>170</v>
      </c>
      <c r="AA247" s="15" t="s">
        <v>966</v>
      </c>
      <c r="AB247" s="15" t="s">
        <v>1691</v>
      </c>
      <c r="AC247" s="15" t="s">
        <v>1692</v>
      </c>
      <c r="AD247" s="15" t="s">
        <v>2117</v>
      </c>
      <c r="AE247" s="15" t="s">
        <v>1478</v>
      </c>
      <c r="AF247" s="15" t="s">
        <v>980</v>
      </c>
      <c r="AG247" s="15" t="s">
        <v>981</v>
      </c>
      <c r="AH247" s="15" t="n">
        <v>0</v>
      </c>
      <c r="AI247" s="15" t="n">
        <v>0</v>
      </c>
      <c r="AJ247" s="15" t="n">
        <v>0</v>
      </c>
      <c r="AK247" s="15" t="n">
        <v>0</v>
      </c>
      <c r="AL247" s="15" t="n">
        <v>0</v>
      </c>
      <c r="AM247" s="15" t="n">
        <v>0</v>
      </c>
      <c r="AN247" s="15" t="s">
        <v>1264</v>
      </c>
      <c r="AO247" s="15" t="s">
        <v>960</v>
      </c>
      <c r="AP247" s="15" t="s">
        <v>163</v>
      </c>
      <c r="AQ247" s="15"/>
      <c r="AR247" s="29" t="str">
        <f aca="false">IF(A247="","",IF(COUNTIF(Parcels!$A$2:$A$3000,B247)=0,"Parcel not found",IF(COUNTIF($A$2:$A$3000,A247)&gt;1,"Duplicate perm_id",IF(AND(P247="Yes",D247&lt;&gt;"",COUNTIFS($C$2:$C$3000,D247,$P$2:$P$3000,"Yes")&gt;1),"Reference counted twice",IF(COUNTIF(Lists!$A$2:$A$7,I247)=0,"Unknown status","")))))</f>
        <v/>
      </c>
    </row>
    <row r="248" customFormat="false" ht="15" hidden="false" customHeight="false" outlineLevel="0" collapsed="false">
      <c r="A248" s="15" t="s">
        <v>2118</v>
      </c>
      <c r="B248" s="15" t="s">
        <v>374</v>
      </c>
      <c r="C248" s="15" t="s">
        <v>51</v>
      </c>
      <c r="D248" s="15" t="s">
        <v>2119</v>
      </c>
      <c r="E248" s="15" t="s">
        <v>2119</v>
      </c>
      <c r="F248" s="15" t="s">
        <v>375</v>
      </c>
      <c r="G248" s="15" t="n">
        <v>6</v>
      </c>
      <c r="H248" s="15"/>
      <c r="I248" s="15" t="s">
        <v>47</v>
      </c>
      <c r="J248" s="15" t="s">
        <v>947</v>
      </c>
      <c r="K248" s="15" t="s">
        <v>47</v>
      </c>
      <c r="L248" s="15" t="n">
        <v>0</v>
      </c>
      <c r="M248" s="15" t="n">
        <v>0</v>
      </c>
      <c r="N248" s="15" t="s">
        <v>1260</v>
      </c>
      <c r="O248" s="15" t="s">
        <v>948</v>
      </c>
      <c r="P248" s="15" t="s">
        <v>949</v>
      </c>
      <c r="Q248" s="15" t="s">
        <v>1070</v>
      </c>
      <c r="R248" s="15"/>
      <c r="S248" s="15"/>
      <c r="T248" s="15"/>
      <c r="U248" s="15"/>
      <c r="V248" s="15"/>
      <c r="W248" s="15"/>
      <c r="X248" s="15" t="s">
        <v>951</v>
      </c>
      <c r="Y248" s="15" t="s">
        <v>974</v>
      </c>
      <c r="Z248" s="15" t="s">
        <v>975</v>
      </c>
      <c r="AA248" s="15" t="s">
        <v>976</v>
      </c>
      <c r="AB248" s="15" t="s">
        <v>2120</v>
      </c>
      <c r="AC248" s="15"/>
      <c r="AD248" s="15" t="s">
        <v>2121</v>
      </c>
      <c r="AE248" s="15"/>
      <c r="AF248" s="15"/>
      <c r="AG248" s="15" t="s">
        <v>992</v>
      </c>
      <c r="AH248" s="15" t="n">
        <v>0</v>
      </c>
      <c r="AI248" s="15" t="n">
        <v>0</v>
      </c>
      <c r="AJ248" s="15" t="n">
        <v>0</v>
      </c>
      <c r="AK248" s="15" t="n">
        <v>0</v>
      </c>
      <c r="AL248" s="15" t="n">
        <v>0</v>
      </c>
      <c r="AM248" s="15" t="n">
        <v>0</v>
      </c>
      <c r="AN248" s="15" t="s">
        <v>1264</v>
      </c>
      <c r="AO248" s="15" t="s">
        <v>960</v>
      </c>
      <c r="AP248" s="15" t="s">
        <v>163</v>
      </c>
      <c r="AQ248" s="15"/>
      <c r="AR248" s="29" t="str">
        <f aca="false">IF(A248="","",IF(COUNTIF(Parcels!$A$2:$A$3000,B248)=0,"Parcel not found",IF(COUNTIF($A$2:$A$3000,A248)&gt;1,"Duplicate perm_id",IF(AND(P248="Yes",D248&lt;&gt;"",COUNTIFS($C$2:$C$3000,D248,$P$2:$P$3000,"Yes")&gt;1),"Reference counted twice",IF(COUNTIF(Lists!$A$2:$A$7,I248)=0,"Unknown status","")))))</f>
        <v/>
      </c>
    </row>
    <row r="249" customFormat="false" ht="15" hidden="false" customHeight="false" outlineLevel="0" collapsed="false">
      <c r="A249" s="15" t="s">
        <v>2122</v>
      </c>
      <c r="B249" s="15" t="s">
        <v>717</v>
      </c>
      <c r="C249" s="15" t="s">
        <v>22</v>
      </c>
      <c r="D249" s="15"/>
      <c r="E249" s="15"/>
      <c r="F249" s="15" t="s">
        <v>718</v>
      </c>
      <c r="G249" s="15" t="n">
        <v>17</v>
      </c>
      <c r="H249" s="15"/>
      <c r="I249" s="15" t="s">
        <v>964</v>
      </c>
      <c r="J249" s="15" t="s">
        <v>947</v>
      </c>
      <c r="K249" s="15" t="s">
        <v>964</v>
      </c>
      <c r="L249" s="15" t="n">
        <v>3</v>
      </c>
      <c r="M249" s="15" t="n">
        <v>0</v>
      </c>
      <c r="N249" s="15" t="s">
        <v>1503</v>
      </c>
      <c r="O249" s="15" t="s">
        <v>948</v>
      </c>
      <c r="P249" s="15" t="s">
        <v>949</v>
      </c>
      <c r="Q249" s="15" t="s">
        <v>1070</v>
      </c>
      <c r="R249" s="15"/>
      <c r="S249" s="15"/>
      <c r="T249" s="15"/>
      <c r="U249" s="15"/>
      <c r="V249" s="15"/>
      <c r="W249" s="15"/>
      <c r="X249" s="15" t="s">
        <v>951</v>
      </c>
      <c r="Y249" s="15" t="s">
        <v>952</v>
      </c>
      <c r="Z249" s="15" t="s">
        <v>170</v>
      </c>
      <c r="AA249" s="15" t="s">
        <v>966</v>
      </c>
      <c r="AB249" s="15" t="s">
        <v>2123</v>
      </c>
      <c r="AC249" s="15" t="s">
        <v>2124</v>
      </c>
      <c r="AD249" s="15"/>
      <c r="AE249" s="15"/>
      <c r="AF249" s="15"/>
      <c r="AG249" s="15" t="s">
        <v>969</v>
      </c>
      <c r="AH249" s="15" t="n">
        <v>0</v>
      </c>
      <c r="AI249" s="15" t="n">
        <v>0</v>
      </c>
      <c r="AJ249" s="15" t="n">
        <v>0</v>
      </c>
      <c r="AK249" s="15" t="n">
        <v>0</v>
      </c>
      <c r="AL249" s="15" t="n">
        <v>0</v>
      </c>
      <c r="AM249" s="15" t="n">
        <v>0</v>
      </c>
      <c r="AN249" s="15" t="s">
        <v>1264</v>
      </c>
      <c r="AO249" s="15" t="s">
        <v>960</v>
      </c>
      <c r="AP249" s="15" t="s">
        <v>163</v>
      </c>
      <c r="AQ249" s="15"/>
      <c r="AR249" s="29" t="str">
        <f aca="false">IF(A249="","",IF(COUNTIF(Parcels!$A$2:$A$3000,B249)=0,"Parcel not found",IF(COUNTIF($A$2:$A$3000,A249)&gt;1,"Duplicate perm_id",IF(AND(P249="Yes",D249&lt;&gt;"",COUNTIFS($C$2:$C$3000,D249,$P$2:$P$3000,"Yes")&gt;1),"Reference counted twice",IF(COUNTIF(Lists!$A$2:$A$7,I249)=0,"Unknown status","")))))</f>
        <v/>
      </c>
    </row>
    <row r="250" customFormat="false" ht="15" hidden="false" customHeight="false" outlineLevel="0" collapsed="false">
      <c r="A250" s="15" t="s">
        <v>2125</v>
      </c>
      <c r="B250" s="15" t="s">
        <v>376</v>
      </c>
      <c r="C250" s="15" t="s">
        <v>51</v>
      </c>
      <c r="D250" s="15"/>
      <c r="E250" s="15"/>
      <c r="F250" s="15" t="s">
        <v>2126</v>
      </c>
      <c r="G250" s="15" t="n">
        <v>0</v>
      </c>
      <c r="H250" s="15"/>
      <c r="I250" s="15" t="s">
        <v>946</v>
      </c>
      <c r="J250" s="15" t="s">
        <v>947</v>
      </c>
      <c r="K250" s="15" t="s">
        <v>946</v>
      </c>
      <c r="L250" s="15" t="n">
        <v>0</v>
      </c>
      <c r="M250" s="15" t="n">
        <v>0</v>
      </c>
      <c r="N250" s="15"/>
      <c r="O250" s="15" t="s">
        <v>948</v>
      </c>
      <c r="P250" s="15" t="s">
        <v>949</v>
      </c>
      <c r="Q250" s="15" t="s">
        <v>1070</v>
      </c>
      <c r="R250" s="15"/>
      <c r="S250" s="15"/>
      <c r="T250" s="15"/>
      <c r="U250" s="15"/>
      <c r="V250" s="15"/>
      <c r="W250" s="15"/>
      <c r="X250" s="15" t="s">
        <v>951</v>
      </c>
      <c r="Y250" s="15" t="s">
        <v>974</v>
      </c>
      <c r="Z250" s="15" t="s">
        <v>975</v>
      </c>
      <c r="AA250" s="15" t="s">
        <v>966</v>
      </c>
      <c r="AB250" s="15"/>
      <c r="AC250" s="15"/>
      <c r="AD250" s="15"/>
      <c r="AE250" s="15"/>
      <c r="AF250" s="15"/>
      <c r="AG250" s="15" t="s">
        <v>969</v>
      </c>
      <c r="AH250" s="15" t="n">
        <v>0</v>
      </c>
      <c r="AI250" s="15" t="n">
        <v>0</v>
      </c>
      <c r="AJ250" s="15" t="n">
        <v>0</v>
      </c>
      <c r="AK250" s="15" t="n">
        <v>0</v>
      </c>
      <c r="AL250" s="15" t="n">
        <v>0</v>
      </c>
      <c r="AM250" s="15" t="n">
        <v>0</v>
      </c>
      <c r="AN250" s="15" t="s">
        <v>1264</v>
      </c>
      <c r="AO250" s="15" t="s">
        <v>960</v>
      </c>
      <c r="AP250" s="15" t="s">
        <v>163</v>
      </c>
      <c r="AQ250" s="15"/>
      <c r="AR250" s="29" t="str">
        <f aca="false">IF(A250="","",IF(COUNTIF(Parcels!$A$2:$A$3000,B250)=0,"Parcel not found",IF(COUNTIF($A$2:$A$3000,A250)&gt;1,"Duplicate perm_id",IF(AND(P250="Yes",D250&lt;&gt;"",COUNTIFS($C$2:$C$3000,D250,$P$2:$P$3000,"Yes")&gt;1),"Reference counted twice",IF(COUNTIF(Lists!$A$2:$A$7,I250)=0,"Unknown status","")))))</f>
        <v/>
      </c>
    </row>
    <row r="251" customFormat="false" ht="15" hidden="false" customHeight="false" outlineLevel="0" collapsed="false">
      <c r="A251" s="15" t="s">
        <v>2127</v>
      </c>
      <c r="B251" s="15" t="s">
        <v>549</v>
      </c>
      <c r="C251" s="15" t="s">
        <v>58</v>
      </c>
      <c r="D251" s="15"/>
      <c r="E251" s="15"/>
      <c r="F251" s="15" t="s">
        <v>550</v>
      </c>
      <c r="G251" s="15" t="n">
        <v>12</v>
      </c>
      <c r="H251" s="15"/>
      <c r="I251" s="15" t="s">
        <v>985</v>
      </c>
      <c r="J251" s="15" t="s">
        <v>947</v>
      </c>
      <c r="K251" s="15" t="s">
        <v>985</v>
      </c>
      <c r="L251" s="15" t="n">
        <v>0</v>
      </c>
      <c r="M251" s="15" t="n">
        <v>0</v>
      </c>
      <c r="N251" s="15"/>
      <c r="O251" s="15" t="s">
        <v>948</v>
      </c>
      <c r="P251" s="15" t="s">
        <v>949</v>
      </c>
      <c r="Q251" s="15" t="s">
        <v>1070</v>
      </c>
      <c r="R251" s="15"/>
      <c r="S251" s="15"/>
      <c r="T251" s="15"/>
      <c r="U251" s="15"/>
      <c r="V251" s="15"/>
      <c r="W251" s="15"/>
      <c r="X251" s="15" t="s">
        <v>951</v>
      </c>
      <c r="Y251" s="15" t="s">
        <v>974</v>
      </c>
      <c r="Z251" s="15" t="s">
        <v>975</v>
      </c>
      <c r="AA251" s="15" t="s">
        <v>976</v>
      </c>
      <c r="AB251" s="15"/>
      <c r="AC251" s="15"/>
      <c r="AD251" s="15"/>
      <c r="AE251" s="15"/>
      <c r="AF251" s="15"/>
      <c r="AG251" s="15" t="s">
        <v>969</v>
      </c>
      <c r="AH251" s="15" t="n">
        <v>0</v>
      </c>
      <c r="AI251" s="15" t="n">
        <v>0</v>
      </c>
      <c r="AJ251" s="15" t="n">
        <v>0</v>
      </c>
      <c r="AK251" s="15" t="n">
        <v>0</v>
      </c>
      <c r="AL251" s="15" t="n">
        <v>0</v>
      </c>
      <c r="AM251" s="15" t="n">
        <v>0</v>
      </c>
      <c r="AN251" s="15" t="s">
        <v>1264</v>
      </c>
      <c r="AO251" s="15" t="s">
        <v>960</v>
      </c>
      <c r="AP251" s="15" t="s">
        <v>163</v>
      </c>
      <c r="AQ251" s="15"/>
      <c r="AR251" s="29" t="str">
        <f aca="false">IF(A251="","",IF(COUNTIF(Parcels!$A$2:$A$3000,B251)=0,"Parcel not found",IF(COUNTIF($A$2:$A$3000,A251)&gt;1,"Duplicate perm_id",IF(AND(P251="Yes",D251&lt;&gt;"",COUNTIFS($C$2:$C$3000,D251,$P$2:$P$3000,"Yes")&gt;1),"Reference counted twice",IF(COUNTIF(Lists!$A$2:$A$7,I251)=0,"Unknown status","")))))</f>
        <v/>
      </c>
    </row>
    <row r="252" customFormat="false" ht="15" hidden="false" customHeight="false" outlineLevel="0" collapsed="false">
      <c r="A252" s="15" t="s">
        <v>2128</v>
      </c>
      <c r="B252" s="15" t="s">
        <v>519</v>
      </c>
      <c r="C252" s="15" t="s">
        <v>56</v>
      </c>
      <c r="D252" s="15"/>
      <c r="E252" s="15"/>
      <c r="F252" s="15" t="s">
        <v>2129</v>
      </c>
      <c r="G252" s="15" t="n">
        <v>23</v>
      </c>
      <c r="H252" s="15"/>
      <c r="I252" s="15" t="s">
        <v>946</v>
      </c>
      <c r="J252" s="15" t="s">
        <v>947</v>
      </c>
      <c r="K252" s="15" t="s">
        <v>946</v>
      </c>
      <c r="L252" s="15" t="n">
        <v>0</v>
      </c>
      <c r="M252" s="15" t="n">
        <v>0</v>
      </c>
      <c r="N252" s="15"/>
      <c r="O252" s="15" t="s">
        <v>948</v>
      </c>
      <c r="P252" s="15" t="s">
        <v>949</v>
      </c>
      <c r="Q252" s="15" t="s">
        <v>1070</v>
      </c>
      <c r="R252" s="15"/>
      <c r="S252" s="15"/>
      <c r="T252" s="15"/>
      <c r="U252" s="15"/>
      <c r="V252" s="15"/>
      <c r="W252" s="15"/>
      <c r="X252" s="15" t="s">
        <v>973</v>
      </c>
      <c r="Y252" s="15" t="s">
        <v>974</v>
      </c>
      <c r="Z252" s="15" t="s">
        <v>975</v>
      </c>
      <c r="AA252" s="15" t="s">
        <v>966</v>
      </c>
      <c r="AB252" s="15"/>
      <c r="AC252" s="15"/>
      <c r="AD252" s="15"/>
      <c r="AE252" s="15" t="s">
        <v>998</v>
      </c>
      <c r="AF252" s="15" t="s">
        <v>1034</v>
      </c>
      <c r="AG252" s="15" t="s">
        <v>1000</v>
      </c>
      <c r="AH252" s="15" t="n">
        <v>0</v>
      </c>
      <c r="AI252" s="15" t="n">
        <v>0</v>
      </c>
      <c r="AJ252" s="15" t="n">
        <v>9.6</v>
      </c>
      <c r="AK252" s="15" t="n">
        <v>13.1</v>
      </c>
      <c r="AL252" s="15" t="n">
        <v>0.3</v>
      </c>
      <c r="AM252" s="15" t="n">
        <v>0</v>
      </c>
      <c r="AN252" s="15" t="s">
        <v>1264</v>
      </c>
      <c r="AO252" s="15" t="s">
        <v>960</v>
      </c>
      <c r="AP252" s="15" t="s">
        <v>163</v>
      </c>
      <c r="AQ252" s="15"/>
      <c r="AR252" s="29" t="str">
        <f aca="false">IF(A252="","",IF(COUNTIF(Parcels!$A$2:$A$3000,B252)=0,"Parcel not found",IF(COUNTIF($A$2:$A$3000,A252)&gt;1,"Duplicate perm_id",IF(AND(P252="Yes",D252&lt;&gt;"",COUNTIFS($C$2:$C$3000,D252,$P$2:$P$3000,"Yes")&gt;1),"Reference counted twice",IF(COUNTIF(Lists!$A$2:$A$7,I252)=0,"Unknown status","")))))</f>
        <v/>
      </c>
    </row>
    <row r="253" customFormat="false" ht="15" hidden="false" customHeight="false" outlineLevel="0" collapsed="false">
      <c r="A253" s="15" t="s">
        <v>2130</v>
      </c>
      <c r="B253" s="15" t="s">
        <v>551</v>
      </c>
      <c r="C253" s="15" t="s">
        <v>58</v>
      </c>
      <c r="D253" s="15" t="s">
        <v>2131</v>
      </c>
      <c r="E253" s="15" t="s">
        <v>2131</v>
      </c>
      <c r="F253" s="15" t="s">
        <v>552</v>
      </c>
      <c r="G253" s="15" t="n">
        <v>5</v>
      </c>
      <c r="H253" s="15"/>
      <c r="I253" s="15" t="s">
        <v>946</v>
      </c>
      <c r="J253" s="15" t="s">
        <v>947</v>
      </c>
      <c r="K253" s="15" t="s">
        <v>946</v>
      </c>
      <c r="L253" s="15" t="n">
        <v>0</v>
      </c>
      <c r="M253" s="15" t="n">
        <v>0</v>
      </c>
      <c r="N253" s="15"/>
      <c r="O253" s="15" t="s">
        <v>948</v>
      </c>
      <c r="P253" s="15" t="s">
        <v>949</v>
      </c>
      <c r="Q253" s="15" t="s">
        <v>1070</v>
      </c>
      <c r="R253" s="15"/>
      <c r="S253" s="15"/>
      <c r="T253" s="15"/>
      <c r="U253" s="15"/>
      <c r="V253" s="15"/>
      <c r="W253" s="15"/>
      <c r="X253" s="15" t="s">
        <v>951</v>
      </c>
      <c r="Y253" s="15" t="s">
        <v>974</v>
      </c>
      <c r="Z253" s="15" t="s">
        <v>975</v>
      </c>
      <c r="AA253" s="15" t="s">
        <v>976</v>
      </c>
      <c r="AB253" s="15" t="s">
        <v>2132</v>
      </c>
      <c r="AC253" s="15"/>
      <c r="AD253" s="15"/>
      <c r="AE253" s="15" t="s">
        <v>998</v>
      </c>
      <c r="AF253" s="15" t="s">
        <v>999</v>
      </c>
      <c r="AG253" s="15" t="s">
        <v>1000</v>
      </c>
      <c r="AH253" s="15" t="n">
        <v>0</v>
      </c>
      <c r="AI253" s="15" t="n">
        <v>0</v>
      </c>
      <c r="AJ253" s="15" t="n">
        <v>4.4</v>
      </c>
      <c r="AK253" s="15" t="n">
        <v>0.6</v>
      </c>
      <c r="AL253" s="15" t="n">
        <v>0</v>
      </c>
      <c r="AM253" s="15" t="n">
        <v>0</v>
      </c>
      <c r="AN253" s="15" t="s">
        <v>1264</v>
      </c>
      <c r="AO253" s="15" t="s">
        <v>960</v>
      </c>
      <c r="AP253" s="15" t="s">
        <v>163</v>
      </c>
      <c r="AQ253" s="15"/>
      <c r="AR253" s="29" t="str">
        <f aca="false">IF(A253="","",IF(COUNTIF(Parcels!$A$2:$A$3000,B253)=0,"Parcel not found",IF(COUNTIF($A$2:$A$3000,A253)&gt;1,"Duplicate perm_id",IF(AND(P253="Yes",D253&lt;&gt;"",COUNTIFS($C$2:$C$3000,D253,$P$2:$P$3000,"Yes")&gt;1),"Reference counted twice",IF(COUNTIF(Lists!$A$2:$A$7,I253)=0,"Unknown status","")))))</f>
        <v/>
      </c>
    </row>
    <row r="254" customFormat="false" ht="15" hidden="false" customHeight="false" outlineLevel="0" collapsed="false">
      <c r="A254" s="15" t="s">
        <v>2133</v>
      </c>
      <c r="B254" s="15" t="s">
        <v>380</v>
      </c>
      <c r="C254" s="15" t="s">
        <v>51</v>
      </c>
      <c r="D254" s="15" t="s">
        <v>2134</v>
      </c>
      <c r="E254" s="15" t="s">
        <v>2135</v>
      </c>
      <c r="F254" s="15" t="s">
        <v>381</v>
      </c>
      <c r="G254" s="15" t="n">
        <v>22</v>
      </c>
      <c r="H254" s="15"/>
      <c r="I254" s="15" t="s">
        <v>985</v>
      </c>
      <c r="J254" s="15" t="s">
        <v>947</v>
      </c>
      <c r="K254" s="15" t="s">
        <v>985</v>
      </c>
      <c r="L254" s="15" t="n">
        <v>0</v>
      </c>
      <c r="M254" s="15" t="n">
        <v>0</v>
      </c>
      <c r="N254" s="15"/>
      <c r="O254" s="15" t="s">
        <v>948</v>
      </c>
      <c r="P254" s="15" t="s">
        <v>949</v>
      </c>
      <c r="Q254" s="15" t="s">
        <v>1070</v>
      </c>
      <c r="R254" s="15"/>
      <c r="S254" s="15"/>
      <c r="T254" s="15"/>
      <c r="U254" s="15"/>
      <c r="V254" s="15"/>
      <c r="W254" s="15"/>
      <c r="X254" s="15" t="s">
        <v>951</v>
      </c>
      <c r="Y254" s="15" t="s">
        <v>974</v>
      </c>
      <c r="Z254" s="15" t="s">
        <v>975</v>
      </c>
      <c r="AA254" s="15" t="s">
        <v>976</v>
      </c>
      <c r="AB254" s="15"/>
      <c r="AC254" s="15"/>
      <c r="AD254" s="15"/>
      <c r="AE254" s="15"/>
      <c r="AF254" s="15"/>
      <c r="AG254" s="15" t="s">
        <v>969</v>
      </c>
      <c r="AH254" s="15" t="n">
        <v>0</v>
      </c>
      <c r="AI254" s="15" t="n">
        <v>0</v>
      </c>
      <c r="AJ254" s="15" t="n">
        <v>0</v>
      </c>
      <c r="AK254" s="15" t="n">
        <v>0</v>
      </c>
      <c r="AL254" s="15" t="n">
        <v>0</v>
      </c>
      <c r="AM254" s="15" t="n">
        <v>0</v>
      </c>
      <c r="AN254" s="15" t="s">
        <v>1264</v>
      </c>
      <c r="AO254" s="15" t="s">
        <v>960</v>
      </c>
      <c r="AP254" s="15" t="s">
        <v>163</v>
      </c>
      <c r="AQ254" s="15"/>
      <c r="AR254" s="29" t="str">
        <f aca="false">IF(A254="","",IF(COUNTIF(Parcels!$A$2:$A$3000,B254)=0,"Parcel not found",IF(COUNTIF($A$2:$A$3000,A254)&gt;1,"Duplicate perm_id",IF(AND(P254="Yes",D254&lt;&gt;"",COUNTIFS($C$2:$C$3000,D254,$P$2:$P$3000,"Yes")&gt;1),"Reference counted twice",IF(COUNTIF(Lists!$A$2:$A$7,I254)=0,"Unknown status","")))))</f>
        <v/>
      </c>
    </row>
    <row r="255" customFormat="false" ht="15" hidden="false" customHeight="false" outlineLevel="0" collapsed="false">
      <c r="A255" s="15" t="s">
        <v>2136</v>
      </c>
      <c r="B255" s="15" t="s">
        <v>719</v>
      </c>
      <c r="C255" s="15" t="s">
        <v>62</v>
      </c>
      <c r="D255" s="15" t="s">
        <v>2137</v>
      </c>
      <c r="E255" s="15" t="s">
        <v>2138</v>
      </c>
      <c r="F255" s="15" t="s">
        <v>720</v>
      </c>
      <c r="G255" s="15" t="n">
        <v>4</v>
      </c>
      <c r="H255" s="15"/>
      <c r="I255" s="15" t="s">
        <v>47</v>
      </c>
      <c r="J255" s="15" t="s">
        <v>1267</v>
      </c>
      <c r="K255" s="15" t="s">
        <v>48</v>
      </c>
      <c r="L255" s="15" t="n">
        <v>4</v>
      </c>
      <c r="M255" s="15" t="n">
        <v>0</v>
      </c>
      <c r="N255" s="15" t="s">
        <v>1268</v>
      </c>
      <c r="O255" s="15" t="s">
        <v>948</v>
      </c>
      <c r="P255" s="15" t="s">
        <v>949</v>
      </c>
      <c r="Q255" s="15" t="s">
        <v>1070</v>
      </c>
      <c r="R255" s="15"/>
      <c r="S255" s="15"/>
      <c r="T255" s="15"/>
      <c r="U255" s="15"/>
      <c r="V255" s="15"/>
      <c r="W255" s="15"/>
      <c r="X255" s="15" t="s">
        <v>951</v>
      </c>
      <c r="Y255" s="15" t="s">
        <v>974</v>
      </c>
      <c r="Z255" s="15" t="s">
        <v>975</v>
      </c>
      <c r="AA255" s="15" t="s">
        <v>976</v>
      </c>
      <c r="AB255" s="15" t="s">
        <v>1379</v>
      </c>
      <c r="AC255" s="15"/>
      <c r="AD255" s="15" t="s">
        <v>2139</v>
      </c>
      <c r="AE255" s="15" t="s">
        <v>1348</v>
      </c>
      <c r="AF255" s="15" t="s">
        <v>980</v>
      </c>
      <c r="AG255" s="15" t="s">
        <v>981</v>
      </c>
      <c r="AH255" s="15" t="n">
        <v>0</v>
      </c>
      <c r="AI255" s="15" t="n">
        <v>0</v>
      </c>
      <c r="AJ255" s="15" t="n">
        <v>0</v>
      </c>
      <c r="AK255" s="15" t="n">
        <v>0</v>
      </c>
      <c r="AL255" s="15" t="n">
        <v>0</v>
      </c>
      <c r="AM255" s="15" t="n">
        <v>0</v>
      </c>
      <c r="AN255" s="15" t="s">
        <v>1264</v>
      </c>
      <c r="AO255" s="15" t="s">
        <v>960</v>
      </c>
      <c r="AP255" s="15" t="s">
        <v>163</v>
      </c>
      <c r="AQ255" s="15"/>
      <c r="AR255" s="29" t="str">
        <f aca="false">IF(A255="","",IF(COUNTIF(Parcels!$A$2:$A$3000,B255)=0,"Parcel not found",IF(COUNTIF($A$2:$A$3000,A255)&gt;1,"Duplicate perm_id",IF(AND(P255="Yes",D255&lt;&gt;"",COUNTIFS($C$2:$C$3000,D255,$P$2:$P$3000,"Yes")&gt;1),"Reference counted twice",IF(COUNTIF(Lists!$A$2:$A$7,I255)=0,"Unknown status","")))))</f>
        <v/>
      </c>
    </row>
    <row r="256" customFormat="false" ht="15" hidden="false" customHeight="false" outlineLevel="0" collapsed="false">
      <c r="A256" s="15" t="s">
        <v>2140</v>
      </c>
      <c r="B256" s="15" t="s">
        <v>382</v>
      </c>
      <c r="C256" s="15" t="s">
        <v>51</v>
      </c>
      <c r="D256" s="15" t="s">
        <v>2141</v>
      </c>
      <c r="E256" s="15" t="s">
        <v>2141</v>
      </c>
      <c r="F256" s="15" t="s">
        <v>383</v>
      </c>
      <c r="G256" s="15" t="n">
        <v>38</v>
      </c>
      <c r="H256" s="15"/>
      <c r="I256" s="15" t="s">
        <v>48</v>
      </c>
      <c r="J256" s="15" t="s">
        <v>947</v>
      </c>
      <c r="K256" s="15" t="s">
        <v>48</v>
      </c>
      <c r="L256" s="15" t="n">
        <v>0</v>
      </c>
      <c r="M256" s="15" t="n">
        <v>0</v>
      </c>
      <c r="N256" s="15"/>
      <c r="O256" s="15" t="s">
        <v>948</v>
      </c>
      <c r="P256" s="15" t="s">
        <v>949</v>
      </c>
      <c r="Q256" s="15" t="s">
        <v>1070</v>
      </c>
      <c r="R256" s="15"/>
      <c r="S256" s="15"/>
      <c r="T256" s="15"/>
      <c r="U256" s="15"/>
      <c r="V256" s="15"/>
      <c r="W256" s="15"/>
      <c r="X256" s="15" t="s">
        <v>951</v>
      </c>
      <c r="Y256" s="15" t="s">
        <v>974</v>
      </c>
      <c r="Z256" s="15" t="s">
        <v>975</v>
      </c>
      <c r="AA256" s="15" t="s">
        <v>976</v>
      </c>
      <c r="AB256" s="15" t="s">
        <v>2142</v>
      </c>
      <c r="AC256" s="15"/>
      <c r="AD256" s="15" t="s">
        <v>2143</v>
      </c>
      <c r="AE256" s="15" t="s">
        <v>1493</v>
      </c>
      <c r="AF256" s="15" t="s">
        <v>980</v>
      </c>
      <c r="AG256" s="15" t="s">
        <v>981</v>
      </c>
      <c r="AH256" s="15" t="n">
        <v>8.8</v>
      </c>
      <c r="AI256" s="15" t="n">
        <v>29.2</v>
      </c>
      <c r="AJ256" s="15" t="n">
        <v>0</v>
      </c>
      <c r="AK256" s="15" t="n">
        <v>0</v>
      </c>
      <c r="AL256" s="15" t="n">
        <v>0</v>
      </c>
      <c r="AM256" s="15" t="n">
        <v>0</v>
      </c>
      <c r="AN256" s="15" t="s">
        <v>1264</v>
      </c>
      <c r="AO256" s="15" t="s">
        <v>960</v>
      </c>
      <c r="AP256" s="15" t="s">
        <v>163</v>
      </c>
      <c r="AQ256" s="15"/>
      <c r="AR256" s="29" t="str">
        <f aca="false">IF(A256="","",IF(COUNTIF(Parcels!$A$2:$A$3000,B256)=0,"Parcel not found",IF(COUNTIF($A$2:$A$3000,A256)&gt;1,"Duplicate perm_id",IF(AND(P256="Yes",D256&lt;&gt;"",COUNTIFS($C$2:$C$3000,D256,$P$2:$P$3000,"Yes")&gt;1),"Reference counted twice",IF(COUNTIF(Lists!$A$2:$A$7,I256)=0,"Unknown status","")))))</f>
        <v/>
      </c>
    </row>
    <row r="257" customFormat="false" ht="15" hidden="false" customHeight="false" outlineLevel="0" collapsed="false">
      <c r="A257" s="15" t="s">
        <v>2144</v>
      </c>
      <c r="B257" s="15" t="s">
        <v>721</v>
      </c>
      <c r="C257" s="15" t="s">
        <v>74</v>
      </c>
      <c r="D257" s="15" t="s">
        <v>2145</v>
      </c>
      <c r="E257" s="15" t="s">
        <v>2145</v>
      </c>
      <c r="F257" s="15" t="s">
        <v>722</v>
      </c>
      <c r="G257" s="15" t="n">
        <v>24</v>
      </c>
      <c r="H257" s="15"/>
      <c r="I257" s="15" t="s">
        <v>946</v>
      </c>
      <c r="J257" s="15" t="s">
        <v>947</v>
      </c>
      <c r="K257" s="15" t="s">
        <v>946</v>
      </c>
      <c r="L257" s="15" t="n">
        <v>0</v>
      </c>
      <c r="M257" s="15" t="n">
        <v>0</v>
      </c>
      <c r="N257" s="15"/>
      <c r="O257" s="15" t="s">
        <v>948</v>
      </c>
      <c r="P257" s="15" t="s">
        <v>949</v>
      </c>
      <c r="Q257" s="15" t="s">
        <v>1070</v>
      </c>
      <c r="R257" s="15"/>
      <c r="S257" s="15"/>
      <c r="T257" s="15"/>
      <c r="U257" s="15"/>
      <c r="V257" s="15"/>
      <c r="W257" s="15"/>
      <c r="X257" s="15" t="s">
        <v>973</v>
      </c>
      <c r="Y257" s="15" t="s">
        <v>974</v>
      </c>
      <c r="Z257" s="15" t="s">
        <v>975</v>
      </c>
      <c r="AA257" s="15" t="s">
        <v>976</v>
      </c>
      <c r="AB257" s="15" t="s">
        <v>2146</v>
      </c>
      <c r="AC257" s="15"/>
      <c r="AD257" s="15"/>
      <c r="AE257" s="15" t="s">
        <v>956</v>
      </c>
      <c r="AF257" s="15" t="s">
        <v>1140</v>
      </c>
      <c r="AG257" s="15" t="s">
        <v>958</v>
      </c>
      <c r="AH257" s="15" t="n">
        <v>0</v>
      </c>
      <c r="AI257" s="15" t="n">
        <v>0</v>
      </c>
      <c r="AJ257" s="15" t="n">
        <v>6.2</v>
      </c>
      <c r="AK257" s="15" t="n">
        <v>12.8</v>
      </c>
      <c r="AL257" s="15" t="n">
        <v>5</v>
      </c>
      <c r="AM257" s="15" t="n">
        <v>0</v>
      </c>
      <c r="AN257" s="15" t="s">
        <v>1264</v>
      </c>
      <c r="AO257" s="15" t="s">
        <v>960</v>
      </c>
      <c r="AP257" s="15" t="s">
        <v>163</v>
      </c>
      <c r="AQ257" s="15"/>
      <c r="AR257" s="29" t="str">
        <f aca="false">IF(A257="","",IF(COUNTIF(Parcels!$A$2:$A$3000,B257)=0,"Parcel not found",IF(COUNTIF($A$2:$A$3000,A257)&gt;1,"Duplicate perm_id",IF(AND(P257="Yes",D257&lt;&gt;"",COUNTIFS($C$2:$C$3000,D257,$P$2:$P$3000,"Yes")&gt;1),"Reference counted twice",IF(COUNTIF(Lists!$A$2:$A$7,I257)=0,"Unknown status","")))))</f>
        <v/>
      </c>
    </row>
    <row r="258" customFormat="false" ht="15" hidden="false" customHeight="false" outlineLevel="0" collapsed="false">
      <c r="A258" s="15" t="s">
        <v>2147</v>
      </c>
      <c r="B258" s="15" t="s">
        <v>480</v>
      </c>
      <c r="C258" s="15" t="s">
        <v>53</v>
      </c>
      <c r="D258" s="15" t="s">
        <v>2148</v>
      </c>
      <c r="E258" s="15" t="s">
        <v>2148</v>
      </c>
      <c r="F258" s="15" t="s">
        <v>481</v>
      </c>
      <c r="G258" s="15" t="n">
        <v>8</v>
      </c>
      <c r="H258" s="15"/>
      <c r="I258" s="15" t="s">
        <v>946</v>
      </c>
      <c r="J258" s="15" t="s">
        <v>947</v>
      </c>
      <c r="K258" s="15" t="s">
        <v>946</v>
      </c>
      <c r="L258" s="15" t="n">
        <v>0</v>
      </c>
      <c r="M258" s="15" t="n">
        <v>0</v>
      </c>
      <c r="N258" s="15"/>
      <c r="O258" s="15" t="s">
        <v>948</v>
      </c>
      <c r="P258" s="15" t="s">
        <v>949</v>
      </c>
      <c r="Q258" s="15" t="s">
        <v>1070</v>
      </c>
      <c r="R258" s="15"/>
      <c r="S258" s="15"/>
      <c r="T258" s="15"/>
      <c r="U258" s="15"/>
      <c r="V258" s="15"/>
      <c r="W258" s="15"/>
      <c r="X258" s="15" t="s">
        <v>973</v>
      </c>
      <c r="Y258" s="15" t="s">
        <v>974</v>
      </c>
      <c r="Z258" s="15" t="s">
        <v>975</v>
      </c>
      <c r="AA258" s="15" t="s">
        <v>976</v>
      </c>
      <c r="AB258" s="15" t="s">
        <v>1553</v>
      </c>
      <c r="AC258" s="15"/>
      <c r="AD258" s="15"/>
      <c r="AE258" s="15" t="s">
        <v>956</v>
      </c>
      <c r="AF258" s="15" t="s">
        <v>1066</v>
      </c>
      <c r="AG258" s="15" t="s">
        <v>958</v>
      </c>
      <c r="AH258" s="15" t="n">
        <v>0</v>
      </c>
      <c r="AI258" s="15" t="n">
        <v>0</v>
      </c>
      <c r="AJ258" s="15" t="n">
        <v>4</v>
      </c>
      <c r="AK258" s="15" t="n">
        <v>4</v>
      </c>
      <c r="AL258" s="15" t="n">
        <v>0</v>
      </c>
      <c r="AM258" s="15" t="n">
        <v>0</v>
      </c>
      <c r="AN258" s="15" t="s">
        <v>1264</v>
      </c>
      <c r="AO258" s="15" t="s">
        <v>960</v>
      </c>
      <c r="AP258" s="15" t="s">
        <v>163</v>
      </c>
      <c r="AQ258" s="15"/>
      <c r="AR258" s="29" t="str">
        <f aca="false">IF(A258="","",IF(COUNTIF(Parcels!$A$2:$A$3000,B258)=0,"Parcel not found",IF(COUNTIF($A$2:$A$3000,A258)&gt;1,"Duplicate perm_id",IF(AND(P258="Yes",D258&lt;&gt;"",COUNTIFS($C$2:$C$3000,D258,$P$2:$P$3000,"Yes")&gt;1),"Reference counted twice",IF(COUNTIF(Lists!$A$2:$A$7,I258)=0,"Unknown status","")))))</f>
        <v/>
      </c>
    </row>
    <row r="259" customFormat="false" ht="15" hidden="false" customHeight="false" outlineLevel="0" collapsed="false">
      <c r="A259" s="15" t="s">
        <v>2149</v>
      </c>
      <c r="B259" s="15" t="s">
        <v>723</v>
      </c>
      <c r="C259" s="15" t="s">
        <v>22</v>
      </c>
      <c r="D259" s="15" t="s">
        <v>2150</v>
      </c>
      <c r="E259" s="15" t="s">
        <v>2150</v>
      </c>
      <c r="F259" s="15" t="s">
        <v>724</v>
      </c>
      <c r="G259" s="15" t="n">
        <v>4</v>
      </c>
      <c r="H259" s="15"/>
      <c r="I259" s="15" t="s">
        <v>946</v>
      </c>
      <c r="J259" s="15" t="s">
        <v>947</v>
      </c>
      <c r="K259" s="15" t="s">
        <v>946</v>
      </c>
      <c r="L259" s="15" t="n">
        <v>0</v>
      </c>
      <c r="M259" s="15" t="n">
        <v>0</v>
      </c>
      <c r="N259" s="15"/>
      <c r="O259" s="15" t="s">
        <v>948</v>
      </c>
      <c r="P259" s="15" t="s">
        <v>949</v>
      </c>
      <c r="Q259" s="15" t="s">
        <v>1070</v>
      </c>
      <c r="R259" s="15"/>
      <c r="S259" s="15"/>
      <c r="T259" s="15"/>
      <c r="U259" s="15"/>
      <c r="V259" s="15"/>
      <c r="W259" s="15"/>
      <c r="X259" s="15" t="s">
        <v>951</v>
      </c>
      <c r="Y259" s="15" t="s">
        <v>974</v>
      </c>
      <c r="Z259" s="15" t="s">
        <v>975</v>
      </c>
      <c r="AA259" s="15" t="s">
        <v>976</v>
      </c>
      <c r="AB259" s="15" t="s">
        <v>1638</v>
      </c>
      <c r="AC259" s="15"/>
      <c r="AD259" s="15"/>
      <c r="AE259" s="15" t="s">
        <v>998</v>
      </c>
      <c r="AF259" s="15" t="s">
        <v>999</v>
      </c>
      <c r="AG259" s="15" t="s">
        <v>1000</v>
      </c>
      <c r="AH259" s="15" t="n">
        <v>0</v>
      </c>
      <c r="AI259" s="15" t="n">
        <v>0</v>
      </c>
      <c r="AJ259" s="15" t="n">
        <v>3.5</v>
      </c>
      <c r="AK259" s="15" t="n">
        <v>0.5</v>
      </c>
      <c r="AL259" s="15" t="n">
        <v>0</v>
      </c>
      <c r="AM259" s="15" t="n">
        <v>0</v>
      </c>
      <c r="AN259" s="15" t="s">
        <v>1264</v>
      </c>
      <c r="AO259" s="15" t="s">
        <v>960</v>
      </c>
      <c r="AP259" s="15" t="s">
        <v>163</v>
      </c>
      <c r="AQ259" s="15"/>
      <c r="AR259" s="29" t="str">
        <f aca="false">IF(A259="","",IF(COUNTIF(Parcels!$A$2:$A$3000,B259)=0,"Parcel not found",IF(COUNTIF($A$2:$A$3000,A259)&gt;1,"Duplicate perm_id",IF(AND(P259="Yes",D259&lt;&gt;"",COUNTIFS($C$2:$C$3000,D259,$P$2:$P$3000,"Yes")&gt;1),"Reference counted twice",IF(COUNTIF(Lists!$A$2:$A$7,I259)=0,"Unknown status","")))))</f>
        <v/>
      </c>
    </row>
    <row r="260" customFormat="false" ht="15" hidden="false" customHeight="false" outlineLevel="0" collapsed="false">
      <c r="A260" s="15" t="s">
        <v>2151</v>
      </c>
      <c r="B260" s="15" t="s">
        <v>725</v>
      </c>
      <c r="C260" s="15" t="s">
        <v>65</v>
      </c>
      <c r="D260" s="15" t="s">
        <v>2152</v>
      </c>
      <c r="E260" s="15" t="s">
        <v>2152</v>
      </c>
      <c r="F260" s="15" t="s">
        <v>726</v>
      </c>
      <c r="G260" s="15" t="n">
        <v>11</v>
      </c>
      <c r="H260" s="15"/>
      <c r="I260" s="15" t="s">
        <v>48</v>
      </c>
      <c r="J260" s="15" t="s">
        <v>947</v>
      </c>
      <c r="K260" s="15" t="s">
        <v>48</v>
      </c>
      <c r="L260" s="15" t="n">
        <v>0</v>
      </c>
      <c r="M260" s="15" t="n">
        <v>0</v>
      </c>
      <c r="N260" s="15"/>
      <c r="O260" s="15" t="s">
        <v>948</v>
      </c>
      <c r="P260" s="15" t="s">
        <v>949</v>
      </c>
      <c r="Q260" s="15" t="s">
        <v>1070</v>
      </c>
      <c r="R260" s="15"/>
      <c r="S260" s="15"/>
      <c r="T260" s="15"/>
      <c r="U260" s="15"/>
      <c r="V260" s="15"/>
      <c r="W260" s="15"/>
      <c r="X260" s="15" t="s">
        <v>951</v>
      </c>
      <c r="Y260" s="15" t="s">
        <v>974</v>
      </c>
      <c r="Z260" s="15" t="s">
        <v>975</v>
      </c>
      <c r="AA260" s="15" t="s">
        <v>976</v>
      </c>
      <c r="AB260" s="15"/>
      <c r="AC260" s="15"/>
      <c r="AD260" s="15" t="s">
        <v>2153</v>
      </c>
      <c r="AE260" s="15" t="s">
        <v>1127</v>
      </c>
      <c r="AF260" s="15" t="s">
        <v>980</v>
      </c>
      <c r="AG260" s="15" t="s">
        <v>981</v>
      </c>
      <c r="AH260" s="15" t="n">
        <v>2.6</v>
      </c>
      <c r="AI260" s="15" t="n">
        <v>8.4</v>
      </c>
      <c r="AJ260" s="15" t="n">
        <v>0</v>
      </c>
      <c r="AK260" s="15" t="n">
        <v>0</v>
      </c>
      <c r="AL260" s="15" t="n">
        <v>0</v>
      </c>
      <c r="AM260" s="15" t="n">
        <v>0</v>
      </c>
      <c r="AN260" s="15" t="s">
        <v>1264</v>
      </c>
      <c r="AO260" s="15" t="s">
        <v>960</v>
      </c>
      <c r="AP260" s="15" t="s">
        <v>163</v>
      </c>
      <c r="AQ260" s="15"/>
      <c r="AR260" s="29" t="str">
        <f aca="false">IF(A260="","",IF(COUNTIF(Parcels!$A$2:$A$3000,B260)=0,"Parcel not found",IF(COUNTIF($A$2:$A$3000,A260)&gt;1,"Duplicate perm_id",IF(AND(P260="Yes",D260&lt;&gt;"",COUNTIFS($C$2:$C$3000,D260,$P$2:$P$3000,"Yes")&gt;1),"Reference counted twice",IF(COUNTIF(Lists!$A$2:$A$7,I260)=0,"Unknown status","")))))</f>
        <v/>
      </c>
    </row>
    <row r="261" customFormat="false" ht="15" hidden="false" customHeight="false" outlineLevel="0" collapsed="false">
      <c r="A261" s="15" t="s">
        <v>2154</v>
      </c>
      <c r="B261" s="15" t="s">
        <v>553</v>
      </c>
      <c r="C261" s="15" t="s">
        <v>58</v>
      </c>
      <c r="D261" s="15" t="s">
        <v>2155</v>
      </c>
      <c r="E261" s="15" t="s">
        <v>2155</v>
      </c>
      <c r="F261" s="15" t="s">
        <v>554</v>
      </c>
      <c r="G261" s="15" t="n">
        <v>14</v>
      </c>
      <c r="H261" s="15"/>
      <c r="I261" s="15" t="s">
        <v>47</v>
      </c>
      <c r="J261" s="15" t="s">
        <v>947</v>
      </c>
      <c r="K261" s="15" t="s">
        <v>47</v>
      </c>
      <c r="L261" s="15" t="n">
        <v>0</v>
      </c>
      <c r="M261" s="15" t="n">
        <v>6</v>
      </c>
      <c r="N261" s="15" t="s">
        <v>1074</v>
      </c>
      <c r="O261" s="15" t="s">
        <v>948</v>
      </c>
      <c r="P261" s="15" t="s">
        <v>949</v>
      </c>
      <c r="Q261" s="15" t="s">
        <v>1070</v>
      </c>
      <c r="R261" s="15"/>
      <c r="S261" s="15"/>
      <c r="T261" s="15"/>
      <c r="U261" s="15"/>
      <c r="V261" s="15"/>
      <c r="W261" s="15"/>
      <c r="X261" s="15" t="s">
        <v>951</v>
      </c>
      <c r="Y261" s="15" t="s">
        <v>974</v>
      </c>
      <c r="Z261" s="15" t="s">
        <v>975</v>
      </c>
      <c r="AA261" s="15" t="s">
        <v>976</v>
      </c>
      <c r="AB261" s="15" t="s">
        <v>1696</v>
      </c>
      <c r="AC261" s="15"/>
      <c r="AD261" s="15" t="s">
        <v>1083</v>
      </c>
      <c r="AE261" s="15"/>
      <c r="AF261" s="15"/>
      <c r="AG261" s="15" t="s">
        <v>992</v>
      </c>
      <c r="AH261" s="15" t="n">
        <v>0</v>
      </c>
      <c r="AI261" s="15" t="n">
        <v>0</v>
      </c>
      <c r="AJ261" s="15" t="n">
        <v>0</v>
      </c>
      <c r="AK261" s="15" t="n">
        <v>0</v>
      </c>
      <c r="AL261" s="15" t="n">
        <v>0</v>
      </c>
      <c r="AM261" s="15" t="n">
        <v>0</v>
      </c>
      <c r="AN261" s="15" t="s">
        <v>1264</v>
      </c>
      <c r="AO261" s="15" t="s">
        <v>960</v>
      </c>
      <c r="AP261" s="15" t="s">
        <v>163</v>
      </c>
      <c r="AQ261" s="15"/>
      <c r="AR261" s="29" t="str">
        <f aca="false">IF(A261="","",IF(COUNTIF(Parcels!$A$2:$A$3000,B261)=0,"Parcel not found",IF(COUNTIF($A$2:$A$3000,A261)&gt;1,"Duplicate perm_id",IF(AND(P261="Yes",D261&lt;&gt;"",COUNTIFS($C$2:$C$3000,D261,$P$2:$P$3000,"Yes")&gt;1),"Reference counted twice",IF(COUNTIF(Lists!$A$2:$A$7,I261)=0,"Unknown status","")))))</f>
        <v/>
      </c>
    </row>
    <row r="262" customFormat="false" ht="15" hidden="false" customHeight="false" outlineLevel="0" collapsed="false">
      <c r="A262" s="15" t="s">
        <v>2156</v>
      </c>
      <c r="B262" s="15" t="s">
        <v>517</v>
      </c>
      <c r="C262" s="15" t="s">
        <v>55</v>
      </c>
      <c r="D262" s="15" t="s">
        <v>2157</v>
      </c>
      <c r="E262" s="15" t="s">
        <v>2157</v>
      </c>
      <c r="F262" s="15" t="s">
        <v>518</v>
      </c>
      <c r="G262" s="15" t="n">
        <v>20</v>
      </c>
      <c r="H262" s="15"/>
      <c r="I262" s="15" t="s">
        <v>946</v>
      </c>
      <c r="J262" s="15" t="s">
        <v>947</v>
      </c>
      <c r="K262" s="15" t="s">
        <v>946</v>
      </c>
      <c r="L262" s="15" t="n">
        <v>0</v>
      </c>
      <c r="M262" s="15" t="n">
        <v>0</v>
      </c>
      <c r="N262" s="15"/>
      <c r="O262" s="15" t="s">
        <v>948</v>
      </c>
      <c r="P262" s="15" t="s">
        <v>949</v>
      </c>
      <c r="Q262" s="15" t="s">
        <v>950</v>
      </c>
      <c r="R262" s="15" t="n">
        <v>0</v>
      </c>
      <c r="S262" s="15" t="n">
        <v>1</v>
      </c>
      <c r="T262" s="15" t="n">
        <v>17</v>
      </c>
      <c r="U262" s="15" t="n">
        <v>0</v>
      </c>
      <c r="V262" s="15" t="n">
        <v>0</v>
      </c>
      <c r="W262" s="15" t="n">
        <v>2</v>
      </c>
      <c r="X262" s="15" t="s">
        <v>1670</v>
      </c>
      <c r="Y262" s="15" t="s">
        <v>974</v>
      </c>
      <c r="Z262" s="15" t="s">
        <v>975</v>
      </c>
      <c r="AA262" s="15" t="s">
        <v>976</v>
      </c>
      <c r="AB262" s="15" t="s">
        <v>2158</v>
      </c>
      <c r="AC262" s="15"/>
      <c r="AD262" s="15"/>
      <c r="AE262" s="15" t="s">
        <v>956</v>
      </c>
      <c r="AF262" s="15" t="s">
        <v>1169</v>
      </c>
      <c r="AG262" s="15" t="s">
        <v>958</v>
      </c>
      <c r="AH262" s="15" t="n">
        <v>0</v>
      </c>
      <c r="AI262" s="15" t="n">
        <v>0</v>
      </c>
      <c r="AJ262" s="15" t="n">
        <v>6.9</v>
      </c>
      <c r="AK262" s="15" t="n">
        <v>13.1</v>
      </c>
      <c r="AL262" s="15" t="n">
        <v>0</v>
      </c>
      <c r="AM262" s="15" t="n">
        <v>0</v>
      </c>
      <c r="AN262" s="15" t="s">
        <v>1264</v>
      </c>
      <c r="AO262" s="15" t="s">
        <v>960</v>
      </c>
      <c r="AP262" s="15" t="s">
        <v>163</v>
      </c>
      <c r="AQ262" s="15"/>
      <c r="AR262" s="29" t="str">
        <f aca="false">IF(A262="","",IF(COUNTIF(Parcels!$A$2:$A$3000,B262)=0,"Parcel not found",IF(COUNTIF($A$2:$A$3000,A262)&gt;1,"Duplicate perm_id",IF(AND(P262="Yes",D262&lt;&gt;"",COUNTIFS($C$2:$C$3000,D262,$P$2:$P$3000,"Yes")&gt;1),"Reference counted twice",IF(COUNTIF(Lists!$A$2:$A$7,I262)=0,"Unknown status","")))))</f>
        <v/>
      </c>
    </row>
    <row r="263" customFormat="false" ht="15" hidden="false" customHeight="false" outlineLevel="0" collapsed="false">
      <c r="A263" s="15" t="s">
        <v>2159</v>
      </c>
      <c r="B263" s="15" t="s">
        <v>555</v>
      </c>
      <c r="C263" s="15" t="s">
        <v>58</v>
      </c>
      <c r="D263" s="15" t="s">
        <v>2160</v>
      </c>
      <c r="E263" s="15" t="s">
        <v>2160</v>
      </c>
      <c r="F263" s="15" t="s">
        <v>556</v>
      </c>
      <c r="G263" s="15" t="n">
        <v>4</v>
      </c>
      <c r="H263" s="15"/>
      <c r="I263" s="15" t="s">
        <v>985</v>
      </c>
      <c r="J263" s="15" t="s">
        <v>947</v>
      </c>
      <c r="K263" s="15" t="s">
        <v>985</v>
      </c>
      <c r="L263" s="15" t="n">
        <v>0</v>
      </c>
      <c r="M263" s="15" t="n">
        <v>0</v>
      </c>
      <c r="N263" s="15"/>
      <c r="O263" s="15" t="s">
        <v>948</v>
      </c>
      <c r="P263" s="15" t="s">
        <v>949</v>
      </c>
      <c r="Q263" s="15" t="s">
        <v>1070</v>
      </c>
      <c r="R263" s="15"/>
      <c r="S263" s="15"/>
      <c r="T263" s="15"/>
      <c r="U263" s="15"/>
      <c r="V263" s="15"/>
      <c r="W263" s="15"/>
      <c r="X263" s="15" t="s">
        <v>951</v>
      </c>
      <c r="Y263" s="15" t="s">
        <v>974</v>
      </c>
      <c r="Z263" s="15" t="s">
        <v>975</v>
      </c>
      <c r="AA263" s="15" t="s">
        <v>976</v>
      </c>
      <c r="AB263" s="15"/>
      <c r="AC263" s="15"/>
      <c r="AD263" s="15"/>
      <c r="AE263" s="15"/>
      <c r="AF263" s="15"/>
      <c r="AG263" s="15" t="s">
        <v>969</v>
      </c>
      <c r="AH263" s="15" t="n">
        <v>0</v>
      </c>
      <c r="AI263" s="15" t="n">
        <v>0</v>
      </c>
      <c r="AJ263" s="15" t="n">
        <v>0</v>
      </c>
      <c r="AK263" s="15" t="n">
        <v>0</v>
      </c>
      <c r="AL263" s="15" t="n">
        <v>0</v>
      </c>
      <c r="AM263" s="15" t="n">
        <v>0</v>
      </c>
      <c r="AN263" s="15" t="s">
        <v>1264</v>
      </c>
      <c r="AO263" s="15" t="s">
        <v>960</v>
      </c>
      <c r="AP263" s="15" t="s">
        <v>163</v>
      </c>
      <c r="AQ263" s="15"/>
      <c r="AR263" s="29" t="str">
        <f aca="false">IF(A263="","",IF(COUNTIF(Parcels!$A$2:$A$3000,B263)=0,"Parcel not found",IF(COUNTIF($A$2:$A$3000,A263)&gt;1,"Duplicate perm_id",IF(AND(P263="Yes",D263&lt;&gt;"",COUNTIFS($C$2:$C$3000,D263,$P$2:$P$3000,"Yes")&gt;1),"Reference counted twice",IF(COUNTIF(Lists!$A$2:$A$7,I263)=0,"Unknown status","")))))</f>
        <v/>
      </c>
    </row>
    <row r="264" customFormat="false" ht="15" hidden="false" customHeight="false" outlineLevel="0" collapsed="false">
      <c r="A264" s="15" t="s">
        <v>2161</v>
      </c>
      <c r="B264" s="15" t="s">
        <v>727</v>
      </c>
      <c r="C264" s="15" t="s">
        <v>22</v>
      </c>
      <c r="D264" s="15" t="s">
        <v>2162</v>
      </c>
      <c r="E264" s="15" t="s">
        <v>2162</v>
      </c>
      <c r="F264" s="15" t="s">
        <v>728</v>
      </c>
      <c r="G264" s="15" t="n">
        <v>4</v>
      </c>
      <c r="H264" s="15"/>
      <c r="I264" s="15" t="s">
        <v>985</v>
      </c>
      <c r="J264" s="15" t="s">
        <v>947</v>
      </c>
      <c r="K264" s="15" t="s">
        <v>985</v>
      </c>
      <c r="L264" s="15" t="n">
        <v>0</v>
      </c>
      <c r="M264" s="15" t="n">
        <v>0</v>
      </c>
      <c r="N264" s="15"/>
      <c r="O264" s="15" t="s">
        <v>948</v>
      </c>
      <c r="P264" s="15" t="s">
        <v>949</v>
      </c>
      <c r="Q264" s="15" t="s">
        <v>1070</v>
      </c>
      <c r="R264" s="15"/>
      <c r="S264" s="15"/>
      <c r="T264" s="15"/>
      <c r="U264" s="15"/>
      <c r="V264" s="15"/>
      <c r="W264" s="15"/>
      <c r="X264" s="15" t="s">
        <v>951</v>
      </c>
      <c r="Y264" s="15" t="s">
        <v>974</v>
      </c>
      <c r="Z264" s="15" t="s">
        <v>975</v>
      </c>
      <c r="AA264" s="15" t="s">
        <v>976</v>
      </c>
      <c r="AB264" s="15"/>
      <c r="AC264" s="15"/>
      <c r="AD264" s="15"/>
      <c r="AE264" s="15"/>
      <c r="AF264" s="15"/>
      <c r="AG264" s="15" t="s">
        <v>969</v>
      </c>
      <c r="AH264" s="15" t="n">
        <v>0</v>
      </c>
      <c r="AI264" s="15" t="n">
        <v>0</v>
      </c>
      <c r="AJ264" s="15" t="n">
        <v>0</v>
      </c>
      <c r="AK264" s="15" t="n">
        <v>0</v>
      </c>
      <c r="AL264" s="15" t="n">
        <v>0</v>
      </c>
      <c r="AM264" s="15" t="n">
        <v>0</v>
      </c>
      <c r="AN264" s="15" t="s">
        <v>1264</v>
      </c>
      <c r="AO264" s="15" t="s">
        <v>960</v>
      </c>
      <c r="AP264" s="15" t="s">
        <v>163</v>
      </c>
      <c r="AQ264" s="15"/>
      <c r="AR264" s="29" t="str">
        <f aca="false">IF(A264="","",IF(COUNTIF(Parcels!$A$2:$A$3000,B264)=0,"Parcel not found",IF(COUNTIF($A$2:$A$3000,A264)&gt;1,"Duplicate perm_id",IF(AND(P264="Yes",D264&lt;&gt;"",COUNTIFS($C$2:$C$3000,D264,$P$2:$P$3000,"Yes")&gt;1),"Reference counted twice",IF(COUNTIF(Lists!$A$2:$A$7,I264)=0,"Unknown status","")))))</f>
        <v/>
      </c>
    </row>
    <row r="265" customFormat="false" ht="15" hidden="false" customHeight="false" outlineLevel="0" collapsed="false">
      <c r="A265" s="15" t="s">
        <v>2163</v>
      </c>
      <c r="B265" s="15" t="s">
        <v>729</v>
      </c>
      <c r="C265" s="15" t="s">
        <v>68</v>
      </c>
      <c r="D265" s="15" t="s">
        <v>2164</v>
      </c>
      <c r="E265" s="15" t="s">
        <v>2164</v>
      </c>
      <c r="F265" s="15" t="s">
        <v>730</v>
      </c>
      <c r="G265" s="15" t="n">
        <v>18</v>
      </c>
      <c r="H265" s="15"/>
      <c r="I265" s="15" t="s">
        <v>48</v>
      </c>
      <c r="J265" s="15" t="s">
        <v>947</v>
      </c>
      <c r="K265" s="15" t="s">
        <v>48</v>
      </c>
      <c r="L265" s="15" t="n">
        <v>0</v>
      </c>
      <c r="M265" s="15" t="n">
        <v>0</v>
      </c>
      <c r="N265" s="15"/>
      <c r="O265" s="15" t="s">
        <v>948</v>
      </c>
      <c r="P265" s="15" t="s">
        <v>949</v>
      </c>
      <c r="Q265" s="15" t="s">
        <v>1070</v>
      </c>
      <c r="R265" s="15"/>
      <c r="S265" s="15"/>
      <c r="T265" s="15"/>
      <c r="U265" s="15"/>
      <c r="V265" s="15"/>
      <c r="W265" s="15"/>
      <c r="X265" s="15" t="s">
        <v>951</v>
      </c>
      <c r="Y265" s="15" t="s">
        <v>974</v>
      </c>
      <c r="Z265" s="15" t="s">
        <v>975</v>
      </c>
      <c r="AA265" s="15" t="s">
        <v>976</v>
      </c>
      <c r="AB265" s="15" t="s">
        <v>2165</v>
      </c>
      <c r="AC265" s="15"/>
      <c r="AD265" s="15" t="s">
        <v>2166</v>
      </c>
      <c r="AE265" s="15" t="s">
        <v>1008</v>
      </c>
      <c r="AF265" s="15" t="s">
        <v>1009</v>
      </c>
      <c r="AG265" s="15" t="s">
        <v>981</v>
      </c>
      <c r="AH265" s="15" t="n">
        <v>0</v>
      </c>
      <c r="AI265" s="15" t="n">
        <v>10.2</v>
      </c>
      <c r="AJ265" s="15" t="n">
        <v>7.8</v>
      </c>
      <c r="AK265" s="15" t="n">
        <v>0</v>
      </c>
      <c r="AL265" s="15" t="n">
        <v>0</v>
      </c>
      <c r="AM265" s="15" t="n">
        <v>0</v>
      </c>
      <c r="AN265" s="15" t="s">
        <v>1264</v>
      </c>
      <c r="AO265" s="15" t="s">
        <v>960</v>
      </c>
      <c r="AP265" s="15" t="s">
        <v>163</v>
      </c>
      <c r="AQ265" s="15"/>
      <c r="AR265" s="29" t="str">
        <f aca="false">IF(A265="","",IF(COUNTIF(Parcels!$A$2:$A$3000,B265)=0,"Parcel not found",IF(COUNTIF($A$2:$A$3000,A265)&gt;1,"Duplicate perm_id",IF(AND(P265="Yes",D265&lt;&gt;"",COUNTIFS($C$2:$C$3000,D265,$P$2:$P$3000,"Yes")&gt;1),"Reference counted twice",IF(COUNTIF(Lists!$A$2:$A$7,I265)=0,"Unknown status","")))))</f>
        <v/>
      </c>
    </row>
    <row r="266" customFormat="false" ht="15" hidden="false" customHeight="false" outlineLevel="0" collapsed="false">
      <c r="A266" s="15" t="s">
        <v>2167</v>
      </c>
      <c r="B266" s="15" t="s">
        <v>482</v>
      </c>
      <c r="C266" s="15" t="s">
        <v>53</v>
      </c>
      <c r="D266" s="15" t="s">
        <v>2168</v>
      </c>
      <c r="E266" s="15" t="s">
        <v>2168</v>
      </c>
      <c r="F266" s="15" t="s">
        <v>483</v>
      </c>
      <c r="G266" s="15" t="n">
        <v>13</v>
      </c>
      <c r="H266" s="15"/>
      <c r="I266" s="15" t="s">
        <v>985</v>
      </c>
      <c r="J266" s="15" t="s">
        <v>947</v>
      </c>
      <c r="K266" s="15" t="s">
        <v>985</v>
      </c>
      <c r="L266" s="15" t="n">
        <v>0</v>
      </c>
      <c r="M266" s="15" t="n">
        <v>0</v>
      </c>
      <c r="N266" s="15"/>
      <c r="O266" s="15" t="s">
        <v>948</v>
      </c>
      <c r="P266" s="15" t="s">
        <v>949</v>
      </c>
      <c r="Q266" s="15" t="s">
        <v>1070</v>
      </c>
      <c r="R266" s="15"/>
      <c r="S266" s="15"/>
      <c r="T266" s="15"/>
      <c r="U266" s="15"/>
      <c r="V266" s="15"/>
      <c r="W266" s="15"/>
      <c r="X266" s="15" t="s">
        <v>973</v>
      </c>
      <c r="Y266" s="15" t="s">
        <v>974</v>
      </c>
      <c r="Z266" s="15" t="s">
        <v>975</v>
      </c>
      <c r="AA266" s="15" t="s">
        <v>976</v>
      </c>
      <c r="AB266" s="15"/>
      <c r="AC266" s="15"/>
      <c r="AD266" s="15"/>
      <c r="AE266" s="15"/>
      <c r="AF266" s="15"/>
      <c r="AG266" s="15" t="s">
        <v>969</v>
      </c>
      <c r="AH266" s="15" t="n">
        <v>0</v>
      </c>
      <c r="AI266" s="15" t="n">
        <v>0</v>
      </c>
      <c r="AJ266" s="15" t="n">
        <v>0</v>
      </c>
      <c r="AK266" s="15" t="n">
        <v>0</v>
      </c>
      <c r="AL266" s="15" t="n">
        <v>0</v>
      </c>
      <c r="AM266" s="15" t="n">
        <v>0</v>
      </c>
      <c r="AN266" s="15" t="s">
        <v>1264</v>
      </c>
      <c r="AO266" s="15" t="s">
        <v>960</v>
      </c>
      <c r="AP266" s="15" t="s">
        <v>163</v>
      </c>
      <c r="AQ266" s="15"/>
      <c r="AR266" s="29" t="str">
        <f aca="false">IF(A266="","",IF(COUNTIF(Parcels!$A$2:$A$3000,B266)=0,"Parcel not found",IF(COUNTIF($A$2:$A$3000,A266)&gt;1,"Duplicate perm_id",IF(AND(P266="Yes",D266&lt;&gt;"",COUNTIFS($C$2:$C$3000,D266,$P$2:$P$3000,"Yes")&gt;1),"Reference counted twice",IF(COUNTIF(Lists!$A$2:$A$7,I266)=0,"Unknown status","")))))</f>
        <v/>
      </c>
    </row>
    <row r="267" customFormat="false" ht="15" hidden="false" customHeight="false" outlineLevel="0" collapsed="false">
      <c r="AR267" s="29" t="str">
        <f aca="false">IF(A267="","",IF(COUNTIF(Parcels!$A$2:$A$3000,B267)=0,"Parcel not found",IF(COUNTIF($A$2:$A$3000,A267)&gt;1,"Duplicate perm_id",IF(AND(P267="Yes",D267&lt;&gt;"",COUNTIFS($C$2:$C$3000,D267,$P$2:$P$3000,"Yes")&gt;1),"Reference counted twice",IF(COUNTIF(Lists!$A$2:$A$7,I267)=0,"Unknown status","")))))</f>
        <v/>
      </c>
    </row>
    <row r="268" customFormat="false" ht="15" hidden="false" customHeight="false" outlineLevel="0" collapsed="false">
      <c r="AR268" s="29" t="str">
        <f aca="false">IF(A268="","",IF(COUNTIF(Parcels!$A$2:$A$3000,B268)=0,"Parcel not found",IF(COUNTIF($A$2:$A$3000,A268)&gt;1,"Duplicate perm_id",IF(AND(P268="Yes",D268&lt;&gt;"",COUNTIFS($C$2:$C$3000,D268,$P$2:$P$3000,"Yes")&gt;1),"Reference counted twice",IF(COUNTIF(Lists!$A$2:$A$7,I268)=0,"Unknown status","")))))</f>
        <v/>
      </c>
    </row>
    <row r="269" customFormat="false" ht="15" hidden="false" customHeight="false" outlineLevel="0" collapsed="false">
      <c r="AR269" s="29" t="str">
        <f aca="false">IF(A269="","",IF(COUNTIF(Parcels!$A$2:$A$3000,B269)=0,"Parcel not found",IF(COUNTIF($A$2:$A$3000,A269)&gt;1,"Duplicate perm_id",IF(AND(P269="Yes",D269&lt;&gt;"",COUNTIFS($C$2:$C$3000,D269,$P$2:$P$3000,"Yes")&gt;1),"Reference counted twice",IF(COUNTIF(Lists!$A$2:$A$7,I269)=0,"Unknown status","")))))</f>
        <v/>
      </c>
    </row>
    <row r="270" customFormat="false" ht="15" hidden="false" customHeight="false" outlineLevel="0" collapsed="false">
      <c r="AR270" s="29" t="str">
        <f aca="false">IF(A270="","",IF(COUNTIF(Parcels!$A$2:$A$3000,B270)=0,"Parcel not found",IF(COUNTIF($A$2:$A$3000,A270)&gt;1,"Duplicate perm_id",IF(AND(P270="Yes",D270&lt;&gt;"",COUNTIFS($C$2:$C$3000,D270,$P$2:$P$3000,"Yes")&gt;1),"Reference counted twice",IF(COUNTIF(Lists!$A$2:$A$7,I270)=0,"Unknown status","")))))</f>
        <v/>
      </c>
    </row>
    <row r="271" customFormat="false" ht="15" hidden="false" customHeight="false" outlineLevel="0" collapsed="false">
      <c r="AR271" s="29" t="str">
        <f aca="false">IF(A271="","",IF(COUNTIF(Parcels!$A$2:$A$3000,B271)=0,"Parcel not found",IF(COUNTIF($A$2:$A$3000,A271)&gt;1,"Duplicate perm_id",IF(AND(P271="Yes",D271&lt;&gt;"",COUNTIFS($C$2:$C$3000,D271,$P$2:$P$3000,"Yes")&gt;1),"Reference counted twice",IF(COUNTIF(Lists!$A$2:$A$7,I271)=0,"Unknown status","")))))</f>
        <v/>
      </c>
    </row>
    <row r="272" customFormat="false" ht="15" hidden="false" customHeight="false" outlineLevel="0" collapsed="false">
      <c r="AR272" s="29" t="str">
        <f aca="false">IF(A272="","",IF(COUNTIF(Parcels!$A$2:$A$3000,B272)=0,"Parcel not found",IF(COUNTIF($A$2:$A$3000,A272)&gt;1,"Duplicate perm_id",IF(AND(P272="Yes",D272&lt;&gt;"",COUNTIFS($C$2:$C$3000,D272,$P$2:$P$3000,"Yes")&gt;1),"Reference counted twice",IF(COUNTIF(Lists!$A$2:$A$7,I272)=0,"Unknown status","")))))</f>
        <v/>
      </c>
    </row>
    <row r="273" customFormat="false" ht="15" hidden="false" customHeight="false" outlineLevel="0" collapsed="false">
      <c r="AR273" s="29" t="str">
        <f aca="false">IF(A273="","",IF(COUNTIF(Parcels!$A$2:$A$3000,B273)=0,"Parcel not found",IF(COUNTIF($A$2:$A$3000,A273)&gt;1,"Duplicate perm_id",IF(AND(P273="Yes",D273&lt;&gt;"",COUNTIFS($C$2:$C$3000,D273,$P$2:$P$3000,"Yes")&gt;1),"Reference counted twice",IF(COUNTIF(Lists!$A$2:$A$7,I273)=0,"Unknown status","")))))</f>
        <v/>
      </c>
    </row>
    <row r="274" customFormat="false" ht="15" hidden="false" customHeight="false" outlineLevel="0" collapsed="false">
      <c r="AR274" s="29" t="str">
        <f aca="false">IF(A274="","",IF(COUNTIF(Parcels!$A$2:$A$3000,B274)=0,"Parcel not found",IF(COUNTIF($A$2:$A$3000,A274)&gt;1,"Duplicate perm_id",IF(AND(P274="Yes",D274&lt;&gt;"",COUNTIFS($C$2:$C$3000,D274,$P$2:$P$3000,"Yes")&gt;1),"Reference counted twice",IF(COUNTIF(Lists!$A$2:$A$7,I274)=0,"Unknown status","")))))</f>
        <v/>
      </c>
    </row>
    <row r="275" customFormat="false" ht="15" hidden="false" customHeight="false" outlineLevel="0" collapsed="false">
      <c r="AR275" s="29" t="str">
        <f aca="false">IF(A275="","",IF(COUNTIF(Parcels!$A$2:$A$3000,B275)=0,"Parcel not found",IF(COUNTIF($A$2:$A$3000,A275)&gt;1,"Duplicate perm_id",IF(AND(P275="Yes",D275&lt;&gt;"",COUNTIFS($C$2:$C$3000,D275,$P$2:$P$3000,"Yes")&gt;1),"Reference counted twice",IF(COUNTIF(Lists!$A$2:$A$7,I275)=0,"Unknown status","")))))</f>
        <v/>
      </c>
    </row>
    <row r="276" customFormat="false" ht="15" hidden="false" customHeight="false" outlineLevel="0" collapsed="false">
      <c r="AR276" s="29" t="str">
        <f aca="false">IF(A276="","",IF(COUNTIF(Parcels!$A$2:$A$3000,B276)=0,"Parcel not found",IF(COUNTIF($A$2:$A$3000,A276)&gt;1,"Duplicate perm_id",IF(AND(P276="Yes",D276&lt;&gt;"",COUNTIFS($C$2:$C$3000,D276,$P$2:$P$3000,"Yes")&gt;1),"Reference counted twice",IF(COUNTIF(Lists!$A$2:$A$7,I276)=0,"Unknown status","")))))</f>
        <v/>
      </c>
    </row>
    <row r="277" customFormat="false" ht="15" hidden="false" customHeight="false" outlineLevel="0" collapsed="false">
      <c r="AR277" s="29" t="str">
        <f aca="false">IF(A277="","",IF(COUNTIF(Parcels!$A$2:$A$3000,B277)=0,"Parcel not found",IF(COUNTIF($A$2:$A$3000,A277)&gt;1,"Duplicate perm_id",IF(AND(P277="Yes",D277&lt;&gt;"",COUNTIFS($C$2:$C$3000,D277,$P$2:$P$3000,"Yes")&gt;1),"Reference counted twice",IF(COUNTIF(Lists!$A$2:$A$7,I277)=0,"Unknown status","")))))</f>
        <v/>
      </c>
    </row>
    <row r="278" customFormat="false" ht="15" hidden="false" customHeight="false" outlineLevel="0" collapsed="false">
      <c r="AR278" s="29" t="str">
        <f aca="false">IF(A278="","",IF(COUNTIF(Parcels!$A$2:$A$3000,B278)=0,"Parcel not found",IF(COUNTIF($A$2:$A$3000,A278)&gt;1,"Duplicate perm_id",IF(AND(P278="Yes",D278&lt;&gt;"",COUNTIFS($C$2:$C$3000,D278,$P$2:$P$3000,"Yes")&gt;1),"Reference counted twice",IF(COUNTIF(Lists!$A$2:$A$7,I278)=0,"Unknown status","")))))</f>
        <v/>
      </c>
    </row>
    <row r="279" customFormat="false" ht="15" hidden="false" customHeight="false" outlineLevel="0" collapsed="false">
      <c r="AR279" s="29" t="str">
        <f aca="false">IF(A279="","",IF(COUNTIF(Parcels!$A$2:$A$3000,B279)=0,"Parcel not found",IF(COUNTIF($A$2:$A$3000,A279)&gt;1,"Duplicate perm_id",IF(AND(P279="Yes",D279&lt;&gt;"",COUNTIFS($C$2:$C$3000,D279,$P$2:$P$3000,"Yes")&gt;1),"Reference counted twice",IF(COUNTIF(Lists!$A$2:$A$7,I279)=0,"Unknown status","")))))</f>
        <v/>
      </c>
    </row>
    <row r="280" customFormat="false" ht="15" hidden="false" customHeight="false" outlineLevel="0" collapsed="false">
      <c r="AR280" s="29" t="str">
        <f aca="false">IF(A280="","",IF(COUNTIF(Parcels!$A$2:$A$3000,B280)=0,"Parcel not found",IF(COUNTIF($A$2:$A$3000,A280)&gt;1,"Duplicate perm_id",IF(AND(P280="Yes",D280&lt;&gt;"",COUNTIFS($C$2:$C$3000,D280,$P$2:$P$3000,"Yes")&gt;1),"Reference counted twice",IF(COUNTIF(Lists!$A$2:$A$7,I280)=0,"Unknown status","")))))</f>
        <v/>
      </c>
    </row>
    <row r="281" customFormat="false" ht="15" hidden="false" customHeight="false" outlineLevel="0" collapsed="false">
      <c r="AR281" s="29" t="str">
        <f aca="false">IF(A281="","",IF(COUNTIF(Parcels!$A$2:$A$3000,B281)=0,"Parcel not found",IF(COUNTIF($A$2:$A$3000,A281)&gt;1,"Duplicate perm_id",IF(AND(P281="Yes",D281&lt;&gt;"",COUNTIFS($C$2:$C$3000,D281,$P$2:$P$3000,"Yes")&gt;1),"Reference counted twice",IF(COUNTIF(Lists!$A$2:$A$7,I281)=0,"Unknown status","")))))</f>
        <v/>
      </c>
    </row>
    <row r="282" customFormat="false" ht="15" hidden="false" customHeight="false" outlineLevel="0" collapsed="false">
      <c r="AR282" s="29" t="str">
        <f aca="false">IF(A282="","",IF(COUNTIF(Parcels!$A$2:$A$3000,B282)=0,"Parcel not found",IF(COUNTIF($A$2:$A$3000,A282)&gt;1,"Duplicate perm_id",IF(AND(P282="Yes",D282&lt;&gt;"",COUNTIFS($C$2:$C$3000,D282,$P$2:$P$3000,"Yes")&gt;1),"Reference counted twice",IF(COUNTIF(Lists!$A$2:$A$7,I282)=0,"Unknown status","")))))</f>
        <v/>
      </c>
    </row>
    <row r="283" customFormat="false" ht="15" hidden="false" customHeight="false" outlineLevel="0" collapsed="false">
      <c r="AR283" s="29" t="str">
        <f aca="false">IF(A283="","",IF(COUNTIF(Parcels!$A$2:$A$3000,B283)=0,"Parcel not found",IF(COUNTIF($A$2:$A$3000,A283)&gt;1,"Duplicate perm_id",IF(AND(P283="Yes",D283&lt;&gt;"",COUNTIFS($C$2:$C$3000,D283,$P$2:$P$3000,"Yes")&gt;1),"Reference counted twice",IF(COUNTIF(Lists!$A$2:$A$7,I283)=0,"Unknown status","")))))</f>
        <v/>
      </c>
    </row>
    <row r="284" customFormat="false" ht="15" hidden="false" customHeight="false" outlineLevel="0" collapsed="false">
      <c r="AR284" s="29" t="str">
        <f aca="false">IF(A284="","",IF(COUNTIF(Parcels!$A$2:$A$3000,B284)=0,"Parcel not found",IF(COUNTIF($A$2:$A$3000,A284)&gt;1,"Duplicate perm_id",IF(AND(P284="Yes",D284&lt;&gt;"",COUNTIFS($C$2:$C$3000,D284,$P$2:$P$3000,"Yes")&gt;1),"Reference counted twice",IF(COUNTIF(Lists!$A$2:$A$7,I284)=0,"Unknown status","")))))</f>
        <v/>
      </c>
    </row>
    <row r="285" customFormat="false" ht="15" hidden="false" customHeight="false" outlineLevel="0" collapsed="false">
      <c r="AR285" s="29" t="str">
        <f aca="false">IF(A285="","",IF(COUNTIF(Parcels!$A$2:$A$3000,B285)=0,"Parcel not found",IF(COUNTIF($A$2:$A$3000,A285)&gt;1,"Duplicate perm_id",IF(AND(P285="Yes",D285&lt;&gt;"",COUNTIFS($C$2:$C$3000,D285,$P$2:$P$3000,"Yes")&gt;1),"Reference counted twice",IF(COUNTIF(Lists!$A$2:$A$7,I285)=0,"Unknown status","")))))</f>
        <v/>
      </c>
    </row>
    <row r="286" customFormat="false" ht="15" hidden="false" customHeight="false" outlineLevel="0" collapsed="false">
      <c r="AR286" s="29" t="str">
        <f aca="false">IF(A286="","",IF(COUNTIF(Parcels!$A$2:$A$3000,B286)=0,"Parcel not found",IF(COUNTIF($A$2:$A$3000,A286)&gt;1,"Duplicate perm_id",IF(AND(P286="Yes",D286&lt;&gt;"",COUNTIFS($C$2:$C$3000,D286,$P$2:$P$3000,"Yes")&gt;1),"Reference counted twice",IF(COUNTIF(Lists!$A$2:$A$7,I286)=0,"Unknown status","")))))</f>
        <v/>
      </c>
    </row>
    <row r="287" customFormat="false" ht="15" hidden="false" customHeight="false" outlineLevel="0" collapsed="false">
      <c r="AR287" s="29" t="str">
        <f aca="false">IF(A287="","",IF(COUNTIF(Parcels!$A$2:$A$3000,B287)=0,"Parcel not found",IF(COUNTIF($A$2:$A$3000,A287)&gt;1,"Duplicate perm_id",IF(AND(P287="Yes",D287&lt;&gt;"",COUNTIFS($C$2:$C$3000,D287,$P$2:$P$3000,"Yes")&gt;1),"Reference counted twice",IF(COUNTIF(Lists!$A$2:$A$7,I287)=0,"Unknown status","")))))</f>
        <v/>
      </c>
    </row>
    <row r="288" customFormat="false" ht="15" hidden="false" customHeight="false" outlineLevel="0" collapsed="false">
      <c r="AR288" s="29" t="str">
        <f aca="false">IF(A288="","",IF(COUNTIF(Parcels!$A$2:$A$3000,B288)=0,"Parcel not found",IF(COUNTIF($A$2:$A$3000,A288)&gt;1,"Duplicate perm_id",IF(AND(P288="Yes",D288&lt;&gt;"",COUNTIFS($C$2:$C$3000,D288,$P$2:$P$3000,"Yes")&gt;1),"Reference counted twice",IF(COUNTIF(Lists!$A$2:$A$7,I288)=0,"Unknown status","")))))</f>
        <v/>
      </c>
    </row>
    <row r="289" customFormat="false" ht="15" hidden="false" customHeight="false" outlineLevel="0" collapsed="false">
      <c r="AR289" s="29" t="str">
        <f aca="false">IF(A289="","",IF(COUNTIF(Parcels!$A$2:$A$3000,B289)=0,"Parcel not found",IF(COUNTIF($A$2:$A$3000,A289)&gt;1,"Duplicate perm_id",IF(AND(P289="Yes",D289&lt;&gt;"",COUNTIFS($C$2:$C$3000,D289,$P$2:$P$3000,"Yes")&gt;1),"Reference counted twice",IF(COUNTIF(Lists!$A$2:$A$7,I289)=0,"Unknown status","")))))</f>
        <v/>
      </c>
    </row>
    <row r="290" customFormat="false" ht="15" hidden="false" customHeight="false" outlineLevel="0" collapsed="false">
      <c r="AR290" s="29" t="str">
        <f aca="false">IF(A290="","",IF(COUNTIF(Parcels!$A$2:$A$3000,B290)=0,"Parcel not found",IF(COUNTIF($A$2:$A$3000,A290)&gt;1,"Duplicate perm_id",IF(AND(P290="Yes",D290&lt;&gt;"",COUNTIFS($C$2:$C$3000,D290,$P$2:$P$3000,"Yes")&gt;1),"Reference counted twice",IF(COUNTIF(Lists!$A$2:$A$7,I290)=0,"Unknown status","")))))</f>
        <v/>
      </c>
    </row>
    <row r="291" customFormat="false" ht="15" hidden="false" customHeight="false" outlineLevel="0" collapsed="false">
      <c r="AR291" s="29" t="str">
        <f aca="false">IF(A291="","",IF(COUNTIF(Parcels!$A$2:$A$3000,B291)=0,"Parcel not found",IF(COUNTIF($A$2:$A$3000,A291)&gt;1,"Duplicate perm_id",IF(AND(P291="Yes",D291&lt;&gt;"",COUNTIFS($C$2:$C$3000,D291,$P$2:$P$3000,"Yes")&gt;1),"Reference counted twice",IF(COUNTIF(Lists!$A$2:$A$7,I291)=0,"Unknown status","")))))</f>
        <v/>
      </c>
    </row>
    <row r="292" customFormat="false" ht="15" hidden="false" customHeight="false" outlineLevel="0" collapsed="false">
      <c r="AR292" s="29" t="str">
        <f aca="false">IF(A292="","",IF(COUNTIF(Parcels!$A$2:$A$3000,B292)=0,"Parcel not found",IF(COUNTIF($A$2:$A$3000,A292)&gt;1,"Duplicate perm_id",IF(AND(P292="Yes",D292&lt;&gt;"",COUNTIFS($C$2:$C$3000,D292,$P$2:$P$3000,"Yes")&gt;1),"Reference counted twice",IF(COUNTIF(Lists!$A$2:$A$7,I292)=0,"Unknown status","")))))</f>
        <v/>
      </c>
    </row>
    <row r="293" customFormat="false" ht="15" hidden="false" customHeight="false" outlineLevel="0" collapsed="false">
      <c r="AR293" s="29" t="str">
        <f aca="false">IF(A293="","",IF(COUNTIF(Parcels!$A$2:$A$3000,B293)=0,"Parcel not found",IF(COUNTIF($A$2:$A$3000,A293)&gt;1,"Duplicate perm_id",IF(AND(P293="Yes",D293&lt;&gt;"",COUNTIFS($C$2:$C$3000,D293,$P$2:$P$3000,"Yes")&gt;1),"Reference counted twice",IF(COUNTIF(Lists!$A$2:$A$7,I293)=0,"Unknown status","")))))</f>
        <v/>
      </c>
    </row>
    <row r="294" customFormat="false" ht="15" hidden="false" customHeight="false" outlineLevel="0" collapsed="false">
      <c r="AR294" s="29" t="str">
        <f aca="false">IF(A294="","",IF(COUNTIF(Parcels!$A$2:$A$3000,B294)=0,"Parcel not found",IF(COUNTIF($A$2:$A$3000,A294)&gt;1,"Duplicate perm_id",IF(AND(P294="Yes",D294&lt;&gt;"",COUNTIFS($C$2:$C$3000,D294,$P$2:$P$3000,"Yes")&gt;1),"Reference counted twice",IF(COUNTIF(Lists!$A$2:$A$7,I294)=0,"Unknown status","")))))</f>
        <v/>
      </c>
    </row>
    <row r="295" customFormat="false" ht="15" hidden="false" customHeight="false" outlineLevel="0" collapsed="false">
      <c r="AR295" s="29" t="str">
        <f aca="false">IF(A295="","",IF(COUNTIF(Parcels!$A$2:$A$3000,B295)=0,"Parcel not found",IF(COUNTIF($A$2:$A$3000,A295)&gt;1,"Duplicate perm_id",IF(AND(P295="Yes",D295&lt;&gt;"",COUNTIFS($C$2:$C$3000,D295,$P$2:$P$3000,"Yes")&gt;1),"Reference counted twice",IF(COUNTIF(Lists!$A$2:$A$7,I295)=0,"Unknown status","")))))</f>
        <v/>
      </c>
    </row>
    <row r="296" customFormat="false" ht="15" hidden="false" customHeight="false" outlineLevel="0" collapsed="false">
      <c r="AR296" s="29" t="str">
        <f aca="false">IF(A296="","",IF(COUNTIF(Parcels!$A$2:$A$3000,B296)=0,"Parcel not found",IF(COUNTIF($A$2:$A$3000,A296)&gt;1,"Duplicate perm_id",IF(AND(P296="Yes",D296&lt;&gt;"",COUNTIFS($C$2:$C$3000,D296,$P$2:$P$3000,"Yes")&gt;1),"Reference counted twice",IF(COUNTIF(Lists!$A$2:$A$7,I296)=0,"Unknown status","")))))</f>
        <v/>
      </c>
    </row>
    <row r="297" customFormat="false" ht="15" hidden="false" customHeight="false" outlineLevel="0" collapsed="false">
      <c r="AR297" s="29" t="str">
        <f aca="false">IF(A297="","",IF(COUNTIF(Parcels!$A$2:$A$3000,B297)=0,"Parcel not found",IF(COUNTIF($A$2:$A$3000,A297)&gt;1,"Duplicate perm_id",IF(AND(P297="Yes",D297&lt;&gt;"",COUNTIFS($C$2:$C$3000,D297,$P$2:$P$3000,"Yes")&gt;1),"Reference counted twice",IF(COUNTIF(Lists!$A$2:$A$7,I297)=0,"Unknown status","")))))</f>
        <v/>
      </c>
    </row>
    <row r="298" customFormat="false" ht="15" hidden="false" customHeight="false" outlineLevel="0" collapsed="false">
      <c r="AR298" s="29" t="str">
        <f aca="false">IF(A298="","",IF(COUNTIF(Parcels!$A$2:$A$3000,B298)=0,"Parcel not found",IF(COUNTIF($A$2:$A$3000,A298)&gt;1,"Duplicate perm_id",IF(AND(P298="Yes",D298&lt;&gt;"",COUNTIFS($C$2:$C$3000,D298,$P$2:$P$3000,"Yes")&gt;1),"Reference counted twice",IF(COUNTIF(Lists!$A$2:$A$7,I298)=0,"Unknown status","")))))</f>
        <v/>
      </c>
    </row>
    <row r="299" customFormat="false" ht="15" hidden="false" customHeight="false" outlineLevel="0" collapsed="false">
      <c r="AR299" s="29" t="str">
        <f aca="false">IF(A299="","",IF(COUNTIF(Parcels!$A$2:$A$3000,B299)=0,"Parcel not found",IF(COUNTIF($A$2:$A$3000,A299)&gt;1,"Duplicate perm_id",IF(AND(P299="Yes",D299&lt;&gt;"",COUNTIFS($C$2:$C$3000,D299,$P$2:$P$3000,"Yes")&gt;1),"Reference counted twice",IF(COUNTIF(Lists!$A$2:$A$7,I299)=0,"Unknown status","")))))</f>
        <v/>
      </c>
    </row>
    <row r="300" customFormat="false" ht="15" hidden="false" customHeight="false" outlineLevel="0" collapsed="false">
      <c r="AR300" s="29" t="str">
        <f aca="false">IF(A300="","",IF(COUNTIF(Parcels!$A$2:$A$3000,B300)=0,"Parcel not found",IF(COUNTIF($A$2:$A$3000,A300)&gt;1,"Duplicate perm_id",IF(AND(P300="Yes",D300&lt;&gt;"",COUNTIFS($C$2:$C$3000,D300,$P$2:$P$3000,"Yes")&gt;1),"Reference counted twice",IF(COUNTIF(Lists!$A$2:$A$7,I300)=0,"Unknown status","")))))</f>
        <v/>
      </c>
    </row>
    <row r="301" customFormat="false" ht="15" hidden="false" customHeight="false" outlineLevel="0" collapsed="false">
      <c r="AR301" s="29" t="str">
        <f aca="false">IF(A301="","",IF(COUNTIF(Parcels!$A$2:$A$3000,B301)=0,"Parcel not found",IF(COUNTIF($A$2:$A$3000,A301)&gt;1,"Duplicate perm_id",IF(AND(P301="Yes",D301&lt;&gt;"",COUNTIFS($C$2:$C$3000,D301,$P$2:$P$3000,"Yes")&gt;1),"Reference counted twice",IF(COUNTIF(Lists!$A$2:$A$7,I301)=0,"Unknown status","")))))</f>
        <v/>
      </c>
    </row>
    <row r="302" customFormat="false" ht="15" hidden="false" customHeight="false" outlineLevel="0" collapsed="false">
      <c r="AR302" s="29" t="str">
        <f aca="false">IF(A302="","",IF(COUNTIF(Parcels!$A$2:$A$3000,B302)=0,"Parcel not found",IF(COUNTIF($A$2:$A$3000,A302)&gt;1,"Duplicate perm_id",IF(AND(P302="Yes",D302&lt;&gt;"",COUNTIFS($C$2:$C$3000,D302,$P$2:$P$3000,"Yes")&gt;1),"Reference counted twice",IF(COUNTIF(Lists!$A$2:$A$7,I302)=0,"Unknown status","")))))</f>
        <v/>
      </c>
    </row>
    <row r="303" customFormat="false" ht="15" hidden="false" customHeight="false" outlineLevel="0" collapsed="false">
      <c r="AR303" s="29" t="str">
        <f aca="false">IF(A303="","",IF(COUNTIF(Parcels!$A$2:$A$3000,B303)=0,"Parcel not found",IF(COUNTIF($A$2:$A$3000,A303)&gt;1,"Duplicate perm_id",IF(AND(P303="Yes",D303&lt;&gt;"",COUNTIFS($C$2:$C$3000,D303,$P$2:$P$3000,"Yes")&gt;1),"Reference counted twice",IF(COUNTIF(Lists!$A$2:$A$7,I303)=0,"Unknown status","")))))</f>
        <v/>
      </c>
    </row>
    <row r="304" customFormat="false" ht="15" hidden="false" customHeight="false" outlineLevel="0" collapsed="false">
      <c r="AR304" s="29" t="str">
        <f aca="false">IF(A304="","",IF(COUNTIF(Parcels!$A$2:$A$3000,B304)=0,"Parcel not found",IF(COUNTIF($A$2:$A$3000,A304)&gt;1,"Duplicate perm_id",IF(AND(P304="Yes",D304&lt;&gt;"",COUNTIFS($C$2:$C$3000,D304,$P$2:$P$3000,"Yes")&gt;1),"Reference counted twice",IF(COUNTIF(Lists!$A$2:$A$7,I304)=0,"Unknown status","")))))</f>
        <v/>
      </c>
    </row>
    <row r="305" customFormat="false" ht="15" hidden="false" customHeight="false" outlineLevel="0" collapsed="false">
      <c r="AR305" s="29" t="str">
        <f aca="false">IF(A305="","",IF(COUNTIF(Parcels!$A$2:$A$3000,B305)=0,"Parcel not found",IF(COUNTIF($A$2:$A$3000,A305)&gt;1,"Duplicate perm_id",IF(AND(P305="Yes",D305&lt;&gt;"",COUNTIFS($C$2:$C$3000,D305,$P$2:$P$3000,"Yes")&gt;1),"Reference counted twice",IF(COUNTIF(Lists!$A$2:$A$7,I305)=0,"Unknown status","")))))</f>
        <v/>
      </c>
    </row>
    <row r="306" customFormat="false" ht="15" hidden="false" customHeight="false" outlineLevel="0" collapsed="false">
      <c r="AR306" s="29" t="str">
        <f aca="false">IF(A306="","",IF(COUNTIF(Parcels!$A$2:$A$3000,B306)=0,"Parcel not found",IF(COUNTIF($A$2:$A$3000,A306)&gt;1,"Duplicate perm_id",IF(AND(P306="Yes",D306&lt;&gt;"",COUNTIFS($C$2:$C$3000,D306,$P$2:$P$3000,"Yes")&gt;1),"Reference counted twice",IF(COUNTIF(Lists!$A$2:$A$7,I306)=0,"Unknown status","")))))</f>
        <v/>
      </c>
    </row>
    <row r="307" customFormat="false" ht="15" hidden="false" customHeight="false" outlineLevel="0" collapsed="false">
      <c r="AR307" s="29" t="str">
        <f aca="false">IF(A307="","",IF(COUNTIF(Parcels!$A$2:$A$3000,B307)=0,"Parcel not found",IF(COUNTIF($A$2:$A$3000,A307)&gt;1,"Duplicate perm_id",IF(AND(P307="Yes",D307&lt;&gt;"",COUNTIFS($C$2:$C$3000,D307,$P$2:$P$3000,"Yes")&gt;1),"Reference counted twice",IF(COUNTIF(Lists!$A$2:$A$7,I307)=0,"Unknown status","")))))</f>
        <v/>
      </c>
    </row>
    <row r="308" customFormat="false" ht="15" hidden="false" customHeight="false" outlineLevel="0" collapsed="false">
      <c r="AR308" s="29" t="str">
        <f aca="false">IF(A308="","",IF(COUNTIF(Parcels!$A$2:$A$3000,B308)=0,"Parcel not found",IF(COUNTIF($A$2:$A$3000,A308)&gt;1,"Duplicate perm_id",IF(AND(P308="Yes",D308&lt;&gt;"",COUNTIFS($C$2:$C$3000,D308,$P$2:$P$3000,"Yes")&gt;1),"Reference counted twice",IF(COUNTIF(Lists!$A$2:$A$7,I308)=0,"Unknown status","")))))</f>
        <v/>
      </c>
    </row>
    <row r="309" customFormat="false" ht="15" hidden="false" customHeight="false" outlineLevel="0" collapsed="false">
      <c r="AR309" s="29" t="str">
        <f aca="false">IF(A309="","",IF(COUNTIF(Parcels!$A$2:$A$3000,B309)=0,"Parcel not found",IF(COUNTIF($A$2:$A$3000,A309)&gt;1,"Duplicate perm_id",IF(AND(P309="Yes",D309&lt;&gt;"",COUNTIFS($C$2:$C$3000,D309,$P$2:$P$3000,"Yes")&gt;1),"Reference counted twice",IF(COUNTIF(Lists!$A$2:$A$7,I309)=0,"Unknown status","")))))</f>
        <v/>
      </c>
    </row>
    <row r="310" customFormat="false" ht="15" hidden="false" customHeight="false" outlineLevel="0" collapsed="false">
      <c r="AR310" s="29" t="str">
        <f aca="false">IF(A310="","",IF(COUNTIF(Parcels!$A$2:$A$3000,B310)=0,"Parcel not found",IF(COUNTIF($A$2:$A$3000,A310)&gt;1,"Duplicate perm_id",IF(AND(P310="Yes",D310&lt;&gt;"",COUNTIFS($C$2:$C$3000,D310,$P$2:$P$3000,"Yes")&gt;1),"Reference counted twice",IF(COUNTIF(Lists!$A$2:$A$7,I310)=0,"Unknown status","")))))</f>
        <v/>
      </c>
    </row>
    <row r="311" customFormat="false" ht="15" hidden="false" customHeight="false" outlineLevel="0" collapsed="false">
      <c r="AR311" s="29" t="str">
        <f aca="false">IF(A311="","",IF(COUNTIF(Parcels!$A$2:$A$3000,B311)=0,"Parcel not found",IF(COUNTIF($A$2:$A$3000,A311)&gt;1,"Duplicate perm_id",IF(AND(P311="Yes",D311&lt;&gt;"",COUNTIFS($C$2:$C$3000,D311,$P$2:$P$3000,"Yes")&gt;1),"Reference counted twice",IF(COUNTIF(Lists!$A$2:$A$7,I311)=0,"Unknown status","")))))</f>
        <v/>
      </c>
    </row>
    <row r="312" customFormat="false" ht="15" hidden="false" customHeight="false" outlineLevel="0" collapsed="false">
      <c r="AR312" s="29" t="str">
        <f aca="false">IF(A312="","",IF(COUNTIF(Parcels!$A$2:$A$3000,B312)=0,"Parcel not found",IF(COUNTIF($A$2:$A$3000,A312)&gt;1,"Duplicate perm_id",IF(AND(P312="Yes",D312&lt;&gt;"",COUNTIFS($C$2:$C$3000,D312,$P$2:$P$3000,"Yes")&gt;1),"Reference counted twice",IF(COUNTIF(Lists!$A$2:$A$7,I312)=0,"Unknown status","")))))</f>
        <v/>
      </c>
    </row>
    <row r="313" customFormat="false" ht="15" hidden="false" customHeight="false" outlineLevel="0" collapsed="false">
      <c r="AR313" s="29" t="str">
        <f aca="false">IF(A313="","",IF(COUNTIF(Parcels!$A$2:$A$3000,B313)=0,"Parcel not found",IF(COUNTIF($A$2:$A$3000,A313)&gt;1,"Duplicate perm_id",IF(AND(P313="Yes",D313&lt;&gt;"",COUNTIFS($C$2:$C$3000,D313,$P$2:$P$3000,"Yes")&gt;1),"Reference counted twice",IF(COUNTIF(Lists!$A$2:$A$7,I313)=0,"Unknown status","")))))</f>
        <v/>
      </c>
    </row>
    <row r="314" customFormat="false" ht="15" hidden="false" customHeight="false" outlineLevel="0" collapsed="false">
      <c r="AR314" s="29" t="str">
        <f aca="false">IF(A314="","",IF(COUNTIF(Parcels!$A$2:$A$3000,B314)=0,"Parcel not found",IF(COUNTIF($A$2:$A$3000,A314)&gt;1,"Duplicate perm_id",IF(AND(P314="Yes",D314&lt;&gt;"",COUNTIFS($C$2:$C$3000,D314,$P$2:$P$3000,"Yes")&gt;1),"Reference counted twice",IF(COUNTIF(Lists!$A$2:$A$7,I314)=0,"Unknown status","")))))</f>
        <v/>
      </c>
    </row>
    <row r="315" customFormat="false" ht="15" hidden="false" customHeight="false" outlineLevel="0" collapsed="false">
      <c r="AR315" s="29" t="str">
        <f aca="false">IF(A315="","",IF(COUNTIF(Parcels!$A$2:$A$3000,B315)=0,"Parcel not found",IF(COUNTIF($A$2:$A$3000,A315)&gt;1,"Duplicate perm_id",IF(AND(P315="Yes",D315&lt;&gt;"",COUNTIFS($C$2:$C$3000,D315,$P$2:$P$3000,"Yes")&gt;1),"Reference counted twice",IF(COUNTIF(Lists!$A$2:$A$7,I315)=0,"Unknown status","")))))</f>
        <v/>
      </c>
    </row>
    <row r="316" customFormat="false" ht="15" hidden="false" customHeight="false" outlineLevel="0" collapsed="false">
      <c r="AR316" s="29" t="str">
        <f aca="false">IF(A316="","",IF(COUNTIF(Parcels!$A$2:$A$3000,B316)=0,"Parcel not found",IF(COUNTIF($A$2:$A$3000,A316)&gt;1,"Duplicate perm_id",IF(AND(P316="Yes",D316&lt;&gt;"",COUNTIFS($C$2:$C$3000,D316,$P$2:$P$3000,"Yes")&gt;1),"Reference counted twice",IF(COUNTIF(Lists!$A$2:$A$7,I316)=0,"Unknown status","")))))</f>
        <v/>
      </c>
    </row>
    <row r="317" customFormat="false" ht="15" hidden="false" customHeight="false" outlineLevel="0" collapsed="false">
      <c r="AR317" s="29" t="str">
        <f aca="false">IF(A317="","",IF(COUNTIF(Parcels!$A$2:$A$3000,B317)=0,"Parcel not found",IF(COUNTIF($A$2:$A$3000,A317)&gt;1,"Duplicate perm_id",IF(AND(P317="Yes",D317&lt;&gt;"",COUNTIFS($C$2:$C$3000,D317,$P$2:$P$3000,"Yes")&gt;1),"Reference counted twice",IF(COUNTIF(Lists!$A$2:$A$7,I317)=0,"Unknown status","")))))</f>
        <v/>
      </c>
    </row>
    <row r="318" customFormat="false" ht="15" hidden="false" customHeight="false" outlineLevel="0" collapsed="false">
      <c r="AR318" s="29" t="str">
        <f aca="false">IF(A318="","",IF(COUNTIF(Parcels!$A$2:$A$3000,B318)=0,"Parcel not found",IF(COUNTIF($A$2:$A$3000,A318)&gt;1,"Duplicate perm_id",IF(AND(P318="Yes",D318&lt;&gt;"",COUNTIFS($C$2:$C$3000,D318,$P$2:$P$3000,"Yes")&gt;1),"Reference counted twice",IF(COUNTIF(Lists!$A$2:$A$7,I318)=0,"Unknown status","")))))</f>
        <v/>
      </c>
    </row>
    <row r="319" customFormat="false" ht="15" hidden="false" customHeight="false" outlineLevel="0" collapsed="false">
      <c r="AR319" s="29" t="str">
        <f aca="false">IF(A319="","",IF(COUNTIF(Parcels!$A$2:$A$3000,B319)=0,"Parcel not found",IF(COUNTIF($A$2:$A$3000,A319)&gt;1,"Duplicate perm_id",IF(AND(P319="Yes",D319&lt;&gt;"",COUNTIFS($C$2:$C$3000,D319,$P$2:$P$3000,"Yes")&gt;1),"Reference counted twice",IF(COUNTIF(Lists!$A$2:$A$7,I319)=0,"Unknown status","")))))</f>
        <v/>
      </c>
    </row>
    <row r="320" customFormat="false" ht="15" hidden="false" customHeight="false" outlineLevel="0" collapsed="false">
      <c r="AR320" s="29" t="str">
        <f aca="false">IF(A320="","",IF(COUNTIF(Parcels!$A$2:$A$3000,B320)=0,"Parcel not found",IF(COUNTIF($A$2:$A$3000,A320)&gt;1,"Duplicate perm_id",IF(AND(P320="Yes",D320&lt;&gt;"",COUNTIFS($C$2:$C$3000,D320,$P$2:$P$3000,"Yes")&gt;1),"Reference counted twice",IF(COUNTIF(Lists!$A$2:$A$7,I320)=0,"Unknown status","")))))</f>
        <v/>
      </c>
    </row>
    <row r="321" customFormat="false" ht="15" hidden="false" customHeight="false" outlineLevel="0" collapsed="false">
      <c r="AR321" s="29" t="str">
        <f aca="false">IF(A321="","",IF(COUNTIF(Parcels!$A$2:$A$3000,B321)=0,"Parcel not found",IF(COUNTIF($A$2:$A$3000,A321)&gt;1,"Duplicate perm_id",IF(AND(P321="Yes",D321&lt;&gt;"",COUNTIFS($C$2:$C$3000,D321,$P$2:$P$3000,"Yes")&gt;1),"Reference counted twice",IF(COUNTIF(Lists!$A$2:$A$7,I321)=0,"Unknown status","")))))</f>
        <v/>
      </c>
    </row>
    <row r="322" customFormat="false" ht="15" hidden="false" customHeight="false" outlineLevel="0" collapsed="false">
      <c r="AR322" s="29" t="str">
        <f aca="false">IF(A322="","",IF(COUNTIF(Parcels!$A$2:$A$3000,B322)=0,"Parcel not found",IF(COUNTIF($A$2:$A$3000,A322)&gt;1,"Duplicate perm_id",IF(AND(P322="Yes",D322&lt;&gt;"",COUNTIFS($C$2:$C$3000,D322,$P$2:$P$3000,"Yes")&gt;1),"Reference counted twice",IF(COUNTIF(Lists!$A$2:$A$7,I322)=0,"Unknown status","")))))</f>
        <v/>
      </c>
    </row>
    <row r="323" customFormat="false" ht="15" hidden="false" customHeight="false" outlineLevel="0" collapsed="false">
      <c r="AR323" s="29" t="str">
        <f aca="false">IF(A323="","",IF(COUNTIF(Parcels!$A$2:$A$3000,B323)=0,"Parcel not found",IF(COUNTIF($A$2:$A$3000,A323)&gt;1,"Duplicate perm_id",IF(AND(P323="Yes",D323&lt;&gt;"",COUNTIFS($C$2:$C$3000,D323,$P$2:$P$3000,"Yes")&gt;1),"Reference counted twice",IF(COUNTIF(Lists!$A$2:$A$7,I323)=0,"Unknown status","")))))</f>
        <v/>
      </c>
    </row>
    <row r="324" customFormat="false" ht="15" hidden="false" customHeight="false" outlineLevel="0" collapsed="false">
      <c r="AR324" s="29" t="str">
        <f aca="false">IF(A324="","",IF(COUNTIF(Parcels!$A$2:$A$3000,B324)=0,"Parcel not found",IF(COUNTIF($A$2:$A$3000,A324)&gt;1,"Duplicate perm_id",IF(AND(P324="Yes",D324&lt;&gt;"",COUNTIFS($C$2:$C$3000,D324,$P$2:$P$3000,"Yes")&gt;1),"Reference counted twice",IF(COUNTIF(Lists!$A$2:$A$7,I324)=0,"Unknown status","")))))</f>
        <v/>
      </c>
    </row>
    <row r="325" customFormat="false" ht="15" hidden="false" customHeight="false" outlineLevel="0" collapsed="false">
      <c r="AR325" s="29" t="str">
        <f aca="false">IF(A325="","",IF(COUNTIF(Parcels!$A$2:$A$3000,B325)=0,"Parcel not found",IF(COUNTIF($A$2:$A$3000,A325)&gt;1,"Duplicate perm_id",IF(AND(P325="Yes",D325&lt;&gt;"",COUNTIFS($C$2:$C$3000,D325,$P$2:$P$3000,"Yes")&gt;1),"Reference counted twice",IF(COUNTIF(Lists!$A$2:$A$7,I325)=0,"Unknown status","")))))</f>
        <v/>
      </c>
    </row>
    <row r="326" customFormat="false" ht="15" hidden="false" customHeight="false" outlineLevel="0" collapsed="false">
      <c r="AR326" s="29" t="str">
        <f aca="false">IF(A326="","",IF(COUNTIF(Parcels!$A$2:$A$3000,B326)=0,"Parcel not found",IF(COUNTIF($A$2:$A$3000,A326)&gt;1,"Duplicate perm_id",IF(AND(P326="Yes",D326&lt;&gt;"",COUNTIFS($C$2:$C$3000,D326,$P$2:$P$3000,"Yes")&gt;1),"Reference counted twice",IF(COUNTIF(Lists!$A$2:$A$7,I326)=0,"Unknown status","")))))</f>
        <v/>
      </c>
    </row>
    <row r="327" customFormat="false" ht="15" hidden="false" customHeight="false" outlineLevel="0" collapsed="false">
      <c r="AR327" s="29" t="str">
        <f aca="false">IF(A327="","",IF(COUNTIF(Parcels!$A$2:$A$3000,B327)=0,"Parcel not found",IF(COUNTIF($A$2:$A$3000,A327)&gt;1,"Duplicate perm_id",IF(AND(P327="Yes",D327&lt;&gt;"",COUNTIFS($C$2:$C$3000,D327,$P$2:$P$3000,"Yes")&gt;1),"Reference counted twice",IF(COUNTIF(Lists!$A$2:$A$7,I327)=0,"Unknown status","")))))</f>
        <v/>
      </c>
    </row>
    <row r="328" customFormat="false" ht="15" hidden="false" customHeight="false" outlineLevel="0" collapsed="false">
      <c r="AR328" s="29" t="str">
        <f aca="false">IF(A328="","",IF(COUNTIF(Parcels!$A$2:$A$3000,B328)=0,"Parcel not found",IF(COUNTIF($A$2:$A$3000,A328)&gt;1,"Duplicate perm_id",IF(AND(P328="Yes",D328&lt;&gt;"",COUNTIFS($C$2:$C$3000,D328,$P$2:$P$3000,"Yes")&gt;1),"Reference counted twice",IF(COUNTIF(Lists!$A$2:$A$7,I328)=0,"Unknown status","")))))</f>
        <v/>
      </c>
    </row>
    <row r="329" customFormat="false" ht="15" hidden="false" customHeight="false" outlineLevel="0" collapsed="false">
      <c r="AR329" s="29" t="str">
        <f aca="false">IF(A329="","",IF(COUNTIF(Parcels!$A$2:$A$3000,B329)=0,"Parcel not found",IF(COUNTIF($A$2:$A$3000,A329)&gt;1,"Duplicate perm_id",IF(AND(P329="Yes",D329&lt;&gt;"",COUNTIFS($C$2:$C$3000,D329,$P$2:$P$3000,"Yes")&gt;1),"Reference counted twice",IF(COUNTIF(Lists!$A$2:$A$7,I329)=0,"Unknown status","")))))</f>
        <v/>
      </c>
    </row>
    <row r="330" customFormat="false" ht="15" hidden="false" customHeight="false" outlineLevel="0" collapsed="false">
      <c r="AR330" s="29" t="str">
        <f aca="false">IF(A330="","",IF(COUNTIF(Parcels!$A$2:$A$3000,B330)=0,"Parcel not found",IF(COUNTIF($A$2:$A$3000,A330)&gt;1,"Duplicate perm_id",IF(AND(P330="Yes",D330&lt;&gt;"",COUNTIFS($C$2:$C$3000,D330,$P$2:$P$3000,"Yes")&gt;1),"Reference counted twice",IF(COUNTIF(Lists!$A$2:$A$7,I330)=0,"Unknown status","")))))</f>
        <v/>
      </c>
    </row>
    <row r="331" customFormat="false" ht="15" hidden="false" customHeight="false" outlineLevel="0" collapsed="false">
      <c r="AR331" s="29" t="str">
        <f aca="false">IF(A331="","",IF(COUNTIF(Parcels!$A$2:$A$3000,B331)=0,"Parcel not found",IF(COUNTIF($A$2:$A$3000,A331)&gt;1,"Duplicate perm_id",IF(AND(P331="Yes",D331&lt;&gt;"",COUNTIFS($C$2:$C$3000,D331,$P$2:$P$3000,"Yes")&gt;1),"Reference counted twice",IF(COUNTIF(Lists!$A$2:$A$7,I331)=0,"Unknown status","")))))</f>
        <v/>
      </c>
    </row>
    <row r="332" customFormat="false" ht="15" hidden="false" customHeight="false" outlineLevel="0" collapsed="false">
      <c r="AR332" s="29" t="str">
        <f aca="false">IF(A332="","",IF(COUNTIF(Parcels!$A$2:$A$3000,B332)=0,"Parcel not found",IF(COUNTIF($A$2:$A$3000,A332)&gt;1,"Duplicate perm_id",IF(AND(P332="Yes",D332&lt;&gt;"",COUNTIFS($C$2:$C$3000,D332,$P$2:$P$3000,"Yes")&gt;1),"Reference counted twice",IF(COUNTIF(Lists!$A$2:$A$7,I332)=0,"Unknown status","")))))</f>
        <v/>
      </c>
    </row>
    <row r="333" customFormat="false" ht="15" hidden="false" customHeight="false" outlineLevel="0" collapsed="false">
      <c r="AR333" s="29" t="str">
        <f aca="false">IF(A333="","",IF(COUNTIF(Parcels!$A$2:$A$3000,B333)=0,"Parcel not found",IF(COUNTIF($A$2:$A$3000,A333)&gt;1,"Duplicate perm_id",IF(AND(P333="Yes",D333&lt;&gt;"",COUNTIFS($C$2:$C$3000,D333,$P$2:$P$3000,"Yes")&gt;1),"Reference counted twice",IF(COUNTIF(Lists!$A$2:$A$7,I333)=0,"Unknown status","")))))</f>
        <v/>
      </c>
    </row>
    <row r="334" customFormat="false" ht="15" hidden="false" customHeight="false" outlineLevel="0" collapsed="false">
      <c r="AR334" s="29" t="str">
        <f aca="false">IF(A334="","",IF(COUNTIF(Parcels!$A$2:$A$3000,B334)=0,"Parcel not found",IF(COUNTIF($A$2:$A$3000,A334)&gt;1,"Duplicate perm_id",IF(AND(P334="Yes",D334&lt;&gt;"",COUNTIFS($C$2:$C$3000,D334,$P$2:$P$3000,"Yes")&gt;1),"Reference counted twice",IF(COUNTIF(Lists!$A$2:$A$7,I334)=0,"Unknown status","")))))</f>
        <v/>
      </c>
    </row>
    <row r="335" customFormat="false" ht="15" hidden="false" customHeight="false" outlineLevel="0" collapsed="false">
      <c r="AR335" s="29" t="str">
        <f aca="false">IF(A335="","",IF(COUNTIF(Parcels!$A$2:$A$3000,B335)=0,"Parcel not found",IF(COUNTIF($A$2:$A$3000,A335)&gt;1,"Duplicate perm_id",IF(AND(P335="Yes",D335&lt;&gt;"",COUNTIFS($C$2:$C$3000,D335,$P$2:$P$3000,"Yes")&gt;1),"Reference counted twice",IF(COUNTIF(Lists!$A$2:$A$7,I335)=0,"Unknown status","")))))</f>
        <v/>
      </c>
    </row>
    <row r="336" customFormat="false" ht="15" hidden="false" customHeight="false" outlineLevel="0" collapsed="false">
      <c r="AR336" s="29" t="str">
        <f aca="false">IF(A336="","",IF(COUNTIF(Parcels!$A$2:$A$3000,B336)=0,"Parcel not found",IF(COUNTIF($A$2:$A$3000,A336)&gt;1,"Duplicate perm_id",IF(AND(P336="Yes",D336&lt;&gt;"",COUNTIFS($C$2:$C$3000,D336,$P$2:$P$3000,"Yes")&gt;1),"Reference counted twice",IF(COUNTIF(Lists!$A$2:$A$7,I336)=0,"Unknown status","")))))</f>
        <v/>
      </c>
    </row>
    <row r="337" customFormat="false" ht="15" hidden="false" customHeight="false" outlineLevel="0" collapsed="false">
      <c r="AR337" s="29" t="str">
        <f aca="false">IF(A337="","",IF(COUNTIF(Parcels!$A$2:$A$3000,B337)=0,"Parcel not found",IF(COUNTIF($A$2:$A$3000,A337)&gt;1,"Duplicate perm_id",IF(AND(P337="Yes",D337&lt;&gt;"",COUNTIFS($C$2:$C$3000,D337,$P$2:$P$3000,"Yes")&gt;1),"Reference counted twice",IF(COUNTIF(Lists!$A$2:$A$7,I337)=0,"Unknown status","")))))</f>
        <v/>
      </c>
    </row>
    <row r="338" customFormat="false" ht="15" hidden="false" customHeight="false" outlineLevel="0" collapsed="false">
      <c r="AR338" s="29" t="str">
        <f aca="false">IF(A338="","",IF(COUNTIF(Parcels!$A$2:$A$3000,B338)=0,"Parcel not found",IF(COUNTIF($A$2:$A$3000,A338)&gt;1,"Duplicate perm_id",IF(AND(P338="Yes",D338&lt;&gt;"",COUNTIFS($C$2:$C$3000,D338,$P$2:$P$3000,"Yes")&gt;1),"Reference counted twice",IF(COUNTIF(Lists!$A$2:$A$7,I338)=0,"Unknown status","")))))</f>
        <v/>
      </c>
    </row>
    <row r="339" customFormat="false" ht="15" hidden="false" customHeight="false" outlineLevel="0" collapsed="false">
      <c r="AR339" s="29" t="str">
        <f aca="false">IF(A339="","",IF(COUNTIF(Parcels!$A$2:$A$3000,B339)=0,"Parcel not found",IF(COUNTIF($A$2:$A$3000,A339)&gt;1,"Duplicate perm_id",IF(AND(P339="Yes",D339&lt;&gt;"",COUNTIFS($C$2:$C$3000,D339,$P$2:$P$3000,"Yes")&gt;1),"Reference counted twice",IF(COUNTIF(Lists!$A$2:$A$7,I339)=0,"Unknown status","")))))</f>
        <v/>
      </c>
    </row>
    <row r="340" customFormat="false" ht="15" hidden="false" customHeight="false" outlineLevel="0" collapsed="false">
      <c r="AR340" s="29" t="str">
        <f aca="false">IF(A340="","",IF(COUNTIF(Parcels!$A$2:$A$3000,B340)=0,"Parcel not found",IF(COUNTIF($A$2:$A$3000,A340)&gt;1,"Duplicate perm_id",IF(AND(P340="Yes",D340&lt;&gt;"",COUNTIFS($C$2:$C$3000,D340,$P$2:$P$3000,"Yes")&gt;1),"Reference counted twice",IF(COUNTIF(Lists!$A$2:$A$7,I340)=0,"Unknown status","")))))</f>
        <v/>
      </c>
    </row>
    <row r="341" customFormat="false" ht="15" hidden="false" customHeight="false" outlineLevel="0" collapsed="false">
      <c r="AR341" s="29" t="str">
        <f aca="false">IF(A341="","",IF(COUNTIF(Parcels!$A$2:$A$3000,B341)=0,"Parcel not found",IF(COUNTIF($A$2:$A$3000,A341)&gt;1,"Duplicate perm_id",IF(AND(P341="Yes",D341&lt;&gt;"",COUNTIFS($C$2:$C$3000,D341,$P$2:$P$3000,"Yes")&gt;1),"Reference counted twice",IF(COUNTIF(Lists!$A$2:$A$7,I341)=0,"Unknown status","")))))</f>
        <v/>
      </c>
    </row>
    <row r="342" customFormat="false" ht="15" hidden="false" customHeight="false" outlineLevel="0" collapsed="false">
      <c r="AR342" s="29" t="str">
        <f aca="false">IF(A342="","",IF(COUNTIF(Parcels!$A$2:$A$3000,B342)=0,"Parcel not found",IF(COUNTIF($A$2:$A$3000,A342)&gt;1,"Duplicate perm_id",IF(AND(P342="Yes",D342&lt;&gt;"",COUNTIFS($C$2:$C$3000,D342,$P$2:$P$3000,"Yes")&gt;1),"Reference counted twice",IF(COUNTIF(Lists!$A$2:$A$7,I342)=0,"Unknown status","")))))</f>
        <v/>
      </c>
    </row>
    <row r="343" customFormat="false" ht="15" hidden="false" customHeight="false" outlineLevel="0" collapsed="false">
      <c r="AR343" s="29" t="str">
        <f aca="false">IF(A343="","",IF(COUNTIF(Parcels!$A$2:$A$3000,B343)=0,"Parcel not found",IF(COUNTIF($A$2:$A$3000,A343)&gt;1,"Duplicate perm_id",IF(AND(P343="Yes",D343&lt;&gt;"",COUNTIFS($C$2:$C$3000,D343,$P$2:$P$3000,"Yes")&gt;1),"Reference counted twice",IF(COUNTIF(Lists!$A$2:$A$7,I343)=0,"Unknown status","")))))</f>
        <v/>
      </c>
    </row>
    <row r="344" customFormat="false" ht="15" hidden="false" customHeight="false" outlineLevel="0" collapsed="false">
      <c r="AR344" s="29" t="str">
        <f aca="false">IF(A344="","",IF(COUNTIF(Parcels!$A$2:$A$3000,B344)=0,"Parcel not found",IF(COUNTIF($A$2:$A$3000,A344)&gt;1,"Duplicate perm_id",IF(AND(P344="Yes",D344&lt;&gt;"",COUNTIFS($C$2:$C$3000,D344,$P$2:$P$3000,"Yes")&gt;1),"Reference counted twice",IF(COUNTIF(Lists!$A$2:$A$7,I344)=0,"Unknown status","")))))</f>
        <v/>
      </c>
    </row>
    <row r="345" customFormat="false" ht="15" hidden="false" customHeight="false" outlineLevel="0" collapsed="false">
      <c r="AR345" s="29" t="str">
        <f aca="false">IF(A345="","",IF(COUNTIF(Parcels!$A$2:$A$3000,B345)=0,"Parcel not found",IF(COUNTIF($A$2:$A$3000,A345)&gt;1,"Duplicate perm_id",IF(AND(P345="Yes",D345&lt;&gt;"",COUNTIFS($C$2:$C$3000,D345,$P$2:$P$3000,"Yes")&gt;1),"Reference counted twice",IF(COUNTIF(Lists!$A$2:$A$7,I345)=0,"Unknown status","")))))</f>
        <v/>
      </c>
    </row>
    <row r="346" customFormat="false" ht="15" hidden="false" customHeight="false" outlineLevel="0" collapsed="false">
      <c r="AR346" s="29" t="str">
        <f aca="false">IF(A346="","",IF(COUNTIF(Parcels!$A$2:$A$3000,B346)=0,"Parcel not found",IF(COUNTIF($A$2:$A$3000,A346)&gt;1,"Duplicate perm_id",IF(AND(P346="Yes",D346&lt;&gt;"",COUNTIFS($C$2:$C$3000,D346,$P$2:$P$3000,"Yes")&gt;1),"Reference counted twice",IF(COUNTIF(Lists!$A$2:$A$7,I346)=0,"Unknown status","")))))</f>
        <v/>
      </c>
    </row>
    <row r="347" customFormat="false" ht="15" hidden="false" customHeight="false" outlineLevel="0" collapsed="false">
      <c r="AR347" s="29" t="str">
        <f aca="false">IF(A347="","",IF(COUNTIF(Parcels!$A$2:$A$3000,B347)=0,"Parcel not found",IF(COUNTIF($A$2:$A$3000,A347)&gt;1,"Duplicate perm_id",IF(AND(P347="Yes",D347&lt;&gt;"",COUNTIFS($C$2:$C$3000,D347,$P$2:$P$3000,"Yes")&gt;1),"Reference counted twice",IF(COUNTIF(Lists!$A$2:$A$7,I347)=0,"Unknown status","")))))</f>
        <v/>
      </c>
    </row>
    <row r="348" customFormat="false" ht="15" hidden="false" customHeight="false" outlineLevel="0" collapsed="false">
      <c r="AR348" s="29" t="str">
        <f aca="false">IF(A348="","",IF(COUNTIF(Parcels!$A$2:$A$3000,B348)=0,"Parcel not found",IF(COUNTIF($A$2:$A$3000,A348)&gt;1,"Duplicate perm_id",IF(AND(P348="Yes",D348&lt;&gt;"",COUNTIFS($C$2:$C$3000,D348,$P$2:$P$3000,"Yes")&gt;1),"Reference counted twice",IF(COUNTIF(Lists!$A$2:$A$7,I348)=0,"Unknown status","")))))</f>
        <v/>
      </c>
    </row>
    <row r="349" customFormat="false" ht="15" hidden="false" customHeight="false" outlineLevel="0" collapsed="false">
      <c r="AR349" s="29" t="str">
        <f aca="false">IF(A349="","",IF(COUNTIF(Parcels!$A$2:$A$3000,B349)=0,"Parcel not found",IF(COUNTIF($A$2:$A$3000,A349)&gt;1,"Duplicate perm_id",IF(AND(P349="Yes",D349&lt;&gt;"",COUNTIFS($C$2:$C$3000,D349,$P$2:$P$3000,"Yes")&gt;1),"Reference counted twice",IF(COUNTIF(Lists!$A$2:$A$7,I349)=0,"Unknown status","")))))</f>
        <v/>
      </c>
    </row>
    <row r="350" customFormat="false" ht="15" hidden="false" customHeight="false" outlineLevel="0" collapsed="false">
      <c r="AR350" s="29" t="str">
        <f aca="false">IF(A350="","",IF(COUNTIF(Parcels!$A$2:$A$3000,B350)=0,"Parcel not found",IF(COUNTIF($A$2:$A$3000,A350)&gt;1,"Duplicate perm_id",IF(AND(P350="Yes",D350&lt;&gt;"",COUNTIFS($C$2:$C$3000,D350,$P$2:$P$3000,"Yes")&gt;1),"Reference counted twice",IF(COUNTIF(Lists!$A$2:$A$7,I350)=0,"Unknown status","")))))</f>
        <v/>
      </c>
    </row>
    <row r="351" customFormat="false" ht="15" hidden="false" customHeight="false" outlineLevel="0" collapsed="false">
      <c r="AR351" s="29" t="str">
        <f aca="false">IF(A351="","",IF(COUNTIF(Parcels!$A$2:$A$3000,B351)=0,"Parcel not found",IF(COUNTIF($A$2:$A$3000,A351)&gt;1,"Duplicate perm_id",IF(AND(P351="Yes",D351&lt;&gt;"",COUNTIFS($C$2:$C$3000,D351,$P$2:$P$3000,"Yes")&gt;1),"Reference counted twice",IF(COUNTIF(Lists!$A$2:$A$7,I351)=0,"Unknown status","")))))</f>
        <v/>
      </c>
    </row>
    <row r="352" customFormat="false" ht="15" hidden="false" customHeight="false" outlineLevel="0" collapsed="false">
      <c r="AR352" s="29" t="str">
        <f aca="false">IF(A352="","",IF(COUNTIF(Parcels!$A$2:$A$3000,B352)=0,"Parcel not found",IF(COUNTIF($A$2:$A$3000,A352)&gt;1,"Duplicate perm_id",IF(AND(P352="Yes",D352&lt;&gt;"",COUNTIFS($C$2:$C$3000,D352,$P$2:$P$3000,"Yes")&gt;1),"Reference counted twice",IF(COUNTIF(Lists!$A$2:$A$7,I352)=0,"Unknown status","")))))</f>
        <v/>
      </c>
    </row>
    <row r="353" customFormat="false" ht="15" hidden="false" customHeight="false" outlineLevel="0" collapsed="false">
      <c r="AR353" s="29" t="str">
        <f aca="false">IF(A353="","",IF(COUNTIF(Parcels!$A$2:$A$3000,B353)=0,"Parcel not found",IF(COUNTIF($A$2:$A$3000,A353)&gt;1,"Duplicate perm_id",IF(AND(P353="Yes",D353&lt;&gt;"",COUNTIFS($C$2:$C$3000,D353,$P$2:$P$3000,"Yes")&gt;1),"Reference counted twice",IF(COUNTIF(Lists!$A$2:$A$7,I353)=0,"Unknown status","")))))</f>
        <v/>
      </c>
    </row>
    <row r="354" customFormat="false" ht="15" hidden="false" customHeight="false" outlineLevel="0" collapsed="false">
      <c r="AR354" s="29" t="str">
        <f aca="false">IF(A354="","",IF(COUNTIF(Parcels!$A$2:$A$3000,B354)=0,"Parcel not found",IF(COUNTIF($A$2:$A$3000,A354)&gt;1,"Duplicate perm_id",IF(AND(P354="Yes",D354&lt;&gt;"",COUNTIFS($C$2:$C$3000,D354,$P$2:$P$3000,"Yes")&gt;1),"Reference counted twice",IF(COUNTIF(Lists!$A$2:$A$7,I354)=0,"Unknown status","")))))</f>
        <v/>
      </c>
    </row>
    <row r="355" customFormat="false" ht="15" hidden="false" customHeight="false" outlineLevel="0" collapsed="false">
      <c r="AR355" s="29" t="str">
        <f aca="false">IF(A355="","",IF(COUNTIF(Parcels!$A$2:$A$3000,B355)=0,"Parcel not found",IF(COUNTIF($A$2:$A$3000,A355)&gt;1,"Duplicate perm_id",IF(AND(P355="Yes",D355&lt;&gt;"",COUNTIFS($C$2:$C$3000,D355,$P$2:$P$3000,"Yes")&gt;1),"Reference counted twice",IF(COUNTIF(Lists!$A$2:$A$7,I355)=0,"Unknown status","")))))</f>
        <v/>
      </c>
    </row>
    <row r="356" customFormat="false" ht="15" hidden="false" customHeight="false" outlineLevel="0" collapsed="false">
      <c r="AR356" s="29" t="str">
        <f aca="false">IF(A356="","",IF(COUNTIF(Parcels!$A$2:$A$3000,B356)=0,"Parcel not found",IF(COUNTIF($A$2:$A$3000,A356)&gt;1,"Duplicate perm_id",IF(AND(P356="Yes",D356&lt;&gt;"",COUNTIFS($C$2:$C$3000,D356,$P$2:$P$3000,"Yes")&gt;1),"Reference counted twice",IF(COUNTIF(Lists!$A$2:$A$7,I356)=0,"Unknown status","")))))</f>
        <v/>
      </c>
    </row>
    <row r="357" customFormat="false" ht="15" hidden="false" customHeight="false" outlineLevel="0" collapsed="false">
      <c r="AR357" s="29" t="str">
        <f aca="false">IF(A357="","",IF(COUNTIF(Parcels!$A$2:$A$3000,B357)=0,"Parcel not found",IF(COUNTIF($A$2:$A$3000,A357)&gt;1,"Duplicate perm_id",IF(AND(P357="Yes",D357&lt;&gt;"",COUNTIFS($C$2:$C$3000,D357,$P$2:$P$3000,"Yes")&gt;1),"Reference counted twice",IF(COUNTIF(Lists!$A$2:$A$7,I357)=0,"Unknown status","")))))</f>
        <v/>
      </c>
    </row>
    <row r="358" customFormat="false" ht="15" hidden="false" customHeight="false" outlineLevel="0" collapsed="false">
      <c r="AR358" s="29" t="str">
        <f aca="false">IF(A358="","",IF(COUNTIF(Parcels!$A$2:$A$3000,B358)=0,"Parcel not found",IF(COUNTIF($A$2:$A$3000,A358)&gt;1,"Duplicate perm_id",IF(AND(P358="Yes",D358&lt;&gt;"",COUNTIFS($C$2:$C$3000,D358,$P$2:$P$3000,"Yes")&gt;1),"Reference counted twice",IF(COUNTIF(Lists!$A$2:$A$7,I358)=0,"Unknown status","")))))</f>
        <v/>
      </c>
    </row>
    <row r="359" customFormat="false" ht="15" hidden="false" customHeight="false" outlineLevel="0" collapsed="false">
      <c r="AR359" s="29" t="str">
        <f aca="false">IF(A359="","",IF(COUNTIF(Parcels!$A$2:$A$3000,B359)=0,"Parcel not found",IF(COUNTIF($A$2:$A$3000,A359)&gt;1,"Duplicate perm_id",IF(AND(P359="Yes",D359&lt;&gt;"",COUNTIFS($C$2:$C$3000,D359,$P$2:$P$3000,"Yes")&gt;1),"Reference counted twice",IF(COUNTIF(Lists!$A$2:$A$7,I359)=0,"Unknown status","")))))</f>
        <v/>
      </c>
    </row>
    <row r="360" customFormat="false" ht="15" hidden="false" customHeight="false" outlineLevel="0" collapsed="false">
      <c r="AR360" s="29" t="str">
        <f aca="false">IF(A360="","",IF(COUNTIF(Parcels!$A$2:$A$3000,B360)=0,"Parcel not found",IF(COUNTIF($A$2:$A$3000,A360)&gt;1,"Duplicate perm_id",IF(AND(P360="Yes",D360&lt;&gt;"",COUNTIFS($C$2:$C$3000,D360,$P$2:$P$3000,"Yes")&gt;1),"Reference counted twice",IF(COUNTIF(Lists!$A$2:$A$7,I360)=0,"Unknown status","")))))</f>
        <v/>
      </c>
    </row>
    <row r="361" customFormat="false" ht="15" hidden="false" customHeight="false" outlineLevel="0" collapsed="false">
      <c r="AR361" s="29" t="str">
        <f aca="false">IF(A361="","",IF(COUNTIF(Parcels!$A$2:$A$3000,B361)=0,"Parcel not found",IF(COUNTIF($A$2:$A$3000,A361)&gt;1,"Duplicate perm_id",IF(AND(P361="Yes",D361&lt;&gt;"",COUNTIFS($C$2:$C$3000,D361,$P$2:$P$3000,"Yes")&gt;1),"Reference counted twice",IF(COUNTIF(Lists!$A$2:$A$7,I361)=0,"Unknown status","")))))</f>
        <v/>
      </c>
    </row>
    <row r="362" customFormat="false" ht="15" hidden="false" customHeight="false" outlineLevel="0" collapsed="false">
      <c r="AR362" s="29" t="str">
        <f aca="false">IF(A362="","",IF(COUNTIF(Parcels!$A$2:$A$3000,B362)=0,"Parcel not found",IF(COUNTIF($A$2:$A$3000,A362)&gt;1,"Duplicate perm_id",IF(AND(P362="Yes",D362&lt;&gt;"",COUNTIFS($C$2:$C$3000,D362,$P$2:$P$3000,"Yes")&gt;1),"Reference counted twice",IF(COUNTIF(Lists!$A$2:$A$7,I362)=0,"Unknown status","")))))</f>
        <v/>
      </c>
    </row>
    <row r="363" customFormat="false" ht="15" hidden="false" customHeight="false" outlineLevel="0" collapsed="false">
      <c r="AR363" s="29" t="str">
        <f aca="false">IF(A363="","",IF(COUNTIF(Parcels!$A$2:$A$3000,B363)=0,"Parcel not found",IF(COUNTIF($A$2:$A$3000,A363)&gt;1,"Duplicate perm_id",IF(AND(P363="Yes",D363&lt;&gt;"",COUNTIFS($C$2:$C$3000,D363,$P$2:$P$3000,"Yes")&gt;1),"Reference counted twice",IF(COUNTIF(Lists!$A$2:$A$7,I363)=0,"Unknown status","")))))</f>
        <v/>
      </c>
    </row>
    <row r="364" customFormat="false" ht="15" hidden="false" customHeight="false" outlineLevel="0" collapsed="false">
      <c r="AR364" s="29" t="str">
        <f aca="false">IF(A364="","",IF(COUNTIF(Parcels!$A$2:$A$3000,B364)=0,"Parcel not found",IF(COUNTIF($A$2:$A$3000,A364)&gt;1,"Duplicate perm_id",IF(AND(P364="Yes",D364&lt;&gt;"",COUNTIFS($C$2:$C$3000,D364,$P$2:$P$3000,"Yes")&gt;1),"Reference counted twice",IF(COUNTIF(Lists!$A$2:$A$7,I364)=0,"Unknown status","")))))</f>
        <v/>
      </c>
    </row>
    <row r="365" customFormat="false" ht="15" hidden="false" customHeight="false" outlineLevel="0" collapsed="false">
      <c r="AR365" s="29" t="str">
        <f aca="false">IF(A365="","",IF(COUNTIF(Parcels!$A$2:$A$3000,B365)=0,"Parcel not found",IF(COUNTIF($A$2:$A$3000,A365)&gt;1,"Duplicate perm_id",IF(AND(P365="Yes",D365&lt;&gt;"",COUNTIFS($C$2:$C$3000,D365,$P$2:$P$3000,"Yes")&gt;1),"Reference counted twice",IF(COUNTIF(Lists!$A$2:$A$7,I365)=0,"Unknown status","")))))</f>
        <v/>
      </c>
    </row>
    <row r="366" customFormat="false" ht="15" hidden="false" customHeight="false" outlineLevel="0" collapsed="false">
      <c r="AR366" s="29" t="str">
        <f aca="false">IF(A366="","",IF(COUNTIF(Parcels!$A$2:$A$3000,B366)=0,"Parcel not found",IF(COUNTIF($A$2:$A$3000,A366)&gt;1,"Duplicate perm_id",IF(AND(P366="Yes",D366&lt;&gt;"",COUNTIFS($C$2:$C$3000,D366,$P$2:$P$3000,"Yes")&gt;1),"Reference counted twice",IF(COUNTIF(Lists!$A$2:$A$7,I366)=0,"Unknown status","")))))</f>
        <v/>
      </c>
    </row>
    <row r="367" customFormat="false" ht="15" hidden="false" customHeight="false" outlineLevel="0" collapsed="false">
      <c r="AR367" s="29" t="str">
        <f aca="false">IF(A367="","",IF(COUNTIF(Parcels!$A$2:$A$3000,B367)=0,"Parcel not found",IF(COUNTIF($A$2:$A$3000,A367)&gt;1,"Duplicate perm_id",IF(AND(P367="Yes",D367&lt;&gt;"",COUNTIFS($C$2:$C$3000,D367,$P$2:$P$3000,"Yes")&gt;1),"Reference counted twice",IF(COUNTIF(Lists!$A$2:$A$7,I367)=0,"Unknown status","")))))</f>
        <v/>
      </c>
    </row>
    <row r="368" customFormat="false" ht="15" hidden="false" customHeight="false" outlineLevel="0" collapsed="false">
      <c r="AR368" s="29" t="str">
        <f aca="false">IF(A368="","",IF(COUNTIF(Parcels!$A$2:$A$3000,B368)=0,"Parcel not found",IF(COUNTIF($A$2:$A$3000,A368)&gt;1,"Duplicate perm_id",IF(AND(P368="Yes",D368&lt;&gt;"",COUNTIFS($C$2:$C$3000,D368,$P$2:$P$3000,"Yes")&gt;1),"Reference counted twice",IF(COUNTIF(Lists!$A$2:$A$7,I368)=0,"Unknown status","")))))</f>
        <v/>
      </c>
    </row>
    <row r="369" customFormat="false" ht="15" hidden="false" customHeight="false" outlineLevel="0" collapsed="false">
      <c r="AR369" s="29" t="str">
        <f aca="false">IF(A369="","",IF(COUNTIF(Parcels!$A$2:$A$3000,B369)=0,"Parcel not found",IF(COUNTIF($A$2:$A$3000,A369)&gt;1,"Duplicate perm_id",IF(AND(P369="Yes",D369&lt;&gt;"",COUNTIFS($C$2:$C$3000,D369,$P$2:$P$3000,"Yes")&gt;1),"Reference counted twice",IF(COUNTIF(Lists!$A$2:$A$7,I369)=0,"Unknown status","")))))</f>
        <v/>
      </c>
    </row>
    <row r="370" customFormat="false" ht="15" hidden="false" customHeight="false" outlineLevel="0" collapsed="false">
      <c r="AR370" s="29" t="str">
        <f aca="false">IF(A370="","",IF(COUNTIF(Parcels!$A$2:$A$3000,B370)=0,"Parcel not found",IF(COUNTIF($A$2:$A$3000,A370)&gt;1,"Duplicate perm_id",IF(AND(P370="Yes",D370&lt;&gt;"",COUNTIFS($C$2:$C$3000,D370,$P$2:$P$3000,"Yes")&gt;1),"Reference counted twice",IF(COUNTIF(Lists!$A$2:$A$7,I370)=0,"Unknown status","")))))</f>
        <v/>
      </c>
    </row>
    <row r="371" customFormat="false" ht="15" hidden="false" customHeight="false" outlineLevel="0" collapsed="false">
      <c r="AR371" s="29" t="str">
        <f aca="false">IF(A371="","",IF(COUNTIF(Parcels!$A$2:$A$3000,B371)=0,"Parcel not found",IF(COUNTIF($A$2:$A$3000,A371)&gt;1,"Duplicate perm_id",IF(AND(P371="Yes",D371&lt;&gt;"",COUNTIFS($C$2:$C$3000,D371,$P$2:$P$3000,"Yes")&gt;1),"Reference counted twice",IF(COUNTIF(Lists!$A$2:$A$7,I371)=0,"Unknown status","")))))</f>
        <v/>
      </c>
    </row>
    <row r="372" customFormat="false" ht="15" hidden="false" customHeight="false" outlineLevel="0" collapsed="false">
      <c r="AR372" s="29" t="str">
        <f aca="false">IF(A372="","",IF(COUNTIF(Parcels!$A$2:$A$3000,B372)=0,"Parcel not found",IF(COUNTIF($A$2:$A$3000,A372)&gt;1,"Duplicate perm_id",IF(AND(P372="Yes",D372&lt;&gt;"",COUNTIFS($C$2:$C$3000,D372,$P$2:$P$3000,"Yes")&gt;1),"Reference counted twice",IF(COUNTIF(Lists!$A$2:$A$7,I372)=0,"Unknown status","")))))</f>
        <v/>
      </c>
    </row>
    <row r="373" customFormat="false" ht="15" hidden="false" customHeight="false" outlineLevel="0" collapsed="false">
      <c r="AR373" s="29" t="str">
        <f aca="false">IF(A373="","",IF(COUNTIF(Parcels!$A$2:$A$3000,B373)=0,"Parcel not found",IF(COUNTIF($A$2:$A$3000,A373)&gt;1,"Duplicate perm_id",IF(AND(P373="Yes",D373&lt;&gt;"",COUNTIFS($C$2:$C$3000,D373,$P$2:$P$3000,"Yes")&gt;1),"Reference counted twice",IF(COUNTIF(Lists!$A$2:$A$7,I373)=0,"Unknown status","")))))</f>
        <v/>
      </c>
    </row>
    <row r="374" customFormat="false" ht="15" hidden="false" customHeight="false" outlineLevel="0" collapsed="false">
      <c r="AR374" s="29" t="str">
        <f aca="false">IF(A374="","",IF(COUNTIF(Parcels!$A$2:$A$3000,B374)=0,"Parcel not found",IF(COUNTIF($A$2:$A$3000,A374)&gt;1,"Duplicate perm_id",IF(AND(P374="Yes",D374&lt;&gt;"",COUNTIFS($C$2:$C$3000,D374,$P$2:$P$3000,"Yes")&gt;1),"Reference counted twice",IF(COUNTIF(Lists!$A$2:$A$7,I374)=0,"Unknown status","")))))</f>
        <v/>
      </c>
    </row>
    <row r="375" customFormat="false" ht="15" hidden="false" customHeight="false" outlineLevel="0" collapsed="false">
      <c r="AR375" s="29" t="str">
        <f aca="false">IF(A375="","",IF(COUNTIF(Parcels!$A$2:$A$3000,B375)=0,"Parcel not found",IF(COUNTIF($A$2:$A$3000,A375)&gt;1,"Duplicate perm_id",IF(AND(P375="Yes",D375&lt;&gt;"",COUNTIFS($C$2:$C$3000,D375,$P$2:$P$3000,"Yes")&gt;1),"Reference counted twice",IF(COUNTIF(Lists!$A$2:$A$7,I375)=0,"Unknown status","")))))</f>
        <v/>
      </c>
    </row>
    <row r="376" customFormat="false" ht="15" hidden="false" customHeight="false" outlineLevel="0" collapsed="false">
      <c r="AR376" s="29" t="str">
        <f aca="false">IF(A376="","",IF(COUNTIF(Parcels!$A$2:$A$3000,B376)=0,"Parcel not found",IF(COUNTIF($A$2:$A$3000,A376)&gt;1,"Duplicate perm_id",IF(AND(P376="Yes",D376&lt;&gt;"",COUNTIFS($C$2:$C$3000,D376,$P$2:$P$3000,"Yes")&gt;1),"Reference counted twice",IF(COUNTIF(Lists!$A$2:$A$7,I376)=0,"Unknown status","")))))</f>
        <v/>
      </c>
    </row>
    <row r="377" customFormat="false" ht="15" hidden="false" customHeight="false" outlineLevel="0" collapsed="false">
      <c r="AR377" s="29" t="str">
        <f aca="false">IF(A377="","",IF(COUNTIF(Parcels!$A$2:$A$3000,B377)=0,"Parcel not found",IF(COUNTIF($A$2:$A$3000,A377)&gt;1,"Duplicate perm_id",IF(AND(P377="Yes",D377&lt;&gt;"",COUNTIFS($C$2:$C$3000,D377,$P$2:$P$3000,"Yes")&gt;1),"Reference counted twice",IF(COUNTIF(Lists!$A$2:$A$7,I377)=0,"Unknown status","")))))</f>
        <v/>
      </c>
    </row>
    <row r="378" customFormat="false" ht="15" hidden="false" customHeight="false" outlineLevel="0" collapsed="false">
      <c r="AR378" s="29" t="str">
        <f aca="false">IF(A378="","",IF(COUNTIF(Parcels!$A$2:$A$3000,B378)=0,"Parcel not found",IF(COUNTIF($A$2:$A$3000,A378)&gt;1,"Duplicate perm_id",IF(AND(P378="Yes",D378&lt;&gt;"",COUNTIFS($C$2:$C$3000,D378,$P$2:$P$3000,"Yes")&gt;1),"Reference counted twice",IF(COUNTIF(Lists!$A$2:$A$7,I378)=0,"Unknown status","")))))</f>
        <v/>
      </c>
    </row>
    <row r="379" customFormat="false" ht="15" hidden="false" customHeight="false" outlineLevel="0" collapsed="false">
      <c r="AR379" s="29" t="str">
        <f aca="false">IF(A379="","",IF(COUNTIF(Parcels!$A$2:$A$3000,B379)=0,"Parcel not found",IF(COUNTIF($A$2:$A$3000,A379)&gt;1,"Duplicate perm_id",IF(AND(P379="Yes",D379&lt;&gt;"",COUNTIFS($C$2:$C$3000,D379,$P$2:$P$3000,"Yes")&gt;1),"Reference counted twice",IF(COUNTIF(Lists!$A$2:$A$7,I379)=0,"Unknown status","")))))</f>
        <v/>
      </c>
    </row>
    <row r="380" customFormat="false" ht="15" hidden="false" customHeight="false" outlineLevel="0" collapsed="false">
      <c r="AR380" s="29" t="str">
        <f aca="false">IF(A380="","",IF(COUNTIF(Parcels!$A$2:$A$3000,B380)=0,"Parcel not found",IF(COUNTIF($A$2:$A$3000,A380)&gt;1,"Duplicate perm_id",IF(AND(P380="Yes",D380&lt;&gt;"",COUNTIFS($C$2:$C$3000,D380,$P$2:$P$3000,"Yes")&gt;1),"Reference counted twice",IF(COUNTIF(Lists!$A$2:$A$7,I380)=0,"Unknown status","")))))</f>
        <v/>
      </c>
    </row>
    <row r="381" customFormat="false" ht="15" hidden="false" customHeight="false" outlineLevel="0" collapsed="false">
      <c r="AR381" s="29" t="str">
        <f aca="false">IF(A381="","",IF(COUNTIF(Parcels!$A$2:$A$3000,B381)=0,"Parcel not found",IF(COUNTIF($A$2:$A$3000,A381)&gt;1,"Duplicate perm_id",IF(AND(P381="Yes",D381&lt;&gt;"",COUNTIFS($C$2:$C$3000,D381,$P$2:$P$3000,"Yes")&gt;1),"Reference counted twice",IF(COUNTIF(Lists!$A$2:$A$7,I381)=0,"Unknown status","")))))</f>
        <v/>
      </c>
    </row>
    <row r="382" customFormat="false" ht="15" hidden="false" customHeight="false" outlineLevel="0" collapsed="false">
      <c r="AR382" s="29" t="str">
        <f aca="false">IF(A382="","",IF(COUNTIF(Parcels!$A$2:$A$3000,B382)=0,"Parcel not found",IF(COUNTIF($A$2:$A$3000,A382)&gt;1,"Duplicate perm_id",IF(AND(P382="Yes",D382&lt;&gt;"",COUNTIFS($C$2:$C$3000,D382,$P$2:$P$3000,"Yes")&gt;1),"Reference counted twice",IF(COUNTIF(Lists!$A$2:$A$7,I382)=0,"Unknown status","")))))</f>
        <v/>
      </c>
    </row>
    <row r="383" customFormat="false" ht="15" hidden="false" customHeight="false" outlineLevel="0" collapsed="false">
      <c r="AR383" s="29" t="str">
        <f aca="false">IF(A383="","",IF(COUNTIF(Parcels!$A$2:$A$3000,B383)=0,"Parcel not found",IF(COUNTIF($A$2:$A$3000,A383)&gt;1,"Duplicate perm_id",IF(AND(P383="Yes",D383&lt;&gt;"",COUNTIFS($C$2:$C$3000,D383,$P$2:$P$3000,"Yes")&gt;1),"Reference counted twice",IF(COUNTIF(Lists!$A$2:$A$7,I383)=0,"Unknown status","")))))</f>
        <v/>
      </c>
    </row>
    <row r="384" customFormat="false" ht="15" hidden="false" customHeight="false" outlineLevel="0" collapsed="false">
      <c r="AR384" s="29" t="str">
        <f aca="false">IF(A384="","",IF(COUNTIF(Parcels!$A$2:$A$3000,B384)=0,"Parcel not found",IF(COUNTIF($A$2:$A$3000,A384)&gt;1,"Duplicate perm_id",IF(AND(P384="Yes",D384&lt;&gt;"",COUNTIFS($C$2:$C$3000,D384,$P$2:$P$3000,"Yes")&gt;1),"Reference counted twice",IF(COUNTIF(Lists!$A$2:$A$7,I384)=0,"Unknown status","")))))</f>
        <v/>
      </c>
    </row>
    <row r="385" customFormat="false" ht="15" hidden="false" customHeight="false" outlineLevel="0" collapsed="false">
      <c r="AR385" s="29" t="str">
        <f aca="false">IF(A385="","",IF(COUNTIF(Parcels!$A$2:$A$3000,B385)=0,"Parcel not found",IF(COUNTIF($A$2:$A$3000,A385)&gt;1,"Duplicate perm_id",IF(AND(P385="Yes",D385&lt;&gt;"",COUNTIFS($C$2:$C$3000,D385,$P$2:$P$3000,"Yes")&gt;1),"Reference counted twice",IF(COUNTIF(Lists!$A$2:$A$7,I385)=0,"Unknown status","")))))</f>
        <v/>
      </c>
    </row>
    <row r="386" customFormat="false" ht="15" hidden="false" customHeight="false" outlineLevel="0" collapsed="false">
      <c r="AR386" s="29" t="str">
        <f aca="false">IF(A386="","",IF(COUNTIF(Parcels!$A$2:$A$3000,B386)=0,"Parcel not found",IF(COUNTIF($A$2:$A$3000,A386)&gt;1,"Duplicate perm_id",IF(AND(P386="Yes",D386&lt;&gt;"",COUNTIFS($C$2:$C$3000,D386,$P$2:$P$3000,"Yes")&gt;1),"Reference counted twice",IF(COUNTIF(Lists!$A$2:$A$7,I386)=0,"Unknown status","")))))</f>
        <v/>
      </c>
    </row>
    <row r="387" customFormat="false" ht="15" hidden="false" customHeight="false" outlineLevel="0" collapsed="false">
      <c r="AR387" s="29" t="str">
        <f aca="false">IF(A387="","",IF(COUNTIF(Parcels!$A$2:$A$3000,B387)=0,"Parcel not found",IF(COUNTIF($A$2:$A$3000,A387)&gt;1,"Duplicate perm_id",IF(AND(P387="Yes",D387&lt;&gt;"",COUNTIFS($C$2:$C$3000,D387,$P$2:$P$3000,"Yes")&gt;1),"Reference counted twice",IF(COUNTIF(Lists!$A$2:$A$7,I387)=0,"Unknown status","")))))</f>
        <v/>
      </c>
    </row>
    <row r="388" customFormat="false" ht="15" hidden="false" customHeight="false" outlineLevel="0" collapsed="false">
      <c r="AR388" s="29" t="str">
        <f aca="false">IF(A388="","",IF(COUNTIF(Parcels!$A$2:$A$3000,B388)=0,"Parcel not found",IF(COUNTIF($A$2:$A$3000,A388)&gt;1,"Duplicate perm_id",IF(AND(P388="Yes",D388&lt;&gt;"",COUNTIFS($C$2:$C$3000,D388,$P$2:$P$3000,"Yes")&gt;1),"Reference counted twice",IF(COUNTIF(Lists!$A$2:$A$7,I388)=0,"Unknown status","")))))</f>
        <v/>
      </c>
    </row>
    <row r="389" customFormat="false" ht="15" hidden="false" customHeight="false" outlineLevel="0" collapsed="false">
      <c r="AR389" s="29" t="str">
        <f aca="false">IF(A389="","",IF(COUNTIF(Parcels!$A$2:$A$3000,B389)=0,"Parcel not found",IF(COUNTIF($A$2:$A$3000,A389)&gt;1,"Duplicate perm_id",IF(AND(P389="Yes",D389&lt;&gt;"",COUNTIFS($C$2:$C$3000,D389,$P$2:$P$3000,"Yes")&gt;1),"Reference counted twice",IF(COUNTIF(Lists!$A$2:$A$7,I389)=0,"Unknown status","")))))</f>
        <v/>
      </c>
    </row>
    <row r="390" customFormat="false" ht="15" hidden="false" customHeight="false" outlineLevel="0" collapsed="false">
      <c r="AR390" s="29" t="str">
        <f aca="false">IF(A390="","",IF(COUNTIF(Parcels!$A$2:$A$3000,B390)=0,"Parcel not found",IF(COUNTIF($A$2:$A$3000,A390)&gt;1,"Duplicate perm_id",IF(AND(P390="Yes",D390&lt;&gt;"",COUNTIFS($C$2:$C$3000,D390,$P$2:$P$3000,"Yes")&gt;1),"Reference counted twice",IF(COUNTIF(Lists!$A$2:$A$7,I390)=0,"Unknown status","")))))</f>
        <v/>
      </c>
    </row>
    <row r="391" customFormat="false" ht="15" hidden="false" customHeight="false" outlineLevel="0" collapsed="false">
      <c r="AR391" s="29" t="str">
        <f aca="false">IF(A391="","",IF(COUNTIF(Parcels!$A$2:$A$3000,B391)=0,"Parcel not found",IF(COUNTIF($A$2:$A$3000,A391)&gt;1,"Duplicate perm_id",IF(AND(P391="Yes",D391&lt;&gt;"",COUNTIFS($C$2:$C$3000,D391,$P$2:$P$3000,"Yes")&gt;1),"Reference counted twice",IF(COUNTIF(Lists!$A$2:$A$7,I391)=0,"Unknown status","")))))</f>
        <v/>
      </c>
    </row>
    <row r="392" customFormat="false" ht="15" hidden="false" customHeight="false" outlineLevel="0" collapsed="false">
      <c r="AR392" s="29" t="str">
        <f aca="false">IF(A392="","",IF(COUNTIF(Parcels!$A$2:$A$3000,B392)=0,"Parcel not found",IF(COUNTIF($A$2:$A$3000,A392)&gt;1,"Duplicate perm_id",IF(AND(P392="Yes",D392&lt;&gt;"",COUNTIFS($C$2:$C$3000,D392,$P$2:$P$3000,"Yes")&gt;1),"Reference counted twice",IF(COUNTIF(Lists!$A$2:$A$7,I392)=0,"Unknown status","")))))</f>
        <v/>
      </c>
    </row>
    <row r="393" customFormat="false" ht="15" hidden="false" customHeight="false" outlineLevel="0" collapsed="false">
      <c r="AR393" s="29" t="str">
        <f aca="false">IF(A393="","",IF(COUNTIF(Parcels!$A$2:$A$3000,B393)=0,"Parcel not found",IF(COUNTIF($A$2:$A$3000,A393)&gt;1,"Duplicate perm_id",IF(AND(P393="Yes",D393&lt;&gt;"",COUNTIFS($C$2:$C$3000,D393,$P$2:$P$3000,"Yes")&gt;1),"Reference counted twice",IF(COUNTIF(Lists!$A$2:$A$7,I393)=0,"Unknown status","")))))</f>
        <v/>
      </c>
    </row>
    <row r="394" customFormat="false" ht="15" hidden="false" customHeight="false" outlineLevel="0" collapsed="false">
      <c r="AR394" s="29" t="str">
        <f aca="false">IF(A394="","",IF(COUNTIF(Parcels!$A$2:$A$3000,B394)=0,"Parcel not found",IF(COUNTIF($A$2:$A$3000,A394)&gt;1,"Duplicate perm_id",IF(AND(P394="Yes",D394&lt;&gt;"",COUNTIFS($C$2:$C$3000,D394,$P$2:$P$3000,"Yes")&gt;1),"Reference counted twice",IF(COUNTIF(Lists!$A$2:$A$7,I394)=0,"Unknown status","")))))</f>
        <v/>
      </c>
    </row>
    <row r="395" customFormat="false" ht="15" hidden="false" customHeight="false" outlineLevel="0" collapsed="false">
      <c r="AR395" s="29" t="str">
        <f aca="false">IF(A395="","",IF(COUNTIF(Parcels!$A$2:$A$3000,B395)=0,"Parcel not found",IF(COUNTIF($A$2:$A$3000,A395)&gt;1,"Duplicate perm_id",IF(AND(P395="Yes",D395&lt;&gt;"",COUNTIFS($C$2:$C$3000,D395,$P$2:$P$3000,"Yes")&gt;1),"Reference counted twice",IF(COUNTIF(Lists!$A$2:$A$7,I395)=0,"Unknown status","")))))</f>
        <v/>
      </c>
    </row>
    <row r="396" customFormat="false" ht="15" hidden="false" customHeight="false" outlineLevel="0" collapsed="false">
      <c r="AR396" s="29" t="str">
        <f aca="false">IF(A396="","",IF(COUNTIF(Parcels!$A$2:$A$3000,B396)=0,"Parcel not found",IF(COUNTIF($A$2:$A$3000,A396)&gt;1,"Duplicate perm_id",IF(AND(P396="Yes",D396&lt;&gt;"",COUNTIFS($C$2:$C$3000,D396,$P$2:$P$3000,"Yes")&gt;1),"Reference counted twice",IF(COUNTIF(Lists!$A$2:$A$7,I396)=0,"Unknown status","")))))</f>
        <v/>
      </c>
    </row>
    <row r="397" customFormat="false" ht="15" hidden="false" customHeight="false" outlineLevel="0" collapsed="false">
      <c r="AR397" s="29" t="str">
        <f aca="false">IF(A397="","",IF(COUNTIF(Parcels!$A$2:$A$3000,B397)=0,"Parcel not found",IF(COUNTIF($A$2:$A$3000,A397)&gt;1,"Duplicate perm_id",IF(AND(P397="Yes",D397&lt;&gt;"",COUNTIFS($C$2:$C$3000,D397,$P$2:$P$3000,"Yes")&gt;1),"Reference counted twice",IF(COUNTIF(Lists!$A$2:$A$7,I397)=0,"Unknown status","")))))</f>
        <v/>
      </c>
    </row>
    <row r="398" customFormat="false" ht="15" hidden="false" customHeight="false" outlineLevel="0" collapsed="false">
      <c r="AR398" s="29" t="str">
        <f aca="false">IF(A398="","",IF(COUNTIF(Parcels!$A$2:$A$3000,B398)=0,"Parcel not found",IF(COUNTIF($A$2:$A$3000,A398)&gt;1,"Duplicate perm_id",IF(AND(P398="Yes",D398&lt;&gt;"",COUNTIFS($C$2:$C$3000,D398,$P$2:$P$3000,"Yes")&gt;1),"Reference counted twice",IF(COUNTIF(Lists!$A$2:$A$7,I398)=0,"Unknown status","")))))</f>
        <v/>
      </c>
    </row>
    <row r="399" customFormat="false" ht="15" hidden="false" customHeight="false" outlineLevel="0" collapsed="false">
      <c r="AR399" s="29" t="str">
        <f aca="false">IF(A399="","",IF(COUNTIF(Parcels!$A$2:$A$3000,B399)=0,"Parcel not found",IF(COUNTIF($A$2:$A$3000,A399)&gt;1,"Duplicate perm_id",IF(AND(P399="Yes",D399&lt;&gt;"",COUNTIFS($C$2:$C$3000,D399,$P$2:$P$3000,"Yes")&gt;1),"Reference counted twice",IF(COUNTIF(Lists!$A$2:$A$7,I399)=0,"Unknown status","")))))</f>
        <v/>
      </c>
    </row>
    <row r="400" customFormat="false" ht="15" hidden="false" customHeight="false" outlineLevel="0" collapsed="false">
      <c r="AR400" s="29" t="str">
        <f aca="false">IF(A400="","",IF(COUNTIF(Parcels!$A$2:$A$3000,B400)=0,"Parcel not found",IF(COUNTIF($A$2:$A$3000,A400)&gt;1,"Duplicate perm_id",IF(AND(P400="Yes",D400&lt;&gt;"",COUNTIFS($C$2:$C$3000,D400,$P$2:$P$3000,"Yes")&gt;1),"Reference counted twice",IF(COUNTIF(Lists!$A$2:$A$7,I400)=0,"Unknown status","")))))</f>
        <v/>
      </c>
    </row>
    <row r="401" customFormat="false" ht="15" hidden="false" customHeight="false" outlineLevel="0" collapsed="false">
      <c r="AR401" s="29" t="str">
        <f aca="false">IF(A401="","",IF(COUNTIF(Parcels!$A$2:$A$3000,B401)=0,"Parcel not found",IF(COUNTIF($A$2:$A$3000,A401)&gt;1,"Duplicate perm_id",IF(AND(P401="Yes",D401&lt;&gt;"",COUNTIFS($C$2:$C$3000,D401,$P$2:$P$3000,"Yes")&gt;1),"Reference counted twice",IF(COUNTIF(Lists!$A$2:$A$7,I401)=0,"Unknown status","")))))</f>
        <v/>
      </c>
    </row>
    <row r="402" customFormat="false" ht="15" hidden="false" customHeight="false" outlineLevel="0" collapsed="false">
      <c r="AR402" s="29" t="str">
        <f aca="false">IF(A402="","",IF(COUNTIF(Parcels!$A$2:$A$3000,B402)=0,"Parcel not found",IF(COUNTIF($A$2:$A$3000,A402)&gt;1,"Duplicate perm_id",IF(AND(P402="Yes",D402&lt;&gt;"",COUNTIFS($C$2:$C$3000,D402,$P$2:$P$3000,"Yes")&gt;1),"Reference counted twice",IF(COUNTIF(Lists!$A$2:$A$7,I402)=0,"Unknown status","")))))</f>
        <v/>
      </c>
    </row>
    <row r="403" customFormat="false" ht="15" hidden="false" customHeight="false" outlineLevel="0" collapsed="false">
      <c r="AR403" s="29" t="str">
        <f aca="false">IF(A403="","",IF(COUNTIF(Parcels!$A$2:$A$3000,B403)=0,"Parcel not found",IF(COUNTIF($A$2:$A$3000,A403)&gt;1,"Duplicate perm_id",IF(AND(P403="Yes",D403&lt;&gt;"",COUNTIFS($C$2:$C$3000,D403,$P$2:$P$3000,"Yes")&gt;1),"Reference counted twice",IF(COUNTIF(Lists!$A$2:$A$7,I403)=0,"Unknown status","")))))</f>
        <v/>
      </c>
    </row>
    <row r="404" customFormat="false" ht="15" hidden="false" customHeight="false" outlineLevel="0" collapsed="false">
      <c r="AR404" s="29" t="str">
        <f aca="false">IF(A404="","",IF(COUNTIF(Parcels!$A$2:$A$3000,B404)=0,"Parcel not found",IF(COUNTIF($A$2:$A$3000,A404)&gt;1,"Duplicate perm_id",IF(AND(P404="Yes",D404&lt;&gt;"",COUNTIFS($C$2:$C$3000,D404,$P$2:$P$3000,"Yes")&gt;1),"Reference counted twice",IF(COUNTIF(Lists!$A$2:$A$7,I404)=0,"Unknown status","")))))</f>
        <v/>
      </c>
    </row>
    <row r="405" customFormat="false" ht="15" hidden="false" customHeight="false" outlineLevel="0" collapsed="false">
      <c r="AR405" s="29" t="str">
        <f aca="false">IF(A405="","",IF(COUNTIF(Parcels!$A$2:$A$3000,B405)=0,"Parcel not found",IF(COUNTIF($A$2:$A$3000,A405)&gt;1,"Duplicate perm_id",IF(AND(P405="Yes",D405&lt;&gt;"",COUNTIFS($C$2:$C$3000,D405,$P$2:$P$3000,"Yes")&gt;1),"Reference counted twice",IF(COUNTIF(Lists!$A$2:$A$7,I405)=0,"Unknown status","")))))</f>
        <v/>
      </c>
    </row>
    <row r="406" customFormat="false" ht="15" hidden="false" customHeight="false" outlineLevel="0" collapsed="false">
      <c r="AR406" s="29" t="str">
        <f aca="false">IF(A406="","",IF(COUNTIF(Parcels!$A$2:$A$3000,B406)=0,"Parcel not found",IF(COUNTIF($A$2:$A$3000,A406)&gt;1,"Duplicate perm_id",IF(AND(P406="Yes",D406&lt;&gt;"",COUNTIFS($C$2:$C$3000,D406,$P$2:$P$3000,"Yes")&gt;1),"Reference counted twice",IF(COUNTIF(Lists!$A$2:$A$7,I406)=0,"Unknown status","")))))</f>
        <v/>
      </c>
    </row>
    <row r="407" customFormat="false" ht="15" hidden="false" customHeight="false" outlineLevel="0" collapsed="false">
      <c r="AR407" s="29" t="str">
        <f aca="false">IF(A407="","",IF(COUNTIF(Parcels!$A$2:$A$3000,B407)=0,"Parcel not found",IF(COUNTIF($A$2:$A$3000,A407)&gt;1,"Duplicate perm_id",IF(AND(P407="Yes",D407&lt;&gt;"",COUNTIFS($C$2:$C$3000,D407,$P$2:$P$3000,"Yes")&gt;1),"Reference counted twice",IF(COUNTIF(Lists!$A$2:$A$7,I407)=0,"Unknown status","")))))</f>
        <v/>
      </c>
    </row>
    <row r="408" customFormat="false" ht="15" hidden="false" customHeight="false" outlineLevel="0" collapsed="false">
      <c r="AR408" s="29" t="str">
        <f aca="false">IF(A408="","",IF(COUNTIF(Parcels!$A$2:$A$3000,B408)=0,"Parcel not found",IF(COUNTIF($A$2:$A$3000,A408)&gt;1,"Duplicate perm_id",IF(AND(P408="Yes",D408&lt;&gt;"",COUNTIFS($C$2:$C$3000,D408,$P$2:$P$3000,"Yes")&gt;1),"Reference counted twice",IF(COUNTIF(Lists!$A$2:$A$7,I408)=0,"Unknown status","")))))</f>
        <v/>
      </c>
    </row>
    <row r="409" customFormat="false" ht="15" hidden="false" customHeight="false" outlineLevel="0" collapsed="false">
      <c r="AR409" s="29" t="str">
        <f aca="false">IF(A409="","",IF(COUNTIF(Parcels!$A$2:$A$3000,B409)=0,"Parcel not found",IF(COUNTIF($A$2:$A$3000,A409)&gt;1,"Duplicate perm_id",IF(AND(P409="Yes",D409&lt;&gt;"",COUNTIFS($C$2:$C$3000,D409,$P$2:$P$3000,"Yes")&gt;1),"Reference counted twice",IF(COUNTIF(Lists!$A$2:$A$7,I409)=0,"Unknown status","")))))</f>
        <v/>
      </c>
    </row>
    <row r="410" customFormat="false" ht="15" hidden="false" customHeight="false" outlineLevel="0" collapsed="false">
      <c r="AR410" s="29" t="str">
        <f aca="false">IF(A410="","",IF(COUNTIF(Parcels!$A$2:$A$3000,B410)=0,"Parcel not found",IF(COUNTIF($A$2:$A$3000,A410)&gt;1,"Duplicate perm_id",IF(AND(P410="Yes",D410&lt;&gt;"",COUNTIFS($C$2:$C$3000,D410,$P$2:$P$3000,"Yes")&gt;1),"Reference counted twice",IF(COUNTIF(Lists!$A$2:$A$7,I410)=0,"Unknown status","")))))</f>
        <v/>
      </c>
    </row>
    <row r="411" customFormat="false" ht="15" hidden="false" customHeight="false" outlineLevel="0" collapsed="false">
      <c r="AR411" s="29" t="str">
        <f aca="false">IF(A411="","",IF(COUNTIF(Parcels!$A$2:$A$3000,B411)=0,"Parcel not found",IF(COUNTIF($A$2:$A$3000,A411)&gt;1,"Duplicate perm_id",IF(AND(P411="Yes",D411&lt;&gt;"",COUNTIFS($C$2:$C$3000,D411,$P$2:$P$3000,"Yes")&gt;1),"Reference counted twice",IF(COUNTIF(Lists!$A$2:$A$7,I411)=0,"Unknown status","")))))</f>
        <v/>
      </c>
    </row>
    <row r="412" customFormat="false" ht="15" hidden="false" customHeight="false" outlineLevel="0" collapsed="false">
      <c r="AR412" s="29" t="str">
        <f aca="false">IF(A412="","",IF(COUNTIF(Parcels!$A$2:$A$3000,B412)=0,"Parcel not found",IF(COUNTIF($A$2:$A$3000,A412)&gt;1,"Duplicate perm_id",IF(AND(P412="Yes",D412&lt;&gt;"",COUNTIFS($C$2:$C$3000,D412,$P$2:$P$3000,"Yes")&gt;1),"Reference counted twice",IF(COUNTIF(Lists!$A$2:$A$7,I412)=0,"Unknown status","")))))</f>
        <v/>
      </c>
    </row>
    <row r="413" customFormat="false" ht="15" hidden="false" customHeight="false" outlineLevel="0" collapsed="false">
      <c r="AR413" s="29" t="str">
        <f aca="false">IF(A413="","",IF(COUNTIF(Parcels!$A$2:$A$3000,B413)=0,"Parcel not found",IF(COUNTIF($A$2:$A$3000,A413)&gt;1,"Duplicate perm_id",IF(AND(P413="Yes",D413&lt;&gt;"",COUNTIFS($C$2:$C$3000,D413,$P$2:$P$3000,"Yes")&gt;1),"Reference counted twice",IF(COUNTIF(Lists!$A$2:$A$7,I413)=0,"Unknown status","")))))</f>
        <v/>
      </c>
    </row>
    <row r="414" customFormat="false" ht="15" hidden="false" customHeight="false" outlineLevel="0" collapsed="false">
      <c r="AR414" s="29" t="str">
        <f aca="false">IF(A414="","",IF(COUNTIF(Parcels!$A$2:$A$3000,B414)=0,"Parcel not found",IF(COUNTIF($A$2:$A$3000,A414)&gt;1,"Duplicate perm_id",IF(AND(P414="Yes",D414&lt;&gt;"",COUNTIFS($C$2:$C$3000,D414,$P$2:$P$3000,"Yes")&gt;1),"Reference counted twice",IF(COUNTIF(Lists!$A$2:$A$7,I414)=0,"Unknown status","")))))</f>
        <v/>
      </c>
    </row>
    <row r="415" customFormat="false" ht="15" hidden="false" customHeight="false" outlineLevel="0" collapsed="false">
      <c r="AR415" s="29" t="str">
        <f aca="false">IF(A415="","",IF(COUNTIF(Parcels!$A$2:$A$3000,B415)=0,"Parcel not found",IF(COUNTIF($A$2:$A$3000,A415)&gt;1,"Duplicate perm_id",IF(AND(P415="Yes",D415&lt;&gt;"",COUNTIFS($C$2:$C$3000,D415,$P$2:$P$3000,"Yes")&gt;1),"Reference counted twice",IF(COUNTIF(Lists!$A$2:$A$7,I415)=0,"Unknown status","")))))</f>
        <v/>
      </c>
    </row>
    <row r="416" customFormat="false" ht="15" hidden="false" customHeight="false" outlineLevel="0" collapsed="false">
      <c r="AR416" s="29" t="str">
        <f aca="false">IF(A416="","",IF(COUNTIF(Parcels!$A$2:$A$3000,B416)=0,"Parcel not found",IF(COUNTIF($A$2:$A$3000,A416)&gt;1,"Duplicate perm_id",IF(AND(P416="Yes",D416&lt;&gt;"",COUNTIFS($C$2:$C$3000,D416,$P$2:$P$3000,"Yes")&gt;1),"Reference counted twice",IF(COUNTIF(Lists!$A$2:$A$7,I416)=0,"Unknown status","")))))</f>
        <v/>
      </c>
    </row>
    <row r="417" customFormat="false" ht="15" hidden="false" customHeight="false" outlineLevel="0" collapsed="false">
      <c r="AR417" s="29" t="str">
        <f aca="false">IF(A417="","",IF(COUNTIF(Parcels!$A$2:$A$3000,B417)=0,"Parcel not found",IF(COUNTIF($A$2:$A$3000,A417)&gt;1,"Duplicate perm_id",IF(AND(P417="Yes",D417&lt;&gt;"",COUNTIFS($C$2:$C$3000,D417,$P$2:$P$3000,"Yes")&gt;1),"Reference counted twice",IF(COUNTIF(Lists!$A$2:$A$7,I417)=0,"Unknown status","")))))</f>
        <v/>
      </c>
    </row>
    <row r="418" customFormat="false" ht="15" hidden="false" customHeight="false" outlineLevel="0" collapsed="false">
      <c r="AR418" s="29" t="str">
        <f aca="false">IF(A418="","",IF(COUNTIF(Parcels!$A$2:$A$3000,B418)=0,"Parcel not found",IF(COUNTIF($A$2:$A$3000,A418)&gt;1,"Duplicate perm_id",IF(AND(P418="Yes",D418&lt;&gt;"",COUNTIFS($C$2:$C$3000,D418,$P$2:$P$3000,"Yes")&gt;1),"Reference counted twice",IF(COUNTIF(Lists!$A$2:$A$7,I418)=0,"Unknown status","")))))</f>
        <v/>
      </c>
    </row>
    <row r="419" customFormat="false" ht="15" hidden="false" customHeight="false" outlineLevel="0" collapsed="false">
      <c r="AR419" s="29" t="str">
        <f aca="false">IF(A419="","",IF(COUNTIF(Parcels!$A$2:$A$3000,B419)=0,"Parcel not found",IF(COUNTIF($A$2:$A$3000,A419)&gt;1,"Duplicate perm_id",IF(AND(P419="Yes",D419&lt;&gt;"",COUNTIFS($C$2:$C$3000,D419,$P$2:$P$3000,"Yes")&gt;1),"Reference counted twice",IF(COUNTIF(Lists!$A$2:$A$7,I419)=0,"Unknown status","")))))</f>
        <v/>
      </c>
    </row>
    <row r="420" customFormat="false" ht="15" hidden="false" customHeight="false" outlineLevel="0" collapsed="false">
      <c r="AR420" s="29" t="str">
        <f aca="false">IF(A420="","",IF(COUNTIF(Parcels!$A$2:$A$3000,B420)=0,"Parcel not found",IF(COUNTIF($A$2:$A$3000,A420)&gt;1,"Duplicate perm_id",IF(AND(P420="Yes",D420&lt;&gt;"",COUNTIFS($C$2:$C$3000,D420,$P$2:$P$3000,"Yes")&gt;1),"Reference counted twice",IF(COUNTIF(Lists!$A$2:$A$7,I420)=0,"Unknown status","")))))</f>
        <v/>
      </c>
    </row>
    <row r="421" customFormat="false" ht="15" hidden="false" customHeight="false" outlineLevel="0" collapsed="false">
      <c r="AR421" s="29" t="str">
        <f aca="false">IF(A421="","",IF(COUNTIF(Parcels!$A$2:$A$3000,B421)=0,"Parcel not found",IF(COUNTIF($A$2:$A$3000,A421)&gt;1,"Duplicate perm_id",IF(AND(P421="Yes",D421&lt;&gt;"",COUNTIFS($C$2:$C$3000,D421,$P$2:$P$3000,"Yes")&gt;1),"Reference counted twice",IF(COUNTIF(Lists!$A$2:$A$7,I421)=0,"Unknown status","")))))</f>
        <v/>
      </c>
    </row>
    <row r="422" customFormat="false" ht="15" hidden="false" customHeight="false" outlineLevel="0" collapsed="false">
      <c r="AR422" s="29" t="str">
        <f aca="false">IF(A422="","",IF(COUNTIF(Parcels!$A$2:$A$3000,B422)=0,"Parcel not found",IF(COUNTIF($A$2:$A$3000,A422)&gt;1,"Duplicate perm_id",IF(AND(P422="Yes",D422&lt;&gt;"",COUNTIFS($C$2:$C$3000,D422,$P$2:$P$3000,"Yes")&gt;1),"Reference counted twice",IF(COUNTIF(Lists!$A$2:$A$7,I422)=0,"Unknown status","")))))</f>
        <v/>
      </c>
    </row>
    <row r="423" customFormat="false" ht="15" hidden="false" customHeight="false" outlineLevel="0" collapsed="false">
      <c r="AR423" s="29" t="str">
        <f aca="false">IF(A423="","",IF(COUNTIF(Parcels!$A$2:$A$3000,B423)=0,"Parcel not found",IF(COUNTIF($A$2:$A$3000,A423)&gt;1,"Duplicate perm_id",IF(AND(P423="Yes",D423&lt;&gt;"",COUNTIFS($C$2:$C$3000,D423,$P$2:$P$3000,"Yes")&gt;1),"Reference counted twice",IF(COUNTIF(Lists!$A$2:$A$7,I423)=0,"Unknown status","")))))</f>
        <v/>
      </c>
    </row>
    <row r="424" customFormat="false" ht="15" hidden="false" customHeight="false" outlineLevel="0" collapsed="false">
      <c r="AR424" s="29" t="str">
        <f aca="false">IF(A424="","",IF(COUNTIF(Parcels!$A$2:$A$3000,B424)=0,"Parcel not found",IF(COUNTIF($A$2:$A$3000,A424)&gt;1,"Duplicate perm_id",IF(AND(P424="Yes",D424&lt;&gt;"",COUNTIFS($C$2:$C$3000,D424,$P$2:$P$3000,"Yes")&gt;1),"Reference counted twice",IF(COUNTIF(Lists!$A$2:$A$7,I424)=0,"Unknown status","")))))</f>
        <v/>
      </c>
    </row>
    <row r="425" customFormat="false" ht="15" hidden="false" customHeight="false" outlineLevel="0" collapsed="false">
      <c r="AR425" s="29" t="str">
        <f aca="false">IF(A425="","",IF(COUNTIF(Parcels!$A$2:$A$3000,B425)=0,"Parcel not found",IF(COUNTIF($A$2:$A$3000,A425)&gt;1,"Duplicate perm_id",IF(AND(P425="Yes",D425&lt;&gt;"",COUNTIFS($C$2:$C$3000,D425,$P$2:$P$3000,"Yes")&gt;1),"Reference counted twice",IF(COUNTIF(Lists!$A$2:$A$7,I425)=0,"Unknown status","")))))</f>
        <v/>
      </c>
    </row>
    <row r="426" customFormat="false" ht="15" hidden="false" customHeight="false" outlineLevel="0" collapsed="false">
      <c r="AR426" s="29" t="str">
        <f aca="false">IF(A426="","",IF(COUNTIF(Parcels!$A$2:$A$3000,B426)=0,"Parcel not found",IF(COUNTIF($A$2:$A$3000,A426)&gt;1,"Duplicate perm_id",IF(AND(P426="Yes",D426&lt;&gt;"",COUNTIFS($C$2:$C$3000,D426,$P$2:$P$3000,"Yes")&gt;1),"Reference counted twice",IF(COUNTIF(Lists!$A$2:$A$7,I426)=0,"Unknown status","")))))</f>
        <v/>
      </c>
    </row>
    <row r="427" customFormat="false" ht="15" hidden="false" customHeight="false" outlineLevel="0" collapsed="false">
      <c r="AR427" s="29" t="str">
        <f aca="false">IF(A427="","",IF(COUNTIF(Parcels!$A$2:$A$3000,B427)=0,"Parcel not found",IF(COUNTIF($A$2:$A$3000,A427)&gt;1,"Duplicate perm_id",IF(AND(P427="Yes",D427&lt;&gt;"",COUNTIFS($C$2:$C$3000,D427,$P$2:$P$3000,"Yes")&gt;1),"Reference counted twice",IF(COUNTIF(Lists!$A$2:$A$7,I427)=0,"Unknown status","")))))</f>
        <v/>
      </c>
    </row>
    <row r="428" customFormat="false" ht="15" hidden="false" customHeight="false" outlineLevel="0" collapsed="false">
      <c r="AR428" s="29" t="str">
        <f aca="false">IF(A428="","",IF(COUNTIF(Parcels!$A$2:$A$3000,B428)=0,"Parcel not found",IF(COUNTIF($A$2:$A$3000,A428)&gt;1,"Duplicate perm_id",IF(AND(P428="Yes",D428&lt;&gt;"",COUNTIFS($C$2:$C$3000,D428,$P$2:$P$3000,"Yes")&gt;1),"Reference counted twice",IF(COUNTIF(Lists!$A$2:$A$7,I428)=0,"Unknown status","")))))</f>
        <v/>
      </c>
    </row>
    <row r="429" customFormat="false" ht="15" hidden="false" customHeight="false" outlineLevel="0" collapsed="false">
      <c r="AR429" s="29" t="str">
        <f aca="false">IF(A429="","",IF(COUNTIF(Parcels!$A$2:$A$3000,B429)=0,"Parcel not found",IF(COUNTIF($A$2:$A$3000,A429)&gt;1,"Duplicate perm_id",IF(AND(P429="Yes",D429&lt;&gt;"",COUNTIFS($C$2:$C$3000,D429,$P$2:$P$3000,"Yes")&gt;1),"Reference counted twice",IF(COUNTIF(Lists!$A$2:$A$7,I429)=0,"Unknown status","")))))</f>
        <v/>
      </c>
    </row>
    <row r="430" customFormat="false" ht="15" hidden="false" customHeight="false" outlineLevel="0" collapsed="false">
      <c r="AR430" s="29" t="str">
        <f aca="false">IF(A430="","",IF(COUNTIF(Parcels!$A$2:$A$3000,B430)=0,"Parcel not found",IF(COUNTIF($A$2:$A$3000,A430)&gt;1,"Duplicate perm_id",IF(AND(P430="Yes",D430&lt;&gt;"",COUNTIFS($C$2:$C$3000,D430,$P$2:$P$3000,"Yes")&gt;1),"Reference counted twice",IF(COUNTIF(Lists!$A$2:$A$7,I430)=0,"Unknown status","")))))</f>
        <v/>
      </c>
    </row>
    <row r="431" customFormat="false" ht="15" hidden="false" customHeight="false" outlineLevel="0" collapsed="false">
      <c r="AR431" s="29" t="str">
        <f aca="false">IF(A431="","",IF(COUNTIF(Parcels!$A$2:$A$3000,B431)=0,"Parcel not found",IF(COUNTIF($A$2:$A$3000,A431)&gt;1,"Duplicate perm_id",IF(AND(P431="Yes",D431&lt;&gt;"",COUNTIFS($C$2:$C$3000,D431,$P$2:$P$3000,"Yes")&gt;1),"Reference counted twice",IF(COUNTIF(Lists!$A$2:$A$7,I431)=0,"Unknown status","")))))</f>
        <v/>
      </c>
    </row>
    <row r="432" customFormat="false" ht="15" hidden="false" customHeight="false" outlineLevel="0" collapsed="false">
      <c r="AR432" s="29" t="str">
        <f aca="false">IF(A432="","",IF(COUNTIF(Parcels!$A$2:$A$3000,B432)=0,"Parcel not found",IF(COUNTIF($A$2:$A$3000,A432)&gt;1,"Duplicate perm_id",IF(AND(P432="Yes",D432&lt;&gt;"",COUNTIFS($C$2:$C$3000,D432,$P$2:$P$3000,"Yes")&gt;1),"Reference counted twice",IF(COUNTIF(Lists!$A$2:$A$7,I432)=0,"Unknown status","")))))</f>
        <v/>
      </c>
    </row>
    <row r="433" customFormat="false" ht="15" hidden="false" customHeight="false" outlineLevel="0" collapsed="false">
      <c r="AR433" s="29" t="str">
        <f aca="false">IF(A433="","",IF(COUNTIF(Parcels!$A$2:$A$3000,B433)=0,"Parcel not found",IF(COUNTIF($A$2:$A$3000,A433)&gt;1,"Duplicate perm_id",IF(AND(P433="Yes",D433&lt;&gt;"",COUNTIFS($C$2:$C$3000,D433,$P$2:$P$3000,"Yes")&gt;1),"Reference counted twice",IF(COUNTIF(Lists!$A$2:$A$7,I433)=0,"Unknown status","")))))</f>
        <v/>
      </c>
    </row>
    <row r="434" customFormat="false" ht="15" hidden="false" customHeight="false" outlineLevel="0" collapsed="false">
      <c r="AR434" s="29" t="str">
        <f aca="false">IF(A434="","",IF(COUNTIF(Parcels!$A$2:$A$3000,B434)=0,"Parcel not found",IF(COUNTIF($A$2:$A$3000,A434)&gt;1,"Duplicate perm_id",IF(AND(P434="Yes",D434&lt;&gt;"",COUNTIFS($C$2:$C$3000,D434,$P$2:$P$3000,"Yes")&gt;1),"Reference counted twice",IF(COUNTIF(Lists!$A$2:$A$7,I434)=0,"Unknown status","")))))</f>
        <v/>
      </c>
    </row>
    <row r="435" customFormat="false" ht="15" hidden="false" customHeight="false" outlineLevel="0" collapsed="false">
      <c r="AR435" s="29" t="str">
        <f aca="false">IF(A435="","",IF(COUNTIF(Parcels!$A$2:$A$3000,B435)=0,"Parcel not found",IF(COUNTIF($A$2:$A$3000,A435)&gt;1,"Duplicate perm_id",IF(AND(P435="Yes",D435&lt;&gt;"",COUNTIFS($C$2:$C$3000,D435,$P$2:$P$3000,"Yes")&gt;1),"Reference counted twice",IF(COUNTIF(Lists!$A$2:$A$7,I435)=0,"Unknown status","")))))</f>
        <v/>
      </c>
    </row>
    <row r="436" customFormat="false" ht="15" hidden="false" customHeight="false" outlineLevel="0" collapsed="false">
      <c r="AR436" s="29" t="str">
        <f aca="false">IF(A436="","",IF(COUNTIF(Parcels!$A$2:$A$3000,B436)=0,"Parcel not found",IF(COUNTIF($A$2:$A$3000,A436)&gt;1,"Duplicate perm_id",IF(AND(P436="Yes",D436&lt;&gt;"",COUNTIFS($C$2:$C$3000,D436,$P$2:$P$3000,"Yes")&gt;1),"Reference counted twice",IF(COUNTIF(Lists!$A$2:$A$7,I436)=0,"Unknown status","")))))</f>
        <v/>
      </c>
    </row>
    <row r="437" customFormat="false" ht="15" hidden="false" customHeight="false" outlineLevel="0" collapsed="false">
      <c r="AR437" s="29" t="str">
        <f aca="false">IF(A437="","",IF(COUNTIF(Parcels!$A$2:$A$3000,B437)=0,"Parcel not found",IF(COUNTIF($A$2:$A$3000,A437)&gt;1,"Duplicate perm_id",IF(AND(P437="Yes",D437&lt;&gt;"",COUNTIFS($C$2:$C$3000,D437,$P$2:$P$3000,"Yes")&gt;1),"Reference counted twice",IF(COUNTIF(Lists!$A$2:$A$7,I437)=0,"Unknown status","")))))</f>
        <v/>
      </c>
    </row>
    <row r="438" customFormat="false" ht="15" hidden="false" customHeight="false" outlineLevel="0" collapsed="false">
      <c r="AR438" s="29" t="str">
        <f aca="false">IF(A438="","",IF(COUNTIF(Parcels!$A$2:$A$3000,B438)=0,"Parcel not found",IF(COUNTIF($A$2:$A$3000,A438)&gt;1,"Duplicate perm_id",IF(AND(P438="Yes",D438&lt;&gt;"",COUNTIFS($C$2:$C$3000,D438,$P$2:$P$3000,"Yes")&gt;1),"Reference counted twice",IF(COUNTIF(Lists!$A$2:$A$7,I438)=0,"Unknown status","")))))</f>
        <v/>
      </c>
    </row>
    <row r="439" customFormat="false" ht="15" hidden="false" customHeight="false" outlineLevel="0" collapsed="false">
      <c r="AR439" s="29" t="str">
        <f aca="false">IF(A439="","",IF(COUNTIF(Parcels!$A$2:$A$3000,B439)=0,"Parcel not found",IF(COUNTIF($A$2:$A$3000,A439)&gt;1,"Duplicate perm_id",IF(AND(P439="Yes",D439&lt;&gt;"",COUNTIFS($C$2:$C$3000,D439,$P$2:$P$3000,"Yes")&gt;1),"Reference counted twice",IF(COUNTIF(Lists!$A$2:$A$7,I439)=0,"Unknown status","")))))</f>
        <v/>
      </c>
    </row>
    <row r="440" customFormat="false" ht="15" hidden="false" customHeight="false" outlineLevel="0" collapsed="false">
      <c r="AR440" s="29" t="str">
        <f aca="false">IF(A440="","",IF(COUNTIF(Parcels!$A$2:$A$3000,B440)=0,"Parcel not found",IF(COUNTIF($A$2:$A$3000,A440)&gt;1,"Duplicate perm_id",IF(AND(P440="Yes",D440&lt;&gt;"",COUNTIFS($C$2:$C$3000,D440,$P$2:$P$3000,"Yes")&gt;1),"Reference counted twice",IF(COUNTIF(Lists!$A$2:$A$7,I440)=0,"Unknown status","")))))</f>
        <v/>
      </c>
    </row>
    <row r="441" customFormat="false" ht="15" hidden="false" customHeight="false" outlineLevel="0" collapsed="false">
      <c r="AR441" s="29" t="str">
        <f aca="false">IF(A441="","",IF(COUNTIF(Parcels!$A$2:$A$3000,B441)=0,"Parcel not found",IF(COUNTIF($A$2:$A$3000,A441)&gt;1,"Duplicate perm_id",IF(AND(P441="Yes",D441&lt;&gt;"",COUNTIFS($C$2:$C$3000,D441,$P$2:$P$3000,"Yes")&gt;1),"Reference counted twice",IF(COUNTIF(Lists!$A$2:$A$7,I441)=0,"Unknown status","")))))</f>
        <v/>
      </c>
    </row>
    <row r="442" customFormat="false" ht="15" hidden="false" customHeight="false" outlineLevel="0" collapsed="false">
      <c r="AR442" s="29" t="str">
        <f aca="false">IF(A442="","",IF(COUNTIF(Parcels!$A$2:$A$3000,B442)=0,"Parcel not found",IF(COUNTIF($A$2:$A$3000,A442)&gt;1,"Duplicate perm_id",IF(AND(P442="Yes",D442&lt;&gt;"",COUNTIFS($C$2:$C$3000,D442,$P$2:$P$3000,"Yes")&gt;1),"Reference counted twice",IF(COUNTIF(Lists!$A$2:$A$7,I442)=0,"Unknown status","")))))</f>
        <v/>
      </c>
    </row>
    <row r="443" customFormat="false" ht="15" hidden="false" customHeight="false" outlineLevel="0" collapsed="false">
      <c r="AR443" s="29" t="str">
        <f aca="false">IF(A443="","",IF(COUNTIF(Parcels!$A$2:$A$3000,B443)=0,"Parcel not found",IF(COUNTIF($A$2:$A$3000,A443)&gt;1,"Duplicate perm_id",IF(AND(P443="Yes",D443&lt;&gt;"",COUNTIFS($C$2:$C$3000,D443,$P$2:$P$3000,"Yes")&gt;1),"Reference counted twice",IF(COUNTIF(Lists!$A$2:$A$7,I443)=0,"Unknown status","")))))</f>
        <v/>
      </c>
    </row>
    <row r="444" customFormat="false" ht="15" hidden="false" customHeight="false" outlineLevel="0" collapsed="false">
      <c r="AR444" s="29" t="str">
        <f aca="false">IF(A444="","",IF(COUNTIF(Parcels!$A$2:$A$3000,B444)=0,"Parcel not found",IF(COUNTIF($A$2:$A$3000,A444)&gt;1,"Duplicate perm_id",IF(AND(P444="Yes",D444&lt;&gt;"",COUNTIFS($C$2:$C$3000,D444,$P$2:$P$3000,"Yes")&gt;1),"Reference counted twice",IF(COUNTIF(Lists!$A$2:$A$7,I444)=0,"Unknown status","")))))</f>
        <v/>
      </c>
    </row>
    <row r="445" customFormat="false" ht="15" hidden="false" customHeight="false" outlineLevel="0" collapsed="false">
      <c r="AR445" s="29" t="str">
        <f aca="false">IF(A445="","",IF(COUNTIF(Parcels!$A$2:$A$3000,B445)=0,"Parcel not found",IF(COUNTIF($A$2:$A$3000,A445)&gt;1,"Duplicate perm_id",IF(AND(P445="Yes",D445&lt;&gt;"",COUNTIFS($C$2:$C$3000,D445,$P$2:$P$3000,"Yes")&gt;1),"Reference counted twice",IF(COUNTIF(Lists!$A$2:$A$7,I445)=0,"Unknown status","")))))</f>
        <v/>
      </c>
    </row>
    <row r="446" customFormat="false" ht="15" hidden="false" customHeight="false" outlineLevel="0" collapsed="false">
      <c r="AR446" s="29" t="str">
        <f aca="false">IF(A446="","",IF(COUNTIF(Parcels!$A$2:$A$3000,B446)=0,"Parcel not found",IF(COUNTIF($A$2:$A$3000,A446)&gt;1,"Duplicate perm_id",IF(AND(P446="Yes",D446&lt;&gt;"",COUNTIFS($C$2:$C$3000,D446,$P$2:$P$3000,"Yes")&gt;1),"Reference counted twice",IF(COUNTIF(Lists!$A$2:$A$7,I446)=0,"Unknown status","")))))</f>
        <v/>
      </c>
    </row>
    <row r="447" customFormat="false" ht="15" hidden="false" customHeight="false" outlineLevel="0" collapsed="false">
      <c r="AR447" s="29" t="str">
        <f aca="false">IF(A447="","",IF(COUNTIF(Parcels!$A$2:$A$3000,B447)=0,"Parcel not found",IF(COUNTIF($A$2:$A$3000,A447)&gt;1,"Duplicate perm_id",IF(AND(P447="Yes",D447&lt;&gt;"",COUNTIFS($C$2:$C$3000,D447,$P$2:$P$3000,"Yes")&gt;1),"Reference counted twice",IF(COUNTIF(Lists!$A$2:$A$7,I447)=0,"Unknown status","")))))</f>
        <v/>
      </c>
    </row>
    <row r="448" customFormat="false" ht="15" hidden="false" customHeight="false" outlineLevel="0" collapsed="false">
      <c r="AR448" s="29" t="str">
        <f aca="false">IF(A448="","",IF(COUNTIF(Parcels!$A$2:$A$3000,B448)=0,"Parcel not found",IF(COUNTIF($A$2:$A$3000,A448)&gt;1,"Duplicate perm_id",IF(AND(P448="Yes",D448&lt;&gt;"",COUNTIFS($C$2:$C$3000,D448,$P$2:$P$3000,"Yes")&gt;1),"Reference counted twice",IF(COUNTIF(Lists!$A$2:$A$7,I448)=0,"Unknown status","")))))</f>
        <v/>
      </c>
    </row>
    <row r="449" customFormat="false" ht="15" hidden="false" customHeight="false" outlineLevel="0" collapsed="false">
      <c r="AR449" s="29" t="str">
        <f aca="false">IF(A449="","",IF(COUNTIF(Parcels!$A$2:$A$3000,B449)=0,"Parcel not found",IF(COUNTIF($A$2:$A$3000,A449)&gt;1,"Duplicate perm_id",IF(AND(P449="Yes",D449&lt;&gt;"",COUNTIFS($C$2:$C$3000,D449,$P$2:$P$3000,"Yes")&gt;1),"Reference counted twice",IF(COUNTIF(Lists!$A$2:$A$7,I449)=0,"Unknown status","")))))</f>
        <v/>
      </c>
    </row>
    <row r="450" customFormat="false" ht="15" hidden="false" customHeight="false" outlineLevel="0" collapsed="false">
      <c r="AR450" s="29" t="str">
        <f aca="false">IF(A450="","",IF(COUNTIF(Parcels!$A$2:$A$3000,B450)=0,"Parcel not found",IF(COUNTIF($A$2:$A$3000,A450)&gt;1,"Duplicate perm_id",IF(AND(P450="Yes",D450&lt;&gt;"",COUNTIFS($C$2:$C$3000,D450,$P$2:$P$3000,"Yes")&gt;1),"Reference counted twice",IF(COUNTIF(Lists!$A$2:$A$7,I450)=0,"Unknown status","")))))</f>
        <v/>
      </c>
    </row>
    <row r="451" customFormat="false" ht="15" hidden="false" customHeight="false" outlineLevel="0" collapsed="false">
      <c r="AR451" s="29" t="str">
        <f aca="false">IF(A451="","",IF(COUNTIF(Parcels!$A$2:$A$3000,B451)=0,"Parcel not found",IF(COUNTIF($A$2:$A$3000,A451)&gt;1,"Duplicate perm_id",IF(AND(P451="Yes",D451&lt;&gt;"",COUNTIFS($C$2:$C$3000,D451,$P$2:$P$3000,"Yes")&gt;1),"Reference counted twice",IF(COUNTIF(Lists!$A$2:$A$7,I451)=0,"Unknown status","")))))</f>
        <v/>
      </c>
    </row>
    <row r="452" customFormat="false" ht="15" hidden="false" customHeight="false" outlineLevel="0" collapsed="false">
      <c r="AR452" s="29" t="str">
        <f aca="false">IF(A452="","",IF(COUNTIF(Parcels!$A$2:$A$3000,B452)=0,"Parcel not found",IF(COUNTIF($A$2:$A$3000,A452)&gt;1,"Duplicate perm_id",IF(AND(P452="Yes",D452&lt;&gt;"",COUNTIFS($C$2:$C$3000,D452,$P$2:$P$3000,"Yes")&gt;1),"Reference counted twice",IF(COUNTIF(Lists!$A$2:$A$7,I452)=0,"Unknown status","")))))</f>
        <v/>
      </c>
    </row>
    <row r="453" customFormat="false" ht="15" hidden="false" customHeight="false" outlineLevel="0" collapsed="false">
      <c r="AR453" s="29" t="str">
        <f aca="false">IF(A453="","",IF(COUNTIF(Parcels!$A$2:$A$3000,B453)=0,"Parcel not found",IF(COUNTIF($A$2:$A$3000,A453)&gt;1,"Duplicate perm_id",IF(AND(P453="Yes",D453&lt;&gt;"",COUNTIFS($C$2:$C$3000,D453,$P$2:$P$3000,"Yes")&gt;1),"Reference counted twice",IF(COUNTIF(Lists!$A$2:$A$7,I453)=0,"Unknown status","")))))</f>
        <v/>
      </c>
    </row>
    <row r="454" customFormat="false" ht="15" hidden="false" customHeight="false" outlineLevel="0" collapsed="false">
      <c r="AR454" s="29" t="str">
        <f aca="false">IF(A454="","",IF(COUNTIF(Parcels!$A$2:$A$3000,B454)=0,"Parcel not found",IF(COUNTIF($A$2:$A$3000,A454)&gt;1,"Duplicate perm_id",IF(AND(P454="Yes",D454&lt;&gt;"",COUNTIFS($C$2:$C$3000,D454,$P$2:$P$3000,"Yes")&gt;1),"Reference counted twice",IF(COUNTIF(Lists!$A$2:$A$7,I454)=0,"Unknown status","")))))</f>
        <v/>
      </c>
    </row>
    <row r="455" customFormat="false" ht="15" hidden="false" customHeight="false" outlineLevel="0" collapsed="false">
      <c r="AR455" s="29" t="str">
        <f aca="false">IF(A455="","",IF(COUNTIF(Parcels!$A$2:$A$3000,B455)=0,"Parcel not found",IF(COUNTIF($A$2:$A$3000,A455)&gt;1,"Duplicate perm_id",IF(AND(P455="Yes",D455&lt;&gt;"",COUNTIFS($C$2:$C$3000,D455,$P$2:$P$3000,"Yes")&gt;1),"Reference counted twice",IF(COUNTIF(Lists!$A$2:$A$7,I455)=0,"Unknown status","")))))</f>
        <v/>
      </c>
    </row>
    <row r="456" customFormat="false" ht="15" hidden="false" customHeight="false" outlineLevel="0" collapsed="false">
      <c r="AR456" s="29" t="str">
        <f aca="false">IF(A456="","",IF(COUNTIF(Parcels!$A$2:$A$3000,B456)=0,"Parcel not found",IF(COUNTIF($A$2:$A$3000,A456)&gt;1,"Duplicate perm_id",IF(AND(P456="Yes",D456&lt;&gt;"",COUNTIFS($C$2:$C$3000,D456,$P$2:$P$3000,"Yes")&gt;1),"Reference counted twice",IF(COUNTIF(Lists!$A$2:$A$7,I456)=0,"Unknown status","")))))</f>
        <v/>
      </c>
    </row>
    <row r="457" customFormat="false" ht="15" hidden="false" customHeight="false" outlineLevel="0" collapsed="false">
      <c r="AR457" s="29" t="str">
        <f aca="false">IF(A457="","",IF(COUNTIF(Parcels!$A$2:$A$3000,B457)=0,"Parcel not found",IF(COUNTIF($A$2:$A$3000,A457)&gt;1,"Duplicate perm_id",IF(AND(P457="Yes",D457&lt;&gt;"",COUNTIFS($C$2:$C$3000,D457,$P$2:$P$3000,"Yes")&gt;1),"Reference counted twice",IF(COUNTIF(Lists!$A$2:$A$7,I457)=0,"Unknown status","")))))</f>
        <v/>
      </c>
    </row>
    <row r="458" customFormat="false" ht="15" hidden="false" customHeight="false" outlineLevel="0" collapsed="false">
      <c r="AR458" s="29" t="str">
        <f aca="false">IF(A458="","",IF(COUNTIF(Parcels!$A$2:$A$3000,B458)=0,"Parcel not found",IF(COUNTIF($A$2:$A$3000,A458)&gt;1,"Duplicate perm_id",IF(AND(P458="Yes",D458&lt;&gt;"",COUNTIFS($C$2:$C$3000,D458,$P$2:$P$3000,"Yes")&gt;1),"Reference counted twice",IF(COUNTIF(Lists!$A$2:$A$7,I458)=0,"Unknown status","")))))</f>
        <v/>
      </c>
    </row>
    <row r="459" customFormat="false" ht="15" hidden="false" customHeight="false" outlineLevel="0" collapsed="false">
      <c r="AR459" s="29" t="str">
        <f aca="false">IF(A459="","",IF(COUNTIF(Parcels!$A$2:$A$3000,B459)=0,"Parcel not found",IF(COUNTIF($A$2:$A$3000,A459)&gt;1,"Duplicate perm_id",IF(AND(P459="Yes",D459&lt;&gt;"",COUNTIFS($C$2:$C$3000,D459,$P$2:$P$3000,"Yes")&gt;1),"Reference counted twice",IF(COUNTIF(Lists!$A$2:$A$7,I459)=0,"Unknown status","")))))</f>
        <v/>
      </c>
    </row>
    <row r="460" customFormat="false" ht="15" hidden="false" customHeight="false" outlineLevel="0" collapsed="false">
      <c r="AR460" s="29" t="str">
        <f aca="false">IF(A460="","",IF(COUNTIF(Parcels!$A$2:$A$3000,B460)=0,"Parcel not found",IF(COUNTIF($A$2:$A$3000,A460)&gt;1,"Duplicate perm_id",IF(AND(P460="Yes",D460&lt;&gt;"",COUNTIFS($C$2:$C$3000,D460,$P$2:$P$3000,"Yes")&gt;1),"Reference counted twice",IF(COUNTIF(Lists!$A$2:$A$7,I460)=0,"Unknown status","")))))</f>
        <v/>
      </c>
    </row>
    <row r="461" customFormat="false" ht="15" hidden="false" customHeight="false" outlineLevel="0" collapsed="false">
      <c r="AR461" s="29" t="str">
        <f aca="false">IF(A461="","",IF(COUNTIF(Parcels!$A$2:$A$3000,B461)=0,"Parcel not found",IF(COUNTIF($A$2:$A$3000,A461)&gt;1,"Duplicate perm_id",IF(AND(P461="Yes",D461&lt;&gt;"",COUNTIFS($C$2:$C$3000,D461,$P$2:$P$3000,"Yes")&gt;1),"Reference counted twice",IF(COUNTIF(Lists!$A$2:$A$7,I461)=0,"Unknown status","")))))</f>
        <v/>
      </c>
    </row>
    <row r="462" customFormat="false" ht="15" hidden="false" customHeight="false" outlineLevel="0" collapsed="false">
      <c r="AR462" s="29" t="str">
        <f aca="false">IF(A462="","",IF(COUNTIF(Parcels!$A$2:$A$3000,B462)=0,"Parcel not found",IF(COUNTIF($A$2:$A$3000,A462)&gt;1,"Duplicate perm_id",IF(AND(P462="Yes",D462&lt;&gt;"",COUNTIFS($C$2:$C$3000,D462,$P$2:$P$3000,"Yes")&gt;1),"Reference counted twice",IF(COUNTIF(Lists!$A$2:$A$7,I462)=0,"Unknown status","")))))</f>
        <v/>
      </c>
    </row>
    <row r="463" customFormat="false" ht="15" hidden="false" customHeight="false" outlineLevel="0" collapsed="false">
      <c r="AR463" s="29" t="str">
        <f aca="false">IF(A463="","",IF(COUNTIF(Parcels!$A$2:$A$3000,B463)=0,"Parcel not found",IF(COUNTIF($A$2:$A$3000,A463)&gt;1,"Duplicate perm_id",IF(AND(P463="Yes",D463&lt;&gt;"",COUNTIFS($C$2:$C$3000,D463,$P$2:$P$3000,"Yes")&gt;1),"Reference counted twice",IF(COUNTIF(Lists!$A$2:$A$7,I463)=0,"Unknown status","")))))</f>
        <v/>
      </c>
    </row>
    <row r="464" customFormat="false" ht="15" hidden="false" customHeight="false" outlineLevel="0" collapsed="false">
      <c r="AR464" s="29" t="str">
        <f aca="false">IF(A464="","",IF(COUNTIF(Parcels!$A$2:$A$3000,B464)=0,"Parcel not found",IF(COUNTIF($A$2:$A$3000,A464)&gt;1,"Duplicate perm_id",IF(AND(P464="Yes",D464&lt;&gt;"",COUNTIFS($C$2:$C$3000,D464,$P$2:$P$3000,"Yes")&gt;1),"Reference counted twice",IF(COUNTIF(Lists!$A$2:$A$7,I464)=0,"Unknown status","")))))</f>
        <v/>
      </c>
    </row>
    <row r="465" customFormat="false" ht="15" hidden="false" customHeight="false" outlineLevel="0" collapsed="false">
      <c r="AR465" s="29" t="str">
        <f aca="false">IF(A465="","",IF(COUNTIF(Parcels!$A$2:$A$3000,B465)=0,"Parcel not found",IF(COUNTIF($A$2:$A$3000,A465)&gt;1,"Duplicate perm_id",IF(AND(P465="Yes",D465&lt;&gt;"",COUNTIFS($C$2:$C$3000,D465,$P$2:$P$3000,"Yes")&gt;1),"Reference counted twice",IF(COUNTIF(Lists!$A$2:$A$7,I465)=0,"Unknown status","")))))</f>
        <v/>
      </c>
    </row>
  </sheetData>
  <autoFilter ref="A1:AR266"/>
  <conditionalFormatting sqref="AR2:AR3000">
    <cfRule type="expression" priority="2" aboveAverage="0" equalAverage="0" bottom="0" percent="0" rank="0" text="" dxfId="0">
      <formula>LEN(AR2)&gt;0</formula>
    </cfRule>
  </conditionalFormatting>
  <dataValidations count="3">
    <dataValidation allowBlank="true" error="Pick a value from the list." errorStyle="stop" errorTitle="Not in list" operator="between" showDropDown="false" showErrorMessage="true" showInputMessage="false" sqref="I2:I1465" type="list">
      <formula1>Lists!$A$2:$A$7</formula1>
      <formula2>0</formula2>
    </dataValidation>
    <dataValidation allowBlank="true" error="Pick a value from the list." errorStyle="stop" errorTitle="Not in list" operator="between" showDropDown="false" showErrorMessage="true" showInputMessage="false" sqref="P2:P1465" type="list">
      <formula1>Lists!$B$2:$B$3</formula1>
      <formula2>0</formula2>
    </dataValidation>
    <dataValidation allowBlank="true" error="Pick a value from the list." errorStyle="stop" errorTitle="Not in list" operator="between" showDropDown="false" showErrorMessage="true" showInputMessage="false" sqref="B2:B1465"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915</v>
      </c>
      <c r="B1" s="30" t="s">
        <v>921</v>
      </c>
      <c r="C1" s="30" t="s">
        <v>102</v>
      </c>
      <c r="D1" s="30" t="s">
        <v>103</v>
      </c>
    </row>
    <row r="2" customFormat="false" ht="15" hidden="false" customHeight="false" outlineLevel="0" collapsed="false">
      <c r="A2" s="0" t="s">
        <v>47</v>
      </c>
      <c r="B2" s="0" t="s">
        <v>949</v>
      </c>
      <c r="C2" s="0" t="s">
        <v>10</v>
      </c>
      <c r="D2" s="0" t="s">
        <v>16</v>
      </c>
    </row>
    <row r="3" customFormat="false" ht="15" hidden="false" customHeight="false" outlineLevel="0" collapsed="false">
      <c r="A3" s="0" t="s">
        <v>48</v>
      </c>
      <c r="B3" s="0" t="s">
        <v>2169</v>
      </c>
      <c r="C3" s="0" t="s">
        <v>11</v>
      </c>
      <c r="D3" s="0" t="s">
        <v>17</v>
      </c>
    </row>
    <row r="4" customFormat="false" ht="15" hidden="false" customHeight="false" outlineLevel="0" collapsed="false">
      <c r="A4" s="0" t="s">
        <v>946</v>
      </c>
      <c r="C4" s="0" t="s">
        <v>12</v>
      </c>
    </row>
    <row r="5" customFormat="false" ht="15" hidden="false" customHeight="false" outlineLevel="0" collapsed="false">
      <c r="A5" s="0" t="s">
        <v>1057</v>
      </c>
      <c r="C5" s="0" t="s">
        <v>13</v>
      </c>
    </row>
    <row r="6" customFormat="false" ht="15" hidden="false" customHeight="false" outlineLevel="0" collapsed="false">
      <c r="A6" s="0" t="s">
        <v>964</v>
      </c>
      <c r="C6" s="0" t="s">
        <v>2170</v>
      </c>
    </row>
    <row r="7" customFormat="false" ht="15" hidden="false" customHeight="false" outlineLevel="0" collapsed="false">
      <c r="A7" s="0" t="s">
        <v>985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2171</v>
      </c>
    </row>
    <row r="2" customFormat="false" ht="15" hidden="false" customHeight="false" outlineLevel="0" collapsed="false">
      <c r="A2" s="2" t="s">
        <v>2172</v>
      </c>
    </row>
    <row r="4" customFormat="false" ht="15" hidden="false" customHeight="false" outlineLevel="0" collapsed="false">
      <c r="A4" s="3" t="s">
        <v>2173</v>
      </c>
    </row>
    <row r="5" customFormat="false" ht="42" hidden="false" customHeight="true" outlineLevel="0" collapsed="false">
      <c r="A5" s="14" t="s">
        <v>909</v>
      </c>
      <c r="B5" s="14" t="s">
        <v>101</v>
      </c>
      <c r="C5" s="14" t="s">
        <v>910</v>
      </c>
      <c r="D5" s="14" t="s">
        <v>912</v>
      </c>
      <c r="E5" s="14" t="s">
        <v>913</v>
      </c>
      <c r="F5" s="14" t="s">
        <v>917</v>
      </c>
      <c r="G5" s="14" t="s">
        <v>915</v>
      </c>
      <c r="H5" s="14" t="s">
        <v>150</v>
      </c>
      <c r="I5" s="14" t="s">
        <v>918</v>
      </c>
      <c r="J5" s="14" t="s">
        <v>919</v>
      </c>
    </row>
    <row r="6" customFormat="false" ht="15" hidden="false" customHeight="false" outlineLevel="0" collapsed="false">
      <c r="A6" s="15" t="s">
        <v>1525</v>
      </c>
      <c r="B6" s="15" t="s">
        <v>394</v>
      </c>
      <c r="C6" s="15" t="s">
        <v>1526</v>
      </c>
      <c r="D6" s="15" t="s">
        <v>395</v>
      </c>
      <c r="E6" s="15" t="n">
        <v>62</v>
      </c>
      <c r="F6" s="15" t="s">
        <v>48</v>
      </c>
      <c r="G6" s="15" t="s">
        <v>47</v>
      </c>
      <c r="H6" s="15" t="n">
        <v>62</v>
      </c>
      <c r="I6" s="15" t="n">
        <v>0</v>
      </c>
      <c r="J6" s="15" t="s">
        <v>1268</v>
      </c>
    </row>
    <row r="7" customFormat="false" ht="15" hidden="false" customHeight="false" outlineLevel="0" collapsed="false">
      <c r="A7" s="15" t="s">
        <v>2099</v>
      </c>
      <c r="B7" s="15" t="s">
        <v>412</v>
      </c>
      <c r="C7" s="15" t="s">
        <v>2100</v>
      </c>
      <c r="D7" s="15" t="s">
        <v>2101</v>
      </c>
      <c r="E7" s="15" t="n">
        <v>54</v>
      </c>
      <c r="F7" s="15" t="s">
        <v>48</v>
      </c>
      <c r="G7" s="15" t="s">
        <v>47</v>
      </c>
      <c r="H7" s="15" t="n">
        <v>54</v>
      </c>
      <c r="I7" s="15" t="n">
        <v>0</v>
      </c>
      <c r="J7" s="15" t="s">
        <v>1268</v>
      </c>
    </row>
    <row r="8" customFormat="false" ht="15" hidden="false" customHeight="false" outlineLevel="0" collapsed="false">
      <c r="A8" s="15" t="s">
        <v>1437</v>
      </c>
      <c r="B8" s="15" t="s">
        <v>580</v>
      </c>
      <c r="C8" s="15" t="s">
        <v>1438</v>
      </c>
      <c r="D8" s="15" t="s">
        <v>581</v>
      </c>
      <c r="E8" s="15" t="n">
        <v>51</v>
      </c>
      <c r="F8" s="15" t="s">
        <v>48</v>
      </c>
      <c r="G8" s="15" t="s">
        <v>47</v>
      </c>
      <c r="H8" s="15" t="n">
        <v>51</v>
      </c>
      <c r="I8" s="15" t="n">
        <v>0</v>
      </c>
      <c r="J8" s="15" t="s">
        <v>1268</v>
      </c>
    </row>
    <row r="9" customFormat="false" ht="15" hidden="false" customHeight="false" outlineLevel="0" collapsed="false">
      <c r="A9" s="15" t="s">
        <v>1311</v>
      </c>
      <c r="B9" s="15" t="s">
        <v>563</v>
      </c>
      <c r="C9" s="15" t="s">
        <v>1312</v>
      </c>
      <c r="D9" s="15" t="s">
        <v>1313</v>
      </c>
      <c r="E9" s="15" t="n">
        <v>49</v>
      </c>
      <c r="F9" s="15" t="s">
        <v>48</v>
      </c>
      <c r="G9" s="15" t="s">
        <v>47</v>
      </c>
      <c r="H9" s="15" t="n">
        <v>48</v>
      </c>
      <c r="I9" s="15" t="n">
        <v>0</v>
      </c>
      <c r="J9" s="15" t="s">
        <v>1268</v>
      </c>
    </row>
    <row r="10" customFormat="false" ht="15" hidden="false" customHeight="false" outlineLevel="0" collapsed="false">
      <c r="A10" s="15" t="s">
        <v>1474</v>
      </c>
      <c r="B10" s="15" t="s">
        <v>360</v>
      </c>
      <c r="C10" s="15" t="s">
        <v>1475</v>
      </c>
      <c r="D10" s="15" t="s">
        <v>361</v>
      </c>
      <c r="E10" s="15" t="n">
        <v>27</v>
      </c>
      <c r="F10" s="15" t="s">
        <v>48</v>
      </c>
      <c r="G10" s="15" t="s">
        <v>47</v>
      </c>
      <c r="H10" s="15" t="n">
        <v>27</v>
      </c>
      <c r="I10" s="15" t="n">
        <v>0</v>
      </c>
      <c r="J10" s="15" t="s">
        <v>1268</v>
      </c>
    </row>
    <row r="11" customFormat="false" ht="15" hidden="false" customHeight="false" outlineLevel="0" collapsed="false">
      <c r="A11" s="15" t="s">
        <v>2114</v>
      </c>
      <c r="B11" s="15" t="s">
        <v>412</v>
      </c>
      <c r="C11" s="15" t="s">
        <v>2115</v>
      </c>
      <c r="D11" s="15" t="s">
        <v>2116</v>
      </c>
      <c r="E11" s="15" t="n">
        <v>23</v>
      </c>
      <c r="F11" s="15" t="s">
        <v>48</v>
      </c>
      <c r="G11" s="15" t="s">
        <v>47</v>
      </c>
      <c r="H11" s="15" t="n">
        <v>23</v>
      </c>
      <c r="I11" s="15" t="n">
        <v>0</v>
      </c>
      <c r="J11" s="15" t="s">
        <v>1268</v>
      </c>
    </row>
    <row r="12" customFormat="false" ht="15" hidden="false" customHeight="false" outlineLevel="0" collapsed="false">
      <c r="A12" s="15" t="s">
        <v>1277</v>
      </c>
      <c r="B12" s="15" t="s">
        <v>561</v>
      </c>
      <c r="C12" s="15" t="s">
        <v>1278</v>
      </c>
      <c r="D12" s="15" t="s">
        <v>562</v>
      </c>
      <c r="E12" s="15" t="n">
        <v>16</v>
      </c>
      <c r="F12" s="15" t="s">
        <v>48</v>
      </c>
      <c r="G12" s="15" t="s">
        <v>47</v>
      </c>
      <c r="H12" s="15" t="n">
        <v>16</v>
      </c>
      <c r="I12" s="15" t="n">
        <v>0</v>
      </c>
      <c r="J12" s="15" t="s">
        <v>1268</v>
      </c>
    </row>
    <row r="13" customFormat="false" ht="15" hidden="false" customHeight="false" outlineLevel="0" collapsed="false">
      <c r="A13" s="15" t="s">
        <v>1286</v>
      </c>
      <c r="B13" s="15" t="s">
        <v>414</v>
      </c>
      <c r="C13" s="15" t="s">
        <v>1287</v>
      </c>
      <c r="D13" s="15" t="s">
        <v>415</v>
      </c>
      <c r="E13" s="15" t="n">
        <v>13</v>
      </c>
      <c r="F13" s="15" t="s">
        <v>48</v>
      </c>
      <c r="G13" s="15" t="s">
        <v>47</v>
      </c>
      <c r="H13" s="15" t="n">
        <v>13</v>
      </c>
      <c r="I13" s="15" t="n">
        <v>0</v>
      </c>
      <c r="J13" s="15" t="s">
        <v>1268</v>
      </c>
    </row>
    <row r="14" customFormat="false" ht="15" hidden="false" customHeight="false" outlineLevel="0" collapsed="false">
      <c r="A14" s="15" t="s">
        <v>1680</v>
      </c>
      <c r="B14" s="15" t="s">
        <v>503</v>
      </c>
      <c r="C14" s="15" t="s">
        <v>1681</v>
      </c>
      <c r="D14" s="15" t="s">
        <v>504</v>
      </c>
      <c r="E14" s="15" t="n">
        <v>12</v>
      </c>
      <c r="F14" s="15" t="s">
        <v>48</v>
      </c>
      <c r="G14" s="15" t="s">
        <v>47</v>
      </c>
      <c r="H14" s="15" t="n">
        <v>12</v>
      </c>
      <c r="I14" s="15" t="n">
        <v>0</v>
      </c>
      <c r="J14" s="15" t="s">
        <v>1268</v>
      </c>
    </row>
    <row r="15" customFormat="false" ht="15" hidden="false" customHeight="false" outlineLevel="0" collapsed="false">
      <c r="A15" s="15" t="s">
        <v>1509</v>
      </c>
      <c r="B15" s="15" t="s">
        <v>595</v>
      </c>
      <c r="C15" s="15" t="s">
        <v>1510</v>
      </c>
      <c r="D15" s="15" t="s">
        <v>596</v>
      </c>
      <c r="E15" s="15" t="n">
        <v>10</v>
      </c>
      <c r="F15" s="15" t="s">
        <v>48</v>
      </c>
      <c r="G15" s="15" t="s">
        <v>47</v>
      </c>
      <c r="H15" s="15" t="n">
        <v>10</v>
      </c>
      <c r="I15" s="15" t="n">
        <v>0</v>
      </c>
      <c r="J15" s="15" t="s">
        <v>1268</v>
      </c>
    </row>
    <row r="16" customFormat="false" ht="15" hidden="false" customHeight="false" outlineLevel="0" collapsed="false">
      <c r="A16" s="15" t="s">
        <v>1270</v>
      </c>
      <c r="B16" s="15" t="s">
        <v>521</v>
      </c>
      <c r="C16" s="15" t="s">
        <v>1271</v>
      </c>
      <c r="D16" s="15" t="s">
        <v>522</v>
      </c>
      <c r="E16" s="15" t="n">
        <v>7</v>
      </c>
      <c r="F16" s="15" t="s">
        <v>48</v>
      </c>
      <c r="G16" s="15" t="s">
        <v>47</v>
      </c>
      <c r="H16" s="15" t="n">
        <v>7</v>
      </c>
      <c r="I16" s="15" t="n">
        <v>0</v>
      </c>
      <c r="J16" s="15" t="s">
        <v>1268</v>
      </c>
    </row>
    <row r="17" customFormat="false" ht="15" hidden="false" customHeight="false" outlineLevel="0" collapsed="false">
      <c r="A17" s="15" t="s">
        <v>1306</v>
      </c>
      <c r="B17" s="15" t="s">
        <v>563</v>
      </c>
      <c r="C17" s="15" t="s">
        <v>1307</v>
      </c>
      <c r="D17" s="15" t="s">
        <v>1308</v>
      </c>
      <c r="E17" s="15" t="n">
        <v>5</v>
      </c>
      <c r="F17" s="15" t="s">
        <v>48</v>
      </c>
      <c r="G17" s="15" t="s">
        <v>47</v>
      </c>
      <c r="H17" s="15" t="n">
        <v>5</v>
      </c>
      <c r="I17" s="15" t="n">
        <v>0</v>
      </c>
      <c r="J17" s="15" t="s">
        <v>1268</v>
      </c>
    </row>
    <row r="18" customFormat="false" ht="15" hidden="false" customHeight="false" outlineLevel="0" collapsed="false">
      <c r="A18" s="15" t="s">
        <v>1487</v>
      </c>
      <c r="B18" s="15" t="s">
        <v>590</v>
      </c>
      <c r="C18" s="15" t="s">
        <v>1488</v>
      </c>
      <c r="D18" s="15" t="s">
        <v>1489</v>
      </c>
      <c r="E18" s="15" t="n">
        <v>5</v>
      </c>
      <c r="F18" s="15" t="s">
        <v>48</v>
      </c>
      <c r="G18" s="15" t="s">
        <v>47</v>
      </c>
      <c r="H18" s="15" t="n">
        <v>5</v>
      </c>
      <c r="I18" s="15" t="n">
        <v>0</v>
      </c>
      <c r="J18" s="15" t="s">
        <v>1268</v>
      </c>
    </row>
    <row r="19" customFormat="false" ht="15" hidden="false" customHeight="false" outlineLevel="0" collapsed="false">
      <c r="A19" s="15" t="s">
        <v>1282</v>
      </c>
      <c r="B19" s="15" t="s">
        <v>535</v>
      </c>
      <c r="C19" s="15" t="s">
        <v>1283</v>
      </c>
      <c r="D19" s="15" t="s">
        <v>536</v>
      </c>
      <c r="E19" s="15" t="n">
        <v>5</v>
      </c>
      <c r="F19" s="15" t="s">
        <v>48</v>
      </c>
      <c r="G19" s="15" t="s">
        <v>47</v>
      </c>
      <c r="H19" s="15" t="n">
        <v>5</v>
      </c>
      <c r="I19" s="15" t="n">
        <v>0</v>
      </c>
      <c r="J19" s="15" t="s">
        <v>1268</v>
      </c>
    </row>
    <row r="20" customFormat="false" ht="15" hidden="false" customHeight="false" outlineLevel="0" collapsed="false">
      <c r="A20" s="15" t="s">
        <v>1458</v>
      </c>
      <c r="B20" s="15" t="s">
        <v>586</v>
      </c>
      <c r="C20" s="15" t="s">
        <v>1459</v>
      </c>
      <c r="D20" s="15" t="s">
        <v>587</v>
      </c>
      <c r="E20" s="15" t="n">
        <v>4</v>
      </c>
      <c r="F20" s="15" t="s">
        <v>48</v>
      </c>
      <c r="G20" s="15" t="s">
        <v>47</v>
      </c>
      <c r="H20" s="15" t="n">
        <v>4</v>
      </c>
      <c r="I20" s="15" t="n">
        <v>0</v>
      </c>
      <c r="J20" s="15" t="s">
        <v>1268</v>
      </c>
    </row>
    <row r="21" customFormat="false" ht="15" hidden="false" customHeight="false" outlineLevel="0" collapsed="false">
      <c r="A21" s="15" t="s">
        <v>2136</v>
      </c>
      <c r="B21" s="15" t="s">
        <v>719</v>
      </c>
      <c r="C21" s="15" t="s">
        <v>2137</v>
      </c>
      <c r="D21" s="15" t="s">
        <v>720</v>
      </c>
      <c r="E21" s="15" t="n">
        <v>4</v>
      </c>
      <c r="F21" s="15" t="s">
        <v>48</v>
      </c>
      <c r="G21" s="15" t="s">
        <v>47</v>
      </c>
      <c r="H21" s="15" t="n">
        <v>4</v>
      </c>
      <c r="I21" s="15" t="n">
        <v>0</v>
      </c>
      <c r="J21" s="15" t="s">
        <v>1268</v>
      </c>
    </row>
    <row r="22" customFormat="false" ht="15" hidden="false" customHeight="false" outlineLevel="0" collapsed="false">
      <c r="A22" s="15" t="s">
        <v>1564</v>
      </c>
      <c r="B22" s="15" t="s">
        <v>396</v>
      </c>
      <c r="C22" s="15" t="s">
        <v>1565</v>
      </c>
      <c r="D22" s="15" t="s">
        <v>397</v>
      </c>
      <c r="E22" s="15" t="n">
        <v>3</v>
      </c>
      <c r="F22" s="15" t="s">
        <v>48</v>
      </c>
      <c r="G22" s="15" t="s">
        <v>47</v>
      </c>
      <c r="H22" s="15" t="n">
        <v>3</v>
      </c>
      <c r="I22" s="15" t="n">
        <v>0</v>
      </c>
      <c r="J22" s="15" t="s">
        <v>1268</v>
      </c>
    </row>
    <row r="23" customFormat="false" ht="15" hidden="false" customHeight="false" outlineLevel="0" collapsed="false">
      <c r="A23" s="15" t="s">
        <v>1265</v>
      </c>
      <c r="B23" s="15" t="s">
        <v>557</v>
      </c>
      <c r="C23" s="15" t="s">
        <v>1266</v>
      </c>
      <c r="D23" s="15" t="s">
        <v>560</v>
      </c>
      <c r="E23" s="15" t="n">
        <v>3</v>
      </c>
      <c r="F23" s="15" t="s">
        <v>946</v>
      </c>
      <c r="G23" s="15" t="s">
        <v>47</v>
      </c>
      <c r="H23" s="15" t="n">
        <v>3</v>
      </c>
      <c r="I23" s="15" t="n">
        <v>0</v>
      </c>
      <c r="J23" s="15" t="s">
        <v>1268</v>
      </c>
    </row>
    <row r="24" customFormat="false" ht="15" hidden="false" customHeight="false" outlineLevel="0" collapsed="false">
      <c r="A24" s="15" t="s">
        <v>1494</v>
      </c>
      <c r="B24" s="15" t="s">
        <v>424</v>
      </c>
      <c r="C24" s="15" t="s">
        <v>1495</v>
      </c>
      <c r="D24" s="15" t="s">
        <v>425</v>
      </c>
      <c r="E24" s="15" t="n">
        <v>3</v>
      </c>
      <c r="F24" s="15" t="s">
        <v>48</v>
      </c>
      <c r="G24" s="15" t="s">
        <v>47</v>
      </c>
      <c r="H24" s="15" t="n">
        <v>3</v>
      </c>
      <c r="I24" s="15" t="n">
        <v>0</v>
      </c>
      <c r="J24" s="15" t="s">
        <v>1268</v>
      </c>
    </row>
    <row r="25" customFormat="false" ht="15" hidden="false" customHeight="false" outlineLevel="0" collapsed="false">
      <c r="A25" s="15" t="s">
        <v>1333</v>
      </c>
      <c r="B25" s="15" t="s">
        <v>539</v>
      </c>
      <c r="C25" s="15" t="s">
        <v>1334</v>
      </c>
      <c r="D25" s="15" t="s">
        <v>540</v>
      </c>
      <c r="E25" s="15" t="n">
        <v>133</v>
      </c>
      <c r="F25" s="15" t="s">
        <v>47</v>
      </c>
      <c r="G25" s="15" t="s">
        <v>47</v>
      </c>
      <c r="H25" s="15" t="n">
        <v>102</v>
      </c>
      <c r="I25" s="15" t="n">
        <v>0</v>
      </c>
      <c r="J25" s="15" t="s">
        <v>1074</v>
      </c>
    </row>
    <row r="26" customFormat="false" ht="15" hidden="false" customHeight="false" outlineLevel="0" collapsed="false">
      <c r="A26" s="15" t="s">
        <v>1615</v>
      </c>
      <c r="B26" s="15" t="s">
        <v>398</v>
      </c>
      <c r="C26" s="15" t="s">
        <v>1616</v>
      </c>
      <c r="D26" s="15" t="s">
        <v>399</v>
      </c>
      <c r="E26" s="15" t="n">
        <v>105</v>
      </c>
      <c r="F26" s="15" t="s">
        <v>47</v>
      </c>
      <c r="G26" s="15" t="s">
        <v>47</v>
      </c>
      <c r="H26" s="15" t="n">
        <v>37</v>
      </c>
      <c r="I26" s="15" t="n">
        <v>29</v>
      </c>
      <c r="J26" s="15" t="s">
        <v>1074</v>
      </c>
    </row>
    <row r="27" customFormat="false" ht="15" hidden="false" customHeight="false" outlineLevel="0" collapsed="false">
      <c r="A27" s="15" t="s">
        <v>1609</v>
      </c>
      <c r="B27" s="15" t="s">
        <v>398</v>
      </c>
      <c r="C27" s="15" t="s">
        <v>1610</v>
      </c>
      <c r="D27" s="15" t="s">
        <v>1611</v>
      </c>
      <c r="E27" s="15" t="n">
        <v>92</v>
      </c>
      <c r="F27" s="15" t="s">
        <v>47</v>
      </c>
      <c r="G27" s="15" t="s">
        <v>47</v>
      </c>
      <c r="H27" s="15" t="n">
        <v>86</v>
      </c>
      <c r="I27" s="15" t="n">
        <v>0</v>
      </c>
      <c r="J27" s="15" t="s">
        <v>1074</v>
      </c>
    </row>
    <row r="28" customFormat="false" ht="15" hidden="false" customHeight="false" outlineLevel="0" collapsed="false">
      <c r="A28" s="15" t="s">
        <v>1071</v>
      </c>
      <c r="B28" s="15" t="s">
        <v>197</v>
      </c>
      <c r="C28" s="15" t="s">
        <v>1072</v>
      </c>
      <c r="D28" s="15" t="s">
        <v>1073</v>
      </c>
      <c r="E28" s="15" t="n">
        <v>65</v>
      </c>
      <c r="F28" s="15" t="s">
        <v>47</v>
      </c>
      <c r="G28" s="15" t="s">
        <v>47</v>
      </c>
      <c r="H28" s="15" t="n">
        <v>0</v>
      </c>
      <c r="I28" s="15" t="n">
        <v>65</v>
      </c>
      <c r="J28" s="15" t="s">
        <v>1074</v>
      </c>
    </row>
    <row r="29" customFormat="false" ht="15" hidden="false" customHeight="false" outlineLevel="0" collapsed="false">
      <c r="A29" s="15" t="s">
        <v>1327</v>
      </c>
      <c r="B29" s="15" t="s">
        <v>539</v>
      </c>
      <c r="C29" s="15" t="s">
        <v>1328</v>
      </c>
      <c r="D29" s="15" t="s">
        <v>1329</v>
      </c>
      <c r="E29" s="15" t="n">
        <v>37</v>
      </c>
      <c r="F29" s="15" t="s">
        <v>47</v>
      </c>
      <c r="G29" s="15" t="s">
        <v>47</v>
      </c>
      <c r="H29" s="15" t="n">
        <v>33</v>
      </c>
      <c r="I29" s="15" t="n">
        <v>0</v>
      </c>
      <c r="J29" s="15" t="s">
        <v>1074</v>
      </c>
    </row>
    <row r="30" customFormat="false" ht="15" hidden="false" customHeight="false" outlineLevel="0" collapsed="false">
      <c r="A30" s="15" t="s">
        <v>1761</v>
      </c>
      <c r="B30" s="15" t="s">
        <v>632</v>
      </c>
      <c r="C30" s="15" t="s">
        <v>1762</v>
      </c>
      <c r="D30" s="15" t="s">
        <v>633</v>
      </c>
      <c r="E30" s="15" t="n">
        <v>17</v>
      </c>
      <c r="F30" s="15" t="s">
        <v>47</v>
      </c>
      <c r="G30" s="15" t="s">
        <v>47</v>
      </c>
      <c r="H30" s="15" t="n">
        <v>0</v>
      </c>
      <c r="I30" s="15" t="n">
        <v>17</v>
      </c>
      <c r="J30" s="15" t="s">
        <v>1074</v>
      </c>
    </row>
    <row r="31" customFormat="false" ht="15" hidden="false" customHeight="false" outlineLevel="0" collapsed="false">
      <c r="A31" s="15" t="s">
        <v>2154</v>
      </c>
      <c r="B31" s="15" t="s">
        <v>553</v>
      </c>
      <c r="C31" s="15" t="s">
        <v>2155</v>
      </c>
      <c r="D31" s="15" t="s">
        <v>554</v>
      </c>
      <c r="E31" s="15" t="n">
        <v>14</v>
      </c>
      <c r="F31" s="15" t="s">
        <v>47</v>
      </c>
      <c r="G31" s="15" t="s">
        <v>47</v>
      </c>
      <c r="H31" s="15" t="n">
        <v>0</v>
      </c>
      <c r="I31" s="15" t="n">
        <v>6</v>
      </c>
      <c r="J31" s="15" t="s">
        <v>1074</v>
      </c>
    </row>
    <row r="32" customFormat="false" ht="15" hidden="false" customHeight="false" outlineLevel="0" collapsed="false">
      <c r="A32" s="15" t="s">
        <v>1702</v>
      </c>
      <c r="B32" s="15" t="s">
        <v>618</v>
      </c>
      <c r="C32" s="15" t="s">
        <v>1703</v>
      </c>
      <c r="D32" s="15" t="s">
        <v>619</v>
      </c>
      <c r="E32" s="15" t="n">
        <v>9</v>
      </c>
      <c r="F32" s="15" t="s">
        <v>47</v>
      </c>
      <c r="G32" s="15" t="s">
        <v>47</v>
      </c>
      <c r="H32" s="15" t="n">
        <v>0</v>
      </c>
      <c r="I32" s="15" t="n">
        <v>7</v>
      </c>
      <c r="J32" s="15" t="s">
        <v>1074</v>
      </c>
    </row>
    <row r="33" customFormat="false" ht="15" hidden="false" customHeight="false" outlineLevel="0" collapsed="false">
      <c r="A33" s="15" t="s">
        <v>1735</v>
      </c>
      <c r="B33" s="15" t="s">
        <v>628</v>
      </c>
      <c r="C33" s="15" t="s">
        <v>1736</v>
      </c>
      <c r="D33" s="15" t="s">
        <v>629</v>
      </c>
      <c r="E33" s="15" t="n">
        <v>9</v>
      </c>
      <c r="F33" s="15" t="s">
        <v>47</v>
      </c>
      <c r="G33" s="15" t="s">
        <v>47</v>
      </c>
      <c r="H33" s="15" t="n">
        <v>0</v>
      </c>
      <c r="I33" s="15" t="n">
        <v>9</v>
      </c>
      <c r="J33" s="15" t="s">
        <v>1074</v>
      </c>
    </row>
    <row r="34" customFormat="false" ht="15" hidden="false" customHeight="false" outlineLevel="0" collapsed="false">
      <c r="A34" s="15" t="s">
        <v>1866</v>
      </c>
      <c r="B34" s="15" t="s">
        <v>658</v>
      </c>
      <c r="C34" s="15" t="s">
        <v>1867</v>
      </c>
      <c r="D34" s="15" t="s">
        <v>659</v>
      </c>
      <c r="E34" s="15" t="n">
        <v>8</v>
      </c>
      <c r="F34" s="15" t="s">
        <v>47</v>
      </c>
      <c r="G34" s="15" t="s">
        <v>47</v>
      </c>
      <c r="H34" s="15" t="n">
        <v>0</v>
      </c>
      <c r="I34" s="15" t="n">
        <v>8</v>
      </c>
      <c r="J34" s="15" t="s">
        <v>1074</v>
      </c>
    </row>
    <row r="35" customFormat="false" ht="15" hidden="false" customHeight="false" outlineLevel="0" collapsed="false">
      <c r="A35" s="15" t="s">
        <v>1275</v>
      </c>
      <c r="B35" s="15" t="s">
        <v>523</v>
      </c>
      <c r="C35" s="15" t="s">
        <v>1276</v>
      </c>
      <c r="D35" s="15" t="s">
        <v>524</v>
      </c>
      <c r="E35" s="15" t="n">
        <v>7</v>
      </c>
      <c r="F35" s="15" t="s">
        <v>47</v>
      </c>
      <c r="G35" s="15" t="s">
        <v>47</v>
      </c>
      <c r="H35" s="15" t="n">
        <v>3</v>
      </c>
      <c r="I35" s="15" t="n">
        <v>4</v>
      </c>
      <c r="J35" s="15" t="s">
        <v>1074</v>
      </c>
    </row>
    <row r="36" customFormat="false" ht="15" hidden="false" customHeight="false" outlineLevel="0" collapsed="false">
      <c r="A36" s="15" t="s">
        <v>1663</v>
      </c>
      <c r="B36" s="15" t="s">
        <v>366</v>
      </c>
      <c r="C36" s="15" t="s">
        <v>1664</v>
      </c>
      <c r="D36" s="15" t="s">
        <v>367</v>
      </c>
      <c r="E36" s="15" t="n">
        <v>6</v>
      </c>
      <c r="F36" s="15" t="s">
        <v>47</v>
      </c>
      <c r="G36" s="15" t="s">
        <v>47</v>
      </c>
      <c r="H36" s="15" t="n">
        <v>5</v>
      </c>
      <c r="I36" s="15" t="n">
        <v>0</v>
      </c>
      <c r="J36" s="15" t="s">
        <v>1074</v>
      </c>
    </row>
    <row r="37" customFormat="false" ht="15" hidden="false" customHeight="false" outlineLevel="0" collapsed="false">
      <c r="A37" s="15" t="s">
        <v>1428</v>
      </c>
      <c r="B37" s="15" t="s">
        <v>578</v>
      </c>
      <c r="C37" s="15" t="s">
        <v>1429</v>
      </c>
      <c r="D37" s="15" t="s">
        <v>579</v>
      </c>
      <c r="E37" s="15" t="n">
        <v>5</v>
      </c>
      <c r="F37" s="15" t="s">
        <v>47</v>
      </c>
      <c r="G37" s="15" t="s">
        <v>47</v>
      </c>
      <c r="H37" s="15" t="n">
        <v>0</v>
      </c>
      <c r="I37" s="15" t="n">
        <v>5</v>
      </c>
      <c r="J37" s="15" t="s">
        <v>1074</v>
      </c>
    </row>
    <row r="38" customFormat="false" ht="15" hidden="false" customHeight="false" outlineLevel="0" collapsed="false">
      <c r="A38" s="15" t="s">
        <v>1520</v>
      </c>
      <c r="B38" s="15" t="s">
        <v>491</v>
      </c>
      <c r="C38" s="15" t="s">
        <v>1521</v>
      </c>
      <c r="D38" s="15" t="s">
        <v>492</v>
      </c>
      <c r="E38" s="15" t="n">
        <v>0</v>
      </c>
      <c r="F38" s="15" t="s">
        <v>47</v>
      </c>
      <c r="G38" s="15" t="s">
        <v>47</v>
      </c>
      <c r="H38" s="15" t="n">
        <v>9</v>
      </c>
      <c r="I38" s="15" t="n">
        <v>0</v>
      </c>
      <c r="J38" s="15" t="s">
        <v>1074</v>
      </c>
    </row>
    <row r="39" customFormat="false" ht="15" hidden="false" customHeight="false" outlineLevel="0" collapsed="false">
      <c r="A39" s="15" t="s">
        <v>1411</v>
      </c>
      <c r="B39" s="15" t="s">
        <v>420</v>
      </c>
      <c r="C39" s="15" t="s">
        <v>1412</v>
      </c>
      <c r="D39" s="15" t="s">
        <v>421</v>
      </c>
      <c r="E39" s="15" t="n">
        <v>35</v>
      </c>
      <c r="F39" s="15" t="s">
        <v>47</v>
      </c>
      <c r="G39" s="15" t="s">
        <v>47</v>
      </c>
      <c r="H39" s="15" t="n">
        <v>0</v>
      </c>
      <c r="I39" s="15" t="n">
        <v>0</v>
      </c>
      <c r="J39" s="15" t="s">
        <v>1260</v>
      </c>
    </row>
    <row r="40" customFormat="false" ht="15" hidden="false" customHeight="false" outlineLevel="0" collapsed="false">
      <c r="A40" s="15" t="s">
        <v>1578</v>
      </c>
      <c r="B40" s="15" t="s">
        <v>497</v>
      </c>
      <c r="C40" s="15" t="s">
        <v>1579</v>
      </c>
      <c r="D40" s="15" t="s">
        <v>1580</v>
      </c>
      <c r="E40" s="15" t="n">
        <v>25</v>
      </c>
      <c r="F40" s="15" t="s">
        <v>47</v>
      </c>
      <c r="G40" s="15" t="s">
        <v>47</v>
      </c>
      <c r="H40" s="15" t="n">
        <v>0</v>
      </c>
      <c r="I40" s="15" t="n">
        <v>0</v>
      </c>
      <c r="J40" s="15" t="s">
        <v>1260</v>
      </c>
    </row>
    <row r="41" customFormat="false" ht="15" hidden="false" customHeight="false" outlineLevel="0" collapsed="false">
      <c r="A41" s="15" t="s">
        <v>1323</v>
      </c>
      <c r="B41" s="15" t="s">
        <v>416</v>
      </c>
      <c r="C41" s="15" t="s">
        <v>1324</v>
      </c>
      <c r="D41" s="15" t="s">
        <v>417</v>
      </c>
      <c r="E41" s="15" t="n">
        <v>14</v>
      </c>
      <c r="F41" s="15" t="s">
        <v>47</v>
      </c>
      <c r="G41" s="15" t="s">
        <v>47</v>
      </c>
      <c r="H41" s="15" t="n">
        <v>0</v>
      </c>
      <c r="I41" s="15" t="n">
        <v>0</v>
      </c>
      <c r="J41" s="15" t="s">
        <v>1260</v>
      </c>
    </row>
    <row r="42" customFormat="false" ht="15" hidden="false" customHeight="false" outlineLevel="0" collapsed="false">
      <c r="A42" s="15" t="s">
        <v>1684</v>
      </c>
      <c r="B42" s="15" t="s">
        <v>613</v>
      </c>
      <c r="C42" s="15" t="s">
        <v>1685</v>
      </c>
      <c r="D42" s="15" t="s">
        <v>614</v>
      </c>
      <c r="E42" s="15" t="n">
        <v>9</v>
      </c>
      <c r="F42" s="15" t="s">
        <v>47</v>
      </c>
      <c r="G42" s="15" t="s">
        <v>47</v>
      </c>
      <c r="H42" s="15" t="n">
        <v>0</v>
      </c>
      <c r="I42" s="15" t="n">
        <v>0</v>
      </c>
      <c r="J42" s="15" t="s">
        <v>1260</v>
      </c>
    </row>
    <row r="43" customFormat="false" ht="15" hidden="false" customHeight="false" outlineLevel="0" collapsed="false">
      <c r="A43" s="15" t="s">
        <v>1775</v>
      </c>
      <c r="B43" s="15" t="s">
        <v>440</v>
      </c>
      <c r="C43" s="15" t="s">
        <v>1776</v>
      </c>
      <c r="D43" s="15" t="s">
        <v>441</v>
      </c>
      <c r="E43" s="15" t="n">
        <v>9</v>
      </c>
      <c r="F43" s="15" t="s">
        <v>47</v>
      </c>
      <c r="G43" s="15" t="s">
        <v>47</v>
      </c>
      <c r="H43" s="15" t="n">
        <v>0</v>
      </c>
      <c r="I43" s="15" t="n">
        <v>0</v>
      </c>
      <c r="J43" s="15" t="s">
        <v>1260</v>
      </c>
    </row>
    <row r="44" customFormat="false" ht="15" hidden="false" customHeight="false" outlineLevel="0" collapsed="false">
      <c r="A44" s="15" t="s">
        <v>2118</v>
      </c>
      <c r="B44" s="15" t="s">
        <v>374</v>
      </c>
      <c r="C44" s="15" t="s">
        <v>2119</v>
      </c>
      <c r="D44" s="15" t="s">
        <v>375</v>
      </c>
      <c r="E44" s="15" t="n">
        <v>6</v>
      </c>
      <c r="F44" s="15" t="s">
        <v>47</v>
      </c>
      <c r="G44" s="15" t="s">
        <v>47</v>
      </c>
      <c r="H44" s="15" t="n">
        <v>0</v>
      </c>
      <c r="I44" s="15" t="n">
        <v>0</v>
      </c>
      <c r="J44" s="15" t="s">
        <v>1260</v>
      </c>
    </row>
    <row r="45" customFormat="false" ht="15" hidden="false" customHeight="false" outlineLevel="0" collapsed="false">
      <c r="A45" s="15" t="s">
        <v>1257</v>
      </c>
      <c r="B45" s="15" t="s">
        <v>557</v>
      </c>
      <c r="C45" s="15" t="s">
        <v>1258</v>
      </c>
      <c r="D45" s="15" t="s">
        <v>1259</v>
      </c>
      <c r="E45" s="15" t="n">
        <v>3</v>
      </c>
      <c r="F45" s="15" t="s">
        <v>47</v>
      </c>
      <c r="G45" s="15" t="s">
        <v>47</v>
      </c>
      <c r="H45" s="15" t="n">
        <v>0</v>
      </c>
      <c r="I45" s="15" t="n">
        <v>0</v>
      </c>
      <c r="J45" s="15" t="s">
        <v>1260</v>
      </c>
    </row>
    <row r="46" customFormat="false" ht="15" hidden="false" customHeight="false" outlineLevel="0" collapsed="false">
      <c r="A46" s="15" t="s">
        <v>1501</v>
      </c>
      <c r="B46" s="15" t="s">
        <v>593</v>
      </c>
      <c r="C46" s="15" t="s">
        <v>1502</v>
      </c>
      <c r="D46" s="15" t="s">
        <v>594</v>
      </c>
      <c r="E46" s="15" t="n">
        <v>31</v>
      </c>
      <c r="F46" s="15" t="s">
        <v>946</v>
      </c>
      <c r="G46" s="15" t="s">
        <v>946</v>
      </c>
      <c r="H46" s="15" t="n">
        <v>2</v>
      </c>
      <c r="I46" s="15" t="n">
        <v>0</v>
      </c>
      <c r="J46" s="15" t="s">
        <v>1503</v>
      </c>
    </row>
    <row r="47" customFormat="false" ht="15" hidden="false" customHeight="false" outlineLevel="0" collapsed="false">
      <c r="A47" s="15" t="s">
        <v>1717</v>
      </c>
      <c r="B47" s="15" t="s">
        <v>624</v>
      </c>
      <c r="C47" s="15" t="s">
        <v>1718</v>
      </c>
      <c r="D47" s="15" t="s">
        <v>1720</v>
      </c>
      <c r="E47" s="15" t="n">
        <v>18</v>
      </c>
      <c r="F47" s="15" t="s">
        <v>946</v>
      </c>
      <c r="G47" s="15" t="s">
        <v>946</v>
      </c>
      <c r="H47" s="15" t="n">
        <v>0</v>
      </c>
      <c r="I47" s="15" t="n">
        <v>11</v>
      </c>
      <c r="J47" s="15" t="s">
        <v>1503</v>
      </c>
    </row>
    <row r="48" customFormat="false" ht="15" hidden="false" customHeight="false" outlineLevel="0" collapsed="false">
      <c r="A48" s="15" t="s">
        <v>2122</v>
      </c>
      <c r="B48" s="15" t="s">
        <v>717</v>
      </c>
      <c r="C48" s="15"/>
      <c r="D48" s="15" t="s">
        <v>718</v>
      </c>
      <c r="E48" s="15" t="n">
        <v>17</v>
      </c>
      <c r="F48" s="15" t="s">
        <v>964</v>
      </c>
      <c r="G48" s="15" t="s">
        <v>964</v>
      </c>
      <c r="H48" s="15" t="n">
        <v>3</v>
      </c>
      <c r="I48" s="15" t="n">
        <v>0</v>
      </c>
      <c r="J48" s="15" t="s">
        <v>1503</v>
      </c>
    </row>
    <row r="49" customFormat="false" ht="15" hidden="false" customHeight="false" outlineLevel="0" collapsed="false">
      <c r="A49" s="15" t="s">
        <v>1574</v>
      </c>
      <c r="B49" s="15" t="s">
        <v>497</v>
      </c>
      <c r="C49" s="15" t="s">
        <v>1575</v>
      </c>
      <c r="D49" s="15" t="s">
        <v>1576</v>
      </c>
      <c r="E49" s="15" t="n">
        <v>0</v>
      </c>
      <c r="F49" s="15" t="s">
        <v>946</v>
      </c>
      <c r="G49" s="15" t="s">
        <v>946</v>
      </c>
      <c r="H49" s="15" t="n">
        <v>54</v>
      </c>
      <c r="I49" s="15" t="n">
        <v>0</v>
      </c>
      <c r="J49" s="15" t="s">
        <v>1503</v>
      </c>
    </row>
    <row r="52" customFormat="false" ht="15" hidden="false" customHeight="false" outlineLevel="0" collapsed="false">
      <c r="A52" s="3" t="s">
        <v>2174</v>
      </c>
    </row>
    <row r="53" customFormat="false" ht="42" hidden="false" customHeight="true" outlineLevel="0" collapsed="false">
      <c r="A53" s="14" t="s">
        <v>2175</v>
      </c>
      <c r="B53" s="14" t="s">
        <v>103</v>
      </c>
      <c r="C53" s="14" t="s">
        <v>2176</v>
      </c>
      <c r="D53" s="14" t="s">
        <v>2177</v>
      </c>
      <c r="E53" s="14" t="s">
        <v>2178</v>
      </c>
      <c r="F53" s="14" t="s">
        <v>2179</v>
      </c>
      <c r="G53" s="14" t="s">
        <v>2180</v>
      </c>
      <c r="H53" s="14" t="s">
        <v>2181</v>
      </c>
      <c r="I53" s="14" t="s">
        <v>2182</v>
      </c>
      <c r="J53" s="14" t="s">
        <v>2183</v>
      </c>
    </row>
    <row r="54" customFormat="false" ht="15" hidden="false" customHeight="false" outlineLevel="0" collapsed="false">
      <c r="A54" s="15" t="s">
        <v>2184</v>
      </c>
      <c r="B54" s="15" t="s">
        <v>16</v>
      </c>
      <c r="C54" s="15" t="s">
        <v>2185</v>
      </c>
      <c r="D54" s="15" t="n">
        <v>106</v>
      </c>
      <c r="E54" s="15" t="n">
        <v>105</v>
      </c>
      <c r="F54" s="15" t="n">
        <v>1</v>
      </c>
      <c r="G54" s="15" t="s">
        <v>2186</v>
      </c>
      <c r="H54" s="15" t="s">
        <v>2187</v>
      </c>
      <c r="I54" s="15" t="s">
        <v>2188</v>
      </c>
      <c r="J54" s="15" t="s">
        <v>2189</v>
      </c>
    </row>
    <row r="55" customFormat="false" ht="15" hidden="false" customHeight="false" outlineLevel="0" collapsed="false">
      <c r="A55" s="15" t="s">
        <v>2190</v>
      </c>
      <c r="B55" s="15" t="s">
        <v>17</v>
      </c>
      <c r="C55" s="15" t="s">
        <v>2185</v>
      </c>
      <c r="D55" s="15" t="n">
        <v>69</v>
      </c>
      <c r="E55" s="15" t="n">
        <v>68</v>
      </c>
      <c r="F55" s="15" t="n">
        <v>1</v>
      </c>
      <c r="G55" s="15" t="s">
        <v>2191</v>
      </c>
      <c r="H55" s="15" t="s">
        <v>2192</v>
      </c>
      <c r="I55" s="15" t="s">
        <v>2193</v>
      </c>
      <c r="J55" s="15" t="s">
        <v>2194</v>
      </c>
    </row>
    <row r="56" customFormat="false" ht="15" hidden="false" customHeight="false" outlineLevel="0" collapsed="false">
      <c r="A56" s="15" t="s">
        <v>2195</v>
      </c>
      <c r="B56" s="15" t="s">
        <v>16</v>
      </c>
      <c r="C56" s="15" t="s">
        <v>2185</v>
      </c>
      <c r="D56" s="15" t="n">
        <v>54</v>
      </c>
      <c r="E56" s="15" t="n">
        <v>23</v>
      </c>
      <c r="F56" s="15" t="n">
        <v>31</v>
      </c>
      <c r="G56" s="15" t="s">
        <v>2196</v>
      </c>
      <c r="H56" s="15" t="s">
        <v>2197</v>
      </c>
      <c r="I56" s="15" t="s">
        <v>1814</v>
      </c>
      <c r="J56" s="15" t="s">
        <v>2198</v>
      </c>
    </row>
    <row r="57" customFormat="false" ht="15" hidden="false" customHeight="false" outlineLevel="0" collapsed="false">
      <c r="A57" s="15" t="s">
        <v>2199</v>
      </c>
      <c r="B57" s="15" t="s">
        <v>16</v>
      </c>
      <c r="C57" s="15" t="s">
        <v>2185</v>
      </c>
      <c r="D57" s="15" t="n">
        <v>19</v>
      </c>
      <c r="E57" s="15" t="n">
        <v>19</v>
      </c>
      <c r="F57" s="15" t="n">
        <v>0</v>
      </c>
      <c r="G57" s="15" t="s">
        <v>2200</v>
      </c>
      <c r="H57" s="15" t="s">
        <v>2201</v>
      </c>
      <c r="I57" s="15" t="s">
        <v>2202</v>
      </c>
      <c r="J57" s="15"/>
    </row>
    <row r="58" customFormat="false" ht="15" hidden="false" customHeight="false" outlineLevel="0" collapsed="false">
      <c r="A58" s="15" t="s">
        <v>2203</v>
      </c>
      <c r="B58" s="15" t="s">
        <v>17</v>
      </c>
      <c r="C58" s="15" t="s">
        <v>2185</v>
      </c>
      <c r="D58" s="15" t="n">
        <v>18</v>
      </c>
      <c r="E58" s="15" t="n">
        <v>10</v>
      </c>
      <c r="F58" s="15" t="n">
        <v>8</v>
      </c>
      <c r="G58" s="15" t="s">
        <v>2204</v>
      </c>
      <c r="H58" s="15" t="s">
        <v>2205</v>
      </c>
      <c r="I58" s="15" t="s">
        <v>1911</v>
      </c>
      <c r="J58" s="15" t="s">
        <v>2206</v>
      </c>
    </row>
    <row r="59" customFormat="false" ht="15" hidden="false" customHeight="false" outlineLevel="0" collapsed="false">
      <c r="A59" s="15" t="s">
        <v>2207</v>
      </c>
      <c r="B59" s="15" t="s">
        <v>16</v>
      </c>
      <c r="C59" s="15" t="s">
        <v>2185</v>
      </c>
      <c r="D59" s="15" t="n">
        <v>17</v>
      </c>
      <c r="E59" s="15" t="n">
        <v>17</v>
      </c>
      <c r="F59" s="15" t="n">
        <v>0</v>
      </c>
      <c r="G59" s="15" t="s">
        <v>2208</v>
      </c>
      <c r="H59" s="15" t="s">
        <v>2209</v>
      </c>
      <c r="I59" s="15" t="s">
        <v>1183</v>
      </c>
      <c r="J59" s="15"/>
    </row>
    <row r="60" customFormat="false" ht="15" hidden="false" customHeight="false" outlineLevel="0" collapsed="false">
      <c r="A60" s="15" t="s">
        <v>2210</v>
      </c>
      <c r="B60" s="15" t="s">
        <v>16</v>
      </c>
      <c r="C60" s="15" t="s">
        <v>2185</v>
      </c>
      <c r="D60" s="15" t="n">
        <v>16</v>
      </c>
      <c r="E60" s="15" t="n">
        <v>14</v>
      </c>
      <c r="F60" s="15" t="n">
        <v>2</v>
      </c>
      <c r="G60" s="15" t="s">
        <v>2211</v>
      </c>
      <c r="H60" s="15" t="s">
        <v>2212</v>
      </c>
      <c r="I60" s="15" t="s">
        <v>2213</v>
      </c>
      <c r="J60" s="15"/>
    </row>
    <row r="61" customFormat="false" ht="15" hidden="false" customHeight="false" outlineLevel="0" collapsed="false">
      <c r="A61" s="15" t="s">
        <v>2214</v>
      </c>
      <c r="B61" s="15" t="s">
        <v>17</v>
      </c>
      <c r="C61" s="15" t="s">
        <v>2185</v>
      </c>
      <c r="D61" s="15" t="n">
        <v>15</v>
      </c>
      <c r="E61" s="15" t="n">
        <v>15</v>
      </c>
      <c r="F61" s="15" t="n">
        <v>0</v>
      </c>
      <c r="G61" s="15" t="s">
        <v>2215</v>
      </c>
      <c r="H61" s="15" t="s">
        <v>2216</v>
      </c>
      <c r="I61" s="15" t="s">
        <v>2216</v>
      </c>
      <c r="J61" s="15" t="s">
        <v>2217</v>
      </c>
    </row>
    <row r="62" customFormat="false" ht="15" hidden="false" customHeight="false" outlineLevel="0" collapsed="false">
      <c r="A62" s="15" t="s">
        <v>2218</v>
      </c>
      <c r="B62" s="15" t="s">
        <v>16</v>
      </c>
      <c r="C62" s="15" t="s">
        <v>2185</v>
      </c>
      <c r="D62" s="15" t="n">
        <v>14</v>
      </c>
      <c r="E62" s="15" t="n">
        <v>13</v>
      </c>
      <c r="F62" s="15" t="n">
        <v>1</v>
      </c>
      <c r="G62" s="15" t="s">
        <v>2219</v>
      </c>
      <c r="H62" s="15" t="s">
        <v>2220</v>
      </c>
      <c r="I62" s="15" t="s">
        <v>2188</v>
      </c>
      <c r="J62" s="15"/>
    </row>
    <row r="63" customFormat="false" ht="15" hidden="false" customHeight="false" outlineLevel="0" collapsed="false">
      <c r="A63" s="15" t="s">
        <v>2221</v>
      </c>
      <c r="B63" s="15" t="s">
        <v>16</v>
      </c>
      <c r="C63" s="15" t="s">
        <v>2185</v>
      </c>
      <c r="D63" s="15" t="n">
        <v>10</v>
      </c>
      <c r="E63" s="15" t="n">
        <v>0</v>
      </c>
      <c r="F63" s="15" t="n">
        <v>10</v>
      </c>
      <c r="G63" s="15" t="s">
        <v>2222</v>
      </c>
      <c r="H63" s="15" t="s">
        <v>2223</v>
      </c>
      <c r="I63" s="15" t="s">
        <v>2223</v>
      </c>
      <c r="J63" s="15"/>
    </row>
    <row r="64" customFormat="false" ht="15" hidden="false" customHeight="false" outlineLevel="0" collapsed="false">
      <c r="A64" s="15" t="s">
        <v>2224</v>
      </c>
      <c r="B64" s="15" t="s">
        <v>16</v>
      </c>
      <c r="C64" s="15" t="s">
        <v>2225</v>
      </c>
      <c r="D64" s="15" t="n">
        <v>109</v>
      </c>
      <c r="E64" s="15" t="n">
        <v>109</v>
      </c>
      <c r="F64" s="15" t="n">
        <v>0</v>
      </c>
      <c r="G64" s="15" t="s">
        <v>2226</v>
      </c>
      <c r="H64" s="15" t="s">
        <v>2227</v>
      </c>
      <c r="I64" s="15" t="s">
        <v>2063</v>
      </c>
      <c r="J64" s="15" t="s">
        <v>2228</v>
      </c>
    </row>
    <row r="65" customFormat="false" ht="15" hidden="false" customHeight="false" outlineLevel="0" collapsed="false">
      <c r="A65" s="15" t="s">
        <v>2229</v>
      </c>
      <c r="B65" s="15" t="s">
        <v>16</v>
      </c>
      <c r="C65" s="15" t="s">
        <v>2225</v>
      </c>
      <c r="D65" s="15" t="n">
        <v>107</v>
      </c>
      <c r="E65" s="15" t="n">
        <v>107</v>
      </c>
      <c r="F65" s="15" t="n">
        <v>0</v>
      </c>
      <c r="G65" s="15" t="s">
        <v>2230</v>
      </c>
      <c r="H65" s="15" t="s">
        <v>2231</v>
      </c>
      <c r="I65" s="15" t="s">
        <v>2232</v>
      </c>
      <c r="J65" s="15" t="s">
        <v>2233</v>
      </c>
    </row>
    <row r="66" customFormat="false" ht="15" hidden="false" customHeight="false" outlineLevel="0" collapsed="false">
      <c r="A66" s="15" t="s">
        <v>2234</v>
      </c>
      <c r="B66" s="15" t="s">
        <v>16</v>
      </c>
      <c r="C66" s="15" t="s">
        <v>2225</v>
      </c>
      <c r="D66" s="15" t="n">
        <v>62</v>
      </c>
      <c r="E66" s="15" t="n">
        <v>62</v>
      </c>
      <c r="F66" s="15" t="n">
        <v>0</v>
      </c>
      <c r="G66" s="15" t="s">
        <v>2235</v>
      </c>
      <c r="H66" s="15" t="s">
        <v>2236</v>
      </c>
      <c r="I66" s="15" t="s">
        <v>2237</v>
      </c>
      <c r="J66" s="15" t="s">
        <v>2238</v>
      </c>
    </row>
    <row r="67" customFormat="false" ht="15" hidden="false" customHeight="false" outlineLevel="0" collapsed="false">
      <c r="A67" s="15" t="s">
        <v>2239</v>
      </c>
      <c r="B67" s="15" t="s">
        <v>16</v>
      </c>
      <c r="C67" s="15" t="s">
        <v>2225</v>
      </c>
      <c r="D67" s="15" t="n">
        <v>55</v>
      </c>
      <c r="E67" s="15" t="n">
        <v>55</v>
      </c>
      <c r="F67" s="15" t="n">
        <v>0</v>
      </c>
      <c r="G67" s="15" t="s">
        <v>2240</v>
      </c>
      <c r="H67" s="15" t="s">
        <v>2236</v>
      </c>
      <c r="I67" s="15" t="s">
        <v>2241</v>
      </c>
      <c r="J67" s="15" t="s">
        <v>2242</v>
      </c>
    </row>
    <row r="68" customFormat="false" ht="15" hidden="false" customHeight="false" outlineLevel="0" collapsed="false">
      <c r="A68" s="15" t="s">
        <v>2243</v>
      </c>
      <c r="B68" s="15" t="s">
        <v>16</v>
      </c>
      <c r="C68" s="15" t="s">
        <v>2225</v>
      </c>
      <c r="D68" s="15" t="n">
        <v>47</v>
      </c>
      <c r="E68" s="15" t="n">
        <v>47</v>
      </c>
      <c r="F68" s="15" t="n">
        <v>0</v>
      </c>
      <c r="G68" s="15" t="s">
        <v>2244</v>
      </c>
      <c r="H68" s="15" t="s">
        <v>2245</v>
      </c>
      <c r="I68" s="15" t="s">
        <v>2246</v>
      </c>
      <c r="J68" s="15" t="s">
        <v>2247</v>
      </c>
    </row>
    <row r="69" customFormat="false" ht="15" hidden="false" customHeight="false" outlineLevel="0" collapsed="false">
      <c r="A69" s="15" t="s">
        <v>2248</v>
      </c>
      <c r="B69" s="15" t="s">
        <v>17</v>
      </c>
      <c r="C69" s="15" t="s">
        <v>2225</v>
      </c>
      <c r="D69" s="15" t="n">
        <v>44</v>
      </c>
      <c r="E69" s="15" t="n">
        <v>44</v>
      </c>
      <c r="F69" s="15" t="n">
        <v>0</v>
      </c>
      <c r="G69" s="15" t="s">
        <v>2249</v>
      </c>
      <c r="H69" s="15" t="s">
        <v>2236</v>
      </c>
      <c r="I69" s="15" t="s">
        <v>2250</v>
      </c>
      <c r="J69" s="15" t="s">
        <v>2251</v>
      </c>
    </row>
    <row r="70" customFormat="false" ht="15" hidden="false" customHeight="false" outlineLevel="0" collapsed="false">
      <c r="A70" s="15" t="s">
        <v>2252</v>
      </c>
      <c r="B70" s="15" t="s">
        <v>16</v>
      </c>
      <c r="C70" s="15" t="s">
        <v>2225</v>
      </c>
      <c r="D70" s="15" t="n">
        <v>37</v>
      </c>
      <c r="E70" s="15" t="n">
        <v>37</v>
      </c>
      <c r="F70" s="15" t="n">
        <v>0</v>
      </c>
      <c r="G70" s="15" t="s">
        <v>2253</v>
      </c>
      <c r="H70" s="15" t="s">
        <v>2254</v>
      </c>
      <c r="I70" s="15" t="s">
        <v>2254</v>
      </c>
      <c r="J70" s="15"/>
    </row>
    <row r="71" customFormat="false" ht="15" hidden="false" customHeight="false" outlineLevel="0" collapsed="false">
      <c r="A71" s="15" t="s">
        <v>2255</v>
      </c>
      <c r="B71" s="15" t="s">
        <v>17</v>
      </c>
      <c r="C71" s="15" t="s">
        <v>2225</v>
      </c>
      <c r="D71" s="15" t="n">
        <v>35</v>
      </c>
      <c r="E71" s="15" t="n">
        <v>35</v>
      </c>
      <c r="F71" s="15" t="n">
        <v>0</v>
      </c>
      <c r="G71" s="15" t="s">
        <v>2256</v>
      </c>
      <c r="H71" s="15" t="s">
        <v>2227</v>
      </c>
      <c r="I71" s="15" t="s">
        <v>2257</v>
      </c>
      <c r="J71" s="15" t="s">
        <v>2258</v>
      </c>
    </row>
    <row r="72" customFormat="false" ht="15" hidden="false" customHeight="false" outlineLevel="0" collapsed="false">
      <c r="A72" s="15" t="s">
        <v>2259</v>
      </c>
      <c r="B72" s="15" t="s">
        <v>16</v>
      </c>
      <c r="C72" s="15" t="s">
        <v>2225</v>
      </c>
      <c r="D72" s="15" t="n">
        <v>33</v>
      </c>
      <c r="E72" s="15" t="n">
        <v>33</v>
      </c>
      <c r="F72" s="15" t="n">
        <v>0</v>
      </c>
      <c r="G72" s="15" t="s">
        <v>2260</v>
      </c>
      <c r="H72" s="15" t="s">
        <v>2261</v>
      </c>
      <c r="I72" s="15" t="s">
        <v>2262</v>
      </c>
      <c r="J72" s="15" t="s">
        <v>2263</v>
      </c>
    </row>
    <row r="73" customFormat="false" ht="15" hidden="false" customHeight="false" outlineLevel="0" collapsed="false">
      <c r="A73" s="15" t="s">
        <v>2264</v>
      </c>
      <c r="B73" s="15" t="s">
        <v>17</v>
      </c>
      <c r="C73" s="15" t="s">
        <v>2225</v>
      </c>
      <c r="D73" s="15" t="n">
        <v>33</v>
      </c>
      <c r="E73" s="15" t="n">
        <v>33</v>
      </c>
      <c r="F73" s="15" t="n">
        <v>0</v>
      </c>
      <c r="G73" s="15" t="s">
        <v>2265</v>
      </c>
      <c r="H73" s="15" t="s">
        <v>2266</v>
      </c>
      <c r="I73" s="15" t="s">
        <v>2267</v>
      </c>
      <c r="J73" s="15" t="s">
        <v>2268</v>
      </c>
    </row>
    <row r="74" customFormat="false" ht="15" hidden="false" customHeight="false" outlineLevel="0" collapsed="false">
      <c r="A74" s="15" t="s">
        <v>2269</v>
      </c>
      <c r="B74" s="15" t="s">
        <v>17</v>
      </c>
      <c r="C74" s="15" t="s">
        <v>2225</v>
      </c>
      <c r="D74" s="15" t="n">
        <v>30</v>
      </c>
      <c r="E74" s="15" t="n">
        <v>30</v>
      </c>
      <c r="F74" s="15" t="n">
        <v>0</v>
      </c>
      <c r="G74" s="15" t="s">
        <v>2270</v>
      </c>
      <c r="H74" s="15" t="s">
        <v>2271</v>
      </c>
      <c r="I74" s="15" t="s">
        <v>2271</v>
      </c>
      <c r="J74" s="15" t="s">
        <v>2272</v>
      </c>
    </row>
    <row r="75" customFormat="false" ht="15" hidden="false" customHeight="false" outlineLevel="0" collapsed="false">
      <c r="A75" s="15" t="s">
        <v>2273</v>
      </c>
      <c r="B75" s="15" t="s">
        <v>16</v>
      </c>
      <c r="C75" s="15" t="s">
        <v>2225</v>
      </c>
      <c r="D75" s="15" t="n">
        <v>25</v>
      </c>
      <c r="E75" s="15" t="n">
        <v>25</v>
      </c>
      <c r="F75" s="15" t="n">
        <v>0</v>
      </c>
      <c r="G75" s="15" t="s">
        <v>2274</v>
      </c>
      <c r="H75" s="15" t="s">
        <v>2275</v>
      </c>
      <c r="I75" s="15" t="s">
        <v>2276</v>
      </c>
      <c r="J75" s="15"/>
    </row>
    <row r="76" customFormat="false" ht="15" hidden="false" customHeight="false" outlineLevel="0" collapsed="false">
      <c r="A76" s="15" t="s">
        <v>2277</v>
      </c>
      <c r="B76" s="15" t="s">
        <v>17</v>
      </c>
      <c r="C76" s="15" t="s">
        <v>2225</v>
      </c>
      <c r="D76" s="15" t="n">
        <v>16</v>
      </c>
      <c r="E76" s="15" t="n">
        <v>16</v>
      </c>
      <c r="F76" s="15" t="n">
        <v>0</v>
      </c>
      <c r="G76" s="15" t="s">
        <v>2278</v>
      </c>
      <c r="H76" s="15" t="s">
        <v>2279</v>
      </c>
      <c r="I76" s="15" t="s">
        <v>2279</v>
      </c>
      <c r="J76" s="15" t="s">
        <v>2280</v>
      </c>
    </row>
    <row r="77" customFormat="false" ht="15" hidden="false" customHeight="false" outlineLevel="0" collapsed="false">
      <c r="A77" s="15" t="s">
        <v>2281</v>
      </c>
      <c r="B77" s="15" t="s">
        <v>16</v>
      </c>
      <c r="C77" s="15" t="s">
        <v>2225</v>
      </c>
      <c r="D77" s="15" t="n">
        <v>16</v>
      </c>
      <c r="E77" s="15" t="n">
        <v>16</v>
      </c>
      <c r="F77" s="15" t="n">
        <v>0</v>
      </c>
      <c r="G77" s="15" t="s">
        <v>2282</v>
      </c>
      <c r="H77" s="15" t="s">
        <v>2283</v>
      </c>
      <c r="I77" s="15" t="s">
        <v>2283</v>
      </c>
      <c r="J77" s="15"/>
    </row>
    <row r="78" customFormat="false" ht="15" hidden="false" customHeight="false" outlineLevel="0" collapsed="false">
      <c r="A78" s="15" t="s">
        <v>2284</v>
      </c>
      <c r="B78" s="15" t="s">
        <v>16</v>
      </c>
      <c r="C78" s="15" t="s">
        <v>2225</v>
      </c>
      <c r="D78" s="15" t="n">
        <v>15</v>
      </c>
      <c r="E78" s="15" t="n">
        <v>15</v>
      </c>
      <c r="F78" s="15" t="n">
        <v>0</v>
      </c>
      <c r="G78" s="15" t="s">
        <v>2285</v>
      </c>
      <c r="H78" s="15" t="s">
        <v>2227</v>
      </c>
      <c r="I78" s="15" t="s">
        <v>2227</v>
      </c>
      <c r="J78" s="15" t="s">
        <v>2286</v>
      </c>
    </row>
    <row r="79" customFormat="false" ht="15" hidden="false" customHeight="false" outlineLevel="0" collapsed="false">
      <c r="A79" s="15" t="s">
        <v>2287</v>
      </c>
      <c r="B79" s="15" t="s">
        <v>16</v>
      </c>
      <c r="C79" s="15" t="s">
        <v>2225</v>
      </c>
      <c r="D79" s="15" t="n">
        <v>14</v>
      </c>
      <c r="E79" s="15" t="n">
        <v>14</v>
      </c>
      <c r="F79" s="15" t="n">
        <v>0</v>
      </c>
      <c r="G79" s="15" t="s">
        <v>2288</v>
      </c>
      <c r="H79" s="15" t="s">
        <v>2266</v>
      </c>
      <c r="I79" s="15" t="s">
        <v>2266</v>
      </c>
      <c r="J79" s="15" t="s">
        <v>2289</v>
      </c>
    </row>
    <row r="80" customFormat="false" ht="15" hidden="false" customHeight="false" outlineLevel="0" collapsed="false">
      <c r="A80" s="15" t="s">
        <v>2290</v>
      </c>
      <c r="B80" s="15" t="s">
        <v>16</v>
      </c>
      <c r="C80" s="15" t="s">
        <v>2225</v>
      </c>
      <c r="D80" s="15" t="n">
        <v>11</v>
      </c>
      <c r="E80" s="15" t="n">
        <v>11</v>
      </c>
      <c r="F80" s="15" t="n">
        <v>0</v>
      </c>
      <c r="G80" s="15" t="s">
        <v>2291</v>
      </c>
      <c r="H80" s="15" t="s">
        <v>2292</v>
      </c>
      <c r="I80" s="15" t="s">
        <v>2292</v>
      </c>
      <c r="J80" s="15"/>
    </row>
    <row r="81" customFormat="false" ht="15" hidden="false" customHeight="false" outlineLevel="0" collapsed="false">
      <c r="A81" s="15" t="s">
        <v>2293</v>
      </c>
      <c r="B81" s="15" t="s">
        <v>16</v>
      </c>
      <c r="C81" s="15" t="s">
        <v>2225</v>
      </c>
      <c r="D81" s="15" t="n">
        <v>10</v>
      </c>
      <c r="E81" s="15" t="n">
        <v>10</v>
      </c>
      <c r="F81" s="15" t="n">
        <v>0</v>
      </c>
      <c r="G81" s="15" t="s">
        <v>2294</v>
      </c>
      <c r="H81" s="15" t="s">
        <v>2295</v>
      </c>
      <c r="I81" s="15" t="s">
        <v>1532</v>
      </c>
      <c r="J81" s="15" t="s">
        <v>2296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2297</v>
      </c>
      <c r="B1" s="30" t="s">
        <v>2298</v>
      </c>
      <c r="C1" s="30" t="s">
        <v>2299</v>
      </c>
    </row>
    <row r="2" customFormat="false" ht="28.35" hidden="false" customHeight="false" outlineLevel="0" collapsed="false">
      <c r="A2" s="31" t="s">
        <v>2300</v>
      </c>
      <c r="B2" s="31" t="s">
        <v>101</v>
      </c>
      <c r="C2" s="31" t="s">
        <v>2301</v>
      </c>
    </row>
    <row r="3" customFormat="false" ht="41.75" hidden="false" customHeight="false" outlineLevel="0" collapsed="false">
      <c r="A3" s="31" t="s">
        <v>2300</v>
      </c>
      <c r="B3" s="31" t="s">
        <v>102</v>
      </c>
      <c r="C3" s="31" t="s">
        <v>2302</v>
      </c>
    </row>
    <row r="4" customFormat="false" ht="15" hidden="false" customHeight="false" outlineLevel="0" collapsed="false">
      <c r="A4" s="31" t="s">
        <v>2300</v>
      </c>
      <c r="B4" s="31" t="s">
        <v>103</v>
      </c>
      <c r="C4" s="31" t="s">
        <v>2303</v>
      </c>
    </row>
    <row r="5" customFormat="false" ht="15" hidden="false" customHeight="false" outlineLevel="0" collapsed="false">
      <c r="A5" s="31" t="s">
        <v>2300</v>
      </c>
      <c r="B5" s="31" t="s">
        <v>108</v>
      </c>
      <c r="C5" s="31" t="s">
        <v>2304</v>
      </c>
    </row>
    <row r="6" customFormat="false" ht="28.35" hidden="false" customHeight="false" outlineLevel="0" collapsed="false">
      <c r="A6" s="31" t="s">
        <v>2300</v>
      </c>
      <c r="B6" s="31" t="s">
        <v>118</v>
      </c>
      <c r="C6" s="31" t="s">
        <v>2305</v>
      </c>
    </row>
    <row r="7" customFormat="false" ht="15" hidden="false" customHeight="false" outlineLevel="0" collapsed="false">
      <c r="A7" s="31" t="s">
        <v>2300</v>
      </c>
      <c r="B7" s="31" t="s">
        <v>119</v>
      </c>
      <c r="C7" s="31" t="s">
        <v>2306</v>
      </c>
    </row>
    <row r="8" customFormat="false" ht="15" hidden="false" customHeight="false" outlineLevel="0" collapsed="false">
      <c r="A8" s="31" t="s">
        <v>2300</v>
      </c>
      <c r="B8" s="31" t="s">
        <v>116</v>
      </c>
      <c r="C8" s="31" t="s">
        <v>2307</v>
      </c>
    </row>
    <row r="9" customFormat="false" ht="28.35" hidden="false" customHeight="false" outlineLevel="0" collapsed="false">
      <c r="A9" s="31" t="s">
        <v>2300</v>
      </c>
      <c r="B9" s="31" t="s">
        <v>117</v>
      </c>
      <c r="C9" s="31" t="s">
        <v>2308</v>
      </c>
    </row>
    <row r="10" customFormat="false" ht="15" hidden="false" customHeight="false" outlineLevel="0" collapsed="false">
      <c r="A10" s="31" t="s">
        <v>2300</v>
      </c>
      <c r="B10" s="31" t="s">
        <v>129</v>
      </c>
      <c r="C10" s="31" t="s">
        <v>2309</v>
      </c>
    </row>
    <row r="11" customFormat="false" ht="15" hidden="false" customHeight="false" outlineLevel="0" collapsed="false">
      <c r="A11" s="31" t="s">
        <v>2300</v>
      </c>
      <c r="B11" s="31" t="s">
        <v>2310</v>
      </c>
      <c r="C11" s="31" t="s">
        <v>2311</v>
      </c>
    </row>
    <row r="12" customFormat="false" ht="28.35" hidden="false" customHeight="false" outlineLevel="0" collapsed="false">
      <c r="A12" s="31" t="s">
        <v>2300</v>
      </c>
      <c r="B12" s="31" t="s">
        <v>2312</v>
      </c>
      <c r="C12" s="31" t="s">
        <v>2313</v>
      </c>
    </row>
    <row r="13" customFormat="false" ht="15" hidden="false" customHeight="false" outlineLevel="0" collapsed="false">
      <c r="A13" s="31" t="s">
        <v>2300</v>
      </c>
      <c r="B13" s="31" t="s">
        <v>126</v>
      </c>
      <c r="C13" s="31" t="s">
        <v>2314</v>
      </c>
    </row>
    <row r="14" customFormat="false" ht="28.35" hidden="false" customHeight="false" outlineLevel="0" collapsed="false">
      <c r="A14" s="31" t="s">
        <v>2300</v>
      </c>
      <c r="B14" s="31" t="s">
        <v>2315</v>
      </c>
      <c r="C14" s="31" t="s">
        <v>2316</v>
      </c>
    </row>
    <row r="15" customFormat="false" ht="41.75" hidden="false" customHeight="false" outlineLevel="0" collapsed="false">
      <c r="A15" s="31" t="s">
        <v>2300</v>
      </c>
      <c r="B15" s="31" t="s">
        <v>2317</v>
      </c>
      <c r="C15" s="31" t="s">
        <v>2318</v>
      </c>
    </row>
    <row r="16" customFormat="false" ht="15" hidden="false" customHeight="false" outlineLevel="0" collapsed="false">
      <c r="A16" s="31" t="s">
        <v>2300</v>
      </c>
      <c r="B16" s="31" t="s">
        <v>130</v>
      </c>
      <c r="C16" s="31" t="s">
        <v>2319</v>
      </c>
    </row>
    <row r="17" customFormat="false" ht="15" hidden="false" customHeight="false" outlineLevel="0" collapsed="false">
      <c r="A17" s="31" t="s">
        <v>2300</v>
      </c>
      <c r="B17" s="31" t="s">
        <v>2320</v>
      </c>
      <c r="C17" s="31" t="s">
        <v>2321</v>
      </c>
    </row>
    <row r="18" customFormat="false" ht="15" hidden="false" customHeight="false" outlineLevel="0" collapsed="false">
      <c r="A18" s="31" t="s">
        <v>2322</v>
      </c>
      <c r="B18" s="31" t="s">
        <v>909</v>
      </c>
      <c r="C18" s="31" t="s">
        <v>2323</v>
      </c>
    </row>
    <row r="19" customFormat="false" ht="15" hidden="false" customHeight="false" outlineLevel="0" collapsed="false">
      <c r="A19" s="31" t="s">
        <v>2322</v>
      </c>
      <c r="B19" s="31" t="s">
        <v>101</v>
      </c>
      <c r="C19" s="31" t="s">
        <v>2324</v>
      </c>
    </row>
    <row r="20" customFormat="false" ht="15" hidden="false" customHeight="false" outlineLevel="0" collapsed="false">
      <c r="A20" s="31" t="s">
        <v>2322</v>
      </c>
      <c r="B20" s="31" t="s">
        <v>913</v>
      </c>
      <c r="C20" s="31" t="s">
        <v>2325</v>
      </c>
    </row>
    <row r="21" customFormat="false" ht="15" hidden="false" customHeight="false" outlineLevel="0" collapsed="false">
      <c r="A21" s="31" t="s">
        <v>2322</v>
      </c>
      <c r="B21" s="31" t="s">
        <v>915</v>
      </c>
      <c r="C21" s="31" t="s">
        <v>2326</v>
      </c>
    </row>
    <row r="22" customFormat="false" ht="15" hidden="false" customHeight="false" outlineLevel="0" collapsed="false">
      <c r="A22" s="31" t="s">
        <v>2322</v>
      </c>
      <c r="B22" s="31" t="s">
        <v>921</v>
      </c>
      <c r="C22" s="31" t="s">
        <v>2327</v>
      </c>
    </row>
    <row r="23" customFormat="false" ht="28.35" hidden="false" customHeight="false" outlineLevel="0" collapsed="false">
      <c r="A23" s="31" t="s">
        <v>2322</v>
      </c>
      <c r="B23" s="31" t="s">
        <v>929</v>
      </c>
      <c r="C23" s="31" t="s">
        <v>2328</v>
      </c>
    </row>
    <row r="24" customFormat="false" ht="28.35" hidden="false" customHeight="false" outlineLevel="0" collapsed="false">
      <c r="A24" s="31" t="s">
        <v>2322</v>
      </c>
      <c r="B24" s="31" t="s">
        <v>2329</v>
      </c>
      <c r="C24" s="31" t="s">
        <v>2330</v>
      </c>
    </row>
    <row r="25" customFormat="false" ht="15" hidden="false" customHeight="false" outlineLevel="0" collapsed="false">
      <c r="A25" s="31" t="s">
        <v>2322</v>
      </c>
      <c r="B25" s="31" t="s">
        <v>939</v>
      </c>
      <c r="C25" s="31" t="s">
        <v>2331</v>
      </c>
    </row>
    <row r="26" customFormat="false" ht="28.35" hidden="false" customHeight="false" outlineLevel="0" collapsed="false">
      <c r="A26" s="31" t="s">
        <v>2322</v>
      </c>
      <c r="B26" s="31" t="s">
        <v>2332</v>
      </c>
      <c r="C26" s="31" t="s">
        <v>2333</v>
      </c>
    </row>
    <row r="27" customFormat="false" ht="28.35" hidden="false" customHeight="false" outlineLevel="0" collapsed="false">
      <c r="A27" s="31" t="s">
        <v>2322</v>
      </c>
      <c r="B27" s="31" t="s">
        <v>2334</v>
      </c>
      <c r="C27" s="31" t="s">
        <v>2335</v>
      </c>
    </row>
    <row r="28" customFormat="false" ht="15" hidden="false" customHeight="false" outlineLevel="0" collapsed="false">
      <c r="A28" s="31" t="s">
        <v>2322</v>
      </c>
      <c r="B28" s="31" t="s">
        <v>2336</v>
      </c>
      <c r="C28" s="31" t="s">
        <v>2337</v>
      </c>
    </row>
    <row r="29" customFormat="false" ht="28.35" hidden="false" customHeight="false" outlineLevel="0" collapsed="false">
      <c r="A29" s="31" t="s">
        <v>2322</v>
      </c>
      <c r="B29" s="31" t="s">
        <v>2338</v>
      </c>
      <c r="C29" s="31" t="s">
        <v>2339</v>
      </c>
    </row>
    <row r="30" customFormat="false" ht="15" hidden="false" customHeight="false" outlineLevel="0" collapsed="false">
      <c r="A30" s="31" t="s">
        <v>2340</v>
      </c>
      <c r="B30" s="31" t="s">
        <v>2341</v>
      </c>
      <c r="C30" s="31" t="s">
        <v>2342</v>
      </c>
    </row>
    <row r="31" customFormat="false" ht="28.35" hidden="false" customHeight="false" outlineLevel="0" collapsed="false">
      <c r="A31" s="31" t="s">
        <v>2340</v>
      </c>
      <c r="B31" s="31" t="s">
        <v>151</v>
      </c>
      <c r="C31" s="31" t="s">
        <v>2343</v>
      </c>
    </row>
    <row r="32" customFormat="false" ht="15" hidden="false" customHeight="false" outlineLevel="0" collapsed="false">
      <c r="A32" s="31" t="s">
        <v>2340</v>
      </c>
      <c r="B32" s="31" t="s">
        <v>137</v>
      </c>
      <c r="C32" s="31" t="s">
        <v>2344</v>
      </c>
    </row>
    <row r="33" customFormat="false" ht="15" hidden="false" customHeight="false" outlineLevel="0" collapsed="false">
      <c r="A33" s="31" t="s">
        <v>2340</v>
      </c>
      <c r="B33" s="31" t="s">
        <v>140</v>
      </c>
      <c r="C33" s="31" t="s">
        <v>2345</v>
      </c>
    </row>
    <row r="34" customFormat="false" ht="15" hidden="false" customHeight="false" outlineLevel="0" collapsed="false">
      <c r="A34" s="31" t="s">
        <v>2340</v>
      </c>
      <c r="B34" s="31" t="s">
        <v>141</v>
      </c>
      <c r="C34" s="31" t="s">
        <v>2346</v>
      </c>
    </row>
    <row r="35" customFormat="false" ht="15" hidden="false" customHeight="false" outlineLevel="0" collapsed="false">
      <c r="A35" s="31" t="s">
        <v>2340</v>
      </c>
      <c r="B35" s="31" t="s">
        <v>142</v>
      </c>
      <c r="C35" s="31" t="s">
        <v>2347</v>
      </c>
    </row>
    <row r="36" customFormat="false" ht="15" hidden="false" customHeight="false" outlineLevel="0" collapsed="false">
      <c r="A36" s="31" t="s">
        <v>2348</v>
      </c>
      <c r="B36" s="31" t="s">
        <v>2349</v>
      </c>
      <c r="C36" s="31" t="s">
        <v>2350</v>
      </c>
    </row>
    <row r="37" customFormat="false" ht="28.35" hidden="false" customHeight="false" outlineLevel="0" collapsed="false">
      <c r="A37" s="31" t="s">
        <v>2348</v>
      </c>
      <c r="B37" s="31" t="s">
        <v>2351</v>
      </c>
      <c r="C37" s="31" t="s">
        <v>2352</v>
      </c>
    </row>
    <row r="38" customFormat="false" ht="28.35" hidden="false" customHeight="false" outlineLevel="0" collapsed="false">
      <c r="A38" s="31" t="s">
        <v>2348</v>
      </c>
      <c r="B38" s="31" t="s">
        <v>2353</v>
      </c>
      <c r="C38" s="31" t="s">
        <v>2354</v>
      </c>
    </row>
    <row r="39" customFormat="false" ht="28.35" hidden="false" customHeight="false" outlineLevel="0" collapsed="false">
      <c r="A39" s="31" t="s">
        <v>2348</v>
      </c>
      <c r="B39" s="31" t="s">
        <v>2355</v>
      </c>
      <c r="C39" s="31" t="s">
        <v>2356</v>
      </c>
    </row>
    <row r="40" customFormat="false" ht="28.35" hidden="false" customHeight="false" outlineLevel="0" collapsed="false">
      <c r="A40" s="31" t="s">
        <v>2348</v>
      </c>
      <c r="B40" s="31" t="s">
        <v>2357</v>
      </c>
      <c r="C40" s="31" t="s">
        <v>2358</v>
      </c>
    </row>
    <row r="41" customFormat="false" ht="28.35" hidden="false" customHeight="false" outlineLevel="0" collapsed="false">
      <c r="A41" s="31" t="s">
        <v>2348</v>
      </c>
      <c r="B41" s="31" t="s">
        <v>97</v>
      </c>
      <c r="C41" s="31" t="s">
        <v>2359</v>
      </c>
    </row>
    <row r="42" customFormat="false" ht="15" hidden="false" customHeight="false" outlineLevel="0" collapsed="false">
      <c r="A42" s="31" t="s">
        <v>2348</v>
      </c>
      <c r="B42" s="31" t="s">
        <v>2360</v>
      </c>
      <c r="C42" s="31" t="s">
        <v>2361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2026-10-15T15:17:57Z</dcterms:created>
  <dc:creator>openpyxl</dc:creator>
  <dc:description/>
  <dc:language>en-US</dc:language>
  <cp:lastModifiedBy/>
  <dcterms:modified xsi:type="dcterms:W3CDTF">2026-10-15T15:17:58Z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